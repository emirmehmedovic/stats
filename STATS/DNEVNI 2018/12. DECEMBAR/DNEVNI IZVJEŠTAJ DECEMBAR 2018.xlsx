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8195" windowHeight="11580" firstSheet="15" activeTab="30"/>
  </bookViews>
  <sheets>
    <sheet name="1" sheetId="3" r:id="rId1"/>
    <sheet name="2" sheetId="4" r:id="rId2"/>
    <sheet name="3" sheetId="5" r:id="rId3"/>
    <sheet name="4" sheetId="6" r:id="rId4"/>
    <sheet name="5" sheetId="7" r:id="rId5"/>
    <sheet name="6" sheetId="9" r:id="rId6"/>
    <sheet name="7" sheetId="10" r:id="rId7"/>
    <sheet name="8" sheetId="11" r:id="rId8"/>
    <sheet name="9" sheetId="12" r:id="rId9"/>
    <sheet name="10" sheetId="13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  <sheet name="31" sheetId="34" r:id="rId31"/>
  </sheets>
  <calcPr calcId="145621"/>
</workbook>
</file>

<file path=xl/calcChain.xml><?xml version="1.0" encoding="utf-8"?>
<calcChain xmlns="http://schemas.openxmlformats.org/spreadsheetml/2006/main">
  <c r="G6" i="34" l="1"/>
  <c r="A3" i="34"/>
  <c r="A4" i="34" s="1"/>
  <c r="A5" i="34" l="1"/>
  <c r="A4" i="33"/>
  <c r="A5" i="33" s="1"/>
  <c r="A6" i="33" s="1"/>
  <c r="G4" i="32" l="1"/>
  <c r="E4" i="32"/>
  <c r="M11" i="31" l="1"/>
  <c r="I11" i="31" l="1"/>
  <c r="A11" i="31"/>
  <c r="Q10" i="31" l="1"/>
  <c r="O10" i="31"/>
  <c r="N10" i="31"/>
  <c r="M10" i="31"/>
  <c r="L10" i="31"/>
  <c r="G10" i="31"/>
  <c r="G9" i="31"/>
  <c r="G8" i="31"/>
  <c r="G5" i="31"/>
  <c r="G4" i="31"/>
  <c r="F10" i="31"/>
  <c r="E9" i="31"/>
  <c r="E8" i="31"/>
  <c r="E10" i="31"/>
  <c r="E4" i="31"/>
  <c r="D10" i="31"/>
  <c r="D9" i="31"/>
  <c r="D8" i="31"/>
  <c r="B10" i="31" l="1"/>
  <c r="B9" i="31"/>
  <c r="B8" i="31"/>
  <c r="A10" i="31"/>
  <c r="A9" i="31"/>
  <c r="A8" i="31"/>
  <c r="A7" i="31"/>
  <c r="A3" i="31" l="1"/>
  <c r="A4" i="31" s="1"/>
  <c r="A6" i="31" s="1"/>
  <c r="D5" i="30" l="1"/>
  <c r="D6" i="30" s="1"/>
  <c r="D7" i="30" s="1"/>
  <c r="D4" i="30"/>
  <c r="A3" i="30"/>
  <c r="A4" i="30" s="1"/>
  <c r="A5" i="30" s="1"/>
  <c r="A6" i="30" s="1"/>
  <c r="A7" i="30" s="1"/>
  <c r="A6" i="29" l="1"/>
  <c r="A4" i="28"/>
  <c r="A5" i="28" s="1"/>
  <c r="N5" i="27" l="1"/>
  <c r="G7" i="27"/>
  <c r="G6" i="27"/>
  <c r="E7" i="27"/>
  <c r="E6" i="27"/>
  <c r="A5" i="27" l="1"/>
  <c r="A3" i="27"/>
  <c r="A4" i="27" s="1"/>
  <c r="A6" i="27" s="1"/>
  <c r="A6" i="26" l="1"/>
  <c r="A3" i="26"/>
  <c r="A4" i="26" s="1"/>
  <c r="A5" i="26" s="1"/>
  <c r="A3" i="24" l="1"/>
  <c r="A4" i="24" s="1"/>
  <c r="A6" i="24" s="1"/>
  <c r="G9" i="23" l="1"/>
  <c r="G8" i="23"/>
  <c r="F9" i="23"/>
  <c r="E9" i="23"/>
  <c r="G7" i="23"/>
  <c r="G5" i="23"/>
  <c r="G6" i="23"/>
  <c r="G4" i="23"/>
  <c r="E7" i="23"/>
  <c r="E8" i="23" s="1"/>
  <c r="E6" i="23"/>
  <c r="D9" i="23"/>
  <c r="D8" i="23"/>
  <c r="D7" i="23"/>
  <c r="D6" i="23"/>
  <c r="D5" i="23"/>
  <c r="D4" i="23"/>
  <c r="C9" i="23"/>
  <c r="A9" i="23"/>
  <c r="A8" i="23"/>
  <c r="A7" i="23"/>
  <c r="A6" i="23"/>
  <c r="A5" i="23"/>
  <c r="A4" i="23"/>
  <c r="A3" i="23"/>
  <c r="G3" i="22" l="1"/>
  <c r="E3" i="22"/>
  <c r="A3" i="22" l="1"/>
  <c r="A7" i="22" s="1"/>
  <c r="A6" i="22" s="1"/>
  <c r="A5" i="22" l="1"/>
  <c r="G4" i="21"/>
  <c r="G3" i="21"/>
  <c r="E3" i="21"/>
  <c r="E4" i="21" s="1"/>
  <c r="A3" i="21"/>
  <c r="A4" i="21" s="1"/>
  <c r="E4" i="20" l="1"/>
  <c r="A3" i="20"/>
  <c r="A4" i="20" s="1"/>
  <c r="A5" i="20" s="1"/>
  <c r="A3" i="19" l="1"/>
  <c r="A4" i="19" s="1"/>
  <c r="A5" i="19" s="1"/>
  <c r="A3" i="17" l="1"/>
  <c r="A4" i="17" s="1"/>
  <c r="A5" i="17" s="1"/>
  <c r="A6" i="15" l="1"/>
  <c r="A3" i="14" l="1"/>
  <c r="A4" i="14" s="1"/>
  <c r="E4" i="13" l="1"/>
  <c r="A3" i="13"/>
  <c r="A4" i="13" s="1"/>
  <c r="A5" i="13" s="1"/>
  <c r="A3" i="12" l="1"/>
  <c r="A4" i="12" s="1"/>
  <c r="A5" i="12" s="1"/>
  <c r="A8" i="10" l="1"/>
  <c r="A7" i="10" l="1"/>
  <c r="A3" i="10" l="1"/>
  <c r="A4" i="10" s="1"/>
  <c r="A5" i="10" s="1"/>
  <c r="A6" i="10" s="1"/>
  <c r="A3" i="7" l="1"/>
  <c r="E5" i="6" l="1"/>
  <c r="E4" i="6"/>
  <c r="A3" i="6"/>
  <c r="A4" i="6" s="1"/>
  <c r="A5" i="6" s="1"/>
  <c r="I6" i="5" l="1"/>
  <c r="A6" i="5"/>
  <c r="E4" i="5" l="1"/>
  <c r="A3" i="5"/>
  <c r="A4" i="5"/>
  <c r="A5" i="5" s="1"/>
  <c r="A3" i="4" l="1"/>
  <c r="A4" i="4" s="1"/>
  <c r="A5" i="4" s="1"/>
</calcChain>
</file>

<file path=xl/sharedStrings.xml><?xml version="1.0" encoding="utf-8"?>
<sst xmlns="http://schemas.openxmlformats.org/spreadsheetml/2006/main" count="1964" uniqueCount="336">
  <si>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</si>
  <si>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</si>
  <si>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</si>
  <si>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</si>
  <si>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</si>
  <si>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</si>
  <si>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</si>
  <si>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</si>
  <si>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</si>
  <si>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</si>
  <si>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</si>
  <si>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</si>
  <si>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</si>
  <si>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</si>
  <si>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</si>
  <si>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</si>
  <si>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</si>
  <si>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</si>
  <si>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</si>
  <si>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</si>
  <si>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</si>
  <si>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</si>
  <si>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TZL-HHN-TZL</t>
  </si>
  <si>
    <t>A320</t>
  </si>
  <si>
    <t>HALWO</t>
  </si>
  <si>
    <t>SCHEDULED</t>
  </si>
  <si>
    <t>W64284</t>
  </si>
  <si>
    <t>W64283</t>
  </si>
  <si>
    <t>TZL-VIE-TZL</t>
  </si>
  <si>
    <t>HALYP</t>
  </si>
  <si>
    <t>W64286</t>
  </si>
  <si>
    <t>W64285</t>
  </si>
  <si>
    <t>TZL-CGN-TZL</t>
  </si>
  <si>
    <t>W64300</t>
  </si>
  <si>
    <t>W64299</t>
  </si>
  <si>
    <t>TZL-SXF-TZL</t>
  </si>
  <si>
    <t>W64276</t>
  </si>
  <si>
    <t>W64275</t>
  </si>
  <si>
    <t>153+2INF</t>
  </si>
  <si>
    <t>143+6INF</t>
  </si>
  <si>
    <t>142+5 INF</t>
  </si>
  <si>
    <t>115+0 INF</t>
  </si>
  <si>
    <t>178+4 INF</t>
  </si>
  <si>
    <t>157+4 INF</t>
  </si>
  <si>
    <t>147+1 INF</t>
  </si>
  <si>
    <t>145+4 INF</t>
  </si>
  <si>
    <t>TZL-DTM-TZL</t>
  </si>
  <si>
    <t>W64298</t>
  </si>
  <si>
    <t>W64297</t>
  </si>
  <si>
    <t>TZL-FDH-TZL</t>
  </si>
  <si>
    <t>W64616</t>
  </si>
  <si>
    <t>W64615</t>
  </si>
  <si>
    <t>TZL-MLH-TZL</t>
  </si>
  <si>
    <t>W64294</t>
  </si>
  <si>
    <t>W64293</t>
  </si>
  <si>
    <t>TZL-MMX-TZL</t>
  </si>
  <si>
    <t>W64292</t>
  </si>
  <si>
    <t>W64291</t>
  </si>
  <si>
    <t>HALWC/HALWO</t>
  </si>
  <si>
    <t>HALWC</t>
  </si>
  <si>
    <t>70000/71500</t>
  </si>
  <si>
    <t>168+4INF</t>
  </si>
  <si>
    <t>161+3 INF</t>
  </si>
  <si>
    <t>163+6 INF</t>
  </si>
  <si>
    <t>162+2 INF</t>
  </si>
  <si>
    <t>134+2 INF</t>
  </si>
  <si>
    <t>165+2 INF</t>
  </si>
  <si>
    <t>149+2 INF</t>
  </si>
  <si>
    <t>165+4 INF</t>
  </si>
  <si>
    <t>TZL-FMM-TZL</t>
  </si>
  <si>
    <t>W64279</t>
  </si>
  <si>
    <t>W64280</t>
  </si>
  <si>
    <t>TZL-EIN-TZL</t>
  </si>
  <si>
    <t>W64289</t>
  </si>
  <si>
    <t>W64290</t>
  </si>
  <si>
    <t>TZL-GOT-TZL</t>
  </si>
  <si>
    <t>W64295</t>
  </si>
  <si>
    <t>W64296</t>
  </si>
  <si>
    <t>HA-LYP</t>
  </si>
  <si>
    <t>HA-LWC</t>
  </si>
  <si>
    <t>HA-LWG</t>
  </si>
  <si>
    <t>ICAR AIR</t>
  </si>
  <si>
    <t>L410</t>
  </si>
  <si>
    <t>E7-MEL</t>
  </si>
  <si>
    <t>NON-SCHEDULED/CARGO</t>
  </si>
  <si>
    <t>RAC9004</t>
  </si>
  <si>
    <t>163+3 INF</t>
  </si>
  <si>
    <t>149+0 INF</t>
  </si>
  <si>
    <t>133+5 INF</t>
  </si>
  <si>
    <t>143+2 INF</t>
  </si>
  <si>
    <t>-</t>
  </si>
  <si>
    <t>BGY-TZL-SJJ</t>
  </si>
  <si>
    <t>158+1 INF</t>
  </si>
  <si>
    <t>176+0 INF</t>
  </si>
  <si>
    <t>153+0 INF</t>
  </si>
  <si>
    <t>156+2 INF</t>
  </si>
  <si>
    <t>104+1 INF</t>
  </si>
  <si>
    <t>144+7 INF</t>
  </si>
  <si>
    <t>93+1 INF</t>
  </si>
  <si>
    <t>172+2 INF</t>
  </si>
  <si>
    <t>141+1 INF</t>
  </si>
  <si>
    <t>167+0 INF</t>
  </si>
  <si>
    <t>DIV TO BEG</t>
  </si>
  <si>
    <t>DIV</t>
  </si>
  <si>
    <t>BEG-TZL</t>
  </si>
  <si>
    <t>HALWG</t>
  </si>
  <si>
    <t>SCHEDULED/FERRY IN</t>
  </si>
  <si>
    <t>W6803</t>
  </si>
  <si>
    <t>ROP</t>
  </si>
  <si>
    <t>CREW</t>
  </si>
  <si>
    <t>157+2INF</t>
  </si>
  <si>
    <t>134+3 INF</t>
  </si>
  <si>
    <t>161+2 INF</t>
  </si>
  <si>
    <t>162+1 INF</t>
  </si>
  <si>
    <t>SALZBURG JET AVIATION GMBH</t>
  </si>
  <si>
    <t>VIE-TZL-VIE</t>
  </si>
  <si>
    <t>C525</t>
  </si>
  <si>
    <t>OEFGK</t>
  </si>
  <si>
    <t>NON SCHEDULED/BUSINESS</t>
  </si>
  <si>
    <t>MOZ331</t>
  </si>
  <si>
    <t>1+0INF</t>
  </si>
  <si>
    <t>137+2INF</t>
  </si>
  <si>
    <t>109+3INF</t>
  </si>
  <si>
    <t>163+4 INF</t>
  </si>
  <si>
    <t>156+3 INF</t>
  </si>
  <si>
    <t>MIRKO ANZEL</t>
  </si>
  <si>
    <t>BEG -TZL-LOCAL FLT.</t>
  </si>
  <si>
    <t>R-44</t>
  </si>
  <si>
    <t>YUHFK</t>
  </si>
  <si>
    <t>HELICOPTER</t>
  </si>
  <si>
    <t>BEG-TZL-BEG</t>
  </si>
  <si>
    <t>BE36</t>
  </si>
  <si>
    <t>T7BEN</t>
  </si>
  <si>
    <t>NON-SCHEDULED/PRIVATE</t>
  </si>
  <si>
    <t>BALKAN HELICOPTERS</t>
  </si>
  <si>
    <t>169+1 INF</t>
  </si>
  <si>
    <t>143+1 INF</t>
  </si>
  <si>
    <t>175+5 INF</t>
  </si>
  <si>
    <t>LOCAL FLT-TZL-BEG</t>
  </si>
  <si>
    <t>163+2INF</t>
  </si>
  <si>
    <t>161+0INF</t>
  </si>
  <si>
    <t>166+4INF</t>
  </si>
  <si>
    <t>160+3 INF</t>
  </si>
  <si>
    <t>130+1 INF</t>
  </si>
  <si>
    <t>160+2 INF</t>
  </si>
  <si>
    <t>150+7 INF</t>
  </si>
  <si>
    <t>97+2 INF</t>
  </si>
  <si>
    <t>149+4INF</t>
  </si>
  <si>
    <t>160+5INF</t>
  </si>
  <si>
    <t>HALYR/HALWG</t>
  </si>
  <si>
    <t>HALYR</t>
  </si>
  <si>
    <t>71500/71500</t>
  </si>
  <si>
    <t>161+3INF</t>
  </si>
  <si>
    <t>164+4 INF</t>
  </si>
  <si>
    <t>159+10 INF</t>
  </si>
  <si>
    <t>153+3 INF</t>
  </si>
  <si>
    <t>177+0 INF</t>
  </si>
  <si>
    <t>150+4 INF</t>
  </si>
  <si>
    <t>162+4 INF</t>
  </si>
  <si>
    <t>149+5 INF</t>
  </si>
  <si>
    <t>HA-LYR</t>
  </si>
  <si>
    <t>158+5 INF</t>
  </si>
  <si>
    <t>157+2 INF</t>
  </si>
  <si>
    <t>167+4 INF</t>
  </si>
  <si>
    <t>159+1 INF</t>
  </si>
  <si>
    <t>135+2 INF</t>
  </si>
  <si>
    <t>168+2 INF</t>
  </si>
  <si>
    <t>161+1 INF</t>
  </si>
  <si>
    <t>178+1 INF</t>
  </si>
  <si>
    <t>147+6INF</t>
  </si>
  <si>
    <t>100+0INF</t>
  </si>
  <si>
    <t>DIV to BNX</t>
  </si>
  <si>
    <t>HALPO</t>
  </si>
  <si>
    <t>138+1 INF</t>
  </si>
  <si>
    <t>145+2 INF</t>
  </si>
  <si>
    <t>BNX-TZL</t>
  </si>
  <si>
    <t>W6801</t>
  </si>
  <si>
    <t>155+6INF</t>
  </si>
  <si>
    <t>160+1INF</t>
  </si>
  <si>
    <t>159+3 INF</t>
  </si>
  <si>
    <t>165+1 INF</t>
  </si>
  <si>
    <t>15.30</t>
  </si>
  <si>
    <t>114+5 INF</t>
  </si>
  <si>
    <t>140+4INF</t>
  </si>
  <si>
    <t>166+5INF</t>
  </si>
  <si>
    <t>154+8INF</t>
  </si>
  <si>
    <t>159+4INF</t>
  </si>
  <si>
    <t>170+3 INF</t>
  </si>
  <si>
    <t>HALWL</t>
  </si>
  <si>
    <t>172+3INF</t>
  </si>
  <si>
    <t>74+1INF</t>
  </si>
  <si>
    <t>W6802</t>
  </si>
  <si>
    <t>165+5INF</t>
  </si>
  <si>
    <t>W6804</t>
  </si>
  <si>
    <t>BUD-TZL</t>
  </si>
  <si>
    <t>148+1 INF</t>
  </si>
  <si>
    <t>151+4 INF</t>
  </si>
  <si>
    <t>15./16.12.2018</t>
  </si>
  <si>
    <t>128+3 INF</t>
  </si>
  <si>
    <t>164+1 INF</t>
  </si>
  <si>
    <t>165+3 INF</t>
  </si>
  <si>
    <t>163+0 INF</t>
  </si>
  <si>
    <t>164+3 INF</t>
  </si>
  <si>
    <t>DIV TO BUD</t>
  </si>
  <si>
    <t>152+3INF</t>
  </si>
  <si>
    <t>MMX via BUD-TZL</t>
  </si>
  <si>
    <t>159+3INF</t>
  </si>
  <si>
    <t>141+2INF</t>
  </si>
  <si>
    <t>166+3INF</t>
  </si>
  <si>
    <t>TZL-BUD</t>
  </si>
  <si>
    <t>SCHEDULED/FERRY OUT</t>
  </si>
  <si>
    <t>W6805</t>
  </si>
  <si>
    <t>156+5INF</t>
  </si>
  <si>
    <t>150+2 INF</t>
  </si>
  <si>
    <t>171+3 INF</t>
  </si>
  <si>
    <t>HA-LWL</t>
  </si>
  <si>
    <t>141+3 INF</t>
  </si>
  <si>
    <t>172+7 INF</t>
  </si>
  <si>
    <t>155+2 INF</t>
  </si>
  <si>
    <t>111+2 INF</t>
  </si>
  <si>
    <t>143+3 INF</t>
  </si>
  <si>
    <t>166+2 INF</t>
  </si>
  <si>
    <t>HALWF</t>
  </si>
  <si>
    <t>154+3 INF</t>
  </si>
  <si>
    <t>HA-LWF</t>
  </si>
  <si>
    <t>140+1 INF</t>
  </si>
  <si>
    <t>133+3 INF</t>
  </si>
  <si>
    <t>174+2INF</t>
  </si>
  <si>
    <t>170+4INF</t>
  </si>
  <si>
    <t>US AIR FORCE</t>
  </si>
  <si>
    <t>IUD-TZL-TBA</t>
  </si>
  <si>
    <t>C17</t>
  </si>
  <si>
    <t>RCH900</t>
  </si>
  <si>
    <t>81+0INF</t>
  </si>
  <si>
    <t>NON SCHEDULED/MILITARY/CARGO</t>
  </si>
  <si>
    <t>FERRY IN</t>
  </si>
  <si>
    <t>W6 801</t>
  </si>
  <si>
    <t>W6 805</t>
  </si>
  <si>
    <t>155+6 INF</t>
  </si>
  <si>
    <t>71+1 INF</t>
  </si>
  <si>
    <t>120+4 INF</t>
  </si>
  <si>
    <t>173+4 INF</t>
  </si>
  <si>
    <t>167+7 INF</t>
  </si>
  <si>
    <t>175+3INF</t>
  </si>
  <si>
    <t>120+4INF</t>
  </si>
  <si>
    <t>134+2INF</t>
  </si>
  <si>
    <t>133+4INF</t>
  </si>
  <si>
    <t>173+0INF</t>
  </si>
  <si>
    <t>HALWF/HALPJ</t>
  </si>
  <si>
    <t>HALPJ</t>
  </si>
  <si>
    <t>167+2INF</t>
  </si>
  <si>
    <t>150+1 INF</t>
  </si>
  <si>
    <t>152+3 INF</t>
  </si>
  <si>
    <t>177+3 INF</t>
  </si>
  <si>
    <t>173+1 INF</t>
  </si>
  <si>
    <t>149+1 INF</t>
  </si>
  <si>
    <t>142+3 INF</t>
  </si>
  <si>
    <t>141+2 INF</t>
  </si>
  <si>
    <t>176+2 INF</t>
  </si>
  <si>
    <t>VIE-TZL</t>
  </si>
  <si>
    <t>W6811</t>
  </si>
  <si>
    <t>157+3INF</t>
  </si>
  <si>
    <t>174+1INF</t>
  </si>
  <si>
    <t>162+3 INF</t>
  </si>
  <si>
    <t>120+0 INF</t>
  </si>
  <si>
    <t>175+4 INF</t>
  </si>
  <si>
    <t>173+3 INF</t>
  </si>
  <si>
    <t>170+0 INF</t>
  </si>
  <si>
    <t>177+4INF</t>
  </si>
  <si>
    <t>147+4INF</t>
  </si>
  <si>
    <t>146+2 INF</t>
  </si>
  <si>
    <t>179+3 INF</t>
  </si>
  <si>
    <t>168+1 INF</t>
  </si>
  <si>
    <t>164+2 INF</t>
  </si>
  <si>
    <t>TZL-MMX -TZL</t>
  </si>
  <si>
    <t>147+0 INF</t>
  </si>
  <si>
    <t>154+5 INF</t>
  </si>
  <si>
    <t>175+3 INF</t>
  </si>
  <si>
    <t>137+3 INF</t>
  </si>
  <si>
    <t>131+3 INF</t>
  </si>
  <si>
    <t>161+0 INF</t>
  </si>
  <si>
    <t>174+4INF</t>
  </si>
  <si>
    <t>160+9INF</t>
  </si>
  <si>
    <t>163+4INF</t>
  </si>
  <si>
    <t>176+5 INF</t>
  </si>
  <si>
    <t>171+2 INF</t>
  </si>
  <si>
    <t>157+1INF</t>
  </si>
  <si>
    <t>173+1INF</t>
  </si>
  <si>
    <t>144+2 INF</t>
  </si>
  <si>
    <t>172+0 INF</t>
  </si>
  <si>
    <t>173+2 INF</t>
  </si>
  <si>
    <t>171+0 INF</t>
  </si>
  <si>
    <t>163+1 INF</t>
  </si>
  <si>
    <t>HALYO</t>
  </si>
  <si>
    <t>175+7 INF</t>
  </si>
  <si>
    <t>HA-LYO</t>
  </si>
  <si>
    <t>171+6 INF</t>
  </si>
  <si>
    <t>158+4 INF</t>
  </si>
  <si>
    <t>157+6 INF</t>
  </si>
  <si>
    <t>166+5 INF</t>
  </si>
  <si>
    <t>172+4 INF</t>
  </si>
  <si>
    <t>169+5 INF</t>
  </si>
  <si>
    <t>167+3 INF</t>
  </si>
  <si>
    <t>DIV TO SJJ</t>
  </si>
  <si>
    <t>170+2 INF</t>
  </si>
  <si>
    <t>BUD-TZL-BUD</t>
  </si>
  <si>
    <t>SJJ-TZL</t>
  </si>
  <si>
    <t>FERRY IN/OUT</t>
  </si>
  <si>
    <t>W6806</t>
  </si>
  <si>
    <t>NON SCHEDULED/CARGO</t>
  </si>
  <si>
    <t>RAC9002</t>
  </si>
  <si>
    <t>176+2INF</t>
  </si>
  <si>
    <t>164+7INF</t>
  </si>
  <si>
    <t>HA-LYU/HALWZ</t>
  </si>
  <si>
    <t>158+1INF</t>
  </si>
  <si>
    <t>175+0INF</t>
  </si>
  <si>
    <t>154+2INF</t>
  </si>
  <si>
    <t>179+4 INF</t>
  </si>
  <si>
    <t>169+3 INF</t>
  </si>
  <si>
    <t>165+6 INF</t>
  </si>
  <si>
    <t>163+5 INF</t>
  </si>
  <si>
    <t>168+8 INF</t>
  </si>
  <si>
    <t>174+3 INF</t>
  </si>
  <si>
    <t>174+4 INF</t>
  </si>
  <si>
    <t>172+1 INF</t>
  </si>
  <si>
    <t>172+3 INF</t>
  </si>
  <si>
    <t>176+4 INF</t>
  </si>
  <si>
    <t>HALWC/HALWV</t>
  </si>
  <si>
    <t>HALWV</t>
  </si>
  <si>
    <t>176+0INF</t>
  </si>
  <si>
    <t>163+3INF</t>
  </si>
  <si>
    <t>148+5INF</t>
  </si>
  <si>
    <t>175+2INF</t>
  </si>
  <si>
    <t>178+3INF</t>
  </si>
  <si>
    <t>139+2 INF</t>
  </si>
  <si>
    <t>87+1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</si>
</sst>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2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3" fontId="2" fillId="0" borderId="0" xfId="3" applyNumberFormat="1" applyFont="1" applyFill="1" applyAlignment="1">
      <alignment horizontal="center" vertical="center"/>
    </xf>
    <xf numFmtId="20" fontId="3" fillId="0" borderId="0" xfId="3" applyNumberFormat="1" applyFont="1" applyFill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6" fillId="0" borderId="0" xfId="1" applyNumberFormat="1" applyFont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4" fontId="2" fillId="0" borderId="0" xfId="3" applyNumberFormat="1" applyFont="1" applyFill="1" applyAlignment="1">
      <alignment horizontal="center" vertical="center"/>
    </xf>
    <xf numFmtId="0" fontId="2" fillId="0" borderId="0" xfId="3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7" fillId="0" borderId="0" xfId="4"/>
    <xf numFmtId="14" fontId="2" fillId="0" borderId="0" xfId="5" applyNumberFormat="1" applyFont="1" applyFill="1" applyAlignment="1">
      <alignment horizontal="center" vertical="center"/>
    </xf>
    <xf numFmtId="0" fontId="2" fillId="0" borderId="0" xfId="4" applyFont="1" applyFill="1" applyAlignment="1">
      <alignment horizontal="center" vertical="center"/>
    </xf>
    <xf numFmtId="3" fontId="2" fillId="0" borderId="0" xfId="4" applyNumberFormat="1" applyFont="1" applyFill="1" applyAlignment="1">
      <alignment horizontal="center" vertical="center"/>
    </xf>
    <xf numFmtId="20" fontId="3" fillId="0" borderId="0" xfId="4" applyNumberFormat="1" applyFont="1" applyFill="1" applyAlignment="1">
      <alignment horizontal="center" vertical="center"/>
    </xf>
    <xf numFmtId="20" fontId="2" fillId="0" borderId="0" xfId="4" applyNumberFormat="1" applyFont="1" applyFill="1" applyAlignment="1">
      <alignment horizontal="center" vertical="center"/>
    </xf>
    <xf numFmtId="0" fontId="2" fillId="0" borderId="0" xfId="4" applyNumberFormat="1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3" fontId="2" fillId="0" borderId="0" xfId="6" applyNumberFormat="1" applyFont="1" applyFill="1" applyAlignment="1">
      <alignment horizontal="center" vertical="center"/>
    </xf>
    <xf numFmtId="20" fontId="3" fillId="0" borderId="0" xfId="6" applyNumberFormat="1" applyFont="1" applyFill="1" applyAlignment="1">
      <alignment horizontal="center" vertical="center"/>
    </xf>
    <xf numFmtId="20" fontId="2" fillId="0" borderId="0" xfId="6" applyNumberFormat="1" applyFont="1" applyFill="1" applyAlignment="1">
      <alignment horizontal="center" vertical="center"/>
    </xf>
    <xf numFmtId="20" fontId="5" fillId="0" borderId="0" xfId="4" applyNumberFormat="1" applyFont="1" applyFill="1" applyAlignment="1">
      <alignment horizontal="center" vertical="center"/>
    </xf>
    <xf numFmtId="20" fontId="6" fillId="0" borderId="0" xfId="4" applyNumberFormat="1" applyFont="1" applyFill="1" applyAlignment="1">
      <alignment horizontal="center" vertical="center"/>
    </xf>
    <xf numFmtId="0" fontId="6" fillId="0" borderId="0" xfId="4" applyFont="1" applyFill="1" applyAlignment="1">
      <alignment horizontal="center" vertical="center"/>
    </xf>
    <xf numFmtId="0" fontId="8" fillId="0" borderId="0" xfId="4" applyFont="1" applyAlignment="1">
      <alignment horizontal="center" vertical="center"/>
    </xf>
    <xf numFmtId="3" fontId="2" fillId="0" borderId="0" xfId="4" applyNumberFormat="1" applyFont="1" applyAlignment="1">
      <alignment horizontal="center" vertical="center"/>
    </xf>
    <xf numFmtId="20" fontId="3" fillId="0" borderId="0" xfId="4" applyNumberFormat="1" applyFont="1" applyAlignment="1">
      <alignment horizontal="center" vertical="center"/>
    </xf>
    <xf numFmtId="20" fontId="2" fillId="0" borderId="0" xfId="4" applyNumberFormat="1" applyFont="1" applyAlignment="1">
      <alignment horizontal="center" vertical="center"/>
    </xf>
    <xf numFmtId="0" fontId="2" fillId="0" borderId="0" xfId="4" applyFont="1" applyFill="1" applyAlignment="1">
      <alignment horizontal="center"/>
    </xf>
    <xf numFmtId="14" fontId="2" fillId="0" borderId="0" xfId="4" applyNumberFormat="1" applyFont="1" applyAlignment="1">
      <alignment horizontal="center"/>
    </xf>
    <xf numFmtId="0" fontId="2" fillId="0" borderId="0" xfId="4" applyFont="1" applyAlignment="1">
      <alignment horizontal="center"/>
    </xf>
    <xf numFmtId="20" fontId="3" fillId="0" borderId="0" xfId="4" applyNumberFormat="1" applyFont="1" applyAlignment="1">
      <alignment horizontal="center"/>
    </xf>
    <xf numFmtId="20" fontId="2" fillId="0" borderId="0" xfId="4" applyNumberFormat="1" applyFont="1" applyAlignment="1">
      <alignment horizontal="center"/>
    </xf>
    <xf numFmtId="0" fontId="7" fillId="0" borderId="0" xfId="4" applyFill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/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6" applyFont="1" applyAlignment="1">
      <alignment horizontal="center" vertical="center"/>
    </xf>
    <xf numFmtId="164" fontId="2" fillId="0" borderId="0" xfId="6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9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20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0" fillId="2" borderId="0" xfId="0" applyFill="1"/>
    <xf numFmtId="20" fontId="5" fillId="2" borderId="0" xfId="0" applyNumberFormat="1" applyFont="1" applyFill="1" applyAlignment="1">
      <alignment horizontal="center"/>
    </xf>
    <xf numFmtId="20" fontId="6" fillId="0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4" borderId="0" xfId="3" applyFont="1" applyFill="1" applyAlignment="1">
      <alignment horizontal="center" vertical="center"/>
    </xf>
    <xf numFmtId="0" fontId="2" fillId="2" borderId="0" xfId="4" applyFont="1" applyFill="1" applyAlignment="1">
      <alignment horizontal="center"/>
    </xf>
    <xf numFmtId="0" fontId="2" fillId="2" borderId="0" xfId="6" applyFont="1" applyFill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20" fontId="3" fillId="2" borderId="0" xfId="4" applyNumberFormat="1" applyFont="1" applyFill="1" applyAlignment="1">
      <alignment horizontal="center" vertical="center"/>
    </xf>
    <xf numFmtId="20" fontId="2" fillId="2" borderId="0" xfId="4" applyNumberFormat="1" applyFont="1" applyFill="1" applyAlignment="1">
      <alignment horizontal="center" vertical="center"/>
    </xf>
    <xf numFmtId="20" fontId="3" fillId="2" borderId="0" xfId="4" applyNumberFormat="1" applyFont="1" applyFill="1" applyAlignment="1">
      <alignment horizontal="center"/>
    </xf>
    <xf numFmtId="20" fontId="2" fillId="2" borderId="0" xfId="4" applyNumberFormat="1" applyFont="1" applyFill="1" applyAlignment="1">
      <alignment horizontal="center"/>
    </xf>
    <xf numFmtId="0" fontId="6" fillId="0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2" fillId="6" borderId="0" xfId="6" applyFont="1" applyFill="1" applyAlignment="1">
      <alignment horizontal="center" vertical="center"/>
    </xf>
    <xf numFmtId="20" fontId="3" fillId="6" borderId="0" xfId="6" applyNumberFormat="1" applyFont="1" applyFill="1" applyAlignment="1">
      <alignment horizontal="center" vertical="center"/>
    </xf>
    <xf numFmtId="20" fontId="6" fillId="0" borderId="0" xfId="1" applyNumberFormat="1" applyFont="1" applyFill="1" applyAlignment="1">
      <alignment horizontal="center" vertical="center"/>
    </xf>
    <xf numFmtId="0" fontId="2" fillId="7" borderId="0" xfId="3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4" fontId="6" fillId="0" borderId="0" xfId="0" applyNumberFormat="1" applyFont="1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 vertical="center"/>
    </xf>
  </cellXfs>
  <cellStyles count="7">
    <cellStyle name="Normal" xfId="0" builtinId="0"/>
    <cellStyle name="Normal 2" xfId="2"/>
    <cellStyle name="Normal 2 2" xfId="5"/>
    <cellStyle name="Normal 3" xfId="3"/>
    <cellStyle name="Normal 3 2" xfId="6"/>
    <cellStyle name="Normal 4" xfId="1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L5" sqref="L5"/>
    </sheetView>
  </sheetViews>
  <sheetFormatPr defaultRowHeight="15" x14ac:dyDescent="0.25"/>
  <cols>
    <col min="2" max="2" width="12.7109375" customWidth="1"/>
    <col min="3" max="3" width="14.85546875" customWidth="1"/>
    <col min="6" max="6" width="17.710937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43435</v>
      </c>
      <c r="B2" s="3" t="s">
        <v>21</v>
      </c>
      <c r="C2" s="3" t="s">
        <v>22</v>
      </c>
      <c r="D2" s="3" t="s">
        <v>23</v>
      </c>
      <c r="E2" s="3" t="s">
        <v>29</v>
      </c>
      <c r="F2" s="3" t="s">
        <v>25</v>
      </c>
      <c r="G2" s="4">
        <v>71500</v>
      </c>
      <c r="H2" s="3" t="s">
        <v>26</v>
      </c>
      <c r="I2" s="3" t="s">
        <v>27</v>
      </c>
      <c r="J2" s="5">
        <v>0.49652777777777773</v>
      </c>
      <c r="K2" s="6">
        <v>0.51180555555555551</v>
      </c>
      <c r="L2" s="5">
        <v>0.3125</v>
      </c>
      <c r="M2" s="6">
        <v>0.32569444444444445</v>
      </c>
      <c r="N2" s="6" t="s">
        <v>40</v>
      </c>
      <c r="O2" s="7" t="s">
        <v>38</v>
      </c>
      <c r="P2" s="7">
        <v>953</v>
      </c>
      <c r="Q2" s="7">
        <v>969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43435</v>
      </c>
      <c r="B3" s="3" t="s">
        <v>21</v>
      </c>
      <c r="C3" s="3" t="s">
        <v>28</v>
      </c>
      <c r="D3" s="3" t="s">
        <v>23</v>
      </c>
      <c r="E3" s="3" t="s">
        <v>24</v>
      </c>
      <c r="F3" s="3" t="s">
        <v>25</v>
      </c>
      <c r="G3" s="4">
        <v>71500</v>
      </c>
      <c r="H3" s="3" t="s">
        <v>30</v>
      </c>
      <c r="I3" s="3" t="s">
        <v>31</v>
      </c>
      <c r="J3" s="5">
        <v>0.49305555555555558</v>
      </c>
      <c r="K3" s="6">
        <v>0.4909722222222222</v>
      </c>
      <c r="L3" s="5">
        <v>0.35416666666666669</v>
      </c>
      <c r="M3" s="6">
        <v>0.36319444444444443</v>
      </c>
      <c r="N3" s="6" t="s">
        <v>41</v>
      </c>
      <c r="O3" s="7" t="s">
        <v>39</v>
      </c>
      <c r="P3" s="3">
        <v>424</v>
      </c>
      <c r="Q3" s="7">
        <v>564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43435</v>
      </c>
      <c r="B4" s="8" t="s">
        <v>21</v>
      </c>
      <c r="C4" s="8" t="s">
        <v>32</v>
      </c>
      <c r="D4" s="8" t="s">
        <v>23</v>
      </c>
      <c r="E4" s="3" t="s">
        <v>29</v>
      </c>
      <c r="F4" s="8" t="s">
        <v>25</v>
      </c>
      <c r="G4" s="9">
        <v>71500</v>
      </c>
      <c r="H4" s="8" t="s">
        <v>33</v>
      </c>
      <c r="I4" s="8" t="s">
        <v>34</v>
      </c>
      <c r="J4" s="10">
        <v>0.72222222222222221</v>
      </c>
      <c r="K4" s="11">
        <v>0.72361111111111109</v>
      </c>
      <c r="L4" s="10">
        <v>0.52777777777777779</v>
      </c>
      <c r="M4" s="11">
        <v>0.54513888888888895</v>
      </c>
      <c r="N4" s="7" t="s">
        <v>44</v>
      </c>
      <c r="O4" s="7" t="s">
        <v>42</v>
      </c>
      <c r="P4" s="3">
        <v>971</v>
      </c>
      <c r="Q4" s="7">
        <v>1160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v>43435</v>
      </c>
      <c r="B5" s="8" t="s">
        <v>21</v>
      </c>
      <c r="C5" s="8" t="s">
        <v>35</v>
      </c>
      <c r="D5" s="8" t="s">
        <v>23</v>
      </c>
      <c r="E5" s="3" t="s">
        <v>29</v>
      </c>
      <c r="F5" s="8" t="s">
        <v>25</v>
      </c>
      <c r="G5" s="9">
        <v>71500</v>
      </c>
      <c r="H5" s="8" t="s">
        <v>36</v>
      </c>
      <c r="I5" s="8" t="s">
        <v>37</v>
      </c>
      <c r="J5" s="12">
        <v>0.91319444444444453</v>
      </c>
      <c r="K5" s="13">
        <v>0.92013888888888884</v>
      </c>
      <c r="L5" s="12">
        <v>0.74305555555555547</v>
      </c>
      <c r="M5" s="13">
        <v>0.75763888888888886</v>
      </c>
      <c r="N5" s="7" t="s">
        <v>45</v>
      </c>
      <c r="O5" s="7" t="s">
        <v>43</v>
      </c>
      <c r="P5" s="3">
        <v>785</v>
      </c>
      <c r="Q5" s="7">
        <v>1005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M5" sqref="M5"/>
    </sheetView>
  </sheetViews>
  <sheetFormatPr defaultRowHeight="15" x14ac:dyDescent="0.25"/>
  <cols>
    <col min="2" max="2" width="9.85546875" customWidth="1"/>
    <col min="3" max="3" width="14.7109375" customWidth="1"/>
    <col min="5" max="5" width="17.42578125" customWidth="1"/>
    <col min="6" max="6" width="21.42578125" customWidth="1"/>
    <col min="7" max="7" width="13.140625" customWidth="1"/>
    <col min="10" max="10" width="11.85546875" customWidth="1"/>
    <col min="11" max="11" width="14" customWidth="1"/>
    <col min="12" max="12" width="14.28515625" customWidth="1"/>
    <col min="13" max="13" width="12.85546875" customWidth="1"/>
    <col min="14" max="14" width="18.28515625" customWidth="1"/>
    <col min="15" max="15" width="19.85546875" customWidth="1"/>
    <col min="16" max="16" width="11" customWidth="1"/>
    <col min="17" max="17" width="12" customWidth="1"/>
  </cols>
  <sheetData>
    <row r="1" spans="1:21" s="15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15" customFormat="1" ht="12.75" x14ac:dyDescent="0.25">
      <c r="A2" s="2">
        <v>43436</v>
      </c>
      <c r="B2" s="16" t="s">
        <v>21</v>
      </c>
      <c r="C2" s="16" t="s">
        <v>46</v>
      </c>
      <c r="D2" s="16" t="s">
        <v>23</v>
      </c>
      <c r="E2" s="8" t="s">
        <v>58</v>
      </c>
      <c r="F2" s="16" t="s">
        <v>25</v>
      </c>
      <c r="G2" s="17" t="s">
        <v>60</v>
      </c>
      <c r="H2" s="16" t="s">
        <v>47</v>
      </c>
      <c r="I2" s="16" t="s">
        <v>48</v>
      </c>
      <c r="J2" s="18">
        <v>0.4826388888888889</v>
      </c>
      <c r="K2" s="19">
        <v>0.47638888888888892</v>
      </c>
      <c r="L2" s="18">
        <v>0.27777777777777779</v>
      </c>
      <c r="M2" s="19">
        <v>0.2902777777777778</v>
      </c>
      <c r="N2" s="20" t="s">
        <v>62</v>
      </c>
      <c r="O2" s="20" t="s">
        <v>61</v>
      </c>
      <c r="P2" s="20">
        <v>1511</v>
      </c>
      <c r="Q2" s="20">
        <v>1067</v>
      </c>
      <c r="R2" s="16">
        <v>0</v>
      </c>
      <c r="S2" s="16">
        <v>0</v>
      </c>
      <c r="T2" s="16">
        <v>0</v>
      </c>
      <c r="U2" s="16">
        <v>0</v>
      </c>
    </row>
    <row r="3" spans="1:21" s="15" customFormat="1" ht="12.75" x14ac:dyDescent="0.25">
      <c r="A3" s="21">
        <f>A2</f>
        <v>43436</v>
      </c>
      <c r="B3" s="16" t="s">
        <v>21</v>
      </c>
      <c r="C3" s="16" t="s">
        <v>49</v>
      </c>
      <c r="D3" s="16" t="s">
        <v>23</v>
      </c>
      <c r="E3" s="16" t="s">
        <v>29</v>
      </c>
      <c r="F3" s="16" t="s">
        <v>25</v>
      </c>
      <c r="G3" s="17">
        <v>71500</v>
      </c>
      <c r="H3" s="16" t="s">
        <v>50</v>
      </c>
      <c r="I3" s="16" t="s">
        <v>51</v>
      </c>
      <c r="J3" s="18">
        <v>0.65277777777777779</v>
      </c>
      <c r="K3" s="19">
        <v>0.6479166666666667</v>
      </c>
      <c r="L3" s="18">
        <v>0.5</v>
      </c>
      <c r="M3" s="19">
        <v>0.51597222222222217</v>
      </c>
      <c r="N3" s="20" t="s">
        <v>65</v>
      </c>
      <c r="O3" s="20" t="s">
        <v>63</v>
      </c>
      <c r="P3" s="16">
        <v>923</v>
      </c>
      <c r="Q3" s="20">
        <v>804</v>
      </c>
      <c r="R3" s="16">
        <v>0</v>
      </c>
      <c r="S3" s="16">
        <v>0</v>
      </c>
      <c r="T3" s="16">
        <v>0</v>
      </c>
      <c r="U3" s="16">
        <v>0</v>
      </c>
    </row>
    <row r="4" spans="1:21" s="8" customFormat="1" ht="12.75" x14ac:dyDescent="0.25">
      <c r="A4" s="22">
        <f>A3</f>
        <v>43436</v>
      </c>
      <c r="B4" s="8" t="s">
        <v>21</v>
      </c>
      <c r="C4" s="8" t="s">
        <v>52</v>
      </c>
      <c r="D4" s="8" t="s">
        <v>23</v>
      </c>
      <c r="E4" s="8" t="s">
        <v>59</v>
      </c>
      <c r="F4" s="8" t="s">
        <v>25</v>
      </c>
      <c r="G4" s="9">
        <v>70000</v>
      </c>
      <c r="H4" s="8" t="s">
        <v>53</v>
      </c>
      <c r="I4" s="8" t="s">
        <v>54</v>
      </c>
      <c r="J4" s="10">
        <v>0.69791666666666663</v>
      </c>
      <c r="K4" s="11">
        <v>0.68819444444444444</v>
      </c>
      <c r="L4" s="10">
        <v>0.52777777777777779</v>
      </c>
      <c r="M4" s="11">
        <v>0.53402777777777777</v>
      </c>
      <c r="N4" s="8" t="s">
        <v>67</v>
      </c>
      <c r="O4" s="23" t="s">
        <v>64</v>
      </c>
      <c r="P4" s="8">
        <v>876</v>
      </c>
      <c r="Q4" s="8">
        <v>1192</v>
      </c>
      <c r="R4" s="8">
        <v>0</v>
      </c>
      <c r="S4" s="8">
        <v>0</v>
      </c>
      <c r="T4" s="8">
        <v>0</v>
      </c>
      <c r="U4" s="8">
        <v>0</v>
      </c>
    </row>
    <row r="5" spans="1:21" s="15" customFormat="1" ht="12.75" x14ac:dyDescent="0.25">
      <c r="A5" s="22">
        <f>A4</f>
        <v>43436</v>
      </c>
      <c r="B5" s="8" t="s">
        <v>21</v>
      </c>
      <c r="C5" s="8" t="s">
        <v>55</v>
      </c>
      <c r="D5" s="8" t="s">
        <v>23</v>
      </c>
      <c r="E5" s="16" t="s">
        <v>29</v>
      </c>
      <c r="F5" s="8" t="s">
        <v>25</v>
      </c>
      <c r="G5" s="9">
        <v>71500</v>
      </c>
      <c r="H5" s="8" t="s">
        <v>56</v>
      </c>
      <c r="I5" s="8" t="s">
        <v>57</v>
      </c>
      <c r="J5" s="24">
        <v>0.88888888888888884</v>
      </c>
      <c r="K5" s="25">
        <v>0.875</v>
      </c>
      <c r="L5" s="24">
        <v>0.68402777777777779</v>
      </c>
      <c r="M5" s="25">
        <v>0.68472222222222223</v>
      </c>
      <c r="N5" s="8" t="s">
        <v>68</v>
      </c>
      <c r="O5" s="8" t="s">
        <v>66</v>
      </c>
      <c r="P5" s="8">
        <v>1303</v>
      </c>
      <c r="Q5" s="8">
        <v>886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zoomScaleNormal="100" workbookViewId="0">
      <selection activeCell="M5" sqref="M5"/>
    </sheetView>
  </sheetViews>
  <sheetFormatPr defaultRowHeight="12.75" x14ac:dyDescent="0.2"/>
  <cols>
    <col min="1" max="1" width="9.140625" style="27"/>
    <col min="2" max="2" width="18.42578125" style="27" customWidth="1"/>
    <col min="3" max="3" width="15.28515625" style="27" customWidth="1"/>
    <col min="4" max="4" width="9.140625" style="27"/>
    <col min="5" max="5" width="18.140625" style="27" customWidth="1"/>
    <col min="6" max="6" width="26.7109375" style="27" customWidth="1"/>
    <col min="7" max="8" width="9.140625" style="27"/>
    <col min="9" max="9" width="9.7109375" style="27" bestFit="1" customWidth="1"/>
    <col min="10" max="10" width="11" style="27" bestFit="1" customWidth="1"/>
    <col min="11" max="11" width="10.85546875" style="27" bestFit="1" customWidth="1"/>
    <col min="12" max="12" width="11" style="27" bestFit="1" customWidth="1"/>
    <col min="13" max="13" width="10.85546875" style="27" bestFit="1" customWidth="1"/>
    <col min="14" max="15" width="18.42578125" style="27" bestFit="1" customWidth="1"/>
    <col min="16" max="17" width="10.28515625" style="27" bestFit="1" customWidth="1"/>
    <col min="18" max="257" width="9.140625" style="27"/>
    <col min="258" max="258" width="18.42578125" style="27" customWidth="1"/>
    <col min="259" max="259" width="15.28515625" style="27" customWidth="1"/>
    <col min="260" max="260" width="9.140625" style="27"/>
    <col min="261" max="261" width="18.140625" style="27" customWidth="1"/>
    <col min="262" max="262" width="26.7109375" style="27" customWidth="1"/>
    <col min="263" max="264" width="9.140625" style="27"/>
    <col min="265" max="265" width="9.7109375" style="27" bestFit="1" customWidth="1"/>
    <col min="266" max="266" width="11" style="27" bestFit="1" customWidth="1"/>
    <col min="267" max="267" width="10.85546875" style="27" bestFit="1" customWidth="1"/>
    <col min="268" max="268" width="11" style="27" bestFit="1" customWidth="1"/>
    <col min="269" max="269" width="10.85546875" style="27" bestFit="1" customWidth="1"/>
    <col min="270" max="271" width="18.42578125" style="27" bestFit="1" customWidth="1"/>
    <col min="272" max="273" width="10.28515625" style="27" bestFit="1" customWidth="1"/>
    <col min="274" max="513" width="9.140625" style="27"/>
    <col min="514" max="514" width="18.42578125" style="27" customWidth="1"/>
    <col min="515" max="515" width="15.28515625" style="27" customWidth="1"/>
    <col min="516" max="516" width="9.140625" style="27"/>
    <col min="517" max="517" width="18.140625" style="27" customWidth="1"/>
    <col min="518" max="518" width="26.7109375" style="27" customWidth="1"/>
    <col min="519" max="520" width="9.140625" style="27"/>
    <col min="521" max="521" width="9.7109375" style="27" bestFit="1" customWidth="1"/>
    <col min="522" max="522" width="11" style="27" bestFit="1" customWidth="1"/>
    <col min="523" max="523" width="10.85546875" style="27" bestFit="1" customWidth="1"/>
    <col min="524" max="524" width="11" style="27" bestFit="1" customWidth="1"/>
    <col min="525" max="525" width="10.85546875" style="27" bestFit="1" customWidth="1"/>
    <col min="526" max="527" width="18.42578125" style="27" bestFit="1" customWidth="1"/>
    <col min="528" max="529" width="10.28515625" style="27" bestFit="1" customWidth="1"/>
    <col min="530" max="769" width="9.140625" style="27"/>
    <col min="770" max="770" width="18.42578125" style="27" customWidth="1"/>
    <col min="771" max="771" width="15.28515625" style="27" customWidth="1"/>
    <col min="772" max="772" width="9.140625" style="27"/>
    <col min="773" max="773" width="18.140625" style="27" customWidth="1"/>
    <col min="774" max="774" width="26.7109375" style="27" customWidth="1"/>
    <col min="775" max="776" width="9.140625" style="27"/>
    <col min="777" max="777" width="9.7109375" style="27" bestFit="1" customWidth="1"/>
    <col min="778" max="778" width="11" style="27" bestFit="1" customWidth="1"/>
    <col min="779" max="779" width="10.85546875" style="27" bestFit="1" customWidth="1"/>
    <col min="780" max="780" width="11" style="27" bestFit="1" customWidth="1"/>
    <col min="781" max="781" width="10.85546875" style="27" bestFit="1" customWidth="1"/>
    <col min="782" max="783" width="18.42578125" style="27" bestFit="1" customWidth="1"/>
    <col min="784" max="785" width="10.28515625" style="27" bestFit="1" customWidth="1"/>
    <col min="786" max="1025" width="9.140625" style="27"/>
    <col min="1026" max="1026" width="18.42578125" style="27" customWidth="1"/>
    <col min="1027" max="1027" width="15.28515625" style="27" customWidth="1"/>
    <col min="1028" max="1028" width="9.140625" style="27"/>
    <col min="1029" max="1029" width="18.140625" style="27" customWidth="1"/>
    <col min="1030" max="1030" width="26.7109375" style="27" customWidth="1"/>
    <col min="1031" max="1032" width="9.140625" style="27"/>
    <col min="1033" max="1033" width="9.7109375" style="27" bestFit="1" customWidth="1"/>
    <col min="1034" max="1034" width="11" style="27" bestFit="1" customWidth="1"/>
    <col min="1035" max="1035" width="10.85546875" style="27" bestFit="1" customWidth="1"/>
    <col min="1036" max="1036" width="11" style="27" bestFit="1" customWidth="1"/>
    <col min="1037" max="1037" width="10.85546875" style="27" bestFit="1" customWidth="1"/>
    <col min="1038" max="1039" width="18.42578125" style="27" bestFit="1" customWidth="1"/>
    <col min="1040" max="1041" width="10.28515625" style="27" bestFit="1" customWidth="1"/>
    <col min="1042" max="1281" width="9.140625" style="27"/>
    <col min="1282" max="1282" width="18.42578125" style="27" customWidth="1"/>
    <col min="1283" max="1283" width="15.28515625" style="27" customWidth="1"/>
    <col min="1284" max="1284" width="9.140625" style="27"/>
    <col min="1285" max="1285" width="18.140625" style="27" customWidth="1"/>
    <col min="1286" max="1286" width="26.7109375" style="27" customWidth="1"/>
    <col min="1287" max="1288" width="9.140625" style="27"/>
    <col min="1289" max="1289" width="9.7109375" style="27" bestFit="1" customWidth="1"/>
    <col min="1290" max="1290" width="11" style="27" bestFit="1" customWidth="1"/>
    <col min="1291" max="1291" width="10.85546875" style="27" bestFit="1" customWidth="1"/>
    <col min="1292" max="1292" width="11" style="27" bestFit="1" customWidth="1"/>
    <col min="1293" max="1293" width="10.85546875" style="27" bestFit="1" customWidth="1"/>
    <col min="1294" max="1295" width="18.42578125" style="27" bestFit="1" customWidth="1"/>
    <col min="1296" max="1297" width="10.28515625" style="27" bestFit="1" customWidth="1"/>
    <col min="1298" max="1537" width="9.140625" style="27"/>
    <col min="1538" max="1538" width="18.42578125" style="27" customWidth="1"/>
    <col min="1539" max="1539" width="15.28515625" style="27" customWidth="1"/>
    <col min="1540" max="1540" width="9.140625" style="27"/>
    <col min="1541" max="1541" width="18.140625" style="27" customWidth="1"/>
    <col min="1542" max="1542" width="26.7109375" style="27" customWidth="1"/>
    <col min="1543" max="1544" width="9.140625" style="27"/>
    <col min="1545" max="1545" width="9.7109375" style="27" bestFit="1" customWidth="1"/>
    <col min="1546" max="1546" width="11" style="27" bestFit="1" customWidth="1"/>
    <col min="1547" max="1547" width="10.85546875" style="27" bestFit="1" customWidth="1"/>
    <col min="1548" max="1548" width="11" style="27" bestFit="1" customWidth="1"/>
    <col min="1549" max="1549" width="10.85546875" style="27" bestFit="1" customWidth="1"/>
    <col min="1550" max="1551" width="18.42578125" style="27" bestFit="1" customWidth="1"/>
    <col min="1552" max="1553" width="10.28515625" style="27" bestFit="1" customWidth="1"/>
    <col min="1554" max="1793" width="9.140625" style="27"/>
    <col min="1794" max="1794" width="18.42578125" style="27" customWidth="1"/>
    <col min="1795" max="1795" width="15.28515625" style="27" customWidth="1"/>
    <col min="1796" max="1796" width="9.140625" style="27"/>
    <col min="1797" max="1797" width="18.140625" style="27" customWidth="1"/>
    <col min="1798" max="1798" width="26.7109375" style="27" customWidth="1"/>
    <col min="1799" max="1800" width="9.140625" style="27"/>
    <col min="1801" max="1801" width="9.7109375" style="27" bestFit="1" customWidth="1"/>
    <col min="1802" max="1802" width="11" style="27" bestFit="1" customWidth="1"/>
    <col min="1803" max="1803" width="10.85546875" style="27" bestFit="1" customWidth="1"/>
    <col min="1804" max="1804" width="11" style="27" bestFit="1" customWidth="1"/>
    <col min="1805" max="1805" width="10.85546875" style="27" bestFit="1" customWidth="1"/>
    <col min="1806" max="1807" width="18.42578125" style="27" bestFit="1" customWidth="1"/>
    <col min="1808" max="1809" width="10.28515625" style="27" bestFit="1" customWidth="1"/>
    <col min="1810" max="2049" width="9.140625" style="27"/>
    <col min="2050" max="2050" width="18.42578125" style="27" customWidth="1"/>
    <col min="2051" max="2051" width="15.28515625" style="27" customWidth="1"/>
    <col min="2052" max="2052" width="9.140625" style="27"/>
    <col min="2053" max="2053" width="18.140625" style="27" customWidth="1"/>
    <col min="2054" max="2054" width="26.7109375" style="27" customWidth="1"/>
    <col min="2055" max="2056" width="9.140625" style="27"/>
    <col min="2057" max="2057" width="9.7109375" style="27" bestFit="1" customWidth="1"/>
    <col min="2058" max="2058" width="11" style="27" bestFit="1" customWidth="1"/>
    <col min="2059" max="2059" width="10.85546875" style="27" bestFit="1" customWidth="1"/>
    <col min="2060" max="2060" width="11" style="27" bestFit="1" customWidth="1"/>
    <col min="2061" max="2061" width="10.85546875" style="27" bestFit="1" customWidth="1"/>
    <col min="2062" max="2063" width="18.42578125" style="27" bestFit="1" customWidth="1"/>
    <col min="2064" max="2065" width="10.28515625" style="27" bestFit="1" customWidth="1"/>
    <col min="2066" max="2305" width="9.140625" style="27"/>
    <col min="2306" max="2306" width="18.42578125" style="27" customWidth="1"/>
    <col min="2307" max="2307" width="15.28515625" style="27" customWidth="1"/>
    <col min="2308" max="2308" width="9.140625" style="27"/>
    <col min="2309" max="2309" width="18.140625" style="27" customWidth="1"/>
    <col min="2310" max="2310" width="26.7109375" style="27" customWidth="1"/>
    <col min="2311" max="2312" width="9.140625" style="27"/>
    <col min="2313" max="2313" width="9.7109375" style="27" bestFit="1" customWidth="1"/>
    <col min="2314" max="2314" width="11" style="27" bestFit="1" customWidth="1"/>
    <col min="2315" max="2315" width="10.85546875" style="27" bestFit="1" customWidth="1"/>
    <col min="2316" max="2316" width="11" style="27" bestFit="1" customWidth="1"/>
    <col min="2317" max="2317" width="10.85546875" style="27" bestFit="1" customWidth="1"/>
    <col min="2318" max="2319" width="18.42578125" style="27" bestFit="1" customWidth="1"/>
    <col min="2320" max="2321" width="10.28515625" style="27" bestFit="1" customWidth="1"/>
    <col min="2322" max="2561" width="9.140625" style="27"/>
    <col min="2562" max="2562" width="18.42578125" style="27" customWidth="1"/>
    <col min="2563" max="2563" width="15.28515625" style="27" customWidth="1"/>
    <col min="2564" max="2564" width="9.140625" style="27"/>
    <col min="2565" max="2565" width="18.140625" style="27" customWidth="1"/>
    <col min="2566" max="2566" width="26.7109375" style="27" customWidth="1"/>
    <col min="2567" max="2568" width="9.140625" style="27"/>
    <col min="2569" max="2569" width="9.7109375" style="27" bestFit="1" customWidth="1"/>
    <col min="2570" max="2570" width="11" style="27" bestFit="1" customWidth="1"/>
    <col min="2571" max="2571" width="10.85546875" style="27" bestFit="1" customWidth="1"/>
    <col min="2572" max="2572" width="11" style="27" bestFit="1" customWidth="1"/>
    <col min="2573" max="2573" width="10.85546875" style="27" bestFit="1" customWidth="1"/>
    <col min="2574" max="2575" width="18.42578125" style="27" bestFit="1" customWidth="1"/>
    <col min="2576" max="2577" width="10.28515625" style="27" bestFit="1" customWidth="1"/>
    <col min="2578" max="2817" width="9.140625" style="27"/>
    <col min="2818" max="2818" width="18.42578125" style="27" customWidth="1"/>
    <col min="2819" max="2819" width="15.28515625" style="27" customWidth="1"/>
    <col min="2820" max="2820" width="9.140625" style="27"/>
    <col min="2821" max="2821" width="18.140625" style="27" customWidth="1"/>
    <col min="2822" max="2822" width="26.7109375" style="27" customWidth="1"/>
    <col min="2823" max="2824" width="9.140625" style="27"/>
    <col min="2825" max="2825" width="9.7109375" style="27" bestFit="1" customWidth="1"/>
    <col min="2826" max="2826" width="11" style="27" bestFit="1" customWidth="1"/>
    <col min="2827" max="2827" width="10.85546875" style="27" bestFit="1" customWidth="1"/>
    <col min="2828" max="2828" width="11" style="27" bestFit="1" customWidth="1"/>
    <col min="2829" max="2829" width="10.85546875" style="27" bestFit="1" customWidth="1"/>
    <col min="2830" max="2831" width="18.42578125" style="27" bestFit="1" customWidth="1"/>
    <col min="2832" max="2833" width="10.28515625" style="27" bestFit="1" customWidth="1"/>
    <col min="2834" max="3073" width="9.140625" style="27"/>
    <col min="3074" max="3074" width="18.42578125" style="27" customWidth="1"/>
    <col min="3075" max="3075" width="15.28515625" style="27" customWidth="1"/>
    <col min="3076" max="3076" width="9.140625" style="27"/>
    <col min="3077" max="3077" width="18.140625" style="27" customWidth="1"/>
    <col min="3078" max="3078" width="26.7109375" style="27" customWidth="1"/>
    <col min="3079" max="3080" width="9.140625" style="27"/>
    <col min="3081" max="3081" width="9.7109375" style="27" bestFit="1" customWidth="1"/>
    <col min="3082" max="3082" width="11" style="27" bestFit="1" customWidth="1"/>
    <col min="3083" max="3083" width="10.85546875" style="27" bestFit="1" customWidth="1"/>
    <col min="3084" max="3084" width="11" style="27" bestFit="1" customWidth="1"/>
    <col min="3085" max="3085" width="10.85546875" style="27" bestFit="1" customWidth="1"/>
    <col min="3086" max="3087" width="18.42578125" style="27" bestFit="1" customWidth="1"/>
    <col min="3088" max="3089" width="10.28515625" style="27" bestFit="1" customWidth="1"/>
    <col min="3090" max="3329" width="9.140625" style="27"/>
    <col min="3330" max="3330" width="18.42578125" style="27" customWidth="1"/>
    <col min="3331" max="3331" width="15.28515625" style="27" customWidth="1"/>
    <col min="3332" max="3332" width="9.140625" style="27"/>
    <col min="3333" max="3333" width="18.140625" style="27" customWidth="1"/>
    <col min="3334" max="3334" width="26.7109375" style="27" customWidth="1"/>
    <col min="3335" max="3336" width="9.140625" style="27"/>
    <col min="3337" max="3337" width="9.7109375" style="27" bestFit="1" customWidth="1"/>
    <col min="3338" max="3338" width="11" style="27" bestFit="1" customWidth="1"/>
    <col min="3339" max="3339" width="10.85546875" style="27" bestFit="1" customWidth="1"/>
    <col min="3340" max="3340" width="11" style="27" bestFit="1" customWidth="1"/>
    <col min="3341" max="3341" width="10.85546875" style="27" bestFit="1" customWidth="1"/>
    <col min="3342" max="3343" width="18.42578125" style="27" bestFit="1" customWidth="1"/>
    <col min="3344" max="3345" width="10.28515625" style="27" bestFit="1" customWidth="1"/>
    <col min="3346" max="3585" width="9.140625" style="27"/>
    <col min="3586" max="3586" width="18.42578125" style="27" customWidth="1"/>
    <col min="3587" max="3587" width="15.28515625" style="27" customWidth="1"/>
    <col min="3588" max="3588" width="9.140625" style="27"/>
    <col min="3589" max="3589" width="18.140625" style="27" customWidth="1"/>
    <col min="3590" max="3590" width="26.7109375" style="27" customWidth="1"/>
    <col min="3591" max="3592" width="9.140625" style="27"/>
    <col min="3593" max="3593" width="9.7109375" style="27" bestFit="1" customWidth="1"/>
    <col min="3594" max="3594" width="11" style="27" bestFit="1" customWidth="1"/>
    <col min="3595" max="3595" width="10.85546875" style="27" bestFit="1" customWidth="1"/>
    <col min="3596" max="3596" width="11" style="27" bestFit="1" customWidth="1"/>
    <col min="3597" max="3597" width="10.85546875" style="27" bestFit="1" customWidth="1"/>
    <col min="3598" max="3599" width="18.42578125" style="27" bestFit="1" customWidth="1"/>
    <col min="3600" max="3601" width="10.28515625" style="27" bestFit="1" customWidth="1"/>
    <col min="3602" max="3841" width="9.140625" style="27"/>
    <col min="3842" max="3842" width="18.42578125" style="27" customWidth="1"/>
    <col min="3843" max="3843" width="15.28515625" style="27" customWidth="1"/>
    <col min="3844" max="3844" width="9.140625" style="27"/>
    <col min="3845" max="3845" width="18.140625" style="27" customWidth="1"/>
    <col min="3846" max="3846" width="26.7109375" style="27" customWidth="1"/>
    <col min="3847" max="3848" width="9.140625" style="27"/>
    <col min="3849" max="3849" width="9.7109375" style="27" bestFit="1" customWidth="1"/>
    <col min="3850" max="3850" width="11" style="27" bestFit="1" customWidth="1"/>
    <col min="3851" max="3851" width="10.85546875" style="27" bestFit="1" customWidth="1"/>
    <col min="3852" max="3852" width="11" style="27" bestFit="1" customWidth="1"/>
    <col min="3853" max="3853" width="10.85546875" style="27" bestFit="1" customWidth="1"/>
    <col min="3854" max="3855" width="18.42578125" style="27" bestFit="1" customWidth="1"/>
    <col min="3856" max="3857" width="10.28515625" style="27" bestFit="1" customWidth="1"/>
    <col min="3858" max="4097" width="9.140625" style="27"/>
    <col min="4098" max="4098" width="18.42578125" style="27" customWidth="1"/>
    <col min="4099" max="4099" width="15.28515625" style="27" customWidth="1"/>
    <col min="4100" max="4100" width="9.140625" style="27"/>
    <col min="4101" max="4101" width="18.140625" style="27" customWidth="1"/>
    <col min="4102" max="4102" width="26.7109375" style="27" customWidth="1"/>
    <col min="4103" max="4104" width="9.140625" style="27"/>
    <col min="4105" max="4105" width="9.7109375" style="27" bestFit="1" customWidth="1"/>
    <col min="4106" max="4106" width="11" style="27" bestFit="1" customWidth="1"/>
    <col min="4107" max="4107" width="10.85546875" style="27" bestFit="1" customWidth="1"/>
    <col min="4108" max="4108" width="11" style="27" bestFit="1" customWidth="1"/>
    <col min="4109" max="4109" width="10.85546875" style="27" bestFit="1" customWidth="1"/>
    <col min="4110" max="4111" width="18.42578125" style="27" bestFit="1" customWidth="1"/>
    <col min="4112" max="4113" width="10.28515625" style="27" bestFit="1" customWidth="1"/>
    <col min="4114" max="4353" width="9.140625" style="27"/>
    <col min="4354" max="4354" width="18.42578125" style="27" customWidth="1"/>
    <col min="4355" max="4355" width="15.28515625" style="27" customWidth="1"/>
    <col min="4356" max="4356" width="9.140625" style="27"/>
    <col min="4357" max="4357" width="18.140625" style="27" customWidth="1"/>
    <col min="4358" max="4358" width="26.7109375" style="27" customWidth="1"/>
    <col min="4359" max="4360" width="9.140625" style="27"/>
    <col min="4361" max="4361" width="9.7109375" style="27" bestFit="1" customWidth="1"/>
    <col min="4362" max="4362" width="11" style="27" bestFit="1" customWidth="1"/>
    <col min="4363" max="4363" width="10.85546875" style="27" bestFit="1" customWidth="1"/>
    <col min="4364" max="4364" width="11" style="27" bestFit="1" customWidth="1"/>
    <col min="4365" max="4365" width="10.85546875" style="27" bestFit="1" customWidth="1"/>
    <col min="4366" max="4367" width="18.42578125" style="27" bestFit="1" customWidth="1"/>
    <col min="4368" max="4369" width="10.28515625" style="27" bestFit="1" customWidth="1"/>
    <col min="4370" max="4609" width="9.140625" style="27"/>
    <col min="4610" max="4610" width="18.42578125" style="27" customWidth="1"/>
    <col min="4611" max="4611" width="15.28515625" style="27" customWidth="1"/>
    <col min="4612" max="4612" width="9.140625" style="27"/>
    <col min="4613" max="4613" width="18.140625" style="27" customWidth="1"/>
    <col min="4614" max="4614" width="26.7109375" style="27" customWidth="1"/>
    <col min="4615" max="4616" width="9.140625" style="27"/>
    <col min="4617" max="4617" width="9.7109375" style="27" bestFit="1" customWidth="1"/>
    <col min="4618" max="4618" width="11" style="27" bestFit="1" customWidth="1"/>
    <col min="4619" max="4619" width="10.85546875" style="27" bestFit="1" customWidth="1"/>
    <col min="4620" max="4620" width="11" style="27" bestFit="1" customWidth="1"/>
    <col min="4621" max="4621" width="10.85546875" style="27" bestFit="1" customWidth="1"/>
    <col min="4622" max="4623" width="18.42578125" style="27" bestFit="1" customWidth="1"/>
    <col min="4624" max="4625" width="10.28515625" style="27" bestFit="1" customWidth="1"/>
    <col min="4626" max="4865" width="9.140625" style="27"/>
    <col min="4866" max="4866" width="18.42578125" style="27" customWidth="1"/>
    <col min="4867" max="4867" width="15.28515625" style="27" customWidth="1"/>
    <col min="4868" max="4868" width="9.140625" style="27"/>
    <col min="4869" max="4869" width="18.140625" style="27" customWidth="1"/>
    <col min="4870" max="4870" width="26.7109375" style="27" customWidth="1"/>
    <col min="4871" max="4872" width="9.140625" style="27"/>
    <col min="4873" max="4873" width="9.7109375" style="27" bestFit="1" customWidth="1"/>
    <col min="4874" max="4874" width="11" style="27" bestFit="1" customWidth="1"/>
    <col min="4875" max="4875" width="10.85546875" style="27" bestFit="1" customWidth="1"/>
    <col min="4876" max="4876" width="11" style="27" bestFit="1" customWidth="1"/>
    <col min="4877" max="4877" width="10.85546875" style="27" bestFit="1" customWidth="1"/>
    <col min="4878" max="4879" width="18.42578125" style="27" bestFit="1" customWidth="1"/>
    <col min="4880" max="4881" width="10.28515625" style="27" bestFit="1" customWidth="1"/>
    <col min="4882" max="5121" width="9.140625" style="27"/>
    <col min="5122" max="5122" width="18.42578125" style="27" customWidth="1"/>
    <col min="5123" max="5123" width="15.28515625" style="27" customWidth="1"/>
    <col min="5124" max="5124" width="9.140625" style="27"/>
    <col min="5125" max="5125" width="18.140625" style="27" customWidth="1"/>
    <col min="5126" max="5126" width="26.7109375" style="27" customWidth="1"/>
    <col min="5127" max="5128" width="9.140625" style="27"/>
    <col min="5129" max="5129" width="9.7109375" style="27" bestFit="1" customWidth="1"/>
    <col min="5130" max="5130" width="11" style="27" bestFit="1" customWidth="1"/>
    <col min="5131" max="5131" width="10.85546875" style="27" bestFit="1" customWidth="1"/>
    <col min="5132" max="5132" width="11" style="27" bestFit="1" customWidth="1"/>
    <col min="5133" max="5133" width="10.85546875" style="27" bestFit="1" customWidth="1"/>
    <col min="5134" max="5135" width="18.42578125" style="27" bestFit="1" customWidth="1"/>
    <col min="5136" max="5137" width="10.28515625" style="27" bestFit="1" customWidth="1"/>
    <col min="5138" max="5377" width="9.140625" style="27"/>
    <col min="5378" max="5378" width="18.42578125" style="27" customWidth="1"/>
    <col min="5379" max="5379" width="15.28515625" style="27" customWidth="1"/>
    <col min="5380" max="5380" width="9.140625" style="27"/>
    <col min="5381" max="5381" width="18.140625" style="27" customWidth="1"/>
    <col min="5382" max="5382" width="26.7109375" style="27" customWidth="1"/>
    <col min="5383" max="5384" width="9.140625" style="27"/>
    <col min="5385" max="5385" width="9.7109375" style="27" bestFit="1" customWidth="1"/>
    <col min="5386" max="5386" width="11" style="27" bestFit="1" customWidth="1"/>
    <col min="5387" max="5387" width="10.85546875" style="27" bestFit="1" customWidth="1"/>
    <col min="5388" max="5388" width="11" style="27" bestFit="1" customWidth="1"/>
    <col min="5389" max="5389" width="10.85546875" style="27" bestFit="1" customWidth="1"/>
    <col min="5390" max="5391" width="18.42578125" style="27" bestFit="1" customWidth="1"/>
    <col min="5392" max="5393" width="10.28515625" style="27" bestFit="1" customWidth="1"/>
    <col min="5394" max="5633" width="9.140625" style="27"/>
    <col min="5634" max="5634" width="18.42578125" style="27" customWidth="1"/>
    <col min="5635" max="5635" width="15.28515625" style="27" customWidth="1"/>
    <col min="5636" max="5636" width="9.140625" style="27"/>
    <col min="5637" max="5637" width="18.140625" style="27" customWidth="1"/>
    <col min="5638" max="5638" width="26.7109375" style="27" customWidth="1"/>
    <col min="5639" max="5640" width="9.140625" style="27"/>
    <col min="5641" max="5641" width="9.7109375" style="27" bestFit="1" customWidth="1"/>
    <col min="5642" max="5642" width="11" style="27" bestFit="1" customWidth="1"/>
    <col min="5643" max="5643" width="10.85546875" style="27" bestFit="1" customWidth="1"/>
    <col min="5644" max="5644" width="11" style="27" bestFit="1" customWidth="1"/>
    <col min="5645" max="5645" width="10.85546875" style="27" bestFit="1" customWidth="1"/>
    <col min="5646" max="5647" width="18.42578125" style="27" bestFit="1" customWidth="1"/>
    <col min="5648" max="5649" width="10.28515625" style="27" bestFit="1" customWidth="1"/>
    <col min="5650" max="5889" width="9.140625" style="27"/>
    <col min="5890" max="5890" width="18.42578125" style="27" customWidth="1"/>
    <col min="5891" max="5891" width="15.28515625" style="27" customWidth="1"/>
    <col min="5892" max="5892" width="9.140625" style="27"/>
    <col min="5893" max="5893" width="18.140625" style="27" customWidth="1"/>
    <col min="5894" max="5894" width="26.7109375" style="27" customWidth="1"/>
    <col min="5895" max="5896" width="9.140625" style="27"/>
    <col min="5897" max="5897" width="9.7109375" style="27" bestFit="1" customWidth="1"/>
    <col min="5898" max="5898" width="11" style="27" bestFit="1" customWidth="1"/>
    <col min="5899" max="5899" width="10.85546875" style="27" bestFit="1" customWidth="1"/>
    <col min="5900" max="5900" width="11" style="27" bestFit="1" customWidth="1"/>
    <col min="5901" max="5901" width="10.85546875" style="27" bestFit="1" customWidth="1"/>
    <col min="5902" max="5903" width="18.42578125" style="27" bestFit="1" customWidth="1"/>
    <col min="5904" max="5905" width="10.28515625" style="27" bestFit="1" customWidth="1"/>
    <col min="5906" max="6145" width="9.140625" style="27"/>
    <col min="6146" max="6146" width="18.42578125" style="27" customWidth="1"/>
    <col min="6147" max="6147" width="15.28515625" style="27" customWidth="1"/>
    <col min="6148" max="6148" width="9.140625" style="27"/>
    <col min="6149" max="6149" width="18.140625" style="27" customWidth="1"/>
    <col min="6150" max="6150" width="26.7109375" style="27" customWidth="1"/>
    <col min="6151" max="6152" width="9.140625" style="27"/>
    <col min="6153" max="6153" width="9.7109375" style="27" bestFit="1" customWidth="1"/>
    <col min="6154" max="6154" width="11" style="27" bestFit="1" customWidth="1"/>
    <col min="6155" max="6155" width="10.85546875" style="27" bestFit="1" customWidth="1"/>
    <col min="6156" max="6156" width="11" style="27" bestFit="1" customWidth="1"/>
    <col min="6157" max="6157" width="10.85546875" style="27" bestFit="1" customWidth="1"/>
    <col min="6158" max="6159" width="18.42578125" style="27" bestFit="1" customWidth="1"/>
    <col min="6160" max="6161" width="10.28515625" style="27" bestFit="1" customWidth="1"/>
    <col min="6162" max="6401" width="9.140625" style="27"/>
    <col min="6402" max="6402" width="18.42578125" style="27" customWidth="1"/>
    <col min="6403" max="6403" width="15.28515625" style="27" customWidth="1"/>
    <col min="6404" max="6404" width="9.140625" style="27"/>
    <col min="6405" max="6405" width="18.140625" style="27" customWidth="1"/>
    <col min="6406" max="6406" width="26.7109375" style="27" customWidth="1"/>
    <col min="6407" max="6408" width="9.140625" style="27"/>
    <col min="6409" max="6409" width="9.7109375" style="27" bestFit="1" customWidth="1"/>
    <col min="6410" max="6410" width="11" style="27" bestFit="1" customWidth="1"/>
    <col min="6411" max="6411" width="10.85546875" style="27" bestFit="1" customWidth="1"/>
    <col min="6412" max="6412" width="11" style="27" bestFit="1" customWidth="1"/>
    <col min="6413" max="6413" width="10.85546875" style="27" bestFit="1" customWidth="1"/>
    <col min="6414" max="6415" width="18.42578125" style="27" bestFit="1" customWidth="1"/>
    <col min="6416" max="6417" width="10.28515625" style="27" bestFit="1" customWidth="1"/>
    <col min="6418" max="6657" width="9.140625" style="27"/>
    <col min="6658" max="6658" width="18.42578125" style="27" customWidth="1"/>
    <col min="6659" max="6659" width="15.28515625" style="27" customWidth="1"/>
    <col min="6660" max="6660" width="9.140625" style="27"/>
    <col min="6661" max="6661" width="18.140625" style="27" customWidth="1"/>
    <col min="6662" max="6662" width="26.7109375" style="27" customWidth="1"/>
    <col min="6663" max="6664" width="9.140625" style="27"/>
    <col min="6665" max="6665" width="9.7109375" style="27" bestFit="1" customWidth="1"/>
    <col min="6666" max="6666" width="11" style="27" bestFit="1" customWidth="1"/>
    <col min="6667" max="6667" width="10.85546875" style="27" bestFit="1" customWidth="1"/>
    <col min="6668" max="6668" width="11" style="27" bestFit="1" customWidth="1"/>
    <col min="6669" max="6669" width="10.85546875" style="27" bestFit="1" customWidth="1"/>
    <col min="6670" max="6671" width="18.42578125" style="27" bestFit="1" customWidth="1"/>
    <col min="6672" max="6673" width="10.28515625" style="27" bestFit="1" customWidth="1"/>
    <col min="6674" max="6913" width="9.140625" style="27"/>
    <col min="6914" max="6914" width="18.42578125" style="27" customWidth="1"/>
    <col min="6915" max="6915" width="15.28515625" style="27" customWidth="1"/>
    <col min="6916" max="6916" width="9.140625" style="27"/>
    <col min="6917" max="6917" width="18.140625" style="27" customWidth="1"/>
    <col min="6918" max="6918" width="26.7109375" style="27" customWidth="1"/>
    <col min="6919" max="6920" width="9.140625" style="27"/>
    <col min="6921" max="6921" width="9.7109375" style="27" bestFit="1" customWidth="1"/>
    <col min="6922" max="6922" width="11" style="27" bestFit="1" customWidth="1"/>
    <col min="6923" max="6923" width="10.85546875" style="27" bestFit="1" customWidth="1"/>
    <col min="6924" max="6924" width="11" style="27" bestFit="1" customWidth="1"/>
    <col min="6925" max="6925" width="10.85546875" style="27" bestFit="1" customWidth="1"/>
    <col min="6926" max="6927" width="18.42578125" style="27" bestFit="1" customWidth="1"/>
    <col min="6928" max="6929" width="10.28515625" style="27" bestFit="1" customWidth="1"/>
    <col min="6930" max="7169" width="9.140625" style="27"/>
    <col min="7170" max="7170" width="18.42578125" style="27" customWidth="1"/>
    <col min="7171" max="7171" width="15.28515625" style="27" customWidth="1"/>
    <col min="7172" max="7172" width="9.140625" style="27"/>
    <col min="7173" max="7173" width="18.140625" style="27" customWidth="1"/>
    <col min="7174" max="7174" width="26.7109375" style="27" customWidth="1"/>
    <col min="7175" max="7176" width="9.140625" style="27"/>
    <col min="7177" max="7177" width="9.7109375" style="27" bestFit="1" customWidth="1"/>
    <col min="7178" max="7178" width="11" style="27" bestFit="1" customWidth="1"/>
    <col min="7179" max="7179" width="10.85546875" style="27" bestFit="1" customWidth="1"/>
    <col min="7180" max="7180" width="11" style="27" bestFit="1" customWidth="1"/>
    <col min="7181" max="7181" width="10.85546875" style="27" bestFit="1" customWidth="1"/>
    <col min="7182" max="7183" width="18.42578125" style="27" bestFit="1" customWidth="1"/>
    <col min="7184" max="7185" width="10.28515625" style="27" bestFit="1" customWidth="1"/>
    <col min="7186" max="7425" width="9.140625" style="27"/>
    <col min="7426" max="7426" width="18.42578125" style="27" customWidth="1"/>
    <col min="7427" max="7427" width="15.28515625" style="27" customWidth="1"/>
    <col min="7428" max="7428" width="9.140625" style="27"/>
    <col min="7429" max="7429" width="18.140625" style="27" customWidth="1"/>
    <col min="7430" max="7430" width="26.7109375" style="27" customWidth="1"/>
    <col min="7431" max="7432" width="9.140625" style="27"/>
    <col min="7433" max="7433" width="9.7109375" style="27" bestFit="1" customWidth="1"/>
    <col min="7434" max="7434" width="11" style="27" bestFit="1" customWidth="1"/>
    <col min="7435" max="7435" width="10.85546875" style="27" bestFit="1" customWidth="1"/>
    <col min="7436" max="7436" width="11" style="27" bestFit="1" customWidth="1"/>
    <col min="7437" max="7437" width="10.85546875" style="27" bestFit="1" customWidth="1"/>
    <col min="7438" max="7439" width="18.42578125" style="27" bestFit="1" customWidth="1"/>
    <col min="7440" max="7441" width="10.28515625" style="27" bestFit="1" customWidth="1"/>
    <col min="7442" max="7681" width="9.140625" style="27"/>
    <col min="7682" max="7682" width="18.42578125" style="27" customWidth="1"/>
    <col min="7683" max="7683" width="15.28515625" style="27" customWidth="1"/>
    <col min="7684" max="7684" width="9.140625" style="27"/>
    <col min="7685" max="7685" width="18.140625" style="27" customWidth="1"/>
    <col min="7686" max="7686" width="26.7109375" style="27" customWidth="1"/>
    <col min="7687" max="7688" width="9.140625" style="27"/>
    <col min="7689" max="7689" width="9.7109375" style="27" bestFit="1" customWidth="1"/>
    <col min="7690" max="7690" width="11" style="27" bestFit="1" customWidth="1"/>
    <col min="7691" max="7691" width="10.85546875" style="27" bestFit="1" customWidth="1"/>
    <col min="7692" max="7692" width="11" style="27" bestFit="1" customWidth="1"/>
    <col min="7693" max="7693" width="10.85546875" style="27" bestFit="1" customWidth="1"/>
    <col min="7694" max="7695" width="18.42578125" style="27" bestFit="1" customWidth="1"/>
    <col min="7696" max="7697" width="10.28515625" style="27" bestFit="1" customWidth="1"/>
    <col min="7698" max="7937" width="9.140625" style="27"/>
    <col min="7938" max="7938" width="18.42578125" style="27" customWidth="1"/>
    <col min="7939" max="7939" width="15.28515625" style="27" customWidth="1"/>
    <col min="7940" max="7940" width="9.140625" style="27"/>
    <col min="7941" max="7941" width="18.140625" style="27" customWidth="1"/>
    <col min="7942" max="7942" width="26.7109375" style="27" customWidth="1"/>
    <col min="7943" max="7944" width="9.140625" style="27"/>
    <col min="7945" max="7945" width="9.7109375" style="27" bestFit="1" customWidth="1"/>
    <col min="7946" max="7946" width="11" style="27" bestFit="1" customWidth="1"/>
    <col min="7947" max="7947" width="10.85546875" style="27" bestFit="1" customWidth="1"/>
    <col min="7948" max="7948" width="11" style="27" bestFit="1" customWidth="1"/>
    <col min="7949" max="7949" width="10.85546875" style="27" bestFit="1" customWidth="1"/>
    <col min="7950" max="7951" width="18.42578125" style="27" bestFit="1" customWidth="1"/>
    <col min="7952" max="7953" width="10.28515625" style="27" bestFit="1" customWidth="1"/>
    <col min="7954" max="8193" width="9.140625" style="27"/>
    <col min="8194" max="8194" width="18.42578125" style="27" customWidth="1"/>
    <col min="8195" max="8195" width="15.28515625" style="27" customWidth="1"/>
    <col min="8196" max="8196" width="9.140625" style="27"/>
    <col min="8197" max="8197" width="18.140625" style="27" customWidth="1"/>
    <col min="8198" max="8198" width="26.7109375" style="27" customWidth="1"/>
    <col min="8199" max="8200" width="9.140625" style="27"/>
    <col min="8201" max="8201" width="9.7109375" style="27" bestFit="1" customWidth="1"/>
    <col min="8202" max="8202" width="11" style="27" bestFit="1" customWidth="1"/>
    <col min="8203" max="8203" width="10.85546875" style="27" bestFit="1" customWidth="1"/>
    <col min="8204" max="8204" width="11" style="27" bestFit="1" customWidth="1"/>
    <col min="8205" max="8205" width="10.85546875" style="27" bestFit="1" customWidth="1"/>
    <col min="8206" max="8207" width="18.42578125" style="27" bestFit="1" customWidth="1"/>
    <col min="8208" max="8209" width="10.28515625" style="27" bestFit="1" customWidth="1"/>
    <col min="8210" max="8449" width="9.140625" style="27"/>
    <col min="8450" max="8450" width="18.42578125" style="27" customWidth="1"/>
    <col min="8451" max="8451" width="15.28515625" style="27" customWidth="1"/>
    <col min="8452" max="8452" width="9.140625" style="27"/>
    <col min="8453" max="8453" width="18.140625" style="27" customWidth="1"/>
    <col min="8454" max="8454" width="26.7109375" style="27" customWidth="1"/>
    <col min="8455" max="8456" width="9.140625" style="27"/>
    <col min="8457" max="8457" width="9.7109375" style="27" bestFit="1" customWidth="1"/>
    <col min="8458" max="8458" width="11" style="27" bestFit="1" customWidth="1"/>
    <col min="8459" max="8459" width="10.85546875" style="27" bestFit="1" customWidth="1"/>
    <col min="8460" max="8460" width="11" style="27" bestFit="1" customWidth="1"/>
    <col min="8461" max="8461" width="10.85546875" style="27" bestFit="1" customWidth="1"/>
    <col min="8462" max="8463" width="18.42578125" style="27" bestFit="1" customWidth="1"/>
    <col min="8464" max="8465" width="10.28515625" style="27" bestFit="1" customWidth="1"/>
    <col min="8466" max="8705" width="9.140625" style="27"/>
    <col min="8706" max="8706" width="18.42578125" style="27" customWidth="1"/>
    <col min="8707" max="8707" width="15.28515625" style="27" customWidth="1"/>
    <col min="8708" max="8708" width="9.140625" style="27"/>
    <col min="8709" max="8709" width="18.140625" style="27" customWidth="1"/>
    <col min="8710" max="8710" width="26.7109375" style="27" customWidth="1"/>
    <col min="8711" max="8712" width="9.140625" style="27"/>
    <col min="8713" max="8713" width="9.7109375" style="27" bestFit="1" customWidth="1"/>
    <col min="8714" max="8714" width="11" style="27" bestFit="1" customWidth="1"/>
    <col min="8715" max="8715" width="10.85546875" style="27" bestFit="1" customWidth="1"/>
    <col min="8716" max="8716" width="11" style="27" bestFit="1" customWidth="1"/>
    <col min="8717" max="8717" width="10.85546875" style="27" bestFit="1" customWidth="1"/>
    <col min="8718" max="8719" width="18.42578125" style="27" bestFit="1" customWidth="1"/>
    <col min="8720" max="8721" width="10.28515625" style="27" bestFit="1" customWidth="1"/>
    <col min="8722" max="8961" width="9.140625" style="27"/>
    <col min="8962" max="8962" width="18.42578125" style="27" customWidth="1"/>
    <col min="8963" max="8963" width="15.28515625" style="27" customWidth="1"/>
    <col min="8964" max="8964" width="9.140625" style="27"/>
    <col min="8965" max="8965" width="18.140625" style="27" customWidth="1"/>
    <col min="8966" max="8966" width="26.7109375" style="27" customWidth="1"/>
    <col min="8967" max="8968" width="9.140625" style="27"/>
    <col min="8969" max="8969" width="9.7109375" style="27" bestFit="1" customWidth="1"/>
    <col min="8970" max="8970" width="11" style="27" bestFit="1" customWidth="1"/>
    <col min="8971" max="8971" width="10.85546875" style="27" bestFit="1" customWidth="1"/>
    <col min="8972" max="8972" width="11" style="27" bestFit="1" customWidth="1"/>
    <col min="8973" max="8973" width="10.85546875" style="27" bestFit="1" customWidth="1"/>
    <col min="8974" max="8975" width="18.42578125" style="27" bestFit="1" customWidth="1"/>
    <col min="8976" max="8977" width="10.28515625" style="27" bestFit="1" customWidth="1"/>
    <col min="8978" max="9217" width="9.140625" style="27"/>
    <col min="9218" max="9218" width="18.42578125" style="27" customWidth="1"/>
    <col min="9219" max="9219" width="15.28515625" style="27" customWidth="1"/>
    <col min="9220" max="9220" width="9.140625" style="27"/>
    <col min="9221" max="9221" width="18.140625" style="27" customWidth="1"/>
    <col min="9222" max="9222" width="26.7109375" style="27" customWidth="1"/>
    <col min="9223" max="9224" width="9.140625" style="27"/>
    <col min="9225" max="9225" width="9.7109375" style="27" bestFit="1" customWidth="1"/>
    <col min="9226" max="9226" width="11" style="27" bestFit="1" customWidth="1"/>
    <col min="9227" max="9227" width="10.85546875" style="27" bestFit="1" customWidth="1"/>
    <col min="9228" max="9228" width="11" style="27" bestFit="1" customWidth="1"/>
    <col min="9229" max="9229" width="10.85546875" style="27" bestFit="1" customWidth="1"/>
    <col min="9230" max="9231" width="18.42578125" style="27" bestFit="1" customWidth="1"/>
    <col min="9232" max="9233" width="10.28515625" style="27" bestFit="1" customWidth="1"/>
    <col min="9234" max="9473" width="9.140625" style="27"/>
    <col min="9474" max="9474" width="18.42578125" style="27" customWidth="1"/>
    <col min="9475" max="9475" width="15.28515625" style="27" customWidth="1"/>
    <col min="9476" max="9476" width="9.140625" style="27"/>
    <col min="9477" max="9477" width="18.140625" style="27" customWidth="1"/>
    <col min="9478" max="9478" width="26.7109375" style="27" customWidth="1"/>
    <col min="9479" max="9480" width="9.140625" style="27"/>
    <col min="9481" max="9481" width="9.7109375" style="27" bestFit="1" customWidth="1"/>
    <col min="9482" max="9482" width="11" style="27" bestFit="1" customWidth="1"/>
    <col min="9483" max="9483" width="10.85546875" style="27" bestFit="1" customWidth="1"/>
    <col min="9484" max="9484" width="11" style="27" bestFit="1" customWidth="1"/>
    <col min="9485" max="9485" width="10.85546875" style="27" bestFit="1" customWidth="1"/>
    <col min="9486" max="9487" width="18.42578125" style="27" bestFit="1" customWidth="1"/>
    <col min="9488" max="9489" width="10.28515625" style="27" bestFit="1" customWidth="1"/>
    <col min="9490" max="9729" width="9.140625" style="27"/>
    <col min="9730" max="9730" width="18.42578125" style="27" customWidth="1"/>
    <col min="9731" max="9731" width="15.28515625" style="27" customWidth="1"/>
    <col min="9732" max="9732" width="9.140625" style="27"/>
    <col min="9733" max="9733" width="18.140625" style="27" customWidth="1"/>
    <col min="9734" max="9734" width="26.7109375" style="27" customWidth="1"/>
    <col min="9735" max="9736" width="9.140625" style="27"/>
    <col min="9737" max="9737" width="9.7109375" style="27" bestFit="1" customWidth="1"/>
    <col min="9738" max="9738" width="11" style="27" bestFit="1" customWidth="1"/>
    <col min="9739" max="9739" width="10.85546875" style="27" bestFit="1" customWidth="1"/>
    <col min="9740" max="9740" width="11" style="27" bestFit="1" customWidth="1"/>
    <col min="9741" max="9741" width="10.85546875" style="27" bestFit="1" customWidth="1"/>
    <col min="9742" max="9743" width="18.42578125" style="27" bestFit="1" customWidth="1"/>
    <col min="9744" max="9745" width="10.28515625" style="27" bestFit="1" customWidth="1"/>
    <col min="9746" max="9985" width="9.140625" style="27"/>
    <col min="9986" max="9986" width="18.42578125" style="27" customWidth="1"/>
    <col min="9987" max="9987" width="15.28515625" style="27" customWidth="1"/>
    <col min="9988" max="9988" width="9.140625" style="27"/>
    <col min="9989" max="9989" width="18.140625" style="27" customWidth="1"/>
    <col min="9990" max="9990" width="26.7109375" style="27" customWidth="1"/>
    <col min="9991" max="9992" width="9.140625" style="27"/>
    <col min="9993" max="9993" width="9.7109375" style="27" bestFit="1" customWidth="1"/>
    <col min="9994" max="9994" width="11" style="27" bestFit="1" customWidth="1"/>
    <col min="9995" max="9995" width="10.85546875" style="27" bestFit="1" customWidth="1"/>
    <col min="9996" max="9996" width="11" style="27" bestFit="1" customWidth="1"/>
    <col min="9997" max="9997" width="10.85546875" style="27" bestFit="1" customWidth="1"/>
    <col min="9998" max="9999" width="18.42578125" style="27" bestFit="1" customWidth="1"/>
    <col min="10000" max="10001" width="10.28515625" style="27" bestFit="1" customWidth="1"/>
    <col min="10002" max="10241" width="9.140625" style="27"/>
    <col min="10242" max="10242" width="18.42578125" style="27" customWidth="1"/>
    <col min="10243" max="10243" width="15.28515625" style="27" customWidth="1"/>
    <col min="10244" max="10244" width="9.140625" style="27"/>
    <col min="10245" max="10245" width="18.140625" style="27" customWidth="1"/>
    <col min="10246" max="10246" width="26.7109375" style="27" customWidth="1"/>
    <col min="10247" max="10248" width="9.140625" style="27"/>
    <col min="10249" max="10249" width="9.7109375" style="27" bestFit="1" customWidth="1"/>
    <col min="10250" max="10250" width="11" style="27" bestFit="1" customWidth="1"/>
    <col min="10251" max="10251" width="10.85546875" style="27" bestFit="1" customWidth="1"/>
    <col min="10252" max="10252" width="11" style="27" bestFit="1" customWidth="1"/>
    <col min="10253" max="10253" width="10.85546875" style="27" bestFit="1" customWidth="1"/>
    <col min="10254" max="10255" width="18.42578125" style="27" bestFit="1" customWidth="1"/>
    <col min="10256" max="10257" width="10.28515625" style="27" bestFit="1" customWidth="1"/>
    <col min="10258" max="10497" width="9.140625" style="27"/>
    <col min="10498" max="10498" width="18.42578125" style="27" customWidth="1"/>
    <col min="10499" max="10499" width="15.28515625" style="27" customWidth="1"/>
    <col min="10500" max="10500" width="9.140625" style="27"/>
    <col min="10501" max="10501" width="18.140625" style="27" customWidth="1"/>
    <col min="10502" max="10502" width="26.7109375" style="27" customWidth="1"/>
    <col min="10503" max="10504" width="9.140625" style="27"/>
    <col min="10505" max="10505" width="9.7109375" style="27" bestFit="1" customWidth="1"/>
    <col min="10506" max="10506" width="11" style="27" bestFit="1" customWidth="1"/>
    <col min="10507" max="10507" width="10.85546875" style="27" bestFit="1" customWidth="1"/>
    <col min="10508" max="10508" width="11" style="27" bestFit="1" customWidth="1"/>
    <col min="10509" max="10509" width="10.85546875" style="27" bestFit="1" customWidth="1"/>
    <col min="10510" max="10511" width="18.42578125" style="27" bestFit="1" customWidth="1"/>
    <col min="10512" max="10513" width="10.28515625" style="27" bestFit="1" customWidth="1"/>
    <col min="10514" max="10753" width="9.140625" style="27"/>
    <col min="10754" max="10754" width="18.42578125" style="27" customWidth="1"/>
    <col min="10755" max="10755" width="15.28515625" style="27" customWidth="1"/>
    <col min="10756" max="10756" width="9.140625" style="27"/>
    <col min="10757" max="10757" width="18.140625" style="27" customWidth="1"/>
    <col min="10758" max="10758" width="26.7109375" style="27" customWidth="1"/>
    <col min="10759" max="10760" width="9.140625" style="27"/>
    <col min="10761" max="10761" width="9.7109375" style="27" bestFit="1" customWidth="1"/>
    <col min="10762" max="10762" width="11" style="27" bestFit="1" customWidth="1"/>
    <col min="10763" max="10763" width="10.85546875" style="27" bestFit="1" customWidth="1"/>
    <col min="10764" max="10764" width="11" style="27" bestFit="1" customWidth="1"/>
    <col min="10765" max="10765" width="10.85546875" style="27" bestFit="1" customWidth="1"/>
    <col min="10766" max="10767" width="18.42578125" style="27" bestFit="1" customWidth="1"/>
    <col min="10768" max="10769" width="10.28515625" style="27" bestFit="1" customWidth="1"/>
    <col min="10770" max="11009" width="9.140625" style="27"/>
    <col min="11010" max="11010" width="18.42578125" style="27" customWidth="1"/>
    <col min="11011" max="11011" width="15.28515625" style="27" customWidth="1"/>
    <col min="11012" max="11012" width="9.140625" style="27"/>
    <col min="11013" max="11013" width="18.140625" style="27" customWidth="1"/>
    <col min="11014" max="11014" width="26.7109375" style="27" customWidth="1"/>
    <col min="11015" max="11016" width="9.140625" style="27"/>
    <col min="11017" max="11017" width="9.7109375" style="27" bestFit="1" customWidth="1"/>
    <col min="11018" max="11018" width="11" style="27" bestFit="1" customWidth="1"/>
    <col min="11019" max="11019" width="10.85546875" style="27" bestFit="1" customWidth="1"/>
    <col min="11020" max="11020" width="11" style="27" bestFit="1" customWidth="1"/>
    <col min="11021" max="11021" width="10.85546875" style="27" bestFit="1" customWidth="1"/>
    <col min="11022" max="11023" width="18.42578125" style="27" bestFit="1" customWidth="1"/>
    <col min="11024" max="11025" width="10.28515625" style="27" bestFit="1" customWidth="1"/>
    <col min="11026" max="11265" width="9.140625" style="27"/>
    <col min="11266" max="11266" width="18.42578125" style="27" customWidth="1"/>
    <col min="11267" max="11267" width="15.28515625" style="27" customWidth="1"/>
    <col min="11268" max="11268" width="9.140625" style="27"/>
    <col min="11269" max="11269" width="18.140625" style="27" customWidth="1"/>
    <col min="11270" max="11270" width="26.7109375" style="27" customWidth="1"/>
    <col min="11271" max="11272" width="9.140625" style="27"/>
    <col min="11273" max="11273" width="9.7109375" style="27" bestFit="1" customWidth="1"/>
    <col min="11274" max="11274" width="11" style="27" bestFit="1" customWidth="1"/>
    <col min="11275" max="11275" width="10.85546875" style="27" bestFit="1" customWidth="1"/>
    <col min="11276" max="11276" width="11" style="27" bestFit="1" customWidth="1"/>
    <col min="11277" max="11277" width="10.85546875" style="27" bestFit="1" customWidth="1"/>
    <col min="11278" max="11279" width="18.42578125" style="27" bestFit="1" customWidth="1"/>
    <col min="11280" max="11281" width="10.28515625" style="27" bestFit="1" customWidth="1"/>
    <col min="11282" max="11521" width="9.140625" style="27"/>
    <col min="11522" max="11522" width="18.42578125" style="27" customWidth="1"/>
    <col min="11523" max="11523" width="15.28515625" style="27" customWidth="1"/>
    <col min="11524" max="11524" width="9.140625" style="27"/>
    <col min="11525" max="11525" width="18.140625" style="27" customWidth="1"/>
    <col min="11526" max="11526" width="26.7109375" style="27" customWidth="1"/>
    <col min="11527" max="11528" width="9.140625" style="27"/>
    <col min="11529" max="11529" width="9.7109375" style="27" bestFit="1" customWidth="1"/>
    <col min="11530" max="11530" width="11" style="27" bestFit="1" customWidth="1"/>
    <col min="11531" max="11531" width="10.85546875" style="27" bestFit="1" customWidth="1"/>
    <col min="11532" max="11532" width="11" style="27" bestFit="1" customWidth="1"/>
    <col min="11533" max="11533" width="10.85546875" style="27" bestFit="1" customWidth="1"/>
    <col min="11534" max="11535" width="18.42578125" style="27" bestFit="1" customWidth="1"/>
    <col min="11536" max="11537" width="10.28515625" style="27" bestFit="1" customWidth="1"/>
    <col min="11538" max="11777" width="9.140625" style="27"/>
    <col min="11778" max="11778" width="18.42578125" style="27" customWidth="1"/>
    <col min="11779" max="11779" width="15.28515625" style="27" customWidth="1"/>
    <col min="11780" max="11780" width="9.140625" style="27"/>
    <col min="11781" max="11781" width="18.140625" style="27" customWidth="1"/>
    <col min="11782" max="11782" width="26.7109375" style="27" customWidth="1"/>
    <col min="11783" max="11784" width="9.140625" style="27"/>
    <col min="11785" max="11785" width="9.7109375" style="27" bestFit="1" customWidth="1"/>
    <col min="11786" max="11786" width="11" style="27" bestFit="1" customWidth="1"/>
    <col min="11787" max="11787" width="10.85546875" style="27" bestFit="1" customWidth="1"/>
    <col min="11788" max="11788" width="11" style="27" bestFit="1" customWidth="1"/>
    <col min="11789" max="11789" width="10.85546875" style="27" bestFit="1" customWidth="1"/>
    <col min="11790" max="11791" width="18.42578125" style="27" bestFit="1" customWidth="1"/>
    <col min="11792" max="11793" width="10.28515625" style="27" bestFit="1" customWidth="1"/>
    <col min="11794" max="12033" width="9.140625" style="27"/>
    <col min="12034" max="12034" width="18.42578125" style="27" customWidth="1"/>
    <col min="12035" max="12035" width="15.28515625" style="27" customWidth="1"/>
    <col min="12036" max="12036" width="9.140625" style="27"/>
    <col min="12037" max="12037" width="18.140625" style="27" customWidth="1"/>
    <col min="12038" max="12038" width="26.7109375" style="27" customWidth="1"/>
    <col min="12039" max="12040" width="9.140625" style="27"/>
    <col min="12041" max="12041" width="9.7109375" style="27" bestFit="1" customWidth="1"/>
    <col min="12042" max="12042" width="11" style="27" bestFit="1" customWidth="1"/>
    <col min="12043" max="12043" width="10.85546875" style="27" bestFit="1" customWidth="1"/>
    <col min="12044" max="12044" width="11" style="27" bestFit="1" customWidth="1"/>
    <col min="12045" max="12045" width="10.85546875" style="27" bestFit="1" customWidth="1"/>
    <col min="12046" max="12047" width="18.42578125" style="27" bestFit="1" customWidth="1"/>
    <col min="12048" max="12049" width="10.28515625" style="27" bestFit="1" customWidth="1"/>
    <col min="12050" max="12289" width="9.140625" style="27"/>
    <col min="12290" max="12290" width="18.42578125" style="27" customWidth="1"/>
    <col min="12291" max="12291" width="15.28515625" style="27" customWidth="1"/>
    <col min="12292" max="12292" width="9.140625" style="27"/>
    <col min="12293" max="12293" width="18.140625" style="27" customWidth="1"/>
    <col min="12294" max="12294" width="26.7109375" style="27" customWidth="1"/>
    <col min="12295" max="12296" width="9.140625" style="27"/>
    <col min="12297" max="12297" width="9.7109375" style="27" bestFit="1" customWidth="1"/>
    <col min="12298" max="12298" width="11" style="27" bestFit="1" customWidth="1"/>
    <col min="12299" max="12299" width="10.85546875" style="27" bestFit="1" customWidth="1"/>
    <col min="12300" max="12300" width="11" style="27" bestFit="1" customWidth="1"/>
    <col min="12301" max="12301" width="10.85546875" style="27" bestFit="1" customWidth="1"/>
    <col min="12302" max="12303" width="18.42578125" style="27" bestFit="1" customWidth="1"/>
    <col min="12304" max="12305" width="10.28515625" style="27" bestFit="1" customWidth="1"/>
    <col min="12306" max="12545" width="9.140625" style="27"/>
    <col min="12546" max="12546" width="18.42578125" style="27" customWidth="1"/>
    <col min="12547" max="12547" width="15.28515625" style="27" customWidth="1"/>
    <col min="12548" max="12548" width="9.140625" style="27"/>
    <col min="12549" max="12549" width="18.140625" style="27" customWidth="1"/>
    <col min="12550" max="12550" width="26.7109375" style="27" customWidth="1"/>
    <col min="12551" max="12552" width="9.140625" style="27"/>
    <col min="12553" max="12553" width="9.7109375" style="27" bestFit="1" customWidth="1"/>
    <col min="12554" max="12554" width="11" style="27" bestFit="1" customWidth="1"/>
    <col min="12555" max="12555" width="10.85546875" style="27" bestFit="1" customWidth="1"/>
    <col min="12556" max="12556" width="11" style="27" bestFit="1" customWidth="1"/>
    <col min="12557" max="12557" width="10.85546875" style="27" bestFit="1" customWidth="1"/>
    <col min="12558" max="12559" width="18.42578125" style="27" bestFit="1" customWidth="1"/>
    <col min="12560" max="12561" width="10.28515625" style="27" bestFit="1" customWidth="1"/>
    <col min="12562" max="12801" width="9.140625" style="27"/>
    <col min="12802" max="12802" width="18.42578125" style="27" customWidth="1"/>
    <col min="12803" max="12803" width="15.28515625" style="27" customWidth="1"/>
    <col min="12804" max="12804" width="9.140625" style="27"/>
    <col min="12805" max="12805" width="18.140625" style="27" customWidth="1"/>
    <col min="12806" max="12806" width="26.7109375" style="27" customWidth="1"/>
    <col min="12807" max="12808" width="9.140625" style="27"/>
    <col min="12809" max="12809" width="9.7109375" style="27" bestFit="1" customWidth="1"/>
    <col min="12810" max="12810" width="11" style="27" bestFit="1" customWidth="1"/>
    <col min="12811" max="12811" width="10.85546875" style="27" bestFit="1" customWidth="1"/>
    <col min="12812" max="12812" width="11" style="27" bestFit="1" customWidth="1"/>
    <col min="12813" max="12813" width="10.85546875" style="27" bestFit="1" customWidth="1"/>
    <col min="12814" max="12815" width="18.42578125" style="27" bestFit="1" customWidth="1"/>
    <col min="12816" max="12817" width="10.28515625" style="27" bestFit="1" customWidth="1"/>
    <col min="12818" max="13057" width="9.140625" style="27"/>
    <col min="13058" max="13058" width="18.42578125" style="27" customWidth="1"/>
    <col min="13059" max="13059" width="15.28515625" style="27" customWidth="1"/>
    <col min="13060" max="13060" width="9.140625" style="27"/>
    <col min="13061" max="13061" width="18.140625" style="27" customWidth="1"/>
    <col min="13062" max="13062" width="26.7109375" style="27" customWidth="1"/>
    <col min="13063" max="13064" width="9.140625" style="27"/>
    <col min="13065" max="13065" width="9.7109375" style="27" bestFit="1" customWidth="1"/>
    <col min="13066" max="13066" width="11" style="27" bestFit="1" customWidth="1"/>
    <col min="13067" max="13067" width="10.85546875" style="27" bestFit="1" customWidth="1"/>
    <col min="13068" max="13068" width="11" style="27" bestFit="1" customWidth="1"/>
    <col min="13069" max="13069" width="10.85546875" style="27" bestFit="1" customWidth="1"/>
    <col min="13070" max="13071" width="18.42578125" style="27" bestFit="1" customWidth="1"/>
    <col min="13072" max="13073" width="10.28515625" style="27" bestFit="1" customWidth="1"/>
    <col min="13074" max="13313" width="9.140625" style="27"/>
    <col min="13314" max="13314" width="18.42578125" style="27" customWidth="1"/>
    <col min="13315" max="13315" width="15.28515625" style="27" customWidth="1"/>
    <col min="13316" max="13316" width="9.140625" style="27"/>
    <col min="13317" max="13317" width="18.140625" style="27" customWidth="1"/>
    <col min="13318" max="13318" width="26.7109375" style="27" customWidth="1"/>
    <col min="13319" max="13320" width="9.140625" style="27"/>
    <col min="13321" max="13321" width="9.7109375" style="27" bestFit="1" customWidth="1"/>
    <col min="13322" max="13322" width="11" style="27" bestFit="1" customWidth="1"/>
    <col min="13323" max="13323" width="10.85546875" style="27" bestFit="1" customWidth="1"/>
    <col min="13324" max="13324" width="11" style="27" bestFit="1" customWidth="1"/>
    <col min="13325" max="13325" width="10.85546875" style="27" bestFit="1" customWidth="1"/>
    <col min="13326" max="13327" width="18.42578125" style="27" bestFit="1" customWidth="1"/>
    <col min="13328" max="13329" width="10.28515625" style="27" bestFit="1" customWidth="1"/>
    <col min="13330" max="13569" width="9.140625" style="27"/>
    <col min="13570" max="13570" width="18.42578125" style="27" customWidth="1"/>
    <col min="13571" max="13571" width="15.28515625" style="27" customWidth="1"/>
    <col min="13572" max="13572" width="9.140625" style="27"/>
    <col min="13573" max="13573" width="18.140625" style="27" customWidth="1"/>
    <col min="13574" max="13574" width="26.7109375" style="27" customWidth="1"/>
    <col min="13575" max="13576" width="9.140625" style="27"/>
    <col min="13577" max="13577" width="9.7109375" style="27" bestFit="1" customWidth="1"/>
    <col min="13578" max="13578" width="11" style="27" bestFit="1" customWidth="1"/>
    <col min="13579" max="13579" width="10.85546875" style="27" bestFit="1" customWidth="1"/>
    <col min="13580" max="13580" width="11" style="27" bestFit="1" customWidth="1"/>
    <col min="13581" max="13581" width="10.85546875" style="27" bestFit="1" customWidth="1"/>
    <col min="13582" max="13583" width="18.42578125" style="27" bestFit="1" customWidth="1"/>
    <col min="13584" max="13585" width="10.28515625" style="27" bestFit="1" customWidth="1"/>
    <col min="13586" max="13825" width="9.140625" style="27"/>
    <col min="13826" max="13826" width="18.42578125" style="27" customWidth="1"/>
    <col min="13827" max="13827" width="15.28515625" style="27" customWidth="1"/>
    <col min="13828" max="13828" width="9.140625" style="27"/>
    <col min="13829" max="13829" width="18.140625" style="27" customWidth="1"/>
    <col min="13830" max="13830" width="26.7109375" style="27" customWidth="1"/>
    <col min="13831" max="13832" width="9.140625" style="27"/>
    <col min="13833" max="13833" width="9.7109375" style="27" bestFit="1" customWidth="1"/>
    <col min="13834" max="13834" width="11" style="27" bestFit="1" customWidth="1"/>
    <col min="13835" max="13835" width="10.85546875" style="27" bestFit="1" customWidth="1"/>
    <col min="13836" max="13836" width="11" style="27" bestFit="1" customWidth="1"/>
    <col min="13837" max="13837" width="10.85546875" style="27" bestFit="1" customWidth="1"/>
    <col min="13838" max="13839" width="18.42578125" style="27" bestFit="1" customWidth="1"/>
    <col min="13840" max="13841" width="10.28515625" style="27" bestFit="1" customWidth="1"/>
    <col min="13842" max="14081" width="9.140625" style="27"/>
    <col min="14082" max="14082" width="18.42578125" style="27" customWidth="1"/>
    <col min="14083" max="14083" width="15.28515625" style="27" customWidth="1"/>
    <col min="14084" max="14084" width="9.140625" style="27"/>
    <col min="14085" max="14085" width="18.140625" style="27" customWidth="1"/>
    <col min="14086" max="14086" width="26.7109375" style="27" customWidth="1"/>
    <col min="14087" max="14088" width="9.140625" style="27"/>
    <col min="14089" max="14089" width="9.7109375" style="27" bestFit="1" customWidth="1"/>
    <col min="14090" max="14090" width="11" style="27" bestFit="1" customWidth="1"/>
    <col min="14091" max="14091" width="10.85546875" style="27" bestFit="1" customWidth="1"/>
    <col min="14092" max="14092" width="11" style="27" bestFit="1" customWidth="1"/>
    <col min="14093" max="14093" width="10.85546875" style="27" bestFit="1" customWidth="1"/>
    <col min="14094" max="14095" width="18.42578125" style="27" bestFit="1" customWidth="1"/>
    <col min="14096" max="14097" width="10.28515625" style="27" bestFit="1" customWidth="1"/>
    <col min="14098" max="14337" width="9.140625" style="27"/>
    <col min="14338" max="14338" width="18.42578125" style="27" customWidth="1"/>
    <col min="14339" max="14339" width="15.28515625" style="27" customWidth="1"/>
    <col min="14340" max="14340" width="9.140625" style="27"/>
    <col min="14341" max="14341" width="18.140625" style="27" customWidth="1"/>
    <col min="14342" max="14342" width="26.7109375" style="27" customWidth="1"/>
    <col min="14343" max="14344" width="9.140625" style="27"/>
    <col min="14345" max="14345" width="9.7109375" style="27" bestFit="1" customWidth="1"/>
    <col min="14346" max="14346" width="11" style="27" bestFit="1" customWidth="1"/>
    <col min="14347" max="14347" width="10.85546875" style="27" bestFit="1" customWidth="1"/>
    <col min="14348" max="14348" width="11" style="27" bestFit="1" customWidth="1"/>
    <col min="14349" max="14349" width="10.85546875" style="27" bestFit="1" customWidth="1"/>
    <col min="14350" max="14351" width="18.42578125" style="27" bestFit="1" customWidth="1"/>
    <col min="14352" max="14353" width="10.28515625" style="27" bestFit="1" customWidth="1"/>
    <col min="14354" max="14593" width="9.140625" style="27"/>
    <col min="14594" max="14594" width="18.42578125" style="27" customWidth="1"/>
    <col min="14595" max="14595" width="15.28515625" style="27" customWidth="1"/>
    <col min="14596" max="14596" width="9.140625" style="27"/>
    <col min="14597" max="14597" width="18.140625" style="27" customWidth="1"/>
    <col min="14598" max="14598" width="26.7109375" style="27" customWidth="1"/>
    <col min="14599" max="14600" width="9.140625" style="27"/>
    <col min="14601" max="14601" width="9.7109375" style="27" bestFit="1" customWidth="1"/>
    <col min="14602" max="14602" width="11" style="27" bestFit="1" customWidth="1"/>
    <col min="14603" max="14603" width="10.85546875" style="27" bestFit="1" customWidth="1"/>
    <col min="14604" max="14604" width="11" style="27" bestFit="1" customWidth="1"/>
    <col min="14605" max="14605" width="10.85546875" style="27" bestFit="1" customWidth="1"/>
    <col min="14606" max="14607" width="18.42578125" style="27" bestFit="1" customWidth="1"/>
    <col min="14608" max="14609" width="10.28515625" style="27" bestFit="1" customWidth="1"/>
    <col min="14610" max="14849" width="9.140625" style="27"/>
    <col min="14850" max="14850" width="18.42578125" style="27" customWidth="1"/>
    <col min="14851" max="14851" width="15.28515625" style="27" customWidth="1"/>
    <col min="14852" max="14852" width="9.140625" style="27"/>
    <col min="14853" max="14853" width="18.140625" style="27" customWidth="1"/>
    <col min="14854" max="14854" width="26.7109375" style="27" customWidth="1"/>
    <col min="14855" max="14856" width="9.140625" style="27"/>
    <col min="14857" max="14857" width="9.7109375" style="27" bestFit="1" customWidth="1"/>
    <col min="14858" max="14858" width="11" style="27" bestFit="1" customWidth="1"/>
    <col min="14859" max="14859" width="10.85546875" style="27" bestFit="1" customWidth="1"/>
    <col min="14860" max="14860" width="11" style="27" bestFit="1" customWidth="1"/>
    <col min="14861" max="14861" width="10.85546875" style="27" bestFit="1" customWidth="1"/>
    <col min="14862" max="14863" width="18.42578125" style="27" bestFit="1" customWidth="1"/>
    <col min="14864" max="14865" width="10.28515625" style="27" bestFit="1" customWidth="1"/>
    <col min="14866" max="15105" width="9.140625" style="27"/>
    <col min="15106" max="15106" width="18.42578125" style="27" customWidth="1"/>
    <col min="15107" max="15107" width="15.28515625" style="27" customWidth="1"/>
    <col min="15108" max="15108" width="9.140625" style="27"/>
    <col min="15109" max="15109" width="18.140625" style="27" customWidth="1"/>
    <col min="15110" max="15110" width="26.7109375" style="27" customWidth="1"/>
    <col min="15111" max="15112" width="9.140625" style="27"/>
    <col min="15113" max="15113" width="9.7109375" style="27" bestFit="1" customWidth="1"/>
    <col min="15114" max="15114" width="11" style="27" bestFit="1" customWidth="1"/>
    <col min="15115" max="15115" width="10.85546875" style="27" bestFit="1" customWidth="1"/>
    <col min="15116" max="15116" width="11" style="27" bestFit="1" customWidth="1"/>
    <col min="15117" max="15117" width="10.85546875" style="27" bestFit="1" customWidth="1"/>
    <col min="15118" max="15119" width="18.42578125" style="27" bestFit="1" customWidth="1"/>
    <col min="15120" max="15121" width="10.28515625" style="27" bestFit="1" customWidth="1"/>
    <col min="15122" max="15361" width="9.140625" style="27"/>
    <col min="15362" max="15362" width="18.42578125" style="27" customWidth="1"/>
    <col min="15363" max="15363" width="15.28515625" style="27" customWidth="1"/>
    <col min="15364" max="15364" width="9.140625" style="27"/>
    <col min="15365" max="15365" width="18.140625" style="27" customWidth="1"/>
    <col min="15366" max="15366" width="26.7109375" style="27" customWidth="1"/>
    <col min="15367" max="15368" width="9.140625" style="27"/>
    <col min="15369" max="15369" width="9.7109375" style="27" bestFit="1" customWidth="1"/>
    <col min="15370" max="15370" width="11" style="27" bestFit="1" customWidth="1"/>
    <col min="15371" max="15371" width="10.85546875" style="27" bestFit="1" customWidth="1"/>
    <col min="15372" max="15372" width="11" style="27" bestFit="1" customWidth="1"/>
    <col min="15373" max="15373" width="10.85546875" style="27" bestFit="1" customWidth="1"/>
    <col min="15374" max="15375" width="18.42578125" style="27" bestFit="1" customWidth="1"/>
    <col min="15376" max="15377" width="10.28515625" style="27" bestFit="1" customWidth="1"/>
    <col min="15378" max="15617" width="9.140625" style="27"/>
    <col min="15618" max="15618" width="18.42578125" style="27" customWidth="1"/>
    <col min="15619" max="15619" width="15.28515625" style="27" customWidth="1"/>
    <col min="15620" max="15620" width="9.140625" style="27"/>
    <col min="15621" max="15621" width="18.140625" style="27" customWidth="1"/>
    <col min="15622" max="15622" width="26.7109375" style="27" customWidth="1"/>
    <col min="15623" max="15624" width="9.140625" style="27"/>
    <col min="15625" max="15625" width="9.7109375" style="27" bestFit="1" customWidth="1"/>
    <col min="15626" max="15626" width="11" style="27" bestFit="1" customWidth="1"/>
    <col min="15627" max="15627" width="10.85546875" style="27" bestFit="1" customWidth="1"/>
    <col min="15628" max="15628" width="11" style="27" bestFit="1" customWidth="1"/>
    <col min="15629" max="15629" width="10.85546875" style="27" bestFit="1" customWidth="1"/>
    <col min="15630" max="15631" width="18.42578125" style="27" bestFit="1" customWidth="1"/>
    <col min="15632" max="15633" width="10.28515625" style="27" bestFit="1" customWidth="1"/>
    <col min="15634" max="15873" width="9.140625" style="27"/>
    <col min="15874" max="15874" width="18.42578125" style="27" customWidth="1"/>
    <col min="15875" max="15875" width="15.28515625" style="27" customWidth="1"/>
    <col min="15876" max="15876" width="9.140625" style="27"/>
    <col min="15877" max="15877" width="18.140625" style="27" customWidth="1"/>
    <col min="15878" max="15878" width="26.7109375" style="27" customWidth="1"/>
    <col min="15879" max="15880" width="9.140625" style="27"/>
    <col min="15881" max="15881" width="9.7109375" style="27" bestFit="1" customWidth="1"/>
    <col min="15882" max="15882" width="11" style="27" bestFit="1" customWidth="1"/>
    <col min="15883" max="15883" width="10.85546875" style="27" bestFit="1" customWidth="1"/>
    <col min="15884" max="15884" width="11" style="27" bestFit="1" customWidth="1"/>
    <col min="15885" max="15885" width="10.85546875" style="27" bestFit="1" customWidth="1"/>
    <col min="15886" max="15887" width="18.42578125" style="27" bestFit="1" customWidth="1"/>
    <col min="15888" max="15889" width="10.28515625" style="27" bestFit="1" customWidth="1"/>
    <col min="15890" max="16129" width="9.140625" style="27"/>
    <col min="16130" max="16130" width="18.42578125" style="27" customWidth="1"/>
    <col min="16131" max="16131" width="15.28515625" style="27" customWidth="1"/>
    <col min="16132" max="16132" width="9.140625" style="27"/>
    <col min="16133" max="16133" width="18.140625" style="27" customWidth="1"/>
    <col min="16134" max="16134" width="26.7109375" style="27" customWidth="1"/>
    <col min="16135" max="16136" width="9.140625" style="27"/>
    <col min="16137" max="16137" width="9.7109375" style="27" bestFit="1" customWidth="1"/>
    <col min="16138" max="16138" width="11" style="27" bestFit="1" customWidth="1"/>
    <col min="16139" max="16139" width="10.85546875" style="27" bestFit="1" customWidth="1"/>
    <col min="16140" max="16140" width="11" style="27" bestFit="1" customWidth="1"/>
    <col min="16141" max="16141" width="10.85546875" style="27" bestFit="1" customWidth="1"/>
    <col min="16142" max="16143" width="18.42578125" style="27" bestFit="1" customWidth="1"/>
    <col min="16144" max="16145" width="10.28515625" style="27" bestFit="1" customWidth="1"/>
    <col min="16146" max="16384" width="9.140625" style="2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x14ac:dyDescent="0.2">
      <c r="A2" s="28">
        <v>43437</v>
      </c>
      <c r="B2" s="29" t="s">
        <v>21</v>
      </c>
      <c r="C2" s="29" t="s">
        <v>46</v>
      </c>
      <c r="D2" s="29" t="s">
        <v>23</v>
      </c>
      <c r="E2" s="29" t="s">
        <v>78</v>
      </c>
      <c r="F2" s="29" t="s">
        <v>25</v>
      </c>
      <c r="G2" s="30">
        <v>71500</v>
      </c>
      <c r="H2" s="29" t="s">
        <v>48</v>
      </c>
      <c r="I2" s="29" t="s">
        <v>47</v>
      </c>
      <c r="J2" s="31">
        <v>0.4826388888888889</v>
      </c>
      <c r="K2" s="32">
        <v>0.47986111111111113</v>
      </c>
      <c r="L2" s="31">
        <v>0.27777777777777779</v>
      </c>
      <c r="M2" s="32">
        <v>0.28333333333333333</v>
      </c>
      <c r="N2" s="33" t="s">
        <v>88</v>
      </c>
      <c r="O2" s="33" t="s">
        <v>86</v>
      </c>
      <c r="P2" s="33">
        <v>905</v>
      </c>
      <c r="Q2" s="33">
        <v>788</v>
      </c>
      <c r="R2" s="29">
        <v>0</v>
      </c>
      <c r="S2" s="29">
        <v>0</v>
      </c>
      <c r="T2" s="29">
        <v>0</v>
      </c>
      <c r="U2" s="29">
        <v>0</v>
      </c>
    </row>
    <row r="3" spans="1:21" x14ac:dyDescent="0.2">
      <c r="A3" s="28">
        <f>A2</f>
        <v>43437</v>
      </c>
      <c r="B3" s="29" t="s">
        <v>21</v>
      </c>
      <c r="C3" s="29" t="s">
        <v>69</v>
      </c>
      <c r="D3" s="29" t="s">
        <v>23</v>
      </c>
      <c r="E3" s="29" t="s">
        <v>79</v>
      </c>
      <c r="F3" s="29" t="s">
        <v>25</v>
      </c>
      <c r="G3" s="30">
        <v>70000</v>
      </c>
      <c r="H3" s="29" t="s">
        <v>70</v>
      </c>
      <c r="I3" s="29" t="s">
        <v>71</v>
      </c>
      <c r="J3" s="31">
        <v>0.4826388888888889</v>
      </c>
      <c r="K3" s="32">
        <v>0.48402777777777778</v>
      </c>
      <c r="L3" s="31">
        <v>0.33333333333333331</v>
      </c>
      <c r="M3" s="32">
        <v>0.33680555555555558</v>
      </c>
      <c r="N3" s="33" t="s">
        <v>89</v>
      </c>
      <c r="O3" s="33" t="s">
        <v>87</v>
      </c>
      <c r="P3" s="29">
        <v>525</v>
      </c>
      <c r="Q3" s="33">
        <v>582</v>
      </c>
      <c r="R3" s="29">
        <v>0</v>
      </c>
      <c r="S3" s="29">
        <v>0</v>
      </c>
      <c r="T3" s="29">
        <v>0</v>
      </c>
      <c r="U3" s="29">
        <v>0</v>
      </c>
    </row>
    <row r="4" spans="1:21" x14ac:dyDescent="0.2">
      <c r="A4" s="28">
        <f>A3</f>
        <v>43437</v>
      </c>
      <c r="B4" s="34" t="s">
        <v>21</v>
      </c>
      <c r="C4" s="34" t="s">
        <v>72</v>
      </c>
      <c r="D4" s="34" t="s">
        <v>23</v>
      </c>
      <c r="E4" s="29" t="str">
        <f>E3</f>
        <v>HA-LWC</v>
      </c>
      <c r="F4" s="34" t="s">
        <v>25</v>
      </c>
      <c r="G4" s="35">
        <v>70000</v>
      </c>
      <c r="H4" s="34" t="s">
        <v>73</v>
      </c>
      <c r="I4" s="34" t="s">
        <v>74</v>
      </c>
      <c r="J4" s="36">
        <v>0.71180555555555547</v>
      </c>
      <c r="K4" s="37">
        <v>0.73125000000000007</v>
      </c>
      <c r="L4" s="36">
        <v>0.50347222222222221</v>
      </c>
      <c r="M4" s="37">
        <v>0.52638888888888891</v>
      </c>
      <c r="N4" s="34" t="s">
        <v>92</v>
      </c>
      <c r="O4" s="34" t="s">
        <v>92</v>
      </c>
      <c r="P4" s="34">
        <v>1188</v>
      </c>
      <c r="Q4" s="34">
        <v>783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">
      <c r="A5" s="28">
        <f>A4</f>
        <v>43437</v>
      </c>
      <c r="B5" s="34" t="s">
        <v>21</v>
      </c>
      <c r="C5" s="34" t="s">
        <v>75</v>
      </c>
      <c r="D5" s="34" t="s">
        <v>23</v>
      </c>
      <c r="E5" s="29" t="s">
        <v>80</v>
      </c>
      <c r="F5" s="34" t="s">
        <v>25</v>
      </c>
      <c r="G5" s="35">
        <v>71500</v>
      </c>
      <c r="H5" s="34" t="s">
        <v>76</v>
      </c>
      <c r="I5" s="34" t="s">
        <v>77</v>
      </c>
      <c r="J5" s="38">
        <v>0.95486111111111116</v>
      </c>
      <c r="K5" s="39">
        <v>0.95972222222222225</v>
      </c>
      <c r="L5" s="38">
        <v>0.71875</v>
      </c>
      <c r="M5" s="39">
        <v>0.72916666666666663</v>
      </c>
      <c r="N5" s="40" t="s">
        <v>94</v>
      </c>
      <c r="O5" s="34" t="s">
        <v>93</v>
      </c>
      <c r="P5" s="40">
        <v>1103</v>
      </c>
      <c r="Q5" s="34">
        <v>1685</v>
      </c>
      <c r="R5" s="34">
        <v>0</v>
      </c>
      <c r="S5" s="34">
        <v>0</v>
      </c>
      <c r="T5" s="34">
        <v>0</v>
      </c>
      <c r="U5" s="34">
        <v>0</v>
      </c>
    </row>
    <row r="6" spans="1:21" s="26" customFormat="1" x14ac:dyDescent="0.2">
      <c r="A6" s="28">
        <f>A5</f>
        <v>43437</v>
      </c>
      <c r="B6" s="26" t="s">
        <v>81</v>
      </c>
      <c r="C6" s="26" t="s">
        <v>91</v>
      </c>
      <c r="D6" s="26" t="s">
        <v>82</v>
      </c>
      <c r="E6" s="26" t="s">
        <v>83</v>
      </c>
      <c r="F6" s="41" t="s">
        <v>84</v>
      </c>
      <c r="G6" s="42">
        <v>7000</v>
      </c>
      <c r="H6" s="26" t="s">
        <v>85</v>
      </c>
      <c r="I6" s="26" t="str">
        <f>H6</f>
        <v>RAC9004</v>
      </c>
      <c r="J6" s="43" t="s">
        <v>90</v>
      </c>
      <c r="K6" s="44">
        <v>0.2590277777777778</v>
      </c>
      <c r="L6" s="43" t="s">
        <v>90</v>
      </c>
      <c r="M6" s="44">
        <v>0.4909722222222222</v>
      </c>
      <c r="N6" s="45">
        <v>0</v>
      </c>
      <c r="O6" s="45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</row>
    <row r="7" spans="1:21" x14ac:dyDescent="0.2">
      <c r="A7" s="46"/>
      <c r="B7" s="47"/>
      <c r="C7" s="47"/>
      <c r="D7" s="47"/>
      <c r="E7" s="47"/>
      <c r="F7" s="47"/>
      <c r="G7" s="47"/>
      <c r="H7" s="47"/>
      <c r="I7" s="47"/>
      <c r="J7" s="48"/>
      <c r="K7" s="49"/>
      <c r="L7" s="48"/>
      <c r="M7" s="49"/>
      <c r="N7" s="47"/>
      <c r="O7" s="47"/>
      <c r="P7" s="45"/>
      <c r="Q7" s="45"/>
      <c r="R7" s="47"/>
      <c r="S7" s="47"/>
      <c r="T7" s="47"/>
      <c r="U7" s="47"/>
    </row>
    <row r="8" spans="1:21" x14ac:dyDescent="0.2">
      <c r="A8" s="46"/>
      <c r="B8" s="47"/>
      <c r="C8" s="47"/>
      <c r="D8" s="47"/>
      <c r="E8" s="47"/>
      <c r="F8" s="47"/>
      <c r="G8" s="47"/>
      <c r="H8" s="47"/>
      <c r="I8" s="47"/>
      <c r="J8" s="48"/>
      <c r="K8" s="49"/>
      <c r="L8" s="48"/>
      <c r="M8" s="49"/>
      <c r="N8" s="47"/>
      <c r="O8" s="34"/>
      <c r="P8" s="45"/>
      <c r="Q8" s="50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Q5" sqref="Q5"/>
    </sheetView>
  </sheetViews>
  <sheetFormatPr defaultRowHeight="15" x14ac:dyDescent="0.25"/>
  <cols>
    <col min="2" max="2" width="12.7109375" customWidth="1"/>
    <col min="3" max="3" width="14.85546875" customWidth="1"/>
    <col min="6" max="6" width="17.710937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43438</v>
      </c>
      <c r="B2" s="3" t="s">
        <v>21</v>
      </c>
      <c r="C2" s="3" t="s">
        <v>22</v>
      </c>
      <c r="D2" s="3" t="s">
        <v>23</v>
      </c>
      <c r="E2" s="3" t="s">
        <v>79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0.49652777777777773</v>
      </c>
      <c r="K2" s="6">
        <v>0.48125000000000001</v>
      </c>
      <c r="L2" s="5">
        <v>0.3125</v>
      </c>
      <c r="M2" s="6">
        <v>0.31458333333333333</v>
      </c>
      <c r="N2" s="6" t="s">
        <v>97</v>
      </c>
      <c r="O2" s="7" t="s">
        <v>95</v>
      </c>
      <c r="P2" s="7">
        <v>806</v>
      </c>
      <c r="Q2" s="7">
        <v>832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43438</v>
      </c>
      <c r="B3" s="3" t="s">
        <v>21</v>
      </c>
      <c r="C3" s="3" t="s">
        <v>28</v>
      </c>
      <c r="D3" s="3" t="s">
        <v>23</v>
      </c>
      <c r="E3" s="3" t="s">
        <v>80</v>
      </c>
      <c r="F3" s="3" t="s">
        <v>25</v>
      </c>
      <c r="G3" s="4">
        <v>71500</v>
      </c>
      <c r="H3" s="3" t="s">
        <v>30</v>
      </c>
      <c r="I3" s="3" t="s">
        <v>31</v>
      </c>
      <c r="J3" s="5">
        <v>0.49305555555555558</v>
      </c>
      <c r="K3" s="6">
        <v>0.4777777777777778</v>
      </c>
      <c r="L3" s="5">
        <v>0.35416666666666669</v>
      </c>
      <c r="M3" s="6">
        <v>0.35138888888888892</v>
      </c>
      <c r="N3" s="6" t="s">
        <v>98</v>
      </c>
      <c r="O3" s="7" t="s">
        <v>96</v>
      </c>
      <c r="P3" s="3">
        <v>373</v>
      </c>
      <c r="Q3" s="7">
        <v>360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A3</f>
        <v>43438</v>
      </c>
      <c r="B4" s="8" t="s">
        <v>21</v>
      </c>
      <c r="C4" s="8" t="s">
        <v>32</v>
      </c>
      <c r="D4" s="8" t="s">
        <v>23</v>
      </c>
      <c r="E4" s="3" t="str">
        <f>E3</f>
        <v>HA-LWG</v>
      </c>
      <c r="F4" s="8" t="s">
        <v>25</v>
      </c>
      <c r="G4" s="9">
        <v>71500</v>
      </c>
      <c r="H4" s="8" t="s">
        <v>33</v>
      </c>
      <c r="I4" s="8" t="s">
        <v>34</v>
      </c>
      <c r="J4" s="10">
        <v>0.72222222222222221</v>
      </c>
      <c r="K4" s="11">
        <v>0.70624999999999993</v>
      </c>
      <c r="L4" s="10">
        <v>0.52777777777777779</v>
      </c>
      <c r="M4" s="11">
        <v>0.52708333333333335</v>
      </c>
      <c r="N4" s="7" t="s">
        <v>100</v>
      </c>
      <c r="O4" s="7" t="s">
        <v>99</v>
      </c>
      <c r="P4" s="3">
        <v>925</v>
      </c>
      <c r="Q4" s="7">
        <v>814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43438</v>
      </c>
      <c r="B5" s="8" t="s">
        <v>21</v>
      </c>
      <c r="C5" s="8" t="s">
        <v>35</v>
      </c>
      <c r="D5" s="8" t="s">
        <v>23</v>
      </c>
      <c r="E5" s="3" t="str">
        <f>E4</f>
        <v>HA-LWG</v>
      </c>
      <c r="F5" s="8" t="s">
        <v>25</v>
      </c>
      <c r="G5" s="9">
        <v>71500</v>
      </c>
      <c r="H5" s="8" t="s">
        <v>36</v>
      </c>
      <c r="I5" s="8" t="s">
        <v>37</v>
      </c>
      <c r="J5" s="12">
        <v>0.91319444444444453</v>
      </c>
      <c r="K5" s="13" t="s">
        <v>102</v>
      </c>
      <c r="L5" s="12">
        <v>0.74305555555555547</v>
      </c>
      <c r="M5" s="13">
        <v>0.74444444444444446</v>
      </c>
      <c r="N5" s="7" t="s">
        <v>103</v>
      </c>
      <c r="O5" s="7" t="s">
        <v>101</v>
      </c>
      <c r="P5" s="3" t="s">
        <v>103</v>
      </c>
      <c r="Q5" s="7">
        <v>819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F1" workbookViewId="0">
      <selection activeCell="K4" sqref="K4"/>
    </sheetView>
  </sheetViews>
  <sheetFormatPr defaultRowHeight="15" x14ac:dyDescent="0.25"/>
  <cols>
    <col min="3" max="3" width="15" customWidth="1"/>
    <col min="6" max="6" width="22" customWidth="1"/>
    <col min="10" max="10" width="10.5703125" customWidth="1"/>
    <col min="11" max="11" width="12" customWidth="1"/>
    <col min="12" max="12" width="12.42578125" customWidth="1"/>
    <col min="13" max="13" width="11.7109375" customWidth="1"/>
    <col min="14" max="14" width="18.28515625" customWidth="1"/>
    <col min="15" max="15" width="19.5703125" customWidth="1"/>
    <col min="16" max="16" width="16" customWidth="1"/>
    <col min="17" max="17" width="13.42578125" customWidth="1"/>
  </cols>
  <sheetData>
    <row r="1" spans="1:2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5">
      <c r="A2" s="21">
        <v>43439</v>
      </c>
      <c r="B2" s="16" t="s">
        <v>21</v>
      </c>
      <c r="C2" s="16" t="s">
        <v>52</v>
      </c>
      <c r="D2" s="16" t="s">
        <v>23</v>
      </c>
      <c r="E2" s="16" t="s">
        <v>59</v>
      </c>
      <c r="F2" s="16" t="s">
        <v>25</v>
      </c>
      <c r="G2" s="17">
        <v>70000</v>
      </c>
      <c r="H2" s="16" t="s">
        <v>54</v>
      </c>
      <c r="I2" s="16" t="s">
        <v>53</v>
      </c>
      <c r="J2" s="18">
        <v>0.69791666666666663</v>
      </c>
      <c r="K2" s="19">
        <v>0.72430555555555554</v>
      </c>
      <c r="L2" s="18">
        <v>0.52777777777777779</v>
      </c>
      <c r="M2" s="19">
        <v>0.56597222222222221</v>
      </c>
      <c r="N2" s="16" t="s">
        <v>111</v>
      </c>
      <c r="O2" s="20" t="s">
        <v>110</v>
      </c>
      <c r="P2" s="16">
        <v>777</v>
      </c>
      <c r="Q2" s="20">
        <v>660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21">
        <f>A2</f>
        <v>43439</v>
      </c>
      <c r="B3" s="16" t="s">
        <v>21</v>
      </c>
      <c r="C3" s="16" t="s">
        <v>55</v>
      </c>
      <c r="D3" s="16" t="s">
        <v>23</v>
      </c>
      <c r="E3" s="16" t="s">
        <v>59</v>
      </c>
      <c r="F3" s="16" t="s">
        <v>25</v>
      </c>
      <c r="G3" s="17">
        <v>70000</v>
      </c>
      <c r="H3" s="16" t="s">
        <v>57</v>
      </c>
      <c r="I3" s="16" t="s">
        <v>56</v>
      </c>
      <c r="J3" s="18">
        <v>0.94791666666666663</v>
      </c>
      <c r="K3" s="19">
        <v>0.94513888888888886</v>
      </c>
      <c r="L3" s="18">
        <v>0.74305555555555547</v>
      </c>
      <c r="M3" s="19">
        <v>0.75624999999999998</v>
      </c>
      <c r="N3" s="19" t="s">
        <v>113</v>
      </c>
      <c r="O3" s="20" t="s">
        <v>112</v>
      </c>
      <c r="P3" s="16">
        <v>841</v>
      </c>
      <c r="Q3" s="20">
        <v>1125</v>
      </c>
      <c r="R3" s="16">
        <v>0</v>
      </c>
      <c r="S3" s="16">
        <v>0</v>
      </c>
      <c r="T3" s="16">
        <v>0</v>
      </c>
      <c r="U3" s="16">
        <v>0</v>
      </c>
    </row>
    <row r="4" spans="1:21" s="54" customFormat="1" ht="12.75" x14ac:dyDescent="0.2">
      <c r="A4" s="51">
        <v>43439</v>
      </c>
      <c r="B4" s="16" t="s">
        <v>21</v>
      </c>
      <c r="C4" s="16" t="s">
        <v>104</v>
      </c>
      <c r="D4" s="16" t="s">
        <v>23</v>
      </c>
      <c r="E4" s="16" t="s">
        <v>105</v>
      </c>
      <c r="F4" s="16" t="s">
        <v>106</v>
      </c>
      <c r="G4" s="52">
        <v>71500</v>
      </c>
      <c r="H4" s="16" t="s">
        <v>107</v>
      </c>
      <c r="I4" s="16" t="s">
        <v>108</v>
      </c>
      <c r="J4" s="55">
        <v>0.52777777777777779</v>
      </c>
      <c r="K4" s="57">
        <v>0.5229166666666667</v>
      </c>
      <c r="L4" s="56" t="s">
        <v>108</v>
      </c>
      <c r="M4" s="52" t="s">
        <v>108</v>
      </c>
      <c r="N4" s="52" t="s">
        <v>109</v>
      </c>
      <c r="O4" s="53"/>
      <c r="P4" s="52">
        <v>0</v>
      </c>
      <c r="Q4" s="5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2" sqref="A2"/>
    </sheetView>
  </sheetViews>
  <sheetFormatPr defaultRowHeight="15" x14ac:dyDescent="0.25"/>
  <cols>
    <col min="2" max="2" width="31.5703125" customWidth="1"/>
    <col min="3" max="3" width="15" customWidth="1"/>
    <col min="6" max="6" width="27" customWidth="1"/>
    <col min="10" max="10" width="10.5703125" customWidth="1"/>
    <col min="11" max="11" width="12" customWidth="1"/>
    <col min="12" max="12" width="12.42578125" customWidth="1"/>
    <col min="13" max="13" width="11.7109375" customWidth="1"/>
    <col min="14" max="14" width="18.28515625" customWidth="1"/>
    <col min="15" max="15" width="19.5703125" customWidth="1"/>
    <col min="16" max="16" width="16" customWidth="1"/>
    <col min="17" max="17" width="13.42578125" customWidth="1"/>
  </cols>
  <sheetData>
    <row r="1" spans="1:2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5">
      <c r="A2" s="21">
        <v>43440</v>
      </c>
      <c r="B2" s="16" t="s">
        <v>21</v>
      </c>
      <c r="C2" s="16" t="s">
        <v>49</v>
      </c>
      <c r="D2" s="16" t="s">
        <v>23</v>
      </c>
      <c r="E2" s="16" t="s">
        <v>105</v>
      </c>
      <c r="F2" s="16" t="s">
        <v>25</v>
      </c>
      <c r="G2" s="17">
        <v>71500</v>
      </c>
      <c r="H2" s="16" t="s">
        <v>50</v>
      </c>
      <c r="I2" s="16" t="s">
        <v>51</v>
      </c>
      <c r="J2" s="18">
        <v>0.65277777777777779</v>
      </c>
      <c r="K2" s="19">
        <v>0.63750000000000007</v>
      </c>
      <c r="L2" s="18">
        <v>0.5</v>
      </c>
      <c r="M2" s="19">
        <v>0.50347222222222221</v>
      </c>
      <c r="N2" s="16" t="s">
        <v>122</v>
      </c>
      <c r="O2" s="20" t="s">
        <v>121</v>
      </c>
      <c r="P2" s="16">
        <v>572</v>
      </c>
      <c r="Q2" s="20">
        <v>430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21">
        <v>43440</v>
      </c>
      <c r="B3" s="16" t="s">
        <v>114</v>
      </c>
      <c r="C3" s="16" t="s">
        <v>115</v>
      </c>
      <c r="D3" s="16" t="s">
        <v>116</v>
      </c>
      <c r="E3" s="16" t="s">
        <v>117</v>
      </c>
      <c r="F3" s="16" t="s">
        <v>118</v>
      </c>
      <c r="G3" s="17">
        <v>4717</v>
      </c>
      <c r="H3" s="16" t="s">
        <v>119</v>
      </c>
      <c r="I3" s="16" t="s">
        <v>119</v>
      </c>
      <c r="J3" s="18">
        <v>0.41666666666666669</v>
      </c>
      <c r="K3" s="19">
        <v>0.4145833333333333</v>
      </c>
      <c r="L3" s="18">
        <v>0.625</v>
      </c>
      <c r="M3" s="19">
        <v>0.60902777777777783</v>
      </c>
      <c r="N3" s="19" t="s">
        <v>120</v>
      </c>
      <c r="O3" s="20" t="s">
        <v>120</v>
      </c>
      <c r="P3" s="16">
        <v>0</v>
      </c>
      <c r="Q3" s="20">
        <v>0</v>
      </c>
      <c r="R3" s="16">
        <v>0</v>
      </c>
      <c r="S3" s="16">
        <v>0</v>
      </c>
      <c r="T3" s="16">
        <v>0</v>
      </c>
      <c r="U3" s="16">
        <v>0</v>
      </c>
    </row>
    <row r="4" spans="1:21" s="54" customFormat="1" ht="12.75" x14ac:dyDescent="0.2">
      <c r="A4" s="51"/>
      <c r="B4" s="16"/>
      <c r="C4" s="16"/>
      <c r="D4" s="16"/>
      <c r="E4" s="16"/>
      <c r="F4" s="16"/>
      <c r="G4" s="52"/>
      <c r="H4" s="16"/>
      <c r="I4" s="16"/>
      <c r="J4" s="55"/>
      <c r="K4" s="57"/>
      <c r="L4" s="56"/>
      <c r="M4" s="52"/>
      <c r="N4" s="52"/>
      <c r="O4" s="58"/>
      <c r="P4" s="52"/>
      <c r="Q4" s="5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M7" sqref="M7"/>
    </sheetView>
  </sheetViews>
  <sheetFormatPr defaultRowHeight="15" x14ac:dyDescent="0.25"/>
  <cols>
    <col min="2" max="2" width="22.5703125" customWidth="1"/>
    <col min="3" max="3" width="18.5703125" customWidth="1"/>
    <col min="6" max="6" width="24.140625" customWidth="1"/>
    <col min="10" max="10" width="12.7109375" customWidth="1"/>
    <col min="11" max="11" width="11.85546875" customWidth="1"/>
    <col min="12" max="12" width="11.140625" customWidth="1"/>
    <col min="13" max="13" width="11.42578125" customWidth="1"/>
    <col min="14" max="14" width="17" customWidth="1"/>
    <col min="15" max="15" width="17.140625" customWidth="1"/>
  </cols>
  <sheetData>
    <row r="1" spans="1:21" x14ac:dyDescent="0.2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59" t="s">
        <v>16</v>
      </c>
      <c r="R1" s="59" t="s">
        <v>17</v>
      </c>
      <c r="S1" s="59" t="s">
        <v>18</v>
      </c>
      <c r="T1" s="59" t="s">
        <v>19</v>
      </c>
      <c r="U1" s="59" t="s">
        <v>20</v>
      </c>
    </row>
    <row r="2" spans="1:21" x14ac:dyDescent="0.25">
      <c r="A2" s="28">
        <v>43441</v>
      </c>
      <c r="B2" s="16" t="s">
        <v>21</v>
      </c>
      <c r="C2" s="16" t="s">
        <v>46</v>
      </c>
      <c r="D2" s="16" t="s">
        <v>23</v>
      </c>
      <c r="E2" s="16" t="s">
        <v>59</v>
      </c>
      <c r="F2" s="16" t="s">
        <v>25</v>
      </c>
      <c r="G2" s="17">
        <v>70000</v>
      </c>
      <c r="H2" s="16" t="s">
        <v>47</v>
      </c>
      <c r="I2" s="16" t="s">
        <v>48</v>
      </c>
      <c r="J2" s="18">
        <v>0.4826388888888889</v>
      </c>
      <c r="K2" s="19">
        <v>0.48472222222222222</v>
      </c>
      <c r="L2" s="18">
        <v>0.27777777777777779</v>
      </c>
      <c r="M2" s="19">
        <v>0.29305555555555557</v>
      </c>
      <c r="N2" s="20" t="s">
        <v>137</v>
      </c>
      <c r="O2" s="20" t="s">
        <v>123</v>
      </c>
      <c r="P2" s="20">
        <v>1067</v>
      </c>
      <c r="Q2" s="20">
        <v>755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28">
        <f t="shared" ref="A3:A8" si="0">A2</f>
        <v>43441</v>
      </c>
      <c r="B3" s="16" t="s">
        <v>21</v>
      </c>
      <c r="C3" s="16" t="s">
        <v>69</v>
      </c>
      <c r="D3" s="16" t="s">
        <v>23</v>
      </c>
      <c r="E3" s="16" t="s">
        <v>105</v>
      </c>
      <c r="F3" s="16" t="s">
        <v>25</v>
      </c>
      <c r="G3" s="17">
        <v>71500</v>
      </c>
      <c r="H3" s="16" t="s">
        <v>71</v>
      </c>
      <c r="I3" s="16" t="s">
        <v>70</v>
      </c>
      <c r="J3" s="18">
        <v>0.4826388888888889</v>
      </c>
      <c r="K3" s="19">
        <v>0.47638888888888892</v>
      </c>
      <c r="L3" s="18">
        <v>0.33333333333333331</v>
      </c>
      <c r="M3" s="19">
        <v>0.34722222222222227</v>
      </c>
      <c r="N3" s="20" t="s">
        <v>136</v>
      </c>
      <c r="O3" s="20" t="s">
        <v>124</v>
      </c>
      <c r="P3" s="16">
        <v>536</v>
      </c>
      <c r="Q3" s="20">
        <v>652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28">
        <f t="shared" si="0"/>
        <v>43441</v>
      </c>
      <c r="B4" s="34" t="s">
        <v>21</v>
      </c>
      <c r="C4" s="34" t="s">
        <v>72</v>
      </c>
      <c r="D4" s="34" t="s">
        <v>23</v>
      </c>
      <c r="E4" s="16" t="s">
        <v>105</v>
      </c>
      <c r="F4" s="34" t="s">
        <v>25</v>
      </c>
      <c r="G4" s="35">
        <v>71500</v>
      </c>
      <c r="H4" s="34" t="s">
        <v>74</v>
      </c>
      <c r="I4" s="34" t="s">
        <v>73</v>
      </c>
      <c r="J4" s="36">
        <v>0.71180555555555547</v>
      </c>
      <c r="K4" s="37">
        <v>0.74583333333333324</v>
      </c>
      <c r="L4" s="36">
        <v>0.50347222222222221</v>
      </c>
      <c r="M4" s="37">
        <v>0.51736111111111105</v>
      </c>
      <c r="N4" s="34" t="s">
        <v>139</v>
      </c>
      <c r="O4" s="60" t="s">
        <v>135</v>
      </c>
      <c r="P4" s="34">
        <v>733</v>
      </c>
      <c r="Q4" s="34">
        <v>971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5">
      <c r="A5" s="28">
        <f t="shared" si="0"/>
        <v>43441</v>
      </c>
      <c r="B5" s="34" t="s">
        <v>21</v>
      </c>
      <c r="C5" s="34" t="s">
        <v>75</v>
      </c>
      <c r="D5" s="34" t="s">
        <v>23</v>
      </c>
      <c r="E5" s="16" t="s">
        <v>59</v>
      </c>
      <c r="F5" s="34" t="s">
        <v>25</v>
      </c>
      <c r="G5" s="35">
        <v>70000</v>
      </c>
      <c r="H5" s="34" t="s">
        <v>77</v>
      </c>
      <c r="I5" s="34" t="s">
        <v>76</v>
      </c>
      <c r="J5" s="24">
        <v>0.95486111111111116</v>
      </c>
      <c r="K5" s="25">
        <v>0.95486111111111116</v>
      </c>
      <c r="L5" s="24">
        <v>0.71875</v>
      </c>
      <c r="M5" s="25">
        <v>0.71944444444444444</v>
      </c>
      <c r="N5" s="15" t="s">
        <v>141</v>
      </c>
      <c r="O5" s="34" t="s">
        <v>140</v>
      </c>
      <c r="P5" s="15">
        <v>1248</v>
      </c>
      <c r="Q5" s="34">
        <v>1374</v>
      </c>
      <c r="R5" s="34">
        <v>0</v>
      </c>
      <c r="S5" s="34">
        <v>0</v>
      </c>
      <c r="T5" s="34">
        <v>0</v>
      </c>
      <c r="U5" s="34">
        <v>0</v>
      </c>
    </row>
    <row r="6" spans="1:21" x14ac:dyDescent="0.25">
      <c r="A6" s="28">
        <f t="shared" si="0"/>
        <v>43441</v>
      </c>
      <c r="B6" s="34" t="s">
        <v>134</v>
      </c>
      <c r="C6" s="34" t="s">
        <v>126</v>
      </c>
      <c r="D6" s="34" t="s">
        <v>127</v>
      </c>
      <c r="E6" s="16" t="s">
        <v>128</v>
      </c>
      <c r="F6" s="34" t="s">
        <v>129</v>
      </c>
      <c r="G6" s="61">
        <v>1.2</v>
      </c>
      <c r="H6" s="16" t="s">
        <v>128</v>
      </c>
      <c r="I6" s="16" t="s">
        <v>128</v>
      </c>
      <c r="J6" s="67">
        <v>0.45833333333333331</v>
      </c>
      <c r="K6" s="66">
        <v>0.4375</v>
      </c>
      <c r="L6" s="66">
        <v>0.47222222222222227</v>
      </c>
      <c r="M6" s="66">
        <v>0.47361111111111115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</row>
    <row r="7" spans="1:21" x14ac:dyDescent="0.25">
      <c r="A7" s="28">
        <f t="shared" si="0"/>
        <v>43441</v>
      </c>
      <c r="B7" s="59" t="s">
        <v>125</v>
      </c>
      <c r="C7" s="59" t="s">
        <v>130</v>
      </c>
      <c r="D7" s="59" t="s">
        <v>131</v>
      </c>
      <c r="E7" s="59" t="s">
        <v>132</v>
      </c>
      <c r="F7" s="62" t="s">
        <v>133</v>
      </c>
      <c r="G7" s="63">
        <v>990</v>
      </c>
      <c r="H7" s="59" t="s">
        <v>132</v>
      </c>
      <c r="I7" s="59" t="s">
        <v>132</v>
      </c>
      <c r="J7" s="64">
        <v>0.45833333333333331</v>
      </c>
      <c r="K7" s="65">
        <v>0.4604166666666667</v>
      </c>
      <c r="L7" s="64">
        <v>0.54166666666666663</v>
      </c>
      <c r="M7" s="65">
        <v>0.58611111111111114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</row>
    <row r="8" spans="1:21" x14ac:dyDescent="0.25">
      <c r="A8" s="28">
        <f t="shared" si="0"/>
        <v>43441</v>
      </c>
      <c r="B8" s="34" t="s">
        <v>134</v>
      </c>
      <c r="C8" s="34" t="s">
        <v>138</v>
      </c>
      <c r="D8" s="34" t="s">
        <v>127</v>
      </c>
      <c r="E8" s="16" t="s">
        <v>128</v>
      </c>
      <c r="F8" s="34" t="s">
        <v>129</v>
      </c>
      <c r="G8" s="61">
        <v>1.2</v>
      </c>
      <c r="H8" s="16" t="s">
        <v>128</v>
      </c>
      <c r="I8" s="16" t="s">
        <v>128</v>
      </c>
      <c r="J8" s="67">
        <v>0.6875</v>
      </c>
      <c r="K8" s="66">
        <v>0.6875</v>
      </c>
      <c r="L8" s="67">
        <v>0.72916666666666663</v>
      </c>
      <c r="M8" s="66">
        <v>0.72916666666666663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E1" workbookViewId="0">
      <selection activeCell="K5" sqref="K5"/>
    </sheetView>
  </sheetViews>
  <sheetFormatPr defaultRowHeight="15" x14ac:dyDescent="0.25"/>
  <cols>
    <col min="2" max="2" width="12.7109375" customWidth="1"/>
    <col min="3" max="3" width="14.85546875" customWidth="1"/>
    <col min="6" max="6" width="17.710937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43442</v>
      </c>
      <c r="B2" s="3" t="s">
        <v>21</v>
      </c>
      <c r="C2" s="3" t="s">
        <v>22</v>
      </c>
      <c r="D2" s="3" t="s">
        <v>23</v>
      </c>
      <c r="E2" s="3" t="s">
        <v>105</v>
      </c>
      <c r="F2" s="3" t="s">
        <v>25</v>
      </c>
      <c r="G2" s="4">
        <v>71500</v>
      </c>
      <c r="H2" s="3" t="s">
        <v>26</v>
      </c>
      <c r="I2" s="3" t="s">
        <v>27</v>
      </c>
      <c r="J2" s="5">
        <v>0.49652777777777773</v>
      </c>
      <c r="K2" s="6">
        <v>0.48680555555555555</v>
      </c>
      <c r="L2" s="5">
        <v>0.3125</v>
      </c>
      <c r="M2" s="6">
        <v>0.31319444444444444</v>
      </c>
      <c r="N2" s="6" t="s">
        <v>145</v>
      </c>
      <c r="O2" s="7" t="s">
        <v>142</v>
      </c>
      <c r="P2" s="7">
        <v>969</v>
      </c>
      <c r="Q2" s="7">
        <v>981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43442</v>
      </c>
      <c r="B3" s="3" t="s">
        <v>21</v>
      </c>
      <c r="C3" s="3" t="s">
        <v>28</v>
      </c>
      <c r="D3" s="3" t="s">
        <v>23</v>
      </c>
      <c r="E3" s="3" t="s">
        <v>59</v>
      </c>
      <c r="F3" s="3" t="s">
        <v>25</v>
      </c>
      <c r="G3" s="4">
        <v>70000</v>
      </c>
      <c r="H3" s="3" t="s">
        <v>30</v>
      </c>
      <c r="I3" s="3" t="s">
        <v>31</v>
      </c>
      <c r="J3" s="5">
        <v>0.49305555555555558</v>
      </c>
      <c r="K3" s="6">
        <v>0.49027777777777781</v>
      </c>
      <c r="L3" s="5">
        <v>0.35416666666666669</v>
      </c>
      <c r="M3" s="6">
        <v>0.35555555555555557</v>
      </c>
      <c r="N3" s="6" t="s">
        <v>146</v>
      </c>
      <c r="O3" s="7" t="s">
        <v>143</v>
      </c>
      <c r="P3" s="3">
        <v>439</v>
      </c>
      <c r="Q3" s="7">
        <v>422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43442</v>
      </c>
      <c r="B4" s="8" t="s">
        <v>21</v>
      </c>
      <c r="C4" s="8" t="s">
        <v>32</v>
      </c>
      <c r="D4" s="8" t="s">
        <v>23</v>
      </c>
      <c r="E4" s="3" t="s">
        <v>59</v>
      </c>
      <c r="F4" s="8" t="s">
        <v>25</v>
      </c>
      <c r="G4" s="9">
        <v>70000</v>
      </c>
      <c r="H4" s="8" t="s">
        <v>33</v>
      </c>
      <c r="I4" s="8" t="s">
        <v>34</v>
      </c>
      <c r="J4" s="10">
        <v>0.72222222222222221</v>
      </c>
      <c r="K4" s="11">
        <v>0.71666666666666667</v>
      </c>
      <c r="L4" s="10">
        <v>0.52777777777777779</v>
      </c>
      <c r="M4" s="11">
        <v>0.52847222222222223</v>
      </c>
      <c r="N4" s="7" t="s">
        <v>147</v>
      </c>
      <c r="O4" s="7" t="s">
        <v>144</v>
      </c>
      <c r="P4" s="3">
        <v>1207</v>
      </c>
      <c r="Q4" s="7">
        <v>750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v>43442</v>
      </c>
      <c r="B5" s="8" t="s">
        <v>21</v>
      </c>
      <c r="C5" s="8" t="s">
        <v>35</v>
      </c>
      <c r="D5" s="8" t="s">
        <v>23</v>
      </c>
      <c r="E5" s="3" t="s">
        <v>59</v>
      </c>
      <c r="F5" s="8" t="s">
        <v>25</v>
      </c>
      <c r="G5" s="9">
        <v>70000</v>
      </c>
      <c r="H5" s="8" t="s">
        <v>36</v>
      </c>
      <c r="I5" s="8" t="s">
        <v>37</v>
      </c>
      <c r="J5" s="12">
        <v>0.91319444444444453</v>
      </c>
      <c r="K5" s="13">
        <v>0.90486111111111101</v>
      </c>
      <c r="L5" s="12">
        <v>0.74305555555555547</v>
      </c>
      <c r="M5" s="13">
        <v>0.75069444444444444</v>
      </c>
      <c r="N5" s="7" t="s">
        <v>152</v>
      </c>
      <c r="O5" s="7" t="s">
        <v>148</v>
      </c>
      <c r="P5" s="3">
        <v>1014</v>
      </c>
      <c r="Q5" s="7">
        <v>578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H1" workbookViewId="0">
      <selection activeCell="H1" sqref="A1:XFD1048576"/>
    </sheetView>
  </sheetViews>
  <sheetFormatPr defaultRowHeight="15" x14ac:dyDescent="0.25"/>
  <cols>
    <col min="2" max="2" width="9.85546875" customWidth="1"/>
    <col min="3" max="3" width="14.7109375" customWidth="1"/>
    <col min="5" max="5" width="17.42578125" customWidth="1"/>
    <col min="6" max="6" width="21.42578125" customWidth="1"/>
    <col min="7" max="7" width="13.140625" customWidth="1"/>
    <col min="10" max="10" width="11.85546875" customWidth="1"/>
    <col min="11" max="11" width="14" customWidth="1"/>
    <col min="12" max="12" width="14.28515625" customWidth="1"/>
    <col min="13" max="13" width="12.85546875" customWidth="1"/>
    <col min="14" max="14" width="18.28515625" customWidth="1"/>
    <col min="15" max="15" width="19.85546875" customWidth="1"/>
    <col min="16" max="16" width="11" customWidth="1"/>
    <col min="17" max="17" width="12" customWidth="1"/>
  </cols>
  <sheetData>
    <row r="1" spans="1:21" s="15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15" customFormat="1" ht="12.75" x14ac:dyDescent="0.25">
      <c r="A2" s="2">
        <v>43443</v>
      </c>
      <c r="B2" s="16" t="s">
        <v>21</v>
      </c>
      <c r="C2" s="16" t="s">
        <v>46</v>
      </c>
      <c r="D2" s="16" t="s">
        <v>23</v>
      </c>
      <c r="E2" s="8" t="s">
        <v>149</v>
      </c>
      <c r="F2" s="16" t="s">
        <v>25</v>
      </c>
      <c r="G2" s="17" t="s">
        <v>151</v>
      </c>
      <c r="H2" s="16" t="s">
        <v>47</v>
      </c>
      <c r="I2" s="16" t="s">
        <v>48</v>
      </c>
      <c r="J2" s="18">
        <v>0.4826388888888889</v>
      </c>
      <c r="K2" s="19">
        <v>0.4861111111111111</v>
      </c>
      <c r="L2" s="18">
        <v>0.27777777777777779</v>
      </c>
      <c r="M2" s="19">
        <v>0.29305555555555557</v>
      </c>
      <c r="N2" s="20" t="s">
        <v>154</v>
      </c>
      <c r="O2" s="20" t="s">
        <v>153</v>
      </c>
      <c r="P2" s="20">
        <v>1377</v>
      </c>
      <c r="Q2" s="20">
        <v>857</v>
      </c>
      <c r="R2" s="16">
        <v>0</v>
      </c>
      <c r="S2" s="16">
        <v>0</v>
      </c>
      <c r="T2" s="16">
        <v>0</v>
      </c>
      <c r="U2" s="16">
        <v>0</v>
      </c>
    </row>
    <row r="3" spans="1:21" s="15" customFormat="1" ht="12.75" x14ac:dyDescent="0.25">
      <c r="A3" s="21">
        <f>A2</f>
        <v>43443</v>
      </c>
      <c r="B3" s="16" t="s">
        <v>21</v>
      </c>
      <c r="C3" s="16" t="s">
        <v>49</v>
      </c>
      <c r="D3" s="16" t="s">
        <v>23</v>
      </c>
      <c r="E3" s="16" t="s">
        <v>59</v>
      </c>
      <c r="F3" s="16" t="s">
        <v>25</v>
      </c>
      <c r="G3" s="17">
        <v>71500</v>
      </c>
      <c r="H3" s="16" t="s">
        <v>50</v>
      </c>
      <c r="I3" s="16" t="s">
        <v>51</v>
      </c>
      <c r="J3" s="18">
        <v>0.65277777777777779</v>
      </c>
      <c r="K3" s="19">
        <v>0.64583333333333337</v>
      </c>
      <c r="L3" s="18">
        <v>0.5</v>
      </c>
      <c r="M3" s="19">
        <v>0.50694444444444442</v>
      </c>
      <c r="N3" s="20" t="s">
        <v>159</v>
      </c>
      <c r="O3" s="20" t="s">
        <v>155</v>
      </c>
      <c r="P3" s="16">
        <v>934</v>
      </c>
      <c r="Q3" s="20">
        <v>585</v>
      </c>
      <c r="R3" s="16">
        <v>0</v>
      </c>
      <c r="S3" s="16">
        <v>0</v>
      </c>
      <c r="T3" s="16">
        <v>0</v>
      </c>
      <c r="U3" s="16">
        <v>0</v>
      </c>
    </row>
    <row r="4" spans="1:21" s="8" customFormat="1" ht="12.75" x14ac:dyDescent="0.25">
      <c r="A4" s="22">
        <f>A3</f>
        <v>43443</v>
      </c>
      <c r="B4" s="8" t="s">
        <v>21</v>
      </c>
      <c r="C4" s="8" t="s">
        <v>52</v>
      </c>
      <c r="D4" s="8" t="s">
        <v>23</v>
      </c>
      <c r="E4" s="8" t="s">
        <v>150</v>
      </c>
      <c r="F4" s="8" t="s">
        <v>25</v>
      </c>
      <c r="G4" s="9">
        <v>71500</v>
      </c>
      <c r="H4" s="8" t="s">
        <v>53</v>
      </c>
      <c r="I4" s="8" t="s">
        <v>54</v>
      </c>
      <c r="J4" s="10">
        <v>0.69791666666666663</v>
      </c>
      <c r="K4" s="11">
        <v>0.70833333333333337</v>
      </c>
      <c r="L4" s="10">
        <v>0.52777777777777779</v>
      </c>
      <c r="M4" s="11">
        <v>0.54513888888888895</v>
      </c>
      <c r="N4" s="8" t="s">
        <v>158</v>
      </c>
      <c r="O4" s="23" t="s">
        <v>68</v>
      </c>
      <c r="P4" s="8">
        <v>952</v>
      </c>
      <c r="Q4" s="8">
        <v>980</v>
      </c>
      <c r="R4" s="8">
        <v>0</v>
      </c>
      <c r="S4" s="8">
        <v>0</v>
      </c>
      <c r="T4" s="8">
        <v>0</v>
      </c>
      <c r="U4" s="8">
        <v>0</v>
      </c>
    </row>
    <row r="5" spans="1:21" s="15" customFormat="1" ht="12.75" x14ac:dyDescent="0.25">
      <c r="A5" s="22">
        <f>A4</f>
        <v>43443</v>
      </c>
      <c r="B5" s="8" t="s">
        <v>21</v>
      </c>
      <c r="C5" s="8" t="s">
        <v>55</v>
      </c>
      <c r="D5" s="8" t="s">
        <v>23</v>
      </c>
      <c r="E5" s="16" t="s">
        <v>59</v>
      </c>
      <c r="F5" s="8" t="s">
        <v>25</v>
      </c>
      <c r="G5" s="9">
        <v>71500</v>
      </c>
      <c r="H5" s="8" t="s">
        <v>56</v>
      </c>
      <c r="I5" s="8" t="s">
        <v>57</v>
      </c>
      <c r="J5" s="24">
        <v>0.88888888888888884</v>
      </c>
      <c r="K5" s="25">
        <v>0.87777777777777777</v>
      </c>
      <c r="L5" s="24">
        <v>0.68402777777777779</v>
      </c>
      <c r="M5" s="25">
        <v>0.68402777777777779</v>
      </c>
      <c r="N5" s="8" t="s">
        <v>157</v>
      </c>
      <c r="O5" s="8" t="s">
        <v>156</v>
      </c>
      <c r="P5" s="8">
        <v>1003</v>
      </c>
      <c r="Q5" s="8">
        <v>1346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zoomScaleNormal="100" workbookViewId="0">
      <selection activeCell="M5" sqref="M5"/>
    </sheetView>
  </sheetViews>
  <sheetFormatPr defaultRowHeight="12.75" x14ac:dyDescent="0.2"/>
  <cols>
    <col min="1" max="1" width="9.140625" style="27"/>
    <col min="2" max="2" width="18.42578125" style="27" customWidth="1"/>
    <col min="3" max="3" width="15.28515625" style="27" customWidth="1"/>
    <col min="4" max="4" width="9.140625" style="27"/>
    <col min="5" max="5" width="18.140625" style="27" customWidth="1"/>
    <col min="6" max="6" width="26.7109375" style="27" customWidth="1"/>
    <col min="7" max="8" width="9.140625" style="27"/>
    <col min="9" max="9" width="9.7109375" style="27" bestFit="1" customWidth="1"/>
    <col min="10" max="10" width="11" style="27" bestFit="1" customWidth="1"/>
    <col min="11" max="11" width="10.85546875" style="27" bestFit="1" customWidth="1"/>
    <col min="12" max="12" width="11" style="27" bestFit="1" customWidth="1"/>
    <col min="13" max="13" width="10.85546875" style="27" bestFit="1" customWidth="1"/>
    <col min="14" max="15" width="18.42578125" style="27" bestFit="1" customWidth="1"/>
    <col min="16" max="17" width="10.28515625" style="27" bestFit="1" customWidth="1"/>
    <col min="18" max="257" width="9.140625" style="27"/>
    <col min="258" max="258" width="18.42578125" style="27" customWidth="1"/>
    <col min="259" max="259" width="15.28515625" style="27" customWidth="1"/>
    <col min="260" max="260" width="9.140625" style="27"/>
    <col min="261" max="261" width="18.140625" style="27" customWidth="1"/>
    <col min="262" max="262" width="26.7109375" style="27" customWidth="1"/>
    <col min="263" max="264" width="9.140625" style="27"/>
    <col min="265" max="265" width="9.7109375" style="27" bestFit="1" customWidth="1"/>
    <col min="266" max="266" width="11" style="27" bestFit="1" customWidth="1"/>
    <col min="267" max="267" width="10.85546875" style="27" bestFit="1" customWidth="1"/>
    <col min="268" max="268" width="11" style="27" bestFit="1" customWidth="1"/>
    <col min="269" max="269" width="10.85546875" style="27" bestFit="1" customWidth="1"/>
    <col min="270" max="271" width="18.42578125" style="27" bestFit="1" customWidth="1"/>
    <col min="272" max="273" width="10.28515625" style="27" bestFit="1" customWidth="1"/>
    <col min="274" max="513" width="9.140625" style="27"/>
    <col min="514" max="514" width="18.42578125" style="27" customWidth="1"/>
    <col min="515" max="515" width="15.28515625" style="27" customWidth="1"/>
    <col min="516" max="516" width="9.140625" style="27"/>
    <col min="517" max="517" width="18.140625" style="27" customWidth="1"/>
    <col min="518" max="518" width="26.7109375" style="27" customWidth="1"/>
    <col min="519" max="520" width="9.140625" style="27"/>
    <col min="521" max="521" width="9.7109375" style="27" bestFit="1" customWidth="1"/>
    <col min="522" max="522" width="11" style="27" bestFit="1" customWidth="1"/>
    <col min="523" max="523" width="10.85546875" style="27" bestFit="1" customWidth="1"/>
    <col min="524" max="524" width="11" style="27" bestFit="1" customWidth="1"/>
    <col min="525" max="525" width="10.85546875" style="27" bestFit="1" customWidth="1"/>
    <col min="526" max="527" width="18.42578125" style="27" bestFit="1" customWidth="1"/>
    <col min="528" max="529" width="10.28515625" style="27" bestFit="1" customWidth="1"/>
    <col min="530" max="769" width="9.140625" style="27"/>
    <col min="770" max="770" width="18.42578125" style="27" customWidth="1"/>
    <col min="771" max="771" width="15.28515625" style="27" customWidth="1"/>
    <col min="772" max="772" width="9.140625" style="27"/>
    <col min="773" max="773" width="18.140625" style="27" customWidth="1"/>
    <col min="774" max="774" width="26.7109375" style="27" customWidth="1"/>
    <col min="775" max="776" width="9.140625" style="27"/>
    <col min="777" max="777" width="9.7109375" style="27" bestFit="1" customWidth="1"/>
    <col min="778" max="778" width="11" style="27" bestFit="1" customWidth="1"/>
    <col min="779" max="779" width="10.85546875" style="27" bestFit="1" customWidth="1"/>
    <col min="780" max="780" width="11" style="27" bestFit="1" customWidth="1"/>
    <col min="781" max="781" width="10.85546875" style="27" bestFit="1" customWidth="1"/>
    <col min="782" max="783" width="18.42578125" style="27" bestFit="1" customWidth="1"/>
    <col min="784" max="785" width="10.28515625" style="27" bestFit="1" customWidth="1"/>
    <col min="786" max="1025" width="9.140625" style="27"/>
    <col min="1026" max="1026" width="18.42578125" style="27" customWidth="1"/>
    <col min="1027" max="1027" width="15.28515625" style="27" customWidth="1"/>
    <col min="1028" max="1028" width="9.140625" style="27"/>
    <col min="1029" max="1029" width="18.140625" style="27" customWidth="1"/>
    <col min="1030" max="1030" width="26.7109375" style="27" customWidth="1"/>
    <col min="1031" max="1032" width="9.140625" style="27"/>
    <col min="1033" max="1033" width="9.7109375" style="27" bestFit="1" customWidth="1"/>
    <col min="1034" max="1034" width="11" style="27" bestFit="1" customWidth="1"/>
    <col min="1035" max="1035" width="10.85546875" style="27" bestFit="1" customWidth="1"/>
    <col min="1036" max="1036" width="11" style="27" bestFit="1" customWidth="1"/>
    <col min="1037" max="1037" width="10.85546875" style="27" bestFit="1" customWidth="1"/>
    <col min="1038" max="1039" width="18.42578125" style="27" bestFit="1" customWidth="1"/>
    <col min="1040" max="1041" width="10.28515625" style="27" bestFit="1" customWidth="1"/>
    <col min="1042" max="1281" width="9.140625" style="27"/>
    <col min="1282" max="1282" width="18.42578125" style="27" customWidth="1"/>
    <col min="1283" max="1283" width="15.28515625" style="27" customWidth="1"/>
    <col min="1284" max="1284" width="9.140625" style="27"/>
    <col min="1285" max="1285" width="18.140625" style="27" customWidth="1"/>
    <col min="1286" max="1286" width="26.7109375" style="27" customWidth="1"/>
    <col min="1287" max="1288" width="9.140625" style="27"/>
    <col min="1289" max="1289" width="9.7109375" style="27" bestFit="1" customWidth="1"/>
    <col min="1290" max="1290" width="11" style="27" bestFit="1" customWidth="1"/>
    <col min="1291" max="1291" width="10.85546875" style="27" bestFit="1" customWidth="1"/>
    <col min="1292" max="1292" width="11" style="27" bestFit="1" customWidth="1"/>
    <col min="1293" max="1293" width="10.85546875" style="27" bestFit="1" customWidth="1"/>
    <col min="1294" max="1295" width="18.42578125" style="27" bestFit="1" customWidth="1"/>
    <col min="1296" max="1297" width="10.28515625" style="27" bestFit="1" customWidth="1"/>
    <col min="1298" max="1537" width="9.140625" style="27"/>
    <col min="1538" max="1538" width="18.42578125" style="27" customWidth="1"/>
    <col min="1539" max="1539" width="15.28515625" style="27" customWidth="1"/>
    <col min="1540" max="1540" width="9.140625" style="27"/>
    <col min="1541" max="1541" width="18.140625" style="27" customWidth="1"/>
    <col min="1542" max="1542" width="26.7109375" style="27" customWidth="1"/>
    <col min="1543" max="1544" width="9.140625" style="27"/>
    <col min="1545" max="1545" width="9.7109375" style="27" bestFit="1" customWidth="1"/>
    <col min="1546" max="1546" width="11" style="27" bestFit="1" customWidth="1"/>
    <col min="1547" max="1547" width="10.85546875" style="27" bestFit="1" customWidth="1"/>
    <col min="1548" max="1548" width="11" style="27" bestFit="1" customWidth="1"/>
    <col min="1549" max="1549" width="10.85546875" style="27" bestFit="1" customWidth="1"/>
    <col min="1550" max="1551" width="18.42578125" style="27" bestFit="1" customWidth="1"/>
    <col min="1552" max="1553" width="10.28515625" style="27" bestFit="1" customWidth="1"/>
    <col min="1554" max="1793" width="9.140625" style="27"/>
    <col min="1794" max="1794" width="18.42578125" style="27" customWidth="1"/>
    <col min="1795" max="1795" width="15.28515625" style="27" customWidth="1"/>
    <col min="1796" max="1796" width="9.140625" style="27"/>
    <col min="1797" max="1797" width="18.140625" style="27" customWidth="1"/>
    <col min="1798" max="1798" width="26.7109375" style="27" customWidth="1"/>
    <col min="1799" max="1800" width="9.140625" style="27"/>
    <col min="1801" max="1801" width="9.7109375" style="27" bestFit="1" customWidth="1"/>
    <col min="1802" max="1802" width="11" style="27" bestFit="1" customWidth="1"/>
    <col min="1803" max="1803" width="10.85546875" style="27" bestFit="1" customWidth="1"/>
    <col min="1804" max="1804" width="11" style="27" bestFit="1" customWidth="1"/>
    <col min="1805" max="1805" width="10.85546875" style="27" bestFit="1" customWidth="1"/>
    <col min="1806" max="1807" width="18.42578125" style="27" bestFit="1" customWidth="1"/>
    <col min="1808" max="1809" width="10.28515625" style="27" bestFit="1" customWidth="1"/>
    <col min="1810" max="2049" width="9.140625" style="27"/>
    <col min="2050" max="2050" width="18.42578125" style="27" customWidth="1"/>
    <col min="2051" max="2051" width="15.28515625" style="27" customWidth="1"/>
    <col min="2052" max="2052" width="9.140625" style="27"/>
    <col min="2053" max="2053" width="18.140625" style="27" customWidth="1"/>
    <col min="2054" max="2054" width="26.7109375" style="27" customWidth="1"/>
    <col min="2055" max="2056" width="9.140625" style="27"/>
    <col min="2057" max="2057" width="9.7109375" style="27" bestFit="1" customWidth="1"/>
    <col min="2058" max="2058" width="11" style="27" bestFit="1" customWidth="1"/>
    <col min="2059" max="2059" width="10.85546875" style="27" bestFit="1" customWidth="1"/>
    <col min="2060" max="2060" width="11" style="27" bestFit="1" customWidth="1"/>
    <col min="2061" max="2061" width="10.85546875" style="27" bestFit="1" customWidth="1"/>
    <col min="2062" max="2063" width="18.42578125" style="27" bestFit="1" customWidth="1"/>
    <col min="2064" max="2065" width="10.28515625" style="27" bestFit="1" customWidth="1"/>
    <col min="2066" max="2305" width="9.140625" style="27"/>
    <col min="2306" max="2306" width="18.42578125" style="27" customWidth="1"/>
    <col min="2307" max="2307" width="15.28515625" style="27" customWidth="1"/>
    <col min="2308" max="2308" width="9.140625" style="27"/>
    <col min="2309" max="2309" width="18.140625" style="27" customWidth="1"/>
    <col min="2310" max="2310" width="26.7109375" style="27" customWidth="1"/>
    <col min="2311" max="2312" width="9.140625" style="27"/>
    <col min="2313" max="2313" width="9.7109375" style="27" bestFit="1" customWidth="1"/>
    <col min="2314" max="2314" width="11" style="27" bestFit="1" customWidth="1"/>
    <col min="2315" max="2315" width="10.85546875" style="27" bestFit="1" customWidth="1"/>
    <col min="2316" max="2316" width="11" style="27" bestFit="1" customWidth="1"/>
    <col min="2317" max="2317" width="10.85546875" style="27" bestFit="1" customWidth="1"/>
    <col min="2318" max="2319" width="18.42578125" style="27" bestFit="1" customWidth="1"/>
    <col min="2320" max="2321" width="10.28515625" style="27" bestFit="1" customWidth="1"/>
    <col min="2322" max="2561" width="9.140625" style="27"/>
    <col min="2562" max="2562" width="18.42578125" style="27" customWidth="1"/>
    <col min="2563" max="2563" width="15.28515625" style="27" customWidth="1"/>
    <col min="2564" max="2564" width="9.140625" style="27"/>
    <col min="2565" max="2565" width="18.140625" style="27" customWidth="1"/>
    <col min="2566" max="2566" width="26.7109375" style="27" customWidth="1"/>
    <col min="2567" max="2568" width="9.140625" style="27"/>
    <col min="2569" max="2569" width="9.7109375" style="27" bestFit="1" customWidth="1"/>
    <col min="2570" max="2570" width="11" style="27" bestFit="1" customWidth="1"/>
    <col min="2571" max="2571" width="10.85546875" style="27" bestFit="1" customWidth="1"/>
    <col min="2572" max="2572" width="11" style="27" bestFit="1" customWidth="1"/>
    <col min="2573" max="2573" width="10.85546875" style="27" bestFit="1" customWidth="1"/>
    <col min="2574" max="2575" width="18.42578125" style="27" bestFit="1" customWidth="1"/>
    <col min="2576" max="2577" width="10.28515625" style="27" bestFit="1" customWidth="1"/>
    <col min="2578" max="2817" width="9.140625" style="27"/>
    <col min="2818" max="2818" width="18.42578125" style="27" customWidth="1"/>
    <col min="2819" max="2819" width="15.28515625" style="27" customWidth="1"/>
    <col min="2820" max="2820" width="9.140625" style="27"/>
    <col min="2821" max="2821" width="18.140625" style="27" customWidth="1"/>
    <col min="2822" max="2822" width="26.7109375" style="27" customWidth="1"/>
    <col min="2823" max="2824" width="9.140625" style="27"/>
    <col min="2825" max="2825" width="9.7109375" style="27" bestFit="1" customWidth="1"/>
    <col min="2826" max="2826" width="11" style="27" bestFit="1" customWidth="1"/>
    <col min="2827" max="2827" width="10.85546875" style="27" bestFit="1" customWidth="1"/>
    <col min="2828" max="2828" width="11" style="27" bestFit="1" customWidth="1"/>
    <col min="2829" max="2829" width="10.85546875" style="27" bestFit="1" customWidth="1"/>
    <col min="2830" max="2831" width="18.42578125" style="27" bestFit="1" customWidth="1"/>
    <col min="2832" max="2833" width="10.28515625" style="27" bestFit="1" customWidth="1"/>
    <col min="2834" max="3073" width="9.140625" style="27"/>
    <col min="3074" max="3074" width="18.42578125" style="27" customWidth="1"/>
    <col min="3075" max="3075" width="15.28515625" style="27" customWidth="1"/>
    <col min="3076" max="3076" width="9.140625" style="27"/>
    <col min="3077" max="3077" width="18.140625" style="27" customWidth="1"/>
    <col min="3078" max="3078" width="26.7109375" style="27" customWidth="1"/>
    <col min="3079" max="3080" width="9.140625" style="27"/>
    <col min="3081" max="3081" width="9.7109375" style="27" bestFit="1" customWidth="1"/>
    <col min="3082" max="3082" width="11" style="27" bestFit="1" customWidth="1"/>
    <col min="3083" max="3083" width="10.85546875" style="27" bestFit="1" customWidth="1"/>
    <col min="3084" max="3084" width="11" style="27" bestFit="1" customWidth="1"/>
    <col min="3085" max="3085" width="10.85546875" style="27" bestFit="1" customWidth="1"/>
    <col min="3086" max="3087" width="18.42578125" style="27" bestFit="1" customWidth="1"/>
    <col min="3088" max="3089" width="10.28515625" style="27" bestFit="1" customWidth="1"/>
    <col min="3090" max="3329" width="9.140625" style="27"/>
    <col min="3330" max="3330" width="18.42578125" style="27" customWidth="1"/>
    <col min="3331" max="3331" width="15.28515625" style="27" customWidth="1"/>
    <col min="3332" max="3332" width="9.140625" style="27"/>
    <col min="3333" max="3333" width="18.140625" style="27" customWidth="1"/>
    <col min="3334" max="3334" width="26.7109375" style="27" customWidth="1"/>
    <col min="3335" max="3336" width="9.140625" style="27"/>
    <col min="3337" max="3337" width="9.7109375" style="27" bestFit="1" customWidth="1"/>
    <col min="3338" max="3338" width="11" style="27" bestFit="1" customWidth="1"/>
    <col min="3339" max="3339" width="10.85546875" style="27" bestFit="1" customWidth="1"/>
    <col min="3340" max="3340" width="11" style="27" bestFit="1" customWidth="1"/>
    <col min="3341" max="3341" width="10.85546875" style="27" bestFit="1" customWidth="1"/>
    <col min="3342" max="3343" width="18.42578125" style="27" bestFit="1" customWidth="1"/>
    <col min="3344" max="3345" width="10.28515625" style="27" bestFit="1" customWidth="1"/>
    <col min="3346" max="3585" width="9.140625" style="27"/>
    <col min="3586" max="3586" width="18.42578125" style="27" customWidth="1"/>
    <col min="3587" max="3587" width="15.28515625" style="27" customWidth="1"/>
    <col min="3588" max="3588" width="9.140625" style="27"/>
    <col min="3589" max="3589" width="18.140625" style="27" customWidth="1"/>
    <col min="3590" max="3590" width="26.7109375" style="27" customWidth="1"/>
    <col min="3591" max="3592" width="9.140625" style="27"/>
    <col min="3593" max="3593" width="9.7109375" style="27" bestFit="1" customWidth="1"/>
    <col min="3594" max="3594" width="11" style="27" bestFit="1" customWidth="1"/>
    <col min="3595" max="3595" width="10.85546875" style="27" bestFit="1" customWidth="1"/>
    <col min="3596" max="3596" width="11" style="27" bestFit="1" customWidth="1"/>
    <col min="3597" max="3597" width="10.85546875" style="27" bestFit="1" customWidth="1"/>
    <col min="3598" max="3599" width="18.42578125" style="27" bestFit="1" customWidth="1"/>
    <col min="3600" max="3601" width="10.28515625" style="27" bestFit="1" customWidth="1"/>
    <col min="3602" max="3841" width="9.140625" style="27"/>
    <col min="3842" max="3842" width="18.42578125" style="27" customWidth="1"/>
    <col min="3843" max="3843" width="15.28515625" style="27" customWidth="1"/>
    <col min="3844" max="3844" width="9.140625" style="27"/>
    <col min="3845" max="3845" width="18.140625" style="27" customWidth="1"/>
    <col min="3846" max="3846" width="26.7109375" style="27" customWidth="1"/>
    <col min="3847" max="3848" width="9.140625" style="27"/>
    <col min="3849" max="3849" width="9.7109375" style="27" bestFit="1" customWidth="1"/>
    <col min="3850" max="3850" width="11" style="27" bestFit="1" customWidth="1"/>
    <col min="3851" max="3851" width="10.85546875" style="27" bestFit="1" customWidth="1"/>
    <col min="3852" max="3852" width="11" style="27" bestFit="1" customWidth="1"/>
    <col min="3853" max="3853" width="10.85546875" style="27" bestFit="1" customWidth="1"/>
    <col min="3854" max="3855" width="18.42578125" style="27" bestFit="1" customWidth="1"/>
    <col min="3856" max="3857" width="10.28515625" style="27" bestFit="1" customWidth="1"/>
    <col min="3858" max="4097" width="9.140625" style="27"/>
    <col min="4098" max="4098" width="18.42578125" style="27" customWidth="1"/>
    <col min="4099" max="4099" width="15.28515625" style="27" customWidth="1"/>
    <col min="4100" max="4100" width="9.140625" style="27"/>
    <col min="4101" max="4101" width="18.140625" style="27" customWidth="1"/>
    <col min="4102" max="4102" width="26.7109375" style="27" customWidth="1"/>
    <col min="4103" max="4104" width="9.140625" style="27"/>
    <col min="4105" max="4105" width="9.7109375" style="27" bestFit="1" customWidth="1"/>
    <col min="4106" max="4106" width="11" style="27" bestFit="1" customWidth="1"/>
    <col min="4107" max="4107" width="10.85546875" style="27" bestFit="1" customWidth="1"/>
    <col min="4108" max="4108" width="11" style="27" bestFit="1" customWidth="1"/>
    <col min="4109" max="4109" width="10.85546875" style="27" bestFit="1" customWidth="1"/>
    <col min="4110" max="4111" width="18.42578125" style="27" bestFit="1" customWidth="1"/>
    <col min="4112" max="4113" width="10.28515625" style="27" bestFit="1" customWidth="1"/>
    <col min="4114" max="4353" width="9.140625" style="27"/>
    <col min="4354" max="4354" width="18.42578125" style="27" customWidth="1"/>
    <col min="4355" max="4355" width="15.28515625" style="27" customWidth="1"/>
    <col min="4356" max="4356" width="9.140625" style="27"/>
    <col min="4357" max="4357" width="18.140625" style="27" customWidth="1"/>
    <col min="4358" max="4358" width="26.7109375" style="27" customWidth="1"/>
    <col min="4359" max="4360" width="9.140625" style="27"/>
    <col min="4361" max="4361" width="9.7109375" style="27" bestFit="1" customWidth="1"/>
    <col min="4362" max="4362" width="11" style="27" bestFit="1" customWidth="1"/>
    <col min="4363" max="4363" width="10.85546875" style="27" bestFit="1" customWidth="1"/>
    <col min="4364" max="4364" width="11" style="27" bestFit="1" customWidth="1"/>
    <col min="4365" max="4365" width="10.85546875" style="27" bestFit="1" customWidth="1"/>
    <col min="4366" max="4367" width="18.42578125" style="27" bestFit="1" customWidth="1"/>
    <col min="4368" max="4369" width="10.28515625" style="27" bestFit="1" customWidth="1"/>
    <col min="4370" max="4609" width="9.140625" style="27"/>
    <col min="4610" max="4610" width="18.42578125" style="27" customWidth="1"/>
    <col min="4611" max="4611" width="15.28515625" style="27" customWidth="1"/>
    <col min="4612" max="4612" width="9.140625" style="27"/>
    <col min="4613" max="4613" width="18.140625" style="27" customWidth="1"/>
    <col min="4614" max="4614" width="26.7109375" style="27" customWidth="1"/>
    <col min="4615" max="4616" width="9.140625" style="27"/>
    <col min="4617" max="4617" width="9.7109375" style="27" bestFit="1" customWidth="1"/>
    <col min="4618" max="4618" width="11" style="27" bestFit="1" customWidth="1"/>
    <col min="4619" max="4619" width="10.85546875" style="27" bestFit="1" customWidth="1"/>
    <col min="4620" max="4620" width="11" style="27" bestFit="1" customWidth="1"/>
    <col min="4621" max="4621" width="10.85546875" style="27" bestFit="1" customWidth="1"/>
    <col min="4622" max="4623" width="18.42578125" style="27" bestFit="1" customWidth="1"/>
    <col min="4624" max="4625" width="10.28515625" style="27" bestFit="1" customWidth="1"/>
    <col min="4626" max="4865" width="9.140625" style="27"/>
    <col min="4866" max="4866" width="18.42578125" style="27" customWidth="1"/>
    <col min="4867" max="4867" width="15.28515625" style="27" customWidth="1"/>
    <col min="4868" max="4868" width="9.140625" style="27"/>
    <col min="4869" max="4869" width="18.140625" style="27" customWidth="1"/>
    <col min="4870" max="4870" width="26.7109375" style="27" customWidth="1"/>
    <col min="4871" max="4872" width="9.140625" style="27"/>
    <col min="4873" max="4873" width="9.7109375" style="27" bestFit="1" customWidth="1"/>
    <col min="4874" max="4874" width="11" style="27" bestFit="1" customWidth="1"/>
    <col min="4875" max="4875" width="10.85546875" style="27" bestFit="1" customWidth="1"/>
    <col min="4876" max="4876" width="11" style="27" bestFit="1" customWidth="1"/>
    <col min="4877" max="4877" width="10.85546875" style="27" bestFit="1" customWidth="1"/>
    <col min="4878" max="4879" width="18.42578125" style="27" bestFit="1" customWidth="1"/>
    <col min="4880" max="4881" width="10.28515625" style="27" bestFit="1" customWidth="1"/>
    <col min="4882" max="5121" width="9.140625" style="27"/>
    <col min="5122" max="5122" width="18.42578125" style="27" customWidth="1"/>
    <col min="5123" max="5123" width="15.28515625" style="27" customWidth="1"/>
    <col min="5124" max="5124" width="9.140625" style="27"/>
    <col min="5125" max="5125" width="18.140625" style="27" customWidth="1"/>
    <col min="5126" max="5126" width="26.7109375" style="27" customWidth="1"/>
    <col min="5127" max="5128" width="9.140625" style="27"/>
    <col min="5129" max="5129" width="9.7109375" style="27" bestFit="1" customWidth="1"/>
    <col min="5130" max="5130" width="11" style="27" bestFit="1" customWidth="1"/>
    <col min="5131" max="5131" width="10.85546875" style="27" bestFit="1" customWidth="1"/>
    <col min="5132" max="5132" width="11" style="27" bestFit="1" customWidth="1"/>
    <col min="5133" max="5133" width="10.85546875" style="27" bestFit="1" customWidth="1"/>
    <col min="5134" max="5135" width="18.42578125" style="27" bestFit="1" customWidth="1"/>
    <col min="5136" max="5137" width="10.28515625" style="27" bestFit="1" customWidth="1"/>
    <col min="5138" max="5377" width="9.140625" style="27"/>
    <col min="5378" max="5378" width="18.42578125" style="27" customWidth="1"/>
    <col min="5379" max="5379" width="15.28515625" style="27" customWidth="1"/>
    <col min="5380" max="5380" width="9.140625" style="27"/>
    <col min="5381" max="5381" width="18.140625" style="27" customWidth="1"/>
    <col min="5382" max="5382" width="26.7109375" style="27" customWidth="1"/>
    <col min="5383" max="5384" width="9.140625" style="27"/>
    <col min="5385" max="5385" width="9.7109375" style="27" bestFit="1" customWidth="1"/>
    <col min="5386" max="5386" width="11" style="27" bestFit="1" customWidth="1"/>
    <col min="5387" max="5387" width="10.85546875" style="27" bestFit="1" customWidth="1"/>
    <col min="5388" max="5388" width="11" style="27" bestFit="1" customWidth="1"/>
    <col min="5389" max="5389" width="10.85546875" style="27" bestFit="1" customWidth="1"/>
    <col min="5390" max="5391" width="18.42578125" style="27" bestFit="1" customWidth="1"/>
    <col min="5392" max="5393" width="10.28515625" style="27" bestFit="1" customWidth="1"/>
    <col min="5394" max="5633" width="9.140625" style="27"/>
    <col min="5634" max="5634" width="18.42578125" style="27" customWidth="1"/>
    <col min="5635" max="5635" width="15.28515625" style="27" customWidth="1"/>
    <col min="5636" max="5636" width="9.140625" style="27"/>
    <col min="5637" max="5637" width="18.140625" style="27" customWidth="1"/>
    <col min="5638" max="5638" width="26.7109375" style="27" customWidth="1"/>
    <col min="5639" max="5640" width="9.140625" style="27"/>
    <col min="5641" max="5641" width="9.7109375" style="27" bestFit="1" customWidth="1"/>
    <col min="5642" max="5642" width="11" style="27" bestFit="1" customWidth="1"/>
    <col min="5643" max="5643" width="10.85546875" style="27" bestFit="1" customWidth="1"/>
    <col min="5644" max="5644" width="11" style="27" bestFit="1" customWidth="1"/>
    <col min="5645" max="5645" width="10.85546875" style="27" bestFit="1" customWidth="1"/>
    <col min="5646" max="5647" width="18.42578125" style="27" bestFit="1" customWidth="1"/>
    <col min="5648" max="5649" width="10.28515625" style="27" bestFit="1" customWidth="1"/>
    <col min="5650" max="5889" width="9.140625" style="27"/>
    <col min="5890" max="5890" width="18.42578125" style="27" customWidth="1"/>
    <col min="5891" max="5891" width="15.28515625" style="27" customWidth="1"/>
    <col min="5892" max="5892" width="9.140625" style="27"/>
    <col min="5893" max="5893" width="18.140625" style="27" customWidth="1"/>
    <col min="5894" max="5894" width="26.7109375" style="27" customWidth="1"/>
    <col min="5895" max="5896" width="9.140625" style="27"/>
    <col min="5897" max="5897" width="9.7109375" style="27" bestFit="1" customWidth="1"/>
    <col min="5898" max="5898" width="11" style="27" bestFit="1" customWidth="1"/>
    <col min="5899" max="5899" width="10.85546875" style="27" bestFit="1" customWidth="1"/>
    <col min="5900" max="5900" width="11" style="27" bestFit="1" customWidth="1"/>
    <col min="5901" max="5901" width="10.85546875" style="27" bestFit="1" customWidth="1"/>
    <col min="5902" max="5903" width="18.42578125" style="27" bestFit="1" customWidth="1"/>
    <col min="5904" max="5905" width="10.28515625" style="27" bestFit="1" customWidth="1"/>
    <col min="5906" max="6145" width="9.140625" style="27"/>
    <col min="6146" max="6146" width="18.42578125" style="27" customWidth="1"/>
    <col min="6147" max="6147" width="15.28515625" style="27" customWidth="1"/>
    <col min="6148" max="6148" width="9.140625" style="27"/>
    <col min="6149" max="6149" width="18.140625" style="27" customWidth="1"/>
    <col min="6150" max="6150" width="26.7109375" style="27" customWidth="1"/>
    <col min="6151" max="6152" width="9.140625" style="27"/>
    <col min="6153" max="6153" width="9.7109375" style="27" bestFit="1" customWidth="1"/>
    <col min="6154" max="6154" width="11" style="27" bestFit="1" customWidth="1"/>
    <col min="6155" max="6155" width="10.85546875" style="27" bestFit="1" customWidth="1"/>
    <col min="6156" max="6156" width="11" style="27" bestFit="1" customWidth="1"/>
    <col min="6157" max="6157" width="10.85546875" style="27" bestFit="1" customWidth="1"/>
    <col min="6158" max="6159" width="18.42578125" style="27" bestFit="1" customWidth="1"/>
    <col min="6160" max="6161" width="10.28515625" style="27" bestFit="1" customWidth="1"/>
    <col min="6162" max="6401" width="9.140625" style="27"/>
    <col min="6402" max="6402" width="18.42578125" style="27" customWidth="1"/>
    <col min="6403" max="6403" width="15.28515625" style="27" customWidth="1"/>
    <col min="6404" max="6404" width="9.140625" style="27"/>
    <col min="6405" max="6405" width="18.140625" style="27" customWidth="1"/>
    <col min="6406" max="6406" width="26.7109375" style="27" customWidth="1"/>
    <col min="6407" max="6408" width="9.140625" style="27"/>
    <col min="6409" max="6409" width="9.7109375" style="27" bestFit="1" customWidth="1"/>
    <col min="6410" max="6410" width="11" style="27" bestFit="1" customWidth="1"/>
    <col min="6411" max="6411" width="10.85546875" style="27" bestFit="1" customWidth="1"/>
    <col min="6412" max="6412" width="11" style="27" bestFit="1" customWidth="1"/>
    <col min="6413" max="6413" width="10.85546875" style="27" bestFit="1" customWidth="1"/>
    <col min="6414" max="6415" width="18.42578125" style="27" bestFit="1" customWidth="1"/>
    <col min="6416" max="6417" width="10.28515625" style="27" bestFit="1" customWidth="1"/>
    <col min="6418" max="6657" width="9.140625" style="27"/>
    <col min="6658" max="6658" width="18.42578125" style="27" customWidth="1"/>
    <col min="6659" max="6659" width="15.28515625" style="27" customWidth="1"/>
    <col min="6660" max="6660" width="9.140625" style="27"/>
    <col min="6661" max="6661" width="18.140625" style="27" customWidth="1"/>
    <col min="6662" max="6662" width="26.7109375" style="27" customWidth="1"/>
    <col min="6663" max="6664" width="9.140625" style="27"/>
    <col min="6665" max="6665" width="9.7109375" style="27" bestFit="1" customWidth="1"/>
    <col min="6666" max="6666" width="11" style="27" bestFit="1" customWidth="1"/>
    <col min="6667" max="6667" width="10.85546875" style="27" bestFit="1" customWidth="1"/>
    <col min="6668" max="6668" width="11" style="27" bestFit="1" customWidth="1"/>
    <col min="6669" max="6669" width="10.85546875" style="27" bestFit="1" customWidth="1"/>
    <col min="6670" max="6671" width="18.42578125" style="27" bestFit="1" customWidth="1"/>
    <col min="6672" max="6673" width="10.28515625" style="27" bestFit="1" customWidth="1"/>
    <col min="6674" max="6913" width="9.140625" style="27"/>
    <col min="6914" max="6914" width="18.42578125" style="27" customWidth="1"/>
    <col min="6915" max="6915" width="15.28515625" style="27" customWidth="1"/>
    <col min="6916" max="6916" width="9.140625" style="27"/>
    <col min="6917" max="6917" width="18.140625" style="27" customWidth="1"/>
    <col min="6918" max="6918" width="26.7109375" style="27" customWidth="1"/>
    <col min="6919" max="6920" width="9.140625" style="27"/>
    <col min="6921" max="6921" width="9.7109375" style="27" bestFit="1" customWidth="1"/>
    <col min="6922" max="6922" width="11" style="27" bestFit="1" customWidth="1"/>
    <col min="6923" max="6923" width="10.85546875" style="27" bestFit="1" customWidth="1"/>
    <col min="6924" max="6924" width="11" style="27" bestFit="1" customWidth="1"/>
    <col min="6925" max="6925" width="10.85546875" style="27" bestFit="1" customWidth="1"/>
    <col min="6926" max="6927" width="18.42578125" style="27" bestFit="1" customWidth="1"/>
    <col min="6928" max="6929" width="10.28515625" style="27" bestFit="1" customWidth="1"/>
    <col min="6930" max="7169" width="9.140625" style="27"/>
    <col min="7170" max="7170" width="18.42578125" style="27" customWidth="1"/>
    <col min="7171" max="7171" width="15.28515625" style="27" customWidth="1"/>
    <col min="7172" max="7172" width="9.140625" style="27"/>
    <col min="7173" max="7173" width="18.140625" style="27" customWidth="1"/>
    <col min="7174" max="7174" width="26.7109375" style="27" customWidth="1"/>
    <col min="7175" max="7176" width="9.140625" style="27"/>
    <col min="7177" max="7177" width="9.7109375" style="27" bestFit="1" customWidth="1"/>
    <col min="7178" max="7178" width="11" style="27" bestFit="1" customWidth="1"/>
    <col min="7179" max="7179" width="10.85546875" style="27" bestFit="1" customWidth="1"/>
    <col min="7180" max="7180" width="11" style="27" bestFit="1" customWidth="1"/>
    <col min="7181" max="7181" width="10.85546875" style="27" bestFit="1" customWidth="1"/>
    <col min="7182" max="7183" width="18.42578125" style="27" bestFit="1" customWidth="1"/>
    <col min="7184" max="7185" width="10.28515625" style="27" bestFit="1" customWidth="1"/>
    <col min="7186" max="7425" width="9.140625" style="27"/>
    <col min="7426" max="7426" width="18.42578125" style="27" customWidth="1"/>
    <col min="7427" max="7427" width="15.28515625" style="27" customWidth="1"/>
    <col min="7428" max="7428" width="9.140625" style="27"/>
    <col min="7429" max="7429" width="18.140625" style="27" customWidth="1"/>
    <col min="7430" max="7430" width="26.7109375" style="27" customWidth="1"/>
    <col min="7431" max="7432" width="9.140625" style="27"/>
    <col min="7433" max="7433" width="9.7109375" style="27" bestFit="1" customWidth="1"/>
    <col min="7434" max="7434" width="11" style="27" bestFit="1" customWidth="1"/>
    <col min="7435" max="7435" width="10.85546875" style="27" bestFit="1" customWidth="1"/>
    <col min="7436" max="7436" width="11" style="27" bestFit="1" customWidth="1"/>
    <col min="7437" max="7437" width="10.85546875" style="27" bestFit="1" customWidth="1"/>
    <col min="7438" max="7439" width="18.42578125" style="27" bestFit="1" customWidth="1"/>
    <col min="7440" max="7441" width="10.28515625" style="27" bestFit="1" customWidth="1"/>
    <col min="7442" max="7681" width="9.140625" style="27"/>
    <col min="7682" max="7682" width="18.42578125" style="27" customWidth="1"/>
    <col min="7683" max="7683" width="15.28515625" style="27" customWidth="1"/>
    <col min="7684" max="7684" width="9.140625" style="27"/>
    <col min="7685" max="7685" width="18.140625" style="27" customWidth="1"/>
    <col min="7686" max="7686" width="26.7109375" style="27" customWidth="1"/>
    <col min="7687" max="7688" width="9.140625" style="27"/>
    <col min="7689" max="7689" width="9.7109375" style="27" bestFit="1" customWidth="1"/>
    <col min="7690" max="7690" width="11" style="27" bestFit="1" customWidth="1"/>
    <col min="7691" max="7691" width="10.85546875" style="27" bestFit="1" customWidth="1"/>
    <col min="7692" max="7692" width="11" style="27" bestFit="1" customWidth="1"/>
    <col min="7693" max="7693" width="10.85546875" style="27" bestFit="1" customWidth="1"/>
    <col min="7694" max="7695" width="18.42578125" style="27" bestFit="1" customWidth="1"/>
    <col min="7696" max="7697" width="10.28515625" style="27" bestFit="1" customWidth="1"/>
    <col min="7698" max="7937" width="9.140625" style="27"/>
    <col min="7938" max="7938" width="18.42578125" style="27" customWidth="1"/>
    <col min="7939" max="7939" width="15.28515625" style="27" customWidth="1"/>
    <col min="7940" max="7940" width="9.140625" style="27"/>
    <col min="7941" max="7941" width="18.140625" style="27" customWidth="1"/>
    <col min="7942" max="7942" width="26.7109375" style="27" customWidth="1"/>
    <col min="7943" max="7944" width="9.140625" style="27"/>
    <col min="7945" max="7945" width="9.7109375" style="27" bestFit="1" customWidth="1"/>
    <col min="7946" max="7946" width="11" style="27" bestFit="1" customWidth="1"/>
    <col min="7947" max="7947" width="10.85546875" style="27" bestFit="1" customWidth="1"/>
    <col min="7948" max="7948" width="11" style="27" bestFit="1" customWidth="1"/>
    <col min="7949" max="7949" width="10.85546875" style="27" bestFit="1" customWidth="1"/>
    <col min="7950" max="7951" width="18.42578125" style="27" bestFit="1" customWidth="1"/>
    <col min="7952" max="7953" width="10.28515625" style="27" bestFit="1" customWidth="1"/>
    <col min="7954" max="8193" width="9.140625" style="27"/>
    <col min="8194" max="8194" width="18.42578125" style="27" customWidth="1"/>
    <col min="8195" max="8195" width="15.28515625" style="27" customWidth="1"/>
    <col min="8196" max="8196" width="9.140625" style="27"/>
    <col min="8197" max="8197" width="18.140625" style="27" customWidth="1"/>
    <col min="8198" max="8198" width="26.7109375" style="27" customWidth="1"/>
    <col min="8199" max="8200" width="9.140625" style="27"/>
    <col min="8201" max="8201" width="9.7109375" style="27" bestFit="1" customWidth="1"/>
    <col min="8202" max="8202" width="11" style="27" bestFit="1" customWidth="1"/>
    <col min="8203" max="8203" width="10.85546875" style="27" bestFit="1" customWidth="1"/>
    <col min="8204" max="8204" width="11" style="27" bestFit="1" customWidth="1"/>
    <col min="8205" max="8205" width="10.85546875" style="27" bestFit="1" customWidth="1"/>
    <col min="8206" max="8207" width="18.42578125" style="27" bestFit="1" customWidth="1"/>
    <col min="8208" max="8209" width="10.28515625" style="27" bestFit="1" customWidth="1"/>
    <col min="8210" max="8449" width="9.140625" style="27"/>
    <col min="8450" max="8450" width="18.42578125" style="27" customWidth="1"/>
    <col min="8451" max="8451" width="15.28515625" style="27" customWidth="1"/>
    <col min="8452" max="8452" width="9.140625" style="27"/>
    <col min="8453" max="8453" width="18.140625" style="27" customWidth="1"/>
    <col min="8454" max="8454" width="26.7109375" style="27" customWidth="1"/>
    <col min="8455" max="8456" width="9.140625" style="27"/>
    <col min="8457" max="8457" width="9.7109375" style="27" bestFit="1" customWidth="1"/>
    <col min="8458" max="8458" width="11" style="27" bestFit="1" customWidth="1"/>
    <col min="8459" max="8459" width="10.85546875" style="27" bestFit="1" customWidth="1"/>
    <col min="8460" max="8460" width="11" style="27" bestFit="1" customWidth="1"/>
    <col min="8461" max="8461" width="10.85546875" style="27" bestFit="1" customWidth="1"/>
    <col min="8462" max="8463" width="18.42578125" style="27" bestFit="1" customWidth="1"/>
    <col min="8464" max="8465" width="10.28515625" style="27" bestFit="1" customWidth="1"/>
    <col min="8466" max="8705" width="9.140625" style="27"/>
    <col min="8706" max="8706" width="18.42578125" style="27" customWidth="1"/>
    <col min="8707" max="8707" width="15.28515625" style="27" customWidth="1"/>
    <col min="8708" max="8708" width="9.140625" style="27"/>
    <col min="8709" max="8709" width="18.140625" style="27" customWidth="1"/>
    <col min="8710" max="8710" width="26.7109375" style="27" customWidth="1"/>
    <col min="8711" max="8712" width="9.140625" style="27"/>
    <col min="8713" max="8713" width="9.7109375" style="27" bestFit="1" customWidth="1"/>
    <col min="8714" max="8714" width="11" style="27" bestFit="1" customWidth="1"/>
    <col min="8715" max="8715" width="10.85546875" style="27" bestFit="1" customWidth="1"/>
    <col min="8716" max="8716" width="11" style="27" bestFit="1" customWidth="1"/>
    <col min="8717" max="8717" width="10.85546875" style="27" bestFit="1" customWidth="1"/>
    <col min="8718" max="8719" width="18.42578125" style="27" bestFit="1" customWidth="1"/>
    <col min="8720" max="8721" width="10.28515625" style="27" bestFit="1" customWidth="1"/>
    <col min="8722" max="8961" width="9.140625" style="27"/>
    <col min="8962" max="8962" width="18.42578125" style="27" customWidth="1"/>
    <col min="8963" max="8963" width="15.28515625" style="27" customWidth="1"/>
    <col min="8964" max="8964" width="9.140625" style="27"/>
    <col min="8965" max="8965" width="18.140625" style="27" customWidth="1"/>
    <col min="8966" max="8966" width="26.7109375" style="27" customWidth="1"/>
    <col min="8967" max="8968" width="9.140625" style="27"/>
    <col min="8969" max="8969" width="9.7109375" style="27" bestFit="1" customWidth="1"/>
    <col min="8970" max="8970" width="11" style="27" bestFit="1" customWidth="1"/>
    <col min="8971" max="8971" width="10.85546875" style="27" bestFit="1" customWidth="1"/>
    <col min="8972" max="8972" width="11" style="27" bestFit="1" customWidth="1"/>
    <col min="8973" max="8973" width="10.85546875" style="27" bestFit="1" customWidth="1"/>
    <col min="8974" max="8975" width="18.42578125" style="27" bestFit="1" customWidth="1"/>
    <col min="8976" max="8977" width="10.28515625" style="27" bestFit="1" customWidth="1"/>
    <col min="8978" max="9217" width="9.140625" style="27"/>
    <col min="9218" max="9218" width="18.42578125" style="27" customWidth="1"/>
    <col min="9219" max="9219" width="15.28515625" style="27" customWidth="1"/>
    <col min="9220" max="9220" width="9.140625" style="27"/>
    <col min="9221" max="9221" width="18.140625" style="27" customWidth="1"/>
    <col min="9222" max="9222" width="26.7109375" style="27" customWidth="1"/>
    <col min="9223" max="9224" width="9.140625" style="27"/>
    <col min="9225" max="9225" width="9.7109375" style="27" bestFit="1" customWidth="1"/>
    <col min="9226" max="9226" width="11" style="27" bestFit="1" customWidth="1"/>
    <col min="9227" max="9227" width="10.85546875" style="27" bestFit="1" customWidth="1"/>
    <col min="9228" max="9228" width="11" style="27" bestFit="1" customWidth="1"/>
    <col min="9229" max="9229" width="10.85546875" style="27" bestFit="1" customWidth="1"/>
    <col min="9230" max="9231" width="18.42578125" style="27" bestFit="1" customWidth="1"/>
    <col min="9232" max="9233" width="10.28515625" style="27" bestFit="1" customWidth="1"/>
    <col min="9234" max="9473" width="9.140625" style="27"/>
    <col min="9474" max="9474" width="18.42578125" style="27" customWidth="1"/>
    <col min="9475" max="9475" width="15.28515625" style="27" customWidth="1"/>
    <col min="9476" max="9476" width="9.140625" style="27"/>
    <col min="9477" max="9477" width="18.140625" style="27" customWidth="1"/>
    <col min="9478" max="9478" width="26.7109375" style="27" customWidth="1"/>
    <col min="9479" max="9480" width="9.140625" style="27"/>
    <col min="9481" max="9481" width="9.7109375" style="27" bestFit="1" customWidth="1"/>
    <col min="9482" max="9482" width="11" style="27" bestFit="1" customWidth="1"/>
    <col min="9483" max="9483" width="10.85546875" style="27" bestFit="1" customWidth="1"/>
    <col min="9484" max="9484" width="11" style="27" bestFit="1" customWidth="1"/>
    <col min="9485" max="9485" width="10.85546875" style="27" bestFit="1" customWidth="1"/>
    <col min="9486" max="9487" width="18.42578125" style="27" bestFit="1" customWidth="1"/>
    <col min="9488" max="9489" width="10.28515625" style="27" bestFit="1" customWidth="1"/>
    <col min="9490" max="9729" width="9.140625" style="27"/>
    <col min="9730" max="9730" width="18.42578125" style="27" customWidth="1"/>
    <col min="9731" max="9731" width="15.28515625" style="27" customWidth="1"/>
    <col min="9732" max="9732" width="9.140625" style="27"/>
    <col min="9733" max="9733" width="18.140625" style="27" customWidth="1"/>
    <col min="9734" max="9734" width="26.7109375" style="27" customWidth="1"/>
    <col min="9735" max="9736" width="9.140625" style="27"/>
    <col min="9737" max="9737" width="9.7109375" style="27" bestFit="1" customWidth="1"/>
    <col min="9738" max="9738" width="11" style="27" bestFit="1" customWidth="1"/>
    <col min="9739" max="9739" width="10.85546875" style="27" bestFit="1" customWidth="1"/>
    <col min="9740" max="9740" width="11" style="27" bestFit="1" customWidth="1"/>
    <col min="9741" max="9741" width="10.85546875" style="27" bestFit="1" customWidth="1"/>
    <col min="9742" max="9743" width="18.42578125" style="27" bestFit="1" customWidth="1"/>
    <col min="9744" max="9745" width="10.28515625" style="27" bestFit="1" customWidth="1"/>
    <col min="9746" max="9985" width="9.140625" style="27"/>
    <col min="9986" max="9986" width="18.42578125" style="27" customWidth="1"/>
    <col min="9987" max="9987" width="15.28515625" style="27" customWidth="1"/>
    <col min="9988" max="9988" width="9.140625" style="27"/>
    <col min="9989" max="9989" width="18.140625" style="27" customWidth="1"/>
    <col min="9990" max="9990" width="26.7109375" style="27" customWidth="1"/>
    <col min="9991" max="9992" width="9.140625" style="27"/>
    <col min="9993" max="9993" width="9.7109375" style="27" bestFit="1" customWidth="1"/>
    <col min="9994" max="9994" width="11" style="27" bestFit="1" customWidth="1"/>
    <col min="9995" max="9995" width="10.85546875" style="27" bestFit="1" customWidth="1"/>
    <col min="9996" max="9996" width="11" style="27" bestFit="1" customWidth="1"/>
    <col min="9997" max="9997" width="10.85546875" style="27" bestFit="1" customWidth="1"/>
    <col min="9998" max="9999" width="18.42578125" style="27" bestFit="1" customWidth="1"/>
    <col min="10000" max="10001" width="10.28515625" style="27" bestFit="1" customWidth="1"/>
    <col min="10002" max="10241" width="9.140625" style="27"/>
    <col min="10242" max="10242" width="18.42578125" style="27" customWidth="1"/>
    <col min="10243" max="10243" width="15.28515625" style="27" customWidth="1"/>
    <col min="10244" max="10244" width="9.140625" style="27"/>
    <col min="10245" max="10245" width="18.140625" style="27" customWidth="1"/>
    <col min="10246" max="10246" width="26.7109375" style="27" customWidth="1"/>
    <col min="10247" max="10248" width="9.140625" style="27"/>
    <col min="10249" max="10249" width="9.7109375" style="27" bestFit="1" customWidth="1"/>
    <col min="10250" max="10250" width="11" style="27" bestFit="1" customWidth="1"/>
    <col min="10251" max="10251" width="10.85546875" style="27" bestFit="1" customWidth="1"/>
    <col min="10252" max="10252" width="11" style="27" bestFit="1" customWidth="1"/>
    <col min="10253" max="10253" width="10.85546875" style="27" bestFit="1" customWidth="1"/>
    <col min="10254" max="10255" width="18.42578125" style="27" bestFit="1" customWidth="1"/>
    <col min="10256" max="10257" width="10.28515625" style="27" bestFit="1" customWidth="1"/>
    <col min="10258" max="10497" width="9.140625" style="27"/>
    <col min="10498" max="10498" width="18.42578125" style="27" customWidth="1"/>
    <col min="10499" max="10499" width="15.28515625" style="27" customWidth="1"/>
    <col min="10500" max="10500" width="9.140625" style="27"/>
    <col min="10501" max="10501" width="18.140625" style="27" customWidth="1"/>
    <col min="10502" max="10502" width="26.7109375" style="27" customWidth="1"/>
    <col min="10503" max="10504" width="9.140625" style="27"/>
    <col min="10505" max="10505" width="9.7109375" style="27" bestFit="1" customWidth="1"/>
    <col min="10506" max="10506" width="11" style="27" bestFit="1" customWidth="1"/>
    <col min="10507" max="10507" width="10.85546875" style="27" bestFit="1" customWidth="1"/>
    <col min="10508" max="10508" width="11" style="27" bestFit="1" customWidth="1"/>
    <col min="10509" max="10509" width="10.85546875" style="27" bestFit="1" customWidth="1"/>
    <col min="10510" max="10511" width="18.42578125" style="27" bestFit="1" customWidth="1"/>
    <col min="10512" max="10513" width="10.28515625" style="27" bestFit="1" customWidth="1"/>
    <col min="10514" max="10753" width="9.140625" style="27"/>
    <col min="10754" max="10754" width="18.42578125" style="27" customWidth="1"/>
    <col min="10755" max="10755" width="15.28515625" style="27" customWidth="1"/>
    <col min="10756" max="10756" width="9.140625" style="27"/>
    <col min="10757" max="10757" width="18.140625" style="27" customWidth="1"/>
    <col min="10758" max="10758" width="26.7109375" style="27" customWidth="1"/>
    <col min="10759" max="10760" width="9.140625" style="27"/>
    <col min="10761" max="10761" width="9.7109375" style="27" bestFit="1" customWidth="1"/>
    <col min="10762" max="10762" width="11" style="27" bestFit="1" customWidth="1"/>
    <col min="10763" max="10763" width="10.85546875" style="27" bestFit="1" customWidth="1"/>
    <col min="10764" max="10764" width="11" style="27" bestFit="1" customWidth="1"/>
    <col min="10765" max="10765" width="10.85546875" style="27" bestFit="1" customWidth="1"/>
    <col min="10766" max="10767" width="18.42578125" style="27" bestFit="1" customWidth="1"/>
    <col min="10768" max="10769" width="10.28515625" style="27" bestFit="1" customWidth="1"/>
    <col min="10770" max="11009" width="9.140625" style="27"/>
    <col min="11010" max="11010" width="18.42578125" style="27" customWidth="1"/>
    <col min="11011" max="11011" width="15.28515625" style="27" customWidth="1"/>
    <col min="11012" max="11012" width="9.140625" style="27"/>
    <col min="11013" max="11013" width="18.140625" style="27" customWidth="1"/>
    <col min="11014" max="11014" width="26.7109375" style="27" customWidth="1"/>
    <col min="11015" max="11016" width="9.140625" style="27"/>
    <col min="11017" max="11017" width="9.7109375" style="27" bestFit="1" customWidth="1"/>
    <col min="11018" max="11018" width="11" style="27" bestFit="1" customWidth="1"/>
    <col min="11019" max="11019" width="10.85546875" style="27" bestFit="1" customWidth="1"/>
    <col min="11020" max="11020" width="11" style="27" bestFit="1" customWidth="1"/>
    <col min="11021" max="11021" width="10.85546875" style="27" bestFit="1" customWidth="1"/>
    <col min="11022" max="11023" width="18.42578125" style="27" bestFit="1" customWidth="1"/>
    <col min="11024" max="11025" width="10.28515625" style="27" bestFit="1" customWidth="1"/>
    <col min="11026" max="11265" width="9.140625" style="27"/>
    <col min="11266" max="11266" width="18.42578125" style="27" customWidth="1"/>
    <col min="11267" max="11267" width="15.28515625" style="27" customWidth="1"/>
    <col min="11268" max="11268" width="9.140625" style="27"/>
    <col min="11269" max="11269" width="18.140625" style="27" customWidth="1"/>
    <col min="11270" max="11270" width="26.7109375" style="27" customWidth="1"/>
    <col min="11271" max="11272" width="9.140625" style="27"/>
    <col min="11273" max="11273" width="9.7109375" style="27" bestFit="1" customWidth="1"/>
    <col min="11274" max="11274" width="11" style="27" bestFit="1" customWidth="1"/>
    <col min="11275" max="11275" width="10.85546875" style="27" bestFit="1" customWidth="1"/>
    <col min="11276" max="11276" width="11" style="27" bestFit="1" customWidth="1"/>
    <col min="11277" max="11277" width="10.85546875" style="27" bestFit="1" customWidth="1"/>
    <col min="11278" max="11279" width="18.42578125" style="27" bestFit="1" customWidth="1"/>
    <col min="11280" max="11281" width="10.28515625" style="27" bestFit="1" customWidth="1"/>
    <col min="11282" max="11521" width="9.140625" style="27"/>
    <col min="11522" max="11522" width="18.42578125" style="27" customWidth="1"/>
    <col min="11523" max="11523" width="15.28515625" style="27" customWidth="1"/>
    <col min="11524" max="11524" width="9.140625" style="27"/>
    <col min="11525" max="11525" width="18.140625" style="27" customWidth="1"/>
    <col min="11526" max="11526" width="26.7109375" style="27" customWidth="1"/>
    <col min="11527" max="11528" width="9.140625" style="27"/>
    <col min="11529" max="11529" width="9.7109375" style="27" bestFit="1" customWidth="1"/>
    <col min="11530" max="11530" width="11" style="27" bestFit="1" customWidth="1"/>
    <col min="11531" max="11531" width="10.85546875" style="27" bestFit="1" customWidth="1"/>
    <col min="11532" max="11532" width="11" style="27" bestFit="1" customWidth="1"/>
    <col min="11533" max="11533" width="10.85546875" style="27" bestFit="1" customWidth="1"/>
    <col min="11534" max="11535" width="18.42578125" style="27" bestFit="1" customWidth="1"/>
    <col min="11536" max="11537" width="10.28515625" style="27" bestFit="1" customWidth="1"/>
    <col min="11538" max="11777" width="9.140625" style="27"/>
    <col min="11778" max="11778" width="18.42578125" style="27" customWidth="1"/>
    <col min="11779" max="11779" width="15.28515625" style="27" customWidth="1"/>
    <col min="11780" max="11780" width="9.140625" style="27"/>
    <col min="11781" max="11781" width="18.140625" style="27" customWidth="1"/>
    <col min="11782" max="11782" width="26.7109375" style="27" customWidth="1"/>
    <col min="11783" max="11784" width="9.140625" style="27"/>
    <col min="11785" max="11785" width="9.7109375" style="27" bestFit="1" customWidth="1"/>
    <col min="11786" max="11786" width="11" style="27" bestFit="1" customWidth="1"/>
    <col min="11787" max="11787" width="10.85546875" style="27" bestFit="1" customWidth="1"/>
    <col min="11788" max="11788" width="11" style="27" bestFit="1" customWidth="1"/>
    <col min="11789" max="11789" width="10.85546875" style="27" bestFit="1" customWidth="1"/>
    <col min="11790" max="11791" width="18.42578125" style="27" bestFit="1" customWidth="1"/>
    <col min="11792" max="11793" width="10.28515625" style="27" bestFit="1" customWidth="1"/>
    <col min="11794" max="12033" width="9.140625" style="27"/>
    <col min="12034" max="12034" width="18.42578125" style="27" customWidth="1"/>
    <col min="12035" max="12035" width="15.28515625" style="27" customWidth="1"/>
    <col min="12036" max="12036" width="9.140625" style="27"/>
    <col min="12037" max="12037" width="18.140625" style="27" customWidth="1"/>
    <col min="12038" max="12038" width="26.7109375" style="27" customWidth="1"/>
    <col min="12039" max="12040" width="9.140625" style="27"/>
    <col min="12041" max="12041" width="9.7109375" style="27" bestFit="1" customWidth="1"/>
    <col min="12042" max="12042" width="11" style="27" bestFit="1" customWidth="1"/>
    <col min="12043" max="12043" width="10.85546875" style="27" bestFit="1" customWidth="1"/>
    <col min="12044" max="12044" width="11" style="27" bestFit="1" customWidth="1"/>
    <col min="12045" max="12045" width="10.85546875" style="27" bestFit="1" customWidth="1"/>
    <col min="12046" max="12047" width="18.42578125" style="27" bestFit="1" customWidth="1"/>
    <col min="12048" max="12049" width="10.28515625" style="27" bestFit="1" customWidth="1"/>
    <col min="12050" max="12289" width="9.140625" style="27"/>
    <col min="12290" max="12290" width="18.42578125" style="27" customWidth="1"/>
    <col min="12291" max="12291" width="15.28515625" style="27" customWidth="1"/>
    <col min="12292" max="12292" width="9.140625" style="27"/>
    <col min="12293" max="12293" width="18.140625" style="27" customWidth="1"/>
    <col min="12294" max="12294" width="26.7109375" style="27" customWidth="1"/>
    <col min="12295" max="12296" width="9.140625" style="27"/>
    <col min="12297" max="12297" width="9.7109375" style="27" bestFit="1" customWidth="1"/>
    <col min="12298" max="12298" width="11" style="27" bestFit="1" customWidth="1"/>
    <col min="12299" max="12299" width="10.85546875" style="27" bestFit="1" customWidth="1"/>
    <col min="12300" max="12300" width="11" style="27" bestFit="1" customWidth="1"/>
    <col min="12301" max="12301" width="10.85546875" style="27" bestFit="1" customWidth="1"/>
    <col min="12302" max="12303" width="18.42578125" style="27" bestFit="1" customWidth="1"/>
    <col min="12304" max="12305" width="10.28515625" style="27" bestFit="1" customWidth="1"/>
    <col min="12306" max="12545" width="9.140625" style="27"/>
    <col min="12546" max="12546" width="18.42578125" style="27" customWidth="1"/>
    <col min="12547" max="12547" width="15.28515625" style="27" customWidth="1"/>
    <col min="12548" max="12548" width="9.140625" style="27"/>
    <col min="12549" max="12549" width="18.140625" style="27" customWidth="1"/>
    <col min="12550" max="12550" width="26.7109375" style="27" customWidth="1"/>
    <col min="12551" max="12552" width="9.140625" style="27"/>
    <col min="12553" max="12553" width="9.7109375" style="27" bestFit="1" customWidth="1"/>
    <col min="12554" max="12554" width="11" style="27" bestFit="1" customWidth="1"/>
    <col min="12555" max="12555" width="10.85546875" style="27" bestFit="1" customWidth="1"/>
    <col min="12556" max="12556" width="11" style="27" bestFit="1" customWidth="1"/>
    <col min="12557" max="12557" width="10.85546875" style="27" bestFit="1" customWidth="1"/>
    <col min="12558" max="12559" width="18.42578125" style="27" bestFit="1" customWidth="1"/>
    <col min="12560" max="12561" width="10.28515625" style="27" bestFit="1" customWidth="1"/>
    <col min="12562" max="12801" width="9.140625" style="27"/>
    <col min="12802" max="12802" width="18.42578125" style="27" customWidth="1"/>
    <col min="12803" max="12803" width="15.28515625" style="27" customWidth="1"/>
    <col min="12804" max="12804" width="9.140625" style="27"/>
    <col min="12805" max="12805" width="18.140625" style="27" customWidth="1"/>
    <col min="12806" max="12806" width="26.7109375" style="27" customWidth="1"/>
    <col min="12807" max="12808" width="9.140625" style="27"/>
    <col min="12809" max="12809" width="9.7109375" style="27" bestFit="1" customWidth="1"/>
    <col min="12810" max="12810" width="11" style="27" bestFit="1" customWidth="1"/>
    <col min="12811" max="12811" width="10.85546875" style="27" bestFit="1" customWidth="1"/>
    <col min="12812" max="12812" width="11" style="27" bestFit="1" customWidth="1"/>
    <col min="12813" max="12813" width="10.85546875" style="27" bestFit="1" customWidth="1"/>
    <col min="12814" max="12815" width="18.42578125" style="27" bestFit="1" customWidth="1"/>
    <col min="12816" max="12817" width="10.28515625" style="27" bestFit="1" customWidth="1"/>
    <col min="12818" max="13057" width="9.140625" style="27"/>
    <col min="13058" max="13058" width="18.42578125" style="27" customWidth="1"/>
    <col min="13059" max="13059" width="15.28515625" style="27" customWidth="1"/>
    <col min="13060" max="13060" width="9.140625" style="27"/>
    <col min="13061" max="13061" width="18.140625" style="27" customWidth="1"/>
    <col min="13062" max="13062" width="26.7109375" style="27" customWidth="1"/>
    <col min="13063" max="13064" width="9.140625" style="27"/>
    <col min="13065" max="13065" width="9.7109375" style="27" bestFit="1" customWidth="1"/>
    <col min="13066" max="13066" width="11" style="27" bestFit="1" customWidth="1"/>
    <col min="13067" max="13067" width="10.85546875" style="27" bestFit="1" customWidth="1"/>
    <col min="13068" max="13068" width="11" style="27" bestFit="1" customWidth="1"/>
    <col min="13069" max="13069" width="10.85546875" style="27" bestFit="1" customWidth="1"/>
    <col min="13070" max="13071" width="18.42578125" style="27" bestFit="1" customWidth="1"/>
    <col min="13072" max="13073" width="10.28515625" style="27" bestFit="1" customWidth="1"/>
    <col min="13074" max="13313" width="9.140625" style="27"/>
    <col min="13314" max="13314" width="18.42578125" style="27" customWidth="1"/>
    <col min="13315" max="13315" width="15.28515625" style="27" customWidth="1"/>
    <col min="13316" max="13316" width="9.140625" style="27"/>
    <col min="13317" max="13317" width="18.140625" style="27" customWidth="1"/>
    <col min="13318" max="13318" width="26.7109375" style="27" customWidth="1"/>
    <col min="13319" max="13320" width="9.140625" style="27"/>
    <col min="13321" max="13321" width="9.7109375" style="27" bestFit="1" customWidth="1"/>
    <col min="13322" max="13322" width="11" style="27" bestFit="1" customWidth="1"/>
    <col min="13323" max="13323" width="10.85546875" style="27" bestFit="1" customWidth="1"/>
    <col min="13324" max="13324" width="11" style="27" bestFit="1" customWidth="1"/>
    <col min="13325" max="13325" width="10.85546875" style="27" bestFit="1" customWidth="1"/>
    <col min="13326" max="13327" width="18.42578125" style="27" bestFit="1" customWidth="1"/>
    <col min="13328" max="13329" width="10.28515625" style="27" bestFit="1" customWidth="1"/>
    <col min="13330" max="13569" width="9.140625" style="27"/>
    <col min="13570" max="13570" width="18.42578125" style="27" customWidth="1"/>
    <col min="13571" max="13571" width="15.28515625" style="27" customWidth="1"/>
    <col min="13572" max="13572" width="9.140625" style="27"/>
    <col min="13573" max="13573" width="18.140625" style="27" customWidth="1"/>
    <col min="13574" max="13574" width="26.7109375" style="27" customWidth="1"/>
    <col min="13575" max="13576" width="9.140625" style="27"/>
    <col min="13577" max="13577" width="9.7109375" style="27" bestFit="1" customWidth="1"/>
    <col min="13578" max="13578" width="11" style="27" bestFit="1" customWidth="1"/>
    <col min="13579" max="13579" width="10.85546875" style="27" bestFit="1" customWidth="1"/>
    <col min="13580" max="13580" width="11" style="27" bestFit="1" customWidth="1"/>
    <col min="13581" max="13581" width="10.85546875" style="27" bestFit="1" customWidth="1"/>
    <col min="13582" max="13583" width="18.42578125" style="27" bestFit="1" customWidth="1"/>
    <col min="13584" max="13585" width="10.28515625" style="27" bestFit="1" customWidth="1"/>
    <col min="13586" max="13825" width="9.140625" style="27"/>
    <col min="13826" max="13826" width="18.42578125" style="27" customWidth="1"/>
    <col min="13827" max="13827" width="15.28515625" style="27" customWidth="1"/>
    <col min="13828" max="13828" width="9.140625" style="27"/>
    <col min="13829" max="13829" width="18.140625" style="27" customWidth="1"/>
    <col min="13830" max="13830" width="26.7109375" style="27" customWidth="1"/>
    <col min="13831" max="13832" width="9.140625" style="27"/>
    <col min="13833" max="13833" width="9.7109375" style="27" bestFit="1" customWidth="1"/>
    <col min="13834" max="13834" width="11" style="27" bestFit="1" customWidth="1"/>
    <col min="13835" max="13835" width="10.85546875" style="27" bestFit="1" customWidth="1"/>
    <col min="13836" max="13836" width="11" style="27" bestFit="1" customWidth="1"/>
    <col min="13837" max="13837" width="10.85546875" style="27" bestFit="1" customWidth="1"/>
    <col min="13838" max="13839" width="18.42578125" style="27" bestFit="1" customWidth="1"/>
    <col min="13840" max="13841" width="10.28515625" style="27" bestFit="1" customWidth="1"/>
    <col min="13842" max="14081" width="9.140625" style="27"/>
    <col min="14082" max="14082" width="18.42578125" style="27" customWidth="1"/>
    <col min="14083" max="14083" width="15.28515625" style="27" customWidth="1"/>
    <col min="14084" max="14084" width="9.140625" style="27"/>
    <col min="14085" max="14085" width="18.140625" style="27" customWidth="1"/>
    <col min="14086" max="14086" width="26.7109375" style="27" customWidth="1"/>
    <col min="14087" max="14088" width="9.140625" style="27"/>
    <col min="14089" max="14089" width="9.7109375" style="27" bestFit="1" customWidth="1"/>
    <col min="14090" max="14090" width="11" style="27" bestFit="1" customWidth="1"/>
    <col min="14091" max="14091" width="10.85546875" style="27" bestFit="1" customWidth="1"/>
    <col min="14092" max="14092" width="11" style="27" bestFit="1" customWidth="1"/>
    <col min="14093" max="14093" width="10.85546875" style="27" bestFit="1" customWidth="1"/>
    <col min="14094" max="14095" width="18.42578125" style="27" bestFit="1" customWidth="1"/>
    <col min="14096" max="14097" width="10.28515625" style="27" bestFit="1" customWidth="1"/>
    <col min="14098" max="14337" width="9.140625" style="27"/>
    <col min="14338" max="14338" width="18.42578125" style="27" customWidth="1"/>
    <col min="14339" max="14339" width="15.28515625" style="27" customWidth="1"/>
    <col min="14340" max="14340" width="9.140625" style="27"/>
    <col min="14341" max="14341" width="18.140625" style="27" customWidth="1"/>
    <col min="14342" max="14342" width="26.7109375" style="27" customWidth="1"/>
    <col min="14343" max="14344" width="9.140625" style="27"/>
    <col min="14345" max="14345" width="9.7109375" style="27" bestFit="1" customWidth="1"/>
    <col min="14346" max="14346" width="11" style="27" bestFit="1" customWidth="1"/>
    <col min="14347" max="14347" width="10.85546875" style="27" bestFit="1" customWidth="1"/>
    <col min="14348" max="14348" width="11" style="27" bestFit="1" customWidth="1"/>
    <col min="14349" max="14349" width="10.85546875" style="27" bestFit="1" customWidth="1"/>
    <col min="14350" max="14351" width="18.42578125" style="27" bestFit="1" customWidth="1"/>
    <col min="14352" max="14353" width="10.28515625" style="27" bestFit="1" customWidth="1"/>
    <col min="14354" max="14593" width="9.140625" style="27"/>
    <col min="14594" max="14594" width="18.42578125" style="27" customWidth="1"/>
    <col min="14595" max="14595" width="15.28515625" style="27" customWidth="1"/>
    <col min="14596" max="14596" width="9.140625" style="27"/>
    <col min="14597" max="14597" width="18.140625" style="27" customWidth="1"/>
    <col min="14598" max="14598" width="26.7109375" style="27" customWidth="1"/>
    <col min="14599" max="14600" width="9.140625" style="27"/>
    <col min="14601" max="14601" width="9.7109375" style="27" bestFit="1" customWidth="1"/>
    <col min="14602" max="14602" width="11" style="27" bestFit="1" customWidth="1"/>
    <col min="14603" max="14603" width="10.85546875" style="27" bestFit="1" customWidth="1"/>
    <col min="14604" max="14604" width="11" style="27" bestFit="1" customWidth="1"/>
    <col min="14605" max="14605" width="10.85546875" style="27" bestFit="1" customWidth="1"/>
    <col min="14606" max="14607" width="18.42578125" style="27" bestFit="1" customWidth="1"/>
    <col min="14608" max="14609" width="10.28515625" style="27" bestFit="1" customWidth="1"/>
    <col min="14610" max="14849" width="9.140625" style="27"/>
    <col min="14850" max="14850" width="18.42578125" style="27" customWidth="1"/>
    <col min="14851" max="14851" width="15.28515625" style="27" customWidth="1"/>
    <col min="14852" max="14852" width="9.140625" style="27"/>
    <col min="14853" max="14853" width="18.140625" style="27" customWidth="1"/>
    <col min="14854" max="14854" width="26.7109375" style="27" customWidth="1"/>
    <col min="14855" max="14856" width="9.140625" style="27"/>
    <col min="14857" max="14857" width="9.7109375" style="27" bestFit="1" customWidth="1"/>
    <col min="14858" max="14858" width="11" style="27" bestFit="1" customWidth="1"/>
    <col min="14859" max="14859" width="10.85546875" style="27" bestFit="1" customWidth="1"/>
    <col min="14860" max="14860" width="11" style="27" bestFit="1" customWidth="1"/>
    <col min="14861" max="14861" width="10.85546875" style="27" bestFit="1" customWidth="1"/>
    <col min="14862" max="14863" width="18.42578125" style="27" bestFit="1" customWidth="1"/>
    <col min="14864" max="14865" width="10.28515625" style="27" bestFit="1" customWidth="1"/>
    <col min="14866" max="15105" width="9.140625" style="27"/>
    <col min="15106" max="15106" width="18.42578125" style="27" customWidth="1"/>
    <col min="15107" max="15107" width="15.28515625" style="27" customWidth="1"/>
    <col min="15108" max="15108" width="9.140625" style="27"/>
    <col min="15109" max="15109" width="18.140625" style="27" customWidth="1"/>
    <col min="15110" max="15110" width="26.7109375" style="27" customWidth="1"/>
    <col min="15111" max="15112" width="9.140625" style="27"/>
    <col min="15113" max="15113" width="9.7109375" style="27" bestFit="1" customWidth="1"/>
    <col min="15114" max="15114" width="11" style="27" bestFit="1" customWidth="1"/>
    <col min="15115" max="15115" width="10.85546875" style="27" bestFit="1" customWidth="1"/>
    <col min="15116" max="15116" width="11" style="27" bestFit="1" customWidth="1"/>
    <col min="15117" max="15117" width="10.85546875" style="27" bestFit="1" customWidth="1"/>
    <col min="15118" max="15119" width="18.42578125" style="27" bestFit="1" customWidth="1"/>
    <col min="15120" max="15121" width="10.28515625" style="27" bestFit="1" customWidth="1"/>
    <col min="15122" max="15361" width="9.140625" style="27"/>
    <col min="15362" max="15362" width="18.42578125" style="27" customWidth="1"/>
    <col min="15363" max="15363" width="15.28515625" style="27" customWidth="1"/>
    <col min="15364" max="15364" width="9.140625" style="27"/>
    <col min="15365" max="15365" width="18.140625" style="27" customWidth="1"/>
    <col min="15366" max="15366" width="26.7109375" style="27" customWidth="1"/>
    <col min="15367" max="15368" width="9.140625" style="27"/>
    <col min="15369" max="15369" width="9.7109375" style="27" bestFit="1" customWidth="1"/>
    <col min="15370" max="15370" width="11" style="27" bestFit="1" customWidth="1"/>
    <col min="15371" max="15371" width="10.85546875" style="27" bestFit="1" customWidth="1"/>
    <col min="15372" max="15372" width="11" style="27" bestFit="1" customWidth="1"/>
    <col min="15373" max="15373" width="10.85546875" style="27" bestFit="1" customWidth="1"/>
    <col min="15374" max="15375" width="18.42578125" style="27" bestFit="1" customWidth="1"/>
    <col min="15376" max="15377" width="10.28515625" style="27" bestFit="1" customWidth="1"/>
    <col min="15378" max="15617" width="9.140625" style="27"/>
    <col min="15618" max="15618" width="18.42578125" style="27" customWidth="1"/>
    <col min="15619" max="15619" width="15.28515625" style="27" customWidth="1"/>
    <col min="15620" max="15620" width="9.140625" style="27"/>
    <col min="15621" max="15621" width="18.140625" style="27" customWidth="1"/>
    <col min="15622" max="15622" width="26.7109375" style="27" customWidth="1"/>
    <col min="15623" max="15624" width="9.140625" style="27"/>
    <col min="15625" max="15625" width="9.7109375" style="27" bestFit="1" customWidth="1"/>
    <col min="15626" max="15626" width="11" style="27" bestFit="1" customWidth="1"/>
    <col min="15627" max="15627" width="10.85546875" style="27" bestFit="1" customWidth="1"/>
    <col min="15628" max="15628" width="11" style="27" bestFit="1" customWidth="1"/>
    <col min="15629" max="15629" width="10.85546875" style="27" bestFit="1" customWidth="1"/>
    <col min="15630" max="15631" width="18.42578125" style="27" bestFit="1" customWidth="1"/>
    <col min="15632" max="15633" width="10.28515625" style="27" bestFit="1" customWidth="1"/>
    <col min="15634" max="15873" width="9.140625" style="27"/>
    <col min="15874" max="15874" width="18.42578125" style="27" customWidth="1"/>
    <col min="15875" max="15875" width="15.28515625" style="27" customWidth="1"/>
    <col min="15876" max="15876" width="9.140625" style="27"/>
    <col min="15877" max="15877" width="18.140625" style="27" customWidth="1"/>
    <col min="15878" max="15878" width="26.7109375" style="27" customWidth="1"/>
    <col min="15879" max="15880" width="9.140625" style="27"/>
    <col min="15881" max="15881" width="9.7109375" style="27" bestFit="1" customWidth="1"/>
    <col min="15882" max="15882" width="11" style="27" bestFit="1" customWidth="1"/>
    <col min="15883" max="15883" width="10.85546875" style="27" bestFit="1" customWidth="1"/>
    <col min="15884" max="15884" width="11" style="27" bestFit="1" customWidth="1"/>
    <col min="15885" max="15885" width="10.85546875" style="27" bestFit="1" customWidth="1"/>
    <col min="15886" max="15887" width="18.42578125" style="27" bestFit="1" customWidth="1"/>
    <col min="15888" max="15889" width="10.28515625" style="27" bestFit="1" customWidth="1"/>
    <col min="15890" max="16129" width="9.140625" style="27"/>
    <col min="16130" max="16130" width="18.42578125" style="27" customWidth="1"/>
    <col min="16131" max="16131" width="15.28515625" style="27" customWidth="1"/>
    <col min="16132" max="16132" width="9.140625" style="27"/>
    <col min="16133" max="16133" width="18.140625" style="27" customWidth="1"/>
    <col min="16134" max="16134" width="26.7109375" style="27" customWidth="1"/>
    <col min="16135" max="16136" width="9.140625" style="27"/>
    <col min="16137" max="16137" width="9.7109375" style="27" bestFit="1" customWidth="1"/>
    <col min="16138" max="16138" width="11" style="27" bestFit="1" customWidth="1"/>
    <col min="16139" max="16139" width="10.85546875" style="27" bestFit="1" customWidth="1"/>
    <col min="16140" max="16140" width="11" style="27" bestFit="1" customWidth="1"/>
    <col min="16141" max="16141" width="10.85546875" style="27" bestFit="1" customWidth="1"/>
    <col min="16142" max="16143" width="18.42578125" style="27" bestFit="1" customWidth="1"/>
    <col min="16144" max="16145" width="10.28515625" style="27" bestFit="1" customWidth="1"/>
    <col min="16146" max="16384" width="9.140625" style="2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x14ac:dyDescent="0.2">
      <c r="A2" s="28">
        <v>43444</v>
      </c>
      <c r="B2" s="29" t="s">
        <v>21</v>
      </c>
      <c r="C2" s="29" t="s">
        <v>46</v>
      </c>
      <c r="D2" s="29" t="s">
        <v>23</v>
      </c>
      <c r="E2" s="29" t="s">
        <v>160</v>
      </c>
      <c r="F2" s="29" t="s">
        <v>25</v>
      </c>
      <c r="G2" s="30">
        <v>71500</v>
      </c>
      <c r="H2" s="29" t="s">
        <v>48</v>
      </c>
      <c r="I2" s="29" t="s">
        <v>47</v>
      </c>
      <c r="J2" s="31">
        <v>0.4826388888888889</v>
      </c>
      <c r="K2" s="32">
        <v>0.48055555555555557</v>
      </c>
      <c r="L2" s="31">
        <v>0.27777777777777779</v>
      </c>
      <c r="M2" s="32">
        <v>0.28888888888888892</v>
      </c>
      <c r="N2" s="33" t="s">
        <v>164</v>
      </c>
      <c r="O2" s="33" t="s">
        <v>161</v>
      </c>
      <c r="P2" s="33">
        <v>981</v>
      </c>
      <c r="Q2" s="33">
        <v>896</v>
      </c>
      <c r="R2" s="29">
        <v>0</v>
      </c>
      <c r="S2" s="29">
        <v>0</v>
      </c>
      <c r="T2" s="29">
        <v>0</v>
      </c>
      <c r="U2" s="29">
        <v>0</v>
      </c>
    </row>
    <row r="3" spans="1:21" x14ac:dyDescent="0.2">
      <c r="A3" s="28">
        <f>A2</f>
        <v>43444</v>
      </c>
      <c r="B3" s="29" t="s">
        <v>21</v>
      </c>
      <c r="C3" s="29" t="s">
        <v>69</v>
      </c>
      <c r="D3" s="29" t="s">
        <v>23</v>
      </c>
      <c r="E3" s="29" t="s">
        <v>79</v>
      </c>
      <c r="F3" s="29" t="s">
        <v>25</v>
      </c>
      <c r="G3" s="30">
        <v>70000</v>
      </c>
      <c r="H3" s="29" t="s">
        <v>70</v>
      </c>
      <c r="I3" s="29" t="s">
        <v>71</v>
      </c>
      <c r="J3" s="31">
        <v>0.4826388888888889</v>
      </c>
      <c r="K3" s="32">
        <v>0.48819444444444443</v>
      </c>
      <c r="L3" s="31">
        <v>0.33333333333333331</v>
      </c>
      <c r="M3" s="32">
        <v>0.33611111111111108</v>
      </c>
      <c r="N3" s="33" t="s">
        <v>165</v>
      </c>
      <c r="O3" s="33" t="s">
        <v>162</v>
      </c>
      <c r="P3" s="29">
        <v>665</v>
      </c>
      <c r="Q3" s="33">
        <v>643</v>
      </c>
      <c r="R3" s="29">
        <v>0</v>
      </c>
      <c r="S3" s="29">
        <v>0</v>
      </c>
      <c r="T3" s="29">
        <v>0</v>
      </c>
      <c r="U3" s="29">
        <v>0</v>
      </c>
    </row>
    <row r="4" spans="1:21" x14ac:dyDescent="0.2">
      <c r="A4" s="28">
        <f>A3</f>
        <v>43444</v>
      </c>
      <c r="B4" s="34" t="s">
        <v>21</v>
      </c>
      <c r="C4" s="34" t="s">
        <v>72</v>
      </c>
      <c r="D4" s="34" t="s">
        <v>23</v>
      </c>
      <c r="E4" s="29" t="str">
        <f>E3</f>
        <v>HA-LWC</v>
      </c>
      <c r="F4" s="34" t="s">
        <v>25</v>
      </c>
      <c r="G4" s="35">
        <v>70000</v>
      </c>
      <c r="H4" s="34" t="s">
        <v>73</v>
      </c>
      <c r="I4" s="34" t="s">
        <v>74</v>
      </c>
      <c r="J4" s="36">
        <v>0.71180555555555547</v>
      </c>
      <c r="K4" s="37">
        <v>0.72083333333333333</v>
      </c>
      <c r="L4" s="36">
        <v>0.50347222222222221</v>
      </c>
      <c r="M4" s="37">
        <v>0.5229166666666667</v>
      </c>
      <c r="N4" s="34" t="s">
        <v>167</v>
      </c>
      <c r="O4" s="34" t="s">
        <v>163</v>
      </c>
      <c r="P4" s="34">
        <v>1176</v>
      </c>
      <c r="Q4" s="34">
        <v>849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">
      <c r="A5" s="28">
        <f>A4</f>
        <v>43444</v>
      </c>
      <c r="B5" s="34" t="s">
        <v>21</v>
      </c>
      <c r="C5" s="34" t="s">
        <v>75</v>
      </c>
      <c r="D5" s="34" t="s">
        <v>23</v>
      </c>
      <c r="E5" s="29" t="s">
        <v>160</v>
      </c>
      <c r="F5" s="34" t="s">
        <v>25</v>
      </c>
      <c r="G5" s="30">
        <v>71500</v>
      </c>
      <c r="H5" s="34" t="s">
        <v>76</v>
      </c>
      <c r="I5" s="34" t="s">
        <v>77</v>
      </c>
      <c r="J5" s="38">
        <v>0.95486111111111116</v>
      </c>
      <c r="K5" s="39">
        <v>0.94791666666666663</v>
      </c>
      <c r="L5" s="38">
        <v>0.71875</v>
      </c>
      <c r="M5" s="39">
        <v>0.71875</v>
      </c>
      <c r="N5" s="40" t="s">
        <v>168</v>
      </c>
      <c r="O5" s="34" t="s">
        <v>166</v>
      </c>
      <c r="P5" s="40">
        <v>1520</v>
      </c>
      <c r="Q5" s="34">
        <v>1280</v>
      </c>
      <c r="R5" s="34">
        <v>0</v>
      </c>
      <c r="S5" s="34">
        <v>0</v>
      </c>
      <c r="T5" s="34">
        <v>0</v>
      </c>
      <c r="U5" s="34">
        <v>0</v>
      </c>
    </row>
    <row r="6" spans="1:21" s="26" customFormat="1" x14ac:dyDescent="0.2">
      <c r="A6" s="28"/>
      <c r="F6" s="41"/>
      <c r="G6" s="42"/>
      <c r="J6" s="43"/>
      <c r="K6" s="44"/>
      <c r="L6" s="43"/>
      <c r="M6" s="44"/>
      <c r="N6" s="45"/>
      <c r="O6" s="45"/>
      <c r="P6" s="34"/>
      <c r="Q6" s="34"/>
      <c r="R6" s="34"/>
      <c r="S6" s="34"/>
      <c r="T6" s="34"/>
      <c r="U6" s="34"/>
    </row>
    <row r="7" spans="1:21" x14ac:dyDescent="0.2">
      <c r="A7" s="46"/>
      <c r="B7" s="47"/>
      <c r="C7" s="47"/>
      <c r="D7" s="47"/>
      <c r="E7" s="47"/>
      <c r="F7" s="47"/>
      <c r="G7" s="47"/>
      <c r="H7" s="47"/>
      <c r="I7" s="47"/>
      <c r="J7" s="48"/>
      <c r="K7" s="49"/>
      <c r="L7" s="48"/>
      <c r="M7" s="49"/>
      <c r="N7" s="47"/>
      <c r="O7" s="47"/>
      <c r="P7" s="45"/>
      <c r="Q7" s="45"/>
      <c r="R7" s="47"/>
      <c r="S7" s="47"/>
      <c r="T7" s="47"/>
      <c r="U7" s="47"/>
    </row>
    <row r="8" spans="1:21" x14ac:dyDescent="0.2">
      <c r="A8" s="46"/>
      <c r="B8" s="47"/>
      <c r="C8" s="47"/>
      <c r="D8" s="47"/>
      <c r="E8" s="47"/>
      <c r="F8" s="47"/>
      <c r="G8" s="47"/>
      <c r="H8" s="47"/>
      <c r="I8" s="47"/>
      <c r="J8" s="48"/>
      <c r="K8" s="49"/>
      <c r="L8" s="48"/>
      <c r="M8" s="49"/>
      <c r="N8" s="47"/>
      <c r="O8" s="34"/>
      <c r="P8" s="45"/>
      <c r="Q8" s="50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L16" sqref="L16"/>
    </sheetView>
  </sheetViews>
  <sheetFormatPr defaultRowHeight="12.75" x14ac:dyDescent="0.2"/>
  <cols>
    <col min="1" max="1" width="9.140625" style="54"/>
    <col min="2" max="2" width="12.7109375" style="54" customWidth="1"/>
    <col min="3" max="3" width="14.85546875" style="54" customWidth="1"/>
    <col min="4" max="5" width="9.140625" style="54"/>
    <col min="6" max="6" width="17.7109375" style="54" customWidth="1"/>
    <col min="7" max="7" width="9.140625" style="54"/>
    <col min="8" max="8" width="9.7109375" style="54" customWidth="1"/>
    <col min="9" max="9" width="10.140625" style="54" customWidth="1"/>
    <col min="10" max="10" width="11.7109375" style="54" customWidth="1"/>
    <col min="11" max="11" width="11.140625" style="54" customWidth="1"/>
    <col min="12" max="12" width="12.42578125" style="54" customWidth="1"/>
    <col min="13" max="13" width="12.85546875" style="54" customWidth="1"/>
    <col min="14" max="14" width="18.85546875" style="54" customWidth="1"/>
    <col min="15" max="15" width="19.85546875" style="54" customWidth="1"/>
    <col min="16" max="16" width="13.85546875" style="54" customWidth="1"/>
    <col min="17" max="17" width="11.7109375" style="54" customWidth="1"/>
    <col min="18" max="16384" width="9.140625" style="5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43445</v>
      </c>
      <c r="B2" s="3" t="s">
        <v>21</v>
      </c>
      <c r="C2" s="3" t="s">
        <v>22</v>
      </c>
      <c r="D2" s="3" t="s">
        <v>23</v>
      </c>
      <c r="E2" s="3" t="s">
        <v>79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0.49652777777777773</v>
      </c>
      <c r="K2" s="6" t="s">
        <v>171</v>
      </c>
      <c r="L2" s="5">
        <v>0.3125</v>
      </c>
      <c r="M2" s="6">
        <v>0.3666666666666667</v>
      </c>
      <c r="N2" s="68"/>
      <c r="O2" s="7" t="s">
        <v>169</v>
      </c>
      <c r="P2" s="68"/>
      <c r="Q2" s="7">
        <v>724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f>A2</f>
        <v>43445</v>
      </c>
      <c r="B3" s="3" t="s">
        <v>21</v>
      </c>
      <c r="C3" s="3" t="s">
        <v>28</v>
      </c>
      <c r="D3" s="3" t="s">
        <v>23</v>
      </c>
      <c r="E3" s="3" t="s">
        <v>150</v>
      </c>
      <c r="F3" s="3" t="s">
        <v>25</v>
      </c>
      <c r="G3" s="4">
        <v>71500</v>
      </c>
      <c r="H3" s="3" t="s">
        <v>30</v>
      </c>
      <c r="I3" s="3" t="s">
        <v>31</v>
      </c>
      <c r="J3" s="5">
        <v>0.49305555555555558</v>
      </c>
      <c r="K3" s="6" t="s">
        <v>171</v>
      </c>
      <c r="L3" s="5">
        <v>0.35416666666666669</v>
      </c>
      <c r="M3" s="6">
        <v>0.38194444444444442</v>
      </c>
      <c r="N3" s="68"/>
      <c r="O3" s="7" t="s">
        <v>170</v>
      </c>
      <c r="P3" s="69"/>
      <c r="Q3" s="7">
        <v>241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f>A3</f>
        <v>43445</v>
      </c>
      <c r="B4" s="8" t="s">
        <v>21</v>
      </c>
      <c r="C4" s="8" t="s">
        <v>32</v>
      </c>
      <c r="D4" s="8" t="s">
        <v>23</v>
      </c>
      <c r="E4" s="3" t="s">
        <v>172</v>
      </c>
      <c r="F4" s="8" t="s">
        <v>25</v>
      </c>
      <c r="G4" s="9">
        <v>71500</v>
      </c>
      <c r="H4" s="8" t="s">
        <v>33</v>
      </c>
      <c r="I4" s="8" t="s">
        <v>34</v>
      </c>
      <c r="J4" s="10">
        <v>0.72222222222222221</v>
      </c>
      <c r="K4" s="11">
        <v>0.81944444444444453</v>
      </c>
      <c r="L4" s="10">
        <v>0.52777777777777779</v>
      </c>
      <c r="M4" s="11">
        <v>0.84861111111111109</v>
      </c>
      <c r="N4" s="52" t="s">
        <v>174</v>
      </c>
      <c r="O4" s="7" t="s">
        <v>173</v>
      </c>
      <c r="P4" s="52">
        <v>1356</v>
      </c>
      <c r="Q4" s="52">
        <v>624</v>
      </c>
      <c r="R4" s="8">
        <v>0</v>
      </c>
      <c r="S4" s="8">
        <v>0</v>
      </c>
      <c r="T4" s="8">
        <v>0</v>
      </c>
      <c r="U4" s="8"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S22" sqref="S22"/>
    </sheetView>
  </sheetViews>
  <sheetFormatPr defaultRowHeight="15" x14ac:dyDescent="0.25"/>
  <cols>
    <col min="1" max="1" width="10.140625" bestFit="1" customWidth="1"/>
    <col min="3" max="3" width="15" customWidth="1"/>
    <col min="6" max="6" width="22" customWidth="1"/>
    <col min="10" max="10" width="10.5703125" customWidth="1"/>
    <col min="11" max="11" width="12" customWidth="1"/>
    <col min="12" max="12" width="12.42578125" customWidth="1"/>
    <col min="13" max="13" width="11.7109375" customWidth="1"/>
    <col min="14" max="14" width="18.28515625" customWidth="1"/>
    <col min="15" max="15" width="19.5703125" customWidth="1"/>
    <col min="16" max="16" width="16" customWidth="1"/>
    <col min="17" max="17" width="13.42578125" customWidth="1"/>
  </cols>
  <sheetData>
    <row r="1" spans="1:2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5">
      <c r="A2" s="51">
        <v>43446</v>
      </c>
      <c r="B2" s="54" t="s">
        <v>21</v>
      </c>
      <c r="C2" s="52" t="s">
        <v>175</v>
      </c>
      <c r="D2" s="52" t="s">
        <v>23</v>
      </c>
      <c r="E2" s="16" t="s">
        <v>59</v>
      </c>
      <c r="F2" s="16" t="s">
        <v>106</v>
      </c>
      <c r="G2" s="17">
        <v>70000</v>
      </c>
      <c r="H2" s="52" t="s">
        <v>176</v>
      </c>
      <c r="I2" s="70"/>
      <c r="J2" s="55">
        <v>0.43055555555555558</v>
      </c>
      <c r="K2" s="57">
        <v>0.47152777777777777</v>
      </c>
      <c r="L2" s="71"/>
      <c r="M2" s="70"/>
      <c r="N2" s="52" t="s">
        <v>109</v>
      </c>
      <c r="O2" s="70"/>
      <c r="P2" s="52">
        <v>0</v>
      </c>
      <c r="Q2" s="70"/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51">
        <v>43446</v>
      </c>
      <c r="B3" s="54" t="s">
        <v>21</v>
      </c>
      <c r="C3" s="52" t="s">
        <v>175</v>
      </c>
      <c r="D3" s="52" t="s">
        <v>23</v>
      </c>
      <c r="E3" s="16" t="s">
        <v>150</v>
      </c>
      <c r="F3" s="16" t="s">
        <v>106</v>
      </c>
      <c r="G3" s="17">
        <v>71500</v>
      </c>
      <c r="H3" s="52" t="s">
        <v>107</v>
      </c>
      <c r="I3" s="70"/>
      <c r="J3" s="55">
        <v>0.4513888888888889</v>
      </c>
      <c r="K3" s="57">
        <v>0.48194444444444445</v>
      </c>
      <c r="L3" s="71"/>
      <c r="M3" s="70"/>
      <c r="N3" s="52" t="s">
        <v>109</v>
      </c>
      <c r="O3" s="70"/>
      <c r="P3" s="52">
        <v>0</v>
      </c>
      <c r="Q3" s="70"/>
      <c r="R3" s="16">
        <v>0</v>
      </c>
      <c r="S3" s="16">
        <v>0</v>
      </c>
      <c r="T3" s="16">
        <v>0</v>
      </c>
      <c r="U3" s="16">
        <v>0</v>
      </c>
    </row>
    <row r="4" spans="1:21" s="54" customFormat="1" ht="12.75" x14ac:dyDescent="0.2">
      <c r="A4" s="51">
        <v>43446</v>
      </c>
      <c r="B4" s="16" t="s">
        <v>21</v>
      </c>
      <c r="C4" s="16" t="s">
        <v>35</v>
      </c>
      <c r="D4" s="16" t="s">
        <v>23</v>
      </c>
      <c r="E4" s="16" t="s">
        <v>59</v>
      </c>
      <c r="F4" s="16" t="s">
        <v>25</v>
      </c>
      <c r="G4" s="17">
        <v>70000</v>
      </c>
      <c r="H4" s="16" t="s">
        <v>36</v>
      </c>
      <c r="I4" s="16" t="s">
        <v>37</v>
      </c>
      <c r="J4" s="55">
        <v>0.62152777777777779</v>
      </c>
      <c r="K4" s="57">
        <v>0.6791666666666667</v>
      </c>
      <c r="L4" s="55">
        <v>0.4513888888888889</v>
      </c>
      <c r="M4" s="72">
        <v>0.52500000000000002</v>
      </c>
      <c r="N4" s="58" t="s">
        <v>169</v>
      </c>
      <c r="O4" s="58" t="s">
        <v>177</v>
      </c>
      <c r="P4" s="58">
        <v>795</v>
      </c>
      <c r="Q4" s="58">
        <v>792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21">
        <v>43446</v>
      </c>
      <c r="B5" s="16" t="s">
        <v>21</v>
      </c>
      <c r="C5" s="16" t="s">
        <v>52</v>
      </c>
      <c r="D5" s="16" t="s">
        <v>23</v>
      </c>
      <c r="E5" s="16" t="s">
        <v>150</v>
      </c>
      <c r="F5" s="16" t="s">
        <v>25</v>
      </c>
      <c r="G5" s="17">
        <v>71500</v>
      </c>
      <c r="H5" s="16" t="s">
        <v>53</v>
      </c>
      <c r="I5" s="16" t="s">
        <v>54</v>
      </c>
      <c r="J5" s="18">
        <v>0.69791666666666663</v>
      </c>
      <c r="K5" s="19">
        <v>0.69305555555555554</v>
      </c>
      <c r="L5" s="18">
        <v>0.52777777777777779</v>
      </c>
      <c r="M5" s="19">
        <v>0.53541666666666665</v>
      </c>
      <c r="N5" s="16" t="s">
        <v>62</v>
      </c>
      <c r="O5" s="20" t="s">
        <v>178</v>
      </c>
      <c r="P5" s="16">
        <v>920</v>
      </c>
      <c r="Q5" s="20">
        <v>574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21">
        <f>A5</f>
        <v>43446</v>
      </c>
      <c r="B6" s="16" t="s">
        <v>21</v>
      </c>
      <c r="C6" s="16" t="s">
        <v>55</v>
      </c>
      <c r="D6" s="16" t="s">
        <v>23</v>
      </c>
      <c r="E6" s="16" t="s">
        <v>150</v>
      </c>
      <c r="F6" s="16" t="s">
        <v>25</v>
      </c>
      <c r="G6" s="17">
        <v>71500</v>
      </c>
      <c r="H6" s="16" t="s">
        <v>56</v>
      </c>
      <c r="I6" s="16" t="s">
        <v>57</v>
      </c>
      <c r="J6" s="18">
        <v>0.94791666666666663</v>
      </c>
      <c r="K6" s="19">
        <v>0.93194444444444446</v>
      </c>
      <c r="L6" s="18">
        <v>0.74305555555555547</v>
      </c>
      <c r="M6" s="19">
        <v>0.74097222222222225</v>
      </c>
      <c r="N6" s="19" t="s">
        <v>180</v>
      </c>
      <c r="O6" s="20" t="s">
        <v>179</v>
      </c>
      <c r="P6" s="16">
        <v>1017</v>
      </c>
      <c r="Q6" s="20">
        <v>971</v>
      </c>
      <c r="R6" s="16">
        <v>0</v>
      </c>
      <c r="S6" s="16">
        <v>0</v>
      </c>
      <c r="T6" s="16">
        <v>0</v>
      </c>
      <c r="U6" s="16"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A2" sqref="A2"/>
    </sheetView>
  </sheetViews>
  <sheetFormatPr defaultRowHeight="15" x14ac:dyDescent="0.25"/>
  <cols>
    <col min="2" max="2" width="31.5703125" customWidth="1"/>
    <col min="3" max="3" width="15" customWidth="1"/>
    <col min="6" max="6" width="27" customWidth="1"/>
    <col min="10" max="10" width="10.5703125" customWidth="1"/>
    <col min="11" max="11" width="12" customWidth="1"/>
    <col min="12" max="12" width="12.42578125" customWidth="1"/>
    <col min="13" max="13" width="11.7109375" customWidth="1"/>
    <col min="14" max="14" width="18.28515625" customWidth="1"/>
    <col min="15" max="15" width="19.5703125" customWidth="1"/>
    <col min="16" max="16" width="16" customWidth="1"/>
    <col min="17" max="17" width="13.42578125" customWidth="1"/>
  </cols>
  <sheetData>
    <row r="1" spans="1:2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5">
      <c r="A2" s="21">
        <v>43447</v>
      </c>
      <c r="B2" s="16" t="s">
        <v>21</v>
      </c>
      <c r="C2" s="16" t="s">
        <v>49</v>
      </c>
      <c r="D2" s="16" t="s">
        <v>23</v>
      </c>
      <c r="E2" s="16" t="s">
        <v>59</v>
      </c>
      <c r="F2" s="16" t="s">
        <v>25</v>
      </c>
      <c r="G2" s="17">
        <v>70000</v>
      </c>
      <c r="H2" s="16" t="s">
        <v>50</v>
      </c>
      <c r="I2" s="16" t="s">
        <v>51</v>
      </c>
      <c r="J2" s="18">
        <v>0.65277777777777779</v>
      </c>
      <c r="K2" s="19" t="s">
        <v>181</v>
      </c>
      <c r="L2" s="18">
        <v>0.5</v>
      </c>
      <c r="M2" s="19">
        <v>0.50694444444444442</v>
      </c>
      <c r="N2" s="16" t="s">
        <v>67</v>
      </c>
      <c r="O2" s="16" t="s">
        <v>182</v>
      </c>
      <c r="P2" s="16">
        <v>1006</v>
      </c>
      <c r="Q2" s="20">
        <v>653</v>
      </c>
      <c r="R2" s="16">
        <v>0</v>
      </c>
      <c r="S2" s="16">
        <v>0</v>
      </c>
      <c r="T2" s="16">
        <v>0</v>
      </c>
      <c r="U2" s="16">
        <v>0</v>
      </c>
    </row>
    <row r="3" spans="1:21" s="54" customFormat="1" ht="12.75" x14ac:dyDescent="0.2">
      <c r="A3" s="51"/>
      <c r="B3" s="16"/>
      <c r="C3" s="16"/>
      <c r="D3" s="16"/>
      <c r="E3" s="16"/>
      <c r="F3" s="16"/>
      <c r="G3" s="52"/>
      <c r="H3" s="16"/>
      <c r="I3" s="16"/>
      <c r="J3" s="55"/>
      <c r="K3" s="57"/>
      <c r="L3" s="56"/>
      <c r="M3" s="52"/>
      <c r="N3" s="52"/>
      <c r="O3" s="58"/>
      <c r="P3" s="52"/>
      <c r="Q3" s="5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C5" sqref="C5:L5"/>
    </sheetView>
  </sheetViews>
  <sheetFormatPr defaultRowHeight="15" x14ac:dyDescent="0.25"/>
  <cols>
    <col min="2" max="2" width="22.5703125" customWidth="1"/>
    <col min="3" max="3" width="18.5703125" customWidth="1"/>
    <col min="6" max="6" width="24.140625" customWidth="1"/>
    <col min="10" max="10" width="12.7109375" customWidth="1"/>
    <col min="11" max="11" width="11.85546875" customWidth="1"/>
    <col min="12" max="12" width="11.140625" customWidth="1"/>
    <col min="13" max="13" width="11.42578125" customWidth="1"/>
    <col min="14" max="14" width="17" customWidth="1"/>
    <col min="15" max="15" width="17.140625" customWidth="1"/>
  </cols>
  <sheetData>
    <row r="1" spans="1:21" x14ac:dyDescent="0.2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59" t="s">
        <v>16</v>
      </c>
      <c r="R1" s="59" t="s">
        <v>17</v>
      </c>
      <c r="S1" s="59" t="s">
        <v>18</v>
      </c>
      <c r="T1" s="59" t="s">
        <v>19</v>
      </c>
      <c r="U1" s="59" t="s">
        <v>20</v>
      </c>
    </row>
    <row r="2" spans="1:21" x14ac:dyDescent="0.25">
      <c r="A2" s="28">
        <v>43448</v>
      </c>
      <c r="B2" s="16" t="s">
        <v>21</v>
      </c>
      <c r="C2" s="16" t="s">
        <v>46</v>
      </c>
      <c r="D2" s="16" t="s">
        <v>23</v>
      </c>
      <c r="E2" s="16" t="s">
        <v>150</v>
      </c>
      <c r="F2" s="16" t="s">
        <v>25</v>
      </c>
      <c r="G2" s="17">
        <v>71500</v>
      </c>
      <c r="H2" s="16" t="s">
        <v>47</v>
      </c>
      <c r="I2" s="16" t="s">
        <v>48</v>
      </c>
      <c r="J2" s="18">
        <v>0.4826388888888889</v>
      </c>
      <c r="K2" s="19">
        <v>0.47847222222222219</v>
      </c>
      <c r="L2" s="18">
        <v>0.27777777777777779</v>
      </c>
      <c r="M2" s="19">
        <v>0.29791666666666666</v>
      </c>
      <c r="N2" s="20" t="s">
        <v>184</v>
      </c>
      <c r="O2" s="20" t="s">
        <v>139</v>
      </c>
      <c r="P2" s="20">
        <v>1015</v>
      </c>
      <c r="Q2" s="20">
        <v>752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28">
        <f t="shared" ref="A3:A5" si="0">A2</f>
        <v>43448</v>
      </c>
      <c r="B3" s="16" t="s">
        <v>21</v>
      </c>
      <c r="C3" s="16" t="s">
        <v>69</v>
      </c>
      <c r="D3" s="16" t="s">
        <v>23</v>
      </c>
      <c r="E3" s="16" t="s">
        <v>59</v>
      </c>
      <c r="F3" s="16" t="s">
        <v>25</v>
      </c>
      <c r="G3" s="17">
        <v>70000</v>
      </c>
      <c r="H3" s="16" t="s">
        <v>71</v>
      </c>
      <c r="I3" s="16" t="s">
        <v>70</v>
      </c>
      <c r="J3" s="18">
        <v>0.4826388888888889</v>
      </c>
      <c r="K3" s="19">
        <v>0.49305555555555558</v>
      </c>
      <c r="L3" s="18">
        <v>0.33333333333333331</v>
      </c>
      <c r="M3" s="19">
        <v>0.35486111111111113</v>
      </c>
      <c r="N3" s="20" t="s">
        <v>185</v>
      </c>
      <c r="O3" s="20" t="s">
        <v>183</v>
      </c>
      <c r="P3" s="16">
        <v>807</v>
      </c>
      <c r="Q3" s="20">
        <v>579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28">
        <f t="shared" si="0"/>
        <v>43448</v>
      </c>
      <c r="B4" s="34" t="s">
        <v>21</v>
      </c>
      <c r="C4" s="34" t="s">
        <v>72</v>
      </c>
      <c r="D4" s="34" t="s">
        <v>23</v>
      </c>
      <c r="E4" s="16" t="s">
        <v>59</v>
      </c>
      <c r="F4" s="34" t="s">
        <v>25</v>
      </c>
      <c r="G4" s="35">
        <v>70000</v>
      </c>
      <c r="H4" s="34" t="s">
        <v>74</v>
      </c>
      <c r="I4" s="34" t="s">
        <v>73</v>
      </c>
      <c r="J4" s="36">
        <v>0.71180555555555547</v>
      </c>
      <c r="K4" s="37">
        <v>0.76458333333333339</v>
      </c>
      <c r="L4" s="36">
        <v>0.50347222222222221</v>
      </c>
      <c r="M4" s="37">
        <v>0.53472222222222221</v>
      </c>
      <c r="N4" s="34" t="s">
        <v>95</v>
      </c>
      <c r="O4" s="60" t="s">
        <v>186</v>
      </c>
      <c r="P4" s="34">
        <v>1295</v>
      </c>
      <c r="Q4" s="34">
        <v>1043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5">
      <c r="A5" s="28">
        <f t="shared" si="0"/>
        <v>43448</v>
      </c>
      <c r="B5" s="34" t="s">
        <v>21</v>
      </c>
      <c r="C5" s="34" t="s">
        <v>75</v>
      </c>
      <c r="D5" s="34" t="s">
        <v>23</v>
      </c>
      <c r="E5" s="16" t="s">
        <v>150</v>
      </c>
      <c r="F5" s="34" t="s">
        <v>25</v>
      </c>
      <c r="G5" s="35">
        <v>71500</v>
      </c>
      <c r="H5" s="34" t="s">
        <v>77</v>
      </c>
      <c r="I5" s="34" t="s">
        <v>76</v>
      </c>
      <c r="J5" s="24">
        <v>0.95486111111111116</v>
      </c>
      <c r="K5" s="25" t="s">
        <v>102</v>
      </c>
      <c r="L5" s="24">
        <v>0.71875</v>
      </c>
      <c r="M5" s="25">
        <v>0.84583333333333333</v>
      </c>
      <c r="N5" s="73"/>
      <c r="O5" s="34" t="s">
        <v>187</v>
      </c>
      <c r="P5" s="73"/>
      <c r="Q5" s="34">
        <v>1286</v>
      </c>
      <c r="R5" s="34">
        <v>0</v>
      </c>
      <c r="S5" s="34">
        <v>0</v>
      </c>
      <c r="T5" s="34">
        <v>0</v>
      </c>
      <c r="U5" s="34">
        <v>0</v>
      </c>
    </row>
    <row r="6" spans="1:21" x14ac:dyDescent="0.25">
      <c r="A6" s="28"/>
      <c r="B6" s="34"/>
      <c r="C6" s="34"/>
      <c r="D6" s="34"/>
      <c r="E6" s="16"/>
      <c r="F6" s="34"/>
      <c r="G6" s="61"/>
      <c r="H6" s="16"/>
      <c r="I6" s="16"/>
      <c r="J6" s="67"/>
      <c r="K6" s="66"/>
      <c r="L6" s="66"/>
      <c r="M6" s="66"/>
      <c r="N6" s="34"/>
      <c r="O6" s="34"/>
      <c r="P6" s="34"/>
      <c r="Q6" s="34"/>
      <c r="R6" s="34"/>
      <c r="S6" s="34"/>
      <c r="T6" s="34"/>
      <c r="U6" s="34"/>
    </row>
    <row r="7" spans="1:21" x14ac:dyDescent="0.25">
      <c r="A7" s="28"/>
      <c r="B7" s="59"/>
      <c r="C7" s="59"/>
      <c r="D7" s="59"/>
      <c r="E7" s="59"/>
      <c r="F7" s="62"/>
      <c r="G7" s="63"/>
      <c r="H7" s="59"/>
      <c r="I7" s="59"/>
      <c r="J7" s="64"/>
      <c r="K7" s="65"/>
      <c r="L7" s="64"/>
      <c r="M7" s="65"/>
      <c r="N7" s="34"/>
      <c r="O7" s="34"/>
      <c r="P7" s="34"/>
      <c r="Q7" s="34"/>
      <c r="R7" s="34"/>
      <c r="S7" s="34"/>
      <c r="T7" s="34"/>
      <c r="U7" s="34"/>
    </row>
    <row r="8" spans="1:21" x14ac:dyDescent="0.25">
      <c r="A8" s="28"/>
      <c r="B8" s="34"/>
      <c r="C8" s="34"/>
      <c r="D8" s="34"/>
      <c r="E8" s="16"/>
      <c r="F8" s="34"/>
      <c r="G8" s="61"/>
      <c r="H8" s="16"/>
      <c r="I8" s="16"/>
      <c r="J8" s="67"/>
      <c r="K8" s="66"/>
      <c r="L8" s="67"/>
      <c r="M8" s="66"/>
      <c r="N8" s="34"/>
      <c r="O8" s="34"/>
      <c r="P8" s="34"/>
      <c r="Q8" s="34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I1" workbookViewId="0">
      <selection activeCell="O7" sqref="O7"/>
    </sheetView>
  </sheetViews>
  <sheetFormatPr defaultRowHeight="15" x14ac:dyDescent="0.25"/>
  <cols>
    <col min="1" max="1" width="11.7109375" customWidth="1"/>
    <col min="2" max="2" width="12.7109375" customWidth="1"/>
    <col min="3" max="3" width="14.85546875" customWidth="1"/>
    <col min="6" max="6" width="27.14062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43449</v>
      </c>
      <c r="B2" s="3" t="s">
        <v>21</v>
      </c>
      <c r="C2" s="3" t="s">
        <v>22</v>
      </c>
      <c r="D2" s="3" t="s">
        <v>23</v>
      </c>
      <c r="E2" s="3" t="s">
        <v>59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0.49652777777777773</v>
      </c>
      <c r="K2" s="6">
        <v>0.62916666666666665</v>
      </c>
      <c r="L2" s="5">
        <v>0.3125</v>
      </c>
      <c r="M2" s="6">
        <v>0.38194444444444442</v>
      </c>
      <c r="N2" s="6" t="s">
        <v>192</v>
      </c>
      <c r="O2" s="7" t="s">
        <v>189</v>
      </c>
      <c r="P2" s="7">
        <v>1106</v>
      </c>
      <c r="Q2" s="7">
        <v>1008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43449</v>
      </c>
      <c r="B3" s="3" t="s">
        <v>21</v>
      </c>
      <c r="C3" s="3" t="s">
        <v>28</v>
      </c>
      <c r="D3" s="3" t="s">
        <v>23</v>
      </c>
      <c r="E3" s="3" t="s">
        <v>188</v>
      </c>
      <c r="F3" s="3" t="s">
        <v>25</v>
      </c>
      <c r="G3" s="4">
        <v>70000</v>
      </c>
      <c r="H3" s="3" t="s">
        <v>30</v>
      </c>
      <c r="I3" s="3" t="s">
        <v>31</v>
      </c>
      <c r="J3" s="5">
        <v>0.49305555555555558</v>
      </c>
      <c r="K3" s="6" t="s">
        <v>102</v>
      </c>
      <c r="L3" s="5">
        <v>0.35416666666666669</v>
      </c>
      <c r="M3" s="6">
        <v>0.3979166666666667</v>
      </c>
      <c r="N3" s="68"/>
      <c r="O3" s="7" t="s">
        <v>190</v>
      </c>
      <c r="P3" s="69"/>
      <c r="Q3" s="7">
        <v>210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43449</v>
      </c>
      <c r="B4" s="8" t="s">
        <v>21</v>
      </c>
      <c r="C4" s="8" t="s">
        <v>32</v>
      </c>
      <c r="D4" s="8" t="s">
        <v>23</v>
      </c>
      <c r="E4" s="3" t="s">
        <v>59</v>
      </c>
      <c r="F4" s="8" t="s">
        <v>25</v>
      </c>
      <c r="G4" s="9">
        <v>70000</v>
      </c>
      <c r="H4" s="8" t="s">
        <v>33</v>
      </c>
      <c r="I4" s="8" t="s">
        <v>34</v>
      </c>
      <c r="J4" s="10">
        <v>0.72222222222222221</v>
      </c>
      <c r="K4" s="11">
        <v>0.85625000000000007</v>
      </c>
      <c r="L4" s="10">
        <v>0.52777777777777779</v>
      </c>
      <c r="M4" s="11">
        <v>0.68055555555555547</v>
      </c>
      <c r="N4" s="7" t="s">
        <v>196</v>
      </c>
      <c r="O4" s="7" t="s">
        <v>44</v>
      </c>
      <c r="P4" s="3">
        <v>1212</v>
      </c>
      <c r="Q4" s="7">
        <v>834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 t="s">
        <v>197</v>
      </c>
      <c r="B5" s="8" t="s">
        <v>21</v>
      </c>
      <c r="C5" s="8" t="s">
        <v>35</v>
      </c>
      <c r="D5" s="8" t="s">
        <v>23</v>
      </c>
      <c r="E5" s="3" t="s">
        <v>188</v>
      </c>
      <c r="F5" s="8" t="s">
        <v>25</v>
      </c>
      <c r="G5" s="9">
        <v>70000</v>
      </c>
      <c r="H5" s="8" t="s">
        <v>36</v>
      </c>
      <c r="I5" s="8" t="s">
        <v>37</v>
      </c>
      <c r="J5" s="12">
        <v>0.91319444444444453</v>
      </c>
      <c r="K5" s="13">
        <v>6.25E-2</v>
      </c>
      <c r="L5" s="12">
        <v>0.74305555555555547</v>
      </c>
      <c r="M5" s="13">
        <v>0.90416666666666667</v>
      </c>
      <c r="N5" s="7" t="s">
        <v>137</v>
      </c>
      <c r="O5" s="7" t="s">
        <v>195</v>
      </c>
      <c r="P5" s="3">
        <v>1038</v>
      </c>
      <c r="Q5" s="7">
        <v>976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1">
        <v>43449</v>
      </c>
      <c r="B6" s="52" t="s">
        <v>21</v>
      </c>
      <c r="C6" s="52" t="s">
        <v>194</v>
      </c>
      <c r="D6" s="52" t="s">
        <v>23</v>
      </c>
      <c r="E6" s="52" t="s">
        <v>188</v>
      </c>
      <c r="F6" s="54" t="s">
        <v>106</v>
      </c>
      <c r="G6" s="52">
        <v>70000</v>
      </c>
      <c r="H6" s="52" t="s">
        <v>107</v>
      </c>
      <c r="I6" s="52" t="s">
        <v>191</v>
      </c>
      <c r="J6" s="55">
        <v>0.33333333333333331</v>
      </c>
      <c r="K6" s="57">
        <v>0.3430555555555555</v>
      </c>
      <c r="L6" s="52" t="s">
        <v>108</v>
      </c>
      <c r="M6" s="74" t="s">
        <v>108</v>
      </c>
      <c r="N6" s="74" t="s">
        <v>109</v>
      </c>
      <c r="O6" s="70"/>
      <c r="P6" s="70"/>
      <c r="Q6" s="70"/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51">
        <v>43449</v>
      </c>
      <c r="B7" s="52" t="s">
        <v>21</v>
      </c>
      <c r="C7" s="52" t="s">
        <v>104</v>
      </c>
      <c r="D7" s="52" t="s">
        <v>23</v>
      </c>
      <c r="E7" s="3" t="s">
        <v>188</v>
      </c>
      <c r="F7" s="52" t="s">
        <v>106</v>
      </c>
      <c r="G7" s="52">
        <v>70000</v>
      </c>
      <c r="H7" s="52" t="s">
        <v>193</v>
      </c>
      <c r="I7" s="58" t="s">
        <v>108</v>
      </c>
      <c r="J7" s="55">
        <v>0.81597222222222221</v>
      </c>
      <c r="K7" s="57">
        <v>0.84722222222222221</v>
      </c>
      <c r="L7" s="52" t="s">
        <v>108</v>
      </c>
      <c r="M7" s="74" t="s">
        <v>108</v>
      </c>
      <c r="N7" s="74" t="s">
        <v>109</v>
      </c>
      <c r="O7" s="70"/>
      <c r="P7" s="70"/>
      <c r="Q7" s="70"/>
      <c r="R7" s="8">
        <v>0</v>
      </c>
      <c r="S7" s="8">
        <v>0</v>
      </c>
      <c r="T7" s="8">
        <v>0</v>
      </c>
      <c r="U7" s="8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G1" sqref="A1:XFD5"/>
    </sheetView>
  </sheetViews>
  <sheetFormatPr defaultRowHeight="15" x14ac:dyDescent="0.25"/>
  <cols>
    <col min="2" max="2" width="9.85546875" customWidth="1"/>
    <col min="3" max="3" width="14.7109375" customWidth="1"/>
    <col min="5" max="5" width="17.42578125" customWidth="1"/>
    <col min="6" max="6" width="21.42578125" customWidth="1"/>
    <col min="7" max="7" width="13.140625" customWidth="1"/>
    <col min="10" max="10" width="11.85546875" customWidth="1"/>
    <col min="11" max="11" width="14" customWidth="1"/>
    <col min="12" max="12" width="14.28515625" customWidth="1"/>
    <col min="13" max="13" width="12.85546875" customWidth="1"/>
    <col min="14" max="14" width="18.28515625" customWidth="1"/>
    <col min="15" max="15" width="19.85546875" customWidth="1"/>
    <col min="16" max="16" width="11" customWidth="1"/>
    <col min="17" max="17" width="12" customWidth="1"/>
  </cols>
  <sheetData>
    <row r="1" spans="1:21" s="15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15" customFormat="1" ht="12.75" x14ac:dyDescent="0.25">
      <c r="A2" s="2">
        <v>43450</v>
      </c>
      <c r="B2" s="16" t="s">
        <v>21</v>
      </c>
      <c r="C2" s="16" t="s">
        <v>46</v>
      </c>
      <c r="D2" s="16" t="s">
        <v>23</v>
      </c>
      <c r="E2" s="8" t="s">
        <v>188</v>
      </c>
      <c r="F2" s="16" t="s">
        <v>25</v>
      </c>
      <c r="G2" s="17">
        <v>70000</v>
      </c>
      <c r="H2" s="16" t="s">
        <v>47</v>
      </c>
      <c r="I2" s="16" t="s">
        <v>48</v>
      </c>
      <c r="J2" s="18">
        <v>0.4826388888888889</v>
      </c>
      <c r="K2" s="19">
        <v>0.47569444444444442</v>
      </c>
      <c r="L2" s="18">
        <v>0.27777777777777779</v>
      </c>
      <c r="M2" s="19">
        <v>0.2951388888888889</v>
      </c>
      <c r="N2" s="20" t="s">
        <v>199</v>
      </c>
      <c r="O2" s="20" t="s">
        <v>86</v>
      </c>
      <c r="P2" s="20">
        <v>1279</v>
      </c>
      <c r="Q2" s="20">
        <v>1067</v>
      </c>
      <c r="R2" s="16">
        <v>0</v>
      </c>
      <c r="S2" s="16">
        <v>0</v>
      </c>
      <c r="T2" s="16">
        <v>0</v>
      </c>
      <c r="U2" s="16">
        <v>0</v>
      </c>
    </row>
    <row r="3" spans="1:21" s="15" customFormat="1" ht="12.75" x14ac:dyDescent="0.25">
      <c r="A3" s="21">
        <f>A2</f>
        <v>43450</v>
      </c>
      <c r="B3" s="16" t="s">
        <v>21</v>
      </c>
      <c r="C3" s="16" t="s">
        <v>49</v>
      </c>
      <c r="D3" s="16" t="s">
        <v>23</v>
      </c>
      <c r="E3" s="16" t="s">
        <v>59</v>
      </c>
      <c r="F3" s="16" t="s">
        <v>25</v>
      </c>
      <c r="G3" s="17">
        <v>70000</v>
      </c>
      <c r="H3" s="16" t="s">
        <v>50</v>
      </c>
      <c r="I3" s="16" t="s">
        <v>51</v>
      </c>
      <c r="J3" s="18">
        <v>0.65277777777777779</v>
      </c>
      <c r="K3" s="19">
        <v>0.64652777777777781</v>
      </c>
      <c r="L3" s="18">
        <v>0.5</v>
      </c>
      <c r="M3" s="19">
        <v>0.51458333333333328</v>
      </c>
      <c r="N3" s="20" t="s">
        <v>200</v>
      </c>
      <c r="O3" s="20" t="s">
        <v>198</v>
      </c>
      <c r="P3" s="16">
        <v>1364</v>
      </c>
      <c r="Q3" s="20">
        <v>734</v>
      </c>
      <c r="R3" s="16">
        <v>0</v>
      </c>
      <c r="S3" s="16">
        <v>0</v>
      </c>
      <c r="T3" s="16">
        <v>0</v>
      </c>
      <c r="U3" s="16">
        <v>0</v>
      </c>
    </row>
    <row r="4" spans="1:21" s="8" customFormat="1" ht="12.75" x14ac:dyDescent="0.25">
      <c r="A4" s="22">
        <f>A3</f>
        <v>43450</v>
      </c>
      <c r="B4" s="8" t="s">
        <v>21</v>
      </c>
      <c r="C4" s="8" t="s">
        <v>52</v>
      </c>
      <c r="D4" s="8" t="s">
        <v>23</v>
      </c>
      <c r="E4" s="8" t="s">
        <v>188</v>
      </c>
      <c r="F4" s="8" t="s">
        <v>25</v>
      </c>
      <c r="G4" s="9">
        <v>70000</v>
      </c>
      <c r="H4" s="8" t="s">
        <v>53</v>
      </c>
      <c r="I4" s="8" t="s">
        <v>54</v>
      </c>
      <c r="J4" s="10">
        <v>0.69791666666666663</v>
      </c>
      <c r="K4" s="11">
        <v>0.68402777777777779</v>
      </c>
      <c r="L4" s="10">
        <v>0.52777777777777779</v>
      </c>
      <c r="M4" s="11">
        <v>0.52638888888888891</v>
      </c>
      <c r="N4" s="8" t="s">
        <v>201</v>
      </c>
      <c r="O4" s="23" t="s">
        <v>179</v>
      </c>
      <c r="P4" s="8">
        <v>1291</v>
      </c>
      <c r="Q4" s="8">
        <v>754</v>
      </c>
      <c r="R4" s="8">
        <v>0</v>
      </c>
      <c r="S4" s="8">
        <v>0</v>
      </c>
      <c r="T4" s="8">
        <v>0</v>
      </c>
      <c r="U4" s="8">
        <v>0</v>
      </c>
    </row>
    <row r="5" spans="1:21" s="15" customFormat="1" ht="12.75" x14ac:dyDescent="0.25">
      <c r="A5" s="22">
        <f>A4</f>
        <v>43450</v>
      </c>
      <c r="B5" s="8" t="s">
        <v>21</v>
      </c>
      <c r="C5" s="8" t="s">
        <v>55</v>
      </c>
      <c r="D5" s="8" t="s">
        <v>23</v>
      </c>
      <c r="E5" s="8" t="s">
        <v>188</v>
      </c>
      <c r="F5" s="8" t="s">
        <v>25</v>
      </c>
      <c r="G5" s="9">
        <v>70000</v>
      </c>
      <c r="H5" s="8" t="s">
        <v>56</v>
      </c>
      <c r="I5" s="8" t="s">
        <v>57</v>
      </c>
      <c r="J5" s="24">
        <v>0.88888888888888884</v>
      </c>
      <c r="K5" s="25" t="s">
        <v>203</v>
      </c>
      <c r="L5" s="24">
        <v>0.68402777777777779</v>
      </c>
      <c r="M5" s="25">
        <v>0.80069444444444438</v>
      </c>
      <c r="N5" s="75"/>
      <c r="O5" s="8" t="s">
        <v>202</v>
      </c>
      <c r="P5" s="75"/>
      <c r="Q5" s="8">
        <v>1254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zoomScaleNormal="100" workbookViewId="0">
      <selection activeCell="D4" sqref="A4:XFD4"/>
    </sheetView>
  </sheetViews>
  <sheetFormatPr defaultRowHeight="12.75" x14ac:dyDescent="0.2"/>
  <cols>
    <col min="1" max="1" width="9.140625" style="27"/>
    <col min="2" max="2" width="18.42578125" style="27" customWidth="1"/>
    <col min="3" max="3" width="15.85546875" style="27" customWidth="1"/>
    <col min="4" max="4" width="9.140625" style="27"/>
    <col min="5" max="5" width="18.140625" style="27" customWidth="1"/>
    <col min="6" max="6" width="26.7109375" style="27" customWidth="1"/>
    <col min="7" max="8" width="9.140625" style="27"/>
    <col min="9" max="9" width="9.7109375" style="27" bestFit="1" customWidth="1"/>
    <col min="10" max="10" width="11" style="27" bestFit="1" customWidth="1"/>
    <col min="11" max="11" width="10.85546875" style="27" bestFit="1" customWidth="1"/>
    <col min="12" max="12" width="11" style="27" bestFit="1" customWidth="1"/>
    <col min="13" max="13" width="10.85546875" style="27" bestFit="1" customWidth="1"/>
    <col min="14" max="15" width="18.42578125" style="27" bestFit="1" customWidth="1"/>
    <col min="16" max="17" width="10.28515625" style="27" bestFit="1" customWidth="1"/>
    <col min="18" max="257" width="9.140625" style="27"/>
    <col min="258" max="258" width="18.42578125" style="27" customWidth="1"/>
    <col min="259" max="259" width="15.28515625" style="27" customWidth="1"/>
    <col min="260" max="260" width="9.140625" style="27"/>
    <col min="261" max="261" width="18.140625" style="27" customWidth="1"/>
    <col min="262" max="262" width="26.7109375" style="27" customWidth="1"/>
    <col min="263" max="264" width="9.140625" style="27"/>
    <col min="265" max="265" width="9.7109375" style="27" bestFit="1" customWidth="1"/>
    <col min="266" max="266" width="11" style="27" bestFit="1" customWidth="1"/>
    <col min="267" max="267" width="10.85546875" style="27" bestFit="1" customWidth="1"/>
    <col min="268" max="268" width="11" style="27" bestFit="1" customWidth="1"/>
    <col min="269" max="269" width="10.85546875" style="27" bestFit="1" customWidth="1"/>
    <col min="270" max="271" width="18.42578125" style="27" bestFit="1" customWidth="1"/>
    <col min="272" max="273" width="10.28515625" style="27" bestFit="1" customWidth="1"/>
    <col min="274" max="513" width="9.140625" style="27"/>
    <col min="514" max="514" width="18.42578125" style="27" customWidth="1"/>
    <col min="515" max="515" width="15.28515625" style="27" customWidth="1"/>
    <col min="516" max="516" width="9.140625" style="27"/>
    <col min="517" max="517" width="18.140625" style="27" customWidth="1"/>
    <col min="518" max="518" width="26.7109375" style="27" customWidth="1"/>
    <col min="519" max="520" width="9.140625" style="27"/>
    <col min="521" max="521" width="9.7109375" style="27" bestFit="1" customWidth="1"/>
    <col min="522" max="522" width="11" style="27" bestFit="1" customWidth="1"/>
    <col min="523" max="523" width="10.85546875" style="27" bestFit="1" customWidth="1"/>
    <col min="524" max="524" width="11" style="27" bestFit="1" customWidth="1"/>
    <col min="525" max="525" width="10.85546875" style="27" bestFit="1" customWidth="1"/>
    <col min="526" max="527" width="18.42578125" style="27" bestFit="1" customWidth="1"/>
    <col min="528" max="529" width="10.28515625" style="27" bestFit="1" customWidth="1"/>
    <col min="530" max="769" width="9.140625" style="27"/>
    <col min="770" max="770" width="18.42578125" style="27" customWidth="1"/>
    <col min="771" max="771" width="15.28515625" style="27" customWidth="1"/>
    <col min="772" max="772" width="9.140625" style="27"/>
    <col min="773" max="773" width="18.140625" style="27" customWidth="1"/>
    <col min="774" max="774" width="26.7109375" style="27" customWidth="1"/>
    <col min="775" max="776" width="9.140625" style="27"/>
    <col min="777" max="777" width="9.7109375" style="27" bestFit="1" customWidth="1"/>
    <col min="778" max="778" width="11" style="27" bestFit="1" customWidth="1"/>
    <col min="779" max="779" width="10.85546875" style="27" bestFit="1" customWidth="1"/>
    <col min="780" max="780" width="11" style="27" bestFit="1" customWidth="1"/>
    <col min="781" max="781" width="10.85546875" style="27" bestFit="1" customWidth="1"/>
    <col min="782" max="783" width="18.42578125" style="27" bestFit="1" customWidth="1"/>
    <col min="784" max="785" width="10.28515625" style="27" bestFit="1" customWidth="1"/>
    <col min="786" max="1025" width="9.140625" style="27"/>
    <col min="1026" max="1026" width="18.42578125" style="27" customWidth="1"/>
    <col min="1027" max="1027" width="15.28515625" style="27" customWidth="1"/>
    <col min="1028" max="1028" width="9.140625" style="27"/>
    <col min="1029" max="1029" width="18.140625" style="27" customWidth="1"/>
    <col min="1030" max="1030" width="26.7109375" style="27" customWidth="1"/>
    <col min="1031" max="1032" width="9.140625" style="27"/>
    <col min="1033" max="1033" width="9.7109375" style="27" bestFit="1" customWidth="1"/>
    <col min="1034" max="1034" width="11" style="27" bestFit="1" customWidth="1"/>
    <col min="1035" max="1035" width="10.85546875" style="27" bestFit="1" customWidth="1"/>
    <col min="1036" max="1036" width="11" style="27" bestFit="1" customWidth="1"/>
    <col min="1037" max="1037" width="10.85546875" style="27" bestFit="1" customWidth="1"/>
    <col min="1038" max="1039" width="18.42578125" style="27" bestFit="1" customWidth="1"/>
    <col min="1040" max="1041" width="10.28515625" style="27" bestFit="1" customWidth="1"/>
    <col min="1042" max="1281" width="9.140625" style="27"/>
    <col min="1282" max="1282" width="18.42578125" style="27" customWidth="1"/>
    <col min="1283" max="1283" width="15.28515625" style="27" customWidth="1"/>
    <col min="1284" max="1284" width="9.140625" style="27"/>
    <col min="1285" max="1285" width="18.140625" style="27" customWidth="1"/>
    <col min="1286" max="1286" width="26.7109375" style="27" customWidth="1"/>
    <col min="1287" max="1288" width="9.140625" style="27"/>
    <col min="1289" max="1289" width="9.7109375" style="27" bestFit="1" customWidth="1"/>
    <col min="1290" max="1290" width="11" style="27" bestFit="1" customWidth="1"/>
    <col min="1291" max="1291" width="10.85546875" style="27" bestFit="1" customWidth="1"/>
    <col min="1292" max="1292" width="11" style="27" bestFit="1" customWidth="1"/>
    <col min="1293" max="1293" width="10.85546875" style="27" bestFit="1" customWidth="1"/>
    <col min="1294" max="1295" width="18.42578125" style="27" bestFit="1" customWidth="1"/>
    <col min="1296" max="1297" width="10.28515625" style="27" bestFit="1" customWidth="1"/>
    <col min="1298" max="1537" width="9.140625" style="27"/>
    <col min="1538" max="1538" width="18.42578125" style="27" customWidth="1"/>
    <col min="1539" max="1539" width="15.28515625" style="27" customWidth="1"/>
    <col min="1540" max="1540" width="9.140625" style="27"/>
    <col min="1541" max="1541" width="18.140625" style="27" customWidth="1"/>
    <col min="1542" max="1542" width="26.7109375" style="27" customWidth="1"/>
    <col min="1543" max="1544" width="9.140625" style="27"/>
    <col min="1545" max="1545" width="9.7109375" style="27" bestFit="1" customWidth="1"/>
    <col min="1546" max="1546" width="11" style="27" bestFit="1" customWidth="1"/>
    <col min="1547" max="1547" width="10.85546875" style="27" bestFit="1" customWidth="1"/>
    <col min="1548" max="1548" width="11" style="27" bestFit="1" customWidth="1"/>
    <col min="1549" max="1549" width="10.85546875" style="27" bestFit="1" customWidth="1"/>
    <col min="1550" max="1551" width="18.42578125" style="27" bestFit="1" customWidth="1"/>
    <col min="1552" max="1553" width="10.28515625" style="27" bestFit="1" customWidth="1"/>
    <col min="1554" max="1793" width="9.140625" style="27"/>
    <col min="1794" max="1794" width="18.42578125" style="27" customWidth="1"/>
    <col min="1795" max="1795" width="15.28515625" style="27" customWidth="1"/>
    <col min="1796" max="1796" width="9.140625" style="27"/>
    <col min="1797" max="1797" width="18.140625" style="27" customWidth="1"/>
    <col min="1798" max="1798" width="26.7109375" style="27" customWidth="1"/>
    <col min="1799" max="1800" width="9.140625" style="27"/>
    <col min="1801" max="1801" width="9.7109375" style="27" bestFit="1" customWidth="1"/>
    <col min="1802" max="1802" width="11" style="27" bestFit="1" customWidth="1"/>
    <col min="1803" max="1803" width="10.85546875" style="27" bestFit="1" customWidth="1"/>
    <col min="1804" max="1804" width="11" style="27" bestFit="1" customWidth="1"/>
    <col min="1805" max="1805" width="10.85546875" style="27" bestFit="1" customWidth="1"/>
    <col min="1806" max="1807" width="18.42578125" style="27" bestFit="1" customWidth="1"/>
    <col min="1808" max="1809" width="10.28515625" style="27" bestFit="1" customWidth="1"/>
    <col min="1810" max="2049" width="9.140625" style="27"/>
    <col min="2050" max="2050" width="18.42578125" style="27" customWidth="1"/>
    <col min="2051" max="2051" width="15.28515625" style="27" customWidth="1"/>
    <col min="2052" max="2052" width="9.140625" style="27"/>
    <col min="2053" max="2053" width="18.140625" style="27" customWidth="1"/>
    <col min="2054" max="2054" width="26.7109375" style="27" customWidth="1"/>
    <col min="2055" max="2056" width="9.140625" style="27"/>
    <col min="2057" max="2057" width="9.7109375" style="27" bestFit="1" customWidth="1"/>
    <col min="2058" max="2058" width="11" style="27" bestFit="1" customWidth="1"/>
    <col min="2059" max="2059" width="10.85546875" style="27" bestFit="1" customWidth="1"/>
    <col min="2060" max="2060" width="11" style="27" bestFit="1" customWidth="1"/>
    <col min="2061" max="2061" width="10.85546875" style="27" bestFit="1" customWidth="1"/>
    <col min="2062" max="2063" width="18.42578125" style="27" bestFit="1" customWidth="1"/>
    <col min="2064" max="2065" width="10.28515625" style="27" bestFit="1" customWidth="1"/>
    <col min="2066" max="2305" width="9.140625" style="27"/>
    <col min="2306" max="2306" width="18.42578125" style="27" customWidth="1"/>
    <col min="2307" max="2307" width="15.28515625" style="27" customWidth="1"/>
    <col min="2308" max="2308" width="9.140625" style="27"/>
    <col min="2309" max="2309" width="18.140625" style="27" customWidth="1"/>
    <col min="2310" max="2310" width="26.7109375" style="27" customWidth="1"/>
    <col min="2311" max="2312" width="9.140625" style="27"/>
    <col min="2313" max="2313" width="9.7109375" style="27" bestFit="1" customWidth="1"/>
    <col min="2314" max="2314" width="11" style="27" bestFit="1" customWidth="1"/>
    <col min="2315" max="2315" width="10.85546875" style="27" bestFit="1" customWidth="1"/>
    <col min="2316" max="2316" width="11" style="27" bestFit="1" customWidth="1"/>
    <col min="2317" max="2317" width="10.85546875" style="27" bestFit="1" customWidth="1"/>
    <col min="2318" max="2319" width="18.42578125" style="27" bestFit="1" customWidth="1"/>
    <col min="2320" max="2321" width="10.28515625" style="27" bestFit="1" customWidth="1"/>
    <col min="2322" max="2561" width="9.140625" style="27"/>
    <col min="2562" max="2562" width="18.42578125" style="27" customWidth="1"/>
    <col min="2563" max="2563" width="15.28515625" style="27" customWidth="1"/>
    <col min="2564" max="2564" width="9.140625" style="27"/>
    <col min="2565" max="2565" width="18.140625" style="27" customWidth="1"/>
    <col min="2566" max="2566" width="26.7109375" style="27" customWidth="1"/>
    <col min="2567" max="2568" width="9.140625" style="27"/>
    <col min="2569" max="2569" width="9.7109375" style="27" bestFit="1" customWidth="1"/>
    <col min="2570" max="2570" width="11" style="27" bestFit="1" customWidth="1"/>
    <col min="2571" max="2571" width="10.85546875" style="27" bestFit="1" customWidth="1"/>
    <col min="2572" max="2572" width="11" style="27" bestFit="1" customWidth="1"/>
    <col min="2573" max="2573" width="10.85546875" style="27" bestFit="1" customWidth="1"/>
    <col min="2574" max="2575" width="18.42578125" style="27" bestFit="1" customWidth="1"/>
    <col min="2576" max="2577" width="10.28515625" style="27" bestFit="1" customWidth="1"/>
    <col min="2578" max="2817" width="9.140625" style="27"/>
    <col min="2818" max="2818" width="18.42578125" style="27" customWidth="1"/>
    <col min="2819" max="2819" width="15.28515625" style="27" customWidth="1"/>
    <col min="2820" max="2820" width="9.140625" style="27"/>
    <col min="2821" max="2821" width="18.140625" style="27" customWidth="1"/>
    <col min="2822" max="2822" width="26.7109375" style="27" customWidth="1"/>
    <col min="2823" max="2824" width="9.140625" style="27"/>
    <col min="2825" max="2825" width="9.7109375" style="27" bestFit="1" customWidth="1"/>
    <col min="2826" max="2826" width="11" style="27" bestFit="1" customWidth="1"/>
    <col min="2827" max="2827" width="10.85546875" style="27" bestFit="1" customWidth="1"/>
    <col min="2828" max="2828" width="11" style="27" bestFit="1" customWidth="1"/>
    <col min="2829" max="2829" width="10.85546875" style="27" bestFit="1" customWidth="1"/>
    <col min="2830" max="2831" width="18.42578125" style="27" bestFit="1" customWidth="1"/>
    <col min="2832" max="2833" width="10.28515625" style="27" bestFit="1" customWidth="1"/>
    <col min="2834" max="3073" width="9.140625" style="27"/>
    <col min="3074" max="3074" width="18.42578125" style="27" customWidth="1"/>
    <col min="3075" max="3075" width="15.28515625" style="27" customWidth="1"/>
    <col min="3076" max="3076" width="9.140625" style="27"/>
    <col min="3077" max="3077" width="18.140625" style="27" customWidth="1"/>
    <col min="3078" max="3078" width="26.7109375" style="27" customWidth="1"/>
    <col min="3079" max="3080" width="9.140625" style="27"/>
    <col min="3081" max="3081" width="9.7109375" style="27" bestFit="1" customWidth="1"/>
    <col min="3082" max="3082" width="11" style="27" bestFit="1" customWidth="1"/>
    <col min="3083" max="3083" width="10.85546875" style="27" bestFit="1" customWidth="1"/>
    <col min="3084" max="3084" width="11" style="27" bestFit="1" customWidth="1"/>
    <col min="3085" max="3085" width="10.85546875" style="27" bestFit="1" customWidth="1"/>
    <col min="3086" max="3087" width="18.42578125" style="27" bestFit="1" customWidth="1"/>
    <col min="3088" max="3089" width="10.28515625" style="27" bestFit="1" customWidth="1"/>
    <col min="3090" max="3329" width="9.140625" style="27"/>
    <col min="3330" max="3330" width="18.42578125" style="27" customWidth="1"/>
    <col min="3331" max="3331" width="15.28515625" style="27" customWidth="1"/>
    <col min="3332" max="3332" width="9.140625" style="27"/>
    <col min="3333" max="3333" width="18.140625" style="27" customWidth="1"/>
    <col min="3334" max="3334" width="26.7109375" style="27" customWidth="1"/>
    <col min="3335" max="3336" width="9.140625" style="27"/>
    <col min="3337" max="3337" width="9.7109375" style="27" bestFit="1" customWidth="1"/>
    <col min="3338" max="3338" width="11" style="27" bestFit="1" customWidth="1"/>
    <col min="3339" max="3339" width="10.85546875" style="27" bestFit="1" customWidth="1"/>
    <col min="3340" max="3340" width="11" style="27" bestFit="1" customWidth="1"/>
    <col min="3341" max="3341" width="10.85546875" style="27" bestFit="1" customWidth="1"/>
    <col min="3342" max="3343" width="18.42578125" style="27" bestFit="1" customWidth="1"/>
    <col min="3344" max="3345" width="10.28515625" style="27" bestFit="1" customWidth="1"/>
    <col min="3346" max="3585" width="9.140625" style="27"/>
    <col min="3586" max="3586" width="18.42578125" style="27" customWidth="1"/>
    <col min="3587" max="3587" width="15.28515625" style="27" customWidth="1"/>
    <col min="3588" max="3588" width="9.140625" style="27"/>
    <col min="3589" max="3589" width="18.140625" style="27" customWidth="1"/>
    <col min="3590" max="3590" width="26.7109375" style="27" customWidth="1"/>
    <col min="3591" max="3592" width="9.140625" style="27"/>
    <col min="3593" max="3593" width="9.7109375" style="27" bestFit="1" customWidth="1"/>
    <col min="3594" max="3594" width="11" style="27" bestFit="1" customWidth="1"/>
    <col min="3595" max="3595" width="10.85546875" style="27" bestFit="1" customWidth="1"/>
    <col min="3596" max="3596" width="11" style="27" bestFit="1" customWidth="1"/>
    <col min="3597" max="3597" width="10.85546875" style="27" bestFit="1" customWidth="1"/>
    <col min="3598" max="3599" width="18.42578125" style="27" bestFit="1" customWidth="1"/>
    <col min="3600" max="3601" width="10.28515625" style="27" bestFit="1" customWidth="1"/>
    <col min="3602" max="3841" width="9.140625" style="27"/>
    <col min="3842" max="3842" width="18.42578125" style="27" customWidth="1"/>
    <col min="3843" max="3843" width="15.28515625" style="27" customWidth="1"/>
    <col min="3844" max="3844" width="9.140625" style="27"/>
    <col min="3845" max="3845" width="18.140625" style="27" customWidth="1"/>
    <col min="3846" max="3846" width="26.7109375" style="27" customWidth="1"/>
    <col min="3847" max="3848" width="9.140625" style="27"/>
    <col min="3849" max="3849" width="9.7109375" style="27" bestFit="1" customWidth="1"/>
    <col min="3850" max="3850" width="11" style="27" bestFit="1" customWidth="1"/>
    <col min="3851" max="3851" width="10.85546875" style="27" bestFit="1" customWidth="1"/>
    <col min="3852" max="3852" width="11" style="27" bestFit="1" customWidth="1"/>
    <col min="3853" max="3853" width="10.85546875" style="27" bestFit="1" customWidth="1"/>
    <col min="3854" max="3855" width="18.42578125" style="27" bestFit="1" customWidth="1"/>
    <col min="3856" max="3857" width="10.28515625" style="27" bestFit="1" customWidth="1"/>
    <col min="3858" max="4097" width="9.140625" style="27"/>
    <col min="4098" max="4098" width="18.42578125" style="27" customWidth="1"/>
    <col min="4099" max="4099" width="15.28515625" style="27" customWidth="1"/>
    <col min="4100" max="4100" width="9.140625" style="27"/>
    <col min="4101" max="4101" width="18.140625" style="27" customWidth="1"/>
    <col min="4102" max="4102" width="26.7109375" style="27" customWidth="1"/>
    <col min="4103" max="4104" width="9.140625" style="27"/>
    <col min="4105" max="4105" width="9.7109375" style="27" bestFit="1" customWidth="1"/>
    <col min="4106" max="4106" width="11" style="27" bestFit="1" customWidth="1"/>
    <col min="4107" max="4107" width="10.85546875" style="27" bestFit="1" customWidth="1"/>
    <col min="4108" max="4108" width="11" style="27" bestFit="1" customWidth="1"/>
    <col min="4109" max="4109" width="10.85546875" style="27" bestFit="1" customWidth="1"/>
    <col min="4110" max="4111" width="18.42578125" style="27" bestFit="1" customWidth="1"/>
    <col min="4112" max="4113" width="10.28515625" style="27" bestFit="1" customWidth="1"/>
    <col min="4114" max="4353" width="9.140625" style="27"/>
    <col min="4354" max="4354" width="18.42578125" style="27" customWidth="1"/>
    <col min="4355" max="4355" width="15.28515625" style="27" customWidth="1"/>
    <col min="4356" max="4356" width="9.140625" style="27"/>
    <col min="4357" max="4357" width="18.140625" style="27" customWidth="1"/>
    <col min="4358" max="4358" width="26.7109375" style="27" customWidth="1"/>
    <col min="4359" max="4360" width="9.140625" style="27"/>
    <col min="4361" max="4361" width="9.7109375" style="27" bestFit="1" customWidth="1"/>
    <col min="4362" max="4362" width="11" style="27" bestFit="1" customWidth="1"/>
    <col min="4363" max="4363" width="10.85546875" style="27" bestFit="1" customWidth="1"/>
    <col min="4364" max="4364" width="11" style="27" bestFit="1" customWidth="1"/>
    <col min="4365" max="4365" width="10.85546875" style="27" bestFit="1" customWidth="1"/>
    <col min="4366" max="4367" width="18.42578125" style="27" bestFit="1" customWidth="1"/>
    <col min="4368" max="4369" width="10.28515625" style="27" bestFit="1" customWidth="1"/>
    <col min="4370" max="4609" width="9.140625" style="27"/>
    <col min="4610" max="4610" width="18.42578125" style="27" customWidth="1"/>
    <col min="4611" max="4611" width="15.28515625" style="27" customWidth="1"/>
    <col min="4612" max="4612" width="9.140625" style="27"/>
    <col min="4613" max="4613" width="18.140625" style="27" customWidth="1"/>
    <col min="4614" max="4614" width="26.7109375" style="27" customWidth="1"/>
    <col min="4615" max="4616" width="9.140625" style="27"/>
    <col min="4617" max="4617" width="9.7109375" style="27" bestFit="1" customWidth="1"/>
    <col min="4618" max="4618" width="11" style="27" bestFit="1" customWidth="1"/>
    <col min="4619" max="4619" width="10.85546875" style="27" bestFit="1" customWidth="1"/>
    <col min="4620" max="4620" width="11" style="27" bestFit="1" customWidth="1"/>
    <col min="4621" max="4621" width="10.85546875" style="27" bestFit="1" customWidth="1"/>
    <col min="4622" max="4623" width="18.42578125" style="27" bestFit="1" customWidth="1"/>
    <col min="4624" max="4625" width="10.28515625" style="27" bestFit="1" customWidth="1"/>
    <col min="4626" max="4865" width="9.140625" style="27"/>
    <col min="4866" max="4866" width="18.42578125" style="27" customWidth="1"/>
    <col min="4867" max="4867" width="15.28515625" style="27" customWidth="1"/>
    <col min="4868" max="4868" width="9.140625" style="27"/>
    <col min="4869" max="4869" width="18.140625" style="27" customWidth="1"/>
    <col min="4870" max="4870" width="26.7109375" style="27" customWidth="1"/>
    <col min="4871" max="4872" width="9.140625" style="27"/>
    <col min="4873" max="4873" width="9.7109375" style="27" bestFit="1" customWidth="1"/>
    <col min="4874" max="4874" width="11" style="27" bestFit="1" customWidth="1"/>
    <col min="4875" max="4875" width="10.85546875" style="27" bestFit="1" customWidth="1"/>
    <col min="4876" max="4876" width="11" style="27" bestFit="1" customWidth="1"/>
    <col min="4877" max="4877" width="10.85546875" style="27" bestFit="1" customWidth="1"/>
    <col min="4878" max="4879" width="18.42578125" style="27" bestFit="1" customWidth="1"/>
    <col min="4880" max="4881" width="10.28515625" style="27" bestFit="1" customWidth="1"/>
    <col min="4882" max="5121" width="9.140625" style="27"/>
    <col min="5122" max="5122" width="18.42578125" style="27" customWidth="1"/>
    <col min="5123" max="5123" width="15.28515625" style="27" customWidth="1"/>
    <col min="5124" max="5124" width="9.140625" style="27"/>
    <col min="5125" max="5125" width="18.140625" style="27" customWidth="1"/>
    <col min="5126" max="5126" width="26.7109375" style="27" customWidth="1"/>
    <col min="5127" max="5128" width="9.140625" style="27"/>
    <col min="5129" max="5129" width="9.7109375" style="27" bestFit="1" customWidth="1"/>
    <col min="5130" max="5130" width="11" style="27" bestFit="1" customWidth="1"/>
    <col min="5131" max="5131" width="10.85546875" style="27" bestFit="1" customWidth="1"/>
    <col min="5132" max="5132" width="11" style="27" bestFit="1" customWidth="1"/>
    <col min="5133" max="5133" width="10.85546875" style="27" bestFit="1" customWidth="1"/>
    <col min="5134" max="5135" width="18.42578125" style="27" bestFit="1" customWidth="1"/>
    <col min="5136" max="5137" width="10.28515625" style="27" bestFit="1" customWidth="1"/>
    <col min="5138" max="5377" width="9.140625" style="27"/>
    <col min="5378" max="5378" width="18.42578125" style="27" customWidth="1"/>
    <col min="5379" max="5379" width="15.28515625" style="27" customWidth="1"/>
    <col min="5380" max="5380" width="9.140625" style="27"/>
    <col min="5381" max="5381" width="18.140625" style="27" customWidth="1"/>
    <col min="5382" max="5382" width="26.7109375" style="27" customWidth="1"/>
    <col min="5383" max="5384" width="9.140625" style="27"/>
    <col min="5385" max="5385" width="9.7109375" style="27" bestFit="1" customWidth="1"/>
    <col min="5386" max="5386" width="11" style="27" bestFit="1" customWidth="1"/>
    <col min="5387" max="5387" width="10.85546875" style="27" bestFit="1" customWidth="1"/>
    <col min="5388" max="5388" width="11" style="27" bestFit="1" customWidth="1"/>
    <col min="5389" max="5389" width="10.85546875" style="27" bestFit="1" customWidth="1"/>
    <col min="5390" max="5391" width="18.42578125" style="27" bestFit="1" customWidth="1"/>
    <col min="5392" max="5393" width="10.28515625" style="27" bestFit="1" customWidth="1"/>
    <col min="5394" max="5633" width="9.140625" style="27"/>
    <col min="5634" max="5634" width="18.42578125" style="27" customWidth="1"/>
    <col min="5635" max="5635" width="15.28515625" style="27" customWidth="1"/>
    <col min="5636" max="5636" width="9.140625" style="27"/>
    <col min="5637" max="5637" width="18.140625" style="27" customWidth="1"/>
    <col min="5638" max="5638" width="26.7109375" style="27" customWidth="1"/>
    <col min="5639" max="5640" width="9.140625" style="27"/>
    <col min="5641" max="5641" width="9.7109375" style="27" bestFit="1" customWidth="1"/>
    <col min="5642" max="5642" width="11" style="27" bestFit="1" customWidth="1"/>
    <col min="5643" max="5643" width="10.85546875" style="27" bestFit="1" customWidth="1"/>
    <col min="5644" max="5644" width="11" style="27" bestFit="1" customWidth="1"/>
    <col min="5645" max="5645" width="10.85546875" style="27" bestFit="1" customWidth="1"/>
    <col min="5646" max="5647" width="18.42578125" style="27" bestFit="1" customWidth="1"/>
    <col min="5648" max="5649" width="10.28515625" style="27" bestFit="1" customWidth="1"/>
    <col min="5650" max="5889" width="9.140625" style="27"/>
    <col min="5890" max="5890" width="18.42578125" style="27" customWidth="1"/>
    <col min="5891" max="5891" width="15.28515625" style="27" customWidth="1"/>
    <col min="5892" max="5892" width="9.140625" style="27"/>
    <col min="5893" max="5893" width="18.140625" style="27" customWidth="1"/>
    <col min="5894" max="5894" width="26.7109375" style="27" customWidth="1"/>
    <col min="5895" max="5896" width="9.140625" style="27"/>
    <col min="5897" max="5897" width="9.7109375" style="27" bestFit="1" customWidth="1"/>
    <col min="5898" max="5898" width="11" style="27" bestFit="1" customWidth="1"/>
    <col min="5899" max="5899" width="10.85546875" style="27" bestFit="1" customWidth="1"/>
    <col min="5900" max="5900" width="11" style="27" bestFit="1" customWidth="1"/>
    <col min="5901" max="5901" width="10.85546875" style="27" bestFit="1" customWidth="1"/>
    <col min="5902" max="5903" width="18.42578125" style="27" bestFit="1" customWidth="1"/>
    <col min="5904" max="5905" width="10.28515625" style="27" bestFit="1" customWidth="1"/>
    <col min="5906" max="6145" width="9.140625" style="27"/>
    <col min="6146" max="6146" width="18.42578125" style="27" customWidth="1"/>
    <col min="6147" max="6147" width="15.28515625" style="27" customWidth="1"/>
    <col min="6148" max="6148" width="9.140625" style="27"/>
    <col min="6149" max="6149" width="18.140625" style="27" customWidth="1"/>
    <col min="6150" max="6150" width="26.7109375" style="27" customWidth="1"/>
    <col min="6151" max="6152" width="9.140625" style="27"/>
    <col min="6153" max="6153" width="9.7109375" style="27" bestFit="1" customWidth="1"/>
    <col min="6154" max="6154" width="11" style="27" bestFit="1" customWidth="1"/>
    <col min="6155" max="6155" width="10.85546875" style="27" bestFit="1" customWidth="1"/>
    <col min="6156" max="6156" width="11" style="27" bestFit="1" customWidth="1"/>
    <col min="6157" max="6157" width="10.85546875" style="27" bestFit="1" customWidth="1"/>
    <col min="6158" max="6159" width="18.42578125" style="27" bestFit="1" customWidth="1"/>
    <col min="6160" max="6161" width="10.28515625" style="27" bestFit="1" customWidth="1"/>
    <col min="6162" max="6401" width="9.140625" style="27"/>
    <col min="6402" max="6402" width="18.42578125" style="27" customWidth="1"/>
    <col min="6403" max="6403" width="15.28515625" style="27" customWidth="1"/>
    <col min="6404" max="6404" width="9.140625" style="27"/>
    <col min="6405" max="6405" width="18.140625" style="27" customWidth="1"/>
    <col min="6406" max="6406" width="26.7109375" style="27" customWidth="1"/>
    <col min="6407" max="6408" width="9.140625" style="27"/>
    <col min="6409" max="6409" width="9.7109375" style="27" bestFit="1" customWidth="1"/>
    <col min="6410" max="6410" width="11" style="27" bestFit="1" customWidth="1"/>
    <col min="6411" max="6411" width="10.85546875" style="27" bestFit="1" customWidth="1"/>
    <col min="6412" max="6412" width="11" style="27" bestFit="1" customWidth="1"/>
    <col min="6413" max="6413" width="10.85546875" style="27" bestFit="1" customWidth="1"/>
    <col min="6414" max="6415" width="18.42578125" style="27" bestFit="1" customWidth="1"/>
    <col min="6416" max="6417" width="10.28515625" style="27" bestFit="1" customWidth="1"/>
    <col min="6418" max="6657" width="9.140625" style="27"/>
    <col min="6658" max="6658" width="18.42578125" style="27" customWidth="1"/>
    <col min="6659" max="6659" width="15.28515625" style="27" customWidth="1"/>
    <col min="6660" max="6660" width="9.140625" style="27"/>
    <col min="6661" max="6661" width="18.140625" style="27" customWidth="1"/>
    <col min="6662" max="6662" width="26.7109375" style="27" customWidth="1"/>
    <col min="6663" max="6664" width="9.140625" style="27"/>
    <col min="6665" max="6665" width="9.7109375" style="27" bestFit="1" customWidth="1"/>
    <col min="6666" max="6666" width="11" style="27" bestFit="1" customWidth="1"/>
    <col min="6667" max="6667" width="10.85546875" style="27" bestFit="1" customWidth="1"/>
    <col min="6668" max="6668" width="11" style="27" bestFit="1" customWidth="1"/>
    <col min="6669" max="6669" width="10.85546875" style="27" bestFit="1" customWidth="1"/>
    <col min="6670" max="6671" width="18.42578125" style="27" bestFit="1" customWidth="1"/>
    <col min="6672" max="6673" width="10.28515625" style="27" bestFit="1" customWidth="1"/>
    <col min="6674" max="6913" width="9.140625" style="27"/>
    <col min="6914" max="6914" width="18.42578125" style="27" customWidth="1"/>
    <col min="6915" max="6915" width="15.28515625" style="27" customWidth="1"/>
    <col min="6916" max="6916" width="9.140625" style="27"/>
    <col min="6917" max="6917" width="18.140625" style="27" customWidth="1"/>
    <col min="6918" max="6918" width="26.7109375" style="27" customWidth="1"/>
    <col min="6919" max="6920" width="9.140625" style="27"/>
    <col min="6921" max="6921" width="9.7109375" style="27" bestFit="1" customWidth="1"/>
    <col min="6922" max="6922" width="11" style="27" bestFit="1" customWidth="1"/>
    <col min="6923" max="6923" width="10.85546875" style="27" bestFit="1" customWidth="1"/>
    <col min="6924" max="6924" width="11" style="27" bestFit="1" customWidth="1"/>
    <col min="6925" max="6925" width="10.85546875" style="27" bestFit="1" customWidth="1"/>
    <col min="6926" max="6927" width="18.42578125" style="27" bestFit="1" customWidth="1"/>
    <col min="6928" max="6929" width="10.28515625" style="27" bestFit="1" customWidth="1"/>
    <col min="6930" max="7169" width="9.140625" style="27"/>
    <col min="7170" max="7170" width="18.42578125" style="27" customWidth="1"/>
    <col min="7171" max="7171" width="15.28515625" style="27" customWidth="1"/>
    <col min="7172" max="7172" width="9.140625" style="27"/>
    <col min="7173" max="7173" width="18.140625" style="27" customWidth="1"/>
    <col min="7174" max="7174" width="26.7109375" style="27" customWidth="1"/>
    <col min="7175" max="7176" width="9.140625" style="27"/>
    <col min="7177" max="7177" width="9.7109375" style="27" bestFit="1" customWidth="1"/>
    <col min="7178" max="7178" width="11" style="27" bestFit="1" customWidth="1"/>
    <col min="7179" max="7179" width="10.85546875" style="27" bestFit="1" customWidth="1"/>
    <col min="7180" max="7180" width="11" style="27" bestFit="1" customWidth="1"/>
    <col min="7181" max="7181" width="10.85546875" style="27" bestFit="1" customWidth="1"/>
    <col min="7182" max="7183" width="18.42578125" style="27" bestFit="1" customWidth="1"/>
    <col min="7184" max="7185" width="10.28515625" style="27" bestFit="1" customWidth="1"/>
    <col min="7186" max="7425" width="9.140625" style="27"/>
    <col min="7426" max="7426" width="18.42578125" style="27" customWidth="1"/>
    <col min="7427" max="7427" width="15.28515625" style="27" customWidth="1"/>
    <col min="7428" max="7428" width="9.140625" style="27"/>
    <col min="7429" max="7429" width="18.140625" style="27" customWidth="1"/>
    <col min="7430" max="7430" width="26.7109375" style="27" customWidth="1"/>
    <col min="7431" max="7432" width="9.140625" style="27"/>
    <col min="7433" max="7433" width="9.7109375" style="27" bestFit="1" customWidth="1"/>
    <col min="7434" max="7434" width="11" style="27" bestFit="1" customWidth="1"/>
    <col min="7435" max="7435" width="10.85546875" style="27" bestFit="1" customWidth="1"/>
    <col min="7436" max="7436" width="11" style="27" bestFit="1" customWidth="1"/>
    <col min="7437" max="7437" width="10.85546875" style="27" bestFit="1" customWidth="1"/>
    <col min="7438" max="7439" width="18.42578125" style="27" bestFit="1" customWidth="1"/>
    <col min="7440" max="7441" width="10.28515625" style="27" bestFit="1" customWidth="1"/>
    <col min="7442" max="7681" width="9.140625" style="27"/>
    <col min="7682" max="7682" width="18.42578125" style="27" customWidth="1"/>
    <col min="7683" max="7683" width="15.28515625" style="27" customWidth="1"/>
    <col min="7684" max="7684" width="9.140625" style="27"/>
    <col min="7685" max="7685" width="18.140625" style="27" customWidth="1"/>
    <col min="7686" max="7686" width="26.7109375" style="27" customWidth="1"/>
    <col min="7687" max="7688" width="9.140625" style="27"/>
    <col min="7689" max="7689" width="9.7109375" style="27" bestFit="1" customWidth="1"/>
    <col min="7690" max="7690" width="11" style="27" bestFit="1" customWidth="1"/>
    <col min="7691" max="7691" width="10.85546875" style="27" bestFit="1" customWidth="1"/>
    <col min="7692" max="7692" width="11" style="27" bestFit="1" customWidth="1"/>
    <col min="7693" max="7693" width="10.85546875" style="27" bestFit="1" customWidth="1"/>
    <col min="7694" max="7695" width="18.42578125" style="27" bestFit="1" customWidth="1"/>
    <col min="7696" max="7697" width="10.28515625" style="27" bestFit="1" customWidth="1"/>
    <col min="7698" max="7937" width="9.140625" style="27"/>
    <col min="7938" max="7938" width="18.42578125" style="27" customWidth="1"/>
    <col min="7939" max="7939" width="15.28515625" style="27" customWidth="1"/>
    <col min="7940" max="7940" width="9.140625" style="27"/>
    <col min="7941" max="7941" width="18.140625" style="27" customWidth="1"/>
    <col min="7942" max="7942" width="26.7109375" style="27" customWidth="1"/>
    <col min="7943" max="7944" width="9.140625" style="27"/>
    <col min="7945" max="7945" width="9.7109375" style="27" bestFit="1" customWidth="1"/>
    <col min="7946" max="7946" width="11" style="27" bestFit="1" customWidth="1"/>
    <col min="7947" max="7947" width="10.85546875" style="27" bestFit="1" customWidth="1"/>
    <col min="7948" max="7948" width="11" style="27" bestFit="1" customWidth="1"/>
    <col min="7949" max="7949" width="10.85546875" style="27" bestFit="1" customWidth="1"/>
    <col min="7950" max="7951" width="18.42578125" style="27" bestFit="1" customWidth="1"/>
    <col min="7952" max="7953" width="10.28515625" style="27" bestFit="1" customWidth="1"/>
    <col min="7954" max="8193" width="9.140625" style="27"/>
    <col min="8194" max="8194" width="18.42578125" style="27" customWidth="1"/>
    <col min="8195" max="8195" width="15.28515625" style="27" customWidth="1"/>
    <col min="8196" max="8196" width="9.140625" style="27"/>
    <col min="8197" max="8197" width="18.140625" style="27" customWidth="1"/>
    <col min="8198" max="8198" width="26.7109375" style="27" customWidth="1"/>
    <col min="8199" max="8200" width="9.140625" style="27"/>
    <col min="8201" max="8201" width="9.7109375" style="27" bestFit="1" customWidth="1"/>
    <col min="8202" max="8202" width="11" style="27" bestFit="1" customWidth="1"/>
    <col min="8203" max="8203" width="10.85546875" style="27" bestFit="1" customWidth="1"/>
    <col min="8204" max="8204" width="11" style="27" bestFit="1" customWidth="1"/>
    <col min="8205" max="8205" width="10.85546875" style="27" bestFit="1" customWidth="1"/>
    <col min="8206" max="8207" width="18.42578125" style="27" bestFit="1" customWidth="1"/>
    <col min="8208" max="8209" width="10.28515625" style="27" bestFit="1" customWidth="1"/>
    <col min="8210" max="8449" width="9.140625" style="27"/>
    <col min="8450" max="8450" width="18.42578125" style="27" customWidth="1"/>
    <col min="8451" max="8451" width="15.28515625" style="27" customWidth="1"/>
    <col min="8452" max="8452" width="9.140625" style="27"/>
    <col min="8453" max="8453" width="18.140625" style="27" customWidth="1"/>
    <col min="8454" max="8454" width="26.7109375" style="27" customWidth="1"/>
    <col min="8455" max="8456" width="9.140625" style="27"/>
    <col min="8457" max="8457" width="9.7109375" style="27" bestFit="1" customWidth="1"/>
    <col min="8458" max="8458" width="11" style="27" bestFit="1" customWidth="1"/>
    <col min="8459" max="8459" width="10.85546875" style="27" bestFit="1" customWidth="1"/>
    <col min="8460" max="8460" width="11" style="27" bestFit="1" customWidth="1"/>
    <col min="8461" max="8461" width="10.85546875" style="27" bestFit="1" customWidth="1"/>
    <col min="8462" max="8463" width="18.42578125" style="27" bestFit="1" customWidth="1"/>
    <col min="8464" max="8465" width="10.28515625" style="27" bestFit="1" customWidth="1"/>
    <col min="8466" max="8705" width="9.140625" style="27"/>
    <col min="8706" max="8706" width="18.42578125" style="27" customWidth="1"/>
    <col min="8707" max="8707" width="15.28515625" style="27" customWidth="1"/>
    <col min="8708" max="8708" width="9.140625" style="27"/>
    <col min="8709" max="8709" width="18.140625" style="27" customWidth="1"/>
    <col min="8710" max="8710" width="26.7109375" style="27" customWidth="1"/>
    <col min="8711" max="8712" width="9.140625" style="27"/>
    <col min="8713" max="8713" width="9.7109375" style="27" bestFit="1" customWidth="1"/>
    <col min="8714" max="8714" width="11" style="27" bestFit="1" customWidth="1"/>
    <col min="8715" max="8715" width="10.85546875" style="27" bestFit="1" customWidth="1"/>
    <col min="8716" max="8716" width="11" style="27" bestFit="1" customWidth="1"/>
    <col min="8717" max="8717" width="10.85546875" style="27" bestFit="1" customWidth="1"/>
    <col min="8718" max="8719" width="18.42578125" style="27" bestFit="1" customWidth="1"/>
    <col min="8720" max="8721" width="10.28515625" style="27" bestFit="1" customWidth="1"/>
    <col min="8722" max="8961" width="9.140625" style="27"/>
    <col min="8962" max="8962" width="18.42578125" style="27" customWidth="1"/>
    <col min="8963" max="8963" width="15.28515625" style="27" customWidth="1"/>
    <col min="8964" max="8964" width="9.140625" style="27"/>
    <col min="8965" max="8965" width="18.140625" style="27" customWidth="1"/>
    <col min="8966" max="8966" width="26.7109375" style="27" customWidth="1"/>
    <col min="8967" max="8968" width="9.140625" style="27"/>
    <col min="8969" max="8969" width="9.7109375" style="27" bestFit="1" customWidth="1"/>
    <col min="8970" max="8970" width="11" style="27" bestFit="1" customWidth="1"/>
    <col min="8971" max="8971" width="10.85546875" style="27" bestFit="1" customWidth="1"/>
    <col min="8972" max="8972" width="11" style="27" bestFit="1" customWidth="1"/>
    <col min="8973" max="8973" width="10.85546875" style="27" bestFit="1" customWidth="1"/>
    <col min="8974" max="8975" width="18.42578125" style="27" bestFit="1" customWidth="1"/>
    <col min="8976" max="8977" width="10.28515625" style="27" bestFit="1" customWidth="1"/>
    <col min="8978" max="9217" width="9.140625" style="27"/>
    <col min="9218" max="9218" width="18.42578125" style="27" customWidth="1"/>
    <col min="9219" max="9219" width="15.28515625" style="27" customWidth="1"/>
    <col min="9220" max="9220" width="9.140625" style="27"/>
    <col min="9221" max="9221" width="18.140625" style="27" customWidth="1"/>
    <col min="9222" max="9222" width="26.7109375" style="27" customWidth="1"/>
    <col min="9223" max="9224" width="9.140625" style="27"/>
    <col min="9225" max="9225" width="9.7109375" style="27" bestFit="1" customWidth="1"/>
    <col min="9226" max="9226" width="11" style="27" bestFit="1" customWidth="1"/>
    <col min="9227" max="9227" width="10.85546875" style="27" bestFit="1" customWidth="1"/>
    <col min="9228" max="9228" width="11" style="27" bestFit="1" customWidth="1"/>
    <col min="9229" max="9229" width="10.85546875" style="27" bestFit="1" customWidth="1"/>
    <col min="9230" max="9231" width="18.42578125" style="27" bestFit="1" customWidth="1"/>
    <col min="9232" max="9233" width="10.28515625" style="27" bestFit="1" customWidth="1"/>
    <col min="9234" max="9473" width="9.140625" style="27"/>
    <col min="9474" max="9474" width="18.42578125" style="27" customWidth="1"/>
    <col min="9475" max="9475" width="15.28515625" style="27" customWidth="1"/>
    <col min="9476" max="9476" width="9.140625" style="27"/>
    <col min="9477" max="9477" width="18.140625" style="27" customWidth="1"/>
    <col min="9478" max="9478" width="26.7109375" style="27" customWidth="1"/>
    <col min="9479" max="9480" width="9.140625" style="27"/>
    <col min="9481" max="9481" width="9.7109375" style="27" bestFit="1" customWidth="1"/>
    <col min="9482" max="9482" width="11" style="27" bestFit="1" customWidth="1"/>
    <col min="9483" max="9483" width="10.85546875" style="27" bestFit="1" customWidth="1"/>
    <col min="9484" max="9484" width="11" style="27" bestFit="1" customWidth="1"/>
    <col min="9485" max="9485" width="10.85546875" style="27" bestFit="1" customWidth="1"/>
    <col min="9486" max="9487" width="18.42578125" style="27" bestFit="1" customWidth="1"/>
    <col min="9488" max="9489" width="10.28515625" style="27" bestFit="1" customWidth="1"/>
    <col min="9490" max="9729" width="9.140625" style="27"/>
    <col min="9730" max="9730" width="18.42578125" style="27" customWidth="1"/>
    <col min="9731" max="9731" width="15.28515625" style="27" customWidth="1"/>
    <col min="9732" max="9732" width="9.140625" style="27"/>
    <col min="9733" max="9733" width="18.140625" style="27" customWidth="1"/>
    <col min="9734" max="9734" width="26.7109375" style="27" customWidth="1"/>
    <col min="9735" max="9736" width="9.140625" style="27"/>
    <col min="9737" max="9737" width="9.7109375" style="27" bestFit="1" customWidth="1"/>
    <col min="9738" max="9738" width="11" style="27" bestFit="1" customWidth="1"/>
    <col min="9739" max="9739" width="10.85546875" style="27" bestFit="1" customWidth="1"/>
    <col min="9740" max="9740" width="11" style="27" bestFit="1" customWidth="1"/>
    <col min="9741" max="9741" width="10.85546875" style="27" bestFit="1" customWidth="1"/>
    <col min="9742" max="9743" width="18.42578125" style="27" bestFit="1" customWidth="1"/>
    <col min="9744" max="9745" width="10.28515625" style="27" bestFit="1" customWidth="1"/>
    <col min="9746" max="9985" width="9.140625" style="27"/>
    <col min="9986" max="9986" width="18.42578125" style="27" customWidth="1"/>
    <col min="9987" max="9987" width="15.28515625" style="27" customWidth="1"/>
    <col min="9988" max="9988" width="9.140625" style="27"/>
    <col min="9989" max="9989" width="18.140625" style="27" customWidth="1"/>
    <col min="9990" max="9990" width="26.7109375" style="27" customWidth="1"/>
    <col min="9991" max="9992" width="9.140625" style="27"/>
    <col min="9993" max="9993" width="9.7109375" style="27" bestFit="1" customWidth="1"/>
    <col min="9994" max="9994" width="11" style="27" bestFit="1" customWidth="1"/>
    <col min="9995" max="9995" width="10.85546875" style="27" bestFit="1" customWidth="1"/>
    <col min="9996" max="9996" width="11" style="27" bestFit="1" customWidth="1"/>
    <col min="9997" max="9997" width="10.85546875" style="27" bestFit="1" customWidth="1"/>
    <col min="9998" max="9999" width="18.42578125" style="27" bestFit="1" customWidth="1"/>
    <col min="10000" max="10001" width="10.28515625" style="27" bestFit="1" customWidth="1"/>
    <col min="10002" max="10241" width="9.140625" style="27"/>
    <col min="10242" max="10242" width="18.42578125" style="27" customWidth="1"/>
    <col min="10243" max="10243" width="15.28515625" style="27" customWidth="1"/>
    <col min="10244" max="10244" width="9.140625" style="27"/>
    <col min="10245" max="10245" width="18.140625" style="27" customWidth="1"/>
    <col min="10246" max="10246" width="26.7109375" style="27" customWidth="1"/>
    <col min="10247" max="10248" width="9.140625" style="27"/>
    <col min="10249" max="10249" width="9.7109375" style="27" bestFit="1" customWidth="1"/>
    <col min="10250" max="10250" width="11" style="27" bestFit="1" customWidth="1"/>
    <col min="10251" max="10251" width="10.85546875" style="27" bestFit="1" customWidth="1"/>
    <col min="10252" max="10252" width="11" style="27" bestFit="1" customWidth="1"/>
    <col min="10253" max="10253" width="10.85546875" style="27" bestFit="1" customWidth="1"/>
    <col min="10254" max="10255" width="18.42578125" style="27" bestFit="1" customWidth="1"/>
    <col min="10256" max="10257" width="10.28515625" style="27" bestFit="1" customWidth="1"/>
    <col min="10258" max="10497" width="9.140625" style="27"/>
    <col min="10498" max="10498" width="18.42578125" style="27" customWidth="1"/>
    <col min="10499" max="10499" width="15.28515625" style="27" customWidth="1"/>
    <col min="10500" max="10500" width="9.140625" style="27"/>
    <col min="10501" max="10501" width="18.140625" style="27" customWidth="1"/>
    <col min="10502" max="10502" width="26.7109375" style="27" customWidth="1"/>
    <col min="10503" max="10504" width="9.140625" style="27"/>
    <col min="10505" max="10505" width="9.7109375" style="27" bestFit="1" customWidth="1"/>
    <col min="10506" max="10506" width="11" style="27" bestFit="1" customWidth="1"/>
    <col min="10507" max="10507" width="10.85546875" style="27" bestFit="1" customWidth="1"/>
    <col min="10508" max="10508" width="11" style="27" bestFit="1" customWidth="1"/>
    <col min="10509" max="10509" width="10.85546875" style="27" bestFit="1" customWidth="1"/>
    <col min="10510" max="10511" width="18.42578125" style="27" bestFit="1" customWidth="1"/>
    <col min="10512" max="10513" width="10.28515625" style="27" bestFit="1" customWidth="1"/>
    <col min="10514" max="10753" width="9.140625" style="27"/>
    <col min="10754" max="10754" width="18.42578125" style="27" customWidth="1"/>
    <col min="10755" max="10755" width="15.28515625" style="27" customWidth="1"/>
    <col min="10756" max="10756" width="9.140625" style="27"/>
    <col min="10757" max="10757" width="18.140625" style="27" customWidth="1"/>
    <col min="10758" max="10758" width="26.7109375" style="27" customWidth="1"/>
    <col min="10759" max="10760" width="9.140625" style="27"/>
    <col min="10761" max="10761" width="9.7109375" style="27" bestFit="1" customWidth="1"/>
    <col min="10762" max="10762" width="11" style="27" bestFit="1" customWidth="1"/>
    <col min="10763" max="10763" width="10.85546875" style="27" bestFit="1" customWidth="1"/>
    <col min="10764" max="10764" width="11" style="27" bestFit="1" customWidth="1"/>
    <col min="10765" max="10765" width="10.85546875" style="27" bestFit="1" customWidth="1"/>
    <col min="10766" max="10767" width="18.42578125" style="27" bestFit="1" customWidth="1"/>
    <col min="10768" max="10769" width="10.28515625" style="27" bestFit="1" customWidth="1"/>
    <col min="10770" max="11009" width="9.140625" style="27"/>
    <col min="11010" max="11010" width="18.42578125" style="27" customWidth="1"/>
    <col min="11011" max="11011" width="15.28515625" style="27" customWidth="1"/>
    <col min="11012" max="11012" width="9.140625" style="27"/>
    <col min="11013" max="11013" width="18.140625" style="27" customWidth="1"/>
    <col min="11014" max="11014" width="26.7109375" style="27" customWidth="1"/>
    <col min="11015" max="11016" width="9.140625" style="27"/>
    <col min="11017" max="11017" width="9.7109375" style="27" bestFit="1" customWidth="1"/>
    <col min="11018" max="11018" width="11" style="27" bestFit="1" customWidth="1"/>
    <col min="11019" max="11019" width="10.85546875" style="27" bestFit="1" customWidth="1"/>
    <col min="11020" max="11020" width="11" style="27" bestFit="1" customWidth="1"/>
    <col min="11021" max="11021" width="10.85546875" style="27" bestFit="1" customWidth="1"/>
    <col min="11022" max="11023" width="18.42578125" style="27" bestFit="1" customWidth="1"/>
    <col min="11024" max="11025" width="10.28515625" style="27" bestFit="1" customWidth="1"/>
    <col min="11026" max="11265" width="9.140625" style="27"/>
    <col min="11266" max="11266" width="18.42578125" style="27" customWidth="1"/>
    <col min="11267" max="11267" width="15.28515625" style="27" customWidth="1"/>
    <col min="11268" max="11268" width="9.140625" style="27"/>
    <col min="11269" max="11269" width="18.140625" style="27" customWidth="1"/>
    <col min="11270" max="11270" width="26.7109375" style="27" customWidth="1"/>
    <col min="11271" max="11272" width="9.140625" style="27"/>
    <col min="11273" max="11273" width="9.7109375" style="27" bestFit="1" customWidth="1"/>
    <col min="11274" max="11274" width="11" style="27" bestFit="1" customWidth="1"/>
    <col min="11275" max="11275" width="10.85546875" style="27" bestFit="1" customWidth="1"/>
    <col min="11276" max="11276" width="11" style="27" bestFit="1" customWidth="1"/>
    <col min="11277" max="11277" width="10.85546875" style="27" bestFit="1" customWidth="1"/>
    <col min="11278" max="11279" width="18.42578125" style="27" bestFit="1" customWidth="1"/>
    <col min="11280" max="11281" width="10.28515625" style="27" bestFit="1" customWidth="1"/>
    <col min="11282" max="11521" width="9.140625" style="27"/>
    <col min="11522" max="11522" width="18.42578125" style="27" customWidth="1"/>
    <col min="11523" max="11523" width="15.28515625" style="27" customWidth="1"/>
    <col min="11524" max="11524" width="9.140625" style="27"/>
    <col min="11525" max="11525" width="18.140625" style="27" customWidth="1"/>
    <col min="11526" max="11526" width="26.7109375" style="27" customWidth="1"/>
    <col min="11527" max="11528" width="9.140625" style="27"/>
    <col min="11529" max="11529" width="9.7109375" style="27" bestFit="1" customWidth="1"/>
    <col min="11530" max="11530" width="11" style="27" bestFit="1" customWidth="1"/>
    <col min="11531" max="11531" width="10.85546875" style="27" bestFit="1" customWidth="1"/>
    <col min="11532" max="11532" width="11" style="27" bestFit="1" customWidth="1"/>
    <col min="11533" max="11533" width="10.85546875" style="27" bestFit="1" customWidth="1"/>
    <col min="11534" max="11535" width="18.42578125" style="27" bestFit="1" customWidth="1"/>
    <col min="11536" max="11537" width="10.28515625" style="27" bestFit="1" customWidth="1"/>
    <col min="11538" max="11777" width="9.140625" style="27"/>
    <col min="11778" max="11778" width="18.42578125" style="27" customWidth="1"/>
    <col min="11779" max="11779" width="15.28515625" style="27" customWidth="1"/>
    <col min="11780" max="11780" width="9.140625" style="27"/>
    <col min="11781" max="11781" width="18.140625" style="27" customWidth="1"/>
    <col min="11782" max="11782" width="26.7109375" style="27" customWidth="1"/>
    <col min="11783" max="11784" width="9.140625" style="27"/>
    <col min="11785" max="11785" width="9.7109375" style="27" bestFit="1" customWidth="1"/>
    <col min="11786" max="11786" width="11" style="27" bestFit="1" customWidth="1"/>
    <col min="11787" max="11787" width="10.85546875" style="27" bestFit="1" customWidth="1"/>
    <col min="11788" max="11788" width="11" style="27" bestFit="1" customWidth="1"/>
    <col min="11789" max="11789" width="10.85546875" style="27" bestFit="1" customWidth="1"/>
    <col min="11790" max="11791" width="18.42578125" style="27" bestFit="1" customWidth="1"/>
    <col min="11792" max="11793" width="10.28515625" style="27" bestFit="1" customWidth="1"/>
    <col min="11794" max="12033" width="9.140625" style="27"/>
    <col min="12034" max="12034" width="18.42578125" style="27" customWidth="1"/>
    <col min="12035" max="12035" width="15.28515625" style="27" customWidth="1"/>
    <col min="12036" max="12036" width="9.140625" style="27"/>
    <col min="12037" max="12037" width="18.140625" style="27" customWidth="1"/>
    <col min="12038" max="12038" width="26.7109375" style="27" customWidth="1"/>
    <col min="12039" max="12040" width="9.140625" style="27"/>
    <col min="12041" max="12041" width="9.7109375" style="27" bestFit="1" customWidth="1"/>
    <col min="12042" max="12042" width="11" style="27" bestFit="1" customWidth="1"/>
    <col min="12043" max="12043" width="10.85546875" style="27" bestFit="1" customWidth="1"/>
    <col min="12044" max="12044" width="11" style="27" bestFit="1" customWidth="1"/>
    <col min="12045" max="12045" width="10.85546875" style="27" bestFit="1" customWidth="1"/>
    <col min="12046" max="12047" width="18.42578125" style="27" bestFit="1" customWidth="1"/>
    <col min="12048" max="12049" width="10.28515625" style="27" bestFit="1" customWidth="1"/>
    <col min="12050" max="12289" width="9.140625" style="27"/>
    <col min="12290" max="12290" width="18.42578125" style="27" customWidth="1"/>
    <col min="12291" max="12291" width="15.28515625" style="27" customWidth="1"/>
    <col min="12292" max="12292" width="9.140625" style="27"/>
    <col min="12293" max="12293" width="18.140625" style="27" customWidth="1"/>
    <col min="12294" max="12294" width="26.7109375" style="27" customWidth="1"/>
    <col min="12295" max="12296" width="9.140625" style="27"/>
    <col min="12297" max="12297" width="9.7109375" style="27" bestFit="1" customWidth="1"/>
    <col min="12298" max="12298" width="11" style="27" bestFit="1" customWidth="1"/>
    <col min="12299" max="12299" width="10.85546875" style="27" bestFit="1" customWidth="1"/>
    <col min="12300" max="12300" width="11" style="27" bestFit="1" customWidth="1"/>
    <col min="12301" max="12301" width="10.85546875" style="27" bestFit="1" customWidth="1"/>
    <col min="12302" max="12303" width="18.42578125" style="27" bestFit="1" customWidth="1"/>
    <col min="12304" max="12305" width="10.28515625" style="27" bestFit="1" customWidth="1"/>
    <col min="12306" max="12545" width="9.140625" style="27"/>
    <col min="12546" max="12546" width="18.42578125" style="27" customWidth="1"/>
    <col min="12547" max="12547" width="15.28515625" style="27" customWidth="1"/>
    <col min="12548" max="12548" width="9.140625" style="27"/>
    <col min="12549" max="12549" width="18.140625" style="27" customWidth="1"/>
    <col min="12550" max="12550" width="26.7109375" style="27" customWidth="1"/>
    <col min="12551" max="12552" width="9.140625" style="27"/>
    <col min="12553" max="12553" width="9.7109375" style="27" bestFit="1" customWidth="1"/>
    <col min="12554" max="12554" width="11" style="27" bestFit="1" customWidth="1"/>
    <col min="12555" max="12555" width="10.85546875" style="27" bestFit="1" customWidth="1"/>
    <col min="12556" max="12556" width="11" style="27" bestFit="1" customWidth="1"/>
    <col min="12557" max="12557" width="10.85546875" style="27" bestFit="1" customWidth="1"/>
    <col min="12558" max="12559" width="18.42578125" style="27" bestFit="1" customWidth="1"/>
    <col min="12560" max="12561" width="10.28515625" style="27" bestFit="1" customWidth="1"/>
    <col min="12562" max="12801" width="9.140625" style="27"/>
    <col min="12802" max="12802" width="18.42578125" style="27" customWidth="1"/>
    <col min="12803" max="12803" width="15.28515625" style="27" customWidth="1"/>
    <col min="12804" max="12804" width="9.140625" style="27"/>
    <col min="12805" max="12805" width="18.140625" style="27" customWidth="1"/>
    <col min="12806" max="12806" width="26.7109375" style="27" customWidth="1"/>
    <col min="12807" max="12808" width="9.140625" style="27"/>
    <col min="12809" max="12809" width="9.7109375" style="27" bestFit="1" customWidth="1"/>
    <col min="12810" max="12810" width="11" style="27" bestFit="1" customWidth="1"/>
    <col min="12811" max="12811" width="10.85546875" style="27" bestFit="1" customWidth="1"/>
    <col min="12812" max="12812" width="11" style="27" bestFit="1" customWidth="1"/>
    <col min="12813" max="12813" width="10.85546875" style="27" bestFit="1" customWidth="1"/>
    <col min="12814" max="12815" width="18.42578125" style="27" bestFit="1" customWidth="1"/>
    <col min="12816" max="12817" width="10.28515625" style="27" bestFit="1" customWidth="1"/>
    <col min="12818" max="13057" width="9.140625" style="27"/>
    <col min="13058" max="13058" width="18.42578125" style="27" customWidth="1"/>
    <col min="13059" max="13059" width="15.28515625" style="27" customWidth="1"/>
    <col min="13060" max="13060" width="9.140625" style="27"/>
    <col min="13061" max="13061" width="18.140625" style="27" customWidth="1"/>
    <col min="13062" max="13062" width="26.7109375" style="27" customWidth="1"/>
    <col min="13063" max="13064" width="9.140625" style="27"/>
    <col min="13065" max="13065" width="9.7109375" style="27" bestFit="1" customWidth="1"/>
    <col min="13066" max="13066" width="11" style="27" bestFit="1" customWidth="1"/>
    <col min="13067" max="13067" width="10.85546875" style="27" bestFit="1" customWidth="1"/>
    <col min="13068" max="13068" width="11" style="27" bestFit="1" customWidth="1"/>
    <col min="13069" max="13069" width="10.85546875" style="27" bestFit="1" customWidth="1"/>
    <col min="13070" max="13071" width="18.42578125" style="27" bestFit="1" customWidth="1"/>
    <col min="13072" max="13073" width="10.28515625" style="27" bestFit="1" customWidth="1"/>
    <col min="13074" max="13313" width="9.140625" style="27"/>
    <col min="13314" max="13314" width="18.42578125" style="27" customWidth="1"/>
    <col min="13315" max="13315" width="15.28515625" style="27" customWidth="1"/>
    <col min="13316" max="13316" width="9.140625" style="27"/>
    <col min="13317" max="13317" width="18.140625" style="27" customWidth="1"/>
    <col min="13318" max="13318" width="26.7109375" style="27" customWidth="1"/>
    <col min="13319" max="13320" width="9.140625" style="27"/>
    <col min="13321" max="13321" width="9.7109375" style="27" bestFit="1" customWidth="1"/>
    <col min="13322" max="13322" width="11" style="27" bestFit="1" customWidth="1"/>
    <col min="13323" max="13323" width="10.85546875" style="27" bestFit="1" customWidth="1"/>
    <col min="13324" max="13324" width="11" style="27" bestFit="1" customWidth="1"/>
    <col min="13325" max="13325" width="10.85546875" style="27" bestFit="1" customWidth="1"/>
    <col min="13326" max="13327" width="18.42578125" style="27" bestFit="1" customWidth="1"/>
    <col min="13328" max="13329" width="10.28515625" style="27" bestFit="1" customWidth="1"/>
    <col min="13330" max="13569" width="9.140625" style="27"/>
    <col min="13570" max="13570" width="18.42578125" style="27" customWidth="1"/>
    <col min="13571" max="13571" width="15.28515625" style="27" customWidth="1"/>
    <col min="13572" max="13572" width="9.140625" style="27"/>
    <col min="13573" max="13573" width="18.140625" style="27" customWidth="1"/>
    <col min="13574" max="13574" width="26.7109375" style="27" customWidth="1"/>
    <col min="13575" max="13576" width="9.140625" style="27"/>
    <col min="13577" max="13577" width="9.7109375" style="27" bestFit="1" customWidth="1"/>
    <col min="13578" max="13578" width="11" style="27" bestFit="1" customWidth="1"/>
    <col min="13579" max="13579" width="10.85546875" style="27" bestFit="1" customWidth="1"/>
    <col min="13580" max="13580" width="11" style="27" bestFit="1" customWidth="1"/>
    <col min="13581" max="13581" width="10.85546875" style="27" bestFit="1" customWidth="1"/>
    <col min="13582" max="13583" width="18.42578125" style="27" bestFit="1" customWidth="1"/>
    <col min="13584" max="13585" width="10.28515625" style="27" bestFit="1" customWidth="1"/>
    <col min="13586" max="13825" width="9.140625" style="27"/>
    <col min="13826" max="13826" width="18.42578125" style="27" customWidth="1"/>
    <col min="13827" max="13827" width="15.28515625" style="27" customWidth="1"/>
    <col min="13828" max="13828" width="9.140625" style="27"/>
    <col min="13829" max="13829" width="18.140625" style="27" customWidth="1"/>
    <col min="13830" max="13830" width="26.7109375" style="27" customWidth="1"/>
    <col min="13831" max="13832" width="9.140625" style="27"/>
    <col min="13833" max="13833" width="9.7109375" style="27" bestFit="1" customWidth="1"/>
    <col min="13834" max="13834" width="11" style="27" bestFit="1" customWidth="1"/>
    <col min="13835" max="13835" width="10.85546875" style="27" bestFit="1" customWidth="1"/>
    <col min="13836" max="13836" width="11" style="27" bestFit="1" customWidth="1"/>
    <col min="13837" max="13837" width="10.85546875" style="27" bestFit="1" customWidth="1"/>
    <col min="13838" max="13839" width="18.42578125" style="27" bestFit="1" customWidth="1"/>
    <col min="13840" max="13841" width="10.28515625" style="27" bestFit="1" customWidth="1"/>
    <col min="13842" max="14081" width="9.140625" style="27"/>
    <col min="14082" max="14082" width="18.42578125" style="27" customWidth="1"/>
    <col min="14083" max="14083" width="15.28515625" style="27" customWidth="1"/>
    <col min="14084" max="14084" width="9.140625" style="27"/>
    <col min="14085" max="14085" width="18.140625" style="27" customWidth="1"/>
    <col min="14086" max="14086" width="26.7109375" style="27" customWidth="1"/>
    <col min="14087" max="14088" width="9.140625" style="27"/>
    <col min="14089" max="14089" width="9.7109375" style="27" bestFit="1" customWidth="1"/>
    <col min="14090" max="14090" width="11" style="27" bestFit="1" customWidth="1"/>
    <col min="14091" max="14091" width="10.85546875" style="27" bestFit="1" customWidth="1"/>
    <col min="14092" max="14092" width="11" style="27" bestFit="1" customWidth="1"/>
    <col min="14093" max="14093" width="10.85546875" style="27" bestFit="1" customWidth="1"/>
    <col min="14094" max="14095" width="18.42578125" style="27" bestFit="1" customWidth="1"/>
    <col min="14096" max="14097" width="10.28515625" style="27" bestFit="1" customWidth="1"/>
    <col min="14098" max="14337" width="9.140625" style="27"/>
    <col min="14338" max="14338" width="18.42578125" style="27" customWidth="1"/>
    <col min="14339" max="14339" width="15.28515625" style="27" customWidth="1"/>
    <col min="14340" max="14340" width="9.140625" style="27"/>
    <col min="14341" max="14341" width="18.140625" style="27" customWidth="1"/>
    <col min="14342" max="14342" width="26.7109375" style="27" customWidth="1"/>
    <col min="14343" max="14344" width="9.140625" style="27"/>
    <col min="14345" max="14345" width="9.7109375" style="27" bestFit="1" customWidth="1"/>
    <col min="14346" max="14346" width="11" style="27" bestFit="1" customWidth="1"/>
    <col min="14347" max="14347" width="10.85546875" style="27" bestFit="1" customWidth="1"/>
    <col min="14348" max="14348" width="11" style="27" bestFit="1" customWidth="1"/>
    <col min="14349" max="14349" width="10.85546875" style="27" bestFit="1" customWidth="1"/>
    <col min="14350" max="14351" width="18.42578125" style="27" bestFit="1" customWidth="1"/>
    <col min="14352" max="14353" width="10.28515625" style="27" bestFit="1" customWidth="1"/>
    <col min="14354" max="14593" width="9.140625" style="27"/>
    <col min="14594" max="14594" width="18.42578125" style="27" customWidth="1"/>
    <col min="14595" max="14595" width="15.28515625" style="27" customWidth="1"/>
    <col min="14596" max="14596" width="9.140625" style="27"/>
    <col min="14597" max="14597" width="18.140625" style="27" customWidth="1"/>
    <col min="14598" max="14598" width="26.7109375" style="27" customWidth="1"/>
    <col min="14599" max="14600" width="9.140625" style="27"/>
    <col min="14601" max="14601" width="9.7109375" style="27" bestFit="1" customWidth="1"/>
    <col min="14602" max="14602" width="11" style="27" bestFit="1" customWidth="1"/>
    <col min="14603" max="14603" width="10.85546875" style="27" bestFit="1" customWidth="1"/>
    <col min="14604" max="14604" width="11" style="27" bestFit="1" customWidth="1"/>
    <col min="14605" max="14605" width="10.85546875" style="27" bestFit="1" customWidth="1"/>
    <col min="14606" max="14607" width="18.42578125" style="27" bestFit="1" customWidth="1"/>
    <col min="14608" max="14609" width="10.28515625" style="27" bestFit="1" customWidth="1"/>
    <col min="14610" max="14849" width="9.140625" style="27"/>
    <col min="14850" max="14850" width="18.42578125" style="27" customWidth="1"/>
    <col min="14851" max="14851" width="15.28515625" style="27" customWidth="1"/>
    <col min="14852" max="14852" width="9.140625" style="27"/>
    <col min="14853" max="14853" width="18.140625" style="27" customWidth="1"/>
    <col min="14854" max="14854" width="26.7109375" style="27" customWidth="1"/>
    <col min="14855" max="14856" width="9.140625" style="27"/>
    <col min="14857" max="14857" width="9.7109375" style="27" bestFit="1" customWidth="1"/>
    <col min="14858" max="14858" width="11" style="27" bestFit="1" customWidth="1"/>
    <col min="14859" max="14859" width="10.85546875" style="27" bestFit="1" customWidth="1"/>
    <col min="14860" max="14860" width="11" style="27" bestFit="1" customWidth="1"/>
    <col min="14861" max="14861" width="10.85546875" style="27" bestFit="1" customWidth="1"/>
    <col min="14862" max="14863" width="18.42578125" style="27" bestFit="1" customWidth="1"/>
    <col min="14864" max="14865" width="10.28515625" style="27" bestFit="1" customWidth="1"/>
    <col min="14866" max="15105" width="9.140625" style="27"/>
    <col min="15106" max="15106" width="18.42578125" style="27" customWidth="1"/>
    <col min="15107" max="15107" width="15.28515625" style="27" customWidth="1"/>
    <col min="15108" max="15108" width="9.140625" style="27"/>
    <col min="15109" max="15109" width="18.140625" style="27" customWidth="1"/>
    <col min="15110" max="15110" width="26.7109375" style="27" customWidth="1"/>
    <col min="15111" max="15112" width="9.140625" style="27"/>
    <col min="15113" max="15113" width="9.7109375" style="27" bestFit="1" customWidth="1"/>
    <col min="15114" max="15114" width="11" style="27" bestFit="1" customWidth="1"/>
    <col min="15115" max="15115" width="10.85546875" style="27" bestFit="1" customWidth="1"/>
    <col min="15116" max="15116" width="11" style="27" bestFit="1" customWidth="1"/>
    <col min="15117" max="15117" width="10.85546875" style="27" bestFit="1" customWidth="1"/>
    <col min="15118" max="15119" width="18.42578125" style="27" bestFit="1" customWidth="1"/>
    <col min="15120" max="15121" width="10.28515625" style="27" bestFit="1" customWidth="1"/>
    <col min="15122" max="15361" width="9.140625" style="27"/>
    <col min="15362" max="15362" width="18.42578125" style="27" customWidth="1"/>
    <col min="15363" max="15363" width="15.28515625" style="27" customWidth="1"/>
    <col min="15364" max="15364" width="9.140625" style="27"/>
    <col min="15365" max="15365" width="18.140625" style="27" customWidth="1"/>
    <col min="15366" max="15366" width="26.7109375" style="27" customWidth="1"/>
    <col min="15367" max="15368" width="9.140625" style="27"/>
    <col min="15369" max="15369" width="9.7109375" style="27" bestFit="1" customWidth="1"/>
    <col min="15370" max="15370" width="11" style="27" bestFit="1" customWidth="1"/>
    <col min="15371" max="15371" width="10.85546875" style="27" bestFit="1" customWidth="1"/>
    <col min="15372" max="15372" width="11" style="27" bestFit="1" customWidth="1"/>
    <col min="15373" max="15373" width="10.85546875" style="27" bestFit="1" customWidth="1"/>
    <col min="15374" max="15375" width="18.42578125" style="27" bestFit="1" customWidth="1"/>
    <col min="15376" max="15377" width="10.28515625" style="27" bestFit="1" customWidth="1"/>
    <col min="15378" max="15617" width="9.140625" style="27"/>
    <col min="15618" max="15618" width="18.42578125" style="27" customWidth="1"/>
    <col min="15619" max="15619" width="15.28515625" style="27" customWidth="1"/>
    <col min="15620" max="15620" width="9.140625" style="27"/>
    <col min="15621" max="15621" width="18.140625" style="27" customWidth="1"/>
    <col min="15622" max="15622" width="26.7109375" style="27" customWidth="1"/>
    <col min="15623" max="15624" width="9.140625" style="27"/>
    <col min="15625" max="15625" width="9.7109375" style="27" bestFit="1" customWidth="1"/>
    <col min="15626" max="15626" width="11" style="27" bestFit="1" customWidth="1"/>
    <col min="15627" max="15627" width="10.85546875" style="27" bestFit="1" customWidth="1"/>
    <col min="15628" max="15628" width="11" style="27" bestFit="1" customWidth="1"/>
    <col min="15629" max="15629" width="10.85546875" style="27" bestFit="1" customWidth="1"/>
    <col min="15630" max="15631" width="18.42578125" style="27" bestFit="1" customWidth="1"/>
    <col min="15632" max="15633" width="10.28515625" style="27" bestFit="1" customWidth="1"/>
    <col min="15634" max="15873" width="9.140625" style="27"/>
    <col min="15874" max="15874" width="18.42578125" style="27" customWidth="1"/>
    <col min="15875" max="15875" width="15.28515625" style="27" customWidth="1"/>
    <col min="15876" max="15876" width="9.140625" style="27"/>
    <col min="15877" max="15877" width="18.140625" style="27" customWidth="1"/>
    <col min="15878" max="15878" width="26.7109375" style="27" customWidth="1"/>
    <col min="15879" max="15880" width="9.140625" style="27"/>
    <col min="15881" max="15881" width="9.7109375" style="27" bestFit="1" customWidth="1"/>
    <col min="15882" max="15882" width="11" style="27" bestFit="1" customWidth="1"/>
    <col min="15883" max="15883" width="10.85546875" style="27" bestFit="1" customWidth="1"/>
    <col min="15884" max="15884" width="11" style="27" bestFit="1" customWidth="1"/>
    <col min="15885" max="15885" width="10.85546875" style="27" bestFit="1" customWidth="1"/>
    <col min="15886" max="15887" width="18.42578125" style="27" bestFit="1" customWidth="1"/>
    <col min="15888" max="15889" width="10.28515625" style="27" bestFit="1" customWidth="1"/>
    <col min="15890" max="16129" width="9.140625" style="27"/>
    <col min="16130" max="16130" width="18.42578125" style="27" customWidth="1"/>
    <col min="16131" max="16131" width="15.28515625" style="27" customWidth="1"/>
    <col min="16132" max="16132" width="9.140625" style="27"/>
    <col min="16133" max="16133" width="18.140625" style="27" customWidth="1"/>
    <col min="16134" max="16134" width="26.7109375" style="27" customWidth="1"/>
    <col min="16135" max="16136" width="9.140625" style="27"/>
    <col min="16137" max="16137" width="9.7109375" style="27" bestFit="1" customWidth="1"/>
    <col min="16138" max="16138" width="11" style="27" bestFit="1" customWidth="1"/>
    <col min="16139" max="16139" width="10.85546875" style="27" bestFit="1" customWidth="1"/>
    <col min="16140" max="16140" width="11" style="27" bestFit="1" customWidth="1"/>
    <col min="16141" max="16141" width="10.85546875" style="27" bestFit="1" customWidth="1"/>
    <col min="16142" max="16143" width="18.42578125" style="27" bestFit="1" customWidth="1"/>
    <col min="16144" max="16145" width="10.28515625" style="27" bestFit="1" customWidth="1"/>
    <col min="16146" max="16384" width="9.140625" style="2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x14ac:dyDescent="0.2">
      <c r="A2" s="28">
        <v>43451</v>
      </c>
      <c r="B2" s="29" t="s">
        <v>21</v>
      </c>
      <c r="C2" s="29" t="s">
        <v>46</v>
      </c>
      <c r="D2" s="29" t="s">
        <v>23</v>
      </c>
      <c r="E2" s="29" t="s">
        <v>59</v>
      </c>
      <c r="F2" s="29" t="s">
        <v>25</v>
      </c>
      <c r="G2" s="30">
        <v>70000</v>
      </c>
      <c r="H2" s="29" t="s">
        <v>48</v>
      </c>
      <c r="I2" s="29" t="s">
        <v>47</v>
      </c>
      <c r="J2" s="31">
        <v>0.4826388888888889</v>
      </c>
      <c r="K2" s="32">
        <v>0.47013888888888888</v>
      </c>
      <c r="L2" s="31">
        <v>0.27777777777777779</v>
      </c>
      <c r="M2" s="32">
        <v>0.2902777777777778</v>
      </c>
      <c r="N2" s="33" t="s">
        <v>208</v>
      </c>
      <c r="O2" s="33" t="s">
        <v>204</v>
      </c>
      <c r="P2" s="33">
        <v>1479</v>
      </c>
      <c r="Q2" s="33">
        <v>895</v>
      </c>
      <c r="R2" s="29">
        <v>0</v>
      </c>
      <c r="S2" s="29">
        <v>0</v>
      </c>
      <c r="T2" s="29">
        <v>0</v>
      </c>
      <c r="U2" s="29">
        <v>0</v>
      </c>
    </row>
    <row r="3" spans="1:21" x14ac:dyDescent="0.2">
      <c r="A3" s="28">
        <f>A2</f>
        <v>43451</v>
      </c>
      <c r="B3" s="29" t="s">
        <v>21</v>
      </c>
      <c r="C3" s="29" t="s">
        <v>69</v>
      </c>
      <c r="D3" s="29" t="s">
        <v>23</v>
      </c>
      <c r="E3" s="29" t="s">
        <v>188</v>
      </c>
      <c r="F3" s="29" t="s">
        <v>25</v>
      </c>
      <c r="G3" s="30">
        <v>70000</v>
      </c>
      <c r="H3" s="29" t="s">
        <v>70</v>
      </c>
      <c r="I3" s="29" t="s">
        <v>71</v>
      </c>
      <c r="J3" s="31">
        <v>0.4826388888888889</v>
      </c>
      <c r="K3" s="32">
        <v>0.54166666666666663</v>
      </c>
      <c r="L3" s="31">
        <v>0.33333333333333331</v>
      </c>
      <c r="M3" s="32">
        <v>0.40763888888888888</v>
      </c>
      <c r="N3" s="33" t="s">
        <v>212</v>
      </c>
      <c r="O3" s="33" t="s">
        <v>207</v>
      </c>
      <c r="P3" s="29">
        <v>970</v>
      </c>
      <c r="Q3" s="33">
        <v>548</v>
      </c>
      <c r="R3" s="29">
        <v>0</v>
      </c>
      <c r="S3" s="29">
        <v>0</v>
      </c>
      <c r="T3" s="29">
        <v>0</v>
      </c>
      <c r="U3" s="29">
        <v>0</v>
      </c>
    </row>
    <row r="4" spans="1:21" x14ac:dyDescent="0.2">
      <c r="A4" s="28">
        <f>A3</f>
        <v>43451</v>
      </c>
      <c r="B4" s="34" t="s">
        <v>21</v>
      </c>
      <c r="C4" s="34" t="s">
        <v>72</v>
      </c>
      <c r="D4" s="34" t="s">
        <v>23</v>
      </c>
      <c r="E4" s="29" t="str">
        <f>E3</f>
        <v>HALWL</v>
      </c>
      <c r="F4" s="34" t="s">
        <v>25</v>
      </c>
      <c r="G4" s="35">
        <v>70000</v>
      </c>
      <c r="H4" s="34" t="s">
        <v>73</v>
      </c>
      <c r="I4" s="34" t="s">
        <v>74</v>
      </c>
      <c r="J4" s="36">
        <v>0.71180555555555547</v>
      </c>
      <c r="K4" s="37">
        <v>0.76874999999999993</v>
      </c>
      <c r="L4" s="36">
        <v>0.50347222222222221</v>
      </c>
      <c r="M4" s="37">
        <v>0.57638888888888895</v>
      </c>
      <c r="N4" s="34" t="s">
        <v>214</v>
      </c>
      <c r="O4" s="34" t="s">
        <v>157</v>
      </c>
      <c r="P4" s="34">
        <v>1137</v>
      </c>
      <c r="Q4" s="34">
        <v>904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">
      <c r="A5" s="28">
        <f>A4</f>
        <v>43451</v>
      </c>
      <c r="B5" s="34" t="s">
        <v>21</v>
      </c>
      <c r="C5" s="34" t="s">
        <v>75</v>
      </c>
      <c r="D5" s="34" t="s">
        <v>23</v>
      </c>
      <c r="E5" s="29" t="s">
        <v>188</v>
      </c>
      <c r="F5" s="34" t="s">
        <v>25</v>
      </c>
      <c r="G5" s="30">
        <v>70000</v>
      </c>
      <c r="H5" s="34" t="s">
        <v>76</v>
      </c>
      <c r="I5" s="34" t="s">
        <v>77</v>
      </c>
      <c r="J5" s="38">
        <v>0.95486111111111116</v>
      </c>
      <c r="K5" s="39">
        <v>6.9444444444444447E-4</v>
      </c>
      <c r="L5" s="38">
        <v>0.71875</v>
      </c>
      <c r="M5" s="39">
        <v>0.81458333333333333</v>
      </c>
      <c r="N5" s="40" t="s">
        <v>124</v>
      </c>
      <c r="O5" s="34" t="s">
        <v>213</v>
      </c>
      <c r="P5" s="40">
        <v>1326</v>
      </c>
      <c r="Q5" s="34">
        <v>1596</v>
      </c>
      <c r="R5" s="34">
        <v>0</v>
      </c>
      <c r="S5" s="34">
        <v>0</v>
      </c>
      <c r="T5" s="34">
        <v>0</v>
      </c>
      <c r="U5" s="34">
        <v>0</v>
      </c>
    </row>
    <row r="6" spans="1:21" s="26" customFormat="1" x14ac:dyDescent="0.2">
      <c r="A6" s="28">
        <v>43451</v>
      </c>
      <c r="B6" s="26" t="s">
        <v>21</v>
      </c>
      <c r="C6" s="26" t="s">
        <v>205</v>
      </c>
      <c r="D6" s="26" t="s">
        <v>23</v>
      </c>
      <c r="E6" s="26" t="s">
        <v>188</v>
      </c>
      <c r="F6" s="26" t="s">
        <v>25</v>
      </c>
      <c r="G6" s="42">
        <v>70000</v>
      </c>
      <c r="H6" s="26" t="s">
        <v>191</v>
      </c>
      <c r="I6" s="78"/>
      <c r="J6" s="43">
        <v>0.30555555555555552</v>
      </c>
      <c r="K6" s="44">
        <v>0.36736111111111108</v>
      </c>
      <c r="L6" s="79"/>
      <c r="M6" s="80"/>
      <c r="N6" s="45" t="s">
        <v>206</v>
      </c>
      <c r="O6" s="76"/>
      <c r="P6" s="34">
        <v>1052</v>
      </c>
      <c r="Q6" s="77"/>
      <c r="R6" s="34">
        <v>0</v>
      </c>
      <c r="S6" s="34">
        <v>0</v>
      </c>
      <c r="T6" s="34">
        <v>0</v>
      </c>
      <c r="U6" s="34">
        <v>0</v>
      </c>
    </row>
    <row r="7" spans="1:21" x14ac:dyDescent="0.2">
      <c r="A7" s="46">
        <v>43451</v>
      </c>
      <c r="B7" s="47" t="s">
        <v>21</v>
      </c>
      <c r="C7" s="47" t="s">
        <v>209</v>
      </c>
      <c r="D7" s="47" t="s">
        <v>23</v>
      </c>
      <c r="E7" s="47" t="s">
        <v>59</v>
      </c>
      <c r="F7" s="47" t="s">
        <v>210</v>
      </c>
      <c r="G7" s="47">
        <v>70000</v>
      </c>
      <c r="H7" s="76"/>
      <c r="I7" s="47" t="s">
        <v>211</v>
      </c>
      <c r="J7" s="81"/>
      <c r="K7" s="82"/>
      <c r="L7" s="48">
        <v>0.5</v>
      </c>
      <c r="M7" s="49">
        <v>0.51041666666666663</v>
      </c>
      <c r="N7" s="76"/>
      <c r="O7" s="47" t="s">
        <v>109</v>
      </c>
      <c r="P7" s="76"/>
      <c r="Q7" s="45">
        <v>0</v>
      </c>
      <c r="R7" s="47">
        <v>0</v>
      </c>
      <c r="S7" s="47">
        <v>0</v>
      </c>
      <c r="T7" s="47">
        <v>0</v>
      </c>
      <c r="U7" s="47">
        <v>0</v>
      </c>
    </row>
    <row r="8" spans="1:21" x14ac:dyDescent="0.2">
      <c r="A8" s="46"/>
      <c r="B8" s="47"/>
      <c r="C8" s="47"/>
      <c r="D8" s="47"/>
      <c r="E8" s="47"/>
      <c r="F8" s="47"/>
      <c r="G8" s="47"/>
      <c r="H8" s="47"/>
      <c r="I8" s="47"/>
      <c r="J8" s="48"/>
      <c r="K8" s="49"/>
      <c r="L8" s="48"/>
      <c r="M8" s="49"/>
      <c r="N8" s="47"/>
      <c r="O8" s="34"/>
      <c r="P8" s="45"/>
      <c r="Q8" s="50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Q6" sqref="Q6"/>
    </sheetView>
  </sheetViews>
  <sheetFormatPr defaultRowHeight="15" x14ac:dyDescent="0.25"/>
  <cols>
    <col min="2" max="2" width="12.7109375" customWidth="1"/>
    <col min="3" max="3" width="14.85546875" customWidth="1"/>
    <col min="6" max="6" width="17.710937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43452</v>
      </c>
      <c r="B2" s="3" t="s">
        <v>21</v>
      </c>
      <c r="C2" s="3" t="s">
        <v>22</v>
      </c>
      <c r="D2" s="3" t="s">
        <v>23</v>
      </c>
      <c r="E2" s="3" t="s">
        <v>215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0.49652777777777773</v>
      </c>
      <c r="K2" s="6">
        <v>0.49236111111111108</v>
      </c>
      <c r="L2" s="5">
        <v>0.3125</v>
      </c>
      <c r="M2" s="6">
        <v>0.31458333333333333</v>
      </c>
      <c r="N2" s="6" t="s">
        <v>217</v>
      </c>
      <c r="O2" s="7" t="s">
        <v>216</v>
      </c>
      <c r="P2" s="7">
        <v>1229</v>
      </c>
      <c r="Q2" s="7">
        <v>642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43452</v>
      </c>
      <c r="B3" s="8" t="s">
        <v>21</v>
      </c>
      <c r="C3" s="8" t="s">
        <v>32</v>
      </c>
      <c r="D3" s="8" t="s">
        <v>23</v>
      </c>
      <c r="E3" s="3" t="str">
        <f>E2</f>
        <v>HA-LWL</v>
      </c>
      <c r="F3" s="8" t="s">
        <v>25</v>
      </c>
      <c r="G3" s="9">
        <f>G2</f>
        <v>70000</v>
      </c>
      <c r="H3" s="8" t="s">
        <v>33</v>
      </c>
      <c r="I3" s="8" t="s">
        <v>34</v>
      </c>
      <c r="J3" s="10">
        <v>0.72222222222222221</v>
      </c>
      <c r="K3" s="11">
        <v>0.74375000000000002</v>
      </c>
      <c r="L3" s="10">
        <v>0.52777777777777779</v>
      </c>
      <c r="M3" s="11">
        <v>0.53333333333333333</v>
      </c>
      <c r="N3" s="7" t="s">
        <v>220</v>
      </c>
      <c r="O3" s="7" t="s">
        <v>218</v>
      </c>
      <c r="P3" s="3">
        <v>986</v>
      </c>
      <c r="Q3" s="7">
        <v>952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>
        <f>A3</f>
        <v>43452</v>
      </c>
      <c r="B4" s="8" t="s">
        <v>21</v>
      </c>
      <c r="C4" s="8" t="s">
        <v>35</v>
      </c>
      <c r="D4" s="8" t="s">
        <v>23</v>
      </c>
      <c r="E4" s="3" t="str">
        <f>E3</f>
        <v>HA-LWL</v>
      </c>
      <c r="F4" s="8" t="s">
        <v>25</v>
      </c>
      <c r="G4" s="9">
        <f>G3</f>
        <v>70000</v>
      </c>
      <c r="H4" s="8" t="s">
        <v>36</v>
      </c>
      <c r="I4" s="8" t="s">
        <v>37</v>
      </c>
      <c r="J4" s="12">
        <v>0.91319444444444453</v>
      </c>
      <c r="K4" s="13">
        <v>0.93611111111111101</v>
      </c>
      <c r="L4" s="12">
        <v>0.74305555555555547</v>
      </c>
      <c r="M4" s="13">
        <v>0.77361111111111114</v>
      </c>
      <c r="N4" s="7" t="s">
        <v>221</v>
      </c>
      <c r="O4" s="7" t="s">
        <v>219</v>
      </c>
      <c r="P4" s="3">
        <v>1041</v>
      </c>
      <c r="Q4" s="7">
        <v>451</v>
      </c>
      <c r="R4" s="8">
        <v>0</v>
      </c>
      <c r="S4" s="8">
        <v>0</v>
      </c>
      <c r="T4" s="8">
        <v>0</v>
      </c>
      <c r="U4" s="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H1" workbookViewId="0">
      <selection activeCell="P5" sqref="P5:P6"/>
    </sheetView>
  </sheetViews>
  <sheetFormatPr defaultRowHeight="15" x14ac:dyDescent="0.25"/>
  <cols>
    <col min="1" max="1" width="10.140625" bestFit="1" customWidth="1"/>
    <col min="2" max="2" width="18.140625" customWidth="1"/>
    <col min="3" max="3" width="15" customWidth="1"/>
    <col min="6" max="6" width="36.7109375" customWidth="1"/>
    <col min="10" max="10" width="10.5703125" customWidth="1"/>
    <col min="11" max="11" width="12" customWidth="1"/>
    <col min="12" max="12" width="12.42578125" customWidth="1"/>
    <col min="13" max="13" width="11.7109375" customWidth="1"/>
    <col min="14" max="14" width="18.28515625" customWidth="1"/>
    <col min="15" max="15" width="19.5703125" customWidth="1"/>
    <col min="16" max="16" width="16" customWidth="1"/>
    <col min="17" max="17" width="13.42578125" customWidth="1"/>
  </cols>
  <sheetData>
    <row r="1" spans="1:2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5">
      <c r="A2" s="21">
        <v>43453</v>
      </c>
      <c r="B2" s="29" t="s">
        <v>21</v>
      </c>
      <c r="C2" s="29" t="s">
        <v>46</v>
      </c>
      <c r="D2" s="29" t="s">
        <v>23</v>
      </c>
      <c r="E2" s="29" t="s">
        <v>215</v>
      </c>
      <c r="F2" s="29" t="s">
        <v>25</v>
      </c>
      <c r="G2" s="30">
        <v>70000</v>
      </c>
      <c r="H2" s="29" t="s">
        <v>48</v>
      </c>
      <c r="I2" s="29" t="s">
        <v>47</v>
      </c>
      <c r="J2" s="31">
        <v>0.4826388888888889</v>
      </c>
      <c r="K2" s="32">
        <v>0.4770833333333333</v>
      </c>
      <c r="L2" s="31">
        <v>0.27777777777777779</v>
      </c>
      <c r="M2" s="32">
        <v>0.27986111111111112</v>
      </c>
      <c r="N2" s="33" t="s">
        <v>99</v>
      </c>
      <c r="O2" s="16" t="s">
        <v>223</v>
      </c>
      <c r="P2" s="16">
        <v>1476</v>
      </c>
      <c r="Q2" s="16">
        <v>968</v>
      </c>
      <c r="R2" s="16">
        <v>0</v>
      </c>
      <c r="S2" s="16">
        <v>0</v>
      </c>
      <c r="T2" s="16">
        <v>0</v>
      </c>
      <c r="U2" s="16">
        <v>0</v>
      </c>
    </row>
    <row r="3" spans="1:22" x14ac:dyDescent="0.25">
      <c r="A3" s="21">
        <f>A4</f>
        <v>43453</v>
      </c>
      <c r="B3" s="16" t="s">
        <v>21</v>
      </c>
      <c r="C3" s="16" t="s">
        <v>55</v>
      </c>
      <c r="D3" s="16" t="s">
        <v>23</v>
      </c>
      <c r="E3" s="16" t="str">
        <f>E2</f>
        <v>HA-LWL</v>
      </c>
      <c r="F3" s="16" t="s">
        <v>25</v>
      </c>
      <c r="G3" s="17">
        <f>G2</f>
        <v>70000</v>
      </c>
      <c r="H3" s="16" t="s">
        <v>57</v>
      </c>
      <c r="I3" s="16" t="s">
        <v>56</v>
      </c>
      <c r="J3" s="18">
        <v>0.70833333333333337</v>
      </c>
      <c r="K3" s="19">
        <v>0.71388888888888891</v>
      </c>
      <c r="L3" s="18">
        <v>0.50347222222222221</v>
      </c>
      <c r="M3" s="19">
        <v>0.51666666666666672</v>
      </c>
      <c r="N3" s="19" t="s">
        <v>227</v>
      </c>
      <c r="O3" s="20" t="s">
        <v>225</v>
      </c>
      <c r="P3" s="16">
        <v>1359</v>
      </c>
      <c r="Q3" s="20">
        <v>947</v>
      </c>
      <c r="R3" s="16">
        <v>0</v>
      </c>
      <c r="S3" s="16">
        <v>0</v>
      </c>
      <c r="T3" s="16">
        <v>0</v>
      </c>
      <c r="U3" s="16">
        <v>0</v>
      </c>
    </row>
    <row r="4" spans="1:22" x14ac:dyDescent="0.25">
      <c r="A4" s="21">
        <v>43453</v>
      </c>
      <c r="B4" s="16" t="s">
        <v>21</v>
      </c>
      <c r="C4" s="16" t="s">
        <v>52</v>
      </c>
      <c r="D4" s="16" t="s">
        <v>23</v>
      </c>
      <c r="E4" s="16" t="s">
        <v>224</v>
      </c>
      <c r="F4" s="16" t="s">
        <v>25</v>
      </c>
      <c r="G4" s="17">
        <v>71500</v>
      </c>
      <c r="H4" s="16" t="s">
        <v>54</v>
      </c>
      <c r="I4" s="16" t="s">
        <v>53</v>
      </c>
      <c r="J4" s="18">
        <v>0.69791666666666663</v>
      </c>
      <c r="K4" s="19">
        <v>0.69513888888888886</v>
      </c>
      <c r="L4" s="18">
        <v>0.52777777777777779</v>
      </c>
      <c r="M4" s="19">
        <v>0.53125</v>
      </c>
      <c r="N4" s="16" t="s">
        <v>228</v>
      </c>
      <c r="O4" s="20" t="s">
        <v>226</v>
      </c>
      <c r="P4" s="16">
        <v>1015</v>
      </c>
      <c r="Q4" s="20">
        <v>641</v>
      </c>
      <c r="R4" s="16">
        <v>0</v>
      </c>
      <c r="S4" s="16">
        <v>0</v>
      </c>
      <c r="T4" s="16">
        <v>0</v>
      </c>
      <c r="U4" s="16">
        <v>0</v>
      </c>
    </row>
    <row r="5" spans="1:22" s="54" customFormat="1" ht="12.75" x14ac:dyDescent="0.2">
      <c r="A5" s="28">
        <f>A3</f>
        <v>43453</v>
      </c>
      <c r="B5" s="16" t="s">
        <v>21</v>
      </c>
      <c r="C5" s="34" t="s">
        <v>75</v>
      </c>
      <c r="D5" s="34" t="s">
        <v>23</v>
      </c>
      <c r="E5" s="16" t="s">
        <v>222</v>
      </c>
      <c r="F5" s="34" t="s">
        <v>25</v>
      </c>
      <c r="G5" s="35">
        <v>71500</v>
      </c>
      <c r="H5" s="34" t="s">
        <v>77</v>
      </c>
      <c r="I5" s="34" t="s">
        <v>76</v>
      </c>
      <c r="J5" s="24">
        <v>0.95486111111111116</v>
      </c>
      <c r="K5" s="25" t="s">
        <v>203</v>
      </c>
      <c r="L5" s="24">
        <v>0.71875</v>
      </c>
      <c r="M5" s="57">
        <v>0.73472222222222217</v>
      </c>
      <c r="N5" s="53"/>
      <c r="O5" s="58" t="s">
        <v>183</v>
      </c>
      <c r="P5" s="53"/>
      <c r="Q5" s="58">
        <v>1124</v>
      </c>
      <c r="R5" s="34">
        <v>0</v>
      </c>
      <c r="S5" s="34">
        <v>0</v>
      </c>
      <c r="T5" s="34">
        <v>0</v>
      </c>
      <c r="U5" s="34">
        <v>0</v>
      </c>
      <c r="V5" s="83"/>
    </row>
    <row r="6" spans="1:22" s="27" customFormat="1" ht="12.75" x14ac:dyDescent="0.2">
      <c r="A6" s="28">
        <f>A7</f>
        <v>43453</v>
      </c>
      <c r="B6" s="34" t="s">
        <v>21</v>
      </c>
      <c r="C6" s="34" t="s">
        <v>72</v>
      </c>
      <c r="D6" s="34" t="s">
        <v>23</v>
      </c>
      <c r="E6" s="29" t="s">
        <v>188</v>
      </c>
      <c r="F6" s="34" t="s">
        <v>25</v>
      </c>
      <c r="G6" s="35">
        <v>70000</v>
      </c>
      <c r="H6" s="34" t="s">
        <v>73</v>
      </c>
      <c r="I6" s="34" t="s">
        <v>74</v>
      </c>
      <c r="J6" s="36">
        <v>0.94791666666666663</v>
      </c>
      <c r="K6" s="37" t="s">
        <v>203</v>
      </c>
      <c r="L6" s="36">
        <v>0.73958333333333337</v>
      </c>
      <c r="M6" s="37">
        <v>0.75</v>
      </c>
      <c r="N6" s="77"/>
      <c r="O6" s="34" t="s">
        <v>207</v>
      </c>
      <c r="P6" s="77"/>
      <c r="Q6" s="34">
        <v>774</v>
      </c>
      <c r="R6" s="34">
        <v>0</v>
      </c>
      <c r="S6" s="34">
        <v>0</v>
      </c>
      <c r="T6" s="34">
        <v>0</v>
      </c>
      <c r="U6" s="34">
        <v>0</v>
      </c>
    </row>
    <row r="7" spans="1:22" s="54" customFormat="1" ht="12.75" x14ac:dyDescent="0.2">
      <c r="A7" s="21">
        <f>A3</f>
        <v>43453</v>
      </c>
      <c r="B7" s="16" t="s">
        <v>21</v>
      </c>
      <c r="C7" s="16" t="s">
        <v>194</v>
      </c>
      <c r="D7" s="16" t="s">
        <v>23</v>
      </c>
      <c r="E7" s="16" t="s">
        <v>222</v>
      </c>
      <c r="F7" s="16" t="s">
        <v>106</v>
      </c>
      <c r="G7" s="52">
        <v>71500</v>
      </c>
      <c r="H7" s="16" t="s">
        <v>176</v>
      </c>
      <c r="I7" s="16" t="s">
        <v>108</v>
      </c>
      <c r="J7" s="55">
        <v>0.45833333333333331</v>
      </c>
      <c r="K7" s="57">
        <v>0.4513888888888889</v>
      </c>
      <c r="L7" s="56" t="s">
        <v>108</v>
      </c>
      <c r="M7" s="52" t="s">
        <v>108</v>
      </c>
      <c r="N7" s="53"/>
      <c r="O7" s="53"/>
      <c r="P7" s="53"/>
      <c r="Q7" s="53"/>
      <c r="R7" s="53"/>
      <c r="S7" s="53"/>
      <c r="T7" s="53"/>
      <c r="U7" s="53"/>
    </row>
    <row r="8" spans="1:22" x14ac:dyDescent="0.25">
      <c r="A8" s="51">
        <v>43453</v>
      </c>
      <c r="B8" s="16" t="s">
        <v>229</v>
      </c>
      <c r="C8" s="85" t="s">
        <v>230</v>
      </c>
      <c r="D8" s="16" t="s">
        <v>231</v>
      </c>
      <c r="E8" s="52">
        <v>88202</v>
      </c>
      <c r="F8" s="16" t="s">
        <v>234</v>
      </c>
      <c r="G8" s="52">
        <v>263000</v>
      </c>
      <c r="H8" s="16" t="s">
        <v>232</v>
      </c>
      <c r="I8" s="16" t="s">
        <v>232</v>
      </c>
      <c r="J8" s="57">
        <v>0.66666666666666663</v>
      </c>
      <c r="K8" s="57">
        <v>0.65833333333333333</v>
      </c>
      <c r="L8" s="55">
        <v>0.84722222222222221</v>
      </c>
      <c r="M8" s="57">
        <v>0.78472222222222221</v>
      </c>
      <c r="N8" s="52" t="s">
        <v>109</v>
      </c>
      <c r="O8" s="34" t="s">
        <v>233</v>
      </c>
      <c r="P8" s="52">
        <v>0</v>
      </c>
      <c r="Q8" s="34">
        <v>0</v>
      </c>
      <c r="R8" s="34">
        <v>0</v>
      </c>
      <c r="S8" s="84"/>
      <c r="T8" s="34">
        <v>0</v>
      </c>
      <c r="U8" s="34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K7" sqref="K7"/>
    </sheetView>
  </sheetViews>
  <sheetFormatPr defaultRowHeight="12.75" x14ac:dyDescent="0.2"/>
  <cols>
    <col min="1" max="1" width="10.140625" style="52" bestFit="1" customWidth="1"/>
    <col min="2" max="2" width="19.85546875" style="52" customWidth="1"/>
    <col min="3" max="3" width="15" style="52" customWidth="1"/>
    <col min="4" max="5" width="9.140625" style="52"/>
    <col min="6" max="6" width="27" style="52" customWidth="1"/>
    <col min="7" max="9" width="9.140625" style="52"/>
    <col min="10" max="10" width="10.5703125" style="52" customWidth="1"/>
    <col min="11" max="11" width="12" style="52" customWidth="1"/>
    <col min="12" max="12" width="12.42578125" style="52" customWidth="1"/>
    <col min="13" max="13" width="11.7109375" style="52" customWidth="1"/>
    <col min="14" max="14" width="18.28515625" style="52" customWidth="1"/>
    <col min="15" max="15" width="19.5703125" style="52" customWidth="1"/>
    <col min="16" max="16" width="16" style="52" customWidth="1"/>
    <col min="17" max="17" width="13.42578125" style="52" customWidth="1"/>
    <col min="18" max="16384" width="9.140625" style="52"/>
  </cols>
  <sheetData>
    <row r="1" spans="1:2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">
      <c r="A2" s="21">
        <v>43454</v>
      </c>
      <c r="B2" s="16" t="s">
        <v>21</v>
      </c>
      <c r="C2" s="16" t="s">
        <v>22</v>
      </c>
      <c r="D2" s="16" t="s">
        <v>23</v>
      </c>
      <c r="E2" s="16" t="s">
        <v>215</v>
      </c>
      <c r="F2" s="16" t="s">
        <v>25</v>
      </c>
      <c r="G2" s="17">
        <v>70000</v>
      </c>
      <c r="H2" s="16" t="s">
        <v>26</v>
      </c>
      <c r="I2" s="16" t="s">
        <v>27</v>
      </c>
      <c r="J2" s="18">
        <v>0.49652777777777773</v>
      </c>
      <c r="K2" s="19">
        <v>0.49305555555555558</v>
      </c>
      <c r="L2" s="18">
        <v>0.3125</v>
      </c>
      <c r="M2" s="19">
        <v>0.31597222222222221</v>
      </c>
      <c r="N2" s="16" t="s">
        <v>241</v>
      </c>
      <c r="O2" s="16" t="s">
        <v>238</v>
      </c>
      <c r="P2" s="16">
        <v>1269</v>
      </c>
      <c r="Q2" s="20">
        <v>895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">
      <c r="A3" s="51">
        <f t="shared" ref="A3:A9" si="0">A2</f>
        <v>43454</v>
      </c>
      <c r="B3" s="16" t="s">
        <v>21</v>
      </c>
      <c r="C3" s="16" t="s">
        <v>28</v>
      </c>
      <c r="D3" s="16" t="s">
        <v>23</v>
      </c>
      <c r="E3" s="16" t="s">
        <v>224</v>
      </c>
      <c r="F3" s="16" t="s">
        <v>25</v>
      </c>
      <c r="G3" s="86">
        <v>71500</v>
      </c>
      <c r="H3" s="16" t="s">
        <v>30</v>
      </c>
      <c r="I3" s="16" t="s">
        <v>31</v>
      </c>
      <c r="J3" s="55">
        <v>0.48958333333333331</v>
      </c>
      <c r="K3" s="57">
        <v>0.55486111111111114</v>
      </c>
      <c r="L3" s="55">
        <v>0.35416666666666669</v>
      </c>
      <c r="M3" s="57">
        <v>0.35972222222222222</v>
      </c>
      <c r="N3" s="52" t="s">
        <v>242</v>
      </c>
      <c r="O3" s="58" t="s">
        <v>239</v>
      </c>
      <c r="P3" s="52">
        <v>911</v>
      </c>
      <c r="Q3" s="58">
        <v>282</v>
      </c>
      <c r="R3" s="15">
        <v>0</v>
      </c>
      <c r="S3" s="15">
        <v>0</v>
      </c>
      <c r="T3" s="15">
        <v>0</v>
      </c>
      <c r="U3" s="15">
        <v>0</v>
      </c>
    </row>
    <row r="4" spans="1:21" x14ac:dyDescent="0.2">
      <c r="A4" s="51">
        <f t="shared" si="0"/>
        <v>43454</v>
      </c>
      <c r="B4" s="52" t="s">
        <v>21</v>
      </c>
      <c r="C4" s="52" t="s">
        <v>49</v>
      </c>
      <c r="D4" s="52" t="str">
        <f t="shared" ref="D4:D9" si="1">D3</f>
        <v>A320</v>
      </c>
      <c r="E4" s="52" t="s">
        <v>188</v>
      </c>
      <c r="F4" s="52" t="s">
        <v>25</v>
      </c>
      <c r="G4" s="86">
        <f>G3</f>
        <v>71500</v>
      </c>
      <c r="H4" s="16" t="s">
        <v>50</v>
      </c>
      <c r="I4" s="16" t="s">
        <v>51</v>
      </c>
      <c r="J4" s="18">
        <v>0.66319444444444442</v>
      </c>
      <c r="K4" s="19">
        <v>0.67361111111111116</v>
      </c>
      <c r="L4" s="18">
        <v>0.51041666666666663</v>
      </c>
      <c r="M4" s="19">
        <v>0.54027777777777775</v>
      </c>
      <c r="N4" s="16" t="s">
        <v>189</v>
      </c>
      <c r="O4" s="16" t="s">
        <v>240</v>
      </c>
      <c r="P4" s="16">
        <v>1452</v>
      </c>
      <c r="Q4" s="20">
        <v>644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">
      <c r="A5" s="51">
        <f t="shared" si="0"/>
        <v>43454</v>
      </c>
      <c r="B5" s="52" t="s">
        <v>21</v>
      </c>
      <c r="C5" s="52" t="s">
        <v>52</v>
      </c>
      <c r="D5" s="52" t="str">
        <f t="shared" si="1"/>
        <v>A320</v>
      </c>
      <c r="E5" s="52" t="s">
        <v>222</v>
      </c>
      <c r="F5" s="52" t="s">
        <v>25</v>
      </c>
      <c r="G5" s="86">
        <f>G2</f>
        <v>70000</v>
      </c>
      <c r="H5" s="52" t="s">
        <v>53</v>
      </c>
      <c r="I5" s="52" t="s">
        <v>54</v>
      </c>
      <c r="J5" s="55">
        <v>0.69791666666666663</v>
      </c>
      <c r="K5" s="57">
        <v>0.75</v>
      </c>
      <c r="L5" s="55">
        <v>0.52777777777777779</v>
      </c>
      <c r="M5" s="57">
        <v>0.59236111111111112</v>
      </c>
      <c r="N5" s="52" t="s">
        <v>243</v>
      </c>
      <c r="O5" s="52" t="s">
        <v>244</v>
      </c>
      <c r="P5" s="52">
        <v>1187</v>
      </c>
      <c r="Q5" s="52">
        <v>679</v>
      </c>
      <c r="R5" s="15">
        <v>0</v>
      </c>
      <c r="S5" s="15">
        <v>0</v>
      </c>
      <c r="T5" s="15">
        <v>0</v>
      </c>
      <c r="U5" s="15">
        <v>0</v>
      </c>
    </row>
    <row r="6" spans="1:21" x14ac:dyDescent="0.2">
      <c r="A6" s="51">
        <f t="shared" si="0"/>
        <v>43454</v>
      </c>
      <c r="B6" s="52" t="s">
        <v>21</v>
      </c>
      <c r="C6" s="52" t="s">
        <v>55</v>
      </c>
      <c r="D6" s="52" t="str">
        <f t="shared" si="1"/>
        <v>A320</v>
      </c>
      <c r="E6" s="52" t="str">
        <f>E4</f>
        <v>HALWL</v>
      </c>
      <c r="F6" s="52" t="s">
        <v>25</v>
      </c>
      <c r="G6" s="86">
        <f>G4</f>
        <v>71500</v>
      </c>
      <c r="H6" s="52" t="s">
        <v>56</v>
      </c>
      <c r="I6" s="52" t="s">
        <v>57</v>
      </c>
      <c r="J6" s="55">
        <v>0.89930555555555547</v>
      </c>
      <c r="K6" s="57">
        <v>0.89374999999999993</v>
      </c>
      <c r="L6" s="55">
        <v>0.69444444444444453</v>
      </c>
      <c r="M6" s="57">
        <v>0.7090277777777777</v>
      </c>
      <c r="N6" s="52" t="s">
        <v>247</v>
      </c>
      <c r="O6" s="52" t="s">
        <v>245</v>
      </c>
      <c r="P6" s="52">
        <v>1371</v>
      </c>
      <c r="Q6" s="52">
        <v>726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">
      <c r="A7" s="51">
        <f t="shared" si="0"/>
        <v>43454</v>
      </c>
      <c r="B7" s="52" t="s">
        <v>21</v>
      </c>
      <c r="C7" s="52" t="s">
        <v>35</v>
      </c>
      <c r="D7" s="52" t="str">
        <f t="shared" si="1"/>
        <v>A320</v>
      </c>
      <c r="E7" s="52" t="str">
        <f>E5</f>
        <v>HALWF</v>
      </c>
      <c r="F7" s="52" t="s">
        <v>25</v>
      </c>
      <c r="G7" s="86">
        <f>G5</f>
        <v>70000</v>
      </c>
      <c r="H7" s="52" t="s">
        <v>36</v>
      </c>
      <c r="I7" s="52" t="s">
        <v>37</v>
      </c>
      <c r="J7" s="55">
        <v>0.91319444444444453</v>
      </c>
      <c r="K7" s="57">
        <v>0.94444444444444453</v>
      </c>
      <c r="L7" s="55">
        <v>0.74305555555555547</v>
      </c>
      <c r="M7" s="57">
        <v>0.78194444444444444</v>
      </c>
      <c r="N7" s="52" t="s">
        <v>250</v>
      </c>
      <c r="O7" s="52" t="s">
        <v>246</v>
      </c>
      <c r="P7" s="52">
        <v>868</v>
      </c>
      <c r="Q7" s="52">
        <v>503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">
      <c r="A8" s="51">
        <f t="shared" si="0"/>
        <v>43454</v>
      </c>
      <c r="B8" s="52" t="s">
        <v>21</v>
      </c>
      <c r="C8" s="52" t="s">
        <v>194</v>
      </c>
      <c r="D8" s="52" t="str">
        <f t="shared" si="1"/>
        <v>A320</v>
      </c>
      <c r="E8" s="52" t="str">
        <f>E7</f>
        <v>HALWF</v>
      </c>
      <c r="F8" s="52" t="s">
        <v>235</v>
      </c>
      <c r="G8" s="86">
        <f>G7</f>
        <v>70000</v>
      </c>
      <c r="H8" s="52" t="s">
        <v>236</v>
      </c>
      <c r="I8" s="52" t="s">
        <v>90</v>
      </c>
      <c r="J8" s="55">
        <v>0.29166666666666669</v>
      </c>
      <c r="K8" s="57">
        <v>0.27569444444444446</v>
      </c>
      <c r="L8" s="56" t="s">
        <v>90</v>
      </c>
      <c r="M8" s="56" t="s">
        <v>90</v>
      </c>
      <c r="N8" s="52">
        <v>0</v>
      </c>
      <c r="O8" s="52">
        <v>0</v>
      </c>
      <c r="P8" s="52">
        <v>0</v>
      </c>
      <c r="Q8" s="52">
        <v>0</v>
      </c>
      <c r="R8" s="15">
        <v>0</v>
      </c>
      <c r="S8" s="15">
        <v>0</v>
      </c>
      <c r="T8" s="15">
        <v>0</v>
      </c>
      <c r="U8" s="15">
        <v>0</v>
      </c>
    </row>
    <row r="9" spans="1:21" x14ac:dyDescent="0.2">
      <c r="A9" s="51">
        <f t="shared" si="0"/>
        <v>43454</v>
      </c>
      <c r="B9" s="52" t="s">
        <v>21</v>
      </c>
      <c r="C9" s="52" t="str">
        <f>C8</f>
        <v>BUD-TZL</v>
      </c>
      <c r="D9" s="52" t="str">
        <f t="shared" si="1"/>
        <v>A320</v>
      </c>
      <c r="E9" s="52" t="str">
        <f>E6</f>
        <v>HALWL</v>
      </c>
      <c r="F9" s="52" t="str">
        <f>F8</f>
        <v>FERRY IN</v>
      </c>
      <c r="G9" s="86">
        <f>G6</f>
        <v>71500</v>
      </c>
      <c r="H9" s="52" t="s">
        <v>237</v>
      </c>
      <c r="I9" s="52" t="s">
        <v>90</v>
      </c>
      <c r="J9" s="55">
        <v>0.32291666666666669</v>
      </c>
      <c r="K9" s="57">
        <v>0.3298611111111111</v>
      </c>
      <c r="L9" s="56" t="s">
        <v>90</v>
      </c>
      <c r="M9" s="56" t="s">
        <v>90</v>
      </c>
      <c r="N9" s="52">
        <v>0</v>
      </c>
      <c r="O9" s="52">
        <v>0</v>
      </c>
      <c r="P9" s="52">
        <v>0</v>
      </c>
      <c r="Q9" s="52">
        <v>0</v>
      </c>
      <c r="R9" s="15">
        <v>0</v>
      </c>
      <c r="S9" s="15">
        <v>0</v>
      </c>
      <c r="T9" s="15">
        <v>0</v>
      </c>
      <c r="U9" s="15">
        <v>0</v>
      </c>
    </row>
    <row r="10" spans="1:21" x14ac:dyDescent="0.2">
      <c r="R10" s="15"/>
      <c r="S10" s="15"/>
      <c r="T10" s="15"/>
      <c r="U10" s="15"/>
    </row>
    <row r="11" spans="1:21" x14ac:dyDescent="0.2">
      <c r="R11" s="15"/>
      <c r="S11" s="15"/>
      <c r="T11" s="15"/>
      <c r="U11" s="15"/>
    </row>
  </sheetData>
  <pageMargins left="0.7" right="0.7" top="0.75" bottom="0.75" header="0.3" footer="0.3"/>
  <pageSetup paperSize="9" orientation="portrait" r:id="rId1"/>
  <ignoredErrors>
    <ignoredError sqref="E9:F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7" sqref="A7"/>
    </sheetView>
  </sheetViews>
  <sheetFormatPr defaultRowHeight="15" x14ac:dyDescent="0.25"/>
  <cols>
    <col min="1" max="1" width="10.140625" style="74" bestFit="1" customWidth="1"/>
    <col min="2" max="2" width="22.5703125" style="74" customWidth="1"/>
    <col min="3" max="3" width="18.5703125" style="74" customWidth="1"/>
    <col min="4" max="4" width="9.140625" style="74"/>
    <col min="5" max="5" width="15" style="74" customWidth="1"/>
    <col min="6" max="6" width="24.140625" style="74" customWidth="1"/>
    <col min="7" max="9" width="9.140625" style="74"/>
    <col min="10" max="10" width="12.7109375" style="74" customWidth="1"/>
    <col min="11" max="11" width="11.85546875" style="37" customWidth="1"/>
    <col min="12" max="12" width="11.140625" style="74" customWidth="1"/>
    <col min="13" max="13" width="11.42578125" style="74" customWidth="1"/>
    <col min="14" max="14" width="17" style="34" customWidth="1"/>
    <col min="15" max="15" width="17.140625" style="74" customWidth="1"/>
    <col min="16" max="16384" width="9.140625" style="74"/>
  </cols>
  <sheetData>
    <row r="1" spans="1:21" x14ac:dyDescent="0.2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37" t="s">
        <v>10</v>
      </c>
      <c r="L1" s="59" t="s">
        <v>11</v>
      </c>
      <c r="M1" s="59" t="s">
        <v>12</v>
      </c>
      <c r="N1" s="34" t="s">
        <v>13</v>
      </c>
      <c r="O1" s="59" t="s">
        <v>14</v>
      </c>
      <c r="P1" s="59" t="s">
        <v>15</v>
      </c>
      <c r="Q1" s="59" t="s">
        <v>16</v>
      </c>
      <c r="R1" s="59" t="s">
        <v>17</v>
      </c>
      <c r="S1" s="59" t="s">
        <v>18</v>
      </c>
      <c r="T1" s="59" t="s">
        <v>19</v>
      </c>
      <c r="U1" s="59" t="s">
        <v>20</v>
      </c>
    </row>
    <row r="2" spans="1:21" x14ac:dyDescent="0.25">
      <c r="A2" s="28">
        <v>43455</v>
      </c>
      <c r="B2" s="16" t="s">
        <v>21</v>
      </c>
      <c r="C2" s="16" t="s">
        <v>46</v>
      </c>
      <c r="D2" s="16" t="s">
        <v>23</v>
      </c>
      <c r="E2" s="16" t="s">
        <v>248</v>
      </c>
      <c r="F2" s="16" t="s">
        <v>25</v>
      </c>
      <c r="G2" s="17">
        <v>71500</v>
      </c>
      <c r="H2" s="16" t="s">
        <v>47</v>
      </c>
      <c r="I2" s="16" t="s">
        <v>48</v>
      </c>
      <c r="J2" s="18">
        <v>0.4826388888888889</v>
      </c>
      <c r="K2" s="37">
        <v>0.47847222222222219</v>
      </c>
      <c r="L2" s="18">
        <v>0.27777777777777779</v>
      </c>
      <c r="M2" s="19">
        <v>0.28402777777777777</v>
      </c>
      <c r="N2" s="34" t="s">
        <v>253</v>
      </c>
      <c r="O2" s="20" t="s">
        <v>251</v>
      </c>
      <c r="P2" s="20">
        <v>1120</v>
      </c>
      <c r="Q2" s="20">
        <v>1011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28">
        <f t="shared" ref="A3:A4" si="0">A2</f>
        <v>43455</v>
      </c>
      <c r="B3" s="16" t="s">
        <v>21</v>
      </c>
      <c r="C3" s="16" t="s">
        <v>69</v>
      </c>
      <c r="D3" s="16" t="s">
        <v>23</v>
      </c>
      <c r="E3" s="16" t="s">
        <v>188</v>
      </c>
      <c r="F3" s="16" t="s">
        <v>25</v>
      </c>
      <c r="G3" s="17">
        <v>70000</v>
      </c>
      <c r="H3" s="16" t="s">
        <v>71</v>
      </c>
      <c r="I3" s="16" t="s">
        <v>70</v>
      </c>
      <c r="J3" s="18">
        <v>0.4826388888888889</v>
      </c>
      <c r="K3" s="37">
        <v>0.4909722222222222</v>
      </c>
      <c r="L3" s="18">
        <v>0.33333333333333331</v>
      </c>
      <c r="M3" s="19">
        <v>0.34930555555555554</v>
      </c>
      <c r="N3" s="34" t="s">
        <v>254</v>
      </c>
      <c r="O3" s="20" t="s">
        <v>252</v>
      </c>
      <c r="P3" s="16">
        <v>1410</v>
      </c>
      <c r="Q3" s="20">
        <v>812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28">
        <f t="shared" si="0"/>
        <v>43455</v>
      </c>
      <c r="B4" s="34" t="s">
        <v>21</v>
      </c>
      <c r="C4" s="34" t="s">
        <v>72</v>
      </c>
      <c r="D4" s="34" t="s">
        <v>23</v>
      </c>
      <c r="E4" s="16" t="s">
        <v>188</v>
      </c>
      <c r="F4" s="34" t="s">
        <v>25</v>
      </c>
      <c r="G4" s="35">
        <v>70000</v>
      </c>
      <c r="H4" s="34" t="s">
        <v>74</v>
      </c>
      <c r="I4" s="34" t="s">
        <v>73</v>
      </c>
      <c r="J4" s="36">
        <v>0.71180555555555547</v>
      </c>
      <c r="K4" s="37">
        <v>0.7368055555555556</v>
      </c>
      <c r="L4" s="36">
        <v>0.50347222222222221</v>
      </c>
      <c r="M4" s="37">
        <v>0.53125</v>
      </c>
      <c r="N4" s="34" t="s">
        <v>214</v>
      </c>
      <c r="O4" s="34" t="s">
        <v>255</v>
      </c>
      <c r="P4" s="34">
        <v>1148</v>
      </c>
      <c r="Q4" s="34">
        <v>1025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5">
      <c r="A5" s="51">
        <v>43455</v>
      </c>
      <c r="B5" s="34" t="s">
        <v>21</v>
      </c>
      <c r="C5" s="34" t="s">
        <v>52</v>
      </c>
      <c r="D5" s="16" t="s">
        <v>23</v>
      </c>
      <c r="E5" s="16" t="s">
        <v>249</v>
      </c>
      <c r="F5" s="34" t="s">
        <v>25</v>
      </c>
      <c r="G5" s="35">
        <v>71500</v>
      </c>
      <c r="H5" s="34" t="s">
        <v>53</v>
      </c>
      <c r="I5" s="34" t="s">
        <v>54</v>
      </c>
      <c r="J5" s="55">
        <v>0.69791666666666663</v>
      </c>
      <c r="K5" s="37">
        <v>0.70208333333333339</v>
      </c>
      <c r="L5" s="55">
        <v>0.52777777777777779</v>
      </c>
      <c r="M5" s="72">
        <v>0.54236111111111118</v>
      </c>
      <c r="N5" s="34" t="s">
        <v>258</v>
      </c>
      <c r="O5" s="34" t="s">
        <v>256</v>
      </c>
      <c r="P5" s="88">
        <v>1550</v>
      </c>
      <c r="Q5" s="34">
        <v>809</v>
      </c>
      <c r="R5" s="34">
        <v>0</v>
      </c>
      <c r="S5" s="34">
        <v>0</v>
      </c>
      <c r="T5" s="34">
        <v>0</v>
      </c>
      <c r="U5" s="34">
        <v>0</v>
      </c>
    </row>
    <row r="6" spans="1:21" x14ac:dyDescent="0.25">
      <c r="A6" s="28">
        <f>A4</f>
        <v>43455</v>
      </c>
      <c r="B6" s="34" t="s">
        <v>21</v>
      </c>
      <c r="C6" s="34" t="s">
        <v>75</v>
      </c>
      <c r="D6" s="34" t="s">
        <v>23</v>
      </c>
      <c r="E6" s="16" t="s">
        <v>249</v>
      </c>
      <c r="F6" s="34" t="s">
        <v>25</v>
      </c>
      <c r="G6" s="35">
        <v>71500</v>
      </c>
      <c r="H6" s="34" t="s">
        <v>77</v>
      </c>
      <c r="I6" s="34" t="s">
        <v>76</v>
      </c>
      <c r="J6" s="24">
        <v>0.95486111111111116</v>
      </c>
      <c r="K6" s="91" t="s">
        <v>203</v>
      </c>
      <c r="L6" s="24">
        <v>0.71875</v>
      </c>
      <c r="M6" s="87">
        <v>0.73819444444444438</v>
      </c>
      <c r="N6" s="90"/>
      <c r="O6" s="34" t="s">
        <v>257</v>
      </c>
      <c r="P6" s="89"/>
      <c r="Q6" s="34">
        <v>1226</v>
      </c>
      <c r="R6" s="34">
        <v>0</v>
      </c>
      <c r="S6" s="34">
        <v>0</v>
      </c>
      <c r="T6" s="34">
        <v>0</v>
      </c>
      <c r="U6" s="34">
        <v>0</v>
      </c>
    </row>
    <row r="7" spans="1:21" x14ac:dyDescent="0.25">
      <c r="A7" s="28">
        <v>43455</v>
      </c>
      <c r="B7" s="34" t="s">
        <v>21</v>
      </c>
      <c r="C7" s="59" t="s">
        <v>55</v>
      </c>
      <c r="D7" s="16" t="s">
        <v>23</v>
      </c>
      <c r="E7" s="59" t="s">
        <v>188</v>
      </c>
      <c r="F7" s="34" t="s">
        <v>25</v>
      </c>
      <c r="G7" s="63">
        <v>70000</v>
      </c>
      <c r="H7" s="59" t="s">
        <v>56</v>
      </c>
      <c r="I7" s="59" t="s">
        <v>57</v>
      </c>
      <c r="J7" s="64">
        <v>0.94791666666666663</v>
      </c>
      <c r="K7" s="91" t="s">
        <v>203</v>
      </c>
      <c r="L7" s="64">
        <v>0.74305555555555547</v>
      </c>
      <c r="M7" s="19">
        <v>0.77777777777777779</v>
      </c>
      <c r="N7" s="90"/>
      <c r="O7" s="34" t="s">
        <v>100</v>
      </c>
      <c r="P7" s="90"/>
      <c r="Q7" s="34">
        <v>1026</v>
      </c>
      <c r="R7" s="34">
        <v>0</v>
      </c>
      <c r="S7" s="34">
        <v>0</v>
      </c>
      <c r="T7" s="34">
        <v>0</v>
      </c>
      <c r="U7" s="34">
        <v>0</v>
      </c>
    </row>
    <row r="8" spans="1:21" x14ac:dyDescent="0.25">
      <c r="A8" s="28"/>
      <c r="B8" s="34"/>
      <c r="C8" s="34"/>
      <c r="D8" s="34"/>
      <c r="E8" s="16"/>
      <c r="F8" s="34"/>
      <c r="G8" s="61"/>
      <c r="H8" s="16"/>
      <c r="I8" s="16"/>
      <c r="J8" s="67"/>
      <c r="L8" s="67"/>
      <c r="M8" s="66"/>
      <c r="O8" s="34"/>
      <c r="P8" s="34"/>
      <c r="Q8" s="34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opLeftCell="H1" workbookViewId="0">
      <selection activeCell="H1" sqref="A1:XFD5"/>
    </sheetView>
  </sheetViews>
  <sheetFormatPr defaultRowHeight="15" x14ac:dyDescent="0.25"/>
  <cols>
    <col min="1" max="1" width="11.7109375" customWidth="1"/>
    <col min="2" max="2" width="12.7109375" customWidth="1"/>
    <col min="3" max="3" width="14.85546875" customWidth="1"/>
    <col min="6" max="6" width="27.14062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43456</v>
      </c>
      <c r="B2" s="3" t="s">
        <v>21</v>
      </c>
      <c r="C2" s="3" t="s">
        <v>22</v>
      </c>
      <c r="D2" s="3" t="s">
        <v>23</v>
      </c>
      <c r="E2" s="3" t="s">
        <v>249</v>
      </c>
      <c r="F2" s="3" t="s">
        <v>25</v>
      </c>
      <c r="G2" s="4">
        <v>71500</v>
      </c>
      <c r="H2" s="3" t="s">
        <v>26</v>
      </c>
      <c r="I2" s="3" t="s">
        <v>27</v>
      </c>
      <c r="J2" s="5">
        <v>0.49652777777777773</v>
      </c>
      <c r="K2" s="6">
        <v>0.54305555555555551</v>
      </c>
      <c r="L2" s="5">
        <v>0.3125</v>
      </c>
      <c r="M2" s="6">
        <v>0.37152777777777773</v>
      </c>
      <c r="N2" s="6" t="s">
        <v>262</v>
      </c>
      <c r="O2" s="7" t="s">
        <v>261</v>
      </c>
      <c r="P2" s="7">
        <v>1398</v>
      </c>
      <c r="Q2" s="7">
        <v>907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43456</v>
      </c>
      <c r="B3" s="3" t="s">
        <v>21</v>
      </c>
      <c r="C3" s="3" t="s">
        <v>115</v>
      </c>
      <c r="D3" s="3" t="s">
        <v>23</v>
      </c>
      <c r="E3" s="3" t="s">
        <v>59</v>
      </c>
      <c r="F3" s="3" t="s">
        <v>25</v>
      </c>
      <c r="G3" s="4">
        <v>70000</v>
      </c>
      <c r="H3" s="3" t="s">
        <v>30</v>
      </c>
      <c r="I3" s="3" t="s">
        <v>31</v>
      </c>
      <c r="J3" s="5">
        <v>0.49305555555555558</v>
      </c>
      <c r="K3" s="6">
        <v>0.6381944444444444</v>
      </c>
      <c r="L3" s="5">
        <v>0.35416666666666669</v>
      </c>
      <c r="M3" s="6">
        <v>0.6381944444444444</v>
      </c>
      <c r="N3" s="6" t="s">
        <v>166</v>
      </c>
      <c r="O3" s="15" t="s">
        <v>264</v>
      </c>
      <c r="P3" s="3">
        <v>801</v>
      </c>
      <c r="Q3" s="15">
        <v>671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43456</v>
      </c>
      <c r="B4" s="8" t="s">
        <v>21</v>
      </c>
      <c r="C4" s="8" t="s">
        <v>32</v>
      </c>
      <c r="D4" s="8" t="s">
        <v>23</v>
      </c>
      <c r="E4" s="3" t="s">
        <v>249</v>
      </c>
      <c r="F4" s="8" t="s">
        <v>25</v>
      </c>
      <c r="G4" s="9">
        <v>71500</v>
      </c>
      <c r="H4" s="8" t="s">
        <v>33</v>
      </c>
      <c r="I4" s="8" t="s">
        <v>34</v>
      </c>
      <c r="J4" s="10">
        <v>0.72222222222222221</v>
      </c>
      <c r="K4" s="11">
        <v>0.78333333333333333</v>
      </c>
      <c r="L4" s="10">
        <v>0.52777777777777779</v>
      </c>
      <c r="M4" s="11">
        <v>0.60763888888888895</v>
      </c>
      <c r="N4" s="7" t="s">
        <v>265</v>
      </c>
      <c r="O4" s="7" t="s">
        <v>263</v>
      </c>
      <c r="P4" s="3">
        <v>1807</v>
      </c>
      <c r="Q4" s="7">
        <v>1125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v>43456</v>
      </c>
      <c r="B5" s="8" t="s">
        <v>21</v>
      </c>
      <c r="C5" s="8" t="s">
        <v>35</v>
      </c>
      <c r="D5" s="8" t="s">
        <v>23</v>
      </c>
      <c r="E5" s="3" t="s">
        <v>59</v>
      </c>
      <c r="F5" s="8" t="s">
        <v>25</v>
      </c>
      <c r="G5" s="9">
        <v>70000</v>
      </c>
      <c r="H5" s="8" t="s">
        <v>36</v>
      </c>
      <c r="I5" s="8" t="s">
        <v>37</v>
      </c>
      <c r="J5" s="12">
        <v>0.91319444444444453</v>
      </c>
      <c r="K5" s="13">
        <v>0.98263888888888884</v>
      </c>
      <c r="L5" s="12">
        <v>0.74305555555555547</v>
      </c>
      <c r="M5" s="92">
        <v>0.81597222222222221</v>
      </c>
      <c r="N5" s="7" t="s">
        <v>266</v>
      </c>
      <c r="O5" s="7" t="s">
        <v>67</v>
      </c>
      <c r="P5" s="3">
        <v>1261</v>
      </c>
      <c r="Q5" s="7">
        <v>891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1">
        <v>43456</v>
      </c>
      <c r="B6" s="52" t="s">
        <v>21</v>
      </c>
      <c r="C6" s="52" t="s">
        <v>194</v>
      </c>
      <c r="D6" s="52" t="s">
        <v>23</v>
      </c>
      <c r="E6" s="52" t="s">
        <v>249</v>
      </c>
      <c r="F6" s="52" t="s">
        <v>106</v>
      </c>
      <c r="G6" s="52">
        <v>71500</v>
      </c>
      <c r="H6" s="52" t="s">
        <v>260</v>
      </c>
      <c r="I6" s="52" t="s">
        <v>108</v>
      </c>
      <c r="J6" s="55">
        <v>0.33333333333333331</v>
      </c>
      <c r="K6" s="57">
        <v>0.33263888888888887</v>
      </c>
      <c r="L6" s="52" t="s">
        <v>108</v>
      </c>
      <c r="M6" s="88" t="s">
        <v>108</v>
      </c>
      <c r="N6" s="88" t="s">
        <v>109</v>
      </c>
      <c r="O6" s="70"/>
      <c r="P6" s="70"/>
      <c r="Q6" s="70"/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51">
        <v>43456</v>
      </c>
      <c r="B7" s="52" t="s">
        <v>21</v>
      </c>
      <c r="C7" s="52" t="s">
        <v>259</v>
      </c>
      <c r="D7" s="52" t="s">
        <v>23</v>
      </c>
      <c r="E7" s="3" t="s">
        <v>59</v>
      </c>
      <c r="F7" s="52" t="s">
        <v>106</v>
      </c>
      <c r="G7" s="52">
        <v>70000</v>
      </c>
      <c r="H7" s="52" t="s">
        <v>193</v>
      </c>
      <c r="I7" s="58" t="s">
        <v>108</v>
      </c>
      <c r="J7" s="55">
        <v>0.72916666666666663</v>
      </c>
      <c r="K7" s="57">
        <v>0.74583333333333324</v>
      </c>
      <c r="L7" s="52" t="s">
        <v>108</v>
      </c>
      <c r="M7" s="74" t="s">
        <v>108</v>
      </c>
      <c r="N7" s="74" t="s">
        <v>109</v>
      </c>
      <c r="O7" s="70"/>
      <c r="P7" s="70"/>
      <c r="Q7" s="70"/>
      <c r="R7" s="8">
        <v>0</v>
      </c>
      <c r="S7" s="8">
        <v>0</v>
      </c>
      <c r="T7" s="8">
        <v>0</v>
      </c>
      <c r="U7" s="8">
        <v>0</v>
      </c>
    </row>
    <row r="19" ht="16.5" customHeight="1" x14ac:dyDescent="0.25"/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C1" sqref="A1:XFD6"/>
    </sheetView>
  </sheetViews>
  <sheetFormatPr defaultRowHeight="15" x14ac:dyDescent="0.25"/>
  <cols>
    <col min="1" max="1" width="10.140625" bestFit="1" customWidth="1"/>
    <col min="3" max="3" width="13.5703125" customWidth="1"/>
    <col min="6" max="6" width="11.85546875" customWidth="1"/>
    <col min="11" max="11" width="11.7109375" customWidth="1"/>
    <col min="12" max="12" width="11.85546875" customWidth="1"/>
    <col min="13" max="13" width="12.7109375" customWidth="1"/>
    <col min="14" max="14" width="18.5703125" customWidth="1"/>
    <col min="15" max="15" width="18.85546875" customWidth="1"/>
  </cols>
  <sheetData>
    <row r="1" spans="1:21" s="15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15" customFormat="1" ht="12.75" x14ac:dyDescent="0.25">
      <c r="A2" s="2">
        <v>43457</v>
      </c>
      <c r="B2" s="16" t="s">
        <v>21</v>
      </c>
      <c r="C2" s="16" t="s">
        <v>46</v>
      </c>
      <c r="D2" s="16" t="s">
        <v>23</v>
      </c>
      <c r="E2" s="8" t="s">
        <v>59</v>
      </c>
      <c r="F2" s="16" t="s">
        <v>25</v>
      </c>
      <c r="G2" s="17">
        <v>70000</v>
      </c>
      <c r="H2" s="16" t="s">
        <v>47</v>
      </c>
      <c r="I2" s="16" t="s">
        <v>48</v>
      </c>
      <c r="J2" s="18">
        <v>0.4826388888888889</v>
      </c>
      <c r="K2" s="19">
        <v>0.48819444444444443</v>
      </c>
      <c r="L2" s="18">
        <v>0.27777777777777779</v>
      </c>
      <c r="M2" s="19">
        <v>0.31319444444444444</v>
      </c>
      <c r="N2" s="20" t="s">
        <v>268</v>
      </c>
      <c r="O2" s="20" t="s">
        <v>267</v>
      </c>
      <c r="P2" s="20">
        <v>1579</v>
      </c>
      <c r="Q2" s="20">
        <v>848</v>
      </c>
      <c r="R2" s="16">
        <v>0</v>
      </c>
      <c r="S2" s="16">
        <v>0</v>
      </c>
      <c r="T2" s="16">
        <v>0</v>
      </c>
      <c r="U2" s="16">
        <v>0</v>
      </c>
    </row>
    <row r="3" spans="1:21" s="15" customFormat="1" ht="12.75" x14ac:dyDescent="0.25">
      <c r="A3" s="21">
        <f>A2</f>
        <v>43457</v>
      </c>
      <c r="B3" s="16" t="s">
        <v>21</v>
      </c>
      <c r="C3" s="16" t="s">
        <v>49</v>
      </c>
      <c r="D3" s="16" t="s">
        <v>23</v>
      </c>
      <c r="E3" s="16" t="s">
        <v>249</v>
      </c>
      <c r="F3" s="16" t="s">
        <v>25</v>
      </c>
      <c r="G3" s="17">
        <v>71500</v>
      </c>
      <c r="H3" s="16" t="s">
        <v>50</v>
      </c>
      <c r="I3" s="16" t="s">
        <v>51</v>
      </c>
      <c r="J3" s="18">
        <v>0.65277777777777779</v>
      </c>
      <c r="K3" s="19">
        <v>0.64444444444444449</v>
      </c>
      <c r="L3" s="18">
        <v>0.5</v>
      </c>
      <c r="M3" s="19">
        <v>0.4993055555555555</v>
      </c>
      <c r="N3" s="20" t="s">
        <v>258</v>
      </c>
      <c r="O3" s="20" t="s">
        <v>269</v>
      </c>
      <c r="P3" s="16">
        <v>1734</v>
      </c>
      <c r="Q3" s="20">
        <v>866</v>
      </c>
      <c r="R3" s="16">
        <v>0</v>
      </c>
      <c r="S3" s="16">
        <v>0</v>
      </c>
      <c r="T3" s="16">
        <v>0</v>
      </c>
      <c r="U3" s="16">
        <v>0</v>
      </c>
    </row>
    <row r="4" spans="1:21" s="8" customFormat="1" ht="12.75" x14ac:dyDescent="0.25">
      <c r="A4" s="22">
        <f>A3</f>
        <v>43457</v>
      </c>
      <c r="B4" s="8" t="s">
        <v>21</v>
      </c>
      <c r="C4" s="8" t="s">
        <v>52</v>
      </c>
      <c r="D4" s="8" t="s">
        <v>23</v>
      </c>
      <c r="E4" s="8" t="s">
        <v>59</v>
      </c>
      <c r="F4" s="8" t="s">
        <v>25</v>
      </c>
      <c r="G4" s="9">
        <v>70000</v>
      </c>
      <c r="H4" s="8" t="s">
        <v>53</v>
      </c>
      <c r="I4" s="8" t="s">
        <v>54</v>
      </c>
      <c r="J4" s="10">
        <v>0.69791666666666663</v>
      </c>
      <c r="K4" s="11">
        <v>0.69791666666666663</v>
      </c>
      <c r="L4" s="10">
        <v>0.52777777777777779</v>
      </c>
      <c r="M4" s="11">
        <v>0.53680555555555554</v>
      </c>
      <c r="N4" s="8" t="s">
        <v>271</v>
      </c>
      <c r="O4" s="23" t="s">
        <v>38</v>
      </c>
      <c r="P4" s="8">
        <v>1348</v>
      </c>
      <c r="Q4" s="8">
        <v>663</v>
      </c>
      <c r="R4" s="8">
        <v>0</v>
      </c>
      <c r="S4" s="8">
        <v>0</v>
      </c>
      <c r="T4" s="8">
        <v>0</v>
      </c>
      <c r="U4" s="8">
        <v>0</v>
      </c>
    </row>
    <row r="5" spans="1:21" s="15" customFormat="1" ht="12.75" x14ac:dyDescent="0.25">
      <c r="A5" s="22">
        <f>A4</f>
        <v>43457</v>
      </c>
      <c r="B5" s="8" t="s">
        <v>21</v>
      </c>
      <c r="C5" s="8" t="s">
        <v>55</v>
      </c>
      <c r="D5" s="8" t="s">
        <v>23</v>
      </c>
      <c r="E5" s="8" t="s">
        <v>249</v>
      </c>
      <c r="F5" s="8" t="s">
        <v>25</v>
      </c>
      <c r="G5" s="9">
        <v>71500</v>
      </c>
      <c r="H5" s="8" t="s">
        <v>56</v>
      </c>
      <c r="I5" s="8" t="s">
        <v>57</v>
      </c>
      <c r="J5" s="24">
        <v>0.88888888888888884</v>
      </c>
      <c r="K5" s="25">
        <v>0.87361111111111101</v>
      </c>
      <c r="L5" s="24">
        <v>0.68402777777777779</v>
      </c>
      <c r="M5" s="25">
        <v>0.68194444444444446</v>
      </c>
      <c r="N5" s="93" t="s">
        <v>272</v>
      </c>
      <c r="O5" s="8" t="s">
        <v>270</v>
      </c>
      <c r="P5" s="93">
        <v>1154</v>
      </c>
      <c r="Q5" s="8">
        <v>1012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2">
        <f>A5</f>
        <v>43457</v>
      </c>
      <c r="B6" s="8" t="s">
        <v>21</v>
      </c>
      <c r="C6" s="8" t="s">
        <v>75</v>
      </c>
      <c r="D6" s="8" t="s">
        <v>23</v>
      </c>
      <c r="E6" s="8" t="s">
        <v>59</v>
      </c>
      <c r="F6" s="8" t="s">
        <v>25</v>
      </c>
      <c r="G6" s="17">
        <v>70000</v>
      </c>
      <c r="H6" s="8" t="s">
        <v>77</v>
      </c>
      <c r="I6" s="8" t="s">
        <v>76</v>
      </c>
      <c r="J6" s="24">
        <v>0.95486111111111116</v>
      </c>
      <c r="K6" s="25">
        <v>0.95486111111111116</v>
      </c>
      <c r="L6" s="24">
        <v>0.71875</v>
      </c>
      <c r="M6" s="25">
        <v>0.72986111111111107</v>
      </c>
      <c r="N6" s="8" t="s">
        <v>273</v>
      </c>
      <c r="O6" s="8" t="s">
        <v>87</v>
      </c>
      <c r="P6" s="8">
        <v>1620</v>
      </c>
      <c r="Q6" s="8">
        <v>1069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zoomScaleNormal="100" workbookViewId="0">
      <selection activeCell="K7" sqref="K7"/>
    </sheetView>
  </sheetViews>
  <sheetFormatPr defaultRowHeight="12.75" x14ac:dyDescent="0.2"/>
  <cols>
    <col min="1" max="1" width="9.140625" style="47"/>
    <col min="2" max="2" width="18.42578125" style="47" customWidth="1"/>
    <col min="3" max="3" width="15.85546875" style="47" customWidth="1"/>
    <col min="4" max="4" width="9.140625" style="47"/>
    <col min="5" max="5" width="18.140625" style="47" customWidth="1"/>
    <col min="6" max="6" width="26.7109375" style="47" customWidth="1"/>
    <col min="7" max="8" width="9.140625" style="47"/>
    <col min="9" max="9" width="9.7109375" style="47" bestFit="1" customWidth="1"/>
    <col min="10" max="10" width="11" style="47" bestFit="1" customWidth="1"/>
    <col min="11" max="11" width="10.85546875" style="47" bestFit="1" customWidth="1"/>
    <col min="12" max="12" width="11" style="47" bestFit="1" customWidth="1"/>
    <col min="13" max="13" width="10.85546875" style="47" bestFit="1" customWidth="1"/>
    <col min="14" max="15" width="18.42578125" style="47" bestFit="1" customWidth="1"/>
    <col min="16" max="17" width="10.28515625" style="47" bestFit="1" customWidth="1"/>
    <col min="18" max="257" width="9.140625" style="47"/>
    <col min="258" max="258" width="18.42578125" style="47" customWidth="1"/>
    <col min="259" max="259" width="15.28515625" style="47" customWidth="1"/>
    <col min="260" max="260" width="9.140625" style="47"/>
    <col min="261" max="261" width="18.140625" style="47" customWidth="1"/>
    <col min="262" max="262" width="26.7109375" style="47" customWidth="1"/>
    <col min="263" max="264" width="9.140625" style="47"/>
    <col min="265" max="265" width="9.7109375" style="47" bestFit="1" customWidth="1"/>
    <col min="266" max="266" width="11" style="47" bestFit="1" customWidth="1"/>
    <col min="267" max="267" width="10.85546875" style="47" bestFit="1" customWidth="1"/>
    <col min="268" max="268" width="11" style="47" bestFit="1" customWidth="1"/>
    <col min="269" max="269" width="10.85546875" style="47" bestFit="1" customWidth="1"/>
    <col min="270" max="271" width="18.42578125" style="47" bestFit="1" customWidth="1"/>
    <col min="272" max="273" width="10.28515625" style="47" bestFit="1" customWidth="1"/>
    <col min="274" max="513" width="9.140625" style="47"/>
    <col min="514" max="514" width="18.42578125" style="47" customWidth="1"/>
    <col min="515" max="515" width="15.28515625" style="47" customWidth="1"/>
    <col min="516" max="516" width="9.140625" style="47"/>
    <col min="517" max="517" width="18.140625" style="47" customWidth="1"/>
    <col min="518" max="518" width="26.7109375" style="47" customWidth="1"/>
    <col min="519" max="520" width="9.140625" style="47"/>
    <col min="521" max="521" width="9.7109375" style="47" bestFit="1" customWidth="1"/>
    <col min="522" max="522" width="11" style="47" bestFit="1" customWidth="1"/>
    <col min="523" max="523" width="10.85546875" style="47" bestFit="1" customWidth="1"/>
    <col min="524" max="524" width="11" style="47" bestFit="1" customWidth="1"/>
    <col min="525" max="525" width="10.85546875" style="47" bestFit="1" customWidth="1"/>
    <col min="526" max="527" width="18.42578125" style="47" bestFit="1" customWidth="1"/>
    <col min="528" max="529" width="10.28515625" style="47" bestFit="1" customWidth="1"/>
    <col min="530" max="769" width="9.140625" style="47"/>
    <col min="770" max="770" width="18.42578125" style="47" customWidth="1"/>
    <col min="771" max="771" width="15.28515625" style="47" customWidth="1"/>
    <col min="772" max="772" width="9.140625" style="47"/>
    <col min="773" max="773" width="18.140625" style="47" customWidth="1"/>
    <col min="774" max="774" width="26.7109375" style="47" customWidth="1"/>
    <col min="775" max="776" width="9.140625" style="47"/>
    <col min="777" max="777" width="9.7109375" style="47" bestFit="1" customWidth="1"/>
    <col min="778" max="778" width="11" style="47" bestFit="1" customWidth="1"/>
    <col min="779" max="779" width="10.85546875" style="47" bestFit="1" customWidth="1"/>
    <col min="780" max="780" width="11" style="47" bestFit="1" customWidth="1"/>
    <col min="781" max="781" width="10.85546875" style="47" bestFit="1" customWidth="1"/>
    <col min="782" max="783" width="18.42578125" style="47" bestFit="1" customWidth="1"/>
    <col min="784" max="785" width="10.28515625" style="47" bestFit="1" customWidth="1"/>
    <col min="786" max="1025" width="9.140625" style="47"/>
    <col min="1026" max="1026" width="18.42578125" style="47" customWidth="1"/>
    <col min="1027" max="1027" width="15.28515625" style="47" customWidth="1"/>
    <col min="1028" max="1028" width="9.140625" style="47"/>
    <col min="1029" max="1029" width="18.140625" style="47" customWidth="1"/>
    <col min="1030" max="1030" width="26.7109375" style="47" customWidth="1"/>
    <col min="1031" max="1032" width="9.140625" style="47"/>
    <col min="1033" max="1033" width="9.7109375" style="47" bestFit="1" customWidth="1"/>
    <col min="1034" max="1034" width="11" style="47" bestFit="1" customWidth="1"/>
    <col min="1035" max="1035" width="10.85546875" style="47" bestFit="1" customWidth="1"/>
    <col min="1036" max="1036" width="11" style="47" bestFit="1" customWidth="1"/>
    <col min="1037" max="1037" width="10.85546875" style="47" bestFit="1" customWidth="1"/>
    <col min="1038" max="1039" width="18.42578125" style="47" bestFit="1" customWidth="1"/>
    <col min="1040" max="1041" width="10.28515625" style="47" bestFit="1" customWidth="1"/>
    <col min="1042" max="1281" width="9.140625" style="47"/>
    <col min="1282" max="1282" width="18.42578125" style="47" customWidth="1"/>
    <col min="1283" max="1283" width="15.28515625" style="47" customWidth="1"/>
    <col min="1284" max="1284" width="9.140625" style="47"/>
    <col min="1285" max="1285" width="18.140625" style="47" customWidth="1"/>
    <col min="1286" max="1286" width="26.7109375" style="47" customWidth="1"/>
    <col min="1287" max="1288" width="9.140625" style="47"/>
    <col min="1289" max="1289" width="9.7109375" style="47" bestFit="1" customWidth="1"/>
    <col min="1290" max="1290" width="11" style="47" bestFit="1" customWidth="1"/>
    <col min="1291" max="1291" width="10.85546875" style="47" bestFit="1" customWidth="1"/>
    <col min="1292" max="1292" width="11" style="47" bestFit="1" customWidth="1"/>
    <col min="1293" max="1293" width="10.85546875" style="47" bestFit="1" customWidth="1"/>
    <col min="1294" max="1295" width="18.42578125" style="47" bestFit="1" customWidth="1"/>
    <col min="1296" max="1297" width="10.28515625" style="47" bestFit="1" customWidth="1"/>
    <col min="1298" max="1537" width="9.140625" style="47"/>
    <col min="1538" max="1538" width="18.42578125" style="47" customWidth="1"/>
    <col min="1539" max="1539" width="15.28515625" style="47" customWidth="1"/>
    <col min="1540" max="1540" width="9.140625" style="47"/>
    <col min="1541" max="1541" width="18.140625" style="47" customWidth="1"/>
    <col min="1542" max="1542" width="26.7109375" style="47" customWidth="1"/>
    <col min="1543" max="1544" width="9.140625" style="47"/>
    <col min="1545" max="1545" width="9.7109375" style="47" bestFit="1" customWidth="1"/>
    <col min="1546" max="1546" width="11" style="47" bestFit="1" customWidth="1"/>
    <col min="1547" max="1547" width="10.85546875" style="47" bestFit="1" customWidth="1"/>
    <col min="1548" max="1548" width="11" style="47" bestFit="1" customWidth="1"/>
    <col min="1549" max="1549" width="10.85546875" style="47" bestFit="1" customWidth="1"/>
    <col min="1550" max="1551" width="18.42578125" style="47" bestFit="1" customWidth="1"/>
    <col min="1552" max="1553" width="10.28515625" style="47" bestFit="1" customWidth="1"/>
    <col min="1554" max="1793" width="9.140625" style="47"/>
    <col min="1794" max="1794" width="18.42578125" style="47" customWidth="1"/>
    <col min="1795" max="1795" width="15.28515625" style="47" customWidth="1"/>
    <col min="1796" max="1796" width="9.140625" style="47"/>
    <col min="1797" max="1797" width="18.140625" style="47" customWidth="1"/>
    <col min="1798" max="1798" width="26.7109375" style="47" customWidth="1"/>
    <col min="1799" max="1800" width="9.140625" style="47"/>
    <col min="1801" max="1801" width="9.7109375" style="47" bestFit="1" customWidth="1"/>
    <col min="1802" max="1802" width="11" style="47" bestFit="1" customWidth="1"/>
    <col min="1803" max="1803" width="10.85546875" style="47" bestFit="1" customWidth="1"/>
    <col min="1804" max="1804" width="11" style="47" bestFit="1" customWidth="1"/>
    <col min="1805" max="1805" width="10.85546875" style="47" bestFit="1" customWidth="1"/>
    <col min="1806" max="1807" width="18.42578125" style="47" bestFit="1" customWidth="1"/>
    <col min="1808" max="1809" width="10.28515625" style="47" bestFit="1" customWidth="1"/>
    <col min="1810" max="2049" width="9.140625" style="47"/>
    <col min="2050" max="2050" width="18.42578125" style="47" customWidth="1"/>
    <col min="2051" max="2051" width="15.28515625" style="47" customWidth="1"/>
    <col min="2052" max="2052" width="9.140625" style="47"/>
    <col min="2053" max="2053" width="18.140625" style="47" customWidth="1"/>
    <col min="2054" max="2054" width="26.7109375" style="47" customWidth="1"/>
    <col min="2055" max="2056" width="9.140625" style="47"/>
    <col min="2057" max="2057" width="9.7109375" style="47" bestFit="1" customWidth="1"/>
    <col min="2058" max="2058" width="11" style="47" bestFit="1" customWidth="1"/>
    <col min="2059" max="2059" width="10.85546875" style="47" bestFit="1" customWidth="1"/>
    <col min="2060" max="2060" width="11" style="47" bestFit="1" customWidth="1"/>
    <col min="2061" max="2061" width="10.85546875" style="47" bestFit="1" customWidth="1"/>
    <col min="2062" max="2063" width="18.42578125" style="47" bestFit="1" customWidth="1"/>
    <col min="2064" max="2065" width="10.28515625" style="47" bestFit="1" customWidth="1"/>
    <col min="2066" max="2305" width="9.140625" style="47"/>
    <col min="2306" max="2306" width="18.42578125" style="47" customWidth="1"/>
    <col min="2307" max="2307" width="15.28515625" style="47" customWidth="1"/>
    <col min="2308" max="2308" width="9.140625" style="47"/>
    <col min="2309" max="2309" width="18.140625" style="47" customWidth="1"/>
    <col min="2310" max="2310" width="26.7109375" style="47" customWidth="1"/>
    <col min="2311" max="2312" width="9.140625" style="47"/>
    <col min="2313" max="2313" width="9.7109375" style="47" bestFit="1" customWidth="1"/>
    <col min="2314" max="2314" width="11" style="47" bestFit="1" customWidth="1"/>
    <col min="2315" max="2315" width="10.85546875" style="47" bestFit="1" customWidth="1"/>
    <col min="2316" max="2316" width="11" style="47" bestFit="1" customWidth="1"/>
    <col min="2317" max="2317" width="10.85546875" style="47" bestFit="1" customWidth="1"/>
    <col min="2318" max="2319" width="18.42578125" style="47" bestFit="1" customWidth="1"/>
    <col min="2320" max="2321" width="10.28515625" style="47" bestFit="1" customWidth="1"/>
    <col min="2322" max="2561" width="9.140625" style="47"/>
    <col min="2562" max="2562" width="18.42578125" style="47" customWidth="1"/>
    <col min="2563" max="2563" width="15.28515625" style="47" customWidth="1"/>
    <col min="2564" max="2564" width="9.140625" style="47"/>
    <col min="2565" max="2565" width="18.140625" style="47" customWidth="1"/>
    <col min="2566" max="2566" width="26.7109375" style="47" customWidth="1"/>
    <col min="2567" max="2568" width="9.140625" style="47"/>
    <col min="2569" max="2569" width="9.7109375" style="47" bestFit="1" customWidth="1"/>
    <col min="2570" max="2570" width="11" style="47" bestFit="1" customWidth="1"/>
    <col min="2571" max="2571" width="10.85546875" style="47" bestFit="1" customWidth="1"/>
    <col min="2572" max="2572" width="11" style="47" bestFit="1" customWidth="1"/>
    <col min="2573" max="2573" width="10.85546875" style="47" bestFit="1" customWidth="1"/>
    <col min="2574" max="2575" width="18.42578125" style="47" bestFit="1" customWidth="1"/>
    <col min="2576" max="2577" width="10.28515625" style="47" bestFit="1" customWidth="1"/>
    <col min="2578" max="2817" width="9.140625" style="47"/>
    <col min="2818" max="2818" width="18.42578125" style="47" customWidth="1"/>
    <col min="2819" max="2819" width="15.28515625" style="47" customWidth="1"/>
    <col min="2820" max="2820" width="9.140625" style="47"/>
    <col min="2821" max="2821" width="18.140625" style="47" customWidth="1"/>
    <col min="2822" max="2822" width="26.7109375" style="47" customWidth="1"/>
    <col min="2823" max="2824" width="9.140625" style="47"/>
    <col min="2825" max="2825" width="9.7109375" style="47" bestFit="1" customWidth="1"/>
    <col min="2826" max="2826" width="11" style="47" bestFit="1" customWidth="1"/>
    <col min="2827" max="2827" width="10.85546875" style="47" bestFit="1" customWidth="1"/>
    <col min="2828" max="2828" width="11" style="47" bestFit="1" customWidth="1"/>
    <col min="2829" max="2829" width="10.85546875" style="47" bestFit="1" customWidth="1"/>
    <col min="2830" max="2831" width="18.42578125" style="47" bestFit="1" customWidth="1"/>
    <col min="2832" max="2833" width="10.28515625" style="47" bestFit="1" customWidth="1"/>
    <col min="2834" max="3073" width="9.140625" style="47"/>
    <col min="3074" max="3074" width="18.42578125" style="47" customWidth="1"/>
    <col min="3075" max="3075" width="15.28515625" style="47" customWidth="1"/>
    <col min="3076" max="3076" width="9.140625" style="47"/>
    <col min="3077" max="3077" width="18.140625" style="47" customWidth="1"/>
    <col min="3078" max="3078" width="26.7109375" style="47" customWidth="1"/>
    <col min="3079" max="3080" width="9.140625" style="47"/>
    <col min="3081" max="3081" width="9.7109375" style="47" bestFit="1" customWidth="1"/>
    <col min="3082" max="3082" width="11" style="47" bestFit="1" customWidth="1"/>
    <col min="3083" max="3083" width="10.85546875" style="47" bestFit="1" customWidth="1"/>
    <col min="3084" max="3084" width="11" style="47" bestFit="1" customWidth="1"/>
    <col min="3085" max="3085" width="10.85546875" style="47" bestFit="1" customWidth="1"/>
    <col min="3086" max="3087" width="18.42578125" style="47" bestFit="1" customWidth="1"/>
    <col min="3088" max="3089" width="10.28515625" style="47" bestFit="1" customWidth="1"/>
    <col min="3090" max="3329" width="9.140625" style="47"/>
    <col min="3330" max="3330" width="18.42578125" style="47" customWidth="1"/>
    <col min="3331" max="3331" width="15.28515625" style="47" customWidth="1"/>
    <col min="3332" max="3332" width="9.140625" style="47"/>
    <col min="3333" max="3333" width="18.140625" style="47" customWidth="1"/>
    <col min="3334" max="3334" width="26.7109375" style="47" customWidth="1"/>
    <col min="3335" max="3336" width="9.140625" style="47"/>
    <col min="3337" max="3337" width="9.7109375" style="47" bestFit="1" customWidth="1"/>
    <col min="3338" max="3338" width="11" style="47" bestFit="1" customWidth="1"/>
    <col min="3339" max="3339" width="10.85546875" style="47" bestFit="1" customWidth="1"/>
    <col min="3340" max="3340" width="11" style="47" bestFit="1" customWidth="1"/>
    <col min="3341" max="3341" width="10.85546875" style="47" bestFit="1" customWidth="1"/>
    <col min="3342" max="3343" width="18.42578125" style="47" bestFit="1" customWidth="1"/>
    <col min="3344" max="3345" width="10.28515625" style="47" bestFit="1" customWidth="1"/>
    <col min="3346" max="3585" width="9.140625" style="47"/>
    <col min="3586" max="3586" width="18.42578125" style="47" customWidth="1"/>
    <col min="3587" max="3587" width="15.28515625" style="47" customWidth="1"/>
    <col min="3588" max="3588" width="9.140625" style="47"/>
    <col min="3589" max="3589" width="18.140625" style="47" customWidth="1"/>
    <col min="3590" max="3590" width="26.7109375" style="47" customWidth="1"/>
    <col min="3591" max="3592" width="9.140625" style="47"/>
    <col min="3593" max="3593" width="9.7109375" style="47" bestFit="1" customWidth="1"/>
    <col min="3594" max="3594" width="11" style="47" bestFit="1" customWidth="1"/>
    <col min="3595" max="3595" width="10.85546875" style="47" bestFit="1" customWidth="1"/>
    <col min="3596" max="3596" width="11" style="47" bestFit="1" customWidth="1"/>
    <col min="3597" max="3597" width="10.85546875" style="47" bestFit="1" customWidth="1"/>
    <col min="3598" max="3599" width="18.42578125" style="47" bestFit="1" customWidth="1"/>
    <col min="3600" max="3601" width="10.28515625" style="47" bestFit="1" customWidth="1"/>
    <col min="3602" max="3841" width="9.140625" style="47"/>
    <col min="3842" max="3842" width="18.42578125" style="47" customWidth="1"/>
    <col min="3843" max="3843" width="15.28515625" style="47" customWidth="1"/>
    <col min="3844" max="3844" width="9.140625" style="47"/>
    <col min="3845" max="3845" width="18.140625" style="47" customWidth="1"/>
    <col min="3846" max="3846" width="26.7109375" style="47" customWidth="1"/>
    <col min="3847" max="3848" width="9.140625" style="47"/>
    <col min="3849" max="3849" width="9.7109375" style="47" bestFit="1" customWidth="1"/>
    <col min="3850" max="3850" width="11" style="47" bestFit="1" customWidth="1"/>
    <col min="3851" max="3851" width="10.85546875" style="47" bestFit="1" customWidth="1"/>
    <col min="3852" max="3852" width="11" style="47" bestFit="1" customWidth="1"/>
    <col min="3853" max="3853" width="10.85546875" style="47" bestFit="1" customWidth="1"/>
    <col min="3854" max="3855" width="18.42578125" style="47" bestFit="1" customWidth="1"/>
    <col min="3856" max="3857" width="10.28515625" style="47" bestFit="1" customWidth="1"/>
    <col min="3858" max="4097" width="9.140625" style="47"/>
    <col min="4098" max="4098" width="18.42578125" style="47" customWidth="1"/>
    <col min="4099" max="4099" width="15.28515625" style="47" customWidth="1"/>
    <col min="4100" max="4100" width="9.140625" style="47"/>
    <col min="4101" max="4101" width="18.140625" style="47" customWidth="1"/>
    <col min="4102" max="4102" width="26.7109375" style="47" customWidth="1"/>
    <col min="4103" max="4104" width="9.140625" style="47"/>
    <col min="4105" max="4105" width="9.7109375" style="47" bestFit="1" customWidth="1"/>
    <col min="4106" max="4106" width="11" style="47" bestFit="1" customWidth="1"/>
    <col min="4107" max="4107" width="10.85546875" style="47" bestFit="1" customWidth="1"/>
    <col min="4108" max="4108" width="11" style="47" bestFit="1" customWidth="1"/>
    <col min="4109" max="4109" width="10.85546875" style="47" bestFit="1" customWidth="1"/>
    <col min="4110" max="4111" width="18.42578125" style="47" bestFit="1" customWidth="1"/>
    <col min="4112" max="4113" width="10.28515625" style="47" bestFit="1" customWidth="1"/>
    <col min="4114" max="4353" width="9.140625" style="47"/>
    <col min="4354" max="4354" width="18.42578125" style="47" customWidth="1"/>
    <col min="4355" max="4355" width="15.28515625" style="47" customWidth="1"/>
    <col min="4356" max="4356" width="9.140625" style="47"/>
    <col min="4357" max="4357" width="18.140625" style="47" customWidth="1"/>
    <col min="4358" max="4358" width="26.7109375" style="47" customWidth="1"/>
    <col min="4359" max="4360" width="9.140625" style="47"/>
    <col min="4361" max="4361" width="9.7109375" style="47" bestFit="1" customWidth="1"/>
    <col min="4362" max="4362" width="11" style="47" bestFit="1" customWidth="1"/>
    <col min="4363" max="4363" width="10.85546875" style="47" bestFit="1" customWidth="1"/>
    <col min="4364" max="4364" width="11" style="47" bestFit="1" customWidth="1"/>
    <col min="4365" max="4365" width="10.85546875" style="47" bestFit="1" customWidth="1"/>
    <col min="4366" max="4367" width="18.42578125" style="47" bestFit="1" customWidth="1"/>
    <col min="4368" max="4369" width="10.28515625" style="47" bestFit="1" customWidth="1"/>
    <col min="4370" max="4609" width="9.140625" style="47"/>
    <col min="4610" max="4610" width="18.42578125" style="47" customWidth="1"/>
    <col min="4611" max="4611" width="15.28515625" style="47" customWidth="1"/>
    <col min="4612" max="4612" width="9.140625" style="47"/>
    <col min="4613" max="4613" width="18.140625" style="47" customWidth="1"/>
    <col min="4614" max="4614" width="26.7109375" style="47" customWidth="1"/>
    <col min="4615" max="4616" width="9.140625" style="47"/>
    <col min="4617" max="4617" width="9.7109375" style="47" bestFit="1" customWidth="1"/>
    <col min="4618" max="4618" width="11" style="47" bestFit="1" customWidth="1"/>
    <col min="4619" max="4619" width="10.85546875" style="47" bestFit="1" customWidth="1"/>
    <col min="4620" max="4620" width="11" style="47" bestFit="1" customWidth="1"/>
    <col min="4621" max="4621" width="10.85546875" style="47" bestFit="1" customWidth="1"/>
    <col min="4622" max="4623" width="18.42578125" style="47" bestFit="1" customWidth="1"/>
    <col min="4624" max="4625" width="10.28515625" style="47" bestFit="1" customWidth="1"/>
    <col min="4626" max="4865" width="9.140625" style="47"/>
    <col min="4866" max="4866" width="18.42578125" style="47" customWidth="1"/>
    <col min="4867" max="4867" width="15.28515625" style="47" customWidth="1"/>
    <col min="4868" max="4868" width="9.140625" style="47"/>
    <col min="4869" max="4869" width="18.140625" style="47" customWidth="1"/>
    <col min="4870" max="4870" width="26.7109375" style="47" customWidth="1"/>
    <col min="4871" max="4872" width="9.140625" style="47"/>
    <col min="4873" max="4873" width="9.7109375" style="47" bestFit="1" customWidth="1"/>
    <col min="4874" max="4874" width="11" style="47" bestFit="1" customWidth="1"/>
    <col min="4875" max="4875" width="10.85546875" style="47" bestFit="1" customWidth="1"/>
    <col min="4876" max="4876" width="11" style="47" bestFit="1" customWidth="1"/>
    <col min="4877" max="4877" width="10.85546875" style="47" bestFit="1" customWidth="1"/>
    <col min="4878" max="4879" width="18.42578125" style="47" bestFit="1" customWidth="1"/>
    <col min="4880" max="4881" width="10.28515625" style="47" bestFit="1" customWidth="1"/>
    <col min="4882" max="5121" width="9.140625" style="47"/>
    <col min="5122" max="5122" width="18.42578125" style="47" customWidth="1"/>
    <col min="5123" max="5123" width="15.28515625" style="47" customWidth="1"/>
    <col min="5124" max="5124" width="9.140625" style="47"/>
    <col min="5125" max="5125" width="18.140625" style="47" customWidth="1"/>
    <col min="5126" max="5126" width="26.7109375" style="47" customWidth="1"/>
    <col min="5127" max="5128" width="9.140625" style="47"/>
    <col min="5129" max="5129" width="9.7109375" style="47" bestFit="1" customWidth="1"/>
    <col min="5130" max="5130" width="11" style="47" bestFit="1" customWidth="1"/>
    <col min="5131" max="5131" width="10.85546875" style="47" bestFit="1" customWidth="1"/>
    <col min="5132" max="5132" width="11" style="47" bestFit="1" customWidth="1"/>
    <col min="5133" max="5133" width="10.85546875" style="47" bestFit="1" customWidth="1"/>
    <col min="5134" max="5135" width="18.42578125" style="47" bestFit="1" customWidth="1"/>
    <col min="5136" max="5137" width="10.28515625" style="47" bestFit="1" customWidth="1"/>
    <col min="5138" max="5377" width="9.140625" style="47"/>
    <col min="5378" max="5378" width="18.42578125" style="47" customWidth="1"/>
    <col min="5379" max="5379" width="15.28515625" style="47" customWidth="1"/>
    <col min="5380" max="5380" width="9.140625" style="47"/>
    <col min="5381" max="5381" width="18.140625" style="47" customWidth="1"/>
    <col min="5382" max="5382" width="26.7109375" style="47" customWidth="1"/>
    <col min="5383" max="5384" width="9.140625" style="47"/>
    <col min="5385" max="5385" width="9.7109375" style="47" bestFit="1" customWidth="1"/>
    <col min="5386" max="5386" width="11" style="47" bestFit="1" customWidth="1"/>
    <col min="5387" max="5387" width="10.85546875" style="47" bestFit="1" customWidth="1"/>
    <col min="5388" max="5388" width="11" style="47" bestFit="1" customWidth="1"/>
    <col min="5389" max="5389" width="10.85546875" style="47" bestFit="1" customWidth="1"/>
    <col min="5390" max="5391" width="18.42578125" style="47" bestFit="1" customWidth="1"/>
    <col min="5392" max="5393" width="10.28515625" style="47" bestFit="1" customWidth="1"/>
    <col min="5394" max="5633" width="9.140625" style="47"/>
    <col min="5634" max="5634" width="18.42578125" style="47" customWidth="1"/>
    <col min="5635" max="5635" width="15.28515625" style="47" customWidth="1"/>
    <col min="5636" max="5636" width="9.140625" style="47"/>
    <col min="5637" max="5637" width="18.140625" style="47" customWidth="1"/>
    <col min="5638" max="5638" width="26.7109375" style="47" customWidth="1"/>
    <col min="5639" max="5640" width="9.140625" style="47"/>
    <col min="5641" max="5641" width="9.7109375" style="47" bestFit="1" customWidth="1"/>
    <col min="5642" max="5642" width="11" style="47" bestFit="1" customWidth="1"/>
    <col min="5643" max="5643" width="10.85546875" style="47" bestFit="1" customWidth="1"/>
    <col min="5644" max="5644" width="11" style="47" bestFit="1" customWidth="1"/>
    <col min="5645" max="5645" width="10.85546875" style="47" bestFit="1" customWidth="1"/>
    <col min="5646" max="5647" width="18.42578125" style="47" bestFit="1" customWidth="1"/>
    <col min="5648" max="5649" width="10.28515625" style="47" bestFit="1" customWidth="1"/>
    <col min="5650" max="5889" width="9.140625" style="47"/>
    <col min="5890" max="5890" width="18.42578125" style="47" customWidth="1"/>
    <col min="5891" max="5891" width="15.28515625" style="47" customWidth="1"/>
    <col min="5892" max="5892" width="9.140625" style="47"/>
    <col min="5893" max="5893" width="18.140625" style="47" customWidth="1"/>
    <col min="5894" max="5894" width="26.7109375" style="47" customWidth="1"/>
    <col min="5895" max="5896" width="9.140625" style="47"/>
    <col min="5897" max="5897" width="9.7109375" style="47" bestFit="1" customWidth="1"/>
    <col min="5898" max="5898" width="11" style="47" bestFit="1" customWidth="1"/>
    <col min="5899" max="5899" width="10.85546875" style="47" bestFit="1" customWidth="1"/>
    <col min="5900" max="5900" width="11" style="47" bestFit="1" customWidth="1"/>
    <col min="5901" max="5901" width="10.85546875" style="47" bestFit="1" customWidth="1"/>
    <col min="5902" max="5903" width="18.42578125" style="47" bestFit="1" customWidth="1"/>
    <col min="5904" max="5905" width="10.28515625" style="47" bestFit="1" customWidth="1"/>
    <col min="5906" max="6145" width="9.140625" style="47"/>
    <col min="6146" max="6146" width="18.42578125" style="47" customWidth="1"/>
    <col min="6147" max="6147" width="15.28515625" style="47" customWidth="1"/>
    <col min="6148" max="6148" width="9.140625" style="47"/>
    <col min="6149" max="6149" width="18.140625" style="47" customWidth="1"/>
    <col min="6150" max="6150" width="26.7109375" style="47" customWidth="1"/>
    <col min="6151" max="6152" width="9.140625" style="47"/>
    <col min="6153" max="6153" width="9.7109375" style="47" bestFit="1" customWidth="1"/>
    <col min="6154" max="6154" width="11" style="47" bestFit="1" customWidth="1"/>
    <col min="6155" max="6155" width="10.85546875" style="47" bestFit="1" customWidth="1"/>
    <col min="6156" max="6156" width="11" style="47" bestFit="1" customWidth="1"/>
    <col min="6157" max="6157" width="10.85546875" style="47" bestFit="1" customWidth="1"/>
    <col min="6158" max="6159" width="18.42578125" style="47" bestFit="1" customWidth="1"/>
    <col min="6160" max="6161" width="10.28515625" style="47" bestFit="1" customWidth="1"/>
    <col min="6162" max="6401" width="9.140625" style="47"/>
    <col min="6402" max="6402" width="18.42578125" style="47" customWidth="1"/>
    <col min="6403" max="6403" width="15.28515625" style="47" customWidth="1"/>
    <col min="6404" max="6404" width="9.140625" style="47"/>
    <col min="6405" max="6405" width="18.140625" style="47" customWidth="1"/>
    <col min="6406" max="6406" width="26.7109375" style="47" customWidth="1"/>
    <col min="6407" max="6408" width="9.140625" style="47"/>
    <col min="6409" max="6409" width="9.7109375" style="47" bestFit="1" customWidth="1"/>
    <col min="6410" max="6410" width="11" style="47" bestFit="1" customWidth="1"/>
    <col min="6411" max="6411" width="10.85546875" style="47" bestFit="1" customWidth="1"/>
    <col min="6412" max="6412" width="11" style="47" bestFit="1" customWidth="1"/>
    <col min="6413" max="6413" width="10.85546875" style="47" bestFit="1" customWidth="1"/>
    <col min="6414" max="6415" width="18.42578125" style="47" bestFit="1" customWidth="1"/>
    <col min="6416" max="6417" width="10.28515625" style="47" bestFit="1" customWidth="1"/>
    <col min="6418" max="6657" width="9.140625" style="47"/>
    <col min="6658" max="6658" width="18.42578125" style="47" customWidth="1"/>
    <col min="6659" max="6659" width="15.28515625" style="47" customWidth="1"/>
    <col min="6660" max="6660" width="9.140625" style="47"/>
    <col min="6661" max="6661" width="18.140625" style="47" customWidth="1"/>
    <col min="6662" max="6662" width="26.7109375" style="47" customWidth="1"/>
    <col min="6663" max="6664" width="9.140625" style="47"/>
    <col min="6665" max="6665" width="9.7109375" style="47" bestFit="1" customWidth="1"/>
    <col min="6666" max="6666" width="11" style="47" bestFit="1" customWidth="1"/>
    <col min="6667" max="6667" width="10.85546875" style="47" bestFit="1" customWidth="1"/>
    <col min="6668" max="6668" width="11" style="47" bestFit="1" customWidth="1"/>
    <col min="6669" max="6669" width="10.85546875" style="47" bestFit="1" customWidth="1"/>
    <col min="6670" max="6671" width="18.42578125" style="47" bestFit="1" customWidth="1"/>
    <col min="6672" max="6673" width="10.28515625" style="47" bestFit="1" customWidth="1"/>
    <col min="6674" max="6913" width="9.140625" style="47"/>
    <col min="6914" max="6914" width="18.42578125" style="47" customWidth="1"/>
    <col min="6915" max="6915" width="15.28515625" style="47" customWidth="1"/>
    <col min="6916" max="6916" width="9.140625" style="47"/>
    <col min="6917" max="6917" width="18.140625" style="47" customWidth="1"/>
    <col min="6918" max="6918" width="26.7109375" style="47" customWidth="1"/>
    <col min="6919" max="6920" width="9.140625" style="47"/>
    <col min="6921" max="6921" width="9.7109375" style="47" bestFit="1" customWidth="1"/>
    <col min="6922" max="6922" width="11" style="47" bestFit="1" customWidth="1"/>
    <col min="6923" max="6923" width="10.85546875" style="47" bestFit="1" customWidth="1"/>
    <col min="6924" max="6924" width="11" style="47" bestFit="1" customWidth="1"/>
    <col min="6925" max="6925" width="10.85546875" style="47" bestFit="1" customWidth="1"/>
    <col min="6926" max="6927" width="18.42578125" style="47" bestFit="1" customWidth="1"/>
    <col min="6928" max="6929" width="10.28515625" style="47" bestFit="1" customWidth="1"/>
    <col min="6930" max="7169" width="9.140625" style="47"/>
    <col min="7170" max="7170" width="18.42578125" style="47" customWidth="1"/>
    <col min="7171" max="7171" width="15.28515625" style="47" customWidth="1"/>
    <col min="7172" max="7172" width="9.140625" style="47"/>
    <col min="7173" max="7173" width="18.140625" style="47" customWidth="1"/>
    <col min="7174" max="7174" width="26.7109375" style="47" customWidth="1"/>
    <col min="7175" max="7176" width="9.140625" style="47"/>
    <col min="7177" max="7177" width="9.7109375" style="47" bestFit="1" customWidth="1"/>
    <col min="7178" max="7178" width="11" style="47" bestFit="1" customWidth="1"/>
    <col min="7179" max="7179" width="10.85546875" style="47" bestFit="1" customWidth="1"/>
    <col min="7180" max="7180" width="11" style="47" bestFit="1" customWidth="1"/>
    <col min="7181" max="7181" width="10.85546875" style="47" bestFit="1" customWidth="1"/>
    <col min="7182" max="7183" width="18.42578125" style="47" bestFit="1" customWidth="1"/>
    <col min="7184" max="7185" width="10.28515625" style="47" bestFit="1" customWidth="1"/>
    <col min="7186" max="7425" width="9.140625" style="47"/>
    <col min="7426" max="7426" width="18.42578125" style="47" customWidth="1"/>
    <col min="7427" max="7427" width="15.28515625" style="47" customWidth="1"/>
    <col min="7428" max="7428" width="9.140625" style="47"/>
    <col min="7429" max="7429" width="18.140625" style="47" customWidth="1"/>
    <col min="7430" max="7430" width="26.7109375" style="47" customWidth="1"/>
    <col min="7431" max="7432" width="9.140625" style="47"/>
    <col min="7433" max="7433" width="9.7109375" style="47" bestFit="1" customWidth="1"/>
    <col min="7434" max="7434" width="11" style="47" bestFit="1" customWidth="1"/>
    <col min="7435" max="7435" width="10.85546875" style="47" bestFit="1" customWidth="1"/>
    <col min="7436" max="7436" width="11" style="47" bestFit="1" customWidth="1"/>
    <col min="7437" max="7437" width="10.85546875" style="47" bestFit="1" customWidth="1"/>
    <col min="7438" max="7439" width="18.42578125" style="47" bestFit="1" customWidth="1"/>
    <col min="7440" max="7441" width="10.28515625" style="47" bestFit="1" customWidth="1"/>
    <col min="7442" max="7681" width="9.140625" style="47"/>
    <col min="7682" max="7682" width="18.42578125" style="47" customWidth="1"/>
    <col min="7683" max="7683" width="15.28515625" style="47" customWidth="1"/>
    <col min="7684" max="7684" width="9.140625" style="47"/>
    <col min="7685" max="7685" width="18.140625" style="47" customWidth="1"/>
    <col min="7686" max="7686" width="26.7109375" style="47" customWidth="1"/>
    <col min="7687" max="7688" width="9.140625" style="47"/>
    <col min="7689" max="7689" width="9.7109375" style="47" bestFit="1" customWidth="1"/>
    <col min="7690" max="7690" width="11" style="47" bestFit="1" customWidth="1"/>
    <col min="7691" max="7691" width="10.85546875" style="47" bestFit="1" customWidth="1"/>
    <col min="7692" max="7692" width="11" style="47" bestFit="1" customWidth="1"/>
    <col min="7693" max="7693" width="10.85546875" style="47" bestFit="1" customWidth="1"/>
    <col min="7694" max="7695" width="18.42578125" style="47" bestFit="1" customWidth="1"/>
    <col min="7696" max="7697" width="10.28515625" style="47" bestFit="1" customWidth="1"/>
    <col min="7698" max="7937" width="9.140625" style="47"/>
    <col min="7938" max="7938" width="18.42578125" style="47" customWidth="1"/>
    <col min="7939" max="7939" width="15.28515625" style="47" customWidth="1"/>
    <col min="7940" max="7940" width="9.140625" style="47"/>
    <col min="7941" max="7941" width="18.140625" style="47" customWidth="1"/>
    <col min="7942" max="7942" width="26.7109375" style="47" customWidth="1"/>
    <col min="7943" max="7944" width="9.140625" style="47"/>
    <col min="7945" max="7945" width="9.7109375" style="47" bestFit="1" customWidth="1"/>
    <col min="7946" max="7946" width="11" style="47" bestFit="1" customWidth="1"/>
    <col min="7947" max="7947" width="10.85546875" style="47" bestFit="1" customWidth="1"/>
    <col min="7948" max="7948" width="11" style="47" bestFit="1" customWidth="1"/>
    <col min="7949" max="7949" width="10.85546875" style="47" bestFit="1" customWidth="1"/>
    <col min="7950" max="7951" width="18.42578125" style="47" bestFit="1" customWidth="1"/>
    <col min="7952" max="7953" width="10.28515625" style="47" bestFit="1" customWidth="1"/>
    <col min="7954" max="8193" width="9.140625" style="47"/>
    <col min="8194" max="8194" width="18.42578125" style="47" customWidth="1"/>
    <col min="8195" max="8195" width="15.28515625" style="47" customWidth="1"/>
    <col min="8196" max="8196" width="9.140625" style="47"/>
    <col min="8197" max="8197" width="18.140625" style="47" customWidth="1"/>
    <col min="8198" max="8198" width="26.7109375" style="47" customWidth="1"/>
    <col min="8199" max="8200" width="9.140625" style="47"/>
    <col min="8201" max="8201" width="9.7109375" style="47" bestFit="1" customWidth="1"/>
    <col min="8202" max="8202" width="11" style="47" bestFit="1" customWidth="1"/>
    <col min="8203" max="8203" width="10.85546875" style="47" bestFit="1" customWidth="1"/>
    <col min="8204" max="8204" width="11" style="47" bestFit="1" customWidth="1"/>
    <col min="8205" max="8205" width="10.85546875" style="47" bestFit="1" customWidth="1"/>
    <col min="8206" max="8207" width="18.42578125" style="47" bestFit="1" customWidth="1"/>
    <col min="8208" max="8209" width="10.28515625" style="47" bestFit="1" customWidth="1"/>
    <col min="8210" max="8449" width="9.140625" style="47"/>
    <col min="8450" max="8450" width="18.42578125" style="47" customWidth="1"/>
    <col min="8451" max="8451" width="15.28515625" style="47" customWidth="1"/>
    <col min="8452" max="8452" width="9.140625" style="47"/>
    <col min="8453" max="8453" width="18.140625" style="47" customWidth="1"/>
    <col min="8454" max="8454" width="26.7109375" style="47" customWidth="1"/>
    <col min="8455" max="8456" width="9.140625" style="47"/>
    <col min="8457" max="8457" width="9.7109375" style="47" bestFit="1" customWidth="1"/>
    <col min="8458" max="8458" width="11" style="47" bestFit="1" customWidth="1"/>
    <col min="8459" max="8459" width="10.85546875" style="47" bestFit="1" customWidth="1"/>
    <col min="8460" max="8460" width="11" style="47" bestFit="1" customWidth="1"/>
    <col min="8461" max="8461" width="10.85546875" style="47" bestFit="1" customWidth="1"/>
    <col min="8462" max="8463" width="18.42578125" style="47" bestFit="1" customWidth="1"/>
    <col min="8464" max="8465" width="10.28515625" style="47" bestFit="1" customWidth="1"/>
    <col min="8466" max="8705" width="9.140625" style="47"/>
    <col min="8706" max="8706" width="18.42578125" style="47" customWidth="1"/>
    <col min="8707" max="8707" width="15.28515625" style="47" customWidth="1"/>
    <col min="8708" max="8708" width="9.140625" style="47"/>
    <col min="8709" max="8709" width="18.140625" style="47" customWidth="1"/>
    <col min="8710" max="8710" width="26.7109375" style="47" customWidth="1"/>
    <col min="8711" max="8712" width="9.140625" style="47"/>
    <col min="8713" max="8713" width="9.7109375" style="47" bestFit="1" customWidth="1"/>
    <col min="8714" max="8714" width="11" style="47" bestFit="1" customWidth="1"/>
    <col min="8715" max="8715" width="10.85546875" style="47" bestFit="1" customWidth="1"/>
    <col min="8716" max="8716" width="11" style="47" bestFit="1" customWidth="1"/>
    <col min="8717" max="8717" width="10.85546875" style="47" bestFit="1" customWidth="1"/>
    <col min="8718" max="8719" width="18.42578125" style="47" bestFit="1" customWidth="1"/>
    <col min="8720" max="8721" width="10.28515625" style="47" bestFit="1" customWidth="1"/>
    <col min="8722" max="8961" width="9.140625" style="47"/>
    <col min="8962" max="8962" width="18.42578125" style="47" customWidth="1"/>
    <col min="8963" max="8963" width="15.28515625" style="47" customWidth="1"/>
    <col min="8964" max="8964" width="9.140625" style="47"/>
    <col min="8965" max="8965" width="18.140625" style="47" customWidth="1"/>
    <col min="8966" max="8966" width="26.7109375" style="47" customWidth="1"/>
    <col min="8967" max="8968" width="9.140625" style="47"/>
    <col min="8969" max="8969" width="9.7109375" style="47" bestFit="1" customWidth="1"/>
    <col min="8970" max="8970" width="11" style="47" bestFit="1" customWidth="1"/>
    <col min="8971" max="8971" width="10.85546875" style="47" bestFit="1" customWidth="1"/>
    <col min="8972" max="8972" width="11" style="47" bestFit="1" customWidth="1"/>
    <col min="8973" max="8973" width="10.85546875" style="47" bestFit="1" customWidth="1"/>
    <col min="8974" max="8975" width="18.42578125" style="47" bestFit="1" customWidth="1"/>
    <col min="8976" max="8977" width="10.28515625" style="47" bestFit="1" customWidth="1"/>
    <col min="8978" max="9217" width="9.140625" style="47"/>
    <col min="9218" max="9218" width="18.42578125" style="47" customWidth="1"/>
    <col min="9219" max="9219" width="15.28515625" style="47" customWidth="1"/>
    <col min="9220" max="9220" width="9.140625" style="47"/>
    <col min="9221" max="9221" width="18.140625" style="47" customWidth="1"/>
    <col min="9222" max="9222" width="26.7109375" style="47" customWidth="1"/>
    <col min="9223" max="9224" width="9.140625" style="47"/>
    <col min="9225" max="9225" width="9.7109375" style="47" bestFit="1" customWidth="1"/>
    <col min="9226" max="9226" width="11" style="47" bestFit="1" customWidth="1"/>
    <col min="9227" max="9227" width="10.85546875" style="47" bestFit="1" customWidth="1"/>
    <col min="9228" max="9228" width="11" style="47" bestFit="1" customWidth="1"/>
    <col min="9229" max="9229" width="10.85546875" style="47" bestFit="1" customWidth="1"/>
    <col min="9230" max="9231" width="18.42578125" style="47" bestFit="1" customWidth="1"/>
    <col min="9232" max="9233" width="10.28515625" style="47" bestFit="1" customWidth="1"/>
    <col min="9234" max="9473" width="9.140625" style="47"/>
    <col min="9474" max="9474" width="18.42578125" style="47" customWidth="1"/>
    <col min="9475" max="9475" width="15.28515625" style="47" customWidth="1"/>
    <col min="9476" max="9476" width="9.140625" style="47"/>
    <col min="9477" max="9477" width="18.140625" style="47" customWidth="1"/>
    <col min="9478" max="9478" width="26.7109375" style="47" customWidth="1"/>
    <col min="9479" max="9480" width="9.140625" style="47"/>
    <col min="9481" max="9481" width="9.7109375" style="47" bestFit="1" customWidth="1"/>
    <col min="9482" max="9482" width="11" style="47" bestFit="1" customWidth="1"/>
    <col min="9483" max="9483" width="10.85546875" style="47" bestFit="1" customWidth="1"/>
    <col min="9484" max="9484" width="11" style="47" bestFit="1" customWidth="1"/>
    <col min="9485" max="9485" width="10.85546875" style="47" bestFit="1" customWidth="1"/>
    <col min="9486" max="9487" width="18.42578125" style="47" bestFit="1" customWidth="1"/>
    <col min="9488" max="9489" width="10.28515625" style="47" bestFit="1" customWidth="1"/>
    <col min="9490" max="9729" width="9.140625" style="47"/>
    <col min="9730" max="9730" width="18.42578125" style="47" customWidth="1"/>
    <col min="9731" max="9731" width="15.28515625" style="47" customWidth="1"/>
    <col min="9732" max="9732" width="9.140625" style="47"/>
    <col min="9733" max="9733" width="18.140625" style="47" customWidth="1"/>
    <col min="9734" max="9734" width="26.7109375" style="47" customWidth="1"/>
    <col min="9735" max="9736" width="9.140625" style="47"/>
    <col min="9737" max="9737" width="9.7109375" style="47" bestFit="1" customWidth="1"/>
    <col min="9738" max="9738" width="11" style="47" bestFit="1" customWidth="1"/>
    <col min="9739" max="9739" width="10.85546875" style="47" bestFit="1" customWidth="1"/>
    <col min="9740" max="9740" width="11" style="47" bestFit="1" customWidth="1"/>
    <col min="9741" max="9741" width="10.85546875" style="47" bestFit="1" customWidth="1"/>
    <col min="9742" max="9743" width="18.42578125" style="47" bestFit="1" customWidth="1"/>
    <col min="9744" max="9745" width="10.28515625" style="47" bestFit="1" customWidth="1"/>
    <col min="9746" max="9985" width="9.140625" style="47"/>
    <col min="9986" max="9986" width="18.42578125" style="47" customWidth="1"/>
    <col min="9987" max="9987" width="15.28515625" style="47" customWidth="1"/>
    <col min="9988" max="9988" width="9.140625" style="47"/>
    <col min="9989" max="9989" width="18.140625" style="47" customWidth="1"/>
    <col min="9990" max="9990" width="26.7109375" style="47" customWidth="1"/>
    <col min="9991" max="9992" width="9.140625" style="47"/>
    <col min="9993" max="9993" width="9.7109375" style="47" bestFit="1" customWidth="1"/>
    <col min="9994" max="9994" width="11" style="47" bestFit="1" customWidth="1"/>
    <col min="9995" max="9995" width="10.85546875" style="47" bestFit="1" customWidth="1"/>
    <col min="9996" max="9996" width="11" style="47" bestFit="1" customWidth="1"/>
    <col min="9997" max="9997" width="10.85546875" style="47" bestFit="1" customWidth="1"/>
    <col min="9998" max="9999" width="18.42578125" style="47" bestFit="1" customWidth="1"/>
    <col min="10000" max="10001" width="10.28515625" style="47" bestFit="1" customWidth="1"/>
    <col min="10002" max="10241" width="9.140625" style="47"/>
    <col min="10242" max="10242" width="18.42578125" style="47" customWidth="1"/>
    <col min="10243" max="10243" width="15.28515625" style="47" customWidth="1"/>
    <col min="10244" max="10244" width="9.140625" style="47"/>
    <col min="10245" max="10245" width="18.140625" style="47" customWidth="1"/>
    <col min="10246" max="10246" width="26.7109375" style="47" customWidth="1"/>
    <col min="10247" max="10248" width="9.140625" style="47"/>
    <col min="10249" max="10249" width="9.7109375" style="47" bestFit="1" customWidth="1"/>
    <col min="10250" max="10250" width="11" style="47" bestFit="1" customWidth="1"/>
    <col min="10251" max="10251" width="10.85546875" style="47" bestFit="1" customWidth="1"/>
    <col min="10252" max="10252" width="11" style="47" bestFit="1" customWidth="1"/>
    <col min="10253" max="10253" width="10.85546875" style="47" bestFit="1" customWidth="1"/>
    <col min="10254" max="10255" width="18.42578125" style="47" bestFit="1" customWidth="1"/>
    <col min="10256" max="10257" width="10.28515625" style="47" bestFit="1" customWidth="1"/>
    <col min="10258" max="10497" width="9.140625" style="47"/>
    <col min="10498" max="10498" width="18.42578125" style="47" customWidth="1"/>
    <col min="10499" max="10499" width="15.28515625" style="47" customWidth="1"/>
    <col min="10500" max="10500" width="9.140625" style="47"/>
    <col min="10501" max="10501" width="18.140625" style="47" customWidth="1"/>
    <col min="10502" max="10502" width="26.7109375" style="47" customWidth="1"/>
    <col min="10503" max="10504" width="9.140625" style="47"/>
    <col min="10505" max="10505" width="9.7109375" style="47" bestFit="1" customWidth="1"/>
    <col min="10506" max="10506" width="11" style="47" bestFit="1" customWidth="1"/>
    <col min="10507" max="10507" width="10.85546875" style="47" bestFit="1" customWidth="1"/>
    <col min="10508" max="10508" width="11" style="47" bestFit="1" customWidth="1"/>
    <col min="10509" max="10509" width="10.85546875" style="47" bestFit="1" customWidth="1"/>
    <col min="10510" max="10511" width="18.42578125" style="47" bestFit="1" customWidth="1"/>
    <col min="10512" max="10513" width="10.28515625" style="47" bestFit="1" customWidth="1"/>
    <col min="10514" max="10753" width="9.140625" style="47"/>
    <col min="10754" max="10754" width="18.42578125" style="47" customWidth="1"/>
    <col min="10755" max="10755" width="15.28515625" style="47" customWidth="1"/>
    <col min="10756" max="10756" width="9.140625" style="47"/>
    <col min="10757" max="10757" width="18.140625" style="47" customWidth="1"/>
    <col min="10758" max="10758" width="26.7109375" style="47" customWidth="1"/>
    <col min="10759" max="10760" width="9.140625" style="47"/>
    <col min="10761" max="10761" width="9.7109375" style="47" bestFit="1" customWidth="1"/>
    <col min="10762" max="10762" width="11" style="47" bestFit="1" customWidth="1"/>
    <col min="10763" max="10763" width="10.85546875" style="47" bestFit="1" customWidth="1"/>
    <col min="10764" max="10764" width="11" style="47" bestFit="1" customWidth="1"/>
    <col min="10765" max="10765" width="10.85546875" style="47" bestFit="1" customWidth="1"/>
    <col min="10766" max="10767" width="18.42578125" style="47" bestFit="1" customWidth="1"/>
    <col min="10768" max="10769" width="10.28515625" style="47" bestFit="1" customWidth="1"/>
    <col min="10770" max="11009" width="9.140625" style="47"/>
    <col min="11010" max="11010" width="18.42578125" style="47" customWidth="1"/>
    <col min="11011" max="11011" width="15.28515625" style="47" customWidth="1"/>
    <col min="11012" max="11012" width="9.140625" style="47"/>
    <col min="11013" max="11013" width="18.140625" style="47" customWidth="1"/>
    <col min="11014" max="11014" width="26.7109375" style="47" customWidth="1"/>
    <col min="11015" max="11016" width="9.140625" style="47"/>
    <col min="11017" max="11017" width="9.7109375" style="47" bestFit="1" customWidth="1"/>
    <col min="11018" max="11018" width="11" style="47" bestFit="1" customWidth="1"/>
    <col min="11019" max="11019" width="10.85546875" style="47" bestFit="1" customWidth="1"/>
    <col min="11020" max="11020" width="11" style="47" bestFit="1" customWidth="1"/>
    <col min="11021" max="11021" width="10.85546875" style="47" bestFit="1" customWidth="1"/>
    <col min="11022" max="11023" width="18.42578125" style="47" bestFit="1" customWidth="1"/>
    <col min="11024" max="11025" width="10.28515625" style="47" bestFit="1" customWidth="1"/>
    <col min="11026" max="11265" width="9.140625" style="47"/>
    <col min="11266" max="11266" width="18.42578125" style="47" customWidth="1"/>
    <col min="11267" max="11267" width="15.28515625" style="47" customWidth="1"/>
    <col min="11268" max="11268" width="9.140625" style="47"/>
    <col min="11269" max="11269" width="18.140625" style="47" customWidth="1"/>
    <col min="11270" max="11270" width="26.7109375" style="47" customWidth="1"/>
    <col min="11271" max="11272" width="9.140625" style="47"/>
    <col min="11273" max="11273" width="9.7109375" style="47" bestFit="1" customWidth="1"/>
    <col min="11274" max="11274" width="11" style="47" bestFit="1" customWidth="1"/>
    <col min="11275" max="11275" width="10.85546875" style="47" bestFit="1" customWidth="1"/>
    <col min="11276" max="11276" width="11" style="47" bestFit="1" customWidth="1"/>
    <col min="11277" max="11277" width="10.85546875" style="47" bestFit="1" customWidth="1"/>
    <col min="11278" max="11279" width="18.42578125" style="47" bestFit="1" customWidth="1"/>
    <col min="11280" max="11281" width="10.28515625" style="47" bestFit="1" customWidth="1"/>
    <col min="11282" max="11521" width="9.140625" style="47"/>
    <col min="11522" max="11522" width="18.42578125" style="47" customWidth="1"/>
    <col min="11523" max="11523" width="15.28515625" style="47" customWidth="1"/>
    <col min="11524" max="11524" width="9.140625" style="47"/>
    <col min="11525" max="11525" width="18.140625" style="47" customWidth="1"/>
    <col min="11526" max="11526" width="26.7109375" style="47" customWidth="1"/>
    <col min="11527" max="11528" width="9.140625" style="47"/>
    <col min="11529" max="11529" width="9.7109375" style="47" bestFit="1" customWidth="1"/>
    <col min="11530" max="11530" width="11" style="47" bestFit="1" customWidth="1"/>
    <col min="11531" max="11531" width="10.85546875" style="47" bestFit="1" customWidth="1"/>
    <col min="11532" max="11532" width="11" style="47" bestFit="1" customWidth="1"/>
    <col min="11533" max="11533" width="10.85546875" style="47" bestFit="1" customWidth="1"/>
    <col min="11534" max="11535" width="18.42578125" style="47" bestFit="1" customWidth="1"/>
    <col min="11536" max="11537" width="10.28515625" style="47" bestFit="1" customWidth="1"/>
    <col min="11538" max="11777" width="9.140625" style="47"/>
    <col min="11778" max="11778" width="18.42578125" style="47" customWidth="1"/>
    <col min="11779" max="11779" width="15.28515625" style="47" customWidth="1"/>
    <col min="11780" max="11780" width="9.140625" style="47"/>
    <col min="11781" max="11781" width="18.140625" style="47" customWidth="1"/>
    <col min="11782" max="11782" width="26.7109375" style="47" customWidth="1"/>
    <col min="11783" max="11784" width="9.140625" style="47"/>
    <col min="11785" max="11785" width="9.7109375" style="47" bestFit="1" customWidth="1"/>
    <col min="11786" max="11786" width="11" style="47" bestFit="1" customWidth="1"/>
    <col min="11787" max="11787" width="10.85546875" style="47" bestFit="1" customWidth="1"/>
    <col min="11788" max="11788" width="11" style="47" bestFit="1" customWidth="1"/>
    <col min="11789" max="11789" width="10.85546875" style="47" bestFit="1" customWidth="1"/>
    <col min="11790" max="11791" width="18.42578125" style="47" bestFit="1" customWidth="1"/>
    <col min="11792" max="11793" width="10.28515625" style="47" bestFit="1" customWidth="1"/>
    <col min="11794" max="12033" width="9.140625" style="47"/>
    <col min="12034" max="12034" width="18.42578125" style="47" customWidth="1"/>
    <col min="12035" max="12035" width="15.28515625" style="47" customWidth="1"/>
    <col min="12036" max="12036" width="9.140625" style="47"/>
    <col min="12037" max="12037" width="18.140625" style="47" customWidth="1"/>
    <col min="12038" max="12038" width="26.7109375" style="47" customWidth="1"/>
    <col min="12039" max="12040" width="9.140625" style="47"/>
    <col min="12041" max="12041" width="9.7109375" style="47" bestFit="1" customWidth="1"/>
    <col min="12042" max="12042" width="11" style="47" bestFit="1" customWidth="1"/>
    <col min="12043" max="12043" width="10.85546875" style="47" bestFit="1" customWidth="1"/>
    <col min="12044" max="12044" width="11" style="47" bestFit="1" customWidth="1"/>
    <col min="12045" max="12045" width="10.85546875" style="47" bestFit="1" customWidth="1"/>
    <col min="12046" max="12047" width="18.42578125" style="47" bestFit="1" customWidth="1"/>
    <col min="12048" max="12049" width="10.28515625" style="47" bestFit="1" customWidth="1"/>
    <col min="12050" max="12289" width="9.140625" style="47"/>
    <col min="12290" max="12290" width="18.42578125" style="47" customWidth="1"/>
    <col min="12291" max="12291" width="15.28515625" style="47" customWidth="1"/>
    <col min="12292" max="12292" width="9.140625" style="47"/>
    <col min="12293" max="12293" width="18.140625" style="47" customWidth="1"/>
    <col min="12294" max="12294" width="26.7109375" style="47" customWidth="1"/>
    <col min="12295" max="12296" width="9.140625" style="47"/>
    <col min="12297" max="12297" width="9.7109375" style="47" bestFit="1" customWidth="1"/>
    <col min="12298" max="12298" width="11" style="47" bestFit="1" customWidth="1"/>
    <col min="12299" max="12299" width="10.85546875" style="47" bestFit="1" customWidth="1"/>
    <col min="12300" max="12300" width="11" style="47" bestFit="1" customWidth="1"/>
    <col min="12301" max="12301" width="10.85546875" style="47" bestFit="1" customWidth="1"/>
    <col min="12302" max="12303" width="18.42578125" style="47" bestFit="1" customWidth="1"/>
    <col min="12304" max="12305" width="10.28515625" style="47" bestFit="1" customWidth="1"/>
    <col min="12306" max="12545" width="9.140625" style="47"/>
    <col min="12546" max="12546" width="18.42578125" style="47" customWidth="1"/>
    <col min="12547" max="12547" width="15.28515625" style="47" customWidth="1"/>
    <col min="12548" max="12548" width="9.140625" style="47"/>
    <col min="12549" max="12549" width="18.140625" style="47" customWidth="1"/>
    <col min="12550" max="12550" width="26.7109375" style="47" customWidth="1"/>
    <col min="12551" max="12552" width="9.140625" style="47"/>
    <col min="12553" max="12553" width="9.7109375" style="47" bestFit="1" customWidth="1"/>
    <col min="12554" max="12554" width="11" style="47" bestFit="1" customWidth="1"/>
    <col min="12555" max="12555" width="10.85546875" style="47" bestFit="1" customWidth="1"/>
    <col min="12556" max="12556" width="11" style="47" bestFit="1" customWidth="1"/>
    <col min="12557" max="12557" width="10.85546875" style="47" bestFit="1" customWidth="1"/>
    <col min="12558" max="12559" width="18.42578125" style="47" bestFit="1" customWidth="1"/>
    <col min="12560" max="12561" width="10.28515625" style="47" bestFit="1" customWidth="1"/>
    <col min="12562" max="12801" width="9.140625" style="47"/>
    <col min="12802" max="12802" width="18.42578125" style="47" customWidth="1"/>
    <col min="12803" max="12803" width="15.28515625" style="47" customWidth="1"/>
    <col min="12804" max="12804" width="9.140625" style="47"/>
    <col min="12805" max="12805" width="18.140625" style="47" customWidth="1"/>
    <col min="12806" max="12806" width="26.7109375" style="47" customWidth="1"/>
    <col min="12807" max="12808" width="9.140625" style="47"/>
    <col min="12809" max="12809" width="9.7109375" style="47" bestFit="1" customWidth="1"/>
    <col min="12810" max="12810" width="11" style="47" bestFit="1" customWidth="1"/>
    <col min="12811" max="12811" width="10.85546875" style="47" bestFit="1" customWidth="1"/>
    <col min="12812" max="12812" width="11" style="47" bestFit="1" customWidth="1"/>
    <col min="12813" max="12813" width="10.85546875" style="47" bestFit="1" customWidth="1"/>
    <col min="12814" max="12815" width="18.42578125" style="47" bestFit="1" customWidth="1"/>
    <col min="12816" max="12817" width="10.28515625" style="47" bestFit="1" customWidth="1"/>
    <col min="12818" max="13057" width="9.140625" style="47"/>
    <col min="13058" max="13058" width="18.42578125" style="47" customWidth="1"/>
    <col min="13059" max="13059" width="15.28515625" style="47" customWidth="1"/>
    <col min="13060" max="13060" width="9.140625" style="47"/>
    <col min="13061" max="13061" width="18.140625" style="47" customWidth="1"/>
    <col min="13062" max="13062" width="26.7109375" style="47" customWidth="1"/>
    <col min="13063" max="13064" width="9.140625" style="47"/>
    <col min="13065" max="13065" width="9.7109375" style="47" bestFit="1" customWidth="1"/>
    <col min="13066" max="13066" width="11" style="47" bestFit="1" customWidth="1"/>
    <col min="13067" max="13067" width="10.85546875" style="47" bestFit="1" customWidth="1"/>
    <col min="13068" max="13068" width="11" style="47" bestFit="1" customWidth="1"/>
    <col min="13069" max="13069" width="10.85546875" style="47" bestFit="1" customWidth="1"/>
    <col min="13070" max="13071" width="18.42578125" style="47" bestFit="1" customWidth="1"/>
    <col min="13072" max="13073" width="10.28515625" style="47" bestFit="1" customWidth="1"/>
    <col min="13074" max="13313" width="9.140625" style="47"/>
    <col min="13314" max="13314" width="18.42578125" style="47" customWidth="1"/>
    <col min="13315" max="13315" width="15.28515625" style="47" customWidth="1"/>
    <col min="13316" max="13316" width="9.140625" style="47"/>
    <col min="13317" max="13317" width="18.140625" style="47" customWidth="1"/>
    <col min="13318" max="13318" width="26.7109375" style="47" customWidth="1"/>
    <col min="13319" max="13320" width="9.140625" style="47"/>
    <col min="13321" max="13321" width="9.7109375" style="47" bestFit="1" customWidth="1"/>
    <col min="13322" max="13322" width="11" style="47" bestFit="1" customWidth="1"/>
    <col min="13323" max="13323" width="10.85546875" style="47" bestFit="1" customWidth="1"/>
    <col min="13324" max="13324" width="11" style="47" bestFit="1" customWidth="1"/>
    <col min="13325" max="13325" width="10.85546875" style="47" bestFit="1" customWidth="1"/>
    <col min="13326" max="13327" width="18.42578125" style="47" bestFit="1" customWidth="1"/>
    <col min="13328" max="13329" width="10.28515625" style="47" bestFit="1" customWidth="1"/>
    <col min="13330" max="13569" width="9.140625" style="47"/>
    <col min="13570" max="13570" width="18.42578125" style="47" customWidth="1"/>
    <col min="13571" max="13571" width="15.28515625" style="47" customWidth="1"/>
    <col min="13572" max="13572" width="9.140625" style="47"/>
    <col min="13573" max="13573" width="18.140625" style="47" customWidth="1"/>
    <col min="13574" max="13574" width="26.7109375" style="47" customWidth="1"/>
    <col min="13575" max="13576" width="9.140625" style="47"/>
    <col min="13577" max="13577" width="9.7109375" style="47" bestFit="1" customWidth="1"/>
    <col min="13578" max="13578" width="11" style="47" bestFit="1" customWidth="1"/>
    <col min="13579" max="13579" width="10.85546875" style="47" bestFit="1" customWidth="1"/>
    <col min="13580" max="13580" width="11" style="47" bestFit="1" customWidth="1"/>
    <col min="13581" max="13581" width="10.85546875" style="47" bestFit="1" customWidth="1"/>
    <col min="13582" max="13583" width="18.42578125" style="47" bestFit="1" customWidth="1"/>
    <col min="13584" max="13585" width="10.28515625" style="47" bestFit="1" customWidth="1"/>
    <col min="13586" max="13825" width="9.140625" style="47"/>
    <col min="13826" max="13826" width="18.42578125" style="47" customWidth="1"/>
    <col min="13827" max="13827" width="15.28515625" style="47" customWidth="1"/>
    <col min="13828" max="13828" width="9.140625" style="47"/>
    <col min="13829" max="13829" width="18.140625" style="47" customWidth="1"/>
    <col min="13830" max="13830" width="26.7109375" style="47" customWidth="1"/>
    <col min="13831" max="13832" width="9.140625" style="47"/>
    <col min="13833" max="13833" width="9.7109375" style="47" bestFit="1" customWidth="1"/>
    <col min="13834" max="13834" width="11" style="47" bestFit="1" customWidth="1"/>
    <col min="13835" max="13835" width="10.85546875" style="47" bestFit="1" customWidth="1"/>
    <col min="13836" max="13836" width="11" style="47" bestFit="1" customWidth="1"/>
    <col min="13837" max="13837" width="10.85546875" style="47" bestFit="1" customWidth="1"/>
    <col min="13838" max="13839" width="18.42578125" style="47" bestFit="1" customWidth="1"/>
    <col min="13840" max="13841" width="10.28515625" style="47" bestFit="1" customWidth="1"/>
    <col min="13842" max="14081" width="9.140625" style="47"/>
    <col min="14082" max="14082" width="18.42578125" style="47" customWidth="1"/>
    <col min="14083" max="14083" width="15.28515625" style="47" customWidth="1"/>
    <col min="14084" max="14084" width="9.140625" style="47"/>
    <col min="14085" max="14085" width="18.140625" style="47" customWidth="1"/>
    <col min="14086" max="14086" width="26.7109375" style="47" customWidth="1"/>
    <col min="14087" max="14088" width="9.140625" style="47"/>
    <col min="14089" max="14089" width="9.7109375" style="47" bestFit="1" customWidth="1"/>
    <col min="14090" max="14090" width="11" style="47" bestFit="1" customWidth="1"/>
    <col min="14091" max="14091" width="10.85546875" style="47" bestFit="1" customWidth="1"/>
    <col min="14092" max="14092" width="11" style="47" bestFit="1" customWidth="1"/>
    <col min="14093" max="14093" width="10.85546875" style="47" bestFit="1" customWidth="1"/>
    <col min="14094" max="14095" width="18.42578125" style="47" bestFit="1" customWidth="1"/>
    <col min="14096" max="14097" width="10.28515625" style="47" bestFit="1" customWidth="1"/>
    <col min="14098" max="14337" width="9.140625" style="47"/>
    <col min="14338" max="14338" width="18.42578125" style="47" customWidth="1"/>
    <col min="14339" max="14339" width="15.28515625" style="47" customWidth="1"/>
    <col min="14340" max="14340" width="9.140625" style="47"/>
    <col min="14341" max="14341" width="18.140625" style="47" customWidth="1"/>
    <col min="14342" max="14342" width="26.7109375" style="47" customWidth="1"/>
    <col min="14343" max="14344" width="9.140625" style="47"/>
    <col min="14345" max="14345" width="9.7109375" style="47" bestFit="1" customWidth="1"/>
    <col min="14346" max="14346" width="11" style="47" bestFit="1" customWidth="1"/>
    <col min="14347" max="14347" width="10.85546875" style="47" bestFit="1" customWidth="1"/>
    <col min="14348" max="14348" width="11" style="47" bestFit="1" customWidth="1"/>
    <col min="14349" max="14349" width="10.85546875" style="47" bestFit="1" customWidth="1"/>
    <col min="14350" max="14351" width="18.42578125" style="47" bestFit="1" customWidth="1"/>
    <col min="14352" max="14353" width="10.28515625" style="47" bestFit="1" customWidth="1"/>
    <col min="14354" max="14593" width="9.140625" style="47"/>
    <col min="14594" max="14594" width="18.42578125" style="47" customWidth="1"/>
    <col min="14595" max="14595" width="15.28515625" style="47" customWidth="1"/>
    <col min="14596" max="14596" width="9.140625" style="47"/>
    <col min="14597" max="14597" width="18.140625" style="47" customWidth="1"/>
    <col min="14598" max="14598" width="26.7109375" style="47" customWidth="1"/>
    <col min="14599" max="14600" width="9.140625" style="47"/>
    <col min="14601" max="14601" width="9.7109375" style="47" bestFit="1" customWidth="1"/>
    <col min="14602" max="14602" width="11" style="47" bestFit="1" customWidth="1"/>
    <col min="14603" max="14603" width="10.85546875" style="47" bestFit="1" customWidth="1"/>
    <col min="14604" max="14604" width="11" style="47" bestFit="1" customWidth="1"/>
    <col min="14605" max="14605" width="10.85546875" style="47" bestFit="1" customWidth="1"/>
    <col min="14606" max="14607" width="18.42578125" style="47" bestFit="1" customWidth="1"/>
    <col min="14608" max="14609" width="10.28515625" style="47" bestFit="1" customWidth="1"/>
    <col min="14610" max="14849" width="9.140625" style="47"/>
    <col min="14850" max="14850" width="18.42578125" style="47" customWidth="1"/>
    <col min="14851" max="14851" width="15.28515625" style="47" customWidth="1"/>
    <col min="14852" max="14852" width="9.140625" style="47"/>
    <col min="14853" max="14853" width="18.140625" style="47" customWidth="1"/>
    <col min="14854" max="14854" width="26.7109375" style="47" customWidth="1"/>
    <col min="14855" max="14856" width="9.140625" style="47"/>
    <col min="14857" max="14857" width="9.7109375" style="47" bestFit="1" customWidth="1"/>
    <col min="14858" max="14858" width="11" style="47" bestFit="1" customWidth="1"/>
    <col min="14859" max="14859" width="10.85546875" style="47" bestFit="1" customWidth="1"/>
    <col min="14860" max="14860" width="11" style="47" bestFit="1" customWidth="1"/>
    <col min="14861" max="14861" width="10.85546875" style="47" bestFit="1" customWidth="1"/>
    <col min="14862" max="14863" width="18.42578125" style="47" bestFit="1" customWidth="1"/>
    <col min="14864" max="14865" width="10.28515625" style="47" bestFit="1" customWidth="1"/>
    <col min="14866" max="15105" width="9.140625" style="47"/>
    <col min="15106" max="15106" width="18.42578125" style="47" customWidth="1"/>
    <col min="15107" max="15107" width="15.28515625" style="47" customWidth="1"/>
    <col min="15108" max="15108" width="9.140625" style="47"/>
    <col min="15109" max="15109" width="18.140625" style="47" customWidth="1"/>
    <col min="15110" max="15110" width="26.7109375" style="47" customWidth="1"/>
    <col min="15111" max="15112" width="9.140625" style="47"/>
    <col min="15113" max="15113" width="9.7109375" style="47" bestFit="1" customWidth="1"/>
    <col min="15114" max="15114" width="11" style="47" bestFit="1" customWidth="1"/>
    <col min="15115" max="15115" width="10.85546875" style="47" bestFit="1" customWidth="1"/>
    <col min="15116" max="15116" width="11" style="47" bestFit="1" customWidth="1"/>
    <col min="15117" max="15117" width="10.85546875" style="47" bestFit="1" customWidth="1"/>
    <col min="15118" max="15119" width="18.42578125" style="47" bestFit="1" customWidth="1"/>
    <col min="15120" max="15121" width="10.28515625" style="47" bestFit="1" customWidth="1"/>
    <col min="15122" max="15361" width="9.140625" style="47"/>
    <col min="15362" max="15362" width="18.42578125" style="47" customWidth="1"/>
    <col min="15363" max="15363" width="15.28515625" style="47" customWidth="1"/>
    <col min="15364" max="15364" width="9.140625" style="47"/>
    <col min="15365" max="15365" width="18.140625" style="47" customWidth="1"/>
    <col min="15366" max="15366" width="26.7109375" style="47" customWidth="1"/>
    <col min="15367" max="15368" width="9.140625" style="47"/>
    <col min="15369" max="15369" width="9.7109375" style="47" bestFit="1" customWidth="1"/>
    <col min="15370" max="15370" width="11" style="47" bestFit="1" customWidth="1"/>
    <col min="15371" max="15371" width="10.85546875" style="47" bestFit="1" customWidth="1"/>
    <col min="15372" max="15372" width="11" style="47" bestFit="1" customWidth="1"/>
    <col min="15373" max="15373" width="10.85546875" style="47" bestFit="1" customWidth="1"/>
    <col min="15374" max="15375" width="18.42578125" style="47" bestFit="1" customWidth="1"/>
    <col min="15376" max="15377" width="10.28515625" style="47" bestFit="1" customWidth="1"/>
    <col min="15378" max="15617" width="9.140625" style="47"/>
    <col min="15618" max="15618" width="18.42578125" style="47" customWidth="1"/>
    <col min="15619" max="15619" width="15.28515625" style="47" customWidth="1"/>
    <col min="15620" max="15620" width="9.140625" style="47"/>
    <col min="15621" max="15621" width="18.140625" style="47" customWidth="1"/>
    <col min="15622" max="15622" width="26.7109375" style="47" customWidth="1"/>
    <col min="15623" max="15624" width="9.140625" style="47"/>
    <col min="15625" max="15625" width="9.7109375" style="47" bestFit="1" customWidth="1"/>
    <col min="15626" max="15626" width="11" style="47" bestFit="1" customWidth="1"/>
    <col min="15627" max="15627" width="10.85546875" style="47" bestFit="1" customWidth="1"/>
    <col min="15628" max="15628" width="11" style="47" bestFit="1" customWidth="1"/>
    <col min="15629" max="15629" width="10.85546875" style="47" bestFit="1" customWidth="1"/>
    <col min="15630" max="15631" width="18.42578125" style="47" bestFit="1" customWidth="1"/>
    <col min="15632" max="15633" width="10.28515625" style="47" bestFit="1" customWidth="1"/>
    <col min="15634" max="15873" width="9.140625" style="47"/>
    <col min="15874" max="15874" width="18.42578125" style="47" customWidth="1"/>
    <col min="15875" max="15875" width="15.28515625" style="47" customWidth="1"/>
    <col min="15876" max="15876" width="9.140625" style="47"/>
    <col min="15877" max="15877" width="18.140625" style="47" customWidth="1"/>
    <col min="15878" max="15878" width="26.7109375" style="47" customWidth="1"/>
    <col min="15879" max="15880" width="9.140625" style="47"/>
    <col min="15881" max="15881" width="9.7109375" style="47" bestFit="1" customWidth="1"/>
    <col min="15882" max="15882" width="11" style="47" bestFit="1" customWidth="1"/>
    <col min="15883" max="15883" width="10.85546875" style="47" bestFit="1" customWidth="1"/>
    <col min="15884" max="15884" width="11" style="47" bestFit="1" customWidth="1"/>
    <col min="15885" max="15885" width="10.85546875" style="47" bestFit="1" customWidth="1"/>
    <col min="15886" max="15887" width="18.42578125" style="47" bestFit="1" customWidth="1"/>
    <col min="15888" max="15889" width="10.28515625" style="47" bestFit="1" customWidth="1"/>
    <col min="15890" max="16129" width="9.140625" style="47"/>
    <col min="16130" max="16130" width="18.42578125" style="47" customWidth="1"/>
    <col min="16131" max="16131" width="15.28515625" style="47" customWidth="1"/>
    <col min="16132" max="16132" width="9.140625" style="47"/>
    <col min="16133" max="16133" width="18.140625" style="47" customWidth="1"/>
    <col min="16134" max="16134" width="26.7109375" style="47" customWidth="1"/>
    <col min="16135" max="16136" width="9.140625" style="47"/>
    <col min="16137" max="16137" width="9.7109375" style="47" bestFit="1" customWidth="1"/>
    <col min="16138" max="16138" width="11" style="47" bestFit="1" customWidth="1"/>
    <col min="16139" max="16139" width="10.85546875" style="47" bestFit="1" customWidth="1"/>
    <col min="16140" max="16140" width="11" style="47" bestFit="1" customWidth="1"/>
    <col min="16141" max="16141" width="10.85546875" style="47" bestFit="1" customWidth="1"/>
    <col min="16142" max="16143" width="18.42578125" style="47" bestFit="1" customWidth="1"/>
    <col min="16144" max="16145" width="10.28515625" style="47" bestFit="1" customWidth="1"/>
    <col min="16146" max="16384" width="9.140625" style="4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x14ac:dyDescent="0.2">
      <c r="A2" s="28">
        <v>43458</v>
      </c>
      <c r="B2" s="29" t="s">
        <v>21</v>
      </c>
      <c r="C2" s="29" t="s">
        <v>46</v>
      </c>
      <c r="D2" s="29" t="s">
        <v>23</v>
      </c>
      <c r="E2" s="29" t="s">
        <v>59</v>
      </c>
      <c r="F2" s="29" t="s">
        <v>25</v>
      </c>
      <c r="G2" s="30">
        <v>70000</v>
      </c>
      <c r="H2" s="29" t="s">
        <v>48</v>
      </c>
      <c r="I2" s="29" t="s">
        <v>47</v>
      </c>
      <c r="J2" s="31">
        <v>0.4826388888888889</v>
      </c>
      <c r="K2" s="32">
        <v>0.47083333333333338</v>
      </c>
      <c r="L2" s="31">
        <v>0.27777777777777779</v>
      </c>
      <c r="M2" s="32">
        <v>0.28611111111111115</v>
      </c>
      <c r="N2" s="33" t="s">
        <v>137</v>
      </c>
      <c r="O2" s="33" t="s">
        <v>44</v>
      </c>
      <c r="P2" s="33">
        <v>1453</v>
      </c>
      <c r="Q2" s="33">
        <v>739</v>
      </c>
      <c r="R2" s="29">
        <v>0</v>
      </c>
      <c r="S2" s="29">
        <v>0</v>
      </c>
      <c r="T2" s="29">
        <v>0</v>
      </c>
      <c r="U2" s="29">
        <v>0</v>
      </c>
    </row>
    <row r="3" spans="1:21" x14ac:dyDescent="0.2">
      <c r="A3" s="28">
        <f>A2</f>
        <v>43458</v>
      </c>
      <c r="B3" s="29" t="s">
        <v>21</v>
      </c>
      <c r="C3" s="29" t="s">
        <v>69</v>
      </c>
      <c r="D3" s="29" t="s">
        <v>23</v>
      </c>
      <c r="E3" s="29" t="s">
        <v>249</v>
      </c>
      <c r="F3" s="29" t="s">
        <v>25</v>
      </c>
      <c r="G3" s="30">
        <v>71500</v>
      </c>
      <c r="H3" s="29" t="s">
        <v>70</v>
      </c>
      <c r="I3" s="29" t="s">
        <v>71</v>
      </c>
      <c r="J3" s="31">
        <v>0.4826388888888889</v>
      </c>
      <c r="K3" s="32">
        <v>0.52708333333333335</v>
      </c>
      <c r="L3" s="31">
        <v>0.33333333333333331</v>
      </c>
      <c r="M3" s="32">
        <v>0.39444444444444443</v>
      </c>
      <c r="N3" s="33" t="s">
        <v>277</v>
      </c>
      <c r="O3" s="33" t="s">
        <v>276</v>
      </c>
      <c r="P3" s="29">
        <v>1309</v>
      </c>
      <c r="Q3" s="33">
        <v>651</v>
      </c>
      <c r="R3" s="29">
        <v>0</v>
      </c>
      <c r="S3" s="29">
        <v>0</v>
      </c>
      <c r="T3" s="29">
        <v>0</v>
      </c>
      <c r="U3" s="29">
        <v>0</v>
      </c>
    </row>
    <row r="4" spans="1:21" x14ac:dyDescent="0.2">
      <c r="A4" s="28">
        <f>A3</f>
        <v>43458</v>
      </c>
      <c r="B4" s="34" t="s">
        <v>21</v>
      </c>
      <c r="C4" s="34" t="s">
        <v>72</v>
      </c>
      <c r="D4" s="34" t="s">
        <v>23</v>
      </c>
      <c r="E4" s="29" t="s">
        <v>59</v>
      </c>
      <c r="F4" s="34" t="s">
        <v>25</v>
      </c>
      <c r="G4" s="35">
        <v>70000</v>
      </c>
      <c r="H4" s="34" t="s">
        <v>73</v>
      </c>
      <c r="I4" s="34" t="s">
        <v>74</v>
      </c>
      <c r="J4" s="36">
        <v>0.71180555555555547</v>
      </c>
      <c r="K4" s="37">
        <v>0.7284722222222223</v>
      </c>
      <c r="L4" s="36">
        <v>0.50347222222222221</v>
      </c>
      <c r="M4" s="37">
        <v>0.53263888888888888</v>
      </c>
      <c r="N4" s="34" t="s">
        <v>253</v>
      </c>
      <c r="O4" s="34" t="s">
        <v>275</v>
      </c>
      <c r="P4" s="34">
        <v>1202</v>
      </c>
      <c r="Q4" s="34">
        <v>621</v>
      </c>
      <c r="R4" s="34">
        <v>0</v>
      </c>
      <c r="S4" s="34">
        <v>0</v>
      </c>
      <c r="T4" s="34">
        <v>0</v>
      </c>
      <c r="U4" s="34">
        <v>0</v>
      </c>
    </row>
    <row r="5" spans="1:21" s="8" customFormat="1" x14ac:dyDescent="0.25">
      <c r="A5" s="22">
        <f>A4</f>
        <v>43458</v>
      </c>
      <c r="B5" s="8" t="s">
        <v>21</v>
      </c>
      <c r="C5" s="8" t="s">
        <v>52</v>
      </c>
      <c r="D5" s="8" t="s">
        <v>23</v>
      </c>
      <c r="E5" s="29" t="s">
        <v>249</v>
      </c>
      <c r="F5" s="8" t="s">
        <v>25</v>
      </c>
      <c r="G5" s="30">
        <v>71500</v>
      </c>
      <c r="H5" s="8" t="s">
        <v>53</v>
      </c>
      <c r="I5" s="8" t="s">
        <v>54</v>
      </c>
      <c r="J5" s="10">
        <v>0.69791666666666663</v>
      </c>
      <c r="K5" s="11">
        <v>0.74097222222222225</v>
      </c>
      <c r="L5" s="10">
        <v>0.52777777777777779</v>
      </c>
      <c r="M5" s="11">
        <v>0.56874999999999998</v>
      </c>
      <c r="N5" s="8" t="str">
        <f>N4</f>
        <v>177+3 INF</v>
      </c>
      <c r="O5" s="23" t="s">
        <v>278</v>
      </c>
      <c r="P5" s="8">
        <v>1230</v>
      </c>
      <c r="Q5" s="8">
        <v>540</v>
      </c>
      <c r="R5" s="8">
        <v>0</v>
      </c>
      <c r="S5" s="8">
        <v>0</v>
      </c>
      <c r="T5" s="8">
        <v>0</v>
      </c>
      <c r="U5" s="8">
        <v>0</v>
      </c>
    </row>
    <row r="6" spans="1:21" x14ac:dyDescent="0.2">
      <c r="A6" s="28">
        <f>A4</f>
        <v>43458</v>
      </c>
      <c r="B6" s="34" t="s">
        <v>21</v>
      </c>
      <c r="C6" s="34" t="s">
        <v>75</v>
      </c>
      <c r="D6" s="34" t="s">
        <v>23</v>
      </c>
      <c r="E6" s="29" t="str">
        <f>E5</f>
        <v>HALPJ</v>
      </c>
      <c r="F6" s="34" t="s">
        <v>25</v>
      </c>
      <c r="G6" s="30">
        <f>G5</f>
        <v>71500</v>
      </c>
      <c r="H6" s="34" t="s">
        <v>76</v>
      </c>
      <c r="I6" s="34" t="s">
        <v>77</v>
      </c>
      <c r="J6" s="38">
        <v>0.95486111111111116</v>
      </c>
      <c r="K6" s="39">
        <v>0.99444444444444446</v>
      </c>
      <c r="L6" s="38">
        <v>0.71875</v>
      </c>
      <c r="M6" s="39">
        <v>0.77569444444444446</v>
      </c>
      <c r="N6" s="40" t="s">
        <v>187</v>
      </c>
      <c r="O6" s="47" t="s">
        <v>279</v>
      </c>
      <c r="P6" s="47">
        <v>1262</v>
      </c>
      <c r="Q6" s="26">
        <v>1124</v>
      </c>
      <c r="R6" s="34">
        <v>0</v>
      </c>
      <c r="S6" s="34">
        <v>0</v>
      </c>
      <c r="T6" s="34">
        <v>0</v>
      </c>
      <c r="U6" s="34">
        <v>0</v>
      </c>
    </row>
    <row r="7" spans="1:21" s="26" customFormat="1" x14ac:dyDescent="0.2">
      <c r="A7" s="28">
        <v>43458</v>
      </c>
      <c r="B7" s="26" t="s">
        <v>21</v>
      </c>
      <c r="C7" s="26" t="s">
        <v>274</v>
      </c>
      <c r="D7" s="26" t="s">
        <v>23</v>
      </c>
      <c r="E7" s="26" t="str">
        <f>E4</f>
        <v>HALWC</v>
      </c>
      <c r="F7" s="26" t="s">
        <v>25</v>
      </c>
      <c r="G7" s="42">
        <f>G4</f>
        <v>70000</v>
      </c>
      <c r="H7" s="26" t="s">
        <v>57</v>
      </c>
      <c r="I7" s="29" t="s">
        <v>56</v>
      </c>
      <c r="J7" s="43">
        <v>0.94791666666666663</v>
      </c>
      <c r="K7" s="44">
        <v>0.95000000000000007</v>
      </c>
      <c r="L7" s="31">
        <v>0.74305555555555547</v>
      </c>
      <c r="M7" s="32">
        <v>0.76666666666666661</v>
      </c>
      <c r="N7" s="45" t="s">
        <v>280</v>
      </c>
      <c r="O7" s="34" t="s">
        <v>173</v>
      </c>
      <c r="P7" s="40">
        <v>1073</v>
      </c>
      <c r="Q7" s="34">
        <v>827</v>
      </c>
      <c r="R7" s="34">
        <v>0</v>
      </c>
      <c r="S7" s="34">
        <v>0</v>
      </c>
      <c r="T7" s="34">
        <v>0</v>
      </c>
      <c r="U7" s="34">
        <v>0</v>
      </c>
    </row>
    <row r="8" spans="1:21" x14ac:dyDescent="0.2">
      <c r="A8" s="46"/>
      <c r="J8" s="48"/>
      <c r="K8" s="49"/>
      <c r="L8" s="48"/>
      <c r="M8" s="49"/>
      <c r="O8" s="34"/>
      <c r="P8" s="45"/>
      <c r="Q8" s="45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E1" workbookViewId="0">
      <selection activeCell="K5" sqref="K5"/>
    </sheetView>
  </sheetViews>
  <sheetFormatPr defaultRowHeight="15" x14ac:dyDescent="0.25"/>
  <cols>
    <col min="2" max="2" width="12.7109375" customWidth="1"/>
    <col min="3" max="3" width="14.85546875" customWidth="1"/>
    <col min="6" max="6" width="17.7109375" customWidth="1"/>
    <col min="8" max="8" width="9.7109375" customWidth="1"/>
    <col min="9" max="9" width="10.140625" customWidth="1"/>
    <col min="10" max="10" width="11.7109375" customWidth="1"/>
    <col min="11" max="11" width="11.140625" customWidth="1"/>
    <col min="12" max="12" width="12.42578125" customWidth="1"/>
    <col min="13" max="13" width="12.85546875" customWidth="1"/>
    <col min="14" max="14" width="18.85546875" customWidth="1"/>
    <col min="15" max="15" width="19.85546875" customWidth="1"/>
    <col min="16" max="16" width="13.85546875" customWidth="1"/>
    <col min="17" max="17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43459</v>
      </c>
      <c r="B2" s="3" t="s">
        <v>21</v>
      </c>
      <c r="C2" s="3" t="s">
        <v>22</v>
      </c>
      <c r="D2" s="3" t="s">
        <v>23</v>
      </c>
      <c r="E2" s="3" t="s">
        <v>59</v>
      </c>
      <c r="F2" s="3" t="s">
        <v>25</v>
      </c>
      <c r="G2" s="4">
        <v>70000</v>
      </c>
      <c r="H2" s="3" t="s">
        <v>26</v>
      </c>
      <c r="I2" s="3" t="s">
        <v>27</v>
      </c>
      <c r="J2" s="5">
        <v>0.49652777777777773</v>
      </c>
      <c r="K2" s="6">
        <v>0.49513888888888885</v>
      </c>
      <c r="L2" s="5">
        <v>0.3125</v>
      </c>
      <c r="M2" s="6">
        <v>0.31111111111111112</v>
      </c>
      <c r="N2" s="6" t="s">
        <v>281</v>
      </c>
      <c r="O2" s="6" t="s">
        <v>252</v>
      </c>
      <c r="P2" s="7">
        <v>1119</v>
      </c>
      <c r="Q2" s="7">
        <v>807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43459</v>
      </c>
      <c r="B3" s="3" t="s">
        <v>21</v>
      </c>
      <c r="C3" s="3" t="s">
        <v>28</v>
      </c>
      <c r="D3" s="3" t="s">
        <v>23</v>
      </c>
      <c r="E3" s="3" t="s">
        <v>249</v>
      </c>
      <c r="F3" s="3" t="s">
        <v>25</v>
      </c>
      <c r="G3" s="4">
        <v>71500</v>
      </c>
      <c r="H3" s="3" t="s">
        <v>30</v>
      </c>
      <c r="I3" s="3" t="s">
        <v>31</v>
      </c>
      <c r="J3" s="5">
        <v>0.49305555555555558</v>
      </c>
      <c r="K3" s="6">
        <v>0.4770833333333333</v>
      </c>
      <c r="L3" s="5">
        <v>0.35416666666666669</v>
      </c>
      <c r="M3" s="6">
        <v>0.36805555555555558</v>
      </c>
      <c r="N3" s="6" t="s">
        <v>282</v>
      </c>
      <c r="O3" s="6" t="s">
        <v>111</v>
      </c>
      <c r="P3" s="7">
        <v>798</v>
      </c>
      <c r="Q3" s="7">
        <v>474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43459</v>
      </c>
      <c r="B4" s="8" t="s">
        <v>21</v>
      </c>
      <c r="C4" s="8" t="s">
        <v>32</v>
      </c>
      <c r="D4" s="8" t="s">
        <v>23</v>
      </c>
      <c r="E4" s="3" t="s">
        <v>249</v>
      </c>
      <c r="F4" s="8" t="s">
        <v>25</v>
      </c>
      <c r="G4" s="9">
        <v>71500</v>
      </c>
      <c r="H4" s="8" t="s">
        <v>33</v>
      </c>
      <c r="I4" s="8" t="s">
        <v>34</v>
      </c>
      <c r="J4" s="10">
        <v>0.72222222222222221</v>
      </c>
      <c r="K4" s="11">
        <v>0.70347222222222217</v>
      </c>
      <c r="L4" s="10">
        <v>0.52777777777777779</v>
      </c>
      <c r="M4" s="11">
        <v>0.52430555555555558</v>
      </c>
      <c r="N4" s="7" t="s">
        <v>284</v>
      </c>
      <c r="O4" s="7" t="s">
        <v>283</v>
      </c>
      <c r="P4" s="3">
        <v>1472</v>
      </c>
      <c r="Q4" s="7">
        <v>809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43459</v>
      </c>
      <c r="B5" s="8" t="s">
        <v>21</v>
      </c>
      <c r="C5" s="8" t="s">
        <v>35</v>
      </c>
      <c r="D5" s="8" t="s">
        <v>23</v>
      </c>
      <c r="E5" s="3" t="s">
        <v>249</v>
      </c>
      <c r="F5" s="8" t="s">
        <v>25</v>
      </c>
      <c r="G5" s="9">
        <v>71500</v>
      </c>
      <c r="H5" s="8" t="s">
        <v>36</v>
      </c>
      <c r="I5" s="8" t="s">
        <v>37</v>
      </c>
      <c r="J5" s="12">
        <v>0.91319444444444453</v>
      </c>
      <c r="K5" s="13">
        <v>0.91180555555555554</v>
      </c>
      <c r="L5" s="12">
        <v>0.74305555555555547</v>
      </c>
      <c r="M5" s="13">
        <v>0.74097222222222225</v>
      </c>
      <c r="N5" s="13" t="s">
        <v>285</v>
      </c>
      <c r="O5" s="7" t="s">
        <v>40</v>
      </c>
      <c r="P5" s="3">
        <v>1064</v>
      </c>
      <c r="Q5" s="7">
        <v>597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F1" workbookViewId="0">
      <selection activeCell="N7" sqref="N7"/>
    </sheetView>
  </sheetViews>
  <sheetFormatPr defaultRowHeight="15" x14ac:dyDescent="0.25"/>
  <cols>
    <col min="1" max="1" width="10.140625" bestFit="1" customWidth="1"/>
    <col min="2" max="2" width="18.140625" customWidth="1"/>
    <col min="3" max="3" width="15" customWidth="1"/>
    <col min="6" max="6" width="36.7109375" customWidth="1"/>
    <col min="10" max="10" width="10.5703125" customWidth="1"/>
    <col min="11" max="11" width="12" customWidth="1"/>
    <col min="12" max="12" width="12.42578125" customWidth="1"/>
    <col min="13" max="13" width="11.7109375" customWidth="1"/>
    <col min="14" max="14" width="18.28515625" customWidth="1"/>
    <col min="15" max="15" width="19.5703125" customWidth="1"/>
    <col min="16" max="16" width="16" customWidth="1"/>
    <col min="17" max="17" width="13.42578125" customWidth="1"/>
  </cols>
  <sheetData>
    <row r="1" spans="1:2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2" x14ac:dyDescent="0.25">
      <c r="A2" s="21">
        <v>43460</v>
      </c>
      <c r="B2" s="29" t="s">
        <v>21</v>
      </c>
      <c r="C2" s="29" t="s">
        <v>46</v>
      </c>
      <c r="D2" s="29" t="s">
        <v>23</v>
      </c>
      <c r="E2" s="29" t="s">
        <v>249</v>
      </c>
      <c r="F2" s="29" t="s">
        <v>25</v>
      </c>
      <c r="G2" s="30">
        <v>71500</v>
      </c>
      <c r="H2" s="29" t="s">
        <v>48</v>
      </c>
      <c r="I2" s="29" t="s">
        <v>47</v>
      </c>
      <c r="J2" s="31">
        <v>0.4826388888888889</v>
      </c>
      <c r="K2" s="32">
        <v>0.47013888888888888</v>
      </c>
      <c r="L2" s="31">
        <v>0.27777777777777779</v>
      </c>
      <c r="M2" s="32">
        <v>0.27361111111111108</v>
      </c>
      <c r="N2" s="33" t="s">
        <v>265</v>
      </c>
      <c r="O2" s="16" t="s">
        <v>286</v>
      </c>
      <c r="P2" s="16">
        <v>1361</v>
      </c>
      <c r="Q2" s="16">
        <v>781</v>
      </c>
      <c r="R2" s="16">
        <v>0</v>
      </c>
      <c r="S2" s="16">
        <v>0</v>
      </c>
      <c r="T2" s="16">
        <v>0</v>
      </c>
      <c r="U2" s="16">
        <v>0</v>
      </c>
    </row>
    <row r="3" spans="1:22" x14ac:dyDescent="0.25">
      <c r="A3" s="21">
        <v>43460</v>
      </c>
      <c r="B3" s="29" t="s">
        <v>21</v>
      </c>
      <c r="C3" s="29" t="s">
        <v>69</v>
      </c>
      <c r="D3" s="29" t="s">
        <v>23</v>
      </c>
      <c r="E3" s="29" t="s">
        <v>59</v>
      </c>
      <c r="F3" s="29" t="s">
        <v>25</v>
      </c>
      <c r="G3" s="30">
        <v>70000</v>
      </c>
      <c r="H3" s="29" t="s">
        <v>70</v>
      </c>
      <c r="I3" s="29" t="s">
        <v>71</v>
      </c>
      <c r="J3" s="31">
        <v>0.4826388888888889</v>
      </c>
      <c r="K3" s="32">
        <v>0.47361111111111115</v>
      </c>
      <c r="L3" s="31">
        <v>0.33333333333333331</v>
      </c>
      <c r="M3" s="32">
        <v>0.33611111111111108</v>
      </c>
      <c r="N3" s="33" t="s">
        <v>187</v>
      </c>
      <c r="O3" s="16" t="s">
        <v>287</v>
      </c>
      <c r="P3" s="16">
        <v>1096</v>
      </c>
      <c r="Q3" s="16">
        <v>655</v>
      </c>
      <c r="R3" s="16">
        <v>0</v>
      </c>
      <c r="S3" s="16">
        <v>0</v>
      </c>
      <c r="T3" s="16">
        <v>0</v>
      </c>
      <c r="U3" s="16">
        <v>0</v>
      </c>
    </row>
    <row r="4" spans="1:22" x14ac:dyDescent="0.25">
      <c r="A4" s="21">
        <v>43460</v>
      </c>
      <c r="B4" s="16" t="s">
        <v>21</v>
      </c>
      <c r="C4" s="16" t="s">
        <v>55</v>
      </c>
      <c r="D4" s="16" t="s">
        <v>23</v>
      </c>
      <c r="E4" s="29" t="s">
        <v>59</v>
      </c>
      <c r="F4" s="16" t="s">
        <v>25</v>
      </c>
      <c r="G4" s="30">
        <v>70000</v>
      </c>
      <c r="H4" s="16" t="s">
        <v>57</v>
      </c>
      <c r="I4" s="16" t="s">
        <v>56</v>
      </c>
      <c r="J4" s="18">
        <v>0.70833333333333337</v>
      </c>
      <c r="K4" s="19">
        <v>0.69444444444444453</v>
      </c>
      <c r="L4" s="18">
        <v>0.50347222222222221</v>
      </c>
      <c r="M4" s="19">
        <v>0.50763888888888886</v>
      </c>
      <c r="N4" s="19" t="s">
        <v>273</v>
      </c>
      <c r="O4" s="20" t="s">
        <v>288</v>
      </c>
      <c r="P4" s="16">
        <v>1104</v>
      </c>
      <c r="Q4" s="20">
        <v>862</v>
      </c>
      <c r="R4" s="16">
        <v>0</v>
      </c>
      <c r="S4" s="16">
        <v>0</v>
      </c>
      <c r="T4" s="16">
        <v>0</v>
      </c>
      <c r="U4" s="16">
        <v>0</v>
      </c>
    </row>
    <row r="5" spans="1:22" x14ac:dyDescent="0.25">
      <c r="A5" s="21">
        <v>43460</v>
      </c>
      <c r="B5" s="16" t="s">
        <v>21</v>
      </c>
      <c r="C5" s="16" t="s">
        <v>52</v>
      </c>
      <c r="D5" s="16" t="s">
        <v>23</v>
      </c>
      <c r="E5" s="16" t="s">
        <v>293</v>
      </c>
      <c r="F5" s="16" t="s">
        <v>25</v>
      </c>
      <c r="G5" s="30">
        <v>71500</v>
      </c>
      <c r="H5" s="16" t="s">
        <v>54</v>
      </c>
      <c r="I5" s="16" t="s">
        <v>53</v>
      </c>
      <c r="J5" s="18">
        <v>0.69791666666666663</v>
      </c>
      <c r="K5" s="19">
        <v>0.6875</v>
      </c>
      <c r="L5" s="18">
        <v>0.52777777777777779</v>
      </c>
      <c r="M5" s="19">
        <v>0.53125</v>
      </c>
      <c r="N5" s="16" t="s">
        <v>290</v>
      </c>
      <c r="O5" s="20" t="s">
        <v>289</v>
      </c>
      <c r="P5" s="16">
        <v>972</v>
      </c>
      <c r="Q5" s="20">
        <v>619</v>
      </c>
      <c r="R5" s="16">
        <v>0</v>
      </c>
      <c r="S5" s="16">
        <v>0</v>
      </c>
      <c r="T5" s="16">
        <v>0</v>
      </c>
      <c r="U5" s="16">
        <v>0</v>
      </c>
    </row>
    <row r="6" spans="1:22" s="54" customFormat="1" ht="12.75" x14ac:dyDescent="0.2">
      <c r="A6" s="28">
        <f>A4</f>
        <v>43460</v>
      </c>
      <c r="B6" s="16" t="s">
        <v>21</v>
      </c>
      <c r="C6" s="34" t="s">
        <v>75</v>
      </c>
      <c r="D6" s="34" t="s">
        <v>23</v>
      </c>
      <c r="E6" s="16" t="s">
        <v>293</v>
      </c>
      <c r="F6" s="34" t="s">
        <v>25</v>
      </c>
      <c r="G6" s="30">
        <v>71500</v>
      </c>
      <c r="H6" s="34" t="s">
        <v>77</v>
      </c>
      <c r="I6" s="34" t="s">
        <v>76</v>
      </c>
      <c r="J6" s="24">
        <v>0.95486111111111116</v>
      </c>
      <c r="K6" s="25">
        <v>0.95208333333333339</v>
      </c>
      <c r="L6" s="24">
        <v>0.71875</v>
      </c>
      <c r="M6" s="72">
        <v>0.7319444444444444</v>
      </c>
      <c r="N6" s="58" t="s">
        <v>163</v>
      </c>
      <c r="O6" s="58" t="s">
        <v>291</v>
      </c>
      <c r="P6" s="58">
        <v>1368</v>
      </c>
      <c r="Q6" s="58">
        <v>1108</v>
      </c>
      <c r="R6" s="34">
        <v>0</v>
      </c>
      <c r="S6" s="34">
        <v>0</v>
      </c>
      <c r="T6" s="34">
        <v>0</v>
      </c>
      <c r="U6" s="34">
        <v>0</v>
      </c>
      <c r="V6" s="83"/>
    </row>
    <row r="7" spans="1:22" s="27" customFormat="1" ht="12.75" x14ac:dyDescent="0.2">
      <c r="A7" s="28">
        <v>43460</v>
      </c>
      <c r="B7" s="34" t="s">
        <v>21</v>
      </c>
      <c r="C7" s="34" t="s">
        <v>72</v>
      </c>
      <c r="D7" s="34" t="s">
        <v>23</v>
      </c>
      <c r="E7" s="29" t="s">
        <v>59</v>
      </c>
      <c r="F7" s="34" t="s">
        <v>25</v>
      </c>
      <c r="G7" s="30">
        <v>70000</v>
      </c>
      <c r="H7" s="34" t="s">
        <v>73</v>
      </c>
      <c r="I7" s="34" t="s">
        <v>74</v>
      </c>
      <c r="J7" s="36">
        <v>0.94791666666666663</v>
      </c>
      <c r="K7" s="37">
        <v>0.9375</v>
      </c>
      <c r="L7" s="36">
        <v>0.73958333333333337</v>
      </c>
      <c r="M7" s="37">
        <v>0.74444444444444446</v>
      </c>
      <c r="N7" s="34" t="s">
        <v>294</v>
      </c>
      <c r="O7" s="34" t="s">
        <v>292</v>
      </c>
      <c r="P7" s="34">
        <v>1143</v>
      </c>
      <c r="Q7" s="34">
        <v>915</v>
      </c>
      <c r="R7" s="34">
        <v>0</v>
      </c>
      <c r="S7" s="34">
        <v>0</v>
      </c>
      <c r="T7" s="34">
        <v>0</v>
      </c>
      <c r="U7" s="34">
        <v>0</v>
      </c>
    </row>
    <row r="8" spans="1:22" s="83" customFormat="1" ht="12.75" x14ac:dyDescent="0.2">
      <c r="A8" s="21"/>
      <c r="B8" s="16"/>
      <c r="C8" s="16"/>
      <c r="D8" s="16"/>
      <c r="E8" s="16"/>
      <c r="F8" s="16"/>
      <c r="G8" s="58"/>
      <c r="H8" s="16"/>
      <c r="I8" s="16"/>
      <c r="J8" s="94"/>
      <c r="K8" s="72"/>
      <c r="L8" s="95"/>
      <c r="M8" s="58"/>
      <c r="N8" s="58"/>
      <c r="O8" s="58"/>
      <c r="P8" s="58"/>
      <c r="Q8" s="58"/>
      <c r="R8" s="58"/>
      <c r="S8" s="58"/>
      <c r="T8" s="58"/>
      <c r="U8" s="58"/>
    </row>
    <row r="9" spans="1:22" s="97" customFormat="1" x14ac:dyDescent="0.25">
      <c r="A9" s="96"/>
      <c r="B9" s="16"/>
      <c r="C9" s="16"/>
      <c r="D9" s="16"/>
      <c r="E9" s="58"/>
      <c r="F9" s="16"/>
      <c r="G9" s="58"/>
      <c r="H9" s="16"/>
      <c r="I9" s="16"/>
      <c r="J9" s="72"/>
      <c r="K9" s="72"/>
      <c r="L9" s="94"/>
      <c r="M9" s="72"/>
      <c r="N9" s="58"/>
      <c r="O9" s="34"/>
      <c r="P9" s="58"/>
      <c r="Q9" s="34"/>
      <c r="R9" s="34"/>
      <c r="T9" s="34"/>
      <c r="U9" s="3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E1" workbookViewId="0">
      <selection activeCell="I6" sqref="I6"/>
    </sheetView>
  </sheetViews>
  <sheetFormatPr defaultRowHeight="12.75" x14ac:dyDescent="0.2"/>
  <cols>
    <col min="1" max="1" width="10.140625" style="52" bestFit="1" customWidth="1"/>
    <col min="2" max="2" width="19.85546875" style="52" customWidth="1"/>
    <col min="3" max="3" width="15" style="52" customWidth="1"/>
    <col min="4" max="5" width="9.140625" style="52"/>
    <col min="6" max="6" width="27" style="52" customWidth="1"/>
    <col min="7" max="9" width="9.140625" style="52"/>
    <col min="10" max="10" width="10.5703125" style="52" customWidth="1"/>
    <col min="11" max="11" width="12" style="52" customWidth="1"/>
    <col min="12" max="12" width="12.42578125" style="52" customWidth="1"/>
    <col min="13" max="13" width="11.7109375" style="52" customWidth="1"/>
    <col min="14" max="14" width="18.28515625" style="52" customWidth="1"/>
    <col min="15" max="15" width="19.5703125" style="52" customWidth="1"/>
    <col min="16" max="16" width="16" style="52" customWidth="1"/>
    <col min="17" max="17" width="13.42578125" style="52" customWidth="1"/>
    <col min="18" max="16384" width="9.140625" style="52"/>
  </cols>
  <sheetData>
    <row r="1" spans="1:2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">
      <c r="A2" s="21">
        <v>43461</v>
      </c>
      <c r="B2" s="16" t="s">
        <v>21</v>
      </c>
      <c r="C2" s="16" t="s">
        <v>22</v>
      </c>
      <c r="D2" s="16" t="s">
        <v>23</v>
      </c>
      <c r="E2" s="16" t="s">
        <v>295</v>
      </c>
      <c r="F2" s="16" t="s">
        <v>25</v>
      </c>
      <c r="G2" s="17">
        <v>71500</v>
      </c>
      <c r="H2" s="16" t="s">
        <v>26</v>
      </c>
      <c r="I2" s="16" t="s">
        <v>27</v>
      </c>
      <c r="J2" s="18">
        <v>0.49652777777777773</v>
      </c>
      <c r="K2" s="19">
        <v>0.50555555555555554</v>
      </c>
      <c r="L2" s="18">
        <v>0.3125</v>
      </c>
      <c r="M2" s="19">
        <v>0.32222222222222224</v>
      </c>
      <c r="N2" s="16" t="s">
        <v>276</v>
      </c>
      <c r="O2" s="16" t="s">
        <v>296</v>
      </c>
      <c r="P2" s="16">
        <v>1045</v>
      </c>
      <c r="Q2" s="20">
        <v>1108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">
      <c r="A3" s="51">
        <f t="shared" ref="A3:A7" si="0">A2</f>
        <v>43461</v>
      </c>
      <c r="B3" s="16" t="s">
        <v>21</v>
      </c>
      <c r="C3" s="16" t="s">
        <v>28</v>
      </c>
      <c r="D3" s="16" t="s">
        <v>23</v>
      </c>
      <c r="E3" s="16" t="s">
        <v>79</v>
      </c>
      <c r="F3" s="16" t="s">
        <v>25</v>
      </c>
      <c r="G3" s="86">
        <v>70000</v>
      </c>
      <c r="H3" s="16" t="s">
        <v>30</v>
      </c>
      <c r="I3" s="16" t="s">
        <v>31</v>
      </c>
      <c r="J3" s="55">
        <v>0.48958333333333331</v>
      </c>
      <c r="K3" s="57">
        <v>0.48541666666666666</v>
      </c>
      <c r="L3" s="55">
        <v>0.35416666666666669</v>
      </c>
      <c r="M3" s="57">
        <v>0.3611111111111111</v>
      </c>
      <c r="N3" s="52" t="s">
        <v>298</v>
      </c>
      <c r="O3" s="58" t="s">
        <v>297</v>
      </c>
      <c r="P3" s="52">
        <v>588</v>
      </c>
      <c r="Q3" s="58">
        <v>579</v>
      </c>
      <c r="R3" s="15">
        <v>0</v>
      </c>
      <c r="S3" s="15">
        <v>0</v>
      </c>
      <c r="T3" s="15">
        <v>0</v>
      </c>
      <c r="U3" s="15">
        <v>0</v>
      </c>
    </row>
    <row r="4" spans="1:21" x14ac:dyDescent="0.2">
      <c r="A4" s="51">
        <f t="shared" si="0"/>
        <v>43461</v>
      </c>
      <c r="B4" s="52" t="s">
        <v>21</v>
      </c>
      <c r="C4" s="52" t="s">
        <v>49</v>
      </c>
      <c r="D4" s="52" t="str">
        <f t="shared" ref="D4:D7" si="1">D3</f>
        <v>A320</v>
      </c>
      <c r="E4" s="16" t="s">
        <v>79</v>
      </c>
      <c r="F4" s="52" t="s">
        <v>25</v>
      </c>
      <c r="G4" s="86">
        <v>70000</v>
      </c>
      <c r="H4" s="16" t="s">
        <v>50</v>
      </c>
      <c r="I4" s="16" t="s">
        <v>51</v>
      </c>
      <c r="J4" s="18">
        <v>0.66319444444444442</v>
      </c>
      <c r="K4" s="19">
        <v>0.66180555555555554</v>
      </c>
      <c r="L4" s="18">
        <v>0.51041666666666663</v>
      </c>
      <c r="M4" s="19">
        <v>0.5229166666666667</v>
      </c>
      <c r="N4" s="16" t="s">
        <v>301</v>
      </c>
      <c r="O4" s="16" t="s">
        <v>299</v>
      </c>
      <c r="P4" s="16">
        <v>1320</v>
      </c>
      <c r="Q4" s="20">
        <v>815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">
      <c r="A5" s="51">
        <f t="shared" si="0"/>
        <v>43461</v>
      </c>
      <c r="B5" s="52" t="s">
        <v>21</v>
      </c>
      <c r="C5" s="52" t="s">
        <v>52</v>
      </c>
      <c r="D5" s="52" t="str">
        <f t="shared" si="1"/>
        <v>A320</v>
      </c>
      <c r="E5" s="16" t="s">
        <v>295</v>
      </c>
      <c r="F5" s="52" t="s">
        <v>25</v>
      </c>
      <c r="G5" s="17">
        <v>71500</v>
      </c>
      <c r="H5" s="52" t="s">
        <v>53</v>
      </c>
      <c r="I5" s="52" t="s">
        <v>54</v>
      </c>
      <c r="J5" s="55">
        <v>0.69791666666666663</v>
      </c>
      <c r="K5" s="57">
        <v>0.69374999999999998</v>
      </c>
      <c r="L5" s="55">
        <v>0.52777777777777779</v>
      </c>
      <c r="M5" s="57">
        <v>0.54027777777777775</v>
      </c>
      <c r="N5" s="52" t="s">
        <v>302</v>
      </c>
      <c r="O5" s="52" t="s">
        <v>300</v>
      </c>
      <c r="P5" s="52">
        <v>890</v>
      </c>
      <c r="Q5" s="52">
        <v>768</v>
      </c>
      <c r="R5" s="15">
        <v>0</v>
      </c>
      <c r="S5" s="15">
        <v>0</v>
      </c>
      <c r="T5" s="15">
        <v>0</v>
      </c>
      <c r="U5" s="15">
        <v>0</v>
      </c>
    </row>
    <row r="6" spans="1:21" x14ac:dyDescent="0.2">
      <c r="A6" s="51">
        <f t="shared" si="0"/>
        <v>43461</v>
      </c>
      <c r="B6" s="52" t="s">
        <v>21</v>
      </c>
      <c r="C6" s="52" t="s">
        <v>55</v>
      </c>
      <c r="D6" s="52" t="str">
        <f t="shared" si="1"/>
        <v>A320</v>
      </c>
      <c r="E6" s="16" t="s">
        <v>79</v>
      </c>
      <c r="F6" s="52" t="s">
        <v>25</v>
      </c>
      <c r="G6" s="86">
        <v>70000</v>
      </c>
      <c r="H6" s="52" t="s">
        <v>56</v>
      </c>
      <c r="I6" s="52" t="s">
        <v>57</v>
      </c>
      <c r="J6" s="55">
        <v>0.89930555555555547</v>
      </c>
      <c r="K6" s="57" t="s">
        <v>102</v>
      </c>
      <c r="L6" s="55">
        <v>0.69444444444444453</v>
      </c>
      <c r="M6" s="57">
        <v>0.70000000000000007</v>
      </c>
      <c r="N6" s="53"/>
      <c r="O6" s="52" t="s">
        <v>155</v>
      </c>
      <c r="P6" s="53"/>
      <c r="Q6" s="52">
        <v>1013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">
      <c r="A7" s="51">
        <f t="shared" si="0"/>
        <v>43461</v>
      </c>
      <c r="B7" s="52" t="s">
        <v>21</v>
      </c>
      <c r="C7" s="52" t="s">
        <v>35</v>
      </c>
      <c r="D7" s="52" t="str">
        <f t="shared" si="1"/>
        <v>A320</v>
      </c>
      <c r="E7" s="16" t="s">
        <v>295</v>
      </c>
      <c r="F7" s="52" t="s">
        <v>25</v>
      </c>
      <c r="G7" s="17">
        <v>71500</v>
      </c>
      <c r="H7" s="52" t="s">
        <v>36</v>
      </c>
      <c r="I7" s="52" t="s">
        <v>37</v>
      </c>
      <c r="J7" s="55">
        <v>0.91319444444444453</v>
      </c>
      <c r="K7" s="57" t="s">
        <v>303</v>
      </c>
      <c r="L7" s="55">
        <v>0.74305555555555547</v>
      </c>
      <c r="M7" s="57">
        <v>0.7402777777777777</v>
      </c>
      <c r="N7" s="53"/>
      <c r="O7" s="52" t="s">
        <v>292</v>
      </c>
      <c r="P7" s="53"/>
      <c r="Q7" s="52">
        <v>817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">
      <c r="A8" s="51"/>
      <c r="G8" s="86"/>
      <c r="J8" s="55"/>
      <c r="K8" s="57"/>
      <c r="L8" s="56"/>
      <c r="M8" s="56"/>
      <c r="R8" s="15"/>
      <c r="S8" s="15"/>
      <c r="T8" s="15"/>
      <c r="U8" s="15"/>
    </row>
    <row r="9" spans="1:21" x14ac:dyDescent="0.2">
      <c r="A9" s="51"/>
      <c r="G9" s="86"/>
      <c r="J9" s="55"/>
      <c r="K9" s="57"/>
      <c r="L9" s="56"/>
      <c r="M9" s="56"/>
      <c r="R9" s="15"/>
      <c r="S9" s="15"/>
      <c r="T9" s="15"/>
      <c r="U9" s="15"/>
    </row>
    <row r="10" spans="1:21" x14ac:dyDescent="0.2">
      <c r="R10" s="15"/>
      <c r="S10" s="15"/>
      <c r="T10" s="15"/>
      <c r="U10" s="15"/>
    </row>
    <row r="11" spans="1:21" x14ac:dyDescent="0.2">
      <c r="R11" s="15"/>
      <c r="S11" s="15"/>
      <c r="T11" s="15"/>
      <c r="U11" s="15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D1" workbookViewId="0">
      <selection activeCell="M8" sqref="M8"/>
    </sheetView>
  </sheetViews>
  <sheetFormatPr defaultRowHeight="12.75" x14ac:dyDescent="0.2"/>
  <cols>
    <col min="1" max="1" width="10.140625" style="52" bestFit="1" customWidth="1"/>
    <col min="2" max="2" width="22.5703125" style="52" customWidth="1"/>
    <col min="3" max="3" width="18.5703125" style="52" customWidth="1"/>
    <col min="4" max="4" width="9.140625" style="52"/>
    <col min="5" max="5" width="15" style="52" customWidth="1"/>
    <col min="6" max="6" width="24.140625" style="52" customWidth="1"/>
    <col min="7" max="9" width="9.140625" style="52"/>
    <col min="10" max="10" width="12.7109375" style="52" customWidth="1"/>
    <col min="11" max="11" width="11.85546875" style="37" customWidth="1"/>
    <col min="12" max="12" width="11.140625" style="52" customWidth="1"/>
    <col min="13" max="13" width="11.42578125" style="52" customWidth="1"/>
    <col min="14" max="14" width="17" style="34" customWidth="1"/>
    <col min="15" max="15" width="17.140625" style="52" customWidth="1"/>
    <col min="16" max="16384" width="9.140625" style="52"/>
  </cols>
  <sheetData>
    <row r="1" spans="1:21" x14ac:dyDescent="0.2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37" t="s">
        <v>10</v>
      </c>
      <c r="L1" s="59" t="s">
        <v>11</v>
      </c>
      <c r="M1" s="59" t="s">
        <v>12</v>
      </c>
      <c r="N1" s="34" t="s">
        <v>13</v>
      </c>
      <c r="O1" s="59" t="s">
        <v>14</v>
      </c>
      <c r="P1" s="59" t="s">
        <v>15</v>
      </c>
      <c r="Q1" s="59" t="s">
        <v>16</v>
      </c>
      <c r="R1" s="59" t="s">
        <v>17</v>
      </c>
      <c r="S1" s="59" t="s">
        <v>18</v>
      </c>
      <c r="T1" s="59" t="s">
        <v>19</v>
      </c>
      <c r="U1" s="59" t="s">
        <v>20</v>
      </c>
    </row>
    <row r="2" spans="1:21" x14ac:dyDescent="0.2">
      <c r="A2" s="28">
        <v>43462</v>
      </c>
      <c r="B2" s="16" t="s">
        <v>21</v>
      </c>
      <c r="C2" s="16" t="s">
        <v>46</v>
      </c>
      <c r="D2" s="16" t="s">
        <v>23</v>
      </c>
      <c r="E2" s="16" t="s">
        <v>313</v>
      </c>
      <c r="F2" s="16" t="s">
        <v>25</v>
      </c>
      <c r="G2" s="17">
        <v>71500</v>
      </c>
      <c r="H2" s="16" t="s">
        <v>47</v>
      </c>
      <c r="I2" s="16" t="s">
        <v>48</v>
      </c>
      <c r="J2" s="18">
        <v>0.4826388888888889</v>
      </c>
      <c r="K2" s="37">
        <v>0.94930555555555562</v>
      </c>
      <c r="L2" s="18">
        <v>0.27777777777777779</v>
      </c>
      <c r="M2" s="19">
        <v>0.36458333333333331</v>
      </c>
      <c r="N2" s="34" t="s">
        <v>316</v>
      </c>
      <c r="O2" s="20" t="s">
        <v>304</v>
      </c>
      <c r="P2" s="20">
        <v>1328</v>
      </c>
      <c r="Q2" s="20">
        <v>815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">
      <c r="A3" s="28">
        <f t="shared" ref="A3:A4" si="0">A2</f>
        <v>43462</v>
      </c>
      <c r="B3" s="16" t="s">
        <v>21</v>
      </c>
      <c r="C3" s="16" t="s">
        <v>69</v>
      </c>
      <c r="D3" s="16" t="s">
        <v>23</v>
      </c>
      <c r="E3" s="16" t="s">
        <v>79</v>
      </c>
      <c r="F3" s="16" t="s">
        <v>25</v>
      </c>
      <c r="G3" s="17">
        <v>70000</v>
      </c>
      <c r="H3" s="16" t="s">
        <v>71</v>
      </c>
      <c r="I3" s="16" t="s">
        <v>70</v>
      </c>
      <c r="J3" s="18">
        <v>0.4826388888888889</v>
      </c>
      <c r="K3" s="37">
        <v>0.50486111111111109</v>
      </c>
      <c r="L3" s="18">
        <v>0.33333333333333331</v>
      </c>
      <c r="M3" s="19">
        <v>0.37361111111111112</v>
      </c>
      <c r="N3" s="34" t="s">
        <v>315</v>
      </c>
      <c r="O3" s="20" t="s">
        <v>241</v>
      </c>
      <c r="P3" s="16">
        <v>876</v>
      </c>
      <c r="Q3" s="20">
        <v>1022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">
      <c r="A4" s="28">
        <f t="shared" si="0"/>
        <v>43462</v>
      </c>
      <c r="B4" s="34" t="s">
        <v>21</v>
      </c>
      <c r="C4" s="34" t="s">
        <v>72</v>
      </c>
      <c r="D4" s="34" t="s">
        <v>23</v>
      </c>
      <c r="E4" s="16" t="str">
        <f>E3</f>
        <v>HA-LWC</v>
      </c>
      <c r="F4" s="34" t="s">
        <v>25</v>
      </c>
      <c r="G4" s="35">
        <f>G3</f>
        <v>70000</v>
      </c>
      <c r="H4" s="34" t="s">
        <v>74</v>
      </c>
      <c r="I4" s="34" t="s">
        <v>73</v>
      </c>
      <c r="J4" s="36">
        <v>0.71180555555555547</v>
      </c>
      <c r="K4" s="37">
        <v>0.75347222222222221</v>
      </c>
      <c r="L4" s="36">
        <v>0.50347222222222221</v>
      </c>
      <c r="M4" s="37">
        <v>0.54999999999999993</v>
      </c>
      <c r="N4" s="34" t="s">
        <v>311</v>
      </c>
      <c r="O4" s="34" t="s">
        <v>254</v>
      </c>
      <c r="P4" s="34">
        <v>994</v>
      </c>
      <c r="Q4" s="34">
        <v>1163</v>
      </c>
      <c r="R4" s="34">
        <v>0</v>
      </c>
      <c r="S4" s="34">
        <v>0</v>
      </c>
      <c r="T4" s="34">
        <v>0</v>
      </c>
      <c r="U4" s="34">
        <v>0</v>
      </c>
    </row>
    <row r="5" spans="1:21" x14ac:dyDescent="0.2">
      <c r="A5" s="51">
        <v>43455</v>
      </c>
      <c r="B5" s="34" t="s">
        <v>21</v>
      </c>
      <c r="C5" s="34" t="s">
        <v>52</v>
      </c>
      <c r="D5" s="16" t="s">
        <v>23</v>
      </c>
      <c r="E5" s="16" t="s">
        <v>295</v>
      </c>
      <c r="F5" s="34" t="s">
        <v>25</v>
      </c>
      <c r="G5" s="35">
        <f>G2</f>
        <v>71500</v>
      </c>
      <c r="H5" s="34" t="s">
        <v>53</v>
      </c>
      <c r="I5" s="34" t="s">
        <v>54</v>
      </c>
      <c r="J5" s="55">
        <v>0.69791666666666663</v>
      </c>
      <c r="K5" s="37">
        <v>0.70277777777777783</v>
      </c>
      <c r="L5" s="55">
        <v>0.52777777777777779</v>
      </c>
      <c r="M5" s="72">
        <v>0.54513888888888895</v>
      </c>
      <c r="N5" s="34" t="s">
        <v>312</v>
      </c>
      <c r="O5" s="34" t="s">
        <v>304</v>
      </c>
      <c r="P5" s="58">
        <v>1195</v>
      </c>
      <c r="Q5" s="34">
        <v>884</v>
      </c>
      <c r="R5" s="34">
        <v>0</v>
      </c>
      <c r="S5" s="34">
        <v>0</v>
      </c>
      <c r="T5" s="34">
        <v>0</v>
      </c>
      <c r="U5" s="34">
        <v>0</v>
      </c>
    </row>
    <row r="6" spans="1:21" x14ac:dyDescent="0.2">
      <c r="A6" s="28">
        <f>A4</f>
        <v>43462</v>
      </c>
      <c r="B6" s="34" t="s">
        <v>21</v>
      </c>
      <c r="C6" s="34" t="s">
        <v>75</v>
      </c>
      <c r="D6" s="34" t="s">
        <v>23</v>
      </c>
      <c r="E6" s="16" t="s">
        <v>293</v>
      </c>
      <c r="F6" s="34" t="s">
        <v>25</v>
      </c>
      <c r="G6" s="35">
        <v>71500</v>
      </c>
      <c r="H6" s="34" t="s">
        <v>77</v>
      </c>
      <c r="I6" s="34" t="s">
        <v>76</v>
      </c>
      <c r="J6" s="24">
        <v>0.95486111111111116</v>
      </c>
      <c r="K6" s="36">
        <v>0.95763888888888893</v>
      </c>
      <c r="L6" s="24">
        <v>0.71875</v>
      </c>
      <c r="M6" s="87">
        <v>0.7402777777777777</v>
      </c>
      <c r="N6" s="34" t="s">
        <v>189</v>
      </c>
      <c r="O6" s="34" t="s">
        <v>206</v>
      </c>
      <c r="P6" s="98">
        <v>1556</v>
      </c>
      <c r="Q6" s="34">
        <v>924</v>
      </c>
      <c r="R6" s="34">
        <v>0</v>
      </c>
      <c r="S6" s="34">
        <v>0</v>
      </c>
      <c r="T6" s="34">
        <v>0</v>
      </c>
      <c r="U6" s="34">
        <v>0</v>
      </c>
    </row>
    <row r="7" spans="1:21" x14ac:dyDescent="0.2">
      <c r="A7" s="28">
        <f>A6</f>
        <v>43462</v>
      </c>
      <c r="B7" s="34" t="s">
        <v>21</v>
      </c>
      <c r="C7" s="59" t="s">
        <v>55</v>
      </c>
      <c r="D7" s="16" t="s">
        <v>23</v>
      </c>
      <c r="E7" s="59" t="s">
        <v>59</v>
      </c>
      <c r="F7" s="34" t="s">
        <v>25</v>
      </c>
      <c r="G7" s="63">
        <v>70000</v>
      </c>
      <c r="H7" s="59" t="s">
        <v>56</v>
      </c>
      <c r="I7" s="59" t="s">
        <v>57</v>
      </c>
      <c r="J7" s="64">
        <v>0.94791666666666663</v>
      </c>
      <c r="K7" s="36">
        <v>0.98263888888888884</v>
      </c>
      <c r="L7" s="64">
        <v>0.74305555555555547</v>
      </c>
      <c r="M7" s="19">
        <v>0.79236111111111107</v>
      </c>
      <c r="N7" s="34" t="s">
        <v>261</v>
      </c>
      <c r="O7" s="34" t="s">
        <v>314</v>
      </c>
      <c r="P7" s="34">
        <v>1252</v>
      </c>
      <c r="Q7" s="34">
        <v>793</v>
      </c>
      <c r="R7" s="34">
        <v>0</v>
      </c>
      <c r="S7" s="34">
        <v>0</v>
      </c>
      <c r="T7" s="34">
        <v>0</v>
      </c>
      <c r="U7" s="34">
        <v>0</v>
      </c>
    </row>
    <row r="8" spans="1:21" x14ac:dyDescent="0.2">
      <c r="A8" s="28">
        <f>A7</f>
        <v>43462</v>
      </c>
      <c r="B8" s="34" t="str">
        <f>B7</f>
        <v>WIZZAIR</v>
      </c>
      <c r="C8" s="34" t="s">
        <v>305</v>
      </c>
      <c r="D8" s="34" t="str">
        <f>D7</f>
        <v>A320</v>
      </c>
      <c r="E8" s="16" t="str">
        <f>E2</f>
        <v>HA-LYU/HALWZ</v>
      </c>
      <c r="F8" s="34" t="s">
        <v>307</v>
      </c>
      <c r="G8" s="35">
        <f>G2</f>
        <v>71500</v>
      </c>
      <c r="H8" s="16" t="s">
        <v>107</v>
      </c>
      <c r="I8" s="16" t="s">
        <v>308</v>
      </c>
      <c r="J8" s="55">
        <v>0.28125</v>
      </c>
      <c r="K8" s="37">
        <v>0.31597222222222221</v>
      </c>
      <c r="L8" s="55">
        <v>0.99305555555555547</v>
      </c>
      <c r="M8" s="57">
        <v>0.98402777777777783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</row>
    <row r="9" spans="1:21" x14ac:dyDescent="0.2">
      <c r="A9" s="51">
        <f>A8</f>
        <v>43462</v>
      </c>
      <c r="B9" s="52" t="str">
        <f>B8</f>
        <v>WIZZAIR</v>
      </c>
      <c r="C9" s="52" t="s">
        <v>194</v>
      </c>
      <c r="D9" s="52" t="str">
        <f>D8</f>
        <v>A320</v>
      </c>
      <c r="E9" s="52" t="str">
        <f>E4</f>
        <v>HA-LWC</v>
      </c>
      <c r="F9" s="52" t="s">
        <v>235</v>
      </c>
      <c r="G9" s="86">
        <f>G4</f>
        <v>70000</v>
      </c>
      <c r="H9" s="52" t="s">
        <v>211</v>
      </c>
      <c r="I9" s="52" t="s">
        <v>90</v>
      </c>
      <c r="J9" s="55">
        <v>0.28472222222222221</v>
      </c>
      <c r="K9" s="37">
        <v>0.32500000000000001</v>
      </c>
      <c r="L9" s="52" t="s">
        <v>90</v>
      </c>
      <c r="M9" s="52" t="s">
        <v>90</v>
      </c>
      <c r="N9" s="34">
        <v>0</v>
      </c>
      <c r="O9" s="52" t="s">
        <v>90</v>
      </c>
      <c r="P9" s="52">
        <v>0</v>
      </c>
      <c r="Q9" s="52" t="s">
        <v>90</v>
      </c>
      <c r="R9" s="52">
        <v>0</v>
      </c>
      <c r="S9" s="52">
        <v>0</v>
      </c>
      <c r="T9" s="52">
        <v>0</v>
      </c>
      <c r="U9" s="52">
        <v>0</v>
      </c>
    </row>
    <row r="10" spans="1:21" x14ac:dyDescent="0.2">
      <c r="A10" s="51">
        <f>A9</f>
        <v>43462</v>
      </c>
      <c r="B10" s="52" t="str">
        <f>B9</f>
        <v>WIZZAIR</v>
      </c>
      <c r="C10" s="52" t="s">
        <v>306</v>
      </c>
      <c r="D10" s="52" t="str">
        <f>D9</f>
        <v>A320</v>
      </c>
      <c r="E10" s="52" t="str">
        <f>E5</f>
        <v>HA-LYO</v>
      </c>
      <c r="F10" s="52" t="str">
        <f>F9</f>
        <v>FERRY IN</v>
      </c>
      <c r="G10" s="86">
        <f>G8</f>
        <v>71500</v>
      </c>
      <c r="H10" s="52" t="s">
        <v>176</v>
      </c>
      <c r="I10" s="52" t="s">
        <v>90</v>
      </c>
      <c r="J10" s="55">
        <v>0.43055555555555558</v>
      </c>
      <c r="K10" s="37">
        <v>0.42083333333333334</v>
      </c>
      <c r="L10" s="52" t="str">
        <f>L9</f>
        <v>-</v>
      </c>
      <c r="M10" s="52" t="str">
        <f>M9</f>
        <v>-</v>
      </c>
      <c r="N10" s="34">
        <f>N9</f>
        <v>0</v>
      </c>
      <c r="O10" s="52" t="str">
        <f>O9</f>
        <v>-</v>
      </c>
      <c r="P10" s="52">
        <v>0</v>
      </c>
      <c r="Q10" s="52" t="str">
        <f>Q9</f>
        <v>-</v>
      </c>
      <c r="R10" s="52">
        <v>0</v>
      </c>
      <c r="S10" s="52">
        <v>0</v>
      </c>
      <c r="T10" s="52">
        <v>0</v>
      </c>
      <c r="U10" s="52">
        <v>0</v>
      </c>
    </row>
    <row r="11" spans="1:21" x14ac:dyDescent="0.2">
      <c r="A11" s="51">
        <f>A10</f>
        <v>43462</v>
      </c>
      <c r="B11" s="52" t="s">
        <v>81</v>
      </c>
      <c r="C11" s="52" t="s">
        <v>91</v>
      </c>
      <c r="D11" s="52" t="s">
        <v>82</v>
      </c>
      <c r="E11" s="52" t="s">
        <v>83</v>
      </c>
      <c r="F11" s="52" t="s">
        <v>309</v>
      </c>
      <c r="G11" s="86">
        <v>7000</v>
      </c>
      <c r="H11" s="52" t="s">
        <v>310</v>
      </c>
      <c r="I11" s="52" t="str">
        <f>H11</f>
        <v>RAC9002</v>
      </c>
      <c r="J11" s="52" t="s">
        <v>90</v>
      </c>
      <c r="K11" s="37">
        <v>0.49722222222222223</v>
      </c>
      <c r="L11" s="52" t="s">
        <v>90</v>
      </c>
      <c r="M11" s="52" t="str">
        <f>L11</f>
        <v>-</v>
      </c>
      <c r="N11" s="34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</row>
  </sheetData>
  <pageMargins left="0.7" right="0.7" top="0.75" bottom="0.75" header="0.3" footer="0.3"/>
  <pageSetup paperSize="9" orientation="portrait" r:id="rId1"/>
  <ignoredErrors>
    <ignoredError sqref="E10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E1" workbookViewId="0">
      <selection activeCell="K6" sqref="K6"/>
    </sheetView>
  </sheetViews>
  <sheetFormatPr defaultRowHeight="15" x14ac:dyDescent="0.25"/>
  <cols>
    <col min="2" max="2" width="10.28515625" customWidth="1"/>
    <col min="3" max="3" width="13" customWidth="1"/>
    <col min="6" max="6" width="12.85546875" customWidth="1"/>
    <col min="9" max="9" width="11.140625" customWidth="1"/>
    <col min="10" max="10" width="10.85546875" customWidth="1"/>
    <col min="11" max="11" width="11.7109375" customWidth="1"/>
    <col min="12" max="12" width="11.85546875" customWidth="1"/>
    <col min="13" max="13" width="10.85546875" customWidth="1"/>
    <col min="14" max="14" width="17.5703125" customWidth="1"/>
    <col min="15" max="15" width="18.85546875" customWidth="1"/>
    <col min="16" max="16" width="11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43463</v>
      </c>
      <c r="B2" s="3" t="s">
        <v>21</v>
      </c>
      <c r="C2" s="3" t="s">
        <v>22</v>
      </c>
      <c r="D2" s="3" t="s">
        <v>23</v>
      </c>
      <c r="E2" s="3" t="s">
        <v>293</v>
      </c>
      <c r="F2" s="3" t="s">
        <v>25</v>
      </c>
      <c r="G2" s="4">
        <v>71500</v>
      </c>
      <c r="H2" s="3" t="s">
        <v>26</v>
      </c>
      <c r="I2" s="3" t="s">
        <v>27</v>
      </c>
      <c r="J2" s="5">
        <v>0.49652777777777773</v>
      </c>
      <c r="K2" s="6">
        <v>0.53749999999999998</v>
      </c>
      <c r="L2" s="5">
        <v>0.3125</v>
      </c>
      <c r="M2" s="6">
        <v>0.33611111111111108</v>
      </c>
      <c r="N2" s="6" t="s">
        <v>319</v>
      </c>
      <c r="O2" s="7" t="s">
        <v>317</v>
      </c>
      <c r="P2" s="7">
        <v>1100</v>
      </c>
      <c r="Q2" s="7">
        <v>1111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43463</v>
      </c>
      <c r="B3" s="3" t="s">
        <v>21</v>
      </c>
      <c r="C3" s="3" t="s">
        <v>115</v>
      </c>
      <c r="D3" s="3" t="s">
        <v>23</v>
      </c>
      <c r="E3" s="3" t="s">
        <v>59</v>
      </c>
      <c r="F3" s="3" t="s">
        <v>25</v>
      </c>
      <c r="G3" s="4">
        <v>70000</v>
      </c>
      <c r="H3" s="3" t="s">
        <v>30</v>
      </c>
      <c r="I3" s="3" t="s">
        <v>31</v>
      </c>
      <c r="J3" s="5">
        <v>0.49305555555555558</v>
      </c>
      <c r="K3" s="6">
        <v>0.5</v>
      </c>
      <c r="L3" s="5">
        <v>0.35416666666666669</v>
      </c>
      <c r="M3" s="6">
        <v>0.37708333333333338</v>
      </c>
      <c r="N3" s="6" t="s">
        <v>167</v>
      </c>
      <c r="O3" s="15" t="s">
        <v>318</v>
      </c>
      <c r="P3" s="3">
        <v>597</v>
      </c>
      <c r="Q3" s="15">
        <v>797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43463</v>
      </c>
      <c r="B4" s="8" t="s">
        <v>21</v>
      </c>
      <c r="C4" s="8" t="s">
        <v>32</v>
      </c>
      <c r="D4" s="8" t="s">
        <v>23</v>
      </c>
      <c r="E4" s="3" t="str">
        <f>E3</f>
        <v>HALWC</v>
      </c>
      <c r="F4" s="8" t="s">
        <v>25</v>
      </c>
      <c r="G4" s="9">
        <f>G3</f>
        <v>70000</v>
      </c>
      <c r="H4" s="8" t="s">
        <v>33</v>
      </c>
      <c r="I4" s="8" t="s">
        <v>34</v>
      </c>
      <c r="J4" s="10">
        <v>0.72222222222222221</v>
      </c>
      <c r="K4" s="11">
        <v>0.7104166666666667</v>
      </c>
      <c r="L4" s="10">
        <v>0.52777777777777779</v>
      </c>
      <c r="M4" s="11">
        <v>0.53541666666666665</v>
      </c>
      <c r="N4" s="7" t="s">
        <v>66</v>
      </c>
      <c r="O4" s="7" t="s">
        <v>277</v>
      </c>
      <c r="P4" s="3">
        <v>1422</v>
      </c>
      <c r="Q4" s="7">
        <v>998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v>43463</v>
      </c>
      <c r="B5" s="8" t="s">
        <v>21</v>
      </c>
      <c r="C5" s="8" t="s">
        <v>35</v>
      </c>
      <c r="D5" s="8" t="s">
        <v>23</v>
      </c>
      <c r="E5" s="3" t="s">
        <v>293</v>
      </c>
      <c r="F5" s="8" t="s">
        <v>25</v>
      </c>
      <c r="G5" s="9">
        <v>71500</v>
      </c>
      <c r="H5" s="8" t="s">
        <v>36</v>
      </c>
      <c r="I5" s="8" t="s">
        <v>37</v>
      </c>
      <c r="J5" s="12">
        <v>0.91319444444444453</v>
      </c>
      <c r="K5" s="13">
        <v>0.93125000000000002</v>
      </c>
      <c r="L5" s="12">
        <v>0.74305555555555547</v>
      </c>
      <c r="M5" s="92">
        <v>0.75</v>
      </c>
      <c r="N5" s="7" t="s">
        <v>320</v>
      </c>
      <c r="O5" s="7" t="s">
        <v>42</v>
      </c>
      <c r="P5" s="3">
        <v>880</v>
      </c>
      <c r="Q5" s="7">
        <v>957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D1" workbookViewId="0">
      <selection activeCell="L11" sqref="L11"/>
    </sheetView>
  </sheetViews>
  <sheetFormatPr defaultRowHeight="15" x14ac:dyDescent="0.25"/>
  <cols>
    <col min="3" max="3" width="13.5703125" bestFit="1" customWidth="1"/>
    <col min="4" max="4" width="5.710937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15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15" customFormat="1" ht="12.75" x14ac:dyDescent="0.25">
      <c r="A2" s="2">
        <v>43464</v>
      </c>
      <c r="B2" s="16" t="s">
        <v>21</v>
      </c>
      <c r="C2" s="16" t="s">
        <v>46</v>
      </c>
      <c r="D2" s="16" t="s">
        <v>23</v>
      </c>
      <c r="E2" s="8" t="s">
        <v>293</v>
      </c>
      <c r="F2" s="16" t="s">
        <v>25</v>
      </c>
      <c r="G2" s="17">
        <v>71500</v>
      </c>
      <c r="H2" s="16" t="s">
        <v>47</v>
      </c>
      <c r="I2" s="16" t="s">
        <v>48</v>
      </c>
      <c r="J2" s="18">
        <v>0.4826388888888889</v>
      </c>
      <c r="K2" s="19">
        <v>0.4694444444444445</v>
      </c>
      <c r="L2" s="18">
        <v>0.27777777777777779</v>
      </c>
      <c r="M2" s="19">
        <v>0.28055555555555556</v>
      </c>
      <c r="N2" s="20" t="s">
        <v>321</v>
      </c>
      <c r="O2" s="20" t="s">
        <v>322</v>
      </c>
      <c r="P2" s="20">
        <v>1405</v>
      </c>
      <c r="Q2" s="20">
        <v>1134</v>
      </c>
      <c r="R2" s="16">
        <v>0</v>
      </c>
      <c r="S2" s="16">
        <v>0</v>
      </c>
      <c r="T2" s="16">
        <v>0</v>
      </c>
      <c r="U2" s="16">
        <v>0</v>
      </c>
    </row>
    <row r="3" spans="1:21" s="15" customFormat="1" ht="12.75" x14ac:dyDescent="0.25">
      <c r="A3" s="2">
        <v>43464</v>
      </c>
      <c r="B3" s="16" t="s">
        <v>21</v>
      </c>
      <c r="C3" s="16" t="s">
        <v>49</v>
      </c>
      <c r="D3" s="16" t="s">
        <v>23</v>
      </c>
      <c r="E3" s="16" t="s">
        <v>59</v>
      </c>
      <c r="F3" s="16" t="s">
        <v>25</v>
      </c>
      <c r="G3" s="17">
        <v>70000</v>
      </c>
      <c r="H3" s="16" t="s">
        <v>50</v>
      </c>
      <c r="I3" s="16" t="s">
        <v>51</v>
      </c>
      <c r="J3" s="18">
        <v>0.65277777777777779</v>
      </c>
      <c r="K3" s="19">
        <v>0.64513888888888882</v>
      </c>
      <c r="L3" s="18">
        <v>0.5</v>
      </c>
      <c r="M3" s="19">
        <v>0.50763888888888886</v>
      </c>
      <c r="N3" s="20" t="s">
        <v>187</v>
      </c>
      <c r="O3" s="20" t="s">
        <v>323</v>
      </c>
      <c r="P3" s="16">
        <v>1284</v>
      </c>
      <c r="Q3" s="20">
        <v>1379</v>
      </c>
      <c r="R3" s="16">
        <v>0</v>
      </c>
      <c r="S3" s="16">
        <v>0</v>
      </c>
      <c r="T3" s="16">
        <v>0</v>
      </c>
      <c r="U3" s="16">
        <v>0</v>
      </c>
    </row>
    <row r="4" spans="1:21" s="8" customFormat="1" ht="12.75" x14ac:dyDescent="0.25">
      <c r="A4" s="22">
        <f>A3</f>
        <v>43464</v>
      </c>
      <c r="B4" s="8" t="s">
        <v>21</v>
      </c>
      <c r="C4" s="8" t="s">
        <v>52</v>
      </c>
      <c r="D4" s="8" t="s">
        <v>23</v>
      </c>
      <c r="E4" s="8" t="s">
        <v>293</v>
      </c>
      <c r="F4" s="8" t="s">
        <v>25</v>
      </c>
      <c r="G4" s="9">
        <v>71500</v>
      </c>
      <c r="H4" s="8" t="s">
        <v>53</v>
      </c>
      <c r="I4" s="8" t="s">
        <v>54</v>
      </c>
      <c r="J4" s="10">
        <v>0.69791666666666663</v>
      </c>
      <c r="K4" s="11">
        <v>0.70138888888888884</v>
      </c>
      <c r="L4" s="10">
        <v>0.52777777777777779</v>
      </c>
      <c r="M4" s="11">
        <v>0.54999999999999993</v>
      </c>
      <c r="N4" s="8" t="s">
        <v>64</v>
      </c>
      <c r="O4" s="23" t="s">
        <v>324</v>
      </c>
      <c r="P4" s="8">
        <v>1035</v>
      </c>
      <c r="Q4" s="8">
        <v>1065</v>
      </c>
      <c r="R4" s="8">
        <v>0</v>
      </c>
      <c r="S4" s="8">
        <v>0</v>
      </c>
      <c r="T4" s="8">
        <v>0</v>
      </c>
      <c r="U4" s="8">
        <v>0</v>
      </c>
    </row>
    <row r="5" spans="1:21" s="15" customFormat="1" ht="12.75" x14ac:dyDescent="0.25">
      <c r="A5" s="22">
        <f>A4</f>
        <v>43464</v>
      </c>
      <c r="B5" s="8" t="s">
        <v>21</v>
      </c>
      <c r="C5" s="8" t="s">
        <v>55</v>
      </c>
      <c r="D5" s="8" t="s">
        <v>23</v>
      </c>
      <c r="E5" s="8" t="s">
        <v>59</v>
      </c>
      <c r="F5" s="8" t="s">
        <v>25</v>
      </c>
      <c r="G5" s="9">
        <v>70000</v>
      </c>
      <c r="H5" s="8" t="s">
        <v>56</v>
      </c>
      <c r="I5" s="8" t="s">
        <v>57</v>
      </c>
      <c r="J5" s="24">
        <v>0.88888888888888884</v>
      </c>
      <c r="K5" s="25">
        <v>0.86944444444444446</v>
      </c>
      <c r="L5" s="24">
        <v>0.68402777777777779</v>
      </c>
      <c r="M5" s="25">
        <v>0.68472222222222223</v>
      </c>
      <c r="N5" s="93" t="s">
        <v>221</v>
      </c>
      <c r="O5" s="8" t="s">
        <v>325</v>
      </c>
      <c r="P5" s="93">
        <v>1315</v>
      </c>
      <c r="Q5" s="8">
        <v>1215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2">
        <f>A5</f>
        <v>43464</v>
      </c>
      <c r="B6" s="8" t="s">
        <v>21</v>
      </c>
      <c r="C6" s="8" t="s">
        <v>75</v>
      </c>
      <c r="D6" s="8" t="s">
        <v>23</v>
      </c>
      <c r="E6" s="8" t="s">
        <v>293</v>
      </c>
      <c r="F6" s="8" t="s">
        <v>25</v>
      </c>
      <c r="G6" s="17">
        <v>71500</v>
      </c>
      <c r="H6" s="8" t="s">
        <v>77</v>
      </c>
      <c r="I6" s="8" t="s">
        <v>76</v>
      </c>
      <c r="J6" s="24">
        <v>0.95486111111111116</v>
      </c>
      <c r="K6" s="25">
        <v>0.9590277777777777</v>
      </c>
      <c r="L6" s="24">
        <v>0.71875</v>
      </c>
      <c r="M6" s="25">
        <v>0.73611111111111116</v>
      </c>
      <c r="N6" s="8" t="s">
        <v>86</v>
      </c>
      <c r="O6" s="8" t="s">
        <v>326</v>
      </c>
      <c r="P6" s="8">
        <v>1261</v>
      </c>
      <c r="Q6" s="8">
        <v>1433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F1" zoomScaleNormal="100" workbookViewId="0">
      <selection activeCell="K7" sqref="K7"/>
    </sheetView>
  </sheetViews>
  <sheetFormatPr defaultRowHeight="12.75" x14ac:dyDescent="0.2"/>
  <cols>
    <col min="1" max="1" width="9.140625" style="47"/>
    <col min="2" max="2" width="18.42578125" style="47" customWidth="1"/>
    <col min="3" max="3" width="15.85546875" style="47" customWidth="1"/>
    <col min="4" max="4" width="9.140625" style="47"/>
    <col min="5" max="5" width="18.140625" style="47" customWidth="1"/>
    <col min="6" max="6" width="26.7109375" style="47" customWidth="1"/>
    <col min="7" max="7" width="12" style="47" customWidth="1"/>
    <col min="8" max="8" width="9.140625" style="47"/>
    <col min="9" max="9" width="9.7109375" style="47" bestFit="1" customWidth="1"/>
    <col min="10" max="10" width="11" style="47" bestFit="1" customWidth="1"/>
    <col min="11" max="11" width="10.85546875" style="47" bestFit="1" customWidth="1"/>
    <col min="12" max="12" width="11" style="47" bestFit="1" customWidth="1"/>
    <col min="13" max="13" width="10.85546875" style="47" bestFit="1" customWidth="1"/>
    <col min="14" max="15" width="18.42578125" style="47" bestFit="1" customWidth="1"/>
    <col min="16" max="17" width="10.28515625" style="47" bestFit="1" customWidth="1"/>
    <col min="18" max="257" width="9.140625" style="47"/>
    <col min="258" max="258" width="18.42578125" style="47" customWidth="1"/>
    <col min="259" max="259" width="15.28515625" style="47" customWidth="1"/>
    <col min="260" max="260" width="9.140625" style="47"/>
    <col min="261" max="261" width="18.140625" style="47" customWidth="1"/>
    <col min="262" max="262" width="26.7109375" style="47" customWidth="1"/>
    <col min="263" max="264" width="9.140625" style="47"/>
    <col min="265" max="265" width="9.7109375" style="47" bestFit="1" customWidth="1"/>
    <col min="266" max="266" width="11" style="47" bestFit="1" customWidth="1"/>
    <col min="267" max="267" width="10.85546875" style="47" bestFit="1" customWidth="1"/>
    <col min="268" max="268" width="11" style="47" bestFit="1" customWidth="1"/>
    <col min="269" max="269" width="10.85546875" style="47" bestFit="1" customWidth="1"/>
    <col min="270" max="271" width="18.42578125" style="47" bestFit="1" customWidth="1"/>
    <col min="272" max="273" width="10.28515625" style="47" bestFit="1" customWidth="1"/>
    <col min="274" max="513" width="9.140625" style="47"/>
    <col min="514" max="514" width="18.42578125" style="47" customWidth="1"/>
    <col min="515" max="515" width="15.28515625" style="47" customWidth="1"/>
    <col min="516" max="516" width="9.140625" style="47"/>
    <col min="517" max="517" width="18.140625" style="47" customWidth="1"/>
    <col min="518" max="518" width="26.7109375" style="47" customWidth="1"/>
    <col min="519" max="520" width="9.140625" style="47"/>
    <col min="521" max="521" width="9.7109375" style="47" bestFit="1" customWidth="1"/>
    <col min="522" max="522" width="11" style="47" bestFit="1" customWidth="1"/>
    <col min="523" max="523" width="10.85546875" style="47" bestFit="1" customWidth="1"/>
    <col min="524" max="524" width="11" style="47" bestFit="1" customWidth="1"/>
    <col min="525" max="525" width="10.85546875" style="47" bestFit="1" customWidth="1"/>
    <col min="526" max="527" width="18.42578125" style="47" bestFit="1" customWidth="1"/>
    <col min="528" max="529" width="10.28515625" style="47" bestFit="1" customWidth="1"/>
    <col min="530" max="769" width="9.140625" style="47"/>
    <col min="770" max="770" width="18.42578125" style="47" customWidth="1"/>
    <col min="771" max="771" width="15.28515625" style="47" customWidth="1"/>
    <col min="772" max="772" width="9.140625" style="47"/>
    <col min="773" max="773" width="18.140625" style="47" customWidth="1"/>
    <col min="774" max="774" width="26.7109375" style="47" customWidth="1"/>
    <col min="775" max="776" width="9.140625" style="47"/>
    <col min="777" max="777" width="9.7109375" style="47" bestFit="1" customWidth="1"/>
    <col min="778" max="778" width="11" style="47" bestFit="1" customWidth="1"/>
    <col min="779" max="779" width="10.85546875" style="47" bestFit="1" customWidth="1"/>
    <col min="780" max="780" width="11" style="47" bestFit="1" customWidth="1"/>
    <col min="781" max="781" width="10.85546875" style="47" bestFit="1" customWidth="1"/>
    <col min="782" max="783" width="18.42578125" style="47" bestFit="1" customWidth="1"/>
    <col min="784" max="785" width="10.28515625" style="47" bestFit="1" customWidth="1"/>
    <col min="786" max="1025" width="9.140625" style="47"/>
    <col min="1026" max="1026" width="18.42578125" style="47" customWidth="1"/>
    <col min="1027" max="1027" width="15.28515625" style="47" customWidth="1"/>
    <col min="1028" max="1028" width="9.140625" style="47"/>
    <col min="1029" max="1029" width="18.140625" style="47" customWidth="1"/>
    <col min="1030" max="1030" width="26.7109375" style="47" customWidth="1"/>
    <col min="1031" max="1032" width="9.140625" style="47"/>
    <col min="1033" max="1033" width="9.7109375" style="47" bestFit="1" customWidth="1"/>
    <col min="1034" max="1034" width="11" style="47" bestFit="1" customWidth="1"/>
    <col min="1035" max="1035" width="10.85546875" style="47" bestFit="1" customWidth="1"/>
    <col min="1036" max="1036" width="11" style="47" bestFit="1" customWidth="1"/>
    <col min="1037" max="1037" width="10.85546875" style="47" bestFit="1" customWidth="1"/>
    <col min="1038" max="1039" width="18.42578125" style="47" bestFit="1" customWidth="1"/>
    <col min="1040" max="1041" width="10.28515625" style="47" bestFit="1" customWidth="1"/>
    <col min="1042" max="1281" width="9.140625" style="47"/>
    <col min="1282" max="1282" width="18.42578125" style="47" customWidth="1"/>
    <col min="1283" max="1283" width="15.28515625" style="47" customWidth="1"/>
    <col min="1284" max="1284" width="9.140625" style="47"/>
    <col min="1285" max="1285" width="18.140625" style="47" customWidth="1"/>
    <col min="1286" max="1286" width="26.7109375" style="47" customWidth="1"/>
    <col min="1287" max="1288" width="9.140625" style="47"/>
    <col min="1289" max="1289" width="9.7109375" style="47" bestFit="1" customWidth="1"/>
    <col min="1290" max="1290" width="11" style="47" bestFit="1" customWidth="1"/>
    <col min="1291" max="1291" width="10.85546875" style="47" bestFit="1" customWidth="1"/>
    <col min="1292" max="1292" width="11" style="47" bestFit="1" customWidth="1"/>
    <col min="1293" max="1293" width="10.85546875" style="47" bestFit="1" customWidth="1"/>
    <col min="1294" max="1295" width="18.42578125" style="47" bestFit="1" customWidth="1"/>
    <col min="1296" max="1297" width="10.28515625" style="47" bestFit="1" customWidth="1"/>
    <col min="1298" max="1537" width="9.140625" style="47"/>
    <col min="1538" max="1538" width="18.42578125" style="47" customWidth="1"/>
    <col min="1539" max="1539" width="15.28515625" style="47" customWidth="1"/>
    <col min="1540" max="1540" width="9.140625" style="47"/>
    <col min="1541" max="1541" width="18.140625" style="47" customWidth="1"/>
    <col min="1542" max="1542" width="26.7109375" style="47" customWidth="1"/>
    <col min="1543" max="1544" width="9.140625" style="47"/>
    <col min="1545" max="1545" width="9.7109375" style="47" bestFit="1" customWidth="1"/>
    <col min="1546" max="1546" width="11" style="47" bestFit="1" customWidth="1"/>
    <col min="1547" max="1547" width="10.85546875" style="47" bestFit="1" customWidth="1"/>
    <col min="1548" max="1548" width="11" style="47" bestFit="1" customWidth="1"/>
    <col min="1549" max="1549" width="10.85546875" style="47" bestFit="1" customWidth="1"/>
    <col min="1550" max="1551" width="18.42578125" style="47" bestFit="1" customWidth="1"/>
    <col min="1552" max="1553" width="10.28515625" style="47" bestFit="1" customWidth="1"/>
    <col min="1554" max="1793" width="9.140625" style="47"/>
    <col min="1794" max="1794" width="18.42578125" style="47" customWidth="1"/>
    <col min="1795" max="1795" width="15.28515625" style="47" customWidth="1"/>
    <col min="1796" max="1796" width="9.140625" style="47"/>
    <col min="1797" max="1797" width="18.140625" style="47" customWidth="1"/>
    <col min="1798" max="1798" width="26.7109375" style="47" customWidth="1"/>
    <col min="1799" max="1800" width="9.140625" style="47"/>
    <col min="1801" max="1801" width="9.7109375" style="47" bestFit="1" customWidth="1"/>
    <col min="1802" max="1802" width="11" style="47" bestFit="1" customWidth="1"/>
    <col min="1803" max="1803" width="10.85546875" style="47" bestFit="1" customWidth="1"/>
    <col min="1804" max="1804" width="11" style="47" bestFit="1" customWidth="1"/>
    <col min="1805" max="1805" width="10.85546875" style="47" bestFit="1" customWidth="1"/>
    <col min="1806" max="1807" width="18.42578125" style="47" bestFit="1" customWidth="1"/>
    <col min="1808" max="1809" width="10.28515625" style="47" bestFit="1" customWidth="1"/>
    <col min="1810" max="2049" width="9.140625" style="47"/>
    <col min="2050" max="2050" width="18.42578125" style="47" customWidth="1"/>
    <col min="2051" max="2051" width="15.28515625" style="47" customWidth="1"/>
    <col min="2052" max="2052" width="9.140625" style="47"/>
    <col min="2053" max="2053" width="18.140625" style="47" customWidth="1"/>
    <col min="2054" max="2054" width="26.7109375" style="47" customWidth="1"/>
    <col min="2055" max="2056" width="9.140625" style="47"/>
    <col min="2057" max="2057" width="9.7109375" style="47" bestFit="1" customWidth="1"/>
    <col min="2058" max="2058" width="11" style="47" bestFit="1" customWidth="1"/>
    <col min="2059" max="2059" width="10.85546875" style="47" bestFit="1" customWidth="1"/>
    <col min="2060" max="2060" width="11" style="47" bestFit="1" customWidth="1"/>
    <col min="2061" max="2061" width="10.85546875" style="47" bestFit="1" customWidth="1"/>
    <col min="2062" max="2063" width="18.42578125" style="47" bestFit="1" customWidth="1"/>
    <col min="2064" max="2065" width="10.28515625" style="47" bestFit="1" customWidth="1"/>
    <col min="2066" max="2305" width="9.140625" style="47"/>
    <col min="2306" max="2306" width="18.42578125" style="47" customWidth="1"/>
    <col min="2307" max="2307" width="15.28515625" style="47" customWidth="1"/>
    <col min="2308" max="2308" width="9.140625" style="47"/>
    <col min="2309" max="2309" width="18.140625" style="47" customWidth="1"/>
    <col min="2310" max="2310" width="26.7109375" style="47" customWidth="1"/>
    <col min="2311" max="2312" width="9.140625" style="47"/>
    <col min="2313" max="2313" width="9.7109375" style="47" bestFit="1" customWidth="1"/>
    <col min="2314" max="2314" width="11" style="47" bestFit="1" customWidth="1"/>
    <col min="2315" max="2315" width="10.85546875" style="47" bestFit="1" customWidth="1"/>
    <col min="2316" max="2316" width="11" style="47" bestFit="1" customWidth="1"/>
    <col min="2317" max="2317" width="10.85546875" style="47" bestFit="1" customWidth="1"/>
    <col min="2318" max="2319" width="18.42578125" style="47" bestFit="1" customWidth="1"/>
    <col min="2320" max="2321" width="10.28515625" style="47" bestFit="1" customWidth="1"/>
    <col min="2322" max="2561" width="9.140625" style="47"/>
    <col min="2562" max="2562" width="18.42578125" style="47" customWidth="1"/>
    <col min="2563" max="2563" width="15.28515625" style="47" customWidth="1"/>
    <col min="2564" max="2564" width="9.140625" style="47"/>
    <col min="2565" max="2565" width="18.140625" style="47" customWidth="1"/>
    <col min="2566" max="2566" width="26.7109375" style="47" customWidth="1"/>
    <col min="2567" max="2568" width="9.140625" style="47"/>
    <col min="2569" max="2569" width="9.7109375" style="47" bestFit="1" customWidth="1"/>
    <col min="2570" max="2570" width="11" style="47" bestFit="1" customWidth="1"/>
    <col min="2571" max="2571" width="10.85546875" style="47" bestFit="1" customWidth="1"/>
    <col min="2572" max="2572" width="11" style="47" bestFit="1" customWidth="1"/>
    <col min="2573" max="2573" width="10.85546875" style="47" bestFit="1" customWidth="1"/>
    <col min="2574" max="2575" width="18.42578125" style="47" bestFit="1" customWidth="1"/>
    <col min="2576" max="2577" width="10.28515625" style="47" bestFit="1" customWidth="1"/>
    <col min="2578" max="2817" width="9.140625" style="47"/>
    <col min="2818" max="2818" width="18.42578125" style="47" customWidth="1"/>
    <col min="2819" max="2819" width="15.28515625" style="47" customWidth="1"/>
    <col min="2820" max="2820" width="9.140625" style="47"/>
    <col min="2821" max="2821" width="18.140625" style="47" customWidth="1"/>
    <col min="2822" max="2822" width="26.7109375" style="47" customWidth="1"/>
    <col min="2823" max="2824" width="9.140625" style="47"/>
    <col min="2825" max="2825" width="9.7109375" style="47" bestFit="1" customWidth="1"/>
    <col min="2826" max="2826" width="11" style="47" bestFit="1" customWidth="1"/>
    <col min="2827" max="2827" width="10.85546875" style="47" bestFit="1" customWidth="1"/>
    <col min="2828" max="2828" width="11" style="47" bestFit="1" customWidth="1"/>
    <col min="2829" max="2829" width="10.85546875" style="47" bestFit="1" customWidth="1"/>
    <col min="2830" max="2831" width="18.42578125" style="47" bestFit="1" customWidth="1"/>
    <col min="2832" max="2833" width="10.28515625" style="47" bestFit="1" customWidth="1"/>
    <col min="2834" max="3073" width="9.140625" style="47"/>
    <col min="3074" max="3074" width="18.42578125" style="47" customWidth="1"/>
    <col min="3075" max="3075" width="15.28515625" style="47" customWidth="1"/>
    <col min="3076" max="3076" width="9.140625" style="47"/>
    <col min="3077" max="3077" width="18.140625" style="47" customWidth="1"/>
    <col min="3078" max="3078" width="26.7109375" style="47" customWidth="1"/>
    <col min="3079" max="3080" width="9.140625" style="47"/>
    <col min="3081" max="3081" width="9.7109375" style="47" bestFit="1" customWidth="1"/>
    <col min="3082" max="3082" width="11" style="47" bestFit="1" customWidth="1"/>
    <col min="3083" max="3083" width="10.85546875" style="47" bestFit="1" customWidth="1"/>
    <col min="3084" max="3084" width="11" style="47" bestFit="1" customWidth="1"/>
    <col min="3085" max="3085" width="10.85546875" style="47" bestFit="1" customWidth="1"/>
    <col min="3086" max="3087" width="18.42578125" style="47" bestFit="1" customWidth="1"/>
    <col min="3088" max="3089" width="10.28515625" style="47" bestFit="1" customWidth="1"/>
    <col min="3090" max="3329" width="9.140625" style="47"/>
    <col min="3330" max="3330" width="18.42578125" style="47" customWidth="1"/>
    <col min="3331" max="3331" width="15.28515625" style="47" customWidth="1"/>
    <col min="3332" max="3332" width="9.140625" style="47"/>
    <col min="3333" max="3333" width="18.140625" style="47" customWidth="1"/>
    <col min="3334" max="3334" width="26.7109375" style="47" customWidth="1"/>
    <col min="3335" max="3336" width="9.140625" style="47"/>
    <col min="3337" max="3337" width="9.7109375" style="47" bestFit="1" customWidth="1"/>
    <col min="3338" max="3338" width="11" style="47" bestFit="1" customWidth="1"/>
    <col min="3339" max="3339" width="10.85546875" style="47" bestFit="1" customWidth="1"/>
    <col min="3340" max="3340" width="11" style="47" bestFit="1" customWidth="1"/>
    <col min="3341" max="3341" width="10.85546875" style="47" bestFit="1" customWidth="1"/>
    <col min="3342" max="3343" width="18.42578125" style="47" bestFit="1" customWidth="1"/>
    <col min="3344" max="3345" width="10.28515625" style="47" bestFit="1" customWidth="1"/>
    <col min="3346" max="3585" width="9.140625" style="47"/>
    <col min="3586" max="3586" width="18.42578125" style="47" customWidth="1"/>
    <col min="3587" max="3587" width="15.28515625" style="47" customWidth="1"/>
    <col min="3588" max="3588" width="9.140625" style="47"/>
    <col min="3589" max="3589" width="18.140625" style="47" customWidth="1"/>
    <col min="3590" max="3590" width="26.7109375" style="47" customWidth="1"/>
    <col min="3591" max="3592" width="9.140625" style="47"/>
    <col min="3593" max="3593" width="9.7109375" style="47" bestFit="1" customWidth="1"/>
    <col min="3594" max="3594" width="11" style="47" bestFit="1" customWidth="1"/>
    <col min="3595" max="3595" width="10.85546875" style="47" bestFit="1" customWidth="1"/>
    <col min="3596" max="3596" width="11" style="47" bestFit="1" customWidth="1"/>
    <col min="3597" max="3597" width="10.85546875" style="47" bestFit="1" customWidth="1"/>
    <col min="3598" max="3599" width="18.42578125" style="47" bestFit="1" customWidth="1"/>
    <col min="3600" max="3601" width="10.28515625" style="47" bestFit="1" customWidth="1"/>
    <col min="3602" max="3841" width="9.140625" style="47"/>
    <col min="3842" max="3842" width="18.42578125" style="47" customWidth="1"/>
    <col min="3843" max="3843" width="15.28515625" style="47" customWidth="1"/>
    <col min="3844" max="3844" width="9.140625" style="47"/>
    <col min="3845" max="3845" width="18.140625" style="47" customWidth="1"/>
    <col min="3846" max="3846" width="26.7109375" style="47" customWidth="1"/>
    <col min="3847" max="3848" width="9.140625" style="47"/>
    <col min="3849" max="3849" width="9.7109375" style="47" bestFit="1" customWidth="1"/>
    <col min="3850" max="3850" width="11" style="47" bestFit="1" customWidth="1"/>
    <col min="3851" max="3851" width="10.85546875" style="47" bestFit="1" customWidth="1"/>
    <col min="3852" max="3852" width="11" style="47" bestFit="1" customWidth="1"/>
    <col min="3853" max="3853" width="10.85546875" style="47" bestFit="1" customWidth="1"/>
    <col min="3854" max="3855" width="18.42578125" style="47" bestFit="1" customWidth="1"/>
    <col min="3856" max="3857" width="10.28515625" style="47" bestFit="1" customWidth="1"/>
    <col min="3858" max="4097" width="9.140625" style="47"/>
    <col min="4098" max="4098" width="18.42578125" style="47" customWidth="1"/>
    <col min="4099" max="4099" width="15.28515625" style="47" customWidth="1"/>
    <col min="4100" max="4100" width="9.140625" style="47"/>
    <col min="4101" max="4101" width="18.140625" style="47" customWidth="1"/>
    <col min="4102" max="4102" width="26.7109375" style="47" customWidth="1"/>
    <col min="4103" max="4104" width="9.140625" style="47"/>
    <col min="4105" max="4105" width="9.7109375" style="47" bestFit="1" customWidth="1"/>
    <col min="4106" max="4106" width="11" style="47" bestFit="1" customWidth="1"/>
    <col min="4107" max="4107" width="10.85546875" style="47" bestFit="1" customWidth="1"/>
    <col min="4108" max="4108" width="11" style="47" bestFit="1" customWidth="1"/>
    <col min="4109" max="4109" width="10.85546875" style="47" bestFit="1" customWidth="1"/>
    <col min="4110" max="4111" width="18.42578125" style="47" bestFit="1" customWidth="1"/>
    <col min="4112" max="4113" width="10.28515625" style="47" bestFit="1" customWidth="1"/>
    <col min="4114" max="4353" width="9.140625" style="47"/>
    <col min="4354" max="4354" width="18.42578125" style="47" customWidth="1"/>
    <col min="4355" max="4355" width="15.28515625" style="47" customWidth="1"/>
    <col min="4356" max="4356" width="9.140625" style="47"/>
    <col min="4357" max="4357" width="18.140625" style="47" customWidth="1"/>
    <col min="4358" max="4358" width="26.7109375" style="47" customWidth="1"/>
    <col min="4359" max="4360" width="9.140625" style="47"/>
    <col min="4361" max="4361" width="9.7109375" style="47" bestFit="1" customWidth="1"/>
    <col min="4362" max="4362" width="11" style="47" bestFit="1" customWidth="1"/>
    <col min="4363" max="4363" width="10.85546875" style="47" bestFit="1" customWidth="1"/>
    <col min="4364" max="4364" width="11" style="47" bestFit="1" customWidth="1"/>
    <col min="4365" max="4365" width="10.85546875" style="47" bestFit="1" customWidth="1"/>
    <col min="4366" max="4367" width="18.42578125" style="47" bestFit="1" customWidth="1"/>
    <col min="4368" max="4369" width="10.28515625" style="47" bestFit="1" customWidth="1"/>
    <col min="4370" max="4609" width="9.140625" style="47"/>
    <col min="4610" max="4610" width="18.42578125" style="47" customWidth="1"/>
    <col min="4611" max="4611" width="15.28515625" style="47" customWidth="1"/>
    <col min="4612" max="4612" width="9.140625" style="47"/>
    <col min="4613" max="4613" width="18.140625" style="47" customWidth="1"/>
    <col min="4614" max="4614" width="26.7109375" style="47" customWidth="1"/>
    <col min="4615" max="4616" width="9.140625" style="47"/>
    <col min="4617" max="4617" width="9.7109375" style="47" bestFit="1" customWidth="1"/>
    <col min="4618" max="4618" width="11" style="47" bestFit="1" customWidth="1"/>
    <col min="4619" max="4619" width="10.85546875" style="47" bestFit="1" customWidth="1"/>
    <col min="4620" max="4620" width="11" style="47" bestFit="1" customWidth="1"/>
    <col min="4621" max="4621" width="10.85546875" style="47" bestFit="1" customWidth="1"/>
    <col min="4622" max="4623" width="18.42578125" style="47" bestFit="1" customWidth="1"/>
    <col min="4624" max="4625" width="10.28515625" style="47" bestFit="1" customWidth="1"/>
    <col min="4626" max="4865" width="9.140625" style="47"/>
    <col min="4866" max="4866" width="18.42578125" style="47" customWidth="1"/>
    <col min="4867" max="4867" width="15.28515625" style="47" customWidth="1"/>
    <col min="4868" max="4868" width="9.140625" style="47"/>
    <col min="4869" max="4869" width="18.140625" style="47" customWidth="1"/>
    <col min="4870" max="4870" width="26.7109375" style="47" customWidth="1"/>
    <col min="4871" max="4872" width="9.140625" style="47"/>
    <col min="4873" max="4873" width="9.7109375" style="47" bestFit="1" customWidth="1"/>
    <col min="4874" max="4874" width="11" style="47" bestFit="1" customWidth="1"/>
    <col min="4875" max="4875" width="10.85546875" style="47" bestFit="1" customWidth="1"/>
    <col min="4876" max="4876" width="11" style="47" bestFit="1" customWidth="1"/>
    <col min="4877" max="4877" width="10.85546875" style="47" bestFit="1" customWidth="1"/>
    <col min="4878" max="4879" width="18.42578125" style="47" bestFit="1" customWidth="1"/>
    <col min="4880" max="4881" width="10.28515625" style="47" bestFit="1" customWidth="1"/>
    <col min="4882" max="5121" width="9.140625" style="47"/>
    <col min="5122" max="5122" width="18.42578125" style="47" customWidth="1"/>
    <col min="5123" max="5123" width="15.28515625" style="47" customWidth="1"/>
    <col min="5124" max="5124" width="9.140625" style="47"/>
    <col min="5125" max="5125" width="18.140625" style="47" customWidth="1"/>
    <col min="5126" max="5126" width="26.7109375" style="47" customWidth="1"/>
    <col min="5127" max="5128" width="9.140625" style="47"/>
    <col min="5129" max="5129" width="9.7109375" style="47" bestFit="1" customWidth="1"/>
    <col min="5130" max="5130" width="11" style="47" bestFit="1" customWidth="1"/>
    <col min="5131" max="5131" width="10.85546875" style="47" bestFit="1" customWidth="1"/>
    <col min="5132" max="5132" width="11" style="47" bestFit="1" customWidth="1"/>
    <col min="5133" max="5133" width="10.85546875" style="47" bestFit="1" customWidth="1"/>
    <col min="5134" max="5135" width="18.42578125" style="47" bestFit="1" customWidth="1"/>
    <col min="5136" max="5137" width="10.28515625" style="47" bestFit="1" customWidth="1"/>
    <col min="5138" max="5377" width="9.140625" style="47"/>
    <col min="5378" max="5378" width="18.42578125" style="47" customWidth="1"/>
    <col min="5379" max="5379" width="15.28515625" style="47" customWidth="1"/>
    <col min="5380" max="5380" width="9.140625" style="47"/>
    <col min="5381" max="5381" width="18.140625" style="47" customWidth="1"/>
    <col min="5382" max="5382" width="26.7109375" style="47" customWidth="1"/>
    <col min="5383" max="5384" width="9.140625" style="47"/>
    <col min="5385" max="5385" width="9.7109375" style="47" bestFit="1" customWidth="1"/>
    <col min="5386" max="5386" width="11" style="47" bestFit="1" customWidth="1"/>
    <col min="5387" max="5387" width="10.85546875" style="47" bestFit="1" customWidth="1"/>
    <col min="5388" max="5388" width="11" style="47" bestFit="1" customWidth="1"/>
    <col min="5389" max="5389" width="10.85546875" style="47" bestFit="1" customWidth="1"/>
    <col min="5390" max="5391" width="18.42578125" style="47" bestFit="1" customWidth="1"/>
    <col min="5392" max="5393" width="10.28515625" style="47" bestFit="1" customWidth="1"/>
    <col min="5394" max="5633" width="9.140625" style="47"/>
    <col min="5634" max="5634" width="18.42578125" style="47" customWidth="1"/>
    <col min="5635" max="5635" width="15.28515625" style="47" customWidth="1"/>
    <col min="5636" max="5636" width="9.140625" style="47"/>
    <col min="5637" max="5637" width="18.140625" style="47" customWidth="1"/>
    <col min="5638" max="5638" width="26.7109375" style="47" customWidth="1"/>
    <col min="5639" max="5640" width="9.140625" style="47"/>
    <col min="5641" max="5641" width="9.7109375" style="47" bestFit="1" customWidth="1"/>
    <col min="5642" max="5642" width="11" style="47" bestFit="1" customWidth="1"/>
    <col min="5643" max="5643" width="10.85546875" style="47" bestFit="1" customWidth="1"/>
    <col min="5644" max="5644" width="11" style="47" bestFit="1" customWidth="1"/>
    <col min="5645" max="5645" width="10.85546875" style="47" bestFit="1" customWidth="1"/>
    <col min="5646" max="5647" width="18.42578125" style="47" bestFit="1" customWidth="1"/>
    <col min="5648" max="5649" width="10.28515625" style="47" bestFit="1" customWidth="1"/>
    <col min="5650" max="5889" width="9.140625" style="47"/>
    <col min="5890" max="5890" width="18.42578125" style="47" customWidth="1"/>
    <col min="5891" max="5891" width="15.28515625" style="47" customWidth="1"/>
    <col min="5892" max="5892" width="9.140625" style="47"/>
    <col min="5893" max="5893" width="18.140625" style="47" customWidth="1"/>
    <col min="5894" max="5894" width="26.7109375" style="47" customWidth="1"/>
    <col min="5895" max="5896" width="9.140625" style="47"/>
    <col min="5897" max="5897" width="9.7109375" style="47" bestFit="1" customWidth="1"/>
    <col min="5898" max="5898" width="11" style="47" bestFit="1" customWidth="1"/>
    <col min="5899" max="5899" width="10.85546875" style="47" bestFit="1" customWidth="1"/>
    <col min="5900" max="5900" width="11" style="47" bestFit="1" customWidth="1"/>
    <col min="5901" max="5901" width="10.85546875" style="47" bestFit="1" customWidth="1"/>
    <col min="5902" max="5903" width="18.42578125" style="47" bestFit="1" customWidth="1"/>
    <col min="5904" max="5905" width="10.28515625" style="47" bestFit="1" customWidth="1"/>
    <col min="5906" max="6145" width="9.140625" style="47"/>
    <col min="6146" max="6146" width="18.42578125" style="47" customWidth="1"/>
    <col min="6147" max="6147" width="15.28515625" style="47" customWidth="1"/>
    <col min="6148" max="6148" width="9.140625" style="47"/>
    <col min="6149" max="6149" width="18.140625" style="47" customWidth="1"/>
    <col min="6150" max="6150" width="26.7109375" style="47" customWidth="1"/>
    <col min="6151" max="6152" width="9.140625" style="47"/>
    <col min="6153" max="6153" width="9.7109375" style="47" bestFit="1" customWidth="1"/>
    <col min="6154" max="6154" width="11" style="47" bestFit="1" customWidth="1"/>
    <col min="6155" max="6155" width="10.85546875" style="47" bestFit="1" customWidth="1"/>
    <col min="6156" max="6156" width="11" style="47" bestFit="1" customWidth="1"/>
    <col min="6157" max="6157" width="10.85546875" style="47" bestFit="1" customWidth="1"/>
    <col min="6158" max="6159" width="18.42578125" style="47" bestFit="1" customWidth="1"/>
    <col min="6160" max="6161" width="10.28515625" style="47" bestFit="1" customWidth="1"/>
    <col min="6162" max="6401" width="9.140625" style="47"/>
    <col min="6402" max="6402" width="18.42578125" style="47" customWidth="1"/>
    <col min="6403" max="6403" width="15.28515625" style="47" customWidth="1"/>
    <col min="6404" max="6404" width="9.140625" style="47"/>
    <col min="6405" max="6405" width="18.140625" style="47" customWidth="1"/>
    <col min="6406" max="6406" width="26.7109375" style="47" customWidth="1"/>
    <col min="6407" max="6408" width="9.140625" style="47"/>
    <col min="6409" max="6409" width="9.7109375" style="47" bestFit="1" customWidth="1"/>
    <col min="6410" max="6410" width="11" style="47" bestFit="1" customWidth="1"/>
    <col min="6411" max="6411" width="10.85546875" style="47" bestFit="1" customWidth="1"/>
    <col min="6412" max="6412" width="11" style="47" bestFit="1" customWidth="1"/>
    <col min="6413" max="6413" width="10.85546875" style="47" bestFit="1" customWidth="1"/>
    <col min="6414" max="6415" width="18.42578125" style="47" bestFit="1" customWidth="1"/>
    <col min="6416" max="6417" width="10.28515625" style="47" bestFit="1" customWidth="1"/>
    <col min="6418" max="6657" width="9.140625" style="47"/>
    <col min="6658" max="6658" width="18.42578125" style="47" customWidth="1"/>
    <col min="6659" max="6659" width="15.28515625" style="47" customWidth="1"/>
    <col min="6660" max="6660" width="9.140625" style="47"/>
    <col min="6661" max="6661" width="18.140625" style="47" customWidth="1"/>
    <col min="6662" max="6662" width="26.7109375" style="47" customWidth="1"/>
    <col min="6663" max="6664" width="9.140625" style="47"/>
    <col min="6665" max="6665" width="9.7109375" style="47" bestFit="1" customWidth="1"/>
    <col min="6666" max="6666" width="11" style="47" bestFit="1" customWidth="1"/>
    <col min="6667" max="6667" width="10.85546875" style="47" bestFit="1" customWidth="1"/>
    <col min="6668" max="6668" width="11" style="47" bestFit="1" customWidth="1"/>
    <col min="6669" max="6669" width="10.85546875" style="47" bestFit="1" customWidth="1"/>
    <col min="6670" max="6671" width="18.42578125" style="47" bestFit="1" customWidth="1"/>
    <col min="6672" max="6673" width="10.28515625" style="47" bestFit="1" customWidth="1"/>
    <col min="6674" max="6913" width="9.140625" style="47"/>
    <col min="6914" max="6914" width="18.42578125" style="47" customWidth="1"/>
    <col min="6915" max="6915" width="15.28515625" style="47" customWidth="1"/>
    <col min="6916" max="6916" width="9.140625" style="47"/>
    <col min="6917" max="6917" width="18.140625" style="47" customWidth="1"/>
    <col min="6918" max="6918" width="26.7109375" style="47" customWidth="1"/>
    <col min="6919" max="6920" width="9.140625" style="47"/>
    <col min="6921" max="6921" width="9.7109375" style="47" bestFit="1" customWidth="1"/>
    <col min="6922" max="6922" width="11" style="47" bestFit="1" customWidth="1"/>
    <col min="6923" max="6923" width="10.85546875" style="47" bestFit="1" customWidth="1"/>
    <col min="6924" max="6924" width="11" style="47" bestFit="1" customWidth="1"/>
    <col min="6925" max="6925" width="10.85546875" style="47" bestFit="1" customWidth="1"/>
    <col min="6926" max="6927" width="18.42578125" style="47" bestFit="1" customWidth="1"/>
    <col min="6928" max="6929" width="10.28515625" style="47" bestFit="1" customWidth="1"/>
    <col min="6930" max="7169" width="9.140625" style="47"/>
    <col min="7170" max="7170" width="18.42578125" style="47" customWidth="1"/>
    <col min="7171" max="7171" width="15.28515625" style="47" customWidth="1"/>
    <col min="7172" max="7172" width="9.140625" style="47"/>
    <col min="7173" max="7173" width="18.140625" style="47" customWidth="1"/>
    <col min="7174" max="7174" width="26.7109375" style="47" customWidth="1"/>
    <col min="7175" max="7176" width="9.140625" style="47"/>
    <col min="7177" max="7177" width="9.7109375" style="47" bestFit="1" customWidth="1"/>
    <col min="7178" max="7178" width="11" style="47" bestFit="1" customWidth="1"/>
    <col min="7179" max="7179" width="10.85546875" style="47" bestFit="1" customWidth="1"/>
    <col min="7180" max="7180" width="11" style="47" bestFit="1" customWidth="1"/>
    <col min="7181" max="7181" width="10.85546875" style="47" bestFit="1" customWidth="1"/>
    <col min="7182" max="7183" width="18.42578125" style="47" bestFit="1" customWidth="1"/>
    <col min="7184" max="7185" width="10.28515625" style="47" bestFit="1" customWidth="1"/>
    <col min="7186" max="7425" width="9.140625" style="47"/>
    <col min="7426" max="7426" width="18.42578125" style="47" customWidth="1"/>
    <col min="7427" max="7427" width="15.28515625" style="47" customWidth="1"/>
    <col min="7428" max="7428" width="9.140625" style="47"/>
    <col min="7429" max="7429" width="18.140625" style="47" customWidth="1"/>
    <col min="7430" max="7430" width="26.7109375" style="47" customWidth="1"/>
    <col min="7431" max="7432" width="9.140625" style="47"/>
    <col min="7433" max="7433" width="9.7109375" style="47" bestFit="1" customWidth="1"/>
    <col min="7434" max="7434" width="11" style="47" bestFit="1" customWidth="1"/>
    <col min="7435" max="7435" width="10.85546875" style="47" bestFit="1" customWidth="1"/>
    <col min="7436" max="7436" width="11" style="47" bestFit="1" customWidth="1"/>
    <col min="7437" max="7437" width="10.85546875" style="47" bestFit="1" customWidth="1"/>
    <col min="7438" max="7439" width="18.42578125" style="47" bestFit="1" customWidth="1"/>
    <col min="7440" max="7441" width="10.28515625" style="47" bestFit="1" customWidth="1"/>
    <col min="7442" max="7681" width="9.140625" style="47"/>
    <col min="7682" max="7682" width="18.42578125" style="47" customWidth="1"/>
    <col min="7683" max="7683" width="15.28515625" style="47" customWidth="1"/>
    <col min="7684" max="7684" width="9.140625" style="47"/>
    <col min="7685" max="7685" width="18.140625" style="47" customWidth="1"/>
    <col min="7686" max="7686" width="26.7109375" style="47" customWidth="1"/>
    <col min="7687" max="7688" width="9.140625" style="47"/>
    <col min="7689" max="7689" width="9.7109375" style="47" bestFit="1" customWidth="1"/>
    <col min="7690" max="7690" width="11" style="47" bestFit="1" customWidth="1"/>
    <col min="7691" max="7691" width="10.85546875" style="47" bestFit="1" customWidth="1"/>
    <col min="7692" max="7692" width="11" style="47" bestFit="1" customWidth="1"/>
    <col min="7693" max="7693" width="10.85546875" style="47" bestFit="1" customWidth="1"/>
    <col min="7694" max="7695" width="18.42578125" style="47" bestFit="1" customWidth="1"/>
    <col min="7696" max="7697" width="10.28515625" style="47" bestFit="1" customWidth="1"/>
    <col min="7698" max="7937" width="9.140625" style="47"/>
    <col min="7938" max="7938" width="18.42578125" style="47" customWidth="1"/>
    <col min="7939" max="7939" width="15.28515625" style="47" customWidth="1"/>
    <col min="7940" max="7940" width="9.140625" style="47"/>
    <col min="7941" max="7941" width="18.140625" style="47" customWidth="1"/>
    <col min="7942" max="7942" width="26.7109375" style="47" customWidth="1"/>
    <col min="7943" max="7944" width="9.140625" style="47"/>
    <col min="7945" max="7945" width="9.7109375" style="47" bestFit="1" customWidth="1"/>
    <col min="7946" max="7946" width="11" style="47" bestFit="1" customWidth="1"/>
    <col min="7947" max="7947" width="10.85546875" style="47" bestFit="1" customWidth="1"/>
    <col min="7948" max="7948" width="11" style="47" bestFit="1" customWidth="1"/>
    <col min="7949" max="7949" width="10.85546875" style="47" bestFit="1" customWidth="1"/>
    <col min="7950" max="7951" width="18.42578125" style="47" bestFit="1" customWidth="1"/>
    <col min="7952" max="7953" width="10.28515625" style="47" bestFit="1" customWidth="1"/>
    <col min="7954" max="8193" width="9.140625" style="47"/>
    <col min="8194" max="8194" width="18.42578125" style="47" customWidth="1"/>
    <col min="8195" max="8195" width="15.28515625" style="47" customWidth="1"/>
    <col min="8196" max="8196" width="9.140625" style="47"/>
    <col min="8197" max="8197" width="18.140625" style="47" customWidth="1"/>
    <col min="8198" max="8198" width="26.7109375" style="47" customWidth="1"/>
    <col min="8199" max="8200" width="9.140625" style="47"/>
    <col min="8201" max="8201" width="9.7109375" style="47" bestFit="1" customWidth="1"/>
    <col min="8202" max="8202" width="11" style="47" bestFit="1" customWidth="1"/>
    <col min="8203" max="8203" width="10.85546875" style="47" bestFit="1" customWidth="1"/>
    <col min="8204" max="8204" width="11" style="47" bestFit="1" customWidth="1"/>
    <col min="8205" max="8205" width="10.85546875" style="47" bestFit="1" customWidth="1"/>
    <col min="8206" max="8207" width="18.42578125" style="47" bestFit="1" customWidth="1"/>
    <col min="8208" max="8209" width="10.28515625" style="47" bestFit="1" customWidth="1"/>
    <col min="8210" max="8449" width="9.140625" style="47"/>
    <col min="8450" max="8450" width="18.42578125" style="47" customWidth="1"/>
    <col min="8451" max="8451" width="15.28515625" style="47" customWidth="1"/>
    <col min="8452" max="8452" width="9.140625" style="47"/>
    <col min="8453" max="8453" width="18.140625" style="47" customWidth="1"/>
    <col min="8454" max="8454" width="26.7109375" style="47" customWidth="1"/>
    <col min="8455" max="8456" width="9.140625" style="47"/>
    <col min="8457" max="8457" width="9.7109375" style="47" bestFit="1" customWidth="1"/>
    <col min="8458" max="8458" width="11" style="47" bestFit="1" customWidth="1"/>
    <col min="8459" max="8459" width="10.85546875" style="47" bestFit="1" customWidth="1"/>
    <col min="8460" max="8460" width="11" style="47" bestFit="1" customWidth="1"/>
    <col min="8461" max="8461" width="10.85546875" style="47" bestFit="1" customWidth="1"/>
    <col min="8462" max="8463" width="18.42578125" style="47" bestFit="1" customWidth="1"/>
    <col min="8464" max="8465" width="10.28515625" style="47" bestFit="1" customWidth="1"/>
    <col min="8466" max="8705" width="9.140625" style="47"/>
    <col min="8706" max="8706" width="18.42578125" style="47" customWidth="1"/>
    <col min="8707" max="8707" width="15.28515625" style="47" customWidth="1"/>
    <col min="8708" max="8708" width="9.140625" style="47"/>
    <col min="8709" max="8709" width="18.140625" style="47" customWidth="1"/>
    <col min="8710" max="8710" width="26.7109375" style="47" customWidth="1"/>
    <col min="8711" max="8712" width="9.140625" style="47"/>
    <col min="8713" max="8713" width="9.7109375" style="47" bestFit="1" customWidth="1"/>
    <col min="8714" max="8714" width="11" style="47" bestFit="1" customWidth="1"/>
    <col min="8715" max="8715" width="10.85546875" style="47" bestFit="1" customWidth="1"/>
    <col min="8716" max="8716" width="11" style="47" bestFit="1" customWidth="1"/>
    <col min="8717" max="8717" width="10.85546875" style="47" bestFit="1" customWidth="1"/>
    <col min="8718" max="8719" width="18.42578125" style="47" bestFit="1" customWidth="1"/>
    <col min="8720" max="8721" width="10.28515625" style="47" bestFit="1" customWidth="1"/>
    <col min="8722" max="8961" width="9.140625" style="47"/>
    <col min="8962" max="8962" width="18.42578125" style="47" customWidth="1"/>
    <col min="8963" max="8963" width="15.28515625" style="47" customWidth="1"/>
    <col min="8964" max="8964" width="9.140625" style="47"/>
    <col min="8965" max="8965" width="18.140625" style="47" customWidth="1"/>
    <col min="8966" max="8966" width="26.7109375" style="47" customWidth="1"/>
    <col min="8967" max="8968" width="9.140625" style="47"/>
    <col min="8969" max="8969" width="9.7109375" style="47" bestFit="1" customWidth="1"/>
    <col min="8970" max="8970" width="11" style="47" bestFit="1" customWidth="1"/>
    <col min="8971" max="8971" width="10.85546875" style="47" bestFit="1" customWidth="1"/>
    <col min="8972" max="8972" width="11" style="47" bestFit="1" customWidth="1"/>
    <col min="8973" max="8973" width="10.85546875" style="47" bestFit="1" customWidth="1"/>
    <col min="8974" max="8975" width="18.42578125" style="47" bestFit="1" customWidth="1"/>
    <col min="8976" max="8977" width="10.28515625" style="47" bestFit="1" customWidth="1"/>
    <col min="8978" max="9217" width="9.140625" style="47"/>
    <col min="9218" max="9218" width="18.42578125" style="47" customWidth="1"/>
    <col min="9219" max="9219" width="15.28515625" style="47" customWidth="1"/>
    <col min="9220" max="9220" width="9.140625" style="47"/>
    <col min="9221" max="9221" width="18.140625" style="47" customWidth="1"/>
    <col min="9222" max="9222" width="26.7109375" style="47" customWidth="1"/>
    <col min="9223" max="9224" width="9.140625" style="47"/>
    <col min="9225" max="9225" width="9.7109375" style="47" bestFit="1" customWidth="1"/>
    <col min="9226" max="9226" width="11" style="47" bestFit="1" customWidth="1"/>
    <col min="9227" max="9227" width="10.85546875" style="47" bestFit="1" customWidth="1"/>
    <col min="9228" max="9228" width="11" style="47" bestFit="1" customWidth="1"/>
    <col min="9229" max="9229" width="10.85546875" style="47" bestFit="1" customWidth="1"/>
    <col min="9230" max="9231" width="18.42578125" style="47" bestFit="1" customWidth="1"/>
    <col min="9232" max="9233" width="10.28515625" style="47" bestFit="1" customWidth="1"/>
    <col min="9234" max="9473" width="9.140625" style="47"/>
    <col min="9474" max="9474" width="18.42578125" style="47" customWidth="1"/>
    <col min="9475" max="9475" width="15.28515625" style="47" customWidth="1"/>
    <col min="9476" max="9476" width="9.140625" style="47"/>
    <col min="9477" max="9477" width="18.140625" style="47" customWidth="1"/>
    <col min="9478" max="9478" width="26.7109375" style="47" customWidth="1"/>
    <col min="9479" max="9480" width="9.140625" style="47"/>
    <col min="9481" max="9481" width="9.7109375" style="47" bestFit="1" customWidth="1"/>
    <col min="9482" max="9482" width="11" style="47" bestFit="1" customWidth="1"/>
    <col min="9483" max="9483" width="10.85546875" style="47" bestFit="1" customWidth="1"/>
    <col min="9484" max="9484" width="11" style="47" bestFit="1" customWidth="1"/>
    <col min="9485" max="9485" width="10.85546875" style="47" bestFit="1" customWidth="1"/>
    <col min="9486" max="9487" width="18.42578125" style="47" bestFit="1" customWidth="1"/>
    <col min="9488" max="9489" width="10.28515625" style="47" bestFit="1" customWidth="1"/>
    <col min="9490" max="9729" width="9.140625" style="47"/>
    <col min="9730" max="9730" width="18.42578125" style="47" customWidth="1"/>
    <col min="9731" max="9731" width="15.28515625" style="47" customWidth="1"/>
    <col min="9732" max="9732" width="9.140625" style="47"/>
    <col min="9733" max="9733" width="18.140625" style="47" customWidth="1"/>
    <col min="9734" max="9734" width="26.7109375" style="47" customWidth="1"/>
    <col min="9735" max="9736" width="9.140625" style="47"/>
    <col min="9737" max="9737" width="9.7109375" style="47" bestFit="1" customWidth="1"/>
    <col min="9738" max="9738" width="11" style="47" bestFit="1" customWidth="1"/>
    <col min="9739" max="9739" width="10.85546875" style="47" bestFit="1" customWidth="1"/>
    <col min="9740" max="9740" width="11" style="47" bestFit="1" customWidth="1"/>
    <col min="9741" max="9741" width="10.85546875" style="47" bestFit="1" customWidth="1"/>
    <col min="9742" max="9743" width="18.42578125" style="47" bestFit="1" customWidth="1"/>
    <col min="9744" max="9745" width="10.28515625" style="47" bestFit="1" customWidth="1"/>
    <col min="9746" max="9985" width="9.140625" style="47"/>
    <col min="9986" max="9986" width="18.42578125" style="47" customWidth="1"/>
    <col min="9987" max="9987" width="15.28515625" style="47" customWidth="1"/>
    <col min="9988" max="9988" width="9.140625" style="47"/>
    <col min="9989" max="9989" width="18.140625" style="47" customWidth="1"/>
    <col min="9990" max="9990" width="26.7109375" style="47" customWidth="1"/>
    <col min="9991" max="9992" width="9.140625" style="47"/>
    <col min="9993" max="9993" width="9.7109375" style="47" bestFit="1" customWidth="1"/>
    <col min="9994" max="9994" width="11" style="47" bestFit="1" customWidth="1"/>
    <col min="9995" max="9995" width="10.85546875" style="47" bestFit="1" customWidth="1"/>
    <col min="9996" max="9996" width="11" style="47" bestFit="1" customWidth="1"/>
    <col min="9997" max="9997" width="10.85546875" style="47" bestFit="1" customWidth="1"/>
    <col min="9998" max="9999" width="18.42578125" style="47" bestFit="1" customWidth="1"/>
    <col min="10000" max="10001" width="10.28515625" style="47" bestFit="1" customWidth="1"/>
    <col min="10002" max="10241" width="9.140625" style="47"/>
    <col min="10242" max="10242" width="18.42578125" style="47" customWidth="1"/>
    <col min="10243" max="10243" width="15.28515625" style="47" customWidth="1"/>
    <col min="10244" max="10244" width="9.140625" style="47"/>
    <col min="10245" max="10245" width="18.140625" style="47" customWidth="1"/>
    <col min="10246" max="10246" width="26.7109375" style="47" customWidth="1"/>
    <col min="10247" max="10248" width="9.140625" style="47"/>
    <col min="10249" max="10249" width="9.7109375" style="47" bestFit="1" customWidth="1"/>
    <col min="10250" max="10250" width="11" style="47" bestFit="1" customWidth="1"/>
    <col min="10251" max="10251" width="10.85546875" style="47" bestFit="1" customWidth="1"/>
    <col min="10252" max="10252" width="11" style="47" bestFit="1" customWidth="1"/>
    <col min="10253" max="10253" width="10.85546875" style="47" bestFit="1" customWidth="1"/>
    <col min="10254" max="10255" width="18.42578125" style="47" bestFit="1" customWidth="1"/>
    <col min="10256" max="10257" width="10.28515625" style="47" bestFit="1" customWidth="1"/>
    <col min="10258" max="10497" width="9.140625" style="47"/>
    <col min="10498" max="10498" width="18.42578125" style="47" customWidth="1"/>
    <col min="10499" max="10499" width="15.28515625" style="47" customWidth="1"/>
    <col min="10500" max="10500" width="9.140625" style="47"/>
    <col min="10501" max="10501" width="18.140625" style="47" customWidth="1"/>
    <col min="10502" max="10502" width="26.7109375" style="47" customWidth="1"/>
    <col min="10503" max="10504" width="9.140625" style="47"/>
    <col min="10505" max="10505" width="9.7109375" style="47" bestFit="1" customWidth="1"/>
    <col min="10506" max="10506" width="11" style="47" bestFit="1" customWidth="1"/>
    <col min="10507" max="10507" width="10.85546875" style="47" bestFit="1" customWidth="1"/>
    <col min="10508" max="10508" width="11" style="47" bestFit="1" customWidth="1"/>
    <col min="10509" max="10509" width="10.85546875" style="47" bestFit="1" customWidth="1"/>
    <col min="10510" max="10511" width="18.42578125" style="47" bestFit="1" customWidth="1"/>
    <col min="10512" max="10513" width="10.28515625" style="47" bestFit="1" customWidth="1"/>
    <col min="10514" max="10753" width="9.140625" style="47"/>
    <col min="10754" max="10754" width="18.42578125" style="47" customWidth="1"/>
    <col min="10755" max="10755" width="15.28515625" style="47" customWidth="1"/>
    <col min="10756" max="10756" width="9.140625" style="47"/>
    <col min="10757" max="10757" width="18.140625" style="47" customWidth="1"/>
    <col min="10758" max="10758" width="26.7109375" style="47" customWidth="1"/>
    <col min="10759" max="10760" width="9.140625" style="47"/>
    <col min="10761" max="10761" width="9.7109375" style="47" bestFit="1" customWidth="1"/>
    <col min="10762" max="10762" width="11" style="47" bestFit="1" customWidth="1"/>
    <col min="10763" max="10763" width="10.85546875" style="47" bestFit="1" customWidth="1"/>
    <col min="10764" max="10764" width="11" style="47" bestFit="1" customWidth="1"/>
    <col min="10765" max="10765" width="10.85546875" style="47" bestFit="1" customWidth="1"/>
    <col min="10766" max="10767" width="18.42578125" style="47" bestFit="1" customWidth="1"/>
    <col min="10768" max="10769" width="10.28515625" style="47" bestFit="1" customWidth="1"/>
    <col min="10770" max="11009" width="9.140625" style="47"/>
    <col min="11010" max="11010" width="18.42578125" style="47" customWidth="1"/>
    <col min="11011" max="11011" width="15.28515625" style="47" customWidth="1"/>
    <col min="11012" max="11012" width="9.140625" style="47"/>
    <col min="11013" max="11013" width="18.140625" style="47" customWidth="1"/>
    <col min="11014" max="11014" width="26.7109375" style="47" customWidth="1"/>
    <col min="11015" max="11016" width="9.140625" style="47"/>
    <col min="11017" max="11017" width="9.7109375" style="47" bestFit="1" customWidth="1"/>
    <col min="11018" max="11018" width="11" style="47" bestFit="1" customWidth="1"/>
    <col min="11019" max="11019" width="10.85546875" style="47" bestFit="1" customWidth="1"/>
    <col min="11020" max="11020" width="11" style="47" bestFit="1" customWidth="1"/>
    <col min="11021" max="11021" width="10.85546875" style="47" bestFit="1" customWidth="1"/>
    <col min="11022" max="11023" width="18.42578125" style="47" bestFit="1" customWidth="1"/>
    <col min="11024" max="11025" width="10.28515625" style="47" bestFit="1" customWidth="1"/>
    <col min="11026" max="11265" width="9.140625" style="47"/>
    <col min="11266" max="11266" width="18.42578125" style="47" customWidth="1"/>
    <col min="11267" max="11267" width="15.28515625" style="47" customWidth="1"/>
    <col min="11268" max="11268" width="9.140625" style="47"/>
    <col min="11269" max="11269" width="18.140625" style="47" customWidth="1"/>
    <col min="11270" max="11270" width="26.7109375" style="47" customWidth="1"/>
    <col min="11271" max="11272" width="9.140625" style="47"/>
    <col min="11273" max="11273" width="9.7109375" style="47" bestFit="1" customWidth="1"/>
    <col min="11274" max="11274" width="11" style="47" bestFit="1" customWidth="1"/>
    <col min="11275" max="11275" width="10.85546875" style="47" bestFit="1" customWidth="1"/>
    <col min="11276" max="11276" width="11" style="47" bestFit="1" customWidth="1"/>
    <col min="11277" max="11277" width="10.85546875" style="47" bestFit="1" customWidth="1"/>
    <col min="11278" max="11279" width="18.42578125" style="47" bestFit="1" customWidth="1"/>
    <col min="11280" max="11281" width="10.28515625" style="47" bestFit="1" customWidth="1"/>
    <col min="11282" max="11521" width="9.140625" style="47"/>
    <col min="11522" max="11522" width="18.42578125" style="47" customWidth="1"/>
    <col min="11523" max="11523" width="15.28515625" style="47" customWidth="1"/>
    <col min="11524" max="11524" width="9.140625" style="47"/>
    <col min="11525" max="11525" width="18.140625" style="47" customWidth="1"/>
    <col min="11526" max="11526" width="26.7109375" style="47" customWidth="1"/>
    <col min="11527" max="11528" width="9.140625" style="47"/>
    <col min="11529" max="11529" width="9.7109375" style="47" bestFit="1" customWidth="1"/>
    <col min="11530" max="11530" width="11" style="47" bestFit="1" customWidth="1"/>
    <col min="11531" max="11531" width="10.85546875" style="47" bestFit="1" customWidth="1"/>
    <col min="11532" max="11532" width="11" style="47" bestFit="1" customWidth="1"/>
    <col min="11533" max="11533" width="10.85546875" style="47" bestFit="1" customWidth="1"/>
    <col min="11534" max="11535" width="18.42578125" style="47" bestFit="1" customWidth="1"/>
    <col min="11536" max="11537" width="10.28515625" style="47" bestFit="1" customWidth="1"/>
    <col min="11538" max="11777" width="9.140625" style="47"/>
    <col min="11778" max="11778" width="18.42578125" style="47" customWidth="1"/>
    <col min="11779" max="11779" width="15.28515625" style="47" customWidth="1"/>
    <col min="11780" max="11780" width="9.140625" style="47"/>
    <col min="11781" max="11781" width="18.140625" style="47" customWidth="1"/>
    <col min="11782" max="11782" width="26.7109375" style="47" customWidth="1"/>
    <col min="11783" max="11784" width="9.140625" style="47"/>
    <col min="11785" max="11785" width="9.7109375" style="47" bestFit="1" customWidth="1"/>
    <col min="11786" max="11786" width="11" style="47" bestFit="1" customWidth="1"/>
    <col min="11787" max="11787" width="10.85546875" style="47" bestFit="1" customWidth="1"/>
    <col min="11788" max="11788" width="11" style="47" bestFit="1" customWidth="1"/>
    <col min="11789" max="11789" width="10.85546875" style="47" bestFit="1" customWidth="1"/>
    <col min="11790" max="11791" width="18.42578125" style="47" bestFit="1" customWidth="1"/>
    <col min="11792" max="11793" width="10.28515625" style="47" bestFit="1" customWidth="1"/>
    <col min="11794" max="12033" width="9.140625" style="47"/>
    <col min="12034" max="12034" width="18.42578125" style="47" customWidth="1"/>
    <col min="12035" max="12035" width="15.28515625" style="47" customWidth="1"/>
    <col min="12036" max="12036" width="9.140625" style="47"/>
    <col min="12037" max="12037" width="18.140625" style="47" customWidth="1"/>
    <col min="12038" max="12038" width="26.7109375" style="47" customWidth="1"/>
    <col min="12039" max="12040" width="9.140625" style="47"/>
    <col min="12041" max="12041" width="9.7109375" style="47" bestFit="1" customWidth="1"/>
    <col min="12042" max="12042" width="11" style="47" bestFit="1" customWidth="1"/>
    <col min="12043" max="12043" width="10.85546875" style="47" bestFit="1" customWidth="1"/>
    <col min="12044" max="12044" width="11" style="47" bestFit="1" customWidth="1"/>
    <col min="12045" max="12045" width="10.85546875" style="47" bestFit="1" customWidth="1"/>
    <col min="12046" max="12047" width="18.42578125" style="47" bestFit="1" customWidth="1"/>
    <col min="12048" max="12049" width="10.28515625" style="47" bestFit="1" customWidth="1"/>
    <col min="12050" max="12289" width="9.140625" style="47"/>
    <col min="12290" max="12290" width="18.42578125" style="47" customWidth="1"/>
    <col min="12291" max="12291" width="15.28515625" style="47" customWidth="1"/>
    <col min="12292" max="12292" width="9.140625" style="47"/>
    <col min="12293" max="12293" width="18.140625" style="47" customWidth="1"/>
    <col min="12294" max="12294" width="26.7109375" style="47" customWidth="1"/>
    <col min="12295" max="12296" width="9.140625" style="47"/>
    <col min="12297" max="12297" width="9.7109375" style="47" bestFit="1" customWidth="1"/>
    <col min="12298" max="12298" width="11" style="47" bestFit="1" customWidth="1"/>
    <col min="12299" max="12299" width="10.85546875" style="47" bestFit="1" customWidth="1"/>
    <col min="12300" max="12300" width="11" style="47" bestFit="1" customWidth="1"/>
    <col min="12301" max="12301" width="10.85546875" style="47" bestFit="1" customWidth="1"/>
    <col min="12302" max="12303" width="18.42578125" style="47" bestFit="1" customWidth="1"/>
    <col min="12304" max="12305" width="10.28515625" style="47" bestFit="1" customWidth="1"/>
    <col min="12306" max="12545" width="9.140625" style="47"/>
    <col min="12546" max="12546" width="18.42578125" style="47" customWidth="1"/>
    <col min="12547" max="12547" width="15.28515625" style="47" customWidth="1"/>
    <col min="12548" max="12548" width="9.140625" style="47"/>
    <col min="12549" max="12549" width="18.140625" style="47" customWidth="1"/>
    <col min="12550" max="12550" width="26.7109375" style="47" customWidth="1"/>
    <col min="12551" max="12552" width="9.140625" style="47"/>
    <col min="12553" max="12553" width="9.7109375" style="47" bestFit="1" customWidth="1"/>
    <col min="12554" max="12554" width="11" style="47" bestFit="1" customWidth="1"/>
    <col min="12555" max="12555" width="10.85546875" style="47" bestFit="1" customWidth="1"/>
    <col min="12556" max="12556" width="11" style="47" bestFit="1" customWidth="1"/>
    <col min="12557" max="12557" width="10.85546875" style="47" bestFit="1" customWidth="1"/>
    <col min="12558" max="12559" width="18.42578125" style="47" bestFit="1" customWidth="1"/>
    <col min="12560" max="12561" width="10.28515625" style="47" bestFit="1" customWidth="1"/>
    <col min="12562" max="12801" width="9.140625" style="47"/>
    <col min="12802" max="12802" width="18.42578125" style="47" customWidth="1"/>
    <col min="12803" max="12803" width="15.28515625" style="47" customWidth="1"/>
    <col min="12804" max="12804" width="9.140625" style="47"/>
    <col min="12805" max="12805" width="18.140625" style="47" customWidth="1"/>
    <col min="12806" max="12806" width="26.7109375" style="47" customWidth="1"/>
    <col min="12807" max="12808" width="9.140625" style="47"/>
    <col min="12809" max="12809" width="9.7109375" style="47" bestFit="1" customWidth="1"/>
    <col min="12810" max="12810" width="11" style="47" bestFit="1" customWidth="1"/>
    <col min="12811" max="12811" width="10.85546875" style="47" bestFit="1" customWidth="1"/>
    <col min="12812" max="12812" width="11" style="47" bestFit="1" customWidth="1"/>
    <col min="12813" max="12813" width="10.85546875" style="47" bestFit="1" customWidth="1"/>
    <col min="12814" max="12815" width="18.42578125" style="47" bestFit="1" customWidth="1"/>
    <col min="12816" max="12817" width="10.28515625" style="47" bestFit="1" customWidth="1"/>
    <col min="12818" max="13057" width="9.140625" style="47"/>
    <col min="13058" max="13058" width="18.42578125" style="47" customWidth="1"/>
    <col min="13059" max="13059" width="15.28515625" style="47" customWidth="1"/>
    <col min="13060" max="13060" width="9.140625" style="47"/>
    <col min="13061" max="13061" width="18.140625" style="47" customWidth="1"/>
    <col min="13062" max="13062" width="26.7109375" style="47" customWidth="1"/>
    <col min="13063" max="13064" width="9.140625" style="47"/>
    <col min="13065" max="13065" width="9.7109375" style="47" bestFit="1" customWidth="1"/>
    <col min="13066" max="13066" width="11" style="47" bestFit="1" customWidth="1"/>
    <col min="13067" max="13067" width="10.85546875" style="47" bestFit="1" customWidth="1"/>
    <col min="13068" max="13068" width="11" style="47" bestFit="1" customWidth="1"/>
    <col min="13069" max="13069" width="10.85546875" style="47" bestFit="1" customWidth="1"/>
    <col min="13070" max="13071" width="18.42578125" style="47" bestFit="1" customWidth="1"/>
    <col min="13072" max="13073" width="10.28515625" style="47" bestFit="1" customWidth="1"/>
    <col min="13074" max="13313" width="9.140625" style="47"/>
    <col min="13314" max="13314" width="18.42578125" style="47" customWidth="1"/>
    <col min="13315" max="13315" width="15.28515625" style="47" customWidth="1"/>
    <col min="13316" max="13316" width="9.140625" style="47"/>
    <col min="13317" max="13317" width="18.140625" style="47" customWidth="1"/>
    <col min="13318" max="13318" width="26.7109375" style="47" customWidth="1"/>
    <col min="13319" max="13320" width="9.140625" style="47"/>
    <col min="13321" max="13321" width="9.7109375" style="47" bestFit="1" customWidth="1"/>
    <col min="13322" max="13322" width="11" style="47" bestFit="1" customWidth="1"/>
    <col min="13323" max="13323" width="10.85546875" style="47" bestFit="1" customWidth="1"/>
    <col min="13324" max="13324" width="11" style="47" bestFit="1" customWidth="1"/>
    <col min="13325" max="13325" width="10.85546875" style="47" bestFit="1" customWidth="1"/>
    <col min="13326" max="13327" width="18.42578125" style="47" bestFit="1" customWidth="1"/>
    <col min="13328" max="13329" width="10.28515625" style="47" bestFit="1" customWidth="1"/>
    <col min="13330" max="13569" width="9.140625" style="47"/>
    <col min="13570" max="13570" width="18.42578125" style="47" customWidth="1"/>
    <col min="13571" max="13571" width="15.28515625" style="47" customWidth="1"/>
    <col min="13572" max="13572" width="9.140625" style="47"/>
    <col min="13573" max="13573" width="18.140625" style="47" customWidth="1"/>
    <col min="13574" max="13574" width="26.7109375" style="47" customWidth="1"/>
    <col min="13575" max="13576" width="9.140625" style="47"/>
    <col min="13577" max="13577" width="9.7109375" style="47" bestFit="1" customWidth="1"/>
    <col min="13578" max="13578" width="11" style="47" bestFit="1" customWidth="1"/>
    <col min="13579" max="13579" width="10.85546875" style="47" bestFit="1" customWidth="1"/>
    <col min="13580" max="13580" width="11" style="47" bestFit="1" customWidth="1"/>
    <col min="13581" max="13581" width="10.85546875" style="47" bestFit="1" customWidth="1"/>
    <col min="13582" max="13583" width="18.42578125" style="47" bestFit="1" customWidth="1"/>
    <col min="13584" max="13585" width="10.28515625" style="47" bestFit="1" customWidth="1"/>
    <col min="13586" max="13825" width="9.140625" style="47"/>
    <col min="13826" max="13826" width="18.42578125" style="47" customWidth="1"/>
    <col min="13827" max="13827" width="15.28515625" style="47" customWidth="1"/>
    <col min="13828" max="13828" width="9.140625" style="47"/>
    <col min="13829" max="13829" width="18.140625" style="47" customWidth="1"/>
    <col min="13830" max="13830" width="26.7109375" style="47" customWidth="1"/>
    <col min="13831" max="13832" width="9.140625" style="47"/>
    <col min="13833" max="13833" width="9.7109375" style="47" bestFit="1" customWidth="1"/>
    <col min="13834" max="13834" width="11" style="47" bestFit="1" customWidth="1"/>
    <col min="13835" max="13835" width="10.85546875" style="47" bestFit="1" customWidth="1"/>
    <col min="13836" max="13836" width="11" style="47" bestFit="1" customWidth="1"/>
    <col min="13837" max="13837" width="10.85546875" style="47" bestFit="1" customWidth="1"/>
    <col min="13838" max="13839" width="18.42578125" style="47" bestFit="1" customWidth="1"/>
    <col min="13840" max="13841" width="10.28515625" style="47" bestFit="1" customWidth="1"/>
    <col min="13842" max="14081" width="9.140625" style="47"/>
    <col min="14082" max="14082" width="18.42578125" style="47" customWidth="1"/>
    <col min="14083" max="14083" width="15.28515625" style="47" customWidth="1"/>
    <col min="14084" max="14084" width="9.140625" style="47"/>
    <col min="14085" max="14085" width="18.140625" style="47" customWidth="1"/>
    <col min="14086" max="14086" width="26.7109375" style="47" customWidth="1"/>
    <col min="14087" max="14088" width="9.140625" style="47"/>
    <col min="14089" max="14089" width="9.7109375" style="47" bestFit="1" customWidth="1"/>
    <col min="14090" max="14090" width="11" style="47" bestFit="1" customWidth="1"/>
    <col min="14091" max="14091" width="10.85546875" style="47" bestFit="1" customWidth="1"/>
    <col min="14092" max="14092" width="11" style="47" bestFit="1" customWidth="1"/>
    <col min="14093" max="14093" width="10.85546875" style="47" bestFit="1" customWidth="1"/>
    <col min="14094" max="14095" width="18.42578125" style="47" bestFit="1" customWidth="1"/>
    <col min="14096" max="14097" width="10.28515625" style="47" bestFit="1" customWidth="1"/>
    <col min="14098" max="14337" width="9.140625" style="47"/>
    <col min="14338" max="14338" width="18.42578125" style="47" customWidth="1"/>
    <col min="14339" max="14339" width="15.28515625" style="47" customWidth="1"/>
    <col min="14340" max="14340" width="9.140625" style="47"/>
    <col min="14341" max="14341" width="18.140625" style="47" customWidth="1"/>
    <col min="14342" max="14342" width="26.7109375" style="47" customWidth="1"/>
    <col min="14343" max="14344" width="9.140625" style="47"/>
    <col min="14345" max="14345" width="9.7109375" style="47" bestFit="1" customWidth="1"/>
    <col min="14346" max="14346" width="11" style="47" bestFit="1" customWidth="1"/>
    <col min="14347" max="14347" width="10.85546875" style="47" bestFit="1" customWidth="1"/>
    <col min="14348" max="14348" width="11" style="47" bestFit="1" customWidth="1"/>
    <col min="14349" max="14349" width="10.85546875" style="47" bestFit="1" customWidth="1"/>
    <col min="14350" max="14351" width="18.42578125" style="47" bestFit="1" customWidth="1"/>
    <col min="14352" max="14353" width="10.28515625" style="47" bestFit="1" customWidth="1"/>
    <col min="14354" max="14593" width="9.140625" style="47"/>
    <col min="14594" max="14594" width="18.42578125" style="47" customWidth="1"/>
    <col min="14595" max="14595" width="15.28515625" style="47" customWidth="1"/>
    <col min="14596" max="14596" width="9.140625" style="47"/>
    <col min="14597" max="14597" width="18.140625" style="47" customWidth="1"/>
    <col min="14598" max="14598" width="26.7109375" style="47" customWidth="1"/>
    <col min="14599" max="14600" width="9.140625" style="47"/>
    <col min="14601" max="14601" width="9.7109375" style="47" bestFit="1" customWidth="1"/>
    <col min="14602" max="14602" width="11" style="47" bestFit="1" customWidth="1"/>
    <col min="14603" max="14603" width="10.85546875" style="47" bestFit="1" customWidth="1"/>
    <col min="14604" max="14604" width="11" style="47" bestFit="1" customWidth="1"/>
    <col min="14605" max="14605" width="10.85546875" style="47" bestFit="1" customWidth="1"/>
    <col min="14606" max="14607" width="18.42578125" style="47" bestFit="1" customWidth="1"/>
    <col min="14608" max="14609" width="10.28515625" style="47" bestFit="1" customWidth="1"/>
    <col min="14610" max="14849" width="9.140625" style="47"/>
    <col min="14850" max="14850" width="18.42578125" style="47" customWidth="1"/>
    <col min="14851" max="14851" width="15.28515625" style="47" customWidth="1"/>
    <col min="14852" max="14852" width="9.140625" style="47"/>
    <col min="14853" max="14853" width="18.140625" style="47" customWidth="1"/>
    <col min="14854" max="14854" width="26.7109375" style="47" customWidth="1"/>
    <col min="14855" max="14856" width="9.140625" style="47"/>
    <col min="14857" max="14857" width="9.7109375" style="47" bestFit="1" customWidth="1"/>
    <col min="14858" max="14858" width="11" style="47" bestFit="1" customWidth="1"/>
    <col min="14859" max="14859" width="10.85546875" style="47" bestFit="1" customWidth="1"/>
    <col min="14860" max="14860" width="11" style="47" bestFit="1" customWidth="1"/>
    <col min="14861" max="14861" width="10.85546875" style="47" bestFit="1" customWidth="1"/>
    <col min="14862" max="14863" width="18.42578125" style="47" bestFit="1" customWidth="1"/>
    <col min="14864" max="14865" width="10.28515625" style="47" bestFit="1" customWidth="1"/>
    <col min="14866" max="15105" width="9.140625" style="47"/>
    <col min="15106" max="15106" width="18.42578125" style="47" customWidth="1"/>
    <col min="15107" max="15107" width="15.28515625" style="47" customWidth="1"/>
    <col min="15108" max="15108" width="9.140625" style="47"/>
    <col min="15109" max="15109" width="18.140625" style="47" customWidth="1"/>
    <col min="15110" max="15110" width="26.7109375" style="47" customWidth="1"/>
    <col min="15111" max="15112" width="9.140625" style="47"/>
    <col min="15113" max="15113" width="9.7109375" style="47" bestFit="1" customWidth="1"/>
    <col min="15114" max="15114" width="11" style="47" bestFit="1" customWidth="1"/>
    <col min="15115" max="15115" width="10.85546875" style="47" bestFit="1" customWidth="1"/>
    <col min="15116" max="15116" width="11" style="47" bestFit="1" customWidth="1"/>
    <col min="15117" max="15117" width="10.85546875" style="47" bestFit="1" customWidth="1"/>
    <col min="15118" max="15119" width="18.42578125" style="47" bestFit="1" customWidth="1"/>
    <col min="15120" max="15121" width="10.28515625" style="47" bestFit="1" customWidth="1"/>
    <col min="15122" max="15361" width="9.140625" style="47"/>
    <col min="15362" max="15362" width="18.42578125" style="47" customWidth="1"/>
    <col min="15363" max="15363" width="15.28515625" style="47" customWidth="1"/>
    <col min="15364" max="15364" width="9.140625" style="47"/>
    <col min="15365" max="15365" width="18.140625" style="47" customWidth="1"/>
    <col min="15366" max="15366" width="26.7109375" style="47" customWidth="1"/>
    <col min="15367" max="15368" width="9.140625" style="47"/>
    <col min="15369" max="15369" width="9.7109375" style="47" bestFit="1" customWidth="1"/>
    <col min="15370" max="15370" width="11" style="47" bestFit="1" customWidth="1"/>
    <col min="15371" max="15371" width="10.85546875" style="47" bestFit="1" customWidth="1"/>
    <col min="15372" max="15372" width="11" style="47" bestFit="1" customWidth="1"/>
    <col min="15373" max="15373" width="10.85546875" style="47" bestFit="1" customWidth="1"/>
    <col min="15374" max="15375" width="18.42578125" style="47" bestFit="1" customWidth="1"/>
    <col min="15376" max="15377" width="10.28515625" style="47" bestFit="1" customWidth="1"/>
    <col min="15378" max="15617" width="9.140625" style="47"/>
    <col min="15618" max="15618" width="18.42578125" style="47" customWidth="1"/>
    <col min="15619" max="15619" width="15.28515625" style="47" customWidth="1"/>
    <col min="15620" max="15620" width="9.140625" style="47"/>
    <col min="15621" max="15621" width="18.140625" style="47" customWidth="1"/>
    <col min="15622" max="15622" width="26.7109375" style="47" customWidth="1"/>
    <col min="15623" max="15624" width="9.140625" style="47"/>
    <col min="15625" max="15625" width="9.7109375" style="47" bestFit="1" customWidth="1"/>
    <col min="15626" max="15626" width="11" style="47" bestFit="1" customWidth="1"/>
    <col min="15627" max="15627" width="10.85546875" style="47" bestFit="1" customWidth="1"/>
    <col min="15628" max="15628" width="11" style="47" bestFit="1" customWidth="1"/>
    <col min="15629" max="15629" width="10.85546875" style="47" bestFit="1" customWidth="1"/>
    <col min="15630" max="15631" width="18.42578125" style="47" bestFit="1" customWidth="1"/>
    <col min="15632" max="15633" width="10.28515625" style="47" bestFit="1" customWidth="1"/>
    <col min="15634" max="15873" width="9.140625" style="47"/>
    <col min="15874" max="15874" width="18.42578125" style="47" customWidth="1"/>
    <col min="15875" max="15875" width="15.28515625" style="47" customWidth="1"/>
    <col min="15876" max="15876" width="9.140625" style="47"/>
    <col min="15877" max="15877" width="18.140625" style="47" customWidth="1"/>
    <col min="15878" max="15878" width="26.7109375" style="47" customWidth="1"/>
    <col min="15879" max="15880" width="9.140625" style="47"/>
    <col min="15881" max="15881" width="9.7109375" style="47" bestFit="1" customWidth="1"/>
    <col min="15882" max="15882" width="11" style="47" bestFit="1" customWidth="1"/>
    <col min="15883" max="15883" width="10.85546875" style="47" bestFit="1" customWidth="1"/>
    <col min="15884" max="15884" width="11" style="47" bestFit="1" customWidth="1"/>
    <col min="15885" max="15885" width="10.85546875" style="47" bestFit="1" customWidth="1"/>
    <col min="15886" max="15887" width="18.42578125" style="47" bestFit="1" customWidth="1"/>
    <col min="15888" max="15889" width="10.28515625" style="47" bestFit="1" customWidth="1"/>
    <col min="15890" max="16129" width="9.140625" style="47"/>
    <col min="16130" max="16130" width="18.42578125" style="47" customWidth="1"/>
    <col min="16131" max="16131" width="15.28515625" style="47" customWidth="1"/>
    <col min="16132" max="16132" width="9.140625" style="47"/>
    <col min="16133" max="16133" width="18.140625" style="47" customWidth="1"/>
    <col min="16134" max="16134" width="26.7109375" style="47" customWidth="1"/>
    <col min="16135" max="16136" width="9.140625" style="47"/>
    <col min="16137" max="16137" width="9.7109375" style="47" bestFit="1" customWidth="1"/>
    <col min="16138" max="16138" width="11" style="47" bestFit="1" customWidth="1"/>
    <col min="16139" max="16139" width="10.85546875" style="47" bestFit="1" customWidth="1"/>
    <col min="16140" max="16140" width="11" style="47" bestFit="1" customWidth="1"/>
    <col min="16141" max="16141" width="10.85546875" style="47" bestFit="1" customWidth="1"/>
    <col min="16142" max="16143" width="18.42578125" style="47" bestFit="1" customWidth="1"/>
    <col min="16144" max="16145" width="10.28515625" style="47" bestFit="1" customWidth="1"/>
    <col min="16146" max="16384" width="9.140625" style="4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x14ac:dyDescent="0.2">
      <c r="A2" s="28">
        <v>43465</v>
      </c>
      <c r="B2" s="29" t="s">
        <v>21</v>
      </c>
      <c r="C2" s="29" t="s">
        <v>46</v>
      </c>
      <c r="D2" s="29" t="s">
        <v>23</v>
      </c>
      <c r="E2" s="29" t="s">
        <v>327</v>
      </c>
      <c r="F2" s="29" t="s">
        <v>25</v>
      </c>
      <c r="G2" s="30" t="s">
        <v>60</v>
      </c>
      <c r="H2" s="29" t="s">
        <v>48</v>
      </c>
      <c r="I2" s="29" t="s">
        <v>47</v>
      </c>
      <c r="J2" s="31">
        <v>0.4826388888888889</v>
      </c>
      <c r="K2" s="32">
        <v>0.46527777777777773</v>
      </c>
      <c r="L2" s="31">
        <v>0.27777777777777779</v>
      </c>
      <c r="M2" s="32">
        <v>0.28125</v>
      </c>
      <c r="N2" s="33" t="s">
        <v>330</v>
      </c>
      <c r="O2" s="33" t="s">
        <v>329</v>
      </c>
      <c r="P2" s="33">
        <v>1030</v>
      </c>
      <c r="Q2" s="33">
        <v>1073</v>
      </c>
      <c r="R2" s="29">
        <v>0</v>
      </c>
      <c r="S2" s="29">
        <v>0</v>
      </c>
      <c r="T2" s="29">
        <v>0</v>
      </c>
      <c r="U2" s="29">
        <v>0</v>
      </c>
    </row>
    <row r="3" spans="1:21" x14ac:dyDescent="0.2">
      <c r="A3" s="28">
        <f>A2</f>
        <v>43465</v>
      </c>
      <c r="B3" s="29" t="s">
        <v>21</v>
      </c>
      <c r="C3" s="29" t="s">
        <v>69</v>
      </c>
      <c r="D3" s="29" t="s">
        <v>23</v>
      </c>
      <c r="E3" s="29" t="s">
        <v>293</v>
      </c>
      <c r="F3" s="29" t="s">
        <v>25</v>
      </c>
      <c r="G3" s="30">
        <v>71500</v>
      </c>
      <c r="H3" s="29" t="s">
        <v>70</v>
      </c>
      <c r="I3" s="29" t="s">
        <v>71</v>
      </c>
      <c r="J3" s="31">
        <v>0.4826388888888889</v>
      </c>
      <c r="K3" s="32">
        <v>0.47916666666666669</v>
      </c>
      <c r="L3" s="31">
        <v>0.33333333333333331</v>
      </c>
      <c r="M3" s="32">
        <v>0.34652777777777777</v>
      </c>
      <c r="N3" s="33" t="s">
        <v>331</v>
      </c>
      <c r="O3" s="33" t="s">
        <v>287</v>
      </c>
      <c r="P3" s="29">
        <v>768</v>
      </c>
      <c r="Q3" s="33">
        <v>910</v>
      </c>
      <c r="R3" s="29">
        <v>0</v>
      </c>
      <c r="S3" s="29">
        <v>0</v>
      </c>
      <c r="T3" s="29">
        <v>0</v>
      </c>
      <c r="U3" s="29">
        <v>0</v>
      </c>
    </row>
    <row r="4" spans="1:21" x14ac:dyDescent="0.2">
      <c r="A4" s="28">
        <f>A3</f>
        <v>43465</v>
      </c>
      <c r="B4" s="34" t="s">
        <v>21</v>
      </c>
      <c r="C4" s="34" t="s">
        <v>72</v>
      </c>
      <c r="D4" s="34" t="s">
        <v>23</v>
      </c>
      <c r="E4" s="29" t="s">
        <v>293</v>
      </c>
      <c r="F4" s="34" t="s">
        <v>25</v>
      </c>
      <c r="G4" s="35">
        <v>71500</v>
      </c>
      <c r="H4" s="34" t="s">
        <v>73</v>
      </c>
      <c r="I4" s="34" t="s">
        <v>74</v>
      </c>
      <c r="J4" s="36">
        <v>0.71180555555555547</v>
      </c>
      <c r="K4" s="37">
        <v>0.71527777777777779</v>
      </c>
      <c r="L4" s="36">
        <v>0.50347222222222221</v>
      </c>
      <c r="M4" s="37">
        <v>0.51736111111111105</v>
      </c>
      <c r="N4" s="34" t="s">
        <v>334</v>
      </c>
      <c r="O4" s="34" t="s">
        <v>332</v>
      </c>
      <c r="P4" s="34">
        <v>836</v>
      </c>
      <c r="Q4" s="34">
        <v>845</v>
      </c>
      <c r="R4" s="34">
        <v>0</v>
      </c>
      <c r="S4" s="34">
        <v>0</v>
      </c>
      <c r="T4" s="34">
        <v>0</v>
      </c>
      <c r="U4" s="34">
        <v>0</v>
      </c>
    </row>
    <row r="5" spans="1:21" s="8" customFormat="1" x14ac:dyDescent="0.25">
      <c r="A5" s="22">
        <f>A4</f>
        <v>43465</v>
      </c>
      <c r="B5" s="8" t="s">
        <v>21</v>
      </c>
      <c r="C5" s="8" t="s">
        <v>52</v>
      </c>
      <c r="D5" s="8" t="s">
        <v>23</v>
      </c>
      <c r="E5" s="29" t="s">
        <v>328</v>
      </c>
      <c r="F5" s="8" t="s">
        <v>25</v>
      </c>
      <c r="G5" s="30">
        <v>71500</v>
      </c>
      <c r="H5" s="8" t="s">
        <v>53</v>
      </c>
      <c r="I5" s="8" t="s">
        <v>54</v>
      </c>
      <c r="J5" s="10">
        <v>0.69791666666666663</v>
      </c>
      <c r="K5" s="11">
        <v>0.70138888888888884</v>
      </c>
      <c r="L5" s="10">
        <v>0.52777777777777779</v>
      </c>
      <c r="M5" s="11">
        <v>0.54513888888888895</v>
      </c>
      <c r="N5" s="8" t="s">
        <v>95</v>
      </c>
      <c r="O5" s="23" t="s">
        <v>333</v>
      </c>
      <c r="P5" s="8">
        <v>669</v>
      </c>
      <c r="Q5" s="8">
        <v>971</v>
      </c>
      <c r="R5" s="8">
        <v>0</v>
      </c>
      <c r="S5" s="8">
        <v>0</v>
      </c>
      <c r="T5" s="8">
        <v>0</v>
      </c>
      <c r="U5" s="8">
        <v>0</v>
      </c>
    </row>
    <row r="6" spans="1:21" s="26" customFormat="1" x14ac:dyDescent="0.2">
      <c r="A6" s="28">
        <v>43465</v>
      </c>
      <c r="B6" s="26" t="s">
        <v>21</v>
      </c>
      <c r="C6" s="26" t="s">
        <v>274</v>
      </c>
      <c r="D6" s="26" t="s">
        <v>23</v>
      </c>
      <c r="E6" s="26" t="s">
        <v>328</v>
      </c>
      <c r="F6" s="26" t="s">
        <v>25</v>
      </c>
      <c r="G6" s="42">
        <f>G3</f>
        <v>71500</v>
      </c>
      <c r="H6" s="26" t="s">
        <v>57</v>
      </c>
      <c r="I6" s="29" t="s">
        <v>56</v>
      </c>
      <c r="J6" s="43">
        <v>0.94791666666666663</v>
      </c>
      <c r="K6" s="44">
        <v>0.94236111111111109</v>
      </c>
      <c r="L6" s="31">
        <v>0.74305555555555547</v>
      </c>
      <c r="M6" s="32">
        <v>0.75347222222222221</v>
      </c>
      <c r="N6" s="45" t="s">
        <v>335</v>
      </c>
      <c r="O6" s="34" t="s">
        <v>273</v>
      </c>
      <c r="P6" s="40">
        <v>314</v>
      </c>
      <c r="Q6" s="34">
        <v>960</v>
      </c>
      <c r="R6" s="34">
        <v>0</v>
      </c>
      <c r="S6" s="34">
        <v>0</v>
      </c>
      <c r="T6" s="34">
        <v>0</v>
      </c>
      <c r="U6" s="34">
        <v>0</v>
      </c>
    </row>
    <row r="7" spans="1:21" s="26" customFormat="1" x14ac:dyDescent="0.2">
      <c r="A7" s="28"/>
      <c r="G7" s="42"/>
      <c r="I7" s="29"/>
      <c r="J7" s="43"/>
      <c r="K7" s="44"/>
      <c r="L7" s="31"/>
      <c r="M7" s="32"/>
      <c r="N7" s="45"/>
      <c r="O7" s="34"/>
      <c r="P7" s="40"/>
      <c r="Q7" s="34"/>
      <c r="R7" s="34"/>
      <c r="S7" s="34"/>
      <c r="T7" s="34"/>
      <c r="U7" s="34"/>
    </row>
    <row r="8" spans="1:21" x14ac:dyDescent="0.2">
      <c r="A8" s="46"/>
      <c r="J8" s="48"/>
      <c r="K8" s="49"/>
      <c r="L8" s="48"/>
      <c r="M8" s="49"/>
      <c r="O8" s="34"/>
      <c r="P8" s="45"/>
      <c r="Q8" s="45"/>
      <c r="R8" s="34"/>
      <c r="S8" s="34"/>
      <c r="T8" s="34"/>
      <c r="U8" s="3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2018-12-01T04:53:11Z</dcterms:created>
  <dcterms:modified xsi:type="dcterms:W3CDTF">2018-12-31T21:38:30Z</dcterms:modified>
</cp:coreProperties>
</file>