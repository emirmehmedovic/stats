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 firstSheet="6" activeTab="26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2" sheetId="12" r:id="rId11"/>
    <sheet name="13" sheetId="13" r:id="rId12"/>
    <sheet name="14" sheetId="14" r:id="rId13"/>
    <sheet name="15" sheetId="15" r:id="rId14"/>
    <sheet name="16" sheetId="16" r:id="rId15"/>
    <sheet name="18" sheetId="11" r:id="rId16"/>
    <sheet name="19" sheetId="18" r:id="rId17"/>
    <sheet name="20" sheetId="19" r:id="rId18"/>
    <sheet name="21" sheetId="20" r:id="rId19"/>
    <sheet name="23" sheetId="22" r:id="rId20"/>
    <sheet name="24" sheetId="17" r:id="rId21"/>
    <sheet name="25" sheetId="23" r:id="rId22"/>
    <sheet name="26" sheetId="24" r:id="rId23"/>
    <sheet name="27" sheetId="25" r:id="rId24"/>
    <sheet name="28" sheetId="26" r:id="rId25"/>
    <sheet name="29" sheetId="21" r:id="rId26"/>
    <sheet name="30" sheetId="27" r:id="rId27"/>
  </sheets>
  <calcPr calcId="145621"/>
</workbook>
</file>

<file path=xl/calcChain.xml><?xml version="1.0" encoding="utf-8"?>
<calcChain xmlns="http://schemas.openxmlformats.org/spreadsheetml/2006/main">
  <c r="A8" i="27" l="1"/>
  <c r="E5" i="27" l="1"/>
  <c r="E4" i="27"/>
  <c r="E6" i="27" s="1"/>
  <c r="A3" i="27"/>
  <c r="A4" i="27" s="1"/>
  <c r="A5" i="27" s="1"/>
  <c r="A6" i="27" s="1"/>
  <c r="A7" i="27" s="1"/>
  <c r="A9" i="21" l="1"/>
  <c r="D6" i="26" l="1"/>
  <c r="A7" i="26"/>
  <c r="A3" i="26" l="1"/>
  <c r="A4" i="26" s="1"/>
  <c r="A5" i="26" s="1"/>
  <c r="A8" i="26" s="1"/>
  <c r="E7" i="24" l="1"/>
  <c r="E6" i="24"/>
  <c r="D5" i="23" l="1"/>
  <c r="E7" i="17" l="1"/>
  <c r="E6" i="17"/>
  <c r="E5" i="17"/>
  <c r="E4" i="17"/>
  <c r="E4" i="22" l="1"/>
  <c r="E6" i="22" s="1"/>
  <c r="A3" i="22"/>
  <c r="A4" i="22" s="1"/>
  <c r="A5" i="22" s="1"/>
  <c r="A6" i="22" s="1"/>
  <c r="A7" i="22" s="1"/>
  <c r="A3" i="20" l="1"/>
  <c r="A4" i="20" s="1"/>
  <c r="A5" i="20" s="1"/>
  <c r="A6" i="20" s="1"/>
  <c r="A7" i="20" s="1"/>
  <c r="E7" i="18" l="1"/>
  <c r="E6" i="18"/>
  <c r="G5" i="16" l="1"/>
  <c r="G6" i="16" s="1"/>
  <c r="G4" i="16"/>
  <c r="A3" i="14" l="1"/>
  <c r="A4" i="14" s="1"/>
  <c r="A5" i="14" s="1"/>
  <c r="A6" i="14" s="1"/>
  <c r="A7" i="14" s="1"/>
  <c r="K4" i="13" l="1"/>
  <c r="I6" i="13" l="1"/>
  <c r="H6" i="13"/>
  <c r="A6" i="13" l="1"/>
  <c r="M5" i="13" l="1"/>
  <c r="D5" i="11" l="1"/>
  <c r="G4" i="9" l="1"/>
  <c r="G5" i="9" s="1"/>
  <c r="G6" i="9" s="1"/>
  <c r="K7" i="7" l="1"/>
  <c r="A3" i="7" l="1"/>
  <c r="A4" i="7" s="1"/>
  <c r="A5" i="7" s="1"/>
  <c r="A6" i="7" s="1"/>
  <c r="A7" i="7" s="1"/>
  <c r="G12" i="5" l="1"/>
  <c r="F12" i="5"/>
  <c r="A12" i="5"/>
  <c r="G11" i="5" l="1"/>
  <c r="E4" i="5"/>
  <c r="E5" i="5"/>
  <c r="D11" i="5"/>
  <c r="B11" i="5"/>
  <c r="A11" i="5"/>
  <c r="E3" i="5" l="1"/>
  <c r="I10" i="5" l="1"/>
  <c r="A10" i="5"/>
  <c r="G9" i="5" l="1"/>
  <c r="F9" i="5"/>
  <c r="D9" i="5"/>
  <c r="B9" i="5"/>
  <c r="A9" i="5"/>
  <c r="G8" i="5" l="1"/>
  <c r="F8" i="5"/>
  <c r="D8" i="5"/>
  <c r="A8" i="5"/>
  <c r="A7" i="5"/>
  <c r="A6" i="5"/>
  <c r="A5" i="5"/>
  <c r="A4" i="5"/>
  <c r="A3" i="5"/>
  <c r="G4" i="2" l="1"/>
  <c r="G5" i="2" s="1"/>
  <c r="G6" i="2" s="1"/>
</calcChain>
</file>

<file path=xl/comments1.xml><?xml version="1.0" encoding="utf-8"?>
<comments xmlns="http://schemas.openxmlformats.org/spreadsheetml/2006/main">
  <authors>
    <author>OPC</author>
  </authors>
  <commentList>
    <comment ref="K6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DIV TO BEG</t>
        </r>
      </text>
    </comment>
    <comment ref="N6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DIV TO BEG</t>
        </r>
      </text>
    </comment>
    <comment ref="P6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DIV TO BEG</t>
        </r>
      </text>
    </comment>
    <comment ref="K8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DIV TO BUD</t>
        </r>
      </text>
    </comment>
    <comment ref="M8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CANCELED</t>
        </r>
      </text>
    </comment>
    <comment ref="N8" authorId="0">
      <text>
        <r>
          <rPr>
            <b/>
            <sz val="9"/>
            <color indexed="81"/>
            <rFont val="Tahoma"/>
            <family val="2"/>
            <charset val="238"/>
          </rPr>
          <t>DIV TO BUD</t>
        </r>
      </text>
    </comment>
    <comment ref="O8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CANCELED</t>
        </r>
      </text>
    </comment>
  </commentList>
</comments>
</file>

<file path=xl/comments2.xml><?xml version="1.0" encoding="utf-8"?>
<comments xmlns="http://schemas.openxmlformats.org/spreadsheetml/2006/main">
  <authors>
    <author>OPC</author>
  </authors>
  <commentList>
    <comment ref="K7" authorId="0">
      <text>
        <r>
          <rPr>
            <b/>
            <sz val="9"/>
            <color indexed="81"/>
            <rFont val="Tahoma"/>
            <charset val="1"/>
          </rPr>
          <t>OPC:</t>
        </r>
        <r>
          <rPr>
            <sz val="9"/>
            <color indexed="81"/>
            <rFont val="Tahoma"/>
            <charset val="1"/>
          </rPr>
          <t xml:space="preserve">
Otkazan</t>
        </r>
      </text>
    </comment>
  </commentList>
</comments>
</file>

<file path=xl/sharedStrings.xml><?xml version="1.0" encoding="utf-8"?>
<sst xmlns="http://schemas.openxmlformats.org/spreadsheetml/2006/main" count="2240" uniqueCount="438">
  <si>
    <t>WIZZAIR</t>
  </si>
  <si>
    <t>TZL-VIE-TZL</t>
  </si>
  <si>
    <t>A320</t>
  </si>
  <si>
    <t>HALWG</t>
  </si>
  <si>
    <t>SCHEDULED</t>
  </si>
  <si>
    <t>W64286</t>
  </si>
  <si>
    <t>W64285</t>
  </si>
  <si>
    <t>TZL-HHN-TZL</t>
  </si>
  <si>
    <t>W64284</t>
  </si>
  <si>
    <t>W64283</t>
  </si>
  <si>
    <t>TZL-FMM-TZL</t>
  </si>
  <si>
    <t>W64280</t>
  </si>
  <si>
    <t>W64279</t>
  </si>
  <si>
    <t>TZL-EIN-TZL</t>
  </si>
  <si>
    <t>W64290</t>
  </si>
  <si>
    <t>W64289</t>
  </si>
  <si>
    <t>163+3INF</t>
  </si>
  <si>
    <t>TZL-FDH-TZL</t>
  </si>
  <si>
    <t>W64616</t>
  </si>
  <si>
    <t>W64615</t>
  </si>
  <si>
    <t>TZL-BLL-TZL</t>
  </si>
  <si>
    <t>W64278</t>
  </si>
  <si>
    <t>W64277</t>
  </si>
  <si>
    <t>TZL-SXF-TZL</t>
  </si>
  <si>
    <t>W64276</t>
  </si>
  <si>
    <t>W64275</t>
  </si>
  <si>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</si>
  <si>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</si>
  <si>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</si>
  <si>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</si>
  <si>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</si>
  <si>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</si>
  <si>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</si>
  <si>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</si>
  <si>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</si>
  <si>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</si>
  <si>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</si>
  <si>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</si>
  <si>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</si>
  <si>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</si>
  <si>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</si>
  <si>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</si>
  <si>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</si>
  <si>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</si>
  <si>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</si>
  <si>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</si>
  <si>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</si>
  <si>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HALPQ</t>
  </si>
  <si>
    <t>144+3INF</t>
  </si>
  <si>
    <t>151+3INF</t>
  </si>
  <si>
    <t>176+5INF</t>
  </si>
  <si>
    <t>167+7INF</t>
  </si>
  <si>
    <t>166+4INF</t>
  </si>
  <si>
    <t>174+1INF</t>
  </si>
  <si>
    <t>175+3 INF</t>
  </si>
  <si>
    <t>171+3 INF</t>
  </si>
  <si>
    <t>157+6 INF</t>
  </si>
  <si>
    <t>144+1 INF</t>
  </si>
  <si>
    <t>167+3 INF</t>
  </si>
  <si>
    <t>161+4 INF</t>
  </si>
  <si>
    <t>123+3 INF</t>
  </si>
  <si>
    <t>TZL-DTM-TZL</t>
  </si>
  <si>
    <t>W64298</t>
  </si>
  <si>
    <t>W64297</t>
  </si>
  <si>
    <t>TZL-NYO-TZL</t>
  </si>
  <si>
    <t>HALWO</t>
  </si>
  <si>
    <t>W64282</t>
  </si>
  <si>
    <t>W64281</t>
  </si>
  <si>
    <t>TZL-GOT-TZL</t>
  </si>
  <si>
    <t>W64296</t>
  </si>
  <si>
    <t>W64295</t>
  </si>
  <si>
    <t>TZL-MLH-TZL</t>
  </si>
  <si>
    <t>W64294</t>
  </si>
  <si>
    <t>W64293</t>
  </si>
  <si>
    <t>TZL-CGN-TZL</t>
  </si>
  <si>
    <t>W64300</t>
  </si>
  <si>
    <t>W64299</t>
  </si>
  <si>
    <t>TZL-MMX-TZL</t>
  </si>
  <si>
    <t>W64292</t>
  </si>
  <si>
    <t>W64291</t>
  </si>
  <si>
    <t>178+3INF</t>
  </si>
  <si>
    <t>140+0INF</t>
  </si>
  <si>
    <t>164+2INF</t>
  </si>
  <si>
    <t>142+3INF</t>
  </si>
  <si>
    <t>157+2INF</t>
  </si>
  <si>
    <t>169+2INF</t>
  </si>
  <si>
    <t>141+4 INF</t>
  </si>
  <si>
    <t>151+5 INF</t>
  </si>
  <si>
    <t>168+1 INF</t>
  </si>
  <si>
    <t>173+3 INF</t>
  </si>
  <si>
    <t>161+5 INF</t>
  </si>
  <si>
    <t>158+2 INF</t>
  </si>
  <si>
    <t>TZL-VXO-TZL</t>
  </si>
  <si>
    <t>W64612</t>
  </si>
  <si>
    <t>W64611</t>
  </si>
  <si>
    <t>TZL-FKB-TZL</t>
  </si>
  <si>
    <t>W64618</t>
  </si>
  <si>
    <t>W64617</t>
  </si>
  <si>
    <t>HALYV/HALPQ</t>
  </si>
  <si>
    <t>167+2INF</t>
  </si>
  <si>
    <t>133+1INF</t>
  </si>
  <si>
    <t>171+3INF</t>
  </si>
  <si>
    <t>108+0INF</t>
  </si>
  <si>
    <t>131+1INF</t>
  </si>
  <si>
    <t>161+3INF</t>
  </si>
  <si>
    <t>154+3INF</t>
  </si>
  <si>
    <t>135+3INF</t>
  </si>
  <si>
    <t>111+2INF</t>
  </si>
  <si>
    <t>161+4INF</t>
  </si>
  <si>
    <t>150+7INF</t>
  </si>
  <si>
    <t>120+6INF</t>
  </si>
  <si>
    <t>172+2INF</t>
  </si>
  <si>
    <t>147+9INF</t>
  </si>
  <si>
    <t>149+1INF</t>
  </si>
  <si>
    <t>157+3INF</t>
  </si>
  <si>
    <t>115+1INF</t>
  </si>
  <si>
    <t>BLL-TZL</t>
  </si>
  <si>
    <t>HA-LPQ</t>
  </si>
  <si>
    <t>-</t>
  </si>
  <si>
    <t>123+1 INF</t>
  </si>
  <si>
    <t>SXF-TZL (VIA BUD)</t>
  </si>
  <si>
    <t>HA-LWO</t>
  </si>
  <si>
    <t>W6802</t>
  </si>
  <si>
    <t>173+2 INF</t>
  </si>
  <si>
    <t>143+4 INF</t>
  </si>
  <si>
    <t>95+2 INF</t>
  </si>
  <si>
    <t>JANEZ LET D.O.O.</t>
  </si>
  <si>
    <t>ZAG-TZL-ZAG</t>
  </si>
  <si>
    <t>C501</t>
  </si>
  <si>
    <t>S5-CNN</t>
  </si>
  <si>
    <t>GA PRIVATE</t>
  </si>
  <si>
    <t>164+3 INF</t>
  </si>
  <si>
    <t>TSR-TZL</t>
  </si>
  <si>
    <t>HA-LPS</t>
  </si>
  <si>
    <t>FERRY IN</t>
  </si>
  <si>
    <t>W6806</t>
  </si>
  <si>
    <t>DELIC AIR</t>
  </si>
  <si>
    <t>OSI-TZL-ZAG</t>
  </si>
  <si>
    <t>C525</t>
  </si>
  <si>
    <t>T7-BSG</t>
  </si>
  <si>
    <t>121+0 INF</t>
  </si>
  <si>
    <t>96+2INF</t>
  </si>
  <si>
    <t>151+1INF</t>
  </si>
  <si>
    <t>TZL-BUD</t>
  </si>
  <si>
    <t>FERRY OUT</t>
  </si>
  <si>
    <t>W6801</t>
  </si>
  <si>
    <t>164+4INF</t>
  </si>
  <si>
    <t>170+5INF</t>
  </si>
  <si>
    <t>170+3INF</t>
  </si>
  <si>
    <t>155+4INF</t>
  </si>
  <si>
    <t>166+2INF</t>
  </si>
  <si>
    <t>155+1INF</t>
  </si>
  <si>
    <t>156+2 INF</t>
  </si>
  <si>
    <t>163+8 INF</t>
  </si>
  <si>
    <t>143+3 INF</t>
  </si>
  <si>
    <t>161+2 INF</t>
  </si>
  <si>
    <t>160+5INF</t>
  </si>
  <si>
    <t>SAFET DERVIŠEVIĆ</t>
  </si>
  <si>
    <t>LQCG-TZL-BEG</t>
  </si>
  <si>
    <t>C172P</t>
  </si>
  <si>
    <t>E7-SAF</t>
  </si>
  <si>
    <t>GEN AVI</t>
  </si>
  <si>
    <t>CREW</t>
  </si>
  <si>
    <t>143+3INF</t>
  </si>
  <si>
    <t>152+1INF</t>
  </si>
  <si>
    <t>173+6INF</t>
  </si>
  <si>
    <t>HA-LWG</t>
  </si>
  <si>
    <t>W64217</t>
  </si>
  <si>
    <t>173+3INF</t>
  </si>
  <si>
    <t>128+5INF</t>
  </si>
  <si>
    <t>127+1INF</t>
  </si>
  <si>
    <t>121+1INF</t>
  </si>
  <si>
    <t>153+3 INF</t>
  </si>
  <si>
    <t>174+2 INF</t>
  </si>
  <si>
    <t>172+1INF</t>
  </si>
  <si>
    <t>149+2INF</t>
  </si>
  <si>
    <t>154+4 INF</t>
  </si>
  <si>
    <t>139+3 INF</t>
  </si>
  <si>
    <t>180+3 INF</t>
  </si>
  <si>
    <t>176+3 INF</t>
  </si>
  <si>
    <t>171+5INF</t>
  </si>
  <si>
    <t>166+3INF</t>
  </si>
  <si>
    <t>153+8INF</t>
  </si>
  <si>
    <t>161+9INF</t>
  </si>
  <si>
    <t>180+5INF</t>
  </si>
  <si>
    <t>166+5INF</t>
  </si>
  <si>
    <t>166+3 INF</t>
  </si>
  <si>
    <t>177+3 INF</t>
  </si>
  <si>
    <t>171+2 INF</t>
  </si>
  <si>
    <t>147+2 INF</t>
  </si>
  <si>
    <t>178+5 INF</t>
  </si>
  <si>
    <t>153+1 INF</t>
  </si>
  <si>
    <t>141+1 INF</t>
  </si>
  <si>
    <t>HALPS</t>
  </si>
  <si>
    <t>166+1INF</t>
  </si>
  <si>
    <t>153+1INF</t>
  </si>
  <si>
    <t>175+4INF</t>
  </si>
  <si>
    <t>124+2INF</t>
  </si>
  <si>
    <t>172+3INF</t>
  </si>
  <si>
    <t>163+2INF</t>
  </si>
  <si>
    <t>175+2INF</t>
  </si>
  <si>
    <t>175+0INF</t>
  </si>
  <si>
    <t>154+1INF</t>
  </si>
  <si>
    <t>173+4INF</t>
  </si>
  <si>
    <t>177+2 INF</t>
  </si>
  <si>
    <t>148+1 INF</t>
  </si>
  <si>
    <t>171+4INF</t>
  </si>
  <si>
    <t>141+4INF</t>
  </si>
  <si>
    <t>145+2INF</t>
  </si>
  <si>
    <t>131+4INF</t>
  </si>
  <si>
    <t>141+3INF</t>
  </si>
  <si>
    <t>133+3INF</t>
  </si>
  <si>
    <t>164+5INF</t>
  </si>
  <si>
    <t>171+1INF</t>
  </si>
  <si>
    <t>FREEBIRD</t>
  </si>
  <si>
    <t>AYT-TZL-AYT</t>
  </si>
  <si>
    <t>FHY821</t>
  </si>
  <si>
    <t>FHY822</t>
  </si>
  <si>
    <t>159+3 INF</t>
  </si>
  <si>
    <t>120+2 INF</t>
  </si>
  <si>
    <t>144+0 INF</t>
  </si>
  <si>
    <t>80+2 INF</t>
  </si>
  <si>
    <t>103+1 INF</t>
  </si>
  <si>
    <t>170+4INF</t>
  </si>
  <si>
    <t>167+1INF</t>
  </si>
  <si>
    <t>139+3INF</t>
  </si>
  <si>
    <t>172+9INF</t>
  </si>
  <si>
    <t>151+4INF</t>
  </si>
  <si>
    <t>174+6INF</t>
  </si>
  <si>
    <t>159+5INF</t>
  </si>
  <si>
    <t>172+3 INF</t>
  </si>
  <si>
    <t>169+3 INF</t>
  </si>
  <si>
    <t>LQBZ-TZL-BEG</t>
  </si>
  <si>
    <t>COL400</t>
  </si>
  <si>
    <t>N1234X</t>
  </si>
  <si>
    <t>NONSCH/GP</t>
  </si>
  <si>
    <t>BOJAN RISOVIĆ</t>
  </si>
  <si>
    <t>167+6 INF</t>
  </si>
  <si>
    <t>HA-LWB</t>
  </si>
  <si>
    <t>179+3INF</t>
  </si>
  <si>
    <t>104+5INF</t>
  </si>
  <si>
    <t>MEHO EMKIC</t>
  </si>
  <si>
    <t>LQJL-TZL-LDVC</t>
  </si>
  <si>
    <t>SF 25</t>
  </si>
  <si>
    <t>E7-ABO</t>
  </si>
  <si>
    <t>171+2INF</t>
  </si>
  <si>
    <t>66+2INF</t>
  </si>
  <si>
    <t>130+2INF</t>
  </si>
  <si>
    <t>170+4 INF</t>
  </si>
  <si>
    <t>NONSCHEDULED/TFT</t>
  </si>
  <si>
    <t>LDVC-TZL-LQJL</t>
  </si>
  <si>
    <t>180+1 INF</t>
  </si>
  <si>
    <t>163+2 INF</t>
  </si>
  <si>
    <t>HALWB</t>
  </si>
  <si>
    <t>167+5INF</t>
  </si>
  <si>
    <t>172+5INF</t>
  </si>
  <si>
    <t>172+4INF</t>
  </si>
  <si>
    <t>USAF</t>
  </si>
  <si>
    <t>XJD-TZL</t>
  </si>
  <si>
    <t>C17</t>
  </si>
  <si>
    <t>MILITARY/CARGO</t>
  </si>
  <si>
    <t>RCH903</t>
  </si>
  <si>
    <t>ROP</t>
  </si>
  <si>
    <t>180+4INF</t>
  </si>
  <si>
    <t>177+1INF</t>
  </si>
  <si>
    <t>168+0INF</t>
  </si>
  <si>
    <t>168+9INF</t>
  </si>
  <si>
    <t>177+5INF</t>
  </si>
  <si>
    <t>169+3INF</t>
  </si>
  <si>
    <t>153+2INF</t>
  </si>
  <si>
    <t>170+2INF</t>
  </si>
  <si>
    <t>138+1INF</t>
  </si>
  <si>
    <t>163+5INF</t>
  </si>
  <si>
    <t>TZL-SKP</t>
  </si>
  <si>
    <t>176+3INF</t>
  </si>
  <si>
    <t>53+0INF</t>
  </si>
  <si>
    <t>126+1INF</t>
  </si>
  <si>
    <t>151+3 INF</t>
  </si>
  <si>
    <t>153+5 INF</t>
  </si>
  <si>
    <t>172+5 INF</t>
  </si>
  <si>
    <t>165+0INF</t>
  </si>
  <si>
    <t>156+5INF</t>
  </si>
  <si>
    <t>174+2INF</t>
  </si>
  <si>
    <t>TC-FHY</t>
  </si>
  <si>
    <t>157+4 INF</t>
  </si>
  <si>
    <t>162+4 INF</t>
  </si>
  <si>
    <t>168+2 INF</t>
  </si>
  <si>
    <t>174+5 INF</t>
  </si>
  <si>
    <t>179+4 INF</t>
  </si>
  <si>
    <t>171+5 INF</t>
  </si>
  <si>
    <t>164+7 INF</t>
  </si>
  <si>
    <t>173+1 INF</t>
  </si>
  <si>
    <t>106+1 INF</t>
  </si>
  <si>
    <t>104+0 INF</t>
  </si>
  <si>
    <t>170+3 INF</t>
  </si>
  <si>
    <t>154+3 INF</t>
  </si>
  <si>
    <t>159+5 INF</t>
  </si>
  <si>
    <t>179+2 INF</t>
  </si>
  <si>
    <t>72+0 INF</t>
  </si>
  <si>
    <t>HALYO</t>
  </si>
  <si>
    <t>56+0INF</t>
  </si>
  <si>
    <t>81+1INF</t>
  </si>
  <si>
    <t>NONSCH/CHARTER</t>
  </si>
  <si>
    <t>170+2 INF</t>
  </si>
  <si>
    <t>177+5 INF</t>
  </si>
  <si>
    <t>140+4 INF</t>
  </si>
  <si>
    <t>174+4 INF</t>
  </si>
  <si>
    <t>170+1 INF</t>
  </si>
  <si>
    <t>71+1 INF</t>
  </si>
  <si>
    <t>165+4 INF</t>
  </si>
  <si>
    <t>175+5 INF</t>
  </si>
  <si>
    <t>POMJEREN ZA 21.6.19</t>
  </si>
  <si>
    <t>165+3 INF</t>
  </si>
  <si>
    <t>HALYC</t>
  </si>
  <si>
    <t>175+6INF</t>
  </si>
  <si>
    <t>GDN-TZL</t>
  </si>
  <si>
    <t>51+1INF</t>
  </si>
  <si>
    <t>164+3INF</t>
  </si>
  <si>
    <t>175+1INF</t>
  </si>
  <si>
    <t>69+2INF</t>
  </si>
  <si>
    <t>BEG-TZL-LQCG</t>
  </si>
  <si>
    <t>C 172 P</t>
  </si>
  <si>
    <t>PRIVATNI LET</t>
  </si>
  <si>
    <t>MMX-TZL-BUD</t>
  </si>
  <si>
    <t>W64292A</t>
  </si>
  <si>
    <t>W6803</t>
  </si>
  <si>
    <t>80+2INF</t>
  </si>
  <si>
    <t>158+4 INF</t>
  </si>
  <si>
    <t>164+4 INF</t>
  </si>
  <si>
    <t>167+5 INF</t>
  </si>
  <si>
    <t>138+4INF</t>
  </si>
  <si>
    <t>NON SCHEDULED/FERRY OUT</t>
  </si>
  <si>
    <t>FREEBIRD AIRLINES</t>
  </si>
  <si>
    <t>TCFHY</t>
  </si>
  <si>
    <t>CHARTER</t>
  </si>
  <si>
    <t>180+3INF</t>
  </si>
  <si>
    <t>HA-LYO</t>
  </si>
  <si>
    <t>HA-LYC</t>
  </si>
  <si>
    <t>145+1INF</t>
  </si>
  <si>
    <t>172+0INF</t>
  </si>
  <si>
    <t>157+1INF</t>
  </si>
  <si>
    <t>127+3INF</t>
  </si>
  <si>
    <t>163+0INF</t>
  </si>
  <si>
    <t>162+2 INF</t>
  </si>
  <si>
    <t>HALYC/HALPR</t>
  </si>
  <si>
    <t>HALPR</t>
  </si>
  <si>
    <t>174+4INF</t>
  </si>
  <si>
    <t>FKB-TZL-BEG</t>
  </si>
  <si>
    <t>NON SCHEDULED</t>
  </si>
  <si>
    <t>W64110</t>
  </si>
  <si>
    <t>169+1INF</t>
  </si>
  <si>
    <t>N/A</t>
  </si>
  <si>
    <t>HALYL</t>
  </si>
  <si>
    <t>165+3INF</t>
  </si>
  <si>
    <t>HA-LPR</t>
  </si>
  <si>
    <t>178+3 INF</t>
  </si>
  <si>
    <t>143+2 INF</t>
  </si>
  <si>
    <t>172+6 INF</t>
  </si>
  <si>
    <t>164+1 INF</t>
  </si>
  <si>
    <t>52+1 INF</t>
  </si>
  <si>
    <t>78+0 INF</t>
  </si>
  <si>
    <t>176+1INF</t>
  </si>
  <si>
    <t>167+3INF</t>
  </si>
  <si>
    <t>140+2INF</t>
  </si>
  <si>
    <t>152+3INF</t>
  </si>
  <si>
    <t>162+6INF</t>
  </si>
  <si>
    <t>179+6INF</t>
  </si>
  <si>
    <t>159+2INF</t>
  </si>
  <si>
    <t>162+2INF</t>
  </si>
  <si>
    <t>127+4INF</t>
  </si>
  <si>
    <t>77+0 INF</t>
  </si>
  <si>
    <t>165+1 INF</t>
  </si>
  <si>
    <t>62+1 INF</t>
  </si>
  <si>
    <t>163+6 INF</t>
  </si>
  <si>
    <t>HALWF</t>
  </si>
  <si>
    <t>60+0INF</t>
  </si>
  <si>
    <t>172+7INF</t>
  </si>
  <si>
    <t>178+4INF</t>
  </si>
  <si>
    <t>66+0INF</t>
  </si>
  <si>
    <t>91+1INF</t>
  </si>
  <si>
    <t>AEROHELI GMBH</t>
  </si>
  <si>
    <t>BTS-TZL-TIA</t>
  </si>
  <si>
    <t>AS355</t>
  </si>
  <si>
    <t>D-HAIF</t>
  </si>
  <si>
    <t>NON-SCHEDULED</t>
  </si>
  <si>
    <t>170+5 INF</t>
  </si>
  <si>
    <t>103+1INF</t>
  </si>
  <si>
    <t>154+7INF</t>
  </si>
  <si>
    <t>164+6INF</t>
  </si>
  <si>
    <t>162+5INF</t>
  </si>
  <si>
    <t>158+2INF</t>
  </si>
  <si>
    <t>166+6INF</t>
  </si>
  <si>
    <t xml:space="preserve"> 14:15</t>
  </si>
  <si>
    <t>172+8INF</t>
  </si>
  <si>
    <t>180+7INF</t>
  </si>
  <si>
    <t>76+1INF</t>
  </si>
  <si>
    <t>160+1INF</t>
  </si>
  <si>
    <t>TYROL AIR AMBULANCE</t>
  </si>
  <si>
    <t>INN-TZL-ZRH</t>
  </si>
  <si>
    <t>ASTRA SPX G 100</t>
  </si>
  <si>
    <t>OEGBD</t>
  </si>
  <si>
    <t>TYW 431</t>
  </si>
  <si>
    <t>TYW 341</t>
  </si>
  <si>
    <t>168+3INF</t>
  </si>
  <si>
    <t xml:space="preserve">MEDEVAC </t>
  </si>
  <si>
    <t>177+6INF</t>
  </si>
  <si>
    <t xml:space="preserve">       21:50</t>
  </si>
  <si>
    <t>76+0INF</t>
  </si>
  <si>
    <t>174+3INF</t>
  </si>
  <si>
    <t>66+1INF</t>
  </si>
  <si>
    <t>120+2INF</t>
  </si>
  <si>
    <t>180+5 INF</t>
  </si>
  <si>
    <t>159+1 INF</t>
  </si>
  <si>
    <t>TC-FBR</t>
  </si>
  <si>
    <t>109+3 INF</t>
  </si>
  <si>
    <t>178+4 INF</t>
  </si>
  <si>
    <t>180+2 INF</t>
  </si>
  <si>
    <t>157+2 INF</t>
  </si>
  <si>
    <t>HA-LWF</t>
  </si>
  <si>
    <t>150+8 INF</t>
  </si>
  <si>
    <t>163+4 INF</t>
  </si>
  <si>
    <t>MIRKO ANZEL</t>
  </si>
  <si>
    <t>BEG-TZL-POW</t>
  </si>
  <si>
    <t>BE36</t>
  </si>
  <si>
    <t>T7-BEN</t>
  </si>
  <si>
    <t>177+4 INF</t>
  </si>
  <si>
    <t>175+1 INF</t>
  </si>
  <si>
    <t>178+6INF</t>
  </si>
  <si>
    <t>173+2INF</t>
  </si>
  <si>
    <t>78+0INF</t>
  </si>
  <si>
    <t>170+0 INF</t>
  </si>
  <si>
    <t>133+1 INF</t>
  </si>
  <si>
    <t>180+4 INF</t>
  </si>
  <si>
    <t>113+1 INF</t>
  </si>
  <si>
    <t>144+3 INF</t>
  </si>
  <si>
    <t>POW-TZL-BEG</t>
  </si>
  <si>
    <t>178+2INF</t>
  </si>
  <si>
    <t>180+6INF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</si>
</sst>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  <charset val="238"/>
    </font>
    <font>
      <sz val="9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0"/>
      <color theme="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theme="1"/>
      <name val="Garamond"/>
      <family val="1"/>
      <charset val="238"/>
    </font>
    <font>
      <sz val="8"/>
      <color theme="1"/>
      <name val="Calibri"/>
      <family val="2"/>
      <charset val="238"/>
      <scheme val="minor"/>
    </font>
    <font>
      <sz val="9"/>
      <color theme="1"/>
      <name val="Garamond"/>
      <family val="1"/>
      <charset val="238"/>
    </font>
    <font>
      <sz val="9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14" fontId="2" fillId="0" borderId="0" xfId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20" fontId="3" fillId="0" borderId="0" xfId="2" applyNumberFormat="1" applyFont="1" applyFill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20" fontId="2" fillId="2" borderId="0" xfId="2" applyNumberFormat="1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20" fontId="5" fillId="2" borderId="0" xfId="0" applyNumberFormat="1" applyFont="1" applyFill="1" applyAlignment="1">
      <alignment horizontal="center" vertical="center"/>
    </xf>
    <xf numFmtId="0" fontId="2" fillId="3" borderId="0" xfId="2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20" fontId="4" fillId="3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20" fontId="5" fillId="3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14" fontId="2" fillId="3" borderId="0" xfId="1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20" fontId="4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/>
    </xf>
    <xf numFmtId="20" fontId="5" fillId="0" borderId="0" xfId="0" applyNumberFormat="1" applyFont="1" applyFill="1" applyAlignment="1">
      <alignment horizontal="center"/>
    </xf>
    <xf numFmtId="3" fontId="5" fillId="0" borderId="0" xfId="0" applyNumberFormat="1" applyFont="1" applyFill="1" applyAlignment="1">
      <alignment horizontal="center"/>
    </xf>
    <xf numFmtId="0" fontId="0" fillId="0" borderId="0" xfId="0" applyFill="1"/>
    <xf numFmtId="20" fontId="10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2" fillId="0" borderId="0" xfId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20" fontId="3" fillId="0" borderId="0" xfId="2" applyNumberFormat="1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0" fontId="14" fillId="0" borderId="0" xfId="0" applyFont="1"/>
    <xf numFmtId="0" fontId="15" fillId="0" borderId="0" xfId="0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16" fillId="0" borderId="0" xfId="0" applyFont="1"/>
  </cellXfs>
  <cellStyles count="8">
    <cellStyle name="Normal" xfId="0" builtinId="0"/>
    <cellStyle name="Normal 2" xfId="3"/>
    <cellStyle name="Normal 2 2" xfId="1"/>
    <cellStyle name="Normal 3" xfId="4"/>
    <cellStyle name="Normal 3 2" xfId="2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K8" sqref="K8"/>
    </sheetView>
  </sheetViews>
  <sheetFormatPr defaultRowHeight="15" x14ac:dyDescent="0.25"/>
  <cols>
    <col min="2" max="2" width="21.42578125" customWidth="1"/>
    <col min="3" max="3" width="13.7109375" customWidth="1"/>
    <col min="6" max="6" width="1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43617</v>
      </c>
      <c r="B2" s="2" t="s">
        <v>0</v>
      </c>
      <c r="C2" s="2" t="s">
        <v>1</v>
      </c>
      <c r="D2" s="2" t="s">
        <v>2</v>
      </c>
      <c r="E2" s="2" t="s">
        <v>47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0.36805555555555558</v>
      </c>
      <c r="L2" s="4">
        <v>0.25694444444444448</v>
      </c>
      <c r="M2" s="6">
        <v>0.26041666666666669</v>
      </c>
      <c r="N2" s="7" t="s">
        <v>49</v>
      </c>
      <c r="O2" s="8" t="s">
        <v>48</v>
      </c>
      <c r="P2" s="8">
        <v>689</v>
      </c>
      <c r="Q2" s="8">
        <v>539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43617</v>
      </c>
      <c r="B3" s="2" t="s">
        <v>0</v>
      </c>
      <c r="C3" s="2" t="s">
        <v>7</v>
      </c>
      <c r="D3" s="2" t="s">
        <v>2</v>
      </c>
      <c r="E3" s="2" t="s">
        <v>3</v>
      </c>
      <c r="F3" s="2" t="s">
        <v>4</v>
      </c>
      <c r="G3" s="3">
        <v>71500</v>
      </c>
      <c r="H3" s="2" t="s">
        <v>8</v>
      </c>
      <c r="I3" s="2" t="s">
        <v>9</v>
      </c>
      <c r="J3" s="4">
        <v>0.46180555555555558</v>
      </c>
      <c r="K3" s="5">
        <v>0.46319444444444446</v>
      </c>
      <c r="L3" s="4">
        <v>0.28125</v>
      </c>
      <c r="M3" s="6">
        <v>0.29097222222222224</v>
      </c>
      <c r="N3" s="7" t="s">
        <v>50</v>
      </c>
      <c r="O3" s="8" t="s">
        <v>16</v>
      </c>
      <c r="P3" s="2">
        <v>871</v>
      </c>
      <c r="Q3" s="8">
        <v>987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v>43617</v>
      </c>
      <c r="B4" s="2" t="s">
        <v>0</v>
      </c>
      <c r="C4" s="7" t="s">
        <v>10</v>
      </c>
      <c r="D4" s="7" t="s">
        <v>2</v>
      </c>
      <c r="E4" s="2" t="s">
        <v>47</v>
      </c>
      <c r="F4" s="7" t="s">
        <v>4</v>
      </c>
      <c r="G4" s="3">
        <v>71500</v>
      </c>
      <c r="H4" s="7" t="s">
        <v>11</v>
      </c>
      <c r="I4" s="7" t="s">
        <v>12</v>
      </c>
      <c r="J4" s="9">
        <v>0.55555555555555558</v>
      </c>
      <c r="K4" s="5">
        <v>0.56041666666666667</v>
      </c>
      <c r="L4" s="9">
        <v>0.40625</v>
      </c>
      <c r="M4" s="5">
        <v>0.41319444444444442</v>
      </c>
      <c r="N4" s="7" t="s">
        <v>51</v>
      </c>
      <c r="O4" s="7" t="s">
        <v>52</v>
      </c>
      <c r="P4" s="7">
        <v>1013</v>
      </c>
      <c r="Q4" s="8">
        <v>827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v>43617</v>
      </c>
      <c r="B5" s="2" t="s">
        <v>0</v>
      </c>
      <c r="C5" s="7" t="s">
        <v>13</v>
      </c>
      <c r="D5" s="7" t="s">
        <v>2</v>
      </c>
      <c r="E5" s="2" t="s">
        <v>3</v>
      </c>
      <c r="F5" s="7" t="s">
        <v>4</v>
      </c>
      <c r="G5" s="3">
        <v>71500</v>
      </c>
      <c r="H5" s="7" t="s">
        <v>14</v>
      </c>
      <c r="I5" s="7" t="s">
        <v>15</v>
      </c>
      <c r="J5" s="10">
        <v>0.70138888888888884</v>
      </c>
      <c r="K5" s="5">
        <v>0.70694444444444438</v>
      </c>
      <c r="L5" s="10">
        <v>0.49305555555555558</v>
      </c>
      <c r="M5" s="11">
        <v>0.50763888888888886</v>
      </c>
      <c r="N5" s="7" t="s">
        <v>55</v>
      </c>
      <c r="O5" s="7" t="s">
        <v>53</v>
      </c>
      <c r="P5" s="12">
        <v>1091</v>
      </c>
      <c r="Q5" s="8">
        <v>817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v>43617</v>
      </c>
      <c r="B6" s="2" t="s">
        <v>0</v>
      </c>
      <c r="C6" s="7" t="s">
        <v>17</v>
      </c>
      <c r="D6" s="7" t="s">
        <v>2</v>
      </c>
      <c r="E6" s="2" t="s">
        <v>47</v>
      </c>
      <c r="F6" s="13" t="s">
        <v>4</v>
      </c>
      <c r="G6" s="3">
        <v>71500</v>
      </c>
      <c r="H6" s="2" t="s">
        <v>18</v>
      </c>
      <c r="I6" s="2" t="s">
        <v>19</v>
      </c>
      <c r="J6" s="14">
        <v>0.74652777777777779</v>
      </c>
      <c r="K6" s="5">
        <v>0.73541666666666661</v>
      </c>
      <c r="L6" s="14">
        <v>0.58680555555555558</v>
      </c>
      <c r="M6" s="15">
        <v>0.59583333333333333</v>
      </c>
      <c r="N6" s="7" t="s">
        <v>56</v>
      </c>
      <c r="O6" s="7" t="s">
        <v>54</v>
      </c>
      <c r="P6" s="7">
        <v>1185</v>
      </c>
      <c r="Q6" s="8">
        <v>1019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1">
        <v>43617</v>
      </c>
      <c r="B7" s="2" t="s">
        <v>0</v>
      </c>
      <c r="C7" s="16" t="s">
        <v>20</v>
      </c>
      <c r="D7" s="16" t="s">
        <v>2</v>
      </c>
      <c r="E7" s="2" t="s">
        <v>3</v>
      </c>
      <c r="F7" s="16" t="s">
        <v>4</v>
      </c>
      <c r="G7" s="17">
        <v>71500</v>
      </c>
      <c r="H7" s="16" t="s">
        <v>21</v>
      </c>
      <c r="I7" s="16" t="s">
        <v>22</v>
      </c>
      <c r="J7" s="14">
        <v>0.94097222222222221</v>
      </c>
      <c r="K7" s="5">
        <v>0.94652777777777775</v>
      </c>
      <c r="L7" s="14">
        <v>0.72222222222222221</v>
      </c>
      <c r="M7" s="15">
        <v>0.7416666666666667</v>
      </c>
      <c r="N7" s="18" t="s">
        <v>60</v>
      </c>
      <c r="O7" s="16" t="s">
        <v>57</v>
      </c>
      <c r="P7" s="16">
        <v>539</v>
      </c>
      <c r="Q7" s="8">
        <v>890</v>
      </c>
      <c r="R7" s="16">
        <v>0</v>
      </c>
      <c r="S7" s="16">
        <v>0</v>
      </c>
      <c r="T7" s="16">
        <v>0</v>
      </c>
      <c r="U7" s="16">
        <v>0</v>
      </c>
    </row>
    <row r="8" spans="1:21" s="19" customFormat="1" ht="12.75" x14ac:dyDescent="0.25">
      <c r="A8" s="1">
        <v>43617</v>
      </c>
      <c r="B8" s="7" t="s">
        <v>0</v>
      </c>
      <c r="C8" s="19" t="s">
        <v>23</v>
      </c>
      <c r="D8" s="7" t="s">
        <v>2</v>
      </c>
      <c r="E8" s="2" t="s">
        <v>47</v>
      </c>
      <c r="F8" s="7" t="s">
        <v>4</v>
      </c>
      <c r="G8" s="3">
        <v>71500</v>
      </c>
      <c r="H8" s="2" t="s">
        <v>24</v>
      </c>
      <c r="I8" s="2" t="s">
        <v>25</v>
      </c>
      <c r="J8" s="10">
        <v>0.94444444444444453</v>
      </c>
      <c r="K8" s="6">
        <v>0.92847222222222225</v>
      </c>
      <c r="L8" s="10">
        <v>0.76736111111111116</v>
      </c>
      <c r="M8" s="18">
        <v>0.76944444444444438</v>
      </c>
      <c r="N8" s="18" t="s">
        <v>59</v>
      </c>
      <c r="O8" s="18" t="s">
        <v>58</v>
      </c>
      <c r="P8" s="19">
        <v>1189</v>
      </c>
      <c r="Q8" s="8">
        <v>931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1"/>
      <c r="B9" s="7"/>
      <c r="C9" s="7"/>
      <c r="D9" s="7"/>
      <c r="E9" s="2"/>
      <c r="F9" s="7"/>
      <c r="G9" s="3"/>
      <c r="H9" s="2"/>
      <c r="I9" s="2"/>
      <c r="J9" s="20"/>
      <c r="K9" s="20"/>
      <c r="L9" s="21"/>
      <c r="M9" s="21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1"/>
      <c r="B10" s="7"/>
      <c r="C10" s="7"/>
      <c r="D10" s="7"/>
      <c r="E10" s="2"/>
      <c r="F10" s="7"/>
      <c r="G10" s="3"/>
      <c r="H10" s="2"/>
      <c r="I10" s="2"/>
      <c r="J10" s="20"/>
      <c r="K10" s="20"/>
      <c r="L10" s="21"/>
      <c r="M10" s="21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"/>
      <c r="B11" s="7"/>
      <c r="C11" s="7"/>
      <c r="D11" s="7"/>
      <c r="E11" s="2"/>
      <c r="F11" s="7"/>
      <c r="G11" s="3"/>
      <c r="H11" s="2"/>
      <c r="I11" s="2"/>
      <c r="J11" s="20"/>
      <c r="K11" s="20"/>
      <c r="L11" s="21"/>
      <c r="M11" s="21"/>
      <c r="N11" s="7"/>
      <c r="O11" s="7"/>
      <c r="P11" s="7"/>
      <c r="Q11" s="7"/>
      <c r="R11" s="7"/>
      <c r="S11" s="7"/>
      <c r="T11" s="7"/>
      <c r="U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ySplit="1" topLeftCell="A2" activePane="bottomLeft" state="frozen"/>
      <selection pane="bottomLeft" activeCell="K8" sqref="K8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9" customFormat="1" ht="12.75" x14ac:dyDescent="0.25">
      <c r="A2" s="23">
        <v>43618</v>
      </c>
      <c r="B2" s="19" t="s">
        <v>0</v>
      </c>
      <c r="C2" s="19" t="s">
        <v>61</v>
      </c>
      <c r="D2" s="19" t="s">
        <v>2</v>
      </c>
      <c r="E2" s="19" t="s">
        <v>3</v>
      </c>
      <c r="F2" s="19" t="s">
        <v>4</v>
      </c>
      <c r="G2" s="19">
        <v>71500</v>
      </c>
      <c r="H2" s="19" t="s">
        <v>62</v>
      </c>
      <c r="I2" s="19" t="s">
        <v>63</v>
      </c>
      <c r="J2" s="10">
        <v>0.45833333333333331</v>
      </c>
      <c r="K2" s="18">
        <v>0.44722222222222219</v>
      </c>
      <c r="L2" s="10">
        <v>0.25694444444444448</v>
      </c>
      <c r="M2" s="18">
        <v>0.26111111111111113</v>
      </c>
      <c r="N2" s="19" t="s">
        <v>82</v>
      </c>
      <c r="O2" s="19" t="s">
        <v>80</v>
      </c>
      <c r="P2" s="19">
        <v>1026</v>
      </c>
      <c r="Q2" s="19">
        <v>974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43618</v>
      </c>
      <c r="B3" s="2" t="s">
        <v>0</v>
      </c>
      <c r="C3" s="2" t="s">
        <v>77</v>
      </c>
      <c r="D3" s="2" t="s">
        <v>2</v>
      </c>
      <c r="E3" s="22" t="s">
        <v>47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0.47222222222222227</v>
      </c>
      <c r="K3" s="5">
        <v>0.47083333333333338</v>
      </c>
      <c r="L3" s="4">
        <v>0.28125</v>
      </c>
      <c r="M3" s="6">
        <v>0.28263888888888888</v>
      </c>
      <c r="N3" s="7" t="s">
        <v>83</v>
      </c>
      <c r="O3" s="8" t="s">
        <v>81</v>
      </c>
      <c r="P3" s="8">
        <v>880</v>
      </c>
      <c r="Q3" s="8">
        <v>592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24">
        <v>43618</v>
      </c>
      <c r="B4" s="2" t="s">
        <v>0</v>
      </c>
      <c r="C4" s="2" t="s">
        <v>64</v>
      </c>
      <c r="D4" s="2" t="s">
        <v>2</v>
      </c>
      <c r="E4" s="22" t="s">
        <v>65</v>
      </c>
      <c r="F4" s="2" t="s">
        <v>4</v>
      </c>
      <c r="G4" s="3">
        <f>G3</f>
        <v>71500</v>
      </c>
      <c r="H4" s="2" t="s">
        <v>66</v>
      </c>
      <c r="I4" s="2" t="s">
        <v>67</v>
      </c>
      <c r="J4" s="4">
        <v>0.72569444444444453</v>
      </c>
      <c r="K4" s="5">
        <v>0.72430555555555554</v>
      </c>
      <c r="L4" s="4">
        <v>0.48958333333333331</v>
      </c>
      <c r="M4" s="6">
        <v>0.50138888888888888</v>
      </c>
      <c r="N4" s="7" t="s">
        <v>86</v>
      </c>
      <c r="O4" s="8" t="s">
        <v>84</v>
      </c>
      <c r="P4" s="2">
        <v>930</v>
      </c>
      <c r="Q4" s="8">
        <v>764</v>
      </c>
      <c r="R4" s="2">
        <v>0</v>
      </c>
      <c r="S4" s="2">
        <v>0</v>
      </c>
      <c r="T4" s="2">
        <v>0</v>
      </c>
      <c r="U4" s="2">
        <v>0</v>
      </c>
    </row>
    <row r="5" spans="1:21" s="16" customFormat="1" ht="12.75" x14ac:dyDescent="0.2">
      <c r="A5" s="1">
        <v>43618</v>
      </c>
      <c r="B5" s="2" t="s">
        <v>0</v>
      </c>
      <c r="C5" s="7" t="s">
        <v>68</v>
      </c>
      <c r="D5" s="2" t="s">
        <v>2</v>
      </c>
      <c r="E5" s="22" t="s">
        <v>47</v>
      </c>
      <c r="F5" s="7" t="s">
        <v>4</v>
      </c>
      <c r="G5" s="3">
        <f>G4</f>
        <v>71500</v>
      </c>
      <c r="H5" s="7" t="s">
        <v>69</v>
      </c>
      <c r="I5" s="7" t="s">
        <v>70</v>
      </c>
      <c r="J5" s="9">
        <v>0.74652777777777779</v>
      </c>
      <c r="K5" s="5">
        <v>0.74375000000000002</v>
      </c>
      <c r="L5" s="9">
        <v>0.51736111111111105</v>
      </c>
      <c r="M5" s="5">
        <v>0.53263888888888888</v>
      </c>
      <c r="N5" s="7" t="s">
        <v>87</v>
      </c>
      <c r="O5" s="7" t="s">
        <v>85</v>
      </c>
      <c r="P5" s="7">
        <v>1246</v>
      </c>
      <c r="Q5" s="7">
        <v>904</v>
      </c>
      <c r="R5" s="2">
        <v>0</v>
      </c>
      <c r="S5" s="2">
        <v>0</v>
      </c>
      <c r="T5" s="2">
        <v>0</v>
      </c>
      <c r="U5" s="2">
        <v>0</v>
      </c>
    </row>
    <row r="6" spans="1:21" s="16" customFormat="1" ht="12.75" x14ac:dyDescent="0.2">
      <c r="A6" s="24">
        <v>43618</v>
      </c>
      <c r="B6" s="2" t="s">
        <v>0</v>
      </c>
      <c r="C6" s="7" t="s">
        <v>71</v>
      </c>
      <c r="D6" s="2" t="s">
        <v>2</v>
      </c>
      <c r="E6" s="22" t="s">
        <v>65</v>
      </c>
      <c r="F6" s="7" t="s">
        <v>4</v>
      </c>
      <c r="G6" s="3">
        <f>G5</f>
        <v>71500</v>
      </c>
      <c r="H6" s="7" t="s">
        <v>72</v>
      </c>
      <c r="I6" s="7" t="s">
        <v>73</v>
      </c>
      <c r="J6" s="10">
        <v>0.91666666666666663</v>
      </c>
      <c r="K6" s="5">
        <v>0.93055555555555547</v>
      </c>
      <c r="L6" s="10">
        <v>0.74652777777777779</v>
      </c>
      <c r="M6" s="11">
        <v>0.75694444444444453</v>
      </c>
      <c r="N6" s="16" t="s">
        <v>90</v>
      </c>
      <c r="O6" s="7" t="s">
        <v>88</v>
      </c>
      <c r="P6" s="16">
        <v>810</v>
      </c>
      <c r="Q6" s="7">
        <v>480</v>
      </c>
      <c r="R6" s="2">
        <v>0</v>
      </c>
      <c r="S6" s="2">
        <v>0</v>
      </c>
      <c r="T6" s="2">
        <v>0</v>
      </c>
      <c r="U6" s="2">
        <v>0</v>
      </c>
    </row>
    <row r="7" spans="1:21" s="16" customFormat="1" ht="12.75" x14ac:dyDescent="0.2">
      <c r="A7" s="1">
        <v>43618</v>
      </c>
      <c r="B7" s="2" t="s">
        <v>0</v>
      </c>
      <c r="C7" s="7" t="s">
        <v>74</v>
      </c>
      <c r="D7" s="2" t="s">
        <v>2</v>
      </c>
      <c r="E7" s="22" t="s">
        <v>47</v>
      </c>
      <c r="F7" s="7" t="s">
        <v>4</v>
      </c>
      <c r="G7" s="3">
        <v>71500</v>
      </c>
      <c r="H7" s="7" t="s">
        <v>75</v>
      </c>
      <c r="I7" s="7" t="s">
        <v>76</v>
      </c>
      <c r="J7" s="10">
        <v>0.95833333333333337</v>
      </c>
      <c r="K7" s="5">
        <v>0.96180555555555547</v>
      </c>
      <c r="L7" s="10">
        <v>0.76736111111111116</v>
      </c>
      <c r="M7" s="11">
        <v>0.78125</v>
      </c>
      <c r="N7" s="16" t="s">
        <v>91</v>
      </c>
      <c r="O7" s="7" t="s">
        <v>89</v>
      </c>
      <c r="P7" s="12">
        <v>1106</v>
      </c>
      <c r="Q7" s="12">
        <v>829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Q19" sqref="Q19"/>
    </sheetView>
  </sheetViews>
  <sheetFormatPr defaultRowHeight="15" x14ac:dyDescent="0.25"/>
  <cols>
    <col min="2" max="2" width="11.28515625" customWidth="1"/>
    <col min="3" max="3" width="14.5703125" customWidth="1"/>
    <col min="5" max="5" width="14.5703125" customWidth="1"/>
    <col min="6" max="6" width="16.42578125" customWidth="1"/>
    <col min="10" max="10" width="11" customWidth="1"/>
    <col min="11" max="11" width="11.42578125" customWidth="1"/>
    <col min="12" max="12" width="11.5703125" customWidth="1"/>
    <col min="13" max="13" width="11.28515625" customWidth="1"/>
    <col min="14" max="14" width="19.5703125" customWidth="1"/>
    <col min="15" max="15" width="19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43619</v>
      </c>
      <c r="B2" s="2" t="s">
        <v>0</v>
      </c>
      <c r="C2" s="2" t="s">
        <v>61</v>
      </c>
      <c r="D2" s="2" t="s">
        <v>2</v>
      </c>
      <c r="E2" s="2" t="s">
        <v>98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0.53194444444444444</v>
      </c>
      <c r="L2" s="4">
        <v>0.25694444444444448</v>
      </c>
      <c r="M2" s="6">
        <v>0.33402777777777781</v>
      </c>
      <c r="N2" s="7" t="s">
        <v>101</v>
      </c>
      <c r="O2" s="8" t="s">
        <v>99</v>
      </c>
      <c r="P2" s="8">
        <v>1111</v>
      </c>
      <c r="Q2" s="8">
        <v>567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43619</v>
      </c>
      <c r="B3" s="2" t="s">
        <v>0</v>
      </c>
      <c r="C3" s="2" t="s">
        <v>77</v>
      </c>
      <c r="D3" s="2" t="s">
        <v>2</v>
      </c>
      <c r="E3" s="2" t="s">
        <v>65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0.4861111111111111</v>
      </c>
      <c r="K3" s="5">
        <v>0.4993055555555555</v>
      </c>
      <c r="L3" s="4">
        <v>0.28125</v>
      </c>
      <c r="M3" s="6">
        <v>0.31388888888888888</v>
      </c>
      <c r="N3" s="7" t="s">
        <v>100</v>
      </c>
      <c r="O3" s="8" t="s">
        <v>100</v>
      </c>
      <c r="P3" s="2">
        <v>693</v>
      </c>
      <c r="Q3" s="8">
        <v>567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v>43619</v>
      </c>
      <c r="B4" s="7" t="s">
        <v>0</v>
      </c>
      <c r="C4" s="7" t="s">
        <v>92</v>
      </c>
      <c r="D4" s="7" t="s">
        <v>2</v>
      </c>
      <c r="E4" s="2" t="s">
        <v>65</v>
      </c>
      <c r="F4" s="7" t="s">
        <v>4</v>
      </c>
      <c r="G4" s="3">
        <v>71500</v>
      </c>
      <c r="H4" s="7" t="s">
        <v>93</v>
      </c>
      <c r="I4" s="7" t="s">
        <v>94</v>
      </c>
      <c r="J4" s="9">
        <v>0.70833333333333337</v>
      </c>
      <c r="K4" s="5">
        <v>0.76736111111111116</v>
      </c>
      <c r="L4" s="9">
        <v>0.48958333333333331</v>
      </c>
      <c r="M4" s="5">
        <v>0.54722222222222217</v>
      </c>
      <c r="N4" s="7" t="s">
        <v>103</v>
      </c>
      <c r="O4" s="7" t="s">
        <v>102</v>
      </c>
      <c r="P4" s="7">
        <v>921</v>
      </c>
      <c r="Q4" s="8">
        <v>490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v>43619</v>
      </c>
      <c r="B5" s="7" t="s">
        <v>0</v>
      </c>
      <c r="C5" s="7" t="s">
        <v>71</v>
      </c>
      <c r="D5" s="7" t="s">
        <v>2</v>
      </c>
      <c r="E5" s="2" t="s">
        <v>65</v>
      </c>
      <c r="F5" s="13" t="s">
        <v>4</v>
      </c>
      <c r="G5" s="3">
        <v>71500</v>
      </c>
      <c r="H5" s="2" t="s">
        <v>72</v>
      </c>
      <c r="I5" s="2" t="s">
        <v>73</v>
      </c>
      <c r="J5" s="14">
        <v>0.89930555555555547</v>
      </c>
      <c r="K5" s="5">
        <v>0.96944444444444444</v>
      </c>
      <c r="L5" s="14">
        <v>0.72916666666666663</v>
      </c>
      <c r="M5" s="15">
        <v>0.80972222222222223</v>
      </c>
      <c r="N5" s="7" t="s">
        <v>105</v>
      </c>
      <c r="O5" s="7" t="s">
        <v>104</v>
      </c>
      <c r="P5" s="7">
        <v>735</v>
      </c>
      <c r="Q5" s="8">
        <v>800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v>43619</v>
      </c>
      <c r="B6" s="16" t="s">
        <v>0</v>
      </c>
      <c r="C6" s="16" t="s">
        <v>95</v>
      </c>
      <c r="D6" s="16" t="s">
        <v>2</v>
      </c>
      <c r="E6" s="16" t="s">
        <v>47</v>
      </c>
      <c r="F6" s="16" t="s">
        <v>4</v>
      </c>
      <c r="G6" s="17">
        <v>71500</v>
      </c>
      <c r="H6" s="16" t="s">
        <v>96</v>
      </c>
      <c r="I6" s="16" t="s">
        <v>97</v>
      </c>
      <c r="J6" s="14">
        <v>0.9375</v>
      </c>
      <c r="K6" s="5">
        <v>0.92638888888888893</v>
      </c>
      <c r="L6" s="14">
        <v>0.76736111111111116</v>
      </c>
      <c r="M6" s="15">
        <v>0.7729166666666667</v>
      </c>
      <c r="N6" s="7" t="s">
        <v>106</v>
      </c>
      <c r="O6" s="16" t="s">
        <v>83</v>
      </c>
      <c r="P6" s="16">
        <v>664</v>
      </c>
      <c r="Q6" s="8">
        <v>366</v>
      </c>
      <c r="R6" s="16">
        <v>0</v>
      </c>
      <c r="S6" s="16">
        <v>0</v>
      </c>
      <c r="T6" s="16">
        <v>0</v>
      </c>
      <c r="U6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"/>
  <sheetViews>
    <sheetView workbookViewId="0">
      <selection activeCell="I6" sqref="I6"/>
    </sheetView>
  </sheetViews>
  <sheetFormatPr defaultRowHeight="15" x14ac:dyDescent="0.25"/>
  <cols>
    <col min="2" max="2" width="11.28515625" customWidth="1"/>
    <col min="3" max="3" width="14.85546875" customWidth="1"/>
    <col min="6" max="6" width="13" customWidth="1"/>
    <col min="10" max="10" width="10.28515625" customWidth="1"/>
    <col min="11" max="11" width="10.5703125" customWidth="1"/>
    <col min="12" max="12" width="10.85546875" customWidth="1"/>
    <col min="13" max="13" width="11" customWidth="1"/>
    <col min="14" max="14" width="18" customWidth="1"/>
    <col min="15" max="15" width="18.5703125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43620</v>
      </c>
      <c r="B2" s="2" t="s">
        <v>0</v>
      </c>
      <c r="C2" s="2" t="s">
        <v>1</v>
      </c>
      <c r="D2" s="2" t="s">
        <v>2</v>
      </c>
      <c r="E2" s="2" t="s">
        <v>65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0.37777777777777777</v>
      </c>
      <c r="L2" s="4">
        <v>0.25694444444444448</v>
      </c>
      <c r="M2" s="6">
        <v>0.26597222222222222</v>
      </c>
      <c r="N2" s="7" t="s">
        <v>109</v>
      </c>
      <c r="O2" s="8" t="s">
        <v>107</v>
      </c>
      <c r="P2" s="8">
        <v>652</v>
      </c>
      <c r="Q2" s="8">
        <v>344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43620</v>
      </c>
      <c r="B3" s="2" t="s">
        <v>0</v>
      </c>
      <c r="C3" s="2" t="s">
        <v>7</v>
      </c>
      <c r="D3" s="2" t="s">
        <v>2</v>
      </c>
      <c r="E3" s="2" t="s">
        <v>47</v>
      </c>
      <c r="F3" s="2" t="s">
        <v>4</v>
      </c>
      <c r="G3" s="3">
        <v>71500</v>
      </c>
      <c r="H3" s="2" t="s">
        <v>8</v>
      </c>
      <c r="I3" s="2" t="s">
        <v>9</v>
      </c>
      <c r="J3" s="4">
        <v>0.46180555555555558</v>
      </c>
      <c r="K3" s="5">
        <v>0.45694444444444443</v>
      </c>
      <c r="L3" s="4">
        <v>0.28125</v>
      </c>
      <c r="M3" s="6">
        <v>0.28680555555555554</v>
      </c>
      <c r="N3" s="7" t="s">
        <v>110</v>
      </c>
      <c r="O3" s="8" t="s">
        <v>108</v>
      </c>
      <c r="P3" s="2">
        <v>695</v>
      </c>
      <c r="Q3" s="8">
        <v>702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v>43620</v>
      </c>
      <c r="B4" s="2" t="s">
        <v>0</v>
      </c>
      <c r="C4" s="7" t="s">
        <v>10</v>
      </c>
      <c r="D4" s="7" t="s">
        <v>2</v>
      </c>
      <c r="E4" s="2" t="s">
        <v>65</v>
      </c>
      <c r="F4" s="7" t="s">
        <v>4</v>
      </c>
      <c r="G4" s="3">
        <v>71500</v>
      </c>
      <c r="H4" s="7" t="s">
        <v>11</v>
      </c>
      <c r="I4" s="7" t="s">
        <v>12</v>
      </c>
      <c r="J4" s="9">
        <v>0.55555555555555558</v>
      </c>
      <c r="K4" s="5">
        <v>0.54583333333333328</v>
      </c>
      <c r="L4" s="9">
        <v>0.40625</v>
      </c>
      <c r="M4" s="5">
        <v>0.4152777777777778</v>
      </c>
      <c r="N4" s="7" t="s">
        <v>112</v>
      </c>
      <c r="O4" s="7" t="s">
        <v>110</v>
      </c>
      <c r="P4" s="7">
        <v>835</v>
      </c>
      <c r="Q4" s="8">
        <v>695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v>43620</v>
      </c>
      <c r="B5" s="2" t="s">
        <v>0</v>
      </c>
      <c r="C5" s="7" t="s">
        <v>13</v>
      </c>
      <c r="D5" s="7" t="s">
        <v>2</v>
      </c>
      <c r="E5" s="2" t="s">
        <v>47</v>
      </c>
      <c r="F5" s="7" t="s">
        <v>4</v>
      </c>
      <c r="G5" s="3">
        <v>71500</v>
      </c>
      <c r="H5" s="7" t="s">
        <v>14</v>
      </c>
      <c r="I5" s="7" t="s">
        <v>15</v>
      </c>
      <c r="J5" s="10">
        <v>0.70138888888888884</v>
      </c>
      <c r="K5" s="5">
        <v>0.70347222222222217</v>
      </c>
      <c r="L5" s="10">
        <v>0.49305555555555558</v>
      </c>
      <c r="M5" s="11">
        <v>0.49722222222222223</v>
      </c>
      <c r="N5" s="7" t="s">
        <v>114</v>
      </c>
      <c r="O5" s="7" t="s">
        <v>111</v>
      </c>
      <c r="P5" s="12">
        <v>1279</v>
      </c>
      <c r="Q5" s="8">
        <v>750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v>43620</v>
      </c>
      <c r="B6" s="2" t="s">
        <v>0</v>
      </c>
      <c r="C6" s="7" t="s">
        <v>17</v>
      </c>
      <c r="D6" s="7" t="s">
        <v>2</v>
      </c>
      <c r="E6" s="2" t="s">
        <v>65</v>
      </c>
      <c r="F6" s="13" t="s">
        <v>4</v>
      </c>
      <c r="G6" s="3">
        <v>71500</v>
      </c>
      <c r="H6" s="2" t="s">
        <v>18</v>
      </c>
      <c r="I6" s="2" t="s">
        <v>19</v>
      </c>
      <c r="J6" s="14">
        <v>0.74652777777777779</v>
      </c>
      <c r="K6" s="25"/>
      <c r="L6" s="14">
        <v>0.58680555555555558</v>
      </c>
      <c r="M6" s="15">
        <v>0.59513888888888888</v>
      </c>
      <c r="N6" s="26"/>
      <c r="O6" s="7" t="s">
        <v>113</v>
      </c>
      <c r="P6" s="26"/>
      <c r="Q6" s="8">
        <v>565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1">
        <v>43620</v>
      </c>
      <c r="B7" s="2" t="s">
        <v>0</v>
      </c>
      <c r="C7" s="16" t="s">
        <v>20</v>
      </c>
      <c r="D7" s="16" t="s">
        <v>2</v>
      </c>
      <c r="E7" s="2" t="s">
        <v>47</v>
      </c>
      <c r="F7" s="16" t="s">
        <v>4</v>
      </c>
      <c r="G7" s="17">
        <v>71500</v>
      </c>
      <c r="H7" s="16" t="s">
        <v>21</v>
      </c>
      <c r="I7" s="16" t="s">
        <v>22</v>
      </c>
      <c r="J7" s="14">
        <v>0.94097222222222221</v>
      </c>
      <c r="K7" s="5"/>
      <c r="L7" s="14">
        <v>0.72222222222222221</v>
      </c>
      <c r="M7" s="15">
        <v>0.96388888888888891</v>
      </c>
      <c r="N7" s="27"/>
      <c r="O7" s="16" t="s">
        <v>115</v>
      </c>
      <c r="Q7" s="8">
        <v>733</v>
      </c>
      <c r="R7" s="16">
        <v>0</v>
      </c>
      <c r="S7" s="16">
        <v>0</v>
      </c>
      <c r="T7" s="16">
        <v>0</v>
      </c>
      <c r="U7" s="16">
        <v>0</v>
      </c>
    </row>
    <row r="8" spans="1:21" s="19" customFormat="1" ht="12.75" x14ac:dyDescent="0.25">
      <c r="A8" s="36">
        <v>43620</v>
      </c>
      <c r="B8" s="28" t="s">
        <v>0</v>
      </c>
      <c r="C8" s="29" t="s">
        <v>23</v>
      </c>
      <c r="D8" s="28" t="s">
        <v>2</v>
      </c>
      <c r="E8" s="30" t="s">
        <v>65</v>
      </c>
      <c r="F8" s="28" t="s">
        <v>4</v>
      </c>
      <c r="G8" s="31">
        <v>71500</v>
      </c>
      <c r="H8" s="30" t="s">
        <v>24</v>
      </c>
      <c r="I8" s="30" t="s">
        <v>25</v>
      </c>
      <c r="J8" s="32">
        <v>0.94444444444444453</v>
      </c>
      <c r="K8" s="33"/>
      <c r="L8" s="32">
        <v>0.76736111111111116</v>
      </c>
      <c r="M8" s="34"/>
      <c r="N8" s="34"/>
      <c r="O8" s="34"/>
      <c r="P8" s="29"/>
      <c r="Q8" s="35"/>
      <c r="R8" s="7">
        <v>0</v>
      </c>
      <c r="S8" s="7">
        <v>0</v>
      </c>
      <c r="T8" s="7">
        <v>0</v>
      </c>
      <c r="U8" s="7"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sqref="A1:XFD7"/>
    </sheetView>
  </sheetViews>
  <sheetFormatPr defaultRowHeight="12.75" x14ac:dyDescent="0.25"/>
  <cols>
    <col min="1" max="1" width="9.140625" style="19" customWidth="1"/>
    <col min="2" max="2" width="22.42578125" style="19" customWidth="1"/>
    <col min="3" max="3" width="17.140625" style="19" customWidth="1"/>
    <col min="4" max="4" width="9.140625" style="19"/>
    <col min="5" max="5" width="15.28515625" style="19" customWidth="1"/>
    <col min="6" max="6" width="14.140625" style="19" customWidth="1"/>
    <col min="7" max="9" width="9.140625" style="19"/>
    <col min="10" max="10" width="11.28515625" style="19" customWidth="1"/>
    <col min="11" max="11" width="10.85546875" style="19" customWidth="1"/>
    <col min="12" max="12" width="11.140625" style="19" customWidth="1"/>
    <col min="13" max="13" width="11.28515625" style="19" customWidth="1"/>
    <col min="14" max="14" width="17.140625" style="19" customWidth="1"/>
    <col min="15" max="15" width="17.7109375" style="19" customWidth="1"/>
    <col min="16" max="16384" width="9.140625" style="19"/>
  </cols>
  <sheetData>
    <row r="1" spans="1:21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ht="12.75" customHeight="1" x14ac:dyDescent="0.25">
      <c r="A2" s="1">
        <v>43621</v>
      </c>
      <c r="B2" s="2" t="s">
        <v>0</v>
      </c>
      <c r="C2" s="2" t="s">
        <v>61</v>
      </c>
      <c r="D2" s="2" t="s">
        <v>2</v>
      </c>
      <c r="E2" s="2" t="s">
        <v>117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0.6069444444444444</v>
      </c>
      <c r="L2" s="4">
        <v>0.25694444444444448</v>
      </c>
      <c r="M2" s="6">
        <v>0.37986111111111115</v>
      </c>
      <c r="N2" s="5" t="s">
        <v>131</v>
      </c>
      <c r="O2" s="8" t="s">
        <v>123</v>
      </c>
      <c r="P2" s="8">
        <v>1122</v>
      </c>
      <c r="Q2" s="8">
        <v>818</v>
      </c>
      <c r="R2" s="2">
        <v>0</v>
      </c>
      <c r="S2" s="2">
        <v>0</v>
      </c>
      <c r="T2" s="2">
        <v>0</v>
      </c>
      <c r="U2" s="2">
        <v>0</v>
      </c>
    </row>
    <row r="3" spans="1:21" ht="12.75" customHeight="1" x14ac:dyDescent="0.25">
      <c r="A3" s="1">
        <f t="shared" ref="A3:A8" si="0">A2</f>
        <v>43621</v>
      </c>
      <c r="B3" s="2" t="s">
        <v>0</v>
      </c>
      <c r="C3" s="2" t="s">
        <v>77</v>
      </c>
      <c r="D3" s="2" t="s">
        <v>2</v>
      </c>
      <c r="E3" s="2" t="str">
        <f>E9</f>
        <v>HA-LWO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0.4861111111111111</v>
      </c>
      <c r="K3" s="5">
        <v>0.69652777777777775</v>
      </c>
      <c r="L3" s="4">
        <v>0.28125</v>
      </c>
      <c r="M3" s="6">
        <v>0.48194444444444445</v>
      </c>
      <c r="N3" s="5" t="s">
        <v>142</v>
      </c>
      <c r="O3" s="8" t="s">
        <v>125</v>
      </c>
      <c r="P3" s="2">
        <v>944</v>
      </c>
      <c r="Q3" s="8">
        <v>527</v>
      </c>
      <c r="R3" s="2">
        <v>0</v>
      </c>
      <c r="S3" s="2">
        <v>0</v>
      </c>
      <c r="T3" s="2">
        <v>0</v>
      </c>
      <c r="U3" s="2">
        <v>0</v>
      </c>
    </row>
    <row r="4" spans="1:21" ht="12.75" customHeight="1" x14ac:dyDescent="0.25">
      <c r="A4" s="1">
        <f t="shared" si="0"/>
        <v>43621</v>
      </c>
      <c r="B4" s="7" t="s">
        <v>0</v>
      </c>
      <c r="C4" s="7" t="s">
        <v>64</v>
      </c>
      <c r="D4" s="7" t="s">
        <v>2</v>
      </c>
      <c r="E4" s="2" t="str">
        <f>E2</f>
        <v>HA-LPQ</v>
      </c>
      <c r="F4" s="7" t="s">
        <v>4</v>
      </c>
      <c r="G4" s="3">
        <v>71500</v>
      </c>
      <c r="H4" s="7" t="s">
        <v>66</v>
      </c>
      <c r="I4" s="7" t="s">
        <v>67</v>
      </c>
      <c r="J4" s="9">
        <v>0.72569444444444453</v>
      </c>
      <c r="K4" s="5">
        <v>0.85486111111111107</v>
      </c>
      <c r="L4" s="9">
        <v>0.48958333333333331</v>
      </c>
      <c r="M4" s="5">
        <v>0.64374999999999993</v>
      </c>
      <c r="N4" s="7" t="s">
        <v>147</v>
      </c>
      <c r="O4" s="7" t="s">
        <v>141</v>
      </c>
      <c r="P4" s="7">
        <v>1098</v>
      </c>
      <c r="Q4" s="7">
        <v>611</v>
      </c>
      <c r="R4" s="7">
        <v>0</v>
      </c>
      <c r="S4" s="7">
        <v>0</v>
      </c>
      <c r="T4" s="7">
        <v>0</v>
      </c>
      <c r="U4" s="7">
        <v>0</v>
      </c>
    </row>
    <row r="5" spans="1:21" ht="12.75" customHeight="1" x14ac:dyDescent="0.25">
      <c r="A5" s="1">
        <f t="shared" si="0"/>
        <v>43621</v>
      </c>
      <c r="B5" s="7" t="s">
        <v>0</v>
      </c>
      <c r="C5" s="7" t="s">
        <v>68</v>
      </c>
      <c r="D5" s="7" t="s">
        <v>2</v>
      </c>
      <c r="E5" s="2" t="str">
        <f>E11</f>
        <v>HA-LPS</v>
      </c>
      <c r="F5" s="7" t="s">
        <v>4</v>
      </c>
      <c r="G5" s="3">
        <v>71500</v>
      </c>
      <c r="H5" s="7" t="s">
        <v>69</v>
      </c>
      <c r="I5" s="7" t="s">
        <v>70</v>
      </c>
      <c r="J5" s="10">
        <v>0.74652777777777779</v>
      </c>
      <c r="K5" s="5">
        <v>0.7895833333333333</v>
      </c>
      <c r="L5" s="10">
        <v>0.51736111111111105</v>
      </c>
      <c r="M5" s="11">
        <v>0.56597222222222221</v>
      </c>
      <c r="N5" s="7" t="s">
        <v>146</v>
      </c>
      <c r="O5" s="19" t="s">
        <v>140</v>
      </c>
      <c r="P5" s="12">
        <v>733</v>
      </c>
      <c r="Q5" s="19">
        <v>862</v>
      </c>
      <c r="R5" s="7">
        <v>0</v>
      </c>
      <c r="S5" s="7">
        <v>0</v>
      </c>
      <c r="T5" s="7">
        <v>0</v>
      </c>
      <c r="U5" s="7">
        <v>0</v>
      </c>
    </row>
    <row r="6" spans="1:21" ht="12.75" customHeight="1" x14ac:dyDescent="0.25">
      <c r="A6" s="1">
        <f t="shared" si="0"/>
        <v>43621</v>
      </c>
      <c r="B6" s="19" t="s">
        <v>0</v>
      </c>
      <c r="C6" s="19" t="s">
        <v>71</v>
      </c>
      <c r="D6" s="19" t="s">
        <v>2</v>
      </c>
      <c r="E6" s="2" t="s">
        <v>133</v>
      </c>
      <c r="F6" s="19" t="s">
        <v>4</v>
      </c>
      <c r="G6" s="3">
        <v>71500</v>
      </c>
      <c r="H6" s="19" t="s">
        <v>72</v>
      </c>
      <c r="I6" s="19" t="s">
        <v>73</v>
      </c>
      <c r="J6" s="10">
        <v>0.91666666666666663</v>
      </c>
      <c r="K6" s="5">
        <v>0.97986111111111107</v>
      </c>
      <c r="L6" s="10">
        <v>0.74652777777777779</v>
      </c>
      <c r="M6" s="18">
        <v>0.82291666666666663</v>
      </c>
      <c r="N6" s="7" t="s">
        <v>150</v>
      </c>
      <c r="O6" s="19" t="s">
        <v>149</v>
      </c>
      <c r="P6" s="19">
        <v>831</v>
      </c>
      <c r="Q6" s="19">
        <v>620</v>
      </c>
      <c r="R6" s="19">
        <v>0</v>
      </c>
      <c r="S6" s="19">
        <v>0</v>
      </c>
      <c r="T6" s="19">
        <v>0</v>
      </c>
      <c r="U6" s="19">
        <v>0</v>
      </c>
    </row>
    <row r="7" spans="1:21" ht="12.75" customHeight="1" x14ac:dyDescent="0.25">
      <c r="A7" s="1">
        <f t="shared" si="0"/>
        <v>43621</v>
      </c>
      <c r="B7" s="19" t="s">
        <v>0</v>
      </c>
      <c r="C7" s="19" t="s">
        <v>74</v>
      </c>
      <c r="D7" s="19" t="s">
        <v>2</v>
      </c>
      <c r="E7" s="2" t="s">
        <v>121</v>
      </c>
      <c r="F7" s="19" t="s">
        <v>4</v>
      </c>
      <c r="G7" s="37">
        <v>71500</v>
      </c>
      <c r="H7" s="19" t="s">
        <v>75</v>
      </c>
      <c r="I7" s="19" t="s">
        <v>76</v>
      </c>
      <c r="J7" s="10">
        <v>0.95833333333333337</v>
      </c>
      <c r="K7" s="5">
        <v>0.9819444444444444</v>
      </c>
      <c r="L7" s="10">
        <v>0.76736111111111116</v>
      </c>
      <c r="M7" s="18">
        <v>0.79166666666666663</v>
      </c>
      <c r="N7" s="7" t="s">
        <v>151</v>
      </c>
      <c r="O7" s="19" t="s">
        <v>148</v>
      </c>
      <c r="P7" s="19">
        <v>1013</v>
      </c>
      <c r="Q7" s="19">
        <v>803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23">
        <f t="shared" si="0"/>
        <v>43621</v>
      </c>
      <c r="B8" s="7" t="s">
        <v>0</v>
      </c>
      <c r="C8" s="7" t="s">
        <v>116</v>
      </c>
      <c r="D8" s="7" t="str">
        <f>D7</f>
        <v>A320</v>
      </c>
      <c r="E8" s="2" t="s">
        <v>117</v>
      </c>
      <c r="F8" s="7" t="str">
        <f>F7</f>
        <v>SCHEDULED</v>
      </c>
      <c r="G8" s="37">
        <f>G7</f>
        <v>71500</v>
      </c>
      <c r="H8" s="7" t="s">
        <v>21</v>
      </c>
      <c r="I8" s="7" t="s">
        <v>118</v>
      </c>
      <c r="J8" s="10">
        <v>0.94097222222222221</v>
      </c>
      <c r="K8" s="18">
        <v>0.32291666666666669</v>
      </c>
      <c r="L8" s="19" t="s">
        <v>118</v>
      </c>
      <c r="M8" s="19" t="s">
        <v>118</v>
      </c>
      <c r="N8" s="19" t="s">
        <v>119</v>
      </c>
      <c r="O8" s="19" t="s">
        <v>118</v>
      </c>
      <c r="P8" s="19">
        <v>769</v>
      </c>
      <c r="Q8" s="19" t="s">
        <v>118</v>
      </c>
      <c r="R8" s="19">
        <v>0</v>
      </c>
      <c r="S8" s="19">
        <v>0</v>
      </c>
      <c r="T8" s="19">
        <v>0</v>
      </c>
      <c r="U8" s="19">
        <v>0</v>
      </c>
    </row>
    <row r="9" spans="1:21" x14ac:dyDescent="0.25">
      <c r="A9" s="23">
        <f>A8</f>
        <v>43621</v>
      </c>
      <c r="B9" s="7" t="str">
        <f>B8</f>
        <v>WIZZAIR</v>
      </c>
      <c r="C9" s="7" t="s">
        <v>120</v>
      </c>
      <c r="D9" s="7" t="str">
        <f>D8</f>
        <v>A320</v>
      </c>
      <c r="E9" s="2" t="s">
        <v>121</v>
      </c>
      <c r="F9" s="7" t="str">
        <f>F8</f>
        <v>SCHEDULED</v>
      </c>
      <c r="G9" s="37">
        <f>G8</f>
        <v>71500</v>
      </c>
      <c r="H9" s="7" t="s">
        <v>122</v>
      </c>
      <c r="I9" s="7" t="s">
        <v>118</v>
      </c>
      <c r="J9" s="10">
        <v>0.24305555555555555</v>
      </c>
      <c r="K9" s="18">
        <v>0.3576388888888889</v>
      </c>
      <c r="L9" s="19" t="s">
        <v>118</v>
      </c>
      <c r="M9" s="19" t="s">
        <v>118</v>
      </c>
      <c r="N9" s="19" t="s">
        <v>124</v>
      </c>
      <c r="O9" s="19" t="s">
        <v>118</v>
      </c>
      <c r="P9" s="19">
        <v>505</v>
      </c>
      <c r="Q9" s="19" t="s">
        <v>118</v>
      </c>
      <c r="R9" s="19">
        <v>0</v>
      </c>
      <c r="S9" s="19">
        <v>0</v>
      </c>
      <c r="T9" s="19">
        <v>0</v>
      </c>
      <c r="U9" s="19">
        <v>0</v>
      </c>
    </row>
    <row r="10" spans="1:21" x14ac:dyDescent="0.25">
      <c r="A10" s="23">
        <f>A9</f>
        <v>43621</v>
      </c>
      <c r="B10" s="7" t="s">
        <v>126</v>
      </c>
      <c r="C10" s="7" t="s">
        <v>127</v>
      </c>
      <c r="D10" s="7" t="s">
        <v>128</v>
      </c>
      <c r="E10" s="2" t="s">
        <v>129</v>
      </c>
      <c r="F10" s="7" t="s">
        <v>130</v>
      </c>
      <c r="G10" s="37">
        <v>4600</v>
      </c>
      <c r="H10" s="7" t="s">
        <v>118</v>
      </c>
      <c r="I10" s="7" t="str">
        <f>I9</f>
        <v>-</v>
      </c>
      <c r="J10" s="10">
        <v>0.375</v>
      </c>
      <c r="K10" s="18">
        <v>0.39583333333333331</v>
      </c>
      <c r="L10" s="10">
        <v>0.39583333333333331</v>
      </c>
      <c r="M10" s="18">
        <v>0.42499999999999999</v>
      </c>
      <c r="N10" s="19">
        <v>2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</row>
    <row r="11" spans="1:21" x14ac:dyDescent="0.25">
      <c r="A11" s="23">
        <f>A10</f>
        <v>43621</v>
      </c>
      <c r="B11" s="7" t="str">
        <f>B9</f>
        <v>WIZZAIR</v>
      </c>
      <c r="C11" s="7" t="s">
        <v>132</v>
      </c>
      <c r="D11" s="7" t="str">
        <f>D9</f>
        <v>A320</v>
      </c>
      <c r="E11" s="2" t="s">
        <v>133</v>
      </c>
      <c r="F11" s="7" t="s">
        <v>134</v>
      </c>
      <c r="G11" s="37">
        <f>G9</f>
        <v>71500</v>
      </c>
      <c r="H11" s="7" t="s">
        <v>135</v>
      </c>
      <c r="I11" s="7" t="s">
        <v>118</v>
      </c>
      <c r="J11" s="10">
        <v>0.53125</v>
      </c>
      <c r="K11" s="18">
        <v>0.52083333333333337</v>
      </c>
      <c r="L11" s="19" t="s">
        <v>118</v>
      </c>
      <c r="M11" s="19" t="s">
        <v>118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</row>
    <row r="12" spans="1:21" x14ac:dyDescent="0.25">
      <c r="A12" s="23">
        <f>A11</f>
        <v>43621</v>
      </c>
      <c r="B12" s="7" t="s">
        <v>136</v>
      </c>
      <c r="C12" s="7" t="s">
        <v>137</v>
      </c>
      <c r="D12" s="7" t="s">
        <v>138</v>
      </c>
      <c r="E12" s="2" t="s">
        <v>139</v>
      </c>
      <c r="F12" s="7" t="str">
        <f>F10</f>
        <v>GA PRIVATE</v>
      </c>
      <c r="G12" s="37">
        <f>G10</f>
        <v>4600</v>
      </c>
      <c r="H12" s="7" t="s">
        <v>118</v>
      </c>
      <c r="I12" s="7" t="s">
        <v>118</v>
      </c>
      <c r="J12" s="10">
        <v>0.54166666666666663</v>
      </c>
      <c r="K12" s="18">
        <v>0.53749999999999998</v>
      </c>
      <c r="L12" s="10">
        <v>0.57291666666666663</v>
      </c>
      <c r="M12" s="18">
        <v>0.57638888888888895</v>
      </c>
      <c r="N12" s="19">
        <v>0</v>
      </c>
      <c r="O12" s="19">
        <v>2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</row>
    <row r="13" spans="1:21" x14ac:dyDescent="0.25">
      <c r="A13" s="23">
        <v>43621</v>
      </c>
      <c r="B13" s="19" t="s">
        <v>0</v>
      </c>
      <c r="C13" s="19" t="s">
        <v>143</v>
      </c>
      <c r="D13" s="19" t="s">
        <v>2</v>
      </c>
      <c r="E13" s="19" t="s">
        <v>117</v>
      </c>
      <c r="F13" s="19" t="s">
        <v>144</v>
      </c>
      <c r="G13" s="19">
        <v>71500</v>
      </c>
      <c r="H13" s="19" t="s">
        <v>118</v>
      </c>
      <c r="I13" s="19" t="s">
        <v>145</v>
      </c>
      <c r="J13" s="19" t="s">
        <v>118</v>
      </c>
      <c r="K13" s="19" t="s">
        <v>118</v>
      </c>
      <c r="L13" s="10">
        <v>0.64583333333333337</v>
      </c>
      <c r="M13" s="18">
        <v>0.88958333333333339</v>
      </c>
      <c r="N13" s="38" t="s">
        <v>118</v>
      </c>
      <c r="O13" s="19">
        <v>0</v>
      </c>
      <c r="P13" s="19" t="s">
        <v>118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</row>
  </sheetData>
  <pageMargins left="0.7" right="0.7" top="0.75" bottom="0.75" header="0.3" footer="0.3"/>
  <pageSetup paperSize="9" orientation="portrait" r:id="rId1"/>
  <ignoredErrors>
    <ignoredError sqref="E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topLeftCell="B1" workbookViewId="0">
      <selection activeCell="K6" sqref="K6"/>
    </sheetView>
  </sheetViews>
  <sheetFormatPr defaultRowHeight="15" x14ac:dyDescent="0.25"/>
  <cols>
    <col min="2" max="2" width="20.5703125" customWidth="1"/>
    <col min="3" max="3" width="16.7109375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ht="12.6" customHeight="1" x14ac:dyDescent="0.25">
      <c r="A2" s="24">
        <v>43622</v>
      </c>
      <c r="B2" s="16" t="s">
        <v>0</v>
      </c>
      <c r="C2" s="16" t="s">
        <v>7</v>
      </c>
      <c r="D2" s="16" t="s">
        <v>2</v>
      </c>
      <c r="E2" s="16" t="s">
        <v>133</v>
      </c>
      <c r="F2" s="2" t="s">
        <v>4</v>
      </c>
      <c r="G2" s="3">
        <v>71500</v>
      </c>
      <c r="H2" s="16" t="s">
        <v>8</v>
      </c>
      <c r="I2" s="16" t="s">
        <v>9</v>
      </c>
      <c r="J2" s="15">
        <v>0.46180555555555558</v>
      </c>
      <c r="K2" s="15">
        <v>0.45833333333333331</v>
      </c>
      <c r="L2" s="15">
        <v>0.28125</v>
      </c>
      <c r="M2" s="15">
        <v>0.29097222222222224</v>
      </c>
      <c r="N2" s="16" t="s">
        <v>154</v>
      </c>
      <c r="O2" s="16" t="s">
        <v>152</v>
      </c>
      <c r="P2" s="16">
        <v>879</v>
      </c>
      <c r="Q2" s="16">
        <v>771</v>
      </c>
      <c r="R2" s="16">
        <v>0</v>
      </c>
      <c r="S2" s="16">
        <v>0</v>
      </c>
      <c r="T2" s="16">
        <v>0</v>
      </c>
      <c r="U2" s="16">
        <v>0</v>
      </c>
    </row>
    <row r="3" spans="1:21" ht="12.6" customHeight="1" x14ac:dyDescent="0.25">
      <c r="A3" s="24">
        <v>43622</v>
      </c>
      <c r="B3" s="16" t="s">
        <v>0</v>
      </c>
      <c r="C3" s="16" t="s">
        <v>10</v>
      </c>
      <c r="D3" s="16" t="s">
        <v>2</v>
      </c>
      <c r="E3" s="16" t="s">
        <v>121</v>
      </c>
      <c r="F3" s="2" t="s">
        <v>4</v>
      </c>
      <c r="G3" s="3">
        <v>71500</v>
      </c>
      <c r="H3" s="16" t="s">
        <v>11</v>
      </c>
      <c r="I3" s="16" t="s">
        <v>12</v>
      </c>
      <c r="J3" s="15">
        <v>0.55555555555555558</v>
      </c>
      <c r="K3" s="15">
        <v>0.55347222222222225</v>
      </c>
      <c r="L3" s="15">
        <v>0.40625</v>
      </c>
      <c r="M3" s="15">
        <v>0.42291666666666666</v>
      </c>
      <c r="N3" s="16" t="s">
        <v>156</v>
      </c>
      <c r="O3" s="16" t="s">
        <v>153</v>
      </c>
      <c r="P3" s="16">
        <v>912</v>
      </c>
      <c r="Q3" s="16">
        <v>768</v>
      </c>
      <c r="R3" s="16">
        <v>0</v>
      </c>
      <c r="S3" s="16">
        <v>0</v>
      </c>
      <c r="T3" s="16">
        <v>0</v>
      </c>
      <c r="U3" s="16">
        <v>0</v>
      </c>
    </row>
    <row r="4" spans="1:21" ht="12.6" customHeight="1" x14ac:dyDescent="0.25">
      <c r="A4" s="24">
        <v>43622</v>
      </c>
      <c r="B4" s="16" t="s">
        <v>0</v>
      </c>
      <c r="C4" s="16" t="s">
        <v>13</v>
      </c>
      <c r="D4" s="16" t="s">
        <v>2</v>
      </c>
      <c r="E4" s="16" t="s">
        <v>133</v>
      </c>
      <c r="F4" s="2" t="s">
        <v>4</v>
      </c>
      <c r="G4" s="3">
        <v>71500</v>
      </c>
      <c r="H4" s="16" t="s">
        <v>14</v>
      </c>
      <c r="I4" s="16" t="s">
        <v>15</v>
      </c>
      <c r="J4" s="15">
        <v>0.70138888888888884</v>
      </c>
      <c r="K4" s="15">
        <v>0.7090277777777777</v>
      </c>
      <c r="L4" s="15">
        <v>0.49305555555555558</v>
      </c>
      <c r="M4" s="15">
        <v>0.51874999999999993</v>
      </c>
      <c r="N4" s="16" t="s">
        <v>165</v>
      </c>
      <c r="O4" s="16" t="s">
        <v>155</v>
      </c>
      <c r="P4" s="16">
        <v>917</v>
      </c>
      <c r="Q4" s="16">
        <v>536</v>
      </c>
      <c r="R4" s="16">
        <v>0</v>
      </c>
      <c r="S4" s="16">
        <v>0</v>
      </c>
      <c r="T4" s="16">
        <v>0</v>
      </c>
      <c r="U4" s="16">
        <v>0</v>
      </c>
    </row>
    <row r="5" spans="1:21" ht="12.6" customHeight="1" x14ac:dyDescent="0.25">
      <c r="A5" s="24">
        <v>43622</v>
      </c>
      <c r="B5" s="16" t="s">
        <v>0</v>
      </c>
      <c r="C5" s="16" t="s">
        <v>71</v>
      </c>
      <c r="D5" s="16" t="s">
        <v>2</v>
      </c>
      <c r="E5" s="16" t="s">
        <v>121</v>
      </c>
      <c r="F5" s="2" t="s">
        <v>4</v>
      </c>
      <c r="G5" s="3">
        <v>71500</v>
      </c>
      <c r="H5" s="16" t="s">
        <v>72</v>
      </c>
      <c r="I5" s="16" t="s">
        <v>73</v>
      </c>
      <c r="J5" s="15">
        <v>0.75694444444444453</v>
      </c>
      <c r="K5" s="15">
        <v>0.74722222222222223</v>
      </c>
      <c r="L5" s="15">
        <v>0.58680555555555558</v>
      </c>
      <c r="M5" s="15">
        <v>0.58611111111111114</v>
      </c>
      <c r="N5" s="16" t="s">
        <v>164</v>
      </c>
      <c r="O5" s="16" t="s">
        <v>163</v>
      </c>
      <c r="P5" s="16">
        <v>805</v>
      </c>
      <c r="Q5" s="16">
        <v>641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24">
        <v>43622</v>
      </c>
      <c r="B6" s="16" t="s">
        <v>157</v>
      </c>
      <c r="C6" s="16" t="s">
        <v>158</v>
      </c>
      <c r="D6" s="16" t="s">
        <v>159</v>
      </c>
      <c r="E6" s="16" t="s">
        <v>160</v>
      </c>
      <c r="F6" s="16" t="s">
        <v>161</v>
      </c>
      <c r="G6" s="16">
        <v>1088</v>
      </c>
      <c r="H6" s="16" t="s">
        <v>160</v>
      </c>
      <c r="I6" s="16" t="s">
        <v>160</v>
      </c>
      <c r="J6" s="15">
        <v>0.50694444444444442</v>
      </c>
      <c r="K6" s="15">
        <v>0.52361111111111114</v>
      </c>
      <c r="L6" s="15">
        <v>0.53472222222222221</v>
      </c>
      <c r="M6" s="15">
        <v>0.54375000000000007</v>
      </c>
      <c r="N6" s="16" t="s">
        <v>162</v>
      </c>
      <c r="O6" s="16" t="s">
        <v>162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048576" spans="1:1" x14ac:dyDescent="0.25">
      <c r="A1048576" s="2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8" sqref="K8"/>
    </sheetView>
  </sheetViews>
  <sheetFormatPr defaultRowHeight="12.75" x14ac:dyDescent="0.25"/>
  <cols>
    <col min="1" max="1" width="9.140625" style="19"/>
    <col min="2" max="2" width="18" style="19" customWidth="1"/>
    <col min="3" max="3" width="13.5703125" style="19" bestFit="1" customWidth="1"/>
    <col min="4" max="4" width="5.7109375" style="19" bestFit="1" customWidth="1"/>
    <col min="5" max="5" width="14.28515625" style="19" customWidth="1"/>
    <col min="6" max="6" width="23.7109375" style="19" customWidth="1"/>
    <col min="7" max="7" width="9.7109375" style="19" bestFit="1" customWidth="1"/>
    <col min="8" max="8" width="9.140625" style="19"/>
    <col min="9" max="9" width="10.5703125" style="19" customWidth="1"/>
    <col min="10" max="10" width="11.7109375" style="19" customWidth="1"/>
    <col min="11" max="11" width="13.140625" style="19" customWidth="1"/>
    <col min="12" max="12" width="13.42578125" style="19" customWidth="1"/>
    <col min="13" max="13" width="10.85546875" style="19" bestFit="1" customWidth="1"/>
    <col min="14" max="15" width="18.42578125" style="19" bestFit="1" customWidth="1"/>
    <col min="16" max="16" width="10.28515625" style="19" bestFit="1" customWidth="1"/>
    <col min="17" max="16384" width="9.140625" style="19"/>
  </cols>
  <sheetData>
    <row r="1" spans="1:21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x14ac:dyDescent="0.25">
      <c r="A2" s="1">
        <v>43623</v>
      </c>
      <c r="B2" s="2" t="s">
        <v>0</v>
      </c>
      <c r="C2" s="2" t="s">
        <v>61</v>
      </c>
      <c r="D2" s="2" t="s">
        <v>2</v>
      </c>
      <c r="E2" s="2" t="s">
        <v>121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0.50972222222222219</v>
      </c>
      <c r="L2" s="4">
        <v>0.25694444444444448</v>
      </c>
      <c r="M2" s="6">
        <v>0.28472222222222221</v>
      </c>
      <c r="N2" s="19" t="s">
        <v>174</v>
      </c>
      <c r="O2" s="8" t="s">
        <v>168</v>
      </c>
      <c r="P2" s="8">
        <v>802</v>
      </c>
      <c r="Q2" s="8">
        <v>724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">
        <f>A2</f>
        <v>43623</v>
      </c>
      <c r="B3" s="2" t="s">
        <v>0</v>
      </c>
      <c r="C3" s="19" t="s">
        <v>77</v>
      </c>
      <c r="D3" s="19" t="s">
        <v>2</v>
      </c>
      <c r="E3" s="2" t="s">
        <v>133</v>
      </c>
      <c r="F3" s="2" t="s">
        <v>4</v>
      </c>
      <c r="G3" s="3">
        <v>71500</v>
      </c>
      <c r="H3" s="19" t="s">
        <v>78</v>
      </c>
      <c r="I3" s="19" t="s">
        <v>79</v>
      </c>
      <c r="J3" s="10">
        <v>0.4861111111111111</v>
      </c>
      <c r="K3" s="18">
        <v>0.47152777777777777</v>
      </c>
      <c r="L3" s="10">
        <v>0.28125</v>
      </c>
      <c r="M3" s="18">
        <v>0.28680555555555554</v>
      </c>
      <c r="N3" s="19" t="s">
        <v>175</v>
      </c>
      <c r="O3" s="19" t="s">
        <v>169</v>
      </c>
      <c r="P3" s="19">
        <v>946</v>
      </c>
      <c r="Q3" s="19">
        <v>643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">
        <f>A3</f>
        <v>43623</v>
      </c>
      <c r="B4" s="2" t="s">
        <v>0</v>
      </c>
      <c r="C4" s="19" t="s">
        <v>92</v>
      </c>
      <c r="D4" s="2" t="s">
        <v>2</v>
      </c>
      <c r="E4" s="2" t="s">
        <v>133</v>
      </c>
      <c r="F4" s="2" t="s">
        <v>4</v>
      </c>
      <c r="G4" s="3">
        <v>71500</v>
      </c>
      <c r="H4" s="19" t="s">
        <v>93</v>
      </c>
      <c r="I4" s="19" t="s">
        <v>94</v>
      </c>
      <c r="J4" s="10">
        <v>0.70833333333333337</v>
      </c>
      <c r="K4" s="18">
        <v>0.7090277777777777</v>
      </c>
      <c r="L4" s="10">
        <v>0.48958333333333331</v>
      </c>
      <c r="M4" s="18">
        <v>0.50763888888888886</v>
      </c>
      <c r="N4" s="19" t="s">
        <v>172</v>
      </c>
      <c r="O4" s="19" t="s">
        <v>170</v>
      </c>
      <c r="P4" s="19">
        <v>1027</v>
      </c>
      <c r="Q4" s="19">
        <v>1036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">
        <f>A4</f>
        <v>43623</v>
      </c>
      <c r="B5" s="2" t="s">
        <v>0</v>
      </c>
      <c r="C5" s="19" t="s">
        <v>68</v>
      </c>
      <c r="D5" s="19" t="s">
        <v>2</v>
      </c>
      <c r="E5" s="2" t="s">
        <v>166</v>
      </c>
      <c r="F5" s="2" t="s">
        <v>4</v>
      </c>
      <c r="G5" s="3">
        <v>71500</v>
      </c>
      <c r="H5" s="19" t="s">
        <v>69</v>
      </c>
      <c r="I5" s="19" t="s">
        <v>70</v>
      </c>
      <c r="J5" s="10">
        <v>0.74652777777777779</v>
      </c>
      <c r="K5" s="18">
        <v>0.75486111111111109</v>
      </c>
      <c r="L5" s="10">
        <v>0.51736111111111105</v>
      </c>
      <c r="M5" s="18">
        <v>0.54305555555555551</v>
      </c>
      <c r="N5" s="19" t="s">
        <v>173</v>
      </c>
      <c r="O5" s="19" t="s">
        <v>171</v>
      </c>
      <c r="P5" s="19">
        <v>1053</v>
      </c>
      <c r="Q5" s="19">
        <v>562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">
        <f>A5</f>
        <v>43623</v>
      </c>
      <c r="B6" s="2" t="s">
        <v>0</v>
      </c>
      <c r="C6" s="19" t="s">
        <v>71</v>
      </c>
      <c r="D6" s="2" t="s">
        <v>2</v>
      </c>
      <c r="E6" s="2" t="s">
        <v>133</v>
      </c>
      <c r="F6" s="2" t="s">
        <v>4</v>
      </c>
      <c r="G6" s="37">
        <v>71500</v>
      </c>
      <c r="H6" s="19" t="s">
        <v>72</v>
      </c>
      <c r="I6" s="19" t="s">
        <v>73</v>
      </c>
      <c r="J6" s="10">
        <v>0.89930555555555547</v>
      </c>
      <c r="K6" s="18">
        <v>0.90763888888888899</v>
      </c>
      <c r="L6" s="10">
        <v>0.72916666666666663</v>
      </c>
      <c r="M6" s="18">
        <v>0.73749999999999993</v>
      </c>
      <c r="N6" s="19" t="s">
        <v>178</v>
      </c>
      <c r="O6" s="19" t="s">
        <v>176</v>
      </c>
      <c r="P6" s="19">
        <v>586</v>
      </c>
      <c r="Q6" s="19">
        <v>708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>
        <f>A6</f>
        <v>43623</v>
      </c>
      <c r="B7" s="2" t="s">
        <v>0</v>
      </c>
      <c r="C7" s="19" t="s">
        <v>95</v>
      </c>
      <c r="D7" s="19" t="s">
        <v>2</v>
      </c>
      <c r="E7" s="19" t="s">
        <v>166</v>
      </c>
      <c r="F7" s="2" t="s">
        <v>4</v>
      </c>
      <c r="G7" s="3">
        <v>71500</v>
      </c>
      <c r="H7" s="19" t="s">
        <v>96</v>
      </c>
      <c r="I7" s="19" t="s">
        <v>167</v>
      </c>
      <c r="J7" s="10">
        <v>0.9375</v>
      </c>
      <c r="K7" s="18">
        <f>J7</f>
        <v>0.9375</v>
      </c>
      <c r="L7" s="10">
        <v>0.76736111111111116</v>
      </c>
      <c r="M7" s="18">
        <v>0.78541666666666676</v>
      </c>
      <c r="N7" s="19" t="s">
        <v>179</v>
      </c>
      <c r="O7" s="19" t="s">
        <v>177</v>
      </c>
      <c r="P7" s="19">
        <v>701</v>
      </c>
      <c r="Q7" s="19">
        <v>463</v>
      </c>
      <c r="R7" s="2">
        <v>0</v>
      </c>
      <c r="S7" s="2">
        <v>0</v>
      </c>
      <c r="T7" s="2">
        <v>0</v>
      </c>
      <c r="U7" s="2">
        <v>0</v>
      </c>
    </row>
    <row r="8" spans="1:21" ht="12.75" customHeight="1" x14ac:dyDescent="0.25">
      <c r="A8" s="23"/>
      <c r="B8" s="39"/>
      <c r="F8" s="39"/>
      <c r="G8" s="37"/>
      <c r="J8" s="10"/>
      <c r="K8" s="18"/>
      <c r="L8" s="10"/>
      <c r="M8" s="1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C1" workbookViewId="0">
      <selection activeCell="N9" sqref="N9"/>
    </sheetView>
  </sheetViews>
  <sheetFormatPr defaultRowHeight="15" x14ac:dyDescent="0.25"/>
  <cols>
    <col min="2" max="2" width="21.42578125" customWidth="1"/>
    <col min="3" max="3" width="13.7109375" customWidth="1"/>
    <col min="6" max="6" width="1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43624</v>
      </c>
      <c r="B2" s="2" t="s">
        <v>0</v>
      </c>
      <c r="C2" s="2" t="s">
        <v>1</v>
      </c>
      <c r="D2" s="2" t="s">
        <v>2</v>
      </c>
      <c r="E2" s="2" t="s">
        <v>166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0.37013888888888885</v>
      </c>
      <c r="L2" s="4">
        <v>0.25694444444444448</v>
      </c>
      <c r="M2" s="6">
        <v>0.25555555555555559</v>
      </c>
      <c r="N2" s="7" t="s">
        <v>180</v>
      </c>
      <c r="O2" s="8" t="s">
        <v>182</v>
      </c>
      <c r="P2" s="8">
        <v>505</v>
      </c>
      <c r="Q2" s="8">
        <v>672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43624</v>
      </c>
      <c r="B3" s="2" t="s">
        <v>0</v>
      </c>
      <c r="C3" s="2" t="s">
        <v>7</v>
      </c>
      <c r="D3" s="2" t="s">
        <v>2</v>
      </c>
      <c r="E3" s="2" t="s">
        <v>133</v>
      </c>
      <c r="F3" s="2" t="s">
        <v>4</v>
      </c>
      <c r="G3" s="3">
        <v>71500</v>
      </c>
      <c r="H3" s="2" t="s">
        <v>8</v>
      </c>
      <c r="I3" s="2" t="s">
        <v>9</v>
      </c>
      <c r="J3" s="4">
        <v>0.46180555555555558</v>
      </c>
      <c r="K3" s="5">
        <v>0.46597222222222223</v>
      </c>
      <c r="L3" s="4">
        <v>0.28125</v>
      </c>
      <c r="M3" s="6">
        <v>0.29791666666666666</v>
      </c>
      <c r="N3" s="7" t="s">
        <v>181</v>
      </c>
      <c r="O3" s="8" t="s">
        <v>185</v>
      </c>
      <c r="P3" s="2">
        <v>773</v>
      </c>
      <c r="Q3" s="8">
        <v>825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v>43624</v>
      </c>
      <c r="B4" s="2" t="s">
        <v>0</v>
      </c>
      <c r="C4" s="7" t="s">
        <v>10</v>
      </c>
      <c r="D4" s="7" t="s">
        <v>2</v>
      </c>
      <c r="E4" s="2" t="s">
        <v>166</v>
      </c>
      <c r="F4" s="7" t="s">
        <v>4</v>
      </c>
      <c r="G4" s="3">
        <v>71500</v>
      </c>
      <c r="H4" s="7" t="s">
        <v>11</v>
      </c>
      <c r="I4" s="7" t="s">
        <v>12</v>
      </c>
      <c r="J4" s="9">
        <v>0.55555555555555558</v>
      </c>
      <c r="K4" s="5">
        <v>0.55277777777777781</v>
      </c>
      <c r="L4" s="9">
        <v>0.40625</v>
      </c>
      <c r="M4" s="5">
        <v>0.41319444444444442</v>
      </c>
      <c r="N4" s="7" t="s">
        <v>184</v>
      </c>
      <c r="O4" s="7" t="s">
        <v>183</v>
      </c>
      <c r="P4" s="7">
        <v>1060</v>
      </c>
      <c r="Q4" s="8">
        <v>774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v>43624</v>
      </c>
      <c r="B5" s="2" t="s">
        <v>0</v>
      </c>
      <c r="C5" s="7" t="s">
        <v>13</v>
      </c>
      <c r="D5" s="7" t="s">
        <v>2</v>
      </c>
      <c r="E5" s="2" t="s">
        <v>133</v>
      </c>
      <c r="F5" s="7" t="s">
        <v>4</v>
      </c>
      <c r="G5" s="3">
        <v>71500</v>
      </c>
      <c r="H5" s="7" t="s">
        <v>14</v>
      </c>
      <c r="I5" s="7" t="s">
        <v>15</v>
      </c>
      <c r="J5" s="10">
        <v>0.70138888888888884</v>
      </c>
      <c r="K5" s="5">
        <v>0.7055555555555556</v>
      </c>
      <c r="L5" s="10">
        <v>0.49305555555555558</v>
      </c>
      <c r="M5" s="11">
        <v>0.50694444444444442</v>
      </c>
      <c r="N5" s="7" t="s">
        <v>187</v>
      </c>
      <c r="O5" s="7" t="s">
        <v>53</v>
      </c>
      <c r="P5" s="12">
        <v>868</v>
      </c>
      <c r="Q5" s="8">
        <v>1031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v>43624</v>
      </c>
      <c r="B6" s="2" t="s">
        <v>0</v>
      </c>
      <c r="C6" s="7" t="s">
        <v>17</v>
      </c>
      <c r="D6" s="7" t="s">
        <v>2</v>
      </c>
      <c r="E6" s="2" t="s">
        <v>166</v>
      </c>
      <c r="F6" s="13" t="s">
        <v>4</v>
      </c>
      <c r="G6" s="3">
        <v>71500</v>
      </c>
      <c r="H6" s="2" t="s">
        <v>18</v>
      </c>
      <c r="I6" s="2" t="s">
        <v>19</v>
      </c>
      <c r="J6" s="14">
        <v>0.74652777777777779</v>
      </c>
      <c r="K6" s="5">
        <v>0.74791666666666667</v>
      </c>
      <c r="L6" s="14">
        <v>0.58680555555555558</v>
      </c>
      <c r="M6" s="15">
        <v>0.59166666666666667</v>
      </c>
      <c r="N6" s="7" t="s">
        <v>188</v>
      </c>
      <c r="O6" s="7" t="s">
        <v>186</v>
      </c>
      <c r="P6" s="7">
        <v>1001</v>
      </c>
      <c r="Q6" s="8">
        <v>889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1">
        <v>43624</v>
      </c>
      <c r="B7" s="2" t="s">
        <v>0</v>
      </c>
      <c r="C7" s="16" t="s">
        <v>20</v>
      </c>
      <c r="D7" s="16" t="s">
        <v>2</v>
      </c>
      <c r="E7" s="2" t="s">
        <v>133</v>
      </c>
      <c r="F7" s="16" t="s">
        <v>4</v>
      </c>
      <c r="G7" s="17">
        <v>71500</v>
      </c>
      <c r="H7" s="16" t="s">
        <v>21</v>
      </c>
      <c r="I7" s="16" t="s">
        <v>22</v>
      </c>
      <c r="J7" s="14">
        <v>0.94097222222222221</v>
      </c>
      <c r="K7" s="5">
        <v>0.93819444444444444</v>
      </c>
      <c r="L7" s="14">
        <v>0.72222222222222221</v>
      </c>
      <c r="M7" s="15">
        <v>0.73888888888888893</v>
      </c>
      <c r="N7" s="18" t="s">
        <v>191</v>
      </c>
      <c r="O7" s="16" t="s">
        <v>189</v>
      </c>
      <c r="P7" s="16">
        <v>636</v>
      </c>
      <c r="Q7" s="8">
        <v>831</v>
      </c>
      <c r="R7" s="16">
        <v>0</v>
      </c>
      <c r="S7" s="16">
        <v>0</v>
      </c>
      <c r="T7" s="16">
        <v>0</v>
      </c>
      <c r="U7" s="16">
        <v>0</v>
      </c>
    </row>
    <row r="8" spans="1:21" s="19" customFormat="1" ht="12.75" x14ac:dyDescent="0.25">
      <c r="A8" s="1">
        <v>43624</v>
      </c>
      <c r="B8" s="7" t="s">
        <v>0</v>
      </c>
      <c r="C8" s="19" t="s">
        <v>23</v>
      </c>
      <c r="D8" s="7" t="s">
        <v>2</v>
      </c>
      <c r="E8" s="2" t="s">
        <v>166</v>
      </c>
      <c r="F8" s="7" t="s">
        <v>4</v>
      </c>
      <c r="G8" s="3">
        <v>71500</v>
      </c>
      <c r="H8" s="2" t="s">
        <v>24</v>
      </c>
      <c r="I8" s="2" t="s">
        <v>25</v>
      </c>
      <c r="J8" s="10">
        <v>0.94444444444444453</v>
      </c>
      <c r="K8" s="6">
        <v>0.94097222222222221</v>
      </c>
      <c r="L8" s="10">
        <v>0.76736111111111116</v>
      </c>
      <c r="M8" s="18">
        <v>0.78611111111111109</v>
      </c>
      <c r="N8" s="18" t="s">
        <v>192</v>
      </c>
      <c r="O8" s="18" t="s">
        <v>190</v>
      </c>
      <c r="P8" s="19">
        <v>773</v>
      </c>
      <c r="Q8" s="8">
        <v>926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1"/>
      <c r="B9" s="7"/>
      <c r="C9" s="7"/>
      <c r="D9" s="7"/>
      <c r="E9" s="2"/>
      <c r="F9" s="7"/>
      <c r="G9" s="3"/>
      <c r="H9" s="2"/>
      <c r="I9" s="2"/>
      <c r="J9" s="20"/>
      <c r="K9" s="20"/>
      <c r="L9" s="21"/>
      <c r="M9" s="21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1"/>
      <c r="B10" s="7"/>
      <c r="C10" s="7"/>
      <c r="D10" s="7"/>
      <c r="E10" s="2"/>
      <c r="F10" s="7"/>
      <c r="G10" s="3"/>
      <c r="H10" s="2"/>
      <c r="I10" s="2"/>
      <c r="J10" s="20"/>
      <c r="K10" s="20"/>
      <c r="L10" s="21"/>
      <c r="M10" s="21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"/>
      <c r="B11" s="7"/>
      <c r="C11" s="7"/>
      <c r="D11" s="7"/>
      <c r="E11" s="2"/>
      <c r="F11" s="7"/>
      <c r="G11" s="3"/>
      <c r="H11" s="2"/>
      <c r="I11" s="2"/>
      <c r="J11" s="20"/>
      <c r="K11" s="20"/>
      <c r="L11" s="21"/>
      <c r="M11" s="21"/>
      <c r="N11" s="7"/>
      <c r="O11" s="7"/>
      <c r="P11" s="7"/>
      <c r="Q11" s="7"/>
      <c r="R11" s="7"/>
      <c r="S11" s="7"/>
      <c r="T11" s="7"/>
      <c r="U1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C1" workbookViewId="0">
      <pane ySplit="1" topLeftCell="A2" activePane="bottomLeft" state="frozen"/>
      <selection pane="bottomLeft" activeCell="P7" sqref="P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9" customFormat="1" ht="12.75" x14ac:dyDescent="0.25">
      <c r="A2" s="23">
        <v>43625</v>
      </c>
      <c r="B2" s="19" t="s">
        <v>0</v>
      </c>
      <c r="C2" s="19" t="s">
        <v>61</v>
      </c>
      <c r="D2" s="19" t="s">
        <v>2</v>
      </c>
      <c r="E2" s="19" t="s">
        <v>3</v>
      </c>
      <c r="F2" s="19" t="s">
        <v>4</v>
      </c>
      <c r="G2" s="19">
        <v>71500</v>
      </c>
      <c r="H2" s="19" t="s">
        <v>62</v>
      </c>
      <c r="I2" s="19" t="s">
        <v>63</v>
      </c>
      <c r="J2" s="10">
        <v>0.45833333333333331</v>
      </c>
      <c r="K2" s="18">
        <v>0.45624999999999999</v>
      </c>
      <c r="L2" s="10">
        <v>0.25694444444444448</v>
      </c>
      <c r="M2" s="18">
        <v>0.25972222222222224</v>
      </c>
      <c r="N2" s="19" t="s">
        <v>196</v>
      </c>
      <c r="O2" s="19" t="s">
        <v>194</v>
      </c>
      <c r="P2" s="19">
        <v>1063</v>
      </c>
      <c r="Q2" s="19">
        <v>711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43625</v>
      </c>
      <c r="B3" s="2" t="s">
        <v>0</v>
      </c>
      <c r="C3" s="2" t="s">
        <v>77</v>
      </c>
      <c r="D3" s="2" t="s">
        <v>2</v>
      </c>
      <c r="E3" s="22" t="s">
        <v>193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0.47222222222222227</v>
      </c>
      <c r="K3" s="5">
        <v>0.49027777777777781</v>
      </c>
      <c r="L3" s="4">
        <v>0.28125</v>
      </c>
      <c r="M3" s="6">
        <v>0.29097222222222224</v>
      </c>
      <c r="N3" s="7" t="s">
        <v>197</v>
      </c>
      <c r="O3" s="8" t="s">
        <v>195</v>
      </c>
      <c r="P3" s="8">
        <v>668</v>
      </c>
      <c r="Q3" s="8">
        <v>892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23">
        <v>43625</v>
      </c>
      <c r="B4" s="2" t="s">
        <v>0</v>
      </c>
      <c r="C4" s="2" t="s">
        <v>64</v>
      </c>
      <c r="D4" s="2" t="s">
        <v>2</v>
      </c>
      <c r="E4" s="22" t="s">
        <v>3</v>
      </c>
      <c r="F4" s="2" t="s">
        <v>4</v>
      </c>
      <c r="G4" s="3">
        <f>G3</f>
        <v>71500</v>
      </c>
      <c r="H4" s="2" t="s">
        <v>66</v>
      </c>
      <c r="I4" s="2" t="s">
        <v>67</v>
      </c>
      <c r="J4" s="4">
        <v>0.72569444444444453</v>
      </c>
      <c r="K4" s="5">
        <v>0.74375000000000002</v>
      </c>
      <c r="L4" s="4">
        <v>0.48958333333333331</v>
      </c>
      <c r="M4" s="6">
        <v>0.51874999999999993</v>
      </c>
      <c r="N4" s="7" t="s">
        <v>84</v>
      </c>
      <c r="O4" s="8" t="s">
        <v>198</v>
      </c>
      <c r="P4" s="2">
        <v>1100</v>
      </c>
      <c r="Q4" s="8">
        <v>751</v>
      </c>
      <c r="R4" s="2">
        <v>0</v>
      </c>
      <c r="S4" s="2">
        <v>0</v>
      </c>
      <c r="T4" s="2">
        <v>0</v>
      </c>
      <c r="U4" s="2">
        <v>0</v>
      </c>
    </row>
    <row r="5" spans="1:21" s="16" customFormat="1" ht="12.75" x14ac:dyDescent="0.2">
      <c r="A5" s="1">
        <v>43625</v>
      </c>
      <c r="B5" s="2" t="s">
        <v>0</v>
      </c>
      <c r="C5" s="7" t="s">
        <v>68</v>
      </c>
      <c r="D5" s="2" t="s">
        <v>2</v>
      </c>
      <c r="E5" s="22" t="s">
        <v>193</v>
      </c>
      <c r="F5" s="7" t="s">
        <v>4</v>
      </c>
      <c r="G5" s="3">
        <f>G4</f>
        <v>71500</v>
      </c>
      <c r="H5" s="7" t="s">
        <v>69</v>
      </c>
      <c r="I5" s="7" t="s">
        <v>70</v>
      </c>
      <c r="J5" s="9">
        <v>0.74652777777777779</v>
      </c>
      <c r="K5" s="5">
        <v>0.75416666666666676</v>
      </c>
      <c r="L5" s="9">
        <v>0.51736111111111105</v>
      </c>
      <c r="M5" s="5">
        <v>0.53472222222222221</v>
      </c>
      <c r="N5" s="7" t="s">
        <v>114</v>
      </c>
      <c r="O5" s="7" t="s">
        <v>199</v>
      </c>
      <c r="P5" s="7">
        <v>1410</v>
      </c>
      <c r="Q5" s="7">
        <v>625</v>
      </c>
      <c r="R5" s="2">
        <v>0</v>
      </c>
      <c r="S5" s="2">
        <v>0</v>
      </c>
      <c r="T5" s="2">
        <v>0</v>
      </c>
      <c r="U5" s="2">
        <v>0</v>
      </c>
    </row>
    <row r="6" spans="1:21" s="16" customFormat="1" ht="12.75" x14ac:dyDescent="0.2">
      <c r="A6" s="23">
        <v>43625</v>
      </c>
      <c r="B6" s="2" t="s">
        <v>0</v>
      </c>
      <c r="C6" s="7" t="s">
        <v>71</v>
      </c>
      <c r="D6" s="2" t="s">
        <v>2</v>
      </c>
      <c r="E6" s="22" t="s">
        <v>3</v>
      </c>
      <c r="F6" s="7" t="s">
        <v>4</v>
      </c>
      <c r="G6" s="3">
        <f>G5</f>
        <v>71500</v>
      </c>
      <c r="H6" s="7" t="s">
        <v>72</v>
      </c>
      <c r="I6" s="7" t="s">
        <v>73</v>
      </c>
      <c r="J6" s="10">
        <v>0.91666666666666663</v>
      </c>
      <c r="K6" s="5">
        <v>0.94444444444444453</v>
      </c>
      <c r="L6" s="10">
        <v>0.74652777777777779</v>
      </c>
      <c r="M6" s="11">
        <v>0.78888888888888886</v>
      </c>
      <c r="N6" s="16" t="s">
        <v>202</v>
      </c>
      <c r="O6" s="7" t="s">
        <v>200</v>
      </c>
      <c r="P6" s="16">
        <v>879</v>
      </c>
      <c r="Q6" s="7">
        <v>694</v>
      </c>
      <c r="R6" s="2">
        <v>0</v>
      </c>
      <c r="S6" s="2">
        <v>0</v>
      </c>
      <c r="T6" s="2">
        <v>0</v>
      </c>
      <c r="U6" s="2">
        <v>0</v>
      </c>
    </row>
    <row r="7" spans="1:21" s="16" customFormat="1" ht="12.75" x14ac:dyDescent="0.2">
      <c r="A7" s="1">
        <v>43625</v>
      </c>
      <c r="B7" s="2" t="s">
        <v>0</v>
      </c>
      <c r="C7" s="7" t="s">
        <v>74</v>
      </c>
      <c r="D7" s="2" t="s">
        <v>2</v>
      </c>
      <c r="E7" s="22" t="s">
        <v>193</v>
      </c>
      <c r="F7" s="7" t="s">
        <v>4</v>
      </c>
      <c r="G7" s="3">
        <v>71500</v>
      </c>
      <c r="H7" s="7" t="s">
        <v>75</v>
      </c>
      <c r="I7" s="7" t="s">
        <v>76</v>
      </c>
      <c r="J7" s="10">
        <v>0.95833333333333337</v>
      </c>
      <c r="K7" s="5">
        <v>0.96805555555555556</v>
      </c>
      <c r="L7" s="10">
        <v>0.76736111111111116</v>
      </c>
      <c r="M7" s="11">
        <v>0.79305555555555562</v>
      </c>
      <c r="N7" s="16" t="s">
        <v>203</v>
      </c>
      <c r="O7" s="7" t="s">
        <v>201</v>
      </c>
      <c r="P7" s="12">
        <v>1337</v>
      </c>
      <c r="Q7" s="12">
        <v>892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Q7" sqref="Q7"/>
    </sheetView>
  </sheetViews>
  <sheetFormatPr defaultRowHeight="15" x14ac:dyDescent="0.25"/>
  <cols>
    <col min="2" max="2" width="11.28515625" customWidth="1"/>
    <col min="3" max="3" width="14.5703125" customWidth="1"/>
    <col min="5" max="5" width="14.5703125" customWidth="1"/>
    <col min="6" max="6" width="16.42578125" customWidth="1"/>
    <col min="10" max="10" width="11" customWidth="1"/>
    <col min="11" max="11" width="11.42578125" customWidth="1"/>
    <col min="12" max="12" width="11.5703125" customWidth="1"/>
    <col min="13" max="13" width="11.28515625" customWidth="1"/>
    <col min="14" max="14" width="19.5703125" customWidth="1"/>
    <col min="15" max="15" width="19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43626</v>
      </c>
      <c r="B2" s="2" t="s">
        <v>0</v>
      </c>
      <c r="C2" s="2" t="s">
        <v>61</v>
      </c>
      <c r="D2" s="2" t="s">
        <v>2</v>
      </c>
      <c r="E2" s="2" t="s">
        <v>3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0.45416666666666666</v>
      </c>
      <c r="L2" s="4">
        <v>0.25694444444444448</v>
      </c>
      <c r="M2" s="6">
        <v>0.2638888888888889</v>
      </c>
      <c r="N2" s="7" t="s">
        <v>206</v>
      </c>
      <c r="O2" s="8" t="s">
        <v>204</v>
      </c>
      <c r="P2" s="8">
        <v>1203</v>
      </c>
      <c r="Q2" s="8">
        <v>729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43626</v>
      </c>
      <c r="B3" s="2" t="s">
        <v>0</v>
      </c>
      <c r="C3" s="2" t="s">
        <v>77</v>
      </c>
      <c r="D3" s="2" t="s">
        <v>2</v>
      </c>
      <c r="E3" s="2" t="s">
        <v>193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0.4861111111111111</v>
      </c>
      <c r="K3" s="5">
        <v>0.48194444444444445</v>
      </c>
      <c r="L3" s="4">
        <v>0.28125</v>
      </c>
      <c r="M3" s="6">
        <v>0.28194444444444444</v>
      </c>
      <c r="N3" s="7" t="s">
        <v>207</v>
      </c>
      <c r="O3" s="8" t="s">
        <v>205</v>
      </c>
      <c r="P3" s="2">
        <v>679</v>
      </c>
      <c r="Q3" s="8">
        <v>746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v>43626</v>
      </c>
      <c r="B4" s="7" t="s">
        <v>0</v>
      </c>
      <c r="C4" s="7" t="s">
        <v>92</v>
      </c>
      <c r="D4" s="7" t="s">
        <v>2</v>
      </c>
      <c r="E4" s="2" t="s">
        <v>3</v>
      </c>
      <c r="F4" s="7" t="s">
        <v>4</v>
      </c>
      <c r="G4" s="3">
        <v>71500</v>
      </c>
      <c r="H4" s="7" t="s">
        <v>93</v>
      </c>
      <c r="I4" s="7" t="s">
        <v>94</v>
      </c>
      <c r="J4" s="9">
        <v>0.70833333333333337</v>
      </c>
      <c r="K4" s="5">
        <v>0.75555555555555554</v>
      </c>
      <c r="L4" s="9">
        <v>0.48958333333333331</v>
      </c>
      <c r="M4" s="5">
        <v>0.55138888888888882</v>
      </c>
      <c r="N4" s="7" t="s">
        <v>209</v>
      </c>
      <c r="O4" s="7" t="s">
        <v>208</v>
      </c>
      <c r="P4" s="7">
        <v>925</v>
      </c>
      <c r="Q4" s="8">
        <v>929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v>43626</v>
      </c>
      <c r="B5" s="7" t="s">
        <v>0</v>
      </c>
      <c r="C5" s="7" t="s">
        <v>68</v>
      </c>
      <c r="D5" s="7" t="s">
        <v>2</v>
      </c>
      <c r="E5" s="2" t="s">
        <v>193</v>
      </c>
      <c r="F5" s="7" t="s">
        <v>4</v>
      </c>
      <c r="G5" s="3">
        <v>71500</v>
      </c>
      <c r="H5" s="7" t="s">
        <v>69</v>
      </c>
      <c r="I5" s="7" t="s">
        <v>70</v>
      </c>
      <c r="J5" s="9">
        <v>0.74652777777777779</v>
      </c>
      <c r="K5" s="5">
        <v>0.7597222222222223</v>
      </c>
      <c r="L5" s="9">
        <v>0.51736111111111105</v>
      </c>
      <c r="M5" s="5">
        <v>0.54722222222222217</v>
      </c>
      <c r="N5" s="7" t="s">
        <v>210</v>
      </c>
      <c r="O5" s="7" t="s">
        <v>105</v>
      </c>
      <c r="P5" s="7">
        <v>1117</v>
      </c>
      <c r="Q5" s="8">
        <v>700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v>43626</v>
      </c>
      <c r="B6" s="7" t="s">
        <v>0</v>
      </c>
      <c r="C6" s="7" t="s">
        <v>71</v>
      </c>
      <c r="D6" s="7" t="s">
        <v>2</v>
      </c>
      <c r="E6" s="2" t="s">
        <v>3</v>
      </c>
      <c r="F6" s="13" t="s">
        <v>4</v>
      </c>
      <c r="G6" s="3">
        <v>71500</v>
      </c>
      <c r="H6" s="2" t="s">
        <v>72</v>
      </c>
      <c r="I6" s="2" t="s">
        <v>73</v>
      </c>
      <c r="J6" s="14">
        <v>0.89930555555555547</v>
      </c>
      <c r="K6" s="5">
        <v>0.96180555555555547</v>
      </c>
      <c r="L6" s="14">
        <v>0.72916666666666663</v>
      </c>
      <c r="M6" s="15">
        <v>0.81458333333333333</v>
      </c>
      <c r="N6" s="7" t="s">
        <v>211</v>
      </c>
      <c r="O6" s="7" t="s">
        <v>201</v>
      </c>
      <c r="P6" s="7">
        <v>726</v>
      </c>
      <c r="Q6" s="8">
        <v>566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1">
        <v>43626</v>
      </c>
      <c r="B7" s="16" t="s">
        <v>0</v>
      </c>
      <c r="C7" s="16" t="s">
        <v>95</v>
      </c>
      <c r="D7" s="16" t="s">
        <v>2</v>
      </c>
      <c r="E7" s="16" t="s">
        <v>193</v>
      </c>
      <c r="F7" s="16" t="s">
        <v>4</v>
      </c>
      <c r="G7" s="17">
        <v>71500</v>
      </c>
      <c r="H7" s="16" t="s">
        <v>96</v>
      </c>
      <c r="I7" s="16" t="s">
        <v>97</v>
      </c>
      <c r="J7" s="14">
        <v>0.9375</v>
      </c>
      <c r="K7" s="5">
        <v>0.9506944444444444</v>
      </c>
      <c r="L7" s="14">
        <v>0.76736111111111116</v>
      </c>
      <c r="M7" s="15">
        <v>0.80138888888888893</v>
      </c>
      <c r="N7" s="7" t="s">
        <v>212</v>
      </c>
      <c r="O7" s="16" t="s">
        <v>213</v>
      </c>
      <c r="P7" s="16">
        <v>720</v>
      </c>
      <c r="Q7" s="8">
        <v>621</v>
      </c>
      <c r="R7" s="16">
        <v>0</v>
      </c>
      <c r="S7" s="16">
        <v>0</v>
      </c>
      <c r="T7" s="16">
        <v>0</v>
      </c>
      <c r="U7" s="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C1" workbookViewId="0">
      <selection activeCell="C1" sqref="A1:XFD1048576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8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9" customFormat="1" ht="12.75" customHeight="1" x14ac:dyDescent="0.25">
      <c r="A2" s="1">
        <v>43628</v>
      </c>
      <c r="B2" s="2" t="s">
        <v>0</v>
      </c>
      <c r="C2" s="2" t="s">
        <v>61</v>
      </c>
      <c r="D2" s="2" t="s">
        <v>2</v>
      </c>
      <c r="E2" s="2" t="s">
        <v>193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0.45208333333333334</v>
      </c>
      <c r="L2" s="4">
        <v>0.25694444444444448</v>
      </c>
      <c r="M2" s="6">
        <v>0.2638888888888889</v>
      </c>
      <c r="N2" s="5" t="s">
        <v>123</v>
      </c>
      <c r="O2" s="8" t="s">
        <v>123</v>
      </c>
      <c r="P2" s="8">
        <v>929</v>
      </c>
      <c r="Q2" s="8">
        <v>892</v>
      </c>
      <c r="R2" s="2">
        <v>0</v>
      </c>
      <c r="S2" s="2">
        <v>0</v>
      </c>
      <c r="T2" s="2">
        <v>0</v>
      </c>
      <c r="U2" s="2">
        <v>0</v>
      </c>
    </row>
    <row r="3" spans="1:21" s="19" customFormat="1" ht="12.75" customHeight="1" x14ac:dyDescent="0.25">
      <c r="A3" s="1">
        <v>43628</v>
      </c>
      <c r="B3" s="2" t="s">
        <v>0</v>
      </c>
      <c r="C3" s="2" t="s">
        <v>77</v>
      </c>
      <c r="D3" s="2" t="s">
        <v>2</v>
      </c>
      <c r="E3" s="2" t="s">
        <v>3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0.4861111111111111</v>
      </c>
      <c r="K3" s="5">
        <v>0.47500000000000003</v>
      </c>
      <c r="L3" s="4">
        <v>0.28125</v>
      </c>
      <c r="M3" s="6">
        <v>0.28611111111111115</v>
      </c>
      <c r="N3" s="5" t="s">
        <v>220</v>
      </c>
      <c r="O3" s="8" t="s">
        <v>219</v>
      </c>
      <c r="P3" s="2">
        <v>1530</v>
      </c>
      <c r="Q3" s="8">
        <v>644</v>
      </c>
      <c r="R3" s="2">
        <v>0</v>
      </c>
      <c r="S3" s="2">
        <v>0</v>
      </c>
      <c r="T3" s="2">
        <v>0</v>
      </c>
      <c r="U3" s="2">
        <v>0</v>
      </c>
    </row>
    <row r="4" spans="1:21" s="19" customFormat="1" ht="12.75" customHeight="1" x14ac:dyDescent="0.25">
      <c r="A4" s="1">
        <v>43628</v>
      </c>
      <c r="B4" s="7" t="s">
        <v>0</v>
      </c>
      <c r="C4" s="7" t="s">
        <v>64</v>
      </c>
      <c r="D4" s="7" t="s">
        <v>2</v>
      </c>
      <c r="E4" s="2" t="s">
        <v>193</v>
      </c>
      <c r="F4" s="7" t="s">
        <v>4</v>
      </c>
      <c r="G4" s="3">
        <v>71500</v>
      </c>
      <c r="H4" s="7" t="s">
        <v>66</v>
      </c>
      <c r="I4" s="7" t="s">
        <v>67</v>
      </c>
      <c r="J4" s="9">
        <v>0.72569444444444453</v>
      </c>
      <c r="K4" s="5">
        <v>0.73333333333333339</v>
      </c>
      <c r="L4" s="9">
        <v>0.48958333333333331</v>
      </c>
      <c r="M4" s="5">
        <v>0.51736111111111105</v>
      </c>
      <c r="N4" s="7" t="s">
        <v>223</v>
      </c>
      <c r="O4" s="7" t="s">
        <v>221</v>
      </c>
      <c r="P4" s="7">
        <v>1160</v>
      </c>
      <c r="Q4" s="7">
        <v>462</v>
      </c>
      <c r="R4" s="7">
        <v>0</v>
      </c>
      <c r="S4" s="7">
        <v>0</v>
      </c>
      <c r="T4" s="7">
        <v>0</v>
      </c>
      <c r="U4" s="7">
        <v>0</v>
      </c>
    </row>
    <row r="5" spans="1:21" s="19" customFormat="1" ht="12.75" customHeight="1" x14ac:dyDescent="0.25">
      <c r="A5" s="1">
        <v>43628</v>
      </c>
      <c r="B5" s="7" t="s">
        <v>0</v>
      </c>
      <c r="C5" s="7" t="s">
        <v>68</v>
      </c>
      <c r="D5" s="7" t="s">
        <v>2</v>
      </c>
      <c r="E5" s="2" t="s">
        <v>3</v>
      </c>
      <c r="F5" s="7" t="s">
        <v>4</v>
      </c>
      <c r="G5" s="3">
        <v>71500</v>
      </c>
      <c r="H5" s="7" t="s">
        <v>69</v>
      </c>
      <c r="I5" s="7" t="s">
        <v>70</v>
      </c>
      <c r="J5" s="10">
        <v>0.74652777777777779</v>
      </c>
      <c r="K5" s="5">
        <v>0.75624999999999998</v>
      </c>
      <c r="L5" s="10">
        <v>0.51736111111111105</v>
      </c>
      <c r="M5" s="11">
        <v>0.54166666666666663</v>
      </c>
      <c r="N5" s="7" t="s">
        <v>224</v>
      </c>
      <c r="O5" s="19" t="s">
        <v>222</v>
      </c>
      <c r="P5" s="12">
        <v>1318</v>
      </c>
      <c r="Q5" s="19">
        <v>542</v>
      </c>
      <c r="R5" s="7">
        <v>0</v>
      </c>
      <c r="S5" s="7">
        <v>0</v>
      </c>
      <c r="T5" s="7">
        <v>0</v>
      </c>
      <c r="U5" s="7">
        <v>0</v>
      </c>
    </row>
    <row r="6" spans="1:21" s="19" customFormat="1" ht="12.75" customHeight="1" x14ac:dyDescent="0.25">
      <c r="A6" s="1">
        <v>43628</v>
      </c>
      <c r="B6" s="19" t="s">
        <v>0</v>
      </c>
      <c r="C6" s="19" t="s">
        <v>71</v>
      </c>
      <c r="D6" s="19" t="s">
        <v>2</v>
      </c>
      <c r="E6" s="2" t="s">
        <v>193</v>
      </c>
      <c r="F6" s="19" t="s">
        <v>4</v>
      </c>
      <c r="G6" s="3">
        <v>71500</v>
      </c>
      <c r="H6" s="19" t="s">
        <v>72</v>
      </c>
      <c r="I6" s="19" t="s">
        <v>73</v>
      </c>
      <c r="J6" s="10">
        <v>0.91666666666666663</v>
      </c>
      <c r="K6" s="5">
        <v>0.92291666666666661</v>
      </c>
      <c r="L6" s="10">
        <v>0.74652777777777779</v>
      </c>
      <c r="M6" s="18">
        <v>0.76944444444444438</v>
      </c>
      <c r="N6" s="7" t="s">
        <v>225</v>
      </c>
      <c r="O6" s="19" t="s">
        <v>174</v>
      </c>
      <c r="P6" s="19">
        <v>721</v>
      </c>
      <c r="Q6" s="19">
        <v>693</v>
      </c>
      <c r="R6" s="19">
        <v>0</v>
      </c>
      <c r="S6" s="19">
        <v>0</v>
      </c>
      <c r="T6" s="19">
        <v>0</v>
      </c>
      <c r="U6" s="19">
        <v>0</v>
      </c>
    </row>
    <row r="7" spans="1:21" s="19" customFormat="1" ht="12.75" customHeight="1" x14ac:dyDescent="0.25">
      <c r="A7" s="1">
        <v>43628</v>
      </c>
      <c r="B7" s="19" t="s">
        <v>0</v>
      </c>
      <c r="C7" s="19" t="s">
        <v>74</v>
      </c>
      <c r="D7" s="19" t="s">
        <v>2</v>
      </c>
      <c r="E7" s="2" t="s">
        <v>3</v>
      </c>
      <c r="F7" s="19" t="s">
        <v>4</v>
      </c>
      <c r="G7" s="37">
        <v>71500</v>
      </c>
      <c r="H7" s="19" t="s">
        <v>75</v>
      </c>
      <c r="I7" s="19" t="s">
        <v>76</v>
      </c>
      <c r="J7" s="10">
        <v>0.95833333333333337</v>
      </c>
      <c r="K7" s="5">
        <v>0.97986111111111107</v>
      </c>
      <c r="L7" s="10">
        <v>0.76736111111111116</v>
      </c>
      <c r="M7" s="18">
        <v>0.80555555555555547</v>
      </c>
      <c r="N7" s="7" t="s">
        <v>52</v>
      </c>
      <c r="O7" s="19" t="s">
        <v>213</v>
      </c>
      <c r="P7" s="19">
        <v>984</v>
      </c>
      <c r="Q7" s="19">
        <v>1032</v>
      </c>
      <c r="R7" s="19">
        <v>0</v>
      </c>
      <c r="S7" s="19">
        <v>0</v>
      </c>
      <c r="T7" s="19">
        <v>0</v>
      </c>
      <c r="U7" s="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workbookViewId="0">
      <selection activeCell="K6" sqref="K6"/>
    </sheetView>
  </sheetViews>
  <sheetFormatPr defaultRowHeight="15" x14ac:dyDescent="0.25"/>
  <cols>
    <col min="2" max="2" width="20.5703125" customWidth="1"/>
    <col min="3" max="3" width="16.7109375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ht="12.6" customHeight="1" x14ac:dyDescent="0.25">
      <c r="A2" s="24">
        <v>43629</v>
      </c>
      <c r="B2" s="16" t="s">
        <v>0</v>
      </c>
      <c r="C2" s="16" t="s">
        <v>7</v>
      </c>
      <c r="D2" s="16" t="s">
        <v>2</v>
      </c>
      <c r="E2" s="16" t="s">
        <v>133</v>
      </c>
      <c r="F2" s="2" t="s">
        <v>4</v>
      </c>
      <c r="G2" s="3">
        <v>71500</v>
      </c>
      <c r="H2" s="16" t="s">
        <v>8</v>
      </c>
      <c r="I2" s="16" t="s">
        <v>9</v>
      </c>
      <c r="J2" s="14">
        <v>0.46180555555555558</v>
      </c>
      <c r="K2" s="15">
        <v>0.46111111111111108</v>
      </c>
      <c r="L2" s="14">
        <v>0.28125</v>
      </c>
      <c r="M2" s="15">
        <v>0.29097222222222224</v>
      </c>
      <c r="N2" s="16" t="s">
        <v>226</v>
      </c>
      <c r="O2" s="16" t="s">
        <v>227</v>
      </c>
      <c r="P2" s="16">
        <v>523</v>
      </c>
      <c r="Q2" s="16">
        <v>726</v>
      </c>
      <c r="R2" s="16">
        <v>0</v>
      </c>
      <c r="S2" s="16">
        <v>0</v>
      </c>
      <c r="T2" s="16">
        <v>0</v>
      </c>
      <c r="U2" s="16">
        <v>0</v>
      </c>
    </row>
    <row r="3" spans="1:21" ht="12.6" customHeight="1" x14ac:dyDescent="0.25">
      <c r="A3" s="24">
        <v>43629</v>
      </c>
      <c r="B3" s="16" t="s">
        <v>0</v>
      </c>
      <c r="C3" s="16" t="s">
        <v>10</v>
      </c>
      <c r="D3" s="16" t="s">
        <v>2</v>
      </c>
      <c r="E3" s="16" t="s">
        <v>166</v>
      </c>
      <c r="F3" s="2" t="s">
        <v>4</v>
      </c>
      <c r="G3" s="3">
        <v>71500</v>
      </c>
      <c r="H3" s="16" t="s">
        <v>11</v>
      </c>
      <c r="I3" s="16" t="s">
        <v>12</v>
      </c>
      <c r="J3" s="14">
        <v>0.55555555555555558</v>
      </c>
      <c r="K3" s="15">
        <v>0.5493055555555556</v>
      </c>
      <c r="L3" s="14">
        <v>0.40625</v>
      </c>
      <c r="M3" s="15">
        <v>0.41736111111111113</v>
      </c>
      <c r="N3" s="16" t="s">
        <v>230</v>
      </c>
      <c r="O3" s="16" t="s">
        <v>228</v>
      </c>
      <c r="P3" s="16">
        <v>669</v>
      </c>
      <c r="Q3" s="16">
        <v>963</v>
      </c>
      <c r="R3" s="16">
        <v>0</v>
      </c>
      <c r="S3" s="16">
        <v>0</v>
      </c>
      <c r="T3" s="16">
        <v>0</v>
      </c>
      <c r="U3" s="16">
        <v>0</v>
      </c>
    </row>
    <row r="4" spans="1:21" ht="12.6" customHeight="1" x14ac:dyDescent="0.25">
      <c r="A4" s="24">
        <v>43629</v>
      </c>
      <c r="B4" s="16" t="s">
        <v>0</v>
      </c>
      <c r="C4" s="16" t="s">
        <v>13</v>
      </c>
      <c r="D4" s="16" t="s">
        <v>2</v>
      </c>
      <c r="E4" s="16" t="s">
        <v>133</v>
      </c>
      <c r="F4" s="2" t="s">
        <v>4</v>
      </c>
      <c r="G4" s="3">
        <v>71500</v>
      </c>
      <c r="H4" s="16" t="s">
        <v>14</v>
      </c>
      <c r="I4" s="16" t="s">
        <v>15</v>
      </c>
      <c r="J4" s="14">
        <v>0.70138888888888884</v>
      </c>
      <c r="K4" s="15">
        <f>J4</f>
        <v>0.70138888888888884</v>
      </c>
      <c r="L4" s="14">
        <v>0.49305555555555558</v>
      </c>
      <c r="M4" s="15">
        <v>0.51180555555555551</v>
      </c>
      <c r="N4" s="16" t="s">
        <v>237</v>
      </c>
      <c r="O4" s="16" t="s">
        <v>229</v>
      </c>
      <c r="P4" s="16">
        <v>1060</v>
      </c>
      <c r="Q4" s="16">
        <v>832</v>
      </c>
      <c r="R4" s="16">
        <v>0</v>
      </c>
      <c r="S4" s="16">
        <v>0</v>
      </c>
      <c r="T4" s="16">
        <v>0</v>
      </c>
      <c r="U4" s="16">
        <v>0</v>
      </c>
    </row>
    <row r="5" spans="1:21" ht="12.6" customHeight="1" x14ac:dyDescent="0.25">
      <c r="A5" s="24">
        <v>43629</v>
      </c>
      <c r="B5" s="16" t="s">
        <v>0</v>
      </c>
      <c r="C5" s="16" t="s">
        <v>71</v>
      </c>
      <c r="D5" s="16" t="s">
        <v>2</v>
      </c>
      <c r="E5" s="16" t="s">
        <v>166</v>
      </c>
      <c r="F5" s="2" t="s">
        <v>4</v>
      </c>
      <c r="G5" s="3">
        <v>71500</v>
      </c>
      <c r="H5" s="16" t="s">
        <v>72</v>
      </c>
      <c r="I5" s="16" t="s">
        <v>73</v>
      </c>
      <c r="J5" s="14">
        <v>0.75694444444444453</v>
      </c>
      <c r="K5" s="15">
        <v>0.74375000000000002</v>
      </c>
      <c r="L5" s="14">
        <v>0.58680555555555558</v>
      </c>
      <c r="M5" s="15">
        <f>L5</f>
        <v>0.58680555555555558</v>
      </c>
      <c r="N5" s="16" t="s">
        <v>218</v>
      </c>
      <c r="O5" s="16" t="s">
        <v>231</v>
      </c>
      <c r="P5" s="16">
        <v>778</v>
      </c>
      <c r="Q5" s="16">
        <v>596</v>
      </c>
      <c r="R5" s="16">
        <v>0</v>
      </c>
      <c r="S5" s="16">
        <v>0</v>
      </c>
      <c r="T5" s="16">
        <v>0</v>
      </c>
      <c r="U5" s="16">
        <v>0</v>
      </c>
    </row>
    <row r="6" spans="1:21" ht="12.6" customHeight="1" x14ac:dyDescent="0.25">
      <c r="A6" s="24">
        <f>A5</f>
        <v>43629</v>
      </c>
      <c r="B6" s="16" t="s">
        <v>236</v>
      </c>
      <c r="C6" s="16" t="s">
        <v>232</v>
      </c>
      <c r="D6" s="16" t="s">
        <v>233</v>
      </c>
      <c r="E6" s="16" t="s">
        <v>234</v>
      </c>
      <c r="F6" s="16" t="s">
        <v>235</v>
      </c>
      <c r="G6" s="17">
        <v>1630</v>
      </c>
      <c r="H6" s="16" t="str">
        <f>E6</f>
        <v>N1234X</v>
      </c>
      <c r="I6" s="16" t="str">
        <f>H6</f>
        <v>N1234X</v>
      </c>
      <c r="J6" s="14">
        <v>0.625</v>
      </c>
      <c r="K6" s="15">
        <v>0.61875000000000002</v>
      </c>
      <c r="L6" s="14">
        <v>0.64583333333333337</v>
      </c>
      <c r="M6" s="15">
        <v>0.65069444444444446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</row>
    <row r="7" spans="1:2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048576" spans="1:1" x14ac:dyDescent="0.25">
      <c r="A1048576" s="2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F1" workbookViewId="0">
      <selection activeCell="K8" sqref="K8"/>
    </sheetView>
  </sheetViews>
  <sheetFormatPr defaultRowHeight="12.75" x14ac:dyDescent="0.25"/>
  <cols>
    <col min="1" max="1" width="9.140625" style="19"/>
    <col min="2" max="2" width="18" style="19" customWidth="1"/>
    <col min="3" max="3" width="17.7109375" style="19" customWidth="1"/>
    <col min="4" max="4" width="5.7109375" style="19" bestFit="1" customWidth="1"/>
    <col min="5" max="5" width="14.28515625" style="19" customWidth="1"/>
    <col min="6" max="6" width="23.7109375" style="19" customWidth="1"/>
    <col min="7" max="7" width="9.7109375" style="19" bestFit="1" customWidth="1"/>
    <col min="8" max="8" width="9.140625" style="19"/>
    <col min="9" max="9" width="10.5703125" style="19" customWidth="1"/>
    <col min="10" max="10" width="11.7109375" style="19" customWidth="1"/>
    <col min="11" max="11" width="13.140625" style="19" customWidth="1"/>
    <col min="12" max="12" width="13.42578125" style="19" customWidth="1"/>
    <col min="13" max="13" width="10.85546875" style="19" bestFit="1" customWidth="1"/>
    <col min="14" max="15" width="18.42578125" style="19" bestFit="1" customWidth="1"/>
    <col min="16" max="16" width="10.28515625" style="19" bestFit="1" customWidth="1"/>
    <col min="17" max="16384" width="9.140625" style="19"/>
  </cols>
  <sheetData>
    <row r="1" spans="1:21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x14ac:dyDescent="0.25">
      <c r="A2" s="1">
        <v>43630</v>
      </c>
      <c r="B2" s="2" t="s">
        <v>0</v>
      </c>
      <c r="C2" s="2" t="s">
        <v>61</v>
      </c>
      <c r="D2" s="2" t="s">
        <v>2</v>
      </c>
      <c r="E2" s="2" t="s">
        <v>133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0.4694444444444445</v>
      </c>
      <c r="L2" s="4">
        <v>0.25694444444444448</v>
      </c>
      <c r="M2" s="6">
        <v>0.26111111111111113</v>
      </c>
      <c r="N2" s="19" t="s">
        <v>245</v>
      </c>
      <c r="O2" s="8" t="s">
        <v>239</v>
      </c>
      <c r="P2" s="8">
        <v>961</v>
      </c>
      <c r="Q2" s="8">
        <v>1112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">
        <f>A2</f>
        <v>43630</v>
      </c>
      <c r="B3" s="2" t="s">
        <v>0</v>
      </c>
      <c r="C3" s="19" t="s">
        <v>77</v>
      </c>
      <c r="D3" s="19" t="s">
        <v>2</v>
      </c>
      <c r="E3" s="2" t="s">
        <v>166</v>
      </c>
      <c r="F3" s="2" t="s">
        <v>4</v>
      </c>
      <c r="G3" s="3">
        <v>71500</v>
      </c>
      <c r="H3" s="19" t="s">
        <v>78</v>
      </c>
      <c r="I3" s="19" t="s">
        <v>79</v>
      </c>
      <c r="J3" s="10">
        <v>0.4861111111111111</v>
      </c>
      <c r="K3" s="18">
        <v>0.47638888888888892</v>
      </c>
      <c r="L3" s="10">
        <v>0.28125</v>
      </c>
      <c r="M3" s="18">
        <v>0.27986111111111112</v>
      </c>
      <c r="N3" s="19" t="s">
        <v>53</v>
      </c>
      <c r="O3" s="19" t="s">
        <v>240</v>
      </c>
      <c r="P3" s="19">
        <v>1073</v>
      </c>
      <c r="Q3" s="19">
        <v>772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">
        <f>A3</f>
        <v>43630</v>
      </c>
      <c r="B4" s="2" t="s">
        <v>0</v>
      </c>
      <c r="C4" s="19" t="s">
        <v>92</v>
      </c>
      <c r="D4" s="2" t="s">
        <v>2</v>
      </c>
      <c r="E4" s="2" t="s">
        <v>238</v>
      </c>
      <c r="F4" s="2" t="s">
        <v>4</v>
      </c>
      <c r="G4" s="3">
        <v>71500</v>
      </c>
      <c r="H4" s="19" t="s">
        <v>93</v>
      </c>
      <c r="I4" s="19" t="s">
        <v>94</v>
      </c>
      <c r="J4" s="10">
        <v>0.70833333333333337</v>
      </c>
      <c r="K4" s="18">
        <v>0.71111111111111114</v>
      </c>
      <c r="L4" s="10">
        <v>0.48958333333333331</v>
      </c>
      <c r="M4" s="18">
        <v>0.51111111111111118</v>
      </c>
      <c r="N4" s="19" t="s">
        <v>248</v>
      </c>
      <c r="O4" s="19" t="s">
        <v>246</v>
      </c>
      <c r="P4" s="19">
        <v>1153</v>
      </c>
      <c r="Q4" s="19">
        <v>582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">
        <f>A4</f>
        <v>43630</v>
      </c>
      <c r="B5" s="2" t="s">
        <v>0</v>
      </c>
      <c r="C5" s="19" t="s">
        <v>68</v>
      </c>
      <c r="D5" s="19" t="s">
        <v>2</v>
      </c>
      <c r="E5" s="2" t="s">
        <v>166</v>
      </c>
      <c r="F5" s="2" t="s">
        <v>4</v>
      </c>
      <c r="G5" s="3">
        <v>71500</v>
      </c>
      <c r="H5" s="19" t="s">
        <v>69</v>
      </c>
      <c r="I5" s="19" t="s">
        <v>70</v>
      </c>
      <c r="J5" s="10">
        <v>0.74652777777777779</v>
      </c>
      <c r="K5" s="18">
        <v>0.75</v>
      </c>
      <c r="L5" s="10">
        <v>0.51736111111111105</v>
      </c>
      <c r="M5" s="18">
        <v>0.53125</v>
      </c>
      <c r="N5" s="19" t="s">
        <v>178</v>
      </c>
      <c r="O5" s="19" t="s">
        <v>247</v>
      </c>
      <c r="P5" s="19">
        <v>957</v>
      </c>
      <c r="Q5" s="19">
        <v>908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">
        <f>A5</f>
        <v>43630</v>
      </c>
      <c r="B6" s="2" t="s">
        <v>0</v>
      </c>
      <c r="C6" s="19" t="s">
        <v>71</v>
      </c>
      <c r="D6" s="2" t="s">
        <v>2</v>
      </c>
      <c r="E6" s="2" t="s">
        <v>238</v>
      </c>
      <c r="F6" s="2" t="s">
        <v>4</v>
      </c>
      <c r="G6" s="37">
        <v>71500</v>
      </c>
      <c r="H6" s="19" t="s">
        <v>72</v>
      </c>
      <c r="I6" s="19" t="s">
        <v>73</v>
      </c>
      <c r="J6" s="10">
        <v>0.89930555555555547</v>
      </c>
      <c r="K6" s="18">
        <v>0.9194444444444444</v>
      </c>
      <c r="L6" s="10">
        <v>0.72916666666666663</v>
      </c>
      <c r="M6" s="18">
        <v>0.74861111111111101</v>
      </c>
      <c r="N6" s="19" t="s">
        <v>251</v>
      </c>
      <c r="O6" s="19" t="s">
        <v>59</v>
      </c>
      <c r="P6" s="19">
        <v>498</v>
      </c>
      <c r="Q6" s="19">
        <v>735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>
        <f>A6</f>
        <v>43630</v>
      </c>
      <c r="B7" s="2" t="s">
        <v>0</v>
      </c>
      <c r="C7" s="19" t="s">
        <v>95</v>
      </c>
      <c r="D7" s="19" t="s">
        <v>2</v>
      </c>
      <c r="E7" s="19" t="s">
        <v>166</v>
      </c>
      <c r="F7" s="2" t="s">
        <v>4</v>
      </c>
      <c r="G7" s="3">
        <v>71500</v>
      </c>
      <c r="H7" s="19" t="s">
        <v>96</v>
      </c>
      <c r="I7" s="19" t="s">
        <v>167</v>
      </c>
      <c r="J7" s="10">
        <v>0.9375</v>
      </c>
      <c r="K7" s="18">
        <v>0.93611111111111101</v>
      </c>
      <c r="L7" s="10">
        <v>0.76736111111111116</v>
      </c>
      <c r="M7" s="18">
        <v>0.78472222222222221</v>
      </c>
      <c r="N7" s="19" t="s">
        <v>252</v>
      </c>
      <c r="O7" s="19" t="s">
        <v>204</v>
      </c>
      <c r="P7" s="19">
        <v>476</v>
      </c>
      <c r="Q7" s="19">
        <v>863</v>
      </c>
      <c r="R7" s="2">
        <v>0</v>
      </c>
      <c r="S7" s="2">
        <v>0</v>
      </c>
      <c r="T7" s="2">
        <v>0</v>
      </c>
      <c r="U7" s="2">
        <v>0</v>
      </c>
    </row>
    <row r="8" spans="1:21" ht="12.75" customHeight="1" x14ac:dyDescent="0.25">
      <c r="A8" s="23">
        <v>43630</v>
      </c>
      <c r="B8" s="39" t="s">
        <v>241</v>
      </c>
      <c r="C8" s="19" t="s">
        <v>242</v>
      </c>
      <c r="D8" s="19" t="s">
        <v>243</v>
      </c>
      <c r="E8" s="19" t="s">
        <v>244</v>
      </c>
      <c r="F8" s="39" t="s">
        <v>249</v>
      </c>
      <c r="G8" s="37">
        <v>650</v>
      </c>
      <c r="H8" s="19" t="s">
        <v>244</v>
      </c>
      <c r="I8" s="19" t="s">
        <v>244</v>
      </c>
      <c r="J8" s="10">
        <v>0.29166666666666669</v>
      </c>
      <c r="K8" s="18">
        <v>0.2902777777777778</v>
      </c>
      <c r="L8" s="10">
        <v>0.30208333333333331</v>
      </c>
      <c r="M8" s="18">
        <v>0.3125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</row>
    <row r="9" spans="1:21" ht="12.75" customHeight="1" x14ac:dyDescent="0.25">
      <c r="A9" s="23">
        <v>43630</v>
      </c>
      <c r="B9" s="39" t="s">
        <v>241</v>
      </c>
      <c r="C9" s="19" t="s">
        <v>250</v>
      </c>
      <c r="D9" s="19" t="s">
        <v>243</v>
      </c>
      <c r="E9" s="19" t="s">
        <v>244</v>
      </c>
      <c r="F9" s="39" t="s">
        <v>249</v>
      </c>
      <c r="G9" s="37">
        <v>650</v>
      </c>
      <c r="H9" s="19" t="s">
        <v>244</v>
      </c>
      <c r="I9" s="19" t="s">
        <v>244</v>
      </c>
      <c r="J9" s="10">
        <v>0.80555555555555547</v>
      </c>
      <c r="K9" s="18">
        <v>0.81736111111111109</v>
      </c>
      <c r="L9" s="10">
        <v>0.81597222222222221</v>
      </c>
      <c r="M9" s="18">
        <v>0.83680555555555547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A9" sqref="A9:XFD9"/>
    </sheetView>
  </sheetViews>
  <sheetFormatPr defaultRowHeight="15" x14ac:dyDescent="0.25"/>
  <cols>
    <col min="2" max="2" width="21.42578125" customWidth="1"/>
    <col min="3" max="3" width="13.7109375" customWidth="1"/>
    <col min="6" max="6" width="20.14062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43631</v>
      </c>
      <c r="B2" s="2" t="s">
        <v>0</v>
      </c>
      <c r="C2" s="2" t="s">
        <v>1</v>
      </c>
      <c r="D2" s="2" t="s">
        <v>2</v>
      </c>
      <c r="E2" s="2" t="s">
        <v>253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0.37291666666666662</v>
      </c>
      <c r="L2" s="4">
        <v>0.25694444444444448</v>
      </c>
      <c r="M2" s="6">
        <v>0.25416666666666665</v>
      </c>
      <c r="N2" s="7" t="s">
        <v>256</v>
      </c>
      <c r="O2" s="8" t="s">
        <v>254</v>
      </c>
      <c r="P2" s="8">
        <v>543</v>
      </c>
      <c r="Q2" s="8">
        <v>669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43631</v>
      </c>
      <c r="B3" s="2" t="s">
        <v>0</v>
      </c>
      <c r="C3" s="2" t="s">
        <v>7</v>
      </c>
      <c r="D3" s="2" t="s">
        <v>2</v>
      </c>
      <c r="E3" s="2" t="s">
        <v>3</v>
      </c>
      <c r="F3" s="2" t="s">
        <v>4</v>
      </c>
      <c r="G3" s="3">
        <v>71500</v>
      </c>
      <c r="H3" s="2" t="s">
        <v>8</v>
      </c>
      <c r="I3" s="2" t="s">
        <v>9</v>
      </c>
      <c r="J3" s="4">
        <v>0.46180555555555558</v>
      </c>
      <c r="K3" s="5">
        <v>0.46388888888888885</v>
      </c>
      <c r="L3" s="4">
        <v>0.28125</v>
      </c>
      <c r="M3" s="6">
        <v>0.29583333333333334</v>
      </c>
      <c r="N3" s="7" t="s">
        <v>84</v>
      </c>
      <c r="O3" s="8" t="s">
        <v>255</v>
      </c>
      <c r="P3" s="2">
        <v>840</v>
      </c>
      <c r="Q3" s="8">
        <v>910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v>43631</v>
      </c>
      <c r="B4" s="2" t="s">
        <v>0</v>
      </c>
      <c r="C4" s="7" t="s">
        <v>10</v>
      </c>
      <c r="D4" s="7" t="s">
        <v>2</v>
      </c>
      <c r="E4" s="2" t="s">
        <v>253</v>
      </c>
      <c r="F4" s="7" t="s">
        <v>4</v>
      </c>
      <c r="G4" s="3">
        <v>71500</v>
      </c>
      <c r="H4" s="7" t="s">
        <v>11</v>
      </c>
      <c r="I4" s="7" t="s">
        <v>12</v>
      </c>
      <c r="J4" s="9">
        <v>0.55555555555555558</v>
      </c>
      <c r="K4" s="5">
        <v>0.54513888888888895</v>
      </c>
      <c r="L4" s="9">
        <v>0.40625</v>
      </c>
      <c r="M4" s="5">
        <v>0.41944444444444445</v>
      </c>
      <c r="N4" s="7" t="s">
        <v>264</v>
      </c>
      <c r="O4" s="7" t="s">
        <v>263</v>
      </c>
      <c r="P4" s="7">
        <v>655</v>
      </c>
      <c r="Q4" s="8">
        <v>975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v>43631</v>
      </c>
      <c r="B5" s="2" t="s">
        <v>0</v>
      </c>
      <c r="C5" s="7" t="s">
        <v>13</v>
      </c>
      <c r="D5" s="7" t="s">
        <v>2</v>
      </c>
      <c r="E5" s="2" t="s">
        <v>3</v>
      </c>
      <c r="F5" s="7" t="s">
        <v>4</v>
      </c>
      <c r="G5" s="3">
        <v>71500</v>
      </c>
      <c r="H5" s="7" t="s">
        <v>14</v>
      </c>
      <c r="I5" s="7" t="s">
        <v>15</v>
      </c>
      <c r="J5" s="10">
        <v>0.70138888888888884</v>
      </c>
      <c r="K5" s="5">
        <v>0.75486111111111109</v>
      </c>
      <c r="L5" s="10">
        <v>0.49305555555555558</v>
      </c>
      <c r="M5" s="11">
        <v>0.55763888888888891</v>
      </c>
      <c r="N5" s="7" t="s">
        <v>267</v>
      </c>
      <c r="O5" s="7" t="s">
        <v>265</v>
      </c>
      <c r="P5" s="12">
        <v>1409</v>
      </c>
      <c r="Q5" s="8">
        <v>826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v>43631</v>
      </c>
      <c r="B6" s="2" t="s">
        <v>0</v>
      </c>
      <c r="C6" s="7" t="s">
        <v>17</v>
      </c>
      <c r="D6" s="7" t="s">
        <v>2</v>
      </c>
      <c r="E6" s="2" t="s">
        <v>253</v>
      </c>
      <c r="F6" s="13" t="s">
        <v>4</v>
      </c>
      <c r="G6" s="3">
        <v>71500</v>
      </c>
      <c r="H6" s="2" t="s">
        <v>18</v>
      </c>
      <c r="I6" s="2" t="s">
        <v>19</v>
      </c>
      <c r="J6" s="14">
        <v>0.74652777777777779</v>
      </c>
      <c r="K6" s="5">
        <v>0.75208333333333333</v>
      </c>
      <c r="L6" s="14">
        <v>0.58680555555555558</v>
      </c>
      <c r="M6" s="15">
        <v>0.59791666666666665</v>
      </c>
      <c r="N6" s="7" t="s">
        <v>268</v>
      </c>
      <c r="O6" s="7" t="s">
        <v>266</v>
      </c>
      <c r="P6" s="7">
        <v>1122</v>
      </c>
      <c r="Q6" s="8">
        <v>1024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1">
        <v>43631</v>
      </c>
      <c r="B7" s="2" t="s">
        <v>0</v>
      </c>
      <c r="C7" s="16" t="s">
        <v>20</v>
      </c>
      <c r="D7" s="16" t="s">
        <v>2</v>
      </c>
      <c r="E7" s="2" t="s">
        <v>253</v>
      </c>
      <c r="F7" s="16" t="s">
        <v>4</v>
      </c>
      <c r="G7" s="17">
        <v>71500</v>
      </c>
      <c r="H7" s="16" t="s">
        <v>21</v>
      </c>
      <c r="I7" s="16" t="s">
        <v>22</v>
      </c>
      <c r="J7" s="14">
        <v>0.94097222222222221</v>
      </c>
      <c r="K7" s="5">
        <v>1.7361111111111112E-2</v>
      </c>
      <c r="L7" s="14">
        <v>0.72222222222222221</v>
      </c>
      <c r="M7" s="15">
        <v>0.81527777777777777</v>
      </c>
      <c r="N7" s="18" t="s">
        <v>269</v>
      </c>
      <c r="O7" s="16" t="s">
        <v>271</v>
      </c>
      <c r="P7" s="16">
        <v>775</v>
      </c>
      <c r="Q7" s="8">
        <v>610</v>
      </c>
      <c r="R7" s="16">
        <v>0</v>
      </c>
      <c r="S7" s="16">
        <v>0</v>
      </c>
      <c r="T7" s="16">
        <v>0</v>
      </c>
      <c r="U7" s="16">
        <v>0</v>
      </c>
    </row>
    <row r="8" spans="1:21" s="19" customFormat="1" ht="12.75" x14ac:dyDescent="0.25">
      <c r="A8" s="1">
        <v>43631</v>
      </c>
      <c r="B8" s="7" t="s">
        <v>0</v>
      </c>
      <c r="C8" s="19" t="s">
        <v>23</v>
      </c>
      <c r="D8" s="7" t="s">
        <v>2</v>
      </c>
      <c r="E8" s="2" t="s">
        <v>3</v>
      </c>
      <c r="F8" s="7" t="s">
        <v>4</v>
      </c>
      <c r="G8" s="3">
        <v>71500</v>
      </c>
      <c r="H8" s="2" t="s">
        <v>24</v>
      </c>
      <c r="I8" s="2" t="s">
        <v>25</v>
      </c>
      <c r="J8" s="10">
        <v>0.94444444444444453</v>
      </c>
      <c r="K8" s="6">
        <v>0.98333333333333339</v>
      </c>
      <c r="L8" s="10">
        <v>0.76736111111111116</v>
      </c>
      <c r="M8" s="18">
        <v>0.80763888888888891</v>
      </c>
      <c r="N8" s="18" t="s">
        <v>270</v>
      </c>
      <c r="O8" s="18" t="s">
        <v>272</v>
      </c>
      <c r="P8" s="19">
        <v>851</v>
      </c>
      <c r="Q8" s="8">
        <v>742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1">
        <v>43631</v>
      </c>
      <c r="B9" s="7" t="s">
        <v>257</v>
      </c>
      <c r="C9" s="7" t="s">
        <v>258</v>
      </c>
      <c r="D9" s="7" t="s">
        <v>259</v>
      </c>
      <c r="E9" s="2">
        <v>21109</v>
      </c>
      <c r="F9" s="7" t="s">
        <v>260</v>
      </c>
      <c r="G9" s="3">
        <v>265000</v>
      </c>
      <c r="H9" s="2" t="s">
        <v>261</v>
      </c>
      <c r="I9" s="2" t="s">
        <v>118</v>
      </c>
      <c r="J9" s="46">
        <v>0.4861111111111111</v>
      </c>
      <c r="K9" s="20">
        <v>0.50555555555555554</v>
      </c>
      <c r="L9" s="21" t="s">
        <v>262</v>
      </c>
      <c r="M9" s="21" t="s">
        <v>262</v>
      </c>
      <c r="N9" s="7" t="s">
        <v>162</v>
      </c>
      <c r="O9" s="7" t="s">
        <v>118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x14ac:dyDescent="0.25">
      <c r="A10" s="1"/>
      <c r="B10" s="7"/>
      <c r="C10" s="7"/>
      <c r="D10" s="7"/>
      <c r="E10" s="2"/>
      <c r="F10" s="7"/>
      <c r="G10" s="3"/>
      <c r="H10" s="2"/>
      <c r="I10" s="2"/>
      <c r="J10" s="20"/>
      <c r="K10" s="20"/>
      <c r="L10" s="21"/>
      <c r="M10" s="21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"/>
      <c r="B11" s="7"/>
      <c r="C11" s="7"/>
      <c r="D11" s="7"/>
      <c r="E11" s="2"/>
      <c r="F11" s="7"/>
      <c r="G11" s="3"/>
      <c r="H11" s="2"/>
      <c r="I11" s="2"/>
      <c r="J11" s="20"/>
      <c r="K11" s="20"/>
      <c r="L11" s="21"/>
      <c r="M11" s="21"/>
      <c r="N11" s="7"/>
      <c r="O11" s="7"/>
      <c r="P11" s="7"/>
      <c r="Q11" s="7"/>
      <c r="R11" s="7"/>
      <c r="S11" s="7"/>
      <c r="T11" s="7"/>
      <c r="U11" s="7"/>
    </row>
    <row r="21" ht="14.25" customHeight="1" x14ac:dyDescent="0.25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"/>
  <sheetViews>
    <sheetView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9" customFormat="1" ht="12.75" x14ac:dyDescent="0.25">
      <c r="A2" s="23">
        <v>43632</v>
      </c>
      <c r="B2" s="19" t="s">
        <v>0</v>
      </c>
      <c r="C2" s="19" t="s">
        <v>61</v>
      </c>
      <c r="D2" s="19" t="s">
        <v>2</v>
      </c>
      <c r="E2" s="19" t="s">
        <v>3</v>
      </c>
      <c r="F2" s="19" t="s">
        <v>4</v>
      </c>
      <c r="G2" s="19">
        <v>71500</v>
      </c>
      <c r="H2" s="19" t="s">
        <v>62</v>
      </c>
      <c r="I2" s="19" t="s">
        <v>63</v>
      </c>
      <c r="J2" s="10">
        <v>0.45833333333333331</v>
      </c>
      <c r="K2" s="18">
        <v>0.45069444444444445</v>
      </c>
      <c r="L2" s="10">
        <v>0.25694444444444448</v>
      </c>
      <c r="M2" s="18">
        <v>0.26597222222222222</v>
      </c>
      <c r="N2" s="19" t="s">
        <v>279</v>
      </c>
      <c r="O2" s="19" t="s">
        <v>274</v>
      </c>
      <c r="P2" s="19">
        <v>1282</v>
      </c>
      <c r="Q2" s="19">
        <v>975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v>43632</v>
      </c>
      <c r="B3" s="2" t="s">
        <v>0</v>
      </c>
      <c r="C3" s="2" t="s">
        <v>77</v>
      </c>
      <c r="D3" s="2" t="s">
        <v>2</v>
      </c>
      <c r="E3" s="22" t="s">
        <v>253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0.47222222222222227</v>
      </c>
      <c r="K3" s="5">
        <v>0.48888888888888887</v>
      </c>
      <c r="L3" s="4">
        <v>0.28125</v>
      </c>
      <c r="M3" s="6">
        <v>0.29305555555555557</v>
      </c>
      <c r="N3" s="7" t="s">
        <v>205</v>
      </c>
      <c r="O3" s="8" t="s">
        <v>276</v>
      </c>
      <c r="P3" s="8">
        <v>1039</v>
      </c>
      <c r="Q3" s="8">
        <v>509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23">
        <v>43632</v>
      </c>
      <c r="B4" s="2" t="s">
        <v>0</v>
      </c>
      <c r="C4" s="2" t="s">
        <v>64</v>
      </c>
      <c r="D4" s="2" t="s">
        <v>2</v>
      </c>
      <c r="E4" s="22" t="s">
        <v>3</v>
      </c>
      <c r="F4" s="2" t="s">
        <v>4</v>
      </c>
      <c r="G4" s="3">
        <f>G3</f>
        <v>71500</v>
      </c>
      <c r="H4" s="2" t="s">
        <v>66</v>
      </c>
      <c r="I4" s="2" t="s">
        <v>67</v>
      </c>
      <c r="J4" s="4">
        <v>0.72569444444444453</v>
      </c>
      <c r="K4" s="5">
        <v>0.77569444444444446</v>
      </c>
      <c r="L4" s="4">
        <v>0.48958333333333331</v>
      </c>
      <c r="M4" s="6">
        <v>0.52638888888888891</v>
      </c>
      <c r="N4" s="7" t="s">
        <v>280</v>
      </c>
      <c r="O4" s="8" t="s">
        <v>277</v>
      </c>
      <c r="P4" s="2">
        <v>1370</v>
      </c>
      <c r="Q4" s="8">
        <v>982</v>
      </c>
      <c r="R4" s="2">
        <v>0</v>
      </c>
      <c r="S4" s="2">
        <v>0</v>
      </c>
      <c r="T4" s="2">
        <v>0</v>
      </c>
      <c r="U4" s="2">
        <v>0</v>
      </c>
    </row>
    <row r="5" spans="1:21" s="16" customFormat="1" ht="12.75" x14ac:dyDescent="0.2">
      <c r="A5" s="1">
        <v>43632</v>
      </c>
      <c r="B5" s="2" t="s">
        <v>0</v>
      </c>
      <c r="C5" s="7" t="s">
        <v>68</v>
      </c>
      <c r="D5" s="2" t="s">
        <v>2</v>
      </c>
      <c r="E5" s="22" t="s">
        <v>253</v>
      </c>
      <c r="F5" s="7" t="s">
        <v>4</v>
      </c>
      <c r="G5" s="3">
        <f>G4</f>
        <v>71500</v>
      </c>
      <c r="H5" s="7" t="s">
        <v>69</v>
      </c>
      <c r="I5" s="7" t="s">
        <v>70</v>
      </c>
      <c r="J5" s="9">
        <v>0.74652777777777779</v>
      </c>
      <c r="K5" s="5">
        <v>0.78125</v>
      </c>
      <c r="L5" s="9">
        <v>0.51736111111111105</v>
      </c>
      <c r="M5" s="5">
        <v>0.55902777777777779</v>
      </c>
      <c r="N5" s="7" t="s">
        <v>174</v>
      </c>
      <c r="O5" s="7" t="s">
        <v>278</v>
      </c>
      <c r="P5" s="7">
        <v>1375</v>
      </c>
      <c r="Q5" s="7">
        <v>757</v>
      </c>
      <c r="R5" s="2">
        <v>0</v>
      </c>
      <c r="S5" s="2">
        <v>0</v>
      </c>
      <c r="T5" s="2">
        <v>0</v>
      </c>
      <c r="U5" s="2">
        <v>0</v>
      </c>
    </row>
    <row r="6" spans="1:21" s="16" customFormat="1" ht="12.75" x14ac:dyDescent="0.2">
      <c r="A6" s="23">
        <v>43632</v>
      </c>
      <c r="B6" s="2" t="s">
        <v>0</v>
      </c>
      <c r="C6" s="7" t="s">
        <v>71</v>
      </c>
      <c r="D6" s="2" t="s">
        <v>2</v>
      </c>
      <c r="E6" s="22" t="s">
        <v>3</v>
      </c>
      <c r="F6" s="7" t="s">
        <v>4</v>
      </c>
      <c r="G6" s="3">
        <f>G5</f>
        <v>71500</v>
      </c>
      <c r="H6" s="7" t="s">
        <v>72</v>
      </c>
      <c r="I6" s="7" t="s">
        <v>73</v>
      </c>
      <c r="J6" s="10">
        <v>0.91666666666666663</v>
      </c>
      <c r="K6" s="5">
        <v>0.97499999999999998</v>
      </c>
      <c r="L6" s="10">
        <v>0.74652777777777779</v>
      </c>
      <c r="M6" s="11">
        <v>0.81874999999999998</v>
      </c>
      <c r="N6" s="16" t="s">
        <v>281</v>
      </c>
      <c r="O6" s="7" t="s">
        <v>282</v>
      </c>
      <c r="P6" s="16">
        <v>721</v>
      </c>
      <c r="Q6" s="7">
        <v>659</v>
      </c>
      <c r="R6" s="2">
        <v>0</v>
      </c>
      <c r="S6" s="2">
        <v>0</v>
      </c>
      <c r="T6" s="2">
        <v>0</v>
      </c>
      <c r="U6" s="2">
        <v>0</v>
      </c>
    </row>
    <row r="7" spans="1:21" s="16" customFormat="1" ht="12.75" x14ac:dyDescent="0.2">
      <c r="A7" s="1">
        <v>43632</v>
      </c>
      <c r="B7" s="2" t="s">
        <v>0</v>
      </c>
      <c r="C7" s="26" t="s">
        <v>74</v>
      </c>
      <c r="D7" s="49" t="s">
        <v>2</v>
      </c>
      <c r="E7" s="49" t="s">
        <v>253</v>
      </c>
      <c r="F7" s="26" t="s">
        <v>4</v>
      </c>
      <c r="G7" s="50">
        <v>71500</v>
      </c>
      <c r="H7" s="26" t="s">
        <v>75</v>
      </c>
      <c r="I7" s="26" t="s">
        <v>76</v>
      </c>
      <c r="J7" s="51">
        <v>0.95833333333333337</v>
      </c>
      <c r="K7" s="25"/>
      <c r="L7" s="51">
        <v>0.76736111111111116</v>
      </c>
      <c r="M7" s="27"/>
      <c r="N7" s="52"/>
      <c r="O7" s="26"/>
      <c r="P7" s="53"/>
      <c r="Q7" s="53"/>
      <c r="R7" s="49">
        <v>0</v>
      </c>
      <c r="S7" s="49">
        <v>0</v>
      </c>
      <c r="T7" s="49">
        <v>0</v>
      </c>
      <c r="U7" s="49">
        <v>0</v>
      </c>
    </row>
    <row r="8" spans="1:21" x14ac:dyDescent="0.25">
      <c r="A8" s="1">
        <v>43632</v>
      </c>
      <c r="B8" s="7" t="s">
        <v>257</v>
      </c>
      <c r="C8" s="7" t="s">
        <v>273</v>
      </c>
      <c r="D8" s="7" t="s">
        <v>259</v>
      </c>
      <c r="E8" s="2">
        <v>21109</v>
      </c>
      <c r="F8" s="7" t="s">
        <v>260</v>
      </c>
      <c r="G8" s="3">
        <v>265000</v>
      </c>
      <c r="H8" s="2" t="s">
        <v>118</v>
      </c>
      <c r="I8" s="2" t="s">
        <v>261</v>
      </c>
      <c r="J8" s="46" t="s">
        <v>262</v>
      </c>
      <c r="K8" s="20" t="s">
        <v>262</v>
      </c>
      <c r="L8" s="47">
        <v>0.31944444444444448</v>
      </c>
      <c r="M8" s="48">
        <v>0.31041666666666667</v>
      </c>
      <c r="N8" s="7" t="s">
        <v>118</v>
      </c>
      <c r="O8" s="7" t="s">
        <v>275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6" sqref="F6"/>
    </sheetView>
  </sheetViews>
  <sheetFormatPr defaultRowHeight="15" x14ac:dyDescent="0.25"/>
  <cols>
    <col min="1" max="1" width="9.140625" style="45"/>
    <col min="2" max="2" width="11.28515625" style="45" customWidth="1"/>
    <col min="3" max="3" width="14.85546875" style="45" customWidth="1"/>
    <col min="4" max="5" width="9.140625" style="45"/>
    <col min="6" max="6" width="18.5703125" style="45" bestFit="1" customWidth="1"/>
    <col min="7" max="9" width="9.140625" style="45"/>
    <col min="10" max="10" width="10.28515625" style="45" customWidth="1"/>
    <col min="11" max="11" width="10.5703125" style="45" customWidth="1"/>
    <col min="12" max="12" width="10.85546875" style="45" customWidth="1"/>
    <col min="13" max="13" width="11" style="45" customWidth="1"/>
    <col min="14" max="14" width="18" style="45" customWidth="1"/>
    <col min="15" max="15" width="18.5703125" style="45" customWidth="1"/>
    <col min="16" max="16384" width="9.140625" style="45"/>
  </cols>
  <sheetData>
    <row r="1" spans="1:21" s="40" customFormat="1" ht="12.75" x14ac:dyDescent="0.2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5" t="s">
        <v>36</v>
      </c>
      <c r="L1" s="2" t="s">
        <v>37</v>
      </c>
      <c r="M1" s="2" t="s">
        <v>38</v>
      </c>
      <c r="N1" s="7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</row>
    <row r="2" spans="1:21" s="40" customFormat="1" ht="12.75" x14ac:dyDescent="0.2">
      <c r="A2" s="1">
        <v>43634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0.3888888888888889</v>
      </c>
      <c r="L2" s="4">
        <v>0.25694444444444448</v>
      </c>
      <c r="M2" s="6">
        <v>0.27499999999999997</v>
      </c>
      <c r="N2" s="7" t="s">
        <v>285</v>
      </c>
      <c r="O2" s="8" t="s">
        <v>284</v>
      </c>
      <c r="P2" s="8">
        <v>529</v>
      </c>
      <c r="Q2" s="8">
        <v>417</v>
      </c>
      <c r="R2" s="2">
        <v>0</v>
      </c>
      <c r="S2" s="2">
        <v>0</v>
      </c>
      <c r="T2" s="2">
        <v>0</v>
      </c>
      <c r="U2" s="2">
        <v>0</v>
      </c>
    </row>
    <row r="3" spans="1:21" s="40" customFormat="1" ht="12.75" x14ac:dyDescent="0.2">
      <c r="A3" s="1">
        <v>43634</v>
      </c>
      <c r="B3" s="2" t="s">
        <v>0</v>
      </c>
      <c r="C3" s="2" t="s">
        <v>7</v>
      </c>
      <c r="D3" s="2" t="s">
        <v>2</v>
      </c>
      <c r="E3" s="2" t="s">
        <v>253</v>
      </c>
      <c r="F3" s="2" t="s">
        <v>4</v>
      </c>
      <c r="G3" s="3">
        <v>71500</v>
      </c>
      <c r="H3" s="2" t="s">
        <v>8</v>
      </c>
      <c r="I3" s="2" t="s">
        <v>9</v>
      </c>
      <c r="J3" s="4">
        <v>0.46180555555555558</v>
      </c>
      <c r="K3" s="5">
        <v>0.45902777777777781</v>
      </c>
      <c r="L3" s="4">
        <v>0.28125</v>
      </c>
      <c r="M3" s="6">
        <v>0.2902777777777778</v>
      </c>
      <c r="N3" s="7" t="s">
        <v>286</v>
      </c>
      <c r="O3" s="8" t="s">
        <v>55</v>
      </c>
      <c r="P3" s="2">
        <v>711</v>
      </c>
      <c r="Q3" s="8">
        <v>571</v>
      </c>
      <c r="R3" s="2">
        <v>0</v>
      </c>
      <c r="S3" s="2">
        <v>0</v>
      </c>
      <c r="T3" s="2">
        <v>0</v>
      </c>
      <c r="U3" s="2">
        <v>0</v>
      </c>
    </row>
    <row r="4" spans="1:21" s="40" customFormat="1" ht="12.75" x14ac:dyDescent="0.2">
      <c r="A4" s="1">
        <v>43634</v>
      </c>
      <c r="B4" s="2" t="s">
        <v>0</v>
      </c>
      <c r="C4" s="7" t="s">
        <v>10</v>
      </c>
      <c r="D4" s="7" t="s">
        <v>2</v>
      </c>
      <c r="E4" s="2" t="s">
        <v>3</v>
      </c>
      <c r="F4" s="7" t="s">
        <v>4</v>
      </c>
      <c r="G4" s="3">
        <v>71500</v>
      </c>
      <c r="H4" s="7" t="s">
        <v>11</v>
      </c>
      <c r="I4" s="7" t="s">
        <v>12</v>
      </c>
      <c r="J4" s="9">
        <v>0.55555555555555558</v>
      </c>
      <c r="K4" s="5">
        <v>0.56666666666666665</v>
      </c>
      <c r="L4" s="9">
        <v>0.40625</v>
      </c>
      <c r="M4" s="5">
        <v>0.42430555555555555</v>
      </c>
      <c r="N4" s="7" t="s">
        <v>290</v>
      </c>
      <c r="O4" s="7" t="s">
        <v>287</v>
      </c>
      <c r="P4" s="7">
        <v>614</v>
      </c>
      <c r="Q4" s="8">
        <v>837</v>
      </c>
      <c r="R4" s="7">
        <v>0</v>
      </c>
      <c r="S4" s="7">
        <v>0</v>
      </c>
      <c r="T4" s="7">
        <v>0</v>
      </c>
      <c r="U4" s="7">
        <v>0</v>
      </c>
    </row>
    <row r="5" spans="1:21" s="40" customFormat="1" ht="12.75" x14ac:dyDescent="0.2">
      <c r="A5" s="1">
        <v>43634</v>
      </c>
      <c r="B5" s="2" t="s">
        <v>214</v>
      </c>
      <c r="C5" s="7" t="s">
        <v>215</v>
      </c>
      <c r="D5" s="7" t="str">
        <f>D4</f>
        <v>A320</v>
      </c>
      <c r="E5" s="2" t="s">
        <v>283</v>
      </c>
      <c r="F5" s="7" t="s">
        <v>302</v>
      </c>
      <c r="G5" s="3">
        <v>77000</v>
      </c>
      <c r="H5" s="7" t="s">
        <v>216</v>
      </c>
      <c r="I5" s="7" t="s">
        <v>217</v>
      </c>
      <c r="J5" s="9">
        <v>0.41319444444444442</v>
      </c>
      <c r="K5" s="5">
        <v>0.40277777777777773</v>
      </c>
      <c r="L5" s="9">
        <v>0.4548611111111111</v>
      </c>
      <c r="M5" s="5">
        <v>0.4777777777777778</v>
      </c>
      <c r="N5" s="7" t="s">
        <v>284</v>
      </c>
      <c r="O5" s="7" t="s">
        <v>288</v>
      </c>
      <c r="P5" s="7">
        <v>1895</v>
      </c>
      <c r="Q5" s="8">
        <v>1618</v>
      </c>
      <c r="R5" s="7">
        <v>0</v>
      </c>
      <c r="S5" s="7">
        <v>0</v>
      </c>
      <c r="T5" s="7">
        <v>0</v>
      </c>
      <c r="U5" s="7">
        <v>0</v>
      </c>
    </row>
    <row r="6" spans="1:21" s="40" customFormat="1" ht="12.75" x14ac:dyDescent="0.2">
      <c r="A6" s="1">
        <v>43634</v>
      </c>
      <c r="B6" s="2" t="s">
        <v>0</v>
      </c>
      <c r="C6" s="7" t="s">
        <v>13</v>
      </c>
      <c r="D6" s="7" t="s">
        <v>2</v>
      </c>
      <c r="E6" s="2" t="s">
        <v>253</v>
      </c>
      <c r="F6" s="7" t="s">
        <v>4</v>
      </c>
      <c r="G6" s="3">
        <v>71500</v>
      </c>
      <c r="H6" s="7" t="s">
        <v>14</v>
      </c>
      <c r="I6" s="7" t="s">
        <v>15</v>
      </c>
      <c r="J6" s="41">
        <v>0.70138888888888884</v>
      </c>
      <c r="K6" s="5">
        <v>0.70347222222222217</v>
      </c>
      <c r="L6" s="41">
        <v>0.49305555555555558</v>
      </c>
      <c r="M6" s="11">
        <v>0.51111111111111118</v>
      </c>
      <c r="N6" s="7" t="s">
        <v>200</v>
      </c>
      <c r="O6" s="7" t="s">
        <v>289</v>
      </c>
      <c r="P6" s="12">
        <v>1030</v>
      </c>
      <c r="Q6" s="8">
        <v>1100</v>
      </c>
      <c r="R6" s="7">
        <v>0</v>
      </c>
      <c r="S6" s="7">
        <v>0</v>
      </c>
      <c r="T6" s="7">
        <v>0</v>
      </c>
      <c r="U6" s="7">
        <v>0</v>
      </c>
    </row>
    <row r="7" spans="1:21" s="40" customFormat="1" ht="12.75" x14ac:dyDescent="0.2">
      <c r="A7" s="1">
        <v>43634</v>
      </c>
      <c r="B7" s="2" t="s">
        <v>0</v>
      </c>
      <c r="C7" s="7" t="s">
        <v>17</v>
      </c>
      <c r="D7" s="7" t="s">
        <v>2</v>
      </c>
      <c r="E7" s="2" t="s">
        <v>3</v>
      </c>
      <c r="F7" s="13" t="s">
        <v>4</v>
      </c>
      <c r="G7" s="3">
        <v>71500</v>
      </c>
      <c r="H7" s="2" t="s">
        <v>18</v>
      </c>
      <c r="I7" s="2" t="s">
        <v>19</v>
      </c>
      <c r="J7" s="42">
        <v>0.74652777777777779</v>
      </c>
      <c r="K7" s="5">
        <v>0.73958333333333337</v>
      </c>
      <c r="L7" s="42">
        <v>0.58680555555555558</v>
      </c>
      <c r="M7" s="43">
        <v>0.60486111111111118</v>
      </c>
      <c r="N7" s="7" t="s">
        <v>292</v>
      </c>
      <c r="O7" s="7" t="s">
        <v>291</v>
      </c>
      <c r="P7" s="7">
        <v>477</v>
      </c>
      <c r="Q7" s="8">
        <v>826</v>
      </c>
      <c r="R7" s="7">
        <v>0</v>
      </c>
      <c r="S7" s="7">
        <v>0</v>
      </c>
      <c r="T7" s="7">
        <v>0</v>
      </c>
      <c r="U7" s="7">
        <v>0</v>
      </c>
    </row>
    <row r="8" spans="1:21" s="40" customFormat="1" ht="12.75" x14ac:dyDescent="0.2">
      <c r="A8" s="1">
        <v>43634</v>
      </c>
      <c r="B8" s="2" t="s">
        <v>0</v>
      </c>
      <c r="C8" s="40" t="s">
        <v>20</v>
      </c>
      <c r="D8" s="40" t="s">
        <v>2</v>
      </c>
      <c r="E8" s="2" t="s">
        <v>253</v>
      </c>
      <c r="F8" s="40" t="s">
        <v>4</v>
      </c>
      <c r="G8" s="44">
        <v>71500</v>
      </c>
      <c r="H8" s="40" t="s">
        <v>21</v>
      </c>
      <c r="I8" s="40" t="s">
        <v>22</v>
      </c>
      <c r="J8" s="42">
        <v>0.94097222222222221</v>
      </c>
      <c r="K8" s="5">
        <v>0.94305555555555554</v>
      </c>
      <c r="L8" s="42">
        <v>0.72222222222222221</v>
      </c>
      <c r="M8" s="43">
        <v>0.73611111111111116</v>
      </c>
      <c r="N8" s="11" t="s">
        <v>295</v>
      </c>
      <c r="O8" s="40" t="s">
        <v>293</v>
      </c>
      <c r="P8" s="40">
        <v>852</v>
      </c>
      <c r="Q8" s="8">
        <v>317</v>
      </c>
      <c r="R8" s="40">
        <v>0</v>
      </c>
      <c r="S8" s="40">
        <v>0</v>
      </c>
      <c r="T8" s="40">
        <v>0</v>
      </c>
      <c r="U8" s="40">
        <v>0</v>
      </c>
    </row>
    <row r="9" spans="1:21" s="12" customFormat="1" ht="12.75" x14ac:dyDescent="0.25">
      <c r="A9" s="1">
        <v>43634</v>
      </c>
      <c r="B9" s="7" t="s">
        <v>0</v>
      </c>
      <c r="C9" s="12" t="s">
        <v>23</v>
      </c>
      <c r="D9" s="7" t="s">
        <v>2</v>
      </c>
      <c r="E9" s="2" t="s">
        <v>3</v>
      </c>
      <c r="F9" s="7" t="s">
        <v>4</v>
      </c>
      <c r="G9" s="3">
        <v>71500</v>
      </c>
      <c r="H9" s="2" t="s">
        <v>24</v>
      </c>
      <c r="I9" s="2" t="s">
        <v>25</v>
      </c>
      <c r="J9" s="41">
        <v>0.94444444444444453</v>
      </c>
      <c r="K9" s="6">
        <v>0.97430555555555554</v>
      </c>
      <c r="L9" s="41">
        <v>0.76736111111111116</v>
      </c>
      <c r="M9" s="11">
        <v>0.79861111111111116</v>
      </c>
      <c r="N9" s="11" t="s">
        <v>296</v>
      </c>
      <c r="O9" s="11" t="s">
        <v>294</v>
      </c>
      <c r="P9" s="12">
        <v>807</v>
      </c>
      <c r="Q9" s="8">
        <v>766</v>
      </c>
      <c r="R9" s="7">
        <v>0</v>
      </c>
      <c r="S9" s="7">
        <v>0</v>
      </c>
      <c r="T9" s="7">
        <v>0</v>
      </c>
      <c r="U9" s="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K33" sqref="K33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0.140625" customWidth="1"/>
    <col min="6" max="6" width="16.42578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9" customFormat="1" ht="12.75" customHeight="1" x14ac:dyDescent="0.25">
      <c r="A2" s="1">
        <v>43635</v>
      </c>
      <c r="B2" s="2" t="s">
        <v>0</v>
      </c>
      <c r="C2" s="2" t="s">
        <v>61</v>
      </c>
      <c r="D2" s="2" t="s">
        <v>2</v>
      </c>
      <c r="E2" s="2" t="s">
        <v>3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0.46388888888888885</v>
      </c>
      <c r="L2" s="4">
        <v>0.25694444444444448</v>
      </c>
      <c r="M2" s="6">
        <v>0.2673611111111111</v>
      </c>
      <c r="N2" s="5" t="s">
        <v>256</v>
      </c>
      <c r="O2" s="8" t="s">
        <v>297</v>
      </c>
      <c r="P2" s="8">
        <v>861</v>
      </c>
      <c r="Q2" s="8">
        <v>576</v>
      </c>
      <c r="R2" s="2">
        <v>0</v>
      </c>
      <c r="S2" s="2">
        <v>0</v>
      </c>
      <c r="T2" s="2">
        <v>0</v>
      </c>
      <c r="U2" s="2">
        <v>0</v>
      </c>
    </row>
    <row r="3" spans="1:21" s="19" customFormat="1" ht="12.75" customHeight="1" x14ac:dyDescent="0.25">
      <c r="A3" s="1">
        <v>43635</v>
      </c>
      <c r="B3" s="2" t="s">
        <v>0</v>
      </c>
      <c r="C3" s="2" t="s">
        <v>77</v>
      </c>
      <c r="D3" s="2" t="s">
        <v>2</v>
      </c>
      <c r="E3" s="2" t="s">
        <v>253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0.4861111111111111</v>
      </c>
      <c r="K3" s="5">
        <v>0.47638888888888892</v>
      </c>
      <c r="L3" s="4">
        <v>0.28125</v>
      </c>
      <c r="M3" s="6">
        <v>0.28333333333333333</v>
      </c>
      <c r="N3" s="5" t="s">
        <v>85</v>
      </c>
      <c r="O3" s="8" t="s">
        <v>298</v>
      </c>
      <c r="P3" s="2">
        <v>1231</v>
      </c>
      <c r="Q3" s="8">
        <v>361</v>
      </c>
      <c r="R3" s="2">
        <v>0</v>
      </c>
      <c r="S3" s="2">
        <v>0</v>
      </c>
      <c r="T3" s="2">
        <v>0</v>
      </c>
      <c r="U3" s="2">
        <v>0</v>
      </c>
    </row>
    <row r="4" spans="1:21" s="19" customFormat="1" ht="12.75" customHeight="1" x14ac:dyDescent="0.25">
      <c r="A4" s="1">
        <v>43635</v>
      </c>
      <c r="B4" s="7" t="s">
        <v>0</v>
      </c>
      <c r="C4" s="7" t="s">
        <v>64</v>
      </c>
      <c r="D4" s="7" t="s">
        <v>2</v>
      </c>
      <c r="E4" s="2" t="s">
        <v>299</v>
      </c>
      <c r="F4" s="7" t="s">
        <v>4</v>
      </c>
      <c r="G4" s="3">
        <v>71500</v>
      </c>
      <c r="H4" s="7" t="s">
        <v>66</v>
      </c>
      <c r="I4" s="7" t="s">
        <v>67</v>
      </c>
      <c r="J4" s="9">
        <v>0.72569444444444453</v>
      </c>
      <c r="K4" s="5">
        <v>0.74930555555555556</v>
      </c>
      <c r="L4" s="9">
        <v>0.48958333333333331</v>
      </c>
      <c r="M4" s="5">
        <v>0.50208333333333333</v>
      </c>
      <c r="N4" s="7" t="s">
        <v>230</v>
      </c>
      <c r="O4" s="7" t="s">
        <v>300</v>
      </c>
      <c r="P4" s="7">
        <v>1401</v>
      </c>
      <c r="Q4" s="7">
        <v>341</v>
      </c>
      <c r="R4" s="7">
        <v>0</v>
      </c>
      <c r="S4" s="7">
        <v>0</v>
      </c>
      <c r="T4" s="7">
        <v>0</v>
      </c>
      <c r="U4" s="7">
        <v>0</v>
      </c>
    </row>
    <row r="5" spans="1:21" s="19" customFormat="1" ht="12.75" customHeight="1" x14ac:dyDescent="0.25">
      <c r="A5" s="1">
        <v>43635</v>
      </c>
      <c r="B5" s="7" t="s">
        <v>0</v>
      </c>
      <c r="C5" s="7" t="s">
        <v>68</v>
      </c>
      <c r="D5" s="7" t="s">
        <v>2</v>
      </c>
      <c r="E5" s="2" t="s">
        <v>253</v>
      </c>
      <c r="F5" s="7" t="s">
        <v>4</v>
      </c>
      <c r="G5" s="3">
        <v>71500</v>
      </c>
      <c r="H5" s="7" t="s">
        <v>69</v>
      </c>
      <c r="I5" s="7" t="s">
        <v>70</v>
      </c>
      <c r="J5" s="10">
        <v>0.74652777777777779</v>
      </c>
      <c r="K5" s="5">
        <v>0.76736111111111116</v>
      </c>
      <c r="L5" s="10">
        <v>0.51736111111111105</v>
      </c>
      <c r="M5" s="11">
        <v>0.52430555555555558</v>
      </c>
      <c r="N5" s="7" t="s">
        <v>173</v>
      </c>
      <c r="O5" s="19" t="s">
        <v>301</v>
      </c>
      <c r="P5" s="12">
        <v>1375</v>
      </c>
      <c r="Q5" s="19">
        <v>442</v>
      </c>
      <c r="R5" s="7">
        <v>0</v>
      </c>
      <c r="S5" s="7">
        <v>0</v>
      </c>
      <c r="T5" s="7">
        <v>0</v>
      </c>
      <c r="U5" s="7">
        <v>0</v>
      </c>
    </row>
    <row r="6" spans="1:21" s="19" customFormat="1" ht="12.75" customHeight="1" x14ac:dyDescent="0.25">
      <c r="A6" s="1">
        <v>43635</v>
      </c>
      <c r="B6" s="19" t="s">
        <v>0</v>
      </c>
      <c r="C6" s="19" t="s">
        <v>71</v>
      </c>
      <c r="D6" s="19" t="s">
        <v>2</v>
      </c>
      <c r="E6" s="2" t="str">
        <f>E4</f>
        <v>HALYO</v>
      </c>
      <c r="F6" s="19" t="s">
        <v>4</v>
      </c>
      <c r="G6" s="3">
        <v>71500</v>
      </c>
      <c r="H6" s="19" t="s">
        <v>72</v>
      </c>
      <c r="I6" s="19" t="s">
        <v>73</v>
      </c>
      <c r="J6" s="10">
        <v>0.91666666666666663</v>
      </c>
      <c r="K6" s="5">
        <v>0.96527777777777779</v>
      </c>
      <c r="L6" s="10">
        <v>0.74652777777777779</v>
      </c>
      <c r="M6" s="18">
        <v>0.7944444444444444</v>
      </c>
      <c r="N6" s="7" t="s">
        <v>287</v>
      </c>
      <c r="O6" s="19" t="s">
        <v>230</v>
      </c>
      <c r="P6" s="19">
        <v>494</v>
      </c>
      <c r="Q6" s="19">
        <v>495</v>
      </c>
      <c r="R6" s="19">
        <v>0</v>
      </c>
      <c r="S6" s="19">
        <v>0</v>
      </c>
      <c r="T6" s="19">
        <v>0</v>
      </c>
      <c r="U6" s="19">
        <v>0</v>
      </c>
    </row>
    <row r="7" spans="1:21" s="19" customFormat="1" ht="12.75" customHeight="1" x14ac:dyDescent="0.25">
      <c r="A7" s="1">
        <v>43635</v>
      </c>
      <c r="B7" s="19" t="s">
        <v>0</v>
      </c>
      <c r="C7" s="19" t="s">
        <v>74</v>
      </c>
      <c r="D7" s="19" t="s">
        <v>2</v>
      </c>
      <c r="E7" s="2" t="str">
        <f>E5</f>
        <v>HALWB</v>
      </c>
      <c r="F7" s="19" t="s">
        <v>4</v>
      </c>
      <c r="G7" s="37">
        <v>71500</v>
      </c>
      <c r="H7" s="19" t="s">
        <v>75</v>
      </c>
      <c r="I7" s="19" t="s">
        <v>76</v>
      </c>
      <c r="J7" s="10">
        <v>0.95833333333333337</v>
      </c>
      <c r="K7" s="5">
        <v>2.7777777777777779E-3</v>
      </c>
      <c r="L7" s="10">
        <v>0.76736111111111116</v>
      </c>
      <c r="M7" s="18">
        <v>0.82847222222222217</v>
      </c>
      <c r="N7" s="7" t="s">
        <v>304</v>
      </c>
      <c r="O7" s="19" t="s">
        <v>303</v>
      </c>
      <c r="P7" s="19">
        <v>908</v>
      </c>
      <c r="Q7" s="19">
        <v>839</v>
      </c>
      <c r="R7" s="19">
        <v>0</v>
      </c>
      <c r="S7" s="19">
        <v>0</v>
      </c>
      <c r="T7" s="19">
        <v>0</v>
      </c>
      <c r="U7" s="1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K7" sqref="K7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0.140625" customWidth="1"/>
    <col min="6" max="6" width="16.42578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9" customFormat="1" ht="12.75" customHeight="1" x14ac:dyDescent="0.25">
      <c r="A2" s="1">
        <v>43636</v>
      </c>
      <c r="B2" s="2" t="s">
        <v>0</v>
      </c>
      <c r="C2" s="2" t="s">
        <v>1</v>
      </c>
      <c r="D2" s="2" t="s">
        <v>2</v>
      </c>
      <c r="E2" s="2" t="s">
        <v>299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0.36805555555555558</v>
      </c>
      <c r="L2" s="4">
        <v>0.25694444444444448</v>
      </c>
      <c r="M2" s="6">
        <v>0.26250000000000001</v>
      </c>
      <c r="N2" s="5" t="s">
        <v>82</v>
      </c>
      <c r="O2" s="8" t="s">
        <v>305</v>
      </c>
      <c r="P2" s="8">
        <v>532</v>
      </c>
      <c r="Q2" s="8">
        <v>393</v>
      </c>
      <c r="R2" s="2">
        <v>0</v>
      </c>
      <c r="S2" s="2">
        <v>0</v>
      </c>
      <c r="T2" s="2">
        <v>0</v>
      </c>
      <c r="U2" s="2">
        <v>0</v>
      </c>
    </row>
    <row r="3" spans="1:21" s="19" customFormat="1" ht="12.75" customHeight="1" x14ac:dyDescent="0.25">
      <c r="A3" s="1">
        <v>43636</v>
      </c>
      <c r="B3" s="2" t="s">
        <v>0</v>
      </c>
      <c r="C3" s="2" t="s">
        <v>61</v>
      </c>
      <c r="D3" s="2" t="s">
        <v>2</v>
      </c>
      <c r="E3" s="2" t="s">
        <v>253</v>
      </c>
      <c r="F3" s="2" t="s">
        <v>4</v>
      </c>
      <c r="G3" s="3">
        <v>71500</v>
      </c>
      <c r="H3" s="2" t="s">
        <v>62</v>
      </c>
      <c r="I3" s="2" t="s">
        <v>63</v>
      </c>
      <c r="J3" s="4">
        <v>0.46180555555555558</v>
      </c>
      <c r="K3" s="5">
        <v>0.46666666666666662</v>
      </c>
      <c r="L3" s="4">
        <v>0.27430555555555552</v>
      </c>
      <c r="M3" s="6">
        <v>0.28541666666666665</v>
      </c>
      <c r="N3" s="5" t="s">
        <v>256</v>
      </c>
      <c r="O3" s="8" t="s">
        <v>306</v>
      </c>
      <c r="P3" s="2">
        <v>559</v>
      </c>
      <c r="Q3" s="8">
        <v>639</v>
      </c>
      <c r="R3" s="2">
        <v>0</v>
      </c>
      <c r="S3" s="2">
        <v>0</v>
      </c>
      <c r="T3" s="2">
        <v>0</v>
      </c>
      <c r="U3" s="2">
        <v>0</v>
      </c>
    </row>
    <row r="4" spans="1:21" s="19" customFormat="1" ht="12.75" customHeight="1" x14ac:dyDescent="0.25">
      <c r="A4" s="1">
        <v>43636</v>
      </c>
      <c r="B4" s="19" t="s">
        <v>0</v>
      </c>
      <c r="C4" s="19" t="s">
        <v>10</v>
      </c>
      <c r="D4" s="19" t="s">
        <v>2</v>
      </c>
      <c r="E4" s="19" t="s">
        <v>299</v>
      </c>
      <c r="F4" s="19" t="s">
        <v>4</v>
      </c>
      <c r="G4" s="37">
        <v>71500</v>
      </c>
      <c r="H4" s="19" t="s">
        <v>11</v>
      </c>
      <c r="I4" s="19" t="s">
        <v>12</v>
      </c>
      <c r="J4" s="10">
        <v>0.55555555555555558</v>
      </c>
      <c r="K4" s="18">
        <v>0.60972222222222217</v>
      </c>
      <c r="L4" s="10">
        <v>0.40625</v>
      </c>
      <c r="M4" s="18">
        <v>0.44097222222222227</v>
      </c>
      <c r="N4" s="19" t="s">
        <v>188</v>
      </c>
      <c r="O4" s="19" t="s">
        <v>274</v>
      </c>
      <c r="P4" s="19">
        <v>638</v>
      </c>
      <c r="Q4" s="19">
        <v>892</v>
      </c>
      <c r="R4" s="19">
        <v>0</v>
      </c>
      <c r="S4" s="19">
        <v>0</v>
      </c>
      <c r="T4" s="19">
        <v>0</v>
      </c>
      <c r="U4" s="19">
        <v>0</v>
      </c>
    </row>
    <row r="5" spans="1:21" s="19" customFormat="1" ht="12.75" customHeight="1" x14ac:dyDescent="0.25">
      <c r="A5" s="1">
        <v>43636</v>
      </c>
      <c r="B5" s="7" t="s">
        <v>0</v>
      </c>
      <c r="C5" s="7" t="s">
        <v>13</v>
      </c>
      <c r="D5" s="7" t="s">
        <v>2</v>
      </c>
      <c r="E5" s="2" t="s">
        <v>253</v>
      </c>
      <c r="F5" s="7" t="s">
        <v>4</v>
      </c>
      <c r="G5" s="3">
        <v>71500</v>
      </c>
      <c r="H5" s="7" t="s">
        <v>14</v>
      </c>
      <c r="I5" s="7" t="s">
        <v>15</v>
      </c>
      <c r="J5" s="9">
        <v>0.70138888888888884</v>
      </c>
      <c r="K5" s="5">
        <v>0.71666666666666667</v>
      </c>
      <c r="L5" s="9">
        <v>0.49305555555555558</v>
      </c>
      <c r="M5" s="5">
        <v>0.51666666666666672</v>
      </c>
      <c r="N5" s="7" t="s">
        <v>295</v>
      </c>
      <c r="O5" s="7" t="s">
        <v>245</v>
      </c>
      <c r="P5" s="7">
        <v>866</v>
      </c>
      <c r="Q5" s="7">
        <v>940</v>
      </c>
      <c r="R5" s="7">
        <v>0</v>
      </c>
      <c r="S5" s="7">
        <v>0</v>
      </c>
      <c r="T5" s="7">
        <v>0</v>
      </c>
      <c r="U5" s="7">
        <v>0</v>
      </c>
    </row>
    <row r="6" spans="1:21" s="19" customFormat="1" ht="12.75" customHeight="1" x14ac:dyDescent="0.25">
      <c r="A6" s="1">
        <v>43636</v>
      </c>
      <c r="B6" s="7" t="s">
        <v>0</v>
      </c>
      <c r="C6" s="7" t="s">
        <v>71</v>
      </c>
      <c r="D6" s="7" t="s">
        <v>2</v>
      </c>
      <c r="E6" s="2" t="s">
        <v>299</v>
      </c>
      <c r="F6" s="7" t="s">
        <v>4</v>
      </c>
      <c r="G6" s="3">
        <v>71500</v>
      </c>
      <c r="H6" s="7" t="s">
        <v>72</v>
      </c>
      <c r="I6" s="7" t="s">
        <v>73</v>
      </c>
      <c r="J6" s="10">
        <v>0.75694444444444453</v>
      </c>
      <c r="K6" s="5">
        <v>0.82500000000000007</v>
      </c>
      <c r="L6" s="10">
        <v>0.58680555555555558</v>
      </c>
      <c r="M6" s="11">
        <v>0.65972222222222221</v>
      </c>
      <c r="N6" s="7" t="s">
        <v>309</v>
      </c>
      <c r="O6" s="19" t="s">
        <v>307</v>
      </c>
      <c r="P6" s="12">
        <v>841</v>
      </c>
      <c r="Q6" s="19">
        <v>651</v>
      </c>
      <c r="R6" s="7">
        <v>0</v>
      </c>
      <c r="S6" s="7">
        <v>0</v>
      </c>
      <c r="T6" s="7">
        <v>0</v>
      </c>
      <c r="U6" s="7">
        <v>0</v>
      </c>
    </row>
    <row r="7" spans="1:21" s="19" customFormat="1" ht="12.75" customHeight="1" x14ac:dyDescent="0.25">
      <c r="A7" s="1">
        <v>43636</v>
      </c>
      <c r="B7" s="19" t="s">
        <v>0</v>
      </c>
      <c r="C7" s="19" t="s">
        <v>20</v>
      </c>
      <c r="D7" s="19" t="s">
        <v>2</v>
      </c>
      <c r="E7" s="2" t="s">
        <v>253</v>
      </c>
      <c r="F7" s="19" t="s">
        <v>4</v>
      </c>
      <c r="G7" s="3">
        <v>71500</v>
      </c>
      <c r="H7" s="19" t="s">
        <v>78</v>
      </c>
      <c r="I7" s="19" t="s">
        <v>79</v>
      </c>
      <c r="J7" s="10">
        <v>0.92708333333333337</v>
      </c>
      <c r="K7" s="25"/>
      <c r="L7" s="10">
        <v>0.72222222222222221</v>
      </c>
      <c r="M7" s="18">
        <v>0.75138888888888899</v>
      </c>
      <c r="N7" s="54" t="s">
        <v>311</v>
      </c>
      <c r="O7" s="19" t="s">
        <v>308</v>
      </c>
      <c r="P7" s="53"/>
      <c r="Q7" s="19">
        <v>513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1">
        <v>43636</v>
      </c>
      <c r="B8" s="19" t="s">
        <v>0</v>
      </c>
      <c r="C8" s="19" t="s">
        <v>23</v>
      </c>
      <c r="D8" s="19" t="s">
        <v>2</v>
      </c>
      <c r="E8" s="2" t="s">
        <v>299</v>
      </c>
      <c r="F8" s="19" t="s">
        <v>4</v>
      </c>
      <c r="G8" s="37">
        <v>71500</v>
      </c>
      <c r="H8" s="19" t="s">
        <v>8</v>
      </c>
      <c r="I8" s="19" t="s">
        <v>9</v>
      </c>
      <c r="J8" s="10">
        <v>0.95486111111111116</v>
      </c>
      <c r="K8" s="5">
        <v>3.3333333333333333E-2</v>
      </c>
      <c r="L8" s="10">
        <v>0.77777777777777779</v>
      </c>
      <c r="M8" s="18">
        <v>0.8666666666666667</v>
      </c>
      <c r="N8" s="7" t="s">
        <v>312</v>
      </c>
      <c r="O8" s="19" t="s">
        <v>310</v>
      </c>
      <c r="P8" s="19">
        <v>779</v>
      </c>
      <c r="Q8" s="19">
        <v>921</v>
      </c>
      <c r="R8" s="19">
        <v>0</v>
      </c>
      <c r="S8" s="19">
        <v>0</v>
      </c>
      <c r="T8" s="19">
        <v>0</v>
      </c>
      <c r="U8" s="19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A11" sqref="A11"/>
    </sheetView>
  </sheetViews>
  <sheetFormatPr defaultRowHeight="12.75" x14ac:dyDescent="0.25"/>
  <cols>
    <col min="1" max="1" width="9.140625" style="19"/>
    <col min="2" max="2" width="18" style="19" customWidth="1"/>
    <col min="3" max="3" width="17.7109375" style="19" customWidth="1"/>
    <col min="4" max="4" width="5.7109375" style="19" bestFit="1" customWidth="1"/>
    <col min="5" max="5" width="14.28515625" style="19" customWidth="1"/>
    <col min="6" max="6" width="23.7109375" style="19" customWidth="1"/>
    <col min="7" max="7" width="9.7109375" style="19" bestFit="1" customWidth="1"/>
    <col min="8" max="8" width="9.140625" style="19"/>
    <col min="9" max="9" width="10.5703125" style="19" customWidth="1"/>
    <col min="10" max="10" width="11.7109375" style="19" customWidth="1"/>
    <col min="11" max="11" width="13.140625" style="19" customWidth="1"/>
    <col min="12" max="12" width="13.42578125" style="19" customWidth="1"/>
    <col min="13" max="13" width="10.85546875" style="19" bestFit="1" customWidth="1"/>
    <col min="14" max="15" width="18.42578125" style="19" bestFit="1" customWidth="1"/>
    <col min="16" max="16" width="10.28515625" style="19" bestFit="1" customWidth="1"/>
    <col min="17" max="16384" width="9.140625" style="19"/>
  </cols>
  <sheetData>
    <row r="1" spans="1:21" x14ac:dyDescent="0.25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x14ac:dyDescent="0.25">
      <c r="A2" s="1">
        <v>43637</v>
      </c>
      <c r="B2" s="2" t="s">
        <v>0</v>
      </c>
      <c r="C2" s="2" t="s">
        <v>61</v>
      </c>
      <c r="D2" s="2" t="s">
        <v>2</v>
      </c>
      <c r="E2" s="2" t="s">
        <v>299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0.44930555555555557</v>
      </c>
      <c r="L2" s="4">
        <v>0.25694444444444448</v>
      </c>
      <c r="M2" s="6">
        <v>0.2638888888888889</v>
      </c>
      <c r="N2" s="19" t="s">
        <v>317</v>
      </c>
      <c r="O2" s="8" t="s">
        <v>314</v>
      </c>
      <c r="P2" s="8">
        <v>1011</v>
      </c>
      <c r="Q2" s="8">
        <v>1071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">
        <f>A2</f>
        <v>43637</v>
      </c>
      <c r="B3" s="2" t="s">
        <v>0</v>
      </c>
      <c r="C3" s="19" t="s">
        <v>77</v>
      </c>
      <c r="D3" s="19" t="s">
        <v>2</v>
      </c>
      <c r="E3" s="2" t="s">
        <v>313</v>
      </c>
      <c r="F3" s="2" t="s">
        <v>4</v>
      </c>
      <c r="G3" s="3">
        <v>71500</v>
      </c>
      <c r="H3" s="19" t="s">
        <v>78</v>
      </c>
      <c r="I3" s="19" t="s">
        <v>79</v>
      </c>
      <c r="J3" s="10">
        <v>0.4861111111111111</v>
      </c>
      <c r="K3" s="18">
        <v>0.53125</v>
      </c>
      <c r="L3" s="10">
        <v>0.28125</v>
      </c>
      <c r="M3" s="18">
        <v>0.33263888888888887</v>
      </c>
      <c r="N3" s="19" t="s">
        <v>318</v>
      </c>
      <c r="O3" s="19" t="s">
        <v>316</v>
      </c>
      <c r="P3" s="19">
        <v>1071</v>
      </c>
      <c r="Q3" s="19">
        <v>160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">
        <f>A3</f>
        <v>43637</v>
      </c>
      <c r="B4" s="2" t="s">
        <v>0</v>
      </c>
      <c r="C4" s="19" t="s">
        <v>92</v>
      </c>
      <c r="D4" s="2" t="s">
        <v>2</v>
      </c>
      <c r="E4" s="2" t="s">
        <v>299</v>
      </c>
      <c r="F4" s="2" t="s">
        <v>4</v>
      </c>
      <c r="G4" s="3">
        <v>71500</v>
      </c>
      <c r="H4" s="19" t="s">
        <v>93</v>
      </c>
      <c r="I4" s="19" t="s">
        <v>94</v>
      </c>
      <c r="J4" s="10">
        <v>0.70833333333333337</v>
      </c>
      <c r="K4" s="18">
        <v>0.73055555555555562</v>
      </c>
      <c r="L4" s="10">
        <v>0.48958333333333331</v>
      </c>
      <c r="M4" s="18">
        <v>0.52847222222222223</v>
      </c>
      <c r="N4" s="19" t="s">
        <v>58</v>
      </c>
      <c r="O4" s="19" t="s">
        <v>319</v>
      </c>
      <c r="P4" s="19">
        <v>1447</v>
      </c>
      <c r="Q4" s="19">
        <v>528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">
        <f>A4</f>
        <v>43637</v>
      </c>
      <c r="B5" s="2" t="s">
        <v>0</v>
      </c>
      <c r="C5" s="19" t="s">
        <v>68</v>
      </c>
      <c r="D5" s="19" t="s">
        <v>2</v>
      </c>
      <c r="E5" s="2" t="s">
        <v>313</v>
      </c>
      <c r="F5" s="2" t="s">
        <v>4</v>
      </c>
      <c r="G5" s="3">
        <v>71500</v>
      </c>
      <c r="H5" s="19" t="s">
        <v>69</v>
      </c>
      <c r="I5" s="19" t="s">
        <v>70</v>
      </c>
      <c r="J5" s="10">
        <v>0.74652777777777779</v>
      </c>
      <c r="K5" s="18">
        <v>0.80208333333333337</v>
      </c>
      <c r="L5" s="10">
        <v>0.51736111111111105</v>
      </c>
      <c r="M5" s="18">
        <v>0.57500000000000007</v>
      </c>
      <c r="N5" s="19" t="s">
        <v>231</v>
      </c>
      <c r="O5" s="19" t="s">
        <v>326</v>
      </c>
      <c r="P5" s="19">
        <v>1234</v>
      </c>
      <c r="Q5" s="19">
        <v>471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">
        <f>A5</f>
        <v>43637</v>
      </c>
      <c r="B6" s="2" t="s">
        <v>0</v>
      </c>
      <c r="C6" s="19" t="s">
        <v>71</v>
      </c>
      <c r="D6" s="2" t="s">
        <v>2</v>
      </c>
      <c r="E6" s="2" t="s">
        <v>299</v>
      </c>
      <c r="F6" s="2" t="s">
        <v>4</v>
      </c>
      <c r="G6" s="37">
        <v>71500</v>
      </c>
      <c r="H6" s="19" t="s">
        <v>72</v>
      </c>
      <c r="I6" s="19" t="s">
        <v>73</v>
      </c>
      <c r="J6" s="10">
        <v>0.89930555555555547</v>
      </c>
      <c r="K6" s="18">
        <v>0.9291666666666667</v>
      </c>
      <c r="L6" s="10">
        <v>0.72916666666666663</v>
      </c>
      <c r="M6" s="18">
        <v>0.76874999999999993</v>
      </c>
      <c r="N6" s="19" t="s">
        <v>91</v>
      </c>
      <c r="O6" s="19" t="s">
        <v>328</v>
      </c>
      <c r="P6" s="19">
        <v>721</v>
      </c>
      <c r="Q6" s="19">
        <v>550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>
        <f>A6</f>
        <v>43637</v>
      </c>
      <c r="B7" s="2" t="s">
        <v>0</v>
      </c>
      <c r="C7" s="19" t="s">
        <v>95</v>
      </c>
      <c r="D7" s="19" t="s">
        <v>2</v>
      </c>
      <c r="E7" s="19" t="s">
        <v>313</v>
      </c>
      <c r="F7" s="2" t="s">
        <v>4</v>
      </c>
      <c r="G7" s="3">
        <v>71500</v>
      </c>
      <c r="H7" s="19" t="s">
        <v>96</v>
      </c>
      <c r="I7" s="19" t="s">
        <v>167</v>
      </c>
      <c r="J7" s="10">
        <v>0.9375</v>
      </c>
      <c r="K7" s="18">
        <v>0.9916666666666667</v>
      </c>
      <c r="L7" s="10">
        <v>0.76736111111111116</v>
      </c>
      <c r="M7" s="18">
        <v>0.83680555555555547</v>
      </c>
      <c r="N7" s="19" t="s">
        <v>327</v>
      </c>
      <c r="O7" s="19" t="s">
        <v>329</v>
      </c>
      <c r="P7" s="19">
        <v>913</v>
      </c>
      <c r="Q7" s="19">
        <v>696</v>
      </c>
      <c r="R7" s="2">
        <v>0</v>
      </c>
      <c r="S7" s="2">
        <v>0</v>
      </c>
      <c r="T7" s="2">
        <v>0</v>
      </c>
      <c r="U7" s="2">
        <v>0</v>
      </c>
    </row>
    <row r="8" spans="1:21" ht="12.75" customHeight="1" x14ac:dyDescent="0.25">
      <c r="A8" s="23">
        <v>43637</v>
      </c>
      <c r="B8" s="39" t="s">
        <v>0</v>
      </c>
      <c r="C8" s="19" t="s">
        <v>315</v>
      </c>
      <c r="D8" s="19" t="s">
        <v>2</v>
      </c>
      <c r="E8" s="19" t="s">
        <v>313</v>
      </c>
      <c r="F8" s="39" t="s">
        <v>134</v>
      </c>
      <c r="G8" s="37">
        <v>71500</v>
      </c>
      <c r="H8" s="19" t="s">
        <v>145</v>
      </c>
      <c r="I8" s="19" t="s">
        <v>118</v>
      </c>
      <c r="J8" s="10">
        <v>0.27083333333333331</v>
      </c>
      <c r="K8" s="18">
        <v>0.27777777777777779</v>
      </c>
      <c r="L8" s="10" t="s">
        <v>118</v>
      </c>
      <c r="M8" s="18" t="s">
        <v>118</v>
      </c>
      <c r="N8" s="19" t="s">
        <v>162</v>
      </c>
      <c r="O8" s="19" t="s">
        <v>118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</row>
    <row r="9" spans="1:21" ht="12.75" customHeight="1" x14ac:dyDescent="0.25">
      <c r="A9" s="23">
        <v>43637</v>
      </c>
      <c r="B9" s="39" t="s">
        <v>157</v>
      </c>
      <c r="C9" s="19" t="s">
        <v>320</v>
      </c>
      <c r="D9" s="19" t="s">
        <v>321</v>
      </c>
      <c r="E9" s="19" t="s">
        <v>160</v>
      </c>
      <c r="F9" s="39" t="s">
        <v>322</v>
      </c>
      <c r="G9" s="37">
        <v>1089</v>
      </c>
      <c r="H9" s="19" t="s">
        <v>160</v>
      </c>
      <c r="I9" s="19" t="s">
        <v>160</v>
      </c>
      <c r="J9" s="10">
        <v>0.60416666666666663</v>
      </c>
      <c r="K9" s="18">
        <v>0.60833333333333328</v>
      </c>
      <c r="L9" s="10">
        <v>0.61805555555555558</v>
      </c>
      <c r="M9" s="18">
        <v>0.70624999999999993</v>
      </c>
      <c r="N9" s="19" t="s">
        <v>162</v>
      </c>
      <c r="O9" s="19" t="s">
        <v>162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</row>
    <row r="10" spans="1:21" x14ac:dyDescent="0.25">
      <c r="A10" s="23">
        <v>43637</v>
      </c>
      <c r="B10" s="19" t="s">
        <v>0</v>
      </c>
      <c r="C10" s="19" t="s">
        <v>323</v>
      </c>
      <c r="D10" s="19" t="s">
        <v>2</v>
      </c>
      <c r="E10" s="19" t="s">
        <v>253</v>
      </c>
      <c r="F10" s="55" t="s">
        <v>331</v>
      </c>
      <c r="G10" s="19">
        <v>71500</v>
      </c>
      <c r="H10" s="19" t="s">
        <v>324</v>
      </c>
      <c r="I10" s="19" t="s">
        <v>325</v>
      </c>
      <c r="J10" s="10">
        <v>0.60416666666666663</v>
      </c>
      <c r="K10" s="18">
        <v>0.60972222222222217</v>
      </c>
      <c r="L10" s="10">
        <v>0.625</v>
      </c>
      <c r="M10" s="18">
        <v>0.69444444444444453</v>
      </c>
      <c r="N10" s="19" t="s">
        <v>330</v>
      </c>
      <c r="O10" s="19" t="s">
        <v>162</v>
      </c>
      <c r="P10" s="19">
        <v>879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</row>
    <row r="11" spans="1:21" x14ac:dyDescent="0.25">
      <c r="A11" s="23">
        <v>43637</v>
      </c>
      <c r="B11" s="19" t="s">
        <v>332</v>
      </c>
      <c r="C11" s="19" t="s">
        <v>215</v>
      </c>
      <c r="D11" s="19" t="s">
        <v>2</v>
      </c>
      <c r="E11" s="19" t="s">
        <v>333</v>
      </c>
      <c r="F11" s="19" t="s">
        <v>334</v>
      </c>
      <c r="G11" s="19">
        <v>77000</v>
      </c>
      <c r="H11" s="19" t="s">
        <v>216</v>
      </c>
      <c r="I11" s="19" t="s">
        <v>217</v>
      </c>
      <c r="J11" s="10">
        <v>0.64583333333333337</v>
      </c>
      <c r="K11" s="18">
        <v>0.6430555555555556</v>
      </c>
      <c r="L11" s="10">
        <v>0.6875</v>
      </c>
      <c r="M11" s="18">
        <v>0.69930555555555562</v>
      </c>
      <c r="N11" s="19" t="s">
        <v>162</v>
      </c>
      <c r="O11" s="19" t="s">
        <v>335</v>
      </c>
      <c r="P11" s="19">
        <v>0</v>
      </c>
      <c r="Q11" s="19">
        <v>2133</v>
      </c>
      <c r="R11" s="19">
        <v>0</v>
      </c>
      <c r="S11" s="19">
        <v>0</v>
      </c>
      <c r="T11" s="19">
        <v>0</v>
      </c>
      <c r="U11" s="19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8" sqref="A8"/>
    </sheetView>
  </sheetViews>
  <sheetFormatPr defaultRowHeight="15" x14ac:dyDescent="0.25"/>
  <cols>
    <col min="2" max="2" width="11.28515625" customWidth="1"/>
    <col min="3" max="3" width="14.5703125" customWidth="1"/>
    <col min="5" max="5" width="14.5703125" customWidth="1"/>
    <col min="6" max="6" width="16.42578125" customWidth="1"/>
    <col min="10" max="10" width="11" customWidth="1"/>
    <col min="11" max="11" width="11.42578125" customWidth="1"/>
    <col min="12" max="12" width="11.5703125" customWidth="1"/>
    <col min="13" max="13" width="11.28515625" customWidth="1"/>
    <col min="14" max="14" width="19.5703125" customWidth="1"/>
    <col min="15" max="15" width="19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43639</v>
      </c>
      <c r="B2" s="2" t="s">
        <v>0</v>
      </c>
      <c r="C2" s="2" t="s">
        <v>61</v>
      </c>
      <c r="D2" s="2" t="s">
        <v>2</v>
      </c>
      <c r="E2" s="2" t="s">
        <v>336</v>
      </c>
      <c r="F2" s="2" t="s">
        <v>4</v>
      </c>
      <c r="G2" s="3">
        <v>71500</v>
      </c>
      <c r="H2" s="2" t="s">
        <v>62</v>
      </c>
      <c r="I2" s="2" t="s">
        <v>63</v>
      </c>
      <c r="J2" s="4">
        <v>0.45833333333333331</v>
      </c>
      <c r="K2" s="5">
        <v>0.45416666666666666</v>
      </c>
      <c r="L2" s="4">
        <v>0.25694444444444448</v>
      </c>
      <c r="M2" s="6">
        <v>0.26250000000000001</v>
      </c>
      <c r="N2" s="7" t="s">
        <v>267</v>
      </c>
      <c r="O2" s="8" t="s">
        <v>339</v>
      </c>
      <c r="P2" s="8">
        <v>1613</v>
      </c>
      <c r="Q2" s="8">
        <v>694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1">
        <f>A2</f>
        <v>43639</v>
      </c>
      <c r="B3" s="2" t="s">
        <v>0</v>
      </c>
      <c r="C3" s="2" t="s">
        <v>77</v>
      </c>
      <c r="D3" s="2" t="s">
        <v>2</v>
      </c>
      <c r="E3" s="2" t="s">
        <v>337</v>
      </c>
      <c r="F3" s="2" t="s">
        <v>4</v>
      </c>
      <c r="G3" s="3">
        <v>71500</v>
      </c>
      <c r="H3" s="2" t="s">
        <v>78</v>
      </c>
      <c r="I3" s="2" t="s">
        <v>79</v>
      </c>
      <c r="J3" s="4">
        <v>0.4861111111111111</v>
      </c>
      <c r="K3" s="5">
        <v>0.51597222222222217</v>
      </c>
      <c r="L3" s="4">
        <v>0.28125</v>
      </c>
      <c r="M3" s="6">
        <v>0.28472222222222221</v>
      </c>
      <c r="N3" s="7" t="s">
        <v>340</v>
      </c>
      <c r="O3" s="8" t="s">
        <v>338</v>
      </c>
      <c r="P3" s="2">
        <v>1322</v>
      </c>
      <c r="Q3" s="8">
        <v>806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1">
        <f>A3</f>
        <v>43639</v>
      </c>
      <c r="B4" s="7" t="s">
        <v>0</v>
      </c>
      <c r="C4" s="7" t="s">
        <v>64</v>
      </c>
      <c r="D4" s="7" t="s">
        <v>2</v>
      </c>
      <c r="E4" s="2" t="str">
        <f>E2</f>
        <v>HA-LYO</v>
      </c>
      <c r="F4" s="7" t="s">
        <v>4</v>
      </c>
      <c r="G4" s="3">
        <v>71500</v>
      </c>
      <c r="H4" s="7" t="s">
        <v>93</v>
      </c>
      <c r="I4" s="7" t="s">
        <v>94</v>
      </c>
      <c r="J4" s="9">
        <v>0.70833333333333337</v>
      </c>
      <c r="K4" s="5">
        <v>0.77708333333333324</v>
      </c>
      <c r="L4" s="9">
        <v>0.48958333333333331</v>
      </c>
      <c r="M4" s="5">
        <v>0.54097222222222219</v>
      </c>
      <c r="N4" s="7" t="s">
        <v>343</v>
      </c>
      <c r="O4" s="7" t="s">
        <v>341</v>
      </c>
      <c r="P4" s="7">
        <v>1140</v>
      </c>
      <c r="Q4" s="8">
        <v>932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1">
        <f>A4</f>
        <v>43639</v>
      </c>
      <c r="B5" s="7" t="s">
        <v>0</v>
      </c>
      <c r="C5" s="7" t="s">
        <v>68</v>
      </c>
      <c r="D5" s="7" t="s">
        <v>2</v>
      </c>
      <c r="E5" s="2" t="s">
        <v>344</v>
      </c>
      <c r="F5" s="7" t="s">
        <v>4</v>
      </c>
      <c r="G5" s="3">
        <v>71500</v>
      </c>
      <c r="H5" s="7" t="s">
        <v>69</v>
      </c>
      <c r="I5" s="7" t="s">
        <v>70</v>
      </c>
      <c r="J5" s="9">
        <v>0.74652777777777779</v>
      </c>
      <c r="K5" s="5">
        <v>0.8027777777777777</v>
      </c>
      <c r="L5" s="9">
        <v>0.51736111111111105</v>
      </c>
      <c r="M5" s="5">
        <v>0.55833333333333335</v>
      </c>
      <c r="N5" s="7" t="s">
        <v>194</v>
      </c>
      <c r="O5" s="7" t="s">
        <v>342</v>
      </c>
      <c r="P5" s="7">
        <v>1526</v>
      </c>
      <c r="Q5" s="8">
        <v>821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1">
        <f>A5</f>
        <v>43639</v>
      </c>
      <c r="B6" s="7" t="s">
        <v>0</v>
      </c>
      <c r="C6" s="7" t="s">
        <v>71</v>
      </c>
      <c r="D6" s="7" t="s">
        <v>2</v>
      </c>
      <c r="E6" s="2" t="str">
        <f>E4</f>
        <v>HA-LYO</v>
      </c>
      <c r="F6" s="13" t="s">
        <v>4</v>
      </c>
      <c r="G6" s="3">
        <v>71500</v>
      </c>
      <c r="H6" s="2" t="s">
        <v>72</v>
      </c>
      <c r="I6" s="2" t="s">
        <v>73</v>
      </c>
      <c r="J6" s="14">
        <v>0.89930555555555547</v>
      </c>
      <c r="K6" s="5">
        <v>0.96805555555555556</v>
      </c>
      <c r="L6" s="14">
        <v>0.72916666666666663</v>
      </c>
      <c r="M6" s="15">
        <v>0.82361111111111107</v>
      </c>
      <c r="N6" s="7" t="s">
        <v>114</v>
      </c>
      <c r="O6" s="62" t="s">
        <v>346</v>
      </c>
      <c r="P6" s="7">
        <v>787</v>
      </c>
      <c r="Q6" s="8">
        <v>490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1">
        <f>A6</f>
        <v>43639</v>
      </c>
      <c r="B7" s="16" t="s">
        <v>0</v>
      </c>
      <c r="C7" s="16" t="s">
        <v>74</v>
      </c>
      <c r="D7" s="16" t="s">
        <v>2</v>
      </c>
      <c r="E7" s="16" t="s">
        <v>345</v>
      </c>
      <c r="F7" s="16" t="s">
        <v>4</v>
      </c>
      <c r="G7" s="17">
        <v>71500</v>
      </c>
      <c r="H7" s="16" t="s">
        <v>96</v>
      </c>
      <c r="I7" s="16" t="s">
        <v>97</v>
      </c>
      <c r="J7" s="14">
        <v>0.9375</v>
      </c>
      <c r="K7" s="5">
        <v>2.013888888888889E-2</v>
      </c>
      <c r="L7" s="14">
        <v>0.76736111111111116</v>
      </c>
      <c r="M7" s="15">
        <v>0.84444444444444444</v>
      </c>
      <c r="N7" s="7" t="s">
        <v>353</v>
      </c>
      <c r="O7" s="16" t="s">
        <v>350</v>
      </c>
      <c r="P7" s="16">
        <v>1231</v>
      </c>
      <c r="Q7" s="8">
        <v>726</v>
      </c>
      <c r="R7" s="16">
        <v>0</v>
      </c>
      <c r="S7" s="16">
        <v>0</v>
      </c>
      <c r="T7" s="16">
        <v>0</v>
      </c>
      <c r="U7" s="16">
        <v>0</v>
      </c>
    </row>
    <row r="8" spans="1:21" s="71" customFormat="1" ht="12.75" x14ac:dyDescent="0.2">
      <c r="A8" s="24">
        <v>43639</v>
      </c>
      <c r="B8" s="62" t="s">
        <v>0</v>
      </c>
      <c r="C8" s="62" t="s">
        <v>347</v>
      </c>
      <c r="D8" s="62" t="s">
        <v>2</v>
      </c>
      <c r="E8" s="57" t="s">
        <v>352</v>
      </c>
      <c r="F8" s="62" t="s">
        <v>348</v>
      </c>
      <c r="G8" s="58">
        <v>71500</v>
      </c>
      <c r="H8" s="57" t="s">
        <v>349</v>
      </c>
      <c r="I8" s="57" t="s">
        <v>349</v>
      </c>
      <c r="J8" s="57" t="s">
        <v>118</v>
      </c>
      <c r="K8" s="67">
        <v>0.77361111111111114</v>
      </c>
      <c r="L8" s="57" t="s">
        <v>118</v>
      </c>
      <c r="M8" s="67">
        <v>0.83124999999999993</v>
      </c>
      <c r="N8" s="62" t="s">
        <v>146</v>
      </c>
      <c r="O8" s="62" t="s">
        <v>162</v>
      </c>
      <c r="P8" s="40" t="s">
        <v>351</v>
      </c>
      <c r="Q8" s="63">
        <v>0</v>
      </c>
      <c r="R8" s="62">
        <v>0</v>
      </c>
      <c r="S8" s="62">
        <v>0</v>
      </c>
      <c r="T8" s="62">
        <v>0</v>
      </c>
      <c r="U8" s="62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cols>
    <col min="2" max="2" width="11.28515625" customWidth="1"/>
    <col min="3" max="3" width="14.5703125" customWidth="1"/>
    <col min="5" max="5" width="14.5703125" customWidth="1"/>
    <col min="6" max="6" width="16.42578125" customWidth="1"/>
    <col min="10" max="10" width="11" customWidth="1"/>
    <col min="11" max="11" width="11.42578125" customWidth="1"/>
    <col min="12" max="12" width="11.5703125" customWidth="1"/>
    <col min="13" max="13" width="11.28515625" customWidth="1"/>
    <col min="14" max="14" width="19.5703125" customWidth="1"/>
    <col min="15" max="15" width="19" customWidth="1"/>
  </cols>
  <sheetData>
    <row r="1" spans="1:21" s="68" customFormat="1" ht="12.75" x14ac:dyDescent="0.2">
      <c r="A1" s="70" t="s">
        <v>26</v>
      </c>
      <c r="B1" s="70" t="s">
        <v>27</v>
      </c>
      <c r="C1" s="70" t="s">
        <v>28</v>
      </c>
      <c r="D1" s="70" t="s">
        <v>29</v>
      </c>
      <c r="E1" s="70" t="s">
        <v>30</v>
      </c>
      <c r="F1" s="70" t="s">
        <v>31</v>
      </c>
      <c r="G1" s="70" t="s">
        <v>32</v>
      </c>
      <c r="H1" s="70" t="s">
        <v>33</v>
      </c>
      <c r="I1" s="70" t="s">
        <v>34</v>
      </c>
      <c r="J1" s="70" t="s">
        <v>35</v>
      </c>
      <c r="K1" s="60" t="s">
        <v>36</v>
      </c>
      <c r="L1" s="70" t="s">
        <v>37</v>
      </c>
      <c r="M1" s="70" t="s">
        <v>38</v>
      </c>
      <c r="N1" s="62" t="s">
        <v>39</v>
      </c>
      <c r="O1" s="70" t="s">
        <v>40</v>
      </c>
      <c r="P1" s="70" t="s">
        <v>41</v>
      </c>
      <c r="Q1" s="70" t="s">
        <v>42</v>
      </c>
      <c r="R1" s="70" t="s">
        <v>43</v>
      </c>
      <c r="S1" s="70" t="s">
        <v>44</v>
      </c>
      <c r="T1" s="70" t="s">
        <v>45</v>
      </c>
      <c r="U1" s="70" t="s">
        <v>46</v>
      </c>
    </row>
    <row r="2" spans="1:21" s="68" customFormat="1" ht="12.75" x14ac:dyDescent="0.2">
      <c r="A2" s="56">
        <v>43640</v>
      </c>
      <c r="B2" s="57" t="s">
        <v>0</v>
      </c>
      <c r="C2" s="57" t="s">
        <v>61</v>
      </c>
      <c r="D2" s="57" t="s">
        <v>2</v>
      </c>
      <c r="E2" s="57" t="s">
        <v>336</v>
      </c>
      <c r="F2" s="57" t="s">
        <v>4</v>
      </c>
      <c r="G2" s="58">
        <v>71500</v>
      </c>
      <c r="H2" s="57" t="s">
        <v>62</v>
      </c>
      <c r="I2" s="57" t="s">
        <v>63</v>
      </c>
      <c r="J2" s="59">
        <v>0.45833333333333331</v>
      </c>
      <c r="K2" s="60">
        <v>0.4777777777777778</v>
      </c>
      <c r="L2" s="59">
        <v>0.25694444444444448</v>
      </c>
      <c r="M2" s="61">
        <v>0.26527777777777778</v>
      </c>
      <c r="N2" s="62" t="s">
        <v>358</v>
      </c>
      <c r="O2" s="63" t="s">
        <v>355</v>
      </c>
      <c r="P2" s="63">
        <v>1011</v>
      </c>
      <c r="Q2" s="63">
        <v>538</v>
      </c>
      <c r="R2" s="57">
        <v>0</v>
      </c>
      <c r="S2" s="57">
        <v>0</v>
      </c>
      <c r="T2" s="57">
        <v>0</v>
      </c>
      <c r="U2" s="57">
        <v>0</v>
      </c>
    </row>
    <row r="3" spans="1:21" s="68" customFormat="1" ht="12.75" x14ac:dyDescent="0.2">
      <c r="A3" s="56">
        <v>43640</v>
      </c>
      <c r="B3" s="57" t="s">
        <v>0</v>
      </c>
      <c r="C3" s="57" t="s">
        <v>77</v>
      </c>
      <c r="D3" s="57" t="s">
        <v>2</v>
      </c>
      <c r="E3" s="57" t="s">
        <v>354</v>
      </c>
      <c r="F3" s="57" t="s">
        <v>4</v>
      </c>
      <c r="G3" s="58">
        <v>71500</v>
      </c>
      <c r="H3" s="57" t="s">
        <v>78</v>
      </c>
      <c r="I3" s="57" t="s">
        <v>79</v>
      </c>
      <c r="J3" s="59">
        <v>0.4861111111111111</v>
      </c>
      <c r="K3" s="60">
        <v>0.4826388888888889</v>
      </c>
      <c r="L3" s="59">
        <v>0.28125</v>
      </c>
      <c r="M3" s="61">
        <v>0.29305555555555557</v>
      </c>
      <c r="N3" s="62" t="s">
        <v>357</v>
      </c>
      <c r="O3" s="63" t="s">
        <v>356</v>
      </c>
      <c r="P3" s="57">
        <v>1371</v>
      </c>
      <c r="Q3" s="63">
        <v>544</v>
      </c>
      <c r="R3" s="57">
        <v>0</v>
      </c>
      <c r="S3" s="57">
        <v>0</v>
      </c>
      <c r="T3" s="57">
        <v>0</v>
      </c>
      <c r="U3" s="57">
        <v>0</v>
      </c>
    </row>
    <row r="4" spans="1:21" s="68" customFormat="1" ht="12.75" x14ac:dyDescent="0.2">
      <c r="A4" s="56">
        <v>43640</v>
      </c>
      <c r="B4" s="62" t="s">
        <v>0</v>
      </c>
      <c r="C4" s="62" t="s">
        <v>92</v>
      </c>
      <c r="D4" s="62" t="s">
        <v>2</v>
      </c>
      <c r="E4" s="57" t="str">
        <f>E3</f>
        <v>HA-LPR</v>
      </c>
      <c r="F4" s="62" t="s">
        <v>4</v>
      </c>
      <c r="G4" s="58">
        <v>71500</v>
      </c>
      <c r="H4" s="62" t="s">
        <v>93</v>
      </c>
      <c r="I4" s="62" t="s">
        <v>94</v>
      </c>
      <c r="J4" s="64">
        <v>0.70833333333333337</v>
      </c>
      <c r="K4" s="60">
        <v>0.7319444444444444</v>
      </c>
      <c r="L4" s="64">
        <v>0.48958333333333331</v>
      </c>
      <c r="M4" s="60">
        <v>0.53125</v>
      </c>
      <c r="N4" s="62" t="s">
        <v>270</v>
      </c>
      <c r="O4" s="62" t="s">
        <v>359</v>
      </c>
      <c r="P4" s="62">
        <v>1235</v>
      </c>
      <c r="Q4" s="63">
        <v>418</v>
      </c>
      <c r="R4" s="62">
        <v>0</v>
      </c>
      <c r="S4" s="62">
        <v>0</v>
      </c>
      <c r="T4" s="62">
        <v>0</v>
      </c>
      <c r="U4" s="62">
        <v>0</v>
      </c>
    </row>
    <row r="5" spans="1:21" s="68" customFormat="1" ht="12.75" x14ac:dyDescent="0.2">
      <c r="A5" s="56">
        <v>43640</v>
      </c>
      <c r="B5" s="62" t="s">
        <v>0</v>
      </c>
      <c r="C5" s="62" t="s">
        <v>68</v>
      </c>
      <c r="D5" s="62" t="s">
        <v>2</v>
      </c>
      <c r="E5" s="57" t="str">
        <f>E2</f>
        <v>HA-LYO</v>
      </c>
      <c r="F5" s="62" t="s">
        <v>4</v>
      </c>
      <c r="G5" s="58">
        <v>71500</v>
      </c>
      <c r="H5" s="62" t="s">
        <v>69</v>
      </c>
      <c r="I5" s="62" t="s">
        <v>70</v>
      </c>
      <c r="J5" s="64">
        <v>0.74652777777777779</v>
      </c>
      <c r="K5" s="60">
        <v>0.74722222222222223</v>
      </c>
      <c r="L5" s="64">
        <v>0.51736111111111105</v>
      </c>
      <c r="M5" s="60">
        <v>0.52708333333333335</v>
      </c>
      <c r="N5" s="62" t="s">
        <v>361</v>
      </c>
      <c r="O5" s="62" t="s">
        <v>360</v>
      </c>
      <c r="P5" s="62">
        <v>1372</v>
      </c>
      <c r="Q5" s="63">
        <v>312</v>
      </c>
      <c r="R5" s="62">
        <v>0</v>
      </c>
      <c r="S5" s="62">
        <v>0</v>
      </c>
      <c r="T5" s="62">
        <v>0</v>
      </c>
      <c r="U5" s="62">
        <v>0</v>
      </c>
    </row>
    <row r="6" spans="1:21" s="68" customFormat="1" ht="12.75" x14ac:dyDescent="0.2">
      <c r="A6" s="56">
        <v>43640</v>
      </c>
      <c r="B6" s="62" t="s">
        <v>0</v>
      </c>
      <c r="C6" s="62" t="s">
        <v>71</v>
      </c>
      <c r="D6" s="62" t="s">
        <v>2</v>
      </c>
      <c r="E6" s="57" t="str">
        <f>E4</f>
        <v>HA-LPR</v>
      </c>
      <c r="F6" s="65" t="s">
        <v>4</v>
      </c>
      <c r="G6" s="58">
        <v>71500</v>
      </c>
      <c r="H6" s="57" t="s">
        <v>72</v>
      </c>
      <c r="I6" s="57" t="s">
        <v>73</v>
      </c>
      <c r="J6" s="66">
        <v>0.89930555555555547</v>
      </c>
      <c r="K6" s="60">
        <v>0.94236111111111109</v>
      </c>
      <c r="L6" s="66">
        <v>0.72916666666666663</v>
      </c>
      <c r="M6" s="67">
        <v>0.78611111111111109</v>
      </c>
      <c r="N6" s="62" t="s">
        <v>105</v>
      </c>
      <c r="O6" s="62" t="s">
        <v>150</v>
      </c>
      <c r="P6" s="62">
        <v>639</v>
      </c>
      <c r="Q6" s="63">
        <v>485</v>
      </c>
      <c r="R6" s="62">
        <v>0</v>
      </c>
      <c r="S6" s="62">
        <v>0</v>
      </c>
      <c r="T6" s="62">
        <v>0</v>
      </c>
      <c r="U6" s="62">
        <v>0</v>
      </c>
    </row>
    <row r="7" spans="1:21" s="68" customFormat="1" ht="12.75" x14ac:dyDescent="0.2">
      <c r="A7" s="56">
        <v>43640</v>
      </c>
      <c r="B7" s="68" t="s">
        <v>0</v>
      </c>
      <c r="C7" s="68" t="s">
        <v>95</v>
      </c>
      <c r="D7" s="68" t="s">
        <v>2</v>
      </c>
      <c r="E7" s="57" t="str">
        <f>E5</f>
        <v>HA-LYO</v>
      </c>
      <c r="F7" s="68" t="s">
        <v>4</v>
      </c>
      <c r="G7" s="69">
        <v>71500</v>
      </c>
      <c r="H7" s="68" t="s">
        <v>96</v>
      </c>
      <c r="I7" s="68" t="s">
        <v>97</v>
      </c>
      <c r="J7" s="66">
        <v>0.9375</v>
      </c>
      <c r="K7" s="60">
        <v>0.93194444444444446</v>
      </c>
      <c r="L7" s="66">
        <v>0.76736111111111116</v>
      </c>
      <c r="M7" s="67">
        <v>0.77986111111111101</v>
      </c>
      <c r="N7" s="62" t="s">
        <v>363</v>
      </c>
      <c r="O7" s="68" t="s">
        <v>362</v>
      </c>
      <c r="P7" s="68">
        <v>661</v>
      </c>
      <c r="Q7" s="63">
        <v>564</v>
      </c>
      <c r="R7" s="68">
        <v>0</v>
      </c>
      <c r="S7" s="68">
        <v>0</v>
      </c>
      <c r="T7" s="68">
        <v>0</v>
      </c>
      <c r="U7" s="6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5" sqref="A5:XFD5"/>
    </sheetView>
  </sheetViews>
  <sheetFormatPr defaultRowHeight="15" x14ac:dyDescent="0.25"/>
  <cols>
    <col min="1" max="1" width="9.140625" style="45"/>
    <col min="2" max="2" width="11.28515625" style="45" customWidth="1"/>
    <col min="3" max="3" width="14.85546875" style="45" customWidth="1"/>
    <col min="4" max="5" width="9.140625" style="45"/>
    <col min="6" max="6" width="18.5703125" style="45" bestFit="1" customWidth="1"/>
    <col min="7" max="9" width="9.140625" style="45"/>
    <col min="10" max="10" width="10.28515625" style="45" customWidth="1"/>
    <col min="11" max="11" width="10.5703125" style="45" customWidth="1"/>
    <col min="12" max="12" width="10.85546875" style="45" customWidth="1"/>
    <col min="13" max="13" width="11" style="45" customWidth="1"/>
    <col min="14" max="14" width="18" style="45" customWidth="1"/>
    <col min="15" max="15" width="18.5703125" style="45" customWidth="1"/>
    <col min="16" max="16384" width="9.140625" style="45"/>
  </cols>
  <sheetData>
    <row r="1" spans="1:21" s="40" customFormat="1" ht="12.75" x14ac:dyDescent="0.2">
      <c r="A1" s="57" t="s">
        <v>26</v>
      </c>
      <c r="B1" s="57" t="s">
        <v>27</v>
      </c>
      <c r="C1" s="57" t="s">
        <v>28</v>
      </c>
      <c r="D1" s="57" t="s">
        <v>29</v>
      </c>
      <c r="E1" s="57" t="s">
        <v>30</v>
      </c>
      <c r="F1" s="57" t="s">
        <v>31</v>
      </c>
      <c r="G1" s="57" t="s">
        <v>32</v>
      </c>
      <c r="H1" s="57" t="s">
        <v>33</v>
      </c>
      <c r="I1" s="57" t="s">
        <v>34</v>
      </c>
      <c r="J1" s="57" t="s">
        <v>35</v>
      </c>
      <c r="K1" s="60" t="s">
        <v>36</v>
      </c>
      <c r="L1" s="57" t="s">
        <v>37</v>
      </c>
      <c r="M1" s="57" t="s">
        <v>38</v>
      </c>
      <c r="N1" s="62" t="s">
        <v>39</v>
      </c>
      <c r="O1" s="57" t="s">
        <v>40</v>
      </c>
      <c r="P1" s="57" t="s">
        <v>41</v>
      </c>
      <c r="Q1" s="57" t="s">
        <v>42</v>
      </c>
      <c r="R1" s="57" t="s">
        <v>43</v>
      </c>
      <c r="S1" s="57" t="s">
        <v>44</v>
      </c>
      <c r="T1" s="57" t="s">
        <v>45</v>
      </c>
      <c r="U1" s="57" t="s">
        <v>46</v>
      </c>
    </row>
    <row r="2" spans="1:21" s="40" customFormat="1" ht="12.75" x14ac:dyDescent="0.2">
      <c r="A2" s="56">
        <v>43641</v>
      </c>
      <c r="B2" s="57" t="s">
        <v>0</v>
      </c>
      <c r="C2" s="57" t="s">
        <v>1</v>
      </c>
      <c r="D2" s="57" t="s">
        <v>2</v>
      </c>
      <c r="E2" s="57" t="s">
        <v>299</v>
      </c>
      <c r="F2" s="57" t="s">
        <v>4</v>
      </c>
      <c r="G2" s="58">
        <v>71500</v>
      </c>
      <c r="H2" s="57" t="s">
        <v>5</v>
      </c>
      <c r="I2" s="57" t="s">
        <v>6</v>
      </c>
      <c r="J2" s="59">
        <v>0.38541666666666669</v>
      </c>
      <c r="K2" s="60">
        <v>0.37083333333333335</v>
      </c>
      <c r="L2" s="59">
        <v>0.25694444444444448</v>
      </c>
      <c r="M2" s="61">
        <v>0.26041666666666669</v>
      </c>
      <c r="N2" s="62" t="s">
        <v>364</v>
      </c>
      <c r="O2" s="63" t="s">
        <v>114</v>
      </c>
      <c r="P2" s="63">
        <v>701</v>
      </c>
      <c r="Q2" s="63">
        <v>577</v>
      </c>
      <c r="R2" s="57">
        <v>0</v>
      </c>
      <c r="S2" s="57">
        <v>0</v>
      </c>
      <c r="T2" s="57">
        <v>0</v>
      </c>
      <c r="U2" s="57">
        <v>0</v>
      </c>
    </row>
    <row r="3" spans="1:21" s="40" customFormat="1" ht="12.75" x14ac:dyDescent="0.2">
      <c r="A3" s="56">
        <v>43641</v>
      </c>
      <c r="B3" s="57" t="s">
        <v>0</v>
      </c>
      <c r="C3" s="57" t="s">
        <v>7</v>
      </c>
      <c r="D3" s="57" t="s">
        <v>2</v>
      </c>
      <c r="E3" s="57" t="s">
        <v>345</v>
      </c>
      <c r="F3" s="57" t="s">
        <v>4</v>
      </c>
      <c r="G3" s="58">
        <v>71500</v>
      </c>
      <c r="H3" s="57" t="s">
        <v>8</v>
      </c>
      <c r="I3" s="57" t="s">
        <v>9</v>
      </c>
      <c r="J3" s="59">
        <v>0.46180555555555558</v>
      </c>
      <c r="K3" s="60">
        <v>0.45902777777777781</v>
      </c>
      <c r="L3" s="59">
        <v>0.28125</v>
      </c>
      <c r="M3" s="61">
        <v>0.28472222222222221</v>
      </c>
      <c r="N3" s="62" t="s">
        <v>365</v>
      </c>
      <c r="O3" s="63" t="s">
        <v>353</v>
      </c>
      <c r="P3" s="57">
        <v>708</v>
      </c>
      <c r="Q3" s="63">
        <v>455</v>
      </c>
      <c r="R3" s="57">
        <v>0</v>
      </c>
      <c r="S3" s="57">
        <v>0</v>
      </c>
      <c r="T3" s="57">
        <v>0</v>
      </c>
      <c r="U3" s="57">
        <v>0</v>
      </c>
    </row>
    <row r="4" spans="1:21" s="40" customFormat="1" ht="12.75" x14ac:dyDescent="0.2">
      <c r="A4" s="56">
        <v>43641</v>
      </c>
      <c r="B4" s="57" t="s">
        <v>0</v>
      </c>
      <c r="C4" s="62" t="s">
        <v>10</v>
      </c>
      <c r="D4" s="62" t="s">
        <v>2</v>
      </c>
      <c r="E4" s="57" t="s">
        <v>299</v>
      </c>
      <c r="F4" s="62" t="s">
        <v>4</v>
      </c>
      <c r="G4" s="58">
        <v>71500</v>
      </c>
      <c r="H4" s="62" t="s">
        <v>11</v>
      </c>
      <c r="I4" s="62" t="s">
        <v>12</v>
      </c>
      <c r="J4" s="64">
        <v>0.55555555555555558</v>
      </c>
      <c r="K4" s="60">
        <v>0.5493055555555556</v>
      </c>
      <c r="L4" s="64">
        <v>0.40625</v>
      </c>
      <c r="M4" s="60">
        <v>0.41180555555555554</v>
      </c>
      <c r="N4" s="62" t="s">
        <v>369</v>
      </c>
      <c r="O4" s="62" t="s">
        <v>368</v>
      </c>
      <c r="P4" s="62">
        <v>859</v>
      </c>
      <c r="Q4" s="63">
        <v>601</v>
      </c>
      <c r="R4" s="62">
        <v>0</v>
      </c>
      <c r="S4" s="62">
        <v>0</v>
      </c>
      <c r="T4" s="62">
        <v>0</v>
      </c>
      <c r="U4" s="62">
        <v>0</v>
      </c>
    </row>
    <row r="5" spans="1:21" s="40" customFormat="1" ht="12.75" x14ac:dyDescent="0.2">
      <c r="A5" s="56">
        <v>43641</v>
      </c>
      <c r="B5" s="57" t="s">
        <v>214</v>
      </c>
      <c r="C5" s="62" t="s">
        <v>215</v>
      </c>
      <c r="D5" s="62" t="str">
        <f>D4</f>
        <v>A320</v>
      </c>
      <c r="E5" s="57" t="s">
        <v>283</v>
      </c>
      <c r="F5" s="62" t="s">
        <v>302</v>
      </c>
      <c r="G5" s="58">
        <v>77000</v>
      </c>
      <c r="H5" s="62" t="s">
        <v>216</v>
      </c>
      <c r="I5" s="62" t="s">
        <v>217</v>
      </c>
      <c r="J5" s="64">
        <v>0.41319444444444442</v>
      </c>
      <c r="K5" s="60">
        <v>0.4055555555555555</v>
      </c>
      <c r="L5" s="64">
        <v>0.4548611111111111</v>
      </c>
      <c r="M5" s="60">
        <v>0.4548611111111111</v>
      </c>
      <c r="N5" s="62" t="s">
        <v>366</v>
      </c>
      <c r="O5" s="62" t="s">
        <v>263</v>
      </c>
      <c r="P5" s="62">
        <v>1996</v>
      </c>
      <c r="Q5" s="63">
        <v>2027</v>
      </c>
      <c r="R5" s="62">
        <v>0</v>
      </c>
      <c r="S5" s="62">
        <v>0</v>
      </c>
      <c r="T5" s="62">
        <v>0</v>
      </c>
      <c r="U5" s="62">
        <v>0</v>
      </c>
    </row>
    <row r="6" spans="1:21" s="40" customFormat="1" ht="12.75" x14ac:dyDescent="0.2">
      <c r="A6" s="56">
        <v>43641</v>
      </c>
      <c r="B6" s="57" t="s">
        <v>0</v>
      </c>
      <c r="C6" s="62" t="s">
        <v>13</v>
      </c>
      <c r="D6" s="62" t="s">
        <v>2</v>
      </c>
      <c r="E6" s="57" t="s">
        <v>345</v>
      </c>
      <c r="F6" s="62" t="s">
        <v>4</v>
      </c>
      <c r="G6" s="58">
        <v>71500</v>
      </c>
      <c r="H6" s="62" t="s">
        <v>14</v>
      </c>
      <c r="I6" s="62" t="s">
        <v>15</v>
      </c>
      <c r="J6" s="41">
        <v>0.70138888888888884</v>
      </c>
      <c r="K6" s="60">
        <v>0.69444444444444453</v>
      </c>
      <c r="L6" s="41">
        <v>0.49305555555555558</v>
      </c>
      <c r="M6" s="11">
        <v>0.4993055555555555</v>
      </c>
      <c r="N6" s="62" t="s">
        <v>371</v>
      </c>
      <c r="O6" s="62" t="s">
        <v>367</v>
      </c>
      <c r="P6" s="12">
        <v>1005</v>
      </c>
      <c r="Q6" s="63">
        <v>881</v>
      </c>
      <c r="R6" s="62">
        <v>0</v>
      </c>
      <c r="S6" s="62">
        <v>0</v>
      </c>
      <c r="T6" s="62">
        <v>0</v>
      </c>
      <c r="U6" s="62">
        <v>0</v>
      </c>
    </row>
    <row r="7" spans="1:21" s="40" customFormat="1" ht="12.75" x14ac:dyDescent="0.2">
      <c r="A7" s="56">
        <v>43641</v>
      </c>
      <c r="B7" s="57" t="s">
        <v>0</v>
      </c>
      <c r="C7" s="62" t="s">
        <v>17</v>
      </c>
      <c r="D7" s="62" t="s">
        <v>2</v>
      </c>
      <c r="E7" s="57" t="s">
        <v>299</v>
      </c>
      <c r="F7" s="65" t="s">
        <v>4</v>
      </c>
      <c r="G7" s="58">
        <v>71500</v>
      </c>
      <c r="H7" s="57" t="s">
        <v>18</v>
      </c>
      <c r="I7" s="57" t="s">
        <v>19</v>
      </c>
      <c r="J7" s="42">
        <v>0.74652777777777779</v>
      </c>
      <c r="K7" s="60">
        <v>0.73888888888888893</v>
      </c>
      <c r="L7" s="42">
        <v>0.58680555555555558</v>
      </c>
      <c r="M7" s="43">
        <v>0.59097222222222223</v>
      </c>
      <c r="N7" s="62" t="s">
        <v>370</v>
      </c>
      <c r="O7" s="62" t="s">
        <v>231</v>
      </c>
      <c r="P7" s="62">
        <v>418</v>
      </c>
      <c r="Q7" s="63">
        <v>439</v>
      </c>
      <c r="R7" s="62">
        <v>0</v>
      </c>
      <c r="S7" s="62">
        <v>0</v>
      </c>
      <c r="T7" s="62">
        <v>0</v>
      </c>
      <c r="U7" s="62">
        <v>0</v>
      </c>
    </row>
    <row r="8" spans="1:21" s="40" customFormat="1" ht="12.75" x14ac:dyDescent="0.2">
      <c r="A8" s="56">
        <v>43641</v>
      </c>
      <c r="B8" s="57" t="s">
        <v>0</v>
      </c>
      <c r="C8" s="40" t="s">
        <v>20</v>
      </c>
      <c r="D8" s="40" t="s">
        <v>2</v>
      </c>
      <c r="E8" s="57" t="s">
        <v>345</v>
      </c>
      <c r="F8" s="40" t="s">
        <v>4</v>
      </c>
      <c r="G8" s="44">
        <v>71500</v>
      </c>
      <c r="H8" s="40" t="s">
        <v>21</v>
      </c>
      <c r="I8" s="40" t="s">
        <v>22</v>
      </c>
      <c r="J8" s="42">
        <v>0.94097222222222221</v>
      </c>
      <c r="K8" s="60">
        <v>0.93472222222222223</v>
      </c>
      <c r="L8" s="42">
        <v>0.72222222222222221</v>
      </c>
      <c r="M8" s="43">
        <v>0.73472222222222217</v>
      </c>
      <c r="N8" s="11" t="s">
        <v>179</v>
      </c>
      <c r="O8" s="40" t="s">
        <v>372</v>
      </c>
      <c r="P8" s="40">
        <v>854</v>
      </c>
      <c r="Q8" s="63">
        <v>370</v>
      </c>
      <c r="R8" s="40">
        <v>0</v>
      </c>
      <c r="S8" s="40">
        <v>0</v>
      </c>
      <c r="T8" s="40">
        <v>0</v>
      </c>
      <c r="U8" s="40">
        <v>0</v>
      </c>
    </row>
    <row r="9" spans="1:21" s="12" customFormat="1" ht="12.75" x14ac:dyDescent="0.25">
      <c r="A9" s="56">
        <v>43641</v>
      </c>
      <c r="B9" s="62" t="s">
        <v>0</v>
      </c>
      <c r="C9" s="12" t="s">
        <v>23</v>
      </c>
      <c r="D9" s="62" t="s">
        <v>2</v>
      </c>
      <c r="E9" s="57" t="s">
        <v>299</v>
      </c>
      <c r="F9" s="62" t="s">
        <v>4</v>
      </c>
      <c r="G9" s="58">
        <v>71500</v>
      </c>
      <c r="H9" s="57" t="s">
        <v>24</v>
      </c>
      <c r="I9" s="57" t="s">
        <v>25</v>
      </c>
      <c r="J9" s="41">
        <v>0.94444444444444453</v>
      </c>
      <c r="K9" s="61">
        <v>0.93055555555555547</v>
      </c>
      <c r="L9" s="41">
        <v>0.76736111111111116</v>
      </c>
      <c r="M9" s="11">
        <v>0.7715277777777777</v>
      </c>
      <c r="N9" s="11" t="s">
        <v>187</v>
      </c>
      <c r="O9" s="11" t="s">
        <v>373</v>
      </c>
      <c r="P9" s="12">
        <v>1107</v>
      </c>
      <c r="Q9" s="63">
        <v>547</v>
      </c>
      <c r="R9" s="62">
        <v>0</v>
      </c>
      <c r="S9" s="62">
        <v>0</v>
      </c>
      <c r="T9" s="62">
        <v>0</v>
      </c>
      <c r="U9" s="6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U8" sqref="U8"/>
    </sheetView>
  </sheetViews>
  <sheetFormatPr defaultRowHeight="15" x14ac:dyDescent="0.25"/>
  <cols>
    <col min="2" max="2" width="11.28515625" customWidth="1"/>
    <col min="3" max="3" width="13.5703125" bestFit="1" customWidth="1"/>
    <col min="4" max="4" width="5.7109375" bestFit="1" customWidth="1"/>
    <col min="5" max="5" width="10.140625" customWidth="1"/>
    <col min="6" max="6" width="16.42578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70" t="s">
        <v>26</v>
      </c>
      <c r="B1" s="70" t="s">
        <v>27</v>
      </c>
      <c r="C1" s="70" t="s">
        <v>28</v>
      </c>
      <c r="D1" s="70" t="s">
        <v>29</v>
      </c>
      <c r="E1" s="70" t="s">
        <v>30</v>
      </c>
      <c r="F1" s="70" t="s">
        <v>31</v>
      </c>
      <c r="G1" s="70" t="s">
        <v>32</v>
      </c>
      <c r="H1" s="70" t="s">
        <v>33</v>
      </c>
      <c r="I1" s="70" t="s">
        <v>34</v>
      </c>
      <c r="J1" s="70" t="s">
        <v>35</v>
      </c>
      <c r="K1" s="60" t="s">
        <v>36</v>
      </c>
      <c r="L1" s="70" t="s">
        <v>37</v>
      </c>
      <c r="M1" s="70" t="s">
        <v>38</v>
      </c>
      <c r="N1" s="62" t="s">
        <v>39</v>
      </c>
      <c r="O1" s="70" t="s">
        <v>40</v>
      </c>
      <c r="P1" s="70" t="s">
        <v>41</v>
      </c>
      <c r="Q1" s="70" t="s">
        <v>42</v>
      </c>
      <c r="R1" s="70" t="s">
        <v>43</v>
      </c>
      <c r="S1" s="70" t="s">
        <v>44</v>
      </c>
      <c r="T1" s="70" t="s">
        <v>45</v>
      </c>
      <c r="U1" s="70" t="s">
        <v>46</v>
      </c>
    </row>
    <row r="2" spans="1:21" s="19" customFormat="1" ht="12.75" customHeight="1" x14ac:dyDescent="0.25">
      <c r="A2" s="56">
        <v>43642</v>
      </c>
      <c r="B2" s="57" t="s">
        <v>0</v>
      </c>
      <c r="C2" s="57" t="s">
        <v>61</v>
      </c>
      <c r="D2" s="57" t="s">
        <v>2</v>
      </c>
      <c r="E2" s="57" t="s">
        <v>299</v>
      </c>
      <c r="F2" s="57" t="s">
        <v>4</v>
      </c>
      <c r="G2" s="58">
        <v>71500</v>
      </c>
      <c r="H2" s="57" t="s">
        <v>62</v>
      </c>
      <c r="I2" s="57" t="s">
        <v>63</v>
      </c>
      <c r="J2" s="59">
        <v>0.45833333333333331</v>
      </c>
      <c r="K2" s="60">
        <v>0.47291666666666665</v>
      </c>
      <c r="L2" s="59">
        <v>0.25694444444444448</v>
      </c>
      <c r="M2" s="61">
        <v>0.27152777777777776</v>
      </c>
      <c r="N2" s="60" t="s">
        <v>376</v>
      </c>
      <c r="O2" s="63" t="s">
        <v>342</v>
      </c>
      <c r="P2" s="63">
        <v>1050</v>
      </c>
      <c r="Q2" s="63">
        <v>469</v>
      </c>
      <c r="R2" s="57">
        <v>0</v>
      </c>
      <c r="S2" s="57">
        <v>0</v>
      </c>
      <c r="T2" s="57">
        <v>0</v>
      </c>
      <c r="U2" s="57">
        <v>0</v>
      </c>
    </row>
    <row r="3" spans="1:21" s="19" customFormat="1" ht="12.75" customHeight="1" x14ac:dyDescent="0.25">
      <c r="A3" s="56">
        <v>43642</v>
      </c>
      <c r="B3" s="57" t="s">
        <v>0</v>
      </c>
      <c r="C3" s="57" t="s">
        <v>77</v>
      </c>
      <c r="D3" s="57" t="s">
        <v>2</v>
      </c>
      <c r="E3" s="57" t="s">
        <v>345</v>
      </c>
      <c r="F3" s="57" t="s">
        <v>4</v>
      </c>
      <c r="G3" s="58">
        <v>71500</v>
      </c>
      <c r="H3" s="57" t="s">
        <v>78</v>
      </c>
      <c r="I3" s="57" t="s">
        <v>79</v>
      </c>
      <c r="J3" s="59">
        <v>0.4861111111111111</v>
      </c>
      <c r="K3" s="60">
        <v>0.48541666666666666</v>
      </c>
      <c r="L3" s="59">
        <v>0.28125</v>
      </c>
      <c r="M3" s="61">
        <v>0.28611111111111115</v>
      </c>
      <c r="N3" s="60" t="s">
        <v>377</v>
      </c>
      <c r="O3" s="63" t="s">
        <v>375</v>
      </c>
      <c r="P3" s="57">
        <v>1227</v>
      </c>
      <c r="Q3" s="63">
        <v>312</v>
      </c>
      <c r="R3" s="57">
        <v>0</v>
      </c>
      <c r="S3" s="57">
        <v>0</v>
      </c>
      <c r="T3" s="57">
        <v>0</v>
      </c>
      <c r="U3" s="57">
        <v>0</v>
      </c>
    </row>
    <row r="4" spans="1:21" s="19" customFormat="1" ht="12.75" customHeight="1" x14ac:dyDescent="0.25">
      <c r="A4" s="56">
        <v>43642</v>
      </c>
      <c r="B4" s="62" t="s">
        <v>0</v>
      </c>
      <c r="C4" s="62" t="s">
        <v>64</v>
      </c>
      <c r="D4" s="62" t="s">
        <v>2</v>
      </c>
      <c r="E4" s="57" t="s">
        <v>374</v>
      </c>
      <c r="F4" s="62" t="s">
        <v>4</v>
      </c>
      <c r="G4" s="58">
        <v>71500</v>
      </c>
      <c r="H4" s="62" t="s">
        <v>66</v>
      </c>
      <c r="I4" s="62" t="s">
        <v>67</v>
      </c>
      <c r="J4" s="64">
        <v>0.72569444444444453</v>
      </c>
      <c r="K4" s="60">
        <v>0.72013888888888899</v>
      </c>
      <c r="L4" s="64">
        <v>0.48958333333333331</v>
      </c>
      <c r="M4" s="60">
        <v>0.50624999999999998</v>
      </c>
      <c r="N4" s="62" t="s">
        <v>385</v>
      </c>
      <c r="O4" s="62" t="s">
        <v>378</v>
      </c>
      <c r="P4" s="62">
        <v>1505</v>
      </c>
      <c r="Q4" s="62">
        <v>631</v>
      </c>
      <c r="R4" s="62">
        <v>0</v>
      </c>
      <c r="S4" s="62">
        <v>0</v>
      </c>
      <c r="T4" s="62">
        <v>0</v>
      </c>
      <c r="U4" s="62">
        <v>0</v>
      </c>
    </row>
    <row r="5" spans="1:21" s="19" customFormat="1" ht="12.75" customHeight="1" x14ac:dyDescent="0.25">
      <c r="A5" s="56">
        <v>43642</v>
      </c>
      <c r="B5" s="62" t="s">
        <v>0</v>
      </c>
      <c r="C5" s="62" t="s">
        <v>68</v>
      </c>
      <c r="D5" s="62" t="s">
        <v>2</v>
      </c>
      <c r="E5" s="57" t="s">
        <v>345</v>
      </c>
      <c r="F5" s="62" t="s">
        <v>4</v>
      </c>
      <c r="G5" s="58">
        <v>71500</v>
      </c>
      <c r="H5" s="62" t="s">
        <v>69</v>
      </c>
      <c r="I5" s="62" t="s">
        <v>70</v>
      </c>
      <c r="J5" s="10">
        <v>0.74652777777777779</v>
      </c>
      <c r="K5" s="60">
        <v>0.77430555555555547</v>
      </c>
      <c r="L5" s="10">
        <v>0.51736111111111105</v>
      </c>
      <c r="M5" s="60">
        <v>0.54375000000000007</v>
      </c>
      <c r="N5" s="62" t="s">
        <v>297</v>
      </c>
      <c r="O5" s="19" t="s">
        <v>379</v>
      </c>
      <c r="P5" s="12">
        <v>1371</v>
      </c>
      <c r="Q5" s="19">
        <v>700</v>
      </c>
      <c r="R5" s="62">
        <v>0</v>
      </c>
      <c r="S5" s="62">
        <v>0</v>
      </c>
      <c r="T5" s="62">
        <v>0</v>
      </c>
      <c r="U5" s="62">
        <v>0</v>
      </c>
    </row>
    <row r="6" spans="1:21" s="19" customFormat="1" ht="12.75" customHeight="1" x14ac:dyDescent="0.25">
      <c r="A6" s="56">
        <v>43642</v>
      </c>
      <c r="B6" s="19" t="s">
        <v>0</v>
      </c>
      <c r="C6" s="19" t="s">
        <v>71</v>
      </c>
      <c r="D6" s="19" t="s">
        <v>2</v>
      </c>
      <c r="E6" s="57" t="str">
        <f>E4</f>
        <v>HALWF</v>
      </c>
      <c r="F6" s="19" t="s">
        <v>4</v>
      </c>
      <c r="G6" s="58">
        <v>71500</v>
      </c>
      <c r="H6" s="19" t="s">
        <v>72</v>
      </c>
      <c r="I6" s="19" t="s">
        <v>73</v>
      </c>
      <c r="J6" s="10">
        <v>0.91666666666666663</v>
      </c>
      <c r="K6" s="60">
        <v>0.92013888888888884</v>
      </c>
      <c r="L6" s="10">
        <v>0.74652777777777779</v>
      </c>
      <c r="M6" s="60">
        <v>0.75624999999999998</v>
      </c>
      <c r="N6" s="62" t="s">
        <v>188</v>
      </c>
      <c r="O6" s="19" t="s">
        <v>131</v>
      </c>
      <c r="P6" s="19">
        <v>935</v>
      </c>
      <c r="Q6" s="19">
        <v>776</v>
      </c>
      <c r="R6" s="19">
        <v>0</v>
      </c>
      <c r="S6" s="19">
        <v>0</v>
      </c>
      <c r="T6" s="19">
        <v>0</v>
      </c>
      <c r="U6" s="19">
        <v>0</v>
      </c>
    </row>
    <row r="7" spans="1:21" s="19" customFormat="1" ht="12.75" customHeight="1" x14ac:dyDescent="0.25">
      <c r="A7" s="56">
        <v>43642</v>
      </c>
      <c r="B7" s="19" t="s">
        <v>0</v>
      </c>
      <c r="C7" s="19" t="s">
        <v>74</v>
      </c>
      <c r="D7" s="19" t="s">
        <v>2</v>
      </c>
      <c r="E7" s="57" t="str">
        <f>E5</f>
        <v>HALPR</v>
      </c>
      <c r="F7" s="19" t="s">
        <v>4</v>
      </c>
      <c r="G7" s="37">
        <v>71500</v>
      </c>
      <c r="H7" s="19" t="s">
        <v>75</v>
      </c>
      <c r="I7" s="19" t="s">
        <v>76</v>
      </c>
      <c r="J7" s="10">
        <v>0.95833333333333337</v>
      </c>
      <c r="K7" s="60">
        <v>0.98472222222222217</v>
      </c>
      <c r="L7" s="10">
        <v>0.76736111111111116</v>
      </c>
      <c r="M7" s="60">
        <v>0.81111111111111101</v>
      </c>
      <c r="N7" s="62" t="s">
        <v>152</v>
      </c>
      <c r="O7" s="19" t="s">
        <v>343</v>
      </c>
      <c r="P7" s="19">
        <v>976</v>
      </c>
      <c r="Q7" s="19">
        <v>1083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72">
        <v>43642</v>
      </c>
      <c r="B8" s="73" t="s">
        <v>380</v>
      </c>
      <c r="C8" s="62" t="s">
        <v>381</v>
      </c>
      <c r="D8" s="62" t="s">
        <v>382</v>
      </c>
      <c r="E8" s="57" t="s">
        <v>383</v>
      </c>
      <c r="F8" s="62" t="s">
        <v>384</v>
      </c>
      <c r="G8" s="37">
        <v>2600</v>
      </c>
      <c r="H8" s="62" t="s">
        <v>383</v>
      </c>
      <c r="I8" s="62" t="s">
        <v>383</v>
      </c>
      <c r="J8" s="10">
        <v>0.47916666666666669</v>
      </c>
      <c r="K8" s="60">
        <v>0.4770833333333333</v>
      </c>
      <c r="L8" s="10">
        <v>0.5</v>
      </c>
      <c r="M8" s="60">
        <v>0.52847222222222223</v>
      </c>
      <c r="N8">
        <v>0</v>
      </c>
      <c r="O8">
        <v>0</v>
      </c>
      <c r="P8">
        <v>0</v>
      </c>
      <c r="Q8" s="19">
        <v>0</v>
      </c>
      <c r="R8" s="62">
        <v>0</v>
      </c>
      <c r="S8" s="62">
        <v>0</v>
      </c>
      <c r="T8" s="62">
        <v>0</v>
      </c>
      <c r="U8" s="62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H27" sqref="H27"/>
    </sheetView>
  </sheetViews>
  <sheetFormatPr defaultRowHeight="15" x14ac:dyDescent="0.25"/>
  <cols>
    <col min="2" max="2" width="23.28515625" customWidth="1"/>
    <col min="3" max="3" width="13.5703125" bestFit="1" customWidth="1"/>
    <col min="4" max="4" width="14" customWidth="1"/>
    <col min="5" max="5" width="10.140625" customWidth="1"/>
    <col min="6" max="6" width="16.42578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9" customFormat="1" ht="12.75" x14ac:dyDescent="0.25">
      <c r="A1" s="70" t="s">
        <v>26</v>
      </c>
      <c r="B1" s="70" t="s">
        <v>27</v>
      </c>
      <c r="C1" s="70" t="s">
        <v>28</v>
      </c>
      <c r="D1" s="70" t="s">
        <v>29</v>
      </c>
      <c r="E1" s="70" t="s">
        <v>30</v>
      </c>
      <c r="F1" s="70" t="s">
        <v>31</v>
      </c>
      <c r="G1" s="70" t="s">
        <v>32</v>
      </c>
      <c r="H1" s="70" t="s">
        <v>33</v>
      </c>
      <c r="I1" s="70" t="s">
        <v>34</v>
      </c>
      <c r="J1" s="70" t="s">
        <v>35</v>
      </c>
      <c r="K1" s="60" t="s">
        <v>36</v>
      </c>
      <c r="L1" s="70" t="s">
        <v>37</v>
      </c>
      <c r="M1" s="70" t="s">
        <v>38</v>
      </c>
      <c r="N1" s="62" t="s">
        <v>39</v>
      </c>
      <c r="O1" s="70" t="s">
        <v>40</v>
      </c>
      <c r="P1" s="70" t="s">
        <v>41</v>
      </c>
      <c r="Q1" s="70" t="s">
        <v>42</v>
      </c>
      <c r="R1" s="70" t="s">
        <v>43</v>
      </c>
      <c r="S1" s="70" t="s">
        <v>44</v>
      </c>
      <c r="T1" s="70" t="s">
        <v>45</v>
      </c>
      <c r="U1" s="70" t="s">
        <v>46</v>
      </c>
    </row>
    <row r="2" spans="1:21" s="19" customFormat="1" ht="12.75" customHeight="1" x14ac:dyDescent="0.25">
      <c r="A2" s="56">
        <v>43643</v>
      </c>
      <c r="B2" s="57" t="s">
        <v>0</v>
      </c>
      <c r="C2" s="57" t="s">
        <v>1</v>
      </c>
      <c r="D2" s="57" t="s">
        <v>2</v>
      </c>
      <c r="E2" s="57" t="s">
        <v>374</v>
      </c>
      <c r="F2" s="57" t="s">
        <v>4</v>
      </c>
      <c r="G2" s="58">
        <v>71500</v>
      </c>
      <c r="H2" s="57" t="s">
        <v>5</v>
      </c>
      <c r="I2" s="57" t="s">
        <v>6</v>
      </c>
      <c r="J2" s="59">
        <v>0.38541666666666669</v>
      </c>
      <c r="K2" s="60">
        <v>0.37708333333333338</v>
      </c>
      <c r="L2" s="59">
        <v>0.25694444444444448</v>
      </c>
      <c r="M2" s="61">
        <v>0.27430555555555552</v>
      </c>
      <c r="N2" s="60" t="s">
        <v>101</v>
      </c>
      <c r="O2" s="63" t="s">
        <v>386</v>
      </c>
      <c r="P2" s="63">
        <v>688</v>
      </c>
      <c r="Q2" s="63">
        <v>346</v>
      </c>
      <c r="R2" s="57">
        <v>0</v>
      </c>
      <c r="S2" s="57">
        <v>0</v>
      </c>
      <c r="T2" s="57">
        <v>0</v>
      </c>
      <c r="U2" s="57">
        <v>0</v>
      </c>
    </row>
    <row r="3" spans="1:21" s="19" customFormat="1" ht="12.75" customHeight="1" x14ac:dyDescent="0.25">
      <c r="A3" s="56">
        <v>43643</v>
      </c>
      <c r="B3" s="57" t="s">
        <v>0</v>
      </c>
      <c r="C3" s="57" t="s">
        <v>61</v>
      </c>
      <c r="D3" s="57" t="s">
        <v>2</v>
      </c>
      <c r="E3" s="57" t="s">
        <v>345</v>
      </c>
      <c r="F3" s="57" t="s">
        <v>4</v>
      </c>
      <c r="G3" s="58">
        <v>71500</v>
      </c>
      <c r="H3" s="57" t="s">
        <v>62</v>
      </c>
      <c r="I3" s="57" t="s">
        <v>63</v>
      </c>
      <c r="J3" s="59">
        <v>0.46180555555555558</v>
      </c>
      <c r="K3" s="60">
        <v>0.46527777777777773</v>
      </c>
      <c r="L3" s="59">
        <v>0.27430555555555552</v>
      </c>
      <c r="M3" s="61">
        <v>0.27777777777777779</v>
      </c>
      <c r="N3" s="60" t="s">
        <v>389</v>
      </c>
      <c r="O3" s="63" t="s">
        <v>387</v>
      </c>
      <c r="P3" s="57">
        <v>1159</v>
      </c>
      <c r="Q3" s="63">
        <v>465</v>
      </c>
      <c r="R3" s="57">
        <v>0</v>
      </c>
      <c r="S3" s="57">
        <v>0</v>
      </c>
      <c r="T3" s="57">
        <v>0</v>
      </c>
      <c r="U3" s="57">
        <v>0</v>
      </c>
    </row>
    <row r="4" spans="1:21" s="19" customFormat="1" ht="12.75" customHeight="1" x14ac:dyDescent="0.25">
      <c r="A4" s="56">
        <v>43643</v>
      </c>
      <c r="B4" s="19" t="s">
        <v>0</v>
      </c>
      <c r="C4" s="19" t="s">
        <v>10</v>
      </c>
      <c r="D4" s="19" t="s">
        <v>2</v>
      </c>
      <c r="E4" s="57" t="s">
        <v>374</v>
      </c>
      <c r="F4" s="19" t="s">
        <v>4</v>
      </c>
      <c r="G4" s="37">
        <v>71500</v>
      </c>
      <c r="H4" s="19" t="s">
        <v>11</v>
      </c>
      <c r="I4" s="19" t="s">
        <v>12</v>
      </c>
      <c r="J4" s="10">
        <v>0.55555555555555558</v>
      </c>
      <c r="K4" s="18">
        <v>0.5493055555555556</v>
      </c>
      <c r="L4" s="10">
        <v>0.40625</v>
      </c>
      <c r="M4" s="18">
        <v>0.41805555555555557</v>
      </c>
      <c r="N4" s="19" t="s">
        <v>391</v>
      </c>
      <c r="O4" s="19" t="s">
        <v>388</v>
      </c>
      <c r="P4" s="19">
        <v>810</v>
      </c>
      <c r="Q4" s="19">
        <v>743</v>
      </c>
      <c r="R4" s="19">
        <v>0</v>
      </c>
      <c r="S4" s="19">
        <v>0</v>
      </c>
      <c r="T4" s="19">
        <v>0</v>
      </c>
      <c r="U4" s="19">
        <v>0</v>
      </c>
    </row>
    <row r="5" spans="1:21" s="19" customFormat="1" ht="12.75" customHeight="1" x14ac:dyDescent="0.25">
      <c r="A5" s="56">
        <v>43643</v>
      </c>
      <c r="B5" s="62" t="s">
        <v>0</v>
      </c>
      <c r="C5" s="62" t="s">
        <v>13</v>
      </c>
      <c r="D5" s="62" t="s">
        <v>2</v>
      </c>
      <c r="E5" s="57" t="s">
        <v>345</v>
      </c>
      <c r="F5" s="62" t="s">
        <v>4</v>
      </c>
      <c r="G5" s="58">
        <v>71500</v>
      </c>
      <c r="H5" s="62" t="s">
        <v>14</v>
      </c>
      <c r="I5" s="62" t="s">
        <v>15</v>
      </c>
      <c r="J5" s="64">
        <v>0.70138888888888884</v>
      </c>
      <c r="K5" s="60">
        <v>0.71250000000000002</v>
      </c>
      <c r="L5" s="64">
        <v>0.49305555555555558</v>
      </c>
      <c r="M5" s="60">
        <v>0.51388888888888895</v>
      </c>
      <c r="N5" s="62" t="s">
        <v>393</v>
      </c>
      <c r="O5" s="62" t="s">
        <v>390</v>
      </c>
      <c r="P5" s="62">
        <v>1024</v>
      </c>
      <c r="Q5" s="62">
        <v>651</v>
      </c>
      <c r="R5" s="62">
        <v>0</v>
      </c>
      <c r="S5" s="62">
        <v>0</v>
      </c>
      <c r="T5" s="62">
        <v>0</v>
      </c>
      <c r="U5" s="62">
        <v>0</v>
      </c>
    </row>
    <row r="6" spans="1:21" s="19" customFormat="1" ht="12.75" customHeight="1" x14ac:dyDescent="0.25">
      <c r="A6" s="56">
        <v>43643</v>
      </c>
      <c r="B6" s="62" t="s">
        <v>0</v>
      </c>
      <c r="C6" s="62" t="s">
        <v>71</v>
      </c>
      <c r="D6" s="62" t="s">
        <v>2</v>
      </c>
      <c r="E6" s="57" t="s">
        <v>374</v>
      </c>
      <c r="F6" s="62" t="s">
        <v>4</v>
      </c>
      <c r="G6" s="58">
        <v>71500</v>
      </c>
      <c r="H6" s="62" t="s">
        <v>72</v>
      </c>
      <c r="I6" s="62" t="s">
        <v>73</v>
      </c>
      <c r="J6" s="10">
        <v>0.75694444444444453</v>
      </c>
      <c r="K6" s="60">
        <v>0.75902777777777775</v>
      </c>
      <c r="L6" s="10">
        <v>0.58680555555555558</v>
      </c>
      <c r="M6" s="11" t="s">
        <v>392</v>
      </c>
      <c r="N6" s="62" t="s">
        <v>394</v>
      </c>
      <c r="O6" s="19" t="s">
        <v>146</v>
      </c>
      <c r="P6" s="12">
        <v>721</v>
      </c>
      <c r="Q6" s="19">
        <v>535</v>
      </c>
      <c r="R6" s="62">
        <v>0</v>
      </c>
      <c r="S6" s="62">
        <v>0</v>
      </c>
      <c r="T6" s="62">
        <v>0</v>
      </c>
      <c r="U6" s="62">
        <v>0</v>
      </c>
    </row>
    <row r="7" spans="1:21" s="19" customFormat="1" ht="12.75" customHeight="1" x14ac:dyDescent="0.25">
      <c r="A7" s="56">
        <v>43643</v>
      </c>
      <c r="B7" s="19" t="s">
        <v>0</v>
      </c>
      <c r="C7" s="19" t="s">
        <v>20</v>
      </c>
      <c r="D7" s="19" t="s">
        <v>2</v>
      </c>
      <c r="E7" s="57" t="s">
        <v>345</v>
      </c>
      <c r="F7" s="19" t="s">
        <v>4</v>
      </c>
      <c r="G7" s="58">
        <v>71500</v>
      </c>
      <c r="H7" s="19" t="s">
        <v>78</v>
      </c>
      <c r="I7" s="19" t="s">
        <v>79</v>
      </c>
      <c r="J7" s="10">
        <v>0.92708333333333337</v>
      </c>
      <c r="K7" s="60">
        <v>0.93055555555555547</v>
      </c>
      <c r="L7" s="41">
        <v>0.72222222222222221</v>
      </c>
      <c r="M7" s="11">
        <v>0.74930555555555556</v>
      </c>
      <c r="N7" s="65" t="s">
        <v>403</v>
      </c>
      <c r="O7" s="12" t="s">
        <v>395</v>
      </c>
      <c r="P7" s="12">
        <v>1119</v>
      </c>
      <c r="Q7" s="12">
        <v>665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56">
        <v>43643</v>
      </c>
      <c r="B8" s="19" t="s">
        <v>0</v>
      </c>
      <c r="C8" s="19" t="s">
        <v>7</v>
      </c>
      <c r="D8" s="19" t="s">
        <v>2</v>
      </c>
      <c r="E8" s="57" t="s">
        <v>374</v>
      </c>
      <c r="F8" s="19" t="s">
        <v>4</v>
      </c>
      <c r="G8" s="37">
        <v>71500</v>
      </c>
      <c r="H8" s="19" t="s">
        <v>8</v>
      </c>
      <c r="I8" s="19" t="s">
        <v>9</v>
      </c>
      <c r="J8" s="10">
        <v>0.95486111111111116</v>
      </c>
      <c r="K8" s="60">
        <v>1.6666666666666666E-2</v>
      </c>
      <c r="L8" s="10">
        <v>0.77777777777777779</v>
      </c>
      <c r="M8" s="18">
        <v>0.8125</v>
      </c>
      <c r="N8" s="62" t="s">
        <v>405</v>
      </c>
      <c r="O8" s="19" t="s">
        <v>396</v>
      </c>
      <c r="P8" s="19">
        <v>925</v>
      </c>
      <c r="Q8" s="19">
        <v>588</v>
      </c>
      <c r="R8" s="19">
        <v>0</v>
      </c>
      <c r="S8" s="19">
        <v>0</v>
      </c>
      <c r="T8" s="19">
        <v>0</v>
      </c>
      <c r="U8" s="19">
        <v>0</v>
      </c>
    </row>
    <row r="9" spans="1:21" x14ac:dyDescent="0.25">
      <c r="A9" s="24">
        <v>43643</v>
      </c>
      <c r="B9" s="19" t="s">
        <v>397</v>
      </c>
      <c r="C9" s="19" t="s">
        <v>398</v>
      </c>
      <c r="D9" s="19" t="s">
        <v>399</v>
      </c>
      <c r="E9" s="19" t="s">
        <v>400</v>
      </c>
      <c r="F9" s="19" t="s">
        <v>404</v>
      </c>
      <c r="G9" s="69">
        <v>11181</v>
      </c>
      <c r="H9" s="19" t="s">
        <v>401</v>
      </c>
      <c r="I9" s="19" t="s">
        <v>402</v>
      </c>
      <c r="J9" s="67">
        <v>0.73611111111111116</v>
      </c>
      <c r="K9" s="67">
        <v>0.73333333333333339</v>
      </c>
      <c r="L9" s="67">
        <v>0.90277777777777779</v>
      </c>
      <c r="M9" s="76" t="s">
        <v>406</v>
      </c>
      <c r="N9" s="74">
        <v>0</v>
      </c>
      <c r="O9" s="75">
        <v>2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O34" sqref="O34"/>
    </sheetView>
  </sheetViews>
  <sheetFormatPr defaultRowHeight="12.75" x14ac:dyDescent="0.25"/>
  <cols>
    <col min="1" max="1" width="9.140625" style="19"/>
    <col min="2" max="2" width="18" style="19" customWidth="1"/>
    <col min="3" max="3" width="17.7109375" style="19" customWidth="1"/>
    <col min="4" max="4" width="5.7109375" style="19" bestFit="1" customWidth="1"/>
    <col min="5" max="5" width="14.28515625" style="19" customWidth="1"/>
    <col min="6" max="6" width="23.7109375" style="19" customWidth="1"/>
    <col min="7" max="7" width="9.7109375" style="19" bestFit="1" customWidth="1"/>
    <col min="8" max="8" width="9.140625" style="19"/>
    <col min="9" max="9" width="10.5703125" style="19" customWidth="1"/>
    <col min="10" max="10" width="11.7109375" style="19" customWidth="1"/>
    <col min="11" max="11" width="13.140625" style="19" customWidth="1"/>
    <col min="12" max="12" width="13.42578125" style="19" customWidth="1"/>
    <col min="13" max="13" width="10.85546875" style="19" bestFit="1" customWidth="1"/>
    <col min="14" max="15" width="18.42578125" style="19" bestFit="1" customWidth="1"/>
    <col min="16" max="16" width="10.28515625" style="19" bestFit="1" customWidth="1"/>
    <col min="17" max="16384" width="9.140625" style="19"/>
  </cols>
  <sheetData>
    <row r="1" spans="1:21" x14ac:dyDescent="0.25">
      <c r="A1" s="70" t="s">
        <v>26</v>
      </c>
      <c r="B1" s="70" t="s">
        <v>27</v>
      </c>
      <c r="C1" s="70" t="s">
        <v>28</v>
      </c>
      <c r="D1" s="70" t="s">
        <v>29</v>
      </c>
      <c r="E1" s="70" t="s">
        <v>30</v>
      </c>
      <c r="F1" s="70" t="s">
        <v>31</v>
      </c>
      <c r="G1" s="70" t="s">
        <v>32</v>
      </c>
      <c r="H1" s="70" t="s">
        <v>33</v>
      </c>
      <c r="I1" s="70" t="s">
        <v>34</v>
      </c>
      <c r="J1" s="70" t="s">
        <v>35</v>
      </c>
      <c r="K1" s="60" t="s">
        <v>36</v>
      </c>
      <c r="L1" s="70" t="s">
        <v>37</v>
      </c>
      <c r="M1" s="70" t="s">
        <v>38</v>
      </c>
      <c r="N1" s="62" t="s">
        <v>39</v>
      </c>
      <c r="O1" s="70" t="s">
        <v>40</v>
      </c>
      <c r="P1" s="70" t="s">
        <v>41</v>
      </c>
      <c r="Q1" s="70" t="s">
        <v>42</v>
      </c>
      <c r="R1" s="70" t="s">
        <v>43</v>
      </c>
      <c r="S1" s="70" t="s">
        <v>44</v>
      </c>
      <c r="T1" s="70" t="s">
        <v>45</v>
      </c>
      <c r="U1" s="70" t="s">
        <v>46</v>
      </c>
    </row>
    <row r="2" spans="1:21" x14ac:dyDescent="0.25">
      <c r="A2" s="56">
        <v>43644</v>
      </c>
      <c r="B2" s="57" t="s">
        <v>0</v>
      </c>
      <c r="C2" s="57" t="s">
        <v>61</v>
      </c>
      <c r="D2" s="57" t="s">
        <v>2</v>
      </c>
      <c r="E2" s="57" t="s">
        <v>345</v>
      </c>
      <c r="F2" s="57" t="s">
        <v>4</v>
      </c>
      <c r="G2" s="58">
        <v>71500</v>
      </c>
      <c r="H2" s="57" t="s">
        <v>62</v>
      </c>
      <c r="I2" s="57" t="s">
        <v>63</v>
      </c>
      <c r="J2" s="59">
        <v>0.45833333333333331</v>
      </c>
      <c r="K2" s="60">
        <v>0.45624999999999999</v>
      </c>
      <c r="L2" s="59">
        <v>0.25694444444444448</v>
      </c>
      <c r="M2" s="61">
        <v>0.26111111111111113</v>
      </c>
      <c r="N2" s="19" t="s">
        <v>268</v>
      </c>
      <c r="O2" s="63" t="s">
        <v>101</v>
      </c>
      <c r="P2" s="63">
        <v>716</v>
      </c>
      <c r="Q2" s="63">
        <v>928</v>
      </c>
      <c r="R2" s="57">
        <v>0</v>
      </c>
      <c r="S2" s="57">
        <v>0</v>
      </c>
      <c r="T2" s="57">
        <v>0</v>
      </c>
      <c r="U2" s="57">
        <v>0</v>
      </c>
    </row>
    <row r="3" spans="1:21" x14ac:dyDescent="0.25">
      <c r="A3" s="56">
        <f>A2</f>
        <v>43644</v>
      </c>
      <c r="B3" s="57" t="s">
        <v>0</v>
      </c>
      <c r="C3" s="19" t="s">
        <v>77</v>
      </c>
      <c r="D3" s="19" t="s">
        <v>2</v>
      </c>
      <c r="E3" s="57" t="s">
        <v>374</v>
      </c>
      <c r="F3" s="57" t="s">
        <v>4</v>
      </c>
      <c r="G3" s="58">
        <v>71500</v>
      </c>
      <c r="H3" s="19" t="s">
        <v>78</v>
      </c>
      <c r="I3" s="19" t="s">
        <v>79</v>
      </c>
      <c r="J3" s="10">
        <v>0.4861111111111111</v>
      </c>
      <c r="K3" s="18">
        <v>0.47291666666666665</v>
      </c>
      <c r="L3" s="10">
        <v>0.28125</v>
      </c>
      <c r="M3" s="18">
        <v>0.28611111111111115</v>
      </c>
      <c r="N3" s="19" t="s">
        <v>408</v>
      </c>
      <c r="O3" s="19" t="s">
        <v>407</v>
      </c>
      <c r="P3" s="19">
        <v>1451</v>
      </c>
      <c r="Q3" s="19">
        <v>542</v>
      </c>
      <c r="R3" s="57">
        <v>0</v>
      </c>
      <c r="S3" s="57">
        <v>0</v>
      </c>
      <c r="T3" s="57">
        <v>0</v>
      </c>
      <c r="U3" s="57">
        <v>0</v>
      </c>
    </row>
    <row r="4" spans="1:21" x14ac:dyDescent="0.25">
      <c r="A4" s="56">
        <f>A3</f>
        <v>43644</v>
      </c>
      <c r="B4" s="57" t="s">
        <v>0</v>
      </c>
      <c r="C4" s="19" t="s">
        <v>92</v>
      </c>
      <c r="D4" s="57" t="s">
        <v>2</v>
      </c>
      <c r="E4" s="57" t="s">
        <v>345</v>
      </c>
      <c r="F4" s="57" t="s">
        <v>4</v>
      </c>
      <c r="G4" s="58">
        <v>71500</v>
      </c>
      <c r="H4" s="19" t="s">
        <v>93</v>
      </c>
      <c r="I4" s="19" t="s">
        <v>94</v>
      </c>
      <c r="J4" s="10">
        <v>0.70833333333333337</v>
      </c>
      <c r="K4" s="18">
        <v>0.74444444444444446</v>
      </c>
      <c r="L4" s="10">
        <v>0.48958333333333331</v>
      </c>
      <c r="M4" s="18">
        <v>0.52083333333333337</v>
      </c>
      <c r="N4" s="19" t="s">
        <v>411</v>
      </c>
      <c r="O4" s="19" t="s">
        <v>409</v>
      </c>
      <c r="P4" s="19">
        <v>1460</v>
      </c>
      <c r="Q4" s="19">
        <v>614</v>
      </c>
      <c r="R4" s="57">
        <v>0</v>
      </c>
      <c r="S4" s="57">
        <v>0</v>
      </c>
      <c r="T4" s="57">
        <v>0</v>
      </c>
      <c r="U4" s="57">
        <v>0</v>
      </c>
    </row>
    <row r="5" spans="1:21" x14ac:dyDescent="0.25">
      <c r="A5" s="56">
        <f>A4</f>
        <v>43644</v>
      </c>
      <c r="B5" s="57" t="s">
        <v>0</v>
      </c>
      <c r="C5" s="19" t="s">
        <v>68</v>
      </c>
      <c r="D5" s="19" t="s">
        <v>2</v>
      </c>
      <c r="E5" s="57" t="s">
        <v>374</v>
      </c>
      <c r="F5" s="57" t="s">
        <v>4</v>
      </c>
      <c r="G5" s="58">
        <v>71500</v>
      </c>
      <c r="H5" s="19" t="s">
        <v>69</v>
      </c>
      <c r="I5" s="19" t="s">
        <v>70</v>
      </c>
      <c r="J5" s="10">
        <v>0.74652777777777779</v>
      </c>
      <c r="K5" s="18">
        <v>0.75208333333333333</v>
      </c>
      <c r="L5" s="10">
        <v>0.51736111111111105</v>
      </c>
      <c r="M5" s="18">
        <v>0.53333333333333333</v>
      </c>
      <c r="N5" s="19" t="s">
        <v>251</v>
      </c>
      <c r="O5" s="19" t="s">
        <v>410</v>
      </c>
      <c r="P5" s="19">
        <v>1316</v>
      </c>
      <c r="Q5" s="19">
        <v>768</v>
      </c>
      <c r="R5" s="57">
        <v>0</v>
      </c>
      <c r="S5" s="57">
        <v>0</v>
      </c>
      <c r="T5" s="57">
        <v>0</v>
      </c>
      <c r="U5" s="57">
        <v>0</v>
      </c>
    </row>
    <row r="6" spans="1:21" s="40" customFormat="1" x14ac:dyDescent="0.2">
      <c r="A6" s="56">
        <v>43644</v>
      </c>
      <c r="B6" s="57" t="s">
        <v>214</v>
      </c>
      <c r="C6" s="62" t="s">
        <v>215</v>
      </c>
      <c r="D6" s="62" t="str">
        <f>D5</f>
        <v>A320</v>
      </c>
      <c r="E6" s="57" t="s">
        <v>413</v>
      </c>
      <c r="F6" s="62" t="s">
        <v>302</v>
      </c>
      <c r="G6" s="58">
        <v>77000</v>
      </c>
      <c r="H6" s="62" t="s">
        <v>216</v>
      </c>
      <c r="I6" s="62" t="s">
        <v>217</v>
      </c>
      <c r="J6" s="64">
        <v>0.67708333333333337</v>
      </c>
      <c r="K6" s="60">
        <v>0.68472222222222223</v>
      </c>
      <c r="L6" s="64">
        <v>0.71875</v>
      </c>
      <c r="M6" s="60">
        <v>0.74375000000000002</v>
      </c>
      <c r="N6" s="62" t="s">
        <v>414</v>
      </c>
      <c r="O6" s="62" t="s">
        <v>415</v>
      </c>
      <c r="P6" s="62">
        <v>1321</v>
      </c>
      <c r="Q6" s="63">
        <v>1859</v>
      </c>
      <c r="R6" s="62">
        <v>0</v>
      </c>
      <c r="S6" s="62">
        <v>0</v>
      </c>
      <c r="T6" s="62">
        <v>0</v>
      </c>
      <c r="U6" s="62">
        <v>0</v>
      </c>
    </row>
    <row r="7" spans="1:21" x14ac:dyDescent="0.25">
      <c r="A7" s="56">
        <f>A5</f>
        <v>43644</v>
      </c>
      <c r="B7" s="57" t="s">
        <v>0</v>
      </c>
      <c r="C7" s="19" t="s">
        <v>71</v>
      </c>
      <c r="D7" s="57" t="s">
        <v>2</v>
      </c>
      <c r="E7" s="57" t="s">
        <v>345</v>
      </c>
      <c r="F7" s="57" t="s">
        <v>4</v>
      </c>
      <c r="G7" s="37">
        <v>71500</v>
      </c>
      <c r="H7" s="19" t="s">
        <v>72</v>
      </c>
      <c r="I7" s="19" t="s">
        <v>73</v>
      </c>
      <c r="J7" s="10">
        <v>0.89930555555555547</v>
      </c>
      <c r="K7" s="18">
        <v>0.94444444444444453</v>
      </c>
      <c r="L7" s="10">
        <v>0.72916666666666663</v>
      </c>
      <c r="M7" s="18">
        <v>0.78472222222222221</v>
      </c>
      <c r="N7" s="19" t="s">
        <v>416</v>
      </c>
      <c r="O7" s="19" t="s">
        <v>412</v>
      </c>
      <c r="P7" s="19">
        <v>1047</v>
      </c>
      <c r="Q7" s="19">
        <v>524</v>
      </c>
      <c r="R7" s="57">
        <v>0</v>
      </c>
      <c r="S7" s="57">
        <v>0</v>
      </c>
      <c r="T7" s="57">
        <v>0</v>
      </c>
      <c r="U7" s="57">
        <v>0</v>
      </c>
    </row>
    <row r="8" spans="1:21" x14ac:dyDescent="0.25">
      <c r="A8" s="56">
        <f>A7</f>
        <v>43644</v>
      </c>
      <c r="B8" s="57" t="s">
        <v>0</v>
      </c>
      <c r="C8" s="19" t="s">
        <v>95</v>
      </c>
      <c r="D8" s="19" t="s">
        <v>2</v>
      </c>
      <c r="E8" s="57" t="s">
        <v>374</v>
      </c>
      <c r="F8" s="57" t="s">
        <v>4</v>
      </c>
      <c r="G8" s="58">
        <v>71500</v>
      </c>
      <c r="H8" s="19" t="s">
        <v>96</v>
      </c>
      <c r="I8" s="19" t="s">
        <v>167</v>
      </c>
      <c r="J8" s="10">
        <v>0.9375</v>
      </c>
      <c r="K8" s="18">
        <v>0.9472222222222223</v>
      </c>
      <c r="L8" s="10">
        <v>0.76736111111111116</v>
      </c>
      <c r="M8" s="18">
        <v>0.79791666666666661</v>
      </c>
      <c r="N8" s="19" t="s">
        <v>417</v>
      </c>
      <c r="O8" s="19" t="s">
        <v>59</v>
      </c>
      <c r="P8" s="19">
        <v>796</v>
      </c>
      <c r="Q8" s="19">
        <v>577</v>
      </c>
      <c r="R8" s="57">
        <v>0</v>
      </c>
      <c r="S8" s="57">
        <v>0</v>
      </c>
      <c r="T8" s="57">
        <v>0</v>
      </c>
      <c r="U8" s="57">
        <v>0</v>
      </c>
    </row>
    <row r="9" spans="1:21" ht="12.75" customHeight="1" x14ac:dyDescent="0.25">
      <c r="A9" s="23"/>
      <c r="B9" s="39"/>
      <c r="F9" s="39"/>
      <c r="G9" s="37"/>
      <c r="J9" s="10"/>
      <c r="K9" s="18"/>
      <c r="L9" s="10"/>
      <c r="M9" s="18"/>
    </row>
    <row r="10" spans="1:21" ht="12.75" customHeight="1" x14ac:dyDescent="0.25">
      <c r="A10" s="23"/>
      <c r="B10" s="39"/>
      <c r="F10" s="39"/>
      <c r="G10" s="37"/>
      <c r="J10" s="10"/>
      <c r="K10" s="18"/>
      <c r="L10" s="10"/>
      <c r="M10" s="18"/>
    </row>
    <row r="11" spans="1:21" x14ac:dyDescent="0.25">
      <c r="A11" s="23"/>
      <c r="F11" s="55"/>
      <c r="J11" s="10"/>
      <c r="K11" s="18"/>
      <c r="L11" s="10"/>
      <c r="M11" s="18"/>
    </row>
    <row r="12" spans="1:21" x14ac:dyDescent="0.25">
      <c r="A12" s="23"/>
      <c r="J12" s="10"/>
      <c r="K12" s="18"/>
      <c r="L12" s="10"/>
      <c r="M12" s="1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A9" sqref="A9:XFD9"/>
    </sheetView>
  </sheetViews>
  <sheetFormatPr defaultRowHeight="15" x14ac:dyDescent="0.25"/>
  <cols>
    <col min="2" max="2" width="21.42578125" customWidth="1"/>
    <col min="3" max="3" width="13.7109375" customWidth="1"/>
    <col min="6" max="6" width="20.14062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6" customFormat="1" ht="12.75" x14ac:dyDescent="0.2">
      <c r="A1" s="22" t="s">
        <v>26</v>
      </c>
      <c r="B1" s="22" t="s">
        <v>27</v>
      </c>
      <c r="C1" s="22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2" t="s">
        <v>33</v>
      </c>
      <c r="I1" s="22" t="s">
        <v>34</v>
      </c>
      <c r="J1" s="22" t="s">
        <v>35</v>
      </c>
      <c r="K1" s="5" t="s">
        <v>36</v>
      </c>
      <c r="L1" s="22" t="s">
        <v>37</v>
      </c>
      <c r="M1" s="22" t="s">
        <v>38</v>
      </c>
      <c r="N1" s="7" t="s">
        <v>39</v>
      </c>
      <c r="O1" s="22" t="s">
        <v>40</v>
      </c>
      <c r="P1" s="22" t="s">
        <v>41</v>
      </c>
      <c r="Q1" s="22" t="s">
        <v>42</v>
      </c>
      <c r="R1" s="22" t="s">
        <v>43</v>
      </c>
      <c r="S1" s="22" t="s">
        <v>44</v>
      </c>
      <c r="T1" s="22" t="s">
        <v>45</v>
      </c>
      <c r="U1" s="22" t="s">
        <v>46</v>
      </c>
    </row>
    <row r="2" spans="1:21" s="16" customFormat="1" ht="12.75" x14ac:dyDescent="0.2">
      <c r="A2" s="1">
        <v>43645</v>
      </c>
      <c r="B2" s="2" t="s">
        <v>0</v>
      </c>
      <c r="C2" s="2" t="s">
        <v>1</v>
      </c>
      <c r="D2" s="2" t="s">
        <v>2</v>
      </c>
      <c r="E2" s="2" t="s">
        <v>354</v>
      </c>
      <c r="F2" s="2" t="s">
        <v>4</v>
      </c>
      <c r="G2" s="3">
        <v>71500</v>
      </c>
      <c r="H2" s="2" t="s">
        <v>5</v>
      </c>
      <c r="I2" s="2" t="s">
        <v>6</v>
      </c>
      <c r="J2" s="4">
        <v>0.38541666666666669</v>
      </c>
      <c r="K2" s="5">
        <v>0.37847222222222227</v>
      </c>
      <c r="L2" s="4">
        <v>0.25694444444444448</v>
      </c>
      <c r="M2" s="6">
        <v>0.25555555555555559</v>
      </c>
      <c r="N2" s="7" t="s">
        <v>306</v>
      </c>
      <c r="O2" s="8" t="s">
        <v>419</v>
      </c>
      <c r="P2" s="8">
        <v>790</v>
      </c>
      <c r="Q2" s="8">
        <v>472</v>
      </c>
      <c r="R2" s="2">
        <v>0</v>
      </c>
      <c r="S2" s="2">
        <v>0</v>
      </c>
      <c r="T2" s="2">
        <v>0</v>
      </c>
      <c r="U2" s="2">
        <v>0</v>
      </c>
    </row>
    <row r="3" spans="1:21" s="16" customFormat="1" ht="12.75" x14ac:dyDescent="0.2">
      <c r="A3" s="56">
        <v>43645</v>
      </c>
      <c r="B3" s="2" t="s">
        <v>0</v>
      </c>
      <c r="C3" s="2" t="s">
        <v>7</v>
      </c>
      <c r="D3" s="2" t="s">
        <v>2</v>
      </c>
      <c r="E3" s="2" t="s">
        <v>418</v>
      </c>
      <c r="F3" s="2" t="s">
        <v>4</v>
      </c>
      <c r="G3" s="3">
        <v>71500</v>
      </c>
      <c r="H3" s="2" t="s">
        <v>8</v>
      </c>
      <c r="I3" s="2" t="s">
        <v>9</v>
      </c>
      <c r="J3" s="4">
        <v>0.46180555555555558</v>
      </c>
      <c r="K3" s="5">
        <v>0.47152777777777777</v>
      </c>
      <c r="L3" s="4">
        <v>0.28125</v>
      </c>
      <c r="M3" s="6">
        <v>0.30277777777777776</v>
      </c>
      <c r="N3" s="7" t="s">
        <v>425</v>
      </c>
      <c r="O3" s="8" t="s">
        <v>420</v>
      </c>
      <c r="P3" s="2">
        <v>1041</v>
      </c>
      <c r="Q3" s="8">
        <v>899</v>
      </c>
      <c r="R3" s="2">
        <v>0</v>
      </c>
      <c r="S3" s="2">
        <v>0</v>
      </c>
      <c r="T3" s="2">
        <v>0</v>
      </c>
      <c r="U3" s="2">
        <v>0</v>
      </c>
    </row>
    <row r="4" spans="1:21" s="16" customFormat="1" ht="12.75" x14ac:dyDescent="0.2">
      <c r="A4" s="56">
        <v>43645</v>
      </c>
      <c r="B4" s="2" t="s">
        <v>0</v>
      </c>
      <c r="C4" s="7" t="s">
        <v>10</v>
      </c>
      <c r="D4" s="7" t="s">
        <v>2</v>
      </c>
      <c r="E4" s="2" t="s">
        <v>354</v>
      </c>
      <c r="F4" s="7" t="s">
        <v>4</v>
      </c>
      <c r="G4" s="3">
        <v>71500</v>
      </c>
      <c r="H4" s="7" t="s">
        <v>11</v>
      </c>
      <c r="I4" s="7" t="s">
        <v>12</v>
      </c>
      <c r="J4" s="9">
        <v>0.55555555555555558</v>
      </c>
      <c r="K4" s="5">
        <v>0.55763888888888891</v>
      </c>
      <c r="L4" s="9">
        <v>0.40625</v>
      </c>
      <c r="M4" s="5">
        <v>0.41944444444444445</v>
      </c>
      <c r="N4" s="7" t="s">
        <v>245</v>
      </c>
      <c r="O4" s="7" t="s">
        <v>190</v>
      </c>
      <c r="P4" s="7">
        <v>776</v>
      </c>
      <c r="Q4" s="8">
        <v>972</v>
      </c>
      <c r="R4" s="7">
        <v>0</v>
      </c>
      <c r="S4" s="7">
        <v>0</v>
      </c>
      <c r="T4" s="7">
        <v>0</v>
      </c>
      <c r="U4" s="7">
        <v>0</v>
      </c>
    </row>
    <row r="5" spans="1:21" s="16" customFormat="1" ht="12.75" x14ac:dyDescent="0.2">
      <c r="A5" s="56">
        <v>43645</v>
      </c>
      <c r="B5" s="2" t="s">
        <v>0</v>
      </c>
      <c r="C5" s="7" t="s">
        <v>13</v>
      </c>
      <c r="D5" s="7" t="s">
        <v>2</v>
      </c>
      <c r="E5" s="2" t="s">
        <v>418</v>
      </c>
      <c r="F5" s="7" t="s">
        <v>4</v>
      </c>
      <c r="G5" s="3">
        <v>71500</v>
      </c>
      <c r="H5" s="7" t="s">
        <v>14</v>
      </c>
      <c r="I5" s="7" t="s">
        <v>15</v>
      </c>
      <c r="J5" s="10">
        <v>0.70138888888888884</v>
      </c>
      <c r="K5" s="5">
        <v>0.70208333333333339</v>
      </c>
      <c r="L5" s="10">
        <v>0.49305555555555558</v>
      </c>
      <c r="M5" s="11">
        <v>0.51250000000000007</v>
      </c>
      <c r="N5" s="7" t="s">
        <v>428</v>
      </c>
      <c r="O5" s="7" t="s">
        <v>426</v>
      </c>
      <c r="P5" s="12">
        <v>1728</v>
      </c>
      <c r="Q5" s="8">
        <v>946</v>
      </c>
      <c r="R5" s="7">
        <v>0</v>
      </c>
      <c r="S5" s="7">
        <v>0</v>
      </c>
      <c r="T5" s="7">
        <v>0</v>
      </c>
      <c r="U5" s="7">
        <v>0</v>
      </c>
    </row>
    <row r="6" spans="1:21" s="16" customFormat="1" ht="12.75" x14ac:dyDescent="0.2">
      <c r="A6" s="56">
        <v>43645</v>
      </c>
      <c r="B6" s="2" t="s">
        <v>0</v>
      </c>
      <c r="C6" s="7" t="s">
        <v>17</v>
      </c>
      <c r="D6" s="7" t="s">
        <v>2</v>
      </c>
      <c r="E6" s="2" t="s">
        <v>354</v>
      </c>
      <c r="F6" s="13" t="s">
        <v>4</v>
      </c>
      <c r="G6" s="3">
        <v>71500</v>
      </c>
      <c r="H6" s="2" t="s">
        <v>18</v>
      </c>
      <c r="I6" s="2" t="s">
        <v>19</v>
      </c>
      <c r="J6" s="14">
        <v>0.74652777777777779</v>
      </c>
      <c r="K6" s="5">
        <v>0.75555555555555554</v>
      </c>
      <c r="L6" s="14">
        <v>0.58680555555555558</v>
      </c>
      <c r="M6" s="15">
        <v>0.61041666666666672</v>
      </c>
      <c r="N6" s="7" t="s">
        <v>394</v>
      </c>
      <c r="O6" s="7" t="s">
        <v>427</v>
      </c>
      <c r="P6" s="7">
        <v>1084</v>
      </c>
      <c r="Q6" s="8">
        <v>962</v>
      </c>
      <c r="R6" s="7">
        <v>0</v>
      </c>
      <c r="S6" s="7">
        <v>0</v>
      </c>
      <c r="T6" s="7">
        <v>0</v>
      </c>
      <c r="U6" s="7">
        <v>0</v>
      </c>
    </row>
    <row r="7" spans="1:21" s="16" customFormat="1" ht="12.75" x14ac:dyDescent="0.2">
      <c r="A7" s="56">
        <v>43645</v>
      </c>
      <c r="B7" s="2" t="s">
        <v>0</v>
      </c>
      <c r="C7" s="16" t="s">
        <v>20</v>
      </c>
      <c r="D7" s="16" t="s">
        <v>2</v>
      </c>
      <c r="E7" s="2" t="s">
        <v>418</v>
      </c>
      <c r="F7" s="16" t="s">
        <v>4</v>
      </c>
      <c r="G7" s="17">
        <v>71500</v>
      </c>
      <c r="H7" s="16" t="s">
        <v>21</v>
      </c>
      <c r="I7" s="16" t="s">
        <v>22</v>
      </c>
      <c r="J7" s="14">
        <v>0.94097222222222221</v>
      </c>
      <c r="K7" s="5">
        <v>0.93958333333333333</v>
      </c>
      <c r="L7" s="14">
        <v>0.72222222222222221</v>
      </c>
      <c r="M7" s="15">
        <v>0.74513888888888891</v>
      </c>
      <c r="N7" s="18" t="s">
        <v>264</v>
      </c>
      <c r="O7" s="16" t="s">
        <v>429</v>
      </c>
      <c r="P7" s="16">
        <v>1287</v>
      </c>
      <c r="Q7" s="8">
        <v>415</v>
      </c>
      <c r="R7" s="16">
        <v>0</v>
      </c>
      <c r="S7" s="16">
        <v>0</v>
      </c>
      <c r="T7" s="16">
        <v>0</v>
      </c>
      <c r="U7" s="16">
        <v>0</v>
      </c>
    </row>
    <row r="8" spans="1:21" s="19" customFormat="1" ht="12.75" x14ac:dyDescent="0.25">
      <c r="A8" s="56">
        <v>43645</v>
      </c>
      <c r="B8" s="7" t="s">
        <v>0</v>
      </c>
      <c r="C8" s="19" t="s">
        <v>23</v>
      </c>
      <c r="D8" s="7" t="s">
        <v>2</v>
      </c>
      <c r="E8" s="2" t="s">
        <v>354</v>
      </c>
      <c r="F8" s="7" t="s">
        <v>4</v>
      </c>
      <c r="G8" s="3">
        <v>71500</v>
      </c>
      <c r="H8" s="2" t="s">
        <v>24</v>
      </c>
      <c r="I8" s="2" t="s">
        <v>25</v>
      </c>
      <c r="J8" s="10">
        <v>0.94444444444444453</v>
      </c>
      <c r="K8" s="6">
        <v>0.9458333333333333</v>
      </c>
      <c r="L8" s="10">
        <v>0.76736111111111116</v>
      </c>
      <c r="M8" s="18">
        <v>0.79305555555555562</v>
      </c>
      <c r="N8" s="18" t="s">
        <v>203</v>
      </c>
      <c r="O8" s="18" t="s">
        <v>365</v>
      </c>
      <c r="P8" s="19">
        <v>1105</v>
      </c>
      <c r="Q8" s="8">
        <v>822</v>
      </c>
      <c r="R8" s="7">
        <v>0</v>
      </c>
      <c r="S8" s="7">
        <v>0</v>
      </c>
      <c r="T8" s="7">
        <v>0</v>
      </c>
      <c r="U8" s="7">
        <v>0</v>
      </c>
    </row>
    <row r="9" spans="1:21" x14ac:dyDescent="0.25">
      <c r="A9" s="1">
        <f>A8</f>
        <v>43645</v>
      </c>
      <c r="B9" s="7" t="s">
        <v>421</v>
      </c>
      <c r="C9" s="7" t="s">
        <v>422</v>
      </c>
      <c r="D9" s="7" t="s">
        <v>423</v>
      </c>
      <c r="E9" s="2" t="s">
        <v>424</v>
      </c>
      <c r="F9" s="7" t="s">
        <v>235</v>
      </c>
      <c r="G9" s="3">
        <v>1600</v>
      </c>
      <c r="H9" s="2" t="s">
        <v>118</v>
      </c>
      <c r="I9" s="2" t="s">
        <v>118</v>
      </c>
      <c r="J9" s="66">
        <v>0.39583333333333331</v>
      </c>
      <c r="K9" s="67">
        <v>0.3833333333333333</v>
      </c>
      <c r="L9" s="10">
        <v>0.41666666666666669</v>
      </c>
      <c r="M9" s="18">
        <v>0.40902777777777777</v>
      </c>
      <c r="N9" s="62">
        <v>0</v>
      </c>
      <c r="O9" s="62">
        <v>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x14ac:dyDescent="0.25">
      <c r="A10" s="1"/>
      <c r="B10" s="7"/>
      <c r="C10" s="7"/>
      <c r="D10" s="7"/>
      <c r="E10" s="2"/>
      <c r="F10" s="7"/>
      <c r="G10" s="3"/>
      <c r="H10" s="2"/>
      <c r="I10" s="2"/>
      <c r="J10" s="20"/>
      <c r="K10" s="20"/>
      <c r="L10" s="21"/>
      <c r="M10" s="21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1"/>
      <c r="B11" s="7"/>
      <c r="C11" s="7"/>
      <c r="D11" s="7"/>
      <c r="E11" s="2"/>
      <c r="F11" s="7"/>
      <c r="G11" s="3"/>
      <c r="H11" s="2"/>
      <c r="I11" s="2"/>
      <c r="J11" s="20"/>
      <c r="K11" s="20"/>
      <c r="L11" s="21"/>
      <c r="M11" s="21"/>
      <c r="N11" s="7"/>
      <c r="O11" s="7"/>
      <c r="P11" s="7"/>
      <c r="Q11" s="7"/>
      <c r="R11" s="7"/>
      <c r="S11" s="7"/>
      <c r="T11" s="7"/>
      <c r="U11" s="7"/>
    </row>
    <row r="21" ht="14.25" customHeight="1" x14ac:dyDescent="0.25"/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K7" sqref="K7"/>
    </sheetView>
  </sheetViews>
  <sheetFormatPr defaultRowHeight="15" x14ac:dyDescent="0.25"/>
  <cols>
    <col min="2" max="2" width="14.140625" bestFit="1" customWidth="1"/>
    <col min="3" max="3" width="14.5703125" customWidth="1"/>
    <col min="5" max="5" width="14.5703125" customWidth="1"/>
    <col min="6" max="6" width="16.42578125" customWidth="1"/>
    <col min="10" max="10" width="11" customWidth="1"/>
    <col min="11" max="11" width="11.42578125" customWidth="1"/>
    <col min="12" max="12" width="11.5703125" customWidth="1"/>
    <col min="13" max="13" width="11.28515625" customWidth="1"/>
    <col min="14" max="14" width="19.5703125" customWidth="1"/>
    <col min="15" max="15" width="19" customWidth="1"/>
  </cols>
  <sheetData>
    <row r="1" spans="1:21" s="68" customFormat="1" ht="12.75" x14ac:dyDescent="0.2">
      <c r="A1" s="70" t="s">
        <v>26</v>
      </c>
      <c r="B1" s="70" t="s">
        <v>27</v>
      </c>
      <c r="C1" s="70" t="s">
        <v>28</v>
      </c>
      <c r="D1" s="70" t="s">
        <v>29</v>
      </c>
      <c r="E1" s="70" t="s">
        <v>30</v>
      </c>
      <c r="F1" s="70" t="s">
        <v>31</v>
      </c>
      <c r="G1" s="70" t="s">
        <v>32</v>
      </c>
      <c r="H1" s="70" t="s">
        <v>33</v>
      </c>
      <c r="I1" s="70" t="s">
        <v>34</v>
      </c>
      <c r="J1" s="70" t="s">
        <v>35</v>
      </c>
      <c r="K1" s="60" t="s">
        <v>36</v>
      </c>
      <c r="L1" s="70" t="s">
        <v>37</v>
      </c>
      <c r="M1" s="70" t="s">
        <v>38</v>
      </c>
      <c r="N1" s="62" t="s">
        <v>39</v>
      </c>
      <c r="O1" s="70" t="s">
        <v>40</v>
      </c>
      <c r="P1" s="70" t="s">
        <v>41</v>
      </c>
      <c r="Q1" s="70" t="s">
        <v>42</v>
      </c>
      <c r="R1" s="70" t="s">
        <v>43</v>
      </c>
      <c r="S1" s="70" t="s">
        <v>44</v>
      </c>
      <c r="T1" s="70" t="s">
        <v>45</v>
      </c>
      <c r="U1" s="70" t="s">
        <v>46</v>
      </c>
    </row>
    <row r="2" spans="1:21" s="68" customFormat="1" ht="12.75" x14ac:dyDescent="0.2">
      <c r="A2" s="56">
        <v>43646</v>
      </c>
      <c r="B2" s="57" t="s">
        <v>0</v>
      </c>
      <c r="C2" s="57" t="s">
        <v>61</v>
      </c>
      <c r="D2" s="57" t="s">
        <v>2</v>
      </c>
      <c r="E2" s="57" t="s">
        <v>418</v>
      </c>
      <c r="F2" s="57" t="s">
        <v>4</v>
      </c>
      <c r="G2" s="58">
        <v>71500</v>
      </c>
      <c r="H2" s="57" t="s">
        <v>62</v>
      </c>
      <c r="I2" s="57" t="s">
        <v>63</v>
      </c>
      <c r="J2" s="59">
        <v>0.45833333333333331</v>
      </c>
      <c r="K2" s="60">
        <v>0.45555555555555555</v>
      </c>
      <c r="L2" s="59">
        <v>0.25694444444444448</v>
      </c>
      <c r="M2" s="61">
        <v>0.27986111111111112</v>
      </c>
      <c r="N2" s="68" t="s">
        <v>432</v>
      </c>
      <c r="O2" s="63" t="s">
        <v>430</v>
      </c>
      <c r="P2" s="68">
        <v>1324</v>
      </c>
      <c r="Q2" s="63">
        <v>1001</v>
      </c>
      <c r="R2" s="57">
        <v>0</v>
      </c>
      <c r="S2" s="57">
        <v>0</v>
      </c>
      <c r="T2" s="57">
        <v>0</v>
      </c>
      <c r="U2" s="57">
        <v>0</v>
      </c>
    </row>
    <row r="3" spans="1:21" s="68" customFormat="1" ht="12.75" x14ac:dyDescent="0.2">
      <c r="A3" s="56">
        <f t="shared" ref="A3:A8" si="0">A2</f>
        <v>43646</v>
      </c>
      <c r="B3" s="57" t="s">
        <v>0</v>
      </c>
      <c r="C3" s="57" t="s">
        <v>77</v>
      </c>
      <c r="D3" s="57" t="s">
        <v>2</v>
      </c>
      <c r="E3" s="57" t="s">
        <v>354</v>
      </c>
      <c r="F3" s="57" t="s">
        <v>4</v>
      </c>
      <c r="G3" s="58">
        <v>71500</v>
      </c>
      <c r="H3" s="57" t="s">
        <v>78</v>
      </c>
      <c r="I3" s="57" t="s">
        <v>79</v>
      </c>
      <c r="J3" s="59">
        <v>0.4861111111111111</v>
      </c>
      <c r="K3" s="60">
        <v>0.48402777777777778</v>
      </c>
      <c r="L3" s="59">
        <v>0.28125</v>
      </c>
      <c r="M3" s="61">
        <v>0.28541666666666665</v>
      </c>
      <c r="N3" s="62" t="s">
        <v>291</v>
      </c>
      <c r="O3" s="63" t="s">
        <v>431</v>
      </c>
      <c r="P3" s="63">
        <v>1436</v>
      </c>
      <c r="Q3" s="63">
        <v>677</v>
      </c>
      <c r="R3" s="57">
        <v>0</v>
      </c>
      <c r="S3" s="57">
        <v>0</v>
      </c>
      <c r="T3" s="57">
        <v>0</v>
      </c>
      <c r="U3" s="57">
        <v>0</v>
      </c>
    </row>
    <row r="4" spans="1:21" s="68" customFormat="1" ht="12.75" x14ac:dyDescent="0.2">
      <c r="A4" s="56">
        <f t="shared" si="0"/>
        <v>43646</v>
      </c>
      <c r="B4" s="62" t="s">
        <v>0</v>
      </c>
      <c r="C4" s="62" t="s">
        <v>64</v>
      </c>
      <c r="D4" s="62" t="s">
        <v>2</v>
      </c>
      <c r="E4" s="57" t="str">
        <f>E2</f>
        <v>HA-LWF</v>
      </c>
      <c r="F4" s="62" t="s">
        <v>4</v>
      </c>
      <c r="G4" s="58">
        <v>71500</v>
      </c>
      <c r="H4" s="62" t="s">
        <v>66</v>
      </c>
      <c r="I4" s="62" t="s">
        <v>67</v>
      </c>
      <c r="J4" s="64">
        <v>0.72569444444444453</v>
      </c>
      <c r="K4" s="60">
        <v>0.72777777777777775</v>
      </c>
      <c r="L4" s="64">
        <v>0.48958333333333331</v>
      </c>
      <c r="M4" s="60">
        <v>0.49791666666666662</v>
      </c>
      <c r="N4" s="62" t="s">
        <v>436</v>
      </c>
      <c r="O4" s="62" t="s">
        <v>433</v>
      </c>
      <c r="P4" s="62">
        <v>1823</v>
      </c>
      <c r="Q4" s="63">
        <v>870</v>
      </c>
      <c r="R4" s="62">
        <v>0</v>
      </c>
      <c r="S4" s="62">
        <v>0</v>
      </c>
      <c r="T4" s="62">
        <v>0</v>
      </c>
      <c r="U4" s="62">
        <v>0</v>
      </c>
    </row>
    <row r="5" spans="1:21" s="68" customFormat="1" ht="12.75" x14ac:dyDescent="0.2">
      <c r="A5" s="56">
        <f t="shared" si="0"/>
        <v>43646</v>
      </c>
      <c r="B5" s="62" t="s">
        <v>0</v>
      </c>
      <c r="C5" s="62" t="s">
        <v>68</v>
      </c>
      <c r="D5" s="62" t="s">
        <v>2</v>
      </c>
      <c r="E5" s="57" t="str">
        <f>E3</f>
        <v>HA-LPR</v>
      </c>
      <c r="F5" s="62" t="s">
        <v>4</v>
      </c>
      <c r="G5" s="58">
        <v>71500</v>
      </c>
      <c r="H5" s="62" t="s">
        <v>69</v>
      </c>
      <c r="I5" s="62" t="s">
        <v>70</v>
      </c>
      <c r="J5" s="64">
        <v>0.74652777777777779</v>
      </c>
      <c r="K5" s="60">
        <v>0.7416666666666667</v>
      </c>
      <c r="L5" s="64">
        <v>0.51736111111111105</v>
      </c>
      <c r="M5" s="60">
        <v>0.52152777777777781</v>
      </c>
      <c r="N5" s="62" t="s">
        <v>437</v>
      </c>
      <c r="O5" s="62" t="s">
        <v>434</v>
      </c>
      <c r="P5" s="62">
        <v>1735</v>
      </c>
      <c r="Q5" s="63">
        <v>924</v>
      </c>
      <c r="R5" s="62">
        <v>0</v>
      </c>
      <c r="S5" s="62">
        <v>0</v>
      </c>
      <c r="T5" s="62">
        <v>0</v>
      </c>
      <c r="U5" s="62">
        <v>0</v>
      </c>
    </row>
    <row r="6" spans="1:21" s="68" customFormat="1" ht="12.75" x14ac:dyDescent="0.2">
      <c r="A6" s="56">
        <f t="shared" si="0"/>
        <v>43646</v>
      </c>
      <c r="B6" s="62" t="s">
        <v>0</v>
      </c>
      <c r="C6" s="62" t="s">
        <v>71</v>
      </c>
      <c r="D6" s="62" t="s">
        <v>2</v>
      </c>
      <c r="E6" s="57" t="str">
        <f>E4</f>
        <v>HA-LWF</v>
      </c>
      <c r="F6" s="65" t="s">
        <v>4</v>
      </c>
      <c r="G6" s="58">
        <v>71500</v>
      </c>
      <c r="H6" s="57" t="s">
        <v>72</v>
      </c>
      <c r="I6" s="57" t="s">
        <v>73</v>
      </c>
      <c r="J6" s="66">
        <v>0.91666666666666663</v>
      </c>
      <c r="K6" s="60">
        <v>0.92083333333333339</v>
      </c>
      <c r="L6" s="66">
        <v>0.74652777777777779</v>
      </c>
      <c r="M6" s="67">
        <v>0.76527777777777783</v>
      </c>
      <c r="N6" s="62" t="s">
        <v>437</v>
      </c>
      <c r="O6" s="62" t="s">
        <v>396</v>
      </c>
      <c r="P6" s="62">
        <v>1055</v>
      </c>
      <c r="Q6" s="63">
        <v>567</v>
      </c>
      <c r="R6" s="62">
        <v>0</v>
      </c>
      <c r="S6" s="62">
        <v>0</v>
      </c>
      <c r="T6" s="62">
        <v>0</v>
      </c>
      <c r="U6" s="62">
        <v>0</v>
      </c>
    </row>
    <row r="7" spans="1:21" s="68" customFormat="1" ht="12.75" x14ac:dyDescent="0.2">
      <c r="A7" s="56">
        <f t="shared" si="0"/>
        <v>43646</v>
      </c>
      <c r="B7" s="68" t="s">
        <v>0</v>
      </c>
      <c r="C7" s="68" t="s">
        <v>74</v>
      </c>
      <c r="D7" s="68" t="s">
        <v>2</v>
      </c>
      <c r="E7" s="68" t="s">
        <v>345</v>
      </c>
      <c r="F7" s="68" t="s">
        <v>4</v>
      </c>
      <c r="G7" s="69">
        <v>71500</v>
      </c>
      <c r="H7" s="68" t="s">
        <v>96</v>
      </c>
      <c r="I7" s="68" t="s">
        <v>97</v>
      </c>
      <c r="J7" s="66">
        <v>0.95833333333333337</v>
      </c>
      <c r="K7" s="60">
        <v>0.96875</v>
      </c>
      <c r="L7" s="66">
        <v>0.76736111111111116</v>
      </c>
      <c r="M7" s="67">
        <v>0.78333333333333333</v>
      </c>
      <c r="N7" s="62" t="s">
        <v>428</v>
      </c>
      <c r="O7" s="68" t="s">
        <v>111</v>
      </c>
      <c r="P7" s="68">
        <v>1546</v>
      </c>
      <c r="Q7" s="63">
        <v>615</v>
      </c>
      <c r="R7" s="68">
        <v>0</v>
      </c>
      <c r="S7" s="68">
        <v>0</v>
      </c>
      <c r="T7" s="68">
        <v>0</v>
      </c>
      <c r="U7" s="68">
        <v>0</v>
      </c>
    </row>
    <row r="8" spans="1:21" x14ac:dyDescent="0.25">
      <c r="A8" s="56">
        <f t="shared" si="0"/>
        <v>43646</v>
      </c>
      <c r="B8" s="62" t="s">
        <v>421</v>
      </c>
      <c r="C8" s="62" t="s">
        <v>435</v>
      </c>
      <c r="D8" s="62" t="s">
        <v>423</v>
      </c>
      <c r="E8" s="57" t="s">
        <v>424</v>
      </c>
      <c r="F8" s="62" t="s">
        <v>235</v>
      </c>
      <c r="G8" s="58">
        <v>1600</v>
      </c>
      <c r="H8" s="57" t="s">
        <v>118</v>
      </c>
      <c r="I8" s="57" t="s">
        <v>118</v>
      </c>
      <c r="J8" s="66">
        <v>0.47916666666666669</v>
      </c>
      <c r="K8" s="67">
        <v>0.4826388888888889</v>
      </c>
      <c r="L8" s="10">
        <v>0.5</v>
      </c>
      <c r="M8" s="18">
        <v>0.50416666666666665</v>
      </c>
      <c r="N8" s="62">
        <v>1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2019-06-01T05:44:09Z</dcterms:created>
  <dcterms:modified xsi:type="dcterms:W3CDTF">2019-06-30T21:15:30Z</dcterms:modified>
</cp:coreProperties>
</file>