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firstSheet="8" activeTab="27"/>
  </bookViews>
  <sheets>
    <sheet name="1" sheetId="1" r:id="rId1"/>
    <sheet name="2" sheetId="4" r:id="rId2"/>
    <sheet name="3" sheetId="3" r:id="rId3"/>
    <sheet name="4" sheetId="5" r:id="rId4"/>
    <sheet name="5" sheetId="6" r:id="rId5"/>
    <sheet name="6" sheetId="7" r:id="rId6"/>
    <sheet name="8" sheetId="8" r:id="rId7"/>
    <sheet name="9" sheetId="9" r:id="rId8"/>
    <sheet name="10" sheetId="10" r:id="rId9"/>
    <sheet name="11" sheetId="11" r:id="rId10"/>
    <sheet name="12" sheetId="12" r:id="rId11"/>
    <sheet name="13" sheetId="13" r:id="rId12"/>
    <sheet name="14" sheetId="15" r:id="rId13"/>
    <sheet name="15" sheetId="16" r:id="rId14"/>
    <sheet name="16" sheetId="17" r:id="rId15"/>
    <sheet name="17" sheetId="18" r:id="rId16"/>
    <sheet name="18" sheetId="19" r:id="rId17"/>
    <sheet name="19" sheetId="20" r:id="rId18"/>
    <sheet name="20" sheetId="21" r:id="rId19"/>
    <sheet name="22" sheetId="22" r:id="rId20"/>
    <sheet name="23" sheetId="23" r:id="rId21"/>
    <sheet name="24" sheetId="24" r:id="rId22"/>
    <sheet name="25" sheetId="25" r:id="rId23"/>
    <sheet name="26" sheetId="26" r:id="rId24"/>
    <sheet name="27" sheetId="27" r:id="rId25"/>
    <sheet name="28" sheetId="28" r:id="rId26"/>
    <sheet name="29" sheetId="29" r:id="rId27"/>
    <sheet name="30" sheetId="30" r:id="rId28"/>
  </sheets>
  <calcPr calcId="145621"/>
</workbook>
</file>

<file path=xl/calcChain.xml><?xml version="1.0" encoding="utf-8"?>
<calcChain xmlns="http://schemas.openxmlformats.org/spreadsheetml/2006/main">
  <c r="E5" i="30" l="1"/>
  <c r="A3" i="30"/>
  <c r="A4" i="30" s="1"/>
  <c r="A5" i="30" s="1"/>
  <c r="I8" i="29" l="1"/>
  <c r="A8" i="29"/>
  <c r="I7" i="29" l="1"/>
  <c r="A7" i="29" l="1"/>
  <c r="A3" i="29" l="1"/>
  <c r="A4" i="29" s="1"/>
  <c r="A5" i="29" s="1"/>
  <c r="A6" i="29" s="1"/>
  <c r="G7" i="27" l="1"/>
  <c r="A7" i="27"/>
  <c r="G6" i="27"/>
  <c r="A3" i="27"/>
  <c r="A4" i="27" s="1"/>
  <c r="A5" i="27" s="1"/>
  <c r="A6" i="27" s="1"/>
  <c r="B5" i="26" l="1"/>
  <c r="A3" i="26"/>
  <c r="A4" i="26" s="1"/>
  <c r="A5" i="26" s="1"/>
  <c r="M4" i="25" l="1"/>
  <c r="E4" i="25" l="1"/>
  <c r="E5" i="25" l="1"/>
  <c r="B5" i="25"/>
  <c r="A3" i="25"/>
  <c r="A4" i="25" s="1"/>
  <c r="A5" i="25" s="1"/>
  <c r="G4" i="24" l="1"/>
  <c r="E4" i="24"/>
  <c r="A3" i="24"/>
  <c r="A4" i="24" s="1"/>
  <c r="E5" i="23" l="1"/>
  <c r="A3" i="23"/>
  <c r="A4" i="23" s="1"/>
  <c r="A5" i="23" s="1"/>
  <c r="A3" i="22" l="1"/>
  <c r="A4" i="22" s="1"/>
  <c r="A5" i="22" s="1"/>
  <c r="A6" i="22" s="1"/>
  <c r="G6" i="21" l="1"/>
  <c r="A3" i="21"/>
  <c r="A4" i="21" s="1"/>
  <c r="A5" i="21" s="1"/>
  <c r="A6" i="21" s="1"/>
  <c r="B5" i="20" l="1"/>
  <c r="A3" i="20"/>
  <c r="A4" i="20" s="1"/>
  <c r="A5" i="20" s="1"/>
  <c r="B5" i="19" l="1"/>
  <c r="A3" i="19"/>
  <c r="A4" i="19" s="1"/>
  <c r="A5" i="19" s="1"/>
  <c r="M2" i="18" l="1"/>
  <c r="E4" i="18" l="1"/>
  <c r="A4" i="18"/>
  <c r="A3" i="18"/>
  <c r="G4" i="18"/>
  <c r="E5" i="17" l="1"/>
  <c r="A5" i="17"/>
  <c r="A4" i="17"/>
  <c r="A3" i="17"/>
  <c r="A3" i="16" l="1"/>
  <c r="A4" i="16" s="1"/>
  <c r="A5" i="16" s="1"/>
  <c r="A6" i="16" s="1"/>
  <c r="A7" i="13" l="1"/>
  <c r="M3" i="13" l="1"/>
  <c r="G6" i="13" l="1"/>
  <c r="A3" i="13"/>
  <c r="A4" i="13" s="1"/>
  <c r="A5" i="13" s="1"/>
  <c r="A6" i="13" s="1"/>
  <c r="B5" i="12" l="1"/>
  <c r="A3" i="12"/>
  <c r="A4" i="12" s="1"/>
  <c r="A5" i="12" s="1"/>
  <c r="B5" i="11" l="1"/>
  <c r="A3" i="11"/>
  <c r="A4" i="11" s="1"/>
  <c r="A5" i="11" s="1"/>
  <c r="G4" i="10" l="1"/>
  <c r="A3" i="8" l="1"/>
  <c r="A4" i="8" s="1"/>
  <c r="A5" i="8" s="1"/>
  <c r="A6" i="8" s="1"/>
  <c r="A7" i="7" l="1"/>
  <c r="G6" i="7" l="1"/>
  <c r="A3" i="7"/>
  <c r="A4" i="7" s="1"/>
  <c r="A5" i="7" s="1"/>
  <c r="A6" i="7" s="1"/>
  <c r="B5" i="6" l="1"/>
  <c r="A3" i="6"/>
  <c r="A4" i="6" s="1"/>
  <c r="A5" i="6" s="1"/>
  <c r="B5" i="5" l="1"/>
  <c r="A3" i="5"/>
  <c r="A4" i="5" s="1"/>
  <c r="A5" i="5" s="1"/>
  <c r="G4" i="3" l="1"/>
  <c r="A3" i="3"/>
  <c r="A4" i="3" s="1"/>
  <c r="A3" i="4" l="1"/>
  <c r="A4" i="4" s="1"/>
  <c r="A5" i="4" s="1"/>
  <c r="A4" i="1" l="1"/>
  <c r="A3" i="1"/>
  <c r="A5" i="1" l="1"/>
  <c r="A6" i="1" s="1"/>
</calcChain>
</file>

<file path=xl/sharedStrings.xml><?xml version="1.0" encoding="utf-8"?>
<sst xmlns="http://schemas.openxmlformats.org/spreadsheetml/2006/main" count="1619" uniqueCount="300">
  <si>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</si>
  <si>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</si>
  <si>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</si>
  <si>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</si>
  <si>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</si>
  <si>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</si>
  <si>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</si>
  <si>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</si>
  <si>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</si>
  <si>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</si>
  <si>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</si>
  <si>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</si>
  <si>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</si>
  <si>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</si>
  <si>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</si>
  <si>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</si>
  <si>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</si>
  <si>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</si>
  <si>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</si>
  <si>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</si>
  <si>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</si>
  <si>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</si>
  <si>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</si>
  <si>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</si>
  <si>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HALYG</t>
  </si>
  <si>
    <t>SCHEDULED</t>
  </si>
  <si>
    <t>W64298</t>
  </si>
  <si>
    <t>W64297</t>
  </si>
  <si>
    <t>TZL-MMX-TZL</t>
  </si>
  <si>
    <t>W64292</t>
  </si>
  <si>
    <t>W64291</t>
  </si>
  <si>
    <t>TZL-MLH-TZL</t>
  </si>
  <si>
    <t>W64294</t>
  </si>
  <si>
    <t>W64293</t>
  </si>
  <si>
    <t>TZL-FDH-TZL</t>
  </si>
  <si>
    <t>TZL-BLL-TZL</t>
  </si>
  <si>
    <t>HALWC/HALWG</t>
  </si>
  <si>
    <t>HALWG</t>
  </si>
  <si>
    <t>W64616</t>
  </si>
  <si>
    <t>W64615</t>
  </si>
  <si>
    <t>W64278</t>
  </si>
  <si>
    <t>W64277</t>
  </si>
  <si>
    <t>173+1 INF</t>
  </si>
  <si>
    <t>178+2 INF</t>
  </si>
  <si>
    <t>180+3 INF</t>
  </si>
  <si>
    <t>149+0 INF</t>
  </si>
  <si>
    <t>162+2 INF</t>
  </si>
  <si>
    <t>166+2 INF</t>
  </si>
  <si>
    <t>167+4INF</t>
  </si>
  <si>
    <t>162+2INF</t>
  </si>
  <si>
    <t>169+1INF</t>
  </si>
  <si>
    <t>138+1INF</t>
  </si>
  <si>
    <t>TZL-HHN-TZL</t>
  </si>
  <si>
    <t>TZL-EIN-TZL</t>
  </si>
  <si>
    <t>TZL-FMM-TZL</t>
  </si>
  <si>
    <t>TZL-SXF-TZL</t>
  </si>
  <si>
    <t>W64284</t>
  </si>
  <si>
    <t>W64290</t>
  </si>
  <si>
    <t>W64280</t>
  </si>
  <si>
    <t>W64276</t>
  </si>
  <si>
    <t>W64283</t>
  </si>
  <si>
    <t>W64289</t>
  </si>
  <si>
    <t>W64279</t>
  </si>
  <si>
    <t>W64275</t>
  </si>
  <si>
    <t>152+3INF</t>
  </si>
  <si>
    <t>159+5INF</t>
  </si>
  <si>
    <t>174+3INF</t>
  </si>
  <si>
    <t>171+0 INF</t>
  </si>
  <si>
    <t>178+1 INF</t>
  </si>
  <si>
    <t>166+1 INF</t>
  </si>
  <si>
    <t>MLH-TZL-MLH</t>
  </si>
  <si>
    <t>GOT-TZL-GOT</t>
  </si>
  <si>
    <t>W64296</t>
  </si>
  <si>
    <t>W64295</t>
  </si>
  <si>
    <t>CGN-TZL-CGN</t>
  </si>
  <si>
    <t>W64300</t>
  </si>
  <si>
    <t>W64299</t>
  </si>
  <si>
    <t>165+1INF</t>
  </si>
  <si>
    <t>165+2INF</t>
  </si>
  <si>
    <t>173+2INF</t>
  </si>
  <si>
    <t>169+2INF</t>
  </si>
  <si>
    <t>172+4INF</t>
  </si>
  <si>
    <t>155+2INF</t>
  </si>
  <si>
    <t>TZL - DTM - TZL</t>
  </si>
  <si>
    <t>TZL- MMX - TZL</t>
  </si>
  <si>
    <t>TZL - FDH - TZL</t>
  </si>
  <si>
    <t>TZL - BLL - TZL</t>
  </si>
  <si>
    <t>HALWG/HALYO</t>
  </si>
  <si>
    <t>HALYO</t>
  </si>
  <si>
    <t>177+1INF</t>
  </si>
  <si>
    <t>177+2INF</t>
  </si>
  <si>
    <t>154+4INF</t>
  </si>
  <si>
    <t>128+0INF</t>
  </si>
  <si>
    <t>172+2 INF</t>
  </si>
  <si>
    <t>146+4INF</t>
  </si>
  <si>
    <t>130+2INF</t>
  </si>
  <si>
    <t>TZL - HHN - TZL</t>
  </si>
  <si>
    <t>TZL- EIN - TZL</t>
  </si>
  <si>
    <t>TZL - FMM - TZL</t>
  </si>
  <si>
    <t>TZL - SXF - TZL</t>
  </si>
  <si>
    <t>163+0 INF</t>
  </si>
  <si>
    <t>154+7 INF</t>
  </si>
  <si>
    <t>179+3 INF</t>
  </si>
  <si>
    <t>172+3 INF</t>
  </si>
  <si>
    <t>142+2 INF</t>
  </si>
  <si>
    <t>174+2 INF</t>
  </si>
  <si>
    <t>117+2 INF</t>
  </si>
  <si>
    <t>178+6INF</t>
  </si>
  <si>
    <t>167+3INF</t>
  </si>
  <si>
    <t>167+5INF</t>
  </si>
  <si>
    <t>103+4INF</t>
  </si>
  <si>
    <t>164+2INF</t>
  </si>
  <si>
    <t>178+2INF</t>
  </si>
  <si>
    <t>164+2 INF</t>
  </si>
  <si>
    <t>167+3 INF</t>
  </si>
  <si>
    <t>GYD-TZL-GYD</t>
  </si>
  <si>
    <t>IL76</t>
  </si>
  <si>
    <t>4KAZ40</t>
  </si>
  <si>
    <t>NON-SCHEDULED</t>
  </si>
  <si>
    <t>AZQ4551</t>
  </si>
  <si>
    <t>AZQ4552</t>
  </si>
  <si>
    <t>144+3 INF</t>
  </si>
  <si>
    <t>HALYO/HALWO</t>
  </si>
  <si>
    <t>HALWO</t>
  </si>
  <si>
    <t>174+1INF</t>
  </si>
  <si>
    <t>174+0 INF</t>
  </si>
  <si>
    <t>155+1 INF</t>
  </si>
  <si>
    <t>171+4 INF</t>
  </si>
  <si>
    <t>165+3 INF</t>
  </si>
  <si>
    <t>165+4INF</t>
  </si>
  <si>
    <t>159+4INF</t>
  </si>
  <si>
    <t>145+5INF</t>
  </si>
  <si>
    <t>155+1INF</t>
  </si>
  <si>
    <t>173+3 INF</t>
  </si>
  <si>
    <t>171+5 INF</t>
  </si>
  <si>
    <t>165+1 INF</t>
  </si>
  <si>
    <t>169+2 INF</t>
  </si>
  <si>
    <t>167+2 INF</t>
  </si>
  <si>
    <t>164+4 INF</t>
  </si>
  <si>
    <t>150+2 INF</t>
  </si>
  <si>
    <t>TZL-GOT-TZL</t>
  </si>
  <si>
    <t>TZL-CGN-TZL</t>
  </si>
  <si>
    <t>163+1 INF</t>
  </si>
  <si>
    <t>175+1 INF</t>
  </si>
  <si>
    <t>177+1 INF</t>
  </si>
  <si>
    <t>180+3INF</t>
  </si>
  <si>
    <t>175+4INF</t>
  </si>
  <si>
    <t>172+6INF</t>
  </si>
  <si>
    <t>HALWO/HALPR</t>
  </si>
  <si>
    <t>HALPR</t>
  </si>
  <si>
    <t>172+3INF</t>
  </si>
  <si>
    <t>175+2INF</t>
  </si>
  <si>
    <t>166+1INF</t>
  </si>
  <si>
    <t>125+1INF</t>
  </si>
  <si>
    <t>170+3INF</t>
  </si>
  <si>
    <t>134+2INF</t>
  </si>
  <si>
    <t>84+1INF</t>
  </si>
  <si>
    <t>159+0INF</t>
  </si>
  <si>
    <t>171+3INF</t>
  </si>
  <si>
    <t>163+5INF</t>
  </si>
  <si>
    <t>178+1INF</t>
  </si>
  <si>
    <t>135+4INF</t>
  </si>
  <si>
    <t>159+2INF</t>
  </si>
  <si>
    <t>138+4INF</t>
  </si>
  <si>
    <t>176+4 INF</t>
  </si>
  <si>
    <t>169+4 INF</t>
  </si>
  <si>
    <t>154+4 INF</t>
  </si>
  <si>
    <t>132+1 INF</t>
  </si>
  <si>
    <t>179+0 INF</t>
  </si>
  <si>
    <t>LIPICAN AER</t>
  </si>
  <si>
    <t>LJU-TZL-SJJ</t>
  </si>
  <si>
    <t>L410</t>
  </si>
  <si>
    <t>S5-BBP</t>
  </si>
  <si>
    <t>TECHNICAL</t>
  </si>
  <si>
    <t>LIP664</t>
  </si>
  <si>
    <t>LIP664A</t>
  </si>
  <si>
    <t>-</t>
  </si>
  <si>
    <t>165+0 INF</t>
  </si>
  <si>
    <t>175+2 INF</t>
  </si>
  <si>
    <t>BATAGON AIR SERVICES</t>
  </si>
  <si>
    <t>LJLJ-TZL-LJLJ</t>
  </si>
  <si>
    <t>CEXC</t>
  </si>
  <si>
    <t>S5-ICR</t>
  </si>
  <si>
    <t>GENERAL AVIATION</t>
  </si>
  <si>
    <t>HALPR/HALYR</t>
  </si>
  <si>
    <t>HALYR</t>
  </si>
  <si>
    <t>179+0INF</t>
  </si>
  <si>
    <t>170+0INF</t>
  </si>
  <si>
    <t>155+0INF</t>
  </si>
  <si>
    <t>170+2INF</t>
  </si>
  <si>
    <t>143+1INF</t>
  </si>
  <si>
    <t>150+3INF</t>
  </si>
  <si>
    <t>155+8INF</t>
  </si>
  <si>
    <t>176+1INF</t>
  </si>
  <si>
    <t>176+2INF</t>
  </si>
  <si>
    <t>171+5INF</t>
  </si>
  <si>
    <t>176+3INF</t>
  </si>
  <si>
    <t>169+3INF</t>
  </si>
  <si>
    <t>129+1INF</t>
  </si>
  <si>
    <t>HA-LYG</t>
  </si>
  <si>
    <t>HA-LYR</t>
  </si>
  <si>
    <t>166+4 INF</t>
  </si>
  <si>
    <t>173+4 INF</t>
  </si>
  <si>
    <t>152+2INF</t>
  </si>
  <si>
    <t>163+4INF</t>
  </si>
  <si>
    <t>160+3INF</t>
  </si>
  <si>
    <t>126+0INF</t>
  </si>
  <si>
    <t>161+4INF</t>
  </si>
  <si>
    <t>144+4 INF</t>
  </si>
  <si>
    <t>160+1 INF</t>
  </si>
  <si>
    <t>77+0 INF</t>
  </si>
  <si>
    <t>170+6INF</t>
  </si>
  <si>
    <t>179+3INF</t>
  </si>
  <si>
    <t>119+1INF</t>
  </si>
  <si>
    <t>166+3INF</t>
  </si>
  <si>
    <t>173+3INF</t>
  </si>
  <si>
    <t>144+6 INF</t>
  </si>
  <si>
    <t>154+1 INF</t>
  </si>
  <si>
    <t>168+1 INF</t>
  </si>
  <si>
    <t>180+2 INF</t>
  </si>
  <si>
    <t>161+1INF</t>
  </si>
  <si>
    <t>177+5INF</t>
  </si>
  <si>
    <t>149+1INF</t>
  </si>
  <si>
    <t>179+1INF</t>
  </si>
  <si>
    <t>164+4INF</t>
  </si>
  <si>
    <t>156+2INF</t>
  </si>
  <si>
    <t>158+1INF</t>
  </si>
  <si>
    <t>150+2INF</t>
  </si>
  <si>
    <t>143+5INF</t>
  </si>
  <si>
    <t>169+10INF</t>
  </si>
  <si>
    <t>FLY BOSNIA</t>
  </si>
  <si>
    <t>SJJ-TZL-SJJ</t>
  </si>
  <si>
    <t>A319</t>
  </si>
  <si>
    <t>E7-FBA</t>
  </si>
  <si>
    <t>TECH.FLT</t>
  </si>
  <si>
    <t>CREW</t>
  </si>
  <si>
    <t>6W201</t>
  </si>
  <si>
    <t>6W202</t>
  </si>
  <si>
    <t>171+2INF</t>
  </si>
  <si>
    <t>160+7INF</t>
  </si>
  <si>
    <t>147+5INF</t>
  </si>
  <si>
    <t>172+1INF</t>
  </si>
  <si>
    <t>179+4INF</t>
  </si>
  <si>
    <t>157+1INF</t>
  </si>
  <si>
    <t>174+3 INF</t>
  </si>
  <si>
    <t>153+0 INF</t>
  </si>
  <si>
    <t>147+3 INF</t>
  </si>
  <si>
    <t>129+2INF</t>
  </si>
  <si>
    <t>136+2INF</t>
  </si>
  <si>
    <t>135+3INF</t>
  </si>
  <si>
    <t>163+3INF</t>
  </si>
  <si>
    <t>166+7INF</t>
  </si>
  <si>
    <t>159+1INF</t>
  </si>
  <si>
    <t>152+8 INF</t>
  </si>
  <si>
    <t>151+1 INF</t>
  </si>
  <si>
    <t>150+1 INF</t>
  </si>
  <si>
    <t>DIV TO BEG</t>
  </si>
  <si>
    <t>NIL</t>
  </si>
  <si>
    <t>BEG-TZL</t>
  </si>
  <si>
    <t>FERRY IN</t>
  </si>
  <si>
    <t>W6802</t>
  </si>
  <si>
    <t>156+4INF</t>
  </si>
  <si>
    <t>170+1INF</t>
  </si>
  <si>
    <t>152+1INF</t>
  </si>
  <si>
    <t>169+4INF</t>
  </si>
  <si>
    <t>168+1INF</t>
  </si>
  <si>
    <t>28.11.20119</t>
  </si>
  <si>
    <t>SWISS AIR AMBULANCE</t>
  </si>
  <si>
    <t>ZRH-TZL-GRZ</t>
  </si>
  <si>
    <t>CL650</t>
  </si>
  <si>
    <t>HB-JWC</t>
  </si>
  <si>
    <t>MEDEVAC</t>
  </si>
  <si>
    <t>SAZ71</t>
  </si>
  <si>
    <t>SAZ72</t>
  </si>
  <si>
    <t>HALYG/HALWF</t>
  </si>
  <si>
    <t>HALWF</t>
  </si>
  <si>
    <t>1+0INF</t>
  </si>
  <si>
    <t>161+1 INF</t>
  </si>
  <si>
    <t>JET STREAM</t>
  </si>
  <si>
    <t>BEG-TZL-ZAG</t>
  </si>
  <si>
    <t>C525</t>
  </si>
  <si>
    <t>HA-KAR</t>
  </si>
  <si>
    <t>NON SCH/GA PRIVATE</t>
  </si>
  <si>
    <t>147+1 INF</t>
  </si>
  <si>
    <t>JS521</t>
  </si>
  <si>
    <t>156+4 INF</t>
  </si>
  <si>
    <t>JET EXECUTIVE</t>
  </si>
  <si>
    <t>HRG-TZL-CVT</t>
  </si>
  <si>
    <t>D-CGRC</t>
  </si>
  <si>
    <t>JEI353</t>
  </si>
  <si>
    <t>151+4INF</t>
  </si>
  <si>
    <t>80+1INF</t>
  </si>
  <si>
    <t>112+2INF</t>
  </si>
  <si>
    <t>170+8INF</t>
  </si>
  <si>
    <t>167+7INF</t>
  </si>
  <si>
    <t>150+5INF</t>
  </si>
  <si>
    <t>162+3 INF</t>
  </si>
  <si>
    <t>172+1 INF</t>
  </si>
  <si>
    <t>159+2 INF</t>
  </si>
  <si>
    <t>127+2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</si>
</sst>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b/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5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/>
    <xf numFmtId="0" fontId="4" fillId="0" borderId="0" xfId="0" applyFont="1"/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/>
    </xf>
  </cellXfs>
  <cellStyles count="3">
    <cellStyle name="Normal" xfId="0" builtinId="0"/>
    <cellStyle name="Normal 2 2" xfId="2"/>
    <cellStyle name="Normal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6" sqref="L6"/>
    </sheetView>
  </sheetViews>
  <sheetFormatPr defaultRowHeight="15" x14ac:dyDescent="0.25"/>
  <cols>
    <col min="3" max="3" width="14" customWidth="1"/>
    <col min="5" max="5" width="15.85546875" customWidth="1"/>
    <col min="6" max="6" width="14.28515625" customWidth="1"/>
    <col min="14" max="14" width="17.42578125" customWidth="1"/>
    <col min="15" max="15" width="17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43770</v>
      </c>
      <c r="B2" s="5" t="s">
        <v>21</v>
      </c>
      <c r="C2" s="5" t="s">
        <v>22</v>
      </c>
      <c r="D2" s="5" t="s">
        <v>23</v>
      </c>
      <c r="E2" s="5" t="s">
        <v>36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0.46180555555555558</v>
      </c>
      <c r="K2" s="8">
        <v>0.47430555555555554</v>
      </c>
      <c r="L2" s="7">
        <v>0.25694444444444448</v>
      </c>
      <c r="M2" s="8">
        <v>0.26041666666666669</v>
      </c>
      <c r="N2" s="3" t="s">
        <v>44</v>
      </c>
      <c r="O2" s="9" t="s">
        <v>42</v>
      </c>
      <c r="P2" s="9">
        <v>857</v>
      </c>
      <c r="Q2" s="9">
        <v>866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43770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0.50694444444444442</v>
      </c>
      <c r="K3" s="8">
        <v>0.49374999999999997</v>
      </c>
      <c r="L3" s="7">
        <v>0.30208333333333331</v>
      </c>
      <c r="M3" s="8">
        <v>0.30416666666666664</v>
      </c>
      <c r="N3" s="3" t="s">
        <v>45</v>
      </c>
      <c r="O3" s="9" t="s">
        <v>43</v>
      </c>
      <c r="P3" s="5">
        <v>984</v>
      </c>
      <c r="Q3" s="9">
        <v>1305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ref="A4:A6" si="0">A3</f>
        <v>43770</v>
      </c>
      <c r="B4" s="3" t="s">
        <v>21</v>
      </c>
      <c r="C4" s="3" t="s">
        <v>31</v>
      </c>
      <c r="D4" s="3" t="s">
        <v>23</v>
      </c>
      <c r="E4" s="5" t="s">
        <v>37</v>
      </c>
      <c r="F4" s="3" t="s">
        <v>25</v>
      </c>
      <c r="G4" s="6">
        <v>71500</v>
      </c>
      <c r="H4" s="5" t="s">
        <v>32</v>
      </c>
      <c r="I4" s="5" t="s">
        <v>33</v>
      </c>
      <c r="J4" s="12">
        <v>0.65972222222222221</v>
      </c>
      <c r="K4" s="2">
        <v>0.65902777777777777</v>
      </c>
      <c r="L4" s="12">
        <v>0.49305555555555558</v>
      </c>
      <c r="M4" s="13">
        <v>0.50763888888888886</v>
      </c>
      <c r="N4" s="3" t="s">
        <v>48</v>
      </c>
      <c r="O4" s="11" t="s">
        <v>46</v>
      </c>
      <c r="P4" s="11">
        <v>585</v>
      </c>
      <c r="Q4" s="9">
        <v>1084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43770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38</v>
      </c>
      <c r="I5" s="3" t="s">
        <v>39</v>
      </c>
      <c r="J5" s="10">
        <v>0.68055555555555547</v>
      </c>
      <c r="K5" s="2">
        <v>0.66805555555555562</v>
      </c>
      <c r="L5" s="10">
        <v>0.52777777777777779</v>
      </c>
      <c r="M5" s="2">
        <v>0.53472222222222221</v>
      </c>
      <c r="N5" s="3" t="s">
        <v>49</v>
      </c>
      <c r="O5" s="3" t="s">
        <v>47</v>
      </c>
      <c r="P5" s="3">
        <v>510</v>
      </c>
      <c r="Q5" s="9">
        <v>741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43770</v>
      </c>
      <c r="B6" s="3" t="s">
        <v>21</v>
      </c>
      <c r="C6" s="3" t="s">
        <v>35</v>
      </c>
      <c r="D6" s="3" t="s">
        <v>23</v>
      </c>
      <c r="E6" s="5" t="s">
        <v>37</v>
      </c>
      <c r="F6" s="3" t="s">
        <v>25</v>
      </c>
      <c r="G6" s="6">
        <v>71500</v>
      </c>
      <c r="H6" s="5" t="s">
        <v>40</v>
      </c>
      <c r="I6" s="5" t="s">
        <v>41</v>
      </c>
      <c r="J6" s="12">
        <v>0.91319444444444453</v>
      </c>
      <c r="K6" s="2">
        <v>0.89930555555555547</v>
      </c>
      <c r="L6" s="12">
        <v>0.69097222222222221</v>
      </c>
      <c r="M6" s="13">
        <v>0.69861111111111107</v>
      </c>
      <c r="N6" s="3" t="s">
        <v>51</v>
      </c>
      <c r="O6" s="11" t="s">
        <v>50</v>
      </c>
      <c r="P6" s="11">
        <v>628</v>
      </c>
      <c r="Q6" s="9">
        <v>1024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/>
      <c r="B7" s="11"/>
      <c r="C7" s="11"/>
      <c r="D7" s="11"/>
      <c r="E7" s="5"/>
      <c r="F7" s="11"/>
      <c r="G7" s="6"/>
      <c r="H7" s="11"/>
      <c r="I7" s="11"/>
      <c r="J7" s="12"/>
      <c r="K7" s="2"/>
      <c r="L7" s="12"/>
      <c r="M7" s="13"/>
      <c r="N7" s="3"/>
      <c r="O7" s="3"/>
      <c r="P7" s="3"/>
      <c r="Q7" s="9"/>
      <c r="R7" s="11"/>
      <c r="S7" s="11"/>
      <c r="T7" s="11"/>
      <c r="U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5" sqref="A5"/>
    </sheetView>
  </sheetViews>
  <sheetFormatPr defaultRowHeight="15" x14ac:dyDescent="0.25"/>
  <cols>
    <col min="3" max="3" width="14" customWidth="1"/>
    <col min="5" max="5" width="15.85546875" customWidth="1"/>
    <col min="6" max="6" width="14.28515625" customWidth="1"/>
    <col min="14" max="14" width="17.42578125" customWidth="1"/>
    <col min="15" max="15" width="17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43771</v>
      </c>
      <c r="B2" s="5" t="s">
        <v>21</v>
      </c>
      <c r="C2" s="5" t="s">
        <v>52</v>
      </c>
      <c r="D2" s="5" t="s">
        <v>23</v>
      </c>
      <c r="E2" s="5" t="s">
        <v>37</v>
      </c>
      <c r="F2" s="5" t="s">
        <v>25</v>
      </c>
      <c r="G2" s="6">
        <v>71500</v>
      </c>
      <c r="H2" s="5" t="s">
        <v>56</v>
      </c>
      <c r="I2" s="5" t="s">
        <v>60</v>
      </c>
      <c r="J2" s="7">
        <v>0.50694444444444442</v>
      </c>
      <c r="K2" s="8">
        <v>0.49722222222222223</v>
      </c>
      <c r="L2" s="7">
        <v>0.32291666666666669</v>
      </c>
      <c r="M2" s="8">
        <v>0.32291666666666669</v>
      </c>
      <c r="N2" s="3" t="s">
        <v>65</v>
      </c>
      <c r="O2" s="9" t="s">
        <v>64</v>
      </c>
      <c r="P2" s="9">
        <v>758</v>
      </c>
      <c r="Q2" s="9">
        <v>943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43771</v>
      </c>
      <c r="B3" s="5" t="s">
        <v>21</v>
      </c>
      <c r="C3" s="5" t="s">
        <v>53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57</v>
      </c>
      <c r="I3" s="5" t="s">
        <v>61</v>
      </c>
      <c r="J3" s="7">
        <v>0.71527777777777779</v>
      </c>
      <c r="K3" s="8">
        <v>0.75</v>
      </c>
      <c r="L3" s="7">
        <v>0.5</v>
      </c>
      <c r="M3" s="8">
        <v>0.55555555555555558</v>
      </c>
      <c r="N3" s="3" t="s">
        <v>67</v>
      </c>
      <c r="O3" s="9" t="s">
        <v>66</v>
      </c>
      <c r="P3" s="5">
        <v>1104</v>
      </c>
      <c r="Q3" s="9">
        <v>784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ref="A4:A5" si="0">A3</f>
        <v>43771</v>
      </c>
      <c r="B4" s="3" t="s">
        <v>21</v>
      </c>
      <c r="C4" s="3" t="s">
        <v>54</v>
      </c>
      <c r="D4" s="3" t="s">
        <v>23</v>
      </c>
      <c r="E4" s="5" t="s">
        <v>37</v>
      </c>
      <c r="F4" s="3" t="s">
        <v>25</v>
      </c>
      <c r="G4" s="6">
        <v>71500</v>
      </c>
      <c r="H4" s="5" t="s">
        <v>58</v>
      </c>
      <c r="I4" s="5" t="s">
        <v>62</v>
      </c>
      <c r="J4" s="12">
        <v>0.68402777777777779</v>
      </c>
      <c r="K4" s="2">
        <v>0.68055555555555547</v>
      </c>
      <c r="L4" s="12">
        <v>0.52777777777777779</v>
      </c>
      <c r="M4" s="13">
        <v>0.54999999999999993</v>
      </c>
      <c r="N4" s="3" t="s">
        <v>47</v>
      </c>
      <c r="O4" s="11" t="s">
        <v>49</v>
      </c>
      <c r="P4" s="11">
        <v>877</v>
      </c>
      <c r="Q4" s="9">
        <v>840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43771</v>
      </c>
      <c r="B5" s="3" t="s">
        <v>21</v>
      </c>
      <c r="C5" s="3" t="s">
        <v>55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59</v>
      </c>
      <c r="I5" s="3" t="s">
        <v>63</v>
      </c>
      <c r="J5" s="10">
        <v>0.94444444444444453</v>
      </c>
      <c r="K5" s="2">
        <v>0.9472222222222223</v>
      </c>
      <c r="L5" s="10">
        <v>0.77430555555555547</v>
      </c>
      <c r="M5" s="2">
        <v>0.78819444444444453</v>
      </c>
      <c r="N5" s="3" t="s">
        <v>69</v>
      </c>
      <c r="O5" s="3" t="s">
        <v>68</v>
      </c>
      <c r="P5" s="3">
        <v>950</v>
      </c>
      <c r="Q5" s="9">
        <v>1037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/>
      <c r="B6" s="3"/>
      <c r="C6" s="3"/>
      <c r="D6" s="3"/>
      <c r="E6" s="5"/>
      <c r="F6" s="3"/>
      <c r="G6" s="6"/>
      <c r="H6" s="5"/>
      <c r="I6" s="5"/>
      <c r="J6" s="12"/>
      <c r="K6" s="2"/>
      <c r="L6" s="12"/>
      <c r="M6" s="13"/>
      <c r="N6" s="3"/>
      <c r="O6" s="11"/>
      <c r="P6" s="11"/>
      <c r="Q6" s="9"/>
      <c r="R6" s="3"/>
      <c r="S6" s="3"/>
      <c r="T6" s="3"/>
      <c r="U6" s="3"/>
    </row>
    <row r="7" spans="1:21" x14ac:dyDescent="0.25">
      <c r="A7" s="4"/>
      <c r="B7" s="11"/>
      <c r="C7" s="11"/>
      <c r="D7" s="11"/>
      <c r="E7" s="5"/>
      <c r="F7" s="11"/>
      <c r="G7" s="6"/>
      <c r="H7" s="11"/>
      <c r="I7" s="11"/>
      <c r="J7" s="12"/>
      <c r="K7" s="2"/>
      <c r="L7" s="12"/>
      <c r="M7" s="13"/>
      <c r="N7" s="3"/>
      <c r="O7" s="3"/>
      <c r="P7" s="3"/>
      <c r="Q7" s="9"/>
      <c r="R7" s="11"/>
      <c r="S7" s="11"/>
      <c r="T7" s="11"/>
      <c r="U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4" sqref="K4"/>
    </sheetView>
  </sheetViews>
  <sheetFormatPr defaultRowHeight="15" x14ac:dyDescent="0.25"/>
  <cols>
    <col min="3" max="3" width="25.140625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43772</v>
      </c>
      <c r="B2" s="5" t="s">
        <v>21</v>
      </c>
      <c r="C2" s="5" t="s">
        <v>70</v>
      </c>
      <c r="D2" s="5" t="s">
        <v>23</v>
      </c>
      <c r="E2" s="5" t="s">
        <v>37</v>
      </c>
      <c r="F2" s="5" t="s">
        <v>25</v>
      </c>
      <c r="G2" s="6">
        <v>71500</v>
      </c>
      <c r="H2" s="5" t="s">
        <v>32</v>
      </c>
      <c r="I2" s="5" t="s">
        <v>33</v>
      </c>
      <c r="J2" s="7">
        <v>0.65972222222222221</v>
      </c>
      <c r="K2" s="2">
        <v>0.6479166666666667</v>
      </c>
      <c r="L2" s="7">
        <v>0.49305555555555558</v>
      </c>
      <c r="M2" s="8">
        <v>0.4916666666666667</v>
      </c>
      <c r="N2" s="3" t="s">
        <v>79</v>
      </c>
      <c r="O2" s="9" t="s">
        <v>77</v>
      </c>
      <c r="P2" s="9">
        <v>1107</v>
      </c>
      <c r="Q2" s="9">
        <v>874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43772</v>
      </c>
      <c r="B3" s="5" t="s">
        <v>21</v>
      </c>
      <c r="C3" s="5" t="s">
        <v>71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72</v>
      </c>
      <c r="I3" s="5" t="s">
        <v>73</v>
      </c>
      <c r="J3" s="7">
        <v>0.77083333333333337</v>
      </c>
      <c r="K3" s="2">
        <v>0.76736111111111116</v>
      </c>
      <c r="L3" s="7">
        <v>0.53819444444444442</v>
      </c>
      <c r="M3" s="8">
        <v>0.53611111111111109</v>
      </c>
      <c r="N3" s="3" t="s">
        <v>80</v>
      </c>
      <c r="O3" s="9" t="s">
        <v>78</v>
      </c>
      <c r="P3" s="5">
        <v>1219</v>
      </c>
      <c r="Q3" s="9">
        <v>1328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43772</v>
      </c>
      <c r="B4" s="5" t="s">
        <v>21</v>
      </c>
      <c r="C4" s="3" t="s">
        <v>74</v>
      </c>
      <c r="D4" s="3" t="s">
        <v>23</v>
      </c>
      <c r="E4" s="5" t="s">
        <v>37</v>
      </c>
      <c r="F4" s="3" t="s">
        <v>25</v>
      </c>
      <c r="G4" s="6">
        <f>G2</f>
        <v>71500</v>
      </c>
      <c r="H4" s="3" t="s">
        <v>75</v>
      </c>
      <c r="I4" s="3" t="s">
        <v>76</v>
      </c>
      <c r="J4" s="10">
        <v>0.86805555555555547</v>
      </c>
      <c r="K4" s="2">
        <v>0.86805555555555547</v>
      </c>
      <c r="L4" s="10">
        <v>0.68055555555555547</v>
      </c>
      <c r="M4" s="2">
        <v>0.68194444444444446</v>
      </c>
      <c r="N4" s="3" t="s">
        <v>82</v>
      </c>
      <c r="O4" s="3" t="s">
        <v>81</v>
      </c>
      <c r="P4" s="3">
        <v>1035</v>
      </c>
      <c r="Q4" s="9">
        <v>707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/>
      <c r="B5" s="5"/>
      <c r="C5" s="3"/>
      <c r="D5" s="3"/>
      <c r="E5" s="5"/>
      <c r="F5" s="3"/>
      <c r="G5" s="6"/>
      <c r="H5" s="3"/>
      <c r="I5" s="3"/>
      <c r="J5" s="14"/>
      <c r="K5" s="2"/>
      <c r="L5" s="14"/>
      <c r="M5" s="15"/>
      <c r="N5" s="3"/>
      <c r="O5" s="3"/>
      <c r="P5" s="16"/>
      <c r="Q5" s="9"/>
      <c r="R5" s="3"/>
      <c r="S5" s="3"/>
      <c r="T5" s="3"/>
      <c r="U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E3" sqref="E3"/>
    </sheetView>
  </sheetViews>
  <sheetFormatPr defaultRowHeight="15" x14ac:dyDescent="0.25"/>
  <cols>
    <col min="3" max="3" width="15.7109375" customWidth="1"/>
    <col min="5" max="5" width="14.85546875" customWidth="1"/>
    <col min="6" max="6" width="13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43773</v>
      </c>
      <c r="B2" s="5" t="s">
        <v>21</v>
      </c>
      <c r="C2" s="11" t="s">
        <v>83</v>
      </c>
      <c r="D2" s="11" t="s">
        <v>23</v>
      </c>
      <c r="E2" s="11" t="s">
        <v>87</v>
      </c>
      <c r="F2" s="5" t="s">
        <v>25</v>
      </c>
      <c r="G2" s="17">
        <v>71500</v>
      </c>
      <c r="H2" s="11" t="s">
        <v>26</v>
      </c>
      <c r="I2" s="11" t="s">
        <v>27</v>
      </c>
      <c r="J2" s="12">
        <v>0.46180555555555558</v>
      </c>
      <c r="K2" s="13">
        <v>0.45694444444444443</v>
      </c>
      <c r="L2" s="12">
        <v>0.25694444444444448</v>
      </c>
      <c r="M2" s="13">
        <v>0.25833333333333336</v>
      </c>
      <c r="N2" s="11" t="s">
        <v>91</v>
      </c>
      <c r="O2" s="11" t="s">
        <v>89</v>
      </c>
      <c r="P2" s="11">
        <v>1342</v>
      </c>
      <c r="Q2" s="11">
        <v>642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4">
        <f>A2</f>
        <v>43773</v>
      </c>
      <c r="B3" s="5" t="s">
        <v>21</v>
      </c>
      <c r="C3" s="11" t="s">
        <v>84</v>
      </c>
      <c r="D3" s="11" t="s">
        <v>23</v>
      </c>
      <c r="E3" s="11" t="s">
        <v>24</v>
      </c>
      <c r="F3" s="5" t="s">
        <v>25</v>
      </c>
      <c r="G3" s="17">
        <v>71500</v>
      </c>
      <c r="H3" s="11" t="s">
        <v>29</v>
      </c>
      <c r="I3" s="11" t="s">
        <v>30</v>
      </c>
      <c r="J3" s="12">
        <v>0.50694444444444442</v>
      </c>
      <c r="K3" s="13">
        <v>0.49374999999999997</v>
      </c>
      <c r="L3" s="12">
        <v>0.30208333333333331</v>
      </c>
      <c r="M3" s="13">
        <v>0.30069444444444443</v>
      </c>
      <c r="N3" s="11" t="s">
        <v>92</v>
      </c>
      <c r="O3" s="11" t="s">
        <v>90</v>
      </c>
      <c r="P3" s="11">
        <v>1039</v>
      </c>
      <c r="Q3" s="11">
        <v>938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4">
        <f>A3</f>
        <v>43773</v>
      </c>
      <c r="B4" s="5" t="s">
        <v>21</v>
      </c>
      <c r="C4" s="11" t="s">
        <v>85</v>
      </c>
      <c r="D4" s="11" t="s">
        <v>23</v>
      </c>
      <c r="E4" s="11" t="s">
        <v>24</v>
      </c>
      <c r="F4" s="5" t="s">
        <v>25</v>
      </c>
      <c r="G4" s="17">
        <v>71500</v>
      </c>
      <c r="H4" s="11" t="s">
        <v>38</v>
      </c>
      <c r="I4" s="11" t="s">
        <v>39</v>
      </c>
      <c r="J4" s="12">
        <v>0.68055555555555547</v>
      </c>
      <c r="K4" s="13">
        <v>0.66666666666666663</v>
      </c>
      <c r="L4" s="12">
        <v>0.52777777777777779</v>
      </c>
      <c r="M4" s="13">
        <v>0.52916666666666667</v>
      </c>
      <c r="N4" s="11" t="s">
        <v>94</v>
      </c>
      <c r="O4" s="11" t="s">
        <v>93</v>
      </c>
      <c r="P4" s="11">
        <v>772</v>
      </c>
      <c r="Q4" s="11">
        <v>595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4">
        <f>A4</f>
        <v>43773</v>
      </c>
      <c r="B5" s="5" t="str">
        <f>B4</f>
        <v>WIZZAIR</v>
      </c>
      <c r="C5" s="11" t="s">
        <v>86</v>
      </c>
      <c r="D5" s="11" t="s">
        <v>23</v>
      </c>
      <c r="E5" s="11" t="s">
        <v>88</v>
      </c>
      <c r="F5" s="5" t="s">
        <v>25</v>
      </c>
      <c r="G5" s="17">
        <v>71500</v>
      </c>
      <c r="H5" s="11" t="s">
        <v>40</v>
      </c>
      <c r="I5" s="11" t="s">
        <v>41</v>
      </c>
      <c r="J5" s="12">
        <v>0.91319444444444453</v>
      </c>
      <c r="K5" s="13">
        <v>0.89444444444444438</v>
      </c>
      <c r="L5" s="12">
        <v>0.69097222222222221</v>
      </c>
      <c r="M5" s="13">
        <v>0.69097222222222221</v>
      </c>
      <c r="N5" s="11" t="s">
        <v>95</v>
      </c>
      <c r="O5" s="11" t="s">
        <v>50</v>
      </c>
      <c r="P5" s="11">
        <v>677</v>
      </c>
      <c r="Q5" s="11">
        <v>785</v>
      </c>
      <c r="R5" s="11">
        <v>0</v>
      </c>
      <c r="S5" s="11">
        <v>0</v>
      </c>
      <c r="T5" s="11">
        <v>0</v>
      </c>
      <c r="U5" s="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P5" sqref="P5"/>
    </sheetView>
  </sheetViews>
  <sheetFormatPr defaultRowHeight="15" x14ac:dyDescent="0.25"/>
  <cols>
    <col min="3" max="3" width="15.7109375" customWidth="1"/>
    <col min="5" max="5" width="14.85546875" customWidth="1"/>
    <col min="6" max="6" width="13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43774</v>
      </c>
      <c r="B2" s="5" t="s">
        <v>21</v>
      </c>
      <c r="C2" s="11" t="s">
        <v>96</v>
      </c>
      <c r="D2" s="11" t="s">
        <v>23</v>
      </c>
      <c r="E2" s="11" t="s">
        <v>24</v>
      </c>
      <c r="F2" s="5" t="s">
        <v>25</v>
      </c>
      <c r="G2" s="17">
        <v>71500</v>
      </c>
      <c r="H2" s="11" t="s">
        <v>56</v>
      </c>
      <c r="I2" s="11" t="s">
        <v>60</v>
      </c>
      <c r="J2" s="12">
        <v>0.50694444444444442</v>
      </c>
      <c r="K2" s="13">
        <v>0.5180555555555556</v>
      </c>
      <c r="L2" s="12">
        <v>0.32291666666666669</v>
      </c>
      <c r="M2" s="13">
        <v>0.32847222222222222</v>
      </c>
      <c r="N2" s="11" t="s">
        <v>101</v>
      </c>
      <c r="O2" s="11" t="s">
        <v>100</v>
      </c>
      <c r="P2" s="11">
        <v>691</v>
      </c>
      <c r="Q2" s="11">
        <v>754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4">
        <f>A2</f>
        <v>43774</v>
      </c>
      <c r="B3" s="5" t="s">
        <v>21</v>
      </c>
      <c r="C3" s="11" t="s">
        <v>97</v>
      </c>
      <c r="D3" s="11" t="s">
        <v>23</v>
      </c>
      <c r="E3" s="11" t="s">
        <v>88</v>
      </c>
      <c r="F3" s="5" t="s">
        <v>25</v>
      </c>
      <c r="G3" s="17">
        <v>71500</v>
      </c>
      <c r="H3" s="11" t="s">
        <v>57</v>
      </c>
      <c r="I3" s="11" t="s">
        <v>61</v>
      </c>
      <c r="J3" s="12">
        <v>0.72916666666666663</v>
      </c>
      <c r="K3" s="13">
        <v>0.70624999999999993</v>
      </c>
      <c r="L3" s="12">
        <v>0.51388888888888895</v>
      </c>
      <c r="M3" s="13">
        <v>0.51944444444444449</v>
      </c>
      <c r="N3" s="11" t="s">
        <v>104</v>
      </c>
      <c r="O3" s="11" t="s">
        <v>102</v>
      </c>
      <c r="P3" s="11">
        <v>767</v>
      </c>
      <c r="Q3" s="11">
        <v>825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4">
        <f>A3</f>
        <v>43774</v>
      </c>
      <c r="B4" s="5" t="s">
        <v>21</v>
      </c>
      <c r="C4" s="11" t="s">
        <v>98</v>
      </c>
      <c r="D4" s="11" t="s">
        <v>23</v>
      </c>
      <c r="E4" s="11" t="s">
        <v>24</v>
      </c>
      <c r="F4" s="5" t="s">
        <v>25</v>
      </c>
      <c r="G4" s="17">
        <v>71500</v>
      </c>
      <c r="H4" s="11" t="s">
        <v>58</v>
      </c>
      <c r="I4" s="11" t="s">
        <v>62</v>
      </c>
      <c r="J4" s="12">
        <v>0.68402777777777779</v>
      </c>
      <c r="K4" s="13">
        <v>0.69097222222222221</v>
      </c>
      <c r="L4" s="12">
        <v>0.52777777777777779</v>
      </c>
      <c r="M4" s="13">
        <v>0.55902777777777779</v>
      </c>
      <c r="N4" s="11" t="s">
        <v>104</v>
      </c>
      <c r="O4" s="11" t="s">
        <v>103</v>
      </c>
      <c r="P4" s="11">
        <v>767</v>
      </c>
      <c r="Q4" s="11">
        <v>695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4">
        <f>A4</f>
        <v>43774</v>
      </c>
      <c r="B5" s="5" t="str">
        <f>B4</f>
        <v>WIZZAIR</v>
      </c>
      <c r="C5" s="11" t="s">
        <v>99</v>
      </c>
      <c r="D5" s="11" t="s">
        <v>23</v>
      </c>
      <c r="E5" s="11" t="s">
        <v>88</v>
      </c>
      <c r="F5" s="5" t="s">
        <v>25</v>
      </c>
      <c r="G5" s="17">
        <v>71500</v>
      </c>
      <c r="H5" s="11" t="s">
        <v>59</v>
      </c>
      <c r="I5" s="11" t="s">
        <v>63</v>
      </c>
      <c r="J5" s="12">
        <v>0.94444444444444453</v>
      </c>
      <c r="K5" s="13">
        <v>0.9472222222222223</v>
      </c>
      <c r="L5" s="12">
        <v>0.77430555555555547</v>
      </c>
      <c r="M5" s="13">
        <v>0.77013888888888893</v>
      </c>
      <c r="N5" s="11" t="s">
        <v>106</v>
      </c>
      <c r="O5" s="11" t="s">
        <v>105</v>
      </c>
      <c r="P5" s="11">
        <v>355</v>
      </c>
      <c r="Q5" s="11">
        <v>714</v>
      </c>
      <c r="R5" s="11">
        <v>0</v>
      </c>
      <c r="S5" s="11">
        <v>0</v>
      </c>
      <c r="T5" s="11">
        <v>0</v>
      </c>
      <c r="U5" s="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P11" sqref="P11"/>
    </sheetView>
  </sheetViews>
  <sheetFormatPr defaultRowHeight="15" x14ac:dyDescent="0.25"/>
  <cols>
    <col min="1" max="1" width="7.85546875" bestFit="1" customWidth="1"/>
    <col min="3" max="3" width="13.7109375" bestFit="1" customWidth="1"/>
    <col min="4" max="4" width="5.7109375" bestFit="1" customWidth="1"/>
    <col min="6" max="6" width="17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43775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0.46180555555555558</v>
      </c>
      <c r="K2" s="8">
        <v>0.46319444444444446</v>
      </c>
      <c r="L2" s="7">
        <v>0.25694444444444448</v>
      </c>
      <c r="M2" s="8">
        <v>0.27013888888888887</v>
      </c>
      <c r="N2" s="3" t="s">
        <v>109</v>
      </c>
      <c r="O2" s="9" t="s">
        <v>107</v>
      </c>
      <c r="P2" s="9">
        <v>1070</v>
      </c>
      <c r="Q2" s="9">
        <v>919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43775</v>
      </c>
      <c r="B3" s="5" t="s">
        <v>21</v>
      </c>
      <c r="C3" s="5" t="s">
        <v>28</v>
      </c>
      <c r="D3" s="5" t="s">
        <v>23</v>
      </c>
      <c r="E3" s="5" t="s">
        <v>88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0.50694444444444442</v>
      </c>
      <c r="K3" s="8">
        <v>0.50347222222222221</v>
      </c>
      <c r="L3" s="7">
        <v>0.30208333333333331</v>
      </c>
      <c r="M3" s="8">
        <v>0.31458333333333333</v>
      </c>
      <c r="N3" s="3" t="s">
        <v>110</v>
      </c>
      <c r="O3" s="9" t="s">
        <v>108</v>
      </c>
      <c r="P3" s="5">
        <v>561</v>
      </c>
      <c r="Q3" s="9">
        <v>789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43775</v>
      </c>
      <c r="B4" s="5" t="s">
        <v>21</v>
      </c>
      <c r="C4" s="5" t="s">
        <v>70</v>
      </c>
      <c r="D4" s="5" t="s">
        <v>23</v>
      </c>
      <c r="E4" s="5" t="s">
        <v>24</v>
      </c>
      <c r="F4" s="5" t="s">
        <v>25</v>
      </c>
      <c r="G4" s="6">
        <v>71500</v>
      </c>
      <c r="H4" s="5" t="s">
        <v>32</v>
      </c>
      <c r="I4" s="5" t="s">
        <v>33</v>
      </c>
      <c r="J4" s="7">
        <v>0.65972222222222221</v>
      </c>
      <c r="K4" s="2">
        <v>0.65347222222222223</v>
      </c>
      <c r="L4" s="7">
        <v>0.49305555555555558</v>
      </c>
      <c r="M4" s="8">
        <v>0.50694444444444442</v>
      </c>
      <c r="N4" s="3" t="s">
        <v>113</v>
      </c>
      <c r="O4" s="9" t="s">
        <v>111</v>
      </c>
      <c r="P4" s="9">
        <v>869</v>
      </c>
      <c r="Q4" s="9">
        <v>641</v>
      </c>
      <c r="R4" s="5">
        <v>0</v>
      </c>
      <c r="S4" s="5">
        <v>0</v>
      </c>
      <c r="T4" s="5">
        <v>0</v>
      </c>
      <c r="U4" s="5">
        <v>0</v>
      </c>
    </row>
    <row r="5" spans="1:21" x14ac:dyDescent="0.25">
      <c r="A5" s="4">
        <f>A4</f>
        <v>43775</v>
      </c>
      <c r="B5" s="5" t="s">
        <v>21</v>
      </c>
      <c r="C5" s="5" t="s">
        <v>71</v>
      </c>
      <c r="D5" s="5" t="s">
        <v>23</v>
      </c>
      <c r="E5" s="5" t="s">
        <v>88</v>
      </c>
      <c r="F5" s="5" t="s">
        <v>25</v>
      </c>
      <c r="G5" s="6">
        <v>71500</v>
      </c>
      <c r="H5" s="5" t="s">
        <v>72</v>
      </c>
      <c r="I5" s="5" t="s">
        <v>73</v>
      </c>
      <c r="J5" s="7">
        <v>0.77083333333333337</v>
      </c>
      <c r="K5" s="2">
        <v>0.7597222222222223</v>
      </c>
      <c r="L5" s="7">
        <v>0.53819444444444442</v>
      </c>
      <c r="M5" s="8">
        <v>0.54305555555555551</v>
      </c>
      <c r="N5" s="3" t="s">
        <v>114</v>
      </c>
      <c r="O5" s="9" t="s">
        <v>112</v>
      </c>
      <c r="P5" s="5">
        <v>947</v>
      </c>
      <c r="Q5" s="9">
        <v>1787</v>
      </c>
      <c r="R5" s="5">
        <v>0</v>
      </c>
      <c r="S5" s="5">
        <v>0</v>
      </c>
      <c r="T5" s="5">
        <v>0</v>
      </c>
      <c r="U5" s="5">
        <v>0</v>
      </c>
    </row>
    <row r="6" spans="1:21" x14ac:dyDescent="0.25">
      <c r="A6" s="4">
        <f>A5</f>
        <v>43775</v>
      </c>
      <c r="B6" s="5" t="s">
        <v>21</v>
      </c>
      <c r="C6" s="3" t="s">
        <v>74</v>
      </c>
      <c r="D6" s="3" t="s">
        <v>23</v>
      </c>
      <c r="E6" s="5" t="s">
        <v>24</v>
      </c>
      <c r="F6" s="3" t="s">
        <v>25</v>
      </c>
      <c r="G6" s="6">
        <f>G4</f>
        <v>71500</v>
      </c>
      <c r="H6" s="3" t="s">
        <v>75</v>
      </c>
      <c r="I6" s="3" t="s">
        <v>76</v>
      </c>
      <c r="J6" s="10">
        <v>0.86805555555555547</v>
      </c>
      <c r="K6" s="2">
        <v>0.87222222222222223</v>
      </c>
      <c r="L6" s="10">
        <v>0.68055555555555547</v>
      </c>
      <c r="M6" s="2">
        <v>0.6972222222222223</v>
      </c>
      <c r="N6" s="3" t="s">
        <v>121</v>
      </c>
      <c r="O6" s="3" t="s">
        <v>44</v>
      </c>
      <c r="P6" s="3">
        <v>1044</v>
      </c>
      <c r="Q6" s="9">
        <v>1038</v>
      </c>
      <c r="R6" s="3">
        <v>0</v>
      </c>
      <c r="S6" s="3">
        <v>0</v>
      </c>
      <c r="T6" s="3">
        <v>0</v>
      </c>
      <c r="U6" s="3">
        <v>0</v>
      </c>
    </row>
    <row r="7" spans="1:21" s="18" customFormat="1" ht="12.75" x14ac:dyDescent="0.2">
      <c r="A7" s="4">
        <f>A6</f>
        <v>43775</v>
      </c>
      <c r="B7" s="5" t="s">
        <v>21</v>
      </c>
      <c r="C7" s="3" t="s">
        <v>115</v>
      </c>
      <c r="D7" s="3" t="s">
        <v>116</v>
      </c>
      <c r="E7" s="5" t="s">
        <v>117</v>
      </c>
      <c r="F7" s="3" t="s">
        <v>118</v>
      </c>
      <c r="G7" s="17">
        <v>190000</v>
      </c>
      <c r="H7" s="3" t="s">
        <v>119</v>
      </c>
      <c r="I7" s="3" t="s">
        <v>120</v>
      </c>
      <c r="J7" s="13">
        <v>0.33333333333333331</v>
      </c>
      <c r="K7" s="13">
        <v>0.70208333333333339</v>
      </c>
      <c r="L7" s="13">
        <v>0.45833333333333331</v>
      </c>
      <c r="M7" s="13">
        <v>0.90347222222222223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7">
        <v>37500</v>
      </c>
      <c r="T7" s="11">
        <v>0</v>
      </c>
      <c r="U7" s="1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sqref="A1:U6"/>
    </sheetView>
  </sheetViews>
  <sheetFormatPr defaultRowHeight="15" x14ac:dyDescent="0.25"/>
  <cols>
    <col min="3" max="3" width="14" customWidth="1"/>
    <col min="5" max="5" width="15.85546875" customWidth="1"/>
    <col min="6" max="6" width="14.28515625" customWidth="1"/>
    <col min="14" max="14" width="17.42578125" customWidth="1"/>
    <col min="15" max="15" width="17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43777</v>
      </c>
      <c r="B2" s="5" t="s">
        <v>21</v>
      </c>
      <c r="C2" s="5" t="s">
        <v>22</v>
      </c>
      <c r="D2" s="5" t="s">
        <v>23</v>
      </c>
      <c r="E2" s="5" t="s">
        <v>122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0.46180555555555558</v>
      </c>
      <c r="K2" s="8">
        <v>0.48402777777777778</v>
      </c>
      <c r="L2" s="7">
        <v>0.25694444444444448</v>
      </c>
      <c r="M2" s="8">
        <v>0.26458333333333334</v>
      </c>
      <c r="N2" s="3" t="s">
        <v>125</v>
      </c>
      <c r="O2" s="9" t="s">
        <v>90</v>
      </c>
      <c r="P2" s="9">
        <v>684</v>
      </c>
      <c r="Q2" s="9">
        <v>966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43777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0.50694444444444442</v>
      </c>
      <c r="K3" s="8">
        <v>0.49861111111111112</v>
      </c>
      <c r="L3" s="7">
        <v>0.30208333333333331</v>
      </c>
      <c r="M3" s="8">
        <v>0.30555555555555552</v>
      </c>
      <c r="N3" s="3" t="s">
        <v>126</v>
      </c>
      <c r="O3" s="9" t="s">
        <v>124</v>
      </c>
      <c r="P3" s="5">
        <v>490</v>
      </c>
      <c r="Q3" s="9">
        <v>1113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ref="A4:A6" si="0">A3</f>
        <v>43777</v>
      </c>
      <c r="B4" s="3" t="s">
        <v>21</v>
      </c>
      <c r="C4" s="3" t="s">
        <v>31</v>
      </c>
      <c r="D4" s="3" t="s">
        <v>23</v>
      </c>
      <c r="E4" s="5" t="s">
        <v>123</v>
      </c>
      <c r="F4" s="3" t="s">
        <v>25</v>
      </c>
      <c r="G4" s="6">
        <v>71500</v>
      </c>
      <c r="H4" s="5" t="s">
        <v>32</v>
      </c>
      <c r="I4" s="5" t="s">
        <v>33</v>
      </c>
      <c r="J4" s="12">
        <v>0.65972222222222221</v>
      </c>
      <c r="K4" s="2">
        <v>0.67013888888888884</v>
      </c>
      <c r="L4" s="12">
        <v>0.49305555555555558</v>
      </c>
      <c r="M4" s="13">
        <v>0.51944444444444449</v>
      </c>
      <c r="N4" s="3" t="s">
        <v>129</v>
      </c>
      <c r="O4" s="11" t="s">
        <v>127</v>
      </c>
      <c r="P4" s="11">
        <v>740</v>
      </c>
      <c r="Q4" s="9">
        <v>851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43777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38</v>
      </c>
      <c r="I5" s="3" t="s">
        <v>39</v>
      </c>
      <c r="J5" s="10">
        <v>0.68055555555555547</v>
      </c>
      <c r="K5" s="2">
        <v>0.68958333333333333</v>
      </c>
      <c r="L5" s="10">
        <v>0.52777777777777779</v>
      </c>
      <c r="M5" s="2">
        <v>0.55486111111111114</v>
      </c>
      <c r="N5" s="3" t="s">
        <v>130</v>
      </c>
      <c r="O5" s="3" t="s">
        <v>128</v>
      </c>
      <c r="P5" s="3">
        <v>586</v>
      </c>
      <c r="Q5" s="9">
        <v>687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43777</v>
      </c>
      <c r="B6" s="3" t="s">
        <v>21</v>
      </c>
      <c r="C6" s="3" t="s">
        <v>35</v>
      </c>
      <c r="D6" s="3" t="s">
        <v>23</v>
      </c>
      <c r="E6" s="5" t="s">
        <v>123</v>
      </c>
      <c r="F6" s="3" t="s">
        <v>25</v>
      </c>
      <c r="G6" s="6">
        <v>71500</v>
      </c>
      <c r="H6" s="5" t="s">
        <v>40</v>
      </c>
      <c r="I6" s="5" t="s">
        <v>41</v>
      </c>
      <c r="J6" s="12">
        <v>0.91319444444444453</v>
      </c>
      <c r="K6" s="2">
        <v>0.91249999999999998</v>
      </c>
      <c r="L6" s="12">
        <v>0.69097222222222221</v>
      </c>
      <c r="M6" s="13">
        <v>0.70138888888888884</v>
      </c>
      <c r="N6" s="3" t="s">
        <v>132</v>
      </c>
      <c r="O6" s="11" t="s">
        <v>131</v>
      </c>
      <c r="P6" s="11">
        <v>340</v>
      </c>
      <c r="Q6" s="9">
        <v>599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/>
      <c r="B7" s="11"/>
      <c r="C7" s="11"/>
      <c r="D7" s="11"/>
      <c r="E7" s="5"/>
      <c r="F7" s="11"/>
      <c r="G7" s="6"/>
      <c r="H7" s="11"/>
      <c r="I7" s="11"/>
      <c r="J7" s="12"/>
      <c r="K7" s="2"/>
      <c r="L7" s="12"/>
      <c r="M7" s="13"/>
      <c r="N7" s="3"/>
      <c r="O7" s="3"/>
      <c r="P7" s="3"/>
      <c r="Q7" s="9"/>
      <c r="R7" s="11"/>
      <c r="S7" s="11"/>
      <c r="T7" s="11"/>
      <c r="U7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C1" workbookViewId="0">
      <selection activeCell="M5" sqref="M5"/>
    </sheetView>
  </sheetViews>
  <sheetFormatPr defaultRowHeight="15" x14ac:dyDescent="0.25"/>
  <cols>
    <col min="3" max="3" width="14" customWidth="1"/>
    <col min="5" max="5" width="15.85546875" customWidth="1"/>
    <col min="6" max="6" width="14.28515625" customWidth="1"/>
    <col min="12" max="12" width="11" bestFit="1" customWidth="1"/>
    <col min="13" max="13" width="10.85546875" bestFit="1" customWidth="1"/>
    <col min="14" max="14" width="17.42578125" customWidth="1"/>
    <col min="15" max="15" width="17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43778</v>
      </c>
      <c r="B2" s="5" t="s">
        <v>21</v>
      </c>
      <c r="C2" s="5" t="s">
        <v>52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56</v>
      </c>
      <c r="I2" s="5" t="s">
        <v>60</v>
      </c>
      <c r="J2" s="7">
        <v>0.50694444444444442</v>
      </c>
      <c r="K2" s="8">
        <v>0.49652777777777773</v>
      </c>
      <c r="L2" s="7">
        <v>0.32291666666666669</v>
      </c>
      <c r="M2" s="8">
        <v>0.32361111111111113</v>
      </c>
      <c r="N2" s="3" t="s">
        <v>134</v>
      </c>
      <c r="O2" s="9" t="s">
        <v>133</v>
      </c>
      <c r="P2" s="9">
        <v>1024</v>
      </c>
      <c r="Q2" s="9">
        <v>805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43778</v>
      </c>
      <c r="B3" s="5" t="s">
        <v>21</v>
      </c>
      <c r="C3" s="5" t="s">
        <v>53</v>
      </c>
      <c r="D3" s="5" t="s">
        <v>23</v>
      </c>
      <c r="E3" s="5" t="s">
        <v>123</v>
      </c>
      <c r="F3" s="5" t="s">
        <v>25</v>
      </c>
      <c r="G3" s="6">
        <v>71500</v>
      </c>
      <c r="H3" s="5" t="s">
        <v>57</v>
      </c>
      <c r="I3" s="5" t="s">
        <v>61</v>
      </c>
      <c r="J3" s="7">
        <v>0.71527777777777779</v>
      </c>
      <c r="K3" s="8">
        <v>0.71666666666666667</v>
      </c>
      <c r="L3" s="7">
        <v>0.5</v>
      </c>
      <c r="M3" s="8">
        <v>0.50555555555555554</v>
      </c>
      <c r="N3" s="3" t="s">
        <v>137</v>
      </c>
      <c r="O3" s="9" t="s">
        <v>135</v>
      </c>
      <c r="P3" s="11">
        <v>783</v>
      </c>
      <c r="Q3" s="9">
        <v>1197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43778</v>
      </c>
      <c r="B4" s="3" t="s">
        <v>21</v>
      </c>
      <c r="C4" s="3" t="s">
        <v>54</v>
      </c>
      <c r="D4" s="3" t="s">
        <v>23</v>
      </c>
      <c r="E4" s="5" t="s">
        <v>24</v>
      </c>
      <c r="F4" s="3" t="s">
        <v>25</v>
      </c>
      <c r="G4" s="6">
        <v>71500</v>
      </c>
      <c r="H4" s="5" t="s">
        <v>58</v>
      </c>
      <c r="I4" s="5" t="s">
        <v>62</v>
      </c>
      <c r="J4" s="12">
        <v>0.68402777777777779</v>
      </c>
      <c r="K4" s="2">
        <v>0.67083333333333339</v>
      </c>
      <c r="L4" s="12">
        <v>0.52777777777777779</v>
      </c>
      <c r="M4" s="13">
        <v>0.53333333333333333</v>
      </c>
      <c r="N4" s="3" t="s">
        <v>136</v>
      </c>
      <c r="O4" s="11" t="s">
        <v>105</v>
      </c>
      <c r="P4" s="5">
        <v>837</v>
      </c>
      <c r="Q4" s="9">
        <v>1105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43778</v>
      </c>
      <c r="B5" s="3" t="s">
        <v>21</v>
      </c>
      <c r="C5" s="3" t="s">
        <v>55</v>
      </c>
      <c r="D5" s="3" t="s">
        <v>23</v>
      </c>
      <c r="E5" s="5" t="s">
        <v>123</v>
      </c>
      <c r="F5" s="3" t="s">
        <v>25</v>
      </c>
      <c r="G5" s="6">
        <v>71500</v>
      </c>
      <c r="H5" s="3" t="s">
        <v>59</v>
      </c>
      <c r="I5" s="3" t="s">
        <v>63</v>
      </c>
      <c r="J5" s="10">
        <v>0.94444444444444453</v>
      </c>
      <c r="K5" s="2">
        <v>0.95000000000000007</v>
      </c>
      <c r="L5" s="10">
        <v>0.77430555555555547</v>
      </c>
      <c r="M5" s="2">
        <v>0.77013888888888893</v>
      </c>
      <c r="N5" s="3" t="s">
        <v>139</v>
      </c>
      <c r="O5" s="3" t="s">
        <v>138</v>
      </c>
      <c r="P5" s="3">
        <v>572</v>
      </c>
      <c r="Q5" s="9">
        <v>535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/>
      <c r="B6" s="3"/>
      <c r="C6" s="3"/>
      <c r="D6" s="3"/>
      <c r="E6" s="5"/>
      <c r="F6" s="3"/>
      <c r="G6" s="6"/>
      <c r="H6" s="5"/>
      <c r="I6" s="5"/>
      <c r="J6" s="12"/>
      <c r="K6" s="2"/>
      <c r="L6" s="12"/>
      <c r="M6" s="13"/>
      <c r="N6" s="3"/>
      <c r="O6" s="11"/>
      <c r="P6" s="11"/>
      <c r="Q6" s="9"/>
      <c r="R6" s="3"/>
      <c r="S6" s="3"/>
      <c r="T6" s="3"/>
      <c r="U6" s="3"/>
    </row>
    <row r="7" spans="1:21" x14ac:dyDescent="0.25">
      <c r="A7" s="4"/>
      <c r="B7" s="11"/>
      <c r="C7" s="11"/>
      <c r="D7" s="11"/>
      <c r="E7" s="5"/>
      <c r="F7" s="11"/>
      <c r="G7" s="6"/>
      <c r="H7" s="11"/>
      <c r="I7" s="11"/>
      <c r="J7" s="12"/>
      <c r="K7" s="2"/>
      <c r="L7" s="12"/>
      <c r="M7" s="13"/>
      <c r="N7" s="3"/>
      <c r="O7" s="3"/>
      <c r="P7" s="3"/>
      <c r="Q7" s="9"/>
      <c r="R7" s="11"/>
      <c r="S7" s="11"/>
      <c r="T7" s="11"/>
      <c r="U7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B1" workbookViewId="0">
      <selection activeCell="K4" sqref="K4"/>
    </sheetView>
  </sheetViews>
  <sheetFormatPr defaultRowHeight="15" x14ac:dyDescent="0.25"/>
  <cols>
    <col min="3" max="3" width="13.710937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43779</v>
      </c>
      <c r="B2" s="5" t="s">
        <v>21</v>
      </c>
      <c r="C2" s="5" t="s">
        <v>31</v>
      </c>
      <c r="D2" s="5" t="s">
        <v>23</v>
      </c>
      <c r="E2" s="5" t="s">
        <v>123</v>
      </c>
      <c r="F2" s="5" t="s">
        <v>25</v>
      </c>
      <c r="G2" s="6">
        <v>71500</v>
      </c>
      <c r="H2" s="5" t="s">
        <v>32</v>
      </c>
      <c r="I2" s="5" t="s">
        <v>33</v>
      </c>
      <c r="J2" s="7">
        <v>0.65972222222222221</v>
      </c>
      <c r="K2" s="2">
        <v>0.65347222222222223</v>
      </c>
      <c r="L2" s="7">
        <v>0.49305555555555558</v>
      </c>
      <c r="M2" s="8">
        <v>0.49652777777777773</v>
      </c>
      <c r="N2" s="3" t="s">
        <v>144</v>
      </c>
      <c r="O2" s="9" t="s">
        <v>142</v>
      </c>
      <c r="P2" s="9">
        <v>1025</v>
      </c>
      <c r="Q2" s="9">
        <v>690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43779</v>
      </c>
      <c r="B3" s="5" t="s">
        <v>21</v>
      </c>
      <c r="C3" s="5" t="s">
        <v>140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72</v>
      </c>
      <c r="I3" s="5" t="s">
        <v>73</v>
      </c>
      <c r="J3" s="7">
        <v>0.77083333333333337</v>
      </c>
      <c r="K3" s="2">
        <v>0.76874999999999993</v>
      </c>
      <c r="L3" s="7">
        <v>0.53819444444444442</v>
      </c>
      <c r="M3" s="8">
        <v>0.5395833333333333</v>
      </c>
      <c r="N3" s="3" t="s">
        <v>145</v>
      </c>
      <c r="O3" s="9" t="s">
        <v>143</v>
      </c>
      <c r="P3" s="5">
        <v>1206</v>
      </c>
      <c r="Q3" s="9">
        <v>1473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43779</v>
      </c>
      <c r="B4" s="5" t="s">
        <v>21</v>
      </c>
      <c r="C4" s="5" t="s">
        <v>141</v>
      </c>
      <c r="D4" s="3" t="s">
        <v>23</v>
      </c>
      <c r="E4" s="5" t="s">
        <v>123</v>
      </c>
      <c r="F4" s="3" t="s">
        <v>25</v>
      </c>
      <c r="G4" s="6">
        <f>G2</f>
        <v>71500</v>
      </c>
      <c r="H4" s="3" t="s">
        <v>75</v>
      </c>
      <c r="I4" s="3" t="s">
        <v>76</v>
      </c>
      <c r="J4" s="10">
        <v>0.86805555555555547</v>
      </c>
      <c r="K4" s="2">
        <v>0.85833333333333339</v>
      </c>
      <c r="L4" s="10">
        <v>0.68055555555555547</v>
      </c>
      <c r="M4" s="2">
        <v>0.68888888888888899</v>
      </c>
      <c r="N4" s="3" t="s">
        <v>146</v>
      </c>
      <c r="O4" s="3" t="s">
        <v>147</v>
      </c>
      <c r="P4" s="3">
        <v>1308</v>
      </c>
      <c r="Q4" s="9">
        <v>1054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/>
      <c r="B5" s="5"/>
      <c r="C5" s="3"/>
      <c r="D5" s="3"/>
      <c r="E5" s="5"/>
      <c r="F5" s="3"/>
      <c r="G5" s="6"/>
      <c r="H5" s="3"/>
      <c r="I5" s="3"/>
      <c r="J5" s="14"/>
      <c r="K5" s="2"/>
      <c r="L5" s="14"/>
      <c r="M5" s="15"/>
      <c r="N5" s="3"/>
      <c r="O5" s="3"/>
      <c r="P5" s="16"/>
      <c r="Q5" s="9"/>
      <c r="R5" s="3"/>
      <c r="S5" s="3"/>
      <c r="T5" s="3"/>
      <c r="U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M4" sqref="M4"/>
    </sheetView>
  </sheetViews>
  <sheetFormatPr defaultRowHeight="15" x14ac:dyDescent="0.25"/>
  <cols>
    <col min="4" max="4" width="5.7109375" bestFit="1" customWidth="1"/>
    <col min="5" max="5" width="14.8554687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43780</v>
      </c>
      <c r="B2" s="5" t="s">
        <v>21</v>
      </c>
      <c r="C2" s="11" t="s">
        <v>83</v>
      </c>
      <c r="D2" s="11" t="s">
        <v>23</v>
      </c>
      <c r="E2" s="11" t="s">
        <v>148</v>
      </c>
      <c r="F2" s="5" t="s">
        <v>25</v>
      </c>
      <c r="G2" s="17">
        <v>71500</v>
      </c>
      <c r="H2" s="11" t="s">
        <v>26</v>
      </c>
      <c r="I2" s="11" t="s">
        <v>27</v>
      </c>
      <c r="J2" s="12">
        <v>0.46180555555555558</v>
      </c>
      <c r="K2" s="13">
        <v>0.46388888888888885</v>
      </c>
      <c r="L2" s="12">
        <v>0.25694444444444448</v>
      </c>
      <c r="M2" s="13">
        <v>0.27430555555555552</v>
      </c>
      <c r="N2" s="11" t="s">
        <v>152</v>
      </c>
      <c r="O2" s="11" t="s">
        <v>150</v>
      </c>
      <c r="P2" s="11">
        <v>1101</v>
      </c>
      <c r="Q2" s="11">
        <v>774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4">
        <f>A2</f>
        <v>43780</v>
      </c>
      <c r="B3" s="5" t="s">
        <v>21</v>
      </c>
      <c r="C3" s="11" t="s">
        <v>84</v>
      </c>
      <c r="D3" s="11" t="s">
        <v>23</v>
      </c>
      <c r="E3" s="11" t="s">
        <v>24</v>
      </c>
      <c r="F3" s="5" t="s">
        <v>25</v>
      </c>
      <c r="G3" s="17">
        <v>71500</v>
      </c>
      <c r="H3" s="11" t="s">
        <v>29</v>
      </c>
      <c r="I3" s="11" t="s">
        <v>30</v>
      </c>
      <c r="J3" s="12">
        <v>0.50694444444444442</v>
      </c>
      <c r="K3" s="13">
        <v>0.49513888888888885</v>
      </c>
      <c r="L3" s="12">
        <v>0.30208333333333331</v>
      </c>
      <c r="M3" s="13">
        <v>0.30972222222222223</v>
      </c>
      <c r="N3" s="11" t="s">
        <v>153</v>
      </c>
      <c r="O3" s="11" t="s">
        <v>151</v>
      </c>
      <c r="P3" s="11">
        <v>657</v>
      </c>
      <c r="Q3" s="11">
        <v>880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4">
        <f>A3</f>
        <v>43780</v>
      </c>
      <c r="B4" s="5" t="s">
        <v>21</v>
      </c>
      <c r="C4" s="11" t="s">
        <v>85</v>
      </c>
      <c r="D4" s="11" t="s">
        <v>23</v>
      </c>
      <c r="E4" s="11" t="s">
        <v>149</v>
      </c>
      <c r="F4" s="5" t="s">
        <v>25</v>
      </c>
      <c r="G4" s="17">
        <v>71500</v>
      </c>
      <c r="H4" s="11" t="s">
        <v>38</v>
      </c>
      <c r="I4" s="11" t="s">
        <v>39</v>
      </c>
      <c r="J4" s="12">
        <v>0.68055555555555547</v>
      </c>
      <c r="K4" s="13">
        <v>0.67291666666666661</v>
      </c>
      <c r="L4" s="12">
        <v>0.52777777777777779</v>
      </c>
      <c r="M4" s="13">
        <v>0.52916666666666667</v>
      </c>
      <c r="N4" s="11" t="s">
        <v>155</v>
      </c>
      <c r="O4" s="11" t="s">
        <v>154</v>
      </c>
      <c r="P4" s="11">
        <v>815</v>
      </c>
      <c r="Q4" s="11">
        <v>661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4">
        <f>A4</f>
        <v>43780</v>
      </c>
      <c r="B5" s="5" t="str">
        <f>B4</f>
        <v>WIZZAIR</v>
      </c>
      <c r="C5" s="11" t="s">
        <v>86</v>
      </c>
      <c r="D5" s="11" t="s">
        <v>23</v>
      </c>
      <c r="E5" s="11" t="s">
        <v>24</v>
      </c>
      <c r="F5" s="5" t="s">
        <v>25</v>
      </c>
      <c r="G5" s="17">
        <v>71500</v>
      </c>
      <c r="H5" s="11" t="s">
        <v>40</v>
      </c>
      <c r="I5" s="11" t="s">
        <v>41</v>
      </c>
      <c r="J5" s="12">
        <v>0.91319444444444453</v>
      </c>
      <c r="K5" s="13">
        <v>0.92569444444444438</v>
      </c>
      <c r="L5" s="12">
        <v>0.69097222222222221</v>
      </c>
      <c r="M5" s="13">
        <v>0.69374999999999998</v>
      </c>
      <c r="N5" s="11" t="s">
        <v>156</v>
      </c>
      <c r="O5" s="11" t="s">
        <v>157</v>
      </c>
      <c r="P5" s="11">
        <v>287</v>
      </c>
      <c r="Q5" s="11">
        <v>648</v>
      </c>
      <c r="R5" s="11">
        <v>0</v>
      </c>
      <c r="S5" s="11">
        <v>0</v>
      </c>
      <c r="T5" s="11">
        <v>0</v>
      </c>
      <c r="U5" s="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G1" workbookViewId="0">
      <selection sqref="A1:U5"/>
    </sheetView>
  </sheetViews>
  <sheetFormatPr defaultRowHeight="15" x14ac:dyDescent="0.25"/>
  <cols>
    <col min="3" max="3" width="15.7109375" customWidth="1"/>
    <col min="5" max="5" width="14.85546875" customWidth="1"/>
    <col min="6" max="6" width="13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43781</v>
      </c>
      <c r="B2" s="5" t="s">
        <v>21</v>
      </c>
      <c r="C2" s="11" t="s">
        <v>96</v>
      </c>
      <c r="D2" s="11" t="s">
        <v>23</v>
      </c>
      <c r="E2" s="11" t="s">
        <v>149</v>
      </c>
      <c r="F2" s="5" t="s">
        <v>25</v>
      </c>
      <c r="G2" s="17">
        <v>71500</v>
      </c>
      <c r="H2" s="11" t="s">
        <v>56</v>
      </c>
      <c r="I2" s="11" t="s">
        <v>60</v>
      </c>
      <c r="J2" s="12">
        <v>0.50694444444444442</v>
      </c>
      <c r="K2" s="13">
        <v>0.50486111111111109</v>
      </c>
      <c r="L2" s="12">
        <v>0.32291666666666669</v>
      </c>
      <c r="M2" s="13">
        <v>0.32291666666666669</v>
      </c>
      <c r="N2" s="11" t="s">
        <v>159</v>
      </c>
      <c r="O2" s="11" t="s">
        <v>158</v>
      </c>
      <c r="P2" s="11">
        <v>1000</v>
      </c>
      <c r="Q2" s="11">
        <v>699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4">
        <f>A2</f>
        <v>43781</v>
      </c>
      <c r="B3" s="5" t="s">
        <v>21</v>
      </c>
      <c r="C3" s="11" t="s">
        <v>97</v>
      </c>
      <c r="D3" s="11" t="s">
        <v>23</v>
      </c>
      <c r="E3" s="11" t="s">
        <v>24</v>
      </c>
      <c r="F3" s="5" t="s">
        <v>25</v>
      </c>
      <c r="G3" s="17">
        <v>71500</v>
      </c>
      <c r="H3" s="11" t="s">
        <v>57</v>
      </c>
      <c r="I3" s="11" t="s">
        <v>61</v>
      </c>
      <c r="J3" s="12">
        <v>0.72916666666666663</v>
      </c>
      <c r="K3" s="13">
        <v>0.7284722222222223</v>
      </c>
      <c r="L3" s="12">
        <v>0.51388888888888895</v>
      </c>
      <c r="M3" s="13">
        <v>0.52777777777777779</v>
      </c>
      <c r="N3" s="11" t="s">
        <v>160</v>
      </c>
      <c r="O3" s="11" t="s">
        <v>160</v>
      </c>
      <c r="P3" s="11">
        <v>857</v>
      </c>
      <c r="Q3" s="11">
        <v>860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4">
        <f>A3</f>
        <v>43781</v>
      </c>
      <c r="B4" s="5" t="s">
        <v>21</v>
      </c>
      <c r="C4" s="11" t="s">
        <v>98</v>
      </c>
      <c r="D4" s="11" t="s">
        <v>23</v>
      </c>
      <c r="E4" s="11" t="s">
        <v>149</v>
      </c>
      <c r="F4" s="5" t="s">
        <v>25</v>
      </c>
      <c r="G4" s="17">
        <v>71500</v>
      </c>
      <c r="H4" s="11" t="s">
        <v>58</v>
      </c>
      <c r="I4" s="11" t="s">
        <v>62</v>
      </c>
      <c r="J4" s="12">
        <v>0.68402777777777779</v>
      </c>
      <c r="K4" s="13">
        <v>0.69444444444444453</v>
      </c>
      <c r="L4" s="12">
        <v>0.52777777777777779</v>
      </c>
      <c r="M4" s="13">
        <v>0.56180555555555556</v>
      </c>
      <c r="N4" s="11" t="s">
        <v>161</v>
      </c>
      <c r="O4" s="11" t="s">
        <v>112</v>
      </c>
      <c r="P4" s="11">
        <v>651</v>
      </c>
      <c r="Q4" s="11">
        <v>784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4">
        <f>A4</f>
        <v>43781</v>
      </c>
      <c r="B5" s="5" t="str">
        <f>B4</f>
        <v>WIZZAIR</v>
      </c>
      <c r="C5" s="11" t="s">
        <v>99</v>
      </c>
      <c r="D5" s="11" t="s">
        <v>23</v>
      </c>
      <c r="E5" s="11" t="s">
        <v>24</v>
      </c>
      <c r="F5" s="5" t="s">
        <v>25</v>
      </c>
      <c r="G5" s="17">
        <v>71500</v>
      </c>
      <c r="H5" s="11" t="s">
        <v>59</v>
      </c>
      <c r="I5" s="11" t="s">
        <v>63</v>
      </c>
      <c r="J5" s="12">
        <v>0.94444444444444453</v>
      </c>
      <c r="K5" s="13">
        <v>0.94930555555555562</v>
      </c>
      <c r="L5" s="12">
        <v>0.77430555555555547</v>
      </c>
      <c r="M5" s="13">
        <v>0.7729166666666667</v>
      </c>
      <c r="N5" s="11" t="s">
        <v>163</v>
      </c>
      <c r="O5" s="11" t="s">
        <v>162</v>
      </c>
      <c r="P5" s="11">
        <v>694</v>
      </c>
      <c r="Q5" s="11">
        <v>760</v>
      </c>
      <c r="R5" s="11">
        <v>0</v>
      </c>
      <c r="S5" s="11">
        <v>0</v>
      </c>
      <c r="T5" s="11">
        <v>0</v>
      </c>
      <c r="U5" s="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B5" sqref="B5"/>
    </sheetView>
  </sheetViews>
  <sheetFormatPr defaultRowHeight="15" x14ac:dyDescent="0.25"/>
  <cols>
    <col min="1" max="1" width="8.7109375" bestFit="1" customWidth="1"/>
    <col min="2" max="2" width="12.42578125" bestFit="1" customWidth="1"/>
    <col min="3" max="3" width="13.7109375" bestFit="1" customWidth="1"/>
    <col min="4" max="4" width="5.7109375" bestFit="1" customWidth="1"/>
    <col min="6" max="6" width="17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43782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0.46180555555555558</v>
      </c>
      <c r="K2" s="8">
        <v>0.46388888888888885</v>
      </c>
      <c r="L2" s="7">
        <v>0.25694444444444448</v>
      </c>
      <c r="M2" s="8">
        <v>0.26180555555555557</v>
      </c>
      <c r="N2" s="3" t="s">
        <v>166</v>
      </c>
      <c r="O2" s="9" t="s">
        <v>164</v>
      </c>
      <c r="P2" s="9">
        <v>875</v>
      </c>
      <c r="Q2" s="9">
        <v>868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43782</v>
      </c>
      <c r="B3" s="5" t="s">
        <v>21</v>
      </c>
      <c r="C3" s="5" t="s">
        <v>28</v>
      </c>
      <c r="D3" s="5" t="s">
        <v>23</v>
      </c>
      <c r="E3" s="5" t="s">
        <v>149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0.50694444444444442</v>
      </c>
      <c r="K3" s="8">
        <v>0.50624999999999998</v>
      </c>
      <c r="L3" s="7">
        <v>0.30208333333333331</v>
      </c>
      <c r="M3" s="8">
        <f>L3</f>
        <v>0.30208333333333331</v>
      </c>
      <c r="N3" s="3" t="s">
        <v>167</v>
      </c>
      <c r="O3" s="9" t="s">
        <v>165</v>
      </c>
      <c r="P3" s="5">
        <v>628</v>
      </c>
      <c r="Q3" s="9">
        <v>1189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43782</v>
      </c>
      <c r="B4" s="5" t="s">
        <v>21</v>
      </c>
      <c r="C4" s="5" t="s">
        <v>70</v>
      </c>
      <c r="D4" s="5" t="s">
        <v>23</v>
      </c>
      <c r="E4" s="5" t="s">
        <v>24</v>
      </c>
      <c r="F4" s="5" t="s">
        <v>25</v>
      </c>
      <c r="G4" s="6">
        <v>71500</v>
      </c>
      <c r="H4" s="5" t="s">
        <v>32</v>
      </c>
      <c r="I4" s="5" t="s">
        <v>33</v>
      </c>
      <c r="J4" s="7">
        <v>0.65972222222222221</v>
      </c>
      <c r="K4" s="2">
        <v>0.65347222222222223</v>
      </c>
      <c r="L4" s="7">
        <v>0.49305555555555558</v>
      </c>
      <c r="M4" s="8">
        <v>0.50416666666666665</v>
      </c>
      <c r="N4" s="3" t="s">
        <v>177</v>
      </c>
      <c r="O4" s="9" t="s">
        <v>105</v>
      </c>
      <c r="P4" s="9">
        <v>896</v>
      </c>
      <c r="Q4" s="9">
        <v>851</v>
      </c>
      <c r="R4" s="5">
        <v>0</v>
      </c>
      <c r="S4" s="5">
        <v>0</v>
      </c>
      <c r="T4" s="5">
        <v>0</v>
      </c>
      <c r="U4" s="5">
        <v>0</v>
      </c>
    </row>
    <row r="5" spans="1:21" x14ac:dyDescent="0.25">
      <c r="A5" s="4">
        <f>A4</f>
        <v>43782</v>
      </c>
      <c r="B5" s="5" t="s">
        <v>21</v>
      </c>
      <c r="C5" s="5" t="s">
        <v>71</v>
      </c>
      <c r="D5" s="5" t="s">
        <v>23</v>
      </c>
      <c r="E5" s="5" t="s">
        <v>149</v>
      </c>
      <c r="F5" s="5" t="s">
        <v>25</v>
      </c>
      <c r="G5" s="6">
        <v>71500</v>
      </c>
      <c r="H5" s="5" t="s">
        <v>72</v>
      </c>
      <c r="I5" s="5" t="s">
        <v>73</v>
      </c>
      <c r="J5" s="7">
        <v>0.77083333333333337</v>
      </c>
      <c r="K5" s="2">
        <v>0.77222222222222225</v>
      </c>
      <c r="L5" s="7">
        <v>0.53819444444444442</v>
      </c>
      <c r="M5" s="8">
        <v>0.5444444444444444</v>
      </c>
      <c r="N5" s="3" t="s">
        <v>128</v>
      </c>
      <c r="O5" s="9" t="s">
        <v>168</v>
      </c>
      <c r="P5" s="5">
        <v>622</v>
      </c>
      <c r="Q5" s="9">
        <v>1327</v>
      </c>
      <c r="R5" s="5">
        <v>0</v>
      </c>
      <c r="S5" s="5">
        <v>0</v>
      </c>
      <c r="T5" s="5">
        <v>0</v>
      </c>
      <c r="U5" s="5">
        <v>0</v>
      </c>
    </row>
    <row r="6" spans="1:21" x14ac:dyDescent="0.25">
      <c r="A6" s="4">
        <f>A5</f>
        <v>43782</v>
      </c>
      <c r="B6" s="5" t="s">
        <v>21</v>
      </c>
      <c r="C6" s="3" t="s">
        <v>74</v>
      </c>
      <c r="D6" s="3" t="s">
        <v>23</v>
      </c>
      <c r="E6" s="5" t="s">
        <v>24</v>
      </c>
      <c r="F6" s="3" t="s">
        <v>25</v>
      </c>
      <c r="G6" s="6">
        <f>G4</f>
        <v>71500</v>
      </c>
      <c r="H6" s="3" t="s">
        <v>75</v>
      </c>
      <c r="I6" s="3" t="s">
        <v>76</v>
      </c>
      <c r="J6" s="10">
        <v>0.86805555555555547</v>
      </c>
      <c r="K6" s="2">
        <v>0.86249999999999993</v>
      </c>
      <c r="L6" s="10">
        <v>0.68055555555555547</v>
      </c>
      <c r="M6" s="2">
        <v>0.6875</v>
      </c>
      <c r="N6" s="3" t="s">
        <v>104</v>
      </c>
      <c r="O6" s="3" t="s">
        <v>178</v>
      </c>
      <c r="P6" s="3">
        <v>896</v>
      </c>
      <c r="Q6" s="9">
        <v>875</v>
      </c>
      <c r="R6" s="3">
        <v>0</v>
      </c>
      <c r="S6" s="3">
        <v>0</v>
      </c>
      <c r="T6" s="3">
        <v>0</v>
      </c>
      <c r="U6" s="3">
        <v>0</v>
      </c>
    </row>
    <row r="7" spans="1:21" s="18" customFormat="1" ht="12.75" x14ac:dyDescent="0.2">
      <c r="A7" s="4">
        <f>A6</f>
        <v>43782</v>
      </c>
      <c r="B7" s="5" t="s">
        <v>169</v>
      </c>
      <c r="C7" s="3" t="s">
        <v>170</v>
      </c>
      <c r="D7" s="3" t="s">
        <v>171</v>
      </c>
      <c r="E7" s="5" t="s">
        <v>172</v>
      </c>
      <c r="F7" s="3" t="s">
        <v>173</v>
      </c>
      <c r="G7" s="17">
        <v>6400</v>
      </c>
      <c r="H7" s="3" t="s">
        <v>174</v>
      </c>
      <c r="I7" s="3" t="s">
        <v>175</v>
      </c>
      <c r="J7" s="13" t="s">
        <v>176</v>
      </c>
      <c r="K7" s="13">
        <v>0.45902777777777781</v>
      </c>
      <c r="L7" s="13" t="s">
        <v>176</v>
      </c>
      <c r="M7" s="13">
        <v>0.57500000000000007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7">
        <v>0</v>
      </c>
      <c r="T7" s="11">
        <v>0</v>
      </c>
      <c r="U7" s="1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U2" sqref="U2"/>
    </sheetView>
  </sheetViews>
  <sheetFormatPr defaultRowHeight="15" x14ac:dyDescent="0.25"/>
  <cols>
    <col min="2" max="2" width="22.28515625" customWidth="1"/>
    <col min="3" max="3" width="14" customWidth="1"/>
    <col min="5" max="5" width="15.85546875" customWidth="1"/>
    <col min="6" max="6" width="18.28515625" customWidth="1"/>
    <col min="14" max="14" width="17.42578125" customWidth="1"/>
    <col min="15" max="15" width="17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43783</v>
      </c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6">
        <v>8980</v>
      </c>
      <c r="H2" s="5" t="s">
        <v>182</v>
      </c>
      <c r="I2" s="5" t="s">
        <v>182</v>
      </c>
      <c r="J2" s="7">
        <v>0.54861111111111105</v>
      </c>
      <c r="K2" s="8">
        <v>0.58194444444444449</v>
      </c>
      <c r="L2" s="7">
        <v>0.58333333333333337</v>
      </c>
      <c r="M2" s="8">
        <v>0.61458333333333337</v>
      </c>
      <c r="N2" s="3">
        <v>1</v>
      </c>
      <c r="O2" s="9">
        <v>0</v>
      </c>
      <c r="P2" s="9">
        <v>0</v>
      </c>
      <c r="Q2" s="9">
        <v>0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/>
      <c r="B3" s="5"/>
      <c r="C3" s="5"/>
      <c r="D3" s="5"/>
      <c r="E3" s="5"/>
      <c r="F3" s="5"/>
      <c r="G3" s="6"/>
      <c r="H3" s="5"/>
      <c r="I3" s="5"/>
      <c r="J3" s="7"/>
      <c r="K3" s="8"/>
      <c r="L3" s="7"/>
      <c r="M3" s="8"/>
      <c r="N3" s="3"/>
      <c r="O3" s="9"/>
      <c r="P3" s="5"/>
      <c r="Q3" s="9"/>
      <c r="R3" s="5"/>
      <c r="S3" s="5"/>
      <c r="T3" s="5"/>
      <c r="U3" s="5"/>
    </row>
    <row r="4" spans="1:21" x14ac:dyDescent="0.25">
      <c r="A4" s="4"/>
      <c r="B4" s="3"/>
      <c r="C4" s="3"/>
      <c r="D4" s="3"/>
      <c r="E4" s="5"/>
      <c r="F4" s="3"/>
      <c r="G4" s="6"/>
      <c r="H4" s="5"/>
      <c r="I4" s="5"/>
      <c r="J4" s="12"/>
      <c r="K4" s="2"/>
      <c r="L4" s="12"/>
      <c r="M4" s="13"/>
      <c r="N4" s="3"/>
      <c r="O4" s="11"/>
      <c r="P4" s="11"/>
      <c r="Q4" s="9"/>
      <c r="R4" s="3"/>
      <c r="S4" s="3"/>
      <c r="T4" s="3"/>
      <c r="U4" s="3"/>
    </row>
    <row r="5" spans="1:21" x14ac:dyDescent="0.25">
      <c r="A5" s="4"/>
      <c r="B5" s="3"/>
      <c r="C5" s="3"/>
      <c r="D5" s="3"/>
      <c r="E5" s="5"/>
      <c r="F5" s="3"/>
      <c r="G5" s="6"/>
      <c r="H5" s="3"/>
      <c r="I5" s="3"/>
      <c r="J5" s="10"/>
      <c r="K5" s="2"/>
      <c r="L5" s="10"/>
      <c r="M5" s="2"/>
      <c r="N5" s="3"/>
      <c r="O5" s="3"/>
      <c r="P5" s="3"/>
      <c r="Q5" s="9"/>
      <c r="R5" s="3"/>
      <c r="S5" s="3"/>
      <c r="T5" s="3"/>
      <c r="U5" s="3"/>
    </row>
    <row r="6" spans="1:21" x14ac:dyDescent="0.25">
      <c r="A6" s="4"/>
      <c r="B6" s="3"/>
      <c r="C6" s="3"/>
      <c r="D6" s="3"/>
      <c r="E6" s="5"/>
      <c r="F6" s="3"/>
      <c r="G6" s="6"/>
      <c r="H6" s="5"/>
      <c r="I6" s="5"/>
      <c r="J6" s="12"/>
      <c r="K6" s="2"/>
      <c r="L6" s="12"/>
      <c r="M6" s="13"/>
      <c r="N6" s="3"/>
      <c r="O6" s="11"/>
      <c r="P6" s="11"/>
      <c r="Q6" s="9"/>
      <c r="R6" s="3"/>
      <c r="S6" s="3"/>
      <c r="T6" s="3"/>
      <c r="U6" s="3"/>
    </row>
    <row r="7" spans="1:21" x14ac:dyDescent="0.25">
      <c r="A7" s="4"/>
      <c r="B7" s="11"/>
      <c r="C7" s="11"/>
      <c r="D7" s="11"/>
      <c r="E7" s="5"/>
      <c r="F7" s="11"/>
      <c r="G7" s="6"/>
      <c r="H7" s="11"/>
      <c r="I7" s="11"/>
      <c r="J7" s="12"/>
      <c r="K7" s="2"/>
      <c r="L7" s="12"/>
      <c r="M7" s="13"/>
      <c r="N7" s="3"/>
      <c r="O7" s="3"/>
      <c r="P7" s="3"/>
      <c r="Q7" s="9"/>
      <c r="R7" s="11"/>
      <c r="S7" s="11"/>
      <c r="T7" s="11"/>
      <c r="U7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6" sqref="K6"/>
    </sheetView>
  </sheetViews>
  <sheetFormatPr defaultRowHeight="15" x14ac:dyDescent="0.25"/>
  <cols>
    <col min="4" max="4" width="5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43784</v>
      </c>
      <c r="B2" s="5" t="s">
        <v>21</v>
      </c>
      <c r="C2" s="5" t="s">
        <v>22</v>
      </c>
      <c r="D2" s="5" t="s">
        <v>23</v>
      </c>
      <c r="E2" s="5" t="s">
        <v>184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0.46180555555555558</v>
      </c>
      <c r="K2" s="8">
        <v>0.46875</v>
      </c>
      <c r="L2" s="7">
        <v>0.25694444444444448</v>
      </c>
      <c r="M2" s="8">
        <v>0.2673611111111111</v>
      </c>
      <c r="N2" s="3" t="s">
        <v>187</v>
      </c>
      <c r="O2" s="9" t="s">
        <v>186</v>
      </c>
      <c r="P2" s="9">
        <v>694</v>
      </c>
      <c r="Q2" s="9">
        <v>984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43784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0.50694444444444442</v>
      </c>
      <c r="K3" s="8">
        <v>0.50416666666666665</v>
      </c>
      <c r="L3" s="7">
        <v>0.30208333333333331</v>
      </c>
      <c r="M3" s="8">
        <v>0.31944444444444448</v>
      </c>
      <c r="N3" s="3" t="s">
        <v>188</v>
      </c>
      <c r="O3" s="9" t="s">
        <v>50</v>
      </c>
      <c r="P3" s="5">
        <v>615</v>
      </c>
      <c r="Q3" s="9">
        <v>1016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ref="A4:A6" si="0">A3</f>
        <v>43784</v>
      </c>
      <c r="B4" s="3" t="s">
        <v>21</v>
      </c>
      <c r="C4" s="3" t="s">
        <v>31</v>
      </c>
      <c r="D4" s="3" t="s">
        <v>23</v>
      </c>
      <c r="E4" s="5" t="s">
        <v>185</v>
      </c>
      <c r="F4" s="3" t="s">
        <v>25</v>
      </c>
      <c r="G4" s="6">
        <v>71500</v>
      </c>
      <c r="H4" s="5" t="s">
        <v>32</v>
      </c>
      <c r="I4" s="5" t="s">
        <v>33</v>
      </c>
      <c r="J4" s="12">
        <v>0.65972222222222221</v>
      </c>
      <c r="K4" s="2">
        <v>0.65833333333333333</v>
      </c>
      <c r="L4" s="12">
        <v>0.49305555555555558</v>
      </c>
      <c r="M4" s="13">
        <v>0.50694444444444442</v>
      </c>
      <c r="N4" s="3" t="s">
        <v>66</v>
      </c>
      <c r="O4" s="11" t="s">
        <v>189</v>
      </c>
      <c r="P4" s="11">
        <v>606</v>
      </c>
      <c r="Q4" s="9">
        <v>723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43784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38</v>
      </c>
      <c r="I5" s="3" t="s">
        <v>39</v>
      </c>
      <c r="J5" s="10">
        <v>0.68055555555555547</v>
      </c>
      <c r="K5" s="2">
        <v>0.68333333333333324</v>
      </c>
      <c r="L5" s="10">
        <v>0.52777777777777779</v>
      </c>
      <c r="M5" s="2">
        <v>0.54166666666666663</v>
      </c>
      <c r="N5" s="3" t="s">
        <v>111</v>
      </c>
      <c r="O5" s="3" t="s">
        <v>80</v>
      </c>
      <c r="P5" s="3">
        <v>545</v>
      </c>
      <c r="Q5" s="9">
        <v>682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43784</v>
      </c>
      <c r="B6" s="3" t="s">
        <v>21</v>
      </c>
      <c r="C6" s="3" t="s">
        <v>35</v>
      </c>
      <c r="D6" s="3" t="s">
        <v>23</v>
      </c>
      <c r="E6" s="5" t="s">
        <v>185</v>
      </c>
      <c r="F6" s="3" t="s">
        <v>25</v>
      </c>
      <c r="G6" s="6">
        <v>71500</v>
      </c>
      <c r="H6" s="5" t="s">
        <v>40</v>
      </c>
      <c r="I6" s="5" t="s">
        <v>41</v>
      </c>
      <c r="J6" s="12">
        <v>0.91319444444444453</v>
      </c>
      <c r="K6" s="2">
        <v>0.91666666666666663</v>
      </c>
      <c r="L6" s="12">
        <v>0.69097222222222221</v>
      </c>
      <c r="M6" s="13">
        <v>0.7055555555555556</v>
      </c>
      <c r="N6" s="3" t="s">
        <v>190</v>
      </c>
      <c r="O6" s="11" t="s">
        <v>191</v>
      </c>
      <c r="P6" s="11">
        <v>281</v>
      </c>
      <c r="Q6" s="9">
        <v>620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sqref="A1:U5"/>
    </sheetView>
  </sheetViews>
  <sheetFormatPr defaultRowHeight="15" x14ac:dyDescent="0.25"/>
  <cols>
    <col min="3" max="3" width="14" customWidth="1"/>
    <col min="5" max="5" width="15.85546875" customWidth="1"/>
    <col min="6" max="6" width="14.28515625" customWidth="1"/>
    <col min="12" max="12" width="11" bestFit="1" customWidth="1"/>
    <col min="13" max="13" width="10.85546875" bestFit="1" customWidth="1"/>
    <col min="14" max="14" width="17.42578125" customWidth="1"/>
    <col min="15" max="15" width="17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43785</v>
      </c>
      <c r="B2" s="5" t="s">
        <v>21</v>
      </c>
      <c r="C2" s="5" t="s">
        <v>52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56</v>
      </c>
      <c r="I2" s="5" t="s">
        <v>60</v>
      </c>
      <c r="J2" s="7">
        <v>0.50694444444444442</v>
      </c>
      <c r="K2" s="8">
        <v>0.50624999999999998</v>
      </c>
      <c r="L2" s="7">
        <v>0.32291666666666669</v>
      </c>
      <c r="M2" s="8">
        <v>0.32291666666666669</v>
      </c>
      <c r="N2" s="3" t="s">
        <v>193</v>
      </c>
      <c r="O2" s="9" t="s">
        <v>192</v>
      </c>
      <c r="P2" s="9">
        <v>887</v>
      </c>
      <c r="Q2" s="9">
        <v>971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43785</v>
      </c>
      <c r="B3" s="5" t="s">
        <v>21</v>
      </c>
      <c r="C3" s="5" t="s">
        <v>53</v>
      </c>
      <c r="D3" s="5" t="s">
        <v>23</v>
      </c>
      <c r="E3" s="5" t="s">
        <v>185</v>
      </c>
      <c r="F3" s="5" t="s">
        <v>25</v>
      </c>
      <c r="G3" s="6">
        <v>71500</v>
      </c>
      <c r="H3" s="5" t="s">
        <v>57</v>
      </c>
      <c r="I3" s="5" t="s">
        <v>61</v>
      </c>
      <c r="J3" s="7">
        <v>0.71527777777777779</v>
      </c>
      <c r="K3" s="8">
        <v>0.70277777777777783</v>
      </c>
      <c r="L3" s="7">
        <v>0.5</v>
      </c>
      <c r="M3" s="8">
        <v>0.5083333333333333</v>
      </c>
      <c r="N3" s="3" t="s">
        <v>196</v>
      </c>
      <c r="O3" s="9" t="s">
        <v>194</v>
      </c>
      <c r="P3" s="11">
        <v>947</v>
      </c>
      <c r="Q3" s="9">
        <v>687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43785</v>
      </c>
      <c r="B4" s="3" t="s">
        <v>21</v>
      </c>
      <c r="C4" s="3" t="s">
        <v>54</v>
      </c>
      <c r="D4" s="3" t="s">
        <v>23</v>
      </c>
      <c r="E4" s="5" t="s">
        <v>24</v>
      </c>
      <c r="F4" s="3" t="s">
        <v>25</v>
      </c>
      <c r="G4" s="6">
        <v>71500</v>
      </c>
      <c r="H4" s="5" t="s">
        <v>58</v>
      </c>
      <c r="I4" s="5" t="s">
        <v>62</v>
      </c>
      <c r="J4" s="12">
        <v>0.68402777777777779</v>
      </c>
      <c r="K4" s="2">
        <v>0.67291666666666661</v>
      </c>
      <c r="L4" s="12">
        <v>0.52777777777777779</v>
      </c>
      <c r="M4" s="13">
        <v>0.5395833333333333</v>
      </c>
      <c r="N4" s="3" t="s">
        <v>195</v>
      </c>
      <c r="O4" s="11" t="s">
        <v>48</v>
      </c>
      <c r="P4" s="5">
        <v>1083</v>
      </c>
      <c r="Q4" s="9">
        <v>1016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>A4</f>
        <v>43785</v>
      </c>
      <c r="B5" s="3" t="s">
        <v>21</v>
      </c>
      <c r="C5" s="3" t="s">
        <v>55</v>
      </c>
      <c r="D5" s="3" t="s">
        <v>23</v>
      </c>
      <c r="E5" s="5" t="str">
        <f>E3</f>
        <v>HALYR</v>
      </c>
      <c r="F5" s="3" t="s">
        <v>25</v>
      </c>
      <c r="G5" s="6">
        <v>71500</v>
      </c>
      <c r="H5" s="3" t="s">
        <v>59</v>
      </c>
      <c r="I5" s="3" t="s">
        <v>63</v>
      </c>
      <c r="J5" s="10">
        <v>0.94444444444444453</v>
      </c>
      <c r="K5" s="2">
        <v>0.94236111111111109</v>
      </c>
      <c r="L5" s="10">
        <v>0.77430555555555547</v>
      </c>
      <c r="M5" s="2">
        <v>0.7729166666666667</v>
      </c>
      <c r="N5" s="3" t="s">
        <v>198</v>
      </c>
      <c r="O5" s="3" t="s">
        <v>197</v>
      </c>
      <c r="P5" s="3">
        <v>499</v>
      </c>
      <c r="Q5" s="9">
        <v>655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/>
      <c r="B6" s="3"/>
      <c r="C6" s="3"/>
      <c r="D6" s="3"/>
      <c r="E6" s="5"/>
      <c r="F6" s="3"/>
      <c r="G6" s="6"/>
      <c r="H6" s="5"/>
      <c r="I6" s="5"/>
      <c r="J6" s="12"/>
      <c r="K6" s="2"/>
      <c r="L6" s="12"/>
      <c r="M6" s="13"/>
      <c r="N6" s="3"/>
      <c r="O6" s="11"/>
      <c r="P6" s="11"/>
      <c r="Q6" s="9"/>
      <c r="R6" s="3"/>
      <c r="S6" s="3"/>
      <c r="T6" s="3"/>
      <c r="U6" s="3"/>
    </row>
    <row r="7" spans="1:21" x14ac:dyDescent="0.25">
      <c r="A7" s="4"/>
      <c r="B7" s="11"/>
      <c r="C7" s="11"/>
      <c r="D7" s="11"/>
      <c r="E7" s="5"/>
      <c r="F7" s="11"/>
      <c r="G7" s="6"/>
      <c r="H7" s="11"/>
      <c r="I7" s="11"/>
      <c r="J7" s="12"/>
      <c r="K7" s="2"/>
      <c r="L7" s="12"/>
      <c r="M7" s="13"/>
      <c r="N7" s="3"/>
      <c r="O7" s="3"/>
      <c r="P7" s="3"/>
      <c r="Q7" s="9"/>
      <c r="R7" s="11"/>
      <c r="S7" s="11"/>
      <c r="T7" s="11"/>
      <c r="U7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4" sqref="K4"/>
    </sheetView>
  </sheetViews>
  <sheetFormatPr defaultRowHeight="15" x14ac:dyDescent="0.25"/>
  <cols>
    <col min="3" max="3" width="13.710937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43786</v>
      </c>
      <c r="B2" s="5" t="s">
        <v>21</v>
      </c>
      <c r="C2" s="5" t="s">
        <v>31</v>
      </c>
      <c r="D2" s="5" t="s">
        <v>23</v>
      </c>
      <c r="E2" s="5" t="s">
        <v>199</v>
      </c>
      <c r="F2" s="5" t="s">
        <v>25</v>
      </c>
      <c r="G2" s="6">
        <v>71500</v>
      </c>
      <c r="H2" s="5" t="s">
        <v>32</v>
      </c>
      <c r="I2" s="5" t="s">
        <v>33</v>
      </c>
      <c r="J2" s="7">
        <v>0.65972222222222221</v>
      </c>
      <c r="K2" s="2">
        <v>0.66111111111111109</v>
      </c>
      <c r="L2" s="7">
        <v>0.49305555555555558</v>
      </c>
      <c r="M2" s="8">
        <f>L2</f>
        <v>0.49305555555555558</v>
      </c>
      <c r="N2" s="3" t="s">
        <v>105</v>
      </c>
      <c r="O2" s="9" t="s">
        <v>201</v>
      </c>
      <c r="P2" s="9">
        <v>1034</v>
      </c>
      <c r="Q2" s="9">
        <v>593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43786</v>
      </c>
      <c r="B3" s="5" t="s">
        <v>21</v>
      </c>
      <c r="C3" s="5" t="s">
        <v>140</v>
      </c>
      <c r="D3" s="5" t="s">
        <v>23</v>
      </c>
      <c r="E3" s="5" t="s">
        <v>200</v>
      </c>
      <c r="F3" s="5" t="s">
        <v>25</v>
      </c>
      <c r="G3" s="6">
        <v>71500</v>
      </c>
      <c r="H3" s="5" t="s">
        <v>72</v>
      </c>
      <c r="I3" s="5" t="s">
        <v>73</v>
      </c>
      <c r="J3" s="7">
        <v>0.77083333333333337</v>
      </c>
      <c r="K3" s="2">
        <v>0.7680555555555556</v>
      </c>
      <c r="L3" s="7">
        <v>0.53819444444444442</v>
      </c>
      <c r="M3" s="8">
        <v>0.53888888888888886</v>
      </c>
      <c r="N3" s="3" t="s">
        <v>203</v>
      </c>
      <c r="O3" s="9" t="s">
        <v>202</v>
      </c>
      <c r="P3" s="5">
        <v>837</v>
      </c>
      <c r="Q3" s="9">
        <v>1163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43786</v>
      </c>
      <c r="B4" s="5" t="s">
        <v>21</v>
      </c>
      <c r="C4" s="5" t="s">
        <v>141</v>
      </c>
      <c r="D4" s="3" t="s">
        <v>23</v>
      </c>
      <c r="E4" s="5" t="str">
        <f>E2</f>
        <v>HA-LYG</v>
      </c>
      <c r="F4" s="3" t="s">
        <v>25</v>
      </c>
      <c r="G4" s="6">
        <f>G2</f>
        <v>71500</v>
      </c>
      <c r="H4" s="3" t="s">
        <v>75</v>
      </c>
      <c r="I4" s="3" t="s">
        <v>76</v>
      </c>
      <c r="J4" s="10">
        <v>0.86805555555555547</v>
      </c>
      <c r="K4" s="2">
        <v>0.88124999999999998</v>
      </c>
      <c r="L4" s="10">
        <v>0.68055555555555547</v>
      </c>
      <c r="M4" s="2">
        <v>0.69097222222222221</v>
      </c>
      <c r="N4" s="3" t="s">
        <v>204</v>
      </c>
      <c r="O4" s="3" t="s">
        <v>189</v>
      </c>
      <c r="P4" s="3">
        <v>1375</v>
      </c>
      <c r="Q4" s="9">
        <v>790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/>
      <c r="B5" s="5"/>
      <c r="C5" s="3"/>
      <c r="D5" s="3"/>
      <c r="E5" s="5"/>
      <c r="F5" s="3"/>
      <c r="G5" s="6"/>
      <c r="H5" s="3"/>
      <c r="I5" s="3"/>
      <c r="J5" s="14"/>
      <c r="K5" s="2"/>
      <c r="L5" s="14"/>
      <c r="M5" s="15"/>
      <c r="N5" s="3"/>
      <c r="O5" s="3"/>
      <c r="P5" s="16"/>
      <c r="Q5" s="9"/>
      <c r="R5" s="3"/>
      <c r="S5" s="3"/>
      <c r="T5" s="3"/>
      <c r="U5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C1" workbookViewId="0">
      <selection activeCell="K11" sqref="K11"/>
    </sheetView>
  </sheetViews>
  <sheetFormatPr defaultRowHeight="15" x14ac:dyDescent="0.25"/>
  <cols>
    <col min="3" max="3" width="15" bestFit="1" customWidth="1"/>
    <col min="4" max="4" width="5.7109375" bestFit="1" customWidth="1"/>
    <col min="5" max="5" width="14.85546875" bestFit="1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43787</v>
      </c>
      <c r="B2" s="5" t="s">
        <v>21</v>
      </c>
      <c r="C2" s="11" t="s">
        <v>83</v>
      </c>
      <c r="D2" s="11" t="s">
        <v>23</v>
      </c>
      <c r="E2" s="11" t="s">
        <v>185</v>
      </c>
      <c r="F2" s="5" t="s">
        <v>25</v>
      </c>
      <c r="G2" s="17">
        <v>71500</v>
      </c>
      <c r="H2" s="11" t="s">
        <v>26</v>
      </c>
      <c r="I2" s="11" t="s">
        <v>27</v>
      </c>
      <c r="J2" s="12">
        <v>0.46180555555555558</v>
      </c>
      <c r="K2" s="13">
        <v>0.4604166666666667</v>
      </c>
      <c r="L2" s="12">
        <v>0.25694444444444448</v>
      </c>
      <c r="M2" s="13">
        <v>0.26180555555555557</v>
      </c>
      <c r="N2" s="11" t="s">
        <v>205</v>
      </c>
      <c r="O2" s="11" t="s">
        <v>77</v>
      </c>
      <c r="P2" s="11">
        <v>788</v>
      </c>
      <c r="Q2" s="11">
        <v>803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4">
        <f>A2</f>
        <v>43787</v>
      </c>
      <c r="B3" s="5" t="s">
        <v>21</v>
      </c>
      <c r="C3" s="11" t="s">
        <v>84</v>
      </c>
      <c r="D3" s="11" t="s">
        <v>23</v>
      </c>
      <c r="E3" s="11" t="s">
        <v>24</v>
      </c>
      <c r="F3" s="5" t="s">
        <v>25</v>
      </c>
      <c r="G3" s="17">
        <v>71500</v>
      </c>
      <c r="H3" s="11" t="s">
        <v>29</v>
      </c>
      <c r="I3" s="11" t="s">
        <v>30</v>
      </c>
      <c r="J3" s="12">
        <v>0.50694444444444442</v>
      </c>
      <c r="K3" s="13">
        <v>0.50624999999999998</v>
      </c>
      <c r="L3" s="12">
        <v>0.30208333333333331</v>
      </c>
      <c r="M3" s="13">
        <v>0.30138888888888887</v>
      </c>
      <c r="N3" s="11" t="s">
        <v>206</v>
      </c>
      <c r="O3" s="11" t="s">
        <v>124</v>
      </c>
      <c r="P3" s="11">
        <v>557</v>
      </c>
      <c r="Q3" s="11">
        <v>832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4">
        <f>A3</f>
        <v>43787</v>
      </c>
      <c r="B4" s="5" t="s">
        <v>21</v>
      </c>
      <c r="C4" s="11" t="s">
        <v>85</v>
      </c>
      <c r="D4" s="11" t="s">
        <v>23</v>
      </c>
      <c r="E4" s="11" t="s">
        <v>185</v>
      </c>
      <c r="F4" s="5" t="s">
        <v>25</v>
      </c>
      <c r="G4" s="17">
        <v>71500</v>
      </c>
      <c r="H4" s="11" t="s">
        <v>38</v>
      </c>
      <c r="I4" s="11" t="s">
        <v>39</v>
      </c>
      <c r="J4" s="12">
        <v>0.68055555555555547</v>
      </c>
      <c r="K4" s="13">
        <v>0.67152777777777783</v>
      </c>
      <c r="L4" s="12">
        <v>0.52777777777777779</v>
      </c>
      <c r="M4" s="13">
        <v>0.53611111111111109</v>
      </c>
      <c r="N4" s="11" t="s">
        <v>208</v>
      </c>
      <c r="O4" s="11" t="s">
        <v>207</v>
      </c>
      <c r="P4" s="11">
        <v>608</v>
      </c>
      <c r="Q4" s="11">
        <v>609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4">
        <f>A4</f>
        <v>43787</v>
      </c>
      <c r="B5" s="5" t="str">
        <f>B4</f>
        <v>WIZZAIR</v>
      </c>
      <c r="C5" s="11" t="s">
        <v>86</v>
      </c>
      <c r="D5" s="11" t="s">
        <v>23</v>
      </c>
      <c r="E5" s="11" t="s">
        <v>24</v>
      </c>
      <c r="F5" s="5" t="s">
        <v>25</v>
      </c>
      <c r="G5" s="17">
        <v>71500</v>
      </c>
      <c r="H5" s="11" t="s">
        <v>40</v>
      </c>
      <c r="I5" s="11" t="s">
        <v>41</v>
      </c>
      <c r="J5" s="12">
        <v>0.91319444444444453</v>
      </c>
      <c r="K5" s="13">
        <v>0.90208333333333324</v>
      </c>
      <c r="L5" s="12">
        <v>0.69097222222222221</v>
      </c>
      <c r="M5" s="13">
        <v>0.69166666666666676</v>
      </c>
      <c r="N5" s="11" t="s">
        <v>210</v>
      </c>
      <c r="O5" s="11" t="s">
        <v>209</v>
      </c>
      <c r="P5" s="11">
        <v>188</v>
      </c>
      <c r="Q5" s="11">
        <v>568</v>
      </c>
      <c r="R5" s="11">
        <v>0</v>
      </c>
      <c r="S5" s="11">
        <v>0</v>
      </c>
      <c r="T5" s="11">
        <v>0</v>
      </c>
      <c r="U5" s="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Q5" sqref="Q5"/>
    </sheetView>
  </sheetViews>
  <sheetFormatPr defaultRowHeight="15" x14ac:dyDescent="0.25"/>
  <cols>
    <col min="4" max="4" width="5.710937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43788</v>
      </c>
      <c r="B2" s="5" t="s">
        <v>21</v>
      </c>
      <c r="C2" s="11" t="s">
        <v>96</v>
      </c>
      <c r="D2" s="11" t="s">
        <v>23</v>
      </c>
      <c r="E2" s="11" t="s">
        <v>185</v>
      </c>
      <c r="F2" s="5" t="s">
        <v>25</v>
      </c>
      <c r="G2" s="17">
        <v>71500</v>
      </c>
      <c r="H2" s="11" t="s">
        <v>56</v>
      </c>
      <c r="I2" s="11" t="s">
        <v>60</v>
      </c>
      <c r="J2" s="12">
        <v>0.50694444444444442</v>
      </c>
      <c r="K2" s="13">
        <v>0.50624999999999998</v>
      </c>
      <c r="L2" s="12">
        <v>0.32291666666666669</v>
      </c>
      <c r="M2" s="13">
        <v>0.32916666666666666</v>
      </c>
      <c r="N2" s="11" t="s">
        <v>211</v>
      </c>
      <c r="O2" s="11" t="s">
        <v>211</v>
      </c>
      <c r="P2" s="11">
        <v>714</v>
      </c>
      <c r="Q2" s="11">
        <v>717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4">
        <f>A2</f>
        <v>43788</v>
      </c>
      <c r="B3" s="5" t="s">
        <v>21</v>
      </c>
      <c r="C3" s="11" t="s">
        <v>97</v>
      </c>
      <c r="D3" s="11" t="s">
        <v>23</v>
      </c>
      <c r="E3" s="11" t="s">
        <v>24</v>
      </c>
      <c r="F3" s="5" t="s">
        <v>25</v>
      </c>
      <c r="G3" s="17">
        <v>71500</v>
      </c>
      <c r="H3" s="11" t="s">
        <v>57</v>
      </c>
      <c r="I3" s="11" t="s">
        <v>61</v>
      </c>
      <c r="J3" s="12">
        <v>0.72916666666666663</v>
      </c>
      <c r="K3" s="13">
        <v>0.71805555555555556</v>
      </c>
      <c r="L3" s="12">
        <v>0.51388888888888895</v>
      </c>
      <c r="M3" s="13">
        <v>0.52569444444444446</v>
      </c>
      <c r="N3" s="11" t="s">
        <v>197</v>
      </c>
      <c r="O3" s="11" t="s">
        <v>194</v>
      </c>
      <c r="P3" s="11">
        <v>1039</v>
      </c>
      <c r="Q3" s="11">
        <v>783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4">
        <f>A3</f>
        <v>43788</v>
      </c>
      <c r="B4" s="5" t="s">
        <v>21</v>
      </c>
      <c r="C4" s="11" t="s">
        <v>98</v>
      </c>
      <c r="D4" s="11" t="s">
        <v>23</v>
      </c>
      <c r="E4" s="11" t="s">
        <v>185</v>
      </c>
      <c r="F4" s="5" t="s">
        <v>25</v>
      </c>
      <c r="G4" s="17">
        <v>71500</v>
      </c>
      <c r="H4" s="11" t="s">
        <v>58</v>
      </c>
      <c r="I4" s="11" t="s">
        <v>62</v>
      </c>
      <c r="J4" s="12">
        <v>0.68402777777777779</v>
      </c>
      <c r="K4" s="13">
        <v>0.68819444444444444</v>
      </c>
      <c r="L4" s="12">
        <v>0.52777777777777779</v>
      </c>
      <c r="M4" s="13">
        <v>0.55347222222222225</v>
      </c>
      <c r="N4" s="11" t="s">
        <v>152</v>
      </c>
      <c r="O4" s="11" t="s">
        <v>212</v>
      </c>
      <c r="P4" s="11">
        <v>766</v>
      </c>
      <c r="Q4" s="11">
        <v>496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4">
        <f>A4</f>
        <v>43788</v>
      </c>
      <c r="B5" s="5" t="str">
        <f>B4</f>
        <v>WIZZAIR</v>
      </c>
      <c r="C5" s="11" t="s">
        <v>99</v>
      </c>
      <c r="D5" s="11" t="s">
        <v>23</v>
      </c>
      <c r="E5" s="11" t="s">
        <v>24</v>
      </c>
      <c r="F5" s="5" t="s">
        <v>25</v>
      </c>
      <c r="G5" s="17">
        <v>71500</v>
      </c>
      <c r="H5" s="11" t="s">
        <v>59</v>
      </c>
      <c r="I5" s="11" t="s">
        <v>63</v>
      </c>
      <c r="J5" s="12">
        <v>0.94444444444444453</v>
      </c>
      <c r="K5" s="13">
        <v>0.9506944444444444</v>
      </c>
      <c r="L5" s="12">
        <v>0.77430555555555547</v>
      </c>
      <c r="M5" s="13">
        <v>0.77430555555555547</v>
      </c>
      <c r="N5" s="11" t="s">
        <v>213</v>
      </c>
      <c r="O5" s="11" t="s">
        <v>214</v>
      </c>
      <c r="P5" s="11">
        <v>484</v>
      </c>
      <c r="Q5" s="11">
        <v>502</v>
      </c>
      <c r="R5" s="11">
        <v>0</v>
      </c>
      <c r="S5" s="11">
        <v>0</v>
      </c>
      <c r="T5" s="11">
        <v>0</v>
      </c>
      <c r="U5" s="1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sqref="A1:U6"/>
    </sheetView>
  </sheetViews>
  <sheetFormatPr defaultRowHeight="15" x14ac:dyDescent="0.25"/>
  <cols>
    <col min="1" max="1" width="8.7109375" bestFit="1" customWidth="1"/>
    <col min="2" max="2" width="12.42578125" bestFit="1" customWidth="1"/>
    <col min="3" max="3" width="13.7109375" bestFit="1" customWidth="1"/>
    <col min="4" max="4" width="5.7109375" bestFit="1" customWidth="1"/>
    <col min="6" max="6" width="17.2851562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43789</v>
      </c>
      <c r="B2" s="5" t="s">
        <v>21</v>
      </c>
      <c r="C2" s="5" t="s">
        <v>22</v>
      </c>
      <c r="D2" s="5" t="s">
        <v>23</v>
      </c>
      <c r="E2" s="5" t="s">
        <v>185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0.46180555555555558</v>
      </c>
      <c r="K2" s="8">
        <v>0.4694444444444445</v>
      </c>
      <c r="L2" s="7">
        <v>0.25694444444444448</v>
      </c>
      <c r="M2" s="8">
        <v>0.26250000000000001</v>
      </c>
      <c r="N2" s="3" t="s">
        <v>216</v>
      </c>
      <c r="O2" s="9" t="s">
        <v>79</v>
      </c>
      <c r="P2" s="9">
        <v>885</v>
      </c>
      <c r="Q2" s="9">
        <v>649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43789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0.50694444444444442</v>
      </c>
      <c r="K3" s="8">
        <v>0.50069444444444444</v>
      </c>
      <c r="L3" s="7">
        <v>0.30208333333333331</v>
      </c>
      <c r="M3" s="8">
        <v>0.30624999999999997</v>
      </c>
      <c r="N3" s="3" t="s">
        <v>217</v>
      </c>
      <c r="O3" s="9" t="s">
        <v>215</v>
      </c>
      <c r="P3" s="5">
        <v>776</v>
      </c>
      <c r="Q3" s="9">
        <v>1081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43789</v>
      </c>
      <c r="B4" s="5" t="s">
        <v>21</v>
      </c>
      <c r="C4" s="5" t="s">
        <v>70</v>
      </c>
      <c r="D4" s="5" t="s">
        <v>23</v>
      </c>
      <c r="E4" s="5" t="s">
        <v>185</v>
      </c>
      <c r="F4" s="5" t="s">
        <v>25</v>
      </c>
      <c r="G4" s="6">
        <v>71500</v>
      </c>
      <c r="H4" s="5" t="s">
        <v>32</v>
      </c>
      <c r="I4" s="5" t="s">
        <v>33</v>
      </c>
      <c r="J4" s="7">
        <v>0.65972222222222221</v>
      </c>
      <c r="K4" s="2">
        <v>0.65763888888888888</v>
      </c>
      <c r="L4" s="7">
        <v>0.49305555555555558</v>
      </c>
      <c r="M4" s="8">
        <v>0.50624999999999998</v>
      </c>
      <c r="N4" s="3" t="s">
        <v>220</v>
      </c>
      <c r="O4" s="9" t="s">
        <v>218</v>
      </c>
      <c r="P4" s="9">
        <v>896</v>
      </c>
      <c r="Q4" s="9">
        <v>671</v>
      </c>
      <c r="R4" s="5">
        <v>0</v>
      </c>
      <c r="S4" s="5">
        <v>0</v>
      </c>
      <c r="T4" s="5">
        <v>0</v>
      </c>
      <c r="U4" s="5">
        <v>0</v>
      </c>
    </row>
    <row r="5" spans="1:21" x14ac:dyDescent="0.25">
      <c r="A5" s="4">
        <f>A4</f>
        <v>43789</v>
      </c>
      <c r="B5" s="5" t="s">
        <v>21</v>
      </c>
      <c r="C5" s="5" t="s">
        <v>71</v>
      </c>
      <c r="D5" s="5" t="s">
        <v>23</v>
      </c>
      <c r="E5" s="5" t="s">
        <v>24</v>
      </c>
      <c r="F5" s="5" t="s">
        <v>25</v>
      </c>
      <c r="G5" s="6">
        <v>71500</v>
      </c>
      <c r="H5" s="5" t="s">
        <v>72</v>
      </c>
      <c r="I5" s="5" t="s">
        <v>73</v>
      </c>
      <c r="J5" s="7">
        <v>0.77083333333333337</v>
      </c>
      <c r="K5" s="2">
        <v>0.77569444444444446</v>
      </c>
      <c r="L5" s="7">
        <v>0.53819444444444442</v>
      </c>
      <c r="M5" s="8">
        <v>0.54861111111111105</v>
      </c>
      <c r="N5" s="3" t="s">
        <v>221</v>
      </c>
      <c r="O5" s="9" t="s">
        <v>219</v>
      </c>
      <c r="P5" s="5">
        <v>964</v>
      </c>
      <c r="Q5" s="9">
        <v>1374</v>
      </c>
      <c r="R5" s="5">
        <v>0</v>
      </c>
      <c r="S5" s="5">
        <v>0</v>
      </c>
      <c r="T5" s="5">
        <v>0</v>
      </c>
      <c r="U5" s="5">
        <v>0</v>
      </c>
    </row>
    <row r="6" spans="1:21" x14ac:dyDescent="0.25">
      <c r="A6" s="4">
        <f>A5</f>
        <v>43789</v>
      </c>
      <c r="B6" s="5" t="s">
        <v>21</v>
      </c>
      <c r="C6" s="3" t="s">
        <v>74</v>
      </c>
      <c r="D6" s="3" t="s">
        <v>23</v>
      </c>
      <c r="E6" s="5" t="s">
        <v>185</v>
      </c>
      <c r="F6" s="3" t="s">
        <v>25</v>
      </c>
      <c r="G6" s="6">
        <f>G4</f>
        <v>71500</v>
      </c>
      <c r="H6" s="3" t="s">
        <v>75</v>
      </c>
      <c r="I6" s="3" t="s">
        <v>76</v>
      </c>
      <c r="J6" s="10">
        <v>0.86805555555555547</v>
      </c>
      <c r="K6" s="2">
        <v>0.86875000000000002</v>
      </c>
      <c r="L6" s="10">
        <v>0.68055555555555547</v>
      </c>
      <c r="M6" s="2">
        <v>0.69097222222222221</v>
      </c>
      <c r="N6" s="3" t="s">
        <v>222</v>
      </c>
      <c r="O6" s="3" t="s">
        <v>151</v>
      </c>
      <c r="P6" s="3">
        <v>714</v>
      </c>
      <c r="Q6" s="9">
        <v>705</v>
      </c>
      <c r="R6" s="3">
        <v>0</v>
      </c>
      <c r="S6" s="3">
        <v>0</v>
      </c>
      <c r="T6" s="3">
        <v>0</v>
      </c>
      <c r="U6" s="3">
        <v>0</v>
      </c>
    </row>
    <row r="7" spans="1:21" s="18" customFormat="1" ht="12.75" x14ac:dyDescent="0.2">
      <c r="A7" s="4"/>
      <c r="B7" s="5"/>
      <c r="C7" s="3"/>
      <c r="D7" s="3"/>
      <c r="E7" s="5"/>
      <c r="F7" s="3"/>
      <c r="G7" s="17"/>
      <c r="H7" s="3"/>
      <c r="I7" s="3"/>
      <c r="J7" s="13"/>
      <c r="K7" s="13"/>
      <c r="L7" s="13"/>
      <c r="M7" s="13"/>
      <c r="N7" s="11"/>
      <c r="O7" s="11"/>
      <c r="P7" s="11"/>
      <c r="Q7" s="11"/>
      <c r="R7" s="11"/>
      <c r="S7" s="17"/>
      <c r="T7" s="11"/>
      <c r="U7" s="11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U6"/>
    </sheetView>
  </sheetViews>
  <sheetFormatPr defaultRowHeight="15" x14ac:dyDescent="0.25"/>
  <cols>
    <col min="3" max="3" width="13.5703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43791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0.46180555555555558</v>
      </c>
      <c r="K2" s="8">
        <v>0.45763888888888887</v>
      </c>
      <c r="L2" s="7">
        <v>0.25694444444444448</v>
      </c>
      <c r="M2" s="8">
        <v>0.2638888888888889</v>
      </c>
      <c r="N2" s="3" t="s">
        <v>124</v>
      </c>
      <c r="O2" s="9" t="s">
        <v>89</v>
      </c>
      <c r="P2" s="9">
        <v>871</v>
      </c>
      <c r="Q2" s="9">
        <v>659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43791</v>
      </c>
      <c r="B3" s="5" t="s">
        <v>21</v>
      </c>
      <c r="C3" s="5" t="s">
        <v>28</v>
      </c>
      <c r="D3" s="5" t="s">
        <v>23</v>
      </c>
      <c r="E3" s="5" t="s">
        <v>185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0.50694444444444442</v>
      </c>
      <c r="K3" s="8">
        <v>0.50972222222222219</v>
      </c>
      <c r="L3" s="7">
        <v>0.30208333333333331</v>
      </c>
      <c r="M3" s="8">
        <v>0.31666666666666665</v>
      </c>
      <c r="N3" s="3" t="s">
        <v>225</v>
      </c>
      <c r="O3" s="9" t="s">
        <v>223</v>
      </c>
      <c r="P3" s="5">
        <v>475</v>
      </c>
      <c r="Q3" s="9">
        <v>814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ref="A4:A6" si="0">A3</f>
        <v>43791</v>
      </c>
      <c r="B4" s="3" t="s">
        <v>21</v>
      </c>
      <c r="C4" s="3" t="s">
        <v>31</v>
      </c>
      <c r="D4" s="3" t="s">
        <v>23</v>
      </c>
      <c r="E4" s="5" t="s">
        <v>24</v>
      </c>
      <c r="F4" s="3" t="s">
        <v>25</v>
      </c>
      <c r="G4" s="6">
        <v>71500</v>
      </c>
      <c r="H4" s="5" t="s">
        <v>32</v>
      </c>
      <c r="I4" s="5" t="s">
        <v>33</v>
      </c>
      <c r="J4" s="12">
        <v>0.65972222222222221</v>
      </c>
      <c r="K4" s="2">
        <v>0.65416666666666667</v>
      </c>
      <c r="L4" s="12">
        <v>0.49305555555555558</v>
      </c>
      <c r="M4" s="13">
        <v>0.49861111111111112</v>
      </c>
      <c r="N4" s="3" t="s">
        <v>132</v>
      </c>
      <c r="O4" s="11" t="s">
        <v>224</v>
      </c>
      <c r="P4" s="11">
        <v>637</v>
      </c>
      <c r="Q4" s="9">
        <v>710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43791</v>
      </c>
      <c r="B5" s="3" t="s">
        <v>21</v>
      </c>
      <c r="C5" s="3" t="s">
        <v>34</v>
      </c>
      <c r="D5" s="3" t="s">
        <v>23</v>
      </c>
      <c r="E5" s="5" t="s">
        <v>185</v>
      </c>
      <c r="F5" s="3" t="s">
        <v>25</v>
      </c>
      <c r="G5" s="6">
        <v>71500</v>
      </c>
      <c r="H5" s="3" t="s">
        <v>38</v>
      </c>
      <c r="I5" s="3" t="s">
        <v>39</v>
      </c>
      <c r="J5" s="10">
        <v>0.68055555555555547</v>
      </c>
      <c r="K5" s="2">
        <v>0.67847222222222225</v>
      </c>
      <c r="L5" s="10">
        <v>0.52777777777777779</v>
      </c>
      <c r="M5" s="2">
        <v>0.53749999999999998</v>
      </c>
      <c r="N5" s="3" t="s">
        <v>226</v>
      </c>
      <c r="O5" s="3" t="s">
        <v>79</v>
      </c>
      <c r="P5" s="3">
        <v>417</v>
      </c>
      <c r="Q5" s="9">
        <v>647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43791</v>
      </c>
      <c r="B6" s="3" t="s">
        <v>21</v>
      </c>
      <c r="C6" s="3" t="s">
        <v>35</v>
      </c>
      <c r="D6" s="3" t="s">
        <v>23</v>
      </c>
      <c r="E6" s="5" t="s">
        <v>24</v>
      </c>
      <c r="F6" s="3" t="s">
        <v>25</v>
      </c>
      <c r="G6" s="6">
        <v>71500</v>
      </c>
      <c r="H6" s="5" t="s">
        <v>40</v>
      </c>
      <c r="I6" s="5" t="s">
        <v>41</v>
      </c>
      <c r="J6" s="12">
        <v>0.91319444444444453</v>
      </c>
      <c r="K6" s="2">
        <v>0.90555555555555556</v>
      </c>
      <c r="L6" s="12">
        <v>0.69097222222222221</v>
      </c>
      <c r="M6" s="13">
        <v>0.6875</v>
      </c>
      <c r="N6" s="3" t="s">
        <v>228</v>
      </c>
      <c r="O6" s="11" t="s">
        <v>227</v>
      </c>
      <c r="P6" s="11">
        <v>465</v>
      </c>
      <c r="Q6" s="9">
        <v>499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G13" sqref="G13"/>
    </sheetView>
  </sheetViews>
  <sheetFormatPr defaultRowHeight="15" x14ac:dyDescent="0.25"/>
  <cols>
    <col min="1" max="1" width="10.140625" bestFit="1" customWidth="1"/>
    <col min="4" max="4" width="5.7109375" bestFit="1" customWidth="1"/>
    <col min="5" max="5" width="7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4">
        <v>43792</v>
      </c>
      <c r="B2" s="5" t="s">
        <v>21</v>
      </c>
      <c r="C2" s="5" t="s">
        <v>52</v>
      </c>
      <c r="D2" s="5" t="s">
        <v>23</v>
      </c>
      <c r="E2" s="5" t="s">
        <v>185</v>
      </c>
      <c r="F2" s="5" t="s">
        <v>25</v>
      </c>
      <c r="G2" s="6">
        <v>71500</v>
      </c>
      <c r="H2" s="5" t="s">
        <v>56</v>
      </c>
      <c r="I2" s="5" t="s">
        <v>60</v>
      </c>
      <c r="J2" s="7">
        <v>0.50694444444444442</v>
      </c>
      <c r="K2" s="8">
        <v>0.49583333333333335</v>
      </c>
      <c r="L2" s="7">
        <v>0.32291666666666669</v>
      </c>
      <c r="M2" s="8">
        <v>0.33124999999999999</v>
      </c>
      <c r="N2" s="3" t="s">
        <v>150</v>
      </c>
      <c r="O2" s="9" t="s">
        <v>50</v>
      </c>
      <c r="P2" s="9">
        <v>890</v>
      </c>
      <c r="Q2" s="9">
        <v>778</v>
      </c>
      <c r="R2" s="5">
        <v>0</v>
      </c>
      <c r="S2" s="5">
        <v>0</v>
      </c>
      <c r="T2" s="5">
        <v>0</v>
      </c>
      <c r="U2" s="5">
        <v>0</v>
      </c>
    </row>
    <row r="3" spans="1:22" x14ac:dyDescent="0.25">
      <c r="A3" s="4">
        <f>A2</f>
        <v>43792</v>
      </c>
      <c r="B3" s="5" t="s">
        <v>21</v>
      </c>
      <c r="C3" s="5" t="s">
        <v>53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57</v>
      </c>
      <c r="I3" s="5" t="s">
        <v>61</v>
      </c>
      <c r="J3" s="7">
        <v>0.71527777777777779</v>
      </c>
      <c r="K3" s="8">
        <v>0.70208333333333339</v>
      </c>
      <c r="L3" s="7">
        <v>0.5</v>
      </c>
      <c r="M3" s="8">
        <v>0.50069444444444444</v>
      </c>
      <c r="N3" s="3" t="s">
        <v>238</v>
      </c>
      <c r="O3" s="9" t="s">
        <v>151</v>
      </c>
      <c r="P3" s="11">
        <v>771</v>
      </c>
      <c r="Q3" s="9">
        <v>1065</v>
      </c>
      <c r="R3" s="5">
        <v>0</v>
      </c>
      <c r="S3" s="5">
        <v>0</v>
      </c>
      <c r="T3" s="5">
        <v>0</v>
      </c>
      <c r="U3" s="5">
        <v>0</v>
      </c>
    </row>
    <row r="4" spans="1:22" x14ac:dyDescent="0.25">
      <c r="A4" s="4">
        <f>A3</f>
        <v>43792</v>
      </c>
      <c r="B4" s="3" t="s">
        <v>21</v>
      </c>
      <c r="C4" s="3" t="s">
        <v>54</v>
      </c>
      <c r="D4" s="3" t="s">
        <v>23</v>
      </c>
      <c r="E4" s="5" t="s">
        <v>185</v>
      </c>
      <c r="F4" s="3" t="s">
        <v>25</v>
      </c>
      <c r="G4" s="6">
        <v>71500</v>
      </c>
      <c r="H4" s="5" t="s">
        <v>58</v>
      </c>
      <c r="I4" s="5" t="s">
        <v>62</v>
      </c>
      <c r="J4" s="12">
        <v>0.68402777777777779</v>
      </c>
      <c r="K4" s="2">
        <v>0.6645833333333333</v>
      </c>
      <c r="L4" s="12">
        <v>0.52777777777777779</v>
      </c>
      <c r="M4" s="13">
        <v>0.53680555555555554</v>
      </c>
      <c r="N4" s="3" t="s">
        <v>239</v>
      </c>
      <c r="O4" s="11" t="s">
        <v>229</v>
      </c>
      <c r="P4" s="5">
        <v>736</v>
      </c>
      <c r="Q4" s="9">
        <v>1162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4">
        <f>A4</f>
        <v>43792</v>
      </c>
      <c r="B5" s="3" t="s">
        <v>21</v>
      </c>
      <c r="C5" s="3" t="s">
        <v>55</v>
      </c>
      <c r="D5" s="3" t="s">
        <v>23</v>
      </c>
      <c r="E5" s="5" t="str">
        <f>E3</f>
        <v>HALYG</v>
      </c>
      <c r="F5" s="3" t="s">
        <v>25</v>
      </c>
      <c r="G5" s="6">
        <v>71500</v>
      </c>
      <c r="H5" s="3" t="s">
        <v>59</v>
      </c>
      <c r="I5" s="3" t="s">
        <v>63</v>
      </c>
      <c r="J5" s="10">
        <v>0.94444444444444453</v>
      </c>
      <c r="K5" s="2">
        <v>0.93333333333333324</v>
      </c>
      <c r="L5" s="10">
        <v>0.77430555555555547</v>
      </c>
      <c r="M5" s="2">
        <v>0.76458333333333339</v>
      </c>
      <c r="N5" s="3" t="s">
        <v>240</v>
      </c>
      <c r="O5" s="3" t="s">
        <v>189</v>
      </c>
      <c r="P5" s="3">
        <v>539</v>
      </c>
      <c r="Q5" s="9">
        <v>643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1">
        <v>43792</v>
      </c>
      <c r="B6" s="19" t="s">
        <v>230</v>
      </c>
      <c r="C6" s="19" t="s">
        <v>231</v>
      </c>
      <c r="D6" s="19" t="s">
        <v>232</v>
      </c>
      <c r="E6" s="19" t="s">
        <v>233</v>
      </c>
      <c r="F6" s="19" t="s">
        <v>234</v>
      </c>
      <c r="G6" s="17">
        <v>70000</v>
      </c>
      <c r="H6" s="11" t="s">
        <v>236</v>
      </c>
      <c r="I6" s="11" t="s">
        <v>237</v>
      </c>
      <c r="J6" s="13">
        <v>0.78125</v>
      </c>
      <c r="K6" s="13">
        <v>0.77222222222222225</v>
      </c>
      <c r="L6" s="13">
        <v>0.82291666666666663</v>
      </c>
      <c r="M6" s="13">
        <v>0.81041666666666667</v>
      </c>
      <c r="N6" s="11" t="s">
        <v>235</v>
      </c>
      <c r="O6" s="11" t="s">
        <v>235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20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B1" workbookViewId="0">
      <selection activeCell="K5" sqref="K5"/>
    </sheetView>
  </sheetViews>
  <sheetFormatPr defaultRowHeight="15" x14ac:dyDescent="0.25"/>
  <cols>
    <col min="3" max="3" width="13.710937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43793</v>
      </c>
      <c r="B2" s="5" t="s">
        <v>21</v>
      </c>
      <c r="C2" s="5" t="s">
        <v>31</v>
      </c>
      <c r="D2" s="5" t="s">
        <v>23</v>
      </c>
      <c r="E2" s="5" t="s">
        <v>185</v>
      </c>
      <c r="F2" s="5" t="s">
        <v>25</v>
      </c>
      <c r="G2" s="6">
        <v>71500</v>
      </c>
      <c r="H2" s="5" t="s">
        <v>32</v>
      </c>
      <c r="I2" s="5" t="s">
        <v>33</v>
      </c>
      <c r="J2" s="7">
        <v>0.65972222222222221</v>
      </c>
      <c r="K2" s="2">
        <v>0.65486111111111112</v>
      </c>
      <c r="L2" s="7">
        <v>0.49305555555555558</v>
      </c>
      <c r="M2" s="8">
        <v>0.49374999999999997</v>
      </c>
      <c r="N2" s="3" t="s">
        <v>78</v>
      </c>
      <c r="O2" s="9" t="s">
        <v>241</v>
      </c>
      <c r="P2" s="9">
        <v>810</v>
      </c>
      <c r="Q2" s="9">
        <v>818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43793</v>
      </c>
      <c r="B3" s="5" t="s">
        <v>21</v>
      </c>
      <c r="C3" s="5" t="s">
        <v>140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72</v>
      </c>
      <c r="I3" s="5" t="s">
        <v>73</v>
      </c>
      <c r="J3" s="7">
        <v>0.77083333333333337</v>
      </c>
      <c r="K3" s="2">
        <v>0.7583333333333333</v>
      </c>
      <c r="L3" s="7">
        <v>0.53819444444444442</v>
      </c>
      <c r="M3" s="8">
        <v>0.53819444444444442</v>
      </c>
      <c r="N3" s="3" t="s">
        <v>243</v>
      </c>
      <c r="O3" s="9" t="s">
        <v>242</v>
      </c>
      <c r="P3" s="5">
        <v>867</v>
      </c>
      <c r="Q3" s="9">
        <v>1342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43793</v>
      </c>
      <c r="B4" s="5" t="s">
        <v>21</v>
      </c>
      <c r="C4" s="5" t="s">
        <v>141</v>
      </c>
      <c r="D4" s="3" t="s">
        <v>23</v>
      </c>
      <c r="E4" s="5" t="str">
        <f>E2</f>
        <v>HALYR</v>
      </c>
      <c r="F4" s="3" t="s">
        <v>25</v>
      </c>
      <c r="G4" s="6">
        <f>G2</f>
        <v>71500</v>
      </c>
      <c r="H4" s="3" t="s">
        <v>75</v>
      </c>
      <c r="I4" s="3" t="s">
        <v>76</v>
      </c>
      <c r="J4" s="10">
        <v>0.86805555555555547</v>
      </c>
      <c r="K4" s="2">
        <v>0.87291666666666667</v>
      </c>
      <c r="L4" s="10">
        <v>0.68055555555555547</v>
      </c>
      <c r="M4" s="2">
        <v>0.68541666666666667</v>
      </c>
      <c r="N4" s="3" t="s">
        <v>82</v>
      </c>
      <c r="O4" s="3" t="s">
        <v>112</v>
      </c>
      <c r="P4" s="3">
        <v>921</v>
      </c>
      <c r="Q4" s="9">
        <v>1035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/>
      <c r="B5" s="5"/>
      <c r="C5" s="3"/>
      <c r="D5" s="3"/>
      <c r="E5" s="5"/>
      <c r="F5" s="3"/>
      <c r="G5" s="6"/>
      <c r="H5" s="3"/>
      <c r="I5" s="3"/>
      <c r="J5" s="14"/>
      <c r="K5" s="2"/>
      <c r="L5" s="14"/>
      <c r="M5" s="15"/>
      <c r="N5" s="3"/>
      <c r="O5" s="3"/>
      <c r="P5" s="16"/>
      <c r="Q5" s="9"/>
      <c r="R5" s="3"/>
      <c r="S5" s="3"/>
      <c r="T5" s="3"/>
      <c r="U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5" sqref="K5"/>
    </sheetView>
  </sheetViews>
  <sheetFormatPr defaultRowHeight="15" x14ac:dyDescent="0.25"/>
  <cols>
    <col min="3" max="3" width="15" bestFit="1" customWidth="1"/>
    <col min="4" max="4" width="5.7109375" bestFit="1" customWidth="1"/>
    <col min="5" max="5" width="14.85546875" bestFit="1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43794</v>
      </c>
      <c r="B2" s="5" t="s">
        <v>21</v>
      </c>
      <c r="C2" s="11" t="s">
        <v>83</v>
      </c>
      <c r="D2" s="11" t="s">
        <v>23</v>
      </c>
      <c r="E2" s="11" t="s">
        <v>24</v>
      </c>
      <c r="F2" s="5" t="s">
        <v>25</v>
      </c>
      <c r="G2" s="17">
        <v>71500</v>
      </c>
      <c r="H2" s="11" t="s">
        <v>26</v>
      </c>
      <c r="I2" s="11" t="s">
        <v>27</v>
      </c>
      <c r="J2" s="12">
        <v>0.46180555555555558</v>
      </c>
      <c r="K2" s="13">
        <v>0.47430555555555554</v>
      </c>
      <c r="L2" s="12">
        <v>0.25694444444444448</v>
      </c>
      <c r="M2" s="13">
        <v>0.26041666666666669</v>
      </c>
      <c r="N2" s="11" t="s">
        <v>245</v>
      </c>
      <c r="O2" s="11" t="s">
        <v>244</v>
      </c>
      <c r="P2" s="11">
        <v>733</v>
      </c>
      <c r="Q2" s="11">
        <v>683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4">
        <f>A2</f>
        <v>43794</v>
      </c>
      <c r="B3" s="5" t="s">
        <v>21</v>
      </c>
      <c r="C3" s="11" t="s">
        <v>84</v>
      </c>
      <c r="D3" s="11" t="s">
        <v>23</v>
      </c>
      <c r="E3" s="11" t="s">
        <v>185</v>
      </c>
      <c r="F3" s="5" t="s">
        <v>25</v>
      </c>
      <c r="G3" s="17">
        <v>71500</v>
      </c>
      <c r="H3" s="11" t="s">
        <v>29</v>
      </c>
      <c r="I3" s="11" t="s">
        <v>30</v>
      </c>
      <c r="J3" s="12">
        <v>0.50694444444444442</v>
      </c>
      <c r="K3" s="13">
        <v>0.49305555555555558</v>
      </c>
      <c r="L3" s="12">
        <v>0.30208333333333331</v>
      </c>
      <c r="M3" s="13">
        <v>0.3034722222222222</v>
      </c>
      <c r="N3" s="11" t="s">
        <v>246</v>
      </c>
      <c r="O3" s="11" t="s">
        <v>143</v>
      </c>
      <c r="P3" s="11">
        <v>509</v>
      </c>
      <c r="Q3" s="11">
        <v>780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4">
        <f>A3</f>
        <v>43794</v>
      </c>
      <c r="B4" s="5" t="s">
        <v>21</v>
      </c>
      <c r="C4" s="11" t="s">
        <v>85</v>
      </c>
      <c r="D4" s="11" t="s">
        <v>23</v>
      </c>
      <c r="E4" s="11" t="str">
        <f>E2</f>
        <v>HALYG</v>
      </c>
      <c r="F4" s="5" t="s">
        <v>25</v>
      </c>
      <c r="G4" s="17">
        <v>71500</v>
      </c>
      <c r="H4" s="11" t="s">
        <v>38</v>
      </c>
      <c r="I4" s="11" t="s">
        <v>39</v>
      </c>
      <c r="J4" s="12">
        <v>0.68055555555555547</v>
      </c>
      <c r="K4" s="13">
        <v>0.68333333333333324</v>
      </c>
      <c r="L4" s="12">
        <v>0.52777777777777779</v>
      </c>
      <c r="M4" s="13">
        <f>L4</f>
        <v>0.52777777777777779</v>
      </c>
      <c r="N4" s="11" t="s">
        <v>247</v>
      </c>
      <c r="O4" s="11" t="s">
        <v>105</v>
      </c>
      <c r="P4" s="11">
        <v>291</v>
      </c>
      <c r="Q4" s="11">
        <v>496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4">
        <f>A4</f>
        <v>43794</v>
      </c>
      <c r="B5" s="5" t="str">
        <f>B4</f>
        <v>WIZZAIR</v>
      </c>
      <c r="C5" s="11" t="s">
        <v>86</v>
      </c>
      <c r="D5" s="11" t="s">
        <v>23</v>
      </c>
      <c r="E5" s="11" t="str">
        <f>E3</f>
        <v>HALYR</v>
      </c>
      <c r="F5" s="5" t="s">
        <v>25</v>
      </c>
      <c r="G5" s="17">
        <v>71500</v>
      </c>
      <c r="H5" s="11" t="s">
        <v>40</v>
      </c>
      <c r="I5" s="11" t="s">
        <v>41</v>
      </c>
      <c r="J5" s="12">
        <v>0.91319444444444453</v>
      </c>
      <c r="K5" s="13">
        <v>0.90347222222222223</v>
      </c>
      <c r="L5" s="12">
        <v>0.69097222222222221</v>
      </c>
      <c r="M5" s="13">
        <v>0.69097222222222221</v>
      </c>
      <c r="N5" s="11" t="s">
        <v>249</v>
      </c>
      <c r="O5" s="11" t="s">
        <v>248</v>
      </c>
      <c r="P5" s="11">
        <v>318</v>
      </c>
      <c r="Q5" s="11">
        <v>598</v>
      </c>
      <c r="R5" s="11">
        <v>0</v>
      </c>
      <c r="S5" s="11">
        <v>0</v>
      </c>
      <c r="T5" s="11">
        <v>0</v>
      </c>
      <c r="U5" s="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L10" sqref="L10"/>
    </sheetView>
  </sheetViews>
  <sheetFormatPr defaultRowHeight="15" x14ac:dyDescent="0.25"/>
  <cols>
    <col min="3" max="3" width="15.140625" bestFit="1" customWidth="1"/>
    <col min="4" max="4" width="5.7109375" bestFit="1" customWidth="1"/>
    <col min="11" max="11" width="11.7109375" bestFit="1" customWidth="1"/>
    <col min="14" max="14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43795</v>
      </c>
      <c r="B2" s="5" t="s">
        <v>21</v>
      </c>
      <c r="C2" s="11" t="s">
        <v>96</v>
      </c>
      <c r="D2" s="11" t="s">
        <v>23</v>
      </c>
      <c r="E2" s="11" t="s">
        <v>24</v>
      </c>
      <c r="F2" s="5" t="s">
        <v>25</v>
      </c>
      <c r="G2" s="17">
        <v>71500</v>
      </c>
      <c r="H2" s="11" t="s">
        <v>56</v>
      </c>
      <c r="I2" s="11" t="s">
        <v>60</v>
      </c>
      <c r="J2" s="12">
        <v>0.50694444444444442</v>
      </c>
      <c r="K2" s="13">
        <v>0.50208333333333333</v>
      </c>
      <c r="L2" s="12">
        <v>0.32291666666666669</v>
      </c>
      <c r="M2" s="13">
        <v>0.33611111111111108</v>
      </c>
      <c r="N2" s="13" t="s">
        <v>251</v>
      </c>
      <c r="O2" s="11" t="s">
        <v>250</v>
      </c>
      <c r="P2" s="11">
        <v>738</v>
      </c>
      <c r="Q2" s="11">
        <v>611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4">
        <f>A2</f>
        <v>43795</v>
      </c>
      <c r="B3" s="5" t="s">
        <v>21</v>
      </c>
      <c r="C3" s="11" t="s">
        <v>97</v>
      </c>
      <c r="D3" s="11" t="s">
        <v>23</v>
      </c>
      <c r="E3" s="11" t="s">
        <v>185</v>
      </c>
      <c r="F3" s="5" t="s">
        <v>25</v>
      </c>
      <c r="G3" s="17">
        <v>71500</v>
      </c>
      <c r="H3" s="11" t="s">
        <v>57</v>
      </c>
      <c r="I3" s="11" t="s">
        <v>61</v>
      </c>
      <c r="J3" s="12">
        <v>0.72916666666666663</v>
      </c>
      <c r="K3" s="13">
        <v>0.71736111111111101</v>
      </c>
      <c r="L3" s="12">
        <v>0.51388888888888895</v>
      </c>
      <c r="M3" s="13">
        <v>0.52083333333333337</v>
      </c>
      <c r="N3" s="11" t="s">
        <v>254</v>
      </c>
      <c r="O3" s="11" t="s">
        <v>252</v>
      </c>
      <c r="P3" s="11">
        <v>744</v>
      </c>
      <c r="Q3" s="11">
        <v>636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4">
        <f>A3</f>
        <v>43795</v>
      </c>
      <c r="B4" s="5" t="s">
        <v>21</v>
      </c>
      <c r="C4" s="11" t="s">
        <v>98</v>
      </c>
      <c r="D4" s="11" t="s">
        <v>23</v>
      </c>
      <c r="E4" s="11" t="s">
        <v>24</v>
      </c>
      <c r="F4" s="5" t="s">
        <v>25</v>
      </c>
      <c r="G4" s="17">
        <v>71500</v>
      </c>
      <c r="H4" s="11" t="s">
        <v>58</v>
      </c>
      <c r="I4" s="11" t="s">
        <v>62</v>
      </c>
      <c r="J4" s="12">
        <v>0.68402777777777779</v>
      </c>
      <c r="K4" s="13">
        <v>0.67222222222222217</v>
      </c>
      <c r="L4" s="12">
        <v>0.52777777777777779</v>
      </c>
      <c r="M4" s="13">
        <v>0.5395833333333333</v>
      </c>
      <c r="N4" s="11" t="s">
        <v>253</v>
      </c>
      <c r="O4" s="11" t="s">
        <v>224</v>
      </c>
      <c r="P4" s="11">
        <v>846</v>
      </c>
      <c r="Q4" s="11">
        <v>665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4">
        <f>A4</f>
        <v>43795</v>
      </c>
      <c r="B5" s="5" t="str">
        <f>B4</f>
        <v>WIZZAIR</v>
      </c>
      <c r="C5" s="11" t="s">
        <v>99</v>
      </c>
      <c r="D5" s="11" t="s">
        <v>23</v>
      </c>
      <c r="E5" s="11" t="s">
        <v>185</v>
      </c>
      <c r="F5" s="5" t="s">
        <v>25</v>
      </c>
      <c r="G5" s="17">
        <v>71500</v>
      </c>
      <c r="H5" s="11" t="s">
        <v>59</v>
      </c>
      <c r="I5" s="11" t="s">
        <v>63</v>
      </c>
      <c r="J5" s="12">
        <v>0.94444444444444453</v>
      </c>
      <c r="K5" s="13" t="s">
        <v>256</v>
      </c>
      <c r="L5" s="12">
        <v>0.77430555555555547</v>
      </c>
      <c r="M5" s="13">
        <v>0.77083333333333337</v>
      </c>
      <c r="N5" s="11" t="s">
        <v>256</v>
      </c>
      <c r="O5" s="11" t="s">
        <v>255</v>
      </c>
      <c r="P5" s="11" t="s">
        <v>257</v>
      </c>
      <c r="Q5" s="11">
        <v>563</v>
      </c>
      <c r="R5" s="11">
        <v>0</v>
      </c>
      <c r="S5" s="11">
        <v>0</v>
      </c>
      <c r="T5" s="11">
        <v>0</v>
      </c>
      <c r="U5" s="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6" sqref="K6"/>
    </sheetView>
  </sheetViews>
  <sheetFormatPr defaultRowHeight="15" x14ac:dyDescent="0.25"/>
  <cols>
    <col min="4" max="4" width="5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43796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0.46180555555555558</v>
      </c>
      <c r="K2" s="8">
        <v>0.46249999999999997</v>
      </c>
      <c r="L2" s="7">
        <v>0.25694444444444448</v>
      </c>
      <c r="M2" s="8">
        <v>0.26111111111111113</v>
      </c>
      <c r="N2" s="3" t="s">
        <v>80</v>
      </c>
      <c r="O2" s="9" t="s">
        <v>261</v>
      </c>
      <c r="P2" s="9">
        <v>939</v>
      </c>
      <c r="Q2" s="9">
        <v>587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43796</v>
      </c>
      <c r="B3" s="5" t="s">
        <v>21</v>
      </c>
      <c r="C3" s="5" t="s">
        <v>28</v>
      </c>
      <c r="D3" s="5" t="s">
        <v>23</v>
      </c>
      <c r="E3" s="5" t="s">
        <v>185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0.50694444444444442</v>
      </c>
      <c r="K3" s="8">
        <v>0.50763888888888886</v>
      </c>
      <c r="L3" s="7">
        <v>0.30208333333333331</v>
      </c>
      <c r="M3" s="8">
        <v>0.32013888888888892</v>
      </c>
      <c r="N3" s="3" t="s">
        <v>263</v>
      </c>
      <c r="O3" s="9" t="s">
        <v>262</v>
      </c>
      <c r="P3" s="5">
        <v>511</v>
      </c>
      <c r="Q3" s="9">
        <v>882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43796</v>
      </c>
      <c r="B4" s="5" t="s">
        <v>21</v>
      </c>
      <c r="C4" s="5" t="s">
        <v>70</v>
      </c>
      <c r="D4" s="5" t="s">
        <v>23</v>
      </c>
      <c r="E4" s="5" t="s">
        <v>24</v>
      </c>
      <c r="F4" s="5" t="s">
        <v>25</v>
      </c>
      <c r="G4" s="6">
        <v>71500</v>
      </c>
      <c r="H4" s="5" t="s">
        <v>32</v>
      </c>
      <c r="I4" s="5" t="s">
        <v>33</v>
      </c>
      <c r="J4" s="7">
        <v>0.65972222222222221</v>
      </c>
      <c r="K4" s="2">
        <v>0.65902777777777777</v>
      </c>
      <c r="L4" s="7">
        <v>0.49305555555555558</v>
      </c>
      <c r="M4" s="8">
        <v>0.51250000000000007</v>
      </c>
      <c r="N4" s="3" t="s">
        <v>264</v>
      </c>
      <c r="O4" s="9" t="s">
        <v>221</v>
      </c>
      <c r="P4" s="9">
        <v>897</v>
      </c>
      <c r="Q4" s="9">
        <v>751</v>
      </c>
      <c r="R4" s="5">
        <v>0</v>
      </c>
      <c r="S4" s="5">
        <v>0</v>
      </c>
      <c r="T4" s="5">
        <v>0</v>
      </c>
      <c r="U4" s="5">
        <v>0</v>
      </c>
    </row>
    <row r="5" spans="1:21" x14ac:dyDescent="0.25">
      <c r="A5" s="4">
        <f>A4</f>
        <v>43796</v>
      </c>
      <c r="B5" s="5" t="s">
        <v>21</v>
      </c>
      <c r="C5" s="5" t="s">
        <v>71</v>
      </c>
      <c r="D5" s="5" t="s">
        <v>23</v>
      </c>
      <c r="E5" s="5" t="s">
        <v>185</v>
      </c>
      <c r="F5" s="5" t="s">
        <v>25</v>
      </c>
      <c r="G5" s="6">
        <v>71500</v>
      </c>
      <c r="H5" s="5" t="s">
        <v>72</v>
      </c>
      <c r="I5" s="5" t="s">
        <v>73</v>
      </c>
      <c r="J5" s="7">
        <v>0.77083333333333337</v>
      </c>
      <c r="K5" s="2">
        <v>0.77986111111111101</v>
      </c>
      <c r="L5" s="7">
        <v>0.53819444444444442</v>
      </c>
      <c r="M5" s="8">
        <v>0.55833333333333335</v>
      </c>
      <c r="N5" s="3" t="s">
        <v>152</v>
      </c>
      <c r="O5" s="9" t="s">
        <v>197</v>
      </c>
      <c r="P5" s="5">
        <v>718</v>
      </c>
      <c r="Q5" s="9">
        <v>1359</v>
      </c>
      <c r="R5" s="5">
        <v>0</v>
      </c>
      <c r="S5" s="5">
        <v>0</v>
      </c>
      <c r="T5" s="5">
        <v>0</v>
      </c>
      <c r="U5" s="5">
        <v>0</v>
      </c>
    </row>
    <row r="6" spans="1:21" x14ac:dyDescent="0.25">
      <c r="A6" s="4">
        <f>A5</f>
        <v>43796</v>
      </c>
      <c r="B6" s="5" t="s">
        <v>21</v>
      </c>
      <c r="C6" s="3" t="s">
        <v>74</v>
      </c>
      <c r="D6" s="3" t="s">
        <v>23</v>
      </c>
      <c r="E6" s="5" t="s">
        <v>24</v>
      </c>
      <c r="F6" s="3" t="s">
        <v>25</v>
      </c>
      <c r="G6" s="6">
        <f>G4</f>
        <v>71500</v>
      </c>
      <c r="H6" s="3" t="s">
        <v>75</v>
      </c>
      <c r="I6" s="3" t="s">
        <v>76</v>
      </c>
      <c r="J6" s="10">
        <v>0.86805555555555547</v>
      </c>
      <c r="K6" s="2">
        <v>0.86388888888888893</v>
      </c>
      <c r="L6" s="10">
        <v>0.68055555555555547</v>
      </c>
      <c r="M6" s="2">
        <v>0.69166666666666676</v>
      </c>
      <c r="N6" s="3" t="s">
        <v>51</v>
      </c>
      <c r="O6" s="3" t="s">
        <v>265</v>
      </c>
      <c r="P6" s="3">
        <v>846</v>
      </c>
      <c r="Q6" s="9">
        <v>646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>A6</f>
        <v>43796</v>
      </c>
      <c r="B7" s="5" t="s">
        <v>21</v>
      </c>
      <c r="C7" s="3" t="s">
        <v>258</v>
      </c>
      <c r="D7" s="3" t="s">
        <v>23</v>
      </c>
      <c r="E7" s="5" t="s">
        <v>185</v>
      </c>
      <c r="F7" s="3" t="s">
        <v>259</v>
      </c>
      <c r="G7" s="6">
        <f>G5</f>
        <v>71500</v>
      </c>
      <c r="H7" s="3" t="s">
        <v>260</v>
      </c>
      <c r="I7" s="3" t="s">
        <v>176</v>
      </c>
      <c r="J7" s="10">
        <v>0.28472222222222221</v>
      </c>
      <c r="K7" s="10">
        <v>0.28611111111111115</v>
      </c>
      <c r="L7" s="3" t="s">
        <v>176</v>
      </c>
      <c r="M7" s="3" t="s">
        <v>176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F1" workbookViewId="0">
      <selection activeCell="M2" sqref="M2"/>
    </sheetView>
  </sheetViews>
  <sheetFormatPr defaultRowHeight="15" x14ac:dyDescent="0.25"/>
  <cols>
    <col min="2" max="2" width="21.85546875" bestFit="1" customWidth="1"/>
    <col min="3" max="3" width="13.710937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 t="s">
        <v>266</v>
      </c>
      <c r="B2" s="5" t="s">
        <v>267</v>
      </c>
      <c r="C2" s="5" t="s">
        <v>268</v>
      </c>
      <c r="D2" s="5" t="s">
        <v>269</v>
      </c>
      <c r="E2" s="5" t="s">
        <v>270</v>
      </c>
      <c r="F2" s="5" t="s">
        <v>271</v>
      </c>
      <c r="G2" s="6">
        <v>21863</v>
      </c>
      <c r="H2" s="5" t="s">
        <v>272</v>
      </c>
      <c r="I2" s="5" t="s">
        <v>273</v>
      </c>
      <c r="J2" s="7">
        <v>0.42777777777777781</v>
      </c>
      <c r="K2" s="2">
        <v>0.42430555555555555</v>
      </c>
      <c r="L2" s="7">
        <v>0.55208333333333337</v>
      </c>
      <c r="M2" s="8">
        <v>0.54513888888888895</v>
      </c>
      <c r="N2" s="3" t="s">
        <v>235</v>
      </c>
      <c r="O2" s="9" t="s">
        <v>276</v>
      </c>
      <c r="P2" s="9">
        <v>0</v>
      </c>
      <c r="Q2" s="9">
        <v>0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/>
      <c r="B3" s="5"/>
      <c r="C3" s="5"/>
      <c r="D3" s="5"/>
      <c r="E3" s="5"/>
      <c r="F3" s="5"/>
      <c r="G3" s="6"/>
      <c r="H3" s="5"/>
      <c r="I3" s="5"/>
      <c r="J3" s="7"/>
      <c r="K3" s="2"/>
      <c r="L3" s="7"/>
      <c r="M3" s="8"/>
      <c r="N3" s="3"/>
      <c r="O3" s="9"/>
      <c r="P3" s="5"/>
      <c r="Q3" s="9"/>
      <c r="R3" s="5"/>
      <c r="S3" s="5"/>
      <c r="T3" s="5"/>
      <c r="U3" s="5"/>
    </row>
    <row r="4" spans="1:21" x14ac:dyDescent="0.25">
      <c r="A4" s="4"/>
      <c r="B4" s="5"/>
      <c r="C4" s="5"/>
      <c r="D4" s="3"/>
      <c r="E4" s="5"/>
      <c r="F4" s="3"/>
      <c r="G4" s="6"/>
      <c r="H4" s="3"/>
      <c r="I4" s="3"/>
      <c r="J4" s="10"/>
      <c r="K4" s="2"/>
      <c r="L4" s="10"/>
      <c r="M4" s="2"/>
      <c r="N4" s="3"/>
      <c r="O4" s="3"/>
      <c r="P4" s="3"/>
      <c r="Q4" s="9"/>
      <c r="R4" s="3"/>
      <c r="S4" s="3"/>
      <c r="T4" s="3"/>
      <c r="U4" s="3"/>
    </row>
    <row r="5" spans="1:21" x14ac:dyDescent="0.25">
      <c r="A5" s="4"/>
      <c r="B5" s="5"/>
      <c r="C5" s="3"/>
      <c r="D5" s="3"/>
      <c r="E5" s="5"/>
      <c r="F5" s="3"/>
      <c r="G5" s="6"/>
      <c r="H5" s="3"/>
      <c r="I5" s="3"/>
      <c r="J5" s="14"/>
      <c r="K5" s="2"/>
      <c r="L5" s="14"/>
      <c r="M5" s="15"/>
      <c r="N5" s="3"/>
      <c r="O5" s="3"/>
      <c r="P5" s="16"/>
      <c r="Q5" s="9"/>
      <c r="R5" s="3"/>
      <c r="S5" s="3"/>
      <c r="T5" s="3"/>
      <c r="U5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K6" sqref="K6"/>
    </sheetView>
  </sheetViews>
  <sheetFormatPr defaultRowHeight="15" x14ac:dyDescent="0.25"/>
  <cols>
    <col min="1" max="1" width="10.140625" bestFit="1" customWidth="1"/>
    <col min="2" max="2" width="15.42578125" bestFit="1" customWidth="1"/>
    <col min="3" max="3" width="13.5703125" bestFit="1" customWidth="1"/>
    <col min="4" max="4" width="5.7109375" bestFit="1" customWidth="1"/>
    <col min="5" max="5" width="15" bestFit="1" customWidth="1"/>
    <col min="6" max="6" width="21.570312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43798</v>
      </c>
      <c r="B2" s="5" t="s">
        <v>21</v>
      </c>
      <c r="C2" s="5" t="s">
        <v>22</v>
      </c>
      <c r="D2" s="5" t="s">
        <v>23</v>
      </c>
      <c r="E2" s="5" t="s">
        <v>274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0.46180555555555558</v>
      </c>
      <c r="K2" s="8">
        <v>0.4604166666666667</v>
      </c>
      <c r="L2" s="7">
        <v>0.25694444444444448</v>
      </c>
      <c r="M2" s="8">
        <v>0.26666666666666666</v>
      </c>
      <c r="N2" s="3" t="s">
        <v>277</v>
      </c>
      <c r="O2" s="9" t="s">
        <v>142</v>
      </c>
      <c r="P2" s="9">
        <v>757</v>
      </c>
      <c r="Q2" s="9">
        <v>815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43798</v>
      </c>
      <c r="B3" s="5" t="s">
        <v>21</v>
      </c>
      <c r="C3" s="5" t="s">
        <v>28</v>
      </c>
      <c r="D3" s="5" t="s">
        <v>23</v>
      </c>
      <c r="E3" s="5" t="s">
        <v>185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0.50694444444444442</v>
      </c>
      <c r="K3" s="8">
        <v>0.49791666666666662</v>
      </c>
      <c r="L3" s="7">
        <v>0.30208333333333331</v>
      </c>
      <c r="M3" s="8">
        <v>0.30138888888888887</v>
      </c>
      <c r="N3" s="3" t="s">
        <v>283</v>
      </c>
      <c r="O3" s="9" t="s">
        <v>209</v>
      </c>
      <c r="P3" s="5">
        <v>322</v>
      </c>
      <c r="Q3" s="9">
        <v>1047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ref="A4:A8" si="0">A3</f>
        <v>43798</v>
      </c>
      <c r="B4" s="3" t="s">
        <v>21</v>
      </c>
      <c r="C4" s="3" t="s">
        <v>31</v>
      </c>
      <c r="D4" s="3" t="s">
        <v>23</v>
      </c>
      <c r="E4" s="5" t="s">
        <v>275</v>
      </c>
      <c r="F4" s="3" t="s">
        <v>25</v>
      </c>
      <c r="G4" s="6">
        <v>71500</v>
      </c>
      <c r="H4" s="5" t="s">
        <v>32</v>
      </c>
      <c r="I4" s="5" t="s">
        <v>33</v>
      </c>
      <c r="J4" s="12">
        <v>0.65972222222222221</v>
      </c>
      <c r="K4" s="2">
        <v>0.64513888888888882</v>
      </c>
      <c r="L4" s="12">
        <v>0.49305555555555558</v>
      </c>
      <c r="M4" s="13">
        <v>0.49652777777777773</v>
      </c>
      <c r="N4" s="3" t="s">
        <v>190</v>
      </c>
      <c r="O4" s="11" t="s">
        <v>139</v>
      </c>
      <c r="P4" s="11">
        <v>446</v>
      </c>
      <c r="Q4" s="9">
        <v>926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43798</v>
      </c>
      <c r="B5" s="3" t="s">
        <v>21</v>
      </c>
      <c r="C5" s="3" t="s">
        <v>34</v>
      </c>
      <c r="D5" s="3" t="s">
        <v>23</v>
      </c>
      <c r="E5" s="5" t="s">
        <v>185</v>
      </c>
      <c r="F5" s="3" t="s">
        <v>25</v>
      </c>
      <c r="G5" s="6">
        <v>71500</v>
      </c>
      <c r="H5" s="3" t="s">
        <v>38</v>
      </c>
      <c r="I5" s="3" t="s">
        <v>39</v>
      </c>
      <c r="J5" s="10">
        <v>0.68055555555555547</v>
      </c>
      <c r="K5" s="2">
        <v>0.67638888888888893</v>
      </c>
      <c r="L5" s="10">
        <v>0.52777777777777779</v>
      </c>
      <c r="M5" s="2">
        <v>0.53194444444444444</v>
      </c>
      <c r="N5" s="3" t="s">
        <v>290</v>
      </c>
      <c r="O5" s="3" t="s">
        <v>285</v>
      </c>
      <c r="P5" s="3">
        <v>379</v>
      </c>
      <c r="Q5" s="9">
        <v>687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43798</v>
      </c>
      <c r="B6" s="3" t="s">
        <v>21</v>
      </c>
      <c r="C6" s="3" t="s">
        <v>35</v>
      </c>
      <c r="D6" s="3" t="s">
        <v>23</v>
      </c>
      <c r="E6" s="5" t="s">
        <v>275</v>
      </c>
      <c r="F6" s="3" t="s">
        <v>25</v>
      </c>
      <c r="G6" s="6">
        <v>71500</v>
      </c>
      <c r="H6" s="5" t="s">
        <v>40</v>
      </c>
      <c r="I6" s="5" t="s">
        <v>41</v>
      </c>
      <c r="J6" s="12">
        <v>0.91319444444444453</v>
      </c>
      <c r="K6" s="2">
        <v>0.89861111111111114</v>
      </c>
      <c r="L6" s="12">
        <v>0.69097222222222221</v>
      </c>
      <c r="M6" s="13">
        <v>0.69513888888888886</v>
      </c>
      <c r="N6" s="3" t="s">
        <v>292</v>
      </c>
      <c r="O6" s="11" t="s">
        <v>291</v>
      </c>
      <c r="P6" s="11">
        <v>418</v>
      </c>
      <c r="Q6" s="9">
        <v>342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43798</v>
      </c>
      <c r="B7" s="3" t="s">
        <v>278</v>
      </c>
      <c r="C7" s="3" t="s">
        <v>279</v>
      </c>
      <c r="D7" s="3" t="s">
        <v>280</v>
      </c>
      <c r="E7" s="5" t="s">
        <v>281</v>
      </c>
      <c r="F7" s="3" t="s">
        <v>282</v>
      </c>
      <c r="G7" s="6">
        <v>4717</v>
      </c>
      <c r="H7" s="5" t="s">
        <v>284</v>
      </c>
      <c r="I7" s="5" t="str">
        <f>H7</f>
        <v>JS521</v>
      </c>
      <c r="J7" s="12">
        <v>0.44097222222222227</v>
      </c>
      <c r="K7" s="2">
        <v>0.43402777777777773</v>
      </c>
      <c r="L7" s="12">
        <v>0.45833333333333331</v>
      </c>
      <c r="M7" s="13">
        <v>0.4993055555555555</v>
      </c>
      <c r="N7" s="3">
        <v>0</v>
      </c>
      <c r="O7" s="11">
        <v>1</v>
      </c>
      <c r="P7" s="11">
        <v>0</v>
      </c>
      <c r="Q7" s="9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f t="shared" si="0"/>
        <v>43798</v>
      </c>
      <c r="B8" s="3" t="s">
        <v>286</v>
      </c>
      <c r="C8" s="3" t="s">
        <v>287</v>
      </c>
      <c r="D8" s="3" t="s">
        <v>280</v>
      </c>
      <c r="E8" s="5" t="s">
        <v>288</v>
      </c>
      <c r="F8" s="3" t="s">
        <v>173</v>
      </c>
      <c r="G8" s="6">
        <v>8300</v>
      </c>
      <c r="H8" s="5" t="s">
        <v>289</v>
      </c>
      <c r="I8" s="5" t="str">
        <f>H8</f>
        <v>JEI353</v>
      </c>
      <c r="J8" s="12">
        <v>0.48958333333333331</v>
      </c>
      <c r="K8" s="2">
        <v>0.53125</v>
      </c>
      <c r="L8" s="12">
        <v>0.53125</v>
      </c>
      <c r="M8" s="13">
        <v>0.57847222222222217</v>
      </c>
      <c r="N8" s="3">
        <v>0</v>
      </c>
      <c r="O8" s="11">
        <v>0</v>
      </c>
      <c r="P8" s="11">
        <v>0</v>
      </c>
      <c r="Q8" s="9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selection activeCell="H12" sqref="H12"/>
    </sheetView>
  </sheetViews>
  <sheetFormatPr defaultRowHeight="15" x14ac:dyDescent="0.25"/>
  <cols>
    <col min="1" max="1" width="10.140625" bestFit="1" customWidth="1"/>
    <col min="3" max="3" width="13.42578125" bestFit="1" customWidth="1"/>
    <col min="4" max="4" width="5.7109375" bestFit="1" customWidth="1"/>
    <col min="5" max="5" width="7.42578125" bestFit="1" customWidth="1"/>
    <col min="6" max="6" width="12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4">
        <v>43799</v>
      </c>
      <c r="B2" s="5" t="s">
        <v>21</v>
      </c>
      <c r="C2" s="5" t="s">
        <v>52</v>
      </c>
      <c r="D2" s="5" t="s">
        <v>23</v>
      </c>
      <c r="E2" s="5" t="s">
        <v>185</v>
      </c>
      <c r="F2" s="5" t="s">
        <v>25</v>
      </c>
      <c r="G2" s="6">
        <v>71500</v>
      </c>
      <c r="H2" s="5" t="s">
        <v>56</v>
      </c>
      <c r="I2" s="5" t="s">
        <v>60</v>
      </c>
      <c r="J2" s="7">
        <v>0.50694444444444442</v>
      </c>
      <c r="K2" s="8">
        <v>0.48819444444444443</v>
      </c>
      <c r="L2" s="7">
        <v>0.32291666666666669</v>
      </c>
      <c r="M2" s="8">
        <v>0.31944444444444448</v>
      </c>
      <c r="N2" s="3" t="s">
        <v>294</v>
      </c>
      <c r="O2" s="9" t="s">
        <v>293</v>
      </c>
      <c r="P2" s="9">
        <v>889</v>
      </c>
      <c r="Q2" s="9">
        <v>1034</v>
      </c>
      <c r="R2" s="5">
        <v>0</v>
      </c>
      <c r="S2" s="5">
        <v>0</v>
      </c>
      <c r="T2" s="5">
        <v>0</v>
      </c>
      <c r="U2" s="5">
        <v>0</v>
      </c>
    </row>
    <row r="3" spans="1:22" x14ac:dyDescent="0.25">
      <c r="A3" s="4">
        <f>A2</f>
        <v>43799</v>
      </c>
      <c r="B3" s="5" t="s">
        <v>21</v>
      </c>
      <c r="C3" s="5" t="s">
        <v>53</v>
      </c>
      <c r="D3" s="5" t="s">
        <v>23</v>
      </c>
      <c r="E3" s="5" t="s">
        <v>275</v>
      </c>
      <c r="F3" s="5" t="s">
        <v>25</v>
      </c>
      <c r="G3" s="6">
        <v>71500</v>
      </c>
      <c r="H3" s="5" t="s">
        <v>57</v>
      </c>
      <c r="I3" s="5" t="s">
        <v>61</v>
      </c>
      <c r="J3" s="7">
        <v>0.71527777777777779</v>
      </c>
      <c r="K3" s="8">
        <v>0.7055555555555556</v>
      </c>
      <c r="L3" s="7">
        <v>0.5</v>
      </c>
      <c r="M3" s="8">
        <v>0.50416666666666665</v>
      </c>
      <c r="N3" s="3" t="s">
        <v>297</v>
      </c>
      <c r="O3" s="9" t="s">
        <v>154</v>
      </c>
      <c r="P3" s="11">
        <v>736</v>
      </c>
      <c r="Q3" s="9">
        <v>864</v>
      </c>
      <c r="R3" s="5">
        <v>0</v>
      </c>
      <c r="S3" s="5">
        <v>0</v>
      </c>
      <c r="T3" s="5">
        <v>0</v>
      </c>
      <c r="U3" s="5">
        <v>0</v>
      </c>
    </row>
    <row r="4" spans="1:22" x14ac:dyDescent="0.25">
      <c r="A4" s="4">
        <f>A3</f>
        <v>43799</v>
      </c>
      <c r="B4" s="3" t="s">
        <v>21</v>
      </c>
      <c r="C4" s="3" t="s">
        <v>54</v>
      </c>
      <c r="D4" s="3" t="s">
        <v>23</v>
      </c>
      <c r="E4" s="5" t="s">
        <v>185</v>
      </c>
      <c r="F4" s="3" t="s">
        <v>25</v>
      </c>
      <c r="G4" s="6">
        <v>71500</v>
      </c>
      <c r="H4" s="5" t="s">
        <v>58</v>
      </c>
      <c r="I4" s="5" t="s">
        <v>62</v>
      </c>
      <c r="J4" s="12">
        <v>0.68402777777777779</v>
      </c>
      <c r="K4" s="2">
        <v>0.67291666666666661</v>
      </c>
      <c r="L4" s="12">
        <v>0.52777777777777779</v>
      </c>
      <c r="M4" s="13">
        <v>0.52500000000000002</v>
      </c>
      <c r="N4" s="3" t="s">
        <v>296</v>
      </c>
      <c r="O4" s="11" t="s">
        <v>295</v>
      </c>
      <c r="P4" s="5">
        <v>1041</v>
      </c>
      <c r="Q4" s="9">
        <v>739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4">
        <f>A4</f>
        <v>43799</v>
      </c>
      <c r="B5" s="3" t="s">
        <v>21</v>
      </c>
      <c r="C5" s="3" t="s">
        <v>55</v>
      </c>
      <c r="D5" s="3" t="s">
        <v>23</v>
      </c>
      <c r="E5" s="5" t="str">
        <f>E3</f>
        <v>HALWF</v>
      </c>
      <c r="F5" s="3" t="s">
        <v>25</v>
      </c>
      <c r="G5" s="6">
        <v>71500</v>
      </c>
      <c r="H5" s="3" t="s">
        <v>59</v>
      </c>
      <c r="I5" s="3" t="s">
        <v>63</v>
      </c>
      <c r="J5" s="10">
        <v>0.94444444444444453</v>
      </c>
      <c r="K5" s="2">
        <v>0.92986111111111114</v>
      </c>
      <c r="L5" s="10">
        <v>0.77430555555555547</v>
      </c>
      <c r="M5" s="2">
        <v>0.77222222222222225</v>
      </c>
      <c r="N5" s="3" t="s">
        <v>299</v>
      </c>
      <c r="O5" s="3" t="s">
        <v>298</v>
      </c>
      <c r="P5" s="3">
        <v>804</v>
      </c>
      <c r="Q5" s="9">
        <v>675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1"/>
      <c r="B6" s="19"/>
      <c r="C6" s="19"/>
      <c r="D6" s="19"/>
      <c r="E6" s="19"/>
      <c r="F6" s="19"/>
      <c r="G6" s="17"/>
      <c r="H6" s="11"/>
      <c r="I6" s="11"/>
      <c r="J6" s="13"/>
      <c r="K6" s="13"/>
      <c r="L6" s="13"/>
      <c r="M6" s="13"/>
      <c r="N6" s="11"/>
      <c r="O6" s="11"/>
      <c r="P6" s="11"/>
      <c r="Q6" s="11"/>
      <c r="R6" s="11"/>
      <c r="S6" s="11"/>
      <c r="T6" s="11"/>
      <c r="U6" s="11"/>
      <c r="V6" s="2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2</vt:lpstr>
      <vt:lpstr>3</vt:lpstr>
      <vt:lpstr>4</vt:lpstr>
      <vt:lpstr>5</vt:lpstr>
      <vt:lpstr>6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2019-10-31T12:45:40Z</dcterms:created>
  <dcterms:modified xsi:type="dcterms:W3CDTF">2019-11-30T21:20:33Z</dcterms:modified>
</cp:coreProperties>
</file>