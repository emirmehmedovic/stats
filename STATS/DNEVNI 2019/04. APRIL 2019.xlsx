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900" windowWidth="17955" windowHeight="10995" firstSheet="10" activeTab="29"/>
  </bookViews>
  <sheets>
    <sheet name="1" sheetId="30" r:id="rId1"/>
    <sheet name="2" sheetId="23" r:id="rId2"/>
    <sheet name="3" sheetId="26" r:id="rId3"/>
    <sheet name="4" sheetId="27" r:id="rId4"/>
    <sheet name="5" sheetId="25" r:id="rId5"/>
    <sheet name="6" sheetId="28" r:id="rId6"/>
    <sheet name="7" sheetId="29" r:id="rId7"/>
    <sheet name="8" sheetId="31" r:id="rId8"/>
    <sheet name="9" sheetId="32" r:id="rId9"/>
    <sheet name="10" sheetId="33" r:id="rId10"/>
    <sheet name="11" sheetId="35" r:id="rId11"/>
    <sheet name="12" sheetId="36" r:id="rId12"/>
    <sheet name="13" sheetId="37" r:id="rId13"/>
    <sheet name="14" sheetId="38" r:id="rId14"/>
    <sheet name="15" sheetId="39" r:id="rId15"/>
    <sheet name="16" sheetId="40" r:id="rId16"/>
    <sheet name="17" sheetId="41" r:id="rId17"/>
    <sheet name="18" sheetId="42" r:id="rId18"/>
    <sheet name="19" sheetId="43" r:id="rId19"/>
    <sheet name="20" sheetId="44" r:id="rId20"/>
    <sheet name="21" sheetId="45" r:id="rId21"/>
    <sheet name="22" sheetId="47" r:id="rId22"/>
    <sheet name="23" sheetId="48" r:id="rId23"/>
    <sheet name="24" sheetId="49" r:id="rId24"/>
    <sheet name="25" sheetId="50" r:id="rId25"/>
    <sheet name="26" sheetId="51" r:id="rId26"/>
    <sheet name="27" sheetId="52" r:id="rId27"/>
    <sheet name="28" sheetId="53" r:id="rId28"/>
    <sheet name="29" sheetId="54" r:id="rId29"/>
    <sheet name="30" sheetId="55" r:id="rId30"/>
  </sheets>
  <calcPr calcId="145621"/>
</workbook>
</file>

<file path=xl/calcChain.xml><?xml version="1.0" encoding="utf-8"?>
<calcChain xmlns="http://schemas.openxmlformats.org/spreadsheetml/2006/main">
  <c r="A8" i="54" l="1"/>
  <c r="G5" i="53" l="1"/>
  <c r="G6" i="53" s="1"/>
  <c r="G7" i="53" s="1"/>
  <c r="D3" i="53"/>
  <c r="A3" i="53"/>
  <c r="A4" i="53" s="1"/>
  <c r="A5" i="53" s="1"/>
  <c r="A6" i="53" s="1"/>
  <c r="A7" i="53" s="1"/>
  <c r="G2" i="53"/>
  <c r="D2" i="53"/>
  <c r="A3" i="51" l="1"/>
  <c r="A4" i="51" s="1"/>
  <c r="A5" i="51" s="1"/>
  <c r="A6" i="51" s="1"/>
  <c r="A7" i="51" s="1"/>
  <c r="E7" i="49" l="1"/>
  <c r="G7" i="45" l="1"/>
  <c r="G6" i="45"/>
  <c r="E7" i="45"/>
  <c r="E6" i="45"/>
  <c r="O8" i="45" l="1"/>
  <c r="I8" i="45"/>
  <c r="A8" i="45"/>
  <c r="G5" i="45" l="1"/>
  <c r="G2" i="45"/>
  <c r="E5" i="45"/>
  <c r="E4" i="45"/>
  <c r="D2" i="45"/>
  <c r="D3" i="45"/>
  <c r="A4" i="45"/>
  <c r="A5" i="45" s="1"/>
  <c r="A6" i="45" s="1"/>
  <c r="A7" i="45" s="1"/>
  <c r="A3" i="45"/>
  <c r="O10" i="44" l="1"/>
  <c r="I10" i="44"/>
  <c r="A10" i="44"/>
  <c r="O9" i="44" l="1"/>
  <c r="I9" i="44"/>
  <c r="A9" i="44"/>
  <c r="A3" i="43" l="1"/>
  <c r="A4" i="43" s="1"/>
  <c r="A5" i="43" s="1"/>
  <c r="A6" i="43" s="1"/>
  <c r="A7" i="43" s="1"/>
  <c r="E7" i="42" l="1"/>
  <c r="E7" i="41" l="1"/>
  <c r="A4" i="41"/>
  <c r="A5" i="41" s="1"/>
  <c r="A6" i="41" s="1"/>
  <c r="A7" i="41" s="1"/>
  <c r="E4" i="38" l="1"/>
  <c r="A5" i="38"/>
  <c r="A4" i="38"/>
  <c r="A3" i="38"/>
  <c r="A3" i="36" l="1"/>
  <c r="A4" i="36" s="1"/>
  <c r="A5" i="36" s="1"/>
  <c r="A6" i="36" s="1"/>
  <c r="A7" i="36" s="1"/>
  <c r="E6" i="33" l="1"/>
  <c r="E5" i="33"/>
  <c r="E7" i="33" s="1"/>
  <c r="A3" i="33"/>
  <c r="A4" i="33" s="1"/>
  <c r="A5" i="33" s="1"/>
  <c r="A6" i="33" s="1"/>
  <c r="A7" i="33" s="1"/>
  <c r="M6" i="31" l="1"/>
  <c r="A4" i="25" l="1"/>
  <c r="A5" i="25" s="1"/>
  <c r="A6" i="25" s="1"/>
  <c r="A7" i="25" s="1"/>
  <c r="A3" i="25"/>
  <c r="E7" i="26" l="1"/>
  <c r="E6" i="26"/>
  <c r="E5" i="26"/>
  <c r="A5" i="26"/>
  <c r="A6" i="26" s="1"/>
  <c r="A7" i="26" s="1"/>
  <c r="A4" i="26"/>
  <c r="A3" i="26"/>
  <c r="A11" i="23" l="1"/>
  <c r="A10" i="23"/>
  <c r="G9" i="23" l="1"/>
  <c r="E9" i="23"/>
  <c r="A9" i="23"/>
  <c r="I7" i="23" l="1"/>
  <c r="I6" i="23"/>
  <c r="B8" i="23" l="1"/>
  <c r="A8" i="23"/>
  <c r="I8" i="23" l="1"/>
  <c r="H8" i="23"/>
  <c r="G8" i="23"/>
  <c r="E8" i="23"/>
  <c r="D8" i="23"/>
  <c r="A7" i="23" l="1"/>
  <c r="A6" i="23"/>
</calcChain>
</file>

<file path=xl/sharedStrings.xml><?xml version="1.0" encoding="utf-8"?>
<sst xmlns="http://schemas.openxmlformats.org/spreadsheetml/2006/main" count="2324" uniqueCount="429">
  <si>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</si>
  <si>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</si>
  <si>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</si>
  <si>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</si>
  <si>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</si>
  <si>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</si>
  <si>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</si>
  <si>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</si>
  <si>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</si>
  <si>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</si>
  <si>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</si>
  <si>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</si>
  <si>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</si>
  <si>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</si>
  <si>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</si>
  <si>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</si>
  <si>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</si>
  <si>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</si>
  <si>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</si>
  <si>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</si>
  <si>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</si>
  <si>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</si>
  <si>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</si>
  <si>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HALPJ</t>
  </si>
  <si>
    <t>SCHEDULED</t>
  </si>
  <si>
    <t>HALWV</t>
  </si>
  <si>
    <t>TZL-VIE-TZL</t>
  </si>
  <si>
    <t>TZL-HHN-TZL</t>
  </si>
  <si>
    <t>TZL-FMM-TZL</t>
  </si>
  <si>
    <t>TZL-EIN-TZL</t>
  </si>
  <si>
    <t>W64286</t>
  </si>
  <si>
    <t>W64284</t>
  </si>
  <si>
    <t>W64280</t>
  </si>
  <si>
    <t>W64290</t>
  </si>
  <si>
    <t>W64285</t>
  </si>
  <si>
    <t>W64283</t>
  </si>
  <si>
    <t>W64279</t>
  </si>
  <si>
    <t>W64289</t>
  </si>
  <si>
    <t>152+4 INF</t>
  </si>
  <si>
    <t>146+2 INF</t>
  </si>
  <si>
    <t>148+4INF</t>
  </si>
  <si>
    <t>SALZBURG JET AV.</t>
  </si>
  <si>
    <t>LNZ-TZL-VIE</t>
  </si>
  <si>
    <t>OE-FSP</t>
  </si>
  <si>
    <t>C25A</t>
  </si>
  <si>
    <t>NONSCHEDULED</t>
  </si>
  <si>
    <t>MOZ151</t>
  </si>
  <si>
    <t>SMATSA</t>
  </si>
  <si>
    <t>B350</t>
  </si>
  <si>
    <t>YU-BTC</t>
  </si>
  <si>
    <t>-</t>
  </si>
  <si>
    <t>TZL-BNX</t>
  </si>
  <si>
    <t>162+4INF</t>
  </si>
  <si>
    <t>YUTC</t>
  </si>
  <si>
    <t>LOCAL FLIGHT</t>
  </si>
  <si>
    <t>154+1 INF</t>
  </si>
  <si>
    <t>151+4 INF</t>
  </si>
  <si>
    <t>161+2 INF</t>
  </si>
  <si>
    <t>TZL-FDH-TZL</t>
  </si>
  <si>
    <t>W64616</t>
  </si>
  <si>
    <t>W64615</t>
  </si>
  <si>
    <t>148+2INF</t>
  </si>
  <si>
    <t>172+3 INF</t>
  </si>
  <si>
    <t>168+3 INF</t>
  </si>
  <si>
    <t>TZL-BLL-TZL</t>
  </si>
  <si>
    <t>TZL-SXF-TZL</t>
  </si>
  <si>
    <t>W64278</t>
  </si>
  <si>
    <t>W64276</t>
  </si>
  <si>
    <t>W64275</t>
  </si>
  <si>
    <t>W64277</t>
  </si>
  <si>
    <t>126+1 INF</t>
  </si>
  <si>
    <t>148+5 INF</t>
  </si>
  <si>
    <t>154+2 INF</t>
  </si>
  <si>
    <t>159+9 INF</t>
  </si>
  <si>
    <t>TZL-DTM-TZL</t>
  </si>
  <si>
    <t>TZL-MMX-TZL</t>
  </si>
  <si>
    <t>TZL-NYO-TZL</t>
  </si>
  <si>
    <t>TZL-GOT-TZL</t>
  </si>
  <si>
    <t>TZL-MLH-TZL</t>
  </si>
  <si>
    <t>TZL-CGN-TZL</t>
  </si>
  <si>
    <t>HA-LWV</t>
  </si>
  <si>
    <t>HA-LPJ</t>
  </si>
  <si>
    <t>HA-LWC</t>
  </si>
  <si>
    <t>W64298</t>
  </si>
  <si>
    <t>W64292</t>
  </si>
  <si>
    <t>W64282</t>
  </si>
  <si>
    <t>W64296</t>
  </si>
  <si>
    <t>W64294</t>
  </si>
  <si>
    <t>W64300</t>
  </si>
  <si>
    <t>W64297</t>
  </si>
  <si>
    <t>W64291</t>
  </si>
  <si>
    <t>W64281</t>
  </si>
  <si>
    <t>W64295</t>
  </si>
  <si>
    <t>W64293</t>
  </si>
  <si>
    <t>W64299</t>
  </si>
  <si>
    <t>170+3 INF</t>
  </si>
  <si>
    <t>131+3 INF</t>
  </si>
  <si>
    <t>168+2 INF</t>
  </si>
  <si>
    <t>169+1INF</t>
  </si>
  <si>
    <t>114+2 INF</t>
  </si>
  <si>
    <t>144+2 INF</t>
  </si>
  <si>
    <t>164+1 INF</t>
  </si>
  <si>
    <t>173+2 INF</t>
  </si>
  <si>
    <t>155+10 INF</t>
  </si>
  <si>
    <t>157+2 INF</t>
  </si>
  <si>
    <t>171+2 INF</t>
  </si>
  <si>
    <t>152+6 INF</t>
  </si>
  <si>
    <t>164+2 INF</t>
  </si>
  <si>
    <t>TZL-VXO-TZL</t>
  </si>
  <si>
    <t>TZL-FKB-TZL</t>
  </si>
  <si>
    <t>HALWC</t>
  </si>
  <si>
    <t>W64612</t>
  </si>
  <si>
    <t>W64611</t>
  </si>
  <si>
    <t>W64618</t>
  </si>
  <si>
    <t>W64217</t>
  </si>
  <si>
    <t>156+2INF</t>
  </si>
  <si>
    <t>151+4INF</t>
  </si>
  <si>
    <t>177+4INF</t>
  </si>
  <si>
    <t>165+2INF</t>
  </si>
  <si>
    <t>80+1INF</t>
  </si>
  <si>
    <t>151+2INF</t>
  </si>
  <si>
    <t>170+6 INF</t>
  </si>
  <si>
    <t>166+0 INF</t>
  </si>
  <si>
    <t>148+0 INF</t>
  </si>
  <si>
    <t>110+0 INF</t>
  </si>
  <si>
    <t>161+4 INF</t>
  </si>
  <si>
    <t>151+2 INF</t>
  </si>
  <si>
    <t>146+4 INF</t>
  </si>
  <si>
    <t>157+3 INF</t>
  </si>
  <si>
    <t>132+3 INF</t>
  </si>
  <si>
    <t>163+8 INF</t>
  </si>
  <si>
    <t>174+5 INF</t>
  </si>
  <si>
    <t>168+1INF</t>
  </si>
  <si>
    <t>143+3INF</t>
  </si>
  <si>
    <t>167+2INF</t>
  </si>
  <si>
    <t>174+3 INF</t>
  </si>
  <si>
    <t>173+4 INF</t>
  </si>
  <si>
    <t>81+0 INF</t>
  </si>
  <si>
    <t>155+3 INF</t>
  </si>
  <si>
    <t>155+3INF</t>
  </si>
  <si>
    <t>156+3 INF</t>
  </si>
  <si>
    <t>162+3 INF</t>
  </si>
  <si>
    <t>156+3INF</t>
  </si>
  <si>
    <t>165+0INF</t>
  </si>
  <si>
    <t>157+3INF</t>
  </si>
  <si>
    <t>162+6INF</t>
  </si>
  <si>
    <t>163+3INF</t>
  </si>
  <si>
    <t>155+2INF</t>
  </si>
  <si>
    <t>160+2INF</t>
  </si>
  <si>
    <t>174+6INF</t>
  </si>
  <si>
    <t>149+3INF</t>
  </si>
  <si>
    <t>160+3INF</t>
  </si>
  <si>
    <t>117+2INF</t>
  </si>
  <si>
    <t>W4294</t>
  </si>
  <si>
    <t>164+2INF</t>
  </si>
  <si>
    <t>147+4INF</t>
  </si>
  <si>
    <t>W64617</t>
  </si>
  <si>
    <t>133+6INF</t>
  </si>
  <si>
    <t>108+2INF</t>
  </si>
  <si>
    <t>OMO-TZL</t>
  </si>
  <si>
    <t>NON SCHEDULED/BUSSINES</t>
  </si>
  <si>
    <t>YU-TC</t>
  </si>
  <si>
    <t>ROP</t>
  </si>
  <si>
    <t>168+3INF</t>
  </si>
  <si>
    <t>154+0INF</t>
  </si>
  <si>
    <t>158+4INF</t>
  </si>
  <si>
    <t>158+2INF</t>
  </si>
  <si>
    <t>116+1INF</t>
  </si>
  <si>
    <t>147+2 INF</t>
  </si>
  <si>
    <t>135+3 INF</t>
  </si>
  <si>
    <t>130+3 INF</t>
  </si>
  <si>
    <t>155+2 INF</t>
  </si>
  <si>
    <t>VIE-TZL-VIE</t>
  </si>
  <si>
    <t>LALWC</t>
  </si>
  <si>
    <t>93+1INF</t>
  </si>
  <si>
    <t>168+7INF</t>
  </si>
  <si>
    <t>148+9INF</t>
  </si>
  <si>
    <t>137+2INF</t>
  </si>
  <si>
    <t>107+1 INF</t>
  </si>
  <si>
    <t>167+5 INF</t>
  </si>
  <si>
    <t>144+6 INF</t>
  </si>
  <si>
    <t>157+6 INF</t>
  </si>
  <si>
    <t>176+1 INF</t>
  </si>
  <si>
    <t>106+1 INF</t>
  </si>
  <si>
    <t>102+3 INF</t>
  </si>
  <si>
    <t>156+2 INF</t>
  </si>
  <si>
    <t>HALYR/HALPJ</t>
  </si>
  <si>
    <t>HALYR</t>
  </si>
  <si>
    <t>118+1INF</t>
  </si>
  <si>
    <t>171+3INF</t>
  </si>
  <si>
    <t>117+0INF</t>
  </si>
  <si>
    <t>149+1INF</t>
  </si>
  <si>
    <t>155+4INF</t>
  </si>
  <si>
    <t>172+3INF</t>
  </si>
  <si>
    <t>138+2INF</t>
  </si>
  <si>
    <t>156+6INF</t>
  </si>
  <si>
    <t>172+5 INF</t>
  </si>
  <si>
    <t>169+3 INF</t>
  </si>
  <si>
    <t>169+0INF</t>
  </si>
  <si>
    <t>168+2INF</t>
  </si>
  <si>
    <t>148+2 INF</t>
  </si>
  <si>
    <t>115+4 INF</t>
  </si>
  <si>
    <t>127+1 INF</t>
  </si>
  <si>
    <t>179+2 INF</t>
  </si>
  <si>
    <t>168+1 INF</t>
  </si>
  <si>
    <t>163+0INF</t>
  </si>
  <si>
    <t>170+2INF</t>
  </si>
  <si>
    <t>146+3INF</t>
  </si>
  <si>
    <t>107+3INF</t>
  </si>
  <si>
    <t>180+4INF</t>
  </si>
  <si>
    <t>HA-LYR</t>
  </si>
  <si>
    <t>125+4 INF</t>
  </si>
  <si>
    <t>179+4 INF</t>
  </si>
  <si>
    <t>179+7 INF</t>
  </si>
  <si>
    <t>178+3 INF</t>
  </si>
  <si>
    <t>SILKWAY</t>
  </si>
  <si>
    <t>Il76</t>
  </si>
  <si>
    <t>4KAZ41</t>
  </si>
  <si>
    <t>CARGO/CHARTER</t>
  </si>
  <si>
    <t>GYD-TZL-KBL</t>
  </si>
  <si>
    <t>AZQ4551</t>
  </si>
  <si>
    <t>AZQ4552</t>
  </si>
  <si>
    <t>180+7 INF</t>
  </si>
  <si>
    <t>110+4 INF</t>
  </si>
  <si>
    <t>163+4 INF</t>
  </si>
  <si>
    <t>172+7 INF</t>
  </si>
  <si>
    <t>180+4 INF</t>
  </si>
  <si>
    <t>176+4 INF</t>
  </si>
  <si>
    <t>158+6 INF</t>
  </si>
  <si>
    <t>169+2 INF</t>
  </si>
  <si>
    <t>161+7 INF</t>
  </si>
  <si>
    <t>165+1 INF</t>
  </si>
  <si>
    <t>180+3 INF</t>
  </si>
  <si>
    <t>167+1 INF</t>
  </si>
  <si>
    <t>154+5INF</t>
  </si>
  <si>
    <t>141+2INF</t>
  </si>
  <si>
    <t>179+5INF</t>
  </si>
  <si>
    <t>165+1INF</t>
  </si>
  <si>
    <t>125+3INF</t>
  </si>
  <si>
    <t>154+0 INF</t>
  </si>
  <si>
    <t>178+0 INF</t>
  </si>
  <si>
    <t>HALSB</t>
  </si>
  <si>
    <t>156+6 INF</t>
  </si>
  <si>
    <t>136+3 INF</t>
  </si>
  <si>
    <t>174+6 INF</t>
  </si>
  <si>
    <t>MEDEVAC</t>
  </si>
  <si>
    <t>YUBTT</t>
  </si>
  <si>
    <t>C551</t>
  </si>
  <si>
    <t>TGD-TZL-TGD</t>
  </si>
  <si>
    <t>ADRIATIC AIRWAYS</t>
  </si>
  <si>
    <t>103+2 INF</t>
  </si>
  <si>
    <t>HALWJ</t>
  </si>
  <si>
    <t>BEG-TZL-BEG</t>
  </si>
  <si>
    <t>W6807</t>
  </si>
  <si>
    <t>W6808</t>
  </si>
  <si>
    <t>173+2INF</t>
  </si>
  <si>
    <t>177+6INF</t>
  </si>
  <si>
    <t>173+4INF</t>
  </si>
  <si>
    <t>143+4INF</t>
  </si>
  <si>
    <t>130+2 INF</t>
  </si>
  <si>
    <t>122+2 INF</t>
  </si>
  <si>
    <t>172+0 INF</t>
  </si>
  <si>
    <t>HALWJ/HALWC</t>
  </si>
  <si>
    <t>180+2 INF</t>
  </si>
  <si>
    <t>179+6 INF</t>
  </si>
  <si>
    <t>HALYR/HALYP</t>
  </si>
  <si>
    <t>HALYP</t>
  </si>
  <si>
    <t>164+0INF</t>
  </si>
  <si>
    <t>116+2INF</t>
  </si>
  <si>
    <t>178+1INF</t>
  </si>
  <si>
    <t>161+4INF</t>
  </si>
  <si>
    <t>156+0INF</t>
  </si>
  <si>
    <t>166+4 INF</t>
  </si>
  <si>
    <t>180+1 INF</t>
  </si>
  <si>
    <t>173+3 INF</t>
  </si>
  <si>
    <t>179+1 INF</t>
  </si>
  <si>
    <t>W6424</t>
  </si>
  <si>
    <t>166+9INF</t>
  </si>
  <si>
    <t>169+2INF</t>
  </si>
  <si>
    <t>177+2INF</t>
  </si>
  <si>
    <t>138+3INF</t>
  </si>
  <si>
    <t>163+6INF</t>
  </si>
  <si>
    <t>146+2INF</t>
  </si>
  <si>
    <t>139+2INF</t>
  </si>
  <si>
    <t>FLYCOM</t>
  </si>
  <si>
    <t>BNX-TZL</t>
  </si>
  <si>
    <t>EC120</t>
  </si>
  <si>
    <t>S5-HCX</t>
  </si>
  <si>
    <t>FLYCOM2</t>
  </si>
  <si>
    <t>CREW ONLY</t>
  </si>
  <si>
    <t>180+5INF</t>
  </si>
  <si>
    <t>179+2INF</t>
  </si>
  <si>
    <t>120+3INF</t>
  </si>
  <si>
    <t>127+3INF</t>
  </si>
  <si>
    <t>NON-SCHEDULED</t>
  </si>
  <si>
    <t>HA-LWJ</t>
  </si>
  <si>
    <t>HA-LYP</t>
  </si>
  <si>
    <t>176+5 INF</t>
  </si>
  <si>
    <t>119+0 INF</t>
  </si>
  <si>
    <t>HA-LWG</t>
  </si>
  <si>
    <t>175+2INF</t>
  </si>
  <si>
    <t>148+0INF</t>
  </si>
  <si>
    <t>170+3INF</t>
  </si>
  <si>
    <t>179+1INF</t>
  </si>
  <si>
    <t>151+1INF</t>
  </si>
  <si>
    <t>155+1INF</t>
  </si>
  <si>
    <t>169+5 INF</t>
  </si>
  <si>
    <t>161+5 INF</t>
  </si>
  <si>
    <t>166+3 INF</t>
  </si>
  <si>
    <t>176+2 INF</t>
  </si>
  <si>
    <t>165+5 INF</t>
  </si>
  <si>
    <t>173+1 INF</t>
  </si>
  <si>
    <t>173+6 INF</t>
  </si>
  <si>
    <t>LJU-TZL</t>
  </si>
  <si>
    <t>NON-SCHEDULED/HEL</t>
  </si>
  <si>
    <t>167+2 INF</t>
  </si>
  <si>
    <t>145+4 INF</t>
  </si>
  <si>
    <t>TZL-TZL</t>
  </si>
  <si>
    <t>169+1 INF</t>
  </si>
  <si>
    <t>172+1 INF</t>
  </si>
  <si>
    <t>FLYCOM DOO</t>
  </si>
  <si>
    <t>TZL-SJJ-TZL</t>
  </si>
  <si>
    <t>NON-SCH./HEL</t>
  </si>
  <si>
    <t>171+3 INF</t>
  </si>
  <si>
    <t>141+1 INF</t>
  </si>
  <si>
    <t>166+2 INF</t>
  </si>
  <si>
    <t>HALWG</t>
  </si>
  <si>
    <t>175+0INF</t>
  </si>
  <si>
    <t>171+2INF</t>
  </si>
  <si>
    <t xml:space="preserve">  EC20</t>
  </si>
  <si>
    <t>TZL-SJJ</t>
  </si>
  <si>
    <t>JET EXECUTIVE</t>
  </si>
  <si>
    <t>MUC-TZL-ZRH</t>
  </si>
  <si>
    <t>LJ35A</t>
  </si>
  <si>
    <t>D-CCCA</t>
  </si>
  <si>
    <t>NON-SCHEDULED/MEDEVAC</t>
  </si>
  <si>
    <t>JEI212</t>
  </si>
  <si>
    <t>2+0INF</t>
  </si>
  <si>
    <t>173+1INF</t>
  </si>
  <si>
    <t>175+4INF</t>
  </si>
  <si>
    <t>158+5 INF</t>
  </si>
  <si>
    <t>140+2 INF</t>
  </si>
  <si>
    <t>160+2 INF</t>
  </si>
  <si>
    <t>175+1 INF</t>
  </si>
  <si>
    <t>136+8 INF</t>
  </si>
  <si>
    <t>179+3INF</t>
  </si>
  <si>
    <t>176+2INF</t>
  </si>
  <si>
    <t>177+5INF</t>
  </si>
  <si>
    <t>176+4INF</t>
  </si>
  <si>
    <t>142+5 INF</t>
  </si>
  <si>
    <t>174+2 INF</t>
  </si>
  <si>
    <t>163+7 INF</t>
  </si>
  <si>
    <t>139+1 INF</t>
  </si>
  <si>
    <t>147+3INF</t>
  </si>
  <si>
    <t>176+0INF</t>
  </si>
  <si>
    <t>167+3INF</t>
  </si>
  <si>
    <t>161+3INF</t>
  </si>
  <si>
    <t>157+0INF</t>
  </si>
  <si>
    <t>167+5INF</t>
  </si>
  <si>
    <t>172+1INF</t>
  </si>
  <si>
    <t>167+6INF</t>
  </si>
  <si>
    <t>170+4INF</t>
  </si>
  <si>
    <t>153+6 INF</t>
  </si>
  <si>
    <t>177+3 INF</t>
  </si>
  <si>
    <t>127+3 INF</t>
  </si>
  <si>
    <t>163+5 INF</t>
  </si>
  <si>
    <t>161+3 INF</t>
  </si>
  <si>
    <t>D-EAKA</t>
  </si>
  <si>
    <t>STQ222</t>
  </si>
  <si>
    <t>C525</t>
  </si>
  <si>
    <t>CIRRUS S22T</t>
  </si>
  <si>
    <t xml:space="preserve">STAR WINGS </t>
  </si>
  <si>
    <t>ANDREAS HEBNER</t>
  </si>
  <si>
    <t>SBZ-TZL</t>
  </si>
  <si>
    <t>SJJ-TZL</t>
  </si>
  <si>
    <t>133+1 INF</t>
  </si>
  <si>
    <t>171+1 INF</t>
  </si>
  <si>
    <t>159+3 INF</t>
  </si>
  <si>
    <t>152+1 INF</t>
  </si>
  <si>
    <t>140+1 INF</t>
  </si>
  <si>
    <t>149+4 INF</t>
  </si>
  <si>
    <t>164+4INF</t>
  </si>
  <si>
    <t>TZL-SOB</t>
  </si>
  <si>
    <t>CREW</t>
  </si>
  <si>
    <t>174+5INF</t>
  </si>
  <si>
    <t>171+5INF</t>
  </si>
  <si>
    <t xml:space="preserve"> </t>
  </si>
  <si>
    <t>165+5INF</t>
  </si>
  <si>
    <t>175+5INF</t>
  </si>
  <si>
    <t>161+6INF</t>
  </si>
  <si>
    <t>173+0INF</t>
  </si>
  <si>
    <t>175+7INF</t>
  </si>
  <si>
    <t>174+1INF</t>
  </si>
  <si>
    <t>STAR WINGS</t>
  </si>
  <si>
    <t>173+6INF</t>
  </si>
  <si>
    <t>170+5INF</t>
  </si>
  <si>
    <t>165+3INF</t>
  </si>
  <si>
    <t>D-ITIP</t>
  </si>
  <si>
    <t>NON SCHEDULED</t>
  </si>
  <si>
    <t>163+2 INF</t>
  </si>
  <si>
    <t>170+4 INF</t>
  </si>
  <si>
    <t>170+2 INF</t>
  </si>
  <si>
    <t>159+2 INF</t>
  </si>
  <si>
    <t>139+1INF</t>
  </si>
  <si>
    <t>162+3INF</t>
  </si>
  <si>
    <t>178+5INF</t>
  </si>
  <si>
    <t>176+1INF</t>
  </si>
  <si>
    <t>167+7INF</t>
  </si>
  <si>
    <t>166+5INF</t>
  </si>
  <si>
    <t>HALPR</t>
  </si>
  <si>
    <t>140+1INF</t>
  </si>
  <si>
    <t>136+1INF</t>
  </si>
  <si>
    <t>154+1INF</t>
  </si>
  <si>
    <t>EURO LINK</t>
  </si>
  <si>
    <t>ZRH-TZL-MUC</t>
  </si>
  <si>
    <t>B200</t>
  </si>
  <si>
    <t>D-IICE</t>
  </si>
  <si>
    <t>NON-SCH/MEDEVAC</t>
  </si>
  <si>
    <t>2+0 INF</t>
  </si>
  <si>
    <t>174+1 INF</t>
  </si>
  <si>
    <t>149+2 INF</t>
  </si>
  <si>
    <t>137+1 INF</t>
  </si>
  <si>
    <t>151+6INF</t>
  </si>
  <si>
    <t>165+4INF</t>
  </si>
  <si>
    <t>169+6INF</t>
  </si>
  <si>
    <t>162+1 INF</t>
  </si>
  <si>
    <t>168+0 INF</t>
  </si>
  <si>
    <t>153+2 INF</t>
  </si>
  <si>
    <t>148+1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</si>
</sst>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9"/>
      <name val="Garamond"/>
      <family val="1"/>
      <charset val="238"/>
    </font>
    <font>
      <sz val="10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6" fillId="0" borderId="0" xfId="1" applyFont="1" applyFill="1" applyAlignment="1">
      <alignment horizontal="center" vertical="center"/>
    </xf>
    <xf numFmtId="14" fontId="0" fillId="0" borderId="0" xfId="0" applyNumberFormat="1"/>
    <xf numFmtId="20" fontId="0" fillId="0" borderId="0" xfId="0" applyNumberFormat="1" applyAlignment="1">
      <alignment horizontal="center"/>
    </xf>
    <xf numFmtId="0" fontId="1" fillId="0" borderId="0" xfId="7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8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19" sqref="L19"/>
    </sheetView>
  </sheetViews>
  <sheetFormatPr defaultRowHeight="15" x14ac:dyDescent="0.25"/>
  <cols>
    <col min="3" max="3" width="13.7109375" customWidth="1"/>
    <col min="6" max="6" width="26.140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43556</v>
      </c>
      <c r="B2" s="6" t="s">
        <v>21</v>
      </c>
      <c r="C2" s="6" t="s">
        <v>74</v>
      </c>
      <c r="D2" s="6" t="s">
        <v>22</v>
      </c>
      <c r="E2" s="6" t="s">
        <v>23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0.44791666666666669</v>
      </c>
      <c r="L2" s="8">
        <v>0.25694444444444448</v>
      </c>
      <c r="M2" s="9">
        <v>0.27013888888888887</v>
      </c>
      <c r="N2" s="3" t="s">
        <v>147</v>
      </c>
      <c r="O2" s="10" t="s">
        <v>148</v>
      </c>
      <c r="P2" s="10">
        <v>753</v>
      </c>
      <c r="Q2" s="10">
        <v>784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43556</v>
      </c>
      <c r="B3" s="6" t="s">
        <v>21</v>
      </c>
      <c r="C3" s="6" t="s">
        <v>75</v>
      </c>
      <c r="D3" s="6" t="s">
        <v>22</v>
      </c>
      <c r="E3" s="6" t="s">
        <v>25</v>
      </c>
      <c r="F3" s="6" t="s">
        <v>24</v>
      </c>
      <c r="G3" s="7">
        <v>71500</v>
      </c>
      <c r="H3" s="6" t="s">
        <v>84</v>
      </c>
      <c r="I3" s="6" t="s">
        <v>90</v>
      </c>
      <c r="J3" s="8">
        <v>0.4861111111111111</v>
      </c>
      <c r="K3" s="2">
        <v>0.47500000000000003</v>
      </c>
      <c r="L3" s="8">
        <v>0.28125</v>
      </c>
      <c r="M3" s="9">
        <v>0.28750000000000003</v>
      </c>
      <c r="N3" s="3" t="s">
        <v>149</v>
      </c>
      <c r="O3" s="10" t="s">
        <v>150</v>
      </c>
      <c r="P3" s="6">
        <v>1230</v>
      </c>
      <c r="Q3" s="10">
        <v>631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43556</v>
      </c>
      <c r="B4" s="3" t="s">
        <v>21</v>
      </c>
      <c r="C4" s="3" t="s">
        <v>108</v>
      </c>
      <c r="D4" s="3" t="s">
        <v>22</v>
      </c>
      <c r="E4" s="6" t="s">
        <v>25</v>
      </c>
      <c r="F4" s="3" t="s">
        <v>24</v>
      </c>
      <c r="G4" s="7">
        <v>71500</v>
      </c>
      <c r="H4" s="3" t="s">
        <v>111</v>
      </c>
      <c r="I4" s="3" t="s">
        <v>112</v>
      </c>
      <c r="J4" s="11">
        <v>0.70833333333333337</v>
      </c>
      <c r="K4" s="2">
        <v>0.72638888888888886</v>
      </c>
      <c r="L4" s="11">
        <v>0.48958333333333331</v>
      </c>
      <c r="M4" s="2">
        <v>0.52500000000000002</v>
      </c>
      <c r="N4" s="3" t="s">
        <v>151</v>
      </c>
      <c r="O4" s="3" t="s">
        <v>152</v>
      </c>
      <c r="P4" s="3">
        <v>1214</v>
      </c>
      <c r="Q4" s="3">
        <v>642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43556</v>
      </c>
      <c r="B5" s="3" t="s">
        <v>21</v>
      </c>
      <c r="C5" s="3" t="s">
        <v>78</v>
      </c>
      <c r="D5" s="3" t="s">
        <v>22</v>
      </c>
      <c r="E5" s="6" t="s">
        <v>25</v>
      </c>
      <c r="F5" s="3" t="s">
        <v>24</v>
      </c>
      <c r="G5" s="7">
        <v>71500</v>
      </c>
      <c r="H5" s="3" t="s">
        <v>153</v>
      </c>
      <c r="I5" s="3" t="s">
        <v>93</v>
      </c>
      <c r="J5" s="12">
        <v>0.89930555555555547</v>
      </c>
      <c r="K5" s="2">
        <v>0.92013888888888884</v>
      </c>
      <c r="L5" s="12">
        <v>0.72916666666666663</v>
      </c>
      <c r="M5" s="13">
        <v>0.76527777777777783</v>
      </c>
      <c r="N5" s="3" t="s">
        <v>154</v>
      </c>
      <c r="O5" s="3" t="s">
        <v>155</v>
      </c>
      <c r="P5" s="14">
        <v>938</v>
      </c>
      <c r="Q5" s="3">
        <v>808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43556</v>
      </c>
      <c r="B6" s="3" t="s">
        <v>21</v>
      </c>
      <c r="C6" s="3" t="s">
        <v>109</v>
      </c>
      <c r="D6" s="3" t="s">
        <v>22</v>
      </c>
      <c r="E6" s="6" t="s">
        <v>23</v>
      </c>
      <c r="F6" s="19" t="s">
        <v>24</v>
      </c>
      <c r="G6" s="7">
        <v>71500</v>
      </c>
      <c r="H6" s="6" t="s">
        <v>113</v>
      </c>
      <c r="I6" s="6" t="s">
        <v>156</v>
      </c>
      <c r="J6" s="15">
        <v>0.9375</v>
      </c>
      <c r="K6" s="2">
        <v>0.93125000000000002</v>
      </c>
      <c r="L6" s="15">
        <v>0.76736111111111116</v>
      </c>
      <c r="M6" s="18">
        <v>0.77777777777777779</v>
      </c>
      <c r="N6" s="3" t="s">
        <v>157</v>
      </c>
      <c r="O6" s="3" t="s">
        <v>158</v>
      </c>
      <c r="P6" s="3">
        <v>945</v>
      </c>
      <c r="Q6" s="3">
        <v>420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16">
        <v>43556</v>
      </c>
      <c r="B7" s="4" t="s">
        <v>47</v>
      </c>
      <c r="C7" s="4" t="s">
        <v>159</v>
      </c>
      <c r="D7" s="4" t="s">
        <v>48</v>
      </c>
      <c r="E7" s="4" t="s">
        <v>49</v>
      </c>
      <c r="F7" s="4" t="s">
        <v>160</v>
      </c>
      <c r="G7" s="17">
        <v>6800</v>
      </c>
      <c r="H7" s="4" t="s">
        <v>161</v>
      </c>
      <c r="I7" s="4" t="s">
        <v>161</v>
      </c>
      <c r="J7" s="15">
        <v>0.58333333333333337</v>
      </c>
      <c r="K7" s="2">
        <v>0.56041666666666667</v>
      </c>
      <c r="L7" s="4" t="s">
        <v>162</v>
      </c>
      <c r="M7" s="4" t="s">
        <v>162</v>
      </c>
      <c r="N7" s="3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C18" sqref="C18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43557</v>
      </c>
      <c r="B2" s="6" t="s">
        <v>21</v>
      </c>
      <c r="C2" s="6" t="s">
        <v>26</v>
      </c>
      <c r="D2" s="6" t="s">
        <v>22</v>
      </c>
      <c r="E2" s="6" t="s">
        <v>25</v>
      </c>
      <c r="F2" s="6" t="s">
        <v>24</v>
      </c>
      <c r="G2" s="7">
        <v>71500</v>
      </c>
      <c r="H2" s="6" t="s">
        <v>30</v>
      </c>
      <c r="I2" s="6" t="s">
        <v>34</v>
      </c>
      <c r="J2" s="8">
        <v>0.38541666666666669</v>
      </c>
      <c r="K2" s="2">
        <v>0.37361111111111112</v>
      </c>
      <c r="L2" s="8">
        <v>0.25694444444444448</v>
      </c>
      <c r="M2" s="9">
        <v>0.26111111111111113</v>
      </c>
      <c r="N2" s="3" t="s">
        <v>40</v>
      </c>
      <c r="O2" s="10" t="s">
        <v>38</v>
      </c>
      <c r="P2" s="10">
        <v>352</v>
      </c>
      <c r="Q2" s="10">
        <v>399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43557</v>
      </c>
      <c r="B3" s="6" t="s">
        <v>21</v>
      </c>
      <c r="C3" s="6" t="s">
        <v>27</v>
      </c>
      <c r="D3" s="6" t="s">
        <v>22</v>
      </c>
      <c r="E3" s="6" t="s">
        <v>23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0.4909722222222222</v>
      </c>
      <c r="L3" s="8">
        <v>0.28125</v>
      </c>
      <c r="M3" s="9">
        <v>0.30624999999999997</v>
      </c>
      <c r="N3" s="3" t="s">
        <v>52</v>
      </c>
      <c r="O3" s="10" t="s">
        <v>39</v>
      </c>
      <c r="P3" s="6">
        <v>1240</v>
      </c>
      <c r="Q3" s="10">
        <v>757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43557</v>
      </c>
      <c r="B4" s="3" t="s">
        <v>21</v>
      </c>
      <c r="C4" s="3" t="s">
        <v>28</v>
      </c>
      <c r="D4" s="3" t="s">
        <v>22</v>
      </c>
      <c r="E4" s="6" t="s">
        <v>25</v>
      </c>
      <c r="F4" s="3" t="s">
        <v>24</v>
      </c>
      <c r="G4" s="7">
        <v>71500</v>
      </c>
      <c r="H4" s="3" t="s">
        <v>32</v>
      </c>
      <c r="I4" s="3" t="s">
        <v>36</v>
      </c>
      <c r="J4" s="11">
        <v>0.55555555555555558</v>
      </c>
      <c r="K4" s="2">
        <v>0.54513888888888895</v>
      </c>
      <c r="L4" s="11">
        <v>0.40625</v>
      </c>
      <c r="M4" s="2">
        <v>0.40972222222222227</v>
      </c>
      <c r="N4" s="3" t="s">
        <v>56</v>
      </c>
      <c r="O4" s="3" t="s">
        <v>55</v>
      </c>
      <c r="P4" s="3">
        <v>603</v>
      </c>
      <c r="Q4" s="3">
        <v>602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43557</v>
      </c>
      <c r="B5" s="3" t="s">
        <v>21</v>
      </c>
      <c r="C5" s="3" t="s">
        <v>29</v>
      </c>
      <c r="D5" s="3" t="s">
        <v>22</v>
      </c>
      <c r="E5" s="6" t="s">
        <v>23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0.7368055555555556</v>
      </c>
      <c r="L5" s="12">
        <v>0.49305555555555558</v>
      </c>
      <c r="M5" s="13">
        <v>0.52916666666666667</v>
      </c>
      <c r="N5" s="3" t="s">
        <v>62</v>
      </c>
      <c r="O5" s="3" t="s">
        <v>57</v>
      </c>
      <c r="P5" s="14">
        <v>891</v>
      </c>
      <c r="Q5" s="3">
        <v>771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16">
        <f t="shared" ref="A6:A11" si="0">A5</f>
        <v>43557</v>
      </c>
      <c r="B6" s="4" t="s">
        <v>41</v>
      </c>
      <c r="C6" s="4" t="s">
        <v>42</v>
      </c>
      <c r="D6" s="4" t="s">
        <v>44</v>
      </c>
      <c r="E6" s="4" t="s">
        <v>43</v>
      </c>
      <c r="F6" s="4" t="s">
        <v>45</v>
      </c>
      <c r="G6" s="17">
        <v>5600</v>
      </c>
      <c r="H6" s="4" t="s">
        <v>46</v>
      </c>
      <c r="I6" s="4" t="str">
        <f>H6</f>
        <v>MOZ151</v>
      </c>
      <c r="J6" s="15">
        <v>0.33680555555555558</v>
      </c>
      <c r="K6" s="2">
        <v>0.3611111111111111</v>
      </c>
      <c r="L6" s="15">
        <v>0.75</v>
      </c>
      <c r="M6" s="18">
        <v>0.73611111111111116</v>
      </c>
      <c r="N6" s="3">
        <v>1</v>
      </c>
      <c r="O6" s="4">
        <v>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16">
        <f t="shared" si="0"/>
        <v>43557</v>
      </c>
      <c r="B7" s="4" t="s">
        <v>47</v>
      </c>
      <c r="C7" s="4" t="s">
        <v>54</v>
      </c>
      <c r="D7" s="4" t="s">
        <v>48</v>
      </c>
      <c r="E7" s="4" t="s">
        <v>49</v>
      </c>
      <c r="F7" s="4" t="s">
        <v>45</v>
      </c>
      <c r="G7" s="17">
        <v>6800</v>
      </c>
      <c r="H7" s="4" t="s">
        <v>53</v>
      </c>
      <c r="I7" s="4" t="str">
        <f>H7</f>
        <v>YUTC</v>
      </c>
      <c r="J7" s="15">
        <v>0.5</v>
      </c>
      <c r="K7" s="2">
        <v>0.55069444444444449</v>
      </c>
      <c r="L7" s="15">
        <v>0.375</v>
      </c>
      <c r="M7" s="18">
        <v>0.40069444444444446</v>
      </c>
      <c r="N7" s="3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16">
        <f t="shared" si="0"/>
        <v>43557</v>
      </c>
      <c r="B8" s="4" t="str">
        <f>B7</f>
        <v>SMATSA</v>
      </c>
      <c r="C8" s="4" t="s">
        <v>51</v>
      </c>
      <c r="D8" s="4" t="str">
        <f>D7</f>
        <v>B350</v>
      </c>
      <c r="E8" s="4" t="str">
        <f>E7</f>
        <v>YU-BTC</v>
      </c>
      <c r="F8" s="4" t="s">
        <v>45</v>
      </c>
      <c r="G8" s="17">
        <f>G7</f>
        <v>6800</v>
      </c>
      <c r="H8" s="4" t="str">
        <f>H7</f>
        <v>YUTC</v>
      </c>
      <c r="I8" s="4" t="str">
        <f>I7</f>
        <v>YUTC</v>
      </c>
      <c r="J8" s="4" t="s">
        <v>50</v>
      </c>
      <c r="K8" s="2" t="s">
        <v>50</v>
      </c>
      <c r="L8" s="15">
        <v>0.625</v>
      </c>
      <c r="M8" s="18">
        <v>0.59722222222222221</v>
      </c>
      <c r="N8" s="3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16">
        <f t="shared" si="0"/>
        <v>43557</v>
      </c>
      <c r="B9" s="4" t="s">
        <v>21</v>
      </c>
      <c r="C9" s="4" t="s">
        <v>58</v>
      </c>
      <c r="D9" s="4" t="s">
        <v>22</v>
      </c>
      <c r="E9" s="4" t="str">
        <f>E4</f>
        <v>HALWV</v>
      </c>
      <c r="F9" s="4" t="s">
        <v>24</v>
      </c>
      <c r="G9" s="17">
        <f>G5</f>
        <v>71500</v>
      </c>
      <c r="H9" s="4" t="s">
        <v>59</v>
      </c>
      <c r="I9" s="4" t="s">
        <v>60</v>
      </c>
      <c r="J9" s="15">
        <v>0.74652777777777779</v>
      </c>
      <c r="K9" s="2">
        <v>0.73263888888888884</v>
      </c>
      <c r="L9" s="15">
        <v>0.58680555555555558</v>
      </c>
      <c r="M9" s="18">
        <v>0.59513888888888888</v>
      </c>
      <c r="N9" s="3" t="s">
        <v>63</v>
      </c>
      <c r="O9" s="4" t="s">
        <v>61</v>
      </c>
      <c r="P9" s="4">
        <v>971</v>
      </c>
      <c r="Q9" s="4">
        <v>631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">
      <c r="A10" s="16">
        <f t="shared" si="0"/>
        <v>43557</v>
      </c>
      <c r="B10" s="4" t="s">
        <v>21</v>
      </c>
      <c r="C10" s="4" t="s">
        <v>64</v>
      </c>
      <c r="D10" s="4" t="s">
        <v>22</v>
      </c>
      <c r="E10" s="4" t="s">
        <v>23</v>
      </c>
      <c r="F10" s="4" t="s">
        <v>24</v>
      </c>
      <c r="G10" s="17">
        <v>71500</v>
      </c>
      <c r="H10" s="4" t="s">
        <v>66</v>
      </c>
      <c r="I10" s="4" t="s">
        <v>69</v>
      </c>
      <c r="J10" s="15">
        <v>0.98263888888888884</v>
      </c>
      <c r="K10" s="2">
        <v>0.97499999999999998</v>
      </c>
      <c r="L10" s="15">
        <v>0.72222222222222221</v>
      </c>
      <c r="M10" s="18">
        <v>0.77430555555555547</v>
      </c>
      <c r="N10" s="3" t="s">
        <v>72</v>
      </c>
      <c r="O10" s="4" t="s">
        <v>70</v>
      </c>
      <c r="P10" s="4">
        <v>899</v>
      </c>
      <c r="Q10" s="4">
        <v>608</v>
      </c>
      <c r="R10" s="4">
        <v>0</v>
      </c>
      <c r="S10" s="4">
        <v>0</v>
      </c>
      <c r="T10" s="4">
        <v>0</v>
      </c>
      <c r="U10" s="4">
        <v>0</v>
      </c>
    </row>
    <row r="11" spans="1:21" x14ac:dyDescent="0.2">
      <c r="A11" s="16">
        <f t="shared" si="0"/>
        <v>43557</v>
      </c>
      <c r="B11" s="4" t="s">
        <v>21</v>
      </c>
      <c r="C11" s="4" t="s">
        <v>65</v>
      </c>
      <c r="D11" s="4" t="s">
        <v>22</v>
      </c>
      <c r="E11" s="4" t="s">
        <v>25</v>
      </c>
      <c r="F11" s="4" t="s">
        <v>24</v>
      </c>
      <c r="G11" s="17">
        <v>71500</v>
      </c>
      <c r="H11" s="4" t="s">
        <v>67</v>
      </c>
      <c r="I11" s="4" t="s">
        <v>68</v>
      </c>
      <c r="J11" s="15">
        <v>0.94444444444444453</v>
      </c>
      <c r="K11" s="2">
        <v>0.95208333333333339</v>
      </c>
      <c r="L11" s="15">
        <v>0.76736111111111116</v>
      </c>
      <c r="M11" s="18">
        <v>0.78611111111111109</v>
      </c>
      <c r="N11" s="3" t="s">
        <v>73</v>
      </c>
      <c r="O11" s="4" t="s">
        <v>71</v>
      </c>
      <c r="P11" s="4">
        <v>1193</v>
      </c>
      <c r="Q11" s="4">
        <v>534</v>
      </c>
      <c r="R11" s="4">
        <v>0</v>
      </c>
      <c r="S11" s="4">
        <v>0</v>
      </c>
      <c r="T11" s="4">
        <v>0</v>
      </c>
      <c r="U11" s="4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6" sqref="A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43558</v>
      </c>
      <c r="B2" s="6" t="s">
        <v>21</v>
      </c>
      <c r="C2" s="6" t="s">
        <v>74</v>
      </c>
      <c r="D2" s="6" t="s">
        <v>22</v>
      </c>
      <c r="E2" s="6" t="s">
        <v>80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0.45763888888888887</v>
      </c>
      <c r="L2" s="8">
        <v>0.25694444444444448</v>
      </c>
      <c r="M2" s="9">
        <v>0.26180555555555557</v>
      </c>
      <c r="N2" s="3" t="s">
        <v>97</v>
      </c>
      <c r="O2" s="10" t="s">
        <v>95</v>
      </c>
      <c r="P2" s="10">
        <v>1362</v>
      </c>
      <c r="Q2" s="10">
        <v>631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>A2</f>
        <v>43558</v>
      </c>
      <c r="B3" s="6" t="s">
        <v>21</v>
      </c>
      <c r="C3" s="6" t="s">
        <v>75</v>
      </c>
      <c r="D3" s="6" t="s">
        <v>22</v>
      </c>
      <c r="E3" s="6" t="s">
        <v>81</v>
      </c>
      <c r="F3" s="6" t="s">
        <v>24</v>
      </c>
      <c r="G3" s="7">
        <v>71500</v>
      </c>
      <c r="H3" s="6" t="s">
        <v>84</v>
      </c>
      <c r="I3" s="6" t="s">
        <v>90</v>
      </c>
      <c r="J3" s="8">
        <v>0.4861111111111111</v>
      </c>
      <c r="K3" s="2">
        <v>0.47986111111111113</v>
      </c>
      <c r="L3" s="8">
        <v>0.28125</v>
      </c>
      <c r="M3" s="9">
        <v>0.28611111111111115</v>
      </c>
      <c r="N3" s="3" t="s">
        <v>98</v>
      </c>
      <c r="O3" s="10" t="s">
        <v>96</v>
      </c>
      <c r="P3" s="6">
        <v>967</v>
      </c>
      <c r="Q3" s="10">
        <v>738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>A3</f>
        <v>43558</v>
      </c>
      <c r="B4" s="3" t="s">
        <v>21</v>
      </c>
      <c r="C4" s="3" t="s">
        <v>76</v>
      </c>
      <c r="D4" s="3" t="s">
        <v>22</v>
      </c>
      <c r="E4" s="6" t="s">
        <v>82</v>
      </c>
      <c r="F4" s="3" t="s">
        <v>24</v>
      </c>
      <c r="G4" s="7">
        <v>70000</v>
      </c>
      <c r="H4" s="3" t="s">
        <v>85</v>
      </c>
      <c r="I4" s="3" t="s">
        <v>91</v>
      </c>
      <c r="J4" s="11">
        <v>0.72569444444444453</v>
      </c>
      <c r="K4" s="2">
        <v>0.72152777777777777</v>
      </c>
      <c r="L4" s="11">
        <v>0.48958333333333331</v>
      </c>
      <c r="M4" s="2">
        <v>0.50277777777777777</v>
      </c>
      <c r="N4" s="3" t="s">
        <v>101</v>
      </c>
      <c r="O4" s="3" t="s">
        <v>99</v>
      </c>
      <c r="P4" s="3">
        <v>863</v>
      </c>
      <c r="Q4" s="3">
        <v>459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43558</v>
      </c>
      <c r="B5" s="3" t="s">
        <v>21</v>
      </c>
      <c r="C5" s="3" t="s">
        <v>77</v>
      </c>
      <c r="D5" s="3" t="s">
        <v>22</v>
      </c>
      <c r="E5" s="6" t="str">
        <f>E3</f>
        <v>HA-LPJ</v>
      </c>
      <c r="F5" s="3" t="s">
        <v>24</v>
      </c>
      <c r="G5" s="7">
        <v>71500</v>
      </c>
      <c r="H5" s="3" t="s">
        <v>86</v>
      </c>
      <c r="I5" s="3" t="s">
        <v>92</v>
      </c>
      <c r="J5" s="12">
        <v>0.74652777777777779</v>
      </c>
      <c r="K5" s="2">
        <v>0.74652777777777779</v>
      </c>
      <c r="L5" s="12">
        <v>0.51736111111111105</v>
      </c>
      <c r="M5" s="13">
        <v>0.52152777777777781</v>
      </c>
      <c r="N5" s="3" t="s">
        <v>102</v>
      </c>
      <c r="O5" s="4" t="s">
        <v>100</v>
      </c>
      <c r="P5" s="14">
        <v>1203</v>
      </c>
      <c r="Q5" s="4">
        <v>971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16">
        <f>A5</f>
        <v>43558</v>
      </c>
      <c r="B6" s="4" t="s">
        <v>21</v>
      </c>
      <c r="C6" s="4" t="s">
        <v>78</v>
      </c>
      <c r="D6" s="4" t="s">
        <v>22</v>
      </c>
      <c r="E6" s="4" t="str">
        <f>E4</f>
        <v>HA-LWC</v>
      </c>
      <c r="F6" s="4" t="s">
        <v>24</v>
      </c>
      <c r="G6" s="7">
        <v>70000</v>
      </c>
      <c r="H6" s="4" t="s">
        <v>87</v>
      </c>
      <c r="I6" s="4" t="s">
        <v>93</v>
      </c>
      <c r="J6" s="15">
        <v>0.91666666666666663</v>
      </c>
      <c r="K6" s="2">
        <v>0.93263888888888891</v>
      </c>
      <c r="L6" s="15">
        <v>0.74652777777777779</v>
      </c>
      <c r="M6" s="18">
        <v>0.7729166666666667</v>
      </c>
      <c r="N6" s="3" t="s">
        <v>105</v>
      </c>
      <c r="O6" s="4" t="s">
        <v>103</v>
      </c>
      <c r="P6" s="4">
        <v>815</v>
      </c>
      <c r="Q6" s="4">
        <v>897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16">
        <f t="shared" ref="A7" si="0">A6</f>
        <v>43558</v>
      </c>
      <c r="B7" s="4" t="s">
        <v>21</v>
      </c>
      <c r="C7" s="4" t="s">
        <v>79</v>
      </c>
      <c r="D7" s="4" t="s">
        <v>22</v>
      </c>
      <c r="E7" s="4" t="str">
        <f>E5</f>
        <v>HA-LPJ</v>
      </c>
      <c r="F7" s="4" t="s">
        <v>24</v>
      </c>
      <c r="G7" s="17">
        <v>71500</v>
      </c>
      <c r="H7" s="4" t="s">
        <v>88</v>
      </c>
      <c r="I7" s="4" t="s">
        <v>94</v>
      </c>
      <c r="J7" s="15">
        <v>0.95833333333333337</v>
      </c>
      <c r="K7" s="2">
        <v>0.97291666666666676</v>
      </c>
      <c r="L7" s="15">
        <v>0.76736111111111116</v>
      </c>
      <c r="M7" s="18">
        <v>0.78611111111111109</v>
      </c>
      <c r="N7" s="3" t="s">
        <v>106</v>
      </c>
      <c r="O7" s="4" t="s">
        <v>104</v>
      </c>
      <c r="P7" s="4">
        <v>1255</v>
      </c>
      <c r="Q7" s="4">
        <v>678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activeCell="G1" sqref="A1:XFD2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43559</v>
      </c>
      <c r="B2" s="6" t="s">
        <v>21</v>
      </c>
      <c r="C2" s="6" t="s">
        <v>29</v>
      </c>
      <c r="D2" s="6" t="s">
        <v>22</v>
      </c>
      <c r="E2" s="6" t="s">
        <v>23</v>
      </c>
      <c r="F2" s="6" t="s">
        <v>24</v>
      </c>
      <c r="G2" s="7">
        <v>71500</v>
      </c>
      <c r="H2" s="6" t="s">
        <v>33</v>
      </c>
      <c r="I2" s="6" t="s">
        <v>37</v>
      </c>
      <c r="J2" s="8">
        <v>0.70138888888888884</v>
      </c>
      <c r="K2" s="2">
        <v>0.70208333333333339</v>
      </c>
      <c r="L2" s="8">
        <v>0.49305555555555558</v>
      </c>
      <c r="M2" s="9">
        <v>0.49652777777777773</v>
      </c>
      <c r="N2" s="3" t="s">
        <v>107</v>
      </c>
      <c r="O2" s="10" t="s">
        <v>72</v>
      </c>
      <c r="P2" s="10">
        <v>875</v>
      </c>
      <c r="Q2" s="10">
        <v>634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/>
      <c r="B3" s="6"/>
      <c r="C3" s="6"/>
      <c r="D3" s="6"/>
      <c r="E3" s="6"/>
      <c r="F3" s="6"/>
      <c r="G3" s="7"/>
      <c r="H3" s="6"/>
      <c r="I3" s="6"/>
      <c r="J3" s="8"/>
      <c r="L3" s="8"/>
      <c r="M3" s="9"/>
      <c r="O3" s="10"/>
      <c r="P3" s="6"/>
      <c r="Q3" s="10"/>
      <c r="R3" s="6"/>
      <c r="S3" s="6"/>
      <c r="T3" s="6"/>
      <c r="U3" s="6"/>
    </row>
    <row r="4" spans="1:21" x14ac:dyDescent="0.2">
      <c r="A4" s="5"/>
      <c r="B4" s="3"/>
      <c r="C4" s="3"/>
      <c r="D4" s="3"/>
      <c r="E4" s="6"/>
      <c r="F4" s="3"/>
      <c r="G4" s="7"/>
      <c r="H4" s="3"/>
      <c r="I4" s="3"/>
      <c r="J4" s="11"/>
      <c r="L4" s="11"/>
      <c r="M4" s="2"/>
      <c r="O4" s="3"/>
      <c r="P4" s="3"/>
      <c r="Q4" s="3"/>
      <c r="R4" s="3"/>
      <c r="S4" s="3"/>
      <c r="T4" s="3"/>
      <c r="U4" s="3"/>
    </row>
    <row r="5" spans="1:21" x14ac:dyDescent="0.2">
      <c r="A5" s="5"/>
      <c r="B5" s="3"/>
      <c r="C5" s="3"/>
      <c r="D5" s="3"/>
      <c r="E5" s="6"/>
      <c r="F5" s="3"/>
      <c r="G5" s="7"/>
      <c r="H5" s="3"/>
      <c r="I5" s="3"/>
      <c r="J5" s="12"/>
      <c r="L5" s="12"/>
      <c r="M5" s="13"/>
      <c r="P5" s="14"/>
      <c r="R5" s="3"/>
      <c r="S5" s="3"/>
      <c r="T5" s="3"/>
      <c r="U5" s="3"/>
    </row>
    <row r="6" spans="1:21" x14ac:dyDescent="0.2">
      <c r="A6" s="16"/>
      <c r="G6" s="7"/>
      <c r="J6" s="15"/>
      <c r="L6" s="15"/>
      <c r="M6" s="18"/>
    </row>
    <row r="7" spans="1:21" x14ac:dyDescent="0.2">
      <c r="A7" s="16"/>
      <c r="G7" s="17"/>
      <c r="J7" s="15"/>
      <c r="L7" s="15"/>
      <c r="M7" s="1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E1" workbookViewId="0">
      <selection activeCell="K8" sqref="K8"/>
    </sheetView>
  </sheetViews>
  <sheetFormatPr defaultRowHeight="15" x14ac:dyDescent="0.25"/>
  <cols>
    <col min="3" max="3" width="13.5703125" customWidth="1"/>
    <col min="6" max="6" width="16.285156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43560</v>
      </c>
      <c r="B2" s="6" t="s">
        <v>21</v>
      </c>
      <c r="C2" s="6" t="s">
        <v>74</v>
      </c>
      <c r="D2" s="6" t="s">
        <v>22</v>
      </c>
      <c r="E2" s="6" t="s">
        <v>110</v>
      </c>
      <c r="F2" s="6" t="s">
        <v>24</v>
      </c>
      <c r="G2" s="4">
        <v>70000</v>
      </c>
      <c r="H2" s="6" t="s">
        <v>83</v>
      </c>
      <c r="I2" s="6" t="s">
        <v>89</v>
      </c>
      <c r="J2" s="8">
        <v>0.45833333333333331</v>
      </c>
      <c r="K2" s="2">
        <v>0.49652777777777773</v>
      </c>
      <c r="L2" s="8">
        <v>0.25694444444444448</v>
      </c>
      <c r="M2" s="9">
        <v>0.2722222222222222</v>
      </c>
      <c r="N2" s="3" t="s">
        <v>117</v>
      </c>
      <c r="O2" s="10" t="s">
        <v>115</v>
      </c>
      <c r="P2" s="10">
        <v>1204</v>
      </c>
      <c r="Q2" s="10">
        <v>1052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6">
        <f>A2</f>
        <v>43560</v>
      </c>
      <c r="B3" s="6" t="s">
        <v>21</v>
      </c>
      <c r="C3" s="4" t="s">
        <v>75</v>
      </c>
      <c r="D3" s="4" t="s">
        <v>22</v>
      </c>
      <c r="E3" s="4" t="s">
        <v>23</v>
      </c>
      <c r="F3" s="6" t="s">
        <v>24</v>
      </c>
      <c r="G3" s="7">
        <v>71500</v>
      </c>
      <c r="H3" s="4" t="s">
        <v>84</v>
      </c>
      <c r="I3" s="4" t="s">
        <v>90</v>
      </c>
      <c r="J3" s="15">
        <v>0.4861111111111111</v>
      </c>
      <c r="K3" s="18">
        <v>0.48194444444444445</v>
      </c>
      <c r="L3" s="15">
        <v>0.28125</v>
      </c>
      <c r="M3" s="18">
        <v>0.28819444444444448</v>
      </c>
      <c r="N3" s="4" t="s">
        <v>118</v>
      </c>
      <c r="O3" s="4" t="s">
        <v>116</v>
      </c>
      <c r="P3" s="4">
        <v>1093</v>
      </c>
      <c r="Q3" s="4">
        <v>855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16">
        <f t="shared" ref="A4:A7" si="0">A3</f>
        <v>43560</v>
      </c>
      <c r="B4" s="6" t="s">
        <v>21</v>
      </c>
      <c r="C4" s="4" t="s">
        <v>108</v>
      </c>
      <c r="D4" s="6" t="s">
        <v>22</v>
      </c>
      <c r="E4" s="6" t="s">
        <v>23</v>
      </c>
      <c r="F4" s="6" t="s">
        <v>24</v>
      </c>
      <c r="G4" s="17">
        <v>71500</v>
      </c>
      <c r="H4" s="4" t="s">
        <v>111</v>
      </c>
      <c r="I4" s="4" t="s">
        <v>112</v>
      </c>
      <c r="J4" s="15">
        <v>0.70833333333333337</v>
      </c>
      <c r="K4" s="18">
        <v>0.72569444444444453</v>
      </c>
      <c r="L4" s="15">
        <v>0.48958333333333331</v>
      </c>
      <c r="M4" s="18">
        <v>0.52430555555555558</v>
      </c>
      <c r="N4" s="4" t="s">
        <v>121</v>
      </c>
      <c r="O4" s="4" t="s">
        <v>119</v>
      </c>
      <c r="P4" s="4">
        <v>888</v>
      </c>
      <c r="Q4" s="4">
        <v>510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16">
        <f t="shared" si="0"/>
        <v>43560</v>
      </c>
      <c r="B5" s="6" t="s">
        <v>21</v>
      </c>
      <c r="C5" s="4" t="s">
        <v>77</v>
      </c>
      <c r="D5" s="4" t="s">
        <v>22</v>
      </c>
      <c r="E5" s="4" t="s">
        <v>110</v>
      </c>
      <c r="F5" s="6" t="s">
        <v>24</v>
      </c>
      <c r="G5" s="7">
        <v>70000</v>
      </c>
      <c r="H5" s="4" t="s">
        <v>86</v>
      </c>
      <c r="I5" s="4" t="s">
        <v>92</v>
      </c>
      <c r="J5" s="15">
        <v>0.74652777777777779</v>
      </c>
      <c r="K5" s="18">
        <v>0.76388888888888884</v>
      </c>
      <c r="L5" s="15">
        <v>0.51736111111111105</v>
      </c>
      <c r="M5" s="18">
        <v>0.54305555555555551</v>
      </c>
      <c r="N5" s="4" t="s">
        <v>122</v>
      </c>
      <c r="O5" s="4" t="s">
        <v>120</v>
      </c>
      <c r="P5" s="4">
        <v>1155</v>
      </c>
      <c r="Q5" s="4">
        <v>1369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16">
        <f t="shared" si="0"/>
        <v>43560</v>
      </c>
      <c r="B6" s="6" t="s">
        <v>21</v>
      </c>
      <c r="C6" s="4" t="s">
        <v>78</v>
      </c>
      <c r="D6" s="6" t="s">
        <v>22</v>
      </c>
      <c r="E6" s="6" t="s">
        <v>23</v>
      </c>
      <c r="F6" s="6" t="s">
        <v>24</v>
      </c>
      <c r="G6" s="17">
        <v>71500</v>
      </c>
      <c r="H6" s="4" t="s">
        <v>87</v>
      </c>
      <c r="I6" s="4" t="s">
        <v>93</v>
      </c>
      <c r="J6" s="15">
        <v>0.89930555555555547</v>
      </c>
      <c r="K6" s="18">
        <v>0.91388888888888886</v>
      </c>
      <c r="L6" s="15">
        <v>0.72916666666666663</v>
      </c>
      <c r="M6" s="18">
        <v>0.76527777777777783</v>
      </c>
      <c r="N6" s="4" t="s">
        <v>125</v>
      </c>
      <c r="O6" s="4" t="s">
        <v>123</v>
      </c>
      <c r="P6" s="4">
        <v>617</v>
      </c>
      <c r="Q6" s="4">
        <v>609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16">
        <f t="shared" si="0"/>
        <v>43560</v>
      </c>
      <c r="B7" s="6" t="s">
        <v>21</v>
      </c>
      <c r="C7" s="4" t="s">
        <v>109</v>
      </c>
      <c r="D7" s="4" t="s">
        <v>22</v>
      </c>
      <c r="E7" s="4" t="s">
        <v>110</v>
      </c>
      <c r="F7" s="6" t="s">
        <v>24</v>
      </c>
      <c r="G7" s="7">
        <v>70000</v>
      </c>
      <c r="H7" s="4" t="s">
        <v>113</v>
      </c>
      <c r="I7" s="4" t="s">
        <v>114</v>
      </c>
      <c r="J7" s="15">
        <v>0.9375</v>
      </c>
      <c r="K7" s="18">
        <v>0.94513888888888886</v>
      </c>
      <c r="L7" s="15">
        <v>0.76736111111111116</v>
      </c>
      <c r="M7" s="18">
        <v>0.79583333333333339</v>
      </c>
      <c r="N7" s="4" t="s">
        <v>126</v>
      </c>
      <c r="O7" s="4" t="s">
        <v>124</v>
      </c>
      <c r="P7" s="4">
        <v>789</v>
      </c>
      <c r="Q7" s="4">
        <v>307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K9" sqref="K9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43561</v>
      </c>
      <c r="B2" s="6" t="s">
        <v>21</v>
      </c>
      <c r="C2" s="6" t="s">
        <v>26</v>
      </c>
      <c r="D2" s="6" t="s">
        <v>22</v>
      </c>
      <c r="E2" s="6" t="s">
        <v>82</v>
      </c>
      <c r="F2" s="6" t="s">
        <v>24</v>
      </c>
      <c r="G2" s="7">
        <v>70000</v>
      </c>
      <c r="H2" s="6" t="s">
        <v>30</v>
      </c>
      <c r="I2" s="6" t="s">
        <v>34</v>
      </c>
      <c r="J2" s="8">
        <v>0.38541666666666669</v>
      </c>
      <c r="K2" s="2">
        <v>0.42083333333333334</v>
      </c>
      <c r="L2" s="8">
        <v>0.25694444444444448</v>
      </c>
      <c r="M2" s="9">
        <v>0.27986111111111112</v>
      </c>
      <c r="N2" s="3" t="s">
        <v>130</v>
      </c>
      <c r="O2" s="10" t="s">
        <v>127</v>
      </c>
      <c r="P2" s="10">
        <v>576</v>
      </c>
      <c r="Q2" s="10">
        <v>488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43561</v>
      </c>
      <c r="B3" s="6" t="s">
        <v>21</v>
      </c>
      <c r="C3" s="6" t="s">
        <v>27</v>
      </c>
      <c r="D3" s="6" t="s">
        <v>22</v>
      </c>
      <c r="E3" s="6" t="s">
        <v>81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0.54999999999999993</v>
      </c>
      <c r="L3" s="8">
        <v>0.28125</v>
      </c>
      <c r="M3" s="9">
        <v>0.37986111111111115</v>
      </c>
      <c r="N3" s="3" t="s">
        <v>131</v>
      </c>
      <c r="O3" s="10" t="s">
        <v>128</v>
      </c>
      <c r="P3" s="6">
        <v>1157</v>
      </c>
      <c r="Q3" s="10">
        <v>994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43561</v>
      </c>
      <c r="B4" s="3" t="s">
        <v>21</v>
      </c>
      <c r="C4" s="3" t="s">
        <v>28</v>
      </c>
      <c r="D4" s="3" t="s">
        <v>22</v>
      </c>
      <c r="E4" s="6" t="s">
        <v>82</v>
      </c>
      <c r="F4" s="3" t="s">
        <v>24</v>
      </c>
      <c r="G4" s="7">
        <v>70000</v>
      </c>
      <c r="H4" s="3" t="s">
        <v>32</v>
      </c>
      <c r="I4" s="3" t="s">
        <v>36</v>
      </c>
      <c r="J4" s="11">
        <v>0.55555555555555558</v>
      </c>
      <c r="K4" s="2">
        <v>0.58333333333333337</v>
      </c>
      <c r="L4" s="11">
        <v>0.40625</v>
      </c>
      <c r="M4" s="2">
        <v>0.45763888888888887</v>
      </c>
      <c r="N4" s="3" t="s">
        <v>134</v>
      </c>
      <c r="O4" s="3" t="s">
        <v>129</v>
      </c>
      <c r="P4" s="3">
        <v>1015</v>
      </c>
      <c r="Q4" s="3">
        <v>654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43561</v>
      </c>
      <c r="B5" s="3" t="s">
        <v>21</v>
      </c>
      <c r="C5" s="3" t="s">
        <v>29</v>
      </c>
      <c r="D5" s="3" t="s">
        <v>22</v>
      </c>
      <c r="E5" s="6" t="s">
        <v>23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0.78125</v>
      </c>
      <c r="L5" s="12">
        <v>0.49305555555555558</v>
      </c>
      <c r="M5" s="13">
        <v>0.5854166666666667</v>
      </c>
      <c r="N5" s="3" t="s">
        <v>136</v>
      </c>
      <c r="O5" s="3" t="s">
        <v>132</v>
      </c>
      <c r="P5" s="14">
        <v>1283</v>
      </c>
      <c r="Q5" s="3">
        <v>712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43561</v>
      </c>
      <c r="B6" s="4" t="s">
        <v>21</v>
      </c>
      <c r="C6" s="4" t="s">
        <v>58</v>
      </c>
      <c r="D6" s="4" t="s">
        <v>22</v>
      </c>
      <c r="E6" s="4" t="s">
        <v>110</v>
      </c>
      <c r="F6" s="4" t="s">
        <v>24</v>
      </c>
      <c r="G6" s="17">
        <v>70000</v>
      </c>
      <c r="H6" s="4" t="s">
        <v>59</v>
      </c>
      <c r="I6" s="4" t="s">
        <v>60</v>
      </c>
      <c r="J6" s="15">
        <v>0.74652777777777779</v>
      </c>
      <c r="K6" s="2">
        <v>0.75</v>
      </c>
      <c r="L6" s="15">
        <v>0.58680555555555558</v>
      </c>
      <c r="M6" s="18">
        <v>0.61597222222222225</v>
      </c>
      <c r="N6" s="3" t="s">
        <v>135</v>
      </c>
      <c r="O6" s="4" t="s">
        <v>133</v>
      </c>
      <c r="P6" s="4">
        <v>1217</v>
      </c>
      <c r="Q6" s="4">
        <v>648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5">
        <v>43561</v>
      </c>
      <c r="B7" s="4" t="s">
        <v>21</v>
      </c>
      <c r="C7" s="4" t="s">
        <v>64</v>
      </c>
      <c r="D7" s="4" t="s">
        <v>22</v>
      </c>
      <c r="E7" s="4" t="s">
        <v>110</v>
      </c>
      <c r="F7" s="4" t="s">
        <v>24</v>
      </c>
      <c r="G7" s="17">
        <v>70000</v>
      </c>
      <c r="H7" s="4" t="s">
        <v>66</v>
      </c>
      <c r="I7" s="4" t="s">
        <v>69</v>
      </c>
      <c r="J7" s="15">
        <v>0.94097222222222221</v>
      </c>
      <c r="K7" s="2">
        <v>0.97777777777777775</v>
      </c>
      <c r="L7" s="15">
        <v>0.72222222222222221</v>
      </c>
      <c r="M7" s="18">
        <v>0.77430555555555547</v>
      </c>
      <c r="N7" s="3" t="s">
        <v>116</v>
      </c>
      <c r="O7" s="4" t="s">
        <v>137</v>
      </c>
      <c r="P7" s="4">
        <v>849</v>
      </c>
      <c r="Q7" s="4">
        <v>393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5">
        <v>43561</v>
      </c>
      <c r="B8" s="4" t="s">
        <v>21</v>
      </c>
      <c r="C8" s="4" t="s">
        <v>65</v>
      </c>
      <c r="D8" s="4" t="s">
        <v>22</v>
      </c>
      <c r="E8" s="4" t="s">
        <v>23</v>
      </c>
      <c r="F8" s="4" t="s">
        <v>24</v>
      </c>
      <c r="G8" s="17">
        <v>71500</v>
      </c>
      <c r="H8" s="4" t="s">
        <v>67</v>
      </c>
      <c r="I8" s="4" t="s">
        <v>68</v>
      </c>
      <c r="J8" s="15">
        <v>0.94444444444444453</v>
      </c>
      <c r="K8" s="2">
        <v>0.97013888888888899</v>
      </c>
      <c r="L8" s="15">
        <v>0.76736111111111116</v>
      </c>
      <c r="M8" s="18">
        <v>0.81319444444444444</v>
      </c>
      <c r="N8" s="3" t="s">
        <v>139</v>
      </c>
      <c r="O8" s="4" t="s">
        <v>138</v>
      </c>
      <c r="P8" s="4">
        <v>966</v>
      </c>
      <c r="Q8" s="4">
        <v>934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5" sqref="K5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43562</v>
      </c>
      <c r="B2" s="6" t="s">
        <v>21</v>
      </c>
      <c r="C2" s="6" t="s">
        <v>76</v>
      </c>
      <c r="D2" s="6" t="s">
        <v>22</v>
      </c>
      <c r="E2" s="6" t="s">
        <v>81</v>
      </c>
      <c r="F2" s="6" t="s">
        <v>24</v>
      </c>
      <c r="G2" s="7">
        <v>71500</v>
      </c>
      <c r="H2" s="6" t="s">
        <v>85</v>
      </c>
      <c r="I2" s="6" t="s">
        <v>91</v>
      </c>
      <c r="J2" s="8">
        <v>0.72569444444444453</v>
      </c>
      <c r="K2" s="2">
        <v>0.72291666666666676</v>
      </c>
      <c r="L2" s="8">
        <v>0.48958333333333331</v>
      </c>
      <c r="M2" s="9">
        <v>0.49861111111111112</v>
      </c>
      <c r="N2" s="3" t="s">
        <v>142</v>
      </c>
      <c r="O2" s="10" t="s">
        <v>140</v>
      </c>
      <c r="P2" s="10">
        <v>964</v>
      </c>
      <c r="Q2" s="10">
        <v>1075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43562</v>
      </c>
      <c r="B3" s="6" t="s">
        <v>21</v>
      </c>
      <c r="C3" s="6" t="s">
        <v>77</v>
      </c>
      <c r="D3" s="6" t="s">
        <v>22</v>
      </c>
      <c r="E3" s="6" t="s">
        <v>82</v>
      </c>
      <c r="F3" s="6" t="s">
        <v>24</v>
      </c>
      <c r="G3" s="7">
        <v>70000</v>
      </c>
      <c r="H3" s="6" t="s">
        <v>86</v>
      </c>
      <c r="I3" s="6" t="s">
        <v>92</v>
      </c>
      <c r="J3" s="8">
        <v>0.74652777777777779</v>
      </c>
      <c r="K3" s="2">
        <v>0.74236111111111114</v>
      </c>
      <c r="L3" s="8">
        <v>0.51736111111111105</v>
      </c>
      <c r="M3" s="9">
        <v>0.52222222222222225</v>
      </c>
      <c r="N3" s="3" t="s">
        <v>143</v>
      </c>
      <c r="O3" s="10" t="s">
        <v>141</v>
      </c>
      <c r="P3" s="6">
        <v>1139</v>
      </c>
      <c r="Q3" s="10">
        <v>1259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43562</v>
      </c>
      <c r="B4" s="6" t="s">
        <v>21</v>
      </c>
      <c r="C4" s="3" t="s">
        <v>78</v>
      </c>
      <c r="D4" s="6" t="s">
        <v>22</v>
      </c>
      <c r="E4" s="6" t="s">
        <v>23</v>
      </c>
      <c r="F4" s="3" t="s">
        <v>24</v>
      </c>
      <c r="G4" s="7">
        <v>71500</v>
      </c>
      <c r="H4" s="3" t="s">
        <v>87</v>
      </c>
      <c r="I4" s="3" t="s">
        <v>93</v>
      </c>
      <c r="J4" s="11">
        <v>0.91666666666666663</v>
      </c>
      <c r="K4" s="2">
        <v>0.91249999999999998</v>
      </c>
      <c r="L4" s="11">
        <v>0.74652777777777779</v>
      </c>
      <c r="M4" s="2">
        <v>0.75902777777777775</v>
      </c>
      <c r="N4" s="3" t="s">
        <v>146</v>
      </c>
      <c r="O4" s="3" t="s">
        <v>144</v>
      </c>
      <c r="P4" s="3">
        <v>991</v>
      </c>
      <c r="Q4" s="3">
        <v>610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v>43562</v>
      </c>
      <c r="B5" s="6" t="s">
        <v>21</v>
      </c>
      <c r="C5" s="3" t="s">
        <v>79</v>
      </c>
      <c r="D5" s="6" t="s">
        <v>22</v>
      </c>
      <c r="E5" s="6" t="s">
        <v>110</v>
      </c>
      <c r="F5" s="3" t="s">
        <v>24</v>
      </c>
      <c r="G5" s="7">
        <v>70000</v>
      </c>
      <c r="H5" s="3" t="s">
        <v>88</v>
      </c>
      <c r="I5" s="3" t="s">
        <v>94</v>
      </c>
      <c r="J5" s="12">
        <v>0.95833333333333337</v>
      </c>
      <c r="K5" s="2">
        <v>0.95624999999999993</v>
      </c>
      <c r="L5" s="12">
        <v>0.76736111111111116</v>
      </c>
      <c r="M5" s="13">
        <v>0.77638888888888891</v>
      </c>
      <c r="N5" s="3" t="s">
        <v>163</v>
      </c>
      <c r="O5" s="3" t="s">
        <v>145</v>
      </c>
      <c r="P5" s="14">
        <v>1206</v>
      </c>
      <c r="Q5" s="3">
        <v>1000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/>
      <c r="G6" s="17"/>
      <c r="J6" s="15"/>
      <c r="L6" s="15"/>
      <c r="M6" s="18"/>
    </row>
    <row r="7" spans="1:21" x14ac:dyDescent="0.2">
      <c r="A7" s="5"/>
      <c r="G7" s="17"/>
      <c r="J7" s="15"/>
      <c r="L7" s="15"/>
      <c r="M7" s="18"/>
    </row>
    <row r="8" spans="1:21" x14ac:dyDescent="0.2">
      <c r="A8" s="5"/>
      <c r="G8" s="17"/>
      <c r="J8" s="15"/>
      <c r="L8" s="15"/>
      <c r="M8" s="1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P6" sqref="P6"/>
    </sheetView>
  </sheetViews>
  <sheetFormatPr defaultRowHeight="15" x14ac:dyDescent="0.25"/>
  <cols>
    <col min="2" max="2" width="10.140625" customWidth="1"/>
    <col min="3" max="3" width="13.7109375" customWidth="1"/>
    <col min="6" max="6" width="26.140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43563</v>
      </c>
      <c r="B2" s="6" t="s">
        <v>21</v>
      </c>
      <c r="C2" s="6" t="s">
        <v>74</v>
      </c>
      <c r="D2" s="6" t="s">
        <v>22</v>
      </c>
      <c r="E2" s="6" t="s">
        <v>23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0.45763888888888887</v>
      </c>
      <c r="L2" s="8">
        <v>0.25694444444444448</v>
      </c>
      <c r="M2" s="9">
        <v>0.26666666666666666</v>
      </c>
      <c r="N2" s="3" t="s">
        <v>165</v>
      </c>
      <c r="O2" s="10" t="s">
        <v>164</v>
      </c>
      <c r="P2" s="10">
        <v>1013</v>
      </c>
      <c r="Q2" s="10">
        <v>681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43563</v>
      </c>
      <c r="B3" s="6" t="s">
        <v>21</v>
      </c>
      <c r="C3" s="6" t="s">
        <v>75</v>
      </c>
      <c r="D3" s="6" t="s">
        <v>22</v>
      </c>
      <c r="E3" s="6" t="s">
        <v>110</v>
      </c>
      <c r="F3" s="6" t="s">
        <v>24</v>
      </c>
      <c r="G3" s="7">
        <v>70000</v>
      </c>
      <c r="H3" s="6" t="s">
        <v>84</v>
      </c>
      <c r="I3" s="6" t="s">
        <v>90</v>
      </c>
      <c r="J3" s="8">
        <v>0.4861111111111111</v>
      </c>
      <c r="K3" s="2">
        <v>0.48125000000000001</v>
      </c>
      <c r="L3" s="8">
        <v>0.28125</v>
      </c>
      <c r="M3" s="9">
        <v>0.28750000000000003</v>
      </c>
      <c r="N3" s="3" t="s">
        <v>166</v>
      </c>
      <c r="O3" s="10" t="s">
        <v>120</v>
      </c>
      <c r="P3" s="6">
        <v>1021</v>
      </c>
      <c r="Q3" s="10">
        <v>1057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43563</v>
      </c>
      <c r="B4" s="3" t="s">
        <v>21</v>
      </c>
      <c r="C4" s="3" t="s">
        <v>108</v>
      </c>
      <c r="D4" s="3" t="s">
        <v>22</v>
      </c>
      <c r="E4" s="6" t="s">
        <v>23</v>
      </c>
      <c r="F4" s="3" t="s">
        <v>24</v>
      </c>
      <c r="G4" s="7">
        <v>71500</v>
      </c>
      <c r="H4" s="3" t="s">
        <v>111</v>
      </c>
      <c r="I4" s="3" t="s">
        <v>112</v>
      </c>
      <c r="J4" s="11">
        <v>0.70833333333333337</v>
      </c>
      <c r="K4" s="2">
        <v>0.70277777777777783</v>
      </c>
      <c r="L4" s="11">
        <v>0.48958333333333331</v>
      </c>
      <c r="M4" s="2">
        <v>0.4993055555555555</v>
      </c>
      <c r="N4" s="3" t="s">
        <v>168</v>
      </c>
      <c r="O4" s="3" t="s">
        <v>167</v>
      </c>
      <c r="P4" s="3">
        <v>1067</v>
      </c>
      <c r="Q4" s="3">
        <v>482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43563</v>
      </c>
      <c r="B5" s="3" t="s">
        <v>21</v>
      </c>
      <c r="C5" s="3" t="s">
        <v>78</v>
      </c>
      <c r="D5" s="3" t="s">
        <v>22</v>
      </c>
      <c r="E5" s="6" t="s">
        <v>81</v>
      </c>
      <c r="F5" s="3" t="s">
        <v>24</v>
      </c>
      <c r="G5" s="7">
        <v>71500</v>
      </c>
      <c r="H5" s="3" t="s">
        <v>87</v>
      </c>
      <c r="I5" s="3" t="s">
        <v>93</v>
      </c>
      <c r="J5" s="12">
        <v>0.89930555555555547</v>
      </c>
      <c r="K5" s="2">
        <v>0.89861111111111114</v>
      </c>
      <c r="L5" s="12">
        <v>0.72916666666666663</v>
      </c>
      <c r="M5" s="13">
        <v>0.74097222222222225</v>
      </c>
      <c r="N5" s="3" t="s">
        <v>171</v>
      </c>
      <c r="O5" s="3" t="s">
        <v>169</v>
      </c>
      <c r="P5" s="14">
        <v>716</v>
      </c>
      <c r="Q5" s="3">
        <v>542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43563</v>
      </c>
      <c r="B6" s="3" t="s">
        <v>21</v>
      </c>
      <c r="C6" s="3" t="s">
        <v>109</v>
      </c>
      <c r="D6" s="3" t="s">
        <v>22</v>
      </c>
      <c r="E6" s="6" t="s">
        <v>82</v>
      </c>
      <c r="F6" s="19" t="s">
        <v>24</v>
      </c>
      <c r="G6" s="7">
        <v>70000</v>
      </c>
      <c r="H6" s="6" t="s">
        <v>113</v>
      </c>
      <c r="I6" s="6" t="s">
        <v>156</v>
      </c>
      <c r="J6" s="15">
        <v>0.9375</v>
      </c>
      <c r="K6" s="2">
        <v>0.92222222222222217</v>
      </c>
      <c r="L6" s="15">
        <v>0.76736111111111116</v>
      </c>
      <c r="M6" s="18">
        <f>L6</f>
        <v>0.76736111111111116</v>
      </c>
      <c r="N6" s="3" t="s">
        <v>57</v>
      </c>
      <c r="O6" s="3" t="s">
        <v>170</v>
      </c>
      <c r="P6" s="3">
        <v>687</v>
      </c>
      <c r="Q6" s="3">
        <v>596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16"/>
      <c r="G7" s="17"/>
      <c r="J7" s="15"/>
      <c r="K7" s="2"/>
      <c r="N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E2" sqref="E2"/>
    </sheetView>
  </sheetViews>
  <sheetFormatPr defaultRowHeight="15" x14ac:dyDescent="0.25"/>
  <cols>
    <col min="2" max="2" width="10.140625" customWidth="1"/>
    <col min="3" max="3" width="13.7109375" customWidth="1"/>
    <col min="6" max="6" width="26.140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43564</v>
      </c>
      <c r="B2" s="6" t="s">
        <v>21</v>
      </c>
      <c r="C2" s="6" t="s">
        <v>172</v>
      </c>
      <c r="D2" s="6" t="s">
        <v>22</v>
      </c>
      <c r="E2" s="6" t="s">
        <v>173</v>
      </c>
      <c r="F2" s="6" t="s">
        <v>24</v>
      </c>
      <c r="G2" s="7">
        <v>71000</v>
      </c>
      <c r="H2" s="6" t="s">
        <v>34</v>
      </c>
      <c r="I2" s="6" t="s">
        <v>30</v>
      </c>
      <c r="J2" s="8">
        <v>0.38541666666666669</v>
      </c>
      <c r="K2" s="2">
        <v>0.37222222222222223</v>
      </c>
      <c r="L2" s="8">
        <v>0.25694444444444448</v>
      </c>
      <c r="M2" s="9">
        <v>0.26250000000000001</v>
      </c>
      <c r="N2" s="3" t="s">
        <v>176</v>
      </c>
      <c r="O2" s="10" t="s">
        <v>174</v>
      </c>
      <c r="P2" s="10">
        <v>510</v>
      </c>
      <c r="Q2" s="10">
        <v>377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43564</v>
      </c>
      <c r="B3" s="6" t="s">
        <v>21</v>
      </c>
      <c r="C3" s="6" t="s">
        <v>27</v>
      </c>
      <c r="D3" s="6" t="s">
        <v>22</v>
      </c>
      <c r="E3" s="6" t="s">
        <v>23</v>
      </c>
      <c r="F3" s="6" t="s">
        <v>24</v>
      </c>
      <c r="G3" s="7">
        <v>71500</v>
      </c>
      <c r="H3" s="6" t="s">
        <v>35</v>
      </c>
      <c r="I3" s="6" t="s">
        <v>31</v>
      </c>
      <c r="J3" s="8">
        <v>0.46180555555555558</v>
      </c>
      <c r="K3" s="2">
        <v>0.46875</v>
      </c>
      <c r="L3" s="8">
        <v>0.28125</v>
      </c>
      <c r="M3" s="9">
        <v>0.29236111111111113</v>
      </c>
      <c r="N3" s="3" t="s">
        <v>180</v>
      </c>
      <c r="O3" s="10" t="s">
        <v>175</v>
      </c>
      <c r="P3" s="6">
        <v>920</v>
      </c>
      <c r="Q3" s="10">
        <v>1002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43564</v>
      </c>
      <c r="B4" s="3" t="s">
        <v>21</v>
      </c>
      <c r="C4" s="3" t="s">
        <v>28</v>
      </c>
      <c r="D4" s="3" t="s">
        <v>22</v>
      </c>
      <c r="E4" s="6" t="s">
        <v>110</v>
      </c>
      <c r="F4" s="3" t="s">
        <v>24</v>
      </c>
      <c r="G4" s="7">
        <v>70000</v>
      </c>
      <c r="H4" s="3" t="s">
        <v>36</v>
      </c>
      <c r="I4" s="3" t="s">
        <v>32</v>
      </c>
      <c r="J4" s="11">
        <v>0.55555555555555558</v>
      </c>
      <c r="K4" s="2">
        <v>0.5444444444444444</v>
      </c>
      <c r="L4" s="11">
        <v>0.40625</v>
      </c>
      <c r="M4" s="2">
        <v>0.40625</v>
      </c>
      <c r="N4" s="3" t="s">
        <v>181</v>
      </c>
      <c r="O4" s="3" t="s">
        <v>177</v>
      </c>
      <c r="P4" s="3">
        <v>837</v>
      </c>
      <c r="Q4" s="3">
        <v>507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43564</v>
      </c>
      <c r="B5" s="3" t="s">
        <v>21</v>
      </c>
      <c r="C5" s="3" t="s">
        <v>29</v>
      </c>
      <c r="D5" s="3" t="s">
        <v>22</v>
      </c>
      <c r="E5" s="6" t="s">
        <v>23</v>
      </c>
      <c r="F5" s="3" t="s">
        <v>24</v>
      </c>
      <c r="G5" s="7">
        <v>71500</v>
      </c>
      <c r="H5" s="3" t="s">
        <v>37</v>
      </c>
      <c r="I5" s="3" t="s">
        <v>33</v>
      </c>
      <c r="J5" s="12">
        <v>0.70138888888888884</v>
      </c>
      <c r="K5" s="2">
        <v>0.70138888888888884</v>
      </c>
      <c r="L5" s="12">
        <v>0.49305555555555558</v>
      </c>
      <c r="M5" s="13">
        <v>0.51041666666666663</v>
      </c>
      <c r="N5" s="3" t="s">
        <v>182</v>
      </c>
      <c r="O5" s="3" t="s">
        <v>125</v>
      </c>
      <c r="P5" s="14">
        <v>1010</v>
      </c>
      <c r="Q5" s="3">
        <v>760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43564</v>
      </c>
      <c r="B6" s="3" t="s">
        <v>21</v>
      </c>
      <c r="C6" s="3" t="s">
        <v>58</v>
      </c>
      <c r="D6" s="3" t="s">
        <v>22</v>
      </c>
      <c r="E6" s="6" t="s">
        <v>110</v>
      </c>
      <c r="F6" s="19" t="s">
        <v>24</v>
      </c>
      <c r="G6" s="7">
        <v>70000</v>
      </c>
      <c r="H6" s="6" t="s">
        <v>60</v>
      </c>
      <c r="I6" s="6" t="s">
        <v>59</v>
      </c>
      <c r="J6" s="15">
        <v>0.74652777777777779</v>
      </c>
      <c r="K6" s="2">
        <v>0.72638888888888886</v>
      </c>
      <c r="L6" s="15">
        <v>0.58680555555555558</v>
      </c>
      <c r="M6" s="18">
        <v>0.58680555555555558</v>
      </c>
      <c r="N6" s="3" t="s">
        <v>179</v>
      </c>
      <c r="O6" s="3" t="s">
        <v>178</v>
      </c>
      <c r="P6" s="3">
        <v>1119</v>
      </c>
      <c r="Q6" s="3">
        <v>498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16">
        <v>43564</v>
      </c>
      <c r="B7" s="4" t="s">
        <v>21</v>
      </c>
      <c r="C7" s="4" t="s">
        <v>64</v>
      </c>
      <c r="D7" s="4" t="s">
        <v>22</v>
      </c>
      <c r="E7" s="4" t="s">
        <v>23</v>
      </c>
      <c r="F7" s="4" t="s">
        <v>24</v>
      </c>
      <c r="G7" s="17">
        <v>71500</v>
      </c>
      <c r="H7" s="4" t="s">
        <v>69</v>
      </c>
      <c r="I7" s="4" t="s">
        <v>66</v>
      </c>
      <c r="J7" s="15">
        <v>0.94097222222222221</v>
      </c>
      <c r="K7" s="2">
        <v>0.94097222222222221</v>
      </c>
      <c r="L7" s="18">
        <v>0.72222222222222221</v>
      </c>
      <c r="M7" s="18">
        <v>0.73888888888888893</v>
      </c>
      <c r="N7" s="3" t="s">
        <v>55</v>
      </c>
      <c r="O7" s="4" t="s">
        <v>183</v>
      </c>
      <c r="P7" s="4">
        <v>651</v>
      </c>
      <c r="Q7" s="4">
        <v>622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0">
        <v>43564</v>
      </c>
      <c r="B8" s="3" t="s">
        <v>21</v>
      </c>
      <c r="C8" s="3" t="s">
        <v>65</v>
      </c>
      <c r="D8" s="3" t="s">
        <v>22</v>
      </c>
      <c r="E8" s="6" t="s">
        <v>110</v>
      </c>
      <c r="F8" s="3" t="s">
        <v>24</v>
      </c>
      <c r="G8" s="7">
        <v>70000</v>
      </c>
      <c r="H8" s="6" t="s">
        <v>68</v>
      </c>
      <c r="I8" s="6" t="s">
        <v>67</v>
      </c>
      <c r="J8" s="21">
        <v>0.94444444444444453</v>
      </c>
      <c r="K8" s="21">
        <v>0.9375</v>
      </c>
      <c r="L8" s="21">
        <v>0.76736111111111116</v>
      </c>
      <c r="M8" s="21">
        <v>0.76944444444444438</v>
      </c>
      <c r="N8" s="3" t="s">
        <v>185</v>
      </c>
      <c r="O8" s="3" t="s">
        <v>184</v>
      </c>
      <c r="P8" s="3">
        <v>855</v>
      </c>
      <c r="Q8" s="3">
        <v>662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E1" workbookViewId="0">
      <selection activeCell="K36" sqref="K3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43565</v>
      </c>
      <c r="B2" s="6" t="s">
        <v>21</v>
      </c>
      <c r="C2" s="6" t="s">
        <v>74</v>
      </c>
      <c r="D2" s="6" t="s">
        <v>22</v>
      </c>
      <c r="E2" s="6" t="s">
        <v>186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0.45902777777777781</v>
      </c>
      <c r="L2" s="8">
        <v>0.25694444444444448</v>
      </c>
      <c r="M2" s="9">
        <v>0.26874999999999999</v>
      </c>
      <c r="N2" s="3" t="s">
        <v>189</v>
      </c>
      <c r="O2" s="10" t="s">
        <v>154</v>
      </c>
      <c r="P2" s="10">
        <v>1437</v>
      </c>
      <c r="Q2" s="10">
        <v>575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>A2</f>
        <v>43565</v>
      </c>
      <c r="B3" s="6" t="s">
        <v>21</v>
      </c>
      <c r="C3" s="6" t="s">
        <v>75</v>
      </c>
      <c r="D3" s="6" t="s">
        <v>22</v>
      </c>
      <c r="E3" s="6" t="s">
        <v>110</v>
      </c>
      <c r="F3" s="6" t="s">
        <v>24</v>
      </c>
      <c r="G3" s="7">
        <v>70000</v>
      </c>
      <c r="H3" s="6" t="s">
        <v>84</v>
      </c>
      <c r="I3" s="6" t="s">
        <v>90</v>
      </c>
      <c r="J3" s="8">
        <v>0.4861111111111111</v>
      </c>
      <c r="K3" s="2">
        <v>0.48055555555555557</v>
      </c>
      <c r="L3" s="8">
        <v>0.28125</v>
      </c>
      <c r="M3" s="9">
        <v>0.2951388888888889</v>
      </c>
      <c r="N3" s="3" t="s">
        <v>166</v>
      </c>
      <c r="O3" s="10" t="s">
        <v>188</v>
      </c>
      <c r="P3" s="6">
        <v>1006</v>
      </c>
      <c r="Q3" s="10">
        <v>813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>A3</f>
        <v>43565</v>
      </c>
      <c r="B4" s="3" t="s">
        <v>21</v>
      </c>
      <c r="C4" s="3" t="s">
        <v>76</v>
      </c>
      <c r="D4" s="3" t="s">
        <v>22</v>
      </c>
      <c r="E4" s="6" t="s">
        <v>187</v>
      </c>
      <c r="F4" s="3" t="s">
        <v>24</v>
      </c>
      <c r="G4" s="7">
        <v>71500</v>
      </c>
      <c r="H4" s="3" t="s">
        <v>85</v>
      </c>
      <c r="I4" s="3" t="s">
        <v>91</v>
      </c>
      <c r="J4" s="11">
        <v>0.72569444444444453</v>
      </c>
      <c r="K4" s="2">
        <v>0.74097222222222225</v>
      </c>
      <c r="L4" s="11">
        <v>0.48958333333333331</v>
      </c>
      <c r="M4" s="2">
        <v>0.52013888888888882</v>
      </c>
      <c r="N4" s="3" t="s">
        <v>192</v>
      </c>
      <c r="O4" s="3" t="s">
        <v>190</v>
      </c>
      <c r="P4" s="3">
        <v>904</v>
      </c>
      <c r="Q4" s="3">
        <v>706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43565</v>
      </c>
      <c r="B5" s="3" t="s">
        <v>21</v>
      </c>
      <c r="C5" s="3" t="s">
        <v>77</v>
      </c>
      <c r="D5" s="3" t="s">
        <v>22</v>
      </c>
      <c r="E5" s="6" t="str">
        <f>E3</f>
        <v>HALWC</v>
      </c>
      <c r="F5" s="3" t="s">
        <v>24</v>
      </c>
      <c r="G5" s="7">
        <v>70000</v>
      </c>
      <c r="H5" s="3" t="s">
        <v>86</v>
      </c>
      <c r="I5" s="3" t="s">
        <v>92</v>
      </c>
      <c r="J5" s="12">
        <v>0.74652777777777779</v>
      </c>
      <c r="K5" s="2">
        <v>0.75277777777777777</v>
      </c>
      <c r="L5" s="12">
        <v>0.51736111111111105</v>
      </c>
      <c r="M5" s="13">
        <v>0.52430555555555558</v>
      </c>
      <c r="N5" s="3" t="s">
        <v>193</v>
      </c>
      <c r="O5" s="4" t="s">
        <v>191</v>
      </c>
      <c r="P5" s="14">
        <v>1151</v>
      </c>
      <c r="Q5" s="4">
        <v>911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16">
        <f>A5</f>
        <v>43565</v>
      </c>
      <c r="B6" s="4" t="s">
        <v>21</v>
      </c>
      <c r="C6" s="4" t="s">
        <v>78</v>
      </c>
      <c r="D6" s="4" t="s">
        <v>22</v>
      </c>
      <c r="E6" s="4" t="str">
        <f>E4</f>
        <v>HALYR</v>
      </c>
      <c r="F6" s="4" t="s">
        <v>24</v>
      </c>
      <c r="G6" s="7">
        <v>71500</v>
      </c>
      <c r="H6" s="4" t="s">
        <v>87</v>
      </c>
      <c r="I6" s="4" t="s">
        <v>93</v>
      </c>
      <c r="J6" s="15">
        <v>0.91666666666666663</v>
      </c>
      <c r="K6" s="2">
        <v>0.94513888888888886</v>
      </c>
      <c r="L6" s="15">
        <v>0.74652777777777779</v>
      </c>
      <c r="M6" s="18">
        <v>0.78125</v>
      </c>
      <c r="N6" s="3" t="s">
        <v>196</v>
      </c>
      <c r="O6" s="4" t="s">
        <v>194</v>
      </c>
      <c r="P6" s="4">
        <v>1073</v>
      </c>
      <c r="Q6" s="4">
        <v>776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16">
        <f t="shared" ref="A7" si="0">A6</f>
        <v>43565</v>
      </c>
      <c r="B7" s="4" t="s">
        <v>21</v>
      </c>
      <c r="C7" s="4" t="s">
        <v>79</v>
      </c>
      <c r="D7" s="4" t="s">
        <v>22</v>
      </c>
      <c r="E7" s="4" t="str">
        <f>E5</f>
        <v>HALWC</v>
      </c>
      <c r="F7" s="4" t="s">
        <v>24</v>
      </c>
      <c r="G7" s="17">
        <v>70000</v>
      </c>
      <c r="H7" s="4" t="s">
        <v>88</v>
      </c>
      <c r="I7" s="4" t="s">
        <v>94</v>
      </c>
      <c r="J7" s="15">
        <v>0.95833333333333337</v>
      </c>
      <c r="K7" s="2">
        <v>0.97986111111111107</v>
      </c>
      <c r="L7" s="15">
        <v>0.76736111111111116</v>
      </c>
      <c r="M7" s="18">
        <v>0.79305555555555562</v>
      </c>
      <c r="N7" s="3" t="s">
        <v>197</v>
      </c>
      <c r="O7" s="4" t="s">
        <v>195</v>
      </c>
      <c r="P7" s="4">
        <v>1094</v>
      </c>
      <c r="Q7" s="4">
        <v>691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F1" workbookViewId="0">
      <selection activeCell="K2" sqref="K2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43566</v>
      </c>
      <c r="B2" s="6" t="s">
        <v>21</v>
      </c>
      <c r="C2" s="6" t="s">
        <v>29</v>
      </c>
      <c r="D2" s="6" t="s">
        <v>22</v>
      </c>
      <c r="E2" s="6" t="s">
        <v>110</v>
      </c>
      <c r="F2" s="6" t="s">
        <v>24</v>
      </c>
      <c r="G2" s="7">
        <v>70000</v>
      </c>
      <c r="H2" s="6" t="s">
        <v>33</v>
      </c>
      <c r="I2" s="6" t="s">
        <v>37</v>
      </c>
      <c r="J2" s="8">
        <v>0.70138888888888884</v>
      </c>
      <c r="K2" s="2">
        <v>0.70416666666666661</v>
      </c>
      <c r="L2" s="8">
        <v>0.49305555555555558</v>
      </c>
      <c r="M2" s="9">
        <v>0.49652777777777773</v>
      </c>
      <c r="N2" s="3" t="s">
        <v>199</v>
      </c>
      <c r="O2" s="10" t="s">
        <v>198</v>
      </c>
      <c r="P2" s="10">
        <v>898</v>
      </c>
      <c r="Q2" s="10">
        <v>1240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/>
      <c r="B3" s="6"/>
      <c r="C3" s="6"/>
      <c r="D3" s="6"/>
      <c r="E3" s="6"/>
      <c r="F3" s="6"/>
      <c r="G3" s="7"/>
      <c r="H3" s="6"/>
      <c r="I3" s="6"/>
      <c r="J3" s="8"/>
      <c r="L3" s="8"/>
      <c r="M3" s="9"/>
      <c r="O3" s="10"/>
      <c r="P3" s="6"/>
      <c r="Q3" s="10"/>
      <c r="R3" s="6"/>
      <c r="S3" s="6"/>
      <c r="T3" s="6"/>
      <c r="U3" s="6"/>
    </row>
    <row r="4" spans="1:21" x14ac:dyDescent="0.2">
      <c r="A4" s="5"/>
      <c r="B4" s="3"/>
      <c r="C4" s="3"/>
      <c r="D4" s="3"/>
      <c r="E4" s="6"/>
      <c r="F4" s="3"/>
      <c r="G4" s="7"/>
      <c r="H4" s="3"/>
      <c r="I4" s="3"/>
      <c r="J4" s="11"/>
      <c r="L4" s="11"/>
      <c r="M4" s="2"/>
      <c r="O4" s="3"/>
      <c r="P4" s="3"/>
      <c r="Q4" s="3"/>
      <c r="R4" s="3"/>
      <c r="S4" s="3"/>
      <c r="T4" s="3"/>
      <c r="U4" s="3"/>
    </row>
    <row r="5" spans="1:21" x14ac:dyDescent="0.2">
      <c r="A5" s="5"/>
      <c r="B5" s="3"/>
      <c r="C5" s="3"/>
      <c r="D5" s="3"/>
      <c r="E5" s="6"/>
      <c r="F5" s="3"/>
      <c r="G5" s="7"/>
      <c r="H5" s="3"/>
      <c r="I5" s="3"/>
      <c r="J5" s="12"/>
      <c r="L5" s="12"/>
      <c r="M5" s="13"/>
      <c r="P5" s="14"/>
      <c r="R5" s="3"/>
      <c r="S5" s="3"/>
      <c r="T5" s="3"/>
      <c r="U5" s="3"/>
    </row>
    <row r="6" spans="1:21" x14ac:dyDescent="0.2">
      <c r="A6" s="16"/>
      <c r="G6" s="7"/>
      <c r="J6" s="15"/>
      <c r="L6" s="15"/>
      <c r="M6" s="18"/>
    </row>
    <row r="7" spans="1:21" x14ac:dyDescent="0.2">
      <c r="A7" s="16"/>
      <c r="G7" s="17"/>
      <c r="J7" s="15"/>
      <c r="L7" s="15"/>
      <c r="M7" s="18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M8" sqref="M8"/>
    </sheetView>
  </sheetViews>
  <sheetFormatPr defaultRowHeight="15" x14ac:dyDescent="0.25"/>
  <cols>
    <col min="3" max="3" width="13.5703125" customWidth="1"/>
    <col min="6" max="6" width="16.285156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43567</v>
      </c>
      <c r="B2" s="6" t="s">
        <v>21</v>
      </c>
      <c r="C2" s="6" t="s">
        <v>74</v>
      </c>
      <c r="D2" s="6" t="s">
        <v>22</v>
      </c>
      <c r="E2" s="6" t="s">
        <v>110</v>
      </c>
      <c r="F2" s="6" t="s">
        <v>24</v>
      </c>
      <c r="G2" s="4">
        <v>70000</v>
      </c>
      <c r="H2" s="6" t="s">
        <v>83</v>
      </c>
      <c r="I2" s="6" t="s">
        <v>89</v>
      </c>
      <c r="J2" s="8">
        <v>0.45833333333333331</v>
      </c>
      <c r="K2" s="2">
        <v>0.47152777777777777</v>
      </c>
      <c r="L2" s="8">
        <v>0.25694444444444448</v>
      </c>
      <c r="M2" s="9">
        <v>0.27291666666666664</v>
      </c>
      <c r="N2" s="3" t="s">
        <v>203</v>
      </c>
      <c r="O2" s="10" t="s">
        <v>62</v>
      </c>
      <c r="P2" s="10">
        <v>1257</v>
      </c>
      <c r="Q2" s="10">
        <v>1210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6">
        <f>A2</f>
        <v>43567</v>
      </c>
      <c r="B3" s="6" t="s">
        <v>21</v>
      </c>
      <c r="C3" s="4" t="s">
        <v>75</v>
      </c>
      <c r="D3" s="4" t="s">
        <v>22</v>
      </c>
      <c r="E3" s="4" t="s">
        <v>187</v>
      </c>
      <c r="F3" s="6" t="s">
        <v>24</v>
      </c>
      <c r="G3" s="7">
        <v>71500</v>
      </c>
      <c r="H3" s="4" t="s">
        <v>84</v>
      </c>
      <c r="I3" s="4" t="s">
        <v>90</v>
      </c>
      <c r="J3" s="15">
        <v>0.4861111111111111</v>
      </c>
      <c r="K3" s="18">
        <v>0.4916666666666667</v>
      </c>
      <c r="L3" s="15">
        <v>0.28125</v>
      </c>
      <c r="M3" s="18">
        <v>0.30208333333333331</v>
      </c>
      <c r="N3" s="4" t="s">
        <v>204</v>
      </c>
      <c r="O3" s="4" t="s">
        <v>200</v>
      </c>
      <c r="P3" s="4">
        <v>915</v>
      </c>
      <c r="Q3" s="4">
        <v>1032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16">
        <f t="shared" ref="A4:A7" si="0">A3</f>
        <v>43567</v>
      </c>
      <c r="B4" s="6" t="s">
        <v>21</v>
      </c>
      <c r="C4" s="4" t="s">
        <v>108</v>
      </c>
      <c r="D4" s="6" t="s">
        <v>22</v>
      </c>
      <c r="E4" s="6" t="s">
        <v>110</v>
      </c>
      <c r="F4" s="6" t="s">
        <v>24</v>
      </c>
      <c r="G4" s="7">
        <v>70000</v>
      </c>
      <c r="H4" s="4" t="s">
        <v>111</v>
      </c>
      <c r="I4" s="4" t="s">
        <v>112</v>
      </c>
      <c r="J4" s="15">
        <v>0.70833333333333337</v>
      </c>
      <c r="K4" s="18">
        <v>0.72777777777777775</v>
      </c>
      <c r="L4" s="15">
        <v>0.48958333333333331</v>
      </c>
      <c r="M4" s="18">
        <v>0.52222222222222225</v>
      </c>
      <c r="N4" s="4" t="s">
        <v>205</v>
      </c>
      <c r="O4" s="4" t="s">
        <v>201</v>
      </c>
      <c r="P4" s="4">
        <v>949</v>
      </c>
      <c r="Q4" s="4">
        <v>891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16">
        <f t="shared" si="0"/>
        <v>43567</v>
      </c>
      <c r="B5" s="6" t="s">
        <v>21</v>
      </c>
      <c r="C5" s="4" t="s">
        <v>77</v>
      </c>
      <c r="D5" s="4" t="s">
        <v>22</v>
      </c>
      <c r="E5" s="4" t="s">
        <v>187</v>
      </c>
      <c r="F5" s="6" t="s">
        <v>24</v>
      </c>
      <c r="G5" s="7">
        <v>71500</v>
      </c>
      <c r="H5" s="4" t="s">
        <v>86</v>
      </c>
      <c r="I5" s="4" t="s">
        <v>92</v>
      </c>
      <c r="J5" s="15">
        <v>0.74652777777777779</v>
      </c>
      <c r="K5" s="18">
        <v>0.7715277777777777</v>
      </c>
      <c r="L5" s="15">
        <v>0.51736111111111105</v>
      </c>
      <c r="M5" s="18">
        <v>0.54583333333333328</v>
      </c>
      <c r="N5" s="4" t="s">
        <v>206</v>
      </c>
      <c r="O5" s="4" t="s">
        <v>202</v>
      </c>
      <c r="P5" s="4">
        <v>1244</v>
      </c>
      <c r="Q5" s="4">
        <v>837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16">
        <f t="shared" si="0"/>
        <v>43567</v>
      </c>
      <c r="B6" s="6" t="s">
        <v>21</v>
      </c>
      <c r="C6" s="4" t="s">
        <v>78</v>
      </c>
      <c r="D6" s="6" t="s">
        <v>22</v>
      </c>
      <c r="E6" s="6" t="s">
        <v>110</v>
      </c>
      <c r="F6" s="6" t="s">
        <v>24</v>
      </c>
      <c r="G6" s="17">
        <v>70000</v>
      </c>
      <c r="H6" s="4" t="s">
        <v>87</v>
      </c>
      <c r="I6" s="4" t="s">
        <v>93</v>
      </c>
      <c r="J6" s="15">
        <v>0.89930555555555547</v>
      </c>
      <c r="K6" s="18">
        <v>0.92499999999999993</v>
      </c>
      <c r="L6" s="15">
        <v>0.72916666666666663</v>
      </c>
      <c r="M6" s="18">
        <v>0.76041666666666663</v>
      </c>
      <c r="N6" s="4" t="s">
        <v>209</v>
      </c>
      <c r="O6" s="4" t="s">
        <v>207</v>
      </c>
      <c r="P6" s="4">
        <v>1070</v>
      </c>
      <c r="Q6" s="4">
        <v>650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16">
        <f t="shared" si="0"/>
        <v>43567</v>
      </c>
      <c r="B7" s="6" t="s">
        <v>21</v>
      </c>
      <c r="C7" s="4" t="s">
        <v>109</v>
      </c>
      <c r="D7" s="4" t="s">
        <v>22</v>
      </c>
      <c r="E7" s="4" t="s">
        <v>187</v>
      </c>
      <c r="F7" s="6" t="s">
        <v>24</v>
      </c>
      <c r="G7" s="7">
        <v>71500</v>
      </c>
      <c r="H7" s="4" t="s">
        <v>113</v>
      </c>
      <c r="I7" s="4" t="s">
        <v>114</v>
      </c>
      <c r="J7" s="15">
        <v>0.9375</v>
      </c>
      <c r="K7" s="18">
        <v>0.95416666666666661</v>
      </c>
      <c r="L7" s="15">
        <v>0.76736111111111116</v>
      </c>
      <c r="M7" s="18">
        <v>0.80555555555555547</v>
      </c>
      <c r="N7" s="4" t="s">
        <v>189</v>
      </c>
      <c r="O7" s="4" t="s">
        <v>208</v>
      </c>
      <c r="P7" s="4">
        <v>875</v>
      </c>
      <c r="Q7" s="4">
        <v>557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43568</v>
      </c>
      <c r="B2" s="6" t="s">
        <v>21</v>
      </c>
      <c r="C2" s="6" t="s">
        <v>26</v>
      </c>
      <c r="D2" s="6" t="s">
        <v>22</v>
      </c>
      <c r="E2" s="6" t="s">
        <v>82</v>
      </c>
      <c r="F2" s="6" t="s">
        <v>24</v>
      </c>
      <c r="G2" s="7">
        <v>70000</v>
      </c>
      <c r="H2" s="6" t="s">
        <v>30</v>
      </c>
      <c r="I2" s="6" t="s">
        <v>34</v>
      </c>
      <c r="J2" s="8">
        <v>0.38541666666666669</v>
      </c>
      <c r="K2" s="2">
        <v>0.37083333333333335</v>
      </c>
      <c r="L2" s="8">
        <v>0.25694444444444448</v>
      </c>
      <c r="M2" s="9">
        <v>0.25208333333333333</v>
      </c>
      <c r="N2" s="3" t="s">
        <v>212</v>
      </c>
      <c r="O2" s="10" t="s">
        <v>211</v>
      </c>
      <c r="P2" s="10">
        <v>715</v>
      </c>
      <c r="Q2" s="10">
        <v>461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43568</v>
      </c>
      <c r="B3" s="6" t="s">
        <v>21</v>
      </c>
      <c r="C3" s="6" t="s">
        <v>27</v>
      </c>
      <c r="D3" s="6" t="s">
        <v>22</v>
      </c>
      <c r="E3" s="6" t="s">
        <v>210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0.46736111111111112</v>
      </c>
      <c r="L3" s="8">
        <v>0.28125</v>
      </c>
      <c r="M3" s="9">
        <v>0.28680555555555554</v>
      </c>
      <c r="N3" s="3" t="s">
        <v>213</v>
      </c>
      <c r="O3" s="10" t="s">
        <v>95</v>
      </c>
      <c r="P3" s="6">
        <v>1209</v>
      </c>
      <c r="Q3" s="10">
        <v>1082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43568</v>
      </c>
      <c r="B4" s="3" t="s">
        <v>21</v>
      </c>
      <c r="C4" s="3" t="s">
        <v>28</v>
      </c>
      <c r="D4" s="3" t="s">
        <v>22</v>
      </c>
      <c r="E4" s="6" t="s">
        <v>82</v>
      </c>
      <c r="F4" s="3" t="s">
        <v>24</v>
      </c>
      <c r="G4" s="7">
        <v>70000</v>
      </c>
      <c r="H4" s="3" t="s">
        <v>32</v>
      </c>
      <c r="I4" s="3" t="s">
        <v>36</v>
      </c>
      <c r="J4" s="11">
        <v>0.55555555555555558</v>
      </c>
      <c r="K4" s="2">
        <v>0.54861111111111105</v>
      </c>
      <c r="L4" s="11">
        <v>0.40625</v>
      </c>
      <c r="M4" s="2">
        <v>0.40972222222222227</v>
      </c>
      <c r="N4" s="3" t="s">
        <v>214</v>
      </c>
      <c r="O4" s="3" t="s">
        <v>141</v>
      </c>
      <c r="P4" s="3">
        <v>1008</v>
      </c>
      <c r="Q4" s="3">
        <v>701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43568</v>
      </c>
      <c r="B5" s="3" t="s">
        <v>21</v>
      </c>
      <c r="C5" s="3" t="s">
        <v>29</v>
      </c>
      <c r="D5" s="3" t="s">
        <v>22</v>
      </c>
      <c r="E5" s="6" t="s">
        <v>210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0.70624999999999993</v>
      </c>
      <c r="L5" s="12">
        <v>0.49305555555555558</v>
      </c>
      <c r="M5" s="13">
        <v>0.5131944444444444</v>
      </c>
      <c r="N5" s="3" t="s">
        <v>222</v>
      </c>
      <c r="O5" s="3" t="s">
        <v>197</v>
      </c>
      <c r="P5" s="14">
        <v>1180</v>
      </c>
      <c r="Q5" s="3">
        <v>854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43568</v>
      </c>
      <c r="B6" s="4" t="s">
        <v>21</v>
      </c>
      <c r="C6" s="4" t="s">
        <v>58</v>
      </c>
      <c r="D6" s="4" t="s">
        <v>22</v>
      </c>
      <c r="E6" s="6" t="s">
        <v>82</v>
      </c>
      <c r="F6" s="4" t="s">
        <v>24</v>
      </c>
      <c r="G6" s="7">
        <v>70000</v>
      </c>
      <c r="H6" s="4" t="s">
        <v>59</v>
      </c>
      <c r="I6" s="4" t="s">
        <v>60</v>
      </c>
      <c r="J6" s="15">
        <v>0.74652777777777779</v>
      </c>
      <c r="K6" s="2">
        <v>0.73472222222222217</v>
      </c>
      <c r="L6" s="15">
        <v>0.58680555555555558</v>
      </c>
      <c r="M6" s="18">
        <v>0.58333333333333337</v>
      </c>
      <c r="N6" s="3" t="s">
        <v>225</v>
      </c>
      <c r="O6" s="4" t="s">
        <v>105</v>
      </c>
      <c r="P6" s="4">
        <v>1368</v>
      </c>
      <c r="Q6" s="4">
        <v>1098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5">
        <v>43568</v>
      </c>
      <c r="B7" s="4" t="s">
        <v>21</v>
      </c>
      <c r="C7" s="4" t="s">
        <v>64</v>
      </c>
      <c r="D7" s="4" t="s">
        <v>22</v>
      </c>
      <c r="E7" s="6" t="s">
        <v>210</v>
      </c>
      <c r="F7" s="4" t="s">
        <v>24</v>
      </c>
      <c r="G7" s="7">
        <v>71500</v>
      </c>
      <c r="H7" s="4" t="s">
        <v>66</v>
      </c>
      <c r="I7" s="4" t="s">
        <v>69</v>
      </c>
      <c r="J7" s="15">
        <v>0.94097222222222221</v>
      </c>
      <c r="K7" s="2">
        <v>0.95347222222222217</v>
      </c>
      <c r="L7" s="15">
        <v>0.72222222222222221</v>
      </c>
      <c r="M7" s="18">
        <v>0.73958333333333337</v>
      </c>
      <c r="N7" s="3" t="s">
        <v>226</v>
      </c>
      <c r="O7" s="4" t="s">
        <v>223</v>
      </c>
      <c r="P7" s="4">
        <v>1179</v>
      </c>
      <c r="Q7" s="4">
        <v>603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5">
        <v>43568</v>
      </c>
      <c r="B8" s="4" t="s">
        <v>21</v>
      </c>
      <c r="C8" s="4" t="s">
        <v>65</v>
      </c>
      <c r="D8" s="4" t="s">
        <v>22</v>
      </c>
      <c r="E8" s="6" t="s">
        <v>82</v>
      </c>
      <c r="F8" s="4" t="s">
        <v>24</v>
      </c>
      <c r="G8" s="7">
        <v>70000</v>
      </c>
      <c r="H8" s="4" t="s">
        <v>67</v>
      </c>
      <c r="I8" s="4" t="s">
        <v>68</v>
      </c>
      <c r="J8" s="15">
        <v>0.94444444444444453</v>
      </c>
      <c r="K8" s="2">
        <v>0.9375</v>
      </c>
      <c r="L8" s="15">
        <v>0.76736111111111116</v>
      </c>
      <c r="M8" s="18">
        <v>0.76874999999999993</v>
      </c>
      <c r="N8" s="3" t="s">
        <v>227</v>
      </c>
      <c r="O8" s="4" t="s">
        <v>224</v>
      </c>
      <c r="P8" s="4">
        <v>1259</v>
      </c>
      <c r="Q8" s="4">
        <v>1067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5">
        <v>43568</v>
      </c>
      <c r="B9" s="22" t="s">
        <v>215</v>
      </c>
      <c r="C9" s="22" t="s">
        <v>219</v>
      </c>
      <c r="D9" s="22" t="s">
        <v>216</v>
      </c>
      <c r="E9" s="22" t="s">
        <v>217</v>
      </c>
      <c r="F9" s="22" t="s">
        <v>218</v>
      </c>
      <c r="G9" s="22">
        <v>190</v>
      </c>
      <c r="H9" s="22" t="s">
        <v>220</v>
      </c>
      <c r="I9" s="22" t="s">
        <v>221</v>
      </c>
      <c r="J9" s="18">
        <v>0.5</v>
      </c>
      <c r="K9" s="2">
        <v>0.52083333333333337</v>
      </c>
      <c r="L9" s="18">
        <v>0.625</v>
      </c>
      <c r="M9" s="18">
        <v>0.6333333333333333</v>
      </c>
      <c r="N9" s="3">
        <v>0</v>
      </c>
      <c r="O9" s="4">
        <v>0</v>
      </c>
      <c r="P9" s="4">
        <v>0</v>
      </c>
      <c r="Q9" s="4">
        <v>0</v>
      </c>
      <c r="R9" s="4">
        <v>0</v>
      </c>
      <c r="S9" s="4">
        <v>30000</v>
      </c>
      <c r="T9" s="4">
        <v>0</v>
      </c>
      <c r="U9" s="4"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P6" sqref="P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43569</v>
      </c>
      <c r="B2" s="6" t="s">
        <v>21</v>
      </c>
      <c r="C2" s="6" t="s">
        <v>76</v>
      </c>
      <c r="D2" s="6" t="s">
        <v>22</v>
      </c>
      <c r="E2" s="6" t="s">
        <v>210</v>
      </c>
      <c r="F2" s="6" t="s">
        <v>24</v>
      </c>
      <c r="G2" s="7">
        <v>71500</v>
      </c>
      <c r="H2" s="6" t="s">
        <v>85</v>
      </c>
      <c r="I2" s="6" t="s">
        <v>91</v>
      </c>
      <c r="J2" s="8">
        <v>0.72569444444444453</v>
      </c>
      <c r="K2" s="2">
        <v>0.7319444444444444</v>
      </c>
      <c r="L2" s="8">
        <v>0.48958333333333331</v>
      </c>
      <c r="M2" s="9">
        <v>0.49722222222222223</v>
      </c>
      <c r="N2" s="3" t="s">
        <v>229</v>
      </c>
      <c r="O2" s="10" t="s">
        <v>128</v>
      </c>
      <c r="P2" s="10">
        <v>950</v>
      </c>
      <c r="Q2" s="10">
        <v>1011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>A2</f>
        <v>43569</v>
      </c>
      <c r="B3" s="6" t="s">
        <v>21</v>
      </c>
      <c r="C3" s="6" t="s">
        <v>77</v>
      </c>
      <c r="D3" s="6" t="s">
        <v>22</v>
      </c>
      <c r="E3" s="6" t="s">
        <v>82</v>
      </c>
      <c r="F3" s="6" t="s">
        <v>24</v>
      </c>
      <c r="G3" s="7">
        <v>70000</v>
      </c>
      <c r="H3" s="6" t="s">
        <v>86</v>
      </c>
      <c r="I3" s="6" t="s">
        <v>92</v>
      </c>
      <c r="J3" s="8">
        <v>0.74652777777777779</v>
      </c>
      <c r="K3" s="2">
        <v>0.75416666666666676</v>
      </c>
      <c r="L3" s="8">
        <v>0.51736111111111105</v>
      </c>
      <c r="M3" s="9">
        <v>0.52222222222222225</v>
      </c>
      <c r="N3" s="3" t="s">
        <v>232</v>
      </c>
      <c r="O3" s="10" t="s">
        <v>228</v>
      </c>
      <c r="P3" s="6">
        <v>1204</v>
      </c>
      <c r="Q3" s="10">
        <v>1191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>A3</f>
        <v>43569</v>
      </c>
      <c r="B4" s="6" t="s">
        <v>21</v>
      </c>
      <c r="C4" s="3" t="s">
        <v>78</v>
      </c>
      <c r="D4" s="6" t="s">
        <v>22</v>
      </c>
      <c r="E4" s="6" t="str">
        <f>E2</f>
        <v>HA-LYR</v>
      </c>
      <c r="F4" s="3" t="s">
        <v>24</v>
      </c>
      <c r="G4" s="7">
        <v>71500</v>
      </c>
      <c r="H4" s="3" t="s">
        <v>87</v>
      </c>
      <c r="I4" s="3" t="s">
        <v>93</v>
      </c>
      <c r="J4" s="11">
        <v>0.91666666666666663</v>
      </c>
      <c r="K4" s="2">
        <v>0.94166666666666676</v>
      </c>
      <c r="L4" s="11">
        <v>0.74652777777777779</v>
      </c>
      <c r="M4" s="2">
        <v>0.78333333333333333</v>
      </c>
      <c r="N4" s="3" t="s">
        <v>232</v>
      </c>
      <c r="O4" s="3" t="s">
        <v>230</v>
      </c>
      <c r="P4" s="3">
        <v>1126</v>
      </c>
      <c r="Q4" s="3">
        <v>796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f>A4</f>
        <v>43569</v>
      </c>
      <c r="B5" s="6" t="s">
        <v>21</v>
      </c>
      <c r="C5" s="3" t="s">
        <v>79</v>
      </c>
      <c r="D5" s="6" t="s">
        <v>22</v>
      </c>
      <c r="E5" s="6" t="s">
        <v>110</v>
      </c>
      <c r="F5" s="3" t="s">
        <v>24</v>
      </c>
      <c r="G5" s="7">
        <v>70000</v>
      </c>
      <c r="H5" s="3" t="s">
        <v>88</v>
      </c>
      <c r="I5" s="3" t="s">
        <v>94</v>
      </c>
      <c r="J5" s="12">
        <v>0.95833333333333337</v>
      </c>
      <c r="K5" s="2">
        <v>0.97361111111111109</v>
      </c>
      <c r="L5" s="12">
        <v>0.76736111111111116</v>
      </c>
      <c r="M5" s="13">
        <v>0.7944444444444444</v>
      </c>
      <c r="N5" s="3" t="s">
        <v>233</v>
      </c>
      <c r="O5" s="3" t="s">
        <v>231</v>
      </c>
      <c r="P5" s="14">
        <v>1172</v>
      </c>
      <c r="Q5" s="3">
        <v>721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/>
      <c r="G6" s="17"/>
      <c r="J6" s="15"/>
      <c r="L6" s="15"/>
      <c r="M6" s="18"/>
    </row>
    <row r="7" spans="1:21" x14ac:dyDescent="0.2">
      <c r="A7" s="5"/>
      <c r="G7" s="17"/>
      <c r="J7" s="15"/>
      <c r="L7" s="15"/>
      <c r="M7" s="18"/>
    </row>
    <row r="8" spans="1:21" x14ac:dyDescent="0.2">
      <c r="A8" s="5"/>
      <c r="G8" s="17"/>
      <c r="J8" s="15"/>
      <c r="L8" s="15"/>
      <c r="M8" s="18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7" sqref="A7"/>
    </sheetView>
  </sheetViews>
  <sheetFormatPr defaultRowHeight="15" x14ac:dyDescent="0.25"/>
  <cols>
    <col min="2" max="2" width="10.140625" customWidth="1"/>
    <col min="3" max="3" width="13.7109375" customWidth="1"/>
    <col min="6" max="6" width="26.140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43570</v>
      </c>
      <c r="B2" s="6" t="s">
        <v>21</v>
      </c>
      <c r="C2" s="6" t="s">
        <v>74</v>
      </c>
      <c r="D2" s="6" t="s">
        <v>22</v>
      </c>
      <c r="E2" s="6" t="s">
        <v>187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0.48194444444444445</v>
      </c>
      <c r="L2" s="8">
        <v>0.25694444444444448</v>
      </c>
      <c r="M2" s="9">
        <v>0.26666666666666666</v>
      </c>
      <c r="N2" s="3" t="s">
        <v>236</v>
      </c>
      <c r="O2" s="10" t="s">
        <v>234</v>
      </c>
      <c r="P2" s="10">
        <v>1118</v>
      </c>
      <c r="Q2" s="10">
        <v>810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43570</v>
      </c>
      <c r="B3" s="6" t="s">
        <v>21</v>
      </c>
      <c r="C3" s="6" t="s">
        <v>75</v>
      </c>
      <c r="D3" s="6" t="s">
        <v>22</v>
      </c>
      <c r="E3" s="6" t="s">
        <v>110</v>
      </c>
      <c r="F3" s="6" t="s">
        <v>24</v>
      </c>
      <c r="G3" s="7">
        <v>70000</v>
      </c>
      <c r="H3" s="6" t="s">
        <v>84</v>
      </c>
      <c r="I3" s="6" t="s">
        <v>90</v>
      </c>
      <c r="J3" s="8">
        <v>0.4861111111111111</v>
      </c>
      <c r="K3" s="2">
        <v>0.4770833333333333</v>
      </c>
      <c r="L3" s="8">
        <v>0.28125</v>
      </c>
      <c r="M3" s="9">
        <v>0.28819444444444448</v>
      </c>
      <c r="N3" s="3" t="s">
        <v>237</v>
      </c>
      <c r="O3" s="10" t="s">
        <v>235</v>
      </c>
      <c r="P3" s="6">
        <v>725</v>
      </c>
      <c r="Q3" s="10">
        <v>826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43570</v>
      </c>
      <c r="B4" s="3" t="s">
        <v>21</v>
      </c>
      <c r="C4" s="3" t="s">
        <v>108</v>
      </c>
      <c r="D4" s="3" t="s">
        <v>22</v>
      </c>
      <c r="E4" s="6" t="s">
        <v>187</v>
      </c>
      <c r="F4" s="3" t="s">
        <v>24</v>
      </c>
      <c r="G4" s="7">
        <v>71500</v>
      </c>
      <c r="H4" s="3" t="s">
        <v>111</v>
      </c>
      <c r="I4" s="3" t="s">
        <v>112</v>
      </c>
      <c r="J4" s="11">
        <v>0.70833333333333337</v>
      </c>
      <c r="K4" s="2">
        <v>0.73263888888888884</v>
      </c>
      <c r="L4" s="11">
        <v>0.48958333333333331</v>
      </c>
      <c r="M4" s="2">
        <v>0.53819444444444442</v>
      </c>
      <c r="N4" s="3" t="s">
        <v>240</v>
      </c>
      <c r="O4" s="3" t="s">
        <v>238</v>
      </c>
      <c r="P4" s="3">
        <v>739</v>
      </c>
      <c r="Q4" s="3">
        <v>754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43570</v>
      </c>
      <c r="B5" s="3" t="s">
        <v>21</v>
      </c>
      <c r="C5" s="3" t="s">
        <v>78</v>
      </c>
      <c r="D5" s="3" t="s">
        <v>22</v>
      </c>
      <c r="E5" s="6" t="s">
        <v>187</v>
      </c>
      <c r="F5" s="3" t="s">
        <v>24</v>
      </c>
      <c r="G5" s="7">
        <v>71500</v>
      </c>
      <c r="H5" s="3" t="s">
        <v>87</v>
      </c>
      <c r="I5" s="3" t="s">
        <v>93</v>
      </c>
      <c r="J5" s="12">
        <v>0.89930555555555547</v>
      </c>
      <c r="K5" s="2">
        <v>0.92569444444444438</v>
      </c>
      <c r="L5" s="12">
        <v>0.72916666666666663</v>
      </c>
      <c r="M5" s="13">
        <v>0.77083333333333337</v>
      </c>
      <c r="N5" s="3" t="s">
        <v>204</v>
      </c>
      <c r="O5" s="3" t="s">
        <v>239</v>
      </c>
      <c r="P5" s="14">
        <v>848</v>
      </c>
      <c r="Q5" s="3">
        <v>633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43570</v>
      </c>
      <c r="B6" s="3" t="s">
        <v>21</v>
      </c>
      <c r="C6" s="3" t="s">
        <v>109</v>
      </c>
      <c r="D6" s="3" t="s">
        <v>22</v>
      </c>
      <c r="E6" s="6" t="s">
        <v>110</v>
      </c>
      <c r="F6" s="19" t="s">
        <v>24</v>
      </c>
      <c r="G6" s="7">
        <v>70000</v>
      </c>
      <c r="H6" s="6" t="s">
        <v>113</v>
      </c>
      <c r="I6" s="6" t="s">
        <v>156</v>
      </c>
      <c r="J6" s="15">
        <v>0.9375</v>
      </c>
      <c r="K6" s="2">
        <v>0.94236111111111109</v>
      </c>
      <c r="L6" s="15">
        <v>0.76736111111111116</v>
      </c>
      <c r="M6" s="18">
        <v>0.78819444444444453</v>
      </c>
      <c r="N6" s="3" t="s">
        <v>197</v>
      </c>
      <c r="O6" s="3" t="s">
        <v>55</v>
      </c>
      <c r="P6" s="3">
        <v>910</v>
      </c>
      <c r="Q6" s="3">
        <v>626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16"/>
      <c r="G7" s="17"/>
      <c r="J7" s="15"/>
      <c r="K7" s="2"/>
      <c r="N7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F1" workbookViewId="0">
      <selection activeCell="K8" sqref="K8"/>
    </sheetView>
  </sheetViews>
  <sheetFormatPr defaultRowHeight="15" x14ac:dyDescent="0.25"/>
  <cols>
    <col min="2" max="2" width="18.5703125" customWidth="1"/>
    <col min="3" max="3" width="13.7109375" customWidth="1"/>
    <col min="5" max="5" width="14.5703125" customWidth="1"/>
    <col min="6" max="6" width="26.140625" customWidth="1"/>
    <col min="7" max="7" width="9.140625" style="17"/>
    <col min="10" max="10" width="12.28515625" style="15" customWidth="1"/>
    <col min="11" max="11" width="10.28515625" style="2" customWidth="1"/>
    <col min="12" max="12" width="10.5703125" style="12" customWidth="1"/>
    <col min="13" max="13" width="12" style="2" customWidth="1"/>
    <col min="14" max="14" width="18.28515625" customWidth="1"/>
    <col min="15" max="15" width="18.7109375" customWidth="1"/>
  </cols>
  <sheetData>
    <row r="1" spans="1:22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6</v>
      </c>
      <c r="H1" s="1" t="s">
        <v>7</v>
      </c>
      <c r="I1" s="1" t="s">
        <v>8</v>
      </c>
      <c r="J1" s="18" t="s">
        <v>9</v>
      </c>
      <c r="K1" s="2" t="s">
        <v>10</v>
      </c>
      <c r="L1" s="23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4" customFormat="1" ht="12.75" x14ac:dyDescent="0.2">
      <c r="A2" s="5">
        <v>43571</v>
      </c>
      <c r="B2" s="6" t="s">
        <v>21</v>
      </c>
      <c r="C2" s="6" t="s">
        <v>172</v>
      </c>
      <c r="D2" s="6" t="s">
        <v>22</v>
      </c>
      <c r="E2" s="6" t="s">
        <v>241</v>
      </c>
      <c r="F2" s="6" t="s">
        <v>24</v>
      </c>
      <c r="G2" s="17">
        <v>71500</v>
      </c>
      <c r="H2" s="6" t="s">
        <v>34</v>
      </c>
      <c r="I2" s="6" t="s">
        <v>30</v>
      </c>
      <c r="J2" s="15">
        <v>0.38541666666666669</v>
      </c>
      <c r="K2" s="2">
        <v>0.50208333333333333</v>
      </c>
      <c r="L2" s="12">
        <v>0.25694444444444448</v>
      </c>
      <c r="M2" s="2">
        <v>0.53263888888888888</v>
      </c>
      <c r="N2" s="10" t="s">
        <v>244</v>
      </c>
      <c r="O2" s="10" t="s">
        <v>250</v>
      </c>
      <c r="P2" s="10">
        <v>438</v>
      </c>
      <c r="Q2" s="10">
        <v>331</v>
      </c>
      <c r="R2" s="6">
        <v>0</v>
      </c>
      <c r="S2" s="6">
        <v>0</v>
      </c>
      <c r="T2" s="6">
        <v>0</v>
      </c>
      <c r="U2" s="6">
        <v>0</v>
      </c>
    </row>
    <row r="3" spans="1:22" s="4" customFormat="1" ht="12.75" x14ac:dyDescent="0.2">
      <c r="A3" s="5">
        <v>43571</v>
      </c>
      <c r="B3" s="6" t="s">
        <v>21</v>
      </c>
      <c r="C3" s="6" t="s">
        <v>27</v>
      </c>
      <c r="D3" s="6" t="s">
        <v>22</v>
      </c>
      <c r="E3" s="6" t="s">
        <v>110</v>
      </c>
      <c r="F3" s="6" t="s">
        <v>24</v>
      </c>
      <c r="G3" s="17">
        <v>70000</v>
      </c>
      <c r="H3" s="6" t="s">
        <v>35</v>
      </c>
      <c r="I3" s="6" t="s">
        <v>31</v>
      </c>
      <c r="J3" s="15">
        <v>0.46180555555555558</v>
      </c>
      <c r="K3" s="2">
        <v>0.57638888888888895</v>
      </c>
      <c r="L3" s="12">
        <v>0.28125</v>
      </c>
      <c r="M3" s="2">
        <v>0.38125000000000003</v>
      </c>
      <c r="N3" s="3" t="s">
        <v>255</v>
      </c>
      <c r="O3" s="10" t="s">
        <v>242</v>
      </c>
      <c r="P3" s="6">
        <v>930</v>
      </c>
      <c r="Q3" s="10">
        <v>666</v>
      </c>
      <c r="R3" s="6">
        <v>0</v>
      </c>
      <c r="S3" s="6">
        <v>0</v>
      </c>
      <c r="T3" s="6">
        <v>0</v>
      </c>
      <c r="U3" s="6">
        <v>0</v>
      </c>
    </row>
    <row r="4" spans="1:22" s="4" customFormat="1" ht="12.75" x14ac:dyDescent="0.2">
      <c r="A4" s="5">
        <v>43571</v>
      </c>
      <c r="B4" s="3" t="s">
        <v>21</v>
      </c>
      <c r="C4" s="3" t="s">
        <v>28</v>
      </c>
      <c r="D4" s="3" t="s">
        <v>22</v>
      </c>
      <c r="E4" s="6" t="s">
        <v>187</v>
      </c>
      <c r="F4" s="3" t="s">
        <v>24</v>
      </c>
      <c r="G4" s="17">
        <v>71500</v>
      </c>
      <c r="H4" s="3" t="s">
        <v>36</v>
      </c>
      <c r="I4" s="3" t="s">
        <v>32</v>
      </c>
      <c r="J4" s="15">
        <v>0.55555555555555558</v>
      </c>
      <c r="K4" s="2">
        <v>0.56874999999999998</v>
      </c>
      <c r="L4" s="12">
        <v>0.40625</v>
      </c>
      <c r="M4" s="2">
        <v>0.41388888888888892</v>
      </c>
      <c r="N4" s="3" t="s">
        <v>256</v>
      </c>
      <c r="O4" s="3" t="s">
        <v>243</v>
      </c>
      <c r="P4" s="3">
        <v>729</v>
      </c>
      <c r="Q4" s="3">
        <v>590</v>
      </c>
      <c r="R4" s="3">
        <v>0</v>
      </c>
      <c r="S4" s="3">
        <v>0</v>
      </c>
      <c r="T4" s="3">
        <v>0</v>
      </c>
      <c r="U4" s="3">
        <v>0</v>
      </c>
    </row>
    <row r="5" spans="1:22" s="4" customFormat="1" ht="12.75" x14ac:dyDescent="0.2">
      <c r="A5" s="5">
        <v>43571</v>
      </c>
      <c r="B5" s="3" t="s">
        <v>21</v>
      </c>
      <c r="C5" s="3" t="s">
        <v>29</v>
      </c>
      <c r="D5" s="3" t="s">
        <v>22</v>
      </c>
      <c r="E5" s="6" t="s">
        <v>110</v>
      </c>
      <c r="F5" s="3" t="s">
        <v>24</v>
      </c>
      <c r="G5" s="17">
        <v>70000</v>
      </c>
      <c r="H5" s="3" t="s">
        <v>37</v>
      </c>
      <c r="I5" s="3" t="s">
        <v>33</v>
      </c>
      <c r="J5" s="15">
        <v>0.70138888888888884</v>
      </c>
      <c r="K5" s="2">
        <v>0.85069444444444453</v>
      </c>
      <c r="L5" s="12">
        <v>0.49305555555555558</v>
      </c>
      <c r="M5" s="2">
        <v>0.65902777777777777</v>
      </c>
      <c r="N5" s="3" t="s">
        <v>261</v>
      </c>
      <c r="O5" s="3" t="s">
        <v>257</v>
      </c>
      <c r="P5" s="14">
        <v>499</v>
      </c>
      <c r="Q5" s="3">
        <v>781</v>
      </c>
      <c r="R5" s="3">
        <v>0</v>
      </c>
      <c r="S5" s="3">
        <v>0</v>
      </c>
      <c r="T5" s="3">
        <v>0</v>
      </c>
      <c r="U5" s="3">
        <v>0</v>
      </c>
    </row>
    <row r="6" spans="1:22" s="4" customFormat="1" ht="12.75" x14ac:dyDescent="0.2">
      <c r="A6" s="5">
        <v>43571</v>
      </c>
      <c r="B6" s="3" t="s">
        <v>21</v>
      </c>
      <c r="C6" s="3" t="s">
        <v>58</v>
      </c>
      <c r="D6" s="3" t="s">
        <v>22</v>
      </c>
      <c r="E6" s="6" t="s">
        <v>187</v>
      </c>
      <c r="F6" s="19" t="s">
        <v>24</v>
      </c>
      <c r="G6" s="17">
        <v>71500</v>
      </c>
      <c r="H6" s="6" t="s">
        <v>60</v>
      </c>
      <c r="I6" s="6" t="s">
        <v>59</v>
      </c>
      <c r="J6" s="15">
        <v>0.74652777777777779</v>
      </c>
      <c r="K6" s="2">
        <v>0.77430555555555547</v>
      </c>
      <c r="L6" s="12">
        <v>0.58680555555555558</v>
      </c>
      <c r="M6" s="2">
        <v>0.63055555555555554</v>
      </c>
      <c r="N6" s="3" t="s">
        <v>97</v>
      </c>
      <c r="O6" s="3" t="s">
        <v>258</v>
      </c>
      <c r="P6" s="3">
        <v>864</v>
      </c>
      <c r="Q6" s="3">
        <v>700</v>
      </c>
      <c r="R6" s="3">
        <v>0</v>
      </c>
      <c r="S6" s="3">
        <v>0</v>
      </c>
      <c r="T6" s="3">
        <v>0</v>
      </c>
      <c r="U6" s="3">
        <v>0</v>
      </c>
    </row>
    <row r="7" spans="1:22" s="4" customFormat="1" ht="12.75" x14ac:dyDescent="0.2">
      <c r="A7" s="5">
        <v>43571</v>
      </c>
      <c r="B7" s="4" t="s">
        <v>21</v>
      </c>
      <c r="C7" s="4" t="s">
        <v>64</v>
      </c>
      <c r="D7" s="4" t="s">
        <v>22</v>
      </c>
      <c r="E7" s="4" t="s">
        <v>187</v>
      </c>
      <c r="F7" s="4" t="s">
        <v>24</v>
      </c>
      <c r="G7" s="17">
        <v>71500</v>
      </c>
      <c r="H7" s="4" t="s">
        <v>69</v>
      </c>
      <c r="I7" s="4" t="s">
        <v>66</v>
      </c>
      <c r="J7" s="15">
        <v>0.94097222222222221</v>
      </c>
      <c r="K7" s="2">
        <v>2.2222222222222223E-2</v>
      </c>
      <c r="L7" s="12">
        <v>0.72222222222222221</v>
      </c>
      <c r="M7" s="2">
        <v>0.8125</v>
      </c>
      <c r="N7" s="3" t="s">
        <v>263</v>
      </c>
      <c r="O7" s="4" t="s">
        <v>259</v>
      </c>
      <c r="P7" s="4">
        <v>717</v>
      </c>
      <c r="Q7" s="4">
        <v>577</v>
      </c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5">
        <v>43571</v>
      </c>
      <c r="B8" s="3" t="s">
        <v>21</v>
      </c>
      <c r="C8" s="3" t="s">
        <v>65</v>
      </c>
      <c r="D8" s="3" t="s">
        <v>22</v>
      </c>
      <c r="E8" s="6" t="s">
        <v>251</v>
      </c>
      <c r="F8" s="3" t="s">
        <v>24</v>
      </c>
      <c r="G8" s="17">
        <v>70000</v>
      </c>
      <c r="H8" s="6" t="s">
        <v>68</v>
      </c>
      <c r="I8" s="6" t="s">
        <v>67</v>
      </c>
      <c r="J8" s="15">
        <v>0.94444444444444453</v>
      </c>
      <c r="K8" s="2">
        <v>0</v>
      </c>
      <c r="L8" s="12">
        <v>0.76736111111111116</v>
      </c>
      <c r="M8" s="2">
        <v>0.82777777777777783</v>
      </c>
      <c r="N8" s="3" t="s">
        <v>264</v>
      </c>
      <c r="O8" s="3" t="s">
        <v>260</v>
      </c>
      <c r="P8" s="3">
        <v>788</v>
      </c>
      <c r="Q8" s="3">
        <v>319</v>
      </c>
      <c r="R8" s="3">
        <v>0</v>
      </c>
      <c r="S8" s="3">
        <v>0</v>
      </c>
      <c r="T8" s="3">
        <v>0</v>
      </c>
      <c r="U8" s="3">
        <v>0</v>
      </c>
    </row>
    <row r="9" spans="1:22" x14ac:dyDescent="0.25">
      <c r="A9" s="5">
        <v>43571</v>
      </c>
      <c r="B9" s="3" t="s">
        <v>249</v>
      </c>
      <c r="C9" s="3" t="s">
        <v>248</v>
      </c>
      <c r="D9" s="3" t="s">
        <v>247</v>
      </c>
      <c r="E9" s="6" t="s">
        <v>246</v>
      </c>
      <c r="F9" s="3" t="s">
        <v>245</v>
      </c>
      <c r="G9" s="17">
        <v>5650</v>
      </c>
      <c r="H9" s="6" t="s">
        <v>246</v>
      </c>
      <c r="I9" s="6" t="s">
        <v>246</v>
      </c>
      <c r="J9" s="15">
        <v>0.4375</v>
      </c>
      <c r="K9" s="2">
        <v>0.49513888888888885</v>
      </c>
      <c r="L9" s="12">
        <v>0.45833333333333331</v>
      </c>
      <c r="M9" s="2">
        <v>0.52222222222222225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/>
    </row>
    <row r="10" spans="1:22" x14ac:dyDescent="0.25">
      <c r="A10" s="5">
        <v>43571</v>
      </c>
      <c r="B10" s="3" t="s">
        <v>21</v>
      </c>
      <c r="C10" s="3" t="s">
        <v>252</v>
      </c>
      <c r="D10" s="3" t="s">
        <v>22</v>
      </c>
      <c r="E10" s="6" t="s">
        <v>262</v>
      </c>
      <c r="F10" s="3" t="s">
        <v>45</v>
      </c>
      <c r="G10" s="17">
        <v>71500</v>
      </c>
      <c r="H10" s="6" t="s">
        <v>253</v>
      </c>
      <c r="I10" s="6" t="s">
        <v>254</v>
      </c>
      <c r="J10" s="15">
        <v>0.79166666666666663</v>
      </c>
      <c r="K10" s="2">
        <v>0.79652777777777783</v>
      </c>
      <c r="L10" s="12">
        <v>0.875</v>
      </c>
      <c r="M10" s="2">
        <v>0.87847222222222221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8" sqref="K8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43572</v>
      </c>
      <c r="B2" s="6" t="s">
        <v>21</v>
      </c>
      <c r="C2" s="6" t="s">
        <v>74</v>
      </c>
      <c r="D2" s="6" t="s">
        <v>22</v>
      </c>
      <c r="E2" s="6" t="s">
        <v>265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0.4604166666666667</v>
      </c>
      <c r="L2" s="8">
        <v>0.25694444444444448</v>
      </c>
      <c r="M2" s="9">
        <v>0.27152777777777776</v>
      </c>
      <c r="N2" s="2" t="s">
        <v>269</v>
      </c>
      <c r="O2" s="10" t="s">
        <v>267</v>
      </c>
      <c r="P2" s="10">
        <v>837</v>
      </c>
      <c r="Q2" s="10">
        <v>505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43572</v>
      </c>
      <c r="B3" s="6" t="s">
        <v>21</v>
      </c>
      <c r="C3" s="6" t="s">
        <v>75</v>
      </c>
      <c r="D3" s="6" t="s">
        <v>22</v>
      </c>
      <c r="E3" s="6" t="s">
        <v>251</v>
      </c>
      <c r="F3" s="6" t="s">
        <v>24</v>
      </c>
      <c r="G3" s="7">
        <v>71500</v>
      </c>
      <c r="H3" s="6" t="s">
        <v>84</v>
      </c>
      <c r="I3" s="6" t="s">
        <v>90</v>
      </c>
      <c r="J3" s="8">
        <v>0.4861111111111111</v>
      </c>
      <c r="K3" s="2">
        <v>0.47569444444444442</v>
      </c>
      <c r="L3" s="8">
        <v>0.28125</v>
      </c>
      <c r="M3" s="9">
        <v>0.28333333333333333</v>
      </c>
      <c r="N3" s="2" t="s">
        <v>255</v>
      </c>
      <c r="O3" s="10" t="s">
        <v>268</v>
      </c>
      <c r="P3" s="6">
        <v>881</v>
      </c>
      <c r="Q3" s="10">
        <v>604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>A3</f>
        <v>43572</v>
      </c>
      <c r="B4" s="3" t="s">
        <v>21</v>
      </c>
      <c r="C4" s="3" t="s">
        <v>76</v>
      </c>
      <c r="D4" s="3" t="s">
        <v>22</v>
      </c>
      <c r="E4" s="6" t="s">
        <v>266</v>
      </c>
      <c r="F4" s="3" t="s">
        <v>24</v>
      </c>
      <c r="G4" s="7">
        <v>71500</v>
      </c>
      <c r="H4" s="3" t="s">
        <v>85</v>
      </c>
      <c r="I4" s="3" t="s">
        <v>91</v>
      </c>
      <c r="J4" s="11">
        <v>0.72569444444444453</v>
      </c>
      <c r="K4" s="2">
        <v>0.74652777777777779</v>
      </c>
      <c r="L4" s="11">
        <v>0.48958333333333331</v>
      </c>
      <c r="M4" s="2">
        <v>0.51388888888888895</v>
      </c>
      <c r="N4" s="3" t="s">
        <v>273</v>
      </c>
      <c r="O4" s="3" t="s">
        <v>270</v>
      </c>
      <c r="P4" s="3">
        <v>1054</v>
      </c>
      <c r="Q4" s="3">
        <v>802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43572</v>
      </c>
      <c r="B5" s="3" t="s">
        <v>21</v>
      </c>
      <c r="C5" s="3" t="s">
        <v>77</v>
      </c>
      <c r="D5" s="3" t="s">
        <v>22</v>
      </c>
      <c r="E5" s="6" t="s">
        <v>251</v>
      </c>
      <c r="F5" s="3" t="s">
        <v>24</v>
      </c>
      <c r="G5" s="7">
        <v>71500</v>
      </c>
      <c r="H5" s="3" t="s">
        <v>86</v>
      </c>
      <c r="I5" s="3" t="s">
        <v>92</v>
      </c>
      <c r="J5" s="12">
        <v>0.74652777777777779</v>
      </c>
      <c r="K5" s="2">
        <v>0.75347222222222221</v>
      </c>
      <c r="L5" s="12">
        <v>0.51736111111111105</v>
      </c>
      <c r="M5" s="13">
        <v>0.53749999999999998</v>
      </c>
      <c r="N5" s="3" t="s">
        <v>232</v>
      </c>
      <c r="O5" s="4" t="s">
        <v>271</v>
      </c>
      <c r="P5" s="14">
        <v>1070</v>
      </c>
      <c r="Q5" s="4">
        <v>827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16">
        <f>A5</f>
        <v>43572</v>
      </c>
      <c r="B6" s="4" t="s">
        <v>21</v>
      </c>
      <c r="C6" s="4" t="s">
        <v>78</v>
      </c>
      <c r="D6" s="4" t="s">
        <v>22</v>
      </c>
      <c r="E6" s="4" t="s">
        <v>266</v>
      </c>
      <c r="F6" s="4" t="s">
        <v>24</v>
      </c>
      <c r="G6" s="7">
        <v>71500</v>
      </c>
      <c r="H6" s="4" t="s">
        <v>87</v>
      </c>
      <c r="I6" s="4" t="s">
        <v>93</v>
      </c>
      <c r="J6" s="15">
        <v>0.91666666666666663</v>
      </c>
      <c r="K6" s="2">
        <v>0.94097222222222221</v>
      </c>
      <c r="L6" s="15">
        <v>0.74652777777777779</v>
      </c>
      <c r="M6" s="18">
        <v>0.78333333333333333</v>
      </c>
      <c r="N6" s="3" t="s">
        <v>274</v>
      </c>
      <c r="O6" s="4" t="s">
        <v>100</v>
      </c>
      <c r="P6" s="4">
        <v>1060</v>
      </c>
      <c r="Q6" s="4">
        <v>482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16">
        <f t="shared" ref="A7" si="0">A6</f>
        <v>43572</v>
      </c>
      <c r="B7" s="4" t="s">
        <v>21</v>
      </c>
      <c r="C7" s="4" t="s">
        <v>79</v>
      </c>
      <c r="D7" s="4" t="s">
        <v>22</v>
      </c>
      <c r="E7" s="4" t="str">
        <f>E5</f>
        <v>HALWJ</v>
      </c>
      <c r="F7" s="4" t="s">
        <v>24</v>
      </c>
      <c r="G7" s="17">
        <v>71500</v>
      </c>
      <c r="H7" s="4" t="s">
        <v>88</v>
      </c>
      <c r="I7" s="4" t="s">
        <v>94</v>
      </c>
      <c r="J7" s="15">
        <v>0.95833333333333337</v>
      </c>
      <c r="K7" s="2">
        <v>0.97638888888888886</v>
      </c>
      <c r="L7" s="15">
        <v>0.76736111111111116</v>
      </c>
      <c r="M7" s="18">
        <v>0.79513888888888884</v>
      </c>
      <c r="N7" s="3" t="s">
        <v>275</v>
      </c>
      <c r="O7" s="4" t="s">
        <v>272</v>
      </c>
      <c r="P7" s="4">
        <v>669</v>
      </c>
      <c r="Q7" s="4">
        <v>710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104857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43573</v>
      </c>
      <c r="B2" s="6" t="s">
        <v>21</v>
      </c>
      <c r="C2" s="6" t="s">
        <v>26</v>
      </c>
      <c r="D2" s="6" t="s">
        <v>22</v>
      </c>
      <c r="E2" s="6" t="s">
        <v>266</v>
      </c>
      <c r="F2" s="6" t="s">
        <v>24</v>
      </c>
      <c r="G2" s="7">
        <v>71500</v>
      </c>
      <c r="H2" s="6" t="s">
        <v>30</v>
      </c>
      <c r="I2" s="6" t="s">
        <v>34</v>
      </c>
      <c r="J2" s="8">
        <v>0.38541666666666669</v>
      </c>
      <c r="K2" s="2">
        <v>0.37847222222222227</v>
      </c>
      <c r="L2" s="8">
        <v>0.25694444444444448</v>
      </c>
      <c r="M2" s="9">
        <v>0.25625000000000003</v>
      </c>
      <c r="N2" s="2" t="s">
        <v>277</v>
      </c>
      <c r="O2" s="10" t="s">
        <v>280</v>
      </c>
      <c r="P2" s="10">
        <v>548</v>
      </c>
      <c r="Q2" s="10">
        <v>305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43573</v>
      </c>
      <c r="B3" s="6" t="s">
        <v>21</v>
      </c>
      <c r="C3" s="6" t="s">
        <v>27</v>
      </c>
      <c r="D3" s="6" t="s">
        <v>22</v>
      </c>
      <c r="E3" s="6" t="s">
        <v>251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0.46319444444444446</v>
      </c>
      <c r="L3" s="8">
        <v>0.28125</v>
      </c>
      <c r="M3" s="9">
        <v>0.29166666666666669</v>
      </c>
      <c r="N3" s="2" t="s">
        <v>278</v>
      </c>
      <c r="O3" s="10" t="s">
        <v>281</v>
      </c>
      <c r="P3" s="6">
        <v>693</v>
      </c>
      <c r="Q3" s="10">
        <v>960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43573</v>
      </c>
      <c r="B4" s="3" t="s">
        <v>21</v>
      </c>
      <c r="C4" s="3" t="s">
        <v>28</v>
      </c>
      <c r="D4" s="3" t="s">
        <v>22</v>
      </c>
      <c r="E4" s="6" t="s">
        <v>266</v>
      </c>
      <c r="F4" s="3" t="s">
        <v>24</v>
      </c>
      <c r="G4" s="7">
        <v>71500</v>
      </c>
      <c r="H4" s="3" t="s">
        <v>32</v>
      </c>
      <c r="I4" s="3" t="s">
        <v>36</v>
      </c>
      <c r="J4" s="11">
        <v>0.55555555555555558</v>
      </c>
      <c r="K4" s="2">
        <v>0.55138888888888882</v>
      </c>
      <c r="L4" s="11">
        <v>0.40625</v>
      </c>
      <c r="M4" s="2">
        <v>0.41111111111111115</v>
      </c>
      <c r="N4" s="3" t="s">
        <v>279</v>
      </c>
      <c r="O4" s="3" t="s">
        <v>282</v>
      </c>
      <c r="P4" s="3">
        <v>829</v>
      </c>
      <c r="Q4" s="3">
        <v>565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43573</v>
      </c>
      <c r="B5" s="3" t="s">
        <v>21</v>
      </c>
      <c r="C5" s="3" t="s">
        <v>29</v>
      </c>
      <c r="D5" s="3" t="s">
        <v>22</v>
      </c>
      <c r="E5" s="6" t="s">
        <v>251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0.7368055555555556</v>
      </c>
      <c r="L5" s="12">
        <v>0.49305555555555558</v>
      </c>
      <c r="M5" s="13">
        <v>0.55069444444444449</v>
      </c>
      <c r="N5" s="3" t="s">
        <v>290</v>
      </c>
      <c r="O5" s="4" t="s">
        <v>278</v>
      </c>
      <c r="P5" s="14">
        <v>993</v>
      </c>
      <c r="Q5" s="4">
        <v>892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16">
        <v>43573</v>
      </c>
      <c r="B6" s="4" t="s">
        <v>21</v>
      </c>
      <c r="C6" s="4" t="s">
        <v>78</v>
      </c>
      <c r="D6" s="4" t="s">
        <v>22</v>
      </c>
      <c r="E6" s="4" t="s">
        <v>266</v>
      </c>
      <c r="F6" s="4" t="s">
        <v>24</v>
      </c>
      <c r="G6" s="7">
        <v>71500</v>
      </c>
      <c r="H6" s="4" t="s">
        <v>276</v>
      </c>
      <c r="I6" s="4" t="s">
        <v>93</v>
      </c>
      <c r="J6" s="15">
        <v>0.75694444444444453</v>
      </c>
      <c r="K6" s="2">
        <v>0.75</v>
      </c>
      <c r="L6" s="15">
        <v>0.58680555555555558</v>
      </c>
      <c r="M6" s="18">
        <v>0.59305555555555556</v>
      </c>
      <c r="N6" s="3" t="s">
        <v>291</v>
      </c>
      <c r="O6" s="4" t="s">
        <v>283</v>
      </c>
      <c r="P6" s="4">
        <v>832</v>
      </c>
      <c r="Q6" s="4">
        <v>590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16">
        <v>43573</v>
      </c>
      <c r="B7" s="4" t="s">
        <v>21</v>
      </c>
      <c r="C7" s="4" t="s">
        <v>75</v>
      </c>
      <c r="D7" s="4" t="s">
        <v>22</v>
      </c>
      <c r="E7" s="4" t="str">
        <f>E5</f>
        <v>HALWJ</v>
      </c>
      <c r="F7" s="4" t="s">
        <v>24</v>
      </c>
      <c r="G7" s="17">
        <v>71500</v>
      </c>
      <c r="H7" s="4" t="s">
        <v>84</v>
      </c>
      <c r="I7" s="4" t="s">
        <v>90</v>
      </c>
      <c r="J7" s="15">
        <v>0.92708333333333337</v>
      </c>
      <c r="K7" s="2">
        <v>0.94236111111111109</v>
      </c>
      <c r="L7" s="15">
        <v>0.72222222222222221</v>
      </c>
      <c r="M7" s="18">
        <v>0.76666666666666661</v>
      </c>
      <c r="N7" s="3" t="s">
        <v>263</v>
      </c>
      <c r="O7" s="4" t="s">
        <v>292</v>
      </c>
      <c r="P7" s="4">
        <v>922</v>
      </c>
      <c r="Q7" s="4">
        <v>670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16">
        <v>43573</v>
      </c>
      <c r="B8" s="4" t="s">
        <v>21</v>
      </c>
      <c r="C8" s="4" t="s">
        <v>65</v>
      </c>
      <c r="D8" s="4" t="s">
        <v>22</v>
      </c>
      <c r="E8" s="4" t="s">
        <v>266</v>
      </c>
      <c r="F8" s="4" t="s">
        <v>24</v>
      </c>
      <c r="G8" s="17">
        <v>71500</v>
      </c>
      <c r="H8" s="4" t="s">
        <v>67</v>
      </c>
      <c r="I8" s="4" t="s">
        <v>68</v>
      </c>
      <c r="J8" s="18">
        <v>0.95486111111111116</v>
      </c>
      <c r="K8" s="2">
        <v>0.95138888888888884</v>
      </c>
      <c r="L8" s="18">
        <v>0.77777777777777779</v>
      </c>
      <c r="M8" s="18">
        <v>0.78888888888888886</v>
      </c>
      <c r="N8" s="3" t="s">
        <v>232</v>
      </c>
      <c r="O8" s="4" t="s">
        <v>293</v>
      </c>
      <c r="P8" s="4">
        <v>935</v>
      </c>
      <c r="Q8" s="4">
        <v>460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16">
        <v>43573</v>
      </c>
      <c r="B9" s="4" t="s">
        <v>284</v>
      </c>
      <c r="C9" s="4" t="s">
        <v>285</v>
      </c>
      <c r="D9" s="4" t="s">
        <v>286</v>
      </c>
      <c r="E9" s="4" t="s">
        <v>287</v>
      </c>
      <c r="F9" s="4" t="s">
        <v>294</v>
      </c>
      <c r="G9" s="4">
        <v>1715</v>
      </c>
      <c r="H9" s="4" t="s">
        <v>288</v>
      </c>
      <c r="I9" s="4" t="s">
        <v>162</v>
      </c>
      <c r="J9" s="18">
        <v>0.52083333333333337</v>
      </c>
      <c r="K9" s="2">
        <v>0.49305555555555558</v>
      </c>
      <c r="L9" s="4" t="s">
        <v>162</v>
      </c>
      <c r="M9" s="4" t="s">
        <v>162</v>
      </c>
      <c r="N9" s="3" t="s">
        <v>289</v>
      </c>
      <c r="O9" s="3" t="s">
        <v>289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J7" sqref="J7"/>
    </sheetView>
  </sheetViews>
  <sheetFormatPr defaultRowHeight="15" x14ac:dyDescent="0.25"/>
  <cols>
    <col min="3" max="3" width="13.5703125" customWidth="1"/>
    <col min="6" max="6" width="16.285156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43574</v>
      </c>
      <c r="B2" s="6" t="s">
        <v>21</v>
      </c>
      <c r="C2" s="6" t="s">
        <v>74</v>
      </c>
      <c r="D2" s="6" t="s">
        <v>22</v>
      </c>
      <c r="E2" s="6" t="s">
        <v>295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0.45416666666666666</v>
      </c>
      <c r="L2" s="8">
        <v>0.25694444444444448</v>
      </c>
      <c r="M2" s="9">
        <v>0.2590277777777778</v>
      </c>
      <c r="N2" s="3" t="s">
        <v>279</v>
      </c>
      <c r="O2" s="10" t="s">
        <v>297</v>
      </c>
      <c r="P2" s="10">
        <v>752</v>
      </c>
      <c r="Q2" s="10">
        <v>917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6">
        <f>A2</f>
        <v>43574</v>
      </c>
      <c r="B3" s="6" t="s">
        <v>21</v>
      </c>
      <c r="C3" s="4" t="s">
        <v>75</v>
      </c>
      <c r="D3" s="4" t="s">
        <v>22</v>
      </c>
      <c r="E3" s="4" t="s">
        <v>296</v>
      </c>
      <c r="F3" s="6" t="s">
        <v>24</v>
      </c>
      <c r="G3" s="7">
        <v>71500</v>
      </c>
      <c r="H3" s="4" t="s">
        <v>84</v>
      </c>
      <c r="I3" s="4" t="s">
        <v>90</v>
      </c>
      <c r="J3" s="15">
        <v>0.4861111111111111</v>
      </c>
      <c r="K3" s="18">
        <v>0.48194444444444445</v>
      </c>
      <c r="L3" s="15">
        <v>0.28125</v>
      </c>
      <c r="M3" s="18">
        <v>0.27916666666666667</v>
      </c>
      <c r="N3" s="4" t="s">
        <v>300</v>
      </c>
      <c r="O3" s="4" t="s">
        <v>298</v>
      </c>
      <c r="P3" s="4">
        <v>837</v>
      </c>
      <c r="Q3" s="4">
        <v>700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16">
        <f t="shared" ref="A4:A7" si="0">A3</f>
        <v>43574</v>
      </c>
      <c r="B4" s="6" t="s">
        <v>21</v>
      </c>
      <c r="C4" s="4" t="s">
        <v>108</v>
      </c>
      <c r="D4" s="6" t="s">
        <v>22</v>
      </c>
      <c r="E4" s="6" t="s">
        <v>299</v>
      </c>
      <c r="F4" s="6" t="s">
        <v>24</v>
      </c>
      <c r="G4" s="7">
        <v>71500</v>
      </c>
      <c r="H4" s="4" t="s">
        <v>111</v>
      </c>
      <c r="I4" s="4" t="s">
        <v>112</v>
      </c>
      <c r="J4" s="15">
        <v>0.70833333333333337</v>
      </c>
      <c r="K4" s="18">
        <v>0.69444444444444453</v>
      </c>
      <c r="L4" s="15">
        <v>0.48958333333333331</v>
      </c>
      <c r="M4" s="18">
        <v>0.49305555555555558</v>
      </c>
      <c r="N4" s="4" t="s">
        <v>302</v>
      </c>
      <c r="O4" s="4" t="s">
        <v>301</v>
      </c>
      <c r="P4" s="4">
        <v>963</v>
      </c>
      <c r="Q4" s="4">
        <v>977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16">
        <f t="shared" si="0"/>
        <v>43574</v>
      </c>
      <c r="B5" s="6" t="s">
        <v>21</v>
      </c>
      <c r="C5" s="4" t="s">
        <v>77</v>
      </c>
      <c r="D5" s="4" t="s">
        <v>22</v>
      </c>
      <c r="E5" s="4" t="s">
        <v>296</v>
      </c>
      <c r="F5" s="6" t="s">
        <v>24</v>
      </c>
      <c r="G5" s="7">
        <v>71500</v>
      </c>
      <c r="H5" s="4" t="s">
        <v>86</v>
      </c>
      <c r="I5" s="4" t="s">
        <v>92</v>
      </c>
      <c r="J5" s="15">
        <v>0.74652777777777779</v>
      </c>
      <c r="K5" s="18">
        <v>0.72916666666666663</v>
      </c>
      <c r="L5" s="15">
        <v>0.51736111111111105</v>
      </c>
      <c r="M5" s="18">
        <v>0.52083333333333337</v>
      </c>
      <c r="N5" s="4" t="s">
        <v>303</v>
      </c>
      <c r="O5" s="4" t="s">
        <v>151</v>
      </c>
      <c r="P5" s="4">
        <v>988</v>
      </c>
      <c r="Q5" s="4">
        <v>783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16">
        <f t="shared" si="0"/>
        <v>43574</v>
      </c>
      <c r="B6" s="6" t="s">
        <v>21</v>
      </c>
      <c r="C6" s="4" t="s">
        <v>78</v>
      </c>
      <c r="D6" s="6" t="s">
        <v>22</v>
      </c>
      <c r="E6" s="6" t="s">
        <v>299</v>
      </c>
      <c r="F6" s="6" t="s">
        <v>24</v>
      </c>
      <c r="G6" s="17">
        <v>71500</v>
      </c>
      <c r="H6" s="4" t="s">
        <v>87</v>
      </c>
      <c r="I6" s="4" t="s">
        <v>93</v>
      </c>
      <c r="J6" s="15">
        <v>0.89930555555555547</v>
      </c>
      <c r="K6" s="18">
        <v>0.89583333333333337</v>
      </c>
      <c r="L6" s="15">
        <v>0.72916666666666663</v>
      </c>
      <c r="M6" s="18">
        <v>0.73402777777777783</v>
      </c>
      <c r="N6" s="4" t="s">
        <v>214</v>
      </c>
      <c r="O6" s="4" t="s">
        <v>304</v>
      </c>
      <c r="P6" s="4">
        <v>853</v>
      </c>
      <c r="Q6" s="4">
        <v>710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16">
        <f t="shared" si="0"/>
        <v>43574</v>
      </c>
      <c r="B7" s="6" t="s">
        <v>21</v>
      </c>
      <c r="C7" s="4" t="s">
        <v>109</v>
      </c>
      <c r="D7" s="4" t="s">
        <v>22</v>
      </c>
      <c r="E7" s="4" t="s">
        <v>296</v>
      </c>
      <c r="F7" s="6" t="s">
        <v>24</v>
      </c>
      <c r="G7" s="7">
        <v>71500</v>
      </c>
      <c r="H7" s="4" t="s">
        <v>113</v>
      </c>
      <c r="I7" s="4" t="s">
        <v>114</v>
      </c>
      <c r="J7" s="15">
        <v>0.9375</v>
      </c>
      <c r="K7" s="18">
        <v>0.92152777777777783</v>
      </c>
      <c r="L7" s="15">
        <v>0.76736111111111116</v>
      </c>
      <c r="M7" s="18">
        <v>0.77083333333333337</v>
      </c>
      <c r="N7" s="4" t="s">
        <v>306</v>
      </c>
      <c r="O7" s="4" t="s">
        <v>305</v>
      </c>
      <c r="P7" s="4">
        <v>750</v>
      </c>
      <c r="Q7" s="4">
        <v>746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10" sqref="A10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43575</v>
      </c>
      <c r="B2" s="6" t="s">
        <v>21</v>
      </c>
      <c r="C2" s="6" t="s">
        <v>26</v>
      </c>
      <c r="D2" s="6" t="s">
        <v>22</v>
      </c>
      <c r="E2" s="6" t="s">
        <v>296</v>
      </c>
      <c r="F2" s="6" t="s">
        <v>24</v>
      </c>
      <c r="G2" s="7">
        <v>71500</v>
      </c>
      <c r="H2" s="6" t="s">
        <v>30</v>
      </c>
      <c r="I2" s="6" t="s">
        <v>34</v>
      </c>
      <c r="J2" s="8">
        <v>0.38541666666666669</v>
      </c>
      <c r="K2" s="2">
        <v>0.37083333333333335</v>
      </c>
      <c r="L2" s="8">
        <v>0.25694444444444448</v>
      </c>
      <c r="M2" s="9">
        <v>0.26180555555555557</v>
      </c>
      <c r="N2" s="3" t="s">
        <v>308</v>
      </c>
      <c r="O2" s="10" t="s">
        <v>242</v>
      </c>
      <c r="P2" s="10">
        <v>404</v>
      </c>
      <c r="Q2" s="10">
        <v>679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43575</v>
      </c>
      <c r="B3" s="6" t="s">
        <v>21</v>
      </c>
      <c r="C3" s="6" t="s">
        <v>27</v>
      </c>
      <c r="D3" s="6" t="s">
        <v>22</v>
      </c>
      <c r="E3" s="6" t="s">
        <v>299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0.45902777777777781</v>
      </c>
      <c r="L3" s="8">
        <v>0.28125</v>
      </c>
      <c r="M3" s="9">
        <v>0.28958333333333336</v>
      </c>
      <c r="N3" s="3" t="s">
        <v>309</v>
      </c>
      <c r="O3" s="10" t="s">
        <v>307</v>
      </c>
      <c r="P3" s="6">
        <v>892</v>
      </c>
      <c r="Q3" s="10">
        <v>1164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43575</v>
      </c>
      <c r="B4" s="3" t="s">
        <v>21</v>
      </c>
      <c r="C4" s="3" t="s">
        <v>28</v>
      </c>
      <c r="D4" s="3" t="s">
        <v>22</v>
      </c>
      <c r="E4" s="6" t="s">
        <v>296</v>
      </c>
      <c r="F4" s="3" t="s">
        <v>24</v>
      </c>
      <c r="G4" s="7">
        <v>71500</v>
      </c>
      <c r="H4" s="3" t="s">
        <v>32</v>
      </c>
      <c r="I4" s="3" t="s">
        <v>36</v>
      </c>
      <c r="J4" s="11">
        <v>0.55555555555555558</v>
      </c>
      <c r="K4" s="2">
        <v>0.54375000000000007</v>
      </c>
      <c r="L4" s="11">
        <v>0.40625</v>
      </c>
      <c r="M4" s="2">
        <v>0.40486111111111112</v>
      </c>
      <c r="N4" s="3" t="s">
        <v>312</v>
      </c>
      <c r="O4" s="3" t="s">
        <v>310</v>
      </c>
      <c r="P4" s="3">
        <v>1077</v>
      </c>
      <c r="Q4" s="3">
        <v>908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43575</v>
      </c>
      <c r="B5" s="3" t="s">
        <v>21</v>
      </c>
      <c r="C5" s="3" t="s">
        <v>29</v>
      </c>
      <c r="D5" s="3" t="s">
        <v>22</v>
      </c>
      <c r="E5" s="6" t="s">
        <v>299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0.69374999999999998</v>
      </c>
      <c r="L5" s="12">
        <v>0.49305555555555558</v>
      </c>
      <c r="M5" s="13">
        <v>0.50277777777777777</v>
      </c>
      <c r="N5" s="3" t="s">
        <v>227</v>
      </c>
      <c r="O5" s="3" t="s">
        <v>311</v>
      </c>
      <c r="P5" s="14">
        <v>922</v>
      </c>
      <c r="Q5" s="3">
        <v>714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43575</v>
      </c>
      <c r="B6" s="4" t="s">
        <v>21</v>
      </c>
      <c r="C6" s="4" t="s">
        <v>58</v>
      </c>
      <c r="D6" s="4" t="s">
        <v>22</v>
      </c>
      <c r="E6" s="6" t="s">
        <v>296</v>
      </c>
      <c r="F6" s="4" t="s">
        <v>24</v>
      </c>
      <c r="G6" s="7">
        <v>71500</v>
      </c>
      <c r="H6" s="4" t="s">
        <v>59</v>
      </c>
      <c r="I6" s="4" t="s">
        <v>60</v>
      </c>
      <c r="J6" s="15">
        <v>0.74652777777777779</v>
      </c>
      <c r="K6" s="2">
        <v>0.73958333333333337</v>
      </c>
      <c r="L6" s="15">
        <v>0.58680555555555558</v>
      </c>
      <c r="M6" s="18">
        <v>0.59166666666666667</v>
      </c>
      <c r="N6" s="3" t="s">
        <v>95</v>
      </c>
      <c r="O6" s="4" t="s">
        <v>62</v>
      </c>
      <c r="P6" s="4">
        <v>1159</v>
      </c>
      <c r="Q6" s="4">
        <v>999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5">
        <v>43575</v>
      </c>
      <c r="B7" s="4" t="s">
        <v>21</v>
      </c>
      <c r="C7" s="4" t="s">
        <v>64</v>
      </c>
      <c r="D7" s="4" t="s">
        <v>22</v>
      </c>
      <c r="E7" s="6" t="s">
        <v>299</v>
      </c>
      <c r="F7" s="4" t="s">
        <v>24</v>
      </c>
      <c r="G7" s="7">
        <v>71500</v>
      </c>
      <c r="H7" s="4" t="s">
        <v>66</v>
      </c>
      <c r="I7" s="4" t="s">
        <v>69</v>
      </c>
      <c r="J7" s="15">
        <v>0.94097222222222221</v>
      </c>
      <c r="K7" s="2">
        <v>0.93194444444444446</v>
      </c>
      <c r="L7" s="15">
        <v>0.72222222222222221</v>
      </c>
      <c r="M7" s="18">
        <v>0.73541666666666661</v>
      </c>
      <c r="N7" s="3" t="s">
        <v>316</v>
      </c>
      <c r="O7" s="4" t="s">
        <v>306</v>
      </c>
      <c r="P7" s="4">
        <v>661</v>
      </c>
      <c r="Q7" s="4">
        <v>1172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5">
        <v>43575</v>
      </c>
      <c r="B8" s="4" t="s">
        <v>21</v>
      </c>
      <c r="C8" s="4" t="s">
        <v>65</v>
      </c>
      <c r="D8" s="4" t="s">
        <v>22</v>
      </c>
      <c r="E8" s="6" t="s">
        <v>296</v>
      </c>
      <c r="F8" s="4" t="s">
        <v>24</v>
      </c>
      <c r="G8" s="7">
        <v>71500</v>
      </c>
      <c r="H8" s="4" t="s">
        <v>67</v>
      </c>
      <c r="I8" s="4" t="s">
        <v>68</v>
      </c>
      <c r="J8" s="15">
        <v>0.94444444444444453</v>
      </c>
      <c r="K8" s="2">
        <v>0.93611111111111101</v>
      </c>
      <c r="L8" s="15">
        <v>0.76736111111111116</v>
      </c>
      <c r="M8" s="18">
        <v>0.77708333333333324</v>
      </c>
      <c r="N8" s="3" t="s">
        <v>57</v>
      </c>
      <c r="O8" s="4" t="s">
        <v>315</v>
      </c>
      <c r="P8" s="4">
        <v>833</v>
      </c>
      <c r="Q8" s="4">
        <v>871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16">
        <f>A8</f>
        <v>43575</v>
      </c>
      <c r="B9" s="4" t="s">
        <v>284</v>
      </c>
      <c r="C9" s="4" t="s">
        <v>313</v>
      </c>
      <c r="D9" s="4" t="s">
        <v>286</v>
      </c>
      <c r="E9" s="4" t="s">
        <v>287</v>
      </c>
      <c r="F9" s="4" t="s">
        <v>314</v>
      </c>
      <c r="G9" s="4">
        <v>1715</v>
      </c>
      <c r="H9" s="4" t="s">
        <v>288</v>
      </c>
      <c r="I9" s="4" t="str">
        <f>H9</f>
        <v>FLYCOM2</v>
      </c>
      <c r="J9" s="15">
        <v>0.54166666666666663</v>
      </c>
      <c r="K9" s="2">
        <v>0.53263888888888888</v>
      </c>
      <c r="L9" s="15">
        <v>0.58333333333333337</v>
      </c>
      <c r="M9" s="18">
        <v>0.58333333333333337</v>
      </c>
      <c r="N9" s="3" t="s">
        <v>289</v>
      </c>
      <c r="O9" s="4" t="str">
        <f>N9</f>
        <v>CREW ONLY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">
      <c r="A10" s="16">
        <f>A9</f>
        <v>43575</v>
      </c>
      <c r="B10" s="4" t="s">
        <v>284</v>
      </c>
      <c r="C10" s="4" t="s">
        <v>317</v>
      </c>
      <c r="D10" s="4" t="s">
        <v>286</v>
      </c>
      <c r="E10" s="4" t="s">
        <v>287</v>
      </c>
      <c r="F10" s="4" t="s">
        <v>314</v>
      </c>
      <c r="G10" s="4">
        <v>1715</v>
      </c>
      <c r="H10" s="4" t="s">
        <v>288</v>
      </c>
      <c r="I10" s="4" t="str">
        <f>H10</f>
        <v>FLYCOM2</v>
      </c>
      <c r="J10" s="18">
        <v>0.75</v>
      </c>
      <c r="K10" s="2">
        <v>0.74305555555555547</v>
      </c>
      <c r="L10" s="24"/>
      <c r="M10" s="24"/>
      <c r="N10" s="3" t="s">
        <v>289</v>
      </c>
      <c r="O10" s="4" t="str">
        <f>N10</f>
        <v>CREW ONLY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K8" sqref="K8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5">
        <v>43576</v>
      </c>
      <c r="B2" s="1" t="s">
        <v>21</v>
      </c>
      <c r="C2" s="1" t="s">
        <v>74</v>
      </c>
      <c r="D2" s="1" t="str">
        <f>D3</f>
        <v>A320</v>
      </c>
      <c r="E2" s="1" t="s">
        <v>299</v>
      </c>
      <c r="F2" s="1" t="s">
        <v>24</v>
      </c>
      <c r="G2" s="26">
        <f>G3</f>
        <v>71500</v>
      </c>
      <c r="H2" s="1" t="s">
        <v>83</v>
      </c>
      <c r="I2" s="1" t="s">
        <v>89</v>
      </c>
      <c r="J2" s="27">
        <v>0.45833333333333331</v>
      </c>
      <c r="K2" s="2">
        <v>0.44861111111111113</v>
      </c>
      <c r="L2" s="27">
        <v>0.25694444444444448</v>
      </c>
      <c r="M2" s="28">
        <v>0.26458333333333334</v>
      </c>
      <c r="N2" s="3" t="s">
        <v>323</v>
      </c>
      <c r="O2" s="1" t="s">
        <v>318</v>
      </c>
      <c r="P2" s="1">
        <v>986</v>
      </c>
      <c r="Q2" s="1">
        <v>787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25">
        <f t="shared" ref="A3:A8" si="0">A2</f>
        <v>43576</v>
      </c>
      <c r="B3" s="1" t="s">
        <v>21</v>
      </c>
      <c r="C3" s="1" t="s">
        <v>75</v>
      </c>
      <c r="D3" s="1" t="str">
        <f>D4</f>
        <v>A320</v>
      </c>
      <c r="E3" s="1" t="s">
        <v>296</v>
      </c>
      <c r="F3" s="1" t="s">
        <v>24</v>
      </c>
      <c r="G3" s="26">
        <v>71500</v>
      </c>
      <c r="H3" s="1" t="s">
        <v>84</v>
      </c>
      <c r="I3" s="1" t="s">
        <v>90</v>
      </c>
      <c r="J3" s="27">
        <v>0.4861111111111111</v>
      </c>
      <c r="K3" s="2">
        <v>0.46875</v>
      </c>
      <c r="L3" s="27">
        <v>0.28125</v>
      </c>
      <c r="M3" s="28">
        <v>0.28750000000000003</v>
      </c>
      <c r="N3" s="3" t="s">
        <v>324</v>
      </c>
      <c r="O3" s="1" t="s">
        <v>319</v>
      </c>
      <c r="P3" s="1">
        <v>748</v>
      </c>
      <c r="Q3" s="1">
        <v>796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">
      <c r="A4" s="5">
        <f t="shared" si="0"/>
        <v>43576</v>
      </c>
      <c r="B4" s="6" t="s">
        <v>21</v>
      </c>
      <c r="C4" s="6" t="s">
        <v>76</v>
      </c>
      <c r="D4" s="6" t="s">
        <v>22</v>
      </c>
      <c r="E4" s="6" t="str">
        <f>E2</f>
        <v>HA-LWG</v>
      </c>
      <c r="F4" s="6" t="s">
        <v>24</v>
      </c>
      <c r="G4" s="7">
        <v>71500</v>
      </c>
      <c r="H4" s="6" t="s">
        <v>85</v>
      </c>
      <c r="I4" s="6" t="s">
        <v>91</v>
      </c>
      <c r="J4" s="8">
        <v>0.72569444444444453</v>
      </c>
      <c r="K4" s="2">
        <v>0.71875</v>
      </c>
      <c r="L4" s="8">
        <v>0.48958333333333331</v>
      </c>
      <c r="M4" s="9">
        <v>0.49444444444444446</v>
      </c>
      <c r="N4" s="3" t="s">
        <v>141</v>
      </c>
      <c r="O4" s="10" t="s">
        <v>185</v>
      </c>
      <c r="P4" s="10">
        <v>823</v>
      </c>
      <c r="Q4" s="10">
        <v>898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f t="shared" si="0"/>
        <v>43576</v>
      </c>
      <c r="B5" s="6" t="s">
        <v>21</v>
      </c>
      <c r="C5" s="6" t="s">
        <v>77</v>
      </c>
      <c r="D5" s="6" t="s">
        <v>22</v>
      </c>
      <c r="E5" s="6" t="str">
        <f>E3</f>
        <v>HA-LYP</v>
      </c>
      <c r="F5" s="6" t="s">
        <v>24</v>
      </c>
      <c r="G5" s="7">
        <f>G4</f>
        <v>71500</v>
      </c>
      <c r="H5" s="6" t="s">
        <v>86</v>
      </c>
      <c r="I5" s="6" t="s">
        <v>92</v>
      </c>
      <c r="J5" s="8">
        <v>0.74652777777777779</v>
      </c>
      <c r="K5" s="2">
        <v>0.7284722222222223</v>
      </c>
      <c r="L5" s="8">
        <v>0.51736111111111105</v>
      </c>
      <c r="M5" s="9">
        <v>0.51180555555555551</v>
      </c>
      <c r="N5" s="3" t="s">
        <v>104</v>
      </c>
      <c r="O5" s="10" t="s">
        <v>122</v>
      </c>
      <c r="P5" s="6">
        <v>1201</v>
      </c>
      <c r="Q5" s="10">
        <v>997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>
        <f t="shared" si="0"/>
        <v>43576</v>
      </c>
      <c r="B6" s="6" t="s">
        <v>21</v>
      </c>
      <c r="C6" s="3" t="s">
        <v>78</v>
      </c>
      <c r="D6" s="6" t="s">
        <v>22</v>
      </c>
      <c r="E6" s="6" t="str">
        <f>E4</f>
        <v>HA-LWG</v>
      </c>
      <c r="F6" s="3" t="s">
        <v>24</v>
      </c>
      <c r="G6" s="7">
        <f>G5</f>
        <v>71500</v>
      </c>
      <c r="H6" s="3" t="s">
        <v>87</v>
      </c>
      <c r="I6" s="3" t="s">
        <v>93</v>
      </c>
      <c r="J6" s="11">
        <v>0.91666666666666663</v>
      </c>
      <c r="K6" s="2">
        <v>0.91527777777777775</v>
      </c>
      <c r="L6" s="11">
        <v>0.74652777777777779</v>
      </c>
      <c r="M6" s="2">
        <v>0.75694444444444453</v>
      </c>
      <c r="N6" s="3" t="s">
        <v>315</v>
      </c>
      <c r="O6" s="3" t="s">
        <v>274</v>
      </c>
      <c r="P6" s="3">
        <v>960</v>
      </c>
      <c r="Q6" s="3">
        <v>914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5">
        <f t="shared" si="0"/>
        <v>43576</v>
      </c>
      <c r="B7" s="6" t="s">
        <v>21</v>
      </c>
      <c r="C7" s="3" t="s">
        <v>79</v>
      </c>
      <c r="D7" s="6" t="s">
        <v>22</v>
      </c>
      <c r="E7" s="6" t="str">
        <f>E5</f>
        <v>HA-LYP</v>
      </c>
      <c r="F7" s="3" t="s">
        <v>24</v>
      </c>
      <c r="G7" s="7">
        <f>G6</f>
        <v>71500</v>
      </c>
      <c r="H7" s="3" t="s">
        <v>88</v>
      </c>
      <c r="I7" s="3" t="s">
        <v>94</v>
      </c>
      <c r="J7" s="12">
        <v>0.95833333333333337</v>
      </c>
      <c r="K7" s="2">
        <v>0.94305555555555554</v>
      </c>
      <c r="L7" s="12">
        <v>0.76736111111111116</v>
      </c>
      <c r="M7" s="13">
        <v>0.7680555555555556</v>
      </c>
      <c r="N7" s="3" t="s">
        <v>261</v>
      </c>
      <c r="O7" s="3" t="s">
        <v>325</v>
      </c>
      <c r="P7" s="14">
        <v>1210</v>
      </c>
      <c r="Q7" s="3">
        <v>668</v>
      </c>
      <c r="R7" s="6">
        <v>0</v>
      </c>
      <c r="S7" s="6">
        <v>0</v>
      </c>
      <c r="T7" s="6">
        <v>0</v>
      </c>
      <c r="U7" s="6">
        <v>0</v>
      </c>
    </row>
    <row r="8" spans="1:21" x14ac:dyDescent="0.2">
      <c r="A8" s="5">
        <f t="shared" si="0"/>
        <v>43576</v>
      </c>
      <c r="B8" s="4" t="s">
        <v>320</v>
      </c>
      <c r="C8" s="4" t="s">
        <v>321</v>
      </c>
      <c r="D8" s="4" t="s">
        <v>286</v>
      </c>
      <c r="E8" s="4" t="s">
        <v>287</v>
      </c>
      <c r="F8" s="4" t="s">
        <v>322</v>
      </c>
      <c r="G8" s="17">
        <v>1715</v>
      </c>
      <c r="H8" s="4" t="s">
        <v>288</v>
      </c>
      <c r="I8" s="4" t="str">
        <f>H8</f>
        <v>FLYCOM2</v>
      </c>
      <c r="J8" s="15">
        <v>0.75</v>
      </c>
      <c r="K8" s="2">
        <v>0.72361111111111109</v>
      </c>
      <c r="L8" s="15">
        <v>0.375</v>
      </c>
      <c r="M8" s="18">
        <v>0.36458333333333331</v>
      </c>
      <c r="N8" s="3" t="s">
        <v>289</v>
      </c>
      <c r="O8" s="4" t="str">
        <f>N8</f>
        <v>CREW ONLY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G9" s="17"/>
      <c r="J9" s="15"/>
      <c r="L9" s="15"/>
      <c r="M9" s="18"/>
    </row>
    <row r="10" spans="1:21" x14ac:dyDescent="0.2">
      <c r="A10" s="5"/>
      <c r="G10" s="17"/>
      <c r="J10" s="15"/>
      <c r="L10" s="15"/>
      <c r="M10" s="18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L7" sqref="L7"/>
    </sheetView>
  </sheetViews>
  <sheetFormatPr defaultRowHeight="15" x14ac:dyDescent="0.25"/>
  <cols>
    <col min="2" max="2" width="16.42578125" customWidth="1"/>
    <col min="3" max="3" width="13.7109375" customWidth="1"/>
    <col min="6" max="6" width="29.28515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43577</v>
      </c>
      <c r="B2" s="6" t="s">
        <v>21</v>
      </c>
      <c r="C2" s="6" t="s">
        <v>74</v>
      </c>
      <c r="D2" s="6" t="s">
        <v>22</v>
      </c>
      <c r="E2" s="6" t="s">
        <v>326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0.44861111111111113</v>
      </c>
      <c r="L2" s="8">
        <v>0.25694444444444448</v>
      </c>
      <c r="M2" s="9">
        <v>0.26041666666666669</v>
      </c>
      <c r="N2" s="3" t="s">
        <v>338</v>
      </c>
      <c r="O2" s="10" t="s">
        <v>327</v>
      </c>
      <c r="P2" s="10">
        <v>1032</v>
      </c>
      <c r="Q2" s="10">
        <v>635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43577</v>
      </c>
      <c r="B3" s="6" t="s">
        <v>21</v>
      </c>
      <c r="C3" s="6" t="s">
        <v>75</v>
      </c>
      <c r="D3" s="6" t="s">
        <v>22</v>
      </c>
      <c r="E3" s="6" t="s">
        <v>266</v>
      </c>
      <c r="F3" s="6" t="s">
        <v>24</v>
      </c>
      <c r="G3" s="7">
        <v>71500</v>
      </c>
      <c r="H3" s="6" t="s">
        <v>84</v>
      </c>
      <c r="I3" s="6" t="s">
        <v>90</v>
      </c>
      <c r="J3" s="8">
        <v>0.4861111111111111</v>
      </c>
      <c r="K3" s="2">
        <v>0.48125000000000001</v>
      </c>
      <c r="L3" s="8">
        <v>0.28125</v>
      </c>
      <c r="M3" s="9">
        <v>0.2902777777777778</v>
      </c>
      <c r="N3" s="3" t="s">
        <v>283</v>
      </c>
      <c r="O3" s="10" t="s">
        <v>328</v>
      </c>
      <c r="P3" s="6">
        <v>1040</v>
      </c>
      <c r="Q3" s="10">
        <v>624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43577</v>
      </c>
      <c r="B4" s="3" t="s">
        <v>21</v>
      </c>
      <c r="C4" s="3" t="s">
        <v>108</v>
      </c>
      <c r="D4" s="3" t="s">
        <v>22</v>
      </c>
      <c r="E4" s="6" t="s">
        <v>326</v>
      </c>
      <c r="F4" s="3" t="s">
        <v>24</v>
      </c>
      <c r="G4" s="7">
        <v>71500</v>
      </c>
      <c r="H4" s="3" t="s">
        <v>111</v>
      </c>
      <c r="I4" s="3" t="s">
        <v>112</v>
      </c>
      <c r="J4" s="11">
        <v>0.70833333333333337</v>
      </c>
      <c r="K4" s="2">
        <v>0.66041666666666665</v>
      </c>
      <c r="L4" s="11">
        <v>0.48958333333333331</v>
      </c>
      <c r="M4" s="2">
        <v>0.4993055555555555</v>
      </c>
      <c r="N4" s="3" t="s">
        <v>340</v>
      </c>
      <c r="O4" s="3" t="s">
        <v>143</v>
      </c>
      <c r="P4" s="3">
        <v>1356</v>
      </c>
      <c r="Q4" s="10">
        <v>900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43577</v>
      </c>
      <c r="B5" s="3" t="s">
        <v>21</v>
      </c>
      <c r="C5" s="3" t="s">
        <v>77</v>
      </c>
      <c r="D5" s="3" t="s">
        <v>22</v>
      </c>
      <c r="E5" s="6" t="s">
        <v>266</v>
      </c>
      <c r="F5" s="3" t="s">
        <v>24</v>
      </c>
      <c r="G5" s="7">
        <v>71500</v>
      </c>
      <c r="H5" s="3" t="s">
        <v>86</v>
      </c>
      <c r="I5" s="3" t="s">
        <v>92</v>
      </c>
      <c r="J5" s="12">
        <v>0.74652777777777779</v>
      </c>
      <c r="K5" s="2">
        <v>0.75</v>
      </c>
      <c r="L5" s="12">
        <v>0.51736111111111105</v>
      </c>
      <c r="M5" s="13">
        <v>0.52708333333333335</v>
      </c>
      <c r="N5" s="3" t="s">
        <v>341</v>
      </c>
      <c r="O5" s="3" t="s">
        <v>339</v>
      </c>
      <c r="P5" s="14">
        <v>1042</v>
      </c>
      <c r="Q5" s="10">
        <v>964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43577</v>
      </c>
      <c r="B6" s="3" t="s">
        <v>21</v>
      </c>
      <c r="C6" s="3" t="s">
        <v>78</v>
      </c>
      <c r="D6" s="3" t="s">
        <v>22</v>
      </c>
      <c r="E6" s="6" t="s">
        <v>326</v>
      </c>
      <c r="F6" s="19" t="s">
        <v>24</v>
      </c>
      <c r="G6" s="7">
        <v>71500</v>
      </c>
      <c r="H6" s="6" t="s">
        <v>87</v>
      </c>
      <c r="I6" s="6" t="s">
        <v>93</v>
      </c>
      <c r="J6" s="15">
        <v>0.89930555555555547</v>
      </c>
      <c r="K6" s="2">
        <v>0.89374999999999993</v>
      </c>
      <c r="L6" s="15">
        <v>0.72916666666666663</v>
      </c>
      <c r="M6" s="18">
        <v>0.74305555555555547</v>
      </c>
      <c r="N6" s="3" t="s">
        <v>171</v>
      </c>
      <c r="O6" s="3" t="s">
        <v>342</v>
      </c>
      <c r="P6" s="3">
        <v>845</v>
      </c>
      <c r="Q6" s="10">
        <v>486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16">
        <v>43577</v>
      </c>
      <c r="B7" s="4" t="s">
        <v>21</v>
      </c>
      <c r="C7" s="4" t="s">
        <v>109</v>
      </c>
      <c r="D7" s="4" t="s">
        <v>22</v>
      </c>
      <c r="E7" s="4" t="s">
        <v>266</v>
      </c>
      <c r="F7" s="4" t="s">
        <v>24</v>
      </c>
      <c r="G7" s="17">
        <v>71500</v>
      </c>
      <c r="H7" s="4" t="s">
        <v>113</v>
      </c>
      <c r="I7" s="4" t="s">
        <v>156</v>
      </c>
      <c r="J7" s="15">
        <v>0.9375</v>
      </c>
      <c r="K7" s="2">
        <v>0.92708333333333337</v>
      </c>
      <c r="L7" s="15">
        <v>0.76736111111111116</v>
      </c>
      <c r="M7" s="18">
        <v>0.78125</v>
      </c>
      <c r="N7" s="3" t="s">
        <v>344</v>
      </c>
      <c r="O7" s="4" t="s">
        <v>343</v>
      </c>
      <c r="P7" s="4">
        <v>634</v>
      </c>
      <c r="Q7" s="10">
        <v>767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29">
        <v>43577</v>
      </c>
      <c r="B8" s="3" t="s">
        <v>284</v>
      </c>
      <c r="C8" s="30" t="s">
        <v>330</v>
      </c>
      <c r="D8" s="3" t="s">
        <v>329</v>
      </c>
      <c r="E8" s="6" t="s">
        <v>287</v>
      </c>
      <c r="F8" s="3" t="s">
        <v>294</v>
      </c>
      <c r="G8" s="7">
        <v>1715</v>
      </c>
      <c r="H8" s="6" t="s">
        <v>288</v>
      </c>
      <c r="I8" s="6" t="s">
        <v>288</v>
      </c>
      <c r="J8" s="12" t="s">
        <v>162</v>
      </c>
      <c r="K8" s="6" t="s">
        <v>162</v>
      </c>
      <c r="L8" s="12">
        <v>0.375</v>
      </c>
      <c r="M8" s="23">
        <v>0.3756944444444445</v>
      </c>
      <c r="N8" s="23" t="s">
        <v>289</v>
      </c>
      <c r="O8" s="23" t="s">
        <v>289</v>
      </c>
      <c r="P8" s="30">
        <v>0</v>
      </c>
      <c r="Q8" s="10">
        <v>0</v>
      </c>
      <c r="R8" s="3">
        <v>0</v>
      </c>
      <c r="S8" s="3">
        <v>0</v>
      </c>
      <c r="T8" s="3">
        <v>0</v>
      </c>
      <c r="U8" s="3">
        <v>0</v>
      </c>
    </row>
    <row r="9" spans="1:21" s="31" customFormat="1" ht="12.75" x14ac:dyDescent="0.2">
      <c r="A9" s="16">
        <v>43577</v>
      </c>
      <c r="B9" s="3" t="s">
        <v>331</v>
      </c>
      <c r="C9" s="3" t="s">
        <v>332</v>
      </c>
      <c r="D9" s="3" t="s">
        <v>333</v>
      </c>
      <c r="E9" s="6" t="s">
        <v>334</v>
      </c>
      <c r="F9" s="3" t="s">
        <v>335</v>
      </c>
      <c r="G9" s="7">
        <v>8900</v>
      </c>
      <c r="H9" s="6" t="s">
        <v>336</v>
      </c>
      <c r="I9" s="6" t="s">
        <v>336</v>
      </c>
      <c r="J9" s="15">
        <v>0.38194444444444442</v>
      </c>
      <c r="K9" s="18">
        <v>0.37361111111111112</v>
      </c>
      <c r="L9" s="15">
        <v>0.4236111111111111</v>
      </c>
      <c r="M9" s="18">
        <v>0.39861111111111108</v>
      </c>
      <c r="N9" s="4">
        <v>0</v>
      </c>
      <c r="O9" s="4" t="s">
        <v>337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O7" sqref="O7"/>
    </sheetView>
  </sheetViews>
  <sheetFormatPr defaultRowHeight="15" x14ac:dyDescent="0.25"/>
  <cols>
    <col min="2" max="2" width="16.42578125" customWidth="1"/>
    <col min="3" max="3" width="13.7109375" customWidth="1"/>
    <col min="6" max="6" width="29.28515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43578</v>
      </c>
      <c r="B2" s="6" t="s">
        <v>21</v>
      </c>
      <c r="C2" s="6" t="s">
        <v>26</v>
      </c>
      <c r="D2" s="6" t="s">
        <v>22</v>
      </c>
      <c r="E2" s="6" t="s">
        <v>326</v>
      </c>
      <c r="F2" s="6" t="s">
        <v>24</v>
      </c>
      <c r="G2" s="7">
        <v>71500</v>
      </c>
      <c r="H2" s="6" t="s">
        <v>30</v>
      </c>
      <c r="I2" s="6" t="s">
        <v>34</v>
      </c>
      <c r="J2" s="8">
        <v>0.38541666666666669</v>
      </c>
      <c r="K2" s="2">
        <v>0.375</v>
      </c>
      <c r="L2" s="8">
        <v>0.25694444444444448</v>
      </c>
      <c r="M2" s="9">
        <v>0.26250000000000001</v>
      </c>
      <c r="N2" s="3" t="s">
        <v>280</v>
      </c>
      <c r="O2" s="10" t="s">
        <v>302</v>
      </c>
      <c r="P2" s="10">
        <v>284</v>
      </c>
      <c r="Q2" s="10">
        <v>540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43578</v>
      </c>
      <c r="B3" s="6" t="s">
        <v>21</v>
      </c>
      <c r="C3" s="6" t="s">
        <v>27</v>
      </c>
      <c r="D3" s="6" t="s">
        <v>22</v>
      </c>
      <c r="E3" s="6" t="s">
        <v>266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0.4770833333333333</v>
      </c>
      <c r="L3" s="8">
        <v>0.28125</v>
      </c>
      <c r="M3" s="9">
        <v>0.29444444444444445</v>
      </c>
      <c r="N3" s="3" t="s">
        <v>347</v>
      </c>
      <c r="O3" s="10" t="s">
        <v>345</v>
      </c>
      <c r="P3" s="6">
        <v>786</v>
      </c>
      <c r="Q3" s="10">
        <v>637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43578</v>
      </c>
      <c r="B4" s="6" t="s">
        <v>21</v>
      </c>
      <c r="C4" s="3" t="s">
        <v>28</v>
      </c>
      <c r="D4" s="3" t="s">
        <v>22</v>
      </c>
      <c r="E4" s="6" t="s">
        <v>326</v>
      </c>
      <c r="F4" s="3" t="s">
        <v>24</v>
      </c>
      <c r="G4" s="7">
        <v>71500</v>
      </c>
      <c r="H4" s="3" t="s">
        <v>32</v>
      </c>
      <c r="I4" s="3" t="s">
        <v>36</v>
      </c>
      <c r="J4" s="11">
        <v>0.55555555555555558</v>
      </c>
      <c r="K4" s="2">
        <v>0.54652777777777783</v>
      </c>
      <c r="L4" s="11">
        <v>0.40625</v>
      </c>
      <c r="M4" s="2">
        <v>0.41180555555555554</v>
      </c>
      <c r="N4" s="3" t="s">
        <v>195</v>
      </c>
      <c r="O4" s="3" t="s">
        <v>346</v>
      </c>
      <c r="P4" s="3">
        <v>520</v>
      </c>
      <c r="Q4" s="10">
        <v>548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43578</v>
      </c>
      <c r="B5" s="6" t="s">
        <v>21</v>
      </c>
      <c r="C5" s="3" t="s">
        <v>29</v>
      </c>
      <c r="D5" s="3" t="s">
        <v>22</v>
      </c>
      <c r="E5" s="6" t="s">
        <v>266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0.71944444444444444</v>
      </c>
      <c r="L5" s="12">
        <v>0.49305555555555558</v>
      </c>
      <c r="M5" s="13">
        <v>0.51388888888888895</v>
      </c>
      <c r="N5" s="3" t="s">
        <v>136</v>
      </c>
      <c r="O5" s="3" t="s">
        <v>348</v>
      </c>
      <c r="P5" s="14">
        <v>992</v>
      </c>
      <c r="Q5" s="10">
        <v>610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43578</v>
      </c>
      <c r="B6" s="6" t="s">
        <v>21</v>
      </c>
      <c r="C6" s="3" t="s">
        <v>58</v>
      </c>
      <c r="D6" s="3" t="s">
        <v>22</v>
      </c>
      <c r="E6" s="6" t="s">
        <v>326</v>
      </c>
      <c r="F6" s="19" t="s">
        <v>24</v>
      </c>
      <c r="G6" s="7">
        <v>71500</v>
      </c>
      <c r="H6" s="6" t="s">
        <v>59</v>
      </c>
      <c r="I6" s="6" t="s">
        <v>60</v>
      </c>
      <c r="J6" s="15">
        <v>0.74652777777777779</v>
      </c>
      <c r="K6" s="2">
        <v>0.73125000000000007</v>
      </c>
      <c r="L6" s="15">
        <v>0.58680555555555558</v>
      </c>
      <c r="M6" s="18">
        <v>0.59027777777777779</v>
      </c>
      <c r="N6" s="3" t="s">
        <v>349</v>
      </c>
      <c r="O6" s="3" t="s">
        <v>300</v>
      </c>
      <c r="P6" s="3">
        <v>904</v>
      </c>
      <c r="Q6" s="10">
        <v>811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43578</v>
      </c>
      <c r="B7" s="6" t="s">
        <v>21</v>
      </c>
      <c r="C7" s="4" t="s">
        <v>64</v>
      </c>
      <c r="D7" s="4" t="s">
        <v>22</v>
      </c>
      <c r="E7" s="4" t="s">
        <v>266</v>
      </c>
      <c r="F7" s="4" t="s">
        <v>24</v>
      </c>
      <c r="G7" s="17">
        <v>71500</v>
      </c>
      <c r="H7" s="4" t="s">
        <v>66</v>
      </c>
      <c r="I7" s="4" t="s">
        <v>69</v>
      </c>
      <c r="J7" s="15">
        <v>0.94097222222222221</v>
      </c>
      <c r="K7" s="2">
        <v>0.96319444444444446</v>
      </c>
      <c r="L7" s="15">
        <v>0.72222222222222221</v>
      </c>
      <c r="M7" s="18">
        <v>0.7631944444444444</v>
      </c>
      <c r="N7" s="23" t="s">
        <v>352</v>
      </c>
      <c r="O7" s="4" t="s">
        <v>350</v>
      </c>
      <c r="P7" s="4">
        <v>693</v>
      </c>
      <c r="Q7" s="10">
        <v>969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29">
        <v>43578</v>
      </c>
      <c r="B8" s="3" t="s">
        <v>21</v>
      </c>
      <c r="C8" s="30" t="s">
        <v>65</v>
      </c>
      <c r="D8" s="3" t="s">
        <v>22</v>
      </c>
      <c r="E8" s="6" t="s">
        <v>326</v>
      </c>
      <c r="F8" s="3" t="s">
        <v>24</v>
      </c>
      <c r="G8" s="7">
        <v>71500</v>
      </c>
      <c r="H8" s="6" t="s">
        <v>67</v>
      </c>
      <c r="I8" s="6" t="s">
        <v>68</v>
      </c>
      <c r="J8" s="12">
        <v>0.94444444444444453</v>
      </c>
      <c r="K8" s="9">
        <v>0.93541666666666667</v>
      </c>
      <c r="L8" s="12">
        <v>0.76736111111111116</v>
      </c>
      <c r="M8" s="23">
        <v>0.77777777777777779</v>
      </c>
      <c r="N8" s="23" t="s">
        <v>318</v>
      </c>
      <c r="O8" s="23" t="s">
        <v>351</v>
      </c>
      <c r="P8" s="30">
        <v>612</v>
      </c>
      <c r="Q8" s="10">
        <v>784</v>
      </c>
      <c r="R8" s="3">
        <v>0</v>
      </c>
      <c r="S8" s="3">
        <v>0</v>
      </c>
      <c r="T8" s="3">
        <v>0</v>
      </c>
      <c r="U8" s="3">
        <v>0</v>
      </c>
    </row>
    <row r="9" spans="1:21" s="31" customFormat="1" ht="12.75" x14ac:dyDescent="0.2">
      <c r="A9" s="16"/>
      <c r="B9" s="3"/>
      <c r="C9" s="3"/>
      <c r="D9" s="3"/>
      <c r="E9" s="6"/>
      <c r="F9" s="3"/>
      <c r="G9" s="7"/>
      <c r="H9" s="6"/>
      <c r="I9" s="6"/>
      <c r="J9" s="15"/>
      <c r="K9" s="18"/>
      <c r="L9" s="15"/>
      <c r="M9" s="18"/>
      <c r="N9" s="4"/>
      <c r="O9" s="4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F1" workbookViewId="0">
      <selection activeCell="K7" sqref="K7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43579</v>
      </c>
      <c r="B2" s="6" t="s">
        <v>21</v>
      </c>
      <c r="C2" s="6" t="s">
        <v>74</v>
      </c>
      <c r="D2" s="6" t="s">
        <v>22</v>
      </c>
      <c r="E2" s="6" t="s">
        <v>266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0.46388888888888885</v>
      </c>
      <c r="L2" s="8">
        <v>0.25694444444444448</v>
      </c>
      <c r="M2" s="9">
        <v>0.26458333333333334</v>
      </c>
      <c r="N2" s="2" t="s">
        <v>355</v>
      </c>
      <c r="O2" s="10" t="s">
        <v>206</v>
      </c>
      <c r="P2" s="10">
        <v>1091</v>
      </c>
      <c r="Q2" s="10">
        <v>880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43579</v>
      </c>
      <c r="B3" s="6" t="s">
        <v>21</v>
      </c>
      <c r="C3" s="6" t="s">
        <v>75</v>
      </c>
      <c r="D3" s="6" t="s">
        <v>22</v>
      </c>
      <c r="E3" s="6" t="s">
        <v>326</v>
      </c>
      <c r="F3" s="6" t="s">
        <v>24</v>
      </c>
      <c r="G3" s="7">
        <v>71500</v>
      </c>
      <c r="H3" s="6" t="s">
        <v>84</v>
      </c>
      <c r="I3" s="6" t="s">
        <v>90</v>
      </c>
      <c r="J3" s="8">
        <v>0.4861111111111111</v>
      </c>
      <c r="K3" s="2">
        <v>0.48194444444444445</v>
      </c>
      <c r="L3" s="8">
        <v>0.28125</v>
      </c>
      <c r="M3" s="9">
        <v>0.29166666666666669</v>
      </c>
      <c r="N3" s="2" t="s">
        <v>356</v>
      </c>
      <c r="O3" s="10" t="s">
        <v>353</v>
      </c>
      <c r="P3" s="6">
        <v>794</v>
      </c>
      <c r="Q3" s="10">
        <v>726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43579</v>
      </c>
      <c r="B4" s="3" t="s">
        <v>21</v>
      </c>
      <c r="C4" s="3" t="s">
        <v>76</v>
      </c>
      <c r="D4" s="3" t="s">
        <v>22</v>
      </c>
      <c r="E4" s="6" t="s">
        <v>266</v>
      </c>
      <c r="F4" s="3" t="s">
        <v>24</v>
      </c>
      <c r="G4" s="7">
        <v>71500</v>
      </c>
      <c r="H4" s="3" t="s">
        <v>85</v>
      </c>
      <c r="I4" s="3" t="s">
        <v>91</v>
      </c>
      <c r="J4" s="11">
        <v>0.72569444444444453</v>
      </c>
      <c r="K4" s="2">
        <v>0.72777777777777775</v>
      </c>
      <c r="L4" s="11">
        <v>0.48958333333333331</v>
      </c>
      <c r="M4" s="2">
        <v>0.50972222222222219</v>
      </c>
      <c r="N4" s="3" t="s">
        <v>357</v>
      </c>
      <c r="O4" s="3" t="s">
        <v>301</v>
      </c>
      <c r="P4" s="3">
        <v>1295</v>
      </c>
      <c r="Q4" s="3">
        <v>865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43579</v>
      </c>
      <c r="B5" s="3" t="s">
        <v>21</v>
      </c>
      <c r="C5" s="3" t="s">
        <v>77</v>
      </c>
      <c r="D5" s="3" t="s">
        <v>22</v>
      </c>
      <c r="E5" s="6" t="s">
        <v>326</v>
      </c>
      <c r="F5" s="3" t="s">
        <v>24</v>
      </c>
      <c r="G5" s="7">
        <v>71500</v>
      </c>
      <c r="H5" s="3" t="s">
        <v>86</v>
      </c>
      <c r="I5" s="3" t="s">
        <v>92</v>
      </c>
      <c r="J5" s="12">
        <v>0.74652777777777779</v>
      </c>
      <c r="K5" s="2">
        <v>0.74583333333333324</v>
      </c>
      <c r="L5" s="12">
        <v>0.51736111111111105</v>
      </c>
      <c r="M5" s="13">
        <v>0.53055555555555556</v>
      </c>
      <c r="N5" s="3" t="s">
        <v>358</v>
      </c>
      <c r="O5" s="4" t="s">
        <v>354</v>
      </c>
      <c r="P5" s="14">
        <v>1176</v>
      </c>
      <c r="Q5" s="4">
        <v>1012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16">
        <v>43579</v>
      </c>
      <c r="B6" s="4" t="s">
        <v>21</v>
      </c>
      <c r="C6" s="4" t="s">
        <v>78</v>
      </c>
      <c r="D6" s="4" t="s">
        <v>22</v>
      </c>
      <c r="E6" s="4" t="s">
        <v>266</v>
      </c>
      <c r="F6" s="4" t="s">
        <v>24</v>
      </c>
      <c r="G6" s="7">
        <v>71500</v>
      </c>
      <c r="H6" s="4" t="s">
        <v>87</v>
      </c>
      <c r="I6" s="4" t="s">
        <v>93</v>
      </c>
      <c r="J6" s="15">
        <v>0.91666666666666663</v>
      </c>
      <c r="K6" s="2">
        <v>0.92638888888888893</v>
      </c>
      <c r="L6" s="15">
        <v>0.74652777777777779</v>
      </c>
      <c r="M6" s="18">
        <v>0.77013888888888893</v>
      </c>
      <c r="N6" s="3" t="s">
        <v>360</v>
      </c>
      <c r="O6" s="4" t="s">
        <v>328</v>
      </c>
      <c r="P6" s="4">
        <v>769</v>
      </c>
      <c r="Q6" s="4">
        <v>711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16">
        <v>43579</v>
      </c>
      <c r="B7" s="4" t="s">
        <v>21</v>
      </c>
      <c r="C7" s="4" t="s">
        <v>79</v>
      </c>
      <c r="D7" s="4" t="s">
        <v>22</v>
      </c>
      <c r="E7" s="4" t="str">
        <f>E5</f>
        <v>HALWG</v>
      </c>
      <c r="F7" s="4" t="s">
        <v>24</v>
      </c>
      <c r="G7" s="17">
        <v>71500</v>
      </c>
      <c r="H7" s="4" t="s">
        <v>88</v>
      </c>
      <c r="I7" s="4" t="s">
        <v>94</v>
      </c>
      <c r="J7" s="15">
        <v>0.95833333333333337</v>
      </c>
      <c r="K7" s="2">
        <v>0.96736111111111101</v>
      </c>
      <c r="L7" s="15">
        <v>0.76736111111111116</v>
      </c>
      <c r="M7" s="18">
        <v>0.79375000000000007</v>
      </c>
      <c r="N7" s="3" t="s">
        <v>361</v>
      </c>
      <c r="O7" s="4" t="s">
        <v>359</v>
      </c>
      <c r="P7" s="4">
        <v>1322</v>
      </c>
      <c r="Q7" s="4">
        <v>640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G1" workbookViewId="0">
      <selection activeCell="G10" sqref="A10:XFD10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14" style="4" customWidth="1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43580</v>
      </c>
      <c r="B2" s="6" t="s">
        <v>21</v>
      </c>
      <c r="C2" s="6" t="s">
        <v>26</v>
      </c>
      <c r="D2" s="6" t="s">
        <v>22</v>
      </c>
      <c r="E2" s="6" t="s">
        <v>266</v>
      </c>
      <c r="F2" s="6" t="s">
        <v>24</v>
      </c>
      <c r="G2" s="7">
        <v>71500</v>
      </c>
      <c r="H2" s="6" t="s">
        <v>30</v>
      </c>
      <c r="I2" s="6" t="s">
        <v>34</v>
      </c>
      <c r="J2" s="8">
        <v>0.38541666666666669</v>
      </c>
      <c r="K2" s="2">
        <v>0.36944444444444446</v>
      </c>
      <c r="L2" s="8">
        <v>0.25694444444444448</v>
      </c>
      <c r="M2" s="9">
        <v>0.26111111111111113</v>
      </c>
      <c r="N2" s="2" t="s">
        <v>364</v>
      </c>
      <c r="O2" s="10" t="s">
        <v>362</v>
      </c>
      <c r="P2" s="10">
        <v>361</v>
      </c>
      <c r="Q2" s="10">
        <v>558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43580</v>
      </c>
      <c r="B3" s="6" t="s">
        <v>21</v>
      </c>
      <c r="C3" s="6" t="s">
        <v>27</v>
      </c>
      <c r="D3" s="6" t="s">
        <v>22</v>
      </c>
      <c r="E3" s="6" t="s">
        <v>326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0.47430555555555554</v>
      </c>
      <c r="L3" s="8">
        <v>0.28125</v>
      </c>
      <c r="M3" s="9">
        <v>0.2951388888888889</v>
      </c>
      <c r="N3" s="2" t="s">
        <v>365</v>
      </c>
      <c r="O3" s="10" t="s">
        <v>363</v>
      </c>
      <c r="P3" s="6">
        <v>712</v>
      </c>
      <c r="Q3" s="10">
        <v>886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43580</v>
      </c>
      <c r="B4" s="3" t="s">
        <v>21</v>
      </c>
      <c r="C4" s="3" t="s">
        <v>28</v>
      </c>
      <c r="D4" s="3" t="s">
        <v>22</v>
      </c>
      <c r="E4" s="6" t="s">
        <v>266</v>
      </c>
      <c r="F4" s="3" t="s">
        <v>24</v>
      </c>
      <c r="G4" s="7">
        <v>71500</v>
      </c>
      <c r="H4" s="3" t="s">
        <v>32</v>
      </c>
      <c r="I4" s="3" t="s">
        <v>36</v>
      </c>
      <c r="J4" s="11">
        <v>0.55555555555555558</v>
      </c>
      <c r="K4" s="2">
        <v>0.54513888888888895</v>
      </c>
      <c r="L4" s="11">
        <v>0.40625</v>
      </c>
      <c r="M4" s="2">
        <v>0.40625</v>
      </c>
      <c r="N4" s="3" t="s">
        <v>366</v>
      </c>
      <c r="O4" s="3" t="s">
        <v>363</v>
      </c>
      <c r="P4" s="3">
        <v>766</v>
      </c>
      <c r="Q4" s="3">
        <v>781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43580</v>
      </c>
      <c r="B5" s="3" t="s">
        <v>21</v>
      </c>
      <c r="C5" s="3" t="s">
        <v>29</v>
      </c>
      <c r="D5" s="3" t="s">
        <v>22</v>
      </c>
      <c r="E5" s="6" t="s">
        <v>326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0.74097222222222225</v>
      </c>
      <c r="L5" s="12">
        <v>0.49305555555555558</v>
      </c>
      <c r="M5" s="13">
        <v>0.54166666666666663</v>
      </c>
      <c r="N5" s="4" t="s">
        <v>274</v>
      </c>
      <c r="O5" s="4" t="s">
        <v>312</v>
      </c>
      <c r="P5" s="14">
        <v>944</v>
      </c>
      <c r="Q5" s="4">
        <v>763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43580</v>
      </c>
      <c r="B6" s="4" t="s">
        <v>21</v>
      </c>
      <c r="C6" s="4" t="s">
        <v>78</v>
      </c>
      <c r="D6" s="4" t="s">
        <v>22</v>
      </c>
      <c r="E6" s="6" t="s">
        <v>266</v>
      </c>
      <c r="F6" s="4" t="s">
        <v>24</v>
      </c>
      <c r="G6" s="7">
        <v>71500</v>
      </c>
      <c r="H6" s="4" t="s">
        <v>276</v>
      </c>
      <c r="I6" s="4" t="s">
        <v>93</v>
      </c>
      <c r="J6" s="15">
        <v>0.75694444444444453</v>
      </c>
      <c r="K6" s="2">
        <v>0.74722222222222223</v>
      </c>
      <c r="L6" s="15">
        <v>0.58680555555555558</v>
      </c>
      <c r="M6" s="18">
        <v>0.5854166666666667</v>
      </c>
      <c r="N6" s="3" t="s">
        <v>377</v>
      </c>
      <c r="O6" s="4" t="s">
        <v>350</v>
      </c>
      <c r="P6" s="4">
        <v>855</v>
      </c>
      <c r="Q6" s="4">
        <v>787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5">
        <v>43580</v>
      </c>
      <c r="B7" s="4" t="s">
        <v>21</v>
      </c>
      <c r="C7" s="4" t="s">
        <v>75</v>
      </c>
      <c r="D7" s="4" t="s">
        <v>22</v>
      </c>
      <c r="E7" s="6" t="s">
        <v>326</v>
      </c>
      <c r="F7" s="4" t="s">
        <v>24</v>
      </c>
      <c r="G7" s="17">
        <v>71500</v>
      </c>
      <c r="H7" s="4" t="s">
        <v>84</v>
      </c>
      <c r="I7" s="4" t="s">
        <v>90</v>
      </c>
      <c r="J7" s="15">
        <v>0.92708333333333337</v>
      </c>
      <c r="K7" s="2">
        <v>0.95833333333333337</v>
      </c>
      <c r="L7" s="15">
        <v>0.72222222222222221</v>
      </c>
      <c r="M7" s="18">
        <v>0.77708333333333324</v>
      </c>
      <c r="N7" s="3" t="s">
        <v>378</v>
      </c>
      <c r="O7" s="4" t="s">
        <v>375</v>
      </c>
      <c r="P7" s="4">
        <v>608</v>
      </c>
      <c r="Q7" s="4">
        <v>817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5">
        <v>43580</v>
      </c>
      <c r="B8" s="4" t="s">
        <v>21</v>
      </c>
      <c r="C8" s="4" t="s">
        <v>65</v>
      </c>
      <c r="D8" s="4" t="s">
        <v>22</v>
      </c>
      <c r="E8" s="6" t="s">
        <v>266</v>
      </c>
      <c r="F8" s="4" t="s">
        <v>24</v>
      </c>
      <c r="G8" s="17">
        <v>71500</v>
      </c>
      <c r="H8" s="4" t="s">
        <v>67</v>
      </c>
      <c r="I8" s="4" t="s">
        <v>68</v>
      </c>
      <c r="J8" s="18">
        <v>0.95486111111111116</v>
      </c>
      <c r="K8" s="2">
        <v>0.94791666666666663</v>
      </c>
      <c r="L8" s="18">
        <v>0.77777777777777779</v>
      </c>
      <c r="M8" s="18">
        <v>0.79166666666666663</v>
      </c>
      <c r="N8" s="3" t="s">
        <v>342</v>
      </c>
      <c r="O8" s="4" t="s">
        <v>376</v>
      </c>
      <c r="P8" s="4">
        <v>573</v>
      </c>
      <c r="Q8" s="4">
        <v>879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5">
        <v>43580</v>
      </c>
      <c r="B9" s="4" t="s">
        <v>371</v>
      </c>
      <c r="C9" s="4" t="s">
        <v>374</v>
      </c>
      <c r="D9" s="4" t="s">
        <v>369</v>
      </c>
      <c r="E9" s="4" t="s">
        <v>368</v>
      </c>
      <c r="F9" s="4" t="s">
        <v>294</v>
      </c>
      <c r="G9" s="17">
        <v>3.5</v>
      </c>
      <c r="H9" s="4" t="s">
        <v>368</v>
      </c>
      <c r="I9" s="4" t="s">
        <v>368</v>
      </c>
      <c r="J9" s="18">
        <v>0.51041666666666663</v>
      </c>
      <c r="K9" s="2">
        <v>0.53472222222222221</v>
      </c>
      <c r="L9" s="4" t="s">
        <v>162</v>
      </c>
      <c r="M9" s="4" t="s">
        <v>162</v>
      </c>
      <c r="N9" s="3">
        <v>0</v>
      </c>
      <c r="O9" s="4" t="s">
        <v>162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">
      <c r="A10" s="5">
        <v>43580</v>
      </c>
      <c r="B10" s="4" t="s">
        <v>372</v>
      </c>
      <c r="C10" s="4" t="s">
        <v>373</v>
      </c>
      <c r="D10" s="4" t="s">
        <v>370</v>
      </c>
      <c r="E10" s="4" t="s">
        <v>367</v>
      </c>
      <c r="F10" s="4" t="s">
        <v>294</v>
      </c>
      <c r="G10" s="32">
        <v>1</v>
      </c>
      <c r="H10" s="4" t="s">
        <v>367</v>
      </c>
      <c r="I10" s="4" t="s">
        <v>367</v>
      </c>
      <c r="J10" s="18">
        <v>0.53472222222222221</v>
      </c>
      <c r="K10" s="2">
        <v>0.56180555555555556</v>
      </c>
      <c r="L10" s="4" t="s">
        <v>162</v>
      </c>
      <c r="M10" s="4" t="s">
        <v>162</v>
      </c>
      <c r="N10" s="3">
        <v>0</v>
      </c>
      <c r="O10" s="4" t="s">
        <v>162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7" sqref="K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43581</v>
      </c>
      <c r="B2" s="6" t="s">
        <v>21</v>
      </c>
      <c r="C2" s="6" t="s">
        <v>74</v>
      </c>
      <c r="D2" s="6" t="s">
        <v>22</v>
      </c>
      <c r="E2" s="6" t="s">
        <v>299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0.47152777777777777</v>
      </c>
      <c r="L2" s="8">
        <v>0.25694444444444448</v>
      </c>
      <c r="M2" s="9">
        <v>0.27013888888888887</v>
      </c>
      <c r="N2" s="3" t="s">
        <v>62</v>
      </c>
      <c r="O2" s="10" t="s">
        <v>232</v>
      </c>
      <c r="P2" s="10">
        <v>1137</v>
      </c>
      <c r="Q2" s="10">
        <v>993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6">
        <f>A2</f>
        <v>43581</v>
      </c>
      <c r="B3" s="6" t="s">
        <v>21</v>
      </c>
      <c r="C3" s="4" t="s">
        <v>75</v>
      </c>
      <c r="D3" s="4" t="s">
        <v>22</v>
      </c>
      <c r="E3" s="4" t="s">
        <v>296</v>
      </c>
      <c r="F3" s="6" t="s">
        <v>24</v>
      </c>
      <c r="G3" s="7">
        <v>71500</v>
      </c>
      <c r="H3" s="4" t="s">
        <v>84</v>
      </c>
      <c r="I3" s="4" t="s">
        <v>90</v>
      </c>
      <c r="J3" s="15">
        <v>0.4861111111111111</v>
      </c>
      <c r="K3" s="18">
        <v>0.47430555555555554</v>
      </c>
      <c r="L3" s="15">
        <v>0.28125</v>
      </c>
      <c r="M3" s="18">
        <v>0.28611111111111115</v>
      </c>
      <c r="N3" s="4" t="s">
        <v>55</v>
      </c>
      <c r="O3" s="4" t="s">
        <v>379</v>
      </c>
      <c r="P3" s="4">
        <v>965</v>
      </c>
      <c r="Q3" s="4">
        <v>934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16">
        <f t="shared" ref="A4:A7" si="0">A3</f>
        <v>43581</v>
      </c>
      <c r="B4" s="6" t="s">
        <v>21</v>
      </c>
      <c r="C4" s="4" t="s">
        <v>108</v>
      </c>
      <c r="D4" s="6" t="s">
        <v>22</v>
      </c>
      <c r="E4" s="6" t="s">
        <v>299</v>
      </c>
      <c r="F4" s="6" t="s">
        <v>24</v>
      </c>
      <c r="G4" s="7">
        <v>71500</v>
      </c>
      <c r="H4" s="4" t="s">
        <v>111</v>
      </c>
      <c r="I4" s="4" t="s">
        <v>112</v>
      </c>
      <c r="J4" s="15">
        <v>0.70833333333333337</v>
      </c>
      <c r="K4" s="18">
        <v>0.72916666666666663</v>
      </c>
      <c r="L4" s="15">
        <v>0.48958333333333331</v>
      </c>
      <c r="M4" s="18">
        <v>0.51250000000000007</v>
      </c>
      <c r="N4" s="4" t="s">
        <v>381</v>
      </c>
      <c r="O4" s="4" t="s">
        <v>380</v>
      </c>
      <c r="P4" s="4">
        <v>848</v>
      </c>
      <c r="Q4" s="4">
        <v>961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16">
        <f t="shared" si="0"/>
        <v>43581</v>
      </c>
      <c r="B5" s="6" t="s">
        <v>21</v>
      </c>
      <c r="C5" s="4" t="s">
        <v>77</v>
      </c>
      <c r="D5" s="4" t="s">
        <v>22</v>
      </c>
      <c r="E5" s="4" t="s">
        <v>296</v>
      </c>
      <c r="F5" s="6" t="s">
        <v>24</v>
      </c>
      <c r="G5" s="7">
        <v>71500</v>
      </c>
      <c r="H5" s="4" t="s">
        <v>86</v>
      </c>
      <c r="I5" s="4" t="s">
        <v>92</v>
      </c>
      <c r="J5" s="15">
        <v>0.74652777777777779</v>
      </c>
      <c r="K5" s="18">
        <v>0.75138888888888899</v>
      </c>
      <c r="L5" s="15">
        <v>0.51736111111111105</v>
      </c>
      <c r="M5" s="18">
        <v>0.52847222222222223</v>
      </c>
      <c r="N5" s="4" t="s">
        <v>384</v>
      </c>
      <c r="O5" s="4" t="s">
        <v>55</v>
      </c>
      <c r="P5" s="4">
        <v>1080</v>
      </c>
      <c r="Q5" s="4">
        <v>941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16">
        <f t="shared" si="0"/>
        <v>43581</v>
      </c>
      <c r="B6" s="6" t="s">
        <v>21</v>
      </c>
      <c r="C6" s="4" t="s">
        <v>78</v>
      </c>
      <c r="D6" s="6" t="s">
        <v>22</v>
      </c>
      <c r="E6" s="6" t="s">
        <v>299</v>
      </c>
      <c r="F6" s="6" t="s">
        <v>24</v>
      </c>
      <c r="G6" s="17">
        <v>71500</v>
      </c>
      <c r="H6" s="4" t="s">
        <v>87</v>
      </c>
      <c r="I6" s="4" t="s">
        <v>93</v>
      </c>
      <c r="J6" s="15">
        <v>0.89930555555555547</v>
      </c>
      <c r="K6" s="18">
        <v>0.91666666666666663</v>
      </c>
      <c r="L6" s="15">
        <v>0.72916666666666663</v>
      </c>
      <c r="M6" s="18">
        <v>0.76527777777777783</v>
      </c>
      <c r="N6" s="4" t="s">
        <v>132</v>
      </c>
      <c r="O6" s="4" t="s">
        <v>385</v>
      </c>
      <c r="P6" s="4">
        <v>801</v>
      </c>
      <c r="Q6" s="4">
        <v>1041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16">
        <f t="shared" si="0"/>
        <v>43581</v>
      </c>
      <c r="B7" s="6" t="s">
        <v>21</v>
      </c>
      <c r="C7" s="4" t="s">
        <v>109</v>
      </c>
      <c r="D7" s="4" t="s">
        <v>22</v>
      </c>
      <c r="E7" s="4" t="s">
        <v>296</v>
      </c>
      <c r="F7" s="6" t="s">
        <v>24</v>
      </c>
      <c r="G7" s="7">
        <v>71500</v>
      </c>
      <c r="H7" s="4" t="s">
        <v>113</v>
      </c>
      <c r="I7" s="4" t="s">
        <v>114</v>
      </c>
      <c r="J7" s="15">
        <v>0.9375</v>
      </c>
      <c r="K7" s="18" t="s">
        <v>386</v>
      </c>
      <c r="L7" s="15">
        <v>0.76736111111111116</v>
      </c>
      <c r="M7" s="18">
        <v>0.78819444444444453</v>
      </c>
      <c r="N7" s="4" t="s">
        <v>191</v>
      </c>
      <c r="O7" s="4" t="s">
        <v>346</v>
      </c>
      <c r="P7" s="4">
        <v>818</v>
      </c>
      <c r="Q7" s="4">
        <v>876</v>
      </c>
      <c r="R7" s="6">
        <v>0</v>
      </c>
      <c r="S7" s="6">
        <v>0</v>
      </c>
      <c r="T7" s="6">
        <v>0</v>
      </c>
      <c r="U7" s="6">
        <v>0</v>
      </c>
    </row>
    <row r="8" spans="1:21" s="4" customFormat="1" ht="12.75" x14ac:dyDescent="0.2">
      <c r="A8" s="5">
        <v>43581</v>
      </c>
      <c r="B8" s="4" t="s">
        <v>372</v>
      </c>
      <c r="C8" s="4" t="s">
        <v>382</v>
      </c>
      <c r="D8" s="4" t="s">
        <v>370</v>
      </c>
      <c r="E8" s="4" t="s">
        <v>367</v>
      </c>
      <c r="F8" s="4" t="s">
        <v>294</v>
      </c>
      <c r="G8" s="32">
        <v>1524</v>
      </c>
      <c r="H8" s="4" t="s">
        <v>367</v>
      </c>
      <c r="I8" s="4" t="s">
        <v>367</v>
      </c>
      <c r="J8" s="15" t="s">
        <v>162</v>
      </c>
      <c r="K8" s="2" t="s">
        <v>162</v>
      </c>
      <c r="L8" s="15">
        <v>0.66666666666666663</v>
      </c>
      <c r="M8" s="18">
        <v>0.68888888888888899</v>
      </c>
      <c r="N8" s="3">
        <v>0</v>
      </c>
      <c r="O8" s="4" t="s">
        <v>383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D1" workbookViewId="0">
      <selection activeCell="M8" sqref="M8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43582</v>
      </c>
      <c r="B2" s="6" t="s">
        <v>21</v>
      </c>
      <c r="C2" s="6" t="s">
        <v>26</v>
      </c>
      <c r="D2" s="6" t="s">
        <v>22</v>
      </c>
      <c r="E2" s="6" t="s">
        <v>299</v>
      </c>
      <c r="F2" s="6" t="s">
        <v>24</v>
      </c>
      <c r="G2" s="7">
        <v>71500</v>
      </c>
      <c r="H2" s="6" t="s">
        <v>30</v>
      </c>
      <c r="I2" s="6" t="s">
        <v>34</v>
      </c>
      <c r="J2" s="8">
        <v>0.38541666666666669</v>
      </c>
      <c r="K2" s="2">
        <v>0.36805555555555558</v>
      </c>
      <c r="L2" s="8">
        <v>0.25694444444444448</v>
      </c>
      <c r="M2" s="9">
        <v>0.2590277777777778</v>
      </c>
      <c r="N2" s="3" t="s">
        <v>389</v>
      </c>
      <c r="O2" s="10" t="s">
        <v>387</v>
      </c>
      <c r="P2" s="10">
        <v>569</v>
      </c>
      <c r="Q2" s="10">
        <v>700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43582</v>
      </c>
      <c r="B3" s="6" t="s">
        <v>21</v>
      </c>
      <c r="C3" s="6" t="s">
        <v>27</v>
      </c>
      <c r="D3" s="6" t="s">
        <v>22</v>
      </c>
      <c r="E3" s="6" t="s">
        <v>296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0.4513888888888889</v>
      </c>
      <c r="L3" s="8">
        <v>0.28125</v>
      </c>
      <c r="M3" s="9">
        <v>0.2902777777777778</v>
      </c>
      <c r="N3" s="3" t="s">
        <v>390</v>
      </c>
      <c r="O3" s="10" t="s">
        <v>388</v>
      </c>
      <c r="P3" s="6">
        <v>983</v>
      </c>
      <c r="Q3" s="10">
        <v>787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43582</v>
      </c>
      <c r="B4" s="3" t="s">
        <v>21</v>
      </c>
      <c r="C4" s="3" t="s">
        <v>28</v>
      </c>
      <c r="D4" s="3" t="s">
        <v>22</v>
      </c>
      <c r="E4" s="6" t="s">
        <v>299</v>
      </c>
      <c r="F4" s="3" t="s">
        <v>24</v>
      </c>
      <c r="G4" s="7">
        <v>71500</v>
      </c>
      <c r="H4" s="3" t="s">
        <v>32</v>
      </c>
      <c r="I4" s="3" t="s">
        <v>36</v>
      </c>
      <c r="J4" s="11">
        <v>0.55555555555555558</v>
      </c>
      <c r="K4" s="2">
        <v>0.54652777777777783</v>
      </c>
      <c r="L4" s="11">
        <v>0.40625</v>
      </c>
      <c r="M4" s="2">
        <v>0.40486111111111112</v>
      </c>
      <c r="N4" s="3" t="s">
        <v>358</v>
      </c>
      <c r="O4" s="3" t="s">
        <v>391</v>
      </c>
      <c r="P4" s="3">
        <v>712</v>
      </c>
      <c r="Q4" s="3">
        <v>1118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43582</v>
      </c>
      <c r="B5" s="3" t="s">
        <v>21</v>
      </c>
      <c r="C5" s="3" t="s">
        <v>29</v>
      </c>
      <c r="D5" s="3" t="s">
        <v>22</v>
      </c>
      <c r="E5" s="6" t="s">
        <v>296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0.68958333333333333</v>
      </c>
      <c r="L5" s="12">
        <v>0.49305555555555558</v>
      </c>
      <c r="M5" s="13">
        <v>0.5083333333333333</v>
      </c>
      <c r="N5" s="3" t="s">
        <v>392</v>
      </c>
      <c r="O5" s="3" t="s">
        <v>346</v>
      </c>
      <c r="P5" s="14">
        <v>773</v>
      </c>
      <c r="Q5" s="3">
        <v>1032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43582</v>
      </c>
      <c r="B6" s="4" t="s">
        <v>21</v>
      </c>
      <c r="C6" s="4" t="s">
        <v>58</v>
      </c>
      <c r="D6" s="4" t="s">
        <v>22</v>
      </c>
      <c r="E6" s="6" t="s">
        <v>299</v>
      </c>
      <c r="F6" s="4" t="s">
        <v>24</v>
      </c>
      <c r="G6" s="7">
        <v>71500</v>
      </c>
      <c r="H6" s="4" t="s">
        <v>59</v>
      </c>
      <c r="I6" s="4" t="s">
        <v>60</v>
      </c>
      <c r="J6" s="15">
        <v>0.74652777777777779</v>
      </c>
      <c r="K6" s="2">
        <v>0.73055555555555562</v>
      </c>
      <c r="L6" s="15">
        <v>0.58680555555555558</v>
      </c>
      <c r="M6" s="18">
        <v>0.59027777777777779</v>
      </c>
      <c r="N6" s="3" t="s">
        <v>359</v>
      </c>
      <c r="O6" s="4" t="s">
        <v>384</v>
      </c>
      <c r="P6" s="4">
        <v>991</v>
      </c>
      <c r="Q6" s="4">
        <v>1073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5">
        <v>43582</v>
      </c>
      <c r="B7" s="4" t="s">
        <v>21</v>
      </c>
      <c r="C7" s="4" t="s">
        <v>64</v>
      </c>
      <c r="D7" s="4" t="s">
        <v>22</v>
      </c>
      <c r="E7" s="6" t="s">
        <v>296</v>
      </c>
      <c r="F7" s="4" t="s">
        <v>24</v>
      </c>
      <c r="G7" s="7">
        <v>71500</v>
      </c>
      <c r="H7" s="4" t="s">
        <v>66</v>
      </c>
      <c r="I7" s="4" t="s">
        <v>69</v>
      </c>
      <c r="J7" s="15">
        <v>0.94097222222222221</v>
      </c>
      <c r="K7" s="2">
        <v>0.93541666666666667</v>
      </c>
      <c r="L7" s="15">
        <v>0.72222222222222221</v>
      </c>
      <c r="M7" s="18">
        <v>0.73263888888888884</v>
      </c>
      <c r="N7" s="3" t="s">
        <v>395</v>
      </c>
      <c r="O7" s="4" t="s">
        <v>328</v>
      </c>
      <c r="P7" s="4">
        <v>860</v>
      </c>
      <c r="Q7" s="4">
        <v>1025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5">
        <v>43582</v>
      </c>
      <c r="B8" s="4" t="s">
        <v>21</v>
      </c>
      <c r="C8" s="4" t="s">
        <v>65</v>
      </c>
      <c r="D8" s="4" t="s">
        <v>22</v>
      </c>
      <c r="E8" s="6" t="s">
        <v>299</v>
      </c>
      <c r="F8" s="4" t="s">
        <v>24</v>
      </c>
      <c r="G8" s="7">
        <v>71500</v>
      </c>
      <c r="H8" s="4" t="s">
        <v>67</v>
      </c>
      <c r="I8" s="4" t="s">
        <v>68</v>
      </c>
      <c r="J8" s="15">
        <v>0.94444444444444453</v>
      </c>
      <c r="K8" s="2">
        <v>0.95486111111111116</v>
      </c>
      <c r="L8" s="15">
        <v>0.76736111111111116</v>
      </c>
      <c r="M8" s="18">
        <v>0.79861111111111116</v>
      </c>
      <c r="N8" s="3" t="s">
        <v>396</v>
      </c>
      <c r="O8" s="4" t="s">
        <v>394</v>
      </c>
      <c r="P8" s="4">
        <v>825</v>
      </c>
      <c r="Q8" s="4">
        <v>745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16">
        <v>43582</v>
      </c>
      <c r="B9" s="4" t="s">
        <v>393</v>
      </c>
      <c r="C9" s="4" t="s">
        <v>330</v>
      </c>
      <c r="D9" s="4" t="s">
        <v>369</v>
      </c>
      <c r="E9" s="4" t="s">
        <v>397</v>
      </c>
      <c r="F9" s="4" t="s">
        <v>398</v>
      </c>
      <c r="G9" s="4">
        <v>4743</v>
      </c>
      <c r="H9" s="4" t="s">
        <v>368</v>
      </c>
      <c r="I9" s="4" t="s">
        <v>368</v>
      </c>
      <c r="J9" s="15" t="s">
        <v>162</v>
      </c>
      <c r="K9" s="2" t="s">
        <v>162</v>
      </c>
      <c r="L9" s="15">
        <v>0.51041666666666663</v>
      </c>
      <c r="M9" s="18">
        <v>0.50694444444444442</v>
      </c>
      <c r="N9" s="3">
        <v>0</v>
      </c>
      <c r="O9" s="4" t="s">
        <v>383</v>
      </c>
      <c r="P9" s="4">
        <v>0</v>
      </c>
      <c r="Q9" s="4">
        <v>0</v>
      </c>
      <c r="R9" s="4">
        <v>0</v>
      </c>
      <c r="S9" s="4">
        <v>0</v>
      </c>
    </row>
    <row r="10" spans="1:21" x14ac:dyDescent="0.2">
      <c r="A10" s="16"/>
      <c r="J10" s="18"/>
      <c r="L10" s="33"/>
      <c r="M10" s="33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7" sqref="K7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5">
        <v>43583</v>
      </c>
      <c r="B2" s="1" t="s">
        <v>21</v>
      </c>
      <c r="C2" s="1" t="s">
        <v>74</v>
      </c>
      <c r="D2" s="1" t="str">
        <f>D3</f>
        <v>A320</v>
      </c>
      <c r="E2" s="1" t="s">
        <v>296</v>
      </c>
      <c r="F2" s="1" t="s">
        <v>24</v>
      </c>
      <c r="G2" s="26">
        <f>G3</f>
        <v>71500</v>
      </c>
      <c r="H2" s="1" t="s">
        <v>83</v>
      </c>
      <c r="I2" s="1" t="s">
        <v>89</v>
      </c>
      <c r="J2" s="27">
        <v>0.45833333333333331</v>
      </c>
      <c r="K2" s="28">
        <v>0.45833333333333331</v>
      </c>
      <c r="L2" s="27">
        <v>0.25694444444444448</v>
      </c>
      <c r="M2" s="28">
        <v>0.27916666666666667</v>
      </c>
      <c r="N2" s="3" t="s">
        <v>401</v>
      </c>
      <c r="O2" s="1" t="s">
        <v>102</v>
      </c>
      <c r="P2" s="1">
        <v>1009</v>
      </c>
      <c r="Q2" s="1">
        <v>1001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25">
        <f t="shared" ref="A3:A7" si="0">A2</f>
        <v>43583</v>
      </c>
      <c r="B3" s="1" t="s">
        <v>21</v>
      </c>
      <c r="C3" s="1" t="s">
        <v>75</v>
      </c>
      <c r="D3" s="1" t="str">
        <f>D4</f>
        <v>A320</v>
      </c>
      <c r="E3" s="1" t="s">
        <v>299</v>
      </c>
      <c r="F3" s="1" t="s">
        <v>24</v>
      </c>
      <c r="G3" s="26">
        <v>71500</v>
      </c>
      <c r="H3" s="1" t="s">
        <v>84</v>
      </c>
      <c r="I3" s="1" t="s">
        <v>90</v>
      </c>
      <c r="J3" s="27">
        <v>0.4861111111111111</v>
      </c>
      <c r="K3" s="2">
        <v>0.48472222222222222</v>
      </c>
      <c r="L3" s="27">
        <v>0.28125</v>
      </c>
      <c r="M3" s="28">
        <v>0.29722222222222222</v>
      </c>
      <c r="N3" s="3" t="s">
        <v>402</v>
      </c>
      <c r="O3" s="1" t="s">
        <v>399</v>
      </c>
      <c r="P3" s="1">
        <v>1036</v>
      </c>
      <c r="Q3" s="1">
        <v>824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">
      <c r="A4" s="5">
        <f t="shared" si="0"/>
        <v>43583</v>
      </c>
      <c r="B4" s="6" t="s">
        <v>21</v>
      </c>
      <c r="C4" s="6" t="s">
        <v>76</v>
      </c>
      <c r="D4" s="6" t="s">
        <v>22</v>
      </c>
      <c r="E4" s="1" t="s">
        <v>296</v>
      </c>
      <c r="F4" s="6" t="s">
        <v>24</v>
      </c>
      <c r="G4" s="7">
        <v>71500</v>
      </c>
      <c r="H4" s="6" t="s">
        <v>85</v>
      </c>
      <c r="I4" s="6" t="s">
        <v>91</v>
      </c>
      <c r="J4" s="8">
        <v>0.72569444444444453</v>
      </c>
      <c r="K4" s="2">
        <v>0.7284722222222223</v>
      </c>
      <c r="L4" s="8">
        <v>0.48958333333333331</v>
      </c>
      <c r="M4" s="9">
        <v>0.5</v>
      </c>
      <c r="N4" s="3" t="s">
        <v>403</v>
      </c>
      <c r="O4" s="10" t="s">
        <v>400</v>
      </c>
      <c r="P4" s="10">
        <v>850</v>
      </c>
      <c r="Q4" s="10">
        <v>1114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f t="shared" si="0"/>
        <v>43583</v>
      </c>
      <c r="B5" s="6" t="s">
        <v>21</v>
      </c>
      <c r="C5" s="6" t="s">
        <v>77</v>
      </c>
      <c r="D5" s="6" t="s">
        <v>22</v>
      </c>
      <c r="E5" s="1" t="s">
        <v>299</v>
      </c>
      <c r="F5" s="6" t="s">
        <v>24</v>
      </c>
      <c r="G5" s="7">
        <f>G4</f>
        <v>71500</v>
      </c>
      <c r="H5" s="6" t="s">
        <v>86</v>
      </c>
      <c r="I5" s="6" t="s">
        <v>92</v>
      </c>
      <c r="J5" s="8">
        <v>0.74652777777777779</v>
      </c>
      <c r="K5" s="2">
        <v>0.75416666666666676</v>
      </c>
      <c r="L5" s="8">
        <v>0.51736111111111105</v>
      </c>
      <c r="M5" s="9">
        <v>0.53333333333333333</v>
      </c>
      <c r="N5" s="3" t="s">
        <v>404</v>
      </c>
      <c r="O5" s="10" t="s">
        <v>57</v>
      </c>
      <c r="P5" s="6">
        <v>1262</v>
      </c>
      <c r="Q5" s="10">
        <v>1303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>
        <f t="shared" si="0"/>
        <v>43583</v>
      </c>
      <c r="B6" s="6" t="s">
        <v>21</v>
      </c>
      <c r="C6" s="3" t="s">
        <v>78</v>
      </c>
      <c r="D6" s="6" t="s">
        <v>22</v>
      </c>
      <c r="E6" s="1" t="s">
        <v>296</v>
      </c>
      <c r="F6" s="3" t="s">
        <v>24</v>
      </c>
      <c r="G6" s="7">
        <f>G5</f>
        <v>71500</v>
      </c>
      <c r="H6" s="3" t="s">
        <v>87</v>
      </c>
      <c r="I6" s="3" t="s">
        <v>93</v>
      </c>
      <c r="J6" s="11">
        <v>0.91666666666666663</v>
      </c>
      <c r="K6" s="2">
        <v>0.92638888888888893</v>
      </c>
      <c r="L6" s="11">
        <v>0.74652777777777779</v>
      </c>
      <c r="M6" s="2">
        <v>0.77083333333333337</v>
      </c>
      <c r="N6" s="3" t="s">
        <v>407</v>
      </c>
      <c r="O6" s="3" t="s">
        <v>405</v>
      </c>
      <c r="P6" s="3">
        <v>1004</v>
      </c>
      <c r="Q6" s="3">
        <v>1047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5">
        <f t="shared" si="0"/>
        <v>43583</v>
      </c>
      <c r="B7" s="6" t="s">
        <v>21</v>
      </c>
      <c r="C7" s="3" t="s">
        <v>79</v>
      </c>
      <c r="D7" s="6" t="s">
        <v>22</v>
      </c>
      <c r="E7" s="1" t="s">
        <v>299</v>
      </c>
      <c r="F7" s="3" t="s">
        <v>24</v>
      </c>
      <c r="G7" s="7">
        <f>G6</f>
        <v>71500</v>
      </c>
      <c r="H7" s="3" t="s">
        <v>88</v>
      </c>
      <c r="I7" s="3" t="s">
        <v>94</v>
      </c>
      <c r="J7" s="12">
        <v>0.95833333333333337</v>
      </c>
      <c r="K7" s="2">
        <v>0.98402777777777783</v>
      </c>
      <c r="L7" s="12">
        <v>0.76736111111111116</v>
      </c>
      <c r="M7" s="13">
        <v>0.80069444444444438</v>
      </c>
      <c r="N7" s="3" t="s">
        <v>408</v>
      </c>
      <c r="O7" s="3" t="s">
        <v>406</v>
      </c>
      <c r="P7" s="14">
        <v>1212</v>
      </c>
      <c r="Q7" s="3">
        <v>1238</v>
      </c>
      <c r="R7" s="6">
        <v>0</v>
      </c>
      <c r="S7" s="6">
        <v>0</v>
      </c>
      <c r="T7" s="6">
        <v>0</v>
      </c>
      <c r="U7" s="6">
        <v>0</v>
      </c>
    </row>
    <row r="8" spans="1:21" x14ac:dyDescent="0.2">
      <c r="E8" s="1"/>
      <c r="G8" s="17"/>
      <c r="J8" s="15"/>
      <c r="L8" s="15"/>
      <c r="M8" s="18"/>
    </row>
    <row r="9" spans="1:21" x14ac:dyDescent="0.2">
      <c r="A9" s="5"/>
      <c r="G9" s="17"/>
      <c r="J9" s="15"/>
      <c r="L9" s="15"/>
      <c r="M9" s="18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K8" sqref="K8"/>
    </sheetView>
  </sheetViews>
  <sheetFormatPr defaultRowHeight="15" x14ac:dyDescent="0.25"/>
  <cols>
    <col min="2" max="2" width="16.42578125" customWidth="1"/>
    <col min="3" max="3" width="13.7109375" customWidth="1"/>
    <col min="6" max="6" width="29.28515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43584</v>
      </c>
      <c r="B2" s="6" t="s">
        <v>21</v>
      </c>
      <c r="C2" s="6" t="s">
        <v>74</v>
      </c>
      <c r="D2" s="6" t="s">
        <v>22</v>
      </c>
      <c r="E2" s="6" t="s">
        <v>266</v>
      </c>
      <c r="F2" s="6" t="s">
        <v>24</v>
      </c>
      <c r="G2" s="7">
        <v>71500</v>
      </c>
      <c r="H2" s="6" t="s">
        <v>83</v>
      </c>
      <c r="I2" s="6" t="s">
        <v>89</v>
      </c>
      <c r="J2" s="8">
        <v>0.45833333333333331</v>
      </c>
      <c r="K2" s="2">
        <v>0.45555555555555555</v>
      </c>
      <c r="L2" s="8">
        <v>0.25694444444444448</v>
      </c>
      <c r="M2" s="9">
        <v>0.26111111111111113</v>
      </c>
      <c r="N2" s="3" t="s">
        <v>257</v>
      </c>
      <c r="O2" s="10" t="s">
        <v>206</v>
      </c>
      <c r="P2" s="10">
        <v>1166</v>
      </c>
      <c r="Q2" s="10">
        <v>782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43584</v>
      </c>
      <c r="B3" s="6" t="s">
        <v>21</v>
      </c>
      <c r="C3" s="6" t="s">
        <v>75</v>
      </c>
      <c r="D3" s="6" t="s">
        <v>22</v>
      </c>
      <c r="E3" s="6" t="s">
        <v>326</v>
      </c>
      <c r="F3" s="6" t="s">
        <v>24</v>
      </c>
      <c r="G3" s="7">
        <v>71500</v>
      </c>
      <c r="H3" s="6" t="s">
        <v>84</v>
      </c>
      <c r="I3" s="6" t="s">
        <v>90</v>
      </c>
      <c r="J3" s="8">
        <v>0.4861111111111111</v>
      </c>
      <c r="K3" s="2">
        <v>0.47291666666666665</v>
      </c>
      <c r="L3" s="8">
        <v>0.28125</v>
      </c>
      <c r="M3" s="9">
        <v>0.27986111111111112</v>
      </c>
      <c r="N3" s="3" t="s">
        <v>410</v>
      </c>
      <c r="O3" s="10" t="s">
        <v>191</v>
      </c>
      <c r="P3" s="6">
        <v>800</v>
      </c>
      <c r="Q3" s="10">
        <v>629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43584</v>
      </c>
      <c r="B4" s="3" t="s">
        <v>21</v>
      </c>
      <c r="C4" s="3" t="s">
        <v>108</v>
      </c>
      <c r="D4" s="3" t="s">
        <v>22</v>
      </c>
      <c r="E4" s="6" t="s">
        <v>409</v>
      </c>
      <c r="F4" s="3" t="s">
        <v>24</v>
      </c>
      <c r="G4" s="7">
        <v>71500</v>
      </c>
      <c r="H4" s="3" t="s">
        <v>111</v>
      </c>
      <c r="I4" s="3" t="s">
        <v>112</v>
      </c>
      <c r="J4" s="11">
        <v>0.70833333333333337</v>
      </c>
      <c r="K4" s="2">
        <v>0.70000000000000007</v>
      </c>
      <c r="L4" s="11">
        <v>0.48958333333333331</v>
      </c>
      <c r="M4" s="2">
        <v>0.49236111111111108</v>
      </c>
      <c r="N4" s="3" t="s">
        <v>100</v>
      </c>
      <c r="O4" s="3" t="s">
        <v>411</v>
      </c>
      <c r="P4" s="3">
        <v>992</v>
      </c>
      <c r="Q4" s="10">
        <v>900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43584</v>
      </c>
      <c r="B5" s="3" t="s">
        <v>21</v>
      </c>
      <c r="C5" s="3" t="s">
        <v>77</v>
      </c>
      <c r="D5" s="3" t="s">
        <v>22</v>
      </c>
      <c r="E5" s="6" t="s">
        <v>326</v>
      </c>
      <c r="F5" s="3" t="s">
        <v>24</v>
      </c>
      <c r="G5" s="7">
        <v>71500</v>
      </c>
      <c r="H5" s="3" t="s">
        <v>86</v>
      </c>
      <c r="I5" s="3" t="s">
        <v>92</v>
      </c>
      <c r="J5" s="12">
        <v>0.74652777777777779</v>
      </c>
      <c r="K5" s="2">
        <v>0.7368055555555556</v>
      </c>
      <c r="L5" s="12">
        <v>0.51736111111111105</v>
      </c>
      <c r="M5" s="13">
        <v>0.51874999999999993</v>
      </c>
      <c r="N5" s="3" t="s">
        <v>39</v>
      </c>
      <c r="O5" s="3" t="s">
        <v>412</v>
      </c>
      <c r="P5" s="14">
        <v>1164</v>
      </c>
      <c r="Q5" s="10">
        <v>696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43584</v>
      </c>
      <c r="B6" s="3" t="s">
        <v>21</v>
      </c>
      <c r="C6" s="3" t="s">
        <v>78</v>
      </c>
      <c r="D6" s="3" t="s">
        <v>22</v>
      </c>
      <c r="E6" s="6" t="s">
        <v>409</v>
      </c>
      <c r="F6" s="19" t="s">
        <v>24</v>
      </c>
      <c r="G6" s="7">
        <v>71500</v>
      </c>
      <c r="H6" s="6" t="s">
        <v>87</v>
      </c>
      <c r="I6" s="6" t="s">
        <v>93</v>
      </c>
      <c r="J6" s="15">
        <v>0.89930555555555547</v>
      </c>
      <c r="K6" s="2">
        <v>0.8847222222222223</v>
      </c>
      <c r="L6" s="15">
        <v>0.72916666666666663</v>
      </c>
      <c r="M6" s="18">
        <v>0.73263888888888884</v>
      </c>
      <c r="N6" s="3" t="s">
        <v>421</v>
      </c>
      <c r="O6" s="3" t="s">
        <v>419</v>
      </c>
      <c r="P6" s="3">
        <v>761</v>
      </c>
      <c r="Q6" s="10">
        <v>847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16">
        <v>43584</v>
      </c>
      <c r="B7" s="4" t="s">
        <v>21</v>
      </c>
      <c r="C7" s="4" t="s">
        <v>109</v>
      </c>
      <c r="D7" s="4" t="s">
        <v>22</v>
      </c>
      <c r="E7" s="4" t="s">
        <v>326</v>
      </c>
      <c r="F7" s="4" t="s">
        <v>24</v>
      </c>
      <c r="G7" s="17">
        <v>71500</v>
      </c>
      <c r="H7" s="4" t="s">
        <v>113</v>
      </c>
      <c r="I7" s="4" t="s">
        <v>156</v>
      </c>
      <c r="J7" s="15">
        <v>0.9375</v>
      </c>
      <c r="K7" s="2">
        <v>0.92361111111111116</v>
      </c>
      <c r="L7" s="15">
        <v>0.76736111111111116</v>
      </c>
      <c r="M7" s="18">
        <v>0.77638888888888891</v>
      </c>
      <c r="N7" s="3" t="s">
        <v>420</v>
      </c>
      <c r="O7" s="4" t="s">
        <v>312</v>
      </c>
      <c r="P7" s="4">
        <v>629</v>
      </c>
      <c r="Q7" s="10">
        <v>929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29">
        <f>A7</f>
        <v>43584</v>
      </c>
      <c r="B8" s="3" t="s">
        <v>413</v>
      </c>
      <c r="C8" s="30" t="s">
        <v>414</v>
      </c>
      <c r="D8" s="3" t="s">
        <v>415</v>
      </c>
      <c r="E8" s="6" t="s">
        <v>416</v>
      </c>
      <c r="F8" s="3" t="s">
        <v>417</v>
      </c>
      <c r="G8" s="7">
        <v>5700</v>
      </c>
      <c r="H8" s="6" t="s">
        <v>50</v>
      </c>
      <c r="I8" s="6" t="s">
        <v>50</v>
      </c>
      <c r="J8" s="12">
        <v>0.63194444444444442</v>
      </c>
      <c r="K8" s="9">
        <v>0.64097222222222217</v>
      </c>
      <c r="L8" s="12">
        <v>0.67361111111111116</v>
      </c>
      <c r="M8" s="23">
        <v>0.67222222222222217</v>
      </c>
      <c r="N8" s="23" t="s">
        <v>418</v>
      </c>
      <c r="O8" s="23" t="s">
        <v>289</v>
      </c>
      <c r="P8" s="30">
        <v>0</v>
      </c>
      <c r="Q8" s="10">
        <v>0</v>
      </c>
      <c r="R8" s="3">
        <v>0</v>
      </c>
      <c r="S8" s="3">
        <v>0</v>
      </c>
      <c r="T8" s="3">
        <v>0</v>
      </c>
      <c r="U8" s="3">
        <v>0</v>
      </c>
    </row>
    <row r="9" spans="1:21" s="31" customFormat="1" ht="12.75" x14ac:dyDescent="0.2">
      <c r="A9" s="16"/>
      <c r="B9" s="3"/>
      <c r="C9" s="3"/>
      <c r="D9" s="3"/>
      <c r="E9" s="6"/>
      <c r="F9" s="3"/>
      <c r="G9" s="7"/>
      <c r="H9" s="6"/>
      <c r="I9" s="6"/>
      <c r="J9" s="15"/>
      <c r="K9" s="18"/>
      <c r="L9" s="15"/>
      <c r="M9" s="18"/>
      <c r="N9" s="4"/>
      <c r="O9" s="4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topLeftCell="G1" workbookViewId="0">
      <selection activeCell="L7" sqref="L7"/>
    </sheetView>
  </sheetViews>
  <sheetFormatPr defaultRowHeight="15" x14ac:dyDescent="0.25"/>
  <cols>
    <col min="2" max="2" width="16.42578125" customWidth="1"/>
    <col min="3" max="3" width="13.7109375" customWidth="1"/>
    <col min="6" max="6" width="29.28515625" customWidth="1"/>
    <col min="10" max="10" width="12.28515625" customWidth="1"/>
    <col min="11" max="11" width="10.28515625" customWidth="1"/>
    <col min="12" max="12" width="10.5703125" customWidth="1"/>
    <col min="13" max="13" width="12" customWidth="1"/>
    <col min="14" max="14" width="18.28515625" customWidth="1"/>
    <col min="15" max="15" width="18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43585</v>
      </c>
      <c r="B2" s="6" t="s">
        <v>21</v>
      </c>
      <c r="C2" s="6" t="s">
        <v>26</v>
      </c>
      <c r="D2" s="6" t="s">
        <v>22</v>
      </c>
      <c r="E2" s="6" t="s">
        <v>409</v>
      </c>
      <c r="F2" s="6" t="s">
        <v>24</v>
      </c>
      <c r="G2" s="7">
        <v>71500</v>
      </c>
      <c r="H2" s="6" t="s">
        <v>30</v>
      </c>
      <c r="I2" s="6" t="s">
        <v>34</v>
      </c>
      <c r="J2" s="8">
        <v>0.38541666666666669</v>
      </c>
      <c r="K2" s="2">
        <v>0.3666666666666667</v>
      </c>
      <c r="L2" s="8">
        <v>0.25694444444444448</v>
      </c>
      <c r="M2" s="9">
        <v>0.2638888888888889</v>
      </c>
      <c r="N2" s="3" t="s">
        <v>422</v>
      </c>
      <c r="O2" s="10" t="s">
        <v>408</v>
      </c>
      <c r="P2" s="10">
        <v>467</v>
      </c>
      <c r="Q2" s="10">
        <v>473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43585</v>
      </c>
      <c r="B3" s="6" t="s">
        <v>21</v>
      </c>
      <c r="C3" s="6" t="s">
        <v>27</v>
      </c>
      <c r="D3" s="6" t="s">
        <v>22</v>
      </c>
      <c r="E3" s="6" t="s">
        <v>326</v>
      </c>
      <c r="F3" s="6" t="s">
        <v>24</v>
      </c>
      <c r="G3" s="7">
        <v>71500</v>
      </c>
      <c r="H3" s="6" t="s">
        <v>31</v>
      </c>
      <c r="I3" s="6" t="s">
        <v>35</v>
      </c>
      <c r="J3" s="8">
        <v>0.46180555555555558</v>
      </c>
      <c r="K3" s="2">
        <v>0.46666666666666662</v>
      </c>
      <c r="L3" s="8">
        <v>0.28125</v>
      </c>
      <c r="M3" s="9">
        <v>0.29652777777777778</v>
      </c>
      <c r="N3" s="3" t="s">
        <v>424</v>
      </c>
      <c r="O3" s="10" t="s">
        <v>146</v>
      </c>
      <c r="P3" s="6">
        <v>804</v>
      </c>
      <c r="Q3" s="10">
        <v>945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43585</v>
      </c>
      <c r="B4" s="6" t="s">
        <v>21</v>
      </c>
      <c r="C4" s="3" t="s">
        <v>28</v>
      </c>
      <c r="D4" s="3" t="s">
        <v>22</v>
      </c>
      <c r="E4" s="6" t="s">
        <v>409</v>
      </c>
      <c r="F4" s="3" t="s">
        <v>24</v>
      </c>
      <c r="G4" s="7">
        <v>71500</v>
      </c>
      <c r="H4" s="3" t="s">
        <v>32</v>
      </c>
      <c r="I4" s="3" t="s">
        <v>36</v>
      </c>
      <c r="J4" s="11">
        <v>0.55555555555555558</v>
      </c>
      <c r="K4" s="2">
        <v>0.55138888888888882</v>
      </c>
      <c r="L4" s="11">
        <v>0.40625</v>
      </c>
      <c r="M4" s="2">
        <v>0.40902777777777777</v>
      </c>
      <c r="N4" s="3" t="s">
        <v>139</v>
      </c>
      <c r="O4" s="3" t="s">
        <v>423</v>
      </c>
      <c r="P4" s="3">
        <v>948</v>
      </c>
      <c r="Q4" s="10">
        <v>841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43585</v>
      </c>
      <c r="B5" s="6" t="s">
        <v>21</v>
      </c>
      <c r="C5" s="3" t="s">
        <v>29</v>
      </c>
      <c r="D5" s="3" t="s">
        <v>22</v>
      </c>
      <c r="E5" s="6" t="s">
        <v>326</v>
      </c>
      <c r="F5" s="3" t="s">
        <v>24</v>
      </c>
      <c r="G5" s="7">
        <v>71500</v>
      </c>
      <c r="H5" s="3" t="s">
        <v>33</v>
      </c>
      <c r="I5" s="3" t="s">
        <v>37</v>
      </c>
      <c r="J5" s="12">
        <v>0.70138888888888884</v>
      </c>
      <c r="K5" s="2">
        <v>0.6958333333333333</v>
      </c>
      <c r="L5" s="12">
        <v>0.49305555555555558</v>
      </c>
      <c r="M5" s="13">
        <v>0.50486111111111109</v>
      </c>
      <c r="N5" s="3" t="s">
        <v>214</v>
      </c>
      <c r="O5" s="3" t="s">
        <v>189</v>
      </c>
      <c r="P5" s="14">
        <v>810</v>
      </c>
      <c r="Q5" s="10">
        <v>997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43585</v>
      </c>
      <c r="B6" s="6" t="s">
        <v>21</v>
      </c>
      <c r="C6" s="3" t="s">
        <v>58</v>
      </c>
      <c r="D6" s="3" t="s">
        <v>22</v>
      </c>
      <c r="E6" s="6" t="s">
        <v>409</v>
      </c>
      <c r="F6" s="19" t="s">
        <v>24</v>
      </c>
      <c r="G6" s="7">
        <v>71500</v>
      </c>
      <c r="H6" s="6" t="s">
        <v>59</v>
      </c>
      <c r="I6" s="6" t="s">
        <v>60</v>
      </c>
      <c r="J6" s="15">
        <v>0.74652777777777779</v>
      </c>
      <c r="K6" s="2">
        <v>0.73263888888888884</v>
      </c>
      <c r="L6" s="15">
        <v>0.58680555555555558</v>
      </c>
      <c r="M6" s="18">
        <v>0.59027777777777779</v>
      </c>
      <c r="N6" s="3" t="s">
        <v>126</v>
      </c>
      <c r="O6" s="3" t="s">
        <v>302</v>
      </c>
      <c r="P6" s="3">
        <v>682</v>
      </c>
      <c r="Q6" s="10">
        <v>1059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43585</v>
      </c>
      <c r="B7" s="6" t="s">
        <v>21</v>
      </c>
      <c r="C7" s="4" t="s">
        <v>64</v>
      </c>
      <c r="D7" s="4" t="s">
        <v>22</v>
      </c>
      <c r="E7" s="4" t="s">
        <v>326</v>
      </c>
      <c r="F7" s="4" t="s">
        <v>24</v>
      </c>
      <c r="G7" s="17">
        <v>71500</v>
      </c>
      <c r="H7" s="4" t="s">
        <v>66</v>
      </c>
      <c r="I7" s="4" t="s">
        <v>69</v>
      </c>
      <c r="J7" s="15">
        <v>0.94097222222222221</v>
      </c>
      <c r="K7" s="2">
        <v>0.92638888888888893</v>
      </c>
      <c r="L7" s="15">
        <v>0.72222222222222221</v>
      </c>
      <c r="M7" s="18">
        <v>0.72916666666666663</v>
      </c>
      <c r="N7" s="23" t="s">
        <v>428</v>
      </c>
      <c r="O7" s="4" t="s">
        <v>427</v>
      </c>
      <c r="P7" s="4">
        <v>726</v>
      </c>
      <c r="Q7" s="10">
        <v>876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5">
        <v>43585</v>
      </c>
      <c r="B8" s="3" t="s">
        <v>21</v>
      </c>
      <c r="C8" s="30" t="s">
        <v>65</v>
      </c>
      <c r="D8" s="3" t="s">
        <v>22</v>
      </c>
      <c r="E8" s="6" t="s">
        <v>409</v>
      </c>
      <c r="F8" s="3" t="s">
        <v>24</v>
      </c>
      <c r="G8" s="7">
        <v>71500</v>
      </c>
      <c r="H8" s="6" t="s">
        <v>67</v>
      </c>
      <c r="I8" s="6" t="s">
        <v>68</v>
      </c>
      <c r="J8" s="12">
        <v>0.94444444444444453</v>
      </c>
      <c r="K8" s="9">
        <v>0.93125000000000002</v>
      </c>
      <c r="L8" s="12">
        <v>0.76736111111111116</v>
      </c>
      <c r="M8" s="23">
        <v>0.76388888888888884</v>
      </c>
      <c r="N8" s="23" t="s">
        <v>426</v>
      </c>
      <c r="O8" s="23" t="s">
        <v>425</v>
      </c>
      <c r="P8" s="30">
        <v>947</v>
      </c>
      <c r="Q8" s="10">
        <v>695</v>
      </c>
      <c r="R8" s="3">
        <v>0</v>
      </c>
      <c r="S8" s="3">
        <v>0</v>
      </c>
      <c r="T8" s="3">
        <v>0</v>
      </c>
      <c r="U8" s="3">
        <v>0</v>
      </c>
    </row>
    <row r="9" spans="1:21" s="31" customFormat="1" ht="12.75" x14ac:dyDescent="0.2">
      <c r="A9" s="16"/>
      <c r="B9" s="3"/>
      <c r="C9" s="3"/>
      <c r="D9" s="3"/>
      <c r="E9" s="6"/>
      <c r="F9" s="3"/>
      <c r="G9" s="7"/>
      <c r="H9" s="6"/>
      <c r="I9" s="6"/>
      <c r="J9" s="15"/>
      <c r="K9" s="18"/>
      <c r="L9" s="15"/>
      <c r="M9" s="18"/>
      <c r="N9" s="4"/>
      <c r="O9" s="4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2019-02-01T03:35:18Z</dcterms:created>
  <dcterms:modified xsi:type="dcterms:W3CDTF">2019-04-30T21:00:17Z</dcterms:modified>
</cp:coreProperties>
</file>