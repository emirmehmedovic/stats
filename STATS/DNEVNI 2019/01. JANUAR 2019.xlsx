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75" windowWidth="18195" windowHeight="11820" firstSheet="11" activeTab="30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1" r:id="rId30"/>
    <sheet name="31" sheetId="32" r:id="rId31"/>
  </sheets>
  <calcPr calcId="145621"/>
</workbook>
</file>

<file path=xl/calcChain.xml><?xml version="1.0" encoding="utf-8"?>
<calcChain xmlns="http://schemas.openxmlformats.org/spreadsheetml/2006/main">
  <c r="A4" i="29" l="1"/>
  <c r="A5" i="29" s="1"/>
  <c r="A3" i="28" l="1"/>
  <c r="A4" i="28" s="1"/>
  <c r="A5" i="28" s="1"/>
  <c r="A3" i="27" l="1"/>
  <c r="A4" i="27" s="1"/>
  <c r="A5" i="27" s="1"/>
  <c r="A6" i="26" l="1"/>
  <c r="A3" i="26" l="1"/>
  <c r="A4" i="26" s="1"/>
  <c r="A5" i="26" s="1"/>
  <c r="A3" i="25" l="1"/>
  <c r="A4" i="25" s="1"/>
  <c r="A5" i="25" s="1"/>
  <c r="A4" i="22" l="1"/>
  <c r="A5" i="22" s="1"/>
  <c r="A3" i="21" l="1"/>
  <c r="A4" i="21" s="1"/>
  <c r="A5" i="21" s="1"/>
  <c r="A3" i="20" l="1"/>
  <c r="A4" i="20" s="1"/>
  <c r="A5" i="20" s="1"/>
  <c r="A6" i="19" l="1"/>
  <c r="A3" i="19" l="1"/>
  <c r="A4" i="19" s="1"/>
  <c r="A5" i="19" s="1"/>
  <c r="A3" i="18" l="1"/>
  <c r="A4" i="18" s="1"/>
  <c r="A5" i="18" l="1"/>
  <c r="D2" i="17"/>
  <c r="A4" i="15" l="1"/>
  <c r="A5" i="15" s="1"/>
  <c r="A7" i="14" l="1"/>
  <c r="A6" i="14"/>
  <c r="A5" i="14"/>
  <c r="A3" i="14"/>
  <c r="A4" i="14" s="1"/>
  <c r="N6" i="13" l="1"/>
  <c r="K6" i="13"/>
  <c r="E6" i="13" l="1"/>
  <c r="E5" i="13"/>
  <c r="A3" i="13" l="1"/>
  <c r="A4" i="13" s="1"/>
  <c r="A5" i="13" s="1"/>
  <c r="A6" i="13" s="1"/>
  <c r="E4" i="12" l="1"/>
  <c r="A5" i="12"/>
  <c r="A4" i="12"/>
  <c r="A3" i="12"/>
  <c r="E5" i="11" l="1"/>
  <c r="G3" i="11" l="1"/>
  <c r="G4" i="11" s="1"/>
  <c r="G5" i="11" s="1"/>
  <c r="G6" i="11" s="1"/>
  <c r="G7" i="11" s="1"/>
  <c r="A3" i="11"/>
  <c r="A4" i="11" s="1"/>
  <c r="A6" i="11" l="1"/>
  <c r="A7" i="11" s="1"/>
  <c r="A5" i="11"/>
  <c r="D4" i="10"/>
  <c r="A3" i="10"/>
  <c r="A4" i="10" s="1"/>
  <c r="A4" i="9" l="1"/>
  <c r="A4" i="8" l="1"/>
  <c r="A5" i="8" s="1"/>
  <c r="A3" i="7" l="1"/>
  <c r="A5" i="7" l="1"/>
  <c r="A4" i="7"/>
  <c r="A3" i="6"/>
  <c r="A4" i="6" s="1"/>
  <c r="A5" i="6" s="1"/>
  <c r="A6" i="6" s="1"/>
  <c r="A7" i="7" l="1"/>
  <c r="A6" i="7"/>
  <c r="G7" i="4"/>
  <c r="G6" i="4"/>
  <c r="G5" i="4"/>
  <c r="E4" i="4" l="1"/>
  <c r="G3" i="4"/>
  <c r="A5" i="4" l="1"/>
  <c r="G4" i="4"/>
  <c r="A3" i="4"/>
  <c r="A4" i="4" s="1"/>
  <c r="A6" i="4" s="1"/>
  <c r="A7" i="4" s="1"/>
  <c r="A8" i="4" s="1"/>
  <c r="A3" i="3" l="1"/>
  <c r="D4" i="3" l="1"/>
  <c r="D5" i="3" s="1"/>
  <c r="D6" i="3" s="1"/>
  <c r="D7" i="3" s="1"/>
  <c r="A4" i="3"/>
  <c r="A5" i="3" s="1"/>
  <c r="A6" i="3" s="1"/>
  <c r="A7" i="3" s="1"/>
  <c r="E7" i="2" l="1"/>
  <c r="E6" i="2"/>
  <c r="G7" i="2"/>
  <c r="G6" i="2"/>
  <c r="G5" i="2" l="1"/>
  <c r="E5" i="2"/>
  <c r="A6" i="2" l="1"/>
  <c r="A4" i="1" l="1"/>
  <c r="A5" i="1" s="1"/>
</calcChain>
</file>

<file path=xl/sharedStrings.xml><?xml version="1.0" encoding="utf-8"?>
<sst xmlns="http://schemas.openxmlformats.org/spreadsheetml/2006/main" count="1809" uniqueCount="327">
  <si>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</si>
  <si>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</si>
  <si>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</si>
  <si>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</si>
  <si>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</si>
  <si>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</si>
  <si>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</si>
  <si>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</si>
  <si>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</si>
  <si>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</si>
  <si>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</si>
  <si>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</si>
  <si>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</si>
  <si>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</si>
  <si>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</si>
  <si>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</si>
  <si>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</si>
  <si>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</si>
  <si>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</si>
  <si>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</si>
  <si>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</si>
  <si>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WIZZAIR</t>
  </si>
  <si>
    <t>TZL-HHN-TZL</t>
  </si>
  <si>
    <t>A320</t>
  </si>
  <si>
    <t>SCHEDULED</t>
  </si>
  <si>
    <t>W64284</t>
  </si>
  <si>
    <t>W64283</t>
  </si>
  <si>
    <t>TZL-VIE-TZL</t>
  </si>
  <si>
    <t>W64286</t>
  </si>
  <si>
    <t>W64285</t>
  </si>
  <si>
    <t>TZL-CGN-TZL</t>
  </si>
  <si>
    <t>W64300</t>
  </si>
  <si>
    <t>W64299</t>
  </si>
  <si>
    <t>TZL-SXF-TZL</t>
  </si>
  <si>
    <t>W64276</t>
  </si>
  <si>
    <t>W64275</t>
  </si>
  <si>
    <t>HALYO</t>
  </si>
  <si>
    <t>HALWV</t>
  </si>
  <si>
    <t>168+2INF</t>
  </si>
  <si>
    <t>160+2INF</t>
  </si>
  <si>
    <t>146+1INF</t>
  </si>
  <si>
    <t>144+8INF</t>
  </si>
  <si>
    <t>166+4INF</t>
  </si>
  <si>
    <t>139+2 INF</t>
  </si>
  <si>
    <t>160+5 INF</t>
  </si>
  <si>
    <t>129+3 INF</t>
  </si>
  <si>
    <t>TZL-DTM-TZL</t>
  </si>
  <si>
    <t>W64297</t>
  </si>
  <si>
    <t>W64298</t>
  </si>
  <si>
    <t>TZL-FMM-TZL</t>
  </si>
  <si>
    <t>W64279</t>
  </si>
  <si>
    <t>W64280</t>
  </si>
  <si>
    <t>TZL-MMX-TZL</t>
  </si>
  <si>
    <t>W64291</t>
  </si>
  <si>
    <t>W64292</t>
  </si>
  <si>
    <t>TZL-MLH-TZL</t>
  </si>
  <si>
    <t>W64293</t>
  </si>
  <si>
    <t>W64294</t>
  </si>
  <si>
    <t>TZL-GOT-TZL</t>
  </si>
  <si>
    <t>W64296</t>
  </si>
  <si>
    <t>W64295</t>
  </si>
  <si>
    <t>TZL-EIN-TZL</t>
  </si>
  <si>
    <t>W64289</t>
  </si>
  <si>
    <t>W64290</t>
  </si>
  <si>
    <t>176+3INF</t>
  </si>
  <si>
    <t>169+2INF</t>
  </si>
  <si>
    <t>HALYO/HALWG</t>
  </si>
  <si>
    <t>HALWG</t>
  </si>
  <si>
    <t>166+1INF</t>
  </si>
  <si>
    <t>161+0INF</t>
  </si>
  <si>
    <t>176+0 INF</t>
  </si>
  <si>
    <t>154+2 INF</t>
  </si>
  <si>
    <t>134+1 INF</t>
  </si>
  <si>
    <t>175+5 INF</t>
  </si>
  <si>
    <t>157+3 INF</t>
  </si>
  <si>
    <t>166+3 INF</t>
  </si>
  <si>
    <t>135+2 INF</t>
  </si>
  <si>
    <t>141+3 INF</t>
  </si>
  <si>
    <t>TZL-FDH-TZL</t>
  </si>
  <si>
    <t>W64616</t>
  </si>
  <si>
    <t>W64615</t>
  </si>
  <si>
    <t>164+2 INF</t>
  </si>
  <si>
    <t>160+6 INF</t>
  </si>
  <si>
    <t>173+4 INF</t>
  </si>
  <si>
    <t>164+1 INF</t>
  </si>
  <si>
    <t>156+7 INF</t>
  </si>
  <si>
    <t>154+1 INF</t>
  </si>
  <si>
    <t>136+6INF</t>
  </si>
  <si>
    <t>150+1INF</t>
  </si>
  <si>
    <t>165+0INF</t>
  </si>
  <si>
    <t>167+6INF</t>
  </si>
  <si>
    <t>137+0INF</t>
  </si>
  <si>
    <t>143+1INF</t>
  </si>
  <si>
    <t>FLYCOOP</t>
  </si>
  <si>
    <t>BUD-TZL-BUD</t>
  </si>
  <si>
    <t>BE40</t>
  </si>
  <si>
    <t>HAYFK</t>
  </si>
  <si>
    <t>NON SCHEDULED/PRIVATE</t>
  </si>
  <si>
    <t>CREW</t>
  </si>
  <si>
    <t>HA-LWG</t>
  </si>
  <si>
    <t>178+5 INF</t>
  </si>
  <si>
    <t>HA-YFK</t>
  </si>
  <si>
    <t>TECHNICAL</t>
  </si>
  <si>
    <t>-</t>
  </si>
  <si>
    <t>HA-LWV</t>
  </si>
  <si>
    <t>173+5 INF</t>
  </si>
  <si>
    <t>161+1 INF</t>
  </si>
  <si>
    <t>177+0 INF</t>
  </si>
  <si>
    <t>147+4 INF</t>
  </si>
  <si>
    <t>132+2 INF</t>
  </si>
  <si>
    <t>178+1 INF</t>
  </si>
  <si>
    <t>175+1 INF</t>
  </si>
  <si>
    <t>162+1 INF</t>
  </si>
  <si>
    <t>161+3 INF</t>
  </si>
  <si>
    <t>128+3 INF</t>
  </si>
  <si>
    <t>VIE-TZL-VIE</t>
  </si>
  <si>
    <t>174+1INF</t>
  </si>
  <si>
    <t>161+7INF</t>
  </si>
  <si>
    <t>160+6INF</t>
  </si>
  <si>
    <t>152+3INF</t>
  </si>
  <si>
    <t>174+3INF</t>
  </si>
  <si>
    <t>156+1 INF</t>
  </si>
  <si>
    <t>169+2 INF</t>
  </si>
  <si>
    <t>FLYBOSNIA</t>
  </si>
  <si>
    <t>SJJ-TZL-SJJ</t>
  </si>
  <si>
    <t>A319</t>
  </si>
  <si>
    <t>E7FBA</t>
  </si>
  <si>
    <t>TRENING LET</t>
  </si>
  <si>
    <t>FBS102</t>
  </si>
  <si>
    <t>DIV TO BEG</t>
  </si>
  <si>
    <t>HALWO</t>
  </si>
  <si>
    <t>170+1INF</t>
  </si>
  <si>
    <t>156+0INF</t>
  </si>
  <si>
    <t>HALWV/HALWO</t>
  </si>
  <si>
    <t>BEG-TZL</t>
  </si>
  <si>
    <t>SCHEDULED/FERRY IN</t>
  </si>
  <si>
    <t>W6801</t>
  </si>
  <si>
    <t>ROP</t>
  </si>
  <si>
    <t>174+0INF</t>
  </si>
  <si>
    <t>175+2INF</t>
  </si>
  <si>
    <t>151+5 INF</t>
  </si>
  <si>
    <t>160+2 INF</t>
  </si>
  <si>
    <t>178+0 INF</t>
  </si>
  <si>
    <t>171+1 INF</t>
  </si>
  <si>
    <t>125+1 INF</t>
  </si>
  <si>
    <t>157+1 INF</t>
  </si>
  <si>
    <t>TZL-MMX -TZL</t>
  </si>
  <si>
    <t>170+2 INF</t>
  </si>
  <si>
    <t>168+2 INF</t>
  </si>
  <si>
    <t>HALWC</t>
  </si>
  <si>
    <t>140+0 INF</t>
  </si>
  <si>
    <t>138+4 INF</t>
  </si>
  <si>
    <t>163+4 INF</t>
  </si>
  <si>
    <t>175+2 INF</t>
  </si>
  <si>
    <t>172+1 INF</t>
  </si>
  <si>
    <t>140+1 INF</t>
  </si>
  <si>
    <t>138+3 INF</t>
  </si>
  <si>
    <t>102+0 INF</t>
  </si>
  <si>
    <t>138+1 INF</t>
  </si>
  <si>
    <t>86+2 INF</t>
  </si>
  <si>
    <t>HALPN</t>
  </si>
  <si>
    <t>HALWC/HALPN</t>
  </si>
  <si>
    <t>159+1 INF</t>
  </si>
  <si>
    <t>150+3INF</t>
  </si>
  <si>
    <t>83+3INF</t>
  </si>
  <si>
    <t>172+8INF</t>
  </si>
  <si>
    <t>SILVER AIR</t>
  </si>
  <si>
    <t>L410</t>
  </si>
  <si>
    <t>E7-MEL</t>
  </si>
  <si>
    <t>NON SCHEDULED/TRENING</t>
  </si>
  <si>
    <t>SLD 500T</t>
  </si>
  <si>
    <t>SLD501T</t>
  </si>
  <si>
    <t>131+3INF</t>
  </si>
  <si>
    <t>176+2INF</t>
  </si>
  <si>
    <t>132+1 INF</t>
  </si>
  <si>
    <t>171+2INF</t>
  </si>
  <si>
    <t>174+2INF</t>
  </si>
  <si>
    <t>140+2INF</t>
  </si>
  <si>
    <t>96+2INF</t>
  </si>
  <si>
    <t>173+3INF</t>
  </si>
  <si>
    <t>123+1 INF</t>
  </si>
  <si>
    <t>TZL-TIA</t>
  </si>
  <si>
    <t>FERRY OUT</t>
  </si>
  <si>
    <t>N/A</t>
  </si>
  <si>
    <t>149+5 INF</t>
  </si>
  <si>
    <t>30+2 INF</t>
  </si>
  <si>
    <t>MXP-TZL</t>
  </si>
  <si>
    <t>FERRY IN</t>
  </si>
  <si>
    <t>W6803</t>
  </si>
  <si>
    <t>84+2 INF</t>
  </si>
  <si>
    <t>HA-LPN</t>
  </si>
  <si>
    <t>175+4 INF</t>
  </si>
  <si>
    <t>138+6 INF</t>
  </si>
  <si>
    <t>145+1 INF</t>
  </si>
  <si>
    <t>116+2 INF</t>
  </si>
  <si>
    <t>HA-LWO</t>
  </si>
  <si>
    <t>170+6 INF</t>
  </si>
  <si>
    <t>176+4 INF</t>
  </si>
  <si>
    <t>153+3 INF</t>
  </si>
  <si>
    <t>71+0 INF</t>
  </si>
  <si>
    <t>180+6 INF</t>
  </si>
  <si>
    <t>169+4 INF</t>
  </si>
  <si>
    <t>161+0 INF</t>
  </si>
  <si>
    <t>112+1 INF</t>
  </si>
  <si>
    <t>179+6 INF</t>
  </si>
  <si>
    <t>155+3 INF</t>
  </si>
  <si>
    <t>150+6 INF</t>
  </si>
  <si>
    <t>76+2 INF</t>
  </si>
  <si>
    <t>173+3 INF</t>
  </si>
  <si>
    <t>177+2 INF</t>
  </si>
  <si>
    <t>143+2 INF</t>
  </si>
  <si>
    <t>147+2 INF</t>
  </si>
  <si>
    <t>167+5 INF</t>
  </si>
  <si>
    <t>174+5 INF</t>
  </si>
  <si>
    <t>94+4 INF</t>
  </si>
  <si>
    <t>109+3 INF</t>
  </si>
  <si>
    <t>178+3 INF</t>
  </si>
  <si>
    <t>W6811</t>
  </si>
  <si>
    <t>W6813</t>
  </si>
  <si>
    <t>176+1 INF</t>
  </si>
  <si>
    <t>142+1 INF</t>
  </si>
  <si>
    <t>164+4 INF</t>
  </si>
  <si>
    <t>74+2 INF</t>
  </si>
  <si>
    <t>178+2 INF</t>
  </si>
  <si>
    <t>105+2 INF</t>
  </si>
  <si>
    <t>HALPN/HALWC</t>
  </si>
  <si>
    <t>175+6 INF</t>
  </si>
  <si>
    <t>129+4 INF</t>
  </si>
  <si>
    <t>87+3 INF</t>
  </si>
  <si>
    <t>116+4 INF</t>
  </si>
  <si>
    <t>169+3 INF</t>
  </si>
  <si>
    <t>119+0 INF</t>
  </si>
  <si>
    <t>UKRAINE AIR ALLIANCE</t>
  </si>
  <si>
    <t>TEQ-TZL-ESB</t>
  </si>
  <si>
    <t>AN-12</t>
  </si>
  <si>
    <t>CHARTER / CARGO</t>
  </si>
  <si>
    <t>URCZZ</t>
  </si>
  <si>
    <t>UKL5001</t>
  </si>
  <si>
    <t>UKL5002</t>
  </si>
  <si>
    <t>170+3 INF</t>
  </si>
  <si>
    <t>150+2 INF</t>
  </si>
  <si>
    <t>121+3 INF</t>
  </si>
  <si>
    <t>HA-LWC</t>
  </si>
  <si>
    <t>163+3 INF</t>
  </si>
  <si>
    <t>159+2 INF</t>
  </si>
  <si>
    <t>172+4 INF</t>
  </si>
  <si>
    <t>167+1 INF</t>
  </si>
  <si>
    <t>169+5 INF</t>
  </si>
  <si>
    <t>180+5 INF</t>
  </si>
  <si>
    <t>171+3 INF</t>
  </si>
  <si>
    <t>174+8 NF</t>
  </si>
  <si>
    <t>113+0 INF</t>
  </si>
  <si>
    <t>164+0 INF</t>
  </si>
  <si>
    <t>TECHNICAL FLIGHT</t>
  </si>
  <si>
    <t>TZL-EIN-BEG-TZL</t>
  </si>
  <si>
    <t>169+6 INF</t>
  </si>
  <si>
    <t>170+4 INF</t>
  </si>
  <si>
    <t>153+2 INF</t>
  </si>
  <si>
    <t>HALPJ</t>
  </si>
  <si>
    <t>163+2 INF</t>
  </si>
  <si>
    <t>168+5 INF</t>
  </si>
  <si>
    <t>175+3 INF</t>
  </si>
  <si>
    <t>130+3 INF</t>
  </si>
  <si>
    <t>156+3 INF</t>
  </si>
  <si>
    <t>172+3 INF</t>
  </si>
  <si>
    <t>145+0 INF</t>
  </si>
  <si>
    <t>HALWC/HALYO</t>
  </si>
  <si>
    <t>70000/71500</t>
  </si>
  <si>
    <t>170+0INF</t>
  </si>
  <si>
    <t>160+3INF</t>
  </si>
  <si>
    <t>143+2INF</t>
  </si>
  <si>
    <t>147+7INF</t>
  </si>
  <si>
    <t>163+0INF</t>
  </si>
  <si>
    <t>173+2 INF</t>
  </si>
  <si>
    <t>176+5 INF</t>
  </si>
  <si>
    <t>153+1 INF</t>
  </si>
  <si>
    <t>163+8INF</t>
  </si>
  <si>
    <t>132+7INF</t>
  </si>
  <si>
    <t>952+3INF</t>
  </si>
  <si>
    <t>174+1 INF</t>
  </si>
  <si>
    <t>156+2 INF</t>
  </si>
  <si>
    <t>162+4INF</t>
  </si>
  <si>
    <t>180+1INF</t>
  </si>
  <si>
    <t>162+2INF</t>
  </si>
  <si>
    <t>103+3INF</t>
  </si>
  <si>
    <t>141+1INF</t>
  </si>
  <si>
    <t>158+3 INF</t>
  </si>
  <si>
    <t>178+2INF</t>
  </si>
  <si>
    <t>168+0INF</t>
  </si>
  <si>
    <t>163+1INF</t>
  </si>
  <si>
    <t>105+3 INF</t>
  </si>
  <si>
    <t>163+0 INF</t>
  </si>
  <si>
    <t>165+2 INF</t>
  </si>
  <si>
    <t>161+4 INF</t>
  </si>
  <si>
    <t>W6802</t>
  </si>
  <si>
    <t>TZL-SKP-TZL</t>
  </si>
  <si>
    <t>FERRY OUT/IN</t>
  </si>
  <si>
    <t>164+3 INF</t>
  </si>
  <si>
    <t>169+1 INF</t>
  </si>
  <si>
    <t>162+5 INF</t>
  </si>
  <si>
    <t>HA-LPJ</t>
  </si>
  <si>
    <t>169+1INF</t>
  </si>
  <si>
    <t>154+1INF</t>
  </si>
  <si>
    <t>168+1INF</t>
  </si>
  <si>
    <t>173+1 INF</t>
  </si>
  <si>
    <t>149+1 INF</t>
  </si>
  <si>
    <t>172+2 INF</t>
  </si>
  <si>
    <t>HALWV/HALWJ</t>
  </si>
  <si>
    <t>159+5INF</t>
  </si>
  <si>
    <t>82+4INF</t>
  </si>
  <si>
    <t>166+1 INF</t>
  </si>
  <si>
    <t>151+1 INF</t>
  </si>
  <si>
    <t>92+0 INF</t>
  </si>
  <si>
    <t>152+3 INF</t>
  </si>
  <si>
    <t>154+3 INF</t>
  </si>
  <si>
    <t>HALWJ</t>
  </si>
  <si>
    <t>162+4 INF</t>
  </si>
  <si>
    <t>161+3INF</t>
  </si>
  <si>
    <t>147+6 INF</t>
  </si>
  <si>
    <t>107+2INF</t>
  </si>
  <si>
    <t>SWISS AIR AMBULANCE</t>
  </si>
  <si>
    <t>ZRH-TZL-ZRH</t>
  </si>
  <si>
    <t>CL650</t>
  </si>
  <si>
    <t>HBJWC</t>
  </si>
  <si>
    <t>MEDEVAC</t>
  </si>
  <si>
    <t>SAZ73</t>
  </si>
  <si>
    <t>SAZ74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</si>
</sst>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b/>
      <sz val="10"/>
      <color theme="1"/>
      <name val="Garamond"/>
      <family val="1"/>
      <charset val="238"/>
    </font>
    <font>
      <sz val="10"/>
      <color theme="1"/>
      <name val="Garamond"/>
      <family val="1"/>
      <charset val="238"/>
    </font>
    <font>
      <sz val="10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2">
    <xf numFmtId="0" fontId="0" fillId="0" borderId="0" xfId="0"/>
    <xf numFmtId="0" fontId="2" fillId="0" borderId="0" xfId="1" applyFont="1" applyAlignment="1">
      <alignment horizontal="center" vertical="center"/>
    </xf>
    <xf numFmtId="14" fontId="2" fillId="0" borderId="0" xfId="2" applyNumberFormat="1" applyFont="1" applyFill="1" applyAlignment="1">
      <alignment horizontal="center" vertical="center"/>
    </xf>
    <xf numFmtId="0" fontId="2" fillId="0" borderId="0" xfId="1" applyFont="1" applyFill="1" applyAlignment="1">
      <alignment horizontal="center" vertical="center"/>
    </xf>
    <xf numFmtId="3" fontId="2" fillId="0" borderId="0" xfId="1" applyNumberFormat="1" applyFont="1" applyFill="1" applyAlignment="1">
      <alignment horizontal="center" vertical="center"/>
    </xf>
    <xf numFmtId="20" fontId="3" fillId="0" borderId="0" xfId="1" applyNumberFormat="1" applyFont="1" applyFill="1" applyAlignment="1">
      <alignment horizontal="center" vertical="center"/>
    </xf>
    <xf numFmtId="20" fontId="2" fillId="0" borderId="0" xfId="1" applyNumberFormat="1" applyFont="1" applyFill="1" applyAlignment="1">
      <alignment horizontal="center" vertical="center"/>
    </xf>
    <xf numFmtId="0" fontId="2" fillId="0" borderId="0" xfId="1" applyNumberFormat="1" applyFont="1" applyFill="1" applyAlignment="1">
      <alignment horizontal="center" vertical="center"/>
    </xf>
    <xf numFmtId="0" fontId="2" fillId="0" borderId="0" xfId="3" applyFont="1" applyFill="1" applyAlignment="1">
      <alignment horizontal="center" vertical="center"/>
    </xf>
    <xf numFmtId="3" fontId="2" fillId="0" borderId="0" xfId="3" applyNumberFormat="1" applyFont="1" applyFill="1" applyAlignment="1">
      <alignment horizontal="center" vertical="center"/>
    </xf>
    <xf numFmtId="20" fontId="3" fillId="0" borderId="0" xfId="3" applyNumberFormat="1" applyFont="1" applyFill="1" applyAlignment="1">
      <alignment horizontal="center" vertical="center"/>
    </xf>
    <xf numFmtId="20" fontId="2" fillId="0" borderId="0" xfId="3" applyNumberFormat="1" applyFont="1" applyFill="1" applyAlignment="1">
      <alignment horizontal="center" vertical="center"/>
    </xf>
    <xf numFmtId="20" fontId="4" fillId="0" borderId="0" xfId="1" applyNumberFormat="1" applyFont="1" applyAlignment="1">
      <alignment horizontal="center" vertical="center"/>
    </xf>
    <xf numFmtId="20" fontId="5" fillId="0" borderId="0" xfId="1" applyNumberFormat="1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4" fontId="2" fillId="0" borderId="0" xfId="0" applyNumberFormat="1" applyFont="1" applyFill="1" applyAlignment="1">
      <alignment horizontal="center" vertical="center"/>
    </xf>
    <xf numFmtId="0" fontId="2" fillId="0" borderId="0" xfId="4" applyFont="1" applyFill="1" applyAlignment="1">
      <alignment horizontal="center" vertical="center"/>
    </xf>
    <xf numFmtId="3" fontId="2" fillId="0" borderId="0" xfId="4" applyNumberFormat="1" applyFont="1" applyFill="1" applyAlignment="1">
      <alignment horizontal="center" vertical="center"/>
    </xf>
    <xf numFmtId="20" fontId="3" fillId="0" borderId="0" xfId="4" applyNumberFormat="1" applyFont="1" applyFill="1" applyAlignment="1">
      <alignment horizontal="center" vertical="center"/>
    </xf>
    <xf numFmtId="20" fontId="2" fillId="0" borderId="0" xfId="4" applyNumberFormat="1" applyFont="1" applyFill="1" applyAlignment="1">
      <alignment horizontal="center" vertical="center"/>
    </xf>
    <xf numFmtId="0" fontId="2" fillId="0" borderId="0" xfId="4" applyNumberFormat="1" applyFont="1" applyFill="1" applyAlignment="1">
      <alignment horizontal="center" vertical="center"/>
    </xf>
    <xf numFmtId="20" fontId="3" fillId="0" borderId="0" xfId="0" applyNumberFormat="1" applyFont="1" applyFill="1" applyAlignment="1">
      <alignment horizontal="center" vertical="center"/>
    </xf>
    <xf numFmtId="20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14" fontId="2" fillId="0" borderId="0" xfId="5" applyNumberFormat="1" applyFont="1" applyFill="1" applyAlignment="1">
      <alignment horizontal="center" vertical="center"/>
    </xf>
    <xf numFmtId="0" fontId="2" fillId="0" borderId="0" xfId="6" applyFont="1" applyFill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20" fontId="5" fillId="0" borderId="0" xfId="0" applyNumberFormat="1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5" fillId="0" borderId="0" xfId="0" applyFont="1" applyFill="1"/>
    <xf numFmtId="0" fontId="5" fillId="0" borderId="0" xfId="0" applyFont="1"/>
    <xf numFmtId="20" fontId="3" fillId="0" borderId="0" xfId="6" applyNumberFormat="1" applyFont="1" applyFill="1" applyAlignment="1">
      <alignment horizontal="center" vertical="center"/>
    </xf>
    <xf numFmtId="20" fontId="2" fillId="0" borderId="0" xfId="6" applyNumberFormat="1" applyFont="1" applyFill="1" applyAlignment="1">
      <alignment horizontal="center" vertical="center"/>
    </xf>
    <xf numFmtId="0" fontId="1" fillId="0" borderId="0" xfId="4"/>
    <xf numFmtId="0" fontId="5" fillId="0" borderId="0" xfId="0" applyFont="1" applyAlignment="1">
      <alignment horizontal="center"/>
    </xf>
    <xf numFmtId="3" fontId="2" fillId="0" borderId="0" xfId="0" applyNumberFormat="1" applyFont="1" applyFill="1" applyAlignment="1">
      <alignment horizontal="center" vertical="center"/>
    </xf>
    <xf numFmtId="14" fontId="5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/>
    </xf>
    <xf numFmtId="20" fontId="4" fillId="0" borderId="0" xfId="0" applyNumberFormat="1" applyFont="1" applyAlignment="1">
      <alignment horizontal="center"/>
    </xf>
    <xf numFmtId="20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3" fontId="2" fillId="0" borderId="0" xfId="6" applyNumberFormat="1" applyFont="1" applyFill="1" applyAlignment="1">
      <alignment horizontal="center" vertical="center"/>
    </xf>
    <xf numFmtId="20" fontId="5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20" fontId="5" fillId="0" borderId="0" xfId="1" applyNumberFormat="1" applyFont="1" applyFill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2" borderId="0" xfId="1" applyNumberFormat="1" applyFont="1" applyFill="1" applyAlignment="1">
      <alignment horizontal="center" vertical="center"/>
    </xf>
    <xf numFmtId="0" fontId="0" fillId="2" borderId="0" xfId="0" applyFill="1"/>
    <xf numFmtId="0" fontId="2" fillId="0" borderId="0" xfId="2" applyFont="1" applyFill="1" applyAlignment="1">
      <alignment horizontal="center" vertical="center"/>
    </xf>
    <xf numFmtId="14" fontId="2" fillId="0" borderId="0" xfId="3" applyNumberFormat="1" applyFont="1" applyFill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3" borderId="0" xfId="3" applyFont="1" applyFill="1" applyAlignment="1">
      <alignment horizontal="center" vertical="center"/>
    </xf>
    <xf numFmtId="0" fontId="2" fillId="0" borderId="0" xfId="4" applyFont="1" applyAlignment="1">
      <alignment horizontal="center" vertical="center"/>
    </xf>
    <xf numFmtId="20" fontId="3" fillId="0" borderId="0" xfId="4" applyNumberFormat="1" applyFont="1" applyAlignment="1">
      <alignment horizontal="center" vertical="center"/>
    </xf>
    <xf numFmtId="20" fontId="2" fillId="0" borderId="0" xfId="4" applyNumberFormat="1" applyFont="1" applyAlignment="1">
      <alignment horizontal="center" vertical="center"/>
    </xf>
    <xf numFmtId="0" fontId="0" fillId="0" borderId="0" xfId="0" applyFill="1"/>
    <xf numFmtId="0" fontId="6" fillId="0" borderId="0" xfId="0" applyFont="1" applyAlignment="1">
      <alignment horizontal="center"/>
    </xf>
    <xf numFmtId="49" fontId="2" fillId="0" borderId="0" xfId="1" applyNumberFormat="1" applyFont="1" applyFill="1" applyAlignment="1">
      <alignment horizontal="center" vertical="center"/>
    </xf>
  </cellXfs>
  <cellStyles count="7">
    <cellStyle name="Normal" xfId="0" builtinId="0"/>
    <cellStyle name="Normal 2" xfId="2"/>
    <cellStyle name="Normal 2 2" xfId="5"/>
    <cellStyle name="Normal 3" xfId="3"/>
    <cellStyle name="Normal 3 2" xfId="6"/>
    <cellStyle name="Normal 4" xfId="1"/>
    <cellStyle name="Normal 5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5"/>
  <sheetViews>
    <sheetView workbookViewId="0">
      <selection sqref="A1:XFD5"/>
    </sheetView>
  </sheetViews>
  <sheetFormatPr defaultRowHeight="15" x14ac:dyDescent="0.25"/>
  <cols>
    <col min="2" max="2" width="10.140625" customWidth="1"/>
    <col min="3" max="3" width="15" customWidth="1"/>
    <col min="6" max="6" width="13.85546875" customWidth="1"/>
    <col min="10" max="11" width="11.7109375" customWidth="1"/>
    <col min="12" max="13" width="11.5703125" customWidth="1"/>
    <col min="14" max="14" width="18.85546875" customWidth="1"/>
    <col min="15" max="15" width="18.42578125" customWidth="1"/>
    <col min="16" max="17" width="10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43466</v>
      </c>
      <c r="B2" s="3" t="s">
        <v>21</v>
      </c>
      <c r="C2" s="3" t="s">
        <v>22</v>
      </c>
      <c r="D2" s="3" t="s">
        <v>23</v>
      </c>
      <c r="E2" s="3" t="s">
        <v>36</v>
      </c>
      <c r="F2" s="3" t="s">
        <v>24</v>
      </c>
      <c r="G2" s="4">
        <v>71500</v>
      </c>
      <c r="H2" s="3" t="s">
        <v>25</v>
      </c>
      <c r="I2" s="3" t="s">
        <v>26</v>
      </c>
      <c r="J2" s="5">
        <v>0.49652777777777773</v>
      </c>
      <c r="K2" s="6">
        <v>0.49861111111111112</v>
      </c>
      <c r="L2" s="5">
        <v>0.3125</v>
      </c>
      <c r="M2" s="6">
        <v>0.32361111111111113</v>
      </c>
      <c r="N2" s="6" t="s">
        <v>40</v>
      </c>
      <c r="O2" s="6" t="s">
        <v>38</v>
      </c>
      <c r="P2" s="7">
        <v>732</v>
      </c>
      <c r="Q2" s="7">
        <v>913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43466</v>
      </c>
      <c r="B3" s="3" t="s">
        <v>21</v>
      </c>
      <c r="C3" s="3" t="s">
        <v>27</v>
      </c>
      <c r="D3" s="3" t="s">
        <v>23</v>
      </c>
      <c r="E3" s="3" t="s">
        <v>37</v>
      </c>
      <c r="F3" s="3" t="s">
        <v>24</v>
      </c>
      <c r="G3" s="4">
        <v>71500</v>
      </c>
      <c r="H3" s="3" t="s">
        <v>28</v>
      </c>
      <c r="I3" s="3" t="s">
        <v>29</v>
      </c>
      <c r="J3" s="5">
        <v>0.49305555555555558</v>
      </c>
      <c r="K3" s="6">
        <v>0.48958333333333331</v>
      </c>
      <c r="L3" s="5">
        <v>0.35416666666666669</v>
      </c>
      <c r="M3" s="6">
        <v>0.37847222222222227</v>
      </c>
      <c r="N3" s="6" t="s">
        <v>41</v>
      </c>
      <c r="O3" s="6" t="s">
        <v>39</v>
      </c>
      <c r="P3" s="7">
        <v>479</v>
      </c>
      <c r="Q3" s="7">
        <v>466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f>A2</f>
        <v>43466</v>
      </c>
      <c r="B4" s="8" t="s">
        <v>21</v>
      </c>
      <c r="C4" s="8" t="s">
        <v>30</v>
      </c>
      <c r="D4" s="8" t="s">
        <v>23</v>
      </c>
      <c r="E4" s="3" t="s">
        <v>37</v>
      </c>
      <c r="F4" s="8" t="s">
        <v>24</v>
      </c>
      <c r="G4" s="9">
        <v>71500</v>
      </c>
      <c r="H4" s="8" t="s">
        <v>31</v>
      </c>
      <c r="I4" s="8" t="s">
        <v>32</v>
      </c>
      <c r="J4" s="10">
        <v>0.72222222222222221</v>
      </c>
      <c r="K4" s="11">
        <v>0.70763888888888893</v>
      </c>
      <c r="L4" s="10">
        <v>0.52777777777777779</v>
      </c>
      <c r="M4" s="11">
        <v>0.52638888888888891</v>
      </c>
      <c r="N4" s="7" t="s">
        <v>43</v>
      </c>
      <c r="O4" s="7" t="s">
        <v>42</v>
      </c>
      <c r="P4" s="3">
        <v>1014</v>
      </c>
      <c r="Q4" s="7">
        <v>1086</v>
      </c>
      <c r="R4" s="8">
        <v>0</v>
      </c>
      <c r="S4" s="8">
        <v>0</v>
      </c>
      <c r="T4" s="8">
        <v>0</v>
      </c>
      <c r="U4" s="8">
        <v>0</v>
      </c>
    </row>
    <row r="5" spans="1:21" x14ac:dyDescent="0.25">
      <c r="A5" s="2">
        <f>A4</f>
        <v>43466</v>
      </c>
      <c r="B5" s="8" t="s">
        <v>21</v>
      </c>
      <c r="C5" s="8" t="s">
        <v>33</v>
      </c>
      <c r="D5" s="8" t="s">
        <v>23</v>
      </c>
      <c r="E5" s="3" t="s">
        <v>37</v>
      </c>
      <c r="F5" s="8" t="s">
        <v>24</v>
      </c>
      <c r="G5" s="9">
        <v>71500</v>
      </c>
      <c r="H5" s="8" t="s">
        <v>34</v>
      </c>
      <c r="I5" s="8" t="s">
        <v>35</v>
      </c>
      <c r="J5" s="12">
        <v>0.91319444444444453</v>
      </c>
      <c r="K5" s="13">
        <v>0.90277777777777779</v>
      </c>
      <c r="L5" s="12">
        <v>0.74305555555555547</v>
      </c>
      <c r="M5" s="13">
        <v>0.73958333333333337</v>
      </c>
      <c r="N5" s="13" t="s">
        <v>45</v>
      </c>
      <c r="O5" s="7" t="s">
        <v>44</v>
      </c>
      <c r="P5" s="3">
        <v>709</v>
      </c>
      <c r="Q5" s="7">
        <v>785</v>
      </c>
      <c r="R5" s="8">
        <v>0</v>
      </c>
      <c r="S5" s="8">
        <v>0</v>
      </c>
      <c r="T5" s="8">
        <v>0</v>
      </c>
      <c r="U5" s="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V7"/>
  <sheetViews>
    <sheetView workbookViewId="0">
      <selection activeCell="K7" sqref="K7"/>
    </sheetView>
  </sheetViews>
  <sheetFormatPr defaultRowHeight="15" x14ac:dyDescent="0.25"/>
  <cols>
    <col min="3" max="3" width="14.28515625" customWidth="1"/>
    <col min="5" max="5" width="17.140625" customWidth="1"/>
    <col min="6" max="6" width="17.28515625" customWidth="1"/>
    <col min="10" max="10" width="11.7109375" customWidth="1"/>
    <col min="11" max="11" width="13.28515625" customWidth="1"/>
    <col min="12" max="13" width="11.5703125" customWidth="1"/>
    <col min="14" max="14" width="19.7109375" customWidth="1"/>
    <col min="15" max="15" width="23.7109375" customWidth="1"/>
  </cols>
  <sheetData>
    <row r="1" spans="1:22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2" x14ac:dyDescent="0.25">
      <c r="A2" s="15">
        <v>43102</v>
      </c>
      <c r="B2" s="16" t="s">
        <v>21</v>
      </c>
      <c r="C2" s="16" t="s">
        <v>46</v>
      </c>
      <c r="D2" s="16" t="s">
        <v>23</v>
      </c>
      <c r="E2" s="16" t="s">
        <v>66</v>
      </c>
      <c r="F2" s="16" t="s">
        <v>24</v>
      </c>
      <c r="G2" s="17">
        <v>71500</v>
      </c>
      <c r="H2" s="16" t="s">
        <v>47</v>
      </c>
      <c r="I2" s="16" t="s">
        <v>48</v>
      </c>
      <c r="J2" s="18">
        <v>0.4826388888888889</v>
      </c>
      <c r="K2" s="19">
        <v>0.48680555555555555</v>
      </c>
      <c r="L2" s="18">
        <v>0.27777777777777779</v>
      </c>
      <c r="M2" s="19">
        <v>0.28888888888888892</v>
      </c>
      <c r="N2" s="20" t="s">
        <v>68</v>
      </c>
      <c r="O2" s="14" t="s">
        <v>64</v>
      </c>
      <c r="P2" s="14">
        <v>1187</v>
      </c>
      <c r="Q2" s="14">
        <v>1216</v>
      </c>
      <c r="R2" s="14">
        <v>0</v>
      </c>
      <c r="S2" s="14">
        <v>0</v>
      </c>
      <c r="T2" s="14">
        <v>0</v>
      </c>
      <c r="U2" s="14">
        <v>0</v>
      </c>
    </row>
    <row r="3" spans="1:22" x14ac:dyDescent="0.25">
      <c r="A3" s="15">
        <v>43102</v>
      </c>
      <c r="B3" s="16" t="s">
        <v>21</v>
      </c>
      <c r="C3" s="16" t="s">
        <v>49</v>
      </c>
      <c r="D3" s="16" t="s">
        <v>23</v>
      </c>
      <c r="E3" s="16" t="s">
        <v>37</v>
      </c>
      <c r="F3" s="16" t="s">
        <v>24</v>
      </c>
      <c r="G3" s="17">
        <v>71500</v>
      </c>
      <c r="H3" s="16" t="s">
        <v>50</v>
      </c>
      <c r="I3" s="16" t="s">
        <v>51</v>
      </c>
      <c r="J3" s="18">
        <v>0.4826388888888889</v>
      </c>
      <c r="K3" s="19">
        <v>0.58263888888888882</v>
      </c>
      <c r="L3" s="18">
        <v>0.33333333333333331</v>
      </c>
      <c r="M3" s="19">
        <v>0.42708333333333331</v>
      </c>
      <c r="N3" s="20" t="s">
        <v>71</v>
      </c>
      <c r="O3" s="14" t="s">
        <v>65</v>
      </c>
      <c r="P3" s="14">
        <v>771</v>
      </c>
      <c r="Q3" s="14">
        <v>1026</v>
      </c>
      <c r="R3" s="14">
        <v>0</v>
      </c>
      <c r="S3" s="14">
        <v>0</v>
      </c>
      <c r="T3" s="14">
        <v>0</v>
      </c>
      <c r="U3" s="14">
        <v>0</v>
      </c>
    </row>
    <row r="4" spans="1:22" x14ac:dyDescent="0.25">
      <c r="A4" s="15">
        <v>43102</v>
      </c>
      <c r="B4" s="14" t="s">
        <v>21</v>
      </c>
      <c r="C4" s="14" t="s">
        <v>52</v>
      </c>
      <c r="D4" s="14" t="s">
        <v>23</v>
      </c>
      <c r="E4" s="16" t="s">
        <v>67</v>
      </c>
      <c r="F4" s="14" t="s">
        <v>24</v>
      </c>
      <c r="G4" s="17">
        <v>71500</v>
      </c>
      <c r="H4" s="14" t="s">
        <v>53</v>
      </c>
      <c r="I4" s="14" t="s">
        <v>54</v>
      </c>
      <c r="J4" s="21">
        <v>0.70833333333333337</v>
      </c>
      <c r="K4" s="22">
        <v>0.70972222222222225</v>
      </c>
      <c r="L4" s="21">
        <v>0.50347222222222221</v>
      </c>
      <c r="M4" s="22">
        <v>0.52430555555555558</v>
      </c>
      <c r="N4" s="22" t="s">
        <v>72</v>
      </c>
      <c r="O4" s="23" t="s">
        <v>69</v>
      </c>
      <c r="P4" s="14">
        <v>745</v>
      </c>
      <c r="Q4" s="23">
        <v>1565</v>
      </c>
      <c r="R4" s="14">
        <v>0</v>
      </c>
      <c r="S4" s="14">
        <v>0</v>
      </c>
      <c r="T4" s="14">
        <v>0</v>
      </c>
      <c r="U4" s="14">
        <v>0</v>
      </c>
    </row>
    <row r="5" spans="1:22" x14ac:dyDescent="0.25">
      <c r="A5" s="15">
        <v>43102</v>
      </c>
      <c r="B5" s="14" t="s">
        <v>21</v>
      </c>
      <c r="C5" s="14" t="s">
        <v>55</v>
      </c>
      <c r="D5" s="14" t="s">
        <v>23</v>
      </c>
      <c r="E5" s="14" t="str">
        <f>E3</f>
        <v>HALWV</v>
      </c>
      <c r="F5" s="14" t="s">
        <v>24</v>
      </c>
      <c r="G5" s="17">
        <f>G4</f>
        <v>71500</v>
      </c>
      <c r="H5" s="14" t="s">
        <v>56</v>
      </c>
      <c r="I5" s="14" t="s">
        <v>57</v>
      </c>
      <c r="J5" s="21">
        <v>0.69791666666666663</v>
      </c>
      <c r="K5" s="22">
        <v>0.76111111111111107</v>
      </c>
      <c r="L5" s="21">
        <v>0.52777777777777779</v>
      </c>
      <c r="M5" s="22">
        <v>0.61388888888888882</v>
      </c>
      <c r="N5" s="14" t="s">
        <v>74</v>
      </c>
      <c r="O5" s="23" t="s">
        <v>70</v>
      </c>
      <c r="P5" s="14">
        <v>883</v>
      </c>
      <c r="Q5" s="23">
        <v>1295</v>
      </c>
      <c r="R5" s="14">
        <v>0</v>
      </c>
      <c r="S5" s="14">
        <v>0</v>
      </c>
      <c r="T5" s="14">
        <v>0</v>
      </c>
      <c r="U5" s="14">
        <v>0</v>
      </c>
    </row>
    <row r="6" spans="1:22" s="31" customFormat="1" ht="12.75" x14ac:dyDescent="0.2">
      <c r="A6" s="24">
        <f>A4</f>
        <v>43102</v>
      </c>
      <c r="B6" s="14" t="s">
        <v>21</v>
      </c>
      <c r="C6" s="25" t="s">
        <v>58</v>
      </c>
      <c r="D6" s="25" t="s">
        <v>23</v>
      </c>
      <c r="E6" s="14" t="str">
        <f>E5</f>
        <v>HALWV</v>
      </c>
      <c r="F6" s="25" t="s">
        <v>24</v>
      </c>
      <c r="G6" s="17">
        <f>G5</f>
        <v>71500</v>
      </c>
      <c r="H6" s="25" t="s">
        <v>59</v>
      </c>
      <c r="I6" s="25" t="s">
        <v>60</v>
      </c>
      <c r="J6" s="26">
        <v>0.95486111111111116</v>
      </c>
      <c r="K6" s="27">
        <v>2.0833333333333332E-2</v>
      </c>
      <c r="L6" s="26">
        <v>0.71875</v>
      </c>
      <c r="M6" s="28">
        <v>0.80763888888888891</v>
      </c>
      <c r="N6" s="29" t="s">
        <v>77</v>
      </c>
      <c r="O6" s="29" t="s">
        <v>75</v>
      </c>
      <c r="P6" s="29">
        <v>1146</v>
      </c>
      <c r="Q6" s="29">
        <v>1368</v>
      </c>
      <c r="R6" s="25">
        <v>0</v>
      </c>
      <c r="S6" s="25">
        <v>0</v>
      </c>
      <c r="T6" s="25">
        <v>0</v>
      </c>
      <c r="U6" s="25">
        <v>0</v>
      </c>
      <c r="V6" s="30"/>
    </row>
    <row r="7" spans="1:22" s="34" customFormat="1" ht="12.75" x14ac:dyDescent="0.2">
      <c r="A7" s="24">
        <v>43102</v>
      </c>
      <c r="B7" s="25" t="s">
        <v>21</v>
      </c>
      <c r="C7" s="25" t="s">
        <v>61</v>
      </c>
      <c r="D7" s="25" t="s">
        <v>23</v>
      </c>
      <c r="E7" s="16" t="str">
        <f>E4</f>
        <v>HALWG</v>
      </c>
      <c r="F7" s="25" t="s">
        <v>24</v>
      </c>
      <c r="G7" s="17">
        <f>G6</f>
        <v>71500</v>
      </c>
      <c r="H7" s="25" t="s">
        <v>62</v>
      </c>
      <c r="I7" s="25" t="s">
        <v>63</v>
      </c>
      <c r="J7" s="32">
        <v>0.94791666666666663</v>
      </c>
      <c r="K7" s="33">
        <v>0.95694444444444438</v>
      </c>
      <c r="L7" s="32">
        <v>0.73958333333333337</v>
      </c>
      <c r="M7" s="33">
        <v>0.7631944444444444</v>
      </c>
      <c r="N7" s="25" t="s">
        <v>76</v>
      </c>
      <c r="O7" s="25" t="s">
        <v>73</v>
      </c>
      <c r="P7" s="25">
        <v>840</v>
      </c>
      <c r="Q7" s="25">
        <v>1198</v>
      </c>
      <c r="R7" s="25">
        <v>0</v>
      </c>
      <c r="S7" s="25">
        <v>0</v>
      </c>
      <c r="T7" s="25">
        <v>0</v>
      </c>
      <c r="U7" s="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U11"/>
  <sheetViews>
    <sheetView workbookViewId="0">
      <selection activeCell="A2" sqref="A2:XFD2"/>
    </sheetView>
  </sheetViews>
  <sheetFormatPr defaultRowHeight="12.75" x14ac:dyDescent="0.2"/>
  <cols>
    <col min="1" max="1" width="10.140625" style="35" bestFit="1" customWidth="1"/>
    <col min="2" max="2" width="19.85546875" style="35" customWidth="1"/>
    <col min="3" max="3" width="15" style="35" customWidth="1"/>
    <col min="4" max="5" width="9.140625" style="35"/>
    <col min="6" max="6" width="27" style="35" customWidth="1"/>
    <col min="7" max="9" width="9.140625" style="35"/>
    <col min="10" max="10" width="10.5703125" style="35" customWidth="1"/>
    <col min="11" max="11" width="12" style="35" customWidth="1"/>
    <col min="12" max="12" width="12.42578125" style="35" customWidth="1"/>
    <col min="13" max="13" width="11.7109375" style="35" customWidth="1"/>
    <col min="14" max="14" width="18.28515625" style="35" customWidth="1"/>
    <col min="15" max="15" width="19.5703125" style="35" customWidth="1"/>
    <col min="16" max="16" width="16" style="35" customWidth="1"/>
    <col min="17" max="17" width="13.42578125" style="35" customWidth="1"/>
    <col min="18" max="16384" width="9.140625" style="35"/>
  </cols>
  <sheetData>
    <row r="1" spans="1:21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x14ac:dyDescent="0.2">
      <c r="A2" s="15">
        <v>43468</v>
      </c>
      <c r="B2" s="14" t="s">
        <v>21</v>
      </c>
      <c r="C2" s="14" t="s">
        <v>22</v>
      </c>
      <c r="D2" s="14" t="s">
        <v>23</v>
      </c>
      <c r="E2" s="14" t="s">
        <v>37</v>
      </c>
      <c r="F2" s="14" t="s">
        <v>24</v>
      </c>
      <c r="G2" s="36">
        <v>71500</v>
      </c>
      <c r="H2" s="14" t="s">
        <v>25</v>
      </c>
      <c r="I2" s="14" t="s">
        <v>26</v>
      </c>
      <c r="J2" s="21">
        <v>0.49652777777777773</v>
      </c>
      <c r="K2" s="22">
        <v>0.51180555555555551</v>
      </c>
      <c r="L2" s="21">
        <v>0.3125</v>
      </c>
      <c r="M2" s="22">
        <v>0.34236111111111112</v>
      </c>
      <c r="N2" s="14" t="s">
        <v>85</v>
      </c>
      <c r="O2" s="14" t="s">
        <v>81</v>
      </c>
      <c r="P2" s="14">
        <v>1039</v>
      </c>
      <c r="Q2" s="23">
        <v>1287</v>
      </c>
      <c r="R2" s="14">
        <v>0</v>
      </c>
      <c r="S2" s="14">
        <v>0</v>
      </c>
      <c r="T2" s="14">
        <v>0</v>
      </c>
      <c r="U2" s="14">
        <v>0</v>
      </c>
    </row>
    <row r="3" spans="1:21" x14ac:dyDescent="0.2">
      <c r="A3" s="37">
        <f>A2</f>
        <v>43468</v>
      </c>
      <c r="B3" s="14" t="s">
        <v>21</v>
      </c>
      <c r="C3" s="14" t="s">
        <v>27</v>
      </c>
      <c r="D3" s="14" t="s">
        <v>23</v>
      </c>
      <c r="E3" s="14" t="s">
        <v>67</v>
      </c>
      <c r="F3" s="14" t="s">
        <v>24</v>
      </c>
      <c r="G3" s="38">
        <v>71500</v>
      </c>
      <c r="H3" s="14" t="s">
        <v>28</v>
      </c>
      <c r="I3" s="14" t="s">
        <v>29</v>
      </c>
      <c r="J3" s="39">
        <v>0.48958333333333331</v>
      </c>
      <c r="K3" s="40">
        <v>0.49583333333333335</v>
      </c>
      <c r="L3" s="39">
        <v>0.35416666666666669</v>
      </c>
      <c r="M3" s="40">
        <v>0.38541666666666669</v>
      </c>
      <c r="N3" s="35" t="s">
        <v>86</v>
      </c>
      <c r="O3" s="29" t="s">
        <v>82</v>
      </c>
      <c r="P3" s="35">
        <v>708</v>
      </c>
      <c r="Q3" s="29">
        <v>829</v>
      </c>
      <c r="R3" s="41">
        <v>0</v>
      </c>
      <c r="S3" s="41">
        <v>0</v>
      </c>
      <c r="T3" s="41">
        <v>0</v>
      </c>
      <c r="U3" s="41">
        <v>0</v>
      </c>
    </row>
    <row r="4" spans="1:21" x14ac:dyDescent="0.2">
      <c r="A4" s="37">
        <f t="shared" ref="A4:A7" si="0">A3</f>
        <v>43468</v>
      </c>
      <c r="B4" s="35" t="s">
        <v>21</v>
      </c>
      <c r="C4" s="35" t="s">
        <v>78</v>
      </c>
      <c r="D4" s="35" t="str">
        <f t="shared" ref="D4:D7" si="1">D3</f>
        <v>A320</v>
      </c>
      <c r="E4" s="14" t="s">
        <v>67</v>
      </c>
      <c r="F4" s="35" t="s">
        <v>24</v>
      </c>
      <c r="G4" s="38">
        <v>71500</v>
      </c>
      <c r="H4" s="14" t="s">
        <v>79</v>
      </c>
      <c r="I4" s="14" t="s">
        <v>80</v>
      </c>
      <c r="J4" s="21">
        <v>0.66319444444444442</v>
      </c>
      <c r="K4" s="22">
        <v>0.67152777777777783</v>
      </c>
      <c r="L4" s="21">
        <v>0.51041666666666663</v>
      </c>
      <c r="M4" s="22">
        <v>0.53402777777777777</v>
      </c>
      <c r="N4" s="35" t="s">
        <v>87</v>
      </c>
      <c r="O4" s="29" t="s">
        <v>83</v>
      </c>
      <c r="P4" s="35">
        <v>914</v>
      </c>
      <c r="Q4" s="29">
        <v>1361</v>
      </c>
      <c r="R4" s="14">
        <v>0</v>
      </c>
      <c r="S4" s="14">
        <v>0</v>
      </c>
      <c r="T4" s="14">
        <v>0</v>
      </c>
      <c r="U4" s="14">
        <v>0</v>
      </c>
    </row>
    <row r="5" spans="1:21" x14ac:dyDescent="0.2">
      <c r="A5" s="37">
        <f t="shared" si="0"/>
        <v>43468</v>
      </c>
      <c r="B5" s="35" t="s">
        <v>21</v>
      </c>
      <c r="C5" s="35" t="s">
        <v>55</v>
      </c>
      <c r="D5" s="35" t="str">
        <f t="shared" si="1"/>
        <v>A320</v>
      </c>
      <c r="E5" s="14" t="s">
        <v>37</v>
      </c>
      <c r="F5" s="35" t="s">
        <v>24</v>
      </c>
      <c r="G5" s="36">
        <v>71500</v>
      </c>
      <c r="H5" s="35" t="s">
        <v>57</v>
      </c>
      <c r="I5" s="35" t="s">
        <v>56</v>
      </c>
      <c r="J5" s="39">
        <v>0.69791666666666663</v>
      </c>
      <c r="K5" s="40">
        <v>0.70416666666666661</v>
      </c>
      <c r="L5" s="39">
        <v>0.52777777777777779</v>
      </c>
      <c r="M5" s="40">
        <v>0.54999999999999993</v>
      </c>
      <c r="N5" s="35" t="s">
        <v>88</v>
      </c>
      <c r="O5" s="29" t="s">
        <v>84</v>
      </c>
      <c r="P5" s="35">
        <v>849</v>
      </c>
      <c r="Q5" s="29">
        <v>1096</v>
      </c>
      <c r="R5" s="41">
        <v>0</v>
      </c>
      <c r="S5" s="41">
        <v>0</v>
      </c>
      <c r="T5" s="41">
        <v>0</v>
      </c>
      <c r="U5" s="41">
        <v>0</v>
      </c>
    </row>
    <row r="6" spans="1:21" x14ac:dyDescent="0.2">
      <c r="A6" s="37">
        <f t="shared" si="0"/>
        <v>43468</v>
      </c>
      <c r="B6" s="35" t="s">
        <v>21</v>
      </c>
      <c r="C6" s="35" t="s">
        <v>52</v>
      </c>
      <c r="D6" s="35" t="str">
        <f t="shared" si="1"/>
        <v>A320</v>
      </c>
      <c r="E6" s="14" t="s">
        <v>67</v>
      </c>
      <c r="F6" s="35" t="s">
        <v>24</v>
      </c>
      <c r="G6" s="38">
        <v>71500</v>
      </c>
      <c r="H6" s="35" t="s">
        <v>54</v>
      </c>
      <c r="I6" s="35" t="s">
        <v>53</v>
      </c>
      <c r="J6" s="39">
        <v>0.89930555555555547</v>
      </c>
      <c r="K6" s="40">
        <v>0.88680555555555562</v>
      </c>
      <c r="L6" s="39">
        <v>0.69444444444444453</v>
      </c>
      <c r="M6" s="40">
        <v>0.7055555555555556</v>
      </c>
      <c r="N6" s="35" t="s">
        <v>91</v>
      </c>
      <c r="O6" s="29" t="s">
        <v>89</v>
      </c>
      <c r="P6" s="35">
        <v>830</v>
      </c>
      <c r="Q6" s="29">
        <v>1378</v>
      </c>
      <c r="R6" s="41">
        <v>0</v>
      </c>
      <c r="S6" s="41">
        <v>0</v>
      </c>
      <c r="T6" s="41">
        <v>0</v>
      </c>
      <c r="U6" s="41">
        <v>0</v>
      </c>
    </row>
    <row r="7" spans="1:21" x14ac:dyDescent="0.2">
      <c r="A7" s="37">
        <f t="shared" si="0"/>
        <v>43468</v>
      </c>
      <c r="B7" s="35" t="s">
        <v>21</v>
      </c>
      <c r="C7" s="35" t="s">
        <v>33</v>
      </c>
      <c r="D7" s="35" t="str">
        <f t="shared" si="1"/>
        <v>A320</v>
      </c>
      <c r="E7" s="14" t="s">
        <v>37</v>
      </c>
      <c r="F7" s="35" t="s">
        <v>24</v>
      </c>
      <c r="G7" s="36">
        <v>71500</v>
      </c>
      <c r="H7" s="35" t="s">
        <v>34</v>
      </c>
      <c r="I7" s="35" t="s">
        <v>35</v>
      </c>
      <c r="J7" s="39">
        <v>0.91319444444444453</v>
      </c>
      <c r="K7" s="40">
        <v>0.90486111111111101</v>
      </c>
      <c r="L7" s="39">
        <v>0.74305555555555547</v>
      </c>
      <c r="M7" s="40">
        <v>0.74236111111111114</v>
      </c>
      <c r="N7" s="35" t="s">
        <v>92</v>
      </c>
      <c r="O7" s="29" t="s">
        <v>90</v>
      </c>
      <c r="P7" s="35">
        <v>737</v>
      </c>
      <c r="Q7" s="29">
        <v>1029</v>
      </c>
      <c r="R7" s="41">
        <v>0</v>
      </c>
      <c r="S7" s="41">
        <v>0</v>
      </c>
      <c r="T7" s="41">
        <v>0</v>
      </c>
      <c r="U7" s="41">
        <v>0</v>
      </c>
    </row>
    <row r="8" spans="1:21" x14ac:dyDescent="0.2">
      <c r="A8" s="37">
        <v>43468</v>
      </c>
      <c r="B8" s="35" t="s">
        <v>93</v>
      </c>
      <c r="C8" s="35" t="s">
        <v>94</v>
      </c>
      <c r="D8" s="35" t="s">
        <v>95</v>
      </c>
      <c r="E8" s="35" t="s">
        <v>96</v>
      </c>
      <c r="F8" s="35" t="s">
        <v>97</v>
      </c>
      <c r="G8" s="38">
        <v>7303</v>
      </c>
      <c r="H8" s="35" t="s">
        <v>96</v>
      </c>
      <c r="I8" s="35" t="s">
        <v>96</v>
      </c>
      <c r="J8" s="39">
        <v>0.95833333333333337</v>
      </c>
      <c r="K8" s="40">
        <v>0.96388888888888891</v>
      </c>
      <c r="L8" s="39">
        <v>0.96875</v>
      </c>
      <c r="M8" s="39">
        <v>0.97569444444444453</v>
      </c>
      <c r="N8" s="35" t="s">
        <v>98</v>
      </c>
      <c r="O8" s="29" t="s">
        <v>98</v>
      </c>
      <c r="P8" s="35">
        <v>0</v>
      </c>
      <c r="Q8" s="29">
        <v>0</v>
      </c>
      <c r="R8" s="41">
        <v>0</v>
      </c>
      <c r="S8" s="41">
        <v>0</v>
      </c>
      <c r="T8" s="41">
        <v>0</v>
      </c>
      <c r="U8" s="41">
        <v>0</v>
      </c>
    </row>
    <row r="9" spans="1:21" x14ac:dyDescent="0.2">
      <c r="A9" s="37"/>
      <c r="G9" s="38"/>
      <c r="J9" s="39"/>
      <c r="K9" s="40"/>
      <c r="L9" s="42"/>
      <c r="M9" s="42"/>
      <c r="R9" s="41"/>
      <c r="S9" s="41"/>
      <c r="T9" s="41"/>
      <c r="U9" s="41"/>
    </row>
    <row r="10" spans="1:21" x14ac:dyDescent="0.2">
      <c r="R10" s="41"/>
      <c r="S10" s="41"/>
      <c r="T10" s="41"/>
      <c r="U10" s="41"/>
    </row>
    <row r="11" spans="1:21" x14ac:dyDescent="0.2">
      <c r="R11" s="41"/>
      <c r="S11" s="41"/>
      <c r="T11" s="41"/>
      <c r="U11" s="4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U11"/>
  <sheetViews>
    <sheetView topLeftCell="G1" workbookViewId="0">
      <selection activeCell="P17" sqref="P17"/>
    </sheetView>
  </sheetViews>
  <sheetFormatPr defaultRowHeight="12.75" x14ac:dyDescent="0.2"/>
  <cols>
    <col min="1" max="1" width="10.140625" style="35" bestFit="1" customWidth="1"/>
    <col min="2" max="2" width="22.5703125" style="35" customWidth="1"/>
    <col min="3" max="3" width="18.5703125" style="35" customWidth="1"/>
    <col min="4" max="4" width="9.140625" style="35"/>
    <col min="5" max="5" width="15" style="35" customWidth="1"/>
    <col min="6" max="6" width="24.140625" style="35" customWidth="1"/>
    <col min="7" max="9" width="9.140625" style="35"/>
    <col min="10" max="10" width="12.7109375" style="35" customWidth="1"/>
    <col min="11" max="11" width="11.85546875" style="33" customWidth="1"/>
    <col min="12" max="12" width="11.140625" style="35" customWidth="1"/>
    <col min="13" max="13" width="11.42578125" style="35" customWidth="1"/>
    <col min="14" max="14" width="17" style="25" customWidth="1"/>
    <col min="15" max="15" width="17.140625" style="35" customWidth="1"/>
    <col min="16" max="16384" width="9.140625" style="35"/>
  </cols>
  <sheetData>
    <row r="1" spans="1:21" x14ac:dyDescent="0.2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33" t="s">
        <v>10</v>
      </c>
      <c r="L1" s="43" t="s">
        <v>11</v>
      </c>
      <c r="M1" s="43" t="s">
        <v>12</v>
      </c>
      <c r="N1" s="25" t="s">
        <v>13</v>
      </c>
      <c r="O1" s="43" t="s">
        <v>14</v>
      </c>
      <c r="P1" s="43" t="s">
        <v>15</v>
      </c>
      <c r="Q1" s="43" t="s">
        <v>16</v>
      </c>
      <c r="R1" s="43" t="s">
        <v>17</v>
      </c>
      <c r="S1" s="43" t="s">
        <v>18</v>
      </c>
      <c r="T1" s="43" t="s">
        <v>19</v>
      </c>
      <c r="U1" s="43" t="s">
        <v>20</v>
      </c>
    </row>
    <row r="2" spans="1:21" x14ac:dyDescent="0.2">
      <c r="A2" s="24">
        <v>43104</v>
      </c>
      <c r="B2" s="14" t="s">
        <v>21</v>
      </c>
      <c r="C2" s="14" t="s">
        <v>46</v>
      </c>
      <c r="D2" s="14" t="s">
        <v>23</v>
      </c>
      <c r="E2" s="14" t="s">
        <v>99</v>
      </c>
      <c r="F2" s="14" t="s">
        <v>24</v>
      </c>
      <c r="G2" s="36">
        <v>71500</v>
      </c>
      <c r="H2" s="14" t="s">
        <v>48</v>
      </c>
      <c r="I2" s="14" t="s">
        <v>47</v>
      </c>
      <c r="J2" s="21">
        <v>0.4826388888888889</v>
      </c>
      <c r="K2" s="33">
        <v>0.4770833333333333</v>
      </c>
      <c r="L2" s="21">
        <v>0.27777777777777779</v>
      </c>
      <c r="M2" s="22">
        <v>0.2951388888888889</v>
      </c>
      <c r="N2" s="25" t="s">
        <v>106</v>
      </c>
      <c r="O2" s="23" t="s">
        <v>100</v>
      </c>
      <c r="P2" s="23">
        <v>1101</v>
      </c>
      <c r="Q2" s="23">
        <v>1425</v>
      </c>
      <c r="R2" s="14">
        <v>0</v>
      </c>
      <c r="S2" s="14">
        <v>0</v>
      </c>
      <c r="T2" s="14">
        <v>0</v>
      </c>
      <c r="U2" s="14">
        <v>0</v>
      </c>
    </row>
    <row r="3" spans="1:21" x14ac:dyDescent="0.2">
      <c r="A3" s="24">
        <f t="shared" ref="A3:A4" si="0">A2</f>
        <v>43104</v>
      </c>
      <c r="B3" s="14" t="s">
        <v>21</v>
      </c>
      <c r="C3" s="14" t="s">
        <v>49</v>
      </c>
      <c r="D3" s="14" t="s">
        <v>23</v>
      </c>
      <c r="E3" s="14" t="s">
        <v>104</v>
      </c>
      <c r="F3" s="14" t="s">
        <v>24</v>
      </c>
      <c r="G3" s="36">
        <f>G2</f>
        <v>71500</v>
      </c>
      <c r="H3" s="14" t="s">
        <v>51</v>
      </c>
      <c r="I3" s="14" t="s">
        <v>50</v>
      </c>
      <c r="J3" s="21">
        <v>0.4826388888888889</v>
      </c>
      <c r="K3" s="33">
        <v>0.58611111111111114</v>
      </c>
      <c r="L3" s="21">
        <v>0.33333333333333331</v>
      </c>
      <c r="M3" s="22">
        <v>0.42152777777777778</v>
      </c>
      <c r="N3" s="25" t="s">
        <v>108</v>
      </c>
      <c r="O3" s="23" t="s">
        <v>273</v>
      </c>
      <c r="P3" s="14">
        <v>942</v>
      </c>
      <c r="Q3" s="23">
        <v>1346</v>
      </c>
      <c r="R3" s="14">
        <v>0</v>
      </c>
      <c r="S3" s="14">
        <v>0</v>
      </c>
      <c r="T3" s="14">
        <v>0</v>
      </c>
      <c r="U3" s="14">
        <v>0</v>
      </c>
    </row>
    <row r="4" spans="1:21" x14ac:dyDescent="0.2">
      <c r="A4" s="24">
        <f t="shared" si="0"/>
        <v>43104</v>
      </c>
      <c r="B4" s="25" t="s">
        <v>21</v>
      </c>
      <c r="C4" s="25" t="s">
        <v>61</v>
      </c>
      <c r="D4" s="25" t="s">
        <v>23</v>
      </c>
      <c r="E4" s="14" t="str">
        <f>E2</f>
        <v>HA-LWG</v>
      </c>
      <c r="F4" s="25" t="s">
        <v>24</v>
      </c>
      <c r="G4" s="44">
        <f>G3</f>
        <v>71500</v>
      </c>
      <c r="H4" s="25" t="s">
        <v>63</v>
      </c>
      <c r="I4" s="25" t="s">
        <v>62</v>
      </c>
      <c r="J4" s="32">
        <v>0.71180555555555547</v>
      </c>
      <c r="K4" s="33">
        <v>0.70694444444444438</v>
      </c>
      <c r="L4" s="32">
        <v>0.50347222222222221</v>
      </c>
      <c r="M4" s="33">
        <v>0.51250000000000007</v>
      </c>
      <c r="N4" s="25" t="s">
        <v>71</v>
      </c>
      <c r="O4" s="25" t="s">
        <v>107</v>
      </c>
      <c r="P4" s="25">
        <v>1314</v>
      </c>
      <c r="Q4" s="25">
        <v>1353</v>
      </c>
      <c r="R4" s="25">
        <v>0</v>
      </c>
      <c r="S4" s="25">
        <v>0</v>
      </c>
      <c r="T4" s="25">
        <v>0</v>
      </c>
      <c r="U4" s="25">
        <v>0</v>
      </c>
    </row>
    <row r="5" spans="1:21" x14ac:dyDescent="0.2">
      <c r="A5" s="37">
        <f>A4</f>
        <v>43104</v>
      </c>
      <c r="B5" s="25" t="s">
        <v>21</v>
      </c>
      <c r="C5" s="25" t="s">
        <v>55</v>
      </c>
      <c r="D5" s="14" t="s">
        <v>23</v>
      </c>
      <c r="E5" s="14" t="s">
        <v>37</v>
      </c>
      <c r="F5" s="25" t="s">
        <v>24</v>
      </c>
      <c r="G5" s="44">
        <f>G4</f>
        <v>71500</v>
      </c>
      <c r="H5" s="25" t="s">
        <v>57</v>
      </c>
      <c r="I5" s="25" t="s">
        <v>56</v>
      </c>
      <c r="J5" s="39">
        <v>0.69791666666666663</v>
      </c>
      <c r="K5" s="33">
        <v>0.78402777777777777</v>
      </c>
      <c r="L5" s="39">
        <v>0.52777777777777779</v>
      </c>
      <c r="M5" s="28">
        <v>0.62083333333333335</v>
      </c>
      <c r="N5" s="25" t="s">
        <v>109</v>
      </c>
      <c r="O5" s="25" t="s">
        <v>110</v>
      </c>
      <c r="P5" s="29">
        <v>784</v>
      </c>
      <c r="Q5" s="25">
        <v>1575</v>
      </c>
      <c r="R5" s="25">
        <v>0</v>
      </c>
      <c r="S5" s="25">
        <v>0</v>
      </c>
      <c r="T5" s="25">
        <v>0</v>
      </c>
      <c r="U5" s="25">
        <v>0</v>
      </c>
    </row>
    <row r="6" spans="1:21" x14ac:dyDescent="0.2">
      <c r="A6" s="24">
        <f>A4</f>
        <v>43104</v>
      </c>
      <c r="B6" s="25" t="s">
        <v>21</v>
      </c>
      <c r="C6" s="25" t="s">
        <v>58</v>
      </c>
      <c r="D6" s="25" t="s">
        <v>23</v>
      </c>
      <c r="E6" s="14" t="s">
        <v>67</v>
      </c>
      <c r="F6" s="25" t="s">
        <v>24</v>
      </c>
      <c r="G6" s="44">
        <f>G5</f>
        <v>71500</v>
      </c>
      <c r="H6" s="25" t="s">
        <v>59</v>
      </c>
      <c r="I6" s="25" t="s">
        <v>60</v>
      </c>
      <c r="J6" s="26">
        <v>0.95486111111111116</v>
      </c>
      <c r="K6" s="32">
        <v>0.97222222222222221</v>
      </c>
      <c r="L6" s="26">
        <v>0.71875</v>
      </c>
      <c r="M6" s="45">
        <v>0.74791666666666667</v>
      </c>
      <c r="N6" s="25" t="s">
        <v>113</v>
      </c>
      <c r="O6" s="25" t="s">
        <v>111</v>
      </c>
      <c r="P6" s="46">
        <v>1464</v>
      </c>
      <c r="Q6" s="25">
        <v>1885</v>
      </c>
      <c r="R6" s="25">
        <v>0</v>
      </c>
      <c r="S6" s="25">
        <v>0</v>
      </c>
      <c r="T6" s="25">
        <v>0</v>
      </c>
      <c r="U6" s="25">
        <v>0</v>
      </c>
    </row>
    <row r="7" spans="1:21" x14ac:dyDescent="0.2">
      <c r="A7" s="24">
        <f>A6</f>
        <v>43104</v>
      </c>
      <c r="B7" s="25" t="s">
        <v>21</v>
      </c>
      <c r="C7" s="43" t="s">
        <v>52</v>
      </c>
      <c r="D7" s="14" t="s">
        <v>23</v>
      </c>
      <c r="E7" s="43" t="s">
        <v>37</v>
      </c>
      <c r="F7" s="25" t="s">
        <v>24</v>
      </c>
      <c r="G7" s="44">
        <f>G6</f>
        <v>71500</v>
      </c>
      <c r="H7" s="43" t="s">
        <v>54</v>
      </c>
      <c r="I7" s="43" t="s">
        <v>53</v>
      </c>
      <c r="J7" s="47">
        <v>0.94791666666666663</v>
      </c>
      <c r="K7" s="32">
        <v>2.2222222222222223E-2</v>
      </c>
      <c r="L7" s="47">
        <v>0.74305555555555547</v>
      </c>
      <c r="M7" s="22">
        <v>0.8305555555555556</v>
      </c>
      <c r="N7" s="25" t="s">
        <v>114</v>
      </c>
      <c r="O7" s="25" t="s">
        <v>112</v>
      </c>
      <c r="P7" s="25">
        <v>815</v>
      </c>
      <c r="Q7" s="25">
        <v>1691</v>
      </c>
      <c r="R7" s="25">
        <v>0</v>
      </c>
      <c r="S7" s="25">
        <v>0</v>
      </c>
      <c r="T7" s="25">
        <v>0</v>
      </c>
      <c r="U7" s="25">
        <v>0</v>
      </c>
    </row>
    <row r="8" spans="1:21" x14ac:dyDescent="0.2">
      <c r="A8" s="24">
        <f>A7</f>
        <v>43104</v>
      </c>
      <c r="B8" s="25" t="s">
        <v>93</v>
      </c>
      <c r="C8" s="25" t="s">
        <v>94</v>
      </c>
      <c r="D8" s="25" t="s">
        <v>95</v>
      </c>
      <c r="E8" s="14" t="s">
        <v>101</v>
      </c>
      <c r="F8" s="25" t="s">
        <v>102</v>
      </c>
      <c r="G8" s="44">
        <v>7303</v>
      </c>
      <c r="H8" s="14" t="s">
        <v>103</v>
      </c>
      <c r="I8" s="14" t="s">
        <v>103</v>
      </c>
      <c r="J8" s="39">
        <v>0.3611111111111111</v>
      </c>
      <c r="K8" s="33">
        <v>0.3666666666666667</v>
      </c>
      <c r="L8" s="39">
        <v>0.375</v>
      </c>
      <c r="M8" s="40">
        <v>0.37708333333333338</v>
      </c>
      <c r="N8" s="25">
        <v>0</v>
      </c>
      <c r="O8" s="25">
        <v>0</v>
      </c>
      <c r="P8" s="25">
        <v>0</v>
      </c>
      <c r="Q8" s="25">
        <v>0</v>
      </c>
      <c r="R8" s="25">
        <v>0</v>
      </c>
      <c r="S8" s="25">
        <v>0</v>
      </c>
      <c r="T8" s="25">
        <v>0</v>
      </c>
      <c r="U8" s="25">
        <v>0</v>
      </c>
    </row>
    <row r="9" spans="1:21" x14ac:dyDescent="0.2">
      <c r="A9" s="37"/>
      <c r="G9" s="38"/>
      <c r="J9" s="39"/>
    </row>
    <row r="10" spans="1:21" x14ac:dyDescent="0.2">
      <c r="A10" s="37"/>
      <c r="G10" s="38"/>
      <c r="J10" s="39"/>
    </row>
    <row r="11" spans="1:21" x14ac:dyDescent="0.2">
      <c r="A11" s="37"/>
      <c r="G11" s="38"/>
    </row>
  </sheetData>
  <pageMargins left="0.7" right="0.7" top="0.75" bottom="0.75" header="0.3" footer="0.3"/>
  <pageSetup paperSize="9" orientation="portrait" r:id="rId1"/>
  <ignoredErrors>
    <ignoredError sqref="A6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U6"/>
  <sheetViews>
    <sheetView workbookViewId="0">
      <selection activeCell="J16" sqref="J16"/>
    </sheetView>
  </sheetViews>
  <sheetFormatPr defaultRowHeight="15" x14ac:dyDescent="0.25"/>
  <cols>
    <col min="2" max="2" width="11.85546875" customWidth="1"/>
    <col min="3" max="3" width="15" customWidth="1"/>
    <col min="6" max="6" width="18.7109375" customWidth="1"/>
    <col min="9" max="9" width="10.140625" customWidth="1"/>
    <col min="10" max="10" width="11.5703125" customWidth="1"/>
    <col min="11" max="11" width="13.28515625" customWidth="1"/>
    <col min="12" max="12" width="11.85546875" customWidth="1"/>
    <col min="13" max="13" width="11" customWidth="1"/>
    <col min="14" max="14" width="19.7109375" customWidth="1"/>
    <col min="15" max="15" width="19.140625" customWidth="1"/>
    <col min="16" max="16" width="9.85546875" customWidth="1"/>
    <col min="17" max="17" width="10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43470</v>
      </c>
      <c r="B2" s="3" t="s">
        <v>21</v>
      </c>
      <c r="C2" s="3" t="s">
        <v>22</v>
      </c>
      <c r="D2" s="3" t="s">
        <v>23</v>
      </c>
      <c r="E2" s="3" t="s">
        <v>67</v>
      </c>
      <c r="F2" s="3" t="s">
        <v>24</v>
      </c>
      <c r="G2" s="4">
        <v>71500</v>
      </c>
      <c r="H2" s="3" t="s">
        <v>25</v>
      </c>
      <c r="I2" s="3" t="s">
        <v>26</v>
      </c>
      <c r="J2" s="5">
        <v>0.49652777777777773</v>
      </c>
      <c r="K2" s="6">
        <v>0.50902777777777775</v>
      </c>
      <c r="L2" s="5">
        <v>0.3125</v>
      </c>
      <c r="M2" s="6">
        <v>0.3354166666666667</v>
      </c>
      <c r="N2" s="6" t="s">
        <v>118</v>
      </c>
      <c r="O2" s="7" t="s">
        <v>116</v>
      </c>
      <c r="P2" s="7">
        <v>1335</v>
      </c>
      <c r="Q2" s="7">
        <v>1423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43470</v>
      </c>
      <c r="B3" s="3" t="s">
        <v>21</v>
      </c>
      <c r="C3" s="3" t="s">
        <v>115</v>
      </c>
      <c r="D3" s="3" t="s">
        <v>23</v>
      </c>
      <c r="E3" s="3" t="s">
        <v>37</v>
      </c>
      <c r="F3" s="3" t="s">
        <v>24</v>
      </c>
      <c r="G3" s="4">
        <v>71500</v>
      </c>
      <c r="H3" s="3" t="s">
        <v>28</v>
      </c>
      <c r="I3" s="3" t="s">
        <v>29</v>
      </c>
      <c r="J3" s="5">
        <v>0.49305555555555558</v>
      </c>
      <c r="K3" s="6">
        <v>0.54791666666666672</v>
      </c>
      <c r="L3" s="5">
        <v>0.35416666666666669</v>
      </c>
      <c r="M3" s="6">
        <v>0.37777777777777777</v>
      </c>
      <c r="N3" s="6" t="s">
        <v>119</v>
      </c>
      <c r="O3" s="41" t="s">
        <v>117</v>
      </c>
      <c r="P3" s="3">
        <v>888</v>
      </c>
      <c r="Q3" s="41">
        <v>898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43470</v>
      </c>
      <c r="B4" s="8" t="s">
        <v>21</v>
      </c>
      <c r="C4" s="8" t="s">
        <v>30</v>
      </c>
      <c r="D4" s="8" t="s">
        <v>23</v>
      </c>
      <c r="E4" s="3" t="s">
        <v>67</v>
      </c>
      <c r="F4" s="8" t="s">
        <v>24</v>
      </c>
      <c r="G4" s="9">
        <v>71500</v>
      </c>
      <c r="H4" s="8" t="s">
        <v>31</v>
      </c>
      <c r="I4" s="8" t="s">
        <v>32</v>
      </c>
      <c r="J4" s="10">
        <v>0.72222222222222221</v>
      </c>
      <c r="K4" s="11">
        <v>0.75347222222222221</v>
      </c>
      <c r="L4" s="10">
        <v>0.52777777777777779</v>
      </c>
      <c r="M4" s="11">
        <v>0.56458333333333333</v>
      </c>
      <c r="N4" s="7" t="s">
        <v>121</v>
      </c>
      <c r="O4" s="7" t="s">
        <v>120</v>
      </c>
      <c r="P4" s="3">
        <v>1410</v>
      </c>
      <c r="Q4" s="7">
        <v>1526</v>
      </c>
      <c r="R4" s="8">
        <v>0</v>
      </c>
      <c r="S4" s="8">
        <v>0</v>
      </c>
      <c r="T4" s="8">
        <v>0</v>
      </c>
      <c r="U4" s="8">
        <v>0</v>
      </c>
    </row>
    <row r="5" spans="1:21" x14ac:dyDescent="0.25">
      <c r="A5" s="2">
        <v>43470</v>
      </c>
      <c r="B5" s="8" t="s">
        <v>21</v>
      </c>
      <c r="C5" s="8" t="s">
        <v>33</v>
      </c>
      <c r="D5" s="8" t="s">
        <v>23</v>
      </c>
      <c r="E5" s="3" t="s">
        <v>67</v>
      </c>
      <c r="F5" s="8" t="s">
        <v>24</v>
      </c>
      <c r="G5" s="9">
        <v>71500</v>
      </c>
      <c r="H5" s="8" t="s">
        <v>34</v>
      </c>
      <c r="I5" s="8" t="s">
        <v>35</v>
      </c>
      <c r="J5" s="12">
        <v>0.91319444444444453</v>
      </c>
      <c r="K5" s="13" t="s">
        <v>129</v>
      </c>
      <c r="L5" s="12">
        <v>0.74305555555555547</v>
      </c>
      <c r="M5" s="48">
        <v>0.81874999999999998</v>
      </c>
      <c r="N5" s="50"/>
      <c r="O5" s="7" t="s">
        <v>122</v>
      </c>
      <c r="P5" s="49"/>
      <c r="Q5" s="7">
        <v>1403</v>
      </c>
      <c r="R5" s="8">
        <v>0</v>
      </c>
      <c r="S5" s="8">
        <v>0</v>
      </c>
      <c r="T5" s="8">
        <v>0</v>
      </c>
      <c r="U5" s="8">
        <v>0</v>
      </c>
    </row>
    <row r="6" spans="1:21" x14ac:dyDescent="0.25">
      <c r="A6" s="2">
        <v>43470</v>
      </c>
      <c r="B6" s="8" t="s">
        <v>123</v>
      </c>
      <c r="C6" s="8" t="s">
        <v>124</v>
      </c>
      <c r="D6" s="8" t="s">
        <v>125</v>
      </c>
      <c r="E6" s="3" t="s">
        <v>126</v>
      </c>
      <c r="F6" s="8" t="s">
        <v>127</v>
      </c>
      <c r="G6" s="9">
        <v>70000</v>
      </c>
      <c r="H6" s="8" t="s">
        <v>128</v>
      </c>
      <c r="I6" s="8" t="s">
        <v>128</v>
      </c>
      <c r="J6" s="40">
        <v>0.65972222222222221</v>
      </c>
      <c r="K6" s="40">
        <v>0.6791666666666667</v>
      </c>
      <c r="L6" s="40">
        <v>0.67361111111111116</v>
      </c>
      <c r="M6" s="40">
        <v>0.68958333333333333</v>
      </c>
      <c r="N6" s="51"/>
      <c r="O6" s="51"/>
      <c r="P6" s="51"/>
      <c r="Q6" s="51"/>
      <c r="R6" s="8">
        <v>0</v>
      </c>
      <c r="S6" s="8">
        <v>0</v>
      </c>
      <c r="T6" s="8">
        <v>0</v>
      </c>
      <c r="U6" s="8">
        <v>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U7"/>
  <sheetViews>
    <sheetView workbookViewId="0">
      <selection activeCell="C32" sqref="C32"/>
    </sheetView>
  </sheetViews>
  <sheetFormatPr defaultRowHeight="15" x14ac:dyDescent="0.25"/>
  <cols>
    <col min="2" max="2" width="10.5703125" customWidth="1"/>
    <col min="3" max="3" width="15" customWidth="1"/>
    <col min="5" max="5" width="15.7109375" customWidth="1"/>
    <col min="6" max="6" width="23.42578125" customWidth="1"/>
    <col min="10" max="10" width="11" customWidth="1"/>
    <col min="11" max="11" width="12.28515625" customWidth="1"/>
    <col min="12" max="12" width="11.85546875" customWidth="1"/>
    <col min="13" max="13" width="13.42578125" customWidth="1"/>
    <col min="14" max="14" width="19.140625" customWidth="1"/>
    <col min="15" max="15" width="18.140625" customWidth="1"/>
  </cols>
  <sheetData>
    <row r="1" spans="1:21" s="41" customFormat="1" ht="12.75" x14ac:dyDescent="0.25">
      <c r="A1" s="52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2" t="s">
        <v>8</v>
      </c>
      <c r="J1" s="52" t="s">
        <v>9</v>
      </c>
      <c r="K1" s="52" t="s">
        <v>10</v>
      </c>
      <c r="L1" s="52" t="s">
        <v>11</v>
      </c>
      <c r="M1" s="52" t="s">
        <v>12</v>
      </c>
      <c r="N1" s="52" t="s">
        <v>13</v>
      </c>
      <c r="O1" s="52" t="s">
        <v>14</v>
      </c>
      <c r="P1" s="52" t="s">
        <v>15</v>
      </c>
      <c r="Q1" s="52" t="s">
        <v>16</v>
      </c>
      <c r="R1" s="52" t="s">
        <v>17</v>
      </c>
      <c r="S1" s="52" t="s">
        <v>18</v>
      </c>
      <c r="T1" s="52" t="s">
        <v>19</v>
      </c>
      <c r="U1" s="52" t="s">
        <v>20</v>
      </c>
    </row>
    <row r="2" spans="1:21" s="41" customFormat="1" ht="12.75" x14ac:dyDescent="0.25">
      <c r="A2" s="2">
        <v>43471</v>
      </c>
      <c r="B2" s="14" t="s">
        <v>21</v>
      </c>
      <c r="C2" s="14" t="s">
        <v>46</v>
      </c>
      <c r="D2" s="14" t="s">
        <v>23</v>
      </c>
      <c r="E2" s="8" t="s">
        <v>133</v>
      </c>
      <c r="F2" s="14" t="s">
        <v>24</v>
      </c>
      <c r="G2" s="36">
        <v>71500</v>
      </c>
      <c r="H2" s="14" t="s">
        <v>48</v>
      </c>
      <c r="I2" s="14" t="s">
        <v>47</v>
      </c>
      <c r="J2" s="21">
        <v>0.4826388888888889</v>
      </c>
      <c r="K2" s="22">
        <v>0.4770833333333333</v>
      </c>
      <c r="L2" s="21">
        <v>0.27777777777777779</v>
      </c>
      <c r="M2" s="22">
        <v>0.31180555555555556</v>
      </c>
      <c r="N2" s="23" t="s">
        <v>132</v>
      </c>
      <c r="O2" s="23" t="s">
        <v>131</v>
      </c>
      <c r="P2" s="23">
        <v>1317</v>
      </c>
      <c r="Q2" s="23">
        <v>1219</v>
      </c>
      <c r="R2" s="14">
        <v>0</v>
      </c>
      <c r="S2" s="14">
        <v>0</v>
      </c>
      <c r="T2" s="14">
        <v>0</v>
      </c>
      <c r="U2" s="14">
        <v>0</v>
      </c>
    </row>
    <row r="3" spans="1:21" s="41" customFormat="1" ht="12.75" x14ac:dyDescent="0.25">
      <c r="A3" s="2">
        <f>A2</f>
        <v>43471</v>
      </c>
      <c r="B3" s="14" t="s">
        <v>21</v>
      </c>
      <c r="C3" s="14" t="s">
        <v>78</v>
      </c>
      <c r="D3" s="14" t="s">
        <v>23</v>
      </c>
      <c r="E3" s="14" t="s">
        <v>130</v>
      </c>
      <c r="F3" s="14" t="s">
        <v>24</v>
      </c>
      <c r="G3" s="36">
        <v>71500</v>
      </c>
      <c r="H3" s="14" t="s">
        <v>79</v>
      </c>
      <c r="I3" s="14" t="s">
        <v>80</v>
      </c>
      <c r="J3" s="21">
        <v>0.65277777777777779</v>
      </c>
      <c r="K3" s="22">
        <v>0.66041666666666665</v>
      </c>
      <c r="L3" s="21">
        <v>0.5</v>
      </c>
      <c r="M3" s="22">
        <v>0.51250000000000007</v>
      </c>
      <c r="N3" s="23" t="s">
        <v>140</v>
      </c>
      <c r="O3" s="23" t="s">
        <v>138</v>
      </c>
      <c r="P3" s="14">
        <v>1314</v>
      </c>
      <c r="Q3" s="23">
        <v>1513</v>
      </c>
      <c r="R3" s="14">
        <v>0</v>
      </c>
      <c r="S3" s="14">
        <v>0</v>
      </c>
      <c r="T3" s="14">
        <v>0</v>
      </c>
      <c r="U3" s="14">
        <v>0</v>
      </c>
    </row>
    <row r="4" spans="1:21" s="8" customFormat="1" ht="12.75" x14ac:dyDescent="0.25">
      <c r="A4" s="53">
        <f>A3</f>
        <v>43471</v>
      </c>
      <c r="B4" s="8" t="s">
        <v>21</v>
      </c>
      <c r="C4" s="8" t="s">
        <v>55</v>
      </c>
      <c r="D4" s="8" t="s">
        <v>23</v>
      </c>
      <c r="E4" s="8" t="s">
        <v>67</v>
      </c>
      <c r="F4" s="8" t="s">
        <v>24</v>
      </c>
      <c r="G4" s="9">
        <v>71500</v>
      </c>
      <c r="H4" s="8" t="s">
        <v>57</v>
      </c>
      <c r="I4" s="8" t="s">
        <v>56</v>
      </c>
      <c r="J4" s="10">
        <v>0.69791666666666663</v>
      </c>
      <c r="K4" s="11">
        <v>0.70277777777777783</v>
      </c>
      <c r="L4" s="10">
        <v>0.52777777777777779</v>
      </c>
      <c r="M4" s="11">
        <v>0.54305555555555551</v>
      </c>
      <c r="N4" s="8" t="s">
        <v>141</v>
      </c>
      <c r="O4" s="54" t="s">
        <v>139</v>
      </c>
      <c r="P4" s="8">
        <v>870</v>
      </c>
      <c r="Q4" s="8">
        <v>1742</v>
      </c>
      <c r="R4" s="8">
        <v>0</v>
      </c>
      <c r="S4" s="8">
        <v>0</v>
      </c>
      <c r="T4" s="8">
        <v>0</v>
      </c>
      <c r="U4" s="8">
        <v>0</v>
      </c>
    </row>
    <row r="5" spans="1:21" s="41" customFormat="1" ht="12.75" x14ac:dyDescent="0.25">
      <c r="A5" s="53">
        <f>A4</f>
        <v>43471</v>
      </c>
      <c r="B5" s="8" t="s">
        <v>21</v>
      </c>
      <c r="C5" s="8" t="s">
        <v>52</v>
      </c>
      <c r="D5" s="8" t="s">
        <v>23</v>
      </c>
      <c r="E5" s="8" t="s">
        <v>130</v>
      </c>
      <c r="F5" s="8" t="s">
        <v>24</v>
      </c>
      <c r="G5" s="9">
        <v>71500</v>
      </c>
      <c r="H5" s="8" t="s">
        <v>54</v>
      </c>
      <c r="I5" s="8" t="s">
        <v>53</v>
      </c>
      <c r="J5" s="26">
        <v>0.88888888888888884</v>
      </c>
      <c r="K5" s="27">
        <v>0.87222222222222223</v>
      </c>
      <c r="L5" s="26">
        <v>0.68402777777777779</v>
      </c>
      <c r="M5" s="27">
        <v>0.68888888888888899</v>
      </c>
      <c r="N5" s="55" t="s">
        <v>144</v>
      </c>
      <c r="O5" s="8" t="s">
        <v>142</v>
      </c>
      <c r="P5" s="55">
        <v>802</v>
      </c>
      <c r="Q5" s="8">
        <v>1568</v>
      </c>
      <c r="R5" s="8">
        <v>0</v>
      </c>
      <c r="S5" s="8">
        <v>0</v>
      </c>
      <c r="T5" s="8">
        <v>0</v>
      </c>
      <c r="U5" s="8">
        <v>0</v>
      </c>
    </row>
    <row r="6" spans="1:21" x14ac:dyDescent="0.25">
      <c r="A6" s="53">
        <f>A5</f>
        <v>43471</v>
      </c>
      <c r="B6" s="8" t="s">
        <v>21</v>
      </c>
      <c r="C6" s="8" t="s">
        <v>58</v>
      </c>
      <c r="D6" s="8" t="s">
        <v>23</v>
      </c>
      <c r="E6" s="8" t="s">
        <v>67</v>
      </c>
      <c r="F6" s="8" t="s">
        <v>24</v>
      </c>
      <c r="G6" s="36">
        <v>71500</v>
      </c>
      <c r="H6" s="8" t="s">
        <v>59</v>
      </c>
      <c r="I6" s="8" t="s">
        <v>60</v>
      </c>
      <c r="J6" s="26">
        <v>0.95486111111111116</v>
      </c>
      <c r="K6" s="27">
        <v>0.96875</v>
      </c>
      <c r="L6" s="26">
        <v>0.71875</v>
      </c>
      <c r="M6" s="27">
        <v>0.74305555555555547</v>
      </c>
      <c r="N6" s="8" t="s">
        <v>145</v>
      </c>
      <c r="O6" s="8" t="s">
        <v>143</v>
      </c>
      <c r="P6" s="8">
        <v>1306</v>
      </c>
      <c r="Q6" s="8">
        <v>1833</v>
      </c>
      <c r="R6" s="8">
        <v>0</v>
      </c>
      <c r="S6" s="8">
        <v>0</v>
      </c>
      <c r="T6" s="8">
        <v>0</v>
      </c>
      <c r="U6" s="8">
        <v>0</v>
      </c>
    </row>
    <row r="7" spans="1:21" s="31" customFormat="1" ht="12.75" x14ac:dyDescent="0.2">
      <c r="A7" s="37">
        <v>43471</v>
      </c>
      <c r="B7" s="8" t="s">
        <v>21</v>
      </c>
      <c r="C7" s="8" t="s">
        <v>134</v>
      </c>
      <c r="D7" s="8" t="s">
        <v>23</v>
      </c>
      <c r="E7" s="8" t="s">
        <v>67</v>
      </c>
      <c r="F7" s="8" t="s">
        <v>135</v>
      </c>
      <c r="G7" s="36">
        <v>71500</v>
      </c>
      <c r="H7" s="8" t="s">
        <v>136</v>
      </c>
      <c r="I7" s="8" t="s">
        <v>137</v>
      </c>
      <c r="J7" s="40">
        <v>0.51041666666666663</v>
      </c>
      <c r="K7" s="40">
        <v>0.49305555555555558</v>
      </c>
      <c r="L7" s="35" t="s">
        <v>137</v>
      </c>
      <c r="M7" s="35" t="s">
        <v>137</v>
      </c>
      <c r="N7" s="35" t="s">
        <v>98</v>
      </c>
      <c r="O7" s="35" t="s">
        <v>103</v>
      </c>
      <c r="P7" s="35">
        <v>0</v>
      </c>
      <c r="Q7" s="35">
        <v>0</v>
      </c>
      <c r="R7" s="8">
        <v>0</v>
      </c>
      <c r="S7" s="8">
        <v>0</v>
      </c>
      <c r="T7" s="8">
        <v>0</v>
      </c>
      <c r="U7" s="8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U7"/>
  <sheetViews>
    <sheetView topLeftCell="B1" workbookViewId="0">
      <selection activeCell="B1" sqref="A1:XFD7"/>
    </sheetView>
  </sheetViews>
  <sheetFormatPr defaultRowHeight="15" x14ac:dyDescent="0.25"/>
  <cols>
    <col min="2" max="2" width="10.5703125" customWidth="1"/>
    <col min="3" max="3" width="15" customWidth="1"/>
    <col min="5" max="5" width="15.7109375" customWidth="1"/>
    <col min="6" max="6" width="23.42578125" customWidth="1"/>
    <col min="10" max="10" width="11" customWidth="1"/>
    <col min="11" max="11" width="12.28515625" customWidth="1"/>
    <col min="12" max="12" width="11.85546875" customWidth="1"/>
    <col min="13" max="13" width="13.42578125" customWidth="1"/>
    <col min="14" max="14" width="19.140625" customWidth="1"/>
    <col min="15" max="15" width="18.140625" customWidth="1"/>
  </cols>
  <sheetData>
    <row r="1" spans="1:21" s="41" customFormat="1" ht="12.75" x14ac:dyDescent="0.25">
      <c r="A1" s="52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2" t="s">
        <v>8</v>
      </c>
      <c r="J1" s="52" t="s">
        <v>9</v>
      </c>
      <c r="K1" s="52" t="s">
        <v>10</v>
      </c>
      <c r="L1" s="52" t="s">
        <v>11</v>
      </c>
      <c r="M1" s="52" t="s">
        <v>12</v>
      </c>
      <c r="N1" s="52" t="s">
        <v>13</v>
      </c>
      <c r="O1" s="52" t="s">
        <v>14</v>
      </c>
      <c r="P1" s="52" t="s">
        <v>15</v>
      </c>
      <c r="Q1" s="52" t="s">
        <v>16</v>
      </c>
      <c r="R1" s="52" t="s">
        <v>17</v>
      </c>
      <c r="S1" s="52" t="s">
        <v>18</v>
      </c>
      <c r="T1" s="52" t="s">
        <v>19</v>
      </c>
      <c r="U1" s="52" t="s">
        <v>20</v>
      </c>
    </row>
    <row r="2" spans="1:21" s="41" customFormat="1" ht="12.75" x14ac:dyDescent="0.25">
      <c r="A2" s="2">
        <v>43472</v>
      </c>
      <c r="B2" s="16" t="s">
        <v>21</v>
      </c>
      <c r="C2" s="16" t="s">
        <v>46</v>
      </c>
      <c r="D2" s="16" t="s">
        <v>23</v>
      </c>
      <c r="E2" s="16" t="s">
        <v>130</v>
      </c>
      <c r="F2" s="16" t="s">
        <v>24</v>
      </c>
      <c r="G2" s="17">
        <v>71500</v>
      </c>
      <c r="H2" s="16" t="s">
        <v>47</v>
      </c>
      <c r="I2" s="16" t="s">
        <v>48</v>
      </c>
      <c r="J2" s="18">
        <v>0.4826388888888889</v>
      </c>
      <c r="K2" s="19">
        <v>0.47986111111111113</v>
      </c>
      <c r="L2" s="18">
        <v>0.27777777777777779</v>
      </c>
      <c r="M2" s="22">
        <v>0.2951388888888889</v>
      </c>
      <c r="N2" s="23" t="s">
        <v>150</v>
      </c>
      <c r="O2" s="23" t="s">
        <v>147</v>
      </c>
      <c r="P2" s="23">
        <v>1059</v>
      </c>
      <c r="Q2" s="23">
        <v>1082</v>
      </c>
      <c r="R2" s="14">
        <v>0</v>
      </c>
      <c r="S2" s="14">
        <v>0</v>
      </c>
      <c r="T2" s="14">
        <v>0</v>
      </c>
      <c r="U2" s="14">
        <v>0</v>
      </c>
    </row>
    <row r="3" spans="1:21" s="41" customFormat="1" ht="12.75" x14ac:dyDescent="0.25">
      <c r="A3" s="2">
        <f>A2</f>
        <v>43472</v>
      </c>
      <c r="B3" s="16" t="s">
        <v>21</v>
      </c>
      <c r="C3" s="16" t="s">
        <v>49</v>
      </c>
      <c r="D3" s="16" t="s">
        <v>23</v>
      </c>
      <c r="E3" s="16" t="s">
        <v>67</v>
      </c>
      <c r="F3" s="16" t="s">
        <v>24</v>
      </c>
      <c r="G3" s="17">
        <v>71500</v>
      </c>
      <c r="H3" s="16" t="s">
        <v>50</v>
      </c>
      <c r="I3" s="16" t="s">
        <v>51</v>
      </c>
      <c r="J3" s="18">
        <v>0.4826388888888889</v>
      </c>
      <c r="K3" s="19">
        <v>0.50069444444444444</v>
      </c>
      <c r="L3" s="18">
        <v>0.33333333333333331</v>
      </c>
      <c r="M3" s="22">
        <v>0.34722222222222227</v>
      </c>
      <c r="N3" s="23" t="s">
        <v>151</v>
      </c>
      <c r="O3" s="23" t="s">
        <v>148</v>
      </c>
      <c r="P3" s="14">
        <v>655</v>
      </c>
      <c r="Q3" s="23">
        <v>1043</v>
      </c>
      <c r="R3" s="14">
        <v>0</v>
      </c>
      <c r="S3" s="14">
        <v>0</v>
      </c>
      <c r="T3" s="14">
        <v>0</v>
      </c>
      <c r="U3" s="14">
        <v>0</v>
      </c>
    </row>
    <row r="4" spans="1:21" s="8" customFormat="1" ht="12.75" x14ac:dyDescent="0.25">
      <c r="A4" s="53">
        <f>A3</f>
        <v>43472</v>
      </c>
      <c r="B4" s="25" t="s">
        <v>21</v>
      </c>
      <c r="C4" s="25" t="s">
        <v>61</v>
      </c>
      <c r="D4" s="25" t="s">
        <v>23</v>
      </c>
      <c r="E4" s="16" t="s">
        <v>67</v>
      </c>
      <c r="F4" s="25" t="s">
        <v>24</v>
      </c>
      <c r="G4" s="44">
        <v>71500</v>
      </c>
      <c r="H4" s="25" t="s">
        <v>62</v>
      </c>
      <c r="I4" s="25" t="s">
        <v>63</v>
      </c>
      <c r="J4" s="32">
        <v>0.71180555555555547</v>
      </c>
      <c r="K4" s="33">
        <v>0.72986111111111107</v>
      </c>
      <c r="L4" s="32">
        <v>0.50347222222222221</v>
      </c>
      <c r="M4" s="11">
        <v>0.54305555555555551</v>
      </c>
      <c r="N4" s="8" t="s">
        <v>156</v>
      </c>
      <c r="O4" s="54" t="s">
        <v>152</v>
      </c>
      <c r="P4" s="8">
        <v>1081</v>
      </c>
      <c r="Q4" s="8">
        <v>1102</v>
      </c>
      <c r="R4" s="8">
        <v>0</v>
      </c>
      <c r="S4" s="8">
        <v>0</v>
      </c>
      <c r="T4" s="8">
        <v>0</v>
      </c>
      <c r="U4" s="8">
        <v>0</v>
      </c>
    </row>
    <row r="5" spans="1:21" s="41" customFormat="1" ht="12.75" x14ac:dyDescent="0.25">
      <c r="A5" s="53">
        <f>A4</f>
        <v>43472</v>
      </c>
      <c r="B5" s="8" t="s">
        <v>21</v>
      </c>
      <c r="C5" s="8" t="s">
        <v>55</v>
      </c>
      <c r="D5" s="8" t="s">
        <v>23</v>
      </c>
      <c r="E5" s="16" t="s">
        <v>149</v>
      </c>
      <c r="F5" s="8" t="s">
        <v>24</v>
      </c>
      <c r="G5" s="17">
        <v>70000</v>
      </c>
      <c r="H5" s="8" t="s">
        <v>57</v>
      </c>
      <c r="I5" s="8" t="s">
        <v>56</v>
      </c>
      <c r="J5" s="10">
        <v>0.69791666666666663</v>
      </c>
      <c r="K5" s="11">
        <v>0.71388888888888891</v>
      </c>
      <c r="L5" s="10">
        <v>0.52777777777777779</v>
      </c>
      <c r="M5" s="27">
        <v>0.56458333333333333</v>
      </c>
      <c r="N5" s="55" t="s">
        <v>157</v>
      </c>
      <c r="O5" s="8" t="s">
        <v>153</v>
      </c>
      <c r="P5" s="55">
        <v>531</v>
      </c>
      <c r="Q5" s="8">
        <v>1248</v>
      </c>
      <c r="R5" s="8">
        <v>0</v>
      </c>
      <c r="S5" s="8">
        <v>0</v>
      </c>
      <c r="T5" s="8">
        <v>0</v>
      </c>
      <c r="U5" s="8">
        <v>0</v>
      </c>
    </row>
    <row r="6" spans="1:21" x14ac:dyDescent="0.25">
      <c r="A6" s="53">
        <f>A5</f>
        <v>43472</v>
      </c>
      <c r="B6" s="8" t="s">
        <v>21</v>
      </c>
      <c r="C6" s="8" t="s">
        <v>58</v>
      </c>
      <c r="D6" s="8" t="s">
        <v>23</v>
      </c>
      <c r="E6" s="16" t="s">
        <v>149</v>
      </c>
      <c r="F6" s="8" t="s">
        <v>24</v>
      </c>
      <c r="G6" s="17">
        <v>70000</v>
      </c>
      <c r="H6" s="8" t="s">
        <v>59</v>
      </c>
      <c r="I6" s="8" t="s">
        <v>60</v>
      </c>
      <c r="J6" s="26">
        <v>0.95486111111111116</v>
      </c>
      <c r="K6" s="27">
        <v>0.98055555555555562</v>
      </c>
      <c r="L6" s="26">
        <v>0.71875</v>
      </c>
      <c r="M6" s="27">
        <v>0.75416666666666676</v>
      </c>
      <c r="N6" s="8" t="s">
        <v>158</v>
      </c>
      <c r="O6" s="8" t="s">
        <v>154</v>
      </c>
      <c r="P6" s="8">
        <v>955</v>
      </c>
      <c r="Q6" s="8">
        <v>1492</v>
      </c>
      <c r="R6" s="8">
        <v>0</v>
      </c>
      <c r="S6" s="8">
        <v>0</v>
      </c>
      <c r="T6" s="8">
        <v>0</v>
      </c>
      <c r="U6" s="8">
        <v>0</v>
      </c>
    </row>
    <row r="7" spans="1:21" x14ac:dyDescent="0.25">
      <c r="A7" s="53">
        <f>A5</f>
        <v>43472</v>
      </c>
      <c r="B7" s="56" t="s">
        <v>21</v>
      </c>
      <c r="C7" s="56" t="s">
        <v>146</v>
      </c>
      <c r="D7" s="56" t="s">
        <v>23</v>
      </c>
      <c r="E7" s="16" t="s">
        <v>67</v>
      </c>
      <c r="F7" s="56" t="s">
        <v>24</v>
      </c>
      <c r="G7" s="44">
        <v>71500</v>
      </c>
      <c r="H7" s="56" t="s">
        <v>53</v>
      </c>
      <c r="I7" s="16" t="s">
        <v>54</v>
      </c>
      <c r="J7" s="57">
        <v>0.94791666666666663</v>
      </c>
      <c r="K7" s="58">
        <v>0.95000000000000007</v>
      </c>
      <c r="L7" s="18">
        <v>0.74305555555555547</v>
      </c>
      <c r="M7" s="27">
        <v>0.76388888888888884</v>
      </c>
      <c r="N7" s="8" t="s">
        <v>159</v>
      </c>
      <c r="O7" s="8" t="s">
        <v>155</v>
      </c>
      <c r="P7" s="8">
        <v>531</v>
      </c>
      <c r="Q7" s="8">
        <v>1025</v>
      </c>
      <c r="R7" s="8">
        <v>0</v>
      </c>
      <c r="S7" s="8">
        <v>0</v>
      </c>
      <c r="T7" s="8">
        <v>0</v>
      </c>
      <c r="U7" s="8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U7"/>
  <sheetViews>
    <sheetView workbookViewId="0">
      <selection activeCell="D20" sqref="D20"/>
    </sheetView>
  </sheetViews>
  <sheetFormatPr defaultRowHeight="15" x14ac:dyDescent="0.25"/>
  <cols>
    <col min="2" max="2" width="11.28515625" customWidth="1"/>
    <col min="3" max="3" width="12.7109375" customWidth="1"/>
    <col min="5" max="5" width="14.85546875" bestFit="1" customWidth="1"/>
    <col min="6" max="6" width="30.140625" customWidth="1"/>
    <col min="7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43473</v>
      </c>
      <c r="B2" s="3" t="s">
        <v>21</v>
      </c>
      <c r="C2" s="3" t="s">
        <v>22</v>
      </c>
      <c r="D2" s="3" t="s">
        <v>23</v>
      </c>
      <c r="E2" s="3" t="s">
        <v>67</v>
      </c>
      <c r="F2" s="3" t="s">
        <v>24</v>
      </c>
      <c r="G2" s="4">
        <v>71500</v>
      </c>
      <c r="H2" s="3" t="s">
        <v>25</v>
      </c>
      <c r="I2" s="3" t="s">
        <v>26</v>
      </c>
      <c r="J2" s="5">
        <v>0.49652777777777773</v>
      </c>
      <c r="K2" s="6">
        <v>0.49791666666666662</v>
      </c>
      <c r="L2" s="5">
        <v>0.3125</v>
      </c>
      <c r="M2" s="6">
        <v>0.32569444444444445</v>
      </c>
      <c r="N2" s="6" t="s">
        <v>163</v>
      </c>
      <c r="O2" s="6" t="s">
        <v>83</v>
      </c>
      <c r="P2" s="7">
        <v>998</v>
      </c>
      <c r="Q2" s="7">
        <v>1292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43473</v>
      </c>
      <c r="B3" s="3" t="s">
        <v>21</v>
      </c>
      <c r="C3" s="3" t="s">
        <v>27</v>
      </c>
      <c r="D3" s="3" t="s">
        <v>23</v>
      </c>
      <c r="E3" s="3" t="s">
        <v>161</v>
      </c>
      <c r="F3" s="3" t="s">
        <v>24</v>
      </c>
      <c r="G3" s="4">
        <v>70000</v>
      </c>
      <c r="H3" s="3" t="s">
        <v>28</v>
      </c>
      <c r="I3" s="3" t="s">
        <v>29</v>
      </c>
      <c r="J3" s="5">
        <v>0.49305555555555558</v>
      </c>
      <c r="K3" s="6">
        <v>0.50138888888888888</v>
      </c>
      <c r="L3" s="5">
        <v>0.35416666666666669</v>
      </c>
      <c r="M3" s="6">
        <v>0.3743055555555555</v>
      </c>
      <c r="N3" s="6" t="s">
        <v>164</v>
      </c>
      <c r="O3" s="6" t="s">
        <v>162</v>
      </c>
      <c r="P3" s="7">
        <v>323</v>
      </c>
      <c r="Q3" s="7">
        <v>582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f>A2</f>
        <v>43473</v>
      </c>
      <c r="B4" s="8" t="s">
        <v>21</v>
      </c>
      <c r="C4" s="8" t="s">
        <v>30</v>
      </c>
      <c r="D4" s="8" t="s">
        <v>23</v>
      </c>
      <c r="E4" s="3" t="s">
        <v>160</v>
      </c>
      <c r="F4" s="8" t="s">
        <v>24</v>
      </c>
      <c r="G4" s="4">
        <v>71500</v>
      </c>
      <c r="H4" s="8" t="s">
        <v>31</v>
      </c>
      <c r="I4" s="8" t="s">
        <v>32</v>
      </c>
      <c r="J4" s="10">
        <v>0.72222222222222221</v>
      </c>
      <c r="K4" s="11">
        <v>0.71180555555555547</v>
      </c>
      <c r="L4" s="10">
        <v>0.52777777777777779</v>
      </c>
      <c r="M4" s="11">
        <v>0.53472222222222221</v>
      </c>
      <c r="N4" s="7" t="s">
        <v>172</v>
      </c>
      <c r="O4" s="7" t="s">
        <v>165</v>
      </c>
      <c r="P4" s="3">
        <v>1046</v>
      </c>
      <c r="Q4" s="7">
        <v>1200</v>
      </c>
      <c r="R4" s="8">
        <v>0</v>
      </c>
      <c r="S4" s="8">
        <v>0</v>
      </c>
      <c r="T4" s="8">
        <v>0</v>
      </c>
      <c r="U4" s="8">
        <v>0</v>
      </c>
    </row>
    <row r="5" spans="1:21" x14ac:dyDescent="0.25">
      <c r="A5" s="2">
        <f>A4</f>
        <v>43473</v>
      </c>
      <c r="B5" s="8" t="s">
        <v>21</v>
      </c>
      <c r="C5" s="8" t="s">
        <v>33</v>
      </c>
      <c r="D5" s="8" t="s">
        <v>23</v>
      </c>
      <c r="E5" s="3" t="s">
        <v>160</v>
      </c>
      <c r="F5" s="8" t="s">
        <v>24</v>
      </c>
      <c r="G5" s="4">
        <v>71500</v>
      </c>
      <c r="H5" s="8" t="s">
        <v>34</v>
      </c>
      <c r="I5" s="8" t="s">
        <v>35</v>
      </c>
      <c r="J5" s="12">
        <v>0.91319444444444453</v>
      </c>
      <c r="K5" s="13">
        <v>0.92847222222222225</v>
      </c>
      <c r="L5" s="12">
        <v>0.74305555555555547</v>
      </c>
      <c r="M5" s="13">
        <v>0.75555555555555554</v>
      </c>
      <c r="N5" s="13" t="s">
        <v>174</v>
      </c>
      <c r="O5" s="7" t="s">
        <v>173</v>
      </c>
      <c r="P5" s="3">
        <v>887</v>
      </c>
      <c r="Q5" s="7">
        <v>860</v>
      </c>
      <c r="R5" s="8">
        <v>0</v>
      </c>
      <c r="S5" s="8">
        <v>0</v>
      </c>
      <c r="T5" s="8">
        <v>0</v>
      </c>
      <c r="U5" s="8">
        <v>0</v>
      </c>
    </row>
    <row r="6" spans="1:21" x14ac:dyDescent="0.25">
      <c r="A6" s="53">
        <v>43473</v>
      </c>
      <c r="B6" s="8" t="s">
        <v>166</v>
      </c>
      <c r="C6" s="8" t="s">
        <v>124</v>
      </c>
      <c r="D6" s="8" t="s">
        <v>167</v>
      </c>
      <c r="E6" s="16" t="s">
        <v>168</v>
      </c>
      <c r="F6" s="8" t="s">
        <v>169</v>
      </c>
      <c r="G6" s="17">
        <v>6600</v>
      </c>
      <c r="H6" s="8" t="s">
        <v>170</v>
      </c>
      <c r="I6" s="8" t="s">
        <v>171</v>
      </c>
      <c r="J6" s="26">
        <v>0.52430555555555558</v>
      </c>
      <c r="K6" s="27">
        <v>0.50972222222222219</v>
      </c>
      <c r="L6" s="26">
        <v>0.53472222222222221</v>
      </c>
      <c r="M6" s="27">
        <v>0.53125</v>
      </c>
      <c r="N6" s="8" t="s">
        <v>98</v>
      </c>
      <c r="O6" s="8" t="s">
        <v>98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</row>
    <row r="7" spans="1:21" x14ac:dyDescent="0.25">
      <c r="A7" s="53"/>
      <c r="B7" s="56"/>
      <c r="C7" s="56"/>
      <c r="D7" s="56"/>
      <c r="E7" s="16"/>
      <c r="F7" s="56"/>
      <c r="G7" s="44"/>
      <c r="H7" s="56"/>
      <c r="I7" s="16"/>
      <c r="J7" s="57"/>
      <c r="K7" s="58"/>
      <c r="L7" s="18"/>
      <c r="M7" s="27"/>
      <c r="N7" s="8"/>
      <c r="O7" s="8"/>
      <c r="P7" s="8"/>
      <c r="Q7" s="8"/>
      <c r="R7" s="8"/>
      <c r="S7" s="8"/>
      <c r="T7" s="8"/>
      <c r="U7" s="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U7"/>
  <sheetViews>
    <sheetView workbookViewId="0">
      <selection sqref="A1:XFD4"/>
    </sheetView>
  </sheetViews>
  <sheetFormatPr defaultRowHeight="15" x14ac:dyDescent="0.25"/>
  <cols>
    <col min="2" max="2" width="11.28515625" customWidth="1"/>
    <col min="3" max="3" width="12.7109375" customWidth="1"/>
    <col min="5" max="5" width="14.85546875" bestFit="1" customWidth="1"/>
    <col min="6" max="6" width="30.140625" customWidth="1"/>
    <col min="7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43474</v>
      </c>
      <c r="B2" s="3" t="s">
        <v>21</v>
      </c>
      <c r="C2" s="3" t="s">
        <v>52</v>
      </c>
      <c r="D2" s="3" t="s">
        <v>23</v>
      </c>
      <c r="E2" s="3" t="s">
        <v>67</v>
      </c>
      <c r="F2" s="3" t="s">
        <v>24</v>
      </c>
      <c r="G2" s="4">
        <v>71500</v>
      </c>
      <c r="H2" s="3" t="s">
        <v>54</v>
      </c>
      <c r="I2" s="3" t="s">
        <v>53</v>
      </c>
      <c r="J2" s="5">
        <v>0.70833333333333337</v>
      </c>
      <c r="K2" s="6">
        <v>0.7104166666666667</v>
      </c>
      <c r="L2" s="5">
        <v>0.50347222222222221</v>
      </c>
      <c r="M2" s="6">
        <v>0.52152777777777781</v>
      </c>
      <c r="N2" s="6" t="s">
        <v>177</v>
      </c>
      <c r="O2" s="6" t="s">
        <v>175</v>
      </c>
      <c r="P2" s="7">
        <v>935</v>
      </c>
      <c r="Q2" s="7">
        <v>1652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43474</v>
      </c>
      <c r="B3" s="3" t="s">
        <v>21</v>
      </c>
      <c r="C3" s="3" t="s">
        <v>55</v>
      </c>
      <c r="D3" s="3" t="s">
        <v>23</v>
      </c>
      <c r="E3" s="3" t="s">
        <v>160</v>
      </c>
      <c r="F3" s="3" t="s">
        <v>24</v>
      </c>
      <c r="G3" s="4">
        <v>71500</v>
      </c>
      <c r="H3" s="3" t="s">
        <v>57</v>
      </c>
      <c r="I3" s="3" t="s">
        <v>56</v>
      </c>
      <c r="J3" s="5">
        <v>0.69791666666666663</v>
      </c>
      <c r="K3" s="6">
        <v>0.69305555555555554</v>
      </c>
      <c r="L3" s="5">
        <v>0.52777777777777779</v>
      </c>
      <c r="M3" s="6">
        <v>0.54027777777777775</v>
      </c>
      <c r="N3" s="6" t="s">
        <v>178</v>
      </c>
      <c r="O3" s="6" t="s">
        <v>176</v>
      </c>
      <c r="P3" s="7">
        <v>464</v>
      </c>
      <c r="Q3" s="7">
        <v>1167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f>A2</f>
        <v>43474</v>
      </c>
      <c r="B4" s="8" t="s">
        <v>21</v>
      </c>
      <c r="C4" s="8" t="s">
        <v>61</v>
      </c>
      <c r="D4" s="8" t="s">
        <v>23</v>
      </c>
      <c r="E4" s="3" t="s">
        <v>160</v>
      </c>
      <c r="F4" s="8" t="s">
        <v>24</v>
      </c>
      <c r="G4" s="4">
        <v>71500</v>
      </c>
      <c r="H4" s="8" t="s">
        <v>63</v>
      </c>
      <c r="I4" s="8" t="s">
        <v>62</v>
      </c>
      <c r="J4" s="10">
        <v>0.94791666666666663</v>
      </c>
      <c r="K4" s="11">
        <v>0.93819444444444444</v>
      </c>
      <c r="L4" s="10">
        <v>0.73958333333333337</v>
      </c>
      <c r="M4" s="11">
        <v>0.73611111111111116</v>
      </c>
      <c r="N4" s="7" t="s">
        <v>180</v>
      </c>
      <c r="O4" s="7" t="s">
        <v>179</v>
      </c>
      <c r="P4" s="3">
        <v>744</v>
      </c>
      <c r="Q4" s="7">
        <v>1139</v>
      </c>
      <c r="R4" s="8">
        <v>0</v>
      </c>
      <c r="S4" s="8">
        <v>0</v>
      </c>
      <c r="T4" s="8">
        <v>0</v>
      </c>
      <c r="U4" s="8">
        <v>0</v>
      </c>
    </row>
    <row r="5" spans="1:21" x14ac:dyDescent="0.25">
      <c r="A5" s="2"/>
      <c r="B5" s="8"/>
      <c r="C5" s="8"/>
      <c r="D5" s="8"/>
      <c r="E5" s="3"/>
      <c r="F5" s="8"/>
      <c r="G5" s="4"/>
      <c r="H5" s="8"/>
      <c r="I5" s="8"/>
      <c r="J5" s="12"/>
      <c r="K5" s="13"/>
      <c r="L5" s="12"/>
      <c r="M5" s="13"/>
      <c r="N5" s="13"/>
      <c r="O5" s="7"/>
      <c r="P5" s="3"/>
      <c r="Q5" s="7"/>
      <c r="R5" s="8"/>
      <c r="S5" s="8"/>
      <c r="T5" s="8"/>
      <c r="U5" s="8"/>
    </row>
    <row r="6" spans="1:21" x14ac:dyDescent="0.25">
      <c r="A6" s="53"/>
      <c r="B6" s="8"/>
      <c r="C6" s="8"/>
      <c r="D6" s="8"/>
      <c r="E6" s="16"/>
      <c r="F6" s="8"/>
      <c r="G6" s="17"/>
      <c r="H6" s="8"/>
      <c r="I6" s="8"/>
      <c r="J6" s="26"/>
      <c r="K6" s="27"/>
      <c r="L6" s="26"/>
      <c r="M6" s="27"/>
      <c r="N6" s="8"/>
      <c r="O6" s="8"/>
      <c r="P6" s="8"/>
      <c r="Q6" s="8"/>
      <c r="R6" s="8"/>
      <c r="S6" s="8"/>
      <c r="T6" s="8"/>
      <c r="U6" s="8"/>
    </row>
    <row r="7" spans="1:21" x14ac:dyDescent="0.25">
      <c r="A7" s="53"/>
      <c r="B7" s="56"/>
      <c r="C7" s="56"/>
      <c r="D7" s="56"/>
      <c r="E7" s="16"/>
      <c r="F7" s="56"/>
      <c r="G7" s="44"/>
      <c r="H7" s="56"/>
      <c r="I7" s="16"/>
      <c r="J7" s="57"/>
      <c r="K7" s="58"/>
      <c r="L7" s="18"/>
      <c r="M7" s="27"/>
      <c r="N7" s="8"/>
      <c r="O7" s="8"/>
      <c r="P7" s="8"/>
      <c r="Q7" s="8"/>
      <c r="R7" s="8"/>
      <c r="S7" s="8"/>
      <c r="T7" s="8"/>
      <c r="U7" s="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U7"/>
  <sheetViews>
    <sheetView workbookViewId="0">
      <selection sqref="A1:XFD5"/>
    </sheetView>
  </sheetViews>
  <sheetFormatPr defaultRowHeight="12.75" x14ac:dyDescent="0.2"/>
  <cols>
    <col min="1" max="1" width="10.140625" style="35" bestFit="1" customWidth="1"/>
    <col min="2" max="2" width="19.85546875" style="35" customWidth="1"/>
    <col min="3" max="3" width="15" style="35" customWidth="1"/>
    <col min="4" max="5" width="9.140625" style="35"/>
    <col min="6" max="6" width="27" style="35" customWidth="1"/>
    <col min="7" max="9" width="9.140625" style="35"/>
    <col min="10" max="10" width="10.5703125" style="35" customWidth="1"/>
    <col min="11" max="11" width="12" style="35" customWidth="1"/>
    <col min="12" max="12" width="12.42578125" style="35" customWidth="1"/>
    <col min="13" max="13" width="11.7109375" style="35" customWidth="1"/>
    <col min="14" max="14" width="18.28515625" style="35" customWidth="1"/>
    <col min="15" max="15" width="19.5703125" style="35" customWidth="1"/>
    <col min="16" max="16" width="16" style="35" customWidth="1"/>
    <col min="17" max="17" width="13.42578125" style="35" customWidth="1"/>
    <col min="18" max="16384" width="9.140625" style="35"/>
  </cols>
  <sheetData>
    <row r="1" spans="1:21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x14ac:dyDescent="0.2">
      <c r="A2" s="15">
        <v>43475</v>
      </c>
      <c r="B2" s="14" t="s">
        <v>21</v>
      </c>
      <c r="C2" s="14" t="s">
        <v>181</v>
      </c>
      <c r="D2" s="14" t="s">
        <v>23</v>
      </c>
      <c r="E2" s="14" t="s">
        <v>160</v>
      </c>
      <c r="F2" s="14" t="s">
        <v>182</v>
      </c>
      <c r="G2" s="36">
        <v>71500</v>
      </c>
      <c r="H2" s="14" t="s">
        <v>183</v>
      </c>
      <c r="I2" s="14" t="s">
        <v>136</v>
      </c>
      <c r="J2" s="14" t="s">
        <v>183</v>
      </c>
      <c r="K2" s="14" t="s">
        <v>183</v>
      </c>
      <c r="L2" s="21">
        <v>0.33333333333333331</v>
      </c>
      <c r="M2" s="22">
        <v>0.35972222222222222</v>
      </c>
      <c r="N2" s="14">
        <v>0</v>
      </c>
      <c r="O2" s="14">
        <v>0</v>
      </c>
      <c r="P2" s="14">
        <v>0</v>
      </c>
      <c r="Q2" s="23">
        <v>0</v>
      </c>
      <c r="R2" s="14">
        <v>0</v>
      </c>
      <c r="S2" s="14">
        <v>0</v>
      </c>
      <c r="T2" s="14">
        <v>0</v>
      </c>
      <c r="U2" s="14">
        <v>0</v>
      </c>
    </row>
    <row r="3" spans="1:21" x14ac:dyDescent="0.2">
      <c r="A3" s="37">
        <f>A2</f>
        <v>43475</v>
      </c>
      <c r="B3" s="14" t="s">
        <v>21</v>
      </c>
      <c r="C3" s="14" t="s">
        <v>27</v>
      </c>
      <c r="D3" s="14" t="s">
        <v>23</v>
      </c>
      <c r="E3" s="14" t="s">
        <v>67</v>
      </c>
      <c r="F3" s="14" t="s">
        <v>24</v>
      </c>
      <c r="G3" s="38">
        <v>71500</v>
      </c>
      <c r="H3" s="14" t="s">
        <v>28</v>
      </c>
      <c r="I3" s="14" t="s">
        <v>29</v>
      </c>
      <c r="J3" s="39">
        <v>0.48958333333333331</v>
      </c>
      <c r="K3" s="40">
        <v>0.48055555555555557</v>
      </c>
      <c r="L3" s="39">
        <v>0.35416666666666669</v>
      </c>
      <c r="M3" s="40">
        <v>0.37222222222222223</v>
      </c>
      <c r="N3" s="35" t="s">
        <v>185</v>
      </c>
      <c r="O3" s="29" t="s">
        <v>184</v>
      </c>
      <c r="P3" s="35">
        <v>165</v>
      </c>
      <c r="Q3" s="29">
        <v>535</v>
      </c>
      <c r="R3" s="41">
        <v>0</v>
      </c>
      <c r="S3" s="41">
        <v>0</v>
      </c>
      <c r="T3" s="41">
        <v>0</v>
      </c>
      <c r="U3" s="41">
        <v>0</v>
      </c>
    </row>
    <row r="4" spans="1:21" x14ac:dyDescent="0.2">
      <c r="A4" s="37">
        <f t="shared" ref="A4" si="0">A3</f>
        <v>43475</v>
      </c>
      <c r="B4" s="35" t="s">
        <v>21</v>
      </c>
      <c r="C4" s="35" t="s">
        <v>78</v>
      </c>
      <c r="D4" s="35" t="str">
        <f t="shared" ref="D4" si="1">D3</f>
        <v>A320</v>
      </c>
      <c r="E4" s="14" t="s">
        <v>67</v>
      </c>
      <c r="F4" s="35" t="s">
        <v>24</v>
      </c>
      <c r="G4" s="38">
        <v>71500</v>
      </c>
      <c r="H4" s="14" t="s">
        <v>79</v>
      </c>
      <c r="I4" s="14" t="s">
        <v>80</v>
      </c>
      <c r="J4" s="21">
        <v>0.66319444444444442</v>
      </c>
      <c r="K4" s="22">
        <v>0.65555555555555556</v>
      </c>
      <c r="L4" s="21">
        <v>0.51041666666666663</v>
      </c>
      <c r="M4" s="22">
        <v>0.51041666666666663</v>
      </c>
      <c r="N4" s="35" t="s">
        <v>189</v>
      </c>
      <c r="O4" s="29" t="s">
        <v>71</v>
      </c>
      <c r="P4" s="35">
        <v>522</v>
      </c>
      <c r="Q4" s="29">
        <v>733</v>
      </c>
      <c r="R4" s="14">
        <v>0</v>
      </c>
      <c r="S4" s="14">
        <v>0</v>
      </c>
      <c r="T4" s="14">
        <v>0</v>
      </c>
      <c r="U4" s="14">
        <v>0</v>
      </c>
    </row>
    <row r="5" spans="1:21" x14ac:dyDescent="0.2">
      <c r="A5" s="15">
        <v>43475</v>
      </c>
      <c r="B5" s="14" t="s">
        <v>21</v>
      </c>
      <c r="C5" s="14" t="s">
        <v>186</v>
      </c>
      <c r="D5" s="14" t="s">
        <v>23</v>
      </c>
      <c r="E5" s="14" t="s">
        <v>160</v>
      </c>
      <c r="F5" s="14" t="s">
        <v>187</v>
      </c>
      <c r="G5" s="36">
        <v>71500</v>
      </c>
      <c r="H5" s="14" t="s">
        <v>188</v>
      </c>
      <c r="I5" s="14" t="s">
        <v>183</v>
      </c>
      <c r="J5" s="22">
        <v>0.77083333333333337</v>
      </c>
      <c r="K5" s="22">
        <v>0.80763888888888891</v>
      </c>
      <c r="L5" s="14" t="s">
        <v>137</v>
      </c>
      <c r="M5" s="14" t="s">
        <v>137</v>
      </c>
      <c r="N5" s="14">
        <v>0</v>
      </c>
      <c r="O5" s="14">
        <v>0</v>
      </c>
      <c r="P5" s="14">
        <v>0</v>
      </c>
      <c r="Q5" s="23">
        <v>0</v>
      </c>
      <c r="R5" s="14">
        <v>0</v>
      </c>
      <c r="S5" s="14">
        <v>0</v>
      </c>
      <c r="T5" s="14">
        <v>0</v>
      </c>
      <c r="U5" s="14">
        <v>0</v>
      </c>
    </row>
    <row r="6" spans="1:21" x14ac:dyDescent="0.2">
      <c r="R6" s="41"/>
      <c r="S6" s="41"/>
      <c r="T6" s="41"/>
      <c r="U6" s="41"/>
    </row>
    <row r="7" spans="1:21" x14ac:dyDescent="0.2">
      <c r="R7" s="41"/>
      <c r="S7" s="41"/>
      <c r="T7" s="41"/>
      <c r="U7" s="41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U11"/>
  <sheetViews>
    <sheetView topLeftCell="G1" workbookViewId="0">
      <selection activeCell="K7" sqref="K7"/>
    </sheetView>
  </sheetViews>
  <sheetFormatPr defaultRowHeight="12.75" x14ac:dyDescent="0.2"/>
  <cols>
    <col min="1" max="1" width="10.140625" style="35" bestFit="1" customWidth="1"/>
    <col min="2" max="2" width="22.5703125" style="35" customWidth="1"/>
    <col min="3" max="3" width="18.5703125" style="35" customWidth="1"/>
    <col min="4" max="4" width="9.140625" style="35"/>
    <col min="5" max="5" width="15" style="35" customWidth="1"/>
    <col min="6" max="6" width="24.140625" style="35" customWidth="1"/>
    <col min="7" max="9" width="9.140625" style="35"/>
    <col min="10" max="10" width="12.7109375" style="35" customWidth="1"/>
    <col min="11" max="11" width="11.85546875" style="33" customWidth="1"/>
    <col min="12" max="12" width="11.140625" style="35" customWidth="1"/>
    <col min="13" max="13" width="11.42578125" style="35" customWidth="1"/>
    <col min="14" max="14" width="17" style="25" customWidth="1"/>
    <col min="15" max="15" width="17.140625" style="35" customWidth="1"/>
    <col min="16" max="16384" width="9.140625" style="35"/>
  </cols>
  <sheetData>
    <row r="1" spans="1:21" x14ac:dyDescent="0.2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33" t="s">
        <v>10</v>
      </c>
      <c r="L1" s="43" t="s">
        <v>11</v>
      </c>
      <c r="M1" s="43" t="s">
        <v>12</v>
      </c>
      <c r="N1" s="25" t="s">
        <v>13</v>
      </c>
      <c r="O1" s="43" t="s">
        <v>14</v>
      </c>
      <c r="P1" s="43" t="s">
        <v>15</v>
      </c>
      <c r="Q1" s="43" t="s">
        <v>16</v>
      </c>
      <c r="R1" s="43" t="s">
        <v>17</v>
      </c>
      <c r="S1" s="43" t="s">
        <v>18</v>
      </c>
      <c r="T1" s="43" t="s">
        <v>19</v>
      </c>
      <c r="U1" s="43" t="s">
        <v>20</v>
      </c>
    </row>
    <row r="2" spans="1:21" x14ac:dyDescent="0.2">
      <c r="A2" s="24">
        <v>43476</v>
      </c>
      <c r="B2" s="14" t="s">
        <v>21</v>
      </c>
      <c r="C2" s="14" t="s">
        <v>46</v>
      </c>
      <c r="D2" s="14" t="s">
        <v>23</v>
      </c>
      <c r="E2" s="14" t="s">
        <v>99</v>
      </c>
      <c r="F2" s="14" t="s">
        <v>24</v>
      </c>
      <c r="G2" s="36">
        <v>71500</v>
      </c>
      <c r="H2" s="14" t="s">
        <v>48</v>
      </c>
      <c r="I2" s="14" t="s">
        <v>47</v>
      </c>
      <c r="J2" s="21">
        <v>0.4826388888888889</v>
      </c>
      <c r="K2" s="33">
        <v>0.49722222222222223</v>
      </c>
      <c r="L2" s="21">
        <v>0.27777777777777779</v>
      </c>
      <c r="M2" s="22">
        <v>0.31875000000000003</v>
      </c>
      <c r="N2" s="25" t="s">
        <v>193</v>
      </c>
      <c r="O2" s="23" t="s">
        <v>191</v>
      </c>
      <c r="P2" s="23">
        <v>1138</v>
      </c>
      <c r="Q2" s="23">
        <v>1199</v>
      </c>
      <c r="R2" s="14">
        <v>0</v>
      </c>
      <c r="S2" s="14">
        <v>0</v>
      </c>
      <c r="T2" s="14">
        <v>0</v>
      </c>
      <c r="U2" s="14">
        <v>0</v>
      </c>
    </row>
    <row r="3" spans="1:21" x14ac:dyDescent="0.2">
      <c r="A3" s="24">
        <f t="shared" ref="A3:A4" si="0">A2</f>
        <v>43476</v>
      </c>
      <c r="B3" s="14" t="s">
        <v>21</v>
      </c>
      <c r="C3" s="14" t="s">
        <v>49</v>
      </c>
      <c r="D3" s="14" t="s">
        <v>23</v>
      </c>
      <c r="E3" s="14" t="s">
        <v>190</v>
      </c>
      <c r="F3" s="14" t="s">
        <v>24</v>
      </c>
      <c r="G3" s="36">
        <f>G2</f>
        <v>71500</v>
      </c>
      <c r="H3" s="14" t="s">
        <v>51</v>
      </c>
      <c r="I3" s="14" t="s">
        <v>50</v>
      </c>
      <c r="J3" s="21">
        <v>0.4826388888888889</v>
      </c>
      <c r="K3" s="33">
        <v>0.48541666666666666</v>
      </c>
      <c r="L3" s="21">
        <v>0.33333333333333331</v>
      </c>
      <c r="M3" s="22">
        <v>0.3520833333333333</v>
      </c>
      <c r="N3" s="25" t="s">
        <v>194</v>
      </c>
      <c r="O3" s="23" t="s">
        <v>192</v>
      </c>
      <c r="P3" s="14">
        <v>600</v>
      </c>
      <c r="Q3" s="23">
        <v>765</v>
      </c>
      <c r="R3" s="14">
        <v>0</v>
      </c>
      <c r="S3" s="14">
        <v>0</v>
      </c>
      <c r="T3" s="14">
        <v>0</v>
      </c>
      <c r="U3" s="14">
        <v>0</v>
      </c>
    </row>
    <row r="4" spans="1:21" x14ac:dyDescent="0.2">
      <c r="A4" s="24">
        <f t="shared" si="0"/>
        <v>43476</v>
      </c>
      <c r="B4" s="25" t="s">
        <v>21</v>
      </c>
      <c r="C4" s="25" t="s">
        <v>61</v>
      </c>
      <c r="D4" s="25" t="s">
        <v>23</v>
      </c>
      <c r="E4" s="14" t="s">
        <v>195</v>
      </c>
      <c r="F4" s="25" t="s">
        <v>24</v>
      </c>
      <c r="G4" s="44">
        <f>G3</f>
        <v>71500</v>
      </c>
      <c r="H4" s="25" t="s">
        <v>63</v>
      </c>
      <c r="I4" s="25" t="s">
        <v>62</v>
      </c>
      <c r="J4" s="32">
        <v>0.71180555555555547</v>
      </c>
      <c r="K4" s="33">
        <v>0.73263888888888884</v>
      </c>
      <c r="L4" s="32">
        <v>0.50347222222222221</v>
      </c>
      <c r="M4" s="33">
        <v>0.53611111111111109</v>
      </c>
      <c r="N4" s="25" t="s">
        <v>198</v>
      </c>
      <c r="O4" s="25" t="s">
        <v>196</v>
      </c>
      <c r="P4" s="25">
        <v>931</v>
      </c>
      <c r="Q4" s="25">
        <v>940</v>
      </c>
      <c r="R4" s="25">
        <v>0</v>
      </c>
      <c r="S4" s="25">
        <v>0</v>
      </c>
      <c r="T4" s="25">
        <v>0</v>
      </c>
      <c r="U4" s="25">
        <v>0</v>
      </c>
    </row>
    <row r="5" spans="1:21" x14ac:dyDescent="0.2">
      <c r="A5" s="37">
        <f>A4</f>
        <v>43476</v>
      </c>
      <c r="B5" s="25" t="s">
        <v>21</v>
      </c>
      <c r="C5" s="25" t="s">
        <v>55</v>
      </c>
      <c r="D5" s="14" t="s">
        <v>23</v>
      </c>
      <c r="E5" s="14" t="str">
        <f>E3</f>
        <v>HA-LPN</v>
      </c>
      <c r="F5" s="25" t="s">
        <v>24</v>
      </c>
      <c r="G5" s="44">
        <f>G4</f>
        <v>71500</v>
      </c>
      <c r="H5" s="25" t="s">
        <v>57</v>
      </c>
      <c r="I5" s="25" t="s">
        <v>56</v>
      </c>
      <c r="J5" s="39">
        <v>0.69791666666666663</v>
      </c>
      <c r="K5" s="33">
        <v>0.70208333333333339</v>
      </c>
      <c r="L5" s="39">
        <v>0.52777777777777779</v>
      </c>
      <c r="M5" s="28">
        <v>0.55347222222222225</v>
      </c>
      <c r="N5" s="25" t="s">
        <v>199</v>
      </c>
      <c r="O5" s="25" t="s">
        <v>197</v>
      </c>
      <c r="P5" s="29">
        <v>300</v>
      </c>
      <c r="Q5" s="25">
        <v>890</v>
      </c>
      <c r="R5" s="25">
        <v>0</v>
      </c>
      <c r="S5" s="25">
        <v>0</v>
      </c>
      <c r="T5" s="25">
        <v>0</v>
      </c>
      <c r="U5" s="25">
        <v>0</v>
      </c>
    </row>
    <row r="6" spans="1:21" x14ac:dyDescent="0.2">
      <c r="A6" s="24">
        <f>A4</f>
        <v>43476</v>
      </c>
      <c r="B6" s="25" t="s">
        <v>21</v>
      </c>
      <c r="C6" s="25" t="s">
        <v>58</v>
      </c>
      <c r="D6" s="25" t="s">
        <v>23</v>
      </c>
      <c r="E6" s="14" t="s">
        <v>160</v>
      </c>
      <c r="F6" s="25" t="s">
        <v>24</v>
      </c>
      <c r="G6" s="44">
        <f>G5</f>
        <v>71500</v>
      </c>
      <c r="H6" s="25" t="s">
        <v>59</v>
      </c>
      <c r="I6" s="25" t="s">
        <v>60</v>
      </c>
      <c r="J6" s="26">
        <v>0.95486111111111116</v>
      </c>
      <c r="K6" s="32">
        <v>0.95972222222222225</v>
      </c>
      <c r="L6" s="26">
        <v>0.71875</v>
      </c>
      <c r="M6" s="45">
        <v>0.74375000000000002</v>
      </c>
      <c r="N6" s="25" t="s">
        <v>202</v>
      </c>
      <c r="O6" s="25" t="s">
        <v>200</v>
      </c>
      <c r="P6" s="46">
        <v>1081</v>
      </c>
      <c r="Q6" s="25">
        <v>1367</v>
      </c>
      <c r="R6" s="25">
        <v>0</v>
      </c>
      <c r="S6" s="25">
        <v>0</v>
      </c>
      <c r="T6" s="25">
        <v>0</v>
      </c>
      <c r="U6" s="25">
        <v>0</v>
      </c>
    </row>
    <row r="7" spans="1:21" x14ac:dyDescent="0.2">
      <c r="A7" s="24">
        <f>A6</f>
        <v>43476</v>
      </c>
      <c r="B7" s="25" t="s">
        <v>21</v>
      </c>
      <c r="C7" s="43" t="s">
        <v>52</v>
      </c>
      <c r="D7" s="14" t="s">
        <v>23</v>
      </c>
      <c r="E7" s="43" t="s">
        <v>130</v>
      </c>
      <c r="F7" s="25" t="s">
        <v>24</v>
      </c>
      <c r="G7" s="44">
        <f>G6</f>
        <v>71500</v>
      </c>
      <c r="H7" s="43" t="s">
        <v>54</v>
      </c>
      <c r="I7" s="43" t="s">
        <v>53</v>
      </c>
      <c r="J7" s="47">
        <v>0.94791666666666663</v>
      </c>
      <c r="K7" s="32">
        <v>0.99305555555555547</v>
      </c>
      <c r="L7" s="47">
        <v>0.74305555555555547</v>
      </c>
      <c r="M7" s="22">
        <v>0.78611111111111109</v>
      </c>
      <c r="N7" s="25" t="s">
        <v>203</v>
      </c>
      <c r="O7" s="25" t="s">
        <v>201</v>
      </c>
      <c r="P7" s="25">
        <v>737</v>
      </c>
      <c r="Q7" s="25">
        <v>1529</v>
      </c>
      <c r="R7" s="25">
        <v>0</v>
      </c>
      <c r="S7" s="25">
        <v>0</v>
      </c>
      <c r="T7" s="25">
        <v>0</v>
      </c>
      <c r="U7" s="25">
        <v>0</v>
      </c>
    </row>
    <row r="8" spans="1:21" x14ac:dyDescent="0.2">
      <c r="A8" s="24"/>
      <c r="B8" s="25"/>
      <c r="C8" s="25"/>
      <c r="D8" s="25"/>
      <c r="E8" s="14"/>
      <c r="F8" s="25"/>
      <c r="G8" s="44"/>
      <c r="H8" s="14"/>
      <c r="I8" s="14"/>
      <c r="J8" s="39"/>
      <c r="L8" s="39"/>
      <c r="M8" s="40"/>
      <c r="O8" s="25"/>
      <c r="P8" s="25"/>
      <c r="Q8" s="25"/>
      <c r="R8" s="25"/>
      <c r="S8" s="25"/>
      <c r="T8" s="25"/>
      <c r="U8" s="25"/>
    </row>
    <row r="9" spans="1:21" x14ac:dyDescent="0.2">
      <c r="A9" s="37"/>
      <c r="G9" s="38"/>
      <c r="J9" s="39"/>
    </row>
    <row r="10" spans="1:21" x14ac:dyDescent="0.2">
      <c r="A10" s="37"/>
      <c r="G10" s="38"/>
      <c r="J10" s="39"/>
    </row>
    <row r="11" spans="1:21" x14ac:dyDescent="0.2">
      <c r="A11" s="37"/>
      <c r="G11" s="38"/>
    </row>
  </sheetData>
  <pageMargins left="0.7" right="0.7" top="0.75" bottom="0.75" header="0.3" footer="0.3"/>
  <pageSetup paperSize="9" orientation="portrait" r:id="rId1"/>
  <ignoredErrors>
    <ignoredError sqref="A6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U6"/>
  <sheetViews>
    <sheetView workbookViewId="0">
      <selection sqref="A1:XFD1048576"/>
    </sheetView>
  </sheetViews>
  <sheetFormatPr defaultRowHeight="15" x14ac:dyDescent="0.25"/>
  <cols>
    <col min="2" max="2" width="11.85546875" customWidth="1"/>
    <col min="3" max="3" width="15" customWidth="1"/>
    <col min="6" max="6" width="18.7109375" customWidth="1"/>
    <col min="9" max="9" width="10.140625" customWidth="1"/>
    <col min="10" max="10" width="11.5703125" customWidth="1"/>
    <col min="11" max="11" width="13.28515625" customWidth="1"/>
    <col min="12" max="12" width="11.85546875" customWidth="1"/>
    <col min="13" max="13" width="11" customWidth="1"/>
    <col min="14" max="14" width="19.7109375" customWidth="1"/>
    <col min="15" max="15" width="19.140625" customWidth="1"/>
    <col min="16" max="16" width="9.85546875" customWidth="1"/>
    <col min="17" max="17" width="10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43477</v>
      </c>
      <c r="B2" s="3" t="s">
        <v>21</v>
      </c>
      <c r="C2" s="3" t="s">
        <v>22</v>
      </c>
      <c r="D2" s="3" t="s">
        <v>23</v>
      </c>
      <c r="E2" s="3" t="s">
        <v>195</v>
      </c>
      <c r="F2" s="3" t="s">
        <v>24</v>
      </c>
      <c r="G2" s="4">
        <v>71500</v>
      </c>
      <c r="H2" s="3" t="s">
        <v>25</v>
      </c>
      <c r="I2" s="3" t="s">
        <v>26</v>
      </c>
      <c r="J2" s="5">
        <v>0.49652777777777773</v>
      </c>
      <c r="K2" s="6">
        <v>0.48819444444444443</v>
      </c>
      <c r="L2" s="5">
        <v>0.3125</v>
      </c>
      <c r="M2" s="6">
        <v>0.32083333333333336</v>
      </c>
      <c r="N2" s="6" t="s">
        <v>206</v>
      </c>
      <c r="O2" s="7" t="s">
        <v>204</v>
      </c>
      <c r="P2" s="7">
        <v>974</v>
      </c>
      <c r="Q2" s="7">
        <v>1356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f>A2</f>
        <v>43477</v>
      </c>
      <c r="B3" s="3" t="s">
        <v>21</v>
      </c>
      <c r="C3" s="3" t="s">
        <v>115</v>
      </c>
      <c r="D3" s="3" t="s">
        <v>23</v>
      </c>
      <c r="E3" s="3" t="s">
        <v>190</v>
      </c>
      <c r="F3" s="3" t="s">
        <v>24</v>
      </c>
      <c r="G3" s="4">
        <v>71500</v>
      </c>
      <c r="H3" s="3" t="s">
        <v>28</v>
      </c>
      <c r="I3" s="3" t="s">
        <v>29</v>
      </c>
      <c r="J3" s="5">
        <v>0.49305555555555558</v>
      </c>
      <c r="K3" s="6">
        <v>0.47638888888888892</v>
      </c>
      <c r="L3" s="5">
        <v>0.35416666666666669</v>
      </c>
      <c r="M3" s="6">
        <v>0.36388888888888887</v>
      </c>
      <c r="N3" s="6" t="s">
        <v>207</v>
      </c>
      <c r="O3" s="46" t="s">
        <v>205</v>
      </c>
      <c r="P3" s="3">
        <v>209</v>
      </c>
      <c r="Q3" s="46">
        <v>495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f>A3</f>
        <v>43477</v>
      </c>
      <c r="B4" s="8" t="s">
        <v>21</v>
      </c>
      <c r="C4" s="8" t="s">
        <v>30</v>
      </c>
      <c r="D4" s="8" t="s">
        <v>23</v>
      </c>
      <c r="E4" s="3" t="str">
        <f>E2</f>
        <v>HA-LWO</v>
      </c>
      <c r="F4" s="8" t="s">
        <v>24</v>
      </c>
      <c r="G4" s="9">
        <v>71500</v>
      </c>
      <c r="H4" s="8" t="s">
        <v>31</v>
      </c>
      <c r="I4" s="8" t="s">
        <v>32</v>
      </c>
      <c r="J4" s="10">
        <v>0.72222222222222221</v>
      </c>
      <c r="K4" s="11">
        <v>0.71111111111111114</v>
      </c>
      <c r="L4" s="10">
        <v>0.52777777777777779</v>
      </c>
      <c r="M4" s="11">
        <v>0.53819444444444442</v>
      </c>
      <c r="N4" s="7" t="s">
        <v>113</v>
      </c>
      <c r="O4" s="7" t="s">
        <v>208</v>
      </c>
      <c r="P4" s="3">
        <v>1126</v>
      </c>
      <c r="Q4" s="7">
        <v>1338</v>
      </c>
      <c r="R4" s="8">
        <v>0</v>
      </c>
      <c r="S4" s="8">
        <v>0</v>
      </c>
      <c r="T4" s="8">
        <v>0</v>
      </c>
      <c r="U4" s="8">
        <v>0</v>
      </c>
    </row>
    <row r="5" spans="1:21" x14ac:dyDescent="0.25">
      <c r="A5" s="2">
        <f>A4</f>
        <v>43477</v>
      </c>
      <c r="B5" s="8" t="s">
        <v>21</v>
      </c>
      <c r="C5" s="8" t="s">
        <v>33</v>
      </c>
      <c r="D5" s="8" t="s">
        <v>23</v>
      </c>
      <c r="E5" s="3" t="s">
        <v>195</v>
      </c>
      <c r="F5" s="8" t="s">
        <v>24</v>
      </c>
      <c r="G5" s="9">
        <v>71500</v>
      </c>
      <c r="H5" s="8" t="s">
        <v>34</v>
      </c>
      <c r="I5" s="8" t="s">
        <v>35</v>
      </c>
      <c r="J5" s="12">
        <v>0.91319444444444453</v>
      </c>
      <c r="K5" s="13">
        <v>0.90138888888888891</v>
      </c>
      <c r="L5" s="12">
        <v>0.74305555555555547</v>
      </c>
      <c r="M5" s="48">
        <v>0.74652777777777779</v>
      </c>
      <c r="N5" s="7" t="s">
        <v>210</v>
      </c>
      <c r="O5" s="7" t="s">
        <v>209</v>
      </c>
      <c r="P5" s="3">
        <v>1025</v>
      </c>
      <c r="Q5" s="7">
        <v>1284</v>
      </c>
      <c r="R5" s="8">
        <v>0</v>
      </c>
      <c r="S5" s="8">
        <v>0</v>
      </c>
      <c r="T5" s="8">
        <v>0</v>
      </c>
      <c r="U5" s="8">
        <v>0</v>
      </c>
    </row>
    <row r="6" spans="1:21" x14ac:dyDescent="0.25">
      <c r="A6" s="2"/>
      <c r="B6" s="8"/>
      <c r="C6" s="8"/>
      <c r="D6" s="8"/>
      <c r="E6" s="3"/>
      <c r="F6" s="8"/>
      <c r="G6" s="9"/>
      <c r="H6" s="8"/>
      <c r="I6" s="8"/>
      <c r="J6" s="40"/>
      <c r="K6" s="40"/>
      <c r="L6" s="40"/>
      <c r="M6" s="28"/>
      <c r="N6" s="59"/>
      <c r="O6" s="59"/>
      <c r="P6" s="59"/>
      <c r="Q6" s="59"/>
      <c r="R6" s="8"/>
      <c r="S6" s="8"/>
      <c r="T6" s="8"/>
      <c r="U6" s="8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U6"/>
  <sheetViews>
    <sheetView topLeftCell="F1" workbookViewId="0">
      <selection activeCell="F1" sqref="A1:XFD1048576"/>
    </sheetView>
  </sheetViews>
  <sheetFormatPr defaultRowHeight="15" x14ac:dyDescent="0.25"/>
  <cols>
    <col min="2" max="2" width="10.5703125" customWidth="1"/>
    <col min="3" max="3" width="15" customWidth="1"/>
    <col min="5" max="5" width="15.7109375" customWidth="1"/>
    <col min="6" max="6" width="23.42578125" customWidth="1"/>
    <col min="10" max="10" width="11" customWidth="1"/>
    <col min="11" max="11" width="12.28515625" customWidth="1"/>
    <col min="12" max="12" width="11.85546875" customWidth="1"/>
    <col min="13" max="13" width="13.42578125" customWidth="1"/>
    <col min="14" max="14" width="19.140625" customWidth="1"/>
    <col min="15" max="15" width="18.140625" customWidth="1"/>
  </cols>
  <sheetData>
    <row r="1" spans="1:21" s="41" customFormat="1" ht="12.75" x14ac:dyDescent="0.25">
      <c r="A1" s="52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2" t="s">
        <v>8</v>
      </c>
      <c r="J1" s="52" t="s">
        <v>9</v>
      </c>
      <c r="K1" s="52" t="s">
        <v>10</v>
      </c>
      <c r="L1" s="52" t="s">
        <v>11</v>
      </c>
      <c r="M1" s="52" t="s">
        <v>12</v>
      </c>
      <c r="N1" s="52" t="s">
        <v>13</v>
      </c>
      <c r="O1" s="52" t="s">
        <v>14</v>
      </c>
      <c r="P1" s="52" t="s">
        <v>15</v>
      </c>
      <c r="Q1" s="52" t="s">
        <v>16</v>
      </c>
      <c r="R1" s="52" t="s">
        <v>17</v>
      </c>
      <c r="S1" s="52" t="s">
        <v>18</v>
      </c>
      <c r="T1" s="52" t="s">
        <v>19</v>
      </c>
      <c r="U1" s="52" t="s">
        <v>20</v>
      </c>
    </row>
    <row r="2" spans="1:21" s="41" customFormat="1" ht="12.75" x14ac:dyDescent="0.25">
      <c r="A2" s="2">
        <v>43478</v>
      </c>
      <c r="B2" s="14" t="s">
        <v>21</v>
      </c>
      <c r="C2" s="14" t="s">
        <v>46</v>
      </c>
      <c r="D2" s="14" t="s">
        <v>23</v>
      </c>
      <c r="E2" s="8" t="s">
        <v>130</v>
      </c>
      <c r="F2" s="14" t="s">
        <v>24</v>
      </c>
      <c r="G2" s="36">
        <v>71500</v>
      </c>
      <c r="H2" s="14" t="s">
        <v>48</v>
      </c>
      <c r="I2" s="14" t="s">
        <v>47</v>
      </c>
      <c r="J2" s="21">
        <v>0.4826388888888889</v>
      </c>
      <c r="K2" s="22">
        <v>0.47291666666666665</v>
      </c>
      <c r="L2" s="21">
        <v>0.27777777777777779</v>
      </c>
      <c r="M2" s="22">
        <v>0.29375000000000001</v>
      </c>
      <c r="N2" s="23" t="s">
        <v>211</v>
      </c>
      <c r="O2" s="23" t="s">
        <v>197</v>
      </c>
      <c r="P2" s="23">
        <v>1199</v>
      </c>
      <c r="Q2" s="23">
        <v>1152</v>
      </c>
      <c r="R2" s="14">
        <v>0</v>
      </c>
      <c r="S2" s="14">
        <v>0</v>
      </c>
      <c r="T2" s="14">
        <v>0</v>
      </c>
      <c r="U2" s="14">
        <v>0</v>
      </c>
    </row>
    <row r="3" spans="1:21" s="41" customFormat="1" ht="12.75" x14ac:dyDescent="0.25">
      <c r="A3" s="2">
        <f>A2</f>
        <v>43478</v>
      </c>
      <c r="B3" s="14" t="s">
        <v>21</v>
      </c>
      <c r="C3" s="14" t="s">
        <v>78</v>
      </c>
      <c r="D3" s="14" t="s">
        <v>23</v>
      </c>
      <c r="E3" s="14" t="s">
        <v>160</v>
      </c>
      <c r="F3" s="14" t="s">
        <v>24</v>
      </c>
      <c r="G3" s="36">
        <v>71500</v>
      </c>
      <c r="H3" s="14" t="s">
        <v>79</v>
      </c>
      <c r="I3" s="14" t="s">
        <v>80</v>
      </c>
      <c r="J3" s="21">
        <v>0.65277777777777779</v>
      </c>
      <c r="K3" s="22">
        <v>0.65208333333333335</v>
      </c>
      <c r="L3" s="21">
        <v>0.5</v>
      </c>
      <c r="M3" s="22">
        <v>0.51666666666666672</v>
      </c>
      <c r="N3" s="23" t="s">
        <v>214</v>
      </c>
      <c r="O3" s="23" t="s">
        <v>212</v>
      </c>
      <c r="P3" s="14">
        <v>658</v>
      </c>
      <c r="Q3" s="23">
        <v>1146</v>
      </c>
      <c r="R3" s="14">
        <v>0</v>
      </c>
      <c r="S3" s="14">
        <v>0</v>
      </c>
      <c r="T3" s="14">
        <v>0</v>
      </c>
      <c r="U3" s="14">
        <v>0</v>
      </c>
    </row>
    <row r="4" spans="1:21" s="8" customFormat="1" ht="12.75" x14ac:dyDescent="0.25">
      <c r="A4" s="53">
        <f>A3</f>
        <v>43478</v>
      </c>
      <c r="B4" s="8" t="s">
        <v>21</v>
      </c>
      <c r="C4" s="8" t="s">
        <v>55</v>
      </c>
      <c r="D4" s="8" t="s">
        <v>23</v>
      </c>
      <c r="E4" s="8" t="s">
        <v>130</v>
      </c>
      <c r="F4" s="8" t="s">
        <v>24</v>
      </c>
      <c r="G4" s="9">
        <v>71500</v>
      </c>
      <c r="H4" s="8" t="s">
        <v>57</v>
      </c>
      <c r="I4" s="8" t="s">
        <v>56</v>
      </c>
      <c r="J4" s="10">
        <v>0.69791666666666663</v>
      </c>
      <c r="K4" s="11">
        <v>0.68888888888888899</v>
      </c>
      <c r="L4" s="10">
        <v>0.52777777777777779</v>
      </c>
      <c r="M4" s="11">
        <v>0.53749999999999998</v>
      </c>
      <c r="N4" s="8" t="s">
        <v>215</v>
      </c>
      <c r="O4" s="54" t="s">
        <v>213</v>
      </c>
      <c r="P4" s="8">
        <v>696</v>
      </c>
      <c r="Q4" s="8">
        <v>1277</v>
      </c>
      <c r="R4" s="8">
        <v>0</v>
      </c>
      <c r="S4" s="8">
        <v>0</v>
      </c>
      <c r="T4" s="8">
        <v>0</v>
      </c>
      <c r="U4" s="8">
        <v>0</v>
      </c>
    </row>
    <row r="5" spans="1:21" s="41" customFormat="1" ht="12.75" x14ac:dyDescent="0.25">
      <c r="A5" s="53">
        <f>A4</f>
        <v>43478</v>
      </c>
      <c r="B5" s="8" t="s">
        <v>21</v>
      </c>
      <c r="C5" s="8" t="s">
        <v>52</v>
      </c>
      <c r="D5" s="8" t="s">
        <v>23</v>
      </c>
      <c r="E5" s="8" t="str">
        <f>E3</f>
        <v>HALPN</v>
      </c>
      <c r="F5" s="8" t="s">
        <v>24</v>
      </c>
      <c r="G5" s="9">
        <v>71500</v>
      </c>
      <c r="H5" s="8" t="s">
        <v>54</v>
      </c>
      <c r="I5" s="8" t="s">
        <v>53</v>
      </c>
      <c r="J5" s="26">
        <v>0.88888888888888884</v>
      </c>
      <c r="K5" s="27" t="s">
        <v>103</v>
      </c>
      <c r="L5" s="26">
        <v>0.68402777777777779</v>
      </c>
      <c r="M5" s="27">
        <v>0.69374999999999998</v>
      </c>
      <c r="N5" s="41" t="s">
        <v>129</v>
      </c>
      <c r="O5" s="55" t="s">
        <v>143</v>
      </c>
      <c r="P5" s="55" t="s">
        <v>103</v>
      </c>
      <c r="Q5" s="8">
        <v>1449</v>
      </c>
      <c r="R5" s="8">
        <v>0</v>
      </c>
      <c r="S5" s="8">
        <v>0</v>
      </c>
      <c r="T5" s="8">
        <v>0</v>
      </c>
      <c r="U5" s="8">
        <v>0</v>
      </c>
    </row>
    <row r="6" spans="1:21" x14ac:dyDescent="0.25">
      <c r="A6" s="53">
        <f>A5</f>
        <v>43478</v>
      </c>
      <c r="B6" s="8" t="s">
        <v>21</v>
      </c>
      <c r="C6" s="8" t="s">
        <v>58</v>
      </c>
      <c r="D6" s="8" t="s">
        <v>23</v>
      </c>
      <c r="E6" s="8" t="str">
        <f>E4</f>
        <v>HALWO</v>
      </c>
      <c r="F6" s="8" t="s">
        <v>24</v>
      </c>
      <c r="G6" s="36">
        <v>71500</v>
      </c>
      <c r="H6" s="8" t="s">
        <v>59</v>
      </c>
      <c r="I6" s="8" t="s">
        <v>60</v>
      </c>
      <c r="J6" s="26">
        <v>0.95486111111111116</v>
      </c>
      <c r="K6" s="27" t="str">
        <f>K5</f>
        <v>-</v>
      </c>
      <c r="L6" s="26">
        <v>0.71875</v>
      </c>
      <c r="M6" s="27">
        <v>0.72777777777777775</v>
      </c>
      <c r="N6" s="8" t="str">
        <f>N5</f>
        <v>DIV TO BEG</v>
      </c>
      <c r="O6" s="8" t="s">
        <v>216</v>
      </c>
      <c r="P6" s="8" t="s">
        <v>103</v>
      </c>
      <c r="Q6" s="8">
        <v>1686</v>
      </c>
      <c r="R6" s="8">
        <v>0</v>
      </c>
      <c r="S6" s="8">
        <v>0</v>
      </c>
      <c r="T6" s="8">
        <v>0</v>
      </c>
      <c r="U6" s="8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U7"/>
  <sheetViews>
    <sheetView workbookViewId="0">
      <selection activeCell="K5" sqref="K5"/>
    </sheetView>
  </sheetViews>
  <sheetFormatPr defaultRowHeight="15" x14ac:dyDescent="0.25"/>
  <cols>
    <col min="3" max="3" width="14" bestFit="1" customWidth="1"/>
    <col min="6" max="6" width="12.140625" bestFit="1" customWidth="1"/>
    <col min="7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s="41" customFormat="1" ht="12.75" x14ac:dyDescent="0.25">
      <c r="A1" s="52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2" t="s">
        <v>8</v>
      </c>
      <c r="J1" s="52" t="s">
        <v>9</v>
      </c>
      <c r="K1" s="52" t="s">
        <v>10</v>
      </c>
      <c r="L1" s="52" t="s">
        <v>11</v>
      </c>
      <c r="M1" s="52" t="s">
        <v>12</v>
      </c>
      <c r="N1" s="52" t="s">
        <v>13</v>
      </c>
      <c r="O1" s="52" t="s">
        <v>14</v>
      </c>
      <c r="P1" s="52" t="s">
        <v>15</v>
      </c>
      <c r="Q1" s="52" t="s">
        <v>16</v>
      </c>
      <c r="R1" s="52" t="s">
        <v>17</v>
      </c>
      <c r="S1" s="52" t="s">
        <v>18</v>
      </c>
      <c r="T1" s="52" t="s">
        <v>19</v>
      </c>
      <c r="U1" s="52" t="s">
        <v>20</v>
      </c>
    </row>
    <row r="2" spans="1:21" s="41" customFormat="1" ht="12.75" x14ac:dyDescent="0.25">
      <c r="A2" s="2">
        <v>43479</v>
      </c>
      <c r="B2" s="16" t="s">
        <v>21</v>
      </c>
      <c r="C2" s="16" t="s">
        <v>46</v>
      </c>
      <c r="D2" s="16" t="s">
        <v>23</v>
      </c>
      <c r="E2" s="16" t="s">
        <v>160</v>
      </c>
      <c r="F2" s="16" t="s">
        <v>24</v>
      </c>
      <c r="G2" s="17">
        <v>71500</v>
      </c>
      <c r="H2" s="16" t="s">
        <v>47</v>
      </c>
      <c r="I2" s="16" t="s">
        <v>48</v>
      </c>
      <c r="J2" s="18">
        <v>0.4826388888888889</v>
      </c>
      <c r="K2" s="19">
        <v>0.50277777777777777</v>
      </c>
      <c r="L2" s="18">
        <v>0.27777777777777779</v>
      </c>
      <c r="M2" s="22">
        <v>0.3354166666666667</v>
      </c>
      <c r="N2" s="23" t="s">
        <v>220</v>
      </c>
      <c r="O2" s="23" t="s">
        <v>219</v>
      </c>
      <c r="P2" s="23">
        <v>1035</v>
      </c>
      <c r="Q2" s="23">
        <v>1234</v>
      </c>
      <c r="R2" s="14">
        <v>0</v>
      </c>
      <c r="S2" s="14">
        <v>0</v>
      </c>
      <c r="T2" s="14">
        <v>0</v>
      </c>
      <c r="U2" s="14">
        <v>0</v>
      </c>
    </row>
    <row r="3" spans="1:21" s="41" customFormat="1" ht="12.75" x14ac:dyDescent="0.25">
      <c r="A3" s="2">
        <f>A2</f>
        <v>43479</v>
      </c>
      <c r="B3" s="16" t="s">
        <v>21</v>
      </c>
      <c r="C3" s="16" t="s">
        <v>49</v>
      </c>
      <c r="D3" s="16" t="s">
        <v>23</v>
      </c>
      <c r="E3" s="16" t="s">
        <v>130</v>
      </c>
      <c r="F3" s="16" t="s">
        <v>24</v>
      </c>
      <c r="G3" s="17">
        <v>71500</v>
      </c>
      <c r="H3" s="16" t="s">
        <v>50</v>
      </c>
      <c r="I3" s="16" t="s">
        <v>51</v>
      </c>
      <c r="J3" s="18">
        <v>0.4826388888888889</v>
      </c>
      <c r="K3" s="19">
        <v>0.58124999999999993</v>
      </c>
      <c r="L3" s="18">
        <v>0.33333333333333331</v>
      </c>
      <c r="M3" s="22">
        <v>0.42777777777777781</v>
      </c>
      <c r="N3" s="23" t="s">
        <v>222</v>
      </c>
      <c r="O3" s="23" t="s">
        <v>221</v>
      </c>
      <c r="P3" s="14">
        <v>511</v>
      </c>
      <c r="Q3" s="23">
        <v>761</v>
      </c>
      <c r="R3" s="14">
        <v>0</v>
      </c>
      <c r="S3" s="14">
        <v>0</v>
      </c>
      <c r="T3" s="14">
        <v>0</v>
      </c>
      <c r="U3" s="14">
        <v>0</v>
      </c>
    </row>
    <row r="4" spans="1:21" s="8" customFormat="1" ht="12.75" x14ac:dyDescent="0.25">
      <c r="A4" s="53">
        <f>A3</f>
        <v>43479</v>
      </c>
      <c r="B4" s="25" t="s">
        <v>21</v>
      </c>
      <c r="C4" s="25" t="s">
        <v>61</v>
      </c>
      <c r="D4" s="25" t="s">
        <v>23</v>
      </c>
      <c r="E4" s="16" t="s">
        <v>160</v>
      </c>
      <c r="F4" s="25" t="s">
        <v>24</v>
      </c>
      <c r="G4" s="44">
        <v>71500</v>
      </c>
      <c r="H4" s="25" t="s">
        <v>62</v>
      </c>
      <c r="I4" s="25" t="s">
        <v>63</v>
      </c>
      <c r="J4" s="32">
        <v>0.71180555555555547</v>
      </c>
      <c r="K4" s="33">
        <v>0.73611111111111116</v>
      </c>
      <c r="L4" s="32">
        <v>0.50347222222222221</v>
      </c>
      <c r="M4" s="11">
        <v>0.54375000000000007</v>
      </c>
      <c r="N4" s="8" t="s">
        <v>77</v>
      </c>
      <c r="O4" s="54" t="s">
        <v>105</v>
      </c>
      <c r="P4" s="8">
        <v>1058</v>
      </c>
      <c r="Q4" s="8">
        <v>845</v>
      </c>
      <c r="R4" s="8">
        <v>0</v>
      </c>
      <c r="S4" s="8">
        <v>0</v>
      </c>
      <c r="T4" s="8">
        <v>0</v>
      </c>
      <c r="U4" s="8">
        <v>0</v>
      </c>
    </row>
    <row r="5" spans="1:21" x14ac:dyDescent="0.25">
      <c r="A5" s="53">
        <f>A4</f>
        <v>43479</v>
      </c>
      <c r="B5" s="8" t="s">
        <v>21</v>
      </c>
      <c r="C5" s="8" t="s">
        <v>58</v>
      </c>
      <c r="D5" s="8" t="s">
        <v>23</v>
      </c>
      <c r="E5" s="16" t="s">
        <v>130</v>
      </c>
      <c r="F5" s="8" t="s">
        <v>24</v>
      </c>
      <c r="G5" s="17">
        <v>71500</v>
      </c>
      <c r="H5" s="8" t="s">
        <v>59</v>
      </c>
      <c r="I5" s="8" t="s">
        <v>60</v>
      </c>
      <c r="J5" s="26">
        <v>0.87152777777777779</v>
      </c>
      <c r="K5" s="27">
        <v>0.84861111111111109</v>
      </c>
      <c r="L5" s="26">
        <v>0.63541666666666663</v>
      </c>
      <c r="M5" s="27">
        <v>0.62916666666666665</v>
      </c>
      <c r="N5" s="8" t="s">
        <v>224</v>
      </c>
      <c r="O5" s="8" t="s">
        <v>223</v>
      </c>
      <c r="P5" s="8">
        <v>943</v>
      </c>
      <c r="Q5" s="8">
        <v>1669</v>
      </c>
      <c r="R5" s="8">
        <v>0</v>
      </c>
      <c r="S5" s="8">
        <v>0</v>
      </c>
      <c r="T5" s="8">
        <v>0</v>
      </c>
      <c r="U5" s="8">
        <v>0</v>
      </c>
    </row>
    <row r="6" spans="1:21" x14ac:dyDescent="0.25">
      <c r="A6" s="53">
        <f>A5</f>
        <v>43479</v>
      </c>
      <c r="B6" s="8" t="s">
        <v>21</v>
      </c>
      <c r="C6" s="8" t="s">
        <v>134</v>
      </c>
      <c r="D6" s="8" t="s">
        <v>23</v>
      </c>
      <c r="E6" s="16" t="s">
        <v>160</v>
      </c>
      <c r="F6" s="8" t="s">
        <v>187</v>
      </c>
      <c r="G6" s="17">
        <v>71500</v>
      </c>
      <c r="H6" s="8" t="s">
        <v>217</v>
      </c>
      <c r="I6" s="8" t="s">
        <v>183</v>
      </c>
      <c r="J6" s="26">
        <v>0.27777777777777779</v>
      </c>
      <c r="K6" s="27">
        <v>0.29791666666666666</v>
      </c>
      <c r="L6" s="26" t="s">
        <v>183</v>
      </c>
      <c r="M6" s="27" t="s">
        <v>137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</row>
    <row r="7" spans="1:21" x14ac:dyDescent="0.25">
      <c r="A7" s="53">
        <f>A6</f>
        <v>43479</v>
      </c>
      <c r="B7" s="56" t="s">
        <v>21</v>
      </c>
      <c r="C7" s="56" t="s">
        <v>134</v>
      </c>
      <c r="D7" s="56" t="s">
        <v>23</v>
      </c>
      <c r="E7" s="16" t="s">
        <v>130</v>
      </c>
      <c r="F7" s="8" t="s">
        <v>187</v>
      </c>
      <c r="G7" s="44">
        <v>71500</v>
      </c>
      <c r="H7" s="56" t="s">
        <v>218</v>
      </c>
      <c r="I7" s="16" t="s">
        <v>183</v>
      </c>
      <c r="J7" s="57">
        <v>0.4236111111111111</v>
      </c>
      <c r="K7" s="58">
        <v>0.42777777777777781</v>
      </c>
      <c r="L7" s="18" t="s">
        <v>183</v>
      </c>
      <c r="M7" s="27" t="s">
        <v>137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U6"/>
  <sheetViews>
    <sheetView topLeftCell="G1" workbookViewId="0">
      <selection activeCell="S7" sqref="S7"/>
    </sheetView>
  </sheetViews>
  <sheetFormatPr defaultRowHeight="15" x14ac:dyDescent="0.25"/>
  <cols>
    <col min="2" max="2" width="25.28515625" customWidth="1"/>
    <col min="3" max="3" width="19" customWidth="1"/>
    <col min="5" max="5" width="14.85546875" bestFit="1" customWidth="1"/>
    <col min="6" max="6" width="25" customWidth="1"/>
    <col min="7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  <col min="18" max="18" width="9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43480</v>
      </c>
      <c r="B2" s="3" t="s">
        <v>21</v>
      </c>
      <c r="C2" s="3" t="s">
        <v>22</v>
      </c>
      <c r="D2" s="3" t="s">
        <v>23</v>
      </c>
      <c r="E2" s="3" t="s">
        <v>130</v>
      </c>
      <c r="F2" s="3" t="s">
        <v>24</v>
      </c>
      <c r="G2" s="4">
        <v>71500</v>
      </c>
      <c r="H2" s="3" t="s">
        <v>25</v>
      </c>
      <c r="I2" s="3" t="s">
        <v>26</v>
      </c>
      <c r="J2" s="5">
        <v>0.49652777777777773</v>
      </c>
      <c r="K2" s="6">
        <v>0.4916666666666667</v>
      </c>
      <c r="L2" s="5">
        <v>0.3125</v>
      </c>
      <c r="M2" s="6">
        <v>0.31944444444444448</v>
      </c>
      <c r="N2" s="6" t="s">
        <v>220</v>
      </c>
      <c r="O2" s="6" t="s">
        <v>226</v>
      </c>
      <c r="P2" s="7">
        <v>1012</v>
      </c>
      <c r="Q2" s="7">
        <v>1059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43480</v>
      </c>
      <c r="B3" s="3" t="s">
        <v>21</v>
      </c>
      <c r="C3" s="3" t="s">
        <v>27</v>
      </c>
      <c r="D3" s="3" t="s">
        <v>23</v>
      </c>
      <c r="E3" s="3" t="s">
        <v>225</v>
      </c>
      <c r="F3" s="3" t="s">
        <v>24</v>
      </c>
      <c r="G3" s="4">
        <v>71500</v>
      </c>
      <c r="H3" s="3" t="s">
        <v>28</v>
      </c>
      <c r="I3" s="3" t="s">
        <v>29</v>
      </c>
      <c r="J3" s="5">
        <v>0.49305555555555558</v>
      </c>
      <c r="K3" s="6">
        <v>0.48194444444444445</v>
      </c>
      <c r="L3" s="5">
        <v>0.35416666666666669</v>
      </c>
      <c r="M3" s="6">
        <v>0.36874999999999997</v>
      </c>
      <c r="N3" s="6" t="s">
        <v>228</v>
      </c>
      <c r="O3" s="6" t="s">
        <v>227</v>
      </c>
      <c r="P3" s="7">
        <v>244</v>
      </c>
      <c r="Q3" s="7">
        <v>629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f>A2</f>
        <v>43480</v>
      </c>
      <c r="B4" s="8" t="s">
        <v>21</v>
      </c>
      <c r="C4" s="8" t="s">
        <v>30</v>
      </c>
      <c r="D4" s="8" t="s">
        <v>23</v>
      </c>
      <c r="E4" s="3" t="s">
        <v>149</v>
      </c>
      <c r="F4" s="8" t="s">
        <v>24</v>
      </c>
      <c r="G4" s="4">
        <v>71500</v>
      </c>
      <c r="H4" s="8" t="s">
        <v>31</v>
      </c>
      <c r="I4" s="8" t="s">
        <v>32</v>
      </c>
      <c r="J4" s="10">
        <v>0.72222222222222221</v>
      </c>
      <c r="K4" s="11">
        <v>0.70694444444444438</v>
      </c>
      <c r="L4" s="10">
        <v>0.52777777777777779</v>
      </c>
      <c r="M4" s="11">
        <v>0.51944444444444449</v>
      </c>
      <c r="N4" s="7" t="s">
        <v>229</v>
      </c>
      <c r="O4" s="7" t="s">
        <v>201</v>
      </c>
      <c r="P4" s="3">
        <v>1111</v>
      </c>
      <c r="Q4" s="7">
        <v>912</v>
      </c>
      <c r="R4" s="8">
        <v>0</v>
      </c>
      <c r="S4" s="8">
        <v>0</v>
      </c>
      <c r="T4" s="8">
        <v>0</v>
      </c>
      <c r="U4" s="8">
        <v>0</v>
      </c>
    </row>
    <row r="5" spans="1:21" x14ac:dyDescent="0.25">
      <c r="A5" s="2">
        <f>A4</f>
        <v>43480</v>
      </c>
      <c r="B5" s="8" t="s">
        <v>21</v>
      </c>
      <c r="C5" s="8" t="s">
        <v>33</v>
      </c>
      <c r="D5" s="8" t="s">
        <v>23</v>
      </c>
      <c r="E5" s="3" t="s">
        <v>149</v>
      </c>
      <c r="F5" s="8" t="s">
        <v>24</v>
      </c>
      <c r="G5" s="4">
        <v>71500</v>
      </c>
      <c r="H5" s="8" t="s">
        <v>34</v>
      </c>
      <c r="I5" s="8" t="s">
        <v>35</v>
      </c>
      <c r="J5" s="12">
        <v>0.91319444444444453</v>
      </c>
      <c r="K5" s="13">
        <v>0.90902777777777777</v>
      </c>
      <c r="L5" s="12">
        <v>0.74305555555555547</v>
      </c>
      <c r="M5" s="13">
        <v>0.74722222222222223</v>
      </c>
      <c r="N5" s="13" t="s">
        <v>231</v>
      </c>
      <c r="O5" s="7" t="s">
        <v>230</v>
      </c>
      <c r="P5" s="3">
        <v>614</v>
      </c>
      <c r="Q5" s="7">
        <v>880</v>
      </c>
      <c r="R5" s="8">
        <v>0</v>
      </c>
      <c r="S5" s="8">
        <v>0</v>
      </c>
      <c r="T5" s="8">
        <v>0</v>
      </c>
      <c r="U5" s="8">
        <v>0</v>
      </c>
    </row>
    <row r="6" spans="1:21" s="13" customFormat="1" ht="12.75" x14ac:dyDescent="0.25">
      <c r="A6" s="2">
        <v>43480</v>
      </c>
      <c r="B6" s="13" t="s">
        <v>232</v>
      </c>
      <c r="C6" s="13" t="s">
        <v>233</v>
      </c>
      <c r="D6" s="13" t="s">
        <v>234</v>
      </c>
      <c r="E6" s="13" t="s">
        <v>236</v>
      </c>
      <c r="F6" s="13" t="s">
        <v>235</v>
      </c>
      <c r="G6" s="4">
        <v>61000</v>
      </c>
      <c r="H6" s="13" t="s">
        <v>237</v>
      </c>
      <c r="I6" s="13" t="s">
        <v>238</v>
      </c>
      <c r="J6" s="13">
        <v>0.6875</v>
      </c>
      <c r="K6" s="13">
        <v>0.69652777777777775</v>
      </c>
      <c r="L6" s="13">
        <v>0.75</v>
      </c>
      <c r="M6" s="13">
        <v>0.74097222222222225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4787.67</v>
      </c>
      <c r="T6" s="8">
        <v>0</v>
      </c>
      <c r="U6" s="8">
        <v>0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U4"/>
  <sheetViews>
    <sheetView topLeftCell="E1" workbookViewId="0">
      <selection activeCell="L3" sqref="L3"/>
    </sheetView>
  </sheetViews>
  <sheetFormatPr defaultRowHeight="15" x14ac:dyDescent="0.25"/>
  <cols>
    <col min="2" max="2" width="9.140625" bestFit="1" customWidth="1"/>
    <col min="3" max="3" width="13.5703125" bestFit="1" customWidth="1"/>
    <col min="6" max="6" width="12.140625" bestFit="1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43481</v>
      </c>
      <c r="B2" s="3" t="s">
        <v>21</v>
      </c>
      <c r="C2" s="3" t="s">
        <v>55</v>
      </c>
      <c r="D2" s="3" t="s">
        <v>23</v>
      </c>
      <c r="E2" s="3" t="s">
        <v>149</v>
      </c>
      <c r="F2" s="3" t="s">
        <v>24</v>
      </c>
      <c r="G2" s="4">
        <v>70</v>
      </c>
      <c r="H2" s="3" t="s">
        <v>57</v>
      </c>
      <c r="I2" s="3" t="s">
        <v>56</v>
      </c>
      <c r="J2" s="5">
        <v>0.69791666666666663</v>
      </c>
      <c r="K2" s="6">
        <v>0.72083333333333333</v>
      </c>
      <c r="L2" s="5">
        <v>0.52777777777777779</v>
      </c>
      <c r="M2" s="6">
        <v>0.56041666666666667</v>
      </c>
      <c r="N2" s="6" t="s">
        <v>230</v>
      </c>
      <c r="O2" s="6" t="s">
        <v>75</v>
      </c>
      <c r="P2" s="7">
        <v>1053</v>
      </c>
      <c r="Q2" s="7">
        <v>836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43481</v>
      </c>
      <c r="B3" s="3" t="s">
        <v>21</v>
      </c>
      <c r="C3" s="3" t="s">
        <v>52</v>
      </c>
      <c r="D3" s="3" t="s">
        <v>23</v>
      </c>
      <c r="E3" s="3" t="s">
        <v>149</v>
      </c>
      <c r="F3" s="3" t="s">
        <v>24</v>
      </c>
      <c r="G3" s="4">
        <v>70</v>
      </c>
      <c r="H3" s="3" t="s">
        <v>54</v>
      </c>
      <c r="I3" s="3" t="s">
        <v>53</v>
      </c>
      <c r="J3" s="5">
        <v>0.86458333333333337</v>
      </c>
      <c r="K3" s="6">
        <v>0.94652777777777775</v>
      </c>
      <c r="L3" s="5">
        <v>0.65972222222222221</v>
      </c>
      <c r="M3" s="6">
        <v>0.75416666666666676</v>
      </c>
      <c r="N3" s="6" t="s">
        <v>240</v>
      </c>
      <c r="O3" s="6" t="s">
        <v>239</v>
      </c>
      <c r="P3" s="7">
        <v>959</v>
      </c>
      <c r="Q3" s="7">
        <v>1552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/>
      <c r="B4" s="3"/>
      <c r="C4" s="3"/>
      <c r="D4" s="3"/>
      <c r="E4" s="3"/>
      <c r="F4" s="3"/>
      <c r="G4" s="4"/>
      <c r="H4" s="3"/>
      <c r="I4" s="3"/>
      <c r="J4" s="5"/>
      <c r="K4" s="6"/>
      <c r="L4" s="5"/>
      <c r="M4" s="6"/>
      <c r="N4" s="6"/>
      <c r="O4" s="6"/>
      <c r="P4" s="7"/>
      <c r="Q4" s="7"/>
      <c r="R4" s="3"/>
      <c r="S4" s="3"/>
      <c r="T4" s="3"/>
      <c r="U4" s="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U5"/>
  <sheetViews>
    <sheetView topLeftCell="G1" workbookViewId="0">
      <selection activeCell="N30" sqref="N30"/>
    </sheetView>
  </sheetViews>
  <sheetFormatPr defaultRowHeight="15" x14ac:dyDescent="0.25"/>
  <cols>
    <col min="3" max="3" width="12.85546875" bestFit="1" customWidth="1"/>
    <col min="6" max="6" width="12.140625" bestFit="1" customWidth="1"/>
    <col min="7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  <col min="18" max="18" width="9.42578125" bestFit="1" customWidth="1"/>
  </cols>
  <sheetData>
    <row r="1" spans="1:21" s="35" customFormat="1" ht="12.75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s="35" customFormat="1" ht="12.75" x14ac:dyDescent="0.2">
      <c r="A2" s="37">
        <v>43482</v>
      </c>
      <c r="B2" s="35" t="s">
        <v>21</v>
      </c>
      <c r="C2" s="35" t="s">
        <v>78</v>
      </c>
      <c r="D2" s="35" t="str">
        <f t="shared" ref="D2" si="0">D1</f>
        <v>tip a/c</v>
      </c>
      <c r="E2" s="14" t="s">
        <v>149</v>
      </c>
      <c r="F2" s="35" t="s">
        <v>24</v>
      </c>
      <c r="G2" s="38">
        <v>70000</v>
      </c>
      <c r="H2" s="14" t="s">
        <v>79</v>
      </c>
      <c r="I2" s="14" t="s">
        <v>80</v>
      </c>
      <c r="J2" s="21">
        <v>0.65277777777777779</v>
      </c>
      <c r="K2" s="22">
        <v>0.63680555555555551</v>
      </c>
      <c r="L2" s="21">
        <v>0.5</v>
      </c>
      <c r="M2" s="22">
        <v>0.50347222222222221</v>
      </c>
      <c r="N2" s="35" t="s">
        <v>241</v>
      </c>
      <c r="O2" s="29" t="s">
        <v>240</v>
      </c>
      <c r="P2" s="35">
        <v>649</v>
      </c>
      <c r="Q2" s="29">
        <v>746</v>
      </c>
      <c r="R2" s="14">
        <v>0</v>
      </c>
      <c r="S2" s="14">
        <v>0</v>
      </c>
      <c r="T2" s="14">
        <v>0</v>
      </c>
      <c r="U2" s="14">
        <v>0</v>
      </c>
    </row>
    <row r="3" spans="1:21" s="35" customFormat="1" ht="12.75" x14ac:dyDescent="0.2">
      <c r="A3" s="37"/>
      <c r="B3" s="14"/>
      <c r="C3" s="14"/>
      <c r="D3" s="14"/>
      <c r="E3" s="14"/>
      <c r="F3" s="14"/>
      <c r="G3" s="38"/>
      <c r="H3" s="14"/>
      <c r="I3" s="14"/>
      <c r="J3" s="39"/>
      <c r="K3" s="40"/>
      <c r="L3" s="39"/>
      <c r="M3" s="40"/>
      <c r="O3" s="29"/>
      <c r="Q3" s="29"/>
      <c r="R3" s="41"/>
      <c r="S3" s="41"/>
      <c r="T3" s="41"/>
      <c r="U3" s="41"/>
    </row>
    <row r="4" spans="1:21" s="35" customFormat="1" ht="12.75" x14ac:dyDescent="0.2">
      <c r="A4" s="37"/>
      <c r="E4" s="14"/>
      <c r="G4" s="38"/>
      <c r="H4" s="14"/>
      <c r="I4" s="14"/>
      <c r="J4" s="21"/>
      <c r="K4" s="22"/>
      <c r="L4" s="21"/>
      <c r="M4" s="22"/>
      <c r="O4" s="29"/>
      <c r="Q4" s="29"/>
      <c r="R4" s="14"/>
      <c r="S4" s="14"/>
      <c r="T4" s="14"/>
      <c r="U4" s="14"/>
    </row>
    <row r="5" spans="1:21" s="35" customFormat="1" ht="12.75" x14ac:dyDescent="0.2">
      <c r="A5" s="15"/>
      <c r="B5" s="14"/>
      <c r="C5" s="14"/>
      <c r="D5" s="14"/>
      <c r="E5" s="14"/>
      <c r="F5" s="14"/>
      <c r="G5" s="36"/>
      <c r="H5" s="14"/>
      <c r="I5" s="14"/>
      <c r="J5" s="22"/>
      <c r="K5" s="22"/>
      <c r="L5" s="14"/>
      <c r="M5" s="14"/>
      <c r="N5" s="14"/>
      <c r="O5" s="14"/>
      <c r="P5" s="14"/>
      <c r="Q5" s="23"/>
      <c r="R5" s="14"/>
      <c r="S5" s="14"/>
      <c r="T5" s="14"/>
      <c r="U5" s="1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U9"/>
  <sheetViews>
    <sheetView workbookViewId="0">
      <selection activeCell="P14" sqref="P14"/>
    </sheetView>
  </sheetViews>
  <sheetFormatPr defaultRowHeight="12.75" x14ac:dyDescent="0.2"/>
  <cols>
    <col min="1" max="1" width="10.140625" style="35" bestFit="1" customWidth="1"/>
    <col min="2" max="2" width="22.5703125" style="35" customWidth="1"/>
    <col min="3" max="3" width="18.5703125" style="35" customWidth="1"/>
    <col min="4" max="4" width="9.140625" style="35"/>
    <col min="5" max="5" width="15" style="35" customWidth="1"/>
    <col min="6" max="6" width="24.140625" style="35" customWidth="1"/>
    <col min="7" max="9" width="9.140625" style="35"/>
    <col min="10" max="10" width="12.7109375" style="35" customWidth="1"/>
    <col min="11" max="11" width="11.85546875" style="33" customWidth="1"/>
    <col min="12" max="12" width="11.140625" style="35" customWidth="1"/>
    <col min="13" max="13" width="11.42578125" style="35" customWidth="1"/>
    <col min="14" max="14" width="17" style="25" customWidth="1"/>
    <col min="15" max="15" width="17.140625" style="35" customWidth="1"/>
    <col min="16" max="16384" width="9.140625" style="35"/>
  </cols>
  <sheetData>
    <row r="1" spans="1:21" x14ac:dyDescent="0.2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33" t="s">
        <v>10</v>
      </c>
      <c r="L1" s="43" t="s">
        <v>11</v>
      </c>
      <c r="M1" s="43" t="s">
        <v>12</v>
      </c>
      <c r="N1" s="25" t="s">
        <v>13</v>
      </c>
      <c r="O1" s="43" t="s">
        <v>14</v>
      </c>
      <c r="P1" s="43" t="s">
        <v>15</v>
      </c>
      <c r="Q1" s="43" t="s">
        <v>16</v>
      </c>
      <c r="R1" s="43" t="s">
        <v>17</v>
      </c>
      <c r="S1" s="43" t="s">
        <v>18</v>
      </c>
      <c r="T1" s="43" t="s">
        <v>19</v>
      </c>
      <c r="U1" s="43" t="s">
        <v>20</v>
      </c>
    </row>
    <row r="2" spans="1:21" x14ac:dyDescent="0.2">
      <c r="A2" s="24">
        <v>43483</v>
      </c>
      <c r="B2" s="14" t="s">
        <v>21</v>
      </c>
      <c r="C2" s="14" t="s">
        <v>46</v>
      </c>
      <c r="D2" s="14" t="s">
        <v>23</v>
      </c>
      <c r="E2" s="14" t="s">
        <v>242</v>
      </c>
      <c r="F2" s="14" t="s">
        <v>24</v>
      </c>
      <c r="G2" s="36">
        <v>70000</v>
      </c>
      <c r="H2" s="14" t="s">
        <v>48</v>
      </c>
      <c r="I2" s="14" t="s">
        <v>47</v>
      </c>
      <c r="J2" s="21">
        <v>0.4826388888888889</v>
      </c>
      <c r="K2" s="33">
        <v>0.46666666666666662</v>
      </c>
      <c r="L2" s="21">
        <v>0.27777777777777779</v>
      </c>
      <c r="M2" s="22">
        <v>0.70624999999999993</v>
      </c>
      <c r="N2" s="25" t="s">
        <v>246</v>
      </c>
      <c r="O2" s="23" t="s">
        <v>243</v>
      </c>
      <c r="P2" s="23">
        <v>1136</v>
      </c>
      <c r="Q2" s="23">
        <v>924</v>
      </c>
      <c r="R2" s="14">
        <v>0</v>
      </c>
      <c r="S2" s="14">
        <v>0</v>
      </c>
      <c r="T2" s="14">
        <v>0</v>
      </c>
      <c r="U2" s="14">
        <v>0</v>
      </c>
    </row>
    <row r="3" spans="1:21" x14ac:dyDescent="0.2">
      <c r="A3" s="24">
        <f t="shared" ref="A3:A4" si="0">A2</f>
        <v>43483</v>
      </c>
      <c r="B3" s="14" t="s">
        <v>21</v>
      </c>
      <c r="C3" s="14" t="s">
        <v>49</v>
      </c>
      <c r="D3" s="14" t="s">
        <v>23</v>
      </c>
      <c r="E3" s="14" t="s">
        <v>195</v>
      </c>
      <c r="F3" s="14" t="s">
        <v>24</v>
      </c>
      <c r="G3" s="36">
        <v>71500</v>
      </c>
      <c r="H3" s="14" t="s">
        <v>51</v>
      </c>
      <c r="I3" s="14" t="s">
        <v>50</v>
      </c>
      <c r="J3" s="21">
        <v>0.4826388888888889</v>
      </c>
      <c r="K3" s="33">
        <v>0.4694444444444445</v>
      </c>
      <c r="L3" s="21">
        <v>0.33333333333333331</v>
      </c>
      <c r="M3" s="22">
        <v>0.33333333333333331</v>
      </c>
      <c r="N3" s="25" t="s">
        <v>247</v>
      </c>
      <c r="O3" s="23" t="s">
        <v>244</v>
      </c>
      <c r="P3" s="14">
        <v>427</v>
      </c>
      <c r="Q3" s="23">
        <v>689</v>
      </c>
      <c r="R3" s="14">
        <v>0</v>
      </c>
      <c r="S3" s="14">
        <v>0</v>
      </c>
      <c r="T3" s="14">
        <v>0</v>
      </c>
      <c r="U3" s="14">
        <v>0</v>
      </c>
    </row>
    <row r="4" spans="1:21" x14ac:dyDescent="0.2">
      <c r="A4" s="24">
        <f t="shared" si="0"/>
        <v>43483</v>
      </c>
      <c r="B4" s="25" t="s">
        <v>21</v>
      </c>
      <c r="C4" s="25" t="s">
        <v>61</v>
      </c>
      <c r="D4" s="25" t="s">
        <v>23</v>
      </c>
      <c r="E4" s="14" t="s">
        <v>242</v>
      </c>
      <c r="F4" s="25" t="s">
        <v>24</v>
      </c>
      <c r="G4" s="36">
        <v>70000</v>
      </c>
      <c r="H4" s="25" t="s">
        <v>63</v>
      </c>
      <c r="I4" s="25" t="s">
        <v>62</v>
      </c>
      <c r="J4" s="32">
        <v>0.71180555555555547</v>
      </c>
      <c r="K4" s="33">
        <v>0.70763888888888893</v>
      </c>
      <c r="L4" s="32">
        <v>0.50347222222222221</v>
      </c>
      <c r="M4" s="33">
        <v>0.50972222222222219</v>
      </c>
      <c r="N4" s="25" t="s">
        <v>230</v>
      </c>
      <c r="O4" s="25" t="s">
        <v>245</v>
      </c>
      <c r="P4" s="25">
        <v>869</v>
      </c>
      <c r="Q4" s="25">
        <v>984</v>
      </c>
      <c r="R4" s="25">
        <v>0</v>
      </c>
      <c r="S4" s="25">
        <v>0</v>
      </c>
      <c r="T4" s="25">
        <v>0</v>
      </c>
      <c r="U4" s="25">
        <v>0</v>
      </c>
    </row>
    <row r="5" spans="1:21" x14ac:dyDescent="0.2">
      <c r="A5" s="24">
        <f>A4</f>
        <v>43483</v>
      </c>
      <c r="B5" s="25" t="s">
        <v>21</v>
      </c>
      <c r="C5" s="25" t="s">
        <v>58</v>
      </c>
      <c r="D5" s="25" t="s">
        <v>23</v>
      </c>
      <c r="E5" s="14" t="s">
        <v>195</v>
      </c>
      <c r="F5" s="25" t="s">
        <v>24</v>
      </c>
      <c r="G5" s="36">
        <v>71500</v>
      </c>
      <c r="H5" s="25" t="s">
        <v>59</v>
      </c>
      <c r="I5" s="25" t="s">
        <v>60</v>
      </c>
      <c r="J5" s="26">
        <v>0.95486111111111116</v>
      </c>
      <c r="K5" s="32">
        <v>0.85833333333333339</v>
      </c>
      <c r="L5" s="26">
        <v>0.71875</v>
      </c>
      <c r="M5" s="45">
        <v>0.63680555555555551</v>
      </c>
      <c r="N5" s="25" t="s">
        <v>249</v>
      </c>
      <c r="O5" s="25" t="s">
        <v>248</v>
      </c>
      <c r="P5" s="46">
        <v>1313</v>
      </c>
      <c r="Q5" s="25">
        <v>1348</v>
      </c>
      <c r="R5" s="25">
        <v>0</v>
      </c>
      <c r="S5" s="25">
        <v>0</v>
      </c>
      <c r="T5" s="25">
        <v>0</v>
      </c>
      <c r="U5" s="25">
        <v>0</v>
      </c>
    </row>
    <row r="6" spans="1:21" x14ac:dyDescent="0.2">
      <c r="A6" s="24"/>
      <c r="B6" s="25"/>
      <c r="C6" s="25"/>
      <c r="D6" s="25"/>
      <c r="E6" s="14"/>
      <c r="F6" s="25"/>
      <c r="G6" s="44"/>
      <c r="H6" s="14"/>
      <c r="I6" s="14"/>
      <c r="J6" s="39"/>
      <c r="L6" s="39"/>
      <c r="M6" s="40"/>
      <c r="O6" s="25"/>
      <c r="P6" s="25"/>
      <c r="Q6" s="25"/>
      <c r="R6" s="25"/>
      <c r="S6" s="25"/>
      <c r="T6" s="25"/>
      <c r="U6" s="25"/>
    </row>
    <row r="7" spans="1:21" x14ac:dyDescent="0.2">
      <c r="A7" s="37"/>
      <c r="G7" s="38"/>
      <c r="J7" s="39"/>
    </row>
    <row r="8" spans="1:21" x14ac:dyDescent="0.2">
      <c r="A8" s="37"/>
      <c r="G8" s="38"/>
      <c r="J8" s="39"/>
    </row>
    <row r="9" spans="1:21" x14ac:dyDescent="0.2">
      <c r="A9" s="37"/>
      <c r="G9" s="38"/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U6"/>
  <sheetViews>
    <sheetView workbookViewId="0">
      <selection activeCell="A5" sqref="A5"/>
    </sheetView>
  </sheetViews>
  <sheetFormatPr defaultRowHeight="15" x14ac:dyDescent="0.25"/>
  <cols>
    <col min="2" max="2" width="11.85546875" customWidth="1"/>
    <col min="3" max="3" width="15" customWidth="1"/>
    <col min="6" max="6" width="18.7109375" customWidth="1"/>
    <col min="9" max="9" width="10.140625" customWidth="1"/>
    <col min="10" max="10" width="11.5703125" customWidth="1"/>
    <col min="11" max="11" width="13.28515625" customWidth="1"/>
    <col min="12" max="12" width="11.85546875" customWidth="1"/>
    <col min="13" max="13" width="11" customWidth="1"/>
    <col min="14" max="14" width="19.7109375" customWidth="1"/>
    <col min="15" max="15" width="19.140625" customWidth="1"/>
    <col min="16" max="16" width="9.85546875" customWidth="1"/>
    <col min="17" max="17" width="10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43484</v>
      </c>
      <c r="B2" s="3" t="s">
        <v>21</v>
      </c>
      <c r="C2" s="3" t="s">
        <v>22</v>
      </c>
      <c r="D2" s="3" t="s">
        <v>23</v>
      </c>
      <c r="E2" s="3" t="s">
        <v>149</v>
      </c>
      <c r="F2" s="3" t="s">
        <v>24</v>
      </c>
      <c r="G2" s="4">
        <v>70000</v>
      </c>
      <c r="H2" s="3" t="s">
        <v>25</v>
      </c>
      <c r="I2" s="3" t="s">
        <v>26</v>
      </c>
      <c r="J2" s="5">
        <v>0.49652777777777773</v>
      </c>
      <c r="K2" s="6">
        <v>0.49791666666666662</v>
      </c>
      <c r="L2" s="5">
        <v>0.3125</v>
      </c>
      <c r="M2" s="6">
        <v>0.32916666666666666</v>
      </c>
      <c r="N2" s="6" t="s">
        <v>252</v>
      </c>
      <c r="O2" s="7" t="s">
        <v>250</v>
      </c>
      <c r="P2" s="7">
        <v>954</v>
      </c>
      <c r="Q2" s="7">
        <v>1126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f>A2</f>
        <v>43484</v>
      </c>
      <c r="B3" s="3" t="s">
        <v>21</v>
      </c>
      <c r="C3" s="3" t="s">
        <v>115</v>
      </c>
      <c r="D3" s="3" t="s">
        <v>23</v>
      </c>
      <c r="E3" s="3" t="s">
        <v>130</v>
      </c>
      <c r="F3" s="3" t="s">
        <v>24</v>
      </c>
      <c r="G3" s="4">
        <v>71500</v>
      </c>
      <c r="H3" s="3" t="s">
        <v>28</v>
      </c>
      <c r="I3" s="3" t="s">
        <v>29</v>
      </c>
      <c r="J3" s="5">
        <v>0.49305555555555558</v>
      </c>
      <c r="K3" s="6">
        <v>0.48749999999999999</v>
      </c>
      <c r="L3" s="5">
        <v>0.35416666666666669</v>
      </c>
      <c r="M3" s="6">
        <v>0.37291666666666662</v>
      </c>
      <c r="N3" s="6" t="s">
        <v>198</v>
      </c>
      <c r="O3" s="46" t="s">
        <v>251</v>
      </c>
      <c r="P3" s="3">
        <v>657</v>
      </c>
      <c r="Q3" s="46">
        <v>441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f>A3</f>
        <v>43484</v>
      </c>
      <c r="B4" s="8" t="s">
        <v>21</v>
      </c>
      <c r="C4" s="8" t="s">
        <v>30</v>
      </c>
      <c r="D4" s="8" t="s">
        <v>23</v>
      </c>
      <c r="E4" s="3" t="s">
        <v>149</v>
      </c>
      <c r="F4" s="8" t="s">
        <v>24</v>
      </c>
      <c r="G4" s="4">
        <v>70000</v>
      </c>
      <c r="H4" s="8" t="s">
        <v>31</v>
      </c>
      <c r="I4" s="8" t="s">
        <v>32</v>
      </c>
      <c r="J4" s="10">
        <v>0.72222222222222221</v>
      </c>
      <c r="K4" s="11">
        <v>0.71875</v>
      </c>
      <c r="L4" s="10">
        <v>0.52777777777777779</v>
      </c>
      <c r="M4" s="11">
        <v>0.5395833333333333</v>
      </c>
      <c r="N4" s="60" t="s">
        <v>257</v>
      </c>
      <c r="O4" s="7" t="s">
        <v>255</v>
      </c>
      <c r="P4" s="3">
        <v>885</v>
      </c>
      <c r="Q4" s="7">
        <v>895</v>
      </c>
      <c r="R4" s="8">
        <v>0</v>
      </c>
      <c r="S4" s="8">
        <v>0</v>
      </c>
      <c r="T4" s="8">
        <v>0</v>
      </c>
      <c r="U4" s="8">
        <v>0</v>
      </c>
    </row>
    <row r="5" spans="1:21" x14ac:dyDescent="0.25">
      <c r="A5" s="2">
        <f>A4</f>
        <v>43484</v>
      </c>
      <c r="B5" s="8" t="s">
        <v>21</v>
      </c>
      <c r="C5" s="8" t="s">
        <v>33</v>
      </c>
      <c r="D5" s="8" t="s">
        <v>23</v>
      </c>
      <c r="E5" s="3" t="s">
        <v>149</v>
      </c>
      <c r="F5" s="8" t="s">
        <v>24</v>
      </c>
      <c r="G5" s="9">
        <v>71500</v>
      </c>
      <c r="H5" s="8" t="s">
        <v>34</v>
      </c>
      <c r="I5" s="8" t="s">
        <v>35</v>
      </c>
      <c r="J5" s="12">
        <v>0.91319444444444453</v>
      </c>
      <c r="K5" s="13">
        <v>0.92847222222222225</v>
      </c>
      <c r="L5" s="12">
        <v>0.74305555555555547</v>
      </c>
      <c r="M5" s="48">
        <v>0.76041666666666663</v>
      </c>
      <c r="N5" s="7" t="s">
        <v>81</v>
      </c>
      <c r="O5" s="7" t="s">
        <v>256</v>
      </c>
      <c r="P5" s="3">
        <v>958</v>
      </c>
      <c r="Q5" s="7">
        <v>672</v>
      </c>
      <c r="R5" s="8">
        <v>0</v>
      </c>
      <c r="S5" s="8">
        <v>0</v>
      </c>
      <c r="T5" s="8">
        <v>0</v>
      </c>
      <c r="U5" s="8">
        <v>0</v>
      </c>
    </row>
    <row r="6" spans="1:21" x14ac:dyDescent="0.25">
      <c r="A6" s="2">
        <f>A5</f>
        <v>43484</v>
      </c>
      <c r="B6" s="8" t="s">
        <v>21</v>
      </c>
      <c r="C6" s="8" t="s">
        <v>254</v>
      </c>
      <c r="D6" s="8" t="s">
        <v>23</v>
      </c>
      <c r="E6" s="3" t="s">
        <v>130</v>
      </c>
      <c r="F6" s="8" t="s">
        <v>253</v>
      </c>
      <c r="G6" s="9">
        <v>71500</v>
      </c>
      <c r="H6" s="8" t="s">
        <v>188</v>
      </c>
      <c r="I6" s="8" t="s">
        <v>136</v>
      </c>
      <c r="J6" s="40">
        <v>0.77777777777777779</v>
      </c>
      <c r="K6" s="40">
        <v>0.75</v>
      </c>
      <c r="L6" s="40">
        <v>0.51388888888888895</v>
      </c>
      <c r="M6" s="28">
        <v>0.51874999999999993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U5"/>
  <sheetViews>
    <sheetView workbookViewId="0">
      <selection activeCell="E5" sqref="E5"/>
    </sheetView>
  </sheetViews>
  <sheetFormatPr defaultRowHeight="15" x14ac:dyDescent="0.25"/>
  <cols>
    <col min="2" max="2" width="10.5703125" customWidth="1"/>
    <col min="3" max="3" width="15" customWidth="1"/>
    <col min="5" max="5" width="15.7109375" customWidth="1"/>
    <col min="6" max="6" width="23.42578125" customWidth="1"/>
    <col min="10" max="10" width="11" customWidth="1"/>
    <col min="11" max="11" width="12.28515625" customWidth="1"/>
    <col min="12" max="12" width="11.85546875" customWidth="1"/>
    <col min="13" max="13" width="13.42578125" customWidth="1"/>
    <col min="14" max="14" width="19.140625" customWidth="1"/>
    <col min="15" max="15" width="18.140625" customWidth="1"/>
  </cols>
  <sheetData>
    <row r="1" spans="1:21" s="41" customFormat="1" ht="12.75" x14ac:dyDescent="0.25">
      <c r="A1" s="52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2" t="s">
        <v>8</v>
      </c>
      <c r="J1" s="52" t="s">
        <v>9</v>
      </c>
      <c r="K1" s="52" t="s">
        <v>10</v>
      </c>
      <c r="L1" s="52" t="s">
        <v>11</v>
      </c>
      <c r="M1" s="52" t="s">
        <v>12</v>
      </c>
      <c r="N1" s="52" t="s">
        <v>13</v>
      </c>
      <c r="O1" s="52" t="s">
        <v>14</v>
      </c>
      <c r="P1" s="52" t="s">
        <v>15</v>
      </c>
      <c r="Q1" s="52" t="s">
        <v>16</v>
      </c>
      <c r="R1" s="52" t="s">
        <v>17</v>
      </c>
      <c r="S1" s="52" t="s">
        <v>18</v>
      </c>
      <c r="T1" s="52" t="s">
        <v>19</v>
      </c>
      <c r="U1" s="52" t="s">
        <v>20</v>
      </c>
    </row>
    <row r="2" spans="1:21" s="41" customFormat="1" ht="12.75" x14ac:dyDescent="0.25">
      <c r="A2" s="2">
        <v>43485</v>
      </c>
      <c r="B2" s="14" t="s">
        <v>21</v>
      </c>
      <c r="C2" s="14" t="s">
        <v>46</v>
      </c>
      <c r="D2" s="14" t="s">
        <v>23</v>
      </c>
      <c r="E2" s="8" t="s">
        <v>130</v>
      </c>
      <c r="F2" s="14" t="s">
        <v>24</v>
      </c>
      <c r="G2" s="36">
        <v>71500</v>
      </c>
      <c r="H2" s="14" t="s">
        <v>48</v>
      </c>
      <c r="I2" s="14" t="s">
        <v>47</v>
      </c>
      <c r="J2" s="21">
        <v>0.4826388888888889</v>
      </c>
      <c r="K2" s="22">
        <v>0.47222222222222227</v>
      </c>
      <c r="L2" s="21">
        <v>0.27777777777777779</v>
      </c>
      <c r="M2" s="22">
        <v>0.28888888888888892</v>
      </c>
      <c r="N2" s="23" t="s">
        <v>239</v>
      </c>
      <c r="O2" s="23" t="s">
        <v>259</v>
      </c>
      <c r="P2" s="23">
        <v>1398</v>
      </c>
      <c r="Q2" s="23">
        <v>1024</v>
      </c>
      <c r="R2" s="14">
        <v>0</v>
      </c>
      <c r="S2" s="14">
        <v>0</v>
      </c>
      <c r="T2" s="14">
        <v>0</v>
      </c>
      <c r="U2" s="14">
        <v>0</v>
      </c>
    </row>
    <row r="3" spans="1:21" s="41" customFormat="1" ht="12.75" x14ac:dyDescent="0.25">
      <c r="A3" s="2">
        <f>A2</f>
        <v>43485</v>
      </c>
      <c r="B3" s="14" t="s">
        <v>21</v>
      </c>
      <c r="C3" s="14" t="s">
        <v>78</v>
      </c>
      <c r="D3" s="14" t="s">
        <v>23</v>
      </c>
      <c r="E3" s="14" t="s">
        <v>149</v>
      </c>
      <c r="F3" s="14" t="s">
        <v>24</v>
      </c>
      <c r="G3" s="36">
        <v>70000</v>
      </c>
      <c r="H3" s="14" t="s">
        <v>79</v>
      </c>
      <c r="I3" s="14" t="s">
        <v>80</v>
      </c>
      <c r="J3" s="21">
        <v>0.65277777777777779</v>
      </c>
      <c r="K3" s="22">
        <v>0.64930555555555558</v>
      </c>
      <c r="L3" s="21">
        <v>0.5</v>
      </c>
      <c r="M3" s="22">
        <v>0.51736111111111105</v>
      </c>
      <c r="N3" s="23" t="s">
        <v>262</v>
      </c>
      <c r="O3" s="23" t="s">
        <v>260</v>
      </c>
      <c r="P3" s="14">
        <v>874</v>
      </c>
      <c r="Q3" s="23">
        <v>748</v>
      </c>
      <c r="R3" s="14">
        <v>0</v>
      </c>
      <c r="S3" s="14">
        <v>0</v>
      </c>
      <c r="T3" s="14">
        <v>0</v>
      </c>
      <c r="U3" s="14">
        <v>0</v>
      </c>
    </row>
    <row r="4" spans="1:21" s="8" customFormat="1" ht="12.75" x14ac:dyDescent="0.25">
      <c r="A4" s="53">
        <f>A3</f>
        <v>43485</v>
      </c>
      <c r="B4" s="8" t="s">
        <v>21</v>
      </c>
      <c r="C4" s="8" t="s">
        <v>55</v>
      </c>
      <c r="D4" s="8" t="s">
        <v>23</v>
      </c>
      <c r="E4" s="8" t="s">
        <v>258</v>
      </c>
      <c r="F4" s="8" t="s">
        <v>24</v>
      </c>
      <c r="G4" s="9">
        <v>71500</v>
      </c>
      <c r="H4" s="8" t="s">
        <v>57</v>
      </c>
      <c r="I4" s="8" t="s">
        <v>56</v>
      </c>
      <c r="J4" s="10">
        <v>0.69791666666666663</v>
      </c>
      <c r="K4" s="11">
        <v>0.69236111111111109</v>
      </c>
      <c r="L4" s="10">
        <v>0.52777777777777779</v>
      </c>
      <c r="M4" s="11">
        <v>0.54166666666666663</v>
      </c>
      <c r="N4" s="8" t="s">
        <v>263</v>
      </c>
      <c r="O4" s="54" t="s">
        <v>261</v>
      </c>
      <c r="P4" s="8">
        <v>1193</v>
      </c>
      <c r="Q4" s="8">
        <v>804</v>
      </c>
      <c r="R4" s="8">
        <v>0</v>
      </c>
      <c r="S4" s="8">
        <v>0</v>
      </c>
      <c r="T4" s="8">
        <v>0</v>
      </c>
      <c r="U4" s="8">
        <v>0</v>
      </c>
    </row>
    <row r="5" spans="1:21" s="41" customFormat="1" ht="12.75" x14ac:dyDescent="0.25">
      <c r="A5" s="53">
        <f>A4</f>
        <v>43485</v>
      </c>
      <c r="B5" s="8" t="s">
        <v>21</v>
      </c>
      <c r="C5" s="8" t="s">
        <v>52</v>
      </c>
      <c r="D5" s="8" t="s">
        <v>23</v>
      </c>
      <c r="E5" s="14" t="s">
        <v>149</v>
      </c>
      <c r="F5" s="8" t="s">
        <v>24</v>
      </c>
      <c r="G5" s="9">
        <v>71500</v>
      </c>
      <c r="H5" s="8" t="s">
        <v>54</v>
      </c>
      <c r="I5" s="8" t="s">
        <v>53</v>
      </c>
      <c r="J5" s="26">
        <v>0.88888888888888884</v>
      </c>
      <c r="K5" s="27">
        <v>0.86944444444444446</v>
      </c>
      <c r="L5" s="26">
        <v>0.68402777777777779</v>
      </c>
      <c r="M5" s="27">
        <v>0.68402777777777779</v>
      </c>
      <c r="N5" s="41" t="s">
        <v>265</v>
      </c>
      <c r="O5" s="55" t="s">
        <v>264</v>
      </c>
      <c r="P5" s="55">
        <v>924</v>
      </c>
      <c r="Q5" s="8">
        <v>1144</v>
      </c>
      <c r="R5" s="8">
        <v>0</v>
      </c>
      <c r="S5" s="8">
        <v>0</v>
      </c>
      <c r="T5" s="8">
        <v>0</v>
      </c>
      <c r="U5" s="8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U7"/>
  <sheetViews>
    <sheetView topLeftCell="E1" workbookViewId="0">
      <selection activeCell="L14" sqref="L14"/>
    </sheetView>
  </sheetViews>
  <sheetFormatPr defaultRowHeight="15" x14ac:dyDescent="0.25"/>
  <cols>
    <col min="3" max="3" width="14" bestFit="1" customWidth="1"/>
    <col min="5" max="5" width="15.42578125" customWidth="1"/>
    <col min="6" max="6" width="12.140625" bestFit="1" customWidth="1"/>
    <col min="7" max="7" width="14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s="41" customFormat="1" ht="12.75" x14ac:dyDescent="0.25">
      <c r="A1" s="52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2" t="s">
        <v>8</v>
      </c>
      <c r="J1" s="52" t="s">
        <v>9</v>
      </c>
      <c r="K1" s="52" t="s">
        <v>10</v>
      </c>
      <c r="L1" s="52" t="s">
        <v>11</v>
      </c>
      <c r="M1" s="52" t="s">
        <v>12</v>
      </c>
      <c r="N1" s="52" t="s">
        <v>13</v>
      </c>
      <c r="O1" s="52" t="s">
        <v>14</v>
      </c>
      <c r="P1" s="52" t="s">
        <v>15</v>
      </c>
      <c r="Q1" s="52" t="s">
        <v>16</v>
      </c>
      <c r="R1" s="52" t="s">
        <v>17</v>
      </c>
      <c r="S1" s="52" t="s">
        <v>18</v>
      </c>
      <c r="T1" s="52" t="s">
        <v>19</v>
      </c>
      <c r="U1" s="52" t="s">
        <v>20</v>
      </c>
    </row>
    <row r="2" spans="1:21" s="41" customFormat="1" ht="12.75" x14ac:dyDescent="0.25">
      <c r="A2" s="2">
        <v>43486</v>
      </c>
      <c r="B2" s="16" t="s">
        <v>21</v>
      </c>
      <c r="C2" s="16" t="s">
        <v>46</v>
      </c>
      <c r="D2" s="16" t="s">
        <v>23</v>
      </c>
      <c r="E2" s="16" t="s">
        <v>266</v>
      </c>
      <c r="F2" s="16" t="s">
        <v>24</v>
      </c>
      <c r="G2" s="17" t="s">
        <v>267</v>
      </c>
      <c r="H2" s="16" t="s">
        <v>47</v>
      </c>
      <c r="I2" s="16" t="s">
        <v>48</v>
      </c>
      <c r="J2" s="18">
        <v>0.4826388888888889</v>
      </c>
      <c r="K2" s="19">
        <v>0.47569444444444442</v>
      </c>
      <c r="L2" s="18">
        <v>0.27777777777777779</v>
      </c>
      <c r="M2" s="22">
        <v>0.29791666666666666</v>
      </c>
      <c r="N2" s="23" t="s">
        <v>270</v>
      </c>
      <c r="O2" s="23" t="s">
        <v>268</v>
      </c>
      <c r="P2" s="23">
        <v>952</v>
      </c>
      <c r="Q2" s="23">
        <v>840</v>
      </c>
      <c r="R2" s="14">
        <v>0</v>
      </c>
      <c r="S2" s="14">
        <v>0</v>
      </c>
      <c r="T2" s="14">
        <v>0</v>
      </c>
      <c r="U2" s="14">
        <v>0</v>
      </c>
    </row>
    <row r="3" spans="1:21" s="41" customFormat="1" ht="12.75" x14ac:dyDescent="0.25">
      <c r="A3" s="2">
        <f>A2</f>
        <v>43486</v>
      </c>
      <c r="B3" s="16" t="s">
        <v>21</v>
      </c>
      <c r="C3" s="16" t="s">
        <v>49</v>
      </c>
      <c r="D3" s="16" t="s">
        <v>23</v>
      </c>
      <c r="E3" s="16" t="s">
        <v>258</v>
      </c>
      <c r="F3" s="16" t="s">
        <v>24</v>
      </c>
      <c r="G3" s="17">
        <v>71500</v>
      </c>
      <c r="H3" s="16" t="s">
        <v>50</v>
      </c>
      <c r="I3" s="16" t="s">
        <v>51</v>
      </c>
      <c r="J3" s="18">
        <v>0.4826388888888889</v>
      </c>
      <c r="K3" s="19">
        <v>0.47361111111111115</v>
      </c>
      <c r="L3" s="18">
        <v>0.33333333333333331</v>
      </c>
      <c r="M3" s="22">
        <v>0.3444444444444445</v>
      </c>
      <c r="N3" s="23" t="s">
        <v>271</v>
      </c>
      <c r="O3" s="23" t="s">
        <v>269</v>
      </c>
      <c r="P3" s="14">
        <v>668</v>
      </c>
      <c r="Q3" s="23">
        <v>477</v>
      </c>
      <c r="R3" s="14">
        <v>0</v>
      </c>
      <c r="S3" s="14">
        <v>0</v>
      </c>
      <c r="T3" s="14">
        <v>0</v>
      </c>
      <c r="U3" s="14">
        <v>0</v>
      </c>
    </row>
    <row r="4" spans="1:21" s="8" customFormat="1" ht="12.75" x14ac:dyDescent="0.25">
      <c r="A4" s="53">
        <f>A3</f>
        <v>43486</v>
      </c>
      <c r="B4" s="25" t="s">
        <v>21</v>
      </c>
      <c r="C4" s="25" t="s">
        <v>61</v>
      </c>
      <c r="D4" s="25" t="s">
        <v>23</v>
      </c>
      <c r="E4" s="16" t="s">
        <v>258</v>
      </c>
      <c r="F4" s="25" t="s">
        <v>24</v>
      </c>
      <c r="G4" s="44">
        <v>71500</v>
      </c>
      <c r="H4" s="25" t="s">
        <v>62</v>
      </c>
      <c r="I4" s="25" t="s">
        <v>63</v>
      </c>
      <c r="J4" s="32">
        <v>0.71180555555555547</v>
      </c>
      <c r="K4" s="33">
        <v>0.70833333333333337</v>
      </c>
      <c r="L4" s="32">
        <v>0.50347222222222221</v>
      </c>
      <c r="M4" s="11">
        <v>0.55902777777777779</v>
      </c>
      <c r="N4" s="8" t="s">
        <v>275</v>
      </c>
      <c r="O4" s="54" t="s">
        <v>272</v>
      </c>
      <c r="P4" s="8">
        <v>796</v>
      </c>
      <c r="Q4" s="8">
        <v>808</v>
      </c>
      <c r="R4" s="8">
        <v>0</v>
      </c>
      <c r="S4" s="8">
        <v>0</v>
      </c>
      <c r="T4" s="8">
        <v>0</v>
      </c>
      <c r="U4" s="8">
        <v>0</v>
      </c>
    </row>
    <row r="5" spans="1:21" x14ac:dyDescent="0.25">
      <c r="A5" s="53">
        <f>A4</f>
        <v>43486</v>
      </c>
      <c r="B5" s="8" t="s">
        <v>21</v>
      </c>
      <c r="C5" s="8" t="s">
        <v>58</v>
      </c>
      <c r="D5" s="8" t="s">
        <v>23</v>
      </c>
      <c r="E5" s="16" t="s">
        <v>36</v>
      </c>
      <c r="F5" s="8" t="s">
        <v>24</v>
      </c>
      <c r="G5" s="17">
        <v>71500</v>
      </c>
      <c r="H5" s="8" t="s">
        <v>59</v>
      </c>
      <c r="I5" s="8" t="s">
        <v>60</v>
      </c>
      <c r="J5" s="26">
        <v>0.87152777777777779</v>
      </c>
      <c r="K5" s="27">
        <v>0.85972222222222217</v>
      </c>
      <c r="L5" s="26">
        <v>0.63541666666666663</v>
      </c>
      <c r="M5" s="27">
        <v>0.63888888888888895</v>
      </c>
      <c r="N5" s="8" t="s">
        <v>141</v>
      </c>
      <c r="O5" s="8" t="s">
        <v>274</v>
      </c>
      <c r="P5" s="8">
        <v>1171</v>
      </c>
      <c r="Q5" s="8">
        <v>1265</v>
      </c>
      <c r="R5" s="8">
        <v>0</v>
      </c>
      <c r="S5" s="8">
        <v>0</v>
      </c>
      <c r="T5" s="8">
        <v>0</v>
      </c>
      <c r="U5" s="8">
        <v>0</v>
      </c>
    </row>
    <row r="6" spans="1:21" x14ac:dyDescent="0.25">
      <c r="A6" s="53"/>
      <c r="B6" s="8"/>
      <c r="C6" s="8"/>
      <c r="D6" s="8"/>
      <c r="E6" s="16"/>
      <c r="F6" s="8"/>
      <c r="G6" s="17"/>
      <c r="H6" s="8"/>
      <c r="I6" s="8"/>
      <c r="J6" s="26"/>
      <c r="K6" s="27"/>
      <c r="L6" s="26"/>
      <c r="M6" s="27"/>
      <c r="N6" s="8"/>
      <c r="O6" s="8"/>
      <c r="P6" s="8"/>
      <c r="Q6" s="8"/>
      <c r="R6" s="8"/>
      <c r="S6" s="8"/>
      <c r="T6" s="8"/>
      <c r="U6" s="8"/>
    </row>
    <row r="7" spans="1:21" x14ac:dyDescent="0.25">
      <c r="A7" s="53"/>
      <c r="B7" s="56"/>
      <c r="C7" s="56"/>
      <c r="D7" s="56"/>
      <c r="E7" s="16"/>
      <c r="F7" s="8"/>
      <c r="G7" s="44"/>
      <c r="H7" s="56"/>
      <c r="I7" s="16"/>
      <c r="J7" s="57"/>
      <c r="K7" s="58"/>
      <c r="L7" s="18"/>
      <c r="M7" s="27"/>
      <c r="N7" s="8"/>
      <c r="O7" s="8"/>
      <c r="P7" s="8"/>
      <c r="Q7" s="8"/>
      <c r="R7" s="8"/>
      <c r="S7" s="8"/>
      <c r="T7" s="8"/>
      <c r="U7" s="8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U6"/>
  <sheetViews>
    <sheetView workbookViewId="0">
      <selection activeCell="K6" sqref="K6"/>
    </sheetView>
  </sheetViews>
  <sheetFormatPr defaultRowHeight="15" x14ac:dyDescent="0.25"/>
  <cols>
    <col min="2" max="2" width="25.28515625" customWidth="1"/>
    <col min="3" max="3" width="19" customWidth="1"/>
    <col min="5" max="5" width="14.85546875" bestFit="1" customWidth="1"/>
    <col min="6" max="6" width="25" customWidth="1"/>
    <col min="7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  <col min="18" max="18" width="9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43487</v>
      </c>
      <c r="B2" s="3" t="s">
        <v>21</v>
      </c>
      <c r="C2" s="3" t="s">
        <v>22</v>
      </c>
      <c r="D2" s="3" t="s">
        <v>23</v>
      </c>
      <c r="E2" s="3" t="s">
        <v>258</v>
      </c>
      <c r="F2" s="3" t="s">
        <v>24</v>
      </c>
      <c r="G2" s="4">
        <v>71500</v>
      </c>
      <c r="H2" s="3" t="s">
        <v>25</v>
      </c>
      <c r="I2" s="3" t="s">
        <v>26</v>
      </c>
      <c r="J2" s="5">
        <v>0.49652777777777773</v>
      </c>
      <c r="K2" s="6">
        <v>0.4916666666666667</v>
      </c>
      <c r="L2" s="5">
        <v>0.3125</v>
      </c>
      <c r="M2" s="6">
        <v>0.32500000000000001</v>
      </c>
      <c r="N2" s="6" t="s">
        <v>88</v>
      </c>
      <c r="O2" s="6" t="s">
        <v>276</v>
      </c>
      <c r="P2" s="7">
        <v>674</v>
      </c>
      <c r="Q2" s="7">
        <v>959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43487</v>
      </c>
      <c r="B3" s="3" t="s">
        <v>21</v>
      </c>
      <c r="C3" s="3" t="s">
        <v>27</v>
      </c>
      <c r="D3" s="3" t="s">
        <v>23</v>
      </c>
      <c r="E3" s="3" t="s">
        <v>36</v>
      </c>
      <c r="F3" s="3" t="s">
        <v>24</v>
      </c>
      <c r="G3" s="4">
        <v>71500</v>
      </c>
      <c r="H3" s="3" t="s">
        <v>28</v>
      </c>
      <c r="I3" s="3" t="s">
        <v>29</v>
      </c>
      <c r="J3" s="5">
        <v>0.49305555555555558</v>
      </c>
      <c r="K3" s="6">
        <v>0.48472222222222222</v>
      </c>
      <c r="L3" s="5">
        <v>0.35416666666666669</v>
      </c>
      <c r="M3" s="6">
        <v>0.37083333333333335</v>
      </c>
      <c r="N3" s="6" t="s">
        <v>278</v>
      </c>
      <c r="O3" s="6" t="s">
        <v>277</v>
      </c>
      <c r="P3" s="7">
        <v>296</v>
      </c>
      <c r="Q3" s="7">
        <v>483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f>A2</f>
        <v>43487</v>
      </c>
      <c r="B4" s="8" t="s">
        <v>21</v>
      </c>
      <c r="C4" s="8" t="s">
        <v>30</v>
      </c>
      <c r="D4" s="8" t="s">
        <v>23</v>
      </c>
      <c r="E4" s="3" t="s">
        <v>36</v>
      </c>
      <c r="F4" s="8" t="s">
        <v>24</v>
      </c>
      <c r="G4" s="4">
        <v>71500</v>
      </c>
      <c r="H4" s="8" t="s">
        <v>31</v>
      </c>
      <c r="I4" s="8" t="s">
        <v>32</v>
      </c>
      <c r="J4" s="10">
        <v>0.72222222222222221</v>
      </c>
      <c r="K4" s="11">
        <v>0.70416666666666661</v>
      </c>
      <c r="L4" s="10">
        <v>0.52777777777777779</v>
      </c>
      <c r="M4" s="11">
        <v>0.52361111111111114</v>
      </c>
      <c r="N4" s="7" t="s">
        <v>193</v>
      </c>
      <c r="O4" s="7" t="s">
        <v>175</v>
      </c>
      <c r="P4" s="3">
        <v>959</v>
      </c>
      <c r="Q4" s="7">
        <v>958</v>
      </c>
      <c r="R4" s="8">
        <v>0</v>
      </c>
      <c r="S4" s="8">
        <v>0</v>
      </c>
      <c r="T4" s="8">
        <v>0</v>
      </c>
      <c r="U4" s="8">
        <v>0</v>
      </c>
    </row>
    <row r="5" spans="1:21" x14ac:dyDescent="0.25">
      <c r="A5" s="2">
        <f>A4</f>
        <v>43487</v>
      </c>
      <c r="B5" s="8" t="s">
        <v>21</v>
      </c>
      <c r="C5" s="8" t="s">
        <v>33</v>
      </c>
      <c r="D5" s="8" t="s">
        <v>23</v>
      </c>
      <c r="E5" s="3" t="s">
        <v>36</v>
      </c>
      <c r="F5" s="8" t="s">
        <v>24</v>
      </c>
      <c r="G5" s="4">
        <v>71500</v>
      </c>
      <c r="H5" s="8" t="s">
        <v>34</v>
      </c>
      <c r="I5" s="8" t="s">
        <v>35</v>
      </c>
      <c r="J5" s="12">
        <v>0.91319444444444453</v>
      </c>
      <c r="K5" s="13">
        <v>0.91527777777777775</v>
      </c>
      <c r="L5" s="12">
        <v>0.74305555555555547</v>
      </c>
      <c r="M5" s="13">
        <v>0.74375000000000002</v>
      </c>
      <c r="N5" s="13" t="s">
        <v>280</v>
      </c>
      <c r="O5" s="7" t="s">
        <v>279</v>
      </c>
      <c r="P5" s="3">
        <v>743</v>
      </c>
      <c r="Q5" s="7">
        <v>686</v>
      </c>
      <c r="R5" s="8">
        <v>0</v>
      </c>
      <c r="S5" s="8">
        <v>0</v>
      </c>
      <c r="T5" s="8">
        <v>0</v>
      </c>
      <c r="U5" s="8">
        <v>0</v>
      </c>
    </row>
    <row r="6" spans="1:21" s="13" customFormat="1" ht="12.75" x14ac:dyDescent="0.25">
      <c r="A6" s="2"/>
      <c r="G6" s="4"/>
      <c r="N6" s="3"/>
      <c r="O6" s="3"/>
      <c r="P6" s="3"/>
      <c r="Q6" s="3"/>
      <c r="R6" s="3"/>
      <c r="S6" s="3"/>
      <c r="T6" s="8"/>
      <c r="U6" s="8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U4"/>
  <sheetViews>
    <sheetView workbookViewId="0">
      <selection activeCell="J3" sqref="J3"/>
    </sheetView>
  </sheetViews>
  <sheetFormatPr defaultRowHeight="15" x14ac:dyDescent="0.25"/>
  <cols>
    <col min="2" max="2" width="9.140625" bestFit="1" customWidth="1"/>
    <col min="3" max="3" width="13.5703125" bestFit="1" customWidth="1"/>
    <col min="6" max="6" width="12.140625" bestFit="1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43488</v>
      </c>
      <c r="B2" s="3" t="s">
        <v>21</v>
      </c>
      <c r="C2" s="3" t="s">
        <v>55</v>
      </c>
      <c r="D2" s="3" t="s">
        <v>23</v>
      </c>
      <c r="E2" s="3" t="s">
        <v>258</v>
      </c>
      <c r="F2" s="3" t="s">
        <v>24</v>
      </c>
      <c r="G2" s="61">
        <v>71.5</v>
      </c>
      <c r="H2" s="3" t="s">
        <v>57</v>
      </c>
      <c r="I2" s="3" t="s">
        <v>56</v>
      </c>
      <c r="J2" s="5">
        <v>0.69791666666666663</v>
      </c>
      <c r="K2" s="6">
        <v>0.69652777777777775</v>
      </c>
      <c r="L2" s="5">
        <v>0.52777777777777779</v>
      </c>
      <c r="M2" s="6">
        <v>0.53402777777777777</v>
      </c>
      <c r="N2" s="6" t="s">
        <v>283</v>
      </c>
      <c r="O2" s="6" t="s">
        <v>281</v>
      </c>
      <c r="P2" s="7">
        <v>1061</v>
      </c>
      <c r="Q2" s="7">
        <v>735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43488</v>
      </c>
      <c r="B3" s="3" t="s">
        <v>21</v>
      </c>
      <c r="C3" s="3" t="s">
        <v>52</v>
      </c>
      <c r="D3" s="3" t="s">
        <v>23</v>
      </c>
      <c r="E3" s="3" t="s">
        <v>36</v>
      </c>
      <c r="F3" s="3" t="s">
        <v>24</v>
      </c>
      <c r="G3" s="61">
        <v>71.5</v>
      </c>
      <c r="H3" s="3" t="s">
        <v>54</v>
      </c>
      <c r="I3" s="3" t="s">
        <v>53</v>
      </c>
      <c r="J3" s="5">
        <v>0.86458333333333337</v>
      </c>
      <c r="K3" s="6">
        <v>0.85416666666666663</v>
      </c>
      <c r="L3" s="5">
        <v>0.65972222222222221</v>
      </c>
      <c r="M3" s="6">
        <v>0.66319444444444442</v>
      </c>
      <c r="N3" s="6" t="s">
        <v>162</v>
      </c>
      <c r="O3" s="6" t="s">
        <v>282</v>
      </c>
      <c r="P3" s="7">
        <v>914</v>
      </c>
      <c r="Q3" s="7">
        <v>1430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/>
      <c r="B4" s="3"/>
      <c r="C4" s="3"/>
      <c r="D4" s="3"/>
      <c r="E4" s="3"/>
      <c r="F4" s="3"/>
      <c r="G4" s="4"/>
      <c r="H4" s="3"/>
      <c r="I4" s="3"/>
      <c r="J4" s="5"/>
      <c r="K4" s="6"/>
      <c r="L4" s="5"/>
      <c r="M4" s="6"/>
      <c r="N4" s="6"/>
      <c r="O4" s="6"/>
      <c r="P4" s="7"/>
      <c r="Q4" s="7"/>
      <c r="R4" s="3"/>
      <c r="S4" s="3"/>
      <c r="T4" s="3"/>
      <c r="U4" s="3"/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K2" sqref="K2"/>
    </sheetView>
  </sheetViews>
  <sheetFormatPr defaultRowHeight="15" x14ac:dyDescent="0.25"/>
  <cols>
    <col min="3" max="3" width="12.85546875" bestFit="1" customWidth="1"/>
    <col min="6" max="6" width="12.140625" bestFit="1" customWidth="1"/>
    <col min="7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  <col min="18" max="18" width="9.42578125" bestFit="1" customWidth="1"/>
  </cols>
  <sheetData>
    <row r="1" spans="1:21" s="35" customFormat="1" ht="12.75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s="35" customFormat="1" ht="12.75" x14ac:dyDescent="0.2">
      <c r="A2" s="37">
        <v>43489</v>
      </c>
      <c r="B2" s="35" t="s">
        <v>21</v>
      </c>
      <c r="C2" s="35" t="s">
        <v>78</v>
      </c>
      <c r="D2" s="35" t="s">
        <v>23</v>
      </c>
      <c r="E2" s="14" t="s">
        <v>258</v>
      </c>
      <c r="F2" s="35" t="s">
        <v>24</v>
      </c>
      <c r="G2" s="38">
        <v>71500</v>
      </c>
      <c r="H2" s="14" t="s">
        <v>79</v>
      </c>
      <c r="I2" s="14" t="s">
        <v>80</v>
      </c>
      <c r="J2" s="21">
        <v>0.65277777777777779</v>
      </c>
      <c r="K2" s="22">
        <v>0.66597222222222219</v>
      </c>
      <c r="L2" s="21">
        <v>0.5</v>
      </c>
      <c r="M2" s="22">
        <v>0.51736111111111105</v>
      </c>
      <c r="N2" s="35" t="s">
        <v>285</v>
      </c>
      <c r="O2" s="29" t="s">
        <v>284</v>
      </c>
      <c r="P2" s="35">
        <v>831</v>
      </c>
      <c r="Q2" s="29">
        <v>501</v>
      </c>
      <c r="R2" s="14">
        <v>0</v>
      </c>
      <c r="S2" s="14">
        <v>0</v>
      </c>
      <c r="T2" s="14">
        <v>0</v>
      </c>
      <c r="U2" s="14">
        <v>0</v>
      </c>
    </row>
    <row r="3" spans="1:21" s="35" customFormat="1" ht="12.75" x14ac:dyDescent="0.2">
      <c r="A3" s="37"/>
      <c r="B3" s="14"/>
      <c r="C3" s="14"/>
      <c r="D3" s="14"/>
      <c r="E3" s="14"/>
      <c r="F3" s="14"/>
      <c r="G3" s="38"/>
      <c r="H3" s="14"/>
      <c r="I3" s="14"/>
      <c r="J3" s="39"/>
      <c r="K3" s="40"/>
      <c r="L3" s="39"/>
      <c r="M3" s="40"/>
      <c r="O3" s="29"/>
      <c r="Q3" s="29"/>
      <c r="R3" s="41"/>
      <c r="S3" s="41"/>
      <c r="T3" s="41"/>
      <c r="U3" s="41"/>
    </row>
    <row r="4" spans="1:21" s="35" customFormat="1" ht="12.75" x14ac:dyDescent="0.2">
      <c r="A4" s="37"/>
      <c r="E4" s="14"/>
      <c r="G4" s="38"/>
      <c r="H4" s="14"/>
      <c r="I4" s="14"/>
      <c r="J4" s="21"/>
      <c r="K4" s="22"/>
      <c r="L4" s="21"/>
      <c r="M4" s="22"/>
      <c r="O4" s="29"/>
      <c r="Q4" s="29"/>
      <c r="R4" s="14"/>
      <c r="S4" s="14"/>
      <c r="T4" s="14"/>
      <c r="U4" s="14"/>
    </row>
    <row r="5" spans="1:21" s="35" customFormat="1" ht="12.75" x14ac:dyDescent="0.2">
      <c r="A5" s="15"/>
      <c r="B5" s="14"/>
      <c r="C5" s="14"/>
      <c r="D5" s="14"/>
      <c r="E5" s="14"/>
      <c r="F5" s="14"/>
      <c r="G5" s="36"/>
      <c r="H5" s="14"/>
      <c r="I5" s="14"/>
      <c r="J5" s="22"/>
      <c r="K5" s="22"/>
      <c r="L5" s="14"/>
      <c r="M5" s="14"/>
      <c r="N5" s="14"/>
      <c r="O5" s="14"/>
      <c r="P5" s="14"/>
      <c r="Q5" s="23"/>
      <c r="R5" s="14"/>
      <c r="S5" s="14"/>
      <c r="T5" s="14"/>
      <c r="U5" s="14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opLeftCell="F1" workbookViewId="0">
      <selection activeCell="K5" sqref="K5"/>
    </sheetView>
  </sheetViews>
  <sheetFormatPr defaultRowHeight="12.75" x14ac:dyDescent="0.2"/>
  <cols>
    <col min="1" max="1" width="10.140625" style="35" bestFit="1" customWidth="1"/>
    <col min="2" max="2" width="22.5703125" style="35" customWidth="1"/>
    <col min="3" max="3" width="18.5703125" style="35" customWidth="1"/>
    <col min="4" max="4" width="9.140625" style="35"/>
    <col min="5" max="5" width="15" style="35" customWidth="1"/>
    <col min="6" max="6" width="24.140625" style="35" customWidth="1"/>
    <col min="7" max="9" width="9.140625" style="35"/>
    <col min="10" max="10" width="12.7109375" style="35" customWidth="1"/>
    <col min="11" max="11" width="11.85546875" style="33" customWidth="1"/>
    <col min="12" max="12" width="11.140625" style="35" customWidth="1"/>
    <col min="13" max="13" width="11.42578125" style="35" customWidth="1"/>
    <col min="14" max="14" width="17" style="25" customWidth="1"/>
    <col min="15" max="15" width="17.140625" style="35" customWidth="1"/>
    <col min="16" max="16384" width="9.140625" style="35"/>
  </cols>
  <sheetData>
    <row r="1" spans="1:21" x14ac:dyDescent="0.2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33" t="s">
        <v>10</v>
      </c>
      <c r="L1" s="43" t="s">
        <v>11</v>
      </c>
      <c r="M1" s="43" t="s">
        <v>12</v>
      </c>
      <c r="N1" s="25" t="s">
        <v>13</v>
      </c>
      <c r="O1" s="43" t="s">
        <v>14</v>
      </c>
      <c r="P1" s="43" t="s">
        <v>15</v>
      </c>
      <c r="Q1" s="43" t="s">
        <v>16</v>
      </c>
      <c r="R1" s="43" t="s">
        <v>17</v>
      </c>
      <c r="S1" s="43" t="s">
        <v>18</v>
      </c>
      <c r="T1" s="43" t="s">
        <v>19</v>
      </c>
      <c r="U1" s="43" t="s">
        <v>20</v>
      </c>
    </row>
    <row r="2" spans="1:21" x14ac:dyDescent="0.2">
      <c r="A2" s="24">
        <v>43490</v>
      </c>
      <c r="B2" s="14" t="s">
        <v>21</v>
      </c>
      <c r="C2" s="14" t="s">
        <v>46</v>
      </c>
      <c r="D2" s="14" t="s">
        <v>23</v>
      </c>
      <c r="E2" s="14" t="s">
        <v>36</v>
      </c>
      <c r="F2" s="14" t="s">
        <v>24</v>
      </c>
      <c r="G2" s="36">
        <v>71500</v>
      </c>
      <c r="H2" s="14" t="s">
        <v>48</v>
      </c>
      <c r="I2" s="14" t="s">
        <v>47</v>
      </c>
      <c r="J2" s="21">
        <v>0.4826388888888889</v>
      </c>
      <c r="K2" s="33">
        <v>0.5083333333333333</v>
      </c>
      <c r="L2" s="21">
        <v>0.27777777777777779</v>
      </c>
      <c r="M2" s="22">
        <v>0.33749999999999997</v>
      </c>
      <c r="N2" s="25" t="s">
        <v>112</v>
      </c>
      <c r="O2" s="23" t="s">
        <v>286</v>
      </c>
      <c r="P2" s="23">
        <v>1234</v>
      </c>
      <c r="Q2" s="23">
        <v>747</v>
      </c>
      <c r="R2" s="14">
        <v>0</v>
      </c>
      <c r="S2" s="14">
        <v>0</v>
      </c>
      <c r="T2" s="14">
        <v>0</v>
      </c>
      <c r="U2" s="14">
        <v>0</v>
      </c>
    </row>
    <row r="3" spans="1:21" x14ac:dyDescent="0.2">
      <c r="A3" s="24">
        <f t="shared" ref="A3:A4" si="0">A2</f>
        <v>43490</v>
      </c>
      <c r="B3" s="14" t="s">
        <v>21</v>
      </c>
      <c r="C3" s="14" t="s">
        <v>49</v>
      </c>
      <c r="D3" s="14" t="s">
        <v>23</v>
      </c>
      <c r="E3" s="14" t="s">
        <v>258</v>
      </c>
      <c r="F3" s="14" t="s">
        <v>24</v>
      </c>
      <c r="G3" s="36">
        <v>71500</v>
      </c>
      <c r="H3" s="14" t="s">
        <v>51</v>
      </c>
      <c r="I3" s="14" t="s">
        <v>50</v>
      </c>
      <c r="J3" s="21">
        <v>0.4826388888888889</v>
      </c>
      <c r="K3" s="33">
        <v>0.4909722222222222</v>
      </c>
      <c r="L3" s="21">
        <v>0.33333333333333331</v>
      </c>
      <c r="M3" s="22">
        <v>0.35486111111111113</v>
      </c>
      <c r="N3" s="25" t="s">
        <v>86</v>
      </c>
      <c r="O3" s="23" t="s">
        <v>221</v>
      </c>
      <c r="P3" s="14">
        <v>609</v>
      </c>
      <c r="Q3" s="23">
        <v>736</v>
      </c>
      <c r="R3" s="14">
        <v>0</v>
      </c>
      <c r="S3" s="14">
        <v>0</v>
      </c>
      <c r="T3" s="14">
        <v>0</v>
      </c>
      <c r="U3" s="14">
        <v>0</v>
      </c>
    </row>
    <row r="4" spans="1:21" x14ac:dyDescent="0.2">
      <c r="A4" s="24">
        <f t="shared" si="0"/>
        <v>43490</v>
      </c>
      <c r="B4" s="25" t="s">
        <v>21</v>
      </c>
      <c r="C4" s="25" t="s">
        <v>61</v>
      </c>
      <c r="D4" s="25" t="s">
        <v>23</v>
      </c>
      <c r="E4" s="14" t="s">
        <v>258</v>
      </c>
      <c r="F4" s="25" t="s">
        <v>24</v>
      </c>
      <c r="G4" s="36">
        <v>71500</v>
      </c>
      <c r="H4" s="25" t="s">
        <v>63</v>
      </c>
      <c r="I4" s="25" t="s">
        <v>62</v>
      </c>
      <c r="J4" s="32">
        <v>0.71180555555555547</v>
      </c>
      <c r="K4" s="33">
        <v>0.78888888888888886</v>
      </c>
      <c r="L4" s="32">
        <v>0.50347222222222221</v>
      </c>
      <c r="M4" s="33">
        <v>0.55625000000000002</v>
      </c>
      <c r="N4" s="25" t="s">
        <v>288</v>
      </c>
      <c r="O4" s="25" t="s">
        <v>239</v>
      </c>
      <c r="P4" s="25">
        <v>845</v>
      </c>
      <c r="Q4" s="25">
        <v>1221</v>
      </c>
      <c r="R4" s="25">
        <v>0</v>
      </c>
      <c r="S4" s="25">
        <v>0</v>
      </c>
      <c r="T4" s="25">
        <v>0</v>
      </c>
      <c r="U4" s="25">
        <v>0</v>
      </c>
    </row>
    <row r="5" spans="1:21" x14ac:dyDescent="0.2">
      <c r="A5" s="24">
        <f>A4</f>
        <v>43490</v>
      </c>
      <c r="B5" s="25" t="s">
        <v>21</v>
      </c>
      <c r="C5" s="25" t="s">
        <v>58</v>
      </c>
      <c r="D5" s="25" t="s">
        <v>23</v>
      </c>
      <c r="E5" s="14" t="s">
        <v>36</v>
      </c>
      <c r="F5" s="25" t="s">
        <v>24</v>
      </c>
      <c r="G5" s="36">
        <v>71500</v>
      </c>
      <c r="H5" s="25" t="s">
        <v>59</v>
      </c>
      <c r="I5" s="25" t="s">
        <v>60</v>
      </c>
      <c r="J5" s="26">
        <v>0.87152777777777779</v>
      </c>
      <c r="K5" s="32">
        <v>0.87777777777777777</v>
      </c>
      <c r="L5" s="26">
        <v>0.63541666666666663</v>
      </c>
      <c r="M5" s="45">
        <v>0.65972222222222221</v>
      </c>
      <c r="N5" s="25" t="s">
        <v>289</v>
      </c>
      <c r="O5" s="25" t="s">
        <v>287</v>
      </c>
      <c r="P5" s="46">
        <v>1032</v>
      </c>
      <c r="Q5" s="25">
        <v>1494</v>
      </c>
      <c r="R5" s="25">
        <v>0</v>
      </c>
      <c r="S5" s="25">
        <v>0</v>
      </c>
      <c r="T5" s="25">
        <v>0</v>
      </c>
      <c r="U5" s="25">
        <v>0</v>
      </c>
    </row>
    <row r="6" spans="1:21" x14ac:dyDescent="0.2">
      <c r="A6" s="24"/>
      <c r="B6" s="25"/>
      <c r="C6" s="25"/>
      <c r="D6" s="25"/>
      <c r="E6" s="14"/>
      <c r="F6" s="25"/>
      <c r="G6" s="44"/>
      <c r="H6" s="14"/>
      <c r="I6" s="14"/>
      <c r="J6" s="39"/>
      <c r="L6" s="39"/>
      <c r="M6" s="40"/>
      <c r="O6" s="25"/>
      <c r="P6" s="25"/>
      <c r="Q6" s="25"/>
      <c r="R6" s="25"/>
      <c r="S6" s="25"/>
      <c r="T6" s="25"/>
      <c r="U6" s="25"/>
    </row>
    <row r="7" spans="1:21" x14ac:dyDescent="0.2">
      <c r="A7" s="37"/>
      <c r="G7" s="38"/>
      <c r="J7" s="39"/>
    </row>
    <row r="8" spans="1:21" x14ac:dyDescent="0.2">
      <c r="A8" s="37"/>
      <c r="G8" s="38"/>
      <c r="J8" s="39"/>
    </row>
    <row r="9" spans="1:21" x14ac:dyDescent="0.2">
      <c r="A9" s="37"/>
      <c r="G9" s="38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K6" sqref="K6"/>
    </sheetView>
  </sheetViews>
  <sheetFormatPr defaultRowHeight="15" x14ac:dyDescent="0.25"/>
  <cols>
    <col min="2" max="2" width="11.85546875" customWidth="1"/>
    <col min="3" max="3" width="15" customWidth="1"/>
    <col min="5" max="5" width="15.42578125" bestFit="1" customWidth="1"/>
    <col min="6" max="6" width="18.7109375" customWidth="1"/>
    <col min="9" max="9" width="10.140625" customWidth="1"/>
    <col min="10" max="10" width="11.5703125" customWidth="1"/>
    <col min="11" max="11" width="13.28515625" customWidth="1"/>
    <col min="12" max="12" width="11.85546875" customWidth="1"/>
    <col min="13" max="13" width="11" customWidth="1"/>
    <col min="14" max="14" width="19.7109375" customWidth="1"/>
    <col min="15" max="15" width="19.140625" customWidth="1"/>
    <col min="16" max="16" width="9.85546875" customWidth="1"/>
    <col min="17" max="17" width="10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43491</v>
      </c>
      <c r="B2" s="3" t="s">
        <v>21</v>
      </c>
      <c r="C2" s="3" t="s">
        <v>22</v>
      </c>
      <c r="D2" s="3" t="s">
        <v>23</v>
      </c>
      <c r="E2" s="3" t="s">
        <v>258</v>
      </c>
      <c r="F2" s="3" t="s">
        <v>24</v>
      </c>
      <c r="G2" s="4">
        <v>71500</v>
      </c>
      <c r="H2" s="3" t="s">
        <v>25</v>
      </c>
      <c r="I2" s="3" t="s">
        <v>26</v>
      </c>
      <c r="J2" s="5">
        <v>0.49652777777777773</v>
      </c>
      <c r="K2" s="6">
        <v>0.52222222222222225</v>
      </c>
      <c r="L2" s="5">
        <v>0.3125</v>
      </c>
      <c r="M2" s="6">
        <v>0.34375</v>
      </c>
      <c r="N2" s="6" t="s">
        <v>154</v>
      </c>
      <c r="O2" s="7" t="s">
        <v>255</v>
      </c>
      <c r="P2" s="7">
        <v>798</v>
      </c>
      <c r="Q2" s="7">
        <v>957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f>A2</f>
        <v>43491</v>
      </c>
      <c r="B3" s="3" t="s">
        <v>21</v>
      </c>
      <c r="C3" s="3" t="s">
        <v>115</v>
      </c>
      <c r="D3" s="3" t="s">
        <v>23</v>
      </c>
      <c r="E3" s="3" t="s">
        <v>36</v>
      </c>
      <c r="F3" s="3" t="s">
        <v>24</v>
      </c>
      <c r="G3" s="4">
        <v>71500</v>
      </c>
      <c r="H3" s="3" t="s">
        <v>28</v>
      </c>
      <c r="I3" s="3" t="s">
        <v>29</v>
      </c>
      <c r="J3" s="5">
        <v>0.49305555555555558</v>
      </c>
      <c r="K3" s="6">
        <v>0.48472222222222222</v>
      </c>
      <c r="L3" s="5">
        <v>0.35416666666666669</v>
      </c>
      <c r="M3" s="6">
        <v>0.37777777777777777</v>
      </c>
      <c r="N3" s="6" t="s">
        <v>154</v>
      </c>
      <c r="O3" s="46" t="s">
        <v>290</v>
      </c>
      <c r="P3" s="3">
        <v>514</v>
      </c>
      <c r="Q3" s="46">
        <v>419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f>A3</f>
        <v>43491</v>
      </c>
      <c r="B4" s="8" t="s">
        <v>21</v>
      </c>
      <c r="C4" s="8" t="s">
        <v>30</v>
      </c>
      <c r="D4" s="8" t="s">
        <v>23</v>
      </c>
      <c r="E4" s="3" t="s">
        <v>258</v>
      </c>
      <c r="F4" s="8" t="s">
        <v>24</v>
      </c>
      <c r="G4" s="4">
        <v>71500</v>
      </c>
      <c r="H4" s="8" t="s">
        <v>31</v>
      </c>
      <c r="I4" s="8" t="s">
        <v>32</v>
      </c>
      <c r="J4" s="10">
        <v>0.72222222222222221</v>
      </c>
      <c r="K4" s="11">
        <v>0.73958333333333337</v>
      </c>
      <c r="L4" s="10">
        <v>0.52777777777777779</v>
      </c>
      <c r="M4" s="11">
        <v>0.55833333333333335</v>
      </c>
      <c r="N4" s="60" t="s">
        <v>292</v>
      </c>
      <c r="O4" s="7" t="s">
        <v>291</v>
      </c>
      <c r="P4" s="3">
        <v>1295</v>
      </c>
      <c r="Q4" s="7">
        <v>860</v>
      </c>
      <c r="R4" s="8">
        <v>0</v>
      </c>
      <c r="S4" s="8">
        <v>0</v>
      </c>
      <c r="T4" s="8">
        <v>0</v>
      </c>
      <c r="U4" s="8">
        <v>0</v>
      </c>
    </row>
    <row r="5" spans="1:21" x14ac:dyDescent="0.25">
      <c r="A5" s="2">
        <f>A4</f>
        <v>43491</v>
      </c>
      <c r="B5" s="8" t="s">
        <v>21</v>
      </c>
      <c r="C5" s="8" t="s">
        <v>33</v>
      </c>
      <c r="D5" s="8" t="s">
        <v>23</v>
      </c>
      <c r="E5" s="3" t="s">
        <v>258</v>
      </c>
      <c r="F5" s="8" t="s">
        <v>24</v>
      </c>
      <c r="G5" s="9">
        <v>71500</v>
      </c>
      <c r="H5" s="8" t="s">
        <v>34</v>
      </c>
      <c r="I5" s="8" t="s">
        <v>35</v>
      </c>
      <c r="J5" s="12">
        <v>0.91319444444444453</v>
      </c>
      <c r="K5" s="13">
        <v>0.93194444444444446</v>
      </c>
      <c r="L5" s="12">
        <v>0.74305555555555547</v>
      </c>
      <c r="M5" s="48">
        <v>0.77013888888888893</v>
      </c>
      <c r="N5" s="7" t="s">
        <v>293</v>
      </c>
      <c r="O5" s="7" t="s">
        <v>75</v>
      </c>
      <c r="P5" s="3">
        <v>918</v>
      </c>
      <c r="Q5" s="7">
        <v>888</v>
      </c>
      <c r="R5" s="8">
        <v>0</v>
      </c>
      <c r="S5" s="8">
        <v>0</v>
      </c>
      <c r="T5" s="8">
        <v>0</v>
      </c>
      <c r="U5" s="8">
        <v>0</v>
      </c>
    </row>
    <row r="6" spans="1:21" x14ac:dyDescent="0.25">
      <c r="A6" s="2">
        <f>A5</f>
        <v>43491</v>
      </c>
      <c r="B6" s="8" t="s">
        <v>21</v>
      </c>
      <c r="C6" s="8" t="s">
        <v>295</v>
      </c>
      <c r="D6" s="8" t="s">
        <v>23</v>
      </c>
      <c r="E6" s="3" t="s">
        <v>66</v>
      </c>
      <c r="F6" s="8" t="s">
        <v>296</v>
      </c>
      <c r="G6" s="9">
        <v>71500</v>
      </c>
      <c r="H6" s="8" t="s">
        <v>294</v>
      </c>
      <c r="I6" s="8" t="s">
        <v>136</v>
      </c>
      <c r="J6" s="11">
        <v>0.9375</v>
      </c>
      <c r="K6" s="11">
        <v>0.95416666666666661</v>
      </c>
      <c r="L6" s="40">
        <v>0.52777777777777779</v>
      </c>
      <c r="M6" s="28">
        <v>0.55833333333333335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K12" sqref="K12"/>
    </sheetView>
  </sheetViews>
  <sheetFormatPr defaultRowHeight="15" x14ac:dyDescent="0.25"/>
  <cols>
    <col min="2" max="2" width="10.5703125" customWidth="1"/>
    <col min="3" max="3" width="15" customWidth="1"/>
    <col min="5" max="5" width="15.7109375" customWidth="1"/>
    <col min="6" max="6" width="23.42578125" customWidth="1"/>
    <col min="10" max="10" width="11" customWidth="1"/>
    <col min="11" max="11" width="12.28515625" customWidth="1"/>
    <col min="12" max="12" width="11.85546875" customWidth="1"/>
    <col min="13" max="13" width="13.42578125" customWidth="1"/>
    <col min="14" max="14" width="19.140625" customWidth="1"/>
    <col min="15" max="15" width="18.140625" customWidth="1"/>
  </cols>
  <sheetData>
    <row r="1" spans="1:21" s="41" customFormat="1" ht="12.75" x14ac:dyDescent="0.25">
      <c r="A1" s="52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2" t="s">
        <v>8</v>
      </c>
      <c r="J1" s="52" t="s">
        <v>9</v>
      </c>
      <c r="K1" s="52" t="s">
        <v>10</v>
      </c>
      <c r="L1" s="52" t="s">
        <v>11</v>
      </c>
      <c r="M1" s="52" t="s">
        <v>12</v>
      </c>
      <c r="N1" s="52" t="s">
        <v>13</v>
      </c>
      <c r="O1" s="52" t="s">
        <v>14</v>
      </c>
      <c r="P1" s="52" t="s">
        <v>15</v>
      </c>
      <c r="Q1" s="52" t="s">
        <v>16</v>
      </c>
      <c r="R1" s="52" t="s">
        <v>17</v>
      </c>
      <c r="S1" s="52" t="s">
        <v>18</v>
      </c>
      <c r="T1" s="52" t="s">
        <v>19</v>
      </c>
      <c r="U1" s="52" t="s">
        <v>20</v>
      </c>
    </row>
    <row r="2" spans="1:21" s="41" customFormat="1" ht="12.75" x14ac:dyDescent="0.25">
      <c r="A2" s="2">
        <v>43492</v>
      </c>
      <c r="B2" s="14" t="s">
        <v>21</v>
      </c>
      <c r="C2" s="14" t="s">
        <v>46</v>
      </c>
      <c r="D2" s="14" t="s">
        <v>23</v>
      </c>
      <c r="E2" s="8" t="s">
        <v>99</v>
      </c>
      <c r="F2" s="14" t="s">
        <v>24</v>
      </c>
      <c r="G2" s="36">
        <v>71500</v>
      </c>
      <c r="H2" s="14" t="s">
        <v>48</v>
      </c>
      <c r="I2" s="14" t="s">
        <v>47</v>
      </c>
      <c r="J2" s="21">
        <v>0.4826388888888889</v>
      </c>
      <c r="K2" s="22">
        <v>0.46736111111111112</v>
      </c>
      <c r="L2" s="21">
        <v>0.27777777777777779</v>
      </c>
      <c r="M2" s="22">
        <v>0.28194444444444444</v>
      </c>
      <c r="N2" s="23" t="s">
        <v>298</v>
      </c>
      <c r="O2" s="23" t="s">
        <v>297</v>
      </c>
      <c r="P2" s="23">
        <v>1428</v>
      </c>
      <c r="Q2" s="23">
        <v>953</v>
      </c>
      <c r="R2" s="14">
        <v>0</v>
      </c>
      <c r="S2" s="14">
        <v>0</v>
      </c>
      <c r="T2" s="14">
        <v>0</v>
      </c>
      <c r="U2" s="14">
        <v>0</v>
      </c>
    </row>
    <row r="3" spans="1:21" s="41" customFormat="1" ht="12.75" x14ac:dyDescent="0.25">
      <c r="A3" s="2">
        <f>A2</f>
        <v>43492</v>
      </c>
      <c r="B3" s="14" t="s">
        <v>21</v>
      </c>
      <c r="C3" s="14" t="s">
        <v>78</v>
      </c>
      <c r="D3" s="14" t="s">
        <v>23</v>
      </c>
      <c r="E3" s="14" t="s">
        <v>300</v>
      </c>
      <c r="F3" s="14" t="s">
        <v>24</v>
      </c>
      <c r="G3" s="36">
        <v>70000</v>
      </c>
      <c r="H3" s="14" t="s">
        <v>79</v>
      </c>
      <c r="I3" s="14" t="s">
        <v>80</v>
      </c>
      <c r="J3" s="21">
        <v>0.65277777777777779</v>
      </c>
      <c r="K3" s="22">
        <v>0.64374999999999993</v>
      </c>
      <c r="L3" s="21">
        <v>0.5</v>
      </c>
      <c r="M3" s="22">
        <v>0.51041666666666663</v>
      </c>
      <c r="N3" s="23" t="s">
        <v>147</v>
      </c>
      <c r="O3" s="23" t="s">
        <v>299</v>
      </c>
      <c r="P3" s="14">
        <v>1049</v>
      </c>
      <c r="Q3" s="23">
        <v>776</v>
      </c>
      <c r="R3" s="14">
        <v>0</v>
      </c>
      <c r="S3" s="14">
        <v>0</v>
      </c>
      <c r="T3" s="14">
        <v>0</v>
      </c>
      <c r="U3" s="14">
        <v>0</v>
      </c>
    </row>
    <row r="4" spans="1:21" s="8" customFormat="1" ht="12.75" x14ac:dyDescent="0.25">
      <c r="A4" s="53">
        <f>A3</f>
        <v>43492</v>
      </c>
      <c r="B4" s="8" t="s">
        <v>21</v>
      </c>
      <c r="C4" s="8" t="s">
        <v>55</v>
      </c>
      <c r="D4" s="8" t="s">
        <v>23</v>
      </c>
      <c r="E4" s="8" t="s">
        <v>104</v>
      </c>
      <c r="F4" s="8" t="s">
        <v>24</v>
      </c>
      <c r="G4" s="9">
        <v>71500</v>
      </c>
      <c r="H4" s="8" t="s">
        <v>57</v>
      </c>
      <c r="I4" s="8" t="s">
        <v>56</v>
      </c>
      <c r="J4" s="10">
        <v>0.69791666666666663</v>
      </c>
      <c r="K4" s="11">
        <v>0.72569444444444453</v>
      </c>
      <c r="L4" s="10">
        <v>0.52777777777777779</v>
      </c>
      <c r="M4" s="11">
        <v>0.54513888888888895</v>
      </c>
      <c r="N4" s="8" t="s">
        <v>112</v>
      </c>
      <c r="O4" s="54" t="s">
        <v>73</v>
      </c>
      <c r="P4" s="8">
        <v>913</v>
      </c>
      <c r="Q4" s="8">
        <v>1101</v>
      </c>
      <c r="R4" s="8">
        <v>0</v>
      </c>
      <c r="S4" s="8">
        <v>0</v>
      </c>
      <c r="T4" s="8">
        <v>0</v>
      </c>
      <c r="U4" s="8">
        <v>0</v>
      </c>
    </row>
    <row r="5" spans="1:21" s="41" customFormat="1" ht="12.75" x14ac:dyDescent="0.25">
      <c r="A5" s="53">
        <f>A4</f>
        <v>43492</v>
      </c>
      <c r="B5" s="8" t="s">
        <v>21</v>
      </c>
      <c r="C5" s="8" t="s">
        <v>52</v>
      </c>
      <c r="D5" s="8" t="s">
        <v>23</v>
      </c>
      <c r="E5" s="14" t="s">
        <v>300</v>
      </c>
      <c r="F5" s="8" t="s">
        <v>24</v>
      </c>
      <c r="G5" s="9">
        <v>71500</v>
      </c>
      <c r="H5" s="8" t="s">
        <v>54</v>
      </c>
      <c r="I5" s="8" t="s">
        <v>53</v>
      </c>
      <c r="J5" s="26">
        <v>0.88888888888888884</v>
      </c>
      <c r="K5" s="27">
        <v>0.87569444444444444</v>
      </c>
      <c r="L5" s="26">
        <v>0.68402777777777779</v>
      </c>
      <c r="M5" s="27">
        <v>0.68055555555555547</v>
      </c>
      <c r="N5" s="41" t="s">
        <v>259</v>
      </c>
      <c r="O5" s="55" t="s">
        <v>274</v>
      </c>
      <c r="P5" s="8">
        <v>1037</v>
      </c>
      <c r="Q5" s="8">
        <v>1639</v>
      </c>
      <c r="R5" s="8">
        <v>0</v>
      </c>
      <c r="S5" s="8">
        <v>0</v>
      </c>
      <c r="T5" s="8">
        <v>0</v>
      </c>
      <c r="U5" s="8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opLeftCell="E1" workbookViewId="0">
      <selection activeCell="K6" sqref="K6"/>
    </sheetView>
  </sheetViews>
  <sheetFormatPr defaultRowHeight="15" x14ac:dyDescent="0.25"/>
  <cols>
    <col min="3" max="3" width="14" bestFit="1" customWidth="1"/>
    <col min="5" max="5" width="15.42578125" customWidth="1"/>
    <col min="6" max="6" width="12.140625" bestFit="1" customWidth="1"/>
    <col min="7" max="7" width="14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s="41" customFormat="1" ht="12.75" x14ac:dyDescent="0.25">
      <c r="A1" s="52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2" t="s">
        <v>8</v>
      </c>
      <c r="J1" s="52" t="s">
        <v>9</v>
      </c>
      <c r="K1" s="52" t="s">
        <v>10</v>
      </c>
      <c r="L1" s="52" t="s">
        <v>11</v>
      </c>
      <c r="M1" s="52" t="s">
        <v>12</v>
      </c>
      <c r="N1" s="52" t="s">
        <v>13</v>
      </c>
      <c r="O1" s="52" t="s">
        <v>14</v>
      </c>
      <c r="P1" s="52" t="s">
        <v>15</v>
      </c>
      <c r="Q1" s="52" t="s">
        <v>16</v>
      </c>
      <c r="R1" s="52" t="s">
        <v>17</v>
      </c>
      <c r="S1" s="52" t="s">
        <v>18</v>
      </c>
      <c r="T1" s="52" t="s">
        <v>19</v>
      </c>
      <c r="U1" s="52" t="s">
        <v>20</v>
      </c>
    </row>
    <row r="2" spans="1:21" s="41" customFormat="1" ht="12.75" x14ac:dyDescent="0.25">
      <c r="A2" s="2">
        <v>43493</v>
      </c>
      <c r="B2" s="16" t="s">
        <v>21</v>
      </c>
      <c r="C2" s="16" t="s">
        <v>46</v>
      </c>
      <c r="D2" s="16" t="s">
        <v>23</v>
      </c>
      <c r="E2" s="16" t="s">
        <v>37</v>
      </c>
      <c r="F2" s="16" t="s">
        <v>24</v>
      </c>
      <c r="G2" s="17">
        <v>71500</v>
      </c>
      <c r="H2" s="16" t="s">
        <v>47</v>
      </c>
      <c r="I2" s="16" t="s">
        <v>48</v>
      </c>
      <c r="J2" s="18">
        <v>0.4826388888888889</v>
      </c>
      <c r="K2" s="19">
        <v>0.48194444444444445</v>
      </c>
      <c r="L2" s="18">
        <v>0.27777777777777779</v>
      </c>
      <c r="M2" s="22">
        <v>0.29444444444444445</v>
      </c>
      <c r="N2" s="23" t="s">
        <v>163</v>
      </c>
      <c r="O2" s="23" t="s">
        <v>301</v>
      </c>
      <c r="P2" s="23">
        <v>824</v>
      </c>
      <c r="Q2" s="23">
        <v>910</v>
      </c>
      <c r="R2" s="14">
        <v>0</v>
      </c>
      <c r="S2" s="14">
        <v>0</v>
      </c>
      <c r="T2" s="14">
        <v>0</v>
      </c>
      <c r="U2" s="14">
        <v>0</v>
      </c>
    </row>
    <row r="3" spans="1:21" s="41" customFormat="1" ht="12.75" x14ac:dyDescent="0.25">
      <c r="A3" s="2">
        <f>A2</f>
        <v>43493</v>
      </c>
      <c r="B3" s="16" t="s">
        <v>21</v>
      </c>
      <c r="C3" s="16" t="s">
        <v>49</v>
      </c>
      <c r="D3" s="16" t="s">
        <v>23</v>
      </c>
      <c r="E3" s="16" t="s">
        <v>258</v>
      </c>
      <c r="F3" s="16" t="s">
        <v>24</v>
      </c>
      <c r="G3" s="17">
        <v>71500</v>
      </c>
      <c r="H3" s="16" t="s">
        <v>50</v>
      </c>
      <c r="I3" s="16" t="s">
        <v>51</v>
      </c>
      <c r="J3" s="18">
        <v>0.4826388888888889</v>
      </c>
      <c r="K3" s="19">
        <v>0.47500000000000003</v>
      </c>
      <c r="L3" s="18">
        <v>0.33333333333333331</v>
      </c>
      <c r="M3" s="22">
        <v>0.33263888888888887</v>
      </c>
      <c r="N3" s="23" t="s">
        <v>272</v>
      </c>
      <c r="O3" s="23" t="s">
        <v>302</v>
      </c>
      <c r="P3" s="14">
        <v>703</v>
      </c>
      <c r="Q3" s="23">
        <v>562</v>
      </c>
      <c r="R3" s="14">
        <v>0</v>
      </c>
      <c r="S3" s="14">
        <v>0</v>
      </c>
      <c r="T3" s="14">
        <v>0</v>
      </c>
      <c r="U3" s="14">
        <v>0</v>
      </c>
    </row>
    <row r="4" spans="1:21" s="8" customFormat="1" ht="12.75" x14ac:dyDescent="0.25">
      <c r="A4" s="53">
        <f>A3</f>
        <v>43493</v>
      </c>
      <c r="B4" s="25" t="s">
        <v>21</v>
      </c>
      <c r="C4" s="25" t="s">
        <v>61</v>
      </c>
      <c r="D4" s="25" t="s">
        <v>23</v>
      </c>
      <c r="E4" s="16" t="s">
        <v>258</v>
      </c>
      <c r="F4" s="25" t="s">
        <v>24</v>
      </c>
      <c r="G4" s="44">
        <v>71500</v>
      </c>
      <c r="H4" s="25" t="s">
        <v>62</v>
      </c>
      <c r="I4" s="25" t="s">
        <v>63</v>
      </c>
      <c r="J4" s="32">
        <v>0.71180555555555547</v>
      </c>
      <c r="K4" s="33">
        <v>0.71736111111111101</v>
      </c>
      <c r="L4" s="32">
        <v>0.50347222222222221</v>
      </c>
      <c r="M4" s="11">
        <v>0.50972222222222219</v>
      </c>
      <c r="N4" s="8" t="s">
        <v>305</v>
      </c>
      <c r="O4" s="54" t="s">
        <v>303</v>
      </c>
      <c r="P4" s="8">
        <v>974</v>
      </c>
      <c r="Q4" s="8">
        <v>688</v>
      </c>
      <c r="R4" s="8">
        <v>0</v>
      </c>
      <c r="S4" s="8">
        <v>0</v>
      </c>
      <c r="T4" s="8">
        <v>0</v>
      </c>
      <c r="U4" s="8">
        <v>0</v>
      </c>
    </row>
    <row r="5" spans="1:21" x14ac:dyDescent="0.25">
      <c r="A5" s="53">
        <f>A4</f>
        <v>43493</v>
      </c>
      <c r="B5" s="8" t="s">
        <v>21</v>
      </c>
      <c r="C5" s="8" t="s">
        <v>58</v>
      </c>
      <c r="D5" s="8" t="s">
        <v>23</v>
      </c>
      <c r="E5" s="16" t="s">
        <v>37</v>
      </c>
      <c r="F5" s="8" t="s">
        <v>24</v>
      </c>
      <c r="G5" s="17">
        <v>71500</v>
      </c>
      <c r="H5" s="8" t="s">
        <v>59</v>
      </c>
      <c r="I5" s="8" t="s">
        <v>60</v>
      </c>
      <c r="J5" s="26">
        <v>0.87152777777777779</v>
      </c>
      <c r="K5" s="27">
        <v>0.87222222222222223</v>
      </c>
      <c r="L5" s="26">
        <v>0.63541666666666663</v>
      </c>
      <c r="M5" s="27">
        <v>0.63611111111111118</v>
      </c>
      <c r="N5" s="8" t="s">
        <v>306</v>
      </c>
      <c r="O5" s="8" t="s">
        <v>304</v>
      </c>
      <c r="P5" s="8">
        <v>1251</v>
      </c>
      <c r="Q5" s="8">
        <v>1381</v>
      </c>
      <c r="R5" s="8">
        <v>0</v>
      </c>
      <c r="S5" s="8">
        <v>0</v>
      </c>
      <c r="T5" s="8">
        <v>0</v>
      </c>
      <c r="U5" s="8">
        <v>0</v>
      </c>
    </row>
    <row r="6" spans="1:21" x14ac:dyDescent="0.25">
      <c r="A6" s="53"/>
      <c r="B6" s="8"/>
      <c r="C6" s="8"/>
      <c r="D6" s="8"/>
      <c r="E6" s="16"/>
      <c r="F6" s="8"/>
      <c r="G6" s="17"/>
      <c r="H6" s="8"/>
      <c r="I6" s="8"/>
      <c r="J6" s="26"/>
      <c r="K6" s="27"/>
      <c r="L6" s="26"/>
      <c r="M6" s="27"/>
      <c r="N6" s="8"/>
      <c r="O6" s="8"/>
      <c r="P6" s="8"/>
      <c r="Q6" s="8"/>
      <c r="R6" s="8"/>
      <c r="S6" s="8"/>
      <c r="T6" s="8"/>
      <c r="U6" s="8"/>
    </row>
    <row r="7" spans="1:21" x14ac:dyDescent="0.25">
      <c r="A7" s="53"/>
      <c r="B7" s="56"/>
      <c r="C7" s="56"/>
      <c r="D7" s="56"/>
      <c r="E7" s="16"/>
      <c r="F7" s="8"/>
      <c r="G7" s="44"/>
      <c r="H7" s="56"/>
      <c r="I7" s="16"/>
      <c r="J7" s="57"/>
      <c r="K7" s="58"/>
      <c r="L7" s="18"/>
      <c r="M7" s="27"/>
      <c r="N7" s="8"/>
      <c r="O7" s="8"/>
      <c r="P7" s="8"/>
      <c r="Q7" s="8"/>
      <c r="R7" s="8"/>
      <c r="S7" s="8"/>
      <c r="T7" s="8"/>
      <c r="U7" s="8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K6" sqref="K6"/>
    </sheetView>
  </sheetViews>
  <sheetFormatPr defaultRowHeight="15" x14ac:dyDescent="0.25"/>
  <cols>
    <col min="2" max="2" width="25.28515625" customWidth="1"/>
    <col min="3" max="3" width="19" customWidth="1"/>
    <col min="5" max="5" width="14.85546875" bestFit="1" customWidth="1"/>
    <col min="6" max="6" width="25" customWidth="1"/>
    <col min="7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  <col min="18" max="18" width="9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43494</v>
      </c>
      <c r="B2" s="3" t="s">
        <v>21</v>
      </c>
      <c r="C2" s="3" t="s">
        <v>22</v>
      </c>
      <c r="D2" s="3" t="s">
        <v>23</v>
      </c>
      <c r="E2" s="3" t="s">
        <v>258</v>
      </c>
      <c r="F2" s="3" t="s">
        <v>24</v>
      </c>
      <c r="G2" s="4">
        <v>71500</v>
      </c>
      <c r="H2" s="3" t="s">
        <v>25</v>
      </c>
      <c r="I2" s="3" t="s">
        <v>26</v>
      </c>
      <c r="J2" s="5">
        <v>0.49652777777777773</v>
      </c>
      <c r="K2" s="6">
        <v>0.49236111111111108</v>
      </c>
      <c r="L2" s="5">
        <v>0.3125</v>
      </c>
      <c r="M2" s="6">
        <v>0.31875000000000003</v>
      </c>
      <c r="N2" s="6" t="s">
        <v>205</v>
      </c>
      <c r="O2" s="6" t="s">
        <v>308</v>
      </c>
      <c r="P2" s="7">
        <v>888</v>
      </c>
      <c r="Q2" s="7">
        <v>781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43487</v>
      </c>
      <c r="B3" s="3" t="s">
        <v>21</v>
      </c>
      <c r="C3" s="3" t="s">
        <v>27</v>
      </c>
      <c r="D3" s="3" t="s">
        <v>23</v>
      </c>
      <c r="E3" s="3" t="s">
        <v>307</v>
      </c>
      <c r="F3" s="3" t="s">
        <v>24</v>
      </c>
      <c r="G3" s="4">
        <v>71500</v>
      </c>
      <c r="H3" s="3" t="s">
        <v>28</v>
      </c>
      <c r="I3" s="3" t="s">
        <v>29</v>
      </c>
      <c r="J3" s="5">
        <v>0.49305555555555558</v>
      </c>
      <c r="K3" s="6">
        <v>0.48125000000000001</v>
      </c>
      <c r="L3" s="5">
        <v>0.35416666666666669</v>
      </c>
      <c r="M3" s="6">
        <v>0.34722222222222227</v>
      </c>
      <c r="N3" s="6" t="s">
        <v>312</v>
      </c>
      <c r="O3" s="6" t="s">
        <v>309</v>
      </c>
      <c r="P3" s="7">
        <v>195</v>
      </c>
      <c r="Q3" s="7">
        <v>457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f>A2</f>
        <v>43494</v>
      </c>
      <c r="B4" s="8" t="s">
        <v>21</v>
      </c>
      <c r="C4" s="8" t="s">
        <v>30</v>
      </c>
      <c r="D4" s="8" t="s">
        <v>23</v>
      </c>
      <c r="E4" s="3" t="s">
        <v>258</v>
      </c>
      <c r="F4" s="8" t="s">
        <v>24</v>
      </c>
      <c r="G4" s="4">
        <v>71500</v>
      </c>
      <c r="H4" s="8" t="s">
        <v>31</v>
      </c>
      <c r="I4" s="8" t="s">
        <v>32</v>
      </c>
      <c r="J4" s="10">
        <v>0.72222222222222221</v>
      </c>
      <c r="K4" s="11">
        <v>0.71388888888888891</v>
      </c>
      <c r="L4" s="10">
        <v>0.52777777777777779</v>
      </c>
      <c r="M4" s="11">
        <v>0.52777777777777779</v>
      </c>
      <c r="N4" s="7" t="s">
        <v>313</v>
      </c>
      <c r="O4" s="7" t="s">
        <v>310</v>
      </c>
      <c r="P4" s="3">
        <v>1127</v>
      </c>
      <c r="Q4" s="7">
        <v>668</v>
      </c>
      <c r="R4" s="8">
        <v>0</v>
      </c>
      <c r="S4" s="8">
        <v>0</v>
      </c>
      <c r="T4" s="8">
        <v>0</v>
      </c>
      <c r="U4" s="8">
        <v>0</v>
      </c>
    </row>
    <row r="5" spans="1:21" x14ac:dyDescent="0.25">
      <c r="A5" s="2">
        <f>A4</f>
        <v>43494</v>
      </c>
      <c r="B5" s="8" t="s">
        <v>21</v>
      </c>
      <c r="C5" s="8" t="s">
        <v>33</v>
      </c>
      <c r="D5" s="8" t="s">
        <v>23</v>
      </c>
      <c r="E5" s="3" t="s">
        <v>258</v>
      </c>
      <c r="F5" s="8" t="s">
        <v>24</v>
      </c>
      <c r="G5" s="4">
        <v>71500</v>
      </c>
      <c r="H5" s="8" t="s">
        <v>34</v>
      </c>
      <c r="I5" s="8" t="s">
        <v>35</v>
      </c>
      <c r="J5" s="12">
        <v>0.91319444444444453</v>
      </c>
      <c r="K5" s="13">
        <v>0.90555555555555556</v>
      </c>
      <c r="L5" s="12">
        <v>0.74305555555555547</v>
      </c>
      <c r="M5" s="13">
        <v>0.75</v>
      </c>
      <c r="N5" s="13" t="s">
        <v>314</v>
      </c>
      <c r="O5" s="7" t="s">
        <v>311</v>
      </c>
      <c r="P5" s="3">
        <v>963</v>
      </c>
      <c r="Q5" s="7">
        <v>701</v>
      </c>
      <c r="R5" s="8">
        <v>0</v>
      </c>
      <c r="S5" s="8">
        <v>0</v>
      </c>
      <c r="T5" s="8">
        <v>0</v>
      </c>
      <c r="U5" s="8">
        <v>0</v>
      </c>
    </row>
    <row r="6" spans="1:21" s="13" customFormat="1" ht="12.75" x14ac:dyDescent="0.25">
      <c r="A6" s="2"/>
      <c r="G6" s="4"/>
      <c r="N6" s="3"/>
      <c r="O6" s="3"/>
      <c r="P6" s="3"/>
      <c r="Q6" s="3"/>
      <c r="R6" s="3"/>
      <c r="S6" s="3"/>
      <c r="T6" s="8"/>
      <c r="U6" s="8"/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topLeftCell="B1" workbookViewId="0">
      <selection activeCell="K3" sqref="K3"/>
    </sheetView>
  </sheetViews>
  <sheetFormatPr defaultRowHeight="15" x14ac:dyDescent="0.25"/>
  <cols>
    <col min="2" max="2" width="9.140625" bestFit="1" customWidth="1"/>
    <col min="3" max="3" width="13.5703125" bestFit="1" customWidth="1"/>
    <col min="6" max="6" width="12.140625" bestFit="1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43495</v>
      </c>
      <c r="B2" s="3" t="s">
        <v>21</v>
      </c>
      <c r="C2" s="3" t="s">
        <v>55</v>
      </c>
      <c r="D2" s="3" t="s">
        <v>23</v>
      </c>
      <c r="E2" s="3" t="s">
        <v>315</v>
      </c>
      <c r="F2" s="3" t="s">
        <v>24</v>
      </c>
      <c r="G2" s="61">
        <v>71.5</v>
      </c>
      <c r="H2" s="3" t="s">
        <v>57</v>
      </c>
      <c r="I2" s="3" t="s">
        <v>56</v>
      </c>
      <c r="J2" s="5">
        <v>0.69791666666666663</v>
      </c>
      <c r="K2" s="6">
        <v>0.69513888888888886</v>
      </c>
      <c r="L2" s="5">
        <v>0.52777777777777779</v>
      </c>
      <c r="M2" s="6">
        <v>0.53888888888888886</v>
      </c>
      <c r="N2" s="6" t="s">
        <v>316</v>
      </c>
      <c r="O2" s="6" t="s">
        <v>249</v>
      </c>
      <c r="P2" s="7">
        <v>990</v>
      </c>
      <c r="Q2" s="7">
        <v>751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43495</v>
      </c>
      <c r="B3" s="3" t="s">
        <v>21</v>
      </c>
      <c r="C3" s="3" t="s">
        <v>52</v>
      </c>
      <c r="D3" s="3" t="s">
        <v>23</v>
      </c>
      <c r="E3" s="3" t="s">
        <v>258</v>
      </c>
      <c r="F3" s="3" t="s">
        <v>24</v>
      </c>
      <c r="G3" s="61">
        <v>71.5</v>
      </c>
      <c r="H3" s="3" t="s">
        <v>54</v>
      </c>
      <c r="I3" s="3" t="s">
        <v>53</v>
      </c>
      <c r="J3" s="5">
        <v>0.86458333333333337</v>
      </c>
      <c r="K3" s="6">
        <v>0.84930555555555554</v>
      </c>
      <c r="L3" s="5">
        <v>0.65972222222222221</v>
      </c>
      <c r="M3" s="6">
        <v>0.65833333333333333</v>
      </c>
      <c r="N3" s="6" t="s">
        <v>317</v>
      </c>
      <c r="O3" s="6" t="s">
        <v>122</v>
      </c>
      <c r="P3" s="7">
        <v>984</v>
      </c>
      <c r="Q3" s="7">
        <v>1228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/>
      <c r="B4" s="3"/>
      <c r="C4" s="3"/>
      <c r="D4" s="3"/>
      <c r="E4" s="3"/>
      <c r="F4" s="3"/>
      <c r="G4" s="4"/>
      <c r="H4" s="3"/>
      <c r="I4" s="3"/>
      <c r="J4" s="5"/>
      <c r="K4" s="6"/>
      <c r="L4" s="5"/>
      <c r="M4" s="6"/>
      <c r="N4" s="6"/>
      <c r="O4" s="6"/>
      <c r="P4" s="7"/>
      <c r="Q4" s="7"/>
      <c r="R4" s="3"/>
      <c r="S4" s="3"/>
      <c r="T4" s="3"/>
      <c r="U4" s="3"/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abSelected="1" topLeftCell="C1" workbookViewId="0">
      <selection activeCell="M3" sqref="M3"/>
    </sheetView>
  </sheetViews>
  <sheetFormatPr defaultRowHeight="15" x14ac:dyDescent="0.25"/>
  <cols>
    <col min="2" max="2" width="21.28515625" customWidth="1"/>
    <col min="3" max="3" width="12.85546875" bestFit="1" customWidth="1"/>
    <col min="6" max="6" width="12.140625" bestFit="1" customWidth="1"/>
    <col min="7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  <col min="18" max="18" width="9.42578125" bestFit="1" customWidth="1"/>
  </cols>
  <sheetData>
    <row r="1" spans="1:21" s="35" customFormat="1" ht="12.75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s="35" customFormat="1" ht="12.75" x14ac:dyDescent="0.2">
      <c r="A2" s="37">
        <v>43496</v>
      </c>
      <c r="B2" s="35" t="s">
        <v>21</v>
      </c>
      <c r="C2" s="35" t="s">
        <v>78</v>
      </c>
      <c r="D2" s="35" t="s">
        <v>23</v>
      </c>
      <c r="E2" s="14" t="s">
        <v>315</v>
      </c>
      <c r="F2" s="35" t="s">
        <v>24</v>
      </c>
      <c r="G2" s="38">
        <v>71500</v>
      </c>
      <c r="H2" s="14" t="s">
        <v>79</v>
      </c>
      <c r="I2" s="14" t="s">
        <v>80</v>
      </c>
      <c r="J2" s="21">
        <v>0.65277777777777779</v>
      </c>
      <c r="K2" s="22">
        <v>0.63194444444444442</v>
      </c>
      <c r="L2" s="21">
        <v>0.5</v>
      </c>
      <c r="M2" s="22">
        <v>0.49861111111111112</v>
      </c>
      <c r="N2" s="35" t="s">
        <v>319</v>
      </c>
      <c r="O2" s="29" t="s">
        <v>318</v>
      </c>
      <c r="P2" s="35">
        <v>639</v>
      </c>
      <c r="Q2" s="29">
        <v>716</v>
      </c>
      <c r="R2" s="14">
        <v>0</v>
      </c>
      <c r="S2" s="14">
        <v>0</v>
      </c>
      <c r="T2" s="14">
        <v>0</v>
      </c>
      <c r="U2" s="14">
        <v>0</v>
      </c>
    </row>
    <row r="3" spans="1:21" s="35" customFormat="1" ht="12.75" x14ac:dyDescent="0.2">
      <c r="A3" s="37">
        <v>43496</v>
      </c>
      <c r="B3" s="14" t="s">
        <v>320</v>
      </c>
      <c r="C3" s="14" t="s">
        <v>321</v>
      </c>
      <c r="D3" s="14" t="s">
        <v>322</v>
      </c>
      <c r="E3" s="14" t="s">
        <v>323</v>
      </c>
      <c r="F3" s="14" t="s">
        <v>324</v>
      </c>
      <c r="G3" s="38">
        <v>21863</v>
      </c>
      <c r="H3" s="14" t="s">
        <v>325</v>
      </c>
      <c r="I3" s="14" t="s">
        <v>326</v>
      </c>
      <c r="J3" s="39">
        <v>0.78472222222222221</v>
      </c>
      <c r="K3" s="40">
        <v>0.79999999999999993</v>
      </c>
      <c r="L3" s="39">
        <v>0.95138888888888884</v>
      </c>
      <c r="M3" s="40">
        <v>0.99444444444444446</v>
      </c>
      <c r="N3" s="35">
        <v>0</v>
      </c>
      <c r="O3" s="29">
        <v>1</v>
      </c>
      <c r="P3" s="35">
        <v>0</v>
      </c>
      <c r="Q3" s="29">
        <v>0</v>
      </c>
      <c r="R3" s="14">
        <v>0</v>
      </c>
      <c r="S3" s="14">
        <v>0</v>
      </c>
      <c r="T3" s="14">
        <v>0</v>
      </c>
      <c r="U3" s="14">
        <v>0</v>
      </c>
    </row>
    <row r="4" spans="1:21" s="35" customFormat="1" ht="12.75" x14ac:dyDescent="0.2">
      <c r="A4" s="37"/>
      <c r="E4" s="14"/>
      <c r="G4" s="38"/>
      <c r="H4" s="14"/>
      <c r="I4" s="14"/>
      <c r="J4" s="21"/>
      <c r="K4" s="22"/>
      <c r="L4" s="21"/>
      <c r="M4" s="22"/>
      <c r="O4" s="29"/>
      <c r="Q4" s="29"/>
      <c r="R4" s="14"/>
      <c r="S4" s="14"/>
      <c r="T4" s="14"/>
      <c r="U4" s="14"/>
    </row>
    <row r="5" spans="1:21" s="35" customFormat="1" ht="12.75" x14ac:dyDescent="0.2">
      <c r="A5" s="15"/>
      <c r="B5" s="14"/>
      <c r="C5" s="14"/>
      <c r="D5" s="14"/>
      <c r="E5" s="14"/>
      <c r="F5" s="14"/>
      <c r="G5" s="36"/>
      <c r="H5" s="14"/>
      <c r="I5" s="14"/>
      <c r="J5" s="22"/>
      <c r="K5" s="22"/>
      <c r="L5" s="14"/>
      <c r="M5" s="14"/>
      <c r="N5" s="14"/>
      <c r="O5" s="14"/>
      <c r="P5" s="14"/>
      <c r="Q5" s="23"/>
      <c r="R5" s="14"/>
      <c r="S5" s="14"/>
      <c r="T5" s="14"/>
      <c r="U5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OPC</dc:creator>
  <cp:lastModifiedBy>OPC</cp:lastModifiedBy>
  <dcterms:created xsi:type="dcterms:W3CDTF">2019-01-01T04:46:06Z</dcterms:created>
  <dcterms:modified xsi:type="dcterms:W3CDTF">2019-01-31T23:01:12Z</dcterms:modified>
</cp:coreProperties>
</file>