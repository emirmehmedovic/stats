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 firstSheet="10" activeTab="28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2" sheetId="22" r:id="rId21"/>
    <sheet name="24" sheetId="24" r:id="rId22"/>
    <sheet name="25" sheetId="25" r:id="rId23"/>
    <sheet name="26" sheetId="26" r:id="rId24"/>
    <sheet name="27" sheetId="27" r:id="rId25"/>
    <sheet name="28" sheetId="21" r:id="rId26"/>
    <sheet name="29" sheetId="28" r:id="rId27"/>
    <sheet name="30" sheetId="23" r:id="rId28"/>
    <sheet name="31" sheetId="29" r:id="rId29"/>
  </sheets>
  <calcPr calcId="145621"/>
</workbook>
</file>

<file path=xl/calcChain.xml><?xml version="1.0" encoding="utf-8"?>
<calcChain xmlns="http://schemas.openxmlformats.org/spreadsheetml/2006/main">
  <c r="G9" i="27" l="1"/>
  <c r="G6" i="27"/>
  <c r="G8" i="27" s="1"/>
  <c r="E6" i="27"/>
  <c r="E8" i="27" s="1"/>
  <c r="D5" i="27"/>
  <c r="G4" i="27"/>
  <c r="E4" i="27"/>
  <c r="E7" i="27" s="1"/>
  <c r="E9" i="27" s="1"/>
  <c r="A7" i="27"/>
  <c r="A8" i="27" s="1"/>
  <c r="A9" i="27" s="1"/>
  <c r="G6" i="26" l="1"/>
  <c r="G4" i="26"/>
  <c r="E6" i="26"/>
  <c r="E4" i="26"/>
  <c r="A3" i="26"/>
  <c r="A4" i="26" s="1"/>
  <c r="A5" i="26" s="1"/>
  <c r="A6" i="26" s="1"/>
  <c r="A7" i="26" s="1"/>
  <c r="G6" i="21" l="1"/>
  <c r="G4" i="21"/>
  <c r="E5" i="21"/>
  <c r="E7" i="21" s="1"/>
  <c r="E4" i="21"/>
  <c r="E6" i="21" s="1"/>
  <c r="G8" i="20" l="1"/>
  <c r="G6" i="20"/>
  <c r="G9" i="20"/>
  <c r="E6" i="20"/>
  <c r="E8" i="20" s="1"/>
  <c r="D5" i="20"/>
  <c r="G4" i="20"/>
  <c r="E4" i="20"/>
  <c r="E7" i="20" s="1"/>
  <c r="E9" i="20" s="1"/>
  <c r="A4" i="20"/>
  <c r="A5" i="20" s="1"/>
  <c r="A6" i="20" s="1"/>
  <c r="A7" i="20" s="1"/>
  <c r="A8" i="20" s="1"/>
  <c r="A9" i="20" s="1"/>
  <c r="A3" i="20"/>
  <c r="A8" i="18" l="1"/>
  <c r="E5" i="18" l="1"/>
  <c r="E7" i="18" s="1"/>
  <c r="E6" i="18"/>
  <c r="A6" i="18"/>
  <c r="A7" i="18" s="1"/>
  <c r="A10" i="17" l="1"/>
  <c r="D8" i="16" l="1"/>
  <c r="A3" i="16"/>
  <c r="A4" i="16" s="1"/>
  <c r="A5" i="16" s="1"/>
  <c r="A6" i="16" s="1"/>
  <c r="A7" i="16" s="1"/>
  <c r="A8" i="16" s="1"/>
  <c r="E5" i="14" l="1"/>
  <c r="E7" i="14" s="1"/>
  <c r="E4" i="14"/>
  <c r="E6" i="14" s="1"/>
  <c r="A6" i="14"/>
  <c r="A7" i="14" s="1"/>
  <c r="G9" i="13" l="1"/>
  <c r="E6" i="13"/>
  <c r="E8" i="13" s="1"/>
  <c r="D5" i="13"/>
  <c r="G4" i="13"/>
  <c r="E4" i="13"/>
  <c r="E7" i="13" s="1"/>
  <c r="E9" i="13" s="1"/>
  <c r="A3" i="13"/>
  <c r="A4" i="13" s="1"/>
  <c r="A5" i="13" s="1"/>
  <c r="A6" i="13" s="1"/>
  <c r="A7" i="13" s="1"/>
  <c r="A8" i="13" s="1"/>
  <c r="A9" i="13" s="1"/>
  <c r="A13" i="11" l="1"/>
  <c r="A12" i="11"/>
  <c r="A11" i="11" l="1"/>
  <c r="A10" i="11" l="1"/>
  <c r="A9" i="11" l="1"/>
  <c r="A8" i="11" l="1"/>
  <c r="E5" i="11" l="1"/>
  <c r="E7" i="11" s="1"/>
  <c r="E4" i="11"/>
  <c r="E6" i="11" s="1"/>
  <c r="A3" i="11"/>
  <c r="A4" i="11" s="1"/>
  <c r="A5" i="11" s="1"/>
  <c r="A6" i="11" s="1"/>
  <c r="A7" i="11" s="1"/>
  <c r="A8" i="9" l="1"/>
  <c r="A7" i="9"/>
  <c r="A6" i="9"/>
  <c r="A5" i="9"/>
  <c r="A4" i="9"/>
  <c r="A3" i="9"/>
  <c r="D8" i="9"/>
  <c r="E5" i="7" l="1"/>
  <c r="E7" i="7" s="1"/>
  <c r="E4" i="7"/>
  <c r="E6" i="7" s="1"/>
  <c r="A3" i="7"/>
  <c r="A4" i="7" s="1"/>
  <c r="A5" i="7" s="1"/>
  <c r="A6" i="7" s="1"/>
  <c r="A7" i="7" s="1"/>
  <c r="G9" i="6" l="1"/>
  <c r="E6" i="6"/>
  <c r="E8" i="6" s="1"/>
  <c r="D5" i="6"/>
  <c r="G4" i="6"/>
  <c r="E4" i="6"/>
  <c r="E7" i="6" s="1"/>
  <c r="E9" i="6" s="1"/>
  <c r="A3" i="6"/>
  <c r="A4" i="6" s="1"/>
  <c r="A5" i="6" s="1"/>
  <c r="A6" i="6" s="1"/>
  <c r="A7" i="6" s="1"/>
  <c r="A8" i="6" s="1"/>
  <c r="A9" i="6" s="1"/>
  <c r="A7" i="4" l="1"/>
  <c r="A6" i="4"/>
  <c r="A5" i="4"/>
  <c r="A4" i="4"/>
  <c r="A3" i="4"/>
  <c r="E5" i="4"/>
  <c r="E7" i="4" s="1"/>
  <c r="E4" i="4"/>
  <c r="E6" i="4" s="1"/>
  <c r="A9" i="3" l="1"/>
  <c r="D8" i="2" l="1"/>
</calcChain>
</file>

<file path=xl/sharedStrings.xml><?xml version="1.0" encoding="utf-8"?>
<sst xmlns="http://schemas.openxmlformats.org/spreadsheetml/2006/main" count="2486" uniqueCount="463">
  <si>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</si>
  <si>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</si>
  <si>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</si>
  <si>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</si>
  <si>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</si>
  <si>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</si>
  <si>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</si>
  <si>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</si>
  <si>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</si>
  <si>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</si>
  <si>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</si>
  <si>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</si>
  <si>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</si>
  <si>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</si>
  <si>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</si>
  <si>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</si>
  <si>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</si>
  <si>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</si>
  <si>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</si>
  <si>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</si>
  <si>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</si>
  <si>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</si>
  <si>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TZL-VIE-TZL</t>
  </si>
  <si>
    <t>A320</t>
  </si>
  <si>
    <t>HALWO</t>
  </si>
  <si>
    <t>SCHEDULED</t>
  </si>
  <si>
    <t>W64286</t>
  </si>
  <si>
    <t>W64285</t>
  </si>
  <si>
    <t>TZL-DTM-TZL</t>
  </si>
  <si>
    <t>W64298</t>
  </si>
  <si>
    <t>W64297</t>
  </si>
  <si>
    <t>TZL-FMM-TZL</t>
  </si>
  <si>
    <t>W64280</t>
  </si>
  <si>
    <t>W64279</t>
  </si>
  <si>
    <t>TZL-EIN-TZL</t>
  </si>
  <si>
    <t>W64290</t>
  </si>
  <si>
    <t>W64289</t>
  </si>
  <si>
    <t>TZL-MLH-TZL</t>
  </si>
  <si>
    <t>W64294</t>
  </si>
  <si>
    <t>W64293</t>
  </si>
  <si>
    <t>TZL-MMX-TZL</t>
  </si>
  <si>
    <t>W64292</t>
  </si>
  <si>
    <t>W64291</t>
  </si>
  <si>
    <t>TZL-HHN-TZL</t>
  </si>
  <si>
    <t>W64284</t>
  </si>
  <si>
    <t>W64283</t>
  </si>
  <si>
    <t>HALWC/HALWH</t>
  </si>
  <si>
    <t>HALWH</t>
  </si>
  <si>
    <t>70000/71500</t>
  </si>
  <si>
    <t>145+1INF</t>
  </si>
  <si>
    <t>172+5INF</t>
  </si>
  <si>
    <t>156+3INF</t>
  </si>
  <si>
    <t>175+4INF</t>
  </si>
  <si>
    <t>180+3INF</t>
  </si>
  <si>
    <t>177+3INF</t>
  </si>
  <si>
    <t>174+5INF</t>
  </si>
  <si>
    <t>177+2INF</t>
  </si>
  <si>
    <t>180+5INF</t>
  </si>
  <si>
    <t>180+8INF</t>
  </si>
  <si>
    <t>176+1INF</t>
  </si>
  <si>
    <t>113+4INF</t>
  </si>
  <si>
    <t>178+6INF</t>
  </si>
  <si>
    <t>TZL-VXO-TZL</t>
  </si>
  <si>
    <t>W64612</t>
  </si>
  <si>
    <t>W64611</t>
  </si>
  <si>
    <t>TZL-GOT-TZL</t>
  </si>
  <si>
    <t>W64296</t>
  </si>
  <si>
    <t>W64295</t>
  </si>
  <si>
    <t>TZL-FKB-TZL</t>
  </si>
  <si>
    <t>W64618</t>
  </si>
  <si>
    <t>W64617</t>
  </si>
  <si>
    <t>FREEBIRD</t>
  </si>
  <si>
    <t>AYT-TZL-AYT</t>
  </si>
  <si>
    <t>NONSCH/CHARTER</t>
  </si>
  <si>
    <t>FHY821</t>
  </si>
  <si>
    <t>FHY822</t>
  </si>
  <si>
    <t>TCFHC</t>
  </si>
  <si>
    <t>173+4INF</t>
  </si>
  <si>
    <t>150+2INF</t>
  </si>
  <si>
    <t>180+2INF</t>
  </si>
  <si>
    <t>176+5INF</t>
  </si>
  <si>
    <t>179+2INF</t>
  </si>
  <si>
    <t>128+3 INF</t>
  </si>
  <si>
    <t>136+3 INF</t>
  </si>
  <si>
    <t>180+2 INF</t>
  </si>
  <si>
    <t>166+2 INF</t>
  </si>
  <si>
    <t>160+2 INF</t>
  </si>
  <si>
    <t>180+0 INF</t>
  </si>
  <si>
    <t>175+4 INF</t>
  </si>
  <si>
    <t>176+4 INF</t>
  </si>
  <si>
    <t>TZL-FDH-TZL</t>
  </si>
  <si>
    <t>W64616</t>
  </si>
  <si>
    <t>W64615</t>
  </si>
  <si>
    <t>TZL-BLL-TZL</t>
  </si>
  <si>
    <t>W64278</t>
  </si>
  <si>
    <t>W64277</t>
  </si>
  <si>
    <t>TZL-SXF-TZL</t>
  </si>
  <si>
    <t>W64276</t>
  </si>
  <si>
    <t>W64275</t>
  </si>
  <si>
    <t>151+6INF</t>
  </si>
  <si>
    <t>179+3INF</t>
  </si>
  <si>
    <t>164+8INF</t>
  </si>
  <si>
    <t>180+4INF</t>
  </si>
  <si>
    <t>175+5INF</t>
  </si>
  <si>
    <t>AERO-DIENST</t>
  </si>
  <si>
    <t>B350</t>
  </si>
  <si>
    <t>D-CUTE</t>
  </si>
  <si>
    <t>MEDEVAC</t>
  </si>
  <si>
    <t>DUS-TZL-FRA</t>
  </si>
  <si>
    <t>ADN15A</t>
  </si>
  <si>
    <t>170+6INF</t>
  </si>
  <si>
    <t>178+2INF</t>
  </si>
  <si>
    <t>174+6INF</t>
  </si>
  <si>
    <t>171+9INF</t>
  </si>
  <si>
    <t>159+10INF</t>
  </si>
  <si>
    <t>173+3INF</t>
  </si>
  <si>
    <t>TZL-NYO-TZL</t>
  </si>
  <si>
    <t>W64282</t>
  </si>
  <si>
    <t>W64281</t>
  </si>
  <si>
    <t>TZL-CGN-TZL</t>
  </si>
  <si>
    <t>W64300</t>
  </si>
  <si>
    <t>W64299</t>
  </si>
  <si>
    <t>HA-LWO</t>
  </si>
  <si>
    <t>HA-LWH</t>
  </si>
  <si>
    <t>178+2 INF</t>
  </si>
  <si>
    <t>152+2 INF</t>
  </si>
  <si>
    <t>180+5 INF</t>
  </si>
  <si>
    <t>129+3 INF</t>
  </si>
  <si>
    <t>175+3 INF</t>
  </si>
  <si>
    <t>166+0 INF</t>
  </si>
  <si>
    <t>173+6 INF</t>
  </si>
  <si>
    <t>176+3 INF</t>
  </si>
  <si>
    <t>146+1 INF</t>
  </si>
  <si>
    <t>135+2 INF</t>
  </si>
  <si>
    <t>169+1INF</t>
  </si>
  <si>
    <t>171+3INF</t>
  </si>
  <si>
    <t>172+2INF</t>
  </si>
  <si>
    <t>122+3INF</t>
  </si>
  <si>
    <t>158+3INF</t>
  </si>
  <si>
    <t>170+4INF</t>
  </si>
  <si>
    <t>59+0 INF</t>
  </si>
  <si>
    <t>121+1 INF</t>
  </si>
  <si>
    <t>179+3 INF</t>
  </si>
  <si>
    <t>173+3 INF</t>
  </si>
  <si>
    <t>159+1 INF</t>
  </si>
  <si>
    <t>167+4 INF</t>
  </si>
  <si>
    <t>164+6INF</t>
  </si>
  <si>
    <t>166+5INF</t>
  </si>
  <si>
    <t>177+1INF</t>
  </si>
  <si>
    <t>176+6INF</t>
  </si>
  <si>
    <t>177+8INF</t>
  </si>
  <si>
    <t>173+2 INF</t>
  </si>
  <si>
    <t>168+2 INF</t>
  </si>
  <si>
    <t>175+8 INF</t>
  </si>
  <si>
    <t>180+7 INF</t>
  </si>
  <si>
    <t>101+0 INF</t>
  </si>
  <si>
    <t>180+8 INF</t>
  </si>
  <si>
    <t>171+7 INF</t>
  </si>
  <si>
    <t>170+1 INF</t>
  </si>
  <si>
    <t>178+3 INF</t>
  </si>
  <si>
    <t>126+3 INF</t>
  </si>
  <si>
    <t>175+5 INF</t>
  </si>
  <si>
    <t>179+1 INF</t>
  </si>
  <si>
    <t>107+2INF</t>
  </si>
  <si>
    <t>79+0INF</t>
  </si>
  <si>
    <t>180+10INF</t>
  </si>
  <si>
    <t>168+4INF</t>
  </si>
  <si>
    <t>176+0INF</t>
  </si>
  <si>
    <t>168+3INF</t>
  </si>
  <si>
    <t>169+7INF</t>
  </si>
  <si>
    <t>174+3INF</t>
  </si>
  <si>
    <t>162+6INF</t>
  </si>
  <si>
    <t>67+0INF</t>
  </si>
  <si>
    <t>175+3INF</t>
  </si>
  <si>
    <t>169+4 INF</t>
  </si>
  <si>
    <t>161+1 INF</t>
  </si>
  <si>
    <t>177+2 INF</t>
  </si>
  <si>
    <t>158+0 INF</t>
  </si>
  <si>
    <t>148+4 INF</t>
  </si>
  <si>
    <t>179+2 INF</t>
  </si>
  <si>
    <t>TCFHG</t>
  </si>
  <si>
    <t>99+4 INF</t>
  </si>
  <si>
    <t>170+4 INF</t>
  </si>
  <si>
    <t>133+1 INF</t>
  </si>
  <si>
    <t>177+7 INF</t>
  </si>
  <si>
    <t>180+4 INF</t>
  </si>
  <si>
    <t>176+2 INF</t>
  </si>
  <si>
    <t>165+3INF</t>
  </si>
  <si>
    <t>179+4INF</t>
  </si>
  <si>
    <t>171+4INF</t>
  </si>
  <si>
    <t>179+5INF</t>
  </si>
  <si>
    <t>177+5INF</t>
  </si>
  <si>
    <t>129+7INF</t>
  </si>
  <si>
    <t>176+0 INF</t>
  </si>
  <si>
    <t>167+5 INF</t>
  </si>
  <si>
    <t>FLYBOSNIA</t>
  </si>
  <si>
    <t>SJJ-TZL-SJJ</t>
  </si>
  <si>
    <t>E7-FBB</t>
  </si>
  <si>
    <t>NONSCH/TRAINING FLIGHT</t>
  </si>
  <si>
    <t>6W201</t>
  </si>
  <si>
    <t>6W202</t>
  </si>
  <si>
    <t>179+4 INF</t>
  </si>
  <si>
    <t>107+3 INF</t>
  </si>
  <si>
    <t>SWISS AIR AMB.</t>
  </si>
  <si>
    <t>ZRH-TZL-ZRH</t>
  </si>
  <si>
    <t>CL650</t>
  </si>
  <si>
    <t>HB-JWA</t>
  </si>
  <si>
    <t>NONSCH/MEDEVAC</t>
  </si>
  <si>
    <t>SAZ51</t>
  </si>
  <si>
    <t>SAZ52</t>
  </si>
  <si>
    <t>168+3 INF</t>
  </si>
  <si>
    <t>A319</t>
  </si>
  <si>
    <t>6W203</t>
  </si>
  <si>
    <t>6W204</t>
  </si>
  <si>
    <t>168+1 INF</t>
  </si>
  <si>
    <t>JUNG SKY</t>
  </si>
  <si>
    <t>ZAG-TZL-ZAD</t>
  </si>
  <si>
    <t>C25A</t>
  </si>
  <si>
    <t>9A-JSD</t>
  </si>
  <si>
    <t>NONSCH/GA PRIVATE</t>
  </si>
  <si>
    <t>JSY177D</t>
  </si>
  <si>
    <t>JSY178C</t>
  </si>
  <si>
    <t>6W205</t>
  </si>
  <si>
    <t>6W206</t>
  </si>
  <si>
    <t>BUD-TZL-BUD</t>
  </si>
  <si>
    <t>HA-LYF</t>
  </si>
  <si>
    <t>FERRY IN/OUT</t>
  </si>
  <si>
    <t>W6801</t>
  </si>
  <si>
    <t>W6802</t>
  </si>
  <si>
    <t>84+3INF</t>
  </si>
  <si>
    <t>85+2INF</t>
  </si>
  <si>
    <t>173+6INF</t>
  </si>
  <si>
    <t>174+1INF</t>
  </si>
  <si>
    <t>165+5INF</t>
  </si>
  <si>
    <t>167+3INF</t>
  </si>
  <si>
    <t>176+4INF</t>
  </si>
  <si>
    <t>168+2INF</t>
  </si>
  <si>
    <t>175+2INF</t>
  </si>
  <si>
    <t>102+3INF</t>
  </si>
  <si>
    <t>159+0INF</t>
  </si>
  <si>
    <t>JET STREAM</t>
  </si>
  <si>
    <t>ZAD-TZL-ZAD</t>
  </si>
  <si>
    <t>C525</t>
  </si>
  <si>
    <t>HA-KAR</t>
  </si>
  <si>
    <t>NONSCHEDULED</t>
  </si>
  <si>
    <t>JSH521</t>
  </si>
  <si>
    <t>JSH520</t>
  </si>
  <si>
    <t>67+1INF</t>
  </si>
  <si>
    <t>64+4INF</t>
  </si>
  <si>
    <t>170+1INF</t>
  </si>
  <si>
    <t>171+7INF</t>
  </si>
  <si>
    <t>TCFBR</t>
  </si>
  <si>
    <t>176+1 INF</t>
  </si>
  <si>
    <t>157+3 INF</t>
  </si>
  <si>
    <t>172+4 INF</t>
  </si>
  <si>
    <t>165+4INF</t>
  </si>
  <si>
    <t>173+11INF</t>
  </si>
  <si>
    <t>174+2INF</t>
  </si>
  <si>
    <t>89+2INF</t>
  </si>
  <si>
    <t>172+6INF</t>
  </si>
  <si>
    <t>169+5INF</t>
  </si>
  <si>
    <t>176+3INF</t>
  </si>
  <si>
    <t>177+4INF</t>
  </si>
  <si>
    <t>118+2INF</t>
  </si>
  <si>
    <t>178+1INF</t>
  </si>
  <si>
    <t>152+4 INF</t>
  </si>
  <si>
    <t>166+1 INF</t>
  </si>
  <si>
    <t>66+0 INF</t>
  </si>
  <si>
    <t>95+2 INF</t>
  </si>
  <si>
    <t>ST vrijeme odl</t>
  </si>
  <si>
    <t>169+2INF</t>
  </si>
  <si>
    <t>163+5INF</t>
  </si>
  <si>
    <t>175+1INF</t>
  </si>
  <si>
    <t>176+6 INF</t>
  </si>
  <si>
    <t>167+7 INF</t>
  </si>
  <si>
    <t>66+1 INF</t>
  </si>
  <si>
    <t>166+6 INF</t>
  </si>
  <si>
    <t>HALWH/HALWG</t>
  </si>
  <si>
    <t>HALWG</t>
  </si>
  <si>
    <t>110+1INF</t>
  </si>
  <si>
    <t>179+6INF</t>
  </si>
  <si>
    <t>71+0INF</t>
  </si>
  <si>
    <t>109+0INF</t>
  </si>
  <si>
    <t>169+4INF</t>
  </si>
  <si>
    <t>178+3INF</t>
  </si>
  <si>
    <t>162+4INF</t>
  </si>
  <si>
    <t>JURGEN RIMMELSPACHER</t>
  </si>
  <si>
    <t>LYUZ-LQTZ-LQJL</t>
  </si>
  <si>
    <t>RF5</t>
  </si>
  <si>
    <t>DKIFP</t>
  </si>
  <si>
    <t>TECHNICAL</t>
  </si>
  <si>
    <t>DKFIP</t>
  </si>
  <si>
    <t>180+3 INF</t>
  </si>
  <si>
    <t>174+5 INF</t>
  </si>
  <si>
    <t>163+2 INF</t>
  </si>
  <si>
    <t>BWK-TZL-PRG</t>
  </si>
  <si>
    <t>C525A</t>
  </si>
  <si>
    <t>9A-JSC</t>
  </si>
  <si>
    <t>NON-SCH/GP</t>
  </si>
  <si>
    <t>JSY178D</t>
  </si>
  <si>
    <t>161+3 INF</t>
  </si>
  <si>
    <t>105+0 INF</t>
  </si>
  <si>
    <t>HA-LWG</t>
  </si>
  <si>
    <t>87+2INF</t>
  </si>
  <si>
    <t>169+0INF</t>
  </si>
  <si>
    <t>175+6INF</t>
  </si>
  <si>
    <t>94+3INF</t>
  </si>
  <si>
    <t>103+0INF</t>
  </si>
  <si>
    <t>JET EXECUTIVE</t>
  </si>
  <si>
    <t>MUC-TZL-MUC</t>
  </si>
  <si>
    <t>LJ35A</t>
  </si>
  <si>
    <t>DCAPO</t>
  </si>
  <si>
    <t>MEDICAL</t>
  </si>
  <si>
    <t>JEI474</t>
  </si>
  <si>
    <t>161+7INF</t>
  </si>
  <si>
    <t>155+7INF</t>
  </si>
  <si>
    <t>HALWC</t>
  </si>
  <si>
    <t>171+1 INF</t>
  </si>
  <si>
    <t>175+1 INF</t>
  </si>
  <si>
    <t>165+2 INF</t>
  </si>
  <si>
    <t>49+0 INF</t>
  </si>
  <si>
    <t>50+0INF</t>
  </si>
  <si>
    <t>71+1INF</t>
  </si>
  <si>
    <t>MIRKO ANZEL</t>
  </si>
  <si>
    <t>BEG-TZL-BEG</t>
  </si>
  <si>
    <t>BE-36</t>
  </si>
  <si>
    <t>T7BEN</t>
  </si>
  <si>
    <t>NON. SCHD</t>
  </si>
  <si>
    <t>178+0INF</t>
  </si>
  <si>
    <t>71+2INF</t>
  </si>
  <si>
    <t>HA-LWC</t>
  </si>
  <si>
    <t>167+3 INF</t>
  </si>
  <si>
    <t>178+4 INF</t>
  </si>
  <si>
    <t>135+3 INF</t>
  </si>
  <si>
    <t>172+8 INF</t>
  </si>
  <si>
    <t>160+4 INF</t>
  </si>
  <si>
    <t>149+4 INF</t>
  </si>
  <si>
    <t>TC-FHC</t>
  </si>
  <si>
    <t>142+3INF</t>
  </si>
  <si>
    <t>150+3INF</t>
  </si>
  <si>
    <t>101+0INF</t>
  </si>
  <si>
    <t>139+6INF</t>
  </si>
  <si>
    <t>162+3INF</t>
  </si>
  <si>
    <t>178+5INF</t>
  </si>
  <si>
    <t>AVCON JET AG</t>
  </si>
  <si>
    <t>VIE-TZL-VIE</t>
  </si>
  <si>
    <t>OEFKO</t>
  </si>
  <si>
    <t xml:space="preserve">GEN.AVI </t>
  </si>
  <si>
    <t>AOJ48L</t>
  </si>
  <si>
    <t>125+5INF</t>
  </si>
  <si>
    <t>69+0INF</t>
  </si>
  <si>
    <t>158+1INF</t>
  </si>
  <si>
    <t>175+8INF</t>
  </si>
  <si>
    <t>145+2 INF</t>
  </si>
  <si>
    <t>155+2 IN</t>
  </si>
  <si>
    <t>40+0 INF</t>
  </si>
  <si>
    <t>171+4 INF</t>
  </si>
  <si>
    <t>-</t>
  </si>
  <si>
    <t>162+5INF</t>
  </si>
  <si>
    <t>172+5 INF</t>
  </si>
  <si>
    <t>161+2 INF</t>
  </si>
  <si>
    <t>112+2 INF</t>
  </si>
  <si>
    <t>DIV TO BEG</t>
  </si>
  <si>
    <t>BEG-TZL</t>
  </si>
  <si>
    <t>FERRY IN</t>
  </si>
  <si>
    <t>CREW</t>
  </si>
  <si>
    <t>174+4INF</t>
  </si>
  <si>
    <t>167+2INF</t>
  </si>
  <si>
    <t>166+1INF</t>
  </si>
  <si>
    <t>104+1INF</t>
  </si>
  <si>
    <t>178+4INF</t>
  </si>
  <si>
    <t>101+1 INF</t>
  </si>
  <si>
    <t>82+2 INF</t>
  </si>
  <si>
    <t>163+1 INF</t>
  </si>
  <si>
    <t>133+0 INF</t>
  </si>
  <si>
    <t>165+2INF</t>
  </si>
  <si>
    <t>131+4INF</t>
  </si>
  <si>
    <t>OTP-TZL-OTP</t>
  </si>
  <si>
    <t>HALPX</t>
  </si>
  <si>
    <t>W6803</t>
  </si>
  <si>
    <t>W6804</t>
  </si>
  <si>
    <t>75+2INF</t>
  </si>
  <si>
    <t>75+1INF</t>
  </si>
  <si>
    <t>171+2INF</t>
  </si>
  <si>
    <t>165+8INF</t>
  </si>
  <si>
    <t>67+2INF</t>
  </si>
  <si>
    <t>78+1INF</t>
  </si>
  <si>
    <t>PINK SPARROW</t>
  </si>
  <si>
    <t>LNZ-TZL-CLJ</t>
  </si>
  <si>
    <t>OE-FMU</t>
  </si>
  <si>
    <t>SOW1</t>
  </si>
  <si>
    <t>SOW2</t>
  </si>
  <si>
    <t>167+5INF</t>
  </si>
  <si>
    <t>176+2INF</t>
  </si>
  <si>
    <t>98+2INF</t>
  </si>
  <si>
    <t>136+2INF</t>
  </si>
  <si>
    <t>173+5INF</t>
  </si>
  <si>
    <t>148+2INF</t>
  </si>
  <si>
    <t>1</t>
  </si>
  <si>
    <t>HELIMASTER</t>
  </si>
  <si>
    <t>BEG-TZL-OMO</t>
  </si>
  <si>
    <t>R44</t>
  </si>
  <si>
    <t>YU-HTB</t>
  </si>
  <si>
    <t>HELICOPTER</t>
  </si>
  <si>
    <t>116+2INF</t>
  </si>
  <si>
    <t>106+0 INF</t>
  </si>
  <si>
    <t>AIRLINK LUFTVERKEHRS</t>
  </si>
  <si>
    <t>SZG-TZL</t>
  </si>
  <si>
    <t>SR22T-G5 GTS</t>
  </si>
  <si>
    <t>N714VU</t>
  </si>
  <si>
    <t>ROP</t>
  </si>
  <si>
    <t>GENERAL AVI</t>
  </si>
  <si>
    <t>109+1INF</t>
  </si>
  <si>
    <t>152+4INF</t>
  </si>
  <si>
    <t>174+2 INF</t>
  </si>
  <si>
    <t>164+3 INF</t>
  </si>
  <si>
    <t>TZL-SZG</t>
  </si>
  <si>
    <t>AEROCLUB KIKINDA</t>
  </si>
  <si>
    <t>LYZR-TZL-BEG</t>
  </si>
  <si>
    <t>PIPER 38 TOMAHAWK</t>
  </si>
  <si>
    <t>YU-DSB</t>
  </si>
  <si>
    <t>110+0INF</t>
  </si>
  <si>
    <t>172+3INF</t>
  </si>
  <si>
    <t>72+0INF</t>
  </si>
  <si>
    <t>123+3 INF</t>
  </si>
  <si>
    <t>136+3INF</t>
  </si>
  <si>
    <t>133+2INF</t>
  </si>
  <si>
    <t>161+5 INF</t>
  </si>
  <si>
    <t>173+8 INF</t>
  </si>
  <si>
    <t>118+3 INF</t>
  </si>
  <si>
    <t>114+3 INF</t>
  </si>
  <si>
    <t>179+1INF</t>
  </si>
  <si>
    <t>EUFOR</t>
  </si>
  <si>
    <t>BUTMIR-TZL-BUTMIR</t>
  </si>
  <si>
    <t>PILATUS PC6</t>
  </si>
  <si>
    <t>3G EH</t>
  </si>
  <si>
    <t>NONSCHEDULED2.8</t>
  </si>
  <si>
    <t>PORTA06</t>
  </si>
  <si>
    <t>148+5INF</t>
  </si>
  <si>
    <t>115+1INF</t>
  </si>
  <si>
    <t>170+5 INF</t>
  </si>
  <si>
    <t>143+2 INF</t>
  </si>
  <si>
    <t>94+4 INF</t>
  </si>
  <si>
    <t>170+3 INF</t>
  </si>
  <si>
    <t>HALWV</t>
  </si>
  <si>
    <t>164+6 INF</t>
  </si>
  <si>
    <t>163+10 INF</t>
  </si>
  <si>
    <t>SILKWAY AIRLINES</t>
  </si>
  <si>
    <t>GYD-TZL-GYD</t>
  </si>
  <si>
    <t>IL76</t>
  </si>
  <si>
    <t>NON-SCHEDULED</t>
  </si>
  <si>
    <t>AZQ4551</t>
  </si>
  <si>
    <t>AZQ4552</t>
  </si>
  <si>
    <t>4KAZ101</t>
  </si>
  <si>
    <t>168+4 INF</t>
  </si>
  <si>
    <t>153+3 INF</t>
  </si>
  <si>
    <t>152+1 INF</t>
  </si>
  <si>
    <t>160+10 INF</t>
  </si>
  <si>
    <t>177+5 INF</t>
  </si>
  <si>
    <t>162+5 INF</t>
  </si>
  <si>
    <t>163+6 INF</t>
  </si>
  <si>
    <t>168+7 INF</t>
  </si>
  <si>
    <t>161+4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</si>
</sst>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charset val="238"/>
      <scheme val="minor"/>
    </font>
    <font>
      <sz val="10"/>
      <name val="Garamond"/>
      <family val="1"/>
      <charset val="238"/>
    </font>
    <font>
      <sz val="10"/>
      <name val="Arial"/>
      <family val="2"/>
      <charset val="238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9"/>
      <name val="Garamond"/>
      <family val="1"/>
      <charset val="238"/>
    </font>
    <font>
      <sz val="9"/>
      <color theme="1"/>
      <name val="Garamond"/>
      <family val="1"/>
      <charset val="238"/>
    </font>
    <font>
      <sz val="8"/>
      <color theme="1"/>
      <name val="Garamond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20" fontId="1" fillId="0" borderId="0" xfId="1" applyNumberFormat="1" applyFont="1" applyFill="1" applyAlignment="1">
      <alignment horizontal="center" vertical="center"/>
    </xf>
    <xf numFmtId="0" fontId="1" fillId="0" borderId="0" xfId="1" applyFont="1" applyFill="1" applyAlignment="1">
      <alignment horizontal="center" vertical="center"/>
    </xf>
    <xf numFmtId="14" fontId="1" fillId="0" borderId="0" xfId="2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20" fontId="3" fillId="0" borderId="0" xfId="0" applyNumberFormat="1" applyFont="1" applyFill="1" applyAlignment="1">
      <alignment horizontal="center" vertical="center"/>
    </xf>
    <xf numFmtId="20" fontId="1" fillId="0" borderId="0" xfId="0" applyNumberFormat="1" applyFont="1" applyFill="1" applyAlignment="1">
      <alignment horizontal="center" vertical="center"/>
    </xf>
    <xf numFmtId="0" fontId="1" fillId="0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1" applyNumberFormat="1" applyFont="1" applyFill="1" applyAlignment="1">
      <alignment horizontal="center" vertical="center"/>
    </xf>
    <xf numFmtId="20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20" fontId="5" fillId="0" borderId="0" xfId="0" applyNumberFormat="1" applyFont="1" applyFill="1" applyAlignment="1">
      <alignment horizontal="center" vertical="center"/>
    </xf>
    <xf numFmtId="0" fontId="6" fillId="0" borderId="0" xfId="1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20" fontId="5" fillId="0" borderId="0" xfId="0" applyNumberFormat="1" applyFont="1" applyFill="1" applyAlignment="1">
      <alignment horizontal="center"/>
    </xf>
    <xf numFmtId="20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3" fontId="4" fillId="0" borderId="0" xfId="0" applyNumberFormat="1" applyFont="1" applyFill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/>
    <xf numFmtId="0" fontId="4" fillId="0" borderId="0" xfId="0" applyFont="1"/>
    <xf numFmtId="0" fontId="1" fillId="0" borderId="0" xfId="1" applyNumberFormat="1" applyFont="1" applyFill="1" applyAlignment="1">
      <alignment horizontal="center" vertical="center"/>
    </xf>
    <xf numFmtId="14" fontId="4" fillId="0" borderId="0" xfId="0" applyNumberFormat="1" applyFont="1" applyAlignment="1">
      <alignment horizontal="center"/>
    </xf>
    <xf numFmtId="20" fontId="1" fillId="2" borderId="0" xfId="0" applyNumberFormat="1" applyFont="1" applyFill="1" applyAlignment="1">
      <alignment horizontal="center" vertical="center"/>
    </xf>
    <xf numFmtId="20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16" fontId="4" fillId="0" borderId="0" xfId="0" applyNumberFormat="1" applyFont="1" applyAlignment="1">
      <alignment vertical="top"/>
    </xf>
  </cellXfs>
  <cellStyles count="8">
    <cellStyle name="Normal" xfId="0" builtinId="0"/>
    <cellStyle name="Normal 2" xfId="3"/>
    <cellStyle name="Normal 2 2" xfId="2"/>
    <cellStyle name="Normal 3" xfId="4"/>
    <cellStyle name="Normal 3 2" xfId="1"/>
    <cellStyle name="Normal 4" xfId="5"/>
    <cellStyle name="Normal 5" xfId="6"/>
    <cellStyle name="Normal 6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sqref="A1:U8"/>
    </sheetView>
  </sheetViews>
  <sheetFormatPr defaultRowHeight="15" x14ac:dyDescent="0.25"/>
  <cols>
    <col min="3" max="3" width="14.42578125" customWidth="1"/>
    <col min="5" max="5" width="16" customWidth="1"/>
    <col min="6" max="6" width="16.140625" customWidth="1"/>
    <col min="7" max="7" width="10.85546875" customWidth="1"/>
    <col min="14" max="14" width="17" customWidth="1"/>
    <col min="15" max="15" width="18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43678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0.37152777777777773</v>
      </c>
      <c r="L2" s="7">
        <v>0.25694444444444448</v>
      </c>
      <c r="M2" s="8">
        <v>0.26111111111111113</v>
      </c>
      <c r="N2" s="2" t="s">
        <v>51</v>
      </c>
      <c r="O2" s="9" t="s">
        <v>49</v>
      </c>
      <c r="P2" s="9">
        <v>697</v>
      </c>
      <c r="Q2" s="9">
        <v>456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43678</v>
      </c>
      <c r="B3" s="5" t="s">
        <v>21</v>
      </c>
      <c r="C3" s="5" t="s">
        <v>28</v>
      </c>
      <c r="D3" s="5" t="s">
        <v>23</v>
      </c>
      <c r="E3" s="5" t="s">
        <v>46</v>
      </c>
      <c r="F3" s="5" t="s">
        <v>25</v>
      </c>
      <c r="G3" s="6" t="s">
        <v>48</v>
      </c>
      <c r="H3" s="5" t="s">
        <v>29</v>
      </c>
      <c r="I3" s="5" t="s">
        <v>30</v>
      </c>
      <c r="J3" s="7">
        <v>0.46180555555555558</v>
      </c>
      <c r="K3" s="2">
        <v>0.47430555555555554</v>
      </c>
      <c r="L3" s="7">
        <v>0.27430555555555552</v>
      </c>
      <c r="M3" s="8">
        <v>0.28472222222222221</v>
      </c>
      <c r="N3" s="2" t="s">
        <v>53</v>
      </c>
      <c r="O3" s="9" t="s">
        <v>50</v>
      </c>
      <c r="P3" s="5">
        <v>1135</v>
      </c>
      <c r="Q3" s="9">
        <v>990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43678</v>
      </c>
      <c r="B4" s="10" t="s">
        <v>21</v>
      </c>
      <c r="C4" s="10" t="s">
        <v>31</v>
      </c>
      <c r="D4" s="10" t="s">
        <v>23</v>
      </c>
      <c r="E4" s="5" t="s">
        <v>24</v>
      </c>
      <c r="F4" s="10" t="s">
        <v>25</v>
      </c>
      <c r="G4" s="11">
        <v>71500</v>
      </c>
      <c r="H4" s="10" t="s">
        <v>32</v>
      </c>
      <c r="I4" s="10" t="s">
        <v>33</v>
      </c>
      <c r="J4" s="12">
        <v>0.55555555555555558</v>
      </c>
      <c r="K4" s="13">
        <v>0.54513888888888895</v>
      </c>
      <c r="L4" s="12">
        <v>0.40625</v>
      </c>
      <c r="M4" s="13">
        <v>0.41041666666666665</v>
      </c>
      <c r="N4" s="10" t="s">
        <v>55</v>
      </c>
      <c r="O4" s="10" t="s">
        <v>52</v>
      </c>
      <c r="P4" s="10">
        <v>1632</v>
      </c>
      <c r="Q4" s="10">
        <v>1048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4">
        <v>43678</v>
      </c>
      <c r="B5" s="3" t="s">
        <v>21</v>
      </c>
      <c r="C5" s="3" t="s">
        <v>34</v>
      </c>
      <c r="D5" s="3" t="s">
        <v>23</v>
      </c>
      <c r="E5" s="5" t="s">
        <v>47</v>
      </c>
      <c r="F5" s="3" t="s">
        <v>25</v>
      </c>
      <c r="G5" s="6">
        <v>71500</v>
      </c>
      <c r="H5" s="3" t="s">
        <v>35</v>
      </c>
      <c r="I5" s="3" t="s">
        <v>36</v>
      </c>
      <c r="J5" s="14">
        <v>0.70138888888888884</v>
      </c>
      <c r="K5" s="2">
        <v>0.7090277777777777</v>
      </c>
      <c r="L5" s="14">
        <v>0.49305555555555558</v>
      </c>
      <c r="M5" s="2">
        <v>0.52222222222222225</v>
      </c>
      <c r="N5" s="10" t="s">
        <v>57</v>
      </c>
      <c r="O5" s="3" t="s">
        <v>54</v>
      </c>
      <c r="P5" s="3">
        <v>1270</v>
      </c>
      <c r="Q5" s="3">
        <v>1155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43678</v>
      </c>
      <c r="B6" s="3" t="s">
        <v>21</v>
      </c>
      <c r="C6" s="3" t="s">
        <v>37</v>
      </c>
      <c r="D6" s="3" t="s">
        <v>23</v>
      </c>
      <c r="E6" s="5" t="s">
        <v>24</v>
      </c>
      <c r="F6" s="3" t="s">
        <v>25</v>
      </c>
      <c r="G6" s="6">
        <v>71500</v>
      </c>
      <c r="H6" s="3" t="s">
        <v>38</v>
      </c>
      <c r="I6" s="3" t="s">
        <v>39</v>
      </c>
      <c r="J6" s="12">
        <v>0.75694444444444453</v>
      </c>
      <c r="K6" s="2">
        <v>0.75416666666666676</v>
      </c>
      <c r="L6" s="12">
        <v>0.58680555555555558</v>
      </c>
      <c r="M6" s="15">
        <v>0.59027777777777779</v>
      </c>
      <c r="N6" s="3" t="s">
        <v>58</v>
      </c>
      <c r="O6" s="10" t="s">
        <v>56</v>
      </c>
      <c r="P6" s="16">
        <v>1176</v>
      </c>
      <c r="Q6" s="10">
        <v>891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43678</v>
      </c>
      <c r="B7" s="10" t="s">
        <v>21</v>
      </c>
      <c r="C7" s="10" t="s">
        <v>40</v>
      </c>
      <c r="D7" s="10" t="s">
        <v>23</v>
      </c>
      <c r="E7" s="5" t="s">
        <v>47</v>
      </c>
      <c r="F7" s="10" t="s">
        <v>25</v>
      </c>
      <c r="G7" s="6">
        <v>71500</v>
      </c>
      <c r="H7" s="10" t="s">
        <v>41</v>
      </c>
      <c r="I7" s="10" t="s">
        <v>42</v>
      </c>
      <c r="J7" s="12">
        <v>0.92708333333333337</v>
      </c>
      <c r="K7" s="2">
        <v>0.93680555555555556</v>
      </c>
      <c r="L7" s="17">
        <v>0.72222222222222221</v>
      </c>
      <c r="M7" s="15">
        <v>0.75624999999999998</v>
      </c>
      <c r="N7" s="3" t="s">
        <v>60</v>
      </c>
      <c r="O7" s="18" t="s">
        <v>55</v>
      </c>
      <c r="P7" s="3">
        <v>642</v>
      </c>
      <c r="Q7" s="16">
        <v>1984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4">
        <v>43678</v>
      </c>
      <c r="B8" s="10" t="s">
        <v>21</v>
      </c>
      <c r="C8" s="10" t="s">
        <v>43</v>
      </c>
      <c r="D8" s="10" t="s">
        <v>23</v>
      </c>
      <c r="E8" s="5" t="s">
        <v>24</v>
      </c>
      <c r="F8" s="10" t="s">
        <v>25</v>
      </c>
      <c r="G8" s="11">
        <v>71500</v>
      </c>
      <c r="H8" s="10" t="s">
        <v>44</v>
      </c>
      <c r="I8" s="10" t="s">
        <v>45</v>
      </c>
      <c r="J8" s="12">
        <v>0.95486111111111116</v>
      </c>
      <c r="K8" s="2">
        <v>0.9506944444444444</v>
      </c>
      <c r="L8" s="12">
        <v>0.77777777777777779</v>
      </c>
      <c r="M8" s="13">
        <v>0.79166666666666663</v>
      </c>
      <c r="N8" s="3" t="s">
        <v>61</v>
      </c>
      <c r="O8" s="10" t="s">
        <v>59</v>
      </c>
      <c r="P8" s="10">
        <v>1026</v>
      </c>
      <c r="Q8" s="10">
        <v>811</v>
      </c>
      <c r="R8" s="10">
        <v>0</v>
      </c>
      <c r="S8" s="10">
        <v>0</v>
      </c>
      <c r="T8" s="10">
        <v>0</v>
      </c>
      <c r="U8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16" sqref="C16"/>
    </sheetView>
  </sheetViews>
  <sheetFormatPr defaultRowHeight="15" x14ac:dyDescent="0.25"/>
  <cols>
    <col min="2" max="2" width="14.28515625" customWidth="1"/>
    <col min="3" max="3" width="13.140625" customWidth="1"/>
    <col min="6" max="6" width="19.85546875" customWidth="1"/>
    <col min="14" max="14" width="17.28515625" customWidth="1"/>
    <col min="15" max="15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43679</v>
      </c>
      <c r="B2" s="5" t="s">
        <v>21</v>
      </c>
      <c r="C2" s="5" t="s">
        <v>28</v>
      </c>
      <c r="D2" s="5" t="s">
        <v>23</v>
      </c>
      <c r="E2" s="5" t="s">
        <v>47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0.47083333333333338</v>
      </c>
      <c r="L2" s="7">
        <v>0.25694444444444448</v>
      </c>
      <c r="M2" s="8">
        <v>0.25833333333333336</v>
      </c>
      <c r="N2" s="3" t="s">
        <v>79</v>
      </c>
      <c r="O2" s="9" t="s">
        <v>77</v>
      </c>
      <c r="P2" s="9">
        <v>1427</v>
      </c>
      <c r="Q2" s="9">
        <v>1265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43679</v>
      </c>
      <c r="B3" s="5" t="s">
        <v>21</v>
      </c>
      <c r="C3" s="5" t="s">
        <v>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0.4770833333333333</v>
      </c>
      <c r="L3" s="7">
        <v>0.28125</v>
      </c>
      <c r="M3" s="8">
        <v>0.29375000000000001</v>
      </c>
      <c r="N3" s="3" t="s">
        <v>78</v>
      </c>
      <c r="O3" s="9" t="s">
        <v>53</v>
      </c>
      <c r="P3" s="5">
        <v>1131</v>
      </c>
      <c r="Q3" s="9">
        <v>1767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43679</v>
      </c>
      <c r="B4" s="3" t="s">
        <v>21</v>
      </c>
      <c r="C4" s="3" t="s">
        <v>62</v>
      </c>
      <c r="D4" s="3" t="s">
        <v>23</v>
      </c>
      <c r="E4" s="5" t="s">
        <v>47</v>
      </c>
      <c r="F4" s="3" t="s">
        <v>25</v>
      </c>
      <c r="G4" s="6">
        <v>71500</v>
      </c>
      <c r="H4" s="3" t="s">
        <v>63</v>
      </c>
      <c r="I4" s="3" t="s">
        <v>64</v>
      </c>
      <c r="J4" s="14">
        <v>0.70833333333333337</v>
      </c>
      <c r="K4" s="2">
        <v>0.73541666666666661</v>
      </c>
      <c r="L4" s="14">
        <v>0.48958333333333331</v>
      </c>
      <c r="M4" s="2">
        <v>0.51250000000000007</v>
      </c>
      <c r="N4" s="19" t="s">
        <v>82</v>
      </c>
      <c r="O4" s="3" t="s">
        <v>80</v>
      </c>
      <c r="P4" s="3">
        <v>1124</v>
      </c>
      <c r="Q4" s="9">
        <v>2016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43679</v>
      </c>
      <c r="B5" s="3" t="s">
        <v>21</v>
      </c>
      <c r="C5" s="3" t="s">
        <v>65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0.76666666666666661</v>
      </c>
      <c r="L5" s="14">
        <v>0.51736111111111105</v>
      </c>
      <c r="M5" s="2">
        <v>0.54236111111111118</v>
      </c>
      <c r="N5" s="3" t="s">
        <v>83</v>
      </c>
      <c r="O5" s="3" t="s">
        <v>81</v>
      </c>
      <c r="P5" s="3">
        <v>1125</v>
      </c>
      <c r="Q5" s="9">
        <v>1760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43679</v>
      </c>
      <c r="B6" s="3" t="s">
        <v>21</v>
      </c>
      <c r="C6" s="3" t="s">
        <v>37</v>
      </c>
      <c r="D6" s="3" t="s">
        <v>23</v>
      </c>
      <c r="E6" s="5" t="s">
        <v>47</v>
      </c>
      <c r="F6" s="3" t="s">
        <v>25</v>
      </c>
      <c r="G6" s="6">
        <v>71500</v>
      </c>
      <c r="H6" s="5" t="s">
        <v>38</v>
      </c>
      <c r="I6" s="5" t="s">
        <v>39</v>
      </c>
      <c r="J6" s="20">
        <v>0.89930555555555547</v>
      </c>
      <c r="K6" s="2">
        <v>0.92638888888888893</v>
      </c>
      <c r="L6" s="20">
        <v>0.72916666666666663</v>
      </c>
      <c r="M6" s="21">
        <v>0.77708333333333324</v>
      </c>
      <c r="N6" s="3" t="s">
        <v>88</v>
      </c>
      <c r="O6" s="19" t="s">
        <v>84</v>
      </c>
      <c r="P6" s="19">
        <v>1179</v>
      </c>
      <c r="Q6" s="9">
        <v>1299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43679</v>
      </c>
      <c r="B7" s="19" t="s">
        <v>21</v>
      </c>
      <c r="C7" s="19" t="s">
        <v>68</v>
      </c>
      <c r="D7" s="19" t="s">
        <v>23</v>
      </c>
      <c r="E7" s="5" t="s">
        <v>24</v>
      </c>
      <c r="F7" s="19" t="s">
        <v>25</v>
      </c>
      <c r="G7" s="22">
        <v>71500</v>
      </c>
      <c r="H7" s="19" t="s">
        <v>69</v>
      </c>
      <c r="I7" s="19" t="s">
        <v>70</v>
      </c>
      <c r="J7" s="20">
        <v>0.9375</v>
      </c>
      <c r="K7" s="2">
        <v>0.9604166666666667</v>
      </c>
      <c r="L7" s="20">
        <v>0.76736111111111116</v>
      </c>
      <c r="M7" s="21">
        <v>0.80138888888888893</v>
      </c>
      <c r="N7" s="3" t="s">
        <v>89</v>
      </c>
      <c r="O7" s="3" t="s">
        <v>85</v>
      </c>
      <c r="P7" s="3">
        <v>1154</v>
      </c>
      <c r="Q7" s="9">
        <v>1014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4">
        <v>43679</v>
      </c>
      <c r="B8" s="5" t="s">
        <v>71</v>
      </c>
      <c r="C8" s="3" t="s">
        <v>72</v>
      </c>
      <c r="D8" s="3" t="str">
        <f>D7</f>
        <v>A320</v>
      </c>
      <c r="E8" s="5" t="s">
        <v>76</v>
      </c>
      <c r="F8" s="3" t="s">
        <v>73</v>
      </c>
      <c r="G8" s="6">
        <v>77000</v>
      </c>
      <c r="H8" s="3" t="s">
        <v>74</v>
      </c>
      <c r="I8" s="3" t="s">
        <v>75</v>
      </c>
      <c r="J8" s="14">
        <v>0.67708333333333337</v>
      </c>
      <c r="K8" s="2">
        <v>0.68263888888888891</v>
      </c>
      <c r="L8" s="14">
        <v>0.71875</v>
      </c>
      <c r="M8" s="21">
        <v>0.72222222222222221</v>
      </c>
      <c r="N8" s="19" t="s">
        <v>87</v>
      </c>
      <c r="O8" s="3" t="s">
        <v>86</v>
      </c>
      <c r="P8" s="3">
        <v>2406</v>
      </c>
      <c r="Q8" s="9">
        <v>1583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G1" zoomScaleNormal="100" workbookViewId="0">
      <selection sqref="A1:U8"/>
    </sheetView>
  </sheetViews>
  <sheetFormatPr defaultRowHeight="15" x14ac:dyDescent="0.25"/>
  <cols>
    <col min="1" max="1" width="7.85546875" bestFit="1" customWidth="1"/>
    <col min="2" max="2" width="19.28515625" customWidth="1"/>
    <col min="3" max="3" width="13.42578125" bestFit="1" customWidth="1"/>
    <col min="4" max="4" width="5.7109375" bestFit="1" customWidth="1"/>
    <col min="5" max="5" width="7.85546875" bestFit="1" customWidth="1"/>
    <col min="6" max="6" width="12.140625" bestFit="1" customWidth="1"/>
    <col min="7" max="7" width="9.7109375" bestFit="1" customWidth="1"/>
    <col min="14" max="14" width="19.5703125" customWidth="1"/>
    <col min="15" max="15" width="18.285156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43680</v>
      </c>
      <c r="B2" s="5" t="s">
        <v>21</v>
      </c>
      <c r="C2" s="5" t="s">
        <v>22</v>
      </c>
      <c r="D2" s="5" t="s">
        <v>23</v>
      </c>
      <c r="E2" s="5" t="s">
        <v>47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0.36805555555555558</v>
      </c>
      <c r="L2" s="7">
        <v>0.25694444444444448</v>
      </c>
      <c r="M2" s="8">
        <v>0.25625000000000003</v>
      </c>
      <c r="N2" s="3" t="s">
        <v>101</v>
      </c>
      <c r="O2" s="9" t="s">
        <v>99</v>
      </c>
      <c r="P2" s="9">
        <v>687</v>
      </c>
      <c r="Q2" s="9">
        <v>620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43680</v>
      </c>
      <c r="B3" s="5" t="s">
        <v>21</v>
      </c>
      <c r="C3" s="5" t="s">
        <v>43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0.46249999999999997</v>
      </c>
      <c r="L3" s="7">
        <v>0.28125</v>
      </c>
      <c r="M3" s="8">
        <v>0.28611111111111115</v>
      </c>
      <c r="N3" s="3" t="s">
        <v>57</v>
      </c>
      <c r="O3" s="9" t="s">
        <v>100</v>
      </c>
      <c r="P3" s="5">
        <v>1529</v>
      </c>
      <c r="Q3" s="9">
        <v>1437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43680</v>
      </c>
      <c r="B4" s="5" t="s">
        <v>21</v>
      </c>
      <c r="C4" s="3" t="s">
        <v>31</v>
      </c>
      <c r="D4" s="3" t="s">
        <v>23</v>
      </c>
      <c r="E4" s="5" t="s">
        <v>47</v>
      </c>
      <c r="F4" s="3" t="s">
        <v>25</v>
      </c>
      <c r="G4" s="6">
        <v>71500</v>
      </c>
      <c r="H4" s="3" t="s">
        <v>32</v>
      </c>
      <c r="I4" s="3" t="s">
        <v>33</v>
      </c>
      <c r="J4" s="14">
        <v>0.55555555555555558</v>
      </c>
      <c r="K4" s="2">
        <v>0.54791666666666672</v>
      </c>
      <c r="L4" s="14">
        <v>0.40625</v>
      </c>
      <c r="M4" s="2">
        <v>0.41875000000000001</v>
      </c>
      <c r="N4" s="2" t="s">
        <v>103</v>
      </c>
      <c r="O4" s="3" t="s">
        <v>102</v>
      </c>
      <c r="P4" s="3">
        <v>1132</v>
      </c>
      <c r="Q4" s="9">
        <v>1561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43680</v>
      </c>
      <c r="B5" s="5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7">
        <v>0.70138888888888884</v>
      </c>
      <c r="K5" s="2">
        <v>0.72361111111111109</v>
      </c>
      <c r="L5" s="17">
        <v>0.49305555555555558</v>
      </c>
      <c r="M5" s="15">
        <v>0.50138888888888888</v>
      </c>
      <c r="N5" s="3" t="s">
        <v>111</v>
      </c>
      <c r="O5" s="3" t="s">
        <v>50</v>
      </c>
      <c r="P5" s="16">
        <v>1355</v>
      </c>
      <c r="Q5" s="9">
        <v>1173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43680</v>
      </c>
      <c r="B6" s="5" t="s">
        <v>21</v>
      </c>
      <c r="C6" s="3" t="s">
        <v>90</v>
      </c>
      <c r="D6" s="3" t="s">
        <v>23</v>
      </c>
      <c r="E6" s="5" t="s">
        <v>47</v>
      </c>
      <c r="F6" s="18" t="s">
        <v>25</v>
      </c>
      <c r="G6" s="6">
        <v>71500</v>
      </c>
      <c r="H6" s="5" t="s">
        <v>91</v>
      </c>
      <c r="I6" s="5" t="s">
        <v>92</v>
      </c>
      <c r="J6" s="23">
        <v>0.74652777777777779</v>
      </c>
      <c r="K6" s="2">
        <v>0.7583333333333333</v>
      </c>
      <c r="L6" s="23">
        <v>0.58680555555555558</v>
      </c>
      <c r="M6" s="24">
        <v>0.61875000000000002</v>
      </c>
      <c r="N6" s="3" t="s">
        <v>80</v>
      </c>
      <c r="O6" s="3" t="s">
        <v>110</v>
      </c>
      <c r="P6" s="3">
        <v>1510</v>
      </c>
      <c r="Q6" s="9">
        <v>1221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43680</v>
      </c>
      <c r="B7" s="5" t="s">
        <v>21</v>
      </c>
      <c r="C7" s="25" t="s">
        <v>93</v>
      </c>
      <c r="D7" s="25" t="s">
        <v>23</v>
      </c>
      <c r="E7" s="5" t="s">
        <v>24</v>
      </c>
      <c r="F7" s="25" t="s">
        <v>25</v>
      </c>
      <c r="G7" s="26">
        <v>71500</v>
      </c>
      <c r="H7" s="25" t="s">
        <v>94</v>
      </c>
      <c r="I7" s="25" t="s">
        <v>95</v>
      </c>
      <c r="J7" s="23">
        <v>0.94097222222222221</v>
      </c>
      <c r="K7" s="2">
        <v>0.96180555555555547</v>
      </c>
      <c r="L7" s="23">
        <v>0.72222222222222221</v>
      </c>
      <c r="M7" s="24">
        <v>0.76388888888888884</v>
      </c>
      <c r="N7" s="15" t="s">
        <v>114</v>
      </c>
      <c r="O7" s="25" t="s">
        <v>112</v>
      </c>
      <c r="P7" s="25">
        <v>1296</v>
      </c>
      <c r="Q7" s="9">
        <v>1562</v>
      </c>
      <c r="R7" s="25">
        <v>0</v>
      </c>
      <c r="S7" s="25">
        <v>0</v>
      </c>
      <c r="T7" s="25">
        <v>0</v>
      </c>
      <c r="U7" s="25">
        <v>0</v>
      </c>
    </row>
    <row r="8" spans="1:21" x14ac:dyDescent="0.25">
      <c r="A8" s="4">
        <v>43680</v>
      </c>
      <c r="B8" s="3" t="s">
        <v>21</v>
      </c>
      <c r="C8" s="16" t="s">
        <v>96</v>
      </c>
      <c r="D8" s="3" t="s">
        <v>23</v>
      </c>
      <c r="E8" s="5" t="s">
        <v>47</v>
      </c>
      <c r="F8" s="3" t="s">
        <v>25</v>
      </c>
      <c r="G8" s="6">
        <v>71500</v>
      </c>
      <c r="H8" s="5" t="s">
        <v>97</v>
      </c>
      <c r="I8" s="5" t="s">
        <v>98</v>
      </c>
      <c r="J8" s="17">
        <v>0.94444444444444453</v>
      </c>
      <c r="K8" s="8">
        <v>0.94513888888888886</v>
      </c>
      <c r="L8" s="17">
        <v>0.76736111111111116</v>
      </c>
      <c r="M8" s="15">
        <v>0.79236111111111107</v>
      </c>
      <c r="N8" s="15" t="s">
        <v>115</v>
      </c>
      <c r="O8" s="15" t="s">
        <v>113</v>
      </c>
      <c r="P8" s="16">
        <v>1283</v>
      </c>
      <c r="Q8" s="9">
        <v>1109</v>
      </c>
      <c r="R8" s="3">
        <v>0</v>
      </c>
      <c r="S8" s="3">
        <v>0</v>
      </c>
      <c r="T8" s="3">
        <v>0</v>
      </c>
      <c r="U8" s="3">
        <v>0</v>
      </c>
    </row>
    <row r="9" spans="1:21" x14ac:dyDescent="0.25">
      <c r="A9" s="4">
        <f t="shared" ref="A9" si="0">A8</f>
        <v>43680</v>
      </c>
      <c r="B9" s="5" t="s">
        <v>104</v>
      </c>
      <c r="C9" s="3" t="s">
        <v>108</v>
      </c>
      <c r="D9" s="3" t="s">
        <v>105</v>
      </c>
      <c r="E9" s="5" t="s">
        <v>106</v>
      </c>
      <c r="F9" s="3" t="s">
        <v>107</v>
      </c>
      <c r="G9" s="6">
        <v>7000</v>
      </c>
      <c r="H9" s="3" t="s">
        <v>109</v>
      </c>
      <c r="I9" s="3" t="s">
        <v>109</v>
      </c>
      <c r="J9" s="14">
        <v>0.66319444444444442</v>
      </c>
      <c r="K9" s="2">
        <v>0.6166666666666667</v>
      </c>
      <c r="L9" s="14">
        <v>0.68402777777777779</v>
      </c>
      <c r="M9" s="21">
        <v>0.65277777777777779</v>
      </c>
      <c r="N9" s="3">
        <v>0</v>
      </c>
      <c r="O9" s="3">
        <v>2</v>
      </c>
      <c r="P9" s="3">
        <v>0</v>
      </c>
      <c r="Q9" s="9">
        <v>0</v>
      </c>
      <c r="R9" s="3">
        <v>0</v>
      </c>
      <c r="S9" s="3">
        <v>0</v>
      </c>
      <c r="T9" s="3">
        <v>0</v>
      </c>
      <c r="U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N25" sqref="A1:XFD1048576"/>
    </sheetView>
  </sheetViews>
  <sheetFormatPr defaultRowHeight="12.75" x14ac:dyDescent="0.25"/>
  <cols>
    <col min="1" max="1" width="7.85546875" style="10" bestFit="1" customWidth="1"/>
    <col min="2" max="2" width="9.140625" style="10"/>
    <col min="3" max="3" width="13.5703125" style="10" bestFit="1" customWidth="1"/>
    <col min="4" max="4" width="5.7109375" style="10" bestFit="1" customWidth="1"/>
    <col min="5" max="5" width="7.85546875" style="10" bestFit="1" customWidth="1"/>
    <col min="6" max="6" width="12.140625" style="10" bestFit="1" customWidth="1"/>
    <col min="7" max="13" width="9.140625" style="10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43681</v>
      </c>
      <c r="B2" s="5" t="s">
        <v>21</v>
      </c>
      <c r="C2" s="5" t="s">
        <v>28</v>
      </c>
      <c r="D2" s="5" t="s">
        <v>23</v>
      </c>
      <c r="E2" s="5" t="s">
        <v>122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0.4604166666666667</v>
      </c>
      <c r="L2" s="7">
        <v>0.25694444444444448</v>
      </c>
      <c r="M2" s="8">
        <v>0.25972222222222224</v>
      </c>
      <c r="N2" s="10" t="s">
        <v>126</v>
      </c>
      <c r="O2" s="9" t="s">
        <v>124</v>
      </c>
      <c r="P2" s="10">
        <v>1668</v>
      </c>
      <c r="Q2" s="9">
        <v>1229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43681</v>
      </c>
      <c r="B3" s="5" t="s">
        <v>21</v>
      </c>
      <c r="C3" s="5" t="s">
        <v>40</v>
      </c>
      <c r="D3" s="5" t="s">
        <v>23</v>
      </c>
      <c r="E3" s="5" t="s">
        <v>123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0.48055555555555557</v>
      </c>
      <c r="L3" s="7">
        <v>0.28125</v>
      </c>
      <c r="M3" s="8">
        <v>0.29583333333333334</v>
      </c>
      <c r="N3" s="9" t="s">
        <v>127</v>
      </c>
      <c r="O3" s="9" t="s">
        <v>125</v>
      </c>
      <c r="P3" s="10">
        <v>1019</v>
      </c>
      <c r="Q3" s="9">
        <v>1491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43681</v>
      </c>
      <c r="B4" s="3" t="s">
        <v>21</v>
      </c>
      <c r="C4" s="3" t="s">
        <v>116</v>
      </c>
      <c r="D4" s="3" t="s">
        <v>23</v>
      </c>
      <c r="E4" s="5" t="str">
        <f>E2</f>
        <v>HA-LWO</v>
      </c>
      <c r="F4" s="3" t="s">
        <v>25</v>
      </c>
      <c r="G4" s="6">
        <v>71500</v>
      </c>
      <c r="H4" s="3" t="s">
        <v>117</v>
      </c>
      <c r="I4" s="3" t="s">
        <v>118</v>
      </c>
      <c r="J4" s="14">
        <v>0.72569444444444453</v>
      </c>
      <c r="K4" s="2">
        <v>0.73333333333333339</v>
      </c>
      <c r="L4" s="14">
        <v>0.48958333333333331</v>
      </c>
      <c r="M4" s="2">
        <v>0.51458333333333328</v>
      </c>
      <c r="N4" s="3" t="s">
        <v>132</v>
      </c>
      <c r="O4" s="3" t="s">
        <v>128</v>
      </c>
      <c r="P4" s="3">
        <v>1495</v>
      </c>
      <c r="Q4" s="9">
        <v>1840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>A4</f>
        <v>43681</v>
      </c>
      <c r="B5" s="3" t="s">
        <v>21</v>
      </c>
      <c r="C5" s="3" t="s">
        <v>65</v>
      </c>
      <c r="D5" s="3" t="s">
        <v>23</v>
      </c>
      <c r="E5" s="5" t="str">
        <f>E3</f>
        <v>HA-LWH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0.75763888888888886</v>
      </c>
      <c r="L5" s="14">
        <v>0.51736111111111105</v>
      </c>
      <c r="M5" s="2">
        <v>0.52152777777777781</v>
      </c>
      <c r="N5" s="3" t="s">
        <v>133</v>
      </c>
      <c r="O5" s="3" t="s">
        <v>129</v>
      </c>
      <c r="P5" s="3">
        <v>1119</v>
      </c>
      <c r="Q5" s="9">
        <v>1512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>A5</f>
        <v>43681</v>
      </c>
      <c r="B6" s="3" t="s">
        <v>21</v>
      </c>
      <c r="C6" s="3" t="s">
        <v>37</v>
      </c>
      <c r="D6" s="3" t="s">
        <v>23</v>
      </c>
      <c r="E6" s="5" t="str">
        <f>E4</f>
        <v>HA-LWO</v>
      </c>
      <c r="F6" s="3" t="s">
        <v>25</v>
      </c>
      <c r="G6" s="6">
        <v>71500</v>
      </c>
      <c r="H6" s="5" t="s">
        <v>38</v>
      </c>
      <c r="I6" s="5" t="s">
        <v>39</v>
      </c>
      <c r="J6" s="12">
        <v>0.91666666666666663</v>
      </c>
      <c r="K6" s="2">
        <v>0.91527777777777775</v>
      </c>
      <c r="L6" s="12">
        <v>0.74652777777777779</v>
      </c>
      <c r="M6" s="13">
        <v>0.7729166666666667</v>
      </c>
      <c r="N6" s="3" t="s">
        <v>130</v>
      </c>
      <c r="O6" s="3" t="s">
        <v>130</v>
      </c>
      <c r="P6" s="3">
        <v>1078</v>
      </c>
      <c r="Q6" s="9">
        <v>1235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>A6</f>
        <v>43681</v>
      </c>
      <c r="B7" s="3" t="s">
        <v>21</v>
      </c>
      <c r="C7" s="3" t="s">
        <v>119</v>
      </c>
      <c r="D7" s="3" t="s">
        <v>23</v>
      </c>
      <c r="E7" s="5" t="str">
        <f>E5</f>
        <v>HA-LWH</v>
      </c>
      <c r="F7" s="3" t="s">
        <v>25</v>
      </c>
      <c r="G7" s="6">
        <v>71500</v>
      </c>
      <c r="H7" s="5" t="s">
        <v>120</v>
      </c>
      <c r="I7" s="5" t="s">
        <v>121</v>
      </c>
      <c r="J7" s="12">
        <v>0.95833333333333337</v>
      </c>
      <c r="K7" s="13">
        <v>0.95694444444444438</v>
      </c>
      <c r="L7" s="12">
        <v>0.76736111111111116</v>
      </c>
      <c r="M7" s="13">
        <v>0.78541666666666676</v>
      </c>
      <c r="N7" s="10" t="s">
        <v>84</v>
      </c>
      <c r="O7" s="10" t="s">
        <v>131</v>
      </c>
      <c r="P7" s="3">
        <v>1553</v>
      </c>
      <c r="Q7" s="9">
        <v>1182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L7" sqref="L7"/>
    </sheetView>
  </sheetViews>
  <sheetFormatPr defaultRowHeight="15" x14ac:dyDescent="0.25"/>
  <cols>
    <col min="1" max="1" width="7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43682</v>
      </c>
      <c r="B2" s="5" t="s">
        <v>21</v>
      </c>
      <c r="C2" s="5" t="s">
        <v>28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0.46111111111111108</v>
      </c>
      <c r="L2" s="7">
        <v>0.25694444444444448</v>
      </c>
      <c r="M2" s="8">
        <v>0.26041666666666669</v>
      </c>
      <c r="N2" s="3" t="s">
        <v>136</v>
      </c>
      <c r="O2" s="9" t="s">
        <v>134</v>
      </c>
      <c r="P2" s="9">
        <v>1529</v>
      </c>
      <c r="Q2" s="9">
        <v>992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43682</v>
      </c>
      <c r="B3" s="5" t="s">
        <v>21</v>
      </c>
      <c r="C3" s="5" t="s">
        <v>40</v>
      </c>
      <c r="D3" s="5" t="s">
        <v>23</v>
      </c>
      <c r="E3" s="5" t="s">
        <v>47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0.50208333333333333</v>
      </c>
      <c r="L3" s="7">
        <v>0.28125</v>
      </c>
      <c r="M3" s="8">
        <v>0.28402777777777777</v>
      </c>
      <c r="N3" s="3" t="s">
        <v>137</v>
      </c>
      <c r="O3" s="9" t="s">
        <v>135</v>
      </c>
      <c r="P3" s="5">
        <v>686</v>
      </c>
      <c r="Q3" s="9">
        <v>1537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43682</v>
      </c>
      <c r="B4" s="3" t="s">
        <v>21</v>
      </c>
      <c r="C4" s="3" t="s">
        <v>62</v>
      </c>
      <c r="D4" s="3" t="s">
        <v>23</v>
      </c>
      <c r="E4" s="5" t="s">
        <v>24</v>
      </c>
      <c r="F4" s="3" t="s">
        <v>25</v>
      </c>
      <c r="G4" s="6">
        <v>71500</v>
      </c>
      <c r="H4" s="3" t="s">
        <v>63</v>
      </c>
      <c r="I4" s="3" t="s">
        <v>64</v>
      </c>
      <c r="J4" s="14">
        <v>0.70833333333333337</v>
      </c>
      <c r="K4" s="2">
        <v>0.7006944444444444</v>
      </c>
      <c r="L4" s="14">
        <v>0.48958333333333331</v>
      </c>
      <c r="M4" s="2">
        <v>0.5083333333333333</v>
      </c>
      <c r="N4" s="19" t="s">
        <v>140</v>
      </c>
      <c r="O4" s="3" t="s">
        <v>138</v>
      </c>
      <c r="P4" s="3">
        <v>493</v>
      </c>
      <c r="Q4" s="9">
        <v>1566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43682</v>
      </c>
      <c r="B5" s="3" t="s">
        <v>21</v>
      </c>
      <c r="C5" s="3" t="s">
        <v>65</v>
      </c>
      <c r="D5" s="3" t="s">
        <v>23</v>
      </c>
      <c r="E5" s="5" t="s">
        <v>47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0.75624999999999998</v>
      </c>
      <c r="L5" s="14">
        <v>0.51736111111111105</v>
      </c>
      <c r="M5" s="2">
        <v>0.54583333333333328</v>
      </c>
      <c r="N5" s="3" t="s">
        <v>141</v>
      </c>
      <c r="O5" s="3" t="s">
        <v>139</v>
      </c>
      <c r="P5" s="3">
        <v>996</v>
      </c>
      <c r="Q5" s="9">
        <v>1824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43682</v>
      </c>
      <c r="B6" s="3" t="s">
        <v>21</v>
      </c>
      <c r="C6" s="3" t="s">
        <v>37</v>
      </c>
      <c r="D6" s="3" t="s">
        <v>23</v>
      </c>
      <c r="E6" s="5" t="s">
        <v>24</v>
      </c>
      <c r="F6" s="3" t="s">
        <v>25</v>
      </c>
      <c r="G6" s="6">
        <v>71500</v>
      </c>
      <c r="H6" s="5" t="s">
        <v>38</v>
      </c>
      <c r="I6" s="5" t="s">
        <v>39</v>
      </c>
      <c r="J6" s="20">
        <v>0.89930555555555547</v>
      </c>
      <c r="K6" s="2">
        <v>0.89166666666666661</v>
      </c>
      <c r="L6" s="20">
        <v>0.72916666666666663</v>
      </c>
      <c r="M6" s="21">
        <v>0.73263888888888884</v>
      </c>
      <c r="N6" s="3" t="s">
        <v>144</v>
      </c>
      <c r="O6" s="19" t="s">
        <v>142</v>
      </c>
      <c r="P6" s="19">
        <v>976</v>
      </c>
      <c r="Q6" s="9">
        <v>1183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43682</v>
      </c>
      <c r="B7" s="19" t="s">
        <v>21</v>
      </c>
      <c r="C7" s="19" t="s">
        <v>68</v>
      </c>
      <c r="D7" s="19" t="s">
        <v>23</v>
      </c>
      <c r="E7" s="5" t="s">
        <v>47</v>
      </c>
      <c r="F7" s="19" t="s">
        <v>25</v>
      </c>
      <c r="G7" s="22">
        <v>71500</v>
      </c>
      <c r="H7" s="19" t="s">
        <v>69</v>
      </c>
      <c r="I7" s="19" t="s">
        <v>70</v>
      </c>
      <c r="J7" s="20">
        <v>0.9375</v>
      </c>
      <c r="K7" s="2">
        <v>0.9458333333333333</v>
      </c>
      <c r="L7" s="20">
        <v>0.76736111111111116</v>
      </c>
      <c r="M7" s="21">
        <v>0.78819444444444453</v>
      </c>
      <c r="N7" s="3" t="s">
        <v>145</v>
      </c>
      <c r="O7" s="3" t="s">
        <v>143</v>
      </c>
      <c r="P7" s="3">
        <v>1084</v>
      </c>
      <c r="Q7" s="9">
        <v>780</v>
      </c>
      <c r="R7" s="19">
        <v>0</v>
      </c>
      <c r="S7" s="19">
        <v>0</v>
      </c>
      <c r="T7" s="19">
        <v>0</v>
      </c>
      <c r="U7" s="1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E1" workbookViewId="0">
      <selection activeCell="O19" sqref="O19"/>
    </sheetView>
  </sheetViews>
  <sheetFormatPr defaultRowHeight="15" x14ac:dyDescent="0.25"/>
  <cols>
    <col min="2" max="2" width="13.5703125" customWidth="1"/>
    <col min="3" max="3" width="14.28515625" customWidth="1"/>
    <col min="6" max="6" width="18.140625" customWidth="1"/>
    <col min="13" max="13" width="11.42578125" customWidth="1"/>
    <col min="14" max="14" width="17.5703125" customWidth="1"/>
    <col min="15" max="15" width="19.57031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43683</v>
      </c>
      <c r="B2" s="5" t="s">
        <v>21</v>
      </c>
      <c r="C2" s="5" t="s">
        <v>22</v>
      </c>
      <c r="D2" s="5" t="s">
        <v>23</v>
      </c>
      <c r="E2" s="5" t="s">
        <v>123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0.375</v>
      </c>
      <c r="L2" s="7">
        <v>0.25694444444444448</v>
      </c>
      <c r="M2" s="8">
        <v>0.2673611111111111</v>
      </c>
      <c r="N2" s="3" t="s">
        <v>147</v>
      </c>
      <c r="O2" s="9" t="s">
        <v>146</v>
      </c>
      <c r="P2" s="9">
        <v>757</v>
      </c>
      <c r="Q2" s="9">
        <v>578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9" si="0">A2</f>
        <v>43683</v>
      </c>
      <c r="B3" s="5" t="s">
        <v>21</v>
      </c>
      <c r="C3" s="5" t="s">
        <v>43</v>
      </c>
      <c r="D3" s="5" t="s">
        <v>23</v>
      </c>
      <c r="E3" s="5" t="s">
        <v>122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0.47291666666666665</v>
      </c>
      <c r="L3" s="7">
        <v>0.28125</v>
      </c>
      <c r="M3" s="8">
        <v>0.30694444444444441</v>
      </c>
      <c r="N3" s="3" t="s">
        <v>149</v>
      </c>
      <c r="O3" s="9" t="s">
        <v>53</v>
      </c>
      <c r="P3" s="5">
        <v>1102</v>
      </c>
      <c r="Q3" s="9">
        <v>1106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43683</v>
      </c>
      <c r="B4" s="5" t="s">
        <v>21</v>
      </c>
      <c r="C4" s="3" t="s">
        <v>31</v>
      </c>
      <c r="D4" s="3" t="s">
        <v>23</v>
      </c>
      <c r="E4" s="5" t="str">
        <f>E2</f>
        <v>HA-LWH</v>
      </c>
      <c r="F4" s="3" t="s">
        <v>25</v>
      </c>
      <c r="G4" s="6">
        <f>G2</f>
        <v>71500</v>
      </c>
      <c r="H4" s="3" t="s">
        <v>32</v>
      </c>
      <c r="I4" s="3" t="s">
        <v>33</v>
      </c>
      <c r="J4" s="14">
        <v>0.55555555555555558</v>
      </c>
      <c r="K4" s="2">
        <v>0.56666666666666665</v>
      </c>
      <c r="L4" s="14">
        <v>0.40625</v>
      </c>
      <c r="M4" s="2">
        <v>0.42291666666666666</v>
      </c>
      <c r="N4" s="3" t="s">
        <v>150</v>
      </c>
      <c r="O4" s="3" t="s">
        <v>148</v>
      </c>
      <c r="P4" s="3">
        <v>1177</v>
      </c>
      <c r="Q4" s="9">
        <v>1163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43683</v>
      </c>
      <c r="B5" s="5" t="s">
        <v>71</v>
      </c>
      <c r="C5" s="3" t="s">
        <v>72</v>
      </c>
      <c r="D5" s="3" t="str">
        <f>D4</f>
        <v>A320</v>
      </c>
      <c r="E5" s="5" t="s">
        <v>76</v>
      </c>
      <c r="F5" s="3" t="s">
        <v>73</v>
      </c>
      <c r="G5" s="6">
        <v>77000</v>
      </c>
      <c r="H5" s="3" t="s">
        <v>74</v>
      </c>
      <c r="I5" s="3" t="s">
        <v>75</v>
      </c>
      <c r="J5" s="14">
        <v>0.41319444444444442</v>
      </c>
      <c r="K5" s="2">
        <v>0.40902777777777777</v>
      </c>
      <c r="L5" s="14">
        <v>0.4548611111111111</v>
      </c>
      <c r="M5" s="2">
        <v>0.45416666666666666</v>
      </c>
      <c r="N5" s="3" t="s">
        <v>100</v>
      </c>
      <c r="O5" s="3" t="s">
        <v>79</v>
      </c>
      <c r="P5" s="3">
        <v>2387</v>
      </c>
      <c r="Q5" s="9">
        <v>1624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43683</v>
      </c>
      <c r="B6" s="5" t="s">
        <v>21</v>
      </c>
      <c r="C6" s="3" t="s">
        <v>34</v>
      </c>
      <c r="D6" s="3" t="s">
        <v>23</v>
      </c>
      <c r="E6" s="5" t="str">
        <f>E3</f>
        <v>HA-LWO</v>
      </c>
      <c r="F6" s="3" t="s">
        <v>25</v>
      </c>
      <c r="G6" s="6">
        <v>71500</v>
      </c>
      <c r="H6" s="3" t="s">
        <v>35</v>
      </c>
      <c r="I6" s="3" t="s">
        <v>36</v>
      </c>
      <c r="J6" s="17">
        <v>0.70138888888888884</v>
      </c>
      <c r="K6" s="2">
        <v>0.69791666666666663</v>
      </c>
      <c r="L6" s="17">
        <v>0.49305555555555558</v>
      </c>
      <c r="M6" s="15">
        <v>0.51041666666666663</v>
      </c>
      <c r="N6" s="3" t="s">
        <v>131</v>
      </c>
      <c r="O6" s="3" t="s">
        <v>77</v>
      </c>
      <c r="P6" s="16">
        <v>1214</v>
      </c>
      <c r="Q6" s="9">
        <v>978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43683</v>
      </c>
      <c r="B7" s="5" t="s">
        <v>21</v>
      </c>
      <c r="C7" s="3" t="s">
        <v>90</v>
      </c>
      <c r="D7" s="3" t="s">
        <v>23</v>
      </c>
      <c r="E7" s="5" t="str">
        <f>E4</f>
        <v>HA-LWH</v>
      </c>
      <c r="F7" s="18" t="s">
        <v>25</v>
      </c>
      <c r="G7" s="6">
        <v>71500</v>
      </c>
      <c r="H7" s="5" t="s">
        <v>91</v>
      </c>
      <c r="I7" s="5" t="s">
        <v>92</v>
      </c>
      <c r="J7" s="23">
        <v>0.74652777777777779</v>
      </c>
      <c r="K7" s="2">
        <v>0.74652777777777779</v>
      </c>
      <c r="L7" s="23">
        <v>0.58680555555555558</v>
      </c>
      <c r="M7" s="24">
        <v>0.59930555555555554</v>
      </c>
      <c r="N7" s="3" t="s">
        <v>154</v>
      </c>
      <c r="O7" s="3" t="s">
        <v>151</v>
      </c>
      <c r="P7" s="3">
        <v>1213</v>
      </c>
      <c r="Q7" s="9">
        <v>1094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f t="shared" si="0"/>
        <v>43683</v>
      </c>
      <c r="B8" s="5" t="s">
        <v>21</v>
      </c>
      <c r="C8" s="25" t="s">
        <v>93</v>
      </c>
      <c r="D8" s="25" t="s">
        <v>23</v>
      </c>
      <c r="E8" s="5" t="str">
        <f>E6</f>
        <v>HA-LWO</v>
      </c>
      <c r="F8" s="25" t="s">
        <v>25</v>
      </c>
      <c r="G8" s="6">
        <v>71500</v>
      </c>
      <c r="H8" s="25" t="s">
        <v>94</v>
      </c>
      <c r="I8" s="25" t="s">
        <v>95</v>
      </c>
      <c r="J8" s="23">
        <v>0.94097222222222221</v>
      </c>
      <c r="K8" s="2">
        <v>0.9375</v>
      </c>
      <c r="L8" s="23">
        <v>0.72222222222222221</v>
      </c>
      <c r="M8" s="24">
        <v>0.74236111111111114</v>
      </c>
      <c r="N8" s="15" t="s">
        <v>155</v>
      </c>
      <c r="O8" s="25" t="s">
        <v>152</v>
      </c>
      <c r="P8" s="25">
        <v>612</v>
      </c>
      <c r="Q8" s="9">
        <v>1422</v>
      </c>
      <c r="R8" s="25">
        <v>0</v>
      </c>
      <c r="S8" s="25">
        <v>0</v>
      </c>
      <c r="T8" s="25">
        <v>0</v>
      </c>
      <c r="U8" s="25">
        <v>0</v>
      </c>
    </row>
    <row r="9" spans="1:21" x14ac:dyDescent="0.25">
      <c r="A9" s="4">
        <f t="shared" si="0"/>
        <v>43683</v>
      </c>
      <c r="B9" s="3" t="s">
        <v>21</v>
      </c>
      <c r="C9" s="16" t="s">
        <v>96</v>
      </c>
      <c r="D9" s="3" t="s">
        <v>23</v>
      </c>
      <c r="E9" s="5" t="str">
        <f>E7</f>
        <v>HA-LWH</v>
      </c>
      <c r="F9" s="3" t="s">
        <v>25</v>
      </c>
      <c r="G9" s="6">
        <f>G7</f>
        <v>71500</v>
      </c>
      <c r="H9" s="5" t="s">
        <v>97</v>
      </c>
      <c r="I9" s="5" t="s">
        <v>98</v>
      </c>
      <c r="J9" s="17">
        <v>0.94444444444444453</v>
      </c>
      <c r="K9" s="8">
        <v>0.95972222222222225</v>
      </c>
      <c r="L9" s="17">
        <v>0.76736111111111116</v>
      </c>
      <c r="M9" s="15">
        <v>0.78333333333333333</v>
      </c>
      <c r="N9" s="15" t="s">
        <v>156</v>
      </c>
      <c r="O9" s="15" t="s">
        <v>153</v>
      </c>
      <c r="P9" s="16">
        <v>1087</v>
      </c>
      <c r="Q9" s="9">
        <v>655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2.75" x14ac:dyDescent="0.25"/>
  <cols>
    <col min="1" max="1" width="7.85546875" style="10" bestFit="1" customWidth="1"/>
    <col min="2" max="2" width="9.140625" style="10"/>
    <col min="3" max="3" width="13.5703125" style="10" bestFit="1" customWidth="1"/>
    <col min="4" max="4" width="5.7109375" style="10" bestFit="1" customWidth="1"/>
    <col min="5" max="5" width="7.85546875" style="10" bestFit="1" customWidth="1"/>
    <col min="6" max="6" width="12.140625" style="10" bestFit="1" customWidth="1"/>
    <col min="7" max="13" width="9.140625" style="10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43684</v>
      </c>
      <c r="B2" s="5" t="s">
        <v>21</v>
      </c>
      <c r="C2" s="5" t="s">
        <v>28</v>
      </c>
      <c r="D2" s="5" t="s">
        <v>23</v>
      </c>
      <c r="E2" s="5" t="s">
        <v>123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0.4861111111111111</v>
      </c>
      <c r="L2" s="7">
        <v>0.25694444444444448</v>
      </c>
      <c r="M2" s="8">
        <v>0.27430555555555552</v>
      </c>
      <c r="N2" s="10" t="s">
        <v>159</v>
      </c>
      <c r="O2" s="9" t="s">
        <v>157</v>
      </c>
      <c r="P2" s="10">
        <v>1456</v>
      </c>
      <c r="Q2" s="9">
        <v>1175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43684</v>
      </c>
      <c r="B3" s="5" t="s">
        <v>21</v>
      </c>
      <c r="C3" s="5" t="s">
        <v>40</v>
      </c>
      <c r="D3" s="5" t="s">
        <v>23</v>
      </c>
      <c r="E3" s="5" t="s">
        <v>122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0.51388888888888895</v>
      </c>
      <c r="L3" s="7">
        <v>0.28125</v>
      </c>
      <c r="M3" s="8">
        <v>0.31944444444444448</v>
      </c>
      <c r="N3" s="9" t="s">
        <v>160</v>
      </c>
      <c r="O3" s="9" t="s">
        <v>158</v>
      </c>
      <c r="P3" s="10">
        <v>906</v>
      </c>
      <c r="Q3" s="9">
        <v>1262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43684</v>
      </c>
      <c r="B4" s="3" t="s">
        <v>21</v>
      </c>
      <c r="C4" s="3" t="s">
        <v>116</v>
      </c>
      <c r="D4" s="3" t="s">
        <v>23</v>
      </c>
      <c r="E4" s="5" t="str">
        <f>E2</f>
        <v>HA-LWH</v>
      </c>
      <c r="F4" s="3" t="s">
        <v>25</v>
      </c>
      <c r="G4" s="6">
        <v>71500</v>
      </c>
      <c r="H4" s="3" t="s">
        <v>117</v>
      </c>
      <c r="I4" s="3" t="s">
        <v>118</v>
      </c>
      <c r="J4" s="14">
        <v>0.72569444444444453</v>
      </c>
      <c r="K4" s="2">
        <v>0.75486111111111109</v>
      </c>
      <c r="L4" s="14">
        <v>0.48958333333333331</v>
      </c>
      <c r="M4" s="2">
        <v>0.53611111111111109</v>
      </c>
      <c r="N4" s="3" t="s">
        <v>163</v>
      </c>
      <c r="O4" s="3" t="s">
        <v>161</v>
      </c>
      <c r="P4" s="3">
        <v>820</v>
      </c>
      <c r="Q4" s="9">
        <v>1678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>A4</f>
        <v>43684</v>
      </c>
      <c r="B5" s="3" t="s">
        <v>21</v>
      </c>
      <c r="C5" s="3" t="s">
        <v>65</v>
      </c>
      <c r="D5" s="3" t="s">
        <v>23</v>
      </c>
      <c r="E5" s="5" t="str">
        <f>E3</f>
        <v>HA-LWO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0.79722222222222217</v>
      </c>
      <c r="L5" s="14">
        <v>0.51736111111111105</v>
      </c>
      <c r="M5" s="2">
        <v>0.56805555555555554</v>
      </c>
      <c r="N5" s="3" t="s">
        <v>164</v>
      </c>
      <c r="O5" s="3" t="s">
        <v>162</v>
      </c>
      <c r="P5" s="3">
        <v>585</v>
      </c>
      <c r="Q5" s="9">
        <v>1954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>A5</f>
        <v>43684</v>
      </c>
      <c r="B6" s="3" t="s">
        <v>21</v>
      </c>
      <c r="C6" s="3" t="s">
        <v>37</v>
      </c>
      <c r="D6" s="3" t="s">
        <v>23</v>
      </c>
      <c r="E6" s="5" t="str">
        <f>E4</f>
        <v>HA-LWH</v>
      </c>
      <c r="F6" s="3" t="s">
        <v>25</v>
      </c>
      <c r="G6" s="6">
        <v>71500</v>
      </c>
      <c r="H6" s="5" t="s">
        <v>38</v>
      </c>
      <c r="I6" s="5" t="s">
        <v>39</v>
      </c>
      <c r="J6" s="12">
        <v>0.91666666666666663</v>
      </c>
      <c r="K6" s="2">
        <v>0.96875</v>
      </c>
      <c r="L6" s="12">
        <v>0.74652777777777779</v>
      </c>
      <c r="M6" s="13">
        <v>0.81597222222222221</v>
      </c>
      <c r="N6" s="3" t="s">
        <v>166</v>
      </c>
      <c r="O6" s="3" t="s">
        <v>165</v>
      </c>
      <c r="P6" s="3">
        <v>1061</v>
      </c>
      <c r="Q6" s="9">
        <v>1187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>A6</f>
        <v>43684</v>
      </c>
      <c r="B7" s="3" t="s">
        <v>21</v>
      </c>
      <c r="C7" s="3" t="s">
        <v>119</v>
      </c>
      <c r="D7" s="3" t="s">
        <v>23</v>
      </c>
      <c r="E7" s="5" t="str">
        <f>E5</f>
        <v>HA-LWO</v>
      </c>
      <c r="F7" s="3" t="s">
        <v>25</v>
      </c>
      <c r="G7" s="6">
        <v>71500</v>
      </c>
      <c r="H7" s="5" t="s">
        <v>120</v>
      </c>
      <c r="I7" s="5" t="s">
        <v>121</v>
      </c>
      <c r="J7" s="12">
        <v>0.95833333333333337</v>
      </c>
      <c r="K7" s="13">
        <v>4.8611111111111112E-3</v>
      </c>
      <c r="L7" s="12">
        <v>0.76736111111111116</v>
      </c>
      <c r="M7" s="13">
        <v>0.83194444444444438</v>
      </c>
      <c r="N7" s="10" t="s">
        <v>167</v>
      </c>
      <c r="O7" s="10" t="s">
        <v>150</v>
      </c>
      <c r="P7" s="3">
        <v>965</v>
      </c>
      <c r="Q7" s="9">
        <v>863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8" sqref="K8"/>
    </sheetView>
  </sheetViews>
  <sheetFormatPr defaultRowHeight="15" x14ac:dyDescent="0.25"/>
  <cols>
    <col min="1" max="1" width="7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7" max="7" width="9.7109375" bestFit="1" customWidth="1"/>
    <col min="14" max="14" width="18.710937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43685</v>
      </c>
      <c r="B2" s="5" t="s">
        <v>21</v>
      </c>
      <c r="C2" s="5" t="s">
        <v>22</v>
      </c>
      <c r="D2" s="5" t="s">
        <v>23</v>
      </c>
      <c r="E2" s="5" t="s">
        <v>47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0.36874999999999997</v>
      </c>
      <c r="L2" s="7">
        <v>0.25694444444444448</v>
      </c>
      <c r="M2" s="8">
        <v>0.2590277777777778</v>
      </c>
      <c r="N2" s="2" t="s">
        <v>169</v>
      </c>
      <c r="O2" s="9" t="s">
        <v>168</v>
      </c>
      <c r="P2" s="9">
        <v>616</v>
      </c>
      <c r="Q2" s="9">
        <v>683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43685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0.46180555555555558</v>
      </c>
      <c r="K3" s="2">
        <v>0.47569444444444442</v>
      </c>
      <c r="L3" s="7">
        <v>0.27430555555555552</v>
      </c>
      <c r="M3" s="8">
        <v>0.2986111111111111</v>
      </c>
      <c r="N3" s="2" t="s">
        <v>167</v>
      </c>
      <c r="O3" s="9" t="s">
        <v>103</v>
      </c>
      <c r="P3" s="5">
        <v>1119</v>
      </c>
      <c r="Q3" s="9">
        <v>823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43685</v>
      </c>
      <c r="B4" s="10" t="s">
        <v>21</v>
      </c>
      <c r="C4" s="10" t="s">
        <v>31</v>
      </c>
      <c r="D4" s="10" t="s">
        <v>23</v>
      </c>
      <c r="E4" s="5" t="s">
        <v>47</v>
      </c>
      <c r="F4" s="10" t="s">
        <v>25</v>
      </c>
      <c r="G4" s="11">
        <v>71500</v>
      </c>
      <c r="H4" s="10" t="s">
        <v>32</v>
      </c>
      <c r="I4" s="10" t="s">
        <v>33</v>
      </c>
      <c r="J4" s="12">
        <v>0.55555555555555558</v>
      </c>
      <c r="K4" s="13">
        <v>0.54861111111111105</v>
      </c>
      <c r="L4" s="12">
        <v>0.40625</v>
      </c>
      <c r="M4" s="13">
        <v>0.41180555555555554</v>
      </c>
      <c r="N4" s="10" t="s">
        <v>170</v>
      </c>
      <c r="O4" s="10" t="s">
        <v>54</v>
      </c>
      <c r="P4" s="10">
        <v>768</v>
      </c>
      <c r="Q4" s="10">
        <v>1117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4">
        <v>43685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4">
        <v>0.70138888888888884</v>
      </c>
      <c r="K5" s="2">
        <v>0.7270833333333333</v>
      </c>
      <c r="L5" s="14">
        <v>0.49305555555555558</v>
      </c>
      <c r="M5" s="2">
        <v>0.5180555555555556</v>
      </c>
      <c r="N5" s="10" t="s">
        <v>111</v>
      </c>
      <c r="O5" s="3" t="s">
        <v>111</v>
      </c>
      <c r="P5" s="3">
        <v>1239</v>
      </c>
      <c r="Q5" s="3">
        <v>1417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43685</v>
      </c>
      <c r="B6" s="3" t="s">
        <v>21</v>
      </c>
      <c r="C6" s="3" t="s">
        <v>37</v>
      </c>
      <c r="D6" s="3" t="s">
        <v>23</v>
      </c>
      <c r="E6" s="5" t="s">
        <v>47</v>
      </c>
      <c r="F6" s="3" t="s">
        <v>25</v>
      </c>
      <c r="G6" s="6">
        <v>71500</v>
      </c>
      <c r="H6" s="3" t="s">
        <v>38</v>
      </c>
      <c r="I6" s="3" t="s">
        <v>39</v>
      </c>
      <c r="J6" s="12">
        <v>0.75694444444444453</v>
      </c>
      <c r="K6" s="2">
        <v>0.76041666666666663</v>
      </c>
      <c r="L6" s="12">
        <v>0.58680555555555558</v>
      </c>
      <c r="M6" s="15">
        <v>0.60347222222222219</v>
      </c>
      <c r="N6" s="3" t="s">
        <v>148</v>
      </c>
      <c r="O6" s="10" t="s">
        <v>171</v>
      </c>
      <c r="P6" s="16">
        <v>1076</v>
      </c>
      <c r="Q6" s="10">
        <v>1090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43685</v>
      </c>
      <c r="B7" s="10" t="s">
        <v>21</v>
      </c>
      <c r="C7" s="10" t="s">
        <v>40</v>
      </c>
      <c r="D7" s="10" t="s">
        <v>23</v>
      </c>
      <c r="E7" s="5" t="s">
        <v>24</v>
      </c>
      <c r="F7" s="10" t="s">
        <v>25</v>
      </c>
      <c r="G7" s="6">
        <v>71500</v>
      </c>
      <c r="H7" s="10" t="s">
        <v>41</v>
      </c>
      <c r="I7" s="10" t="s">
        <v>42</v>
      </c>
      <c r="J7" s="12">
        <v>0.92708333333333337</v>
      </c>
      <c r="K7" s="2">
        <v>0.94444444444444453</v>
      </c>
      <c r="L7" s="17">
        <v>0.72222222222222221</v>
      </c>
      <c r="M7" s="15">
        <v>0.76597222222222217</v>
      </c>
      <c r="N7" s="3" t="s">
        <v>172</v>
      </c>
      <c r="O7" s="18" t="s">
        <v>134</v>
      </c>
      <c r="P7" s="3">
        <v>304</v>
      </c>
      <c r="Q7" s="16">
        <v>1649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4">
        <v>43685</v>
      </c>
      <c r="B8" s="10" t="s">
        <v>21</v>
      </c>
      <c r="C8" s="10" t="s">
        <v>43</v>
      </c>
      <c r="D8" s="10" t="s">
        <v>23</v>
      </c>
      <c r="E8" s="5" t="s">
        <v>47</v>
      </c>
      <c r="F8" s="10" t="s">
        <v>25</v>
      </c>
      <c r="G8" s="11">
        <v>71500</v>
      </c>
      <c r="H8" s="10" t="s">
        <v>44</v>
      </c>
      <c r="I8" s="10" t="s">
        <v>45</v>
      </c>
      <c r="J8" s="12">
        <v>0.95486111111111116</v>
      </c>
      <c r="K8" s="2">
        <v>0.96527777777777779</v>
      </c>
      <c r="L8" s="12">
        <v>0.77777777777777779</v>
      </c>
      <c r="M8" s="13">
        <v>0.80347222222222225</v>
      </c>
      <c r="N8" s="3" t="s">
        <v>173</v>
      </c>
      <c r="O8" s="10" t="s">
        <v>80</v>
      </c>
      <c r="P8" s="10">
        <v>1091</v>
      </c>
      <c r="Q8" s="10">
        <v>942</v>
      </c>
      <c r="R8" s="10">
        <v>0</v>
      </c>
      <c r="S8" s="10">
        <v>0</v>
      </c>
      <c r="T8" s="10">
        <v>0</v>
      </c>
      <c r="U8" s="1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sqref="A1:U8"/>
    </sheetView>
  </sheetViews>
  <sheetFormatPr defaultRowHeight="15" x14ac:dyDescent="0.25"/>
  <cols>
    <col min="2" max="2" width="14.28515625" customWidth="1"/>
    <col min="3" max="3" width="13.140625" customWidth="1"/>
    <col min="6" max="6" width="19.85546875" customWidth="1"/>
    <col min="14" max="14" width="17.28515625" customWidth="1"/>
    <col min="15" max="15" width="18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43686</v>
      </c>
      <c r="B2" s="5" t="s">
        <v>21</v>
      </c>
      <c r="C2" s="5" t="s">
        <v>28</v>
      </c>
      <c r="D2" s="5" t="s">
        <v>23</v>
      </c>
      <c r="E2" s="5" t="s">
        <v>47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0.45069444444444445</v>
      </c>
      <c r="L2" s="7">
        <v>0.25694444444444448</v>
      </c>
      <c r="M2" s="8">
        <v>0.26041666666666669</v>
      </c>
      <c r="N2" s="3" t="s">
        <v>176</v>
      </c>
      <c r="O2" s="9" t="s">
        <v>174</v>
      </c>
      <c r="P2" s="9">
        <v>1027</v>
      </c>
      <c r="Q2" s="9">
        <v>1325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8" si="0">A2</f>
        <v>43686</v>
      </c>
      <c r="B3" s="5" t="s">
        <v>21</v>
      </c>
      <c r="C3" s="5" t="s">
        <v>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0.47500000000000003</v>
      </c>
      <c r="L3" s="7">
        <v>0.28125</v>
      </c>
      <c r="M3" s="8">
        <v>0.28472222222222221</v>
      </c>
      <c r="N3" s="3" t="s">
        <v>177</v>
      </c>
      <c r="O3" s="9" t="s">
        <v>175</v>
      </c>
      <c r="P3" s="5">
        <v>755</v>
      </c>
      <c r="Q3" s="9">
        <v>1207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43686</v>
      </c>
      <c r="B4" s="3" t="s">
        <v>21</v>
      </c>
      <c r="C4" s="3" t="s">
        <v>62</v>
      </c>
      <c r="D4" s="3" t="s">
        <v>23</v>
      </c>
      <c r="E4" s="5" t="s">
        <v>47</v>
      </c>
      <c r="F4" s="3" t="s">
        <v>25</v>
      </c>
      <c r="G4" s="6">
        <v>71500</v>
      </c>
      <c r="H4" s="3" t="s">
        <v>63</v>
      </c>
      <c r="I4" s="3" t="s">
        <v>64</v>
      </c>
      <c r="J4" s="14">
        <v>0.70833333333333337</v>
      </c>
      <c r="K4" s="2">
        <v>0.69027777777777777</v>
      </c>
      <c r="L4" s="14">
        <v>0.48958333333333331</v>
      </c>
      <c r="M4" s="2">
        <v>0.49236111111111108</v>
      </c>
      <c r="N4" s="19" t="s">
        <v>181</v>
      </c>
      <c r="O4" s="3" t="s">
        <v>178</v>
      </c>
      <c r="P4" s="3">
        <v>828</v>
      </c>
      <c r="Q4" s="9">
        <v>1588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43686</v>
      </c>
      <c r="B5" s="3" t="s">
        <v>21</v>
      </c>
      <c r="C5" s="3" t="s">
        <v>65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0.77013888888888893</v>
      </c>
      <c r="L5" s="14">
        <v>0.51736111111111105</v>
      </c>
      <c r="M5" s="2">
        <v>0.55069444444444449</v>
      </c>
      <c r="N5" s="3" t="s">
        <v>183</v>
      </c>
      <c r="O5" s="3" t="s">
        <v>179</v>
      </c>
      <c r="P5" s="3">
        <v>1046</v>
      </c>
      <c r="Q5" s="9">
        <v>2008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43686</v>
      </c>
      <c r="B6" s="3" t="s">
        <v>21</v>
      </c>
      <c r="C6" s="3" t="s">
        <v>37</v>
      </c>
      <c r="D6" s="3" t="s">
        <v>23</v>
      </c>
      <c r="E6" s="5" t="s">
        <v>47</v>
      </c>
      <c r="F6" s="3" t="s">
        <v>25</v>
      </c>
      <c r="G6" s="6">
        <v>71500</v>
      </c>
      <c r="H6" s="5" t="s">
        <v>38</v>
      </c>
      <c r="I6" s="5" t="s">
        <v>39</v>
      </c>
      <c r="J6" s="20">
        <v>0.89930555555555547</v>
      </c>
      <c r="K6" s="2">
        <v>0.90694444444444444</v>
      </c>
      <c r="L6" s="20">
        <v>0.72916666666666663</v>
      </c>
      <c r="M6" s="21">
        <v>0.74791666666666667</v>
      </c>
      <c r="N6" s="3" t="s">
        <v>186</v>
      </c>
      <c r="O6" s="19" t="s">
        <v>184</v>
      </c>
      <c r="P6" s="19">
        <v>858</v>
      </c>
      <c r="Q6" s="9">
        <v>1201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43686</v>
      </c>
      <c r="B7" s="19" t="s">
        <v>21</v>
      </c>
      <c r="C7" s="19" t="s">
        <v>68</v>
      </c>
      <c r="D7" s="19" t="s">
        <v>23</v>
      </c>
      <c r="E7" s="5" t="s">
        <v>24</v>
      </c>
      <c r="F7" s="19" t="s">
        <v>25</v>
      </c>
      <c r="G7" s="22">
        <v>71500</v>
      </c>
      <c r="H7" s="19" t="s">
        <v>69</v>
      </c>
      <c r="I7" s="19" t="s">
        <v>70</v>
      </c>
      <c r="J7" s="20">
        <v>0.9375</v>
      </c>
      <c r="K7" s="2">
        <v>0.9590277777777777</v>
      </c>
      <c r="L7" s="20">
        <v>0.76736111111111116</v>
      </c>
      <c r="M7" s="21">
        <v>0.80763888888888891</v>
      </c>
      <c r="N7" s="3" t="s">
        <v>87</v>
      </c>
      <c r="O7" s="3" t="s">
        <v>185</v>
      </c>
      <c r="P7" s="3">
        <v>966</v>
      </c>
      <c r="Q7" s="9">
        <v>941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4">
        <f t="shared" si="0"/>
        <v>43686</v>
      </c>
      <c r="B8" s="5" t="s">
        <v>71</v>
      </c>
      <c r="C8" s="3" t="s">
        <v>72</v>
      </c>
      <c r="D8" s="3" t="str">
        <f>D7</f>
        <v>A320</v>
      </c>
      <c r="E8" s="5" t="s">
        <v>180</v>
      </c>
      <c r="F8" s="3" t="s">
        <v>73</v>
      </c>
      <c r="G8" s="6">
        <v>77000</v>
      </c>
      <c r="H8" s="3" t="s">
        <v>74</v>
      </c>
      <c r="I8" s="3" t="s">
        <v>75</v>
      </c>
      <c r="J8" s="14">
        <v>0.67708333333333337</v>
      </c>
      <c r="K8" s="2">
        <v>0.68402777777777779</v>
      </c>
      <c r="L8" s="14">
        <v>0.71875</v>
      </c>
      <c r="M8" s="21">
        <v>0.72986111111111107</v>
      </c>
      <c r="N8" s="19" t="s">
        <v>159</v>
      </c>
      <c r="O8" s="3" t="s">
        <v>182</v>
      </c>
      <c r="P8" s="3">
        <v>2120</v>
      </c>
      <c r="Q8" s="9">
        <v>1813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F1" workbookViewId="0">
      <selection activeCell="K31" sqref="K31"/>
    </sheetView>
  </sheetViews>
  <sheetFormatPr defaultRowHeight="15" x14ac:dyDescent="0.25"/>
  <cols>
    <col min="1" max="1" width="7.85546875" bestFit="1" customWidth="1"/>
    <col min="3" max="3" width="13.42578125" bestFit="1" customWidth="1"/>
    <col min="4" max="4" width="5.7109375" bestFit="1" customWidth="1"/>
    <col min="5" max="5" width="7.85546875" bestFit="1" customWidth="1"/>
    <col min="6" max="6" width="12.140625" bestFit="1" customWidth="1"/>
    <col min="14" max="14" width="17.5703125" customWidth="1"/>
    <col min="15" max="15" width="18.1406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43687</v>
      </c>
      <c r="B2" s="5" t="s">
        <v>21</v>
      </c>
      <c r="C2" s="5" t="s">
        <v>22</v>
      </c>
      <c r="D2" s="5" t="s">
        <v>23</v>
      </c>
      <c r="E2" s="5" t="s">
        <v>47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0.43194444444444446</v>
      </c>
      <c r="L2" s="7">
        <v>0.25694444444444448</v>
      </c>
      <c r="M2" s="8">
        <v>0.25972222222222224</v>
      </c>
      <c r="N2" s="3" t="s">
        <v>188</v>
      </c>
      <c r="O2" s="9" t="s">
        <v>187</v>
      </c>
      <c r="P2" s="9">
        <v>596</v>
      </c>
      <c r="Q2" s="9">
        <v>748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43687</v>
      </c>
      <c r="B3" s="5" t="s">
        <v>21</v>
      </c>
      <c r="C3" s="5" t="s">
        <v>43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0.4680555555555555</v>
      </c>
      <c r="L3" s="7">
        <v>0.28125</v>
      </c>
      <c r="M3" s="8">
        <v>0.30763888888888891</v>
      </c>
      <c r="N3" s="3" t="s">
        <v>189</v>
      </c>
      <c r="O3" s="9" t="s">
        <v>52</v>
      </c>
      <c r="P3" s="5">
        <v>1212</v>
      </c>
      <c r="Q3" s="9">
        <v>1146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43687</v>
      </c>
      <c r="B4" s="5" t="s">
        <v>21</v>
      </c>
      <c r="C4" s="3" t="s">
        <v>31</v>
      </c>
      <c r="D4" s="3" t="s">
        <v>23</v>
      </c>
      <c r="E4" s="5" t="s">
        <v>47</v>
      </c>
      <c r="F4" s="3" t="s">
        <v>25</v>
      </c>
      <c r="G4" s="6">
        <v>71500</v>
      </c>
      <c r="H4" s="3" t="s">
        <v>32</v>
      </c>
      <c r="I4" s="3" t="s">
        <v>33</v>
      </c>
      <c r="J4" s="14">
        <v>0.55555555555555558</v>
      </c>
      <c r="K4" s="2">
        <v>0.6381944444444444</v>
      </c>
      <c r="L4" s="14">
        <v>0.40625</v>
      </c>
      <c r="M4" s="2">
        <v>0.48472222222222222</v>
      </c>
      <c r="N4" s="2" t="s">
        <v>191</v>
      </c>
      <c r="O4" s="3" t="s">
        <v>190</v>
      </c>
      <c r="P4" s="3">
        <v>981</v>
      </c>
      <c r="Q4" s="9">
        <v>1274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43687</v>
      </c>
      <c r="B5" s="5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7">
        <v>0.70138888888888884</v>
      </c>
      <c r="K5" s="2">
        <v>0.70000000000000007</v>
      </c>
      <c r="L5" s="17">
        <v>0.49305555555555558</v>
      </c>
      <c r="M5" s="15">
        <v>0.50416666666666665</v>
      </c>
      <c r="N5" s="3" t="s">
        <v>170</v>
      </c>
      <c r="O5" s="3" t="s">
        <v>81</v>
      </c>
      <c r="P5" s="16">
        <v>961</v>
      </c>
      <c r="Q5" s="9">
        <v>1521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43687</v>
      </c>
      <c r="B6" s="5" t="s">
        <v>21</v>
      </c>
      <c r="C6" s="3" t="s">
        <v>90</v>
      </c>
      <c r="D6" s="3" t="s">
        <v>23</v>
      </c>
      <c r="E6" s="5" t="s">
        <v>47</v>
      </c>
      <c r="F6" s="18" t="s">
        <v>25</v>
      </c>
      <c r="G6" s="6">
        <v>71500</v>
      </c>
      <c r="H6" s="5" t="s">
        <v>91</v>
      </c>
      <c r="I6" s="5" t="s">
        <v>92</v>
      </c>
      <c r="J6" s="23">
        <v>0.74652777777777779</v>
      </c>
      <c r="K6" s="2">
        <v>0.80347222222222225</v>
      </c>
      <c r="L6" s="23">
        <v>0.58680555555555558</v>
      </c>
      <c r="M6" s="24">
        <v>0.67222222222222217</v>
      </c>
      <c r="N6" s="3" t="s">
        <v>112</v>
      </c>
      <c r="O6" s="3" t="s">
        <v>190</v>
      </c>
      <c r="P6" s="3">
        <v>1178</v>
      </c>
      <c r="Q6" s="9">
        <v>1483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43687</v>
      </c>
      <c r="B7" s="5" t="s">
        <v>21</v>
      </c>
      <c r="C7" s="25" t="s">
        <v>93</v>
      </c>
      <c r="D7" s="25" t="s">
        <v>23</v>
      </c>
      <c r="E7" s="5" t="s">
        <v>24</v>
      </c>
      <c r="F7" s="25" t="s">
        <v>25</v>
      </c>
      <c r="G7" s="26">
        <v>71500</v>
      </c>
      <c r="H7" s="25" t="s">
        <v>94</v>
      </c>
      <c r="I7" s="25" t="s">
        <v>95</v>
      </c>
      <c r="J7" s="23">
        <v>0.94097222222222221</v>
      </c>
      <c r="K7" s="2">
        <v>0.94861111111111107</v>
      </c>
      <c r="L7" s="23">
        <v>0.72222222222222221</v>
      </c>
      <c r="M7" s="24">
        <v>0.75347222222222221</v>
      </c>
      <c r="N7" s="15" t="s">
        <v>192</v>
      </c>
      <c r="O7" s="25" t="s">
        <v>53</v>
      </c>
      <c r="P7" s="25">
        <v>903</v>
      </c>
      <c r="Q7" s="9">
        <v>1170</v>
      </c>
      <c r="R7" s="25">
        <v>0</v>
      </c>
      <c r="S7" s="25">
        <v>0</v>
      </c>
      <c r="T7" s="25">
        <v>0</v>
      </c>
      <c r="U7" s="25">
        <v>0</v>
      </c>
    </row>
    <row r="8" spans="1:21" x14ac:dyDescent="0.25">
      <c r="A8" s="4">
        <v>43687</v>
      </c>
      <c r="B8" s="3" t="s">
        <v>21</v>
      </c>
      <c r="C8" s="16" t="s">
        <v>96</v>
      </c>
      <c r="D8" s="3" t="s">
        <v>23</v>
      </c>
      <c r="E8" s="5" t="s">
        <v>47</v>
      </c>
      <c r="F8" s="3" t="s">
        <v>25</v>
      </c>
      <c r="G8" s="6">
        <v>71500</v>
      </c>
      <c r="H8" s="5" t="s">
        <v>97</v>
      </c>
      <c r="I8" s="5" t="s">
        <v>98</v>
      </c>
      <c r="J8" s="17">
        <v>0.94444444444444453</v>
      </c>
      <c r="K8" s="8">
        <v>1.3888888888888889E-3</v>
      </c>
      <c r="L8" s="17">
        <v>0.76736111111111116</v>
      </c>
      <c r="M8" s="15">
        <v>0.83819444444444446</v>
      </c>
      <c r="N8" s="15" t="s">
        <v>52</v>
      </c>
      <c r="O8" s="15" t="s">
        <v>52</v>
      </c>
      <c r="P8" s="16">
        <v>1048</v>
      </c>
      <c r="Q8" s="9">
        <v>879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D45" sqref="D45"/>
    </sheetView>
  </sheetViews>
  <sheetFormatPr defaultRowHeight="12.75" x14ac:dyDescent="0.25"/>
  <cols>
    <col min="1" max="1" width="7.85546875" style="10" bestFit="1" customWidth="1"/>
    <col min="2" max="2" width="14.5703125" style="10" bestFit="1" customWidth="1"/>
    <col min="3" max="3" width="13.5703125" style="10" bestFit="1" customWidth="1"/>
    <col min="4" max="4" width="5.7109375" style="10" bestFit="1" customWidth="1"/>
    <col min="5" max="5" width="7.85546875" style="10" bestFit="1" customWidth="1"/>
    <col min="6" max="6" width="26.7109375" style="10" bestFit="1" customWidth="1"/>
    <col min="7" max="13" width="9.140625" style="10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43688</v>
      </c>
      <c r="B2" s="5" t="s">
        <v>21</v>
      </c>
      <c r="C2" s="5" t="s">
        <v>28</v>
      </c>
      <c r="D2" s="5" t="s">
        <v>23</v>
      </c>
      <c r="E2" s="5" t="s">
        <v>122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0.45416666666666666</v>
      </c>
      <c r="L2" s="7">
        <v>0.25694444444444448</v>
      </c>
      <c r="M2" s="8">
        <v>0.27847222222222223</v>
      </c>
      <c r="N2" s="10" t="s">
        <v>201</v>
      </c>
      <c r="O2" s="9" t="s">
        <v>193</v>
      </c>
      <c r="P2" s="10">
        <v>1528</v>
      </c>
      <c r="Q2" s="9">
        <v>1015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10" si="0">A2</f>
        <v>43688</v>
      </c>
      <c r="B3" s="5" t="s">
        <v>21</v>
      </c>
      <c r="C3" s="5" t="s">
        <v>40</v>
      </c>
      <c r="D3" s="5" t="s">
        <v>23</v>
      </c>
      <c r="E3" s="5" t="s">
        <v>123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0.49791666666666662</v>
      </c>
      <c r="L3" s="7">
        <v>0.28125</v>
      </c>
      <c r="M3" s="8">
        <v>0.28541666666666665</v>
      </c>
      <c r="N3" s="9" t="s">
        <v>202</v>
      </c>
      <c r="O3" s="9" t="s">
        <v>194</v>
      </c>
      <c r="P3" s="10">
        <v>745</v>
      </c>
      <c r="Q3" s="9">
        <v>1500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43688</v>
      </c>
      <c r="B4" s="3" t="s">
        <v>21</v>
      </c>
      <c r="C4" s="3" t="s">
        <v>116</v>
      </c>
      <c r="D4" s="3" t="s">
        <v>23</v>
      </c>
      <c r="E4" s="5" t="str">
        <f>E2</f>
        <v>HA-LWO</v>
      </c>
      <c r="F4" s="3" t="s">
        <v>25</v>
      </c>
      <c r="G4" s="6">
        <v>71500</v>
      </c>
      <c r="H4" s="3" t="s">
        <v>117</v>
      </c>
      <c r="I4" s="3" t="s">
        <v>118</v>
      </c>
      <c r="J4" s="14">
        <v>0.72569444444444453</v>
      </c>
      <c r="K4" s="2">
        <v>0.73472222222222217</v>
      </c>
      <c r="L4" s="14">
        <v>0.48958333333333331</v>
      </c>
      <c r="M4" s="2">
        <v>0.51458333333333328</v>
      </c>
      <c r="N4" s="3" t="s">
        <v>229</v>
      </c>
      <c r="O4" s="3" t="s">
        <v>210</v>
      </c>
      <c r="P4" s="3">
        <v>1013</v>
      </c>
      <c r="Q4" s="9">
        <v>1707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43688</v>
      </c>
      <c r="B5" s="3" t="s">
        <v>21</v>
      </c>
      <c r="C5" s="3" t="s">
        <v>65</v>
      </c>
      <c r="D5" s="3" t="s">
        <v>23</v>
      </c>
      <c r="E5" s="5" t="str">
        <f>E3</f>
        <v>HA-LWH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0.83263888888888893</v>
      </c>
      <c r="L5" s="14">
        <v>0.51736111111111105</v>
      </c>
      <c r="M5" s="2">
        <v>0.61805555555555558</v>
      </c>
      <c r="N5" s="3" t="s">
        <v>230</v>
      </c>
      <c r="O5" s="3" t="s">
        <v>214</v>
      </c>
      <c r="P5" s="3">
        <v>741</v>
      </c>
      <c r="Q5" s="9">
        <v>1677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43688</v>
      </c>
      <c r="B6" s="3" t="s">
        <v>21</v>
      </c>
      <c r="C6" s="3" t="s">
        <v>37</v>
      </c>
      <c r="D6" s="3" t="s">
        <v>23</v>
      </c>
      <c r="E6" s="5" t="str">
        <f>E4</f>
        <v>HA-LWO</v>
      </c>
      <c r="F6" s="3" t="s">
        <v>25</v>
      </c>
      <c r="G6" s="6">
        <v>71500</v>
      </c>
      <c r="H6" s="5" t="s">
        <v>38</v>
      </c>
      <c r="I6" s="5" t="s">
        <v>39</v>
      </c>
      <c r="J6" s="12">
        <v>0.91666666666666663</v>
      </c>
      <c r="K6" s="2">
        <v>0.92152777777777783</v>
      </c>
      <c r="L6" s="12">
        <v>0.74652777777777779</v>
      </c>
      <c r="M6" s="13">
        <v>0.7680555555555556</v>
      </c>
      <c r="N6" s="3" t="s">
        <v>233</v>
      </c>
      <c r="O6" s="3" t="s">
        <v>231</v>
      </c>
      <c r="P6" s="3">
        <v>1239</v>
      </c>
      <c r="Q6" s="9">
        <v>1435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43688</v>
      </c>
      <c r="B7" s="3" t="s">
        <v>21</v>
      </c>
      <c r="C7" s="3" t="s">
        <v>119</v>
      </c>
      <c r="D7" s="3" t="s">
        <v>23</v>
      </c>
      <c r="E7" s="5" t="str">
        <f>E5</f>
        <v>HA-LWH</v>
      </c>
      <c r="F7" s="3" t="s">
        <v>25</v>
      </c>
      <c r="G7" s="6">
        <v>71500</v>
      </c>
      <c r="H7" s="5" t="s">
        <v>120</v>
      </c>
      <c r="I7" s="5" t="s">
        <v>121</v>
      </c>
      <c r="J7" s="12">
        <v>0.95833333333333337</v>
      </c>
      <c r="K7" s="13">
        <v>0.96111111111111114</v>
      </c>
      <c r="L7" s="12">
        <v>0.76736111111111116</v>
      </c>
      <c r="M7" s="13">
        <v>0.78263888888888899</v>
      </c>
      <c r="N7" s="10" t="s">
        <v>234</v>
      </c>
      <c r="O7" s="10" t="s">
        <v>232</v>
      </c>
      <c r="P7" s="3">
        <v>1136</v>
      </c>
      <c r="Q7" s="9">
        <v>1555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27">
        <f t="shared" si="0"/>
        <v>43688</v>
      </c>
      <c r="B8" s="10" t="s">
        <v>195</v>
      </c>
      <c r="C8" s="10" t="s">
        <v>196</v>
      </c>
      <c r="D8" s="10" t="s">
        <v>211</v>
      </c>
      <c r="E8" s="10" t="s">
        <v>197</v>
      </c>
      <c r="F8" s="10" t="s">
        <v>198</v>
      </c>
      <c r="G8" s="11">
        <v>75500</v>
      </c>
      <c r="H8" s="10" t="s">
        <v>199</v>
      </c>
      <c r="I8" s="10" t="s">
        <v>200</v>
      </c>
      <c r="J8" s="12">
        <v>0.41666666666666669</v>
      </c>
      <c r="K8" s="13">
        <v>0.40138888888888885</v>
      </c>
      <c r="L8" s="12">
        <v>0.4375</v>
      </c>
      <c r="M8" s="13">
        <v>0.45555555555555555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5">
      <c r="A9" s="27">
        <f>A8</f>
        <v>43688</v>
      </c>
      <c r="B9" s="10" t="s">
        <v>203</v>
      </c>
      <c r="C9" s="10" t="s">
        <v>204</v>
      </c>
      <c r="D9" s="10" t="s">
        <v>205</v>
      </c>
      <c r="E9" s="10" t="s">
        <v>206</v>
      </c>
      <c r="F9" s="10" t="s">
        <v>207</v>
      </c>
      <c r="G9" s="11">
        <v>21683</v>
      </c>
      <c r="H9" s="10" t="s">
        <v>208</v>
      </c>
      <c r="I9" s="10" t="s">
        <v>209</v>
      </c>
      <c r="J9" s="12">
        <v>0.4513888888888889</v>
      </c>
      <c r="K9" s="13">
        <v>0.4375</v>
      </c>
      <c r="L9" s="12">
        <v>0.625</v>
      </c>
      <c r="M9" s="13">
        <v>0.64027777777777783</v>
      </c>
      <c r="N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</row>
    <row r="10" spans="1:21" x14ac:dyDescent="0.25">
      <c r="A10" s="27">
        <f t="shared" si="0"/>
        <v>43688</v>
      </c>
      <c r="B10" s="10" t="s">
        <v>195</v>
      </c>
      <c r="C10" s="10" t="s">
        <v>196</v>
      </c>
      <c r="D10" s="10" t="s">
        <v>211</v>
      </c>
      <c r="E10" s="10" t="s">
        <v>197</v>
      </c>
      <c r="F10" s="10" t="s">
        <v>198</v>
      </c>
      <c r="G10" s="11">
        <v>75500</v>
      </c>
      <c r="H10" s="10" t="s">
        <v>212</v>
      </c>
      <c r="I10" s="10" t="s">
        <v>213</v>
      </c>
      <c r="J10" s="12">
        <v>0.5</v>
      </c>
      <c r="K10" s="13">
        <v>0.52013888888888882</v>
      </c>
      <c r="L10" s="12">
        <v>0.52083333333333337</v>
      </c>
      <c r="M10" s="13">
        <v>0.55138888888888882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21" x14ac:dyDescent="0.25">
      <c r="A11" s="27">
        <f>A10</f>
        <v>43688</v>
      </c>
      <c r="B11" s="10" t="s">
        <v>215</v>
      </c>
      <c r="C11" s="10" t="s">
        <v>216</v>
      </c>
      <c r="D11" s="10" t="s">
        <v>217</v>
      </c>
      <c r="E11" s="10" t="s">
        <v>218</v>
      </c>
      <c r="F11" s="10" t="s">
        <v>219</v>
      </c>
      <c r="G11" s="11">
        <v>5613</v>
      </c>
      <c r="H11" s="10" t="s">
        <v>220</v>
      </c>
      <c r="I11" s="10" t="s">
        <v>221</v>
      </c>
      <c r="J11" s="12">
        <v>0.54166666666666663</v>
      </c>
      <c r="K11" s="13">
        <v>0.5493055555555556</v>
      </c>
      <c r="L11" s="12">
        <v>0.58333333333333337</v>
      </c>
      <c r="M11" s="13">
        <v>0.57152777777777775</v>
      </c>
      <c r="N11" s="10">
        <v>0</v>
      </c>
      <c r="O11" s="10">
        <v>4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</row>
    <row r="12" spans="1:21" x14ac:dyDescent="0.25">
      <c r="A12" s="27">
        <f>A11</f>
        <v>43688</v>
      </c>
      <c r="B12" s="10" t="s">
        <v>195</v>
      </c>
      <c r="C12" s="10" t="s">
        <v>196</v>
      </c>
      <c r="D12" s="10" t="s">
        <v>211</v>
      </c>
      <c r="E12" s="10" t="s">
        <v>197</v>
      </c>
      <c r="F12" s="10" t="s">
        <v>198</v>
      </c>
      <c r="G12" s="11">
        <v>75500</v>
      </c>
      <c r="H12" s="10" t="s">
        <v>222</v>
      </c>
      <c r="I12" s="10" t="s">
        <v>223</v>
      </c>
      <c r="J12" s="12">
        <v>0.58333333333333337</v>
      </c>
      <c r="K12" s="13">
        <v>0.60069444444444442</v>
      </c>
      <c r="L12" s="12">
        <v>0.60416666666666663</v>
      </c>
      <c r="M12" s="13">
        <v>0.63055555555555554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 x14ac:dyDescent="0.25">
      <c r="A13" s="27">
        <f>A12</f>
        <v>43688</v>
      </c>
      <c r="B13" s="10" t="s">
        <v>21</v>
      </c>
      <c r="C13" s="10" t="s">
        <v>224</v>
      </c>
      <c r="D13" s="10" t="s">
        <v>23</v>
      </c>
      <c r="E13" s="10" t="s">
        <v>225</v>
      </c>
      <c r="F13" s="10" t="s">
        <v>226</v>
      </c>
      <c r="G13" s="11">
        <v>71500</v>
      </c>
      <c r="H13" s="10" t="s">
        <v>227</v>
      </c>
      <c r="I13" s="10" t="s">
        <v>228</v>
      </c>
      <c r="J13" s="12">
        <v>0.73958333333333337</v>
      </c>
      <c r="K13" s="13">
        <v>0.73819444444444438</v>
      </c>
      <c r="L13" s="12">
        <v>0.97916666666666663</v>
      </c>
      <c r="M13" s="13">
        <v>0.9902777777777777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K8" sqref="K8"/>
    </sheetView>
  </sheetViews>
  <sheetFormatPr defaultRowHeight="15" x14ac:dyDescent="0.25"/>
  <cols>
    <col min="1" max="1" width="9.14062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43689</v>
      </c>
      <c r="B2" s="5" t="s">
        <v>21</v>
      </c>
      <c r="C2" s="5" t="s">
        <v>28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0.45347222222222222</v>
      </c>
      <c r="L2" s="7">
        <v>0.25694444444444448</v>
      </c>
      <c r="M2" s="8">
        <v>0.27361111111111108</v>
      </c>
      <c r="N2" s="3" t="s">
        <v>237</v>
      </c>
      <c r="O2" s="9" t="s">
        <v>235</v>
      </c>
      <c r="P2" s="9">
        <v>1308</v>
      </c>
      <c r="Q2" s="9">
        <v>1035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43689</v>
      </c>
      <c r="B3" s="5" t="s">
        <v>21</v>
      </c>
      <c r="C3" s="5" t="s">
        <v>40</v>
      </c>
      <c r="D3" s="5" t="s">
        <v>23</v>
      </c>
      <c r="E3" s="5" t="s">
        <v>47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0.47569444444444442</v>
      </c>
      <c r="L3" s="7">
        <v>0.28125</v>
      </c>
      <c r="M3" s="8">
        <v>0.2951388888888889</v>
      </c>
      <c r="N3" s="3" t="s">
        <v>238</v>
      </c>
      <c r="O3" s="9" t="s">
        <v>236</v>
      </c>
      <c r="P3" s="5">
        <v>651</v>
      </c>
      <c r="Q3" s="9">
        <v>1074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43689</v>
      </c>
      <c r="B4" s="3" t="s">
        <v>21</v>
      </c>
      <c r="C4" s="3" t="s">
        <v>62</v>
      </c>
      <c r="D4" s="3" t="s">
        <v>23</v>
      </c>
      <c r="E4" s="5" t="s">
        <v>24</v>
      </c>
      <c r="F4" s="3" t="s">
        <v>25</v>
      </c>
      <c r="G4" s="6">
        <v>71500</v>
      </c>
      <c r="H4" s="3" t="s">
        <v>63</v>
      </c>
      <c r="I4" s="3" t="s">
        <v>64</v>
      </c>
      <c r="J4" s="14">
        <v>0.70833333333333337</v>
      </c>
      <c r="K4" s="2">
        <v>0.70347222222222217</v>
      </c>
      <c r="L4" s="14">
        <v>0.48958333333333331</v>
      </c>
      <c r="M4" s="2">
        <v>0.49791666666666662</v>
      </c>
      <c r="N4" s="19" t="s">
        <v>247</v>
      </c>
      <c r="O4" s="3" t="s">
        <v>239</v>
      </c>
      <c r="P4" s="3">
        <v>399</v>
      </c>
      <c r="Q4" s="9">
        <v>1450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43689</v>
      </c>
      <c r="B5" s="3" t="s">
        <v>21</v>
      </c>
      <c r="C5" s="3" t="s">
        <v>65</v>
      </c>
      <c r="D5" s="3" t="s">
        <v>23</v>
      </c>
      <c r="E5" s="5" t="s">
        <v>47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0.74236111111111114</v>
      </c>
      <c r="L5" s="14">
        <v>0.51736111111111105</v>
      </c>
      <c r="M5" s="2">
        <v>0.52013888888888882</v>
      </c>
      <c r="N5" s="3" t="s">
        <v>248</v>
      </c>
      <c r="O5" s="3" t="s">
        <v>56</v>
      </c>
      <c r="P5" s="3">
        <v>537</v>
      </c>
      <c r="Q5" s="9">
        <v>1508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43689</v>
      </c>
      <c r="B6" s="3" t="s">
        <v>21</v>
      </c>
      <c r="C6" s="3" t="s">
        <v>37</v>
      </c>
      <c r="D6" s="3" t="s">
        <v>23</v>
      </c>
      <c r="E6" s="5" t="s">
        <v>24</v>
      </c>
      <c r="F6" s="3" t="s">
        <v>25</v>
      </c>
      <c r="G6" s="6">
        <v>71500</v>
      </c>
      <c r="H6" s="5" t="s">
        <v>38</v>
      </c>
      <c r="I6" s="5" t="s">
        <v>39</v>
      </c>
      <c r="J6" s="20">
        <v>0.89930555555555547</v>
      </c>
      <c r="K6" s="2">
        <v>0.8930555555555556</v>
      </c>
      <c r="L6" s="20">
        <v>0.72916666666666663</v>
      </c>
      <c r="M6" s="21">
        <v>0.73888888888888893</v>
      </c>
      <c r="N6" s="3" t="s">
        <v>250</v>
      </c>
      <c r="O6" s="19" t="s">
        <v>103</v>
      </c>
      <c r="P6" s="19">
        <v>1212</v>
      </c>
      <c r="Q6" s="9">
        <v>922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43689</v>
      </c>
      <c r="B7" s="19" t="s">
        <v>21</v>
      </c>
      <c r="C7" s="19" t="s">
        <v>68</v>
      </c>
      <c r="D7" s="19" t="s">
        <v>23</v>
      </c>
      <c r="E7" s="5" t="s">
        <v>47</v>
      </c>
      <c r="F7" s="19" t="s">
        <v>25</v>
      </c>
      <c r="G7" s="22">
        <v>71500</v>
      </c>
      <c r="H7" s="19" t="s">
        <v>69</v>
      </c>
      <c r="I7" s="19" t="s">
        <v>70</v>
      </c>
      <c r="J7" s="20">
        <v>0.9375</v>
      </c>
      <c r="K7" s="2">
        <v>0.9291666666666667</v>
      </c>
      <c r="L7" s="20">
        <v>0.76736111111111116</v>
      </c>
      <c r="M7" s="21">
        <v>0.77500000000000002</v>
      </c>
      <c r="N7" s="3" t="s">
        <v>191</v>
      </c>
      <c r="O7" s="3" t="s">
        <v>249</v>
      </c>
      <c r="P7" s="3">
        <v>1025</v>
      </c>
      <c r="Q7" s="9">
        <v>767</v>
      </c>
      <c r="R7" s="19">
        <v>0</v>
      </c>
      <c r="S7" s="19">
        <v>0</v>
      </c>
      <c r="T7" s="19">
        <v>0</v>
      </c>
      <c r="U7" s="19">
        <v>0</v>
      </c>
    </row>
    <row r="8" spans="1:21" s="29" customFormat="1" ht="12.75" x14ac:dyDescent="0.2">
      <c r="A8" s="28">
        <v>43689</v>
      </c>
      <c r="B8" s="3" t="s">
        <v>240</v>
      </c>
      <c r="C8" s="3" t="s">
        <v>241</v>
      </c>
      <c r="D8" s="3" t="s">
        <v>242</v>
      </c>
      <c r="E8" s="5" t="s">
        <v>243</v>
      </c>
      <c r="F8" s="3" t="s">
        <v>244</v>
      </c>
      <c r="G8" s="6">
        <v>4717</v>
      </c>
      <c r="H8" s="5" t="s">
        <v>246</v>
      </c>
      <c r="I8" s="5" t="s">
        <v>245</v>
      </c>
      <c r="J8" s="21">
        <v>0.375</v>
      </c>
      <c r="K8" s="21">
        <v>0.3520833333333333</v>
      </c>
      <c r="L8" s="21">
        <v>0.625</v>
      </c>
      <c r="M8" s="21">
        <v>0.55555555555555558</v>
      </c>
      <c r="N8" s="19">
        <v>1</v>
      </c>
      <c r="O8" s="19">
        <v>1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10" sqref="K10"/>
    </sheetView>
  </sheetViews>
  <sheetFormatPr defaultRowHeight="15" x14ac:dyDescent="0.25"/>
  <cols>
    <col min="2" max="2" width="13.5703125" customWidth="1"/>
    <col min="3" max="3" width="14.28515625" customWidth="1"/>
    <col min="6" max="6" width="18.140625" customWidth="1"/>
    <col min="13" max="13" width="11.42578125" customWidth="1"/>
    <col min="14" max="14" width="17.5703125" customWidth="1"/>
    <col min="15" max="15" width="19.57031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43690</v>
      </c>
      <c r="B2" s="5" t="s">
        <v>21</v>
      </c>
      <c r="C2" s="5" t="s">
        <v>22</v>
      </c>
      <c r="D2" s="5" t="s">
        <v>23</v>
      </c>
      <c r="E2" s="5" t="s">
        <v>122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0.36805555555555558</v>
      </c>
      <c r="L2" s="7">
        <v>0.25694444444444448</v>
      </c>
      <c r="M2" s="8">
        <v>0.25347222222222221</v>
      </c>
      <c r="N2" s="3" t="s">
        <v>253</v>
      </c>
      <c r="O2" s="9" t="s">
        <v>252</v>
      </c>
      <c r="P2" s="9">
        <v>571</v>
      </c>
      <c r="Q2" s="9">
        <v>665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9" si="0">A2</f>
        <v>43690</v>
      </c>
      <c r="B3" s="5" t="s">
        <v>21</v>
      </c>
      <c r="C3" s="5" t="s">
        <v>43</v>
      </c>
      <c r="D3" s="5" t="s">
        <v>23</v>
      </c>
      <c r="E3" s="5" t="s">
        <v>123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0.4604166666666667</v>
      </c>
      <c r="L3" s="7">
        <v>0.28125</v>
      </c>
      <c r="M3" s="8">
        <v>0.28819444444444448</v>
      </c>
      <c r="N3" s="3" t="s">
        <v>254</v>
      </c>
      <c r="O3" s="9" t="s">
        <v>186</v>
      </c>
      <c r="P3" s="5">
        <v>1011</v>
      </c>
      <c r="Q3" s="9">
        <v>841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43690</v>
      </c>
      <c r="B4" s="5" t="s">
        <v>21</v>
      </c>
      <c r="C4" s="3" t="s">
        <v>31</v>
      </c>
      <c r="D4" s="3" t="s">
        <v>23</v>
      </c>
      <c r="E4" s="5" t="str">
        <f>E2</f>
        <v>HA-LWO</v>
      </c>
      <c r="F4" s="3" t="s">
        <v>25</v>
      </c>
      <c r="G4" s="6">
        <f>G2</f>
        <v>71500</v>
      </c>
      <c r="H4" s="3" t="s">
        <v>32</v>
      </c>
      <c r="I4" s="3" t="s">
        <v>33</v>
      </c>
      <c r="J4" s="14">
        <v>0.55555555555555558</v>
      </c>
      <c r="K4" s="2">
        <v>0.55972222222222223</v>
      </c>
      <c r="L4" s="14">
        <v>0.40625</v>
      </c>
      <c r="M4" s="2">
        <v>0.41319444444444442</v>
      </c>
      <c r="N4" s="3" t="s">
        <v>255</v>
      </c>
      <c r="O4" s="3" t="s">
        <v>256</v>
      </c>
      <c r="P4" s="3">
        <v>992</v>
      </c>
      <c r="Q4" s="9">
        <v>1077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43690</v>
      </c>
      <c r="B5" s="5" t="s">
        <v>71</v>
      </c>
      <c r="C5" s="3" t="s">
        <v>72</v>
      </c>
      <c r="D5" s="3" t="str">
        <f>D4</f>
        <v>A320</v>
      </c>
      <c r="E5" s="5" t="s">
        <v>251</v>
      </c>
      <c r="F5" s="3" t="s">
        <v>73</v>
      </c>
      <c r="G5" s="6">
        <v>77000</v>
      </c>
      <c r="H5" s="3" t="s">
        <v>74</v>
      </c>
      <c r="I5" s="3" t="s">
        <v>75</v>
      </c>
      <c r="J5" s="14">
        <v>0.41319444444444442</v>
      </c>
      <c r="K5" s="2">
        <v>0.40833333333333338</v>
      </c>
      <c r="L5" s="14">
        <v>0.4548611111111111</v>
      </c>
      <c r="M5" s="2">
        <v>0.4548611111111111</v>
      </c>
      <c r="N5" s="3" t="s">
        <v>84</v>
      </c>
      <c r="O5" s="3" t="s">
        <v>179</v>
      </c>
      <c r="P5" s="3">
        <v>2039</v>
      </c>
      <c r="Q5" s="9">
        <v>1748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43690</v>
      </c>
      <c r="B6" s="5" t="s">
        <v>21</v>
      </c>
      <c r="C6" s="3" t="s">
        <v>34</v>
      </c>
      <c r="D6" s="3" t="s">
        <v>23</v>
      </c>
      <c r="E6" s="5" t="str">
        <f>E3</f>
        <v>HA-LWH</v>
      </c>
      <c r="F6" s="3" t="s">
        <v>25</v>
      </c>
      <c r="G6" s="6">
        <v>71500</v>
      </c>
      <c r="H6" s="3" t="s">
        <v>35</v>
      </c>
      <c r="I6" s="3" t="s">
        <v>36</v>
      </c>
      <c r="J6" s="17">
        <v>0.70138888888888884</v>
      </c>
      <c r="K6" s="2">
        <v>0.69374999999999998</v>
      </c>
      <c r="L6" s="17">
        <v>0.49305555555555558</v>
      </c>
      <c r="M6" s="15">
        <v>0.5</v>
      </c>
      <c r="N6" s="3" t="s">
        <v>173</v>
      </c>
      <c r="O6" s="3" t="s">
        <v>186</v>
      </c>
      <c r="P6" s="16">
        <v>1055</v>
      </c>
      <c r="Q6" s="9">
        <v>1723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43690</v>
      </c>
      <c r="B7" s="5" t="s">
        <v>21</v>
      </c>
      <c r="C7" s="3" t="s">
        <v>90</v>
      </c>
      <c r="D7" s="3" t="s">
        <v>23</v>
      </c>
      <c r="E7" s="5" t="str">
        <f>E4</f>
        <v>HA-LWO</v>
      </c>
      <c r="F7" s="18" t="s">
        <v>25</v>
      </c>
      <c r="G7" s="6">
        <v>71500</v>
      </c>
      <c r="H7" s="5" t="s">
        <v>91</v>
      </c>
      <c r="I7" s="5" t="s">
        <v>92</v>
      </c>
      <c r="J7" s="23">
        <v>0.74652777777777779</v>
      </c>
      <c r="K7" s="2">
        <v>0.73055555555555562</v>
      </c>
      <c r="L7" s="23">
        <v>0.58680555555555558</v>
      </c>
      <c r="M7" s="24">
        <v>0.59722222222222221</v>
      </c>
      <c r="N7" s="3" t="s">
        <v>257</v>
      </c>
      <c r="O7" s="3" t="s">
        <v>191</v>
      </c>
      <c r="P7" s="3">
        <v>1378</v>
      </c>
      <c r="Q7" s="9">
        <v>828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f t="shared" si="0"/>
        <v>43690</v>
      </c>
      <c r="B8" s="5" t="s">
        <v>21</v>
      </c>
      <c r="C8" s="25" t="s">
        <v>93</v>
      </c>
      <c r="D8" s="25" t="s">
        <v>23</v>
      </c>
      <c r="E8" s="5" t="str">
        <f>E6</f>
        <v>HA-LWH</v>
      </c>
      <c r="F8" s="25" t="s">
        <v>25</v>
      </c>
      <c r="G8" s="6">
        <v>71500</v>
      </c>
      <c r="H8" s="25" t="s">
        <v>94</v>
      </c>
      <c r="I8" s="25" t="s">
        <v>95</v>
      </c>
      <c r="J8" s="23">
        <v>0.94097222222222221</v>
      </c>
      <c r="K8" s="2">
        <v>0.93680555555555556</v>
      </c>
      <c r="L8" s="23">
        <v>0.72222222222222221</v>
      </c>
      <c r="M8" s="24">
        <v>0.73958333333333337</v>
      </c>
      <c r="N8" s="3" t="s">
        <v>258</v>
      </c>
      <c r="O8" s="15" t="s">
        <v>103</v>
      </c>
      <c r="P8" s="3">
        <v>475</v>
      </c>
      <c r="Q8" s="25">
        <v>1379</v>
      </c>
      <c r="R8" s="25">
        <v>0</v>
      </c>
      <c r="S8" s="25">
        <v>0</v>
      </c>
      <c r="T8" s="25">
        <v>0</v>
      </c>
      <c r="U8" s="25">
        <v>0</v>
      </c>
    </row>
    <row r="9" spans="1:21" x14ac:dyDescent="0.25">
      <c r="A9" s="4">
        <f t="shared" si="0"/>
        <v>43690</v>
      </c>
      <c r="B9" s="3" t="s">
        <v>21</v>
      </c>
      <c r="C9" s="16" t="s">
        <v>96</v>
      </c>
      <c r="D9" s="3" t="s">
        <v>23</v>
      </c>
      <c r="E9" s="5" t="str">
        <f>E7</f>
        <v>HA-LWO</v>
      </c>
      <c r="F9" s="3" t="s">
        <v>25</v>
      </c>
      <c r="G9" s="6">
        <f>G7</f>
        <v>71500</v>
      </c>
      <c r="H9" s="5" t="s">
        <v>97</v>
      </c>
      <c r="I9" s="5" t="s">
        <v>98</v>
      </c>
      <c r="J9" s="17">
        <v>0.94444444444444453</v>
      </c>
      <c r="K9" s="8">
        <v>0.93333333333333324</v>
      </c>
      <c r="L9" s="17">
        <v>0.76736111111111116</v>
      </c>
      <c r="M9" s="15">
        <v>0.77708333333333324</v>
      </c>
      <c r="N9" s="15" t="s">
        <v>259</v>
      </c>
      <c r="O9" s="15" t="s">
        <v>57</v>
      </c>
      <c r="P9" s="16">
        <v>794</v>
      </c>
      <c r="Q9" s="9">
        <v>719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activeCell="K7" sqref="K7"/>
    </sheetView>
  </sheetViews>
  <sheetFormatPr defaultRowHeight="12.75" x14ac:dyDescent="0.25"/>
  <cols>
    <col min="1" max="1" width="7.85546875" style="10" bestFit="1" customWidth="1"/>
    <col min="2" max="2" width="9.140625" style="10"/>
    <col min="3" max="3" width="13.5703125" style="10" bestFit="1" customWidth="1"/>
    <col min="4" max="4" width="5.7109375" style="10" bestFit="1" customWidth="1"/>
    <col min="5" max="5" width="7.85546875" style="10" bestFit="1" customWidth="1"/>
    <col min="6" max="6" width="12.140625" style="10" bestFit="1" customWidth="1"/>
    <col min="7" max="13" width="9.140625" style="10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269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43691</v>
      </c>
      <c r="B2" s="5" t="s">
        <v>21</v>
      </c>
      <c r="C2" s="5" t="s">
        <v>28</v>
      </c>
      <c r="D2" s="5" t="s">
        <v>23</v>
      </c>
      <c r="E2" s="5" t="s">
        <v>123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0.44930555555555557</v>
      </c>
      <c r="L2" s="7">
        <v>0.25694444444444448</v>
      </c>
      <c r="M2" s="8">
        <v>0.26180555555555557</v>
      </c>
      <c r="N2" s="10" t="s">
        <v>262</v>
      </c>
      <c r="O2" s="9" t="s">
        <v>260</v>
      </c>
      <c r="P2" s="10">
        <v>1148</v>
      </c>
      <c r="Q2" s="9">
        <v>998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43691</v>
      </c>
      <c r="B3" s="5" t="s">
        <v>21</v>
      </c>
      <c r="C3" s="5" t="s">
        <v>40</v>
      </c>
      <c r="D3" s="5" t="s">
        <v>23</v>
      </c>
      <c r="E3" s="5" t="s">
        <v>122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0.4826388888888889</v>
      </c>
      <c r="L3" s="7">
        <v>0.28125</v>
      </c>
      <c r="M3" s="8">
        <v>0.2902777777777778</v>
      </c>
      <c r="N3" s="9" t="s">
        <v>263</v>
      </c>
      <c r="O3" s="9" t="s">
        <v>261</v>
      </c>
      <c r="P3" s="10">
        <v>451</v>
      </c>
      <c r="Q3" s="9">
        <v>1742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43691</v>
      </c>
      <c r="B4" s="3" t="s">
        <v>21</v>
      </c>
      <c r="C4" s="3" t="s">
        <v>116</v>
      </c>
      <c r="D4" s="3" t="s">
        <v>23</v>
      </c>
      <c r="E4" s="5" t="str">
        <f>E2</f>
        <v>HA-LWH</v>
      </c>
      <c r="F4" s="3" t="s">
        <v>25</v>
      </c>
      <c r="G4" s="6">
        <v>71500</v>
      </c>
      <c r="H4" s="3" t="s">
        <v>117</v>
      </c>
      <c r="I4" s="3" t="s">
        <v>118</v>
      </c>
      <c r="J4" s="14">
        <v>0.72569444444444453</v>
      </c>
      <c r="K4" s="2">
        <v>0.72638888888888886</v>
      </c>
      <c r="L4" s="14">
        <v>0.48958333333333331</v>
      </c>
      <c r="M4" s="2">
        <v>0.50902777777777775</v>
      </c>
      <c r="N4" s="3" t="s">
        <v>267</v>
      </c>
      <c r="O4" s="3" t="s">
        <v>53</v>
      </c>
      <c r="P4" s="3">
        <v>486</v>
      </c>
      <c r="Q4" s="9">
        <v>1907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43691</v>
      </c>
      <c r="B5" s="3" t="s">
        <v>21</v>
      </c>
      <c r="C5" s="3" t="s">
        <v>65</v>
      </c>
      <c r="D5" s="3" t="s">
        <v>23</v>
      </c>
      <c r="E5" s="5" t="str">
        <f>E3</f>
        <v>HA-LWO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0.75347222222222221</v>
      </c>
      <c r="L5" s="14">
        <v>0.51736111111111105</v>
      </c>
      <c r="M5" s="2">
        <v>0.54305555555555551</v>
      </c>
      <c r="N5" s="3" t="s">
        <v>268</v>
      </c>
      <c r="O5" s="3" t="s">
        <v>264</v>
      </c>
      <c r="P5" s="3">
        <v>560</v>
      </c>
      <c r="Q5" s="9">
        <v>1721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>A5</f>
        <v>43691</v>
      </c>
      <c r="B6" s="3" t="s">
        <v>21</v>
      </c>
      <c r="C6" s="3" t="s">
        <v>37</v>
      </c>
      <c r="D6" s="3" t="s">
        <v>23</v>
      </c>
      <c r="E6" s="5" t="str">
        <f>E4</f>
        <v>HA-LWH</v>
      </c>
      <c r="F6" s="3" t="s">
        <v>25</v>
      </c>
      <c r="G6" s="6">
        <v>71500</v>
      </c>
      <c r="H6" s="5" t="s">
        <v>38</v>
      </c>
      <c r="I6" s="5" t="s">
        <v>39</v>
      </c>
      <c r="J6" s="12">
        <v>0.91666666666666663</v>
      </c>
      <c r="K6" s="2">
        <v>0.95486111111111116</v>
      </c>
      <c r="L6" s="12">
        <v>0.74652777777777779</v>
      </c>
      <c r="M6" s="13">
        <v>0.79652777777777783</v>
      </c>
      <c r="N6" s="3" t="s">
        <v>265</v>
      </c>
      <c r="O6" s="3" t="s">
        <v>89</v>
      </c>
      <c r="P6" s="3">
        <v>779</v>
      </c>
      <c r="Q6" s="9">
        <v>942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>A6</f>
        <v>43691</v>
      </c>
      <c r="B7" s="3" t="s">
        <v>21</v>
      </c>
      <c r="C7" s="3" t="s">
        <v>119</v>
      </c>
      <c r="D7" s="3" t="s">
        <v>23</v>
      </c>
      <c r="E7" s="5" t="str">
        <f>E5</f>
        <v>HA-LWO</v>
      </c>
      <c r="F7" s="3" t="s">
        <v>25</v>
      </c>
      <c r="G7" s="6">
        <v>71500</v>
      </c>
      <c r="H7" s="5" t="s">
        <v>120</v>
      </c>
      <c r="I7" s="5" t="s">
        <v>121</v>
      </c>
      <c r="J7" s="12">
        <v>0.95833333333333337</v>
      </c>
      <c r="K7" s="13">
        <v>0.97222222222222221</v>
      </c>
      <c r="L7" s="12">
        <v>0.76736111111111116</v>
      </c>
      <c r="M7" s="13">
        <v>0.79166666666666663</v>
      </c>
      <c r="N7" s="10" t="s">
        <v>266</v>
      </c>
      <c r="O7" s="10" t="s">
        <v>84</v>
      </c>
      <c r="P7" s="3">
        <v>1083</v>
      </c>
      <c r="Q7" s="9">
        <v>1235</v>
      </c>
      <c r="R7" s="3">
        <v>0</v>
      </c>
      <c r="S7" s="3">
        <v>0</v>
      </c>
      <c r="T7" s="3">
        <v>0</v>
      </c>
      <c r="U7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N2" sqref="N2:Q8"/>
    </sheetView>
  </sheetViews>
  <sheetFormatPr defaultRowHeight="15" x14ac:dyDescent="0.25"/>
  <cols>
    <col min="1" max="1" width="7.8554687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7" max="7" width="9.7109375" bestFit="1" customWidth="1"/>
    <col min="14" max="14" width="18.7109375" customWidth="1"/>
    <col min="15" max="15" width="1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/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43692</v>
      </c>
      <c r="B2" s="5" t="s">
        <v>21</v>
      </c>
      <c r="C2" s="5" t="s">
        <v>22</v>
      </c>
      <c r="D2" s="5" t="s">
        <v>23</v>
      </c>
      <c r="E2" s="5" t="s">
        <v>47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0.37361111111111112</v>
      </c>
      <c r="L2" s="7">
        <v>0.25694444444444448</v>
      </c>
      <c r="M2" s="8">
        <v>0.25972222222222224</v>
      </c>
      <c r="N2" s="2" t="s">
        <v>270</v>
      </c>
      <c r="O2" s="9" t="s">
        <v>135</v>
      </c>
      <c r="P2" s="9">
        <v>425</v>
      </c>
      <c r="Q2" s="9">
        <v>511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43692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0.46180555555555558</v>
      </c>
      <c r="K3" s="2">
        <v>0.4861111111111111</v>
      </c>
      <c r="L3" s="7">
        <v>0.27430555555555552</v>
      </c>
      <c r="M3" s="8">
        <v>0.29444444444444445</v>
      </c>
      <c r="N3" s="2" t="s">
        <v>271</v>
      </c>
      <c r="O3" s="9" t="s">
        <v>149</v>
      </c>
      <c r="P3" s="5">
        <v>811</v>
      </c>
      <c r="Q3" s="9">
        <v>1302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43692</v>
      </c>
      <c r="B4" s="10" t="s">
        <v>21</v>
      </c>
      <c r="C4" s="10" t="s">
        <v>31</v>
      </c>
      <c r="D4" s="10" t="s">
        <v>23</v>
      </c>
      <c r="E4" s="5" t="s">
        <v>47</v>
      </c>
      <c r="F4" s="10" t="s">
        <v>25</v>
      </c>
      <c r="G4" s="11">
        <v>71500</v>
      </c>
      <c r="H4" s="10" t="s">
        <v>32</v>
      </c>
      <c r="I4" s="10" t="s">
        <v>33</v>
      </c>
      <c r="J4" s="12">
        <v>0.55555555555555558</v>
      </c>
      <c r="K4" s="13">
        <v>0.55763888888888891</v>
      </c>
      <c r="L4" s="12">
        <v>0.40625</v>
      </c>
      <c r="M4" s="13">
        <v>0.40972222222222227</v>
      </c>
      <c r="N4" s="10" t="s">
        <v>237</v>
      </c>
      <c r="O4" s="10" t="s">
        <v>260</v>
      </c>
      <c r="P4" s="10">
        <v>838</v>
      </c>
      <c r="Q4" s="10">
        <v>1023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4">
        <v>43692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4">
        <v>0.70138888888888884</v>
      </c>
      <c r="K5" s="2">
        <v>0.75208333333333333</v>
      </c>
      <c r="L5" s="14">
        <v>0.49305555555555558</v>
      </c>
      <c r="M5" s="2">
        <v>0.54236111111111118</v>
      </c>
      <c r="N5" s="10" t="s">
        <v>214</v>
      </c>
      <c r="O5" s="3" t="s">
        <v>272</v>
      </c>
      <c r="P5" s="3">
        <v>1111</v>
      </c>
      <c r="Q5" s="3">
        <v>1202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43692</v>
      </c>
      <c r="B6" s="3" t="s">
        <v>21</v>
      </c>
      <c r="C6" s="3" t="s">
        <v>37</v>
      </c>
      <c r="D6" s="3" t="s">
        <v>23</v>
      </c>
      <c r="E6" s="5" t="s">
        <v>47</v>
      </c>
      <c r="F6" s="3" t="s">
        <v>25</v>
      </c>
      <c r="G6" s="6">
        <v>71500</v>
      </c>
      <c r="H6" s="3" t="s">
        <v>38</v>
      </c>
      <c r="I6" s="3" t="s">
        <v>39</v>
      </c>
      <c r="J6" s="12">
        <v>0.75694444444444453</v>
      </c>
      <c r="K6" s="2">
        <v>0.75555555555555554</v>
      </c>
      <c r="L6" s="12">
        <v>0.58680555555555558</v>
      </c>
      <c r="M6" s="15">
        <v>0.59930555555555554</v>
      </c>
      <c r="N6" s="3" t="s">
        <v>274</v>
      </c>
      <c r="O6" s="10" t="s">
        <v>154</v>
      </c>
      <c r="P6" s="16">
        <v>922</v>
      </c>
      <c r="Q6" s="10">
        <v>1209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43692</v>
      </c>
      <c r="B7" s="10" t="s">
        <v>21</v>
      </c>
      <c r="C7" s="10" t="s">
        <v>40</v>
      </c>
      <c r="D7" s="10" t="s">
        <v>23</v>
      </c>
      <c r="E7" s="5" t="s">
        <v>24</v>
      </c>
      <c r="F7" s="10" t="s">
        <v>25</v>
      </c>
      <c r="G7" s="6">
        <v>71500</v>
      </c>
      <c r="H7" s="10" t="s">
        <v>41</v>
      </c>
      <c r="I7" s="10" t="s">
        <v>42</v>
      </c>
      <c r="J7" s="12">
        <v>0.92708333333333337</v>
      </c>
      <c r="K7" s="2">
        <v>0.95833333333333337</v>
      </c>
      <c r="L7" s="17">
        <v>0.72222222222222221</v>
      </c>
      <c r="M7" s="15">
        <v>0.79166666666666663</v>
      </c>
      <c r="N7" s="3" t="s">
        <v>275</v>
      </c>
      <c r="O7" s="18" t="s">
        <v>184</v>
      </c>
      <c r="P7" s="3">
        <v>377</v>
      </c>
      <c r="Q7" s="16">
        <v>1638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5">
      <c r="A8" s="4">
        <v>43692</v>
      </c>
      <c r="B8" s="10" t="s">
        <v>21</v>
      </c>
      <c r="C8" s="10" t="s">
        <v>43</v>
      </c>
      <c r="D8" s="10" t="s">
        <v>23</v>
      </c>
      <c r="E8" s="5" t="s">
        <v>47</v>
      </c>
      <c r="F8" s="10" t="s">
        <v>25</v>
      </c>
      <c r="G8" s="11">
        <v>71500</v>
      </c>
      <c r="H8" s="10" t="s">
        <v>44</v>
      </c>
      <c r="I8" s="10" t="s">
        <v>45</v>
      </c>
      <c r="J8" s="12">
        <v>0.95486111111111116</v>
      </c>
      <c r="K8" s="2">
        <v>0.97430555555555554</v>
      </c>
      <c r="L8" s="12">
        <v>0.77777777777777779</v>
      </c>
      <c r="M8" s="13">
        <v>0.80347222222222225</v>
      </c>
      <c r="N8" s="3" t="s">
        <v>276</v>
      </c>
      <c r="O8" s="10" t="s">
        <v>273</v>
      </c>
      <c r="P8" s="10">
        <v>1069</v>
      </c>
      <c r="Q8" s="10">
        <v>1386</v>
      </c>
      <c r="R8" s="10">
        <v>0</v>
      </c>
      <c r="S8" s="10">
        <v>0</v>
      </c>
      <c r="T8" s="10">
        <v>0</v>
      </c>
      <c r="U8" s="1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A8" sqref="A8:U8"/>
    </sheetView>
  </sheetViews>
  <sheetFormatPr defaultRowHeight="15" x14ac:dyDescent="0.25"/>
  <cols>
    <col min="2" max="2" width="10.140625" bestFit="1" customWidth="1"/>
    <col min="3" max="3" width="13.5703125" bestFit="1" customWidth="1"/>
    <col min="4" max="4" width="5.7109375" bestFit="1" customWidth="1"/>
    <col min="5" max="5" width="15.85546875" bestFit="1" customWidth="1"/>
    <col min="6" max="6" width="18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43693</v>
      </c>
      <c r="B2" s="5" t="s">
        <v>21</v>
      </c>
      <c r="C2" s="5" t="s">
        <v>28</v>
      </c>
      <c r="D2" s="5" t="s">
        <v>23</v>
      </c>
      <c r="E2" s="5" t="s">
        <v>277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0.4680555555555555</v>
      </c>
      <c r="L2" s="7">
        <v>0.25694444444444448</v>
      </c>
      <c r="M2" s="8">
        <v>0.26180555555555557</v>
      </c>
      <c r="N2" s="3" t="s">
        <v>115</v>
      </c>
      <c r="O2" s="9" t="s">
        <v>57</v>
      </c>
      <c r="P2" s="9">
        <v>1171</v>
      </c>
      <c r="Q2" s="9">
        <v>1423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8" si="0">A2</f>
        <v>43693</v>
      </c>
      <c r="B3" s="5" t="s">
        <v>21</v>
      </c>
      <c r="C3" s="5" t="s">
        <v>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0.49444444444444446</v>
      </c>
      <c r="L3" s="7">
        <v>0.28125</v>
      </c>
      <c r="M3" s="8">
        <v>0.29305555555555557</v>
      </c>
      <c r="N3" s="3" t="s">
        <v>279</v>
      </c>
      <c r="O3" s="9" t="s">
        <v>79</v>
      </c>
      <c r="P3" s="5">
        <v>875</v>
      </c>
      <c r="Q3" s="9">
        <v>1235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43693</v>
      </c>
      <c r="B4" s="3" t="s">
        <v>21</v>
      </c>
      <c r="C4" s="3" t="s">
        <v>62</v>
      </c>
      <c r="D4" s="3" t="s">
        <v>23</v>
      </c>
      <c r="E4" s="5" t="s">
        <v>278</v>
      </c>
      <c r="F4" s="3" t="s">
        <v>25</v>
      </c>
      <c r="G4" s="6">
        <v>71500</v>
      </c>
      <c r="H4" s="3" t="s">
        <v>63</v>
      </c>
      <c r="I4" s="3" t="s">
        <v>64</v>
      </c>
      <c r="J4" s="14">
        <v>0.70833333333333337</v>
      </c>
      <c r="K4" s="2">
        <v>0.71319444444444446</v>
      </c>
      <c r="L4" s="14">
        <v>0.48958333333333331</v>
      </c>
      <c r="M4" s="2">
        <v>0.51666666666666672</v>
      </c>
      <c r="N4" s="19" t="s">
        <v>281</v>
      </c>
      <c r="O4" s="3" t="s">
        <v>111</v>
      </c>
      <c r="P4" s="3">
        <v>555</v>
      </c>
      <c r="Q4" s="9">
        <v>1939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43693</v>
      </c>
      <c r="B5" s="3" t="s">
        <v>21</v>
      </c>
      <c r="C5" s="3" t="s">
        <v>65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0.75416666666666676</v>
      </c>
      <c r="L5" s="14">
        <v>0.51736111111111105</v>
      </c>
      <c r="M5" s="2">
        <v>0.54027777777777775</v>
      </c>
      <c r="N5" s="3" t="s">
        <v>282</v>
      </c>
      <c r="O5" s="3" t="s">
        <v>257</v>
      </c>
      <c r="P5" s="3">
        <v>1012</v>
      </c>
      <c r="Q5" s="9">
        <v>1774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43693</v>
      </c>
      <c r="B6" s="3" t="s">
        <v>21</v>
      </c>
      <c r="C6" s="3" t="s">
        <v>37</v>
      </c>
      <c r="D6" s="3" t="s">
        <v>23</v>
      </c>
      <c r="E6" s="5" t="s">
        <v>278</v>
      </c>
      <c r="F6" s="3" t="s">
        <v>25</v>
      </c>
      <c r="G6" s="6">
        <v>71500</v>
      </c>
      <c r="H6" s="5" t="s">
        <v>38</v>
      </c>
      <c r="I6" s="5" t="s">
        <v>39</v>
      </c>
      <c r="J6" s="20">
        <v>0.89930555555555547</v>
      </c>
      <c r="K6" s="2">
        <v>0.94652777777777775</v>
      </c>
      <c r="L6" s="20">
        <v>0.72916666666666663</v>
      </c>
      <c r="M6" s="21">
        <v>0.7993055555555556</v>
      </c>
      <c r="N6" s="3" t="s">
        <v>283</v>
      </c>
      <c r="O6" s="19" t="s">
        <v>53</v>
      </c>
      <c r="P6" s="19">
        <v>935</v>
      </c>
      <c r="Q6" s="9">
        <v>1198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43693</v>
      </c>
      <c r="B7" s="19" t="s">
        <v>21</v>
      </c>
      <c r="C7" s="19" t="s">
        <v>68</v>
      </c>
      <c r="D7" s="19" t="s">
        <v>23</v>
      </c>
      <c r="E7" s="5" t="s">
        <v>24</v>
      </c>
      <c r="F7" s="19" t="s">
        <v>25</v>
      </c>
      <c r="G7" s="22">
        <v>71500</v>
      </c>
      <c r="H7" s="19" t="s">
        <v>69</v>
      </c>
      <c r="I7" s="19" t="s">
        <v>70</v>
      </c>
      <c r="J7" s="20">
        <v>0.9375</v>
      </c>
      <c r="K7" s="2">
        <v>0.96666666666666667</v>
      </c>
      <c r="L7" s="20">
        <v>0.76736111111111116</v>
      </c>
      <c r="M7" s="21">
        <v>0.80486111111111114</v>
      </c>
      <c r="N7" s="3" t="s">
        <v>237</v>
      </c>
      <c r="O7" s="3" t="s">
        <v>284</v>
      </c>
      <c r="P7" s="3">
        <v>746</v>
      </c>
      <c r="Q7" s="9">
        <v>1321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4">
        <f t="shared" si="0"/>
        <v>43693</v>
      </c>
      <c r="B8" s="5" t="s">
        <v>71</v>
      </c>
      <c r="C8" s="3" t="s">
        <v>72</v>
      </c>
      <c r="D8" s="3" t="str">
        <f>D7</f>
        <v>A320</v>
      </c>
      <c r="E8" s="5" t="s">
        <v>251</v>
      </c>
      <c r="F8" s="3" t="s">
        <v>73</v>
      </c>
      <c r="G8" s="6">
        <v>77000</v>
      </c>
      <c r="H8" s="3" t="s">
        <v>74</v>
      </c>
      <c r="I8" s="3" t="s">
        <v>75</v>
      </c>
      <c r="J8" s="14">
        <v>0.67708333333333337</v>
      </c>
      <c r="K8" s="2">
        <v>0.67986111111111114</v>
      </c>
      <c r="L8" s="14">
        <v>0.71875</v>
      </c>
      <c r="M8" s="21">
        <v>0.75</v>
      </c>
      <c r="N8" s="19" t="s">
        <v>77</v>
      </c>
      <c r="O8" s="3" t="s">
        <v>280</v>
      </c>
      <c r="P8" s="3">
        <v>2203</v>
      </c>
      <c r="Q8" s="9">
        <v>1727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K8" sqref="K8"/>
    </sheetView>
  </sheetViews>
  <sheetFormatPr defaultRowHeight="12.75" x14ac:dyDescent="0.2"/>
  <cols>
    <col min="1" max="1" width="9.140625" style="19" bestFit="1" customWidth="1"/>
    <col min="2" max="2" width="24.5703125" style="19" bestFit="1" customWidth="1"/>
    <col min="3" max="3" width="16.140625" style="19" bestFit="1" customWidth="1"/>
    <col min="4" max="4" width="5.7109375" style="19" bestFit="1" customWidth="1"/>
    <col min="5" max="5" width="9.140625" style="19"/>
    <col min="6" max="6" width="12.7109375" style="19" bestFit="1" customWidth="1"/>
    <col min="7" max="16384" width="9.140625" style="19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43694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0.36874999999999997</v>
      </c>
      <c r="L2" s="7">
        <v>0.25694444444444448</v>
      </c>
      <c r="M2" s="8">
        <v>0.25694444444444448</v>
      </c>
      <c r="N2" s="3" t="s">
        <v>285</v>
      </c>
      <c r="O2" s="9" t="s">
        <v>52</v>
      </c>
      <c r="P2" s="9">
        <v>721</v>
      </c>
      <c r="Q2" s="9">
        <v>862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43694</v>
      </c>
      <c r="B3" s="5" t="s">
        <v>21</v>
      </c>
      <c r="C3" s="5" t="s">
        <v>43</v>
      </c>
      <c r="D3" s="5" t="s">
        <v>23</v>
      </c>
      <c r="E3" s="5" t="s">
        <v>278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0.44930555555555557</v>
      </c>
      <c r="L3" s="7">
        <v>0.28125</v>
      </c>
      <c r="M3" s="8">
        <v>0.28680555555555554</v>
      </c>
      <c r="N3" s="3" t="s">
        <v>50</v>
      </c>
      <c r="O3" s="9" t="s">
        <v>231</v>
      </c>
      <c r="P3" s="5">
        <v>1197</v>
      </c>
      <c r="Q3" s="9">
        <v>1383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43694</v>
      </c>
      <c r="B4" s="5" t="s">
        <v>21</v>
      </c>
      <c r="C4" s="3" t="s">
        <v>31</v>
      </c>
      <c r="D4" s="3" t="s">
        <v>23</v>
      </c>
      <c r="E4" s="5" t="s">
        <v>24</v>
      </c>
      <c r="F4" s="3" t="s">
        <v>25</v>
      </c>
      <c r="G4" s="6">
        <v>71500</v>
      </c>
      <c r="H4" s="3" t="s">
        <v>32</v>
      </c>
      <c r="I4" s="3" t="s">
        <v>33</v>
      </c>
      <c r="J4" s="14">
        <v>0.55555555555555558</v>
      </c>
      <c r="K4" s="2">
        <v>0.54791666666666672</v>
      </c>
      <c r="L4" s="14">
        <v>0.40625</v>
      </c>
      <c r="M4" s="2">
        <v>0.40625</v>
      </c>
      <c r="N4" s="2" t="s">
        <v>115</v>
      </c>
      <c r="O4" s="3" t="s">
        <v>57</v>
      </c>
      <c r="P4" s="3">
        <v>1028</v>
      </c>
      <c r="Q4" s="9">
        <v>1133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v>43694</v>
      </c>
      <c r="B5" s="5" t="s">
        <v>21</v>
      </c>
      <c r="C5" s="3" t="s">
        <v>34</v>
      </c>
      <c r="D5" s="3" t="s">
        <v>23</v>
      </c>
      <c r="E5" s="5" t="s">
        <v>278</v>
      </c>
      <c r="F5" s="3" t="s">
        <v>25</v>
      </c>
      <c r="G5" s="6">
        <v>71500</v>
      </c>
      <c r="H5" s="3" t="s">
        <v>35</v>
      </c>
      <c r="I5" s="3" t="s">
        <v>36</v>
      </c>
      <c r="J5" s="17">
        <v>0.70138888888888884</v>
      </c>
      <c r="K5" s="2">
        <v>0.72013888888888899</v>
      </c>
      <c r="L5" s="17">
        <v>0.49305555555555558</v>
      </c>
      <c r="M5" s="15">
        <v>0.52083333333333337</v>
      </c>
      <c r="N5" s="3" t="s">
        <v>293</v>
      </c>
      <c r="O5" s="3" t="s">
        <v>280</v>
      </c>
      <c r="P5" s="16">
        <v>1032</v>
      </c>
      <c r="Q5" s="9">
        <v>1518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43694</v>
      </c>
      <c r="B6" s="5" t="s">
        <v>21</v>
      </c>
      <c r="C6" s="3" t="s">
        <v>90</v>
      </c>
      <c r="D6" s="3" t="s">
        <v>23</v>
      </c>
      <c r="E6" s="5" t="s">
        <v>24</v>
      </c>
      <c r="F6" s="3" t="s">
        <v>25</v>
      </c>
      <c r="G6" s="6">
        <v>71500</v>
      </c>
      <c r="H6" s="5" t="s">
        <v>91</v>
      </c>
      <c r="I6" s="5" t="s">
        <v>92</v>
      </c>
      <c r="J6" s="23">
        <v>0.74652777777777779</v>
      </c>
      <c r="K6" s="2">
        <v>0.74305555555555547</v>
      </c>
      <c r="L6" s="23">
        <v>0.58680555555555558</v>
      </c>
      <c r="M6" s="24">
        <v>0.58263888888888882</v>
      </c>
      <c r="N6" s="3" t="s">
        <v>294</v>
      </c>
      <c r="O6" s="3" t="s">
        <v>292</v>
      </c>
      <c r="P6" s="3">
        <v>1277</v>
      </c>
      <c r="Q6" s="9">
        <v>1249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43694</v>
      </c>
      <c r="B7" s="5" t="s">
        <v>21</v>
      </c>
      <c r="C7" s="25" t="s">
        <v>93</v>
      </c>
      <c r="D7" s="25" t="s">
        <v>23</v>
      </c>
      <c r="E7" s="5" t="s">
        <v>278</v>
      </c>
      <c r="F7" s="25" t="s">
        <v>25</v>
      </c>
      <c r="G7" s="26">
        <v>71500</v>
      </c>
      <c r="H7" s="25" t="s">
        <v>94</v>
      </c>
      <c r="I7" s="25" t="s">
        <v>95</v>
      </c>
      <c r="J7" s="23">
        <v>0.94097222222222221</v>
      </c>
      <c r="K7" s="2">
        <v>0.96597222222222223</v>
      </c>
      <c r="L7" s="23">
        <v>0.72222222222222221</v>
      </c>
      <c r="M7" s="24">
        <v>0.76180555555555562</v>
      </c>
      <c r="N7" s="15" t="s">
        <v>301</v>
      </c>
      <c r="O7" s="25" t="s">
        <v>186</v>
      </c>
      <c r="P7" s="25">
        <v>632</v>
      </c>
      <c r="Q7" s="9">
        <v>964</v>
      </c>
      <c r="R7" s="25">
        <v>0</v>
      </c>
      <c r="S7" s="25">
        <v>0</v>
      </c>
      <c r="T7" s="25">
        <v>0</v>
      </c>
      <c r="U7" s="25">
        <v>0</v>
      </c>
    </row>
    <row r="8" spans="1:21" x14ac:dyDescent="0.2">
      <c r="A8" s="4">
        <v>43694</v>
      </c>
      <c r="B8" s="3" t="s">
        <v>21</v>
      </c>
      <c r="C8" s="16" t="s">
        <v>96</v>
      </c>
      <c r="D8" s="3" t="s">
        <v>23</v>
      </c>
      <c r="E8" s="5" t="s">
        <v>24</v>
      </c>
      <c r="F8" s="3" t="s">
        <v>25</v>
      </c>
      <c r="G8" s="6">
        <v>71500</v>
      </c>
      <c r="H8" s="5" t="s">
        <v>97</v>
      </c>
      <c r="I8" s="5" t="s">
        <v>98</v>
      </c>
      <c r="J8" s="17">
        <v>0.94444444444444453</v>
      </c>
      <c r="K8" s="8">
        <v>0.92847222222222225</v>
      </c>
      <c r="L8" s="17">
        <v>0.76736111111111116</v>
      </c>
      <c r="M8" s="15">
        <v>0.77916666666666667</v>
      </c>
      <c r="N8" s="15" t="s">
        <v>300</v>
      </c>
      <c r="O8" s="15" t="s">
        <v>128</v>
      </c>
      <c r="P8" s="16">
        <v>965</v>
      </c>
      <c r="Q8" s="9">
        <v>1035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4">
        <v>43694</v>
      </c>
      <c r="B9" s="3" t="s">
        <v>286</v>
      </c>
      <c r="C9" s="3" t="s">
        <v>287</v>
      </c>
      <c r="D9" s="3" t="s">
        <v>288</v>
      </c>
      <c r="E9" s="5" t="s">
        <v>289</v>
      </c>
      <c r="F9" s="3" t="s">
        <v>290</v>
      </c>
      <c r="G9" s="6">
        <v>650</v>
      </c>
      <c r="H9" s="5" t="s">
        <v>289</v>
      </c>
      <c r="I9" s="5" t="s">
        <v>291</v>
      </c>
      <c r="J9" s="17">
        <v>0.53125</v>
      </c>
      <c r="K9" s="15">
        <v>0.49444444444444446</v>
      </c>
      <c r="L9" s="17">
        <v>0.57291666666666663</v>
      </c>
      <c r="M9" s="17">
        <v>0.53611111111111109</v>
      </c>
      <c r="N9" s="30">
        <v>0</v>
      </c>
      <c r="O9" s="30">
        <v>0</v>
      </c>
      <c r="P9" s="30">
        <v>0</v>
      </c>
      <c r="Q9" s="30">
        <v>0</v>
      </c>
      <c r="R9" s="30">
        <v>0</v>
      </c>
      <c r="S9" s="30">
        <v>0</v>
      </c>
      <c r="T9" s="30">
        <v>0</v>
      </c>
      <c r="U9" s="30">
        <v>0</v>
      </c>
    </row>
    <row r="10" spans="1:21" x14ac:dyDescent="0.2">
      <c r="A10" s="31">
        <f>A9</f>
        <v>43694</v>
      </c>
      <c r="B10" s="19" t="s">
        <v>215</v>
      </c>
      <c r="C10" s="19" t="s">
        <v>295</v>
      </c>
      <c r="D10" s="19" t="s">
        <v>296</v>
      </c>
      <c r="E10" s="19" t="s">
        <v>297</v>
      </c>
      <c r="F10" s="19" t="s">
        <v>298</v>
      </c>
      <c r="G10" s="22">
        <v>5613</v>
      </c>
      <c r="H10" s="19" t="s">
        <v>220</v>
      </c>
      <c r="I10" s="19" t="s">
        <v>299</v>
      </c>
      <c r="J10" s="20">
        <v>0.73611111111111116</v>
      </c>
      <c r="K10" s="21">
        <v>0.72569444444444453</v>
      </c>
      <c r="L10" s="20">
        <v>0.77777777777777779</v>
      </c>
      <c r="M10" s="21">
        <v>0.75763888888888886</v>
      </c>
      <c r="N10" s="19">
        <v>3</v>
      </c>
      <c r="O10" s="19">
        <v>0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workbookViewId="0">
      <selection activeCell="K8" sqref="K8"/>
    </sheetView>
  </sheetViews>
  <sheetFormatPr defaultRowHeight="12.75" x14ac:dyDescent="0.25"/>
  <cols>
    <col min="1" max="1" width="7.85546875" style="10" bestFit="1" customWidth="1"/>
    <col min="2" max="2" width="14.5703125" style="10" bestFit="1" customWidth="1"/>
    <col min="3" max="3" width="13.5703125" style="10" bestFit="1" customWidth="1"/>
    <col min="4" max="4" width="5.7109375" style="10" bestFit="1" customWidth="1"/>
    <col min="5" max="5" width="8.42578125" style="10" bestFit="1" customWidth="1"/>
    <col min="6" max="6" width="12.140625" style="10" bestFit="1" customWidth="1"/>
    <col min="7" max="13" width="9.140625" style="10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43695</v>
      </c>
      <c r="B2" s="5" t="s">
        <v>21</v>
      </c>
      <c r="C2" s="5" t="s">
        <v>28</v>
      </c>
      <c r="D2" s="5" t="s">
        <v>23</v>
      </c>
      <c r="E2" s="5" t="s">
        <v>302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0.45277777777777778</v>
      </c>
      <c r="L2" s="7">
        <v>0.25694444444444448</v>
      </c>
      <c r="M2" s="8">
        <v>0.26041666666666669</v>
      </c>
      <c r="N2" s="10" t="s">
        <v>285</v>
      </c>
      <c r="O2" s="9" t="s">
        <v>237</v>
      </c>
      <c r="P2" s="10">
        <v>952</v>
      </c>
      <c r="Q2" s="9">
        <v>1091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43695</v>
      </c>
      <c r="B3" s="5" t="s">
        <v>21</v>
      </c>
      <c r="C3" s="5" t="s">
        <v>40</v>
      </c>
      <c r="D3" s="5" t="s">
        <v>23</v>
      </c>
      <c r="E3" s="5" t="s">
        <v>122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0.47222222222222227</v>
      </c>
      <c r="L3" s="7">
        <v>0.28125</v>
      </c>
      <c r="M3" s="8">
        <v>0.2951388888888889</v>
      </c>
      <c r="N3" s="9" t="s">
        <v>303</v>
      </c>
      <c r="O3" s="9" t="s">
        <v>79</v>
      </c>
      <c r="P3" s="10">
        <v>557</v>
      </c>
      <c r="Q3" s="9">
        <v>1350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43695</v>
      </c>
      <c r="B4" s="3" t="s">
        <v>21</v>
      </c>
      <c r="C4" s="3" t="s">
        <v>116</v>
      </c>
      <c r="D4" s="3" t="s">
        <v>23</v>
      </c>
      <c r="E4" s="5" t="s">
        <v>302</v>
      </c>
      <c r="F4" s="3" t="s">
        <v>25</v>
      </c>
      <c r="G4" s="6">
        <v>71500</v>
      </c>
      <c r="H4" s="3" t="s">
        <v>117</v>
      </c>
      <c r="I4" s="3" t="s">
        <v>118</v>
      </c>
      <c r="J4" s="14">
        <v>0.72569444444444453</v>
      </c>
      <c r="K4" s="2">
        <v>0.73125000000000007</v>
      </c>
      <c r="L4" s="14">
        <v>0.48958333333333331</v>
      </c>
      <c r="M4" s="2">
        <v>0.50208333333333333</v>
      </c>
      <c r="N4" s="3" t="s">
        <v>306</v>
      </c>
      <c r="O4" s="3" t="s">
        <v>305</v>
      </c>
      <c r="P4" s="3">
        <v>740</v>
      </c>
      <c r="Q4" s="9">
        <v>1518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43695</v>
      </c>
      <c r="B5" s="3" t="s">
        <v>21</v>
      </c>
      <c r="C5" s="3" t="s">
        <v>65</v>
      </c>
      <c r="D5" s="3" t="s">
        <v>23</v>
      </c>
      <c r="E5" s="5" t="str">
        <f>E3</f>
        <v>HA-LWO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0.75069444444444444</v>
      </c>
      <c r="L5" s="14">
        <v>0.51736111111111105</v>
      </c>
      <c r="M5" s="2">
        <v>0.54375000000000007</v>
      </c>
      <c r="N5" s="3" t="s">
        <v>307</v>
      </c>
      <c r="O5" s="3" t="s">
        <v>304</v>
      </c>
      <c r="P5" s="3">
        <v>798</v>
      </c>
      <c r="Q5" s="9">
        <v>1507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ref="A6:A8" si="0">A5</f>
        <v>43695</v>
      </c>
      <c r="B6" s="3" t="s">
        <v>21</v>
      </c>
      <c r="C6" s="3" t="s">
        <v>37</v>
      </c>
      <c r="D6" s="3" t="s">
        <v>23</v>
      </c>
      <c r="E6" s="5" t="str">
        <f>E4</f>
        <v>HA-LWG</v>
      </c>
      <c r="F6" s="3" t="s">
        <v>25</v>
      </c>
      <c r="G6" s="6">
        <v>71500</v>
      </c>
      <c r="H6" s="5" t="s">
        <v>38</v>
      </c>
      <c r="I6" s="5" t="s">
        <v>39</v>
      </c>
      <c r="J6" s="12">
        <v>0.91666666666666663</v>
      </c>
      <c r="K6" s="2">
        <v>0.93819444444444444</v>
      </c>
      <c r="L6" s="12">
        <v>0.74652777777777779</v>
      </c>
      <c r="M6" s="13">
        <v>0.78333333333333333</v>
      </c>
      <c r="N6" s="3" t="s">
        <v>314</v>
      </c>
      <c r="O6" s="3" t="s">
        <v>102</v>
      </c>
      <c r="P6" s="3">
        <v>1030</v>
      </c>
      <c r="Q6" s="9">
        <v>1192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43695</v>
      </c>
      <c r="B7" s="3" t="s">
        <v>21</v>
      </c>
      <c r="C7" s="3" t="s">
        <v>119</v>
      </c>
      <c r="D7" s="3" t="s">
        <v>23</v>
      </c>
      <c r="E7" s="5" t="str">
        <f>E5</f>
        <v>HA-LWO</v>
      </c>
      <c r="F7" s="3" t="s">
        <v>25</v>
      </c>
      <c r="G7" s="6">
        <v>71500</v>
      </c>
      <c r="H7" s="5" t="s">
        <v>120</v>
      </c>
      <c r="I7" s="5" t="s">
        <v>121</v>
      </c>
      <c r="J7" s="12">
        <v>0.95833333333333337</v>
      </c>
      <c r="K7" s="13">
        <v>0.96597222222222223</v>
      </c>
      <c r="L7" s="12">
        <v>0.76736111111111116</v>
      </c>
      <c r="M7" s="13">
        <v>0.79027777777777775</v>
      </c>
      <c r="N7" s="10" t="s">
        <v>315</v>
      </c>
      <c r="O7" s="10" t="s">
        <v>190</v>
      </c>
      <c r="P7" s="3">
        <v>1218</v>
      </c>
      <c r="Q7" s="9">
        <v>1333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f t="shared" si="0"/>
        <v>43695</v>
      </c>
      <c r="B8" s="10" t="s">
        <v>308</v>
      </c>
      <c r="C8" s="10" t="s">
        <v>309</v>
      </c>
      <c r="D8" s="10" t="s">
        <v>310</v>
      </c>
      <c r="E8" s="10" t="s">
        <v>311</v>
      </c>
      <c r="F8" s="10" t="s">
        <v>312</v>
      </c>
      <c r="G8" s="11">
        <v>9000</v>
      </c>
      <c r="H8" s="10" t="s">
        <v>313</v>
      </c>
      <c r="I8" s="10" t="s">
        <v>313</v>
      </c>
      <c r="J8" s="12">
        <v>0.64583333333333337</v>
      </c>
      <c r="K8" s="13">
        <v>0.65</v>
      </c>
      <c r="L8" s="12">
        <v>0.77083333333333337</v>
      </c>
      <c r="M8" s="13">
        <v>0.84652777777777777</v>
      </c>
      <c r="N8" s="10">
        <v>0</v>
      </c>
      <c r="O8" s="10">
        <v>1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5">
      <c r="A9" s="27"/>
      <c r="G9" s="11"/>
      <c r="J9" s="12"/>
      <c r="K9" s="13"/>
      <c r="L9" s="12"/>
      <c r="M9" s="13"/>
    </row>
    <row r="10" spans="1:21" x14ac:dyDescent="0.25">
      <c r="A10" s="27"/>
      <c r="G10" s="11"/>
      <c r="J10" s="12"/>
      <c r="K10" s="13"/>
      <c r="L10" s="12"/>
      <c r="M10" s="13"/>
    </row>
    <row r="11" spans="1:21" x14ac:dyDescent="0.25">
      <c r="A11" s="27"/>
      <c r="G11" s="11"/>
      <c r="J11" s="12"/>
      <c r="K11" s="13"/>
      <c r="L11" s="12"/>
      <c r="M11" s="13"/>
    </row>
    <row r="12" spans="1:21" x14ac:dyDescent="0.25">
      <c r="A12" s="27"/>
      <c r="G12" s="11"/>
      <c r="J12" s="12"/>
      <c r="K12" s="13"/>
      <c r="L12" s="12"/>
      <c r="M12" s="13"/>
    </row>
    <row r="13" spans="1:21" x14ac:dyDescent="0.25">
      <c r="A13" s="27"/>
      <c r="G13" s="11"/>
      <c r="J13" s="12"/>
      <c r="K13" s="13"/>
      <c r="L13" s="12"/>
      <c r="M13" s="13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zoomScale="80" zoomScaleNormal="80" workbookViewId="0">
      <selection activeCell="U8" sqref="B8:U8"/>
    </sheetView>
  </sheetViews>
  <sheetFormatPr defaultRowHeight="15" x14ac:dyDescent="0.25"/>
  <cols>
    <col min="1" max="1" width="9.14062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2.140625" bestFit="1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43696</v>
      </c>
      <c r="B2" s="5" t="s">
        <v>21</v>
      </c>
      <c r="C2" s="5" t="s">
        <v>28</v>
      </c>
      <c r="D2" s="5" t="s">
        <v>23</v>
      </c>
      <c r="E2" s="5" t="s">
        <v>278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0.46597222222222223</v>
      </c>
      <c r="L2" s="7">
        <v>0.25694444444444448</v>
      </c>
      <c r="M2" s="8">
        <v>0.25694444444444448</v>
      </c>
      <c r="N2" s="3" t="s">
        <v>319</v>
      </c>
      <c r="O2" s="9" t="s">
        <v>84</v>
      </c>
      <c r="P2" s="9">
        <v>1263</v>
      </c>
      <c r="Q2" s="9">
        <v>1010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43696</v>
      </c>
      <c r="B3" s="5" t="s">
        <v>21</v>
      </c>
      <c r="C3" s="5" t="s">
        <v>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0.48402777777777778</v>
      </c>
      <c r="L3" s="7">
        <v>0.28125</v>
      </c>
      <c r="M3" s="8">
        <v>0.2951388888888889</v>
      </c>
      <c r="N3" s="3" t="s">
        <v>320</v>
      </c>
      <c r="O3" s="9" t="s">
        <v>126</v>
      </c>
      <c r="P3" s="5">
        <v>374</v>
      </c>
      <c r="Q3" s="9">
        <v>1391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43696</v>
      </c>
      <c r="B4" s="3" t="s">
        <v>21</v>
      </c>
      <c r="C4" s="3" t="s">
        <v>62</v>
      </c>
      <c r="D4" s="3" t="s">
        <v>23</v>
      </c>
      <c r="E4" s="5" t="s">
        <v>316</v>
      </c>
      <c r="F4" s="3" t="s">
        <v>25</v>
      </c>
      <c r="G4" s="6">
        <v>70000</v>
      </c>
      <c r="H4" s="3" t="s">
        <v>63</v>
      </c>
      <c r="I4" s="3" t="s">
        <v>64</v>
      </c>
      <c r="J4" s="14">
        <v>0.70833333333333337</v>
      </c>
      <c r="K4" s="2">
        <v>0.72986111111111107</v>
      </c>
      <c r="L4" s="14">
        <v>0.48958333333333331</v>
      </c>
      <c r="M4" s="2">
        <v>0.5229166666666667</v>
      </c>
      <c r="N4" s="19" t="s">
        <v>321</v>
      </c>
      <c r="O4" s="3" t="s">
        <v>317</v>
      </c>
      <c r="P4" s="3">
        <v>333</v>
      </c>
      <c r="Q4" s="9">
        <v>1410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43696</v>
      </c>
      <c r="B5" s="3" t="s">
        <v>21</v>
      </c>
      <c r="C5" s="3" t="s">
        <v>65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0.74444444444444446</v>
      </c>
      <c r="L5" s="14">
        <v>0.51736111111111105</v>
      </c>
      <c r="M5" s="2">
        <v>0.53263888888888888</v>
      </c>
      <c r="N5" s="3" t="s">
        <v>322</v>
      </c>
      <c r="O5" s="3" t="s">
        <v>318</v>
      </c>
      <c r="P5" s="3">
        <v>451</v>
      </c>
      <c r="Q5" s="9">
        <v>1355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43696</v>
      </c>
      <c r="B6" s="3" t="s">
        <v>21</v>
      </c>
      <c r="C6" s="3" t="s">
        <v>37</v>
      </c>
      <c r="D6" s="3" t="s">
        <v>23</v>
      </c>
      <c r="E6" s="5" t="s">
        <v>316</v>
      </c>
      <c r="F6" s="3" t="s">
        <v>25</v>
      </c>
      <c r="G6" s="6">
        <v>70000</v>
      </c>
      <c r="H6" s="5" t="s">
        <v>38</v>
      </c>
      <c r="I6" s="5" t="s">
        <v>39</v>
      </c>
      <c r="J6" s="20">
        <v>0.89930555555555547</v>
      </c>
      <c r="K6" s="2">
        <v>0.92847222222222225</v>
      </c>
      <c r="L6" s="20">
        <v>0.72916666666666663</v>
      </c>
      <c r="M6" s="21">
        <v>0.76736111111111116</v>
      </c>
      <c r="N6" s="3" t="s">
        <v>329</v>
      </c>
      <c r="O6" s="19" t="s">
        <v>100</v>
      </c>
      <c r="P6" s="19">
        <v>600</v>
      </c>
      <c r="Q6" s="9">
        <v>977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43696</v>
      </c>
      <c r="B7" s="19" t="s">
        <v>21</v>
      </c>
      <c r="C7" s="19" t="s">
        <v>68</v>
      </c>
      <c r="D7" s="19" t="s">
        <v>23</v>
      </c>
      <c r="E7" s="5" t="s">
        <v>24</v>
      </c>
      <c r="F7" s="19" t="s">
        <v>25</v>
      </c>
      <c r="G7" s="22">
        <v>71500</v>
      </c>
      <c r="H7" s="19" t="s">
        <v>69</v>
      </c>
      <c r="I7" s="19" t="s">
        <v>70</v>
      </c>
      <c r="J7" s="20">
        <v>0.9375</v>
      </c>
      <c r="K7" s="2">
        <v>0.93402777777777779</v>
      </c>
      <c r="L7" s="20">
        <v>0.76736111111111116</v>
      </c>
      <c r="M7" s="21">
        <v>0.77916666666666667</v>
      </c>
      <c r="N7" s="3" t="s">
        <v>115</v>
      </c>
      <c r="O7" s="3" t="s">
        <v>328</v>
      </c>
      <c r="P7" s="3">
        <v>1053</v>
      </c>
      <c r="Q7" s="9">
        <v>892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4">
        <v>43696</v>
      </c>
      <c r="B8" s="3" t="s">
        <v>323</v>
      </c>
      <c r="C8" s="3" t="s">
        <v>324</v>
      </c>
      <c r="D8" s="3" t="s">
        <v>325</v>
      </c>
      <c r="E8" s="5" t="s">
        <v>326</v>
      </c>
      <c r="F8" s="3" t="s">
        <v>327</v>
      </c>
      <c r="G8" s="6">
        <v>1600</v>
      </c>
      <c r="H8" s="5" t="s">
        <v>326</v>
      </c>
      <c r="I8" s="5" t="s">
        <v>326</v>
      </c>
      <c r="J8" s="20">
        <v>0.70833333333333337</v>
      </c>
      <c r="K8" s="21">
        <v>0.73472222222222217</v>
      </c>
      <c r="L8" s="20">
        <v>0.72916666666666663</v>
      </c>
      <c r="M8" s="21">
        <v>0.75486111111111109</v>
      </c>
      <c r="N8" s="3">
        <v>0</v>
      </c>
      <c r="O8" s="3">
        <v>0</v>
      </c>
      <c r="P8" s="3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K9" sqref="K9"/>
    </sheetView>
  </sheetViews>
  <sheetFormatPr defaultRowHeight="15" x14ac:dyDescent="0.25"/>
  <cols>
    <col min="2" max="2" width="13.5703125" customWidth="1"/>
    <col min="3" max="3" width="14.28515625" customWidth="1"/>
    <col min="6" max="6" width="18.140625" customWidth="1"/>
    <col min="13" max="13" width="11.42578125" customWidth="1"/>
    <col min="14" max="14" width="17.5703125" customWidth="1"/>
    <col min="15" max="15" width="19.5703125" customWidth="1"/>
  </cols>
  <sheetData>
    <row r="1" spans="1:2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5">
      <c r="A2" s="4">
        <v>43697</v>
      </c>
      <c r="B2" s="5" t="s">
        <v>21</v>
      </c>
      <c r="C2" s="5" t="s">
        <v>22</v>
      </c>
      <c r="D2" s="5" t="s">
        <v>23</v>
      </c>
      <c r="E2" s="5" t="s">
        <v>122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0.37013888888888885</v>
      </c>
      <c r="L2" s="7">
        <v>0.25694444444444448</v>
      </c>
      <c r="M2" s="8">
        <v>0.26180555555555557</v>
      </c>
      <c r="N2" s="3" t="s">
        <v>333</v>
      </c>
      <c r="O2" s="9" t="s">
        <v>331</v>
      </c>
      <c r="P2" s="9">
        <v>332</v>
      </c>
      <c r="Q2" s="9">
        <v>605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 t="shared" ref="A3:A9" si="0">A2</f>
        <v>43697</v>
      </c>
      <c r="B3" s="5" t="s">
        <v>21</v>
      </c>
      <c r="C3" s="5" t="s">
        <v>43</v>
      </c>
      <c r="D3" s="5" t="s">
        <v>23</v>
      </c>
      <c r="E3" s="5" t="s">
        <v>330</v>
      </c>
      <c r="F3" s="5" t="s">
        <v>25</v>
      </c>
      <c r="G3" s="6">
        <v>70000</v>
      </c>
      <c r="H3" s="5" t="s">
        <v>44</v>
      </c>
      <c r="I3" s="5" t="s">
        <v>45</v>
      </c>
      <c r="J3" s="7">
        <v>0.46180555555555558</v>
      </c>
      <c r="K3" s="2">
        <v>0.48125000000000001</v>
      </c>
      <c r="L3" s="7">
        <v>0.28125</v>
      </c>
      <c r="M3" s="8">
        <v>0.29930555555555555</v>
      </c>
      <c r="N3" s="3" t="s">
        <v>335</v>
      </c>
      <c r="O3" s="9" t="s">
        <v>332</v>
      </c>
      <c r="P3" s="5">
        <v>940</v>
      </c>
      <c r="Q3" s="9">
        <v>838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 t="shared" si="0"/>
        <v>43697</v>
      </c>
      <c r="B4" s="5" t="s">
        <v>21</v>
      </c>
      <c r="C4" s="3" t="s">
        <v>31</v>
      </c>
      <c r="D4" s="3" t="s">
        <v>23</v>
      </c>
      <c r="E4" s="5" t="str">
        <f>E2</f>
        <v>HA-LWO</v>
      </c>
      <c r="F4" s="3" t="s">
        <v>25</v>
      </c>
      <c r="G4" s="6">
        <f>G2</f>
        <v>71500</v>
      </c>
      <c r="H4" s="3" t="s">
        <v>32</v>
      </c>
      <c r="I4" s="3" t="s">
        <v>33</v>
      </c>
      <c r="J4" s="14">
        <v>0.55555555555555558</v>
      </c>
      <c r="K4" s="2">
        <v>0.54722222222222217</v>
      </c>
      <c r="L4" s="14">
        <v>0.40625</v>
      </c>
      <c r="M4" s="2">
        <v>0.40416666666666662</v>
      </c>
      <c r="N4" s="3" t="s">
        <v>86</v>
      </c>
      <c r="O4" s="3" t="s">
        <v>334</v>
      </c>
      <c r="P4" s="3">
        <v>1177</v>
      </c>
      <c r="Q4" s="9">
        <v>976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 t="shared" si="0"/>
        <v>43697</v>
      </c>
      <c r="B5" s="5" t="s">
        <v>71</v>
      </c>
      <c r="C5" s="3" t="s">
        <v>72</v>
      </c>
      <c r="D5" s="3" t="str">
        <f>D4</f>
        <v>A320</v>
      </c>
      <c r="E5" s="5" t="s">
        <v>337</v>
      </c>
      <c r="F5" s="3" t="s">
        <v>73</v>
      </c>
      <c r="G5" s="6">
        <v>77000</v>
      </c>
      <c r="H5" s="3" t="s">
        <v>74</v>
      </c>
      <c r="I5" s="3" t="s">
        <v>75</v>
      </c>
      <c r="J5" s="14">
        <v>0.41319444444444442</v>
      </c>
      <c r="K5" s="2">
        <v>0.40208333333333335</v>
      </c>
      <c r="L5" s="14">
        <v>0.4548611111111111</v>
      </c>
      <c r="M5" s="2">
        <v>0.45347222222222222</v>
      </c>
      <c r="N5" s="3" t="s">
        <v>319</v>
      </c>
      <c r="O5" s="3" t="s">
        <v>336</v>
      </c>
      <c r="P5" s="3">
        <v>1994</v>
      </c>
      <c r="Q5" s="9">
        <v>1381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 t="shared" si="0"/>
        <v>43697</v>
      </c>
      <c r="B6" s="5" t="s">
        <v>21</v>
      </c>
      <c r="C6" s="3" t="s">
        <v>34</v>
      </c>
      <c r="D6" s="3" t="s">
        <v>23</v>
      </c>
      <c r="E6" s="5" t="str">
        <f>E3</f>
        <v>HA-LWC</v>
      </c>
      <c r="F6" s="3" t="s">
        <v>25</v>
      </c>
      <c r="G6" s="6">
        <f>G3</f>
        <v>70000</v>
      </c>
      <c r="H6" s="3" t="s">
        <v>35</v>
      </c>
      <c r="I6" s="3" t="s">
        <v>36</v>
      </c>
      <c r="J6" s="17">
        <v>0.70138888888888884</v>
      </c>
      <c r="K6" s="2">
        <v>0.70138888888888884</v>
      </c>
      <c r="L6" s="17">
        <v>0.49305555555555558</v>
      </c>
      <c r="M6" s="15">
        <v>0.51388888888888895</v>
      </c>
      <c r="N6" s="3" t="s">
        <v>338</v>
      </c>
      <c r="O6" s="3" t="s">
        <v>176</v>
      </c>
      <c r="P6" s="16">
        <v>801</v>
      </c>
      <c r="Q6" s="9">
        <v>1398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 t="shared" si="0"/>
        <v>43697</v>
      </c>
      <c r="B7" s="5" t="s">
        <v>21</v>
      </c>
      <c r="C7" s="3" t="s">
        <v>90</v>
      </c>
      <c r="D7" s="3" t="s">
        <v>23</v>
      </c>
      <c r="E7" s="5" t="str">
        <f>E4</f>
        <v>HA-LWO</v>
      </c>
      <c r="F7" s="18" t="s">
        <v>25</v>
      </c>
      <c r="G7" s="6">
        <v>71500</v>
      </c>
      <c r="H7" s="5" t="s">
        <v>91</v>
      </c>
      <c r="I7" s="5" t="s">
        <v>92</v>
      </c>
      <c r="J7" s="23">
        <v>0.74652777777777779</v>
      </c>
      <c r="K7" s="2">
        <v>0.73541666666666661</v>
      </c>
      <c r="L7" s="23">
        <v>0.58680555555555558</v>
      </c>
      <c r="M7" s="24">
        <v>0.60486111111111118</v>
      </c>
      <c r="N7" s="3" t="s">
        <v>339</v>
      </c>
      <c r="O7" s="3" t="s">
        <v>236</v>
      </c>
      <c r="P7" s="3">
        <v>905</v>
      </c>
      <c r="Q7" s="9">
        <v>1015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f t="shared" si="0"/>
        <v>43697</v>
      </c>
      <c r="B8" s="5" t="s">
        <v>21</v>
      </c>
      <c r="C8" s="25" t="s">
        <v>93</v>
      </c>
      <c r="D8" s="25" t="s">
        <v>23</v>
      </c>
      <c r="E8" s="5" t="str">
        <f>E6</f>
        <v>HA-LWC</v>
      </c>
      <c r="F8" s="25" t="s">
        <v>25</v>
      </c>
      <c r="G8" s="6">
        <f>G6</f>
        <v>70000</v>
      </c>
      <c r="H8" s="25" t="s">
        <v>94</v>
      </c>
      <c r="I8" s="25" t="s">
        <v>95</v>
      </c>
      <c r="J8" s="23">
        <v>0.94097222222222221</v>
      </c>
      <c r="K8" s="2">
        <v>0.93958333333333333</v>
      </c>
      <c r="L8" s="23">
        <v>0.72222222222222221</v>
      </c>
      <c r="M8" s="24">
        <v>0.74097222222222225</v>
      </c>
      <c r="N8" s="3" t="s">
        <v>340</v>
      </c>
      <c r="O8" s="15" t="s">
        <v>257</v>
      </c>
      <c r="P8" s="3">
        <v>472</v>
      </c>
      <c r="Q8" s="25">
        <v>1095</v>
      </c>
      <c r="R8" s="25">
        <v>0</v>
      </c>
      <c r="S8" s="25">
        <v>0</v>
      </c>
      <c r="T8" s="25">
        <v>0</v>
      </c>
      <c r="U8" s="25">
        <v>0</v>
      </c>
    </row>
    <row r="9" spans="1:21" x14ac:dyDescent="0.25">
      <c r="A9" s="4">
        <f t="shared" si="0"/>
        <v>43697</v>
      </c>
      <c r="B9" s="3" t="s">
        <v>21</v>
      </c>
      <c r="C9" s="16" t="s">
        <v>96</v>
      </c>
      <c r="D9" s="3" t="s">
        <v>23</v>
      </c>
      <c r="E9" s="5" t="str">
        <f>E7</f>
        <v>HA-LWO</v>
      </c>
      <c r="F9" s="3" t="s">
        <v>25</v>
      </c>
      <c r="G9" s="6">
        <f>G7</f>
        <v>71500</v>
      </c>
      <c r="H9" s="5" t="s">
        <v>97</v>
      </c>
      <c r="I9" s="5" t="s">
        <v>98</v>
      </c>
      <c r="J9" s="17">
        <v>0.94444444444444453</v>
      </c>
      <c r="K9" s="8">
        <v>0.93680555555555556</v>
      </c>
      <c r="L9" s="17">
        <v>0.76736111111111116</v>
      </c>
      <c r="M9" s="15">
        <v>0.77569444444444446</v>
      </c>
      <c r="N9" s="15" t="s">
        <v>341</v>
      </c>
      <c r="O9" s="15" t="s">
        <v>235</v>
      </c>
      <c r="P9" s="16">
        <v>841</v>
      </c>
      <c r="Q9" s="9">
        <v>804</v>
      </c>
      <c r="R9" s="3">
        <v>0</v>
      </c>
      <c r="S9" s="3">
        <v>0</v>
      </c>
      <c r="T9" s="3">
        <v>0</v>
      </c>
      <c r="U9" s="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C1" workbookViewId="0">
      <selection activeCell="C1" sqref="A1:XFD1048576"/>
    </sheetView>
  </sheetViews>
  <sheetFormatPr defaultRowHeight="12.75" x14ac:dyDescent="0.2"/>
  <cols>
    <col min="1" max="1" width="7.85546875" style="19" bestFit="1" customWidth="1"/>
    <col min="2" max="2" width="14.42578125" style="19" bestFit="1" customWidth="1"/>
    <col min="3" max="3" width="13.5703125" style="19" bestFit="1" customWidth="1"/>
    <col min="4" max="4" width="5.7109375" style="19" bestFit="1" customWidth="1"/>
    <col min="5" max="5" width="9.140625" style="19"/>
    <col min="6" max="6" width="12.140625" style="19" bestFit="1" customWidth="1"/>
    <col min="7" max="9" width="9.140625" style="19"/>
    <col min="10" max="10" width="11" style="19" bestFit="1" customWidth="1"/>
    <col min="11" max="11" width="10.85546875" style="19" bestFit="1" customWidth="1"/>
    <col min="12" max="12" width="11" style="19" bestFit="1" customWidth="1"/>
    <col min="13" max="13" width="10.85546875" style="19" bestFit="1" customWidth="1"/>
    <col min="14" max="14" width="18.42578125" style="19" bestFit="1" customWidth="1"/>
    <col min="15" max="16" width="10.28515625" style="19" bestFit="1" customWidth="1"/>
    <col min="17" max="16384" width="9.140625" style="19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43699</v>
      </c>
      <c r="B2" s="5" t="s">
        <v>21</v>
      </c>
      <c r="C2" s="5" t="s">
        <v>22</v>
      </c>
      <c r="D2" s="5" t="s">
        <v>23</v>
      </c>
      <c r="E2" s="5" t="s">
        <v>316</v>
      </c>
      <c r="F2" s="5" t="s">
        <v>25</v>
      </c>
      <c r="G2" s="6">
        <v>70000</v>
      </c>
      <c r="H2" s="5" t="s">
        <v>26</v>
      </c>
      <c r="I2" s="5" t="s">
        <v>27</v>
      </c>
      <c r="J2" s="7">
        <v>0.38541666666666669</v>
      </c>
      <c r="K2" s="2">
        <v>0.37291666666666662</v>
      </c>
      <c r="L2" s="7">
        <v>0.25694444444444448</v>
      </c>
      <c r="M2" s="2">
        <v>0.2673611111111111</v>
      </c>
      <c r="N2" s="2" t="s">
        <v>349</v>
      </c>
      <c r="O2" s="9" t="s">
        <v>235</v>
      </c>
      <c r="P2" s="9">
        <v>319</v>
      </c>
      <c r="Q2" s="9">
        <v>646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43699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0.46180555555555558</v>
      </c>
      <c r="K3" s="2">
        <v>0.46180555555555558</v>
      </c>
      <c r="L3" s="7">
        <v>0.27430555555555552</v>
      </c>
      <c r="M3" s="2">
        <v>0.28472222222222221</v>
      </c>
      <c r="N3" s="2" t="s">
        <v>350</v>
      </c>
      <c r="O3" s="9" t="s">
        <v>343</v>
      </c>
      <c r="P3" s="5">
        <v>457</v>
      </c>
      <c r="Q3" s="9">
        <v>1211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43699</v>
      </c>
      <c r="B4" s="10" t="s">
        <v>21</v>
      </c>
      <c r="C4" s="10" t="s">
        <v>31</v>
      </c>
      <c r="D4" s="10" t="s">
        <v>23</v>
      </c>
      <c r="E4" s="5" t="s">
        <v>316</v>
      </c>
      <c r="F4" s="10" t="s">
        <v>25</v>
      </c>
      <c r="G4" s="11">
        <v>70000</v>
      </c>
      <c r="H4" s="10" t="s">
        <v>32</v>
      </c>
      <c r="I4" s="10" t="s">
        <v>33</v>
      </c>
      <c r="J4" s="12">
        <v>0.55555555555555558</v>
      </c>
      <c r="K4" s="13">
        <v>0.54652777777777783</v>
      </c>
      <c r="L4" s="12">
        <v>0.40625</v>
      </c>
      <c r="M4" s="2">
        <v>0.41180555555555554</v>
      </c>
      <c r="N4" s="10" t="s">
        <v>351</v>
      </c>
      <c r="O4" s="10" t="s">
        <v>103</v>
      </c>
      <c r="P4" s="10">
        <v>781</v>
      </c>
      <c r="Q4" s="10">
        <v>937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4">
        <v>43699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4">
        <v>0.70138888888888884</v>
      </c>
      <c r="K5" s="2">
        <v>0.69166666666666676</v>
      </c>
      <c r="L5" s="14">
        <v>0.49305555555555558</v>
      </c>
      <c r="M5" s="2">
        <v>0.49652777777777773</v>
      </c>
      <c r="N5" s="10" t="s">
        <v>353</v>
      </c>
      <c r="O5" s="3" t="s">
        <v>352</v>
      </c>
      <c r="P5" s="3">
        <v>620</v>
      </c>
      <c r="Q5" s="3">
        <v>1490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43699</v>
      </c>
      <c r="B6" s="3" t="s">
        <v>21</v>
      </c>
      <c r="C6" s="3" t="s">
        <v>37</v>
      </c>
      <c r="D6" s="3" t="s">
        <v>23</v>
      </c>
      <c r="E6" s="5" t="s">
        <v>316</v>
      </c>
      <c r="F6" s="3" t="s">
        <v>25</v>
      </c>
      <c r="G6" s="6">
        <v>70000</v>
      </c>
      <c r="H6" s="3" t="s">
        <v>38</v>
      </c>
      <c r="I6" s="3" t="s">
        <v>39</v>
      </c>
      <c r="J6" s="12">
        <v>0.75694444444444453</v>
      </c>
      <c r="K6" s="2">
        <v>0.75069444444444444</v>
      </c>
      <c r="L6" s="12">
        <v>0.58680555555555558</v>
      </c>
      <c r="M6" s="21">
        <v>0.59652777777777777</v>
      </c>
      <c r="N6" s="3" t="s">
        <v>354</v>
      </c>
      <c r="O6" s="10" t="s">
        <v>176</v>
      </c>
      <c r="P6" s="16">
        <v>739</v>
      </c>
      <c r="Q6" s="10">
        <v>1335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43699</v>
      </c>
      <c r="B7" s="10" t="s">
        <v>21</v>
      </c>
      <c r="C7" s="10" t="s">
        <v>40</v>
      </c>
      <c r="D7" s="10" t="s">
        <v>23</v>
      </c>
      <c r="E7" s="5" t="s">
        <v>24</v>
      </c>
      <c r="F7" s="10" t="s">
        <v>25</v>
      </c>
      <c r="G7" s="6">
        <v>71500</v>
      </c>
      <c r="H7" s="10" t="s">
        <v>41</v>
      </c>
      <c r="I7" s="10" t="s">
        <v>42</v>
      </c>
      <c r="J7" s="12">
        <v>0.92708333333333337</v>
      </c>
      <c r="K7" s="2">
        <v>0.92638888888888893</v>
      </c>
      <c r="L7" s="17">
        <v>0.72222222222222221</v>
      </c>
      <c r="M7" s="21">
        <v>0.74722222222222223</v>
      </c>
      <c r="N7" s="3" t="s">
        <v>355</v>
      </c>
      <c r="O7" s="3" t="s">
        <v>152</v>
      </c>
      <c r="P7" s="3">
        <v>117</v>
      </c>
      <c r="Q7" s="16">
        <v>1318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4">
        <v>43699</v>
      </c>
      <c r="B8" s="10" t="s">
        <v>21</v>
      </c>
      <c r="C8" s="10" t="s">
        <v>43</v>
      </c>
      <c r="D8" s="10" t="s">
        <v>23</v>
      </c>
      <c r="E8" s="5" t="s">
        <v>316</v>
      </c>
      <c r="F8" s="10" t="s">
        <v>25</v>
      </c>
      <c r="G8" s="11">
        <v>70000</v>
      </c>
      <c r="H8" s="10" t="s">
        <v>44</v>
      </c>
      <c r="I8" s="10" t="s">
        <v>45</v>
      </c>
      <c r="J8" s="12">
        <v>0.95486111111111116</v>
      </c>
      <c r="K8" s="2">
        <v>0.97013888888888899</v>
      </c>
      <c r="L8" s="12">
        <v>0.77777777777777779</v>
      </c>
      <c r="M8" s="21">
        <v>0.80625000000000002</v>
      </c>
      <c r="N8" s="3" t="s">
        <v>356</v>
      </c>
      <c r="O8" s="10" t="s">
        <v>159</v>
      </c>
      <c r="P8" s="10">
        <v>578</v>
      </c>
      <c r="Q8" s="10">
        <v>1510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4">
        <v>43699</v>
      </c>
      <c r="B9" s="10" t="s">
        <v>344</v>
      </c>
      <c r="C9" s="10" t="s">
        <v>345</v>
      </c>
      <c r="D9" s="10" t="s">
        <v>217</v>
      </c>
      <c r="E9" s="5" t="s">
        <v>346</v>
      </c>
      <c r="F9" s="10" t="s">
        <v>347</v>
      </c>
      <c r="G9" s="11">
        <v>6000</v>
      </c>
      <c r="H9" s="10" t="s">
        <v>348</v>
      </c>
      <c r="I9" s="10" t="s">
        <v>348</v>
      </c>
      <c r="J9" s="12">
        <v>0.41319444444444442</v>
      </c>
      <c r="K9" s="13">
        <v>0.42708333333333331</v>
      </c>
      <c r="L9" s="12">
        <v>0.66666666666666663</v>
      </c>
      <c r="M9" s="13">
        <v>0.67569444444444438</v>
      </c>
      <c r="N9" s="9">
        <v>3</v>
      </c>
      <c r="O9" s="9">
        <v>3</v>
      </c>
      <c r="P9" s="9">
        <v>0</v>
      </c>
      <c r="Q9" s="9">
        <v>0</v>
      </c>
      <c r="R9" s="10">
        <v>0</v>
      </c>
      <c r="S9" s="10">
        <v>0</v>
      </c>
      <c r="T9" s="10">
        <v>0</v>
      </c>
      <c r="U9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workbookViewId="0">
      <selection activeCell="C25" sqref="C25"/>
    </sheetView>
  </sheetViews>
  <sheetFormatPr defaultRowHeight="12.75" x14ac:dyDescent="0.2"/>
  <cols>
    <col min="1" max="1" width="9.140625" style="19" bestFit="1" customWidth="1"/>
    <col min="2" max="2" width="24.5703125" style="19" bestFit="1" customWidth="1"/>
    <col min="3" max="3" width="16.140625" style="19" bestFit="1" customWidth="1"/>
    <col min="4" max="4" width="5.7109375" style="19" bestFit="1" customWidth="1"/>
    <col min="5" max="5" width="9.140625" style="19"/>
    <col min="6" max="6" width="12.7109375" style="19" bestFit="1" customWidth="1"/>
    <col min="7" max="9" width="9.140625" style="19"/>
    <col min="10" max="10" width="11.28515625" style="19" customWidth="1"/>
    <col min="11" max="11" width="11.5703125" style="19" customWidth="1"/>
    <col min="12" max="12" width="10.85546875" style="19" customWidth="1"/>
    <col min="13" max="13" width="10.5703125" style="19" customWidth="1"/>
    <col min="14" max="14" width="19.28515625" style="19" customWidth="1"/>
    <col min="15" max="15" width="18.42578125" style="19" customWidth="1"/>
    <col min="16" max="16384" width="9.140625" style="19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43701</v>
      </c>
      <c r="B2" s="5" t="s">
        <v>21</v>
      </c>
      <c r="C2" s="5" t="s">
        <v>22</v>
      </c>
      <c r="D2" s="5" t="s">
        <v>23</v>
      </c>
      <c r="E2" s="5" t="s">
        <v>316</v>
      </c>
      <c r="F2" s="5" t="s">
        <v>25</v>
      </c>
      <c r="G2" s="6">
        <v>70000</v>
      </c>
      <c r="H2" s="5" t="s">
        <v>26</v>
      </c>
      <c r="I2" s="5" t="s">
        <v>27</v>
      </c>
      <c r="J2" s="7">
        <v>0.38541666666666669</v>
      </c>
      <c r="K2" s="2">
        <v>0.37013888888888885</v>
      </c>
      <c r="L2" s="7">
        <v>0.25694444444444448</v>
      </c>
      <c r="M2" s="8">
        <v>0.25972222222222224</v>
      </c>
      <c r="N2" s="3" t="s">
        <v>260</v>
      </c>
      <c r="O2" s="9" t="s">
        <v>314</v>
      </c>
      <c r="P2" s="9">
        <v>616</v>
      </c>
      <c r="Q2" s="9">
        <v>775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43701</v>
      </c>
      <c r="B3" s="5" t="s">
        <v>21</v>
      </c>
      <c r="C3" s="5" t="s">
        <v>43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0.46527777777777773</v>
      </c>
      <c r="L3" s="7">
        <v>0.28125</v>
      </c>
      <c r="M3" s="8">
        <v>0.3</v>
      </c>
      <c r="N3" s="3" t="s">
        <v>135</v>
      </c>
      <c r="O3" s="9" t="s">
        <v>260</v>
      </c>
      <c r="P3" s="5">
        <v>917</v>
      </c>
      <c r="Q3" s="9">
        <v>1222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43701</v>
      </c>
      <c r="B4" s="5" t="s">
        <v>21</v>
      </c>
      <c r="C4" s="3" t="s">
        <v>31</v>
      </c>
      <c r="D4" s="3" t="s">
        <v>23</v>
      </c>
      <c r="E4" s="5" t="s">
        <v>316</v>
      </c>
      <c r="F4" s="3" t="s">
        <v>25</v>
      </c>
      <c r="G4" s="6">
        <v>70000</v>
      </c>
      <c r="H4" s="3" t="s">
        <v>32</v>
      </c>
      <c r="I4" s="3" t="s">
        <v>33</v>
      </c>
      <c r="J4" s="14">
        <v>0.55555555555555558</v>
      </c>
      <c r="K4" s="2">
        <v>0.72361111111111109</v>
      </c>
      <c r="L4" s="14">
        <v>0.40625</v>
      </c>
      <c r="M4" s="2">
        <v>0.41666666666666669</v>
      </c>
      <c r="N4" s="2" t="s">
        <v>358</v>
      </c>
      <c r="O4" s="3" t="s">
        <v>79</v>
      </c>
      <c r="P4" s="3">
        <v>820</v>
      </c>
      <c r="Q4" s="9">
        <v>1209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v>43701</v>
      </c>
      <c r="B5" s="5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7">
        <v>0.70138888888888884</v>
      </c>
      <c r="K5" s="2">
        <v>0.70694444444444438</v>
      </c>
      <c r="L5" s="17">
        <v>0.49305555555555558</v>
      </c>
      <c r="M5" s="15">
        <v>0.51736111111111105</v>
      </c>
      <c r="N5" s="3" t="s">
        <v>317</v>
      </c>
      <c r="O5" s="3" t="s">
        <v>53</v>
      </c>
      <c r="P5" s="16">
        <v>928</v>
      </c>
      <c r="Q5" s="9">
        <v>1549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43701</v>
      </c>
      <c r="B6" s="5" t="s">
        <v>21</v>
      </c>
      <c r="C6" s="3" t="s">
        <v>90</v>
      </c>
      <c r="D6" s="3" t="s">
        <v>23</v>
      </c>
      <c r="E6" s="5" t="s">
        <v>316</v>
      </c>
      <c r="F6" s="3" t="s">
        <v>25</v>
      </c>
      <c r="G6" s="6">
        <v>70000</v>
      </c>
      <c r="H6" s="5" t="s">
        <v>91</v>
      </c>
      <c r="I6" s="5" t="s">
        <v>92</v>
      </c>
      <c r="J6" s="23">
        <v>0.74652777777777779</v>
      </c>
      <c r="K6" s="2">
        <v>0.89583333333333337</v>
      </c>
      <c r="L6" s="23">
        <v>0.58680555555555558</v>
      </c>
      <c r="M6" s="24">
        <v>0.7583333333333333</v>
      </c>
      <c r="N6" s="3" t="s">
        <v>360</v>
      </c>
      <c r="O6" s="3" t="s">
        <v>292</v>
      </c>
      <c r="P6" s="3">
        <v>1143</v>
      </c>
      <c r="Q6" s="9">
        <v>1387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43701</v>
      </c>
      <c r="B7" s="5" t="s">
        <v>21</v>
      </c>
      <c r="C7" s="25" t="s">
        <v>93</v>
      </c>
      <c r="D7" s="25" t="s">
        <v>23</v>
      </c>
      <c r="E7" s="5" t="s">
        <v>24</v>
      </c>
      <c r="F7" s="25" t="s">
        <v>25</v>
      </c>
      <c r="G7" s="26">
        <v>71500</v>
      </c>
      <c r="H7" s="25" t="s">
        <v>94</v>
      </c>
      <c r="I7" s="25" t="s">
        <v>95</v>
      </c>
      <c r="J7" s="23">
        <v>0.94097222222222221</v>
      </c>
      <c r="K7" s="2">
        <v>0.95694444444444438</v>
      </c>
      <c r="L7" s="23">
        <v>0.72222222222222221</v>
      </c>
      <c r="M7" s="24">
        <v>0.75277777777777777</v>
      </c>
      <c r="N7" s="15" t="s">
        <v>361</v>
      </c>
      <c r="O7" s="25" t="s">
        <v>145</v>
      </c>
      <c r="P7" s="25">
        <v>360</v>
      </c>
      <c r="Q7" s="9">
        <v>1256</v>
      </c>
      <c r="R7" s="25">
        <v>0</v>
      </c>
      <c r="S7" s="25">
        <v>0</v>
      </c>
      <c r="T7" s="25">
        <v>0</v>
      </c>
      <c r="U7" s="25">
        <v>0</v>
      </c>
    </row>
    <row r="8" spans="1:21" x14ac:dyDescent="0.2">
      <c r="A8" s="4">
        <v>43701</v>
      </c>
      <c r="B8" s="3" t="s">
        <v>21</v>
      </c>
      <c r="C8" s="16" t="s">
        <v>96</v>
      </c>
      <c r="D8" s="3" t="s">
        <v>23</v>
      </c>
      <c r="E8" s="5" t="s">
        <v>316</v>
      </c>
      <c r="F8" s="3" t="s">
        <v>25</v>
      </c>
      <c r="G8" s="6">
        <v>70000</v>
      </c>
      <c r="H8" s="5" t="s">
        <v>97</v>
      </c>
      <c r="I8" s="5" t="s">
        <v>98</v>
      </c>
      <c r="J8" s="17">
        <v>0.94444444444444453</v>
      </c>
      <c r="K8" s="32"/>
      <c r="L8" s="17">
        <v>0.76736111111111116</v>
      </c>
      <c r="M8" s="15">
        <v>0.9277777777777777</v>
      </c>
      <c r="N8" s="33" t="s">
        <v>362</v>
      </c>
      <c r="O8" s="15" t="s">
        <v>359</v>
      </c>
      <c r="P8" s="34"/>
      <c r="Q8" s="9">
        <v>1012</v>
      </c>
      <c r="R8" s="3">
        <v>0</v>
      </c>
      <c r="S8" s="3">
        <v>0</v>
      </c>
      <c r="T8" s="3">
        <v>0</v>
      </c>
      <c r="U8" s="3">
        <v>0</v>
      </c>
    </row>
    <row r="9" spans="1:21" x14ac:dyDescent="0.2">
      <c r="A9" s="4"/>
      <c r="B9" s="3"/>
      <c r="C9" s="3"/>
      <c r="D9" s="3"/>
      <c r="E9" s="5"/>
      <c r="F9" s="3"/>
      <c r="G9" s="6"/>
      <c r="H9" s="5"/>
      <c r="I9" s="5"/>
      <c r="J9" s="17"/>
      <c r="K9" s="15"/>
      <c r="L9" s="17"/>
      <c r="M9" s="17"/>
      <c r="N9" s="30"/>
      <c r="O9" s="30"/>
      <c r="P9" s="30"/>
      <c r="Q9" s="30"/>
      <c r="R9" s="30"/>
      <c r="S9" s="30"/>
      <c r="T9" s="30"/>
      <c r="U9" s="30"/>
    </row>
    <row r="10" spans="1:21" x14ac:dyDescent="0.2">
      <c r="A10" s="31"/>
      <c r="G10" s="22"/>
      <c r="J10" s="20"/>
      <c r="K10" s="21"/>
      <c r="L10" s="20"/>
      <c r="M10" s="21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"/>
  <sheetViews>
    <sheetView topLeftCell="D1" workbookViewId="0">
      <selection activeCell="G26" sqref="G26"/>
    </sheetView>
  </sheetViews>
  <sheetFormatPr defaultRowHeight="12.75" x14ac:dyDescent="0.25"/>
  <cols>
    <col min="1" max="1" width="7.85546875" style="10" bestFit="1" customWidth="1"/>
    <col min="2" max="2" width="14.5703125" style="10" bestFit="1" customWidth="1"/>
    <col min="3" max="3" width="13.5703125" style="10" bestFit="1" customWidth="1"/>
    <col min="4" max="4" width="5.7109375" style="10" bestFit="1" customWidth="1"/>
    <col min="5" max="5" width="8.42578125" style="10" bestFit="1" customWidth="1"/>
    <col min="6" max="6" width="12.140625" style="10" bestFit="1" customWidth="1"/>
    <col min="7" max="13" width="9.140625" style="10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43702</v>
      </c>
      <c r="B2" s="5" t="s">
        <v>21</v>
      </c>
      <c r="C2" s="5" t="s">
        <v>28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0.45</v>
      </c>
      <c r="L2" s="7">
        <v>0.25694444444444448</v>
      </c>
      <c r="M2" s="8">
        <v>0.26180555555555557</v>
      </c>
      <c r="N2" s="10" t="s">
        <v>368</v>
      </c>
      <c r="O2" s="9" t="s">
        <v>366</v>
      </c>
      <c r="P2" s="10">
        <v>1147</v>
      </c>
      <c r="Q2" s="9">
        <v>1218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43702</v>
      </c>
      <c r="B3" s="5" t="s">
        <v>21</v>
      </c>
      <c r="C3" s="5" t="s">
        <v>40</v>
      </c>
      <c r="D3" s="5" t="s">
        <v>23</v>
      </c>
      <c r="E3" s="5" t="s">
        <v>316</v>
      </c>
      <c r="F3" s="5" t="s">
        <v>25</v>
      </c>
      <c r="G3" s="6">
        <v>70000</v>
      </c>
      <c r="H3" s="5" t="s">
        <v>41</v>
      </c>
      <c r="I3" s="5" t="s">
        <v>42</v>
      </c>
      <c r="J3" s="7">
        <v>0.4861111111111111</v>
      </c>
      <c r="K3" s="2">
        <v>0.51597222222222217</v>
      </c>
      <c r="L3" s="7">
        <v>0.28125</v>
      </c>
      <c r="M3" s="8">
        <v>0.33680555555555558</v>
      </c>
      <c r="N3" s="9" t="s">
        <v>369</v>
      </c>
      <c r="O3" s="9" t="s">
        <v>367</v>
      </c>
      <c r="P3" s="10">
        <v>567</v>
      </c>
      <c r="Q3" s="9">
        <v>1508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43702</v>
      </c>
      <c r="B4" s="3" t="s">
        <v>21</v>
      </c>
      <c r="C4" s="3" t="s">
        <v>116</v>
      </c>
      <c r="D4" s="3" t="s">
        <v>23</v>
      </c>
      <c r="E4" s="5" t="s">
        <v>24</v>
      </c>
      <c r="F4" s="3" t="s">
        <v>25</v>
      </c>
      <c r="G4" s="6">
        <v>71500</v>
      </c>
      <c r="H4" s="3" t="s">
        <v>117</v>
      </c>
      <c r="I4" s="3" t="s">
        <v>118</v>
      </c>
      <c r="J4" s="14">
        <v>0.72569444444444453</v>
      </c>
      <c r="K4" s="2">
        <v>0.7270833333333333</v>
      </c>
      <c r="L4" s="14">
        <v>0.48958333333333331</v>
      </c>
      <c r="M4" s="2">
        <v>0.51388888888888895</v>
      </c>
      <c r="N4" s="3" t="s">
        <v>371</v>
      </c>
      <c r="O4" s="3" t="s">
        <v>188</v>
      </c>
      <c r="P4" s="3">
        <v>841</v>
      </c>
      <c r="Q4" s="9">
        <v>1740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43702</v>
      </c>
      <c r="B5" s="3" t="s">
        <v>21</v>
      </c>
      <c r="C5" s="3" t="s">
        <v>65</v>
      </c>
      <c r="D5" s="3" t="s">
        <v>23</v>
      </c>
      <c r="E5" s="5" t="s">
        <v>316</v>
      </c>
      <c r="F5" s="3" t="s">
        <v>25</v>
      </c>
      <c r="G5" s="6">
        <v>70000</v>
      </c>
      <c r="H5" s="3" t="s">
        <v>66</v>
      </c>
      <c r="I5" s="3" t="s">
        <v>67</v>
      </c>
      <c r="J5" s="14">
        <v>0.74652777777777779</v>
      </c>
      <c r="K5" s="2">
        <v>0.77569444444444446</v>
      </c>
      <c r="L5" s="14">
        <v>0.51736111111111105</v>
      </c>
      <c r="M5" s="2">
        <v>0.57222222222222219</v>
      </c>
      <c r="N5" s="3" t="s">
        <v>372</v>
      </c>
      <c r="O5" s="3" t="s">
        <v>370</v>
      </c>
      <c r="P5" s="3">
        <v>620</v>
      </c>
      <c r="Q5" s="9">
        <v>1731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43702</v>
      </c>
      <c r="B6" s="3" t="s">
        <v>21</v>
      </c>
      <c r="C6" s="3" t="s">
        <v>37</v>
      </c>
      <c r="D6" s="3" t="s">
        <v>23</v>
      </c>
      <c r="E6" s="5" t="s">
        <v>24</v>
      </c>
      <c r="F6" s="3" t="s">
        <v>25</v>
      </c>
      <c r="G6" s="6">
        <v>71500</v>
      </c>
      <c r="H6" s="5" t="s">
        <v>38</v>
      </c>
      <c r="I6" s="5" t="s">
        <v>39</v>
      </c>
      <c r="J6" s="12">
        <v>0.91666666666666663</v>
      </c>
      <c r="K6" s="2">
        <v>0.91666666666666663</v>
      </c>
      <c r="L6" s="12">
        <v>0.74652777777777779</v>
      </c>
      <c r="M6" s="13">
        <v>0.74652777777777779</v>
      </c>
      <c r="N6" s="3" t="s">
        <v>373</v>
      </c>
      <c r="O6" s="3" t="s">
        <v>292</v>
      </c>
      <c r="P6" s="3">
        <v>723</v>
      </c>
      <c r="Q6" s="9">
        <v>990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43702</v>
      </c>
      <c r="B7" s="3" t="s">
        <v>21</v>
      </c>
      <c r="C7" s="3" t="s">
        <v>119</v>
      </c>
      <c r="D7" s="3" t="s">
        <v>23</v>
      </c>
      <c r="E7" s="5" t="s">
        <v>316</v>
      </c>
      <c r="F7" s="3" t="s">
        <v>25</v>
      </c>
      <c r="G7" s="6">
        <v>70000</v>
      </c>
      <c r="H7" s="5" t="s">
        <v>120</v>
      </c>
      <c r="I7" s="5" t="s">
        <v>121</v>
      </c>
      <c r="J7" s="12">
        <v>0.95833333333333337</v>
      </c>
      <c r="K7" s="13">
        <v>0.99513888888888891</v>
      </c>
      <c r="L7" s="12">
        <v>0.76736111111111116</v>
      </c>
      <c r="M7" s="13">
        <v>0.81944444444444453</v>
      </c>
      <c r="N7" s="10" t="s">
        <v>374</v>
      </c>
      <c r="O7" s="10" t="s">
        <v>235</v>
      </c>
      <c r="P7" s="3">
        <v>912</v>
      </c>
      <c r="Q7" s="9">
        <v>1313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5">
      <c r="A8" s="4">
        <v>43702</v>
      </c>
      <c r="B8" s="10" t="s">
        <v>21</v>
      </c>
      <c r="C8" s="10" t="s">
        <v>363</v>
      </c>
      <c r="D8" s="10" t="s">
        <v>23</v>
      </c>
      <c r="E8" s="10" t="s">
        <v>316</v>
      </c>
      <c r="F8" s="10" t="s">
        <v>364</v>
      </c>
      <c r="G8" s="11">
        <v>70000</v>
      </c>
      <c r="H8" s="10" t="s">
        <v>227</v>
      </c>
      <c r="I8" s="10" t="s">
        <v>357</v>
      </c>
      <c r="J8" s="12">
        <v>0.22916666666666666</v>
      </c>
      <c r="K8" s="13">
        <v>0.2590277777777778</v>
      </c>
      <c r="L8" s="12" t="s">
        <v>357</v>
      </c>
      <c r="M8" s="13" t="s">
        <v>357</v>
      </c>
      <c r="N8" s="10" t="s">
        <v>365</v>
      </c>
      <c r="O8" s="10" t="s">
        <v>357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</row>
    <row r="9" spans="1:21" x14ac:dyDescent="0.25">
      <c r="A9" s="27"/>
      <c r="G9" s="11"/>
      <c r="J9" s="12"/>
      <c r="K9" s="13"/>
      <c r="L9" s="12"/>
      <c r="M9" s="13"/>
    </row>
    <row r="10" spans="1:21" x14ac:dyDescent="0.25">
      <c r="A10" s="27"/>
      <c r="G10" s="11"/>
      <c r="J10" s="12"/>
      <c r="K10" s="13"/>
      <c r="L10" s="12"/>
      <c r="M10" s="13"/>
    </row>
    <row r="11" spans="1:21" x14ac:dyDescent="0.25">
      <c r="A11" s="27"/>
      <c r="G11" s="11"/>
      <c r="J11" s="12"/>
      <c r="K11" s="13"/>
      <c r="L11" s="12"/>
      <c r="M11" s="13"/>
    </row>
    <row r="12" spans="1:21" x14ac:dyDescent="0.25">
      <c r="A12" s="27"/>
      <c r="G12" s="11"/>
      <c r="J12" s="12"/>
      <c r="K12" s="13"/>
      <c r="L12" s="12"/>
      <c r="M12" s="13"/>
    </row>
    <row r="13" spans="1:21" x14ac:dyDescent="0.25">
      <c r="A13" s="27"/>
      <c r="G13" s="11"/>
      <c r="J13" s="12"/>
      <c r="K13" s="13"/>
      <c r="L13" s="12"/>
      <c r="M13" s="13"/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zoomScale="80" zoomScaleNormal="80" workbookViewId="0">
      <selection activeCell="K7" sqref="K7"/>
    </sheetView>
  </sheetViews>
  <sheetFormatPr defaultRowHeight="15" x14ac:dyDescent="0.25"/>
  <cols>
    <col min="1" max="1" width="9.140625" bestFit="1" customWidth="1"/>
    <col min="3" max="3" width="13.5703125" bestFit="1" customWidth="1"/>
    <col min="4" max="4" width="5.7109375" bestFit="1" customWidth="1"/>
    <col min="5" max="5" width="7.85546875" bestFit="1" customWidth="1"/>
    <col min="6" max="6" width="17.140625" customWidth="1"/>
    <col min="14" max="15" width="18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43703</v>
      </c>
      <c r="B2" s="5" t="s">
        <v>21</v>
      </c>
      <c r="C2" s="5" t="s">
        <v>28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29</v>
      </c>
      <c r="I2" s="5" t="s">
        <v>30</v>
      </c>
      <c r="J2" s="7">
        <v>0.45833333333333331</v>
      </c>
      <c r="K2" s="2">
        <v>0.46666666666666662</v>
      </c>
      <c r="L2" s="7">
        <v>0.25694444444444448</v>
      </c>
      <c r="M2" s="8">
        <v>0.26041666666666669</v>
      </c>
      <c r="N2" s="3" t="s">
        <v>376</v>
      </c>
      <c r="O2" s="9" t="s">
        <v>53</v>
      </c>
      <c r="P2" s="9">
        <v>806</v>
      </c>
      <c r="Q2" s="9">
        <v>1233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f>A2</f>
        <v>43703</v>
      </c>
      <c r="B3" s="5" t="s">
        <v>21</v>
      </c>
      <c r="C3" s="5" t="s">
        <v>40</v>
      </c>
      <c r="D3" s="5" t="s">
        <v>23</v>
      </c>
      <c r="E3" s="5" t="s">
        <v>316</v>
      </c>
      <c r="F3" s="5" t="s">
        <v>25</v>
      </c>
      <c r="G3" s="6">
        <v>70000</v>
      </c>
      <c r="H3" s="5" t="s">
        <v>41</v>
      </c>
      <c r="I3" s="5" t="s">
        <v>42</v>
      </c>
      <c r="J3" s="7">
        <v>0.4861111111111111</v>
      </c>
      <c r="K3" s="2">
        <v>0.62916666666666665</v>
      </c>
      <c r="L3" s="7">
        <v>0.28125</v>
      </c>
      <c r="M3" s="8">
        <v>0.2951388888888889</v>
      </c>
      <c r="N3" s="3" t="s">
        <v>381</v>
      </c>
      <c r="O3" s="9" t="s">
        <v>375</v>
      </c>
      <c r="P3" s="5">
        <v>474</v>
      </c>
      <c r="Q3" s="9">
        <v>1139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f>A3</f>
        <v>43703</v>
      </c>
      <c r="B4" s="3" t="s">
        <v>21</v>
      </c>
      <c r="C4" s="3" t="s">
        <v>62</v>
      </c>
      <c r="D4" s="3" t="s">
        <v>23</v>
      </c>
      <c r="E4" s="5" t="str">
        <f>E2</f>
        <v>HALWO</v>
      </c>
      <c r="F4" s="3" t="s">
        <v>25</v>
      </c>
      <c r="G4" s="6">
        <f>G2</f>
        <v>71500</v>
      </c>
      <c r="H4" s="3" t="s">
        <v>63</v>
      </c>
      <c r="I4" s="3" t="s">
        <v>64</v>
      </c>
      <c r="J4" s="14">
        <v>0.70833333333333337</v>
      </c>
      <c r="K4" s="2">
        <v>0.70208333333333339</v>
      </c>
      <c r="L4" s="14">
        <v>0.48958333333333331</v>
      </c>
      <c r="M4" s="2">
        <v>0.50347222222222221</v>
      </c>
      <c r="N4" s="19" t="s">
        <v>382</v>
      </c>
      <c r="O4" s="3" t="s">
        <v>342</v>
      </c>
      <c r="P4" s="3">
        <v>417</v>
      </c>
      <c r="Q4" s="9">
        <v>1348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f>A4</f>
        <v>43703</v>
      </c>
      <c r="B5" s="3" t="s">
        <v>21</v>
      </c>
      <c r="C5" s="3" t="s">
        <v>65</v>
      </c>
      <c r="D5" s="3" t="s">
        <v>23</v>
      </c>
      <c r="E5" s="5" t="s">
        <v>378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0.89930555555555547</v>
      </c>
      <c r="L5" s="14">
        <v>0.51736111111111105</v>
      </c>
      <c r="M5" s="2">
        <v>0.69861111111111107</v>
      </c>
      <c r="N5" s="3" t="s">
        <v>385</v>
      </c>
      <c r="O5" s="3" t="s">
        <v>57</v>
      </c>
      <c r="P5" s="3">
        <v>518</v>
      </c>
      <c r="Q5" s="9">
        <v>1496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f>A5</f>
        <v>43703</v>
      </c>
      <c r="B6" s="3" t="s">
        <v>21</v>
      </c>
      <c r="C6" s="3" t="s">
        <v>37</v>
      </c>
      <c r="D6" s="3" t="s">
        <v>23</v>
      </c>
      <c r="E6" s="5" t="str">
        <f>E2</f>
        <v>HALWO</v>
      </c>
      <c r="F6" s="3" t="s">
        <v>25</v>
      </c>
      <c r="G6" s="6">
        <f>G4</f>
        <v>71500</v>
      </c>
      <c r="H6" s="5" t="s">
        <v>38</v>
      </c>
      <c r="I6" s="5" t="s">
        <v>39</v>
      </c>
      <c r="J6" s="20">
        <v>0.89930555555555547</v>
      </c>
      <c r="K6" s="2">
        <v>0.89374999999999993</v>
      </c>
      <c r="L6" s="20">
        <v>0.72916666666666663</v>
      </c>
      <c r="M6" s="21">
        <v>0.73958333333333337</v>
      </c>
      <c r="N6" s="3" t="s">
        <v>386</v>
      </c>
      <c r="O6" s="19" t="s">
        <v>383</v>
      </c>
      <c r="P6" s="19">
        <v>350</v>
      </c>
      <c r="Q6" s="9">
        <v>795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f>A6</f>
        <v>43703</v>
      </c>
      <c r="B7" s="19" t="s">
        <v>21</v>
      </c>
      <c r="C7" s="19" t="s">
        <v>68</v>
      </c>
      <c r="D7" s="19" t="s">
        <v>23</v>
      </c>
      <c r="E7" s="5" t="s">
        <v>316</v>
      </c>
      <c r="F7" s="19" t="s">
        <v>25</v>
      </c>
      <c r="G7" s="22">
        <v>70000</v>
      </c>
      <c r="H7" s="19" t="s">
        <v>69</v>
      </c>
      <c r="I7" s="19" t="s">
        <v>70</v>
      </c>
      <c r="J7" s="20">
        <v>0.9375</v>
      </c>
      <c r="K7" s="2">
        <v>0.94791666666666663</v>
      </c>
      <c r="L7" s="20">
        <v>0.76736111111111116</v>
      </c>
      <c r="M7" s="21">
        <v>0.78402777777777777</v>
      </c>
      <c r="N7" s="3" t="s">
        <v>163</v>
      </c>
      <c r="O7" s="3" t="s">
        <v>384</v>
      </c>
      <c r="P7" s="3">
        <v>398</v>
      </c>
      <c r="Q7" s="9">
        <v>792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5">
      <c r="A8" s="4">
        <v>43703</v>
      </c>
      <c r="B8" s="3" t="s">
        <v>21</v>
      </c>
      <c r="C8" s="3" t="s">
        <v>377</v>
      </c>
      <c r="D8" s="3" t="s">
        <v>23</v>
      </c>
      <c r="E8" s="5" t="s">
        <v>378</v>
      </c>
      <c r="F8" s="3" t="s">
        <v>226</v>
      </c>
      <c r="G8" s="6">
        <v>71500</v>
      </c>
      <c r="H8" s="5" t="s">
        <v>379</v>
      </c>
      <c r="I8" s="5" t="s">
        <v>380</v>
      </c>
      <c r="J8" s="20">
        <v>0.59375</v>
      </c>
      <c r="K8" s="21">
        <v>0.62430555555555556</v>
      </c>
      <c r="L8" s="20">
        <v>0.875</v>
      </c>
      <c r="M8" s="21">
        <v>0.92986111111111114</v>
      </c>
      <c r="N8" s="3" t="s">
        <v>365</v>
      </c>
      <c r="O8" s="3" t="s">
        <v>365</v>
      </c>
      <c r="P8" s="3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</row>
  </sheetData>
  <pageMargins left="0.7" right="0.7" top="0.75" bottom="0.75" header="0.3" footer="0.3"/>
  <pageSetup paperSize="9" orientation="portrait" verticalDpi="0" r:id="rId1"/>
  <ignoredErrors>
    <ignoredError sqref="E6" formula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workbookViewId="0">
      <selection activeCell="N14" sqref="N14"/>
    </sheetView>
  </sheetViews>
  <sheetFormatPr defaultRowHeight="12.75" x14ac:dyDescent="0.2"/>
  <cols>
    <col min="1" max="1" width="9.140625" style="29"/>
    <col min="2" max="2" width="22.7109375" style="29" customWidth="1"/>
    <col min="3" max="3" width="14.28515625" style="29" customWidth="1"/>
    <col min="4" max="4" width="12.42578125" style="29" customWidth="1"/>
    <col min="5" max="5" width="9.140625" style="29"/>
    <col min="6" max="6" width="18.140625" style="29" customWidth="1"/>
    <col min="7" max="12" width="9.140625" style="29"/>
    <col min="13" max="13" width="11.42578125" style="29" customWidth="1"/>
    <col min="14" max="14" width="17.5703125" style="29" customWidth="1"/>
    <col min="15" max="15" width="19.5703125" style="29" customWidth="1"/>
    <col min="16" max="16384" width="9.140625" style="29"/>
  </cols>
  <sheetData>
    <row r="1" spans="1:2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x14ac:dyDescent="0.2">
      <c r="A2" s="4">
        <v>43704</v>
      </c>
      <c r="B2" s="5" t="s">
        <v>21</v>
      </c>
      <c r="C2" s="5" t="s">
        <v>22</v>
      </c>
      <c r="D2" s="5" t="s">
        <v>23</v>
      </c>
      <c r="E2" s="5" t="s">
        <v>122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0.36805555555555558</v>
      </c>
      <c r="L2" s="7">
        <v>0.25694444444444448</v>
      </c>
      <c r="M2" s="8">
        <v>0.26111111111111113</v>
      </c>
      <c r="N2" s="3" t="s">
        <v>394</v>
      </c>
      <c r="O2" s="9" t="s">
        <v>392</v>
      </c>
      <c r="P2" s="9">
        <v>271</v>
      </c>
      <c r="Q2" s="9">
        <v>836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43704</v>
      </c>
      <c r="B3" s="5" t="s">
        <v>21</v>
      </c>
      <c r="C3" s="5" t="s">
        <v>43</v>
      </c>
      <c r="D3" s="5" t="s">
        <v>23</v>
      </c>
      <c r="E3" s="5" t="s">
        <v>330</v>
      </c>
      <c r="F3" s="5" t="s">
        <v>25</v>
      </c>
      <c r="G3" s="6">
        <v>70000</v>
      </c>
      <c r="H3" s="5" t="s">
        <v>44</v>
      </c>
      <c r="I3" s="5" t="s">
        <v>45</v>
      </c>
      <c r="J3" s="7">
        <v>0.46180555555555558</v>
      </c>
      <c r="K3" s="2">
        <v>0.47291666666666665</v>
      </c>
      <c r="L3" s="7">
        <v>0.28125</v>
      </c>
      <c r="M3" s="8">
        <v>0.3034722222222222</v>
      </c>
      <c r="N3" s="3" t="s">
        <v>395</v>
      </c>
      <c r="O3" s="9" t="s">
        <v>393</v>
      </c>
      <c r="P3" s="5">
        <v>710</v>
      </c>
      <c r="Q3" s="9">
        <v>820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43704</v>
      </c>
      <c r="B4" s="5" t="s">
        <v>21</v>
      </c>
      <c r="C4" s="3" t="s">
        <v>31</v>
      </c>
      <c r="D4" s="3" t="s">
        <v>23</v>
      </c>
      <c r="E4" s="5" t="str">
        <f>E2</f>
        <v>HA-LWO</v>
      </c>
      <c r="F4" s="3" t="s">
        <v>25</v>
      </c>
      <c r="G4" s="6">
        <f>G2</f>
        <v>71500</v>
      </c>
      <c r="H4" s="3" t="s">
        <v>32</v>
      </c>
      <c r="I4" s="3" t="s">
        <v>33</v>
      </c>
      <c r="J4" s="14">
        <v>0.55555555555555558</v>
      </c>
      <c r="K4" s="2">
        <v>0.5541666666666667</v>
      </c>
      <c r="L4" s="14">
        <v>0.40625</v>
      </c>
      <c r="M4" s="2">
        <v>0.4145833333333333</v>
      </c>
      <c r="N4" s="3" t="s">
        <v>397</v>
      </c>
      <c r="O4" s="3" t="s">
        <v>235</v>
      </c>
      <c r="P4" s="3">
        <v>537</v>
      </c>
      <c r="Q4" s="9">
        <v>706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v>43704</v>
      </c>
      <c r="B5" s="5" t="s">
        <v>71</v>
      </c>
      <c r="C5" s="3" t="s">
        <v>72</v>
      </c>
      <c r="D5" s="3" t="str">
        <f>D4</f>
        <v>A320</v>
      </c>
      <c r="E5" s="5" t="s">
        <v>337</v>
      </c>
      <c r="F5" s="3" t="s">
        <v>73</v>
      </c>
      <c r="G5" s="6">
        <v>77000</v>
      </c>
      <c r="H5" s="3" t="s">
        <v>74</v>
      </c>
      <c r="I5" s="3" t="s">
        <v>75</v>
      </c>
      <c r="J5" s="14">
        <v>0.41319444444444442</v>
      </c>
      <c r="K5" s="2">
        <v>0.41250000000000003</v>
      </c>
      <c r="L5" s="14">
        <v>0.4548611111111111</v>
      </c>
      <c r="M5" s="2">
        <v>0.46111111111111108</v>
      </c>
      <c r="N5" s="3" t="s">
        <v>102</v>
      </c>
      <c r="O5" s="3" t="s">
        <v>396</v>
      </c>
      <c r="P5" s="3">
        <v>2220</v>
      </c>
      <c r="Q5" s="9">
        <v>1876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43704</v>
      </c>
      <c r="B6" s="5" t="s">
        <v>21</v>
      </c>
      <c r="C6" s="3" t="s">
        <v>34</v>
      </c>
      <c r="D6" s="3" t="s">
        <v>23</v>
      </c>
      <c r="E6" s="5" t="str">
        <f>E3</f>
        <v>HA-LWC</v>
      </c>
      <c r="F6" s="3" t="s">
        <v>25</v>
      </c>
      <c r="G6" s="6">
        <f>G3</f>
        <v>70000</v>
      </c>
      <c r="H6" s="3" t="s">
        <v>35</v>
      </c>
      <c r="I6" s="3" t="s">
        <v>36</v>
      </c>
      <c r="J6" s="17">
        <v>0.70138888888888884</v>
      </c>
      <c r="K6" s="2">
        <v>0.70694444444444438</v>
      </c>
      <c r="L6" s="17">
        <v>0.49305555555555558</v>
      </c>
      <c r="M6" s="15">
        <v>0.50972222222222219</v>
      </c>
      <c r="N6" s="3" t="s">
        <v>404</v>
      </c>
      <c r="O6" s="3" t="s">
        <v>257</v>
      </c>
      <c r="P6" s="16">
        <v>852</v>
      </c>
      <c r="Q6" s="9">
        <v>1240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f t="shared" ref="A7:A9" si="0">A6</f>
        <v>43704</v>
      </c>
      <c r="B7" s="5" t="s">
        <v>21</v>
      </c>
      <c r="C7" s="3" t="s">
        <v>90</v>
      </c>
      <c r="D7" s="3" t="s">
        <v>23</v>
      </c>
      <c r="E7" s="5" t="str">
        <f>E4</f>
        <v>HA-LWO</v>
      </c>
      <c r="F7" s="3" t="s">
        <v>25</v>
      </c>
      <c r="G7" s="6">
        <v>71500</v>
      </c>
      <c r="H7" s="5" t="s">
        <v>91</v>
      </c>
      <c r="I7" s="5" t="s">
        <v>92</v>
      </c>
      <c r="J7" s="23">
        <v>0.74652777777777779</v>
      </c>
      <c r="K7" s="2">
        <v>0.74930555555555556</v>
      </c>
      <c r="L7" s="23">
        <v>0.58680555555555558</v>
      </c>
      <c r="M7" s="24">
        <v>0.59652777777777777</v>
      </c>
      <c r="N7" s="3" t="s">
        <v>405</v>
      </c>
      <c r="O7" s="3" t="s">
        <v>57</v>
      </c>
      <c r="P7" s="3">
        <v>536</v>
      </c>
      <c r="Q7" s="9">
        <v>993</v>
      </c>
      <c r="R7" s="3">
        <v>0</v>
      </c>
      <c r="S7" s="3">
        <v>0</v>
      </c>
      <c r="T7" s="3">
        <v>0</v>
      </c>
      <c r="U7" s="3">
        <v>0</v>
      </c>
    </row>
    <row r="8" spans="1:21" x14ac:dyDescent="0.2">
      <c r="A8" s="4">
        <f t="shared" si="0"/>
        <v>43704</v>
      </c>
      <c r="B8" s="5" t="s">
        <v>21</v>
      </c>
      <c r="C8" s="25" t="s">
        <v>93</v>
      </c>
      <c r="D8" s="25" t="s">
        <v>23</v>
      </c>
      <c r="E8" s="5" t="str">
        <f>E6</f>
        <v>HA-LWC</v>
      </c>
      <c r="F8" s="25" t="s">
        <v>25</v>
      </c>
      <c r="G8" s="6">
        <f>G6</f>
        <v>70000</v>
      </c>
      <c r="H8" s="25" t="s">
        <v>94</v>
      </c>
      <c r="I8" s="25" t="s">
        <v>95</v>
      </c>
      <c r="J8" s="23">
        <v>0.94097222222222221</v>
      </c>
      <c r="K8" s="2">
        <v>0.9506944444444444</v>
      </c>
      <c r="L8" s="23">
        <v>0.72222222222222221</v>
      </c>
      <c r="M8" s="24">
        <v>0.75069444444444444</v>
      </c>
      <c r="N8" s="3" t="s">
        <v>412</v>
      </c>
      <c r="O8" s="15" t="s">
        <v>332</v>
      </c>
      <c r="P8" s="3">
        <v>494</v>
      </c>
      <c r="Q8" s="25">
        <v>1185</v>
      </c>
      <c r="R8" s="25">
        <v>0</v>
      </c>
      <c r="S8" s="25">
        <v>0</v>
      </c>
      <c r="T8" s="25">
        <v>0</v>
      </c>
      <c r="U8" s="25">
        <v>0</v>
      </c>
    </row>
    <row r="9" spans="1:21" x14ac:dyDescent="0.2">
      <c r="A9" s="4">
        <f t="shared" si="0"/>
        <v>43704</v>
      </c>
      <c r="B9" s="3" t="s">
        <v>21</v>
      </c>
      <c r="C9" s="16" t="s">
        <v>96</v>
      </c>
      <c r="D9" s="3" t="s">
        <v>23</v>
      </c>
      <c r="E9" s="5" t="str">
        <f>E7</f>
        <v>HA-LWO</v>
      </c>
      <c r="F9" s="3" t="s">
        <v>25</v>
      </c>
      <c r="G9" s="6">
        <f>G7</f>
        <v>71500</v>
      </c>
      <c r="H9" s="5" t="s">
        <v>97</v>
      </c>
      <c r="I9" s="5" t="s">
        <v>98</v>
      </c>
      <c r="J9" s="17">
        <v>0.94444444444444453</v>
      </c>
      <c r="K9" s="8">
        <v>0.93680555555555556</v>
      </c>
      <c r="L9" s="17">
        <v>0.76736111111111116</v>
      </c>
      <c r="M9" s="15">
        <v>0.77708333333333324</v>
      </c>
      <c r="N9" s="15" t="s">
        <v>413</v>
      </c>
      <c r="O9" s="15" t="s">
        <v>359</v>
      </c>
      <c r="P9" s="16">
        <v>696</v>
      </c>
      <c r="Q9" s="9">
        <v>869</v>
      </c>
      <c r="R9" s="3">
        <v>0</v>
      </c>
      <c r="S9" s="3">
        <v>0</v>
      </c>
      <c r="T9" s="3">
        <v>0</v>
      </c>
      <c r="U9" s="3">
        <v>0</v>
      </c>
    </row>
    <row r="10" spans="1:21" x14ac:dyDescent="0.2">
      <c r="A10" s="31">
        <v>43704</v>
      </c>
      <c r="B10" s="3" t="s">
        <v>387</v>
      </c>
      <c r="C10" s="3" t="s">
        <v>388</v>
      </c>
      <c r="D10" s="3" t="s">
        <v>242</v>
      </c>
      <c r="E10" s="3" t="s">
        <v>389</v>
      </c>
      <c r="F10" s="3" t="s">
        <v>244</v>
      </c>
      <c r="G10" s="19">
        <v>4717</v>
      </c>
      <c r="H10" s="5" t="s">
        <v>390</v>
      </c>
      <c r="I10" s="5" t="s">
        <v>391</v>
      </c>
      <c r="J10" s="20">
        <v>0.2951388888888889</v>
      </c>
      <c r="K10" s="21">
        <v>0.29722222222222222</v>
      </c>
      <c r="L10" s="20">
        <v>0.45833333333333331</v>
      </c>
      <c r="M10" s="21">
        <v>0.47847222222222219</v>
      </c>
      <c r="N10" s="35" t="s">
        <v>398</v>
      </c>
      <c r="O10" s="35" t="s">
        <v>398</v>
      </c>
      <c r="P10" s="19">
        <v>0</v>
      </c>
      <c r="Q10" s="19">
        <v>0</v>
      </c>
      <c r="R10" s="3">
        <v>0</v>
      </c>
      <c r="S10" s="3">
        <v>0</v>
      </c>
      <c r="T10" s="3">
        <v>0</v>
      </c>
      <c r="U10" s="3">
        <v>0</v>
      </c>
    </row>
    <row r="11" spans="1:21" s="10" customFormat="1" x14ac:dyDescent="0.25">
      <c r="A11" s="27">
        <v>43704</v>
      </c>
      <c r="B11" s="10" t="s">
        <v>399</v>
      </c>
      <c r="C11" s="10" t="s">
        <v>400</v>
      </c>
      <c r="D11" s="10" t="s">
        <v>401</v>
      </c>
      <c r="E11" s="10" t="s">
        <v>402</v>
      </c>
      <c r="F11" s="10" t="s">
        <v>403</v>
      </c>
      <c r="G11" s="10">
        <v>1134</v>
      </c>
      <c r="H11" s="10" t="s">
        <v>357</v>
      </c>
      <c r="I11" s="10" t="s">
        <v>357</v>
      </c>
      <c r="J11" s="12">
        <v>0.53472222222222221</v>
      </c>
      <c r="K11" s="13">
        <v>0.54166666666666663</v>
      </c>
      <c r="L11" s="12">
        <v>0.55208333333333337</v>
      </c>
      <c r="M11" s="13">
        <v>0.55833333333333335</v>
      </c>
      <c r="N11" s="10" t="s">
        <v>365</v>
      </c>
      <c r="O11" s="10" t="s">
        <v>365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 s="19" customFormat="1" x14ac:dyDescent="0.2">
      <c r="A12" s="31">
        <v>43704</v>
      </c>
      <c r="B12" s="36" t="s">
        <v>406</v>
      </c>
      <c r="C12" s="19" t="s">
        <v>407</v>
      </c>
      <c r="D12" s="36" t="s">
        <v>408</v>
      </c>
      <c r="E12" s="19" t="s">
        <v>409</v>
      </c>
      <c r="F12" s="19" t="s">
        <v>411</v>
      </c>
      <c r="G12" s="19">
        <v>1633</v>
      </c>
      <c r="H12" s="19" t="s">
        <v>409</v>
      </c>
      <c r="I12" s="19" t="s">
        <v>357</v>
      </c>
      <c r="J12" s="20">
        <v>0.82638888888888884</v>
      </c>
      <c r="K12" s="21">
        <v>0.83333333333333337</v>
      </c>
      <c r="L12" s="37" t="s">
        <v>410</v>
      </c>
      <c r="M12" s="19" t="s">
        <v>410</v>
      </c>
      <c r="N12" s="19" t="s">
        <v>365</v>
      </c>
      <c r="O12" s="35" t="s">
        <v>357</v>
      </c>
      <c r="P12" s="19">
        <v>0</v>
      </c>
      <c r="Q12" s="19">
        <v>0</v>
      </c>
      <c r="R12" s="19">
        <v>0</v>
      </c>
      <c r="S12" s="19">
        <v>0</v>
      </c>
      <c r="T12" s="19">
        <v>0</v>
      </c>
      <c r="U1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F1" workbookViewId="0">
      <selection activeCell="K7" sqref="K7"/>
    </sheetView>
  </sheetViews>
  <sheetFormatPr defaultRowHeight="12.75" x14ac:dyDescent="0.25"/>
  <cols>
    <col min="1" max="1" width="7.85546875" style="10" bestFit="1" customWidth="1"/>
    <col min="2" max="2" width="22.28515625" style="10" customWidth="1"/>
    <col min="3" max="3" width="13.5703125" style="10" bestFit="1" customWidth="1"/>
    <col min="4" max="4" width="17.42578125" style="10" customWidth="1"/>
    <col min="5" max="5" width="7.85546875" style="10" bestFit="1" customWidth="1"/>
    <col min="6" max="6" width="14" style="10" customWidth="1"/>
    <col min="7" max="10" width="9.140625" style="10"/>
    <col min="11" max="11" width="10.85546875" style="10" bestFit="1" customWidth="1"/>
    <col min="12" max="12" width="11" style="10" bestFit="1" customWidth="1"/>
    <col min="13" max="13" width="11.5703125" style="10" bestFit="1" customWidth="1"/>
    <col min="14" max="14" width="18.28515625" style="10" customWidth="1"/>
    <col min="15" max="15" width="18" style="10" customWidth="1"/>
    <col min="16" max="16384" width="9.140625" style="10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269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4">
        <v>43705</v>
      </c>
      <c r="B2" s="5" t="s">
        <v>21</v>
      </c>
      <c r="C2" s="5" t="s">
        <v>28</v>
      </c>
      <c r="D2" s="5" t="s">
        <v>23</v>
      </c>
      <c r="E2" s="5" t="s">
        <v>330</v>
      </c>
      <c r="F2" s="5" t="s">
        <v>25</v>
      </c>
      <c r="G2" s="6">
        <v>70000</v>
      </c>
      <c r="H2" s="5" t="s">
        <v>29</v>
      </c>
      <c r="I2" s="5" t="s">
        <v>30</v>
      </c>
      <c r="J2" s="7">
        <v>0.45833333333333331</v>
      </c>
      <c r="K2" s="2">
        <v>0.45347222222222222</v>
      </c>
      <c r="L2" s="7">
        <v>0.25694444444444448</v>
      </c>
      <c r="M2" s="8">
        <v>0.2638888888888889</v>
      </c>
      <c r="N2" s="10" t="s">
        <v>163</v>
      </c>
      <c r="O2" s="9" t="s">
        <v>414</v>
      </c>
      <c r="P2" s="10">
        <v>628</v>
      </c>
      <c r="Q2" s="9">
        <v>1212</v>
      </c>
      <c r="R2" s="5">
        <v>0</v>
      </c>
      <c r="S2" s="5">
        <v>0</v>
      </c>
      <c r="T2" s="5">
        <v>0</v>
      </c>
      <c r="U2" s="5">
        <v>0</v>
      </c>
    </row>
    <row r="3" spans="1:21" x14ac:dyDescent="0.25">
      <c r="A3" s="4">
        <v>43705</v>
      </c>
      <c r="B3" s="5" t="s">
        <v>21</v>
      </c>
      <c r="C3" s="5" t="s">
        <v>40</v>
      </c>
      <c r="D3" s="5" t="s">
        <v>23</v>
      </c>
      <c r="E3" s="5" t="s">
        <v>122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0.48055555555555557</v>
      </c>
      <c r="L3" s="7">
        <v>0.28125</v>
      </c>
      <c r="M3" s="8">
        <v>0.29444444444444445</v>
      </c>
      <c r="N3" s="9" t="s">
        <v>421</v>
      </c>
      <c r="O3" s="9" t="s">
        <v>415</v>
      </c>
      <c r="P3" s="10">
        <v>490</v>
      </c>
      <c r="Q3" s="9">
        <v>1143</v>
      </c>
      <c r="R3" s="5">
        <v>0</v>
      </c>
      <c r="S3" s="5">
        <v>0</v>
      </c>
      <c r="T3" s="5">
        <v>0</v>
      </c>
      <c r="U3" s="5">
        <v>0</v>
      </c>
    </row>
    <row r="4" spans="1:21" x14ac:dyDescent="0.25">
      <c r="A4" s="4">
        <v>43705</v>
      </c>
      <c r="B4" s="3" t="s">
        <v>21</v>
      </c>
      <c r="C4" s="3" t="s">
        <v>116</v>
      </c>
      <c r="D4" s="3" t="s">
        <v>23</v>
      </c>
      <c r="E4" s="5" t="str">
        <f>E2</f>
        <v>HA-LWC</v>
      </c>
      <c r="F4" s="3" t="s">
        <v>25</v>
      </c>
      <c r="G4" s="6">
        <f>G2</f>
        <v>70000</v>
      </c>
      <c r="H4" s="3" t="s">
        <v>117</v>
      </c>
      <c r="I4" s="3" t="s">
        <v>118</v>
      </c>
      <c r="J4" s="14">
        <v>0.72569444444444453</v>
      </c>
      <c r="K4" s="2">
        <v>0.72152777777777777</v>
      </c>
      <c r="L4" s="14">
        <v>0.48958333333333331</v>
      </c>
      <c r="M4" s="2">
        <v>0.5</v>
      </c>
      <c r="N4" s="3" t="s">
        <v>423</v>
      </c>
      <c r="O4" s="3" t="s">
        <v>422</v>
      </c>
      <c r="P4" s="3">
        <v>250</v>
      </c>
      <c r="Q4" s="9">
        <v>1605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5">
      <c r="A5" s="4">
        <v>43705</v>
      </c>
      <c r="B5" s="3" t="s">
        <v>21</v>
      </c>
      <c r="C5" s="3" t="s">
        <v>65</v>
      </c>
      <c r="D5" s="3" t="s">
        <v>23</v>
      </c>
      <c r="E5" s="5" t="str">
        <f>E3</f>
        <v>HA-LWO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0.76041666666666663</v>
      </c>
      <c r="L5" s="14">
        <v>0.51736111111111105</v>
      </c>
      <c r="M5" s="2">
        <v>0.54305555555555551</v>
      </c>
      <c r="N5" s="3" t="s">
        <v>424</v>
      </c>
      <c r="O5" s="3" t="s">
        <v>56</v>
      </c>
      <c r="P5" s="3">
        <v>571</v>
      </c>
      <c r="Q5" s="9">
        <v>1284</v>
      </c>
      <c r="R5" s="3">
        <v>0</v>
      </c>
      <c r="S5" s="3">
        <v>0</v>
      </c>
      <c r="T5" s="3">
        <v>0</v>
      </c>
      <c r="U5" s="3">
        <v>0</v>
      </c>
    </row>
    <row r="6" spans="1:21" x14ac:dyDescent="0.25">
      <c r="A6" s="4">
        <v>43705</v>
      </c>
      <c r="B6" s="3" t="s">
        <v>21</v>
      </c>
      <c r="C6" s="3" t="s">
        <v>37</v>
      </c>
      <c r="D6" s="3" t="s">
        <v>23</v>
      </c>
      <c r="E6" s="5" t="str">
        <f>E4</f>
        <v>HA-LWC</v>
      </c>
      <c r="F6" s="3" t="s">
        <v>25</v>
      </c>
      <c r="G6" s="6">
        <f>G4</f>
        <v>70000</v>
      </c>
      <c r="H6" s="5" t="s">
        <v>38</v>
      </c>
      <c r="I6" s="5" t="s">
        <v>39</v>
      </c>
      <c r="J6" s="12">
        <v>0.91666666666666663</v>
      </c>
      <c r="K6" s="2">
        <v>0.91180555555555554</v>
      </c>
      <c r="L6" s="12">
        <v>0.74652777777777779</v>
      </c>
      <c r="M6" s="13">
        <v>0.76736111111111116</v>
      </c>
      <c r="N6" s="3" t="s">
        <v>425</v>
      </c>
      <c r="O6" s="3" t="s">
        <v>159</v>
      </c>
      <c r="P6" s="3">
        <v>571</v>
      </c>
      <c r="Q6" s="9">
        <v>1105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5">
      <c r="A7" s="4">
        <v>43705</v>
      </c>
      <c r="B7" s="3" t="s">
        <v>21</v>
      </c>
      <c r="C7" s="3" t="s">
        <v>119</v>
      </c>
      <c r="D7" s="3" t="s">
        <v>23</v>
      </c>
      <c r="E7" s="5" t="str">
        <f>E5</f>
        <v>HA-LWO</v>
      </c>
      <c r="F7" s="3" t="s">
        <v>25</v>
      </c>
      <c r="G7" s="6">
        <v>71500</v>
      </c>
      <c r="H7" s="5" t="s">
        <v>120</v>
      </c>
      <c r="I7" s="5" t="s">
        <v>121</v>
      </c>
      <c r="J7" s="12">
        <v>0.95833333333333337</v>
      </c>
      <c r="K7" s="13">
        <v>0.97777777777777775</v>
      </c>
      <c r="L7" s="12">
        <v>0.76736111111111116</v>
      </c>
      <c r="M7" s="13">
        <v>0.79722222222222217</v>
      </c>
      <c r="N7" s="10" t="s">
        <v>426</v>
      </c>
      <c r="O7" s="10" t="s">
        <v>185</v>
      </c>
      <c r="P7" s="3">
        <v>605</v>
      </c>
      <c r="Q7" s="9">
        <v>1146</v>
      </c>
      <c r="R7" s="3">
        <v>0</v>
      </c>
      <c r="S7" s="3">
        <v>0</v>
      </c>
      <c r="T7" s="3">
        <v>0</v>
      </c>
      <c r="U7" s="3">
        <v>0</v>
      </c>
    </row>
    <row r="8" spans="1:21" s="19" customFormat="1" x14ac:dyDescent="0.2">
      <c r="A8" s="31">
        <v>43705</v>
      </c>
      <c r="B8" s="36" t="s">
        <v>406</v>
      </c>
      <c r="C8" s="19" t="s">
        <v>416</v>
      </c>
      <c r="D8" s="36" t="s">
        <v>408</v>
      </c>
      <c r="E8" s="19" t="s">
        <v>409</v>
      </c>
      <c r="F8" s="19" t="s">
        <v>411</v>
      </c>
      <c r="G8" s="19">
        <v>1633</v>
      </c>
      <c r="H8" s="19" t="s">
        <v>357</v>
      </c>
      <c r="I8" s="19" t="s">
        <v>409</v>
      </c>
      <c r="J8" s="20" t="s">
        <v>410</v>
      </c>
      <c r="K8" s="21" t="s">
        <v>410</v>
      </c>
      <c r="L8" s="20">
        <v>0.58333333333333337</v>
      </c>
      <c r="M8" s="21">
        <v>0.59375</v>
      </c>
      <c r="N8" s="19" t="s">
        <v>357</v>
      </c>
      <c r="O8" s="35" t="s">
        <v>365</v>
      </c>
      <c r="P8" s="19">
        <v>0</v>
      </c>
      <c r="Q8" s="19">
        <v>0</v>
      </c>
      <c r="R8" s="19">
        <v>0</v>
      </c>
      <c r="S8" s="19">
        <v>0</v>
      </c>
      <c r="T8" s="19">
        <v>0</v>
      </c>
      <c r="U8" s="19">
        <v>0</v>
      </c>
    </row>
    <row r="9" spans="1:21" x14ac:dyDescent="0.25">
      <c r="A9" s="27">
        <v>43705</v>
      </c>
      <c r="B9" s="10" t="s">
        <v>417</v>
      </c>
      <c r="C9" s="10" t="s">
        <v>418</v>
      </c>
      <c r="D9" s="38" t="s">
        <v>419</v>
      </c>
      <c r="E9" s="10" t="s">
        <v>420</v>
      </c>
      <c r="F9" s="10" t="s">
        <v>411</v>
      </c>
      <c r="G9" s="10">
        <v>758</v>
      </c>
      <c r="H9" s="10" t="s">
        <v>357</v>
      </c>
      <c r="I9" s="10" t="s">
        <v>357</v>
      </c>
      <c r="J9" s="12">
        <v>0.4375</v>
      </c>
      <c r="K9" s="13">
        <v>0.44791666666666669</v>
      </c>
      <c r="L9" s="12">
        <v>0.66666666666666663</v>
      </c>
      <c r="N9" s="10" t="s">
        <v>365</v>
      </c>
      <c r="O9" s="10" t="s">
        <v>365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opLeftCell="C1" workbookViewId="0">
      <selection activeCell="K9" sqref="K9"/>
    </sheetView>
  </sheetViews>
  <sheetFormatPr defaultRowHeight="12.75" x14ac:dyDescent="0.2"/>
  <cols>
    <col min="1" max="1" width="7.85546875" style="19" bestFit="1" customWidth="1"/>
    <col min="2" max="2" width="14.42578125" style="19" bestFit="1" customWidth="1"/>
    <col min="3" max="3" width="17.5703125" style="19" customWidth="1"/>
    <col min="4" max="4" width="10" style="19" customWidth="1"/>
    <col min="5" max="5" width="9.140625" style="19"/>
    <col min="6" max="6" width="15.7109375" style="19" customWidth="1"/>
    <col min="7" max="9" width="9.140625" style="19"/>
    <col min="10" max="10" width="11" style="19" bestFit="1" customWidth="1"/>
    <col min="11" max="11" width="10.85546875" style="19" bestFit="1" customWidth="1"/>
    <col min="12" max="12" width="11" style="19" bestFit="1" customWidth="1"/>
    <col min="13" max="13" width="10.85546875" style="19" bestFit="1" customWidth="1"/>
    <col min="14" max="14" width="18.42578125" style="19" bestFit="1" customWidth="1"/>
    <col min="15" max="16" width="10.28515625" style="19" bestFit="1" customWidth="1"/>
    <col min="17" max="16384" width="9.140625" style="19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43706</v>
      </c>
      <c r="B2" s="5" t="s">
        <v>21</v>
      </c>
      <c r="C2" s="5" t="s">
        <v>22</v>
      </c>
      <c r="D2" s="5" t="s">
        <v>23</v>
      </c>
      <c r="E2" s="5" t="s">
        <v>316</v>
      </c>
      <c r="F2" s="5" t="s">
        <v>25</v>
      </c>
      <c r="G2" s="6">
        <v>70000</v>
      </c>
      <c r="H2" s="5" t="s">
        <v>26</v>
      </c>
      <c r="I2" s="5" t="s">
        <v>27</v>
      </c>
      <c r="J2" s="7">
        <v>0.38541666666666669</v>
      </c>
      <c r="K2" s="2">
        <v>0.37013888888888885</v>
      </c>
      <c r="L2" s="7">
        <v>0.25694444444444448</v>
      </c>
      <c r="M2" s="2">
        <v>0.2590277777777778</v>
      </c>
      <c r="N2" s="2" t="s">
        <v>429</v>
      </c>
      <c r="O2" s="9" t="s">
        <v>427</v>
      </c>
      <c r="P2" s="9">
        <v>261</v>
      </c>
      <c r="Q2" s="9">
        <v>587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43706</v>
      </c>
      <c r="B3" s="5" t="s">
        <v>21</v>
      </c>
      <c r="C3" s="5" t="s">
        <v>28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29</v>
      </c>
      <c r="I3" s="5" t="s">
        <v>30</v>
      </c>
      <c r="J3" s="7">
        <v>0.46180555555555558</v>
      </c>
      <c r="K3" s="2">
        <v>0.46736111111111112</v>
      </c>
      <c r="L3" s="7">
        <v>0.27430555555555552</v>
      </c>
      <c r="M3" s="2">
        <v>0.28472222222222221</v>
      </c>
      <c r="N3" s="2" t="s">
        <v>430</v>
      </c>
      <c r="O3" s="9" t="s">
        <v>161</v>
      </c>
      <c r="P3" s="5">
        <v>732</v>
      </c>
      <c r="Q3" s="9">
        <v>1006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43706</v>
      </c>
      <c r="B4" s="10" t="s">
        <v>21</v>
      </c>
      <c r="C4" s="10" t="s">
        <v>31</v>
      </c>
      <c r="D4" s="10" t="s">
        <v>23</v>
      </c>
      <c r="E4" s="5" t="s">
        <v>316</v>
      </c>
      <c r="F4" s="10" t="s">
        <v>25</v>
      </c>
      <c r="G4" s="11">
        <v>70000</v>
      </c>
      <c r="H4" s="10" t="s">
        <v>32</v>
      </c>
      <c r="I4" s="10" t="s">
        <v>33</v>
      </c>
      <c r="J4" s="12">
        <v>0.55555555555555558</v>
      </c>
      <c r="K4" s="13">
        <v>0.55138888888888882</v>
      </c>
      <c r="L4" s="12">
        <v>0.40625</v>
      </c>
      <c r="M4" s="2">
        <v>0.4236111111111111</v>
      </c>
      <c r="N4" s="10" t="s">
        <v>438</v>
      </c>
      <c r="O4" s="10" t="s">
        <v>428</v>
      </c>
      <c r="P4" s="10">
        <v>700</v>
      </c>
      <c r="Q4" s="10">
        <v>771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">
      <c r="A5" s="4">
        <v>43706</v>
      </c>
      <c r="B5" s="3" t="s">
        <v>21</v>
      </c>
      <c r="C5" s="3" t="s">
        <v>34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35</v>
      </c>
      <c r="I5" s="3" t="s">
        <v>36</v>
      </c>
      <c r="J5" s="14">
        <v>0.70138888888888884</v>
      </c>
      <c r="K5" s="2">
        <v>0.6972222222222223</v>
      </c>
      <c r="L5" s="14">
        <v>0.49305555555555558</v>
      </c>
      <c r="M5" s="2">
        <v>0.50416666666666665</v>
      </c>
      <c r="N5" s="10" t="s">
        <v>439</v>
      </c>
      <c r="O5" s="3" t="s">
        <v>431</v>
      </c>
      <c r="P5" s="3">
        <v>586</v>
      </c>
      <c r="Q5" s="3">
        <v>1260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43706</v>
      </c>
      <c r="B6" s="3" t="s">
        <v>21</v>
      </c>
      <c r="C6" s="3" t="s">
        <v>37</v>
      </c>
      <c r="D6" s="3" t="s">
        <v>23</v>
      </c>
      <c r="E6" s="5" t="s">
        <v>316</v>
      </c>
      <c r="F6" s="3" t="s">
        <v>25</v>
      </c>
      <c r="G6" s="6">
        <v>70000</v>
      </c>
      <c r="H6" s="3" t="s">
        <v>38</v>
      </c>
      <c r="I6" s="3" t="s">
        <v>39</v>
      </c>
      <c r="J6" s="12">
        <v>0.75694444444444453</v>
      </c>
      <c r="K6" s="2">
        <v>0.77569444444444446</v>
      </c>
      <c r="L6" s="12">
        <v>0.58680555555555558</v>
      </c>
      <c r="M6" s="21">
        <v>0.58958333333333335</v>
      </c>
      <c r="N6" s="3" t="s">
        <v>441</v>
      </c>
      <c r="O6" s="10" t="s">
        <v>375</v>
      </c>
      <c r="P6" s="16">
        <v>822</v>
      </c>
      <c r="Q6" s="10">
        <v>1035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43706</v>
      </c>
      <c r="B7" s="10" t="s">
        <v>21</v>
      </c>
      <c r="C7" s="10" t="s">
        <v>40</v>
      </c>
      <c r="D7" s="10" t="s">
        <v>23</v>
      </c>
      <c r="E7" s="5" t="s">
        <v>24</v>
      </c>
      <c r="F7" s="10" t="s">
        <v>25</v>
      </c>
      <c r="G7" s="6">
        <v>71500</v>
      </c>
      <c r="H7" s="10" t="s">
        <v>41</v>
      </c>
      <c r="I7" s="10" t="s">
        <v>42</v>
      </c>
      <c r="J7" s="12">
        <v>0.92708333333333337</v>
      </c>
      <c r="K7" s="2">
        <v>0.91736111111111107</v>
      </c>
      <c r="L7" s="17">
        <v>0.72222222222222221</v>
      </c>
      <c r="M7" s="21">
        <v>0.73125000000000007</v>
      </c>
      <c r="N7" s="3" t="s">
        <v>442</v>
      </c>
      <c r="O7" s="3" t="s">
        <v>440</v>
      </c>
      <c r="P7" s="3">
        <v>323</v>
      </c>
      <c r="Q7" s="16">
        <v>1367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4">
        <v>43706</v>
      </c>
      <c r="B8" s="10" t="s">
        <v>21</v>
      </c>
      <c r="C8" s="10" t="s">
        <v>43</v>
      </c>
      <c r="D8" s="10" t="s">
        <v>23</v>
      </c>
      <c r="E8" s="5" t="s">
        <v>316</v>
      </c>
      <c r="F8" s="10" t="s">
        <v>25</v>
      </c>
      <c r="G8" s="11">
        <v>70000</v>
      </c>
      <c r="H8" s="10" t="s">
        <v>44</v>
      </c>
      <c r="I8" s="10" t="s">
        <v>45</v>
      </c>
      <c r="J8" s="12">
        <v>0.95486111111111116</v>
      </c>
      <c r="K8" s="2">
        <v>0.99444444444444446</v>
      </c>
      <c r="L8" s="12">
        <v>0.77777777777777779</v>
      </c>
      <c r="M8" s="21">
        <v>0.81597222222222221</v>
      </c>
      <c r="N8" s="3" t="s">
        <v>443</v>
      </c>
      <c r="O8" s="10" t="s">
        <v>334</v>
      </c>
      <c r="P8" s="10">
        <v>790</v>
      </c>
      <c r="Q8" s="10">
        <v>1181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31">
        <v>43706</v>
      </c>
      <c r="B9" s="39" t="s">
        <v>432</v>
      </c>
      <c r="C9" s="39" t="s">
        <v>433</v>
      </c>
      <c r="D9" s="39" t="s">
        <v>434</v>
      </c>
      <c r="E9" s="39" t="s">
        <v>435</v>
      </c>
      <c r="F9" s="39" t="s">
        <v>436</v>
      </c>
      <c r="G9" s="40"/>
      <c r="H9" s="19" t="s">
        <v>437</v>
      </c>
      <c r="I9" s="19" t="s">
        <v>437</v>
      </c>
      <c r="K9" s="21">
        <v>0.45902777777777781</v>
      </c>
      <c r="M9" s="21">
        <v>0.49791666666666662</v>
      </c>
    </row>
    <row r="10" spans="1:21" x14ac:dyDescent="0.2">
      <c r="N10" s="19">
        <v>5</v>
      </c>
      <c r="O10" s="19">
        <v>5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  <c r="U10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D1" workbookViewId="0">
      <selection activeCell="K7" sqref="K7"/>
    </sheetView>
  </sheetViews>
  <sheetFormatPr defaultRowHeight="12.75" x14ac:dyDescent="0.2"/>
  <cols>
    <col min="1" max="1" width="9.140625" style="19"/>
    <col min="2" max="2" width="18.42578125" style="19" bestFit="1" customWidth="1"/>
    <col min="3" max="3" width="13.5703125" style="19" bestFit="1" customWidth="1"/>
    <col min="4" max="4" width="5.7109375" style="19" bestFit="1" customWidth="1"/>
    <col min="5" max="5" width="7.85546875" style="19" bestFit="1" customWidth="1"/>
    <col min="6" max="6" width="18.5703125" style="19" bestFit="1" customWidth="1"/>
    <col min="7" max="8" width="9.7109375" style="19" bestFit="1" customWidth="1"/>
    <col min="9" max="9" width="9.140625" style="19"/>
    <col min="10" max="10" width="11" style="19" bestFit="1" customWidth="1"/>
    <col min="11" max="11" width="10.85546875" style="19" bestFit="1" customWidth="1"/>
    <col min="12" max="12" width="11" style="19" bestFit="1" customWidth="1"/>
    <col min="13" max="13" width="10.85546875" style="19" bestFit="1" customWidth="1"/>
    <col min="14" max="15" width="18.42578125" style="19" bestFit="1" customWidth="1"/>
    <col min="16" max="16384" width="9.140625" style="19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4">
        <v>43707</v>
      </c>
      <c r="B2" s="5" t="s">
        <v>21</v>
      </c>
      <c r="C2" s="5" t="s">
        <v>28</v>
      </c>
      <c r="D2" s="5" t="s">
        <v>23</v>
      </c>
      <c r="E2" s="5" t="s">
        <v>316</v>
      </c>
      <c r="F2" s="5" t="s">
        <v>25</v>
      </c>
      <c r="G2" s="6">
        <v>70000</v>
      </c>
      <c r="H2" s="5" t="s">
        <v>29</v>
      </c>
      <c r="I2" s="5" t="s">
        <v>30</v>
      </c>
      <c r="J2" s="7">
        <v>0.45833333333333331</v>
      </c>
      <c r="K2" s="2">
        <v>0.46319444444444446</v>
      </c>
      <c r="L2" s="7">
        <v>0.25694444444444448</v>
      </c>
      <c r="M2" s="8">
        <v>0.26111111111111113</v>
      </c>
      <c r="N2" s="3" t="s">
        <v>152</v>
      </c>
      <c r="O2" s="9" t="s">
        <v>445</v>
      </c>
      <c r="P2" s="9">
        <v>1097</v>
      </c>
      <c r="Q2" s="9">
        <v>877</v>
      </c>
      <c r="R2" s="5">
        <v>0</v>
      </c>
      <c r="S2" s="5">
        <v>0</v>
      </c>
      <c r="T2" s="5">
        <v>0</v>
      </c>
      <c r="U2" s="5">
        <v>0</v>
      </c>
    </row>
    <row r="3" spans="1:21" x14ac:dyDescent="0.2">
      <c r="A3" s="4">
        <v>43707</v>
      </c>
      <c r="B3" s="5" t="s">
        <v>21</v>
      </c>
      <c r="C3" s="5" t="s">
        <v>40</v>
      </c>
      <c r="D3" s="5" t="s">
        <v>23</v>
      </c>
      <c r="E3" s="5" t="s">
        <v>24</v>
      </c>
      <c r="F3" s="5" t="s">
        <v>25</v>
      </c>
      <c r="G3" s="6">
        <v>71500</v>
      </c>
      <c r="H3" s="5" t="s">
        <v>41</v>
      </c>
      <c r="I3" s="5" t="s">
        <v>42</v>
      </c>
      <c r="J3" s="7">
        <v>0.4861111111111111</v>
      </c>
      <c r="K3" s="2">
        <v>0.47361111111111115</v>
      </c>
      <c r="L3" s="7">
        <v>0.28125</v>
      </c>
      <c r="M3" s="8">
        <v>0.28819444444444448</v>
      </c>
      <c r="N3" s="3" t="s">
        <v>441</v>
      </c>
      <c r="O3" s="9" t="s">
        <v>446</v>
      </c>
      <c r="P3" s="5">
        <v>895</v>
      </c>
      <c r="Q3" s="9">
        <v>609</v>
      </c>
      <c r="R3" s="5">
        <v>0</v>
      </c>
      <c r="S3" s="5">
        <v>0</v>
      </c>
      <c r="T3" s="5">
        <v>0</v>
      </c>
      <c r="U3" s="5">
        <v>0</v>
      </c>
    </row>
    <row r="4" spans="1:21" x14ac:dyDescent="0.2">
      <c r="A4" s="4">
        <v>43707</v>
      </c>
      <c r="B4" s="3" t="s">
        <v>21</v>
      </c>
      <c r="C4" s="3" t="s">
        <v>62</v>
      </c>
      <c r="D4" s="3" t="s">
        <v>23</v>
      </c>
      <c r="E4" s="5" t="s">
        <v>444</v>
      </c>
      <c r="F4" s="3" t="s">
        <v>25</v>
      </c>
      <c r="G4" s="6">
        <v>71500</v>
      </c>
      <c r="H4" s="3" t="s">
        <v>63</v>
      </c>
      <c r="I4" s="3" t="s">
        <v>64</v>
      </c>
      <c r="J4" s="14">
        <v>0.70833333333333337</v>
      </c>
      <c r="K4" s="2">
        <v>0.7104166666666667</v>
      </c>
      <c r="L4" s="14">
        <v>0.48958333333333331</v>
      </c>
      <c r="M4" s="2">
        <v>0.51388888888888895</v>
      </c>
      <c r="N4" s="19" t="s">
        <v>455</v>
      </c>
      <c r="O4" s="3" t="s">
        <v>210</v>
      </c>
      <c r="P4" s="3">
        <v>479</v>
      </c>
      <c r="Q4" s="9">
        <v>1215</v>
      </c>
      <c r="R4" s="3">
        <v>0</v>
      </c>
      <c r="S4" s="3">
        <v>0</v>
      </c>
      <c r="T4" s="3">
        <v>0</v>
      </c>
      <c r="U4" s="3">
        <v>0</v>
      </c>
    </row>
    <row r="5" spans="1:21" x14ac:dyDescent="0.2">
      <c r="A5" s="4">
        <v>43707</v>
      </c>
      <c r="B5" s="3" t="s">
        <v>21</v>
      </c>
      <c r="C5" s="3" t="s">
        <v>65</v>
      </c>
      <c r="D5" s="3" t="s">
        <v>23</v>
      </c>
      <c r="E5" s="5" t="s">
        <v>24</v>
      </c>
      <c r="F5" s="3" t="s">
        <v>25</v>
      </c>
      <c r="G5" s="6">
        <v>71500</v>
      </c>
      <c r="H5" s="3" t="s">
        <v>66</v>
      </c>
      <c r="I5" s="3" t="s">
        <v>67</v>
      </c>
      <c r="J5" s="14">
        <v>0.74652777777777779</v>
      </c>
      <c r="K5" s="2">
        <v>0.76388888888888884</v>
      </c>
      <c r="L5" s="14">
        <v>0.51736111111111105</v>
      </c>
      <c r="M5" s="2">
        <v>0.53611111111111109</v>
      </c>
      <c r="N5" s="3" t="s">
        <v>456</v>
      </c>
      <c r="O5" s="3" t="s">
        <v>454</v>
      </c>
      <c r="P5" s="3">
        <v>895</v>
      </c>
      <c r="Q5" s="9">
        <v>1461</v>
      </c>
      <c r="R5" s="3">
        <v>0</v>
      </c>
      <c r="S5" s="3">
        <v>0</v>
      </c>
      <c r="T5" s="3">
        <v>0</v>
      </c>
      <c r="U5" s="3">
        <v>0</v>
      </c>
    </row>
    <row r="6" spans="1:21" x14ac:dyDescent="0.2">
      <c r="A6" s="4">
        <v>43707</v>
      </c>
      <c r="B6" s="3" t="s">
        <v>21</v>
      </c>
      <c r="C6" s="3" t="s">
        <v>37</v>
      </c>
      <c r="D6" s="3" t="s">
        <v>23</v>
      </c>
      <c r="E6" s="5" t="s">
        <v>444</v>
      </c>
      <c r="F6" s="3" t="s">
        <v>25</v>
      </c>
      <c r="G6" s="6">
        <v>71500</v>
      </c>
      <c r="H6" s="5" t="s">
        <v>38</v>
      </c>
      <c r="I6" s="5" t="s">
        <v>39</v>
      </c>
      <c r="J6" s="20">
        <v>0.89930555555555547</v>
      </c>
      <c r="K6" s="2">
        <v>0.90833333333333333</v>
      </c>
      <c r="L6" s="20">
        <v>0.72916666666666663</v>
      </c>
      <c r="M6" s="21">
        <v>0.75277777777777777</v>
      </c>
      <c r="N6" s="3" t="s">
        <v>261</v>
      </c>
      <c r="O6" s="19" t="s">
        <v>103</v>
      </c>
      <c r="P6" s="19">
        <v>763</v>
      </c>
      <c r="Q6" s="9">
        <v>1331</v>
      </c>
      <c r="R6" s="3">
        <v>0</v>
      </c>
      <c r="S6" s="3">
        <v>0</v>
      </c>
      <c r="T6" s="3">
        <v>0</v>
      </c>
      <c r="U6" s="3">
        <v>0</v>
      </c>
    </row>
    <row r="7" spans="1:21" x14ac:dyDescent="0.2">
      <c r="A7" s="4">
        <v>43707</v>
      </c>
      <c r="B7" s="19" t="s">
        <v>21</v>
      </c>
      <c r="C7" s="19" t="s">
        <v>68</v>
      </c>
      <c r="D7" s="19" t="s">
        <v>23</v>
      </c>
      <c r="E7" s="5" t="s">
        <v>24</v>
      </c>
      <c r="F7" s="19" t="s">
        <v>25</v>
      </c>
      <c r="G7" s="6">
        <v>71500</v>
      </c>
      <c r="H7" s="19" t="s">
        <v>69</v>
      </c>
      <c r="I7" s="19" t="s">
        <v>70</v>
      </c>
      <c r="J7" s="20">
        <v>0.9375</v>
      </c>
      <c r="K7" s="2">
        <v>0.95000000000000007</v>
      </c>
      <c r="L7" s="20">
        <v>0.76736111111111116</v>
      </c>
      <c r="M7" s="21">
        <v>0.80208333333333337</v>
      </c>
      <c r="N7" s="3" t="s">
        <v>51</v>
      </c>
      <c r="O7" s="3" t="s">
        <v>352</v>
      </c>
      <c r="P7" s="3">
        <v>659</v>
      </c>
      <c r="Q7" s="9">
        <v>1219</v>
      </c>
      <c r="R7" s="19">
        <v>0</v>
      </c>
      <c r="S7" s="19">
        <v>0</v>
      </c>
      <c r="T7" s="19">
        <v>0</v>
      </c>
      <c r="U7" s="19">
        <v>0</v>
      </c>
    </row>
    <row r="8" spans="1:21" x14ac:dyDescent="0.2">
      <c r="A8" s="4">
        <v>43707</v>
      </c>
      <c r="B8" s="5" t="s">
        <v>447</v>
      </c>
      <c r="C8" s="3" t="s">
        <v>448</v>
      </c>
      <c r="D8" s="3" t="s">
        <v>449</v>
      </c>
      <c r="E8" s="5" t="s">
        <v>453</v>
      </c>
      <c r="F8" s="3" t="s">
        <v>450</v>
      </c>
      <c r="G8" s="6">
        <v>190000</v>
      </c>
      <c r="H8" s="3" t="s">
        <v>451</v>
      </c>
      <c r="I8" s="3" t="s">
        <v>452</v>
      </c>
      <c r="J8" s="14">
        <v>0.375</v>
      </c>
      <c r="K8" s="2">
        <v>0.38819444444444445</v>
      </c>
      <c r="L8" s="14">
        <v>0.5</v>
      </c>
      <c r="M8" s="21">
        <v>0.58680555555555558</v>
      </c>
      <c r="N8" s="19">
        <v>0</v>
      </c>
      <c r="O8" s="3">
        <v>0</v>
      </c>
      <c r="P8" s="3">
        <v>0</v>
      </c>
      <c r="Q8" s="9">
        <v>0</v>
      </c>
      <c r="R8" s="3">
        <v>0</v>
      </c>
      <c r="S8" s="3">
        <v>37.5</v>
      </c>
      <c r="T8" s="3">
        <v>0</v>
      </c>
      <c r="U8" s="3">
        <v>0</v>
      </c>
    </row>
    <row r="9" spans="1:21" x14ac:dyDescent="0.2">
      <c r="A9" s="31"/>
      <c r="B9" s="5"/>
      <c r="G9" s="22"/>
      <c r="J9" s="20"/>
      <c r="K9" s="21"/>
      <c r="L9" s="20"/>
      <c r="M9" s="21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abSelected="1" topLeftCell="G1" workbookViewId="0">
      <selection activeCell="P10" sqref="P10"/>
    </sheetView>
  </sheetViews>
  <sheetFormatPr defaultRowHeight="15" x14ac:dyDescent="0.25"/>
  <cols>
    <col min="1" max="1" width="7.85546875" bestFit="1" customWidth="1"/>
    <col min="3" max="3" width="13.42578125" bestFit="1" customWidth="1"/>
    <col min="5" max="5" width="7.8554687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6" width="10.28515625" bestFit="1" customWidth="1"/>
  </cols>
  <sheetData>
    <row r="1" spans="1:21" s="19" customFormat="1" ht="12.7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2" t="s">
        <v>10</v>
      </c>
      <c r="L1" s="5" t="s">
        <v>11</v>
      </c>
      <c r="M1" s="5" t="s">
        <v>12</v>
      </c>
      <c r="N1" s="3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</row>
    <row r="2" spans="1:21" s="19" customFormat="1" ht="12.75" x14ac:dyDescent="0.2">
      <c r="A2" s="4">
        <v>43708</v>
      </c>
      <c r="B2" s="5" t="s">
        <v>21</v>
      </c>
      <c r="C2" s="5" t="s">
        <v>22</v>
      </c>
      <c r="D2" s="5" t="s">
        <v>23</v>
      </c>
      <c r="E2" s="5" t="s">
        <v>24</v>
      </c>
      <c r="F2" s="5" t="s">
        <v>25</v>
      </c>
      <c r="G2" s="6">
        <v>71500</v>
      </c>
      <c r="H2" s="5" t="s">
        <v>26</v>
      </c>
      <c r="I2" s="5" t="s">
        <v>27</v>
      </c>
      <c r="J2" s="7">
        <v>0.38541666666666669</v>
      </c>
      <c r="K2" s="2">
        <v>0.38125000000000003</v>
      </c>
      <c r="L2" s="7">
        <v>0.25694444444444448</v>
      </c>
      <c r="M2" s="8">
        <v>0.25625000000000003</v>
      </c>
      <c r="N2" s="3" t="s">
        <v>353</v>
      </c>
      <c r="O2" s="9" t="s">
        <v>457</v>
      </c>
      <c r="P2" s="9">
        <v>566</v>
      </c>
      <c r="Q2" s="9">
        <v>688</v>
      </c>
      <c r="R2" s="5">
        <v>0</v>
      </c>
      <c r="S2" s="5">
        <v>0</v>
      </c>
      <c r="T2" s="5">
        <v>0</v>
      </c>
      <c r="U2" s="5">
        <v>0</v>
      </c>
    </row>
    <row r="3" spans="1:21" s="19" customFormat="1" ht="12.75" x14ac:dyDescent="0.2">
      <c r="A3" s="4">
        <v>43708</v>
      </c>
      <c r="B3" s="5" t="s">
        <v>21</v>
      </c>
      <c r="C3" s="5" t="s">
        <v>43</v>
      </c>
      <c r="D3" s="5" t="s">
        <v>23</v>
      </c>
      <c r="E3" s="5" t="s">
        <v>444</v>
      </c>
      <c r="F3" s="5" t="s">
        <v>25</v>
      </c>
      <c r="G3" s="6">
        <v>71500</v>
      </c>
      <c r="H3" s="5" t="s">
        <v>44</v>
      </c>
      <c r="I3" s="5" t="s">
        <v>45</v>
      </c>
      <c r="J3" s="7">
        <v>0.46180555555555558</v>
      </c>
      <c r="K3" s="2">
        <v>0.45347222222222222</v>
      </c>
      <c r="L3" s="7">
        <v>0.28125</v>
      </c>
      <c r="M3" s="8">
        <v>0.2902777777777778</v>
      </c>
      <c r="N3" s="3" t="s">
        <v>459</v>
      </c>
      <c r="O3" s="9" t="s">
        <v>458</v>
      </c>
      <c r="P3" s="5">
        <v>1105</v>
      </c>
      <c r="Q3" s="9">
        <v>1125</v>
      </c>
      <c r="R3" s="5">
        <v>0</v>
      </c>
      <c r="S3" s="5">
        <v>0</v>
      </c>
      <c r="T3" s="5">
        <v>0</v>
      </c>
      <c r="U3" s="5">
        <v>0</v>
      </c>
    </row>
    <row r="4" spans="1:21" s="19" customFormat="1" ht="12.75" x14ac:dyDescent="0.2">
      <c r="A4" s="4">
        <v>43708</v>
      </c>
      <c r="B4" s="5" t="s">
        <v>21</v>
      </c>
      <c r="C4" s="3" t="s">
        <v>31</v>
      </c>
      <c r="D4" s="3" t="s">
        <v>23</v>
      </c>
      <c r="E4" s="5" t="s">
        <v>24</v>
      </c>
      <c r="F4" s="3" t="s">
        <v>25</v>
      </c>
      <c r="G4" s="6">
        <v>71500</v>
      </c>
      <c r="H4" s="3" t="s">
        <v>32</v>
      </c>
      <c r="I4" s="3" t="s">
        <v>33</v>
      </c>
      <c r="J4" s="14">
        <v>0.55555555555555558</v>
      </c>
      <c r="K4" s="2">
        <v>0.55277777777777781</v>
      </c>
      <c r="L4" s="14">
        <v>0.40625</v>
      </c>
      <c r="M4" s="2">
        <v>0.41597222222222219</v>
      </c>
      <c r="N4" s="2" t="s">
        <v>131</v>
      </c>
      <c r="O4" s="3" t="s">
        <v>186</v>
      </c>
      <c r="P4" s="3">
        <v>1070</v>
      </c>
      <c r="Q4" s="9">
        <v>982</v>
      </c>
      <c r="R4" s="3">
        <v>0</v>
      </c>
      <c r="S4" s="3">
        <v>0</v>
      </c>
      <c r="T4" s="3">
        <v>0</v>
      </c>
      <c r="U4" s="3">
        <v>0</v>
      </c>
    </row>
    <row r="5" spans="1:21" s="19" customFormat="1" ht="12.75" x14ac:dyDescent="0.2">
      <c r="A5" s="4">
        <v>43708</v>
      </c>
      <c r="B5" s="5" t="s">
        <v>21</v>
      </c>
      <c r="C5" s="3" t="s">
        <v>34</v>
      </c>
      <c r="D5" s="3" t="s">
        <v>23</v>
      </c>
      <c r="E5" s="5" t="s">
        <v>444</v>
      </c>
      <c r="F5" s="3" t="s">
        <v>25</v>
      </c>
      <c r="G5" s="6">
        <v>71500</v>
      </c>
      <c r="H5" s="3" t="s">
        <v>35</v>
      </c>
      <c r="I5" s="3" t="s">
        <v>36</v>
      </c>
      <c r="J5" s="17">
        <v>0.70138888888888884</v>
      </c>
      <c r="K5" s="2">
        <v>0.69444444444444453</v>
      </c>
      <c r="L5" s="17">
        <v>0.49305555555555558</v>
      </c>
      <c r="M5" s="15">
        <v>0.49722222222222223</v>
      </c>
      <c r="N5" s="3" t="s">
        <v>300</v>
      </c>
      <c r="O5" s="3" t="s">
        <v>332</v>
      </c>
      <c r="P5" s="16">
        <v>926</v>
      </c>
      <c r="Q5" s="9">
        <v>1380</v>
      </c>
      <c r="R5" s="3">
        <v>0</v>
      </c>
      <c r="S5" s="3">
        <v>0</v>
      </c>
      <c r="T5" s="3">
        <v>0</v>
      </c>
      <c r="U5" s="3">
        <v>0</v>
      </c>
    </row>
    <row r="6" spans="1:21" s="19" customFormat="1" ht="12.75" x14ac:dyDescent="0.2">
      <c r="A6" s="4">
        <v>43708</v>
      </c>
      <c r="B6" s="5" t="s">
        <v>21</v>
      </c>
      <c r="C6" s="3" t="s">
        <v>90</v>
      </c>
      <c r="D6" s="3" t="s">
        <v>23</v>
      </c>
      <c r="E6" s="5" t="s">
        <v>24</v>
      </c>
      <c r="F6" s="3" t="s">
        <v>25</v>
      </c>
      <c r="G6" s="6">
        <v>71500</v>
      </c>
      <c r="H6" s="5" t="s">
        <v>91</v>
      </c>
      <c r="I6" s="5" t="s">
        <v>92</v>
      </c>
      <c r="J6" s="23">
        <v>0.74652777777777779</v>
      </c>
      <c r="K6" s="2">
        <v>0.74305555555555547</v>
      </c>
      <c r="L6" s="23">
        <v>0.58680555555555558</v>
      </c>
      <c r="M6" s="24">
        <v>0.60069444444444442</v>
      </c>
      <c r="N6" s="3" t="s">
        <v>454</v>
      </c>
      <c r="O6" s="3" t="s">
        <v>124</v>
      </c>
      <c r="P6" s="3">
        <v>1053</v>
      </c>
      <c r="Q6" s="9">
        <v>917</v>
      </c>
      <c r="R6" s="3">
        <v>0</v>
      </c>
      <c r="S6" s="3">
        <v>0</v>
      </c>
      <c r="T6" s="3">
        <v>0</v>
      </c>
      <c r="U6" s="3">
        <v>0</v>
      </c>
    </row>
    <row r="7" spans="1:21" s="19" customFormat="1" ht="12.75" x14ac:dyDescent="0.2">
      <c r="A7" s="4">
        <v>43708</v>
      </c>
      <c r="B7" s="5" t="s">
        <v>21</v>
      </c>
      <c r="C7" s="25" t="s">
        <v>93</v>
      </c>
      <c r="D7" s="25" t="s">
        <v>23</v>
      </c>
      <c r="E7" s="5" t="s">
        <v>444</v>
      </c>
      <c r="F7" s="25" t="s">
        <v>25</v>
      </c>
      <c r="G7" s="26">
        <v>71500</v>
      </c>
      <c r="H7" s="25" t="s">
        <v>94</v>
      </c>
      <c r="I7" s="25" t="s">
        <v>95</v>
      </c>
      <c r="J7" s="23">
        <v>0.94097222222222221</v>
      </c>
      <c r="K7" s="21">
        <v>0.95138888888888884</v>
      </c>
      <c r="L7" s="23">
        <v>0.72222222222222221</v>
      </c>
      <c r="M7" s="24">
        <v>0.75555555555555554</v>
      </c>
      <c r="N7" s="3" t="s">
        <v>360</v>
      </c>
      <c r="O7" s="25" t="s">
        <v>460</v>
      </c>
      <c r="P7" s="3">
        <v>821</v>
      </c>
      <c r="Q7" s="9">
        <v>1136</v>
      </c>
      <c r="R7" s="25">
        <v>0</v>
      </c>
      <c r="S7" s="25">
        <v>0</v>
      </c>
      <c r="T7" s="25">
        <v>0</v>
      </c>
      <c r="U7" s="25">
        <v>0</v>
      </c>
    </row>
    <row r="8" spans="1:21" s="19" customFormat="1" ht="12.75" x14ac:dyDescent="0.2">
      <c r="A8" s="4">
        <v>43708</v>
      </c>
      <c r="B8" s="3" t="s">
        <v>21</v>
      </c>
      <c r="C8" s="16" t="s">
        <v>96</v>
      </c>
      <c r="D8" s="3" t="s">
        <v>23</v>
      </c>
      <c r="E8" s="5" t="s">
        <v>24</v>
      </c>
      <c r="F8" s="3" t="s">
        <v>25</v>
      </c>
      <c r="G8" s="6">
        <v>71500</v>
      </c>
      <c r="H8" s="5" t="s">
        <v>97</v>
      </c>
      <c r="I8" s="5" t="s">
        <v>98</v>
      </c>
      <c r="J8" s="17">
        <v>0.94444444444444453</v>
      </c>
      <c r="K8" s="21">
        <v>0.93958333333333333</v>
      </c>
      <c r="L8" s="17">
        <v>0.76736111111111116</v>
      </c>
      <c r="M8" s="15">
        <v>0.78402777777777777</v>
      </c>
      <c r="N8" s="3" t="s">
        <v>462</v>
      </c>
      <c r="O8" s="15" t="s">
        <v>461</v>
      </c>
      <c r="P8" s="3">
        <v>911</v>
      </c>
      <c r="Q8" s="9">
        <v>915</v>
      </c>
      <c r="R8" s="3">
        <v>0</v>
      </c>
      <c r="S8" s="3">
        <v>0</v>
      </c>
      <c r="T8" s="3">
        <v>0</v>
      </c>
      <c r="U8" s="3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22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2019-08-01T02:50:31Z</dcterms:created>
  <dcterms:modified xsi:type="dcterms:W3CDTF">2019-08-31T20:47:36Z</dcterms:modified>
</cp:coreProperties>
</file>