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35" windowWidth="6675" windowHeight="5085" firstSheet="11" activeTab="29"/>
  </bookViews>
  <sheets>
    <sheet name="1" sheetId="2" r:id="rId1"/>
    <sheet name="2" sheetId="3" r:id="rId2"/>
    <sheet name="3" sheetId="4" r:id="rId3"/>
    <sheet name="4" sheetId="5" r:id="rId4"/>
    <sheet name="5" sheetId="6" r:id="rId5"/>
    <sheet name="6" sheetId="7" r:id="rId6"/>
    <sheet name="7" sheetId="8" r:id="rId7"/>
    <sheet name="8" sheetId="9" r:id="rId8"/>
    <sheet name="9" sheetId="10" r:id="rId9"/>
    <sheet name="10" sheetId="11" r:id="rId10"/>
    <sheet name="11" sheetId="12" r:id="rId11"/>
    <sheet name="12" sheetId="13" r:id="rId12"/>
    <sheet name="13" sheetId="14" r:id="rId13"/>
    <sheet name="14" sheetId="15" r:id="rId14"/>
    <sheet name="15" sheetId="16" r:id="rId15"/>
    <sheet name="16" sheetId="17" r:id="rId16"/>
    <sheet name="17" sheetId="18" r:id="rId17"/>
    <sheet name="18" sheetId="19" r:id="rId18"/>
    <sheet name="19" sheetId="20" r:id="rId19"/>
    <sheet name="20" sheetId="22" r:id="rId20"/>
    <sheet name="21" sheetId="23" r:id="rId21"/>
    <sheet name="22" sheetId="24" r:id="rId22"/>
    <sheet name="23" sheetId="25" r:id="rId23"/>
    <sheet name="24" sheetId="26" r:id="rId24"/>
    <sheet name="25" sheetId="27" r:id="rId25"/>
    <sheet name="26" sheetId="28" r:id="rId26"/>
    <sheet name="27" sheetId="30" r:id="rId27"/>
    <sheet name="28" sheetId="31" r:id="rId28"/>
    <sheet name="29" sheetId="34" r:id="rId29"/>
    <sheet name="30" sheetId="35" r:id="rId30"/>
  </sheets>
  <calcPr calcId="145621"/>
</workbook>
</file>

<file path=xl/calcChain.xml><?xml version="1.0" encoding="utf-8"?>
<calcChain xmlns="http://schemas.openxmlformats.org/spreadsheetml/2006/main">
  <c r="A4" i="35" l="1"/>
  <c r="A5" i="35" s="1"/>
  <c r="A6" i="35" s="1"/>
  <c r="G6" i="35"/>
  <c r="A3" i="35"/>
  <c r="B5" i="34" l="1"/>
  <c r="A3" i="34"/>
  <c r="A4" i="34" s="1"/>
  <c r="A5" i="34" s="1"/>
  <c r="B5" i="31" l="1"/>
  <c r="A3" i="31"/>
  <c r="A4" i="31" s="1"/>
  <c r="A5" i="31" s="1"/>
  <c r="G5" i="30" l="1"/>
  <c r="F5" i="30"/>
  <c r="E3" i="30"/>
  <c r="D5" i="30"/>
  <c r="B5" i="30"/>
  <c r="A5" i="30"/>
  <c r="G4" i="30" l="1"/>
  <c r="A3" i="30"/>
  <c r="A4" i="30" s="1"/>
  <c r="G8" i="28" l="1"/>
  <c r="G6" i="28"/>
  <c r="G5" i="28"/>
  <c r="G7" i="28" s="1"/>
  <c r="G4" i="28"/>
  <c r="A3" i="28"/>
  <c r="A4" i="28" s="1"/>
  <c r="A5" i="28" s="1"/>
  <c r="A6" i="28" s="1"/>
  <c r="A7" i="28" s="1"/>
  <c r="A8" i="28" s="1"/>
  <c r="A3" i="27" l="1"/>
  <c r="A4" i="27" s="1"/>
  <c r="A5" i="27" s="1"/>
  <c r="A6" i="27" s="1"/>
  <c r="A7" i="27" s="1"/>
  <c r="A3" i="26" l="1"/>
  <c r="A4" i="26" s="1"/>
  <c r="E6" i="25" l="1"/>
  <c r="E4" i="25"/>
  <c r="A9" i="24" l="1"/>
  <c r="G8" i="24" l="1"/>
  <c r="G5" i="24"/>
  <c r="G7" i="24" s="1"/>
  <c r="G4" i="24"/>
  <c r="A3" i="24"/>
  <c r="A4" i="24" s="1"/>
  <c r="A5" i="24" s="1"/>
  <c r="A6" i="24" s="1"/>
  <c r="A7" i="24" s="1"/>
  <c r="A8" i="24" s="1"/>
  <c r="A3" i="23" l="1"/>
  <c r="A4" i="23" s="1"/>
  <c r="A5" i="23" s="1"/>
  <c r="A6" i="23" s="1"/>
  <c r="A7" i="23" s="1"/>
  <c r="A5" i="20" l="1"/>
  <c r="A6" i="20" s="1"/>
  <c r="A7" i="20" s="1"/>
  <c r="A8" i="20" s="1"/>
  <c r="A3" i="20"/>
  <c r="A4" i="20" s="1"/>
  <c r="G8" i="20"/>
  <c r="G5" i="20"/>
  <c r="G7" i="20" s="1"/>
  <c r="A8" i="19" l="1"/>
  <c r="A3" i="19" l="1"/>
  <c r="A4" i="19" s="1"/>
  <c r="A5" i="19" s="1"/>
  <c r="A6" i="19" s="1"/>
  <c r="A7" i="19" s="1"/>
  <c r="A3" i="18" l="1"/>
  <c r="A4" i="18" s="1"/>
  <c r="G8" i="16" l="1"/>
  <c r="G7" i="16"/>
  <c r="G5" i="16"/>
  <c r="G4" i="16"/>
  <c r="A3" i="16"/>
  <c r="A4" i="16" s="1"/>
  <c r="A5" i="16" s="1"/>
  <c r="A6" i="16" s="1"/>
  <c r="A7" i="16" s="1"/>
  <c r="A8" i="16" s="1"/>
  <c r="G4" i="15" l="1"/>
  <c r="G6" i="15" s="1"/>
  <c r="A3" i="15"/>
  <c r="A4" i="15" s="1"/>
  <c r="A5" i="15" s="1"/>
  <c r="A6" i="15" s="1"/>
  <c r="A7" i="15" s="1"/>
  <c r="G8" i="13" l="1"/>
  <c r="A4" i="13"/>
  <c r="G5" i="13"/>
  <c r="G7" i="13" s="1"/>
  <c r="E7" i="12" l="1"/>
  <c r="E5" i="12"/>
  <c r="E6" i="12"/>
  <c r="E4" i="12"/>
  <c r="A3" i="12"/>
  <c r="A4" i="12" s="1"/>
  <c r="A5" i="12" s="1"/>
  <c r="A6" i="12" s="1"/>
  <c r="A7" i="12" s="1"/>
  <c r="A3" i="11" l="1"/>
  <c r="A4" i="11" s="1"/>
  <c r="A3" i="10" l="1"/>
  <c r="A4" i="10" s="1"/>
  <c r="A5" i="10" s="1"/>
  <c r="A6" i="10" s="1"/>
  <c r="A7" i="10" s="1"/>
  <c r="A8" i="9" l="1"/>
  <c r="A5" i="9"/>
  <c r="G8" i="9"/>
  <c r="A6" i="9"/>
  <c r="A7" i="9" s="1"/>
  <c r="G4" i="9"/>
  <c r="G5" i="9"/>
  <c r="G7" i="9" s="1"/>
  <c r="A3" i="9"/>
  <c r="A4" i="9" s="1"/>
  <c r="G4" i="8" l="1"/>
  <c r="G6" i="8" s="1"/>
  <c r="A3" i="8"/>
  <c r="A4" i="8" s="1"/>
  <c r="A5" i="8" s="1"/>
  <c r="A6" i="8" s="1"/>
  <c r="A7" i="8" s="1"/>
  <c r="G8" i="6" l="1"/>
  <c r="A6" i="6"/>
  <c r="A7" i="6" s="1"/>
  <c r="A8" i="6" s="1"/>
  <c r="G4" i="6"/>
  <c r="G3" i="6"/>
  <c r="G5" i="6" s="1"/>
  <c r="G7" i="6" s="1"/>
  <c r="A4" i="6"/>
  <c r="A3" i="5" l="1"/>
  <c r="A4" i="5" s="1"/>
  <c r="A5" i="5" s="1"/>
  <c r="A6" i="5" s="1"/>
  <c r="A7" i="5" s="1"/>
  <c r="I5" i="4" l="1"/>
  <c r="H5" i="4"/>
  <c r="A5" i="4"/>
  <c r="A4" i="4" l="1"/>
  <c r="A3" i="4"/>
  <c r="A8" i="3" l="1"/>
  <c r="A3" i="3" l="1"/>
  <c r="A4" i="3" s="1"/>
  <c r="A5" i="3" s="1"/>
  <c r="A6" i="3" s="1"/>
  <c r="A7" i="3" s="1"/>
  <c r="G8" i="2" l="1"/>
  <c r="G4" i="2"/>
  <c r="G3" i="2"/>
  <c r="G5" i="2" s="1"/>
  <c r="G7" i="2" s="1"/>
  <c r="A3" i="2"/>
  <c r="A4" i="2" s="1"/>
  <c r="A6" i="2" s="1"/>
  <c r="A7" i="2" s="1"/>
  <c r="A8" i="2" s="1"/>
</calcChain>
</file>

<file path=xl/sharedStrings.xml><?xml version="1.0" encoding="utf-8"?>
<sst xmlns="http://schemas.openxmlformats.org/spreadsheetml/2006/main" count="2180" uniqueCount="372">
  <si>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</si>
  <si>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</si>
  <si>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</si>
  <si>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</si>
  <si>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</si>
  <si>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</si>
  <si>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</si>
  <si>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</si>
  <si>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</si>
  <si>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</si>
  <si>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</si>
  <si>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</si>
  <si>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</si>
  <si>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</si>
  <si>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</si>
  <si>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</si>
  <si>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</si>
  <si>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</si>
  <si>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</si>
  <si>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</si>
  <si>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</si>
  <si>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</t>
  </si>
  <si>
    <t>TZL-VIE-TZL</t>
  </si>
  <si>
    <t>A320</t>
  </si>
  <si>
    <t>SCHEDULED</t>
  </si>
  <si>
    <t>W64286</t>
  </si>
  <si>
    <t>W64285</t>
  </si>
  <si>
    <t>TZL-HHN-TZL</t>
  </si>
  <si>
    <t>W64284</t>
  </si>
  <si>
    <t>W64283</t>
  </si>
  <si>
    <t>TZL-FMM-TZL</t>
  </si>
  <si>
    <t>W64280</t>
  </si>
  <si>
    <t>W64279</t>
  </si>
  <si>
    <t>TZL-EIN-TZL</t>
  </si>
  <si>
    <t>W64290</t>
  </si>
  <si>
    <t>W64289</t>
  </si>
  <si>
    <t>TZL-FDH-TZL</t>
  </si>
  <si>
    <t>W64616</t>
  </si>
  <si>
    <t>W64615</t>
  </si>
  <si>
    <t>TZL-BLL-TZL</t>
  </si>
  <si>
    <t>W64278</t>
  </si>
  <si>
    <t>W64277</t>
  </si>
  <si>
    <t>TZL-SXF-TZL</t>
  </si>
  <si>
    <t>W64276</t>
  </si>
  <si>
    <t>W64275</t>
  </si>
  <si>
    <t>151+4INF</t>
  </si>
  <si>
    <t>160+5INF</t>
  </si>
  <si>
    <t>147+4INF</t>
  </si>
  <si>
    <t>176+1INF</t>
  </si>
  <si>
    <t>162+5INF</t>
  </si>
  <si>
    <t>163+4INF</t>
  </si>
  <si>
    <t>170+3INF</t>
  </si>
  <si>
    <t>161+2 INF</t>
  </si>
  <si>
    <t>155+5 INF</t>
  </si>
  <si>
    <t>152+4 INF</t>
  </si>
  <si>
    <t>160+5 INF</t>
  </si>
  <si>
    <t>174+5 INF</t>
  </si>
  <si>
    <t>168+3 INF</t>
  </si>
  <si>
    <t>148+1 INF</t>
  </si>
  <si>
    <t>HAYLO</t>
  </si>
  <si>
    <t>HALPT</t>
  </si>
  <si>
    <t>HALYO</t>
  </si>
  <si>
    <t>TZL-DTM-TZL</t>
  </si>
  <si>
    <t>W64298</t>
  </si>
  <si>
    <t>W64297</t>
  </si>
  <si>
    <t>TZL-MMX-TZL</t>
  </si>
  <si>
    <t>W64292</t>
  </si>
  <si>
    <t>W64291</t>
  </si>
  <si>
    <t>TZL-NYO-TZL</t>
  </si>
  <si>
    <t>W64282</t>
  </si>
  <si>
    <t>W64281</t>
  </si>
  <si>
    <t>TZL-GOT-TZL</t>
  </si>
  <si>
    <t>W64296</t>
  </si>
  <si>
    <t>W64295</t>
  </si>
  <si>
    <t>TZL-MLH-TZL</t>
  </si>
  <si>
    <t>W64294</t>
  </si>
  <si>
    <t>W64293</t>
  </si>
  <si>
    <t>TZL-CGN-TZL</t>
  </si>
  <si>
    <t>W64300</t>
  </si>
  <si>
    <t>W64299</t>
  </si>
  <si>
    <t>164+1 INF</t>
  </si>
  <si>
    <t>168+1 INF</t>
  </si>
  <si>
    <t>171+0INF</t>
  </si>
  <si>
    <t>167+0INF</t>
  </si>
  <si>
    <t>166+4INF</t>
  </si>
  <si>
    <t>176+2INF</t>
  </si>
  <si>
    <t>SMATSA</t>
  </si>
  <si>
    <t>BNX-TZL</t>
  </si>
  <si>
    <t>B350</t>
  </si>
  <si>
    <t>YU-BTC</t>
  </si>
  <si>
    <t>GEN.AVI</t>
  </si>
  <si>
    <t>YUBTC</t>
  </si>
  <si>
    <t>122+3INF</t>
  </si>
  <si>
    <t>168+1INF</t>
  </si>
  <si>
    <t>172+5INF</t>
  </si>
  <si>
    <t>178+2INF</t>
  </si>
  <si>
    <t>178+5INF</t>
  </si>
  <si>
    <t>TZL-BEG</t>
  </si>
  <si>
    <t>NON SCH./GP</t>
  </si>
  <si>
    <t>ROP</t>
  </si>
  <si>
    <t>180+5 INF</t>
  </si>
  <si>
    <t>166+2 INF</t>
  </si>
  <si>
    <t>156+2 INF</t>
  </si>
  <si>
    <t>170+3 INF</t>
  </si>
  <si>
    <t>TZL-VXO-TZL</t>
  </si>
  <si>
    <t>W64612</t>
  </si>
  <si>
    <t>W64611</t>
  </si>
  <si>
    <t>TZL-FKB-TZL</t>
  </si>
  <si>
    <t>W64618</t>
  </si>
  <si>
    <t>W64617</t>
  </si>
  <si>
    <t>177+4 INF</t>
  </si>
  <si>
    <t>166+1 INF</t>
  </si>
  <si>
    <t>179+3 INF</t>
  </si>
  <si>
    <t>171+4 INF</t>
  </si>
  <si>
    <t>SPC Mustang GmbH</t>
  </si>
  <si>
    <t>IBZ-TZL-VIE</t>
  </si>
  <si>
    <t>C510</t>
  </si>
  <si>
    <t>OEFTS</t>
  </si>
  <si>
    <t xml:space="preserve">OEFTS </t>
  </si>
  <si>
    <t>NON SCHEDULED</t>
  </si>
  <si>
    <t>159+2 INF</t>
  </si>
  <si>
    <t>164+0 INF</t>
  </si>
  <si>
    <t>172+3 INF</t>
  </si>
  <si>
    <t>178+3 INF</t>
  </si>
  <si>
    <t>175+8 INF</t>
  </si>
  <si>
    <t>170+4 INF</t>
  </si>
  <si>
    <t>140+2INF</t>
  </si>
  <si>
    <t>174+1INF</t>
  </si>
  <si>
    <t>144+5INF</t>
  </si>
  <si>
    <t>162+2INF</t>
  </si>
  <si>
    <t>167+3INF</t>
  </si>
  <si>
    <t>177+3INF</t>
  </si>
  <si>
    <t>172+4 INF</t>
  </si>
  <si>
    <t>179+4 INF</t>
  </si>
  <si>
    <t>165+0 INF</t>
  </si>
  <si>
    <t>153+0 INF</t>
  </si>
  <si>
    <t>HALYO/HALWC</t>
  </si>
  <si>
    <t>HALWC</t>
  </si>
  <si>
    <t>71.500/70.000</t>
  </si>
  <si>
    <t>173+2 INF</t>
  </si>
  <si>
    <t>172+2 INF</t>
  </si>
  <si>
    <t>180+2 INF</t>
  </si>
  <si>
    <t>161+4 INF</t>
  </si>
  <si>
    <t>135+1INF</t>
  </si>
  <si>
    <t>158+3INF</t>
  </si>
  <si>
    <t>174+0INF</t>
  </si>
  <si>
    <t>174+6INF</t>
  </si>
  <si>
    <t>171+4INF</t>
  </si>
  <si>
    <t>180+2INF</t>
  </si>
  <si>
    <t>172+1INF</t>
  </si>
  <si>
    <t>169+3INF</t>
  </si>
  <si>
    <t>159+2INF</t>
  </si>
  <si>
    <t>163+2INF</t>
  </si>
  <si>
    <t>164+3INF</t>
  </si>
  <si>
    <t>173+5INF</t>
  </si>
  <si>
    <t>:</t>
  </si>
  <si>
    <t>175+0 INF</t>
  </si>
  <si>
    <t>178+6 INF</t>
  </si>
  <si>
    <t>107+2 INF</t>
  </si>
  <si>
    <t>134+3 INF</t>
  </si>
  <si>
    <t>174+2 INF</t>
  </si>
  <si>
    <t>150+2 INF</t>
  </si>
  <si>
    <t>148+3 INF</t>
  </si>
  <si>
    <t>176+4 INF</t>
  </si>
  <si>
    <t>169+6 INF</t>
  </si>
  <si>
    <t>176+6 INF</t>
  </si>
  <si>
    <t>159+7 INF</t>
  </si>
  <si>
    <t>174+3 INF</t>
  </si>
  <si>
    <t>162+2 INF</t>
  </si>
  <si>
    <t>156+1 INF</t>
  </si>
  <si>
    <t>151+0 INF</t>
  </si>
  <si>
    <t>170+2  INF</t>
  </si>
  <si>
    <t>174+4 INF</t>
  </si>
  <si>
    <t>178+4INF</t>
  </si>
  <si>
    <t>160+1INF</t>
  </si>
  <si>
    <t>169+4INF</t>
  </si>
  <si>
    <t>165+1INF</t>
  </si>
  <si>
    <t>170+4INF</t>
  </si>
  <si>
    <t>151+1 INF</t>
  </si>
  <si>
    <t>162+0 INF</t>
  </si>
  <si>
    <t>169+4 INF</t>
  </si>
  <si>
    <t>175+4 INF</t>
  </si>
  <si>
    <t>176+5 INF</t>
  </si>
  <si>
    <t>171+3 INF</t>
  </si>
  <si>
    <t>174+6 INF</t>
  </si>
  <si>
    <t>171+0 INF</t>
  </si>
  <si>
    <t>170+2 INF</t>
  </si>
  <si>
    <t>162+3 INF</t>
  </si>
  <si>
    <t>164+2INF</t>
  </si>
  <si>
    <t>173+1INF</t>
  </si>
  <si>
    <t>179+2INF</t>
  </si>
  <si>
    <t>166+3INF</t>
  </si>
  <si>
    <t>178+0 INF</t>
  </si>
  <si>
    <t>167+6 INF</t>
  </si>
  <si>
    <t>162+1 INF</t>
  </si>
  <si>
    <t>173+0 INF</t>
  </si>
  <si>
    <t>147+3 INF</t>
  </si>
  <si>
    <t>151+3 INF</t>
  </si>
  <si>
    <t>169+3 INF</t>
  </si>
  <si>
    <t>174+8INF</t>
  </si>
  <si>
    <t>173+2INF</t>
  </si>
  <si>
    <t>167+1INF</t>
  </si>
  <si>
    <t>172+6INF</t>
  </si>
  <si>
    <t>180+3INF</t>
  </si>
  <si>
    <t>178+1INF</t>
  </si>
  <si>
    <t>167+5INF</t>
  </si>
  <si>
    <t>HALPT/HALWL</t>
  </si>
  <si>
    <t>HALWL</t>
  </si>
  <si>
    <t>BUMBAR MATE</t>
  </si>
  <si>
    <t>OSI-TZL-LQPP</t>
  </si>
  <si>
    <t>PITTS 2B</t>
  </si>
  <si>
    <t>VHJJZ</t>
  </si>
  <si>
    <t>NON SCH/TECHNICAL</t>
  </si>
  <si>
    <t>0.700</t>
  </si>
  <si>
    <t>VH-JJZ</t>
  </si>
  <si>
    <t>172+2INF</t>
  </si>
  <si>
    <t>175+0INF</t>
  </si>
  <si>
    <t>136+1INF</t>
  </si>
  <si>
    <t>127+2 INF</t>
  </si>
  <si>
    <t>173+6 INF</t>
  </si>
  <si>
    <t>173+3 INF</t>
  </si>
  <si>
    <t>171+2 INF</t>
  </si>
  <si>
    <t>170+5 INF</t>
  </si>
  <si>
    <t>175+3INF</t>
  </si>
  <si>
    <t>169+0INF</t>
  </si>
  <si>
    <t>156+3INF</t>
  </si>
  <si>
    <t>166+1INF</t>
  </si>
  <si>
    <t>168+2INF</t>
  </si>
  <si>
    <t>108+3INF</t>
  </si>
  <si>
    <t>61+0INF</t>
  </si>
  <si>
    <t>177+7INF</t>
  </si>
  <si>
    <t>159+5INF</t>
  </si>
  <si>
    <t>172+4INF</t>
  </si>
  <si>
    <t>145+5INF</t>
  </si>
  <si>
    <t>149+3INF</t>
  </si>
  <si>
    <t>OTKAZAN</t>
  </si>
  <si>
    <t>180+0INF</t>
  </si>
  <si>
    <t>178+1 INF</t>
  </si>
  <si>
    <t>172+6 INF</t>
  </si>
  <si>
    <t>153+5 INF</t>
  </si>
  <si>
    <t>176+3 INF</t>
  </si>
  <si>
    <t>137+2 INF</t>
  </si>
  <si>
    <t>164+4 INF</t>
  </si>
  <si>
    <t>173+4 INF</t>
  </si>
  <si>
    <t>180+4 INF</t>
  </si>
  <si>
    <t>145+2 INF</t>
  </si>
  <si>
    <t>167+3 INF</t>
  </si>
  <si>
    <t>159+1 INF</t>
  </si>
  <si>
    <t>177+5 INF</t>
  </si>
  <si>
    <t>155+2 INF</t>
  </si>
  <si>
    <t>169+1 INF</t>
  </si>
  <si>
    <t>175+6INF</t>
  </si>
  <si>
    <t>177+4INF</t>
  </si>
  <si>
    <t>170+1INF</t>
  </si>
  <si>
    <t>HALYT</t>
  </si>
  <si>
    <t>BUD-TZL-BUD</t>
  </si>
  <si>
    <t>FERRY IN/OUT</t>
  </si>
  <si>
    <t>WZZ805</t>
  </si>
  <si>
    <t>WZZ806</t>
  </si>
  <si>
    <t>161+1INF</t>
  </si>
  <si>
    <t>159+0INF</t>
  </si>
  <si>
    <t>174+3INF</t>
  </si>
  <si>
    <t>179+3INF</t>
  </si>
  <si>
    <t>172+0INF</t>
  </si>
  <si>
    <t>153+1INF</t>
  </si>
  <si>
    <t>152+4INF</t>
  </si>
  <si>
    <t>178+6INF</t>
  </si>
  <si>
    <t>174+5INF</t>
  </si>
  <si>
    <t>168+5INF</t>
  </si>
  <si>
    <t>168+0INF</t>
  </si>
  <si>
    <t>179+0INF</t>
  </si>
  <si>
    <t>171+2INF</t>
  </si>
  <si>
    <t>148+3INF</t>
  </si>
  <si>
    <t>154+4INF</t>
  </si>
  <si>
    <t>175+2 INF</t>
  </si>
  <si>
    <t>172+1 INF</t>
  </si>
  <si>
    <t>98+0INF</t>
  </si>
  <si>
    <t>136+3INF</t>
  </si>
  <si>
    <t>173+4INF</t>
  </si>
  <si>
    <t>176+3INF</t>
  </si>
  <si>
    <t>HALYR</t>
  </si>
  <si>
    <t>145+2INF</t>
  </si>
  <si>
    <t>171+1INF</t>
  </si>
  <si>
    <t>HALYG</t>
  </si>
  <si>
    <t>W6807</t>
  </si>
  <si>
    <t>W6808</t>
  </si>
  <si>
    <t>CREW</t>
  </si>
  <si>
    <t>53+1INF</t>
  </si>
  <si>
    <t>A321</t>
  </si>
  <si>
    <t>FERRY IN</t>
  </si>
  <si>
    <t>-</t>
  </si>
  <si>
    <t>BUD-TZL</t>
  </si>
  <si>
    <t>TZL-BUD</t>
  </si>
  <si>
    <t>FERRY OUT</t>
  </si>
  <si>
    <t>161+4INF</t>
  </si>
  <si>
    <t>81+2INF</t>
  </si>
  <si>
    <t>155+6INF</t>
  </si>
  <si>
    <t>94+1INF</t>
  </si>
  <si>
    <t>152+7INF</t>
  </si>
  <si>
    <t>DELIC AIR</t>
  </si>
  <si>
    <t>SKP-TZL-SJJ</t>
  </si>
  <si>
    <t>C525</t>
  </si>
  <si>
    <t>T7-BSG</t>
  </si>
  <si>
    <t>150+2INF</t>
  </si>
  <si>
    <t>143+6INF</t>
  </si>
  <si>
    <t>174+4INF</t>
  </si>
  <si>
    <t>176+7INF</t>
  </si>
  <si>
    <t>158+1INF</t>
  </si>
  <si>
    <t>161+2INF</t>
  </si>
  <si>
    <t>118+1INF</t>
  </si>
  <si>
    <t>136+2INF</t>
  </si>
  <si>
    <t>127+6INF</t>
  </si>
  <si>
    <t>171+7INF</t>
  </si>
  <si>
    <t>158+2INF</t>
  </si>
  <si>
    <t>156+3 INF</t>
  </si>
  <si>
    <t>154+3INF</t>
  </si>
  <si>
    <t>173+3INF</t>
  </si>
  <si>
    <t>158+6INF</t>
  </si>
  <si>
    <t>159+4INF</t>
  </si>
  <si>
    <t>166+4 INF</t>
  </si>
  <si>
    <t>171+1 INF</t>
  </si>
  <si>
    <t>148+2 INF</t>
  </si>
  <si>
    <t>163+7 INF</t>
  </si>
  <si>
    <t>172+5 INF</t>
  </si>
  <si>
    <t>129+0 INF</t>
  </si>
  <si>
    <t>175+5INF</t>
  </si>
  <si>
    <t>173+0INF</t>
  </si>
  <si>
    <t>160+2INF</t>
  </si>
  <si>
    <t>151+2 INF</t>
  </si>
  <si>
    <t>168+9 INF</t>
  </si>
  <si>
    <t>162+8 INF</t>
  </si>
  <si>
    <t>160+1 INF</t>
  </si>
  <si>
    <t>172+3INF</t>
  </si>
  <si>
    <t>170+2INF</t>
  </si>
  <si>
    <t>163+1INF</t>
  </si>
  <si>
    <t>DIV TO BEG</t>
  </si>
  <si>
    <t>GOT-TZL-GOT</t>
  </si>
  <si>
    <t>CGN-TZL-CGN</t>
  </si>
  <si>
    <t>159+5 INF</t>
  </si>
  <si>
    <t>BEG-TZL</t>
  </si>
  <si>
    <t>HA-LWC</t>
  </si>
  <si>
    <t>W6803</t>
  </si>
  <si>
    <t>180+1INF</t>
  </si>
  <si>
    <t>MLH-TZL-MLH</t>
  </si>
  <si>
    <t>178+3INF</t>
  </si>
  <si>
    <t>171+5INF</t>
  </si>
  <si>
    <t>TZL - DTM - TZL</t>
  </si>
  <si>
    <t>TZL- MMX - TZL</t>
  </si>
  <si>
    <t>TZL - FDH - TZL</t>
  </si>
  <si>
    <t>TZL - BLL - TZL</t>
  </si>
  <si>
    <t>HA - LWC</t>
  </si>
  <si>
    <t>HA - LYG</t>
  </si>
  <si>
    <t>171+5 INF</t>
  </si>
  <si>
    <t>180+7 INF</t>
  </si>
  <si>
    <t>160+4INF</t>
  </si>
  <si>
    <t>157+2INF</t>
  </si>
  <si>
    <t>49+0INF</t>
  </si>
  <si>
    <t>TZL - HHN - TZL</t>
  </si>
  <si>
    <t>TZL- EIN- TZL</t>
  </si>
  <si>
    <t>TZL - FMM- TZL</t>
  </si>
  <si>
    <t>TZL - SXF - TZL</t>
  </si>
  <si>
    <t>HA-LYG</t>
  </si>
  <si>
    <t>146+6INF</t>
  </si>
  <si>
    <t>162+3INF</t>
  </si>
  <si>
    <t>163+1 INF</t>
  </si>
  <si>
    <t>176+8 INF</t>
  </si>
  <si>
    <t>158+1 INF</t>
  </si>
  <si>
    <t>169+1INF</t>
  </si>
  <si>
    <t>166+2INF</t>
  </si>
  <si>
    <t>179+1INF</t>
  </si>
  <si>
    <t>165+2INF</t>
  </si>
  <si>
    <t>176+5INF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</si>
</sst>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charset val="238"/>
      <scheme val="minor"/>
    </font>
    <font>
      <sz val="10"/>
      <name val="Garamond"/>
      <family val="1"/>
      <charset val="238"/>
    </font>
    <font>
      <sz val="10"/>
      <name val="Arial"/>
      <family val="2"/>
      <charset val="238"/>
    </font>
    <font>
      <b/>
      <sz val="10"/>
      <name val="Garamond"/>
      <family val="1"/>
      <charset val="238"/>
    </font>
    <font>
      <sz val="10"/>
      <color theme="1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9"/>
      <color theme="1"/>
      <name val="Garamond"/>
      <family val="1"/>
      <charset val="238"/>
    </font>
    <font>
      <sz val="9"/>
      <name val="Garamond"/>
      <family val="1"/>
      <charset val="238"/>
    </font>
    <font>
      <sz val="11"/>
      <color theme="1"/>
      <name val="Garamond"/>
      <family val="1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42">
    <xf numFmtId="0" fontId="0" fillId="0" borderId="0" xfId="0"/>
    <xf numFmtId="20" fontId="1" fillId="0" borderId="0" xfId="1" applyNumberFormat="1" applyFont="1" applyFill="1" applyAlignment="1">
      <alignment horizontal="center" vertical="center"/>
    </xf>
    <xf numFmtId="0" fontId="1" fillId="0" borderId="0" xfId="1" applyFont="1" applyFill="1" applyAlignment="1">
      <alignment horizontal="center" vertical="center"/>
    </xf>
    <xf numFmtId="14" fontId="1" fillId="0" borderId="0" xfId="2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3" fontId="1" fillId="0" borderId="0" xfId="0" applyNumberFormat="1" applyFont="1" applyFill="1" applyAlignment="1">
      <alignment horizontal="center" vertical="center"/>
    </xf>
    <xf numFmtId="20" fontId="3" fillId="0" borderId="0" xfId="0" applyNumberFormat="1" applyFont="1" applyFill="1" applyAlignment="1">
      <alignment horizontal="center" vertical="center"/>
    </xf>
    <xf numFmtId="2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20" fontId="3" fillId="0" borderId="0" xfId="1" applyNumberFormat="1" applyFont="1" applyFill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20" fontId="4" fillId="0" borderId="0" xfId="0" applyNumberFormat="1" applyFont="1" applyAlignment="1">
      <alignment horizontal="center"/>
    </xf>
    <xf numFmtId="20" fontId="5" fillId="0" borderId="0" xfId="0" applyNumberFormat="1" applyFont="1" applyFill="1" applyAlignment="1">
      <alignment horizontal="center" vertical="center"/>
    </xf>
    <xf numFmtId="20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20" fontId="5" fillId="0" borderId="0" xfId="0" applyNumberFormat="1" applyFont="1" applyFill="1" applyAlignment="1">
      <alignment horizontal="center"/>
    </xf>
    <xf numFmtId="20" fontId="4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/>
    </xf>
    <xf numFmtId="14" fontId="4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7" fillId="0" borderId="0" xfId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1" applyFont="1" applyFill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20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0" fontId="4" fillId="3" borderId="0" xfId="0" applyNumberFormat="1" applyFont="1" applyFill="1" applyAlignment="1">
      <alignment horizontal="center" vertical="center"/>
    </xf>
    <xf numFmtId="0" fontId="0" fillId="0" borderId="0" xfId="0" applyFill="1"/>
    <xf numFmtId="0" fontId="8" fillId="0" borderId="0" xfId="0" applyFont="1"/>
    <xf numFmtId="3" fontId="4" fillId="0" borderId="0" xfId="0" applyNumberFormat="1" applyFont="1" applyAlignment="1">
      <alignment horizontal="center"/>
    </xf>
  </cellXfs>
  <cellStyles count="8">
    <cellStyle name="Normal" xfId="0" builtinId="0"/>
    <cellStyle name="Normal 2" xfId="3"/>
    <cellStyle name="Normal 2 2" xfId="2"/>
    <cellStyle name="Normal 3" xfId="4"/>
    <cellStyle name="Normal 3 2" xfId="1"/>
    <cellStyle name="Normal 4" xfId="5"/>
    <cellStyle name="Normal 5" xfId="6"/>
    <cellStyle name="Normal 6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selection sqref="A1:XFD8"/>
    </sheetView>
  </sheetViews>
  <sheetFormatPr defaultRowHeight="12.75" x14ac:dyDescent="0.2"/>
  <cols>
    <col min="1" max="1" width="9.140625" style="13"/>
    <col min="2" max="2" width="22.7109375" style="13" customWidth="1"/>
    <col min="3" max="3" width="14.28515625" style="13" customWidth="1"/>
    <col min="4" max="4" width="12.42578125" style="13" customWidth="1"/>
    <col min="5" max="5" width="9.140625" style="13"/>
    <col min="6" max="6" width="18.140625" style="13" customWidth="1"/>
    <col min="7" max="12" width="9.140625" style="13"/>
    <col min="13" max="13" width="11.42578125" style="13" customWidth="1"/>
    <col min="14" max="14" width="17.5703125" style="13" customWidth="1"/>
    <col min="15" max="15" width="19.5703125" style="13" customWidth="1"/>
    <col min="16" max="16384" width="9.140625" style="13"/>
  </cols>
  <sheetData>
    <row r="1" spans="1:2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4" t="s">
        <v>11</v>
      </c>
      <c r="M1" s="4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2">
      <c r="A2" s="3">
        <v>43739</v>
      </c>
      <c r="B2" s="4" t="s">
        <v>21</v>
      </c>
      <c r="C2" s="4" t="s">
        <v>22</v>
      </c>
      <c r="D2" s="4" t="s">
        <v>23</v>
      </c>
      <c r="E2" s="4" t="s">
        <v>59</v>
      </c>
      <c r="F2" s="4" t="s">
        <v>24</v>
      </c>
      <c r="G2" s="5">
        <v>71500</v>
      </c>
      <c r="H2" s="4" t="s">
        <v>25</v>
      </c>
      <c r="I2" s="4" t="s">
        <v>26</v>
      </c>
      <c r="J2" s="6">
        <v>0.38541666666666669</v>
      </c>
      <c r="K2" s="1">
        <v>0.375</v>
      </c>
      <c r="L2" s="6">
        <v>0.25694444444444448</v>
      </c>
      <c r="M2" s="7">
        <v>0.25833333333333336</v>
      </c>
      <c r="N2" s="2" t="s">
        <v>47</v>
      </c>
      <c r="O2" s="8" t="s">
        <v>45</v>
      </c>
      <c r="P2" s="8">
        <v>584</v>
      </c>
      <c r="Q2" s="8">
        <v>617</v>
      </c>
      <c r="R2" s="4">
        <v>0</v>
      </c>
      <c r="S2" s="4">
        <v>0</v>
      </c>
      <c r="T2" s="4">
        <v>0</v>
      </c>
      <c r="U2" s="4">
        <v>0</v>
      </c>
    </row>
    <row r="3" spans="1:21" x14ac:dyDescent="0.2">
      <c r="A3" s="3">
        <f>A2</f>
        <v>43739</v>
      </c>
      <c r="B3" s="4" t="s">
        <v>21</v>
      </c>
      <c r="C3" s="4" t="s">
        <v>27</v>
      </c>
      <c r="D3" s="4" t="s">
        <v>23</v>
      </c>
      <c r="E3" s="4" t="s">
        <v>60</v>
      </c>
      <c r="F3" s="4" t="s">
        <v>24</v>
      </c>
      <c r="G3" s="5">
        <f>G2</f>
        <v>71500</v>
      </c>
      <c r="H3" s="4" t="s">
        <v>28</v>
      </c>
      <c r="I3" s="4" t="s">
        <v>29</v>
      </c>
      <c r="J3" s="6">
        <v>0.46180555555555558</v>
      </c>
      <c r="K3" s="1">
        <v>0.45347222222222222</v>
      </c>
      <c r="L3" s="6">
        <v>0.28125</v>
      </c>
      <c r="M3" s="7">
        <v>0.28819444444444448</v>
      </c>
      <c r="N3" s="2" t="s">
        <v>48</v>
      </c>
      <c r="O3" s="8" t="s">
        <v>46</v>
      </c>
      <c r="P3" s="4">
        <v>830</v>
      </c>
      <c r="Q3" s="8">
        <v>741</v>
      </c>
      <c r="R3" s="4">
        <v>0</v>
      </c>
      <c r="S3" s="4">
        <v>0</v>
      </c>
      <c r="T3" s="4">
        <v>0</v>
      </c>
      <c r="U3" s="4">
        <v>0</v>
      </c>
    </row>
    <row r="4" spans="1:21" x14ac:dyDescent="0.2">
      <c r="A4" s="3">
        <f>A3</f>
        <v>43739</v>
      </c>
      <c r="B4" s="4" t="s">
        <v>21</v>
      </c>
      <c r="C4" s="2" t="s">
        <v>30</v>
      </c>
      <c r="D4" s="2" t="s">
        <v>23</v>
      </c>
      <c r="E4" s="4" t="s">
        <v>61</v>
      </c>
      <c r="F4" s="2" t="s">
        <v>24</v>
      </c>
      <c r="G4" s="5">
        <f>G2</f>
        <v>71500</v>
      </c>
      <c r="H4" s="2" t="s">
        <v>31</v>
      </c>
      <c r="I4" s="2" t="s">
        <v>32</v>
      </c>
      <c r="J4" s="12">
        <v>0.55555555555555558</v>
      </c>
      <c r="K4" s="1">
        <v>0.5395833333333333</v>
      </c>
      <c r="L4" s="12">
        <v>0.40625</v>
      </c>
      <c r="M4" s="1">
        <v>0.40486111111111112</v>
      </c>
      <c r="N4" s="2" t="s">
        <v>49</v>
      </c>
      <c r="O4" s="2" t="s">
        <v>50</v>
      </c>
      <c r="P4" s="2">
        <v>951</v>
      </c>
      <c r="Q4" s="8">
        <v>898</v>
      </c>
      <c r="R4" s="2">
        <v>0</v>
      </c>
      <c r="S4" s="2">
        <v>0</v>
      </c>
      <c r="T4" s="2">
        <v>0</v>
      </c>
      <c r="U4" s="2">
        <v>0</v>
      </c>
    </row>
    <row r="5" spans="1:21" x14ac:dyDescent="0.2">
      <c r="A5" s="3">
        <v>43739</v>
      </c>
      <c r="B5" s="4" t="s">
        <v>21</v>
      </c>
      <c r="C5" s="2" t="s">
        <v>33</v>
      </c>
      <c r="D5" s="2" t="s">
        <v>23</v>
      </c>
      <c r="E5" s="4" t="s">
        <v>60</v>
      </c>
      <c r="F5" s="2" t="s">
        <v>24</v>
      </c>
      <c r="G5" s="5">
        <f>G3</f>
        <v>71500</v>
      </c>
      <c r="H5" s="2" t="s">
        <v>34</v>
      </c>
      <c r="I5" s="2" t="s">
        <v>35</v>
      </c>
      <c r="J5" s="16">
        <v>0.70138888888888884</v>
      </c>
      <c r="K5" s="1">
        <v>0.71388888888888891</v>
      </c>
      <c r="L5" s="16">
        <v>0.49305555555555558</v>
      </c>
      <c r="M5" s="17">
        <v>0.49861111111111112</v>
      </c>
      <c r="N5" s="2" t="s">
        <v>52</v>
      </c>
      <c r="O5" s="2" t="s">
        <v>51</v>
      </c>
      <c r="P5" s="18">
        <v>885</v>
      </c>
      <c r="Q5" s="8">
        <v>836</v>
      </c>
      <c r="R5" s="2">
        <v>0</v>
      </c>
      <c r="S5" s="2">
        <v>0</v>
      </c>
      <c r="T5" s="2">
        <v>0</v>
      </c>
      <c r="U5" s="2">
        <v>0</v>
      </c>
    </row>
    <row r="6" spans="1:21" x14ac:dyDescent="0.2">
      <c r="A6" s="3">
        <f t="shared" ref="A6:A8" si="0">A5</f>
        <v>43739</v>
      </c>
      <c r="B6" s="4" t="s">
        <v>21</v>
      </c>
      <c r="C6" s="2" t="s">
        <v>36</v>
      </c>
      <c r="D6" s="2" t="s">
        <v>23</v>
      </c>
      <c r="E6" s="4" t="s">
        <v>61</v>
      </c>
      <c r="F6" s="2" t="s">
        <v>24</v>
      </c>
      <c r="G6" s="5">
        <v>71500</v>
      </c>
      <c r="H6" s="4" t="s">
        <v>37</v>
      </c>
      <c r="I6" s="4" t="s">
        <v>38</v>
      </c>
      <c r="J6" s="19">
        <v>0.74652777777777779</v>
      </c>
      <c r="K6" s="1">
        <v>0.7284722222222223</v>
      </c>
      <c r="L6" s="19">
        <v>0.58680555555555558</v>
      </c>
      <c r="M6" s="20">
        <v>0.58124999999999993</v>
      </c>
      <c r="N6" s="2" t="s">
        <v>56</v>
      </c>
      <c r="O6" s="2" t="s">
        <v>53</v>
      </c>
      <c r="P6" s="2">
        <v>1015</v>
      </c>
      <c r="Q6" s="8">
        <v>767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3">
        <f t="shared" si="0"/>
        <v>43739</v>
      </c>
      <c r="B7" s="4" t="s">
        <v>21</v>
      </c>
      <c r="C7" s="21" t="s">
        <v>39</v>
      </c>
      <c r="D7" s="21" t="s">
        <v>23</v>
      </c>
      <c r="E7" s="4" t="s">
        <v>60</v>
      </c>
      <c r="F7" s="21" t="s">
        <v>24</v>
      </c>
      <c r="G7" s="5">
        <f>G5</f>
        <v>71500</v>
      </c>
      <c r="H7" s="21" t="s">
        <v>40</v>
      </c>
      <c r="I7" s="21" t="s">
        <v>41</v>
      </c>
      <c r="J7" s="19">
        <v>0.94097222222222221</v>
      </c>
      <c r="K7" s="1">
        <v>0.95416666666666661</v>
      </c>
      <c r="L7" s="19">
        <v>0.72222222222222221</v>
      </c>
      <c r="M7" s="20">
        <v>0.75069444444444444</v>
      </c>
      <c r="N7" s="2" t="s">
        <v>58</v>
      </c>
      <c r="O7" s="17" t="s">
        <v>54</v>
      </c>
      <c r="P7" s="2">
        <v>726</v>
      </c>
      <c r="Q7" s="21">
        <v>963</v>
      </c>
      <c r="R7" s="21">
        <v>0</v>
      </c>
      <c r="S7" s="21">
        <v>0</v>
      </c>
      <c r="T7" s="21">
        <v>0</v>
      </c>
      <c r="U7" s="21">
        <v>0</v>
      </c>
    </row>
    <row r="8" spans="1:21" x14ac:dyDescent="0.2">
      <c r="A8" s="3">
        <f t="shared" si="0"/>
        <v>43739</v>
      </c>
      <c r="B8" s="2" t="s">
        <v>21</v>
      </c>
      <c r="C8" s="18" t="s">
        <v>42</v>
      </c>
      <c r="D8" s="2" t="s">
        <v>23</v>
      </c>
      <c r="E8" s="4" t="s">
        <v>59</v>
      </c>
      <c r="F8" s="2" t="s">
        <v>24</v>
      </c>
      <c r="G8" s="5">
        <f>G6</f>
        <v>71500</v>
      </c>
      <c r="H8" s="4" t="s">
        <v>43</v>
      </c>
      <c r="I8" s="4" t="s">
        <v>44</v>
      </c>
      <c r="J8" s="16">
        <v>0.94444444444444453</v>
      </c>
      <c r="K8" s="7">
        <v>0.93680555555555556</v>
      </c>
      <c r="L8" s="16">
        <v>0.76736111111111116</v>
      </c>
      <c r="M8" s="17">
        <v>0.76388888888888884</v>
      </c>
      <c r="N8" s="17" t="s">
        <v>57</v>
      </c>
      <c r="O8" s="17" t="s">
        <v>55</v>
      </c>
      <c r="P8" s="18">
        <v>744</v>
      </c>
      <c r="Q8" s="8">
        <v>707</v>
      </c>
      <c r="R8" s="2">
        <v>0</v>
      </c>
      <c r="S8" s="2">
        <v>0</v>
      </c>
      <c r="T8" s="2">
        <v>0</v>
      </c>
      <c r="U8" s="2">
        <v>0</v>
      </c>
    </row>
    <row r="9" spans="1:21" x14ac:dyDescent="0.2">
      <c r="A9" s="22"/>
      <c r="B9" s="2"/>
      <c r="C9" s="2"/>
      <c r="D9" s="2"/>
      <c r="E9" s="2"/>
      <c r="F9" s="2"/>
      <c r="G9" s="14"/>
      <c r="H9" s="4"/>
      <c r="I9" s="4"/>
      <c r="J9" s="23"/>
      <c r="K9" s="15"/>
      <c r="L9" s="23"/>
      <c r="M9" s="15"/>
      <c r="N9" s="24"/>
      <c r="O9" s="24"/>
      <c r="P9" s="14"/>
      <c r="Q9" s="14"/>
      <c r="R9" s="2"/>
      <c r="S9" s="2"/>
      <c r="T9" s="2"/>
      <c r="U9" s="2"/>
    </row>
    <row r="10" spans="1:21" s="9" customFormat="1" x14ac:dyDescent="0.25">
      <c r="A10" s="25"/>
      <c r="J10" s="10"/>
      <c r="K10" s="11"/>
      <c r="L10" s="10"/>
      <c r="M10" s="11"/>
    </row>
    <row r="11" spans="1:21" s="14" customFormat="1" x14ac:dyDescent="0.2">
      <c r="A11" s="22"/>
      <c r="B11" s="26"/>
      <c r="D11" s="26"/>
      <c r="J11" s="23"/>
      <c r="K11" s="15"/>
      <c r="L11" s="27"/>
      <c r="O11" s="24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F1" workbookViewId="0">
      <selection activeCell="J30" sqref="J30"/>
    </sheetView>
  </sheetViews>
  <sheetFormatPr defaultRowHeight="15" x14ac:dyDescent="0.25"/>
  <cols>
    <col min="3" max="3" width="13.5703125" bestFit="1" customWidth="1"/>
    <col min="4" max="4" width="5.7109375" bestFit="1" customWidth="1"/>
    <col min="5" max="5" width="14.140625" customWidth="1"/>
    <col min="6" max="6" width="12.140625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1" t="s">
        <v>10</v>
      </c>
      <c r="L1" s="28" t="s">
        <v>11</v>
      </c>
      <c r="M1" s="28" t="s">
        <v>12</v>
      </c>
      <c r="N1" s="2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</row>
    <row r="2" spans="1:21" x14ac:dyDescent="0.25">
      <c r="A2" s="3">
        <v>43740</v>
      </c>
      <c r="B2" s="4" t="s">
        <v>21</v>
      </c>
      <c r="C2" s="4" t="s">
        <v>62</v>
      </c>
      <c r="D2" s="4" t="s">
        <v>23</v>
      </c>
      <c r="E2" s="4" t="s">
        <v>60</v>
      </c>
      <c r="F2" s="4" t="s">
        <v>24</v>
      </c>
      <c r="G2" s="5">
        <v>71500</v>
      </c>
      <c r="H2" s="4" t="s">
        <v>63</v>
      </c>
      <c r="I2" s="4" t="s">
        <v>64</v>
      </c>
      <c r="J2" s="6">
        <v>0.45833333333333331</v>
      </c>
      <c r="K2" s="1">
        <v>0.45694444444444443</v>
      </c>
      <c r="L2" s="6">
        <v>0.25694444444444448</v>
      </c>
      <c r="M2" s="7">
        <v>0.26041666666666669</v>
      </c>
      <c r="N2" s="9" t="s">
        <v>82</v>
      </c>
      <c r="O2" s="8" t="s">
        <v>80</v>
      </c>
      <c r="P2" s="9">
        <v>1068</v>
      </c>
      <c r="Q2" s="8">
        <v>1027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f>A2</f>
        <v>43740</v>
      </c>
      <c r="B3" s="4" t="s">
        <v>21</v>
      </c>
      <c r="C3" s="4" t="s">
        <v>65</v>
      </c>
      <c r="D3" s="4" t="s">
        <v>23</v>
      </c>
      <c r="E3" s="4" t="s">
        <v>61</v>
      </c>
      <c r="F3" s="4" t="s">
        <v>24</v>
      </c>
      <c r="G3" s="5">
        <v>71500</v>
      </c>
      <c r="H3" s="4" t="s">
        <v>66</v>
      </c>
      <c r="I3" s="4" t="s">
        <v>67</v>
      </c>
      <c r="J3" s="6">
        <v>0.4861111111111111</v>
      </c>
      <c r="K3" s="1">
        <v>0.49305555555555558</v>
      </c>
      <c r="L3" s="6">
        <v>0.28125</v>
      </c>
      <c r="M3" s="7">
        <v>0.28680555555555554</v>
      </c>
      <c r="N3" s="8" t="s">
        <v>83</v>
      </c>
      <c r="O3" s="8" t="s">
        <v>81</v>
      </c>
      <c r="P3" s="9">
        <v>948</v>
      </c>
      <c r="Q3" s="8">
        <v>1139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f t="shared" ref="A4:A8" si="0">A3</f>
        <v>43740</v>
      </c>
      <c r="B4" s="2" t="s">
        <v>21</v>
      </c>
      <c r="C4" s="2" t="s">
        <v>68</v>
      </c>
      <c r="D4" s="2" t="s">
        <v>23</v>
      </c>
      <c r="E4" s="4" t="s">
        <v>60</v>
      </c>
      <c r="F4" s="2" t="s">
        <v>24</v>
      </c>
      <c r="G4" s="5">
        <v>71500</v>
      </c>
      <c r="H4" s="2" t="s">
        <v>69</v>
      </c>
      <c r="I4" s="2" t="s">
        <v>70</v>
      </c>
      <c r="J4" s="12">
        <v>0.72569444444444453</v>
      </c>
      <c r="K4" s="1">
        <v>0.71875</v>
      </c>
      <c r="L4" s="12">
        <v>0.48958333333333331</v>
      </c>
      <c r="M4" s="1">
        <v>0.50277777777777777</v>
      </c>
      <c r="N4" s="2" t="s">
        <v>92</v>
      </c>
      <c r="O4" s="2" t="s">
        <v>84</v>
      </c>
      <c r="P4" s="2">
        <v>575</v>
      </c>
      <c r="Q4" s="8">
        <v>893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3">
        <f t="shared" si="0"/>
        <v>43740</v>
      </c>
      <c r="B5" s="2" t="s">
        <v>21</v>
      </c>
      <c r="C5" s="2" t="s">
        <v>71</v>
      </c>
      <c r="D5" s="2" t="s">
        <v>23</v>
      </c>
      <c r="E5" s="4" t="s">
        <v>61</v>
      </c>
      <c r="F5" s="2" t="s">
        <v>24</v>
      </c>
      <c r="G5" s="5">
        <v>71500</v>
      </c>
      <c r="H5" s="2" t="s">
        <v>72</v>
      </c>
      <c r="I5" s="2" t="s">
        <v>73</v>
      </c>
      <c r="J5" s="12">
        <v>0.74652777777777779</v>
      </c>
      <c r="K5" s="1">
        <v>0.76597222222222217</v>
      </c>
      <c r="L5" s="12">
        <v>0.51736111111111105</v>
      </c>
      <c r="M5" s="1">
        <v>0.54791666666666672</v>
      </c>
      <c r="N5" s="2" t="s">
        <v>51</v>
      </c>
      <c r="O5" s="2" t="s">
        <v>85</v>
      </c>
      <c r="P5" s="2">
        <v>990</v>
      </c>
      <c r="Q5" s="8">
        <v>1365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3">
        <f t="shared" si="0"/>
        <v>43740</v>
      </c>
      <c r="B6" s="2" t="s">
        <v>21</v>
      </c>
      <c r="C6" s="2" t="s">
        <v>74</v>
      </c>
      <c r="D6" s="2" t="s">
        <v>23</v>
      </c>
      <c r="E6" s="4" t="s">
        <v>60</v>
      </c>
      <c r="F6" s="2" t="s">
        <v>24</v>
      </c>
      <c r="G6" s="5">
        <v>71500</v>
      </c>
      <c r="H6" s="4" t="s">
        <v>75</v>
      </c>
      <c r="I6" s="4" t="s">
        <v>76</v>
      </c>
      <c r="J6" s="10">
        <v>0.91666666666666663</v>
      </c>
      <c r="K6" s="1">
        <v>0.9291666666666667</v>
      </c>
      <c r="L6" s="10">
        <v>0.74652777777777779</v>
      </c>
      <c r="M6" s="11">
        <v>0.78819444444444453</v>
      </c>
      <c r="N6" s="2" t="s">
        <v>95</v>
      </c>
      <c r="O6" s="2" t="s">
        <v>93</v>
      </c>
      <c r="P6" s="2">
        <v>787</v>
      </c>
      <c r="Q6" s="8">
        <v>600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3">
        <f t="shared" si="0"/>
        <v>43740</v>
      </c>
      <c r="B7" s="2" t="s">
        <v>21</v>
      </c>
      <c r="C7" s="2" t="s">
        <v>77</v>
      </c>
      <c r="D7" s="2" t="s">
        <v>23</v>
      </c>
      <c r="E7" s="4" t="s">
        <v>61</v>
      </c>
      <c r="F7" s="2" t="s">
        <v>24</v>
      </c>
      <c r="G7" s="5">
        <v>71500</v>
      </c>
      <c r="H7" s="4" t="s">
        <v>78</v>
      </c>
      <c r="I7" s="4" t="s">
        <v>79</v>
      </c>
      <c r="J7" s="10">
        <v>0.95833333333333337</v>
      </c>
      <c r="K7" s="11">
        <v>0.96944444444444444</v>
      </c>
      <c r="L7" s="10">
        <v>0.76736111111111116</v>
      </c>
      <c r="M7" s="11">
        <v>0.79652777777777783</v>
      </c>
      <c r="N7" s="9" t="s">
        <v>96</v>
      </c>
      <c r="O7" s="9" t="s">
        <v>94</v>
      </c>
      <c r="P7" s="2">
        <v>746</v>
      </c>
      <c r="Q7" s="8">
        <v>924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3">
        <f t="shared" si="0"/>
        <v>43740</v>
      </c>
      <c r="B8" s="2" t="s">
        <v>86</v>
      </c>
      <c r="C8" s="2" t="s">
        <v>87</v>
      </c>
      <c r="D8" s="2" t="s">
        <v>88</v>
      </c>
      <c r="E8" s="4" t="s">
        <v>89</v>
      </c>
      <c r="F8" s="2" t="s">
        <v>90</v>
      </c>
      <c r="G8" s="5">
        <v>6800</v>
      </c>
      <c r="H8" s="4" t="s">
        <v>91</v>
      </c>
      <c r="I8" s="4" t="s">
        <v>91</v>
      </c>
      <c r="J8" s="10">
        <v>0.5625</v>
      </c>
      <c r="K8" s="11">
        <v>0.55486111111111114</v>
      </c>
      <c r="L8" s="10"/>
      <c r="M8" s="10"/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K5" sqref="K5"/>
    </sheetView>
  </sheetViews>
  <sheetFormatPr defaultRowHeight="15" x14ac:dyDescent="0.25"/>
  <cols>
    <col min="3" max="3" width="13.5703125" bestFit="1" customWidth="1"/>
    <col min="4" max="4" width="5.7109375" bestFit="1" customWidth="1"/>
    <col min="5" max="5" width="14.140625" customWidth="1"/>
    <col min="6" max="6" width="12.140625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1" t="s">
        <v>10</v>
      </c>
      <c r="L1" s="28" t="s">
        <v>11</v>
      </c>
      <c r="M1" s="28" t="s">
        <v>12</v>
      </c>
      <c r="N1" s="2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</row>
    <row r="2" spans="1:21" x14ac:dyDescent="0.25">
      <c r="A2" s="3">
        <v>43741</v>
      </c>
      <c r="B2" s="4" t="s">
        <v>21</v>
      </c>
      <c r="C2" s="4" t="s">
        <v>30</v>
      </c>
      <c r="D2" s="4" t="s">
        <v>23</v>
      </c>
      <c r="E2" s="4" t="s">
        <v>60</v>
      </c>
      <c r="F2" s="4" t="s">
        <v>24</v>
      </c>
      <c r="G2" s="5">
        <v>71500</v>
      </c>
      <c r="H2" s="4" t="s">
        <v>31</v>
      </c>
      <c r="I2" s="4" t="s">
        <v>32</v>
      </c>
      <c r="J2" s="6">
        <v>0.55555555555555558</v>
      </c>
      <c r="K2" s="1">
        <v>0.54722222222222217</v>
      </c>
      <c r="L2" s="6">
        <v>0.40625</v>
      </c>
      <c r="M2" s="7">
        <v>0.41250000000000003</v>
      </c>
      <c r="N2" s="9" t="s">
        <v>57</v>
      </c>
      <c r="O2" s="8" t="s">
        <v>80</v>
      </c>
      <c r="P2" s="9">
        <v>852</v>
      </c>
      <c r="Q2" s="8">
        <v>666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f>A2</f>
        <v>43741</v>
      </c>
      <c r="B3" s="4" t="s">
        <v>21</v>
      </c>
      <c r="C3" s="4" t="s">
        <v>33</v>
      </c>
      <c r="D3" s="4" t="s">
        <v>23</v>
      </c>
      <c r="E3" s="4" t="s">
        <v>61</v>
      </c>
      <c r="F3" s="4" t="s">
        <v>24</v>
      </c>
      <c r="G3" s="5">
        <v>71500</v>
      </c>
      <c r="H3" s="4" t="s">
        <v>34</v>
      </c>
      <c r="I3" s="4" t="s">
        <v>35</v>
      </c>
      <c r="J3" s="6">
        <v>0.70138888888888884</v>
      </c>
      <c r="K3" s="1">
        <v>0.68541666666666667</v>
      </c>
      <c r="L3" s="6">
        <v>0.49305555555555558</v>
      </c>
      <c r="M3" s="7">
        <v>0.50277777777777777</v>
      </c>
      <c r="N3" s="8" t="s">
        <v>102</v>
      </c>
      <c r="O3" s="8" t="s">
        <v>100</v>
      </c>
      <c r="P3" s="9">
        <v>686</v>
      </c>
      <c r="Q3" s="8">
        <v>932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f t="shared" ref="A4" si="0">A3</f>
        <v>43741</v>
      </c>
      <c r="B4" s="2" t="s">
        <v>21</v>
      </c>
      <c r="C4" s="2" t="s">
        <v>74</v>
      </c>
      <c r="D4" s="2" t="s">
        <v>23</v>
      </c>
      <c r="E4" s="4" t="s">
        <v>60</v>
      </c>
      <c r="F4" s="2" t="s">
        <v>24</v>
      </c>
      <c r="G4" s="5">
        <v>71500</v>
      </c>
      <c r="H4" s="2" t="s">
        <v>75</v>
      </c>
      <c r="I4" s="2" t="s">
        <v>76</v>
      </c>
      <c r="J4" s="12">
        <v>0.75694444444444453</v>
      </c>
      <c r="K4" s="1">
        <v>0.75624999999999998</v>
      </c>
      <c r="L4" s="12">
        <v>0.58680555555555558</v>
      </c>
      <c r="M4" s="1">
        <v>0.59166666666666667</v>
      </c>
      <c r="N4" s="2" t="s">
        <v>103</v>
      </c>
      <c r="O4" s="2" t="s">
        <v>101</v>
      </c>
      <c r="P4" s="2">
        <v>782</v>
      </c>
      <c r="Q4" s="8">
        <v>833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3">
        <f>A4</f>
        <v>43741</v>
      </c>
      <c r="B5" s="2" t="s">
        <v>86</v>
      </c>
      <c r="C5" s="2" t="s">
        <v>97</v>
      </c>
      <c r="D5" s="2" t="s">
        <v>88</v>
      </c>
      <c r="E5" s="4" t="s">
        <v>89</v>
      </c>
      <c r="F5" s="2" t="s">
        <v>98</v>
      </c>
      <c r="G5" s="5">
        <v>6800</v>
      </c>
      <c r="H5" s="2" t="str">
        <f>E5</f>
        <v>YU-BTC</v>
      </c>
      <c r="I5" s="2" t="str">
        <f>H5</f>
        <v>YU-BTC</v>
      </c>
      <c r="J5" s="12" t="s">
        <v>99</v>
      </c>
      <c r="K5" s="1" t="s">
        <v>99</v>
      </c>
      <c r="L5" s="12">
        <v>0.4375</v>
      </c>
      <c r="M5" s="1">
        <v>0.45347222222222222</v>
      </c>
      <c r="N5" s="2">
        <v>0</v>
      </c>
      <c r="O5" s="2">
        <v>0</v>
      </c>
      <c r="P5" s="2">
        <v>0</v>
      </c>
      <c r="Q5" s="8">
        <v>0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3"/>
      <c r="B6" s="2"/>
      <c r="C6" s="2"/>
      <c r="D6" s="2"/>
      <c r="E6" s="4"/>
      <c r="F6" s="2"/>
      <c r="G6" s="5"/>
      <c r="H6" s="4"/>
      <c r="I6" s="4"/>
      <c r="J6" s="10"/>
      <c r="K6" s="1"/>
      <c r="L6" s="10"/>
      <c r="M6" s="11"/>
      <c r="N6" s="2"/>
      <c r="O6" s="2"/>
      <c r="P6" s="2"/>
      <c r="Q6" s="8"/>
      <c r="R6" s="2"/>
      <c r="S6" s="2"/>
      <c r="T6" s="2"/>
      <c r="U6" s="2"/>
    </row>
    <row r="7" spans="1:21" x14ac:dyDescent="0.25">
      <c r="A7" s="3"/>
      <c r="B7" s="2"/>
      <c r="C7" s="2"/>
      <c r="D7" s="2"/>
      <c r="E7" s="4"/>
      <c r="F7" s="2"/>
      <c r="G7" s="5"/>
      <c r="H7" s="4"/>
      <c r="I7" s="4"/>
      <c r="J7" s="10"/>
      <c r="K7" s="11"/>
      <c r="L7" s="10"/>
      <c r="M7" s="11"/>
      <c r="N7" s="9"/>
      <c r="O7" s="9"/>
      <c r="P7" s="2"/>
      <c r="Q7" s="8"/>
      <c r="R7" s="2"/>
      <c r="S7" s="2"/>
      <c r="T7" s="2"/>
      <c r="U7" s="2"/>
    </row>
    <row r="8" spans="1:21" x14ac:dyDescent="0.25">
      <c r="A8" s="3"/>
      <c r="B8" s="2"/>
      <c r="C8" s="2"/>
      <c r="D8" s="2"/>
      <c r="E8" s="4"/>
      <c r="F8" s="2"/>
      <c r="G8" s="5"/>
      <c r="H8" s="4"/>
      <c r="I8" s="4"/>
      <c r="J8" s="10"/>
      <c r="K8" s="11"/>
      <c r="L8" s="10"/>
      <c r="M8" s="10"/>
      <c r="N8" s="2"/>
      <c r="O8" s="2"/>
      <c r="P8" s="2"/>
      <c r="Q8" s="2"/>
      <c r="R8" s="2"/>
      <c r="S8" s="2"/>
      <c r="T8" s="2"/>
      <c r="U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F8" sqref="F8"/>
    </sheetView>
  </sheetViews>
  <sheetFormatPr defaultRowHeight="15" x14ac:dyDescent="0.25"/>
  <cols>
    <col min="2" max="2" width="16.85546875" bestFit="1" customWidth="1"/>
    <col min="3" max="3" width="13.5703125" bestFit="1" customWidth="1"/>
    <col min="6" max="6" width="17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1" t="s">
        <v>10</v>
      </c>
      <c r="L1" s="28" t="s">
        <v>11</v>
      </c>
      <c r="M1" s="28" t="s">
        <v>12</v>
      </c>
      <c r="N1" s="2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</row>
    <row r="2" spans="1:21" x14ac:dyDescent="0.25">
      <c r="A2" s="3">
        <v>43742</v>
      </c>
      <c r="B2" s="4" t="s">
        <v>21</v>
      </c>
      <c r="C2" s="4" t="s">
        <v>62</v>
      </c>
      <c r="D2" s="4" t="s">
        <v>23</v>
      </c>
      <c r="E2" s="4" t="s">
        <v>60</v>
      </c>
      <c r="F2" s="4" t="s">
        <v>24</v>
      </c>
      <c r="G2" s="5">
        <v>71500</v>
      </c>
      <c r="H2" s="4" t="s">
        <v>63</v>
      </c>
      <c r="I2" s="4" t="s">
        <v>64</v>
      </c>
      <c r="J2" s="6">
        <v>0.45833333333333331</v>
      </c>
      <c r="K2" s="7">
        <v>0.45347222222222222</v>
      </c>
      <c r="L2" s="6">
        <v>0.25694444444444448</v>
      </c>
      <c r="M2" s="7">
        <v>0.26111111111111113</v>
      </c>
      <c r="N2" s="2" t="s">
        <v>111</v>
      </c>
      <c r="O2" s="8" t="s">
        <v>110</v>
      </c>
      <c r="P2" s="8">
        <v>777</v>
      </c>
      <c r="Q2" s="8">
        <v>1092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f>A2</f>
        <v>43742</v>
      </c>
      <c r="B3" s="4" t="s">
        <v>21</v>
      </c>
      <c r="C3" s="4" t="s">
        <v>65</v>
      </c>
      <c r="D3" s="4" t="s">
        <v>23</v>
      </c>
      <c r="E3" s="4" t="s">
        <v>61</v>
      </c>
      <c r="F3" s="4" t="s">
        <v>24</v>
      </c>
      <c r="G3" s="5">
        <v>71500</v>
      </c>
      <c r="H3" s="4" t="s">
        <v>66</v>
      </c>
      <c r="I3" s="4" t="s">
        <v>67</v>
      </c>
      <c r="J3" s="6">
        <v>0.4861111111111111</v>
      </c>
      <c r="K3" s="7">
        <v>0.47986111111111113</v>
      </c>
      <c r="L3" s="6">
        <v>0.28125</v>
      </c>
      <c r="M3" s="7">
        <v>0.28541666666666665</v>
      </c>
      <c r="N3" s="2" t="s">
        <v>112</v>
      </c>
      <c r="O3" s="8" t="s">
        <v>110</v>
      </c>
      <c r="P3" s="4">
        <v>473</v>
      </c>
      <c r="Q3" s="8">
        <v>1124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f t="shared" ref="A4:A7" si="0">A3</f>
        <v>43742</v>
      </c>
      <c r="B4" s="2" t="s">
        <v>21</v>
      </c>
      <c r="C4" s="2" t="s">
        <v>104</v>
      </c>
      <c r="D4" s="2" t="s">
        <v>23</v>
      </c>
      <c r="E4" s="4" t="s">
        <v>60</v>
      </c>
      <c r="F4" s="2" t="s">
        <v>24</v>
      </c>
      <c r="G4" s="5">
        <v>71500</v>
      </c>
      <c r="H4" s="2" t="s">
        <v>105</v>
      </c>
      <c r="I4" s="2" t="s">
        <v>106</v>
      </c>
      <c r="J4" s="12">
        <v>0.70833333333333337</v>
      </c>
      <c r="K4" s="1">
        <v>0.69652777777777775</v>
      </c>
      <c r="L4" s="12">
        <v>0.48958333333333331</v>
      </c>
      <c r="M4" s="1">
        <v>0.49305555555555558</v>
      </c>
      <c r="N4" s="14" t="s">
        <v>120</v>
      </c>
      <c r="O4" s="2" t="s">
        <v>81</v>
      </c>
      <c r="P4" s="2">
        <v>502</v>
      </c>
      <c r="Q4" s="8">
        <v>907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3">
        <f t="shared" si="0"/>
        <v>43742</v>
      </c>
      <c r="B5" s="2" t="s">
        <v>21</v>
      </c>
      <c r="C5" s="2" t="s">
        <v>71</v>
      </c>
      <c r="D5" s="2" t="s">
        <v>23</v>
      </c>
      <c r="E5" s="4" t="s">
        <v>61</v>
      </c>
      <c r="F5" s="2" t="s">
        <v>24</v>
      </c>
      <c r="G5" s="5">
        <v>71500</v>
      </c>
      <c r="H5" s="2" t="s">
        <v>72</v>
      </c>
      <c r="I5" s="2" t="s">
        <v>73</v>
      </c>
      <c r="J5" s="12">
        <v>0.74652777777777779</v>
      </c>
      <c r="K5" s="1">
        <v>0.75208333333333333</v>
      </c>
      <c r="L5" s="12">
        <v>0.51736111111111105</v>
      </c>
      <c r="M5" s="1">
        <v>0.53819444444444442</v>
      </c>
      <c r="N5" s="2" t="s">
        <v>121</v>
      </c>
      <c r="O5" s="2" t="s">
        <v>113</v>
      </c>
      <c r="P5" s="2">
        <v>548</v>
      </c>
      <c r="Q5" s="8">
        <v>1255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3">
        <f t="shared" si="0"/>
        <v>43742</v>
      </c>
      <c r="B6" s="2" t="s">
        <v>21</v>
      </c>
      <c r="C6" s="2" t="s">
        <v>74</v>
      </c>
      <c r="D6" s="2" t="s">
        <v>23</v>
      </c>
      <c r="E6" s="4" t="s">
        <v>60</v>
      </c>
      <c r="F6" s="2" t="s">
        <v>24</v>
      </c>
      <c r="G6" s="5">
        <v>71500</v>
      </c>
      <c r="H6" s="4" t="s">
        <v>75</v>
      </c>
      <c r="I6" s="4" t="s">
        <v>76</v>
      </c>
      <c r="J6" s="23">
        <v>0.89930555555555547</v>
      </c>
      <c r="K6" s="1">
        <v>0.89583333333333337</v>
      </c>
      <c r="L6" s="23">
        <v>0.72916666666666663</v>
      </c>
      <c r="M6" s="15">
        <v>0.7319444444444444</v>
      </c>
      <c r="N6" s="2" t="s">
        <v>124</v>
      </c>
      <c r="O6" s="14" t="s">
        <v>122</v>
      </c>
      <c r="P6" s="14">
        <v>718</v>
      </c>
      <c r="Q6" s="8">
        <v>756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3">
        <f t="shared" si="0"/>
        <v>43742</v>
      </c>
      <c r="B7" s="14" t="s">
        <v>21</v>
      </c>
      <c r="C7" s="14" t="s">
        <v>107</v>
      </c>
      <c r="D7" s="14" t="s">
        <v>23</v>
      </c>
      <c r="E7" s="4" t="s">
        <v>61</v>
      </c>
      <c r="F7" s="14" t="s">
        <v>24</v>
      </c>
      <c r="G7" s="5">
        <v>71500</v>
      </c>
      <c r="H7" s="14" t="s">
        <v>108</v>
      </c>
      <c r="I7" s="14" t="s">
        <v>109</v>
      </c>
      <c r="J7" s="23">
        <v>0.9375</v>
      </c>
      <c r="K7" s="1">
        <v>0.93125000000000002</v>
      </c>
      <c r="L7" s="23">
        <v>0.76736111111111116</v>
      </c>
      <c r="M7" s="15">
        <v>0.77986111111111101</v>
      </c>
      <c r="N7" s="2" t="s">
        <v>125</v>
      </c>
      <c r="O7" s="2" t="s">
        <v>123</v>
      </c>
      <c r="P7" s="2">
        <v>970</v>
      </c>
      <c r="Q7" s="8">
        <v>808</v>
      </c>
      <c r="R7" s="14">
        <v>0</v>
      </c>
      <c r="S7" s="14">
        <v>0</v>
      </c>
      <c r="T7" s="14">
        <v>0</v>
      </c>
      <c r="U7" s="14">
        <v>0</v>
      </c>
    </row>
    <row r="8" spans="1:21" x14ac:dyDescent="0.25">
      <c r="A8" s="3">
        <v>43742</v>
      </c>
      <c r="B8" s="4" t="s">
        <v>114</v>
      </c>
      <c r="C8" s="2" t="s">
        <v>115</v>
      </c>
      <c r="D8" s="2" t="s">
        <v>116</v>
      </c>
      <c r="E8" s="4" t="s">
        <v>117</v>
      </c>
      <c r="F8" s="2" t="s">
        <v>119</v>
      </c>
      <c r="G8" s="5">
        <v>4</v>
      </c>
      <c r="H8" s="2" t="s">
        <v>118</v>
      </c>
      <c r="I8" s="2" t="s">
        <v>117</v>
      </c>
      <c r="J8" s="12">
        <v>0.46527777777777773</v>
      </c>
      <c r="K8" s="1">
        <v>0.46666666666666662</v>
      </c>
      <c r="L8" s="12">
        <v>0.54861111111111105</v>
      </c>
      <c r="M8" s="15">
        <v>0.56458333333333333</v>
      </c>
      <c r="N8" s="14">
        <v>1</v>
      </c>
      <c r="O8" s="2">
        <v>1</v>
      </c>
      <c r="P8" s="2">
        <v>0</v>
      </c>
      <c r="Q8" s="8">
        <v>0</v>
      </c>
      <c r="R8" s="2">
        <v>0</v>
      </c>
      <c r="S8" s="2">
        <v>0</v>
      </c>
      <c r="T8" s="2">
        <v>0</v>
      </c>
      <c r="U8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topLeftCell="C1" workbookViewId="0">
      <selection activeCell="C1" sqref="A1:XFD8"/>
    </sheetView>
  </sheetViews>
  <sheetFormatPr defaultRowHeight="12.75" x14ac:dyDescent="0.2"/>
  <cols>
    <col min="1" max="1" width="9.140625" style="13"/>
    <col min="2" max="2" width="22.7109375" style="13" customWidth="1"/>
    <col min="3" max="3" width="14.28515625" style="13" customWidth="1"/>
    <col min="4" max="4" width="12.42578125" style="13" customWidth="1"/>
    <col min="5" max="5" width="9.140625" style="13"/>
    <col min="6" max="6" width="18.140625" style="13" customWidth="1"/>
    <col min="7" max="12" width="9.140625" style="13"/>
    <col min="13" max="13" width="11.42578125" style="13" customWidth="1"/>
    <col min="14" max="14" width="17.5703125" style="13" customWidth="1"/>
    <col min="15" max="15" width="19.5703125" style="13" customWidth="1"/>
    <col min="16" max="16384" width="9.140625" style="13"/>
  </cols>
  <sheetData>
    <row r="1" spans="1:2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4" t="s">
        <v>11</v>
      </c>
      <c r="M1" s="4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2">
      <c r="A2" s="3">
        <v>43743</v>
      </c>
      <c r="B2" s="4" t="s">
        <v>21</v>
      </c>
      <c r="C2" s="4" t="s">
        <v>22</v>
      </c>
      <c r="D2" s="4" t="s">
        <v>23</v>
      </c>
      <c r="E2" s="4" t="s">
        <v>60</v>
      </c>
      <c r="F2" s="4" t="s">
        <v>24</v>
      </c>
      <c r="G2" s="5">
        <v>71500</v>
      </c>
      <c r="H2" s="4" t="s">
        <v>25</v>
      </c>
      <c r="I2" s="4" t="s">
        <v>26</v>
      </c>
      <c r="J2" s="6">
        <v>0.38541666666666669</v>
      </c>
      <c r="K2" s="1">
        <v>0.36944444444444446</v>
      </c>
      <c r="L2" s="6">
        <v>0.25694444444444448</v>
      </c>
      <c r="M2" s="7">
        <v>0.25347222222222221</v>
      </c>
      <c r="N2" s="2" t="s">
        <v>128</v>
      </c>
      <c r="O2" s="8" t="s">
        <v>126</v>
      </c>
      <c r="P2" s="8">
        <v>597</v>
      </c>
      <c r="Q2" s="8">
        <v>535</v>
      </c>
      <c r="R2" s="4">
        <v>0</v>
      </c>
      <c r="S2" s="4">
        <v>0</v>
      </c>
      <c r="T2" s="4">
        <v>0</v>
      </c>
      <c r="U2" s="4">
        <v>0</v>
      </c>
    </row>
    <row r="3" spans="1:21" x14ac:dyDescent="0.2">
      <c r="A3" s="3">
        <v>43743</v>
      </c>
      <c r="B3" s="4" t="s">
        <v>21</v>
      </c>
      <c r="C3" s="4" t="s">
        <v>27</v>
      </c>
      <c r="D3" s="4" t="s">
        <v>23</v>
      </c>
      <c r="E3" s="4" t="s">
        <v>61</v>
      </c>
      <c r="F3" s="4" t="s">
        <v>24</v>
      </c>
      <c r="G3" s="5">
        <f>G2</f>
        <v>71500</v>
      </c>
      <c r="H3" s="4" t="s">
        <v>28</v>
      </c>
      <c r="I3" s="4" t="s">
        <v>29</v>
      </c>
      <c r="J3" s="6">
        <v>0.46180555555555558</v>
      </c>
      <c r="K3" s="1">
        <v>0.4909722222222222</v>
      </c>
      <c r="L3" s="6">
        <v>0.28125</v>
      </c>
      <c r="M3" s="7">
        <v>0.32777777777777778</v>
      </c>
      <c r="N3" s="2" t="s">
        <v>129</v>
      </c>
      <c r="O3" s="8" t="s">
        <v>127</v>
      </c>
      <c r="P3" s="4">
        <v>654</v>
      </c>
      <c r="Q3" s="8">
        <v>943</v>
      </c>
      <c r="R3" s="4">
        <v>0</v>
      </c>
      <c r="S3" s="4">
        <v>0</v>
      </c>
      <c r="T3" s="4">
        <v>0</v>
      </c>
      <c r="U3" s="4">
        <v>0</v>
      </c>
    </row>
    <row r="4" spans="1:21" x14ac:dyDescent="0.2">
      <c r="A4" s="3">
        <f>A3</f>
        <v>43743</v>
      </c>
      <c r="B4" s="4" t="s">
        <v>21</v>
      </c>
      <c r="C4" s="2" t="s">
        <v>30</v>
      </c>
      <c r="D4" s="2" t="s">
        <v>23</v>
      </c>
      <c r="E4" s="4" t="s">
        <v>60</v>
      </c>
      <c r="F4" s="2" t="s">
        <v>24</v>
      </c>
      <c r="G4" s="5">
        <f>G2</f>
        <v>71500</v>
      </c>
      <c r="H4" s="2" t="s">
        <v>31</v>
      </c>
      <c r="I4" s="2" t="s">
        <v>32</v>
      </c>
      <c r="J4" s="12">
        <v>0.55555555555555558</v>
      </c>
      <c r="K4" s="1">
        <v>0.5541666666666667</v>
      </c>
      <c r="L4" s="12">
        <v>0.40625</v>
      </c>
      <c r="M4" s="1">
        <v>0.42291666666666666</v>
      </c>
      <c r="N4" s="2" t="s">
        <v>55</v>
      </c>
      <c r="O4" s="2" t="s">
        <v>130</v>
      </c>
      <c r="P4" s="2">
        <v>1154</v>
      </c>
      <c r="Q4" s="8">
        <v>608</v>
      </c>
      <c r="R4" s="2">
        <v>0</v>
      </c>
      <c r="S4" s="2">
        <v>0</v>
      </c>
      <c r="T4" s="2">
        <v>0</v>
      </c>
      <c r="U4" s="2">
        <v>0</v>
      </c>
    </row>
    <row r="5" spans="1:21" x14ac:dyDescent="0.2">
      <c r="A5" s="3">
        <v>43743</v>
      </c>
      <c r="B5" s="4" t="s">
        <v>21</v>
      </c>
      <c r="C5" s="2" t="s">
        <v>33</v>
      </c>
      <c r="D5" s="2" t="s">
        <v>23</v>
      </c>
      <c r="E5" s="4" t="s">
        <v>61</v>
      </c>
      <c r="F5" s="2" t="s">
        <v>24</v>
      </c>
      <c r="G5" s="5">
        <f>G3</f>
        <v>71500</v>
      </c>
      <c r="H5" s="2" t="s">
        <v>34</v>
      </c>
      <c r="I5" s="2" t="s">
        <v>35</v>
      </c>
      <c r="J5" s="16">
        <v>0.70138888888888884</v>
      </c>
      <c r="K5" s="1">
        <v>0.72013888888888899</v>
      </c>
      <c r="L5" s="16">
        <v>0.49305555555555558</v>
      </c>
      <c r="M5" s="17">
        <v>0.52708333333333335</v>
      </c>
      <c r="N5" s="2" t="s">
        <v>132</v>
      </c>
      <c r="O5" s="2" t="s">
        <v>131</v>
      </c>
      <c r="P5" s="18">
        <v>861</v>
      </c>
      <c r="Q5" s="8">
        <v>866</v>
      </c>
      <c r="R5" s="2">
        <v>0</v>
      </c>
      <c r="S5" s="2">
        <v>0</v>
      </c>
      <c r="T5" s="2">
        <v>0</v>
      </c>
      <c r="U5" s="2">
        <v>0</v>
      </c>
    </row>
    <row r="6" spans="1:21" x14ac:dyDescent="0.2">
      <c r="A6" s="3">
        <f t="shared" ref="A6:A8" si="0">A5</f>
        <v>43743</v>
      </c>
      <c r="B6" s="4" t="s">
        <v>21</v>
      </c>
      <c r="C6" s="2" t="s">
        <v>36</v>
      </c>
      <c r="D6" s="2" t="s">
        <v>23</v>
      </c>
      <c r="E6" s="4" t="s">
        <v>60</v>
      </c>
      <c r="F6" s="2" t="s">
        <v>24</v>
      </c>
      <c r="G6" s="5">
        <v>71500</v>
      </c>
      <c r="H6" s="4" t="s">
        <v>37</v>
      </c>
      <c r="I6" s="4" t="s">
        <v>38</v>
      </c>
      <c r="J6" s="19">
        <v>0.74652777777777779</v>
      </c>
      <c r="K6" s="1">
        <v>0.7368055555555556</v>
      </c>
      <c r="L6" s="19">
        <v>0.58680555555555558</v>
      </c>
      <c r="M6" s="20">
        <v>0.60069444444444442</v>
      </c>
      <c r="N6" s="2" t="s">
        <v>100</v>
      </c>
      <c r="O6" s="2" t="s">
        <v>133</v>
      </c>
      <c r="P6" s="2">
        <v>1061</v>
      </c>
      <c r="Q6" s="8">
        <v>1155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3">
        <f t="shared" si="0"/>
        <v>43743</v>
      </c>
      <c r="B7" s="4" t="s">
        <v>21</v>
      </c>
      <c r="C7" s="21" t="s">
        <v>39</v>
      </c>
      <c r="D7" s="21" t="s">
        <v>23</v>
      </c>
      <c r="E7" s="4" t="s">
        <v>61</v>
      </c>
      <c r="F7" s="21" t="s">
        <v>24</v>
      </c>
      <c r="G7" s="5">
        <f>G5</f>
        <v>71500</v>
      </c>
      <c r="H7" s="21" t="s">
        <v>40</v>
      </c>
      <c r="I7" s="21" t="s">
        <v>41</v>
      </c>
      <c r="J7" s="19">
        <v>0.94097222222222221</v>
      </c>
      <c r="K7" s="1">
        <v>0.93125000000000002</v>
      </c>
      <c r="L7" s="19">
        <v>0.72222222222222221</v>
      </c>
      <c r="M7" s="20">
        <v>0.75486111111111109</v>
      </c>
      <c r="N7" s="2" t="s">
        <v>135</v>
      </c>
      <c r="O7" s="17" t="s">
        <v>134</v>
      </c>
      <c r="P7" s="2">
        <v>864</v>
      </c>
      <c r="Q7" s="21">
        <v>1441</v>
      </c>
      <c r="R7" s="21">
        <v>0</v>
      </c>
      <c r="S7" s="21">
        <v>0</v>
      </c>
      <c r="T7" s="21">
        <v>0</v>
      </c>
      <c r="U7" s="21">
        <v>0</v>
      </c>
    </row>
    <row r="8" spans="1:21" x14ac:dyDescent="0.2">
      <c r="A8" s="3">
        <f t="shared" si="0"/>
        <v>43743</v>
      </c>
      <c r="B8" s="2" t="s">
        <v>21</v>
      </c>
      <c r="C8" s="18" t="s">
        <v>42</v>
      </c>
      <c r="D8" s="2" t="s">
        <v>23</v>
      </c>
      <c r="E8" s="4" t="s">
        <v>60</v>
      </c>
      <c r="F8" s="2" t="s">
        <v>24</v>
      </c>
      <c r="G8" s="5">
        <f>G6</f>
        <v>71500</v>
      </c>
      <c r="H8" s="4" t="s">
        <v>43</v>
      </c>
      <c r="I8" s="4" t="s">
        <v>44</v>
      </c>
      <c r="J8" s="16">
        <v>0.94444444444444453</v>
      </c>
      <c r="K8" s="7">
        <v>0.95208333333333339</v>
      </c>
      <c r="L8" s="16">
        <v>0.76736111111111116</v>
      </c>
      <c r="M8" s="17">
        <v>0.77361111111111114</v>
      </c>
      <c r="N8" s="17" t="s">
        <v>57</v>
      </c>
      <c r="O8" s="17" t="s">
        <v>57</v>
      </c>
      <c r="P8" s="18">
        <v>819</v>
      </c>
      <c r="Q8" s="8">
        <v>941</v>
      </c>
      <c r="R8" s="2">
        <v>0</v>
      </c>
      <c r="S8" s="2">
        <v>0</v>
      </c>
      <c r="T8" s="2">
        <v>0</v>
      </c>
      <c r="U8" s="2">
        <v>0</v>
      </c>
    </row>
    <row r="9" spans="1:21" x14ac:dyDescent="0.2">
      <c r="A9" s="22"/>
      <c r="B9" s="2"/>
      <c r="C9" s="2"/>
      <c r="D9" s="2"/>
      <c r="E9" s="2"/>
      <c r="F9" s="2"/>
      <c r="G9" s="14"/>
      <c r="H9" s="4"/>
      <c r="I9" s="4"/>
      <c r="J9" s="23"/>
      <c r="K9" s="15"/>
      <c r="L9" s="23"/>
      <c r="M9" s="15"/>
      <c r="N9" s="24"/>
      <c r="O9" s="24"/>
      <c r="P9" s="14"/>
      <c r="Q9" s="14"/>
      <c r="R9" s="2"/>
      <c r="S9" s="2"/>
      <c r="T9" s="2"/>
      <c r="U9" s="2"/>
    </row>
    <row r="10" spans="1:21" s="9" customFormat="1" x14ac:dyDescent="0.25">
      <c r="A10" s="25"/>
      <c r="J10" s="10"/>
      <c r="K10" s="11"/>
      <c r="L10" s="10"/>
      <c r="M10" s="11"/>
    </row>
    <row r="11" spans="1:21" s="14" customFormat="1" x14ac:dyDescent="0.2">
      <c r="A11" s="22"/>
      <c r="B11" s="26"/>
      <c r="D11" s="26"/>
      <c r="J11" s="23"/>
      <c r="K11" s="15"/>
      <c r="L11" s="27"/>
      <c r="O11" s="24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K6" sqref="K6"/>
    </sheetView>
  </sheetViews>
  <sheetFormatPr defaultRowHeight="15" x14ac:dyDescent="0.25"/>
  <cols>
    <col min="3" max="3" width="13.28515625" bestFit="1" customWidth="1"/>
    <col min="4" max="4" width="5.7109375" bestFit="1" customWidth="1"/>
    <col min="7" max="7" width="11.42578125" bestFit="1" customWidth="1"/>
  </cols>
  <sheetData>
    <row r="1" spans="1:21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1" t="s">
        <v>10</v>
      </c>
      <c r="L1" s="28" t="s">
        <v>11</v>
      </c>
      <c r="M1" s="28" t="s">
        <v>12</v>
      </c>
      <c r="N1" s="2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</row>
    <row r="2" spans="1:21" x14ac:dyDescent="0.25">
      <c r="A2" s="3">
        <v>43744</v>
      </c>
      <c r="B2" s="4" t="s">
        <v>21</v>
      </c>
      <c r="C2" s="4" t="s">
        <v>62</v>
      </c>
      <c r="D2" s="4" t="s">
        <v>23</v>
      </c>
      <c r="E2" s="4" t="s">
        <v>136</v>
      </c>
      <c r="F2" s="4" t="s">
        <v>24</v>
      </c>
      <c r="G2" s="5" t="s">
        <v>138</v>
      </c>
      <c r="H2" s="4" t="s">
        <v>63</v>
      </c>
      <c r="I2" s="4" t="s">
        <v>64</v>
      </c>
      <c r="J2" s="6">
        <v>0.45833333333333331</v>
      </c>
      <c r="K2" s="1">
        <v>0.49027777777777781</v>
      </c>
      <c r="L2" s="6">
        <v>0.25694444444444448</v>
      </c>
      <c r="M2" s="7">
        <v>0.27083333333333331</v>
      </c>
      <c r="N2" s="11" t="s">
        <v>140</v>
      </c>
      <c r="O2" s="8" t="s">
        <v>139</v>
      </c>
      <c r="P2" s="9">
        <v>1208</v>
      </c>
      <c r="Q2" s="8">
        <v>893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43744</v>
      </c>
      <c r="B3" s="2" t="s">
        <v>21</v>
      </c>
      <c r="C3" s="2" t="s">
        <v>68</v>
      </c>
      <c r="D3" s="2" t="s">
        <v>23</v>
      </c>
      <c r="E3" s="4" t="s">
        <v>60</v>
      </c>
      <c r="F3" s="2" t="s">
        <v>24</v>
      </c>
      <c r="G3" s="5">
        <v>71500</v>
      </c>
      <c r="H3" s="2" t="s">
        <v>69</v>
      </c>
      <c r="I3" s="2" t="s">
        <v>70</v>
      </c>
      <c r="J3" s="12">
        <v>0.72569444444444453</v>
      </c>
      <c r="K3" s="1">
        <v>0.72499999999999998</v>
      </c>
      <c r="L3" s="12">
        <v>0.48958333333333331</v>
      </c>
      <c r="M3" s="1">
        <v>0.51180555555555551</v>
      </c>
      <c r="N3" s="2" t="s">
        <v>143</v>
      </c>
      <c r="O3" s="2" t="s">
        <v>141</v>
      </c>
      <c r="P3" s="2">
        <v>560</v>
      </c>
      <c r="Q3" s="8">
        <v>1344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3">
        <v>43744</v>
      </c>
      <c r="B4" s="2" t="s">
        <v>21</v>
      </c>
      <c r="C4" s="2" t="s">
        <v>71</v>
      </c>
      <c r="D4" s="2" t="s">
        <v>23</v>
      </c>
      <c r="E4" s="4" t="s">
        <v>137</v>
      </c>
      <c r="F4" s="2" t="s">
        <v>24</v>
      </c>
      <c r="G4" s="5">
        <v>70000</v>
      </c>
      <c r="H4" s="2" t="s">
        <v>72</v>
      </c>
      <c r="I4" s="2" t="s">
        <v>73</v>
      </c>
      <c r="J4" s="12">
        <v>0.74652777777777779</v>
      </c>
      <c r="K4" s="1">
        <v>0.76527777777777783</v>
      </c>
      <c r="L4" s="12">
        <v>0.51736111111111105</v>
      </c>
      <c r="M4" s="1">
        <v>0.54027777777777775</v>
      </c>
      <c r="N4" s="2" t="s">
        <v>144</v>
      </c>
      <c r="O4" s="2" t="s">
        <v>142</v>
      </c>
      <c r="P4" s="2">
        <v>788</v>
      </c>
      <c r="Q4" s="8">
        <v>1430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3">
        <v>43744</v>
      </c>
      <c r="B5" s="2" t="s">
        <v>21</v>
      </c>
      <c r="C5" s="2" t="s">
        <v>74</v>
      </c>
      <c r="D5" s="2" t="s">
        <v>23</v>
      </c>
      <c r="E5" s="4" t="s">
        <v>60</v>
      </c>
      <c r="F5" s="2" t="s">
        <v>24</v>
      </c>
      <c r="G5" s="5">
        <v>71500</v>
      </c>
      <c r="H5" s="4" t="s">
        <v>75</v>
      </c>
      <c r="I5" s="4" t="s">
        <v>76</v>
      </c>
      <c r="J5" s="10">
        <v>0.91666666666666663</v>
      </c>
      <c r="K5" s="1">
        <v>0.92499999999999993</v>
      </c>
      <c r="L5" s="10">
        <v>0.74652777777777779</v>
      </c>
      <c r="M5" s="11">
        <v>0.77430555555555547</v>
      </c>
      <c r="N5" s="2" t="s">
        <v>145</v>
      </c>
      <c r="O5" s="2" t="s">
        <v>147</v>
      </c>
      <c r="P5" s="2">
        <v>1062</v>
      </c>
      <c r="Q5" s="8">
        <v>648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3">
        <v>43744</v>
      </c>
      <c r="B6" s="2" t="s">
        <v>21</v>
      </c>
      <c r="C6" s="2" t="s">
        <v>77</v>
      </c>
      <c r="D6" s="2" t="s">
        <v>23</v>
      </c>
      <c r="E6" s="4" t="s">
        <v>137</v>
      </c>
      <c r="F6" s="2" t="s">
        <v>24</v>
      </c>
      <c r="G6" s="5">
        <v>70000</v>
      </c>
      <c r="H6" s="4" t="s">
        <v>78</v>
      </c>
      <c r="I6" s="4" t="s">
        <v>79</v>
      </c>
      <c r="J6" s="10">
        <v>0.95833333333333337</v>
      </c>
      <c r="K6" s="11">
        <v>0.99305555555555547</v>
      </c>
      <c r="L6" s="10">
        <v>0.76736111111111116</v>
      </c>
      <c r="M6" s="11">
        <v>0.8027777777777777</v>
      </c>
      <c r="N6" s="9" t="s">
        <v>146</v>
      </c>
      <c r="O6" s="9" t="s">
        <v>148</v>
      </c>
      <c r="P6" s="2">
        <v>1277</v>
      </c>
      <c r="Q6" s="8">
        <v>584</v>
      </c>
      <c r="R6" s="2">
        <v>0</v>
      </c>
      <c r="S6" s="2">
        <v>0</v>
      </c>
      <c r="T6" s="2">
        <v>0</v>
      </c>
      <c r="U6" s="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G1" workbookViewId="0">
      <selection sqref="A1:U7"/>
    </sheetView>
  </sheetViews>
  <sheetFormatPr defaultRowHeight="15" x14ac:dyDescent="0.25"/>
  <cols>
    <col min="3" max="3" width="14.42578125" customWidth="1"/>
    <col min="4" max="4" width="6.7109375" customWidth="1"/>
    <col min="6" max="6" width="12.5703125" customWidth="1"/>
    <col min="13" max="13" width="11.5703125" customWidth="1"/>
    <col min="14" max="14" width="17.5703125" customWidth="1"/>
    <col min="15" max="15" width="17.28515625" customWidth="1"/>
  </cols>
  <sheetData>
    <row r="1" spans="1:21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1" t="s">
        <v>10</v>
      </c>
      <c r="L1" s="28" t="s">
        <v>11</v>
      </c>
      <c r="M1" s="28" t="s">
        <v>12</v>
      </c>
      <c r="N1" s="2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</row>
    <row r="2" spans="1:21" x14ac:dyDescent="0.25">
      <c r="A2" s="3">
        <v>43745</v>
      </c>
      <c r="B2" s="4" t="s">
        <v>21</v>
      </c>
      <c r="C2" s="4" t="s">
        <v>62</v>
      </c>
      <c r="D2" s="4" t="s">
        <v>23</v>
      </c>
      <c r="E2" s="4" t="s">
        <v>137</v>
      </c>
      <c r="F2" s="4" t="s">
        <v>24</v>
      </c>
      <c r="G2" s="5">
        <v>70000</v>
      </c>
      <c r="H2" s="4" t="s">
        <v>63</v>
      </c>
      <c r="I2" s="4" t="s">
        <v>64</v>
      </c>
      <c r="J2" s="6">
        <v>0.45833333333333331</v>
      </c>
      <c r="K2" s="1">
        <v>0.45</v>
      </c>
      <c r="L2" s="6">
        <v>0.25694444444444448</v>
      </c>
      <c r="M2" s="7">
        <v>0.25763888888888892</v>
      </c>
      <c r="N2" s="2" t="s">
        <v>151</v>
      </c>
      <c r="O2" s="8" t="s">
        <v>149</v>
      </c>
      <c r="P2" s="8">
        <v>1040</v>
      </c>
      <c r="Q2" s="8">
        <v>658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f t="shared" ref="A3:A7" si="0">A2</f>
        <v>43745</v>
      </c>
      <c r="B3" s="4" t="s">
        <v>21</v>
      </c>
      <c r="C3" s="4" t="s">
        <v>65</v>
      </c>
      <c r="D3" s="4" t="s">
        <v>23</v>
      </c>
      <c r="E3" s="4" t="s">
        <v>60</v>
      </c>
      <c r="F3" s="4" t="s">
        <v>24</v>
      </c>
      <c r="G3" s="5">
        <v>71500</v>
      </c>
      <c r="H3" s="4" t="s">
        <v>66</v>
      </c>
      <c r="I3" s="4" t="s">
        <v>67</v>
      </c>
      <c r="J3" s="6">
        <v>0.4861111111111111</v>
      </c>
      <c r="K3" s="1">
        <v>0.48194444444444445</v>
      </c>
      <c r="L3" s="6">
        <v>0.28125</v>
      </c>
      <c r="M3" s="7">
        <v>0.29236111111111113</v>
      </c>
      <c r="N3" s="2" t="s">
        <v>152</v>
      </c>
      <c r="O3" s="8" t="s">
        <v>150</v>
      </c>
      <c r="P3" s="4">
        <v>865</v>
      </c>
      <c r="Q3" s="8">
        <v>689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f t="shared" si="0"/>
        <v>43745</v>
      </c>
      <c r="B4" s="2" t="s">
        <v>21</v>
      </c>
      <c r="C4" s="2" t="s">
        <v>104</v>
      </c>
      <c r="D4" s="2" t="s">
        <v>23</v>
      </c>
      <c r="E4" s="4" t="s">
        <v>137</v>
      </c>
      <c r="F4" s="2" t="s">
        <v>24</v>
      </c>
      <c r="G4" s="5">
        <f>G2</f>
        <v>70000</v>
      </c>
      <c r="H4" s="2" t="s">
        <v>105</v>
      </c>
      <c r="I4" s="2" t="s">
        <v>106</v>
      </c>
      <c r="J4" s="12">
        <v>0.70833333333333337</v>
      </c>
      <c r="K4" s="1">
        <v>0.69236111111111109</v>
      </c>
      <c r="L4" s="12">
        <v>0.48958333333333331</v>
      </c>
      <c r="M4" s="1">
        <v>0.49444444444444446</v>
      </c>
      <c r="N4" s="14" t="s">
        <v>158</v>
      </c>
      <c r="O4" s="2" t="s">
        <v>153</v>
      </c>
      <c r="P4" s="2">
        <v>627</v>
      </c>
      <c r="Q4" s="8">
        <v>663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3">
        <f t="shared" si="0"/>
        <v>43745</v>
      </c>
      <c r="B5" s="2" t="s">
        <v>21</v>
      </c>
      <c r="C5" s="2" t="s">
        <v>71</v>
      </c>
      <c r="D5" s="2" t="s">
        <v>23</v>
      </c>
      <c r="E5" s="4" t="s">
        <v>60</v>
      </c>
      <c r="F5" s="2" t="s">
        <v>24</v>
      </c>
      <c r="G5" s="5">
        <v>71500</v>
      </c>
      <c r="H5" s="2" t="s">
        <v>72</v>
      </c>
      <c r="I5" s="2" t="s">
        <v>73</v>
      </c>
      <c r="J5" s="12">
        <v>0.74652777777777779</v>
      </c>
      <c r="K5" s="1">
        <v>0.75416666666666676</v>
      </c>
      <c r="L5" s="12">
        <v>0.51736111111111105</v>
      </c>
      <c r="M5" s="1">
        <v>0.52152777777777781</v>
      </c>
      <c r="N5" s="2" t="s">
        <v>159</v>
      </c>
      <c r="O5" s="2" t="s">
        <v>154</v>
      </c>
      <c r="P5" s="2">
        <v>995</v>
      </c>
      <c r="Q5" s="8">
        <v>1227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3">
        <f t="shared" si="0"/>
        <v>43745</v>
      </c>
      <c r="B6" s="2" t="s">
        <v>21</v>
      </c>
      <c r="C6" s="2" t="s">
        <v>74</v>
      </c>
      <c r="D6" s="2" t="s">
        <v>23</v>
      </c>
      <c r="E6" s="4" t="s">
        <v>137</v>
      </c>
      <c r="F6" s="2" t="s">
        <v>24</v>
      </c>
      <c r="G6" s="5">
        <f>G4</f>
        <v>70000</v>
      </c>
      <c r="H6" s="4" t="s">
        <v>75</v>
      </c>
      <c r="I6" s="4" t="s">
        <v>76</v>
      </c>
      <c r="J6" s="23">
        <v>0.89930555555555547</v>
      </c>
      <c r="K6" s="1">
        <v>0.90069444444444446</v>
      </c>
      <c r="L6" s="23">
        <v>0.72916666666666663</v>
      </c>
      <c r="M6" s="15">
        <v>0.73402777777777783</v>
      </c>
      <c r="N6" s="2" t="s">
        <v>160</v>
      </c>
      <c r="O6" s="14" t="s">
        <v>156</v>
      </c>
      <c r="P6" s="14">
        <v>527</v>
      </c>
      <c r="Q6" s="8">
        <v>742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3">
        <f t="shared" si="0"/>
        <v>43745</v>
      </c>
      <c r="B7" s="14" t="s">
        <v>21</v>
      </c>
      <c r="C7" s="14" t="s">
        <v>107</v>
      </c>
      <c r="D7" s="14" t="s">
        <v>23</v>
      </c>
      <c r="E7" s="4" t="s">
        <v>60</v>
      </c>
      <c r="F7" s="14" t="s">
        <v>24</v>
      </c>
      <c r="G7" s="5">
        <v>71500</v>
      </c>
      <c r="H7" s="14" t="s">
        <v>108</v>
      </c>
      <c r="I7" s="14" t="s">
        <v>109</v>
      </c>
      <c r="J7" s="23">
        <v>0.9375</v>
      </c>
      <c r="K7" s="1">
        <v>0.93888888888888899</v>
      </c>
      <c r="L7" s="23">
        <v>0.76736111111111116</v>
      </c>
      <c r="M7" s="15">
        <v>0.78541666666666676</v>
      </c>
      <c r="N7" s="2" t="s">
        <v>161</v>
      </c>
      <c r="O7" s="2" t="s">
        <v>157</v>
      </c>
      <c r="P7" s="2">
        <v>739</v>
      </c>
      <c r="Q7" s="8">
        <v>969</v>
      </c>
      <c r="R7" s="14">
        <v>0</v>
      </c>
      <c r="S7" s="14">
        <v>0</v>
      </c>
      <c r="T7" s="14">
        <v>0</v>
      </c>
      <c r="U7" s="14" t="s"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G1" workbookViewId="0">
      <selection sqref="A1:U8"/>
    </sheetView>
  </sheetViews>
  <sheetFormatPr defaultRowHeight="15" x14ac:dyDescent="0.25"/>
  <cols>
    <col min="3" max="3" width="13.42578125" bestFit="1" customWidth="1"/>
    <col min="6" max="6" width="12.140625" bestFit="1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13" customFormat="1" ht="12.7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4" t="s">
        <v>11</v>
      </c>
      <c r="M1" s="4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s="13" customFormat="1" ht="12.75" x14ac:dyDescent="0.2">
      <c r="A2" s="3">
        <v>43746</v>
      </c>
      <c r="B2" s="4" t="s">
        <v>21</v>
      </c>
      <c r="C2" s="4" t="s">
        <v>22</v>
      </c>
      <c r="D2" s="4" t="s">
        <v>23</v>
      </c>
      <c r="E2" s="4" t="s">
        <v>137</v>
      </c>
      <c r="F2" s="4" t="s">
        <v>24</v>
      </c>
      <c r="G2" s="5">
        <v>71500</v>
      </c>
      <c r="H2" s="4" t="s">
        <v>25</v>
      </c>
      <c r="I2" s="4" t="s">
        <v>26</v>
      </c>
      <c r="J2" s="6">
        <v>0.38541666666666669</v>
      </c>
      <c r="K2" s="1">
        <v>0.37916666666666665</v>
      </c>
      <c r="L2" s="6">
        <v>0.25694444444444448</v>
      </c>
      <c r="M2" s="7">
        <v>0.26319444444444445</v>
      </c>
      <c r="N2" s="2" t="s">
        <v>162</v>
      </c>
      <c r="O2" s="8" t="s">
        <v>58</v>
      </c>
      <c r="P2" s="8">
        <v>440</v>
      </c>
      <c r="Q2" s="8">
        <v>392</v>
      </c>
      <c r="R2" s="4">
        <v>0</v>
      </c>
      <c r="S2" s="4">
        <v>0</v>
      </c>
      <c r="T2" s="4">
        <v>0</v>
      </c>
      <c r="U2" s="4">
        <v>0</v>
      </c>
    </row>
    <row r="3" spans="1:21" s="13" customFormat="1" ht="12.75" x14ac:dyDescent="0.2">
      <c r="A3" s="3">
        <f>A2</f>
        <v>43746</v>
      </c>
      <c r="B3" s="4" t="s">
        <v>21</v>
      </c>
      <c r="C3" s="4" t="s">
        <v>27</v>
      </c>
      <c r="D3" s="4" t="s">
        <v>23</v>
      </c>
      <c r="E3" s="4" t="s">
        <v>60</v>
      </c>
      <c r="F3" s="4" t="s">
        <v>24</v>
      </c>
      <c r="G3" s="5">
        <v>70000</v>
      </c>
      <c r="H3" s="4" t="s">
        <v>28</v>
      </c>
      <c r="I3" s="4" t="s">
        <v>29</v>
      </c>
      <c r="J3" s="6">
        <v>0.46180555555555558</v>
      </c>
      <c r="K3" s="1">
        <v>0.46388888888888885</v>
      </c>
      <c r="L3" s="6">
        <v>0.28125</v>
      </c>
      <c r="M3" s="7">
        <v>0.29097222222222224</v>
      </c>
      <c r="N3" s="2" t="s">
        <v>163</v>
      </c>
      <c r="O3" s="8" t="s">
        <v>132</v>
      </c>
      <c r="P3" s="4">
        <v>765</v>
      </c>
      <c r="Q3" s="8">
        <v>526</v>
      </c>
      <c r="R3" s="4">
        <v>0</v>
      </c>
      <c r="S3" s="4">
        <v>0</v>
      </c>
      <c r="T3" s="4">
        <v>0</v>
      </c>
      <c r="U3" s="4">
        <v>0</v>
      </c>
    </row>
    <row r="4" spans="1:21" s="13" customFormat="1" ht="12.75" x14ac:dyDescent="0.2">
      <c r="A4" s="3">
        <f>A3</f>
        <v>43746</v>
      </c>
      <c r="B4" s="4" t="s">
        <v>21</v>
      </c>
      <c r="C4" s="2" t="s">
        <v>30</v>
      </c>
      <c r="D4" s="2" t="s">
        <v>23</v>
      </c>
      <c r="E4" s="4" t="s">
        <v>137</v>
      </c>
      <c r="F4" s="2" t="s">
        <v>24</v>
      </c>
      <c r="G4" s="5">
        <f>G2</f>
        <v>71500</v>
      </c>
      <c r="H4" s="2" t="s">
        <v>31</v>
      </c>
      <c r="I4" s="2" t="s">
        <v>32</v>
      </c>
      <c r="J4" s="12">
        <v>0.55555555555555558</v>
      </c>
      <c r="K4" s="1">
        <v>0.54583333333333328</v>
      </c>
      <c r="L4" s="12">
        <v>0.40625</v>
      </c>
      <c r="M4" s="1">
        <v>0.41388888888888892</v>
      </c>
      <c r="N4" s="2" t="s">
        <v>166</v>
      </c>
      <c r="O4" s="2" t="s">
        <v>164</v>
      </c>
      <c r="P4" s="2">
        <v>632</v>
      </c>
      <c r="Q4" s="8">
        <v>735</v>
      </c>
      <c r="R4" s="2">
        <v>0</v>
      </c>
      <c r="S4" s="2">
        <v>0</v>
      </c>
      <c r="T4" s="2">
        <v>0</v>
      </c>
      <c r="U4" s="2">
        <v>0</v>
      </c>
    </row>
    <row r="5" spans="1:21" s="13" customFormat="1" ht="12.75" x14ac:dyDescent="0.2">
      <c r="A5" s="3">
        <f>A4</f>
        <v>43746</v>
      </c>
      <c r="B5" s="4" t="s">
        <v>21</v>
      </c>
      <c r="C5" s="2" t="s">
        <v>33</v>
      </c>
      <c r="D5" s="2" t="s">
        <v>23</v>
      </c>
      <c r="E5" s="4" t="s">
        <v>60</v>
      </c>
      <c r="F5" s="2" t="s">
        <v>24</v>
      </c>
      <c r="G5" s="5">
        <f>G3</f>
        <v>70000</v>
      </c>
      <c r="H5" s="2" t="s">
        <v>34</v>
      </c>
      <c r="I5" s="2" t="s">
        <v>35</v>
      </c>
      <c r="J5" s="16">
        <v>0.70138888888888884</v>
      </c>
      <c r="K5" s="1">
        <v>0.69791666666666663</v>
      </c>
      <c r="L5" s="16">
        <v>0.49305555555555558</v>
      </c>
      <c r="M5" s="17">
        <v>0.50277777777777777</v>
      </c>
      <c r="N5" s="2" t="s">
        <v>168</v>
      </c>
      <c r="O5" s="2" t="s">
        <v>165</v>
      </c>
      <c r="P5" s="18">
        <v>956</v>
      </c>
      <c r="Q5" s="8">
        <v>1064</v>
      </c>
      <c r="R5" s="2">
        <v>0</v>
      </c>
      <c r="S5" s="2">
        <v>0</v>
      </c>
      <c r="T5" s="2">
        <v>0</v>
      </c>
      <c r="U5" s="2">
        <v>0</v>
      </c>
    </row>
    <row r="6" spans="1:21" s="13" customFormat="1" ht="12.75" x14ac:dyDescent="0.2">
      <c r="A6" s="3">
        <f t="shared" ref="A6:A7" si="0">A5</f>
        <v>43746</v>
      </c>
      <c r="B6" s="4" t="s">
        <v>21</v>
      </c>
      <c r="C6" s="2" t="s">
        <v>36</v>
      </c>
      <c r="D6" s="2" t="s">
        <v>23</v>
      </c>
      <c r="E6" s="4" t="s">
        <v>137</v>
      </c>
      <c r="F6" s="2" t="s">
        <v>24</v>
      </c>
      <c r="G6" s="5">
        <v>71500</v>
      </c>
      <c r="H6" s="4" t="s">
        <v>37</v>
      </c>
      <c r="I6" s="4" t="s">
        <v>38</v>
      </c>
      <c r="J6" s="19">
        <v>0.74652777777777779</v>
      </c>
      <c r="K6" s="1">
        <v>0.72986111111111107</v>
      </c>
      <c r="L6" s="19">
        <v>0.58680555555555558</v>
      </c>
      <c r="M6" s="20">
        <v>0.59652777777777777</v>
      </c>
      <c r="N6" s="2" t="s">
        <v>169</v>
      </c>
      <c r="O6" s="2" t="s">
        <v>167</v>
      </c>
      <c r="P6" s="2">
        <v>802</v>
      </c>
      <c r="Q6" s="8">
        <v>866</v>
      </c>
      <c r="R6" s="2">
        <v>0</v>
      </c>
      <c r="S6" s="2">
        <v>0</v>
      </c>
      <c r="T6" s="2">
        <v>0</v>
      </c>
      <c r="U6" s="2">
        <v>0</v>
      </c>
    </row>
    <row r="7" spans="1:21" s="13" customFormat="1" ht="12.75" x14ac:dyDescent="0.2">
      <c r="A7" s="3">
        <f t="shared" si="0"/>
        <v>43746</v>
      </c>
      <c r="B7" s="4" t="s">
        <v>21</v>
      </c>
      <c r="C7" s="21" t="s">
        <v>39</v>
      </c>
      <c r="D7" s="21" t="s">
        <v>23</v>
      </c>
      <c r="E7" s="4" t="s">
        <v>60</v>
      </c>
      <c r="F7" s="21" t="s">
        <v>24</v>
      </c>
      <c r="G7" s="5">
        <f>G5</f>
        <v>70000</v>
      </c>
      <c r="H7" s="21" t="s">
        <v>40</v>
      </c>
      <c r="I7" s="21" t="s">
        <v>41</v>
      </c>
      <c r="J7" s="19">
        <v>0.94097222222222221</v>
      </c>
      <c r="K7" s="1">
        <v>0.9243055555555556</v>
      </c>
      <c r="L7" s="19">
        <v>0.72222222222222221</v>
      </c>
      <c r="M7" s="20">
        <v>0.73819444444444438</v>
      </c>
      <c r="N7" s="2" t="s">
        <v>142</v>
      </c>
      <c r="O7" s="17" t="s">
        <v>170</v>
      </c>
      <c r="P7" s="2">
        <v>599</v>
      </c>
      <c r="Q7" s="21">
        <v>925</v>
      </c>
      <c r="R7" s="21">
        <v>0</v>
      </c>
      <c r="S7" s="21">
        <v>0</v>
      </c>
      <c r="T7" s="21">
        <v>0</v>
      </c>
      <c r="U7" s="21">
        <v>0</v>
      </c>
    </row>
    <row r="8" spans="1:21" s="13" customFormat="1" ht="12.75" x14ac:dyDescent="0.2">
      <c r="A8" s="3">
        <f>A7</f>
        <v>43746</v>
      </c>
      <c r="B8" s="2" t="s">
        <v>21</v>
      </c>
      <c r="C8" s="18" t="s">
        <v>42</v>
      </c>
      <c r="D8" s="2" t="s">
        <v>23</v>
      </c>
      <c r="E8" s="4" t="s">
        <v>137</v>
      </c>
      <c r="F8" s="2" t="s">
        <v>24</v>
      </c>
      <c r="G8" s="5">
        <f>G6</f>
        <v>71500</v>
      </c>
      <c r="H8" s="4" t="s">
        <v>43</v>
      </c>
      <c r="I8" s="4" t="s">
        <v>44</v>
      </c>
      <c r="J8" s="16">
        <v>0.94444444444444453</v>
      </c>
      <c r="K8" s="7">
        <v>0.9472222222222223</v>
      </c>
      <c r="L8" s="16">
        <v>0.76736111111111116</v>
      </c>
      <c r="M8" s="17">
        <v>0.76458333333333339</v>
      </c>
      <c r="N8" s="17" t="s">
        <v>172</v>
      </c>
      <c r="O8" s="17" t="s">
        <v>171</v>
      </c>
      <c r="P8" s="18">
        <v>796</v>
      </c>
      <c r="Q8" s="8">
        <v>549</v>
      </c>
      <c r="R8" s="2">
        <v>0</v>
      </c>
      <c r="S8" s="2">
        <v>0</v>
      </c>
      <c r="T8" s="2">
        <v>0</v>
      </c>
      <c r="U8" s="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L7" sqref="L7"/>
    </sheetView>
  </sheetViews>
  <sheetFormatPr defaultRowHeight="15" x14ac:dyDescent="0.25"/>
  <cols>
    <col min="3" max="3" width="13.5703125" bestFit="1" customWidth="1"/>
    <col min="4" max="4" width="5.7109375" bestFit="1" customWidth="1"/>
    <col min="5" max="5" width="14.140625" customWidth="1"/>
    <col min="6" max="6" width="12.140625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1" t="s">
        <v>10</v>
      </c>
      <c r="L1" s="28" t="s">
        <v>11</v>
      </c>
      <c r="M1" s="28" t="s">
        <v>12</v>
      </c>
      <c r="N1" s="2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</row>
    <row r="2" spans="1:21" x14ac:dyDescent="0.25">
      <c r="A2" s="3">
        <v>43747</v>
      </c>
      <c r="B2" s="4" t="s">
        <v>21</v>
      </c>
      <c r="C2" s="4" t="s">
        <v>62</v>
      </c>
      <c r="D2" s="4" t="s">
        <v>23</v>
      </c>
      <c r="E2" s="4" t="s">
        <v>60</v>
      </c>
      <c r="F2" s="4" t="s">
        <v>24</v>
      </c>
      <c r="G2" s="5">
        <v>71500</v>
      </c>
      <c r="H2" s="4" t="s">
        <v>63</v>
      </c>
      <c r="I2" s="4" t="s">
        <v>64</v>
      </c>
      <c r="J2" s="6">
        <v>0.45833333333333331</v>
      </c>
      <c r="K2" s="1">
        <v>0.45833333333333331</v>
      </c>
      <c r="L2" s="6">
        <v>0.25694444444444448</v>
      </c>
      <c r="M2" s="7">
        <v>0.26666666666666666</v>
      </c>
      <c r="N2" s="9" t="s">
        <v>173</v>
      </c>
      <c r="O2" s="8" t="s">
        <v>175</v>
      </c>
      <c r="P2" s="9">
        <v>962</v>
      </c>
      <c r="Q2" s="8">
        <v>854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f>A2</f>
        <v>43747</v>
      </c>
      <c r="B3" s="4" t="s">
        <v>21</v>
      </c>
      <c r="C3" s="4" t="s">
        <v>65</v>
      </c>
      <c r="D3" s="4" t="s">
        <v>23</v>
      </c>
      <c r="E3" s="4" t="s">
        <v>137</v>
      </c>
      <c r="F3" s="4" t="s">
        <v>24</v>
      </c>
      <c r="G3" s="5">
        <v>70000</v>
      </c>
      <c r="H3" s="4" t="s">
        <v>66</v>
      </c>
      <c r="I3" s="4" t="s">
        <v>67</v>
      </c>
      <c r="J3" s="6">
        <v>0.4861111111111111</v>
      </c>
      <c r="K3" s="1">
        <v>0.47500000000000003</v>
      </c>
      <c r="L3" s="6">
        <v>0.28125</v>
      </c>
      <c r="M3" s="7">
        <v>0.28750000000000003</v>
      </c>
      <c r="N3" s="8" t="s">
        <v>174</v>
      </c>
      <c r="O3" s="8" t="s">
        <v>176</v>
      </c>
      <c r="P3" s="9">
        <v>744</v>
      </c>
      <c r="Q3" s="8">
        <v>1150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f t="shared" ref="A4:A7" si="0">A3</f>
        <v>43747</v>
      </c>
      <c r="B4" s="2" t="s">
        <v>21</v>
      </c>
      <c r="C4" s="2" t="s">
        <v>68</v>
      </c>
      <c r="D4" s="2" t="s">
        <v>23</v>
      </c>
      <c r="E4" s="4" t="s">
        <v>60</v>
      </c>
      <c r="F4" s="2" t="s">
        <v>24</v>
      </c>
      <c r="G4" s="5">
        <v>71500</v>
      </c>
      <c r="H4" s="2" t="s">
        <v>69</v>
      </c>
      <c r="I4" s="2" t="s">
        <v>70</v>
      </c>
      <c r="J4" s="12">
        <v>0.72569444444444453</v>
      </c>
      <c r="K4" s="1">
        <v>0.72152777777777777</v>
      </c>
      <c r="L4" s="12">
        <v>0.48958333333333331</v>
      </c>
      <c r="M4" s="1">
        <v>0.49861111111111112</v>
      </c>
      <c r="N4" s="2" t="s">
        <v>178</v>
      </c>
      <c r="O4" s="2" t="s">
        <v>177</v>
      </c>
      <c r="P4" s="2">
        <v>665</v>
      </c>
      <c r="Q4" s="8">
        <v>1121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3">
        <f t="shared" si="0"/>
        <v>43747</v>
      </c>
      <c r="B5" s="2" t="s">
        <v>21</v>
      </c>
      <c r="C5" s="2" t="s">
        <v>71</v>
      </c>
      <c r="D5" s="2" t="s">
        <v>23</v>
      </c>
      <c r="E5" s="4" t="s">
        <v>137</v>
      </c>
      <c r="F5" s="2" t="s">
        <v>24</v>
      </c>
      <c r="G5" s="5">
        <v>70000</v>
      </c>
      <c r="H5" s="2" t="s">
        <v>72</v>
      </c>
      <c r="I5" s="2" t="s">
        <v>73</v>
      </c>
      <c r="J5" s="12">
        <v>0.74652777777777779</v>
      </c>
      <c r="K5" s="1">
        <v>0.75416666666666676</v>
      </c>
      <c r="L5" s="12">
        <v>0.51736111111111105</v>
      </c>
      <c r="M5" s="1">
        <v>0.53194444444444444</v>
      </c>
      <c r="N5" s="2" t="s">
        <v>179</v>
      </c>
      <c r="O5" s="2" t="s">
        <v>94</v>
      </c>
      <c r="P5" s="2">
        <v>891</v>
      </c>
      <c r="Q5" s="8">
        <v>1255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3">
        <f t="shared" si="0"/>
        <v>43747</v>
      </c>
      <c r="B6" s="2" t="s">
        <v>21</v>
      </c>
      <c r="C6" s="2" t="s">
        <v>74</v>
      </c>
      <c r="D6" s="2" t="s">
        <v>23</v>
      </c>
      <c r="E6" s="4" t="s">
        <v>60</v>
      </c>
      <c r="F6" s="2" t="s">
        <v>24</v>
      </c>
      <c r="G6" s="5">
        <v>71500</v>
      </c>
      <c r="H6" s="4" t="s">
        <v>75</v>
      </c>
      <c r="I6" s="4" t="s">
        <v>76</v>
      </c>
      <c r="J6" s="10">
        <v>0.91666666666666663</v>
      </c>
      <c r="K6" s="1">
        <v>0.90763888888888899</v>
      </c>
      <c r="L6" s="10">
        <v>0.74652777777777779</v>
      </c>
      <c r="M6" s="11">
        <v>0.75555555555555554</v>
      </c>
      <c r="N6" s="2" t="s">
        <v>182</v>
      </c>
      <c r="O6" s="2" t="s">
        <v>180</v>
      </c>
      <c r="P6" s="2">
        <v>670</v>
      </c>
      <c r="Q6" s="8">
        <v>1088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3">
        <f t="shared" si="0"/>
        <v>43747</v>
      </c>
      <c r="B7" s="2" t="s">
        <v>21</v>
      </c>
      <c r="C7" s="2" t="s">
        <v>77</v>
      </c>
      <c r="D7" s="2" t="s">
        <v>23</v>
      </c>
      <c r="E7" s="4" t="s">
        <v>137</v>
      </c>
      <c r="F7" s="2" t="s">
        <v>24</v>
      </c>
      <c r="G7" s="5">
        <v>70000</v>
      </c>
      <c r="H7" s="4" t="s">
        <v>78</v>
      </c>
      <c r="I7" s="4" t="s">
        <v>79</v>
      </c>
      <c r="J7" s="10">
        <v>0.95833333333333337</v>
      </c>
      <c r="K7" s="11">
        <v>0.96527777777777779</v>
      </c>
      <c r="L7" s="10">
        <v>0.76736111111111116</v>
      </c>
      <c r="M7" s="11">
        <v>0.78611111111111109</v>
      </c>
      <c r="N7" s="9" t="s">
        <v>183</v>
      </c>
      <c r="O7" s="9" t="s">
        <v>181</v>
      </c>
      <c r="P7" s="2">
        <v>1115</v>
      </c>
      <c r="Q7" s="8">
        <v>927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3"/>
      <c r="B8" s="2"/>
      <c r="C8" s="2"/>
      <c r="D8" s="2"/>
      <c r="E8" s="4"/>
      <c r="F8" s="2"/>
      <c r="G8" s="5"/>
      <c r="H8" s="4"/>
      <c r="I8" s="4"/>
      <c r="J8" s="10"/>
      <c r="K8" s="11"/>
      <c r="L8" s="10"/>
      <c r="M8" s="10"/>
      <c r="N8" s="2"/>
      <c r="O8" s="2"/>
      <c r="P8" s="2"/>
      <c r="Q8" s="2"/>
      <c r="R8" s="2"/>
      <c r="S8" s="2"/>
      <c r="T8" s="2"/>
      <c r="U8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C1" workbookViewId="0">
      <selection activeCell="K5" sqref="K5"/>
    </sheetView>
  </sheetViews>
  <sheetFormatPr defaultRowHeight="15" x14ac:dyDescent="0.25"/>
  <cols>
    <col min="3" max="3" width="13.5703125" bestFit="1" customWidth="1"/>
    <col min="4" max="4" width="5.7109375" bestFit="1" customWidth="1"/>
    <col min="5" max="5" width="14.140625" customWidth="1"/>
    <col min="6" max="6" width="12.140625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1" t="s">
        <v>10</v>
      </c>
      <c r="L1" s="28" t="s">
        <v>11</v>
      </c>
      <c r="M1" s="28" t="s">
        <v>12</v>
      </c>
      <c r="N1" s="2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</row>
    <row r="2" spans="1:21" x14ac:dyDescent="0.25">
      <c r="A2" s="3">
        <v>43748</v>
      </c>
      <c r="B2" s="4" t="s">
        <v>21</v>
      </c>
      <c r="C2" s="4" t="s">
        <v>30</v>
      </c>
      <c r="D2" s="4" t="s">
        <v>23</v>
      </c>
      <c r="E2" s="4" t="s">
        <v>60</v>
      </c>
      <c r="F2" s="4" t="s">
        <v>24</v>
      </c>
      <c r="G2" s="5">
        <v>71500</v>
      </c>
      <c r="H2" s="4" t="s">
        <v>31</v>
      </c>
      <c r="I2" s="4" t="s">
        <v>32</v>
      </c>
      <c r="J2" s="6">
        <v>0.55555555555555558</v>
      </c>
      <c r="K2" s="1">
        <v>0.55763888888888891</v>
      </c>
      <c r="L2" s="6">
        <v>0.40625</v>
      </c>
      <c r="M2" s="7">
        <v>0.41597222222222219</v>
      </c>
      <c r="N2" s="9" t="s">
        <v>186</v>
      </c>
      <c r="O2" s="8" t="s">
        <v>184</v>
      </c>
      <c r="P2" s="9">
        <v>657</v>
      </c>
      <c r="Q2" s="8">
        <v>681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f>A2</f>
        <v>43748</v>
      </c>
      <c r="B3" s="4" t="s">
        <v>21</v>
      </c>
      <c r="C3" s="4" t="s">
        <v>33</v>
      </c>
      <c r="D3" s="4" t="s">
        <v>23</v>
      </c>
      <c r="E3" s="4" t="s">
        <v>137</v>
      </c>
      <c r="F3" s="4" t="s">
        <v>24</v>
      </c>
      <c r="G3" s="5">
        <v>70000</v>
      </c>
      <c r="H3" s="4" t="s">
        <v>34</v>
      </c>
      <c r="I3" s="4" t="s">
        <v>35</v>
      </c>
      <c r="J3" s="6">
        <v>0.70138888888888884</v>
      </c>
      <c r="K3" s="1">
        <v>0.70347222222222217</v>
      </c>
      <c r="L3" s="6">
        <v>0.49305555555555558</v>
      </c>
      <c r="M3" s="7">
        <v>0.51180555555555551</v>
      </c>
      <c r="N3" s="8" t="s">
        <v>122</v>
      </c>
      <c r="O3" s="8" t="s">
        <v>185</v>
      </c>
      <c r="P3" s="9">
        <v>852</v>
      </c>
      <c r="Q3" s="8">
        <v>873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f t="shared" ref="A4" si="0">A3</f>
        <v>43748</v>
      </c>
      <c r="B4" s="2" t="s">
        <v>21</v>
      </c>
      <c r="C4" s="2" t="s">
        <v>74</v>
      </c>
      <c r="D4" s="2" t="s">
        <v>23</v>
      </c>
      <c r="E4" s="4" t="s">
        <v>60</v>
      </c>
      <c r="F4" s="2" t="s">
        <v>24</v>
      </c>
      <c r="G4" s="5">
        <v>71500</v>
      </c>
      <c r="H4" s="2" t="s">
        <v>75</v>
      </c>
      <c r="I4" s="2" t="s">
        <v>76</v>
      </c>
      <c r="J4" s="12">
        <v>0.75694444444444453</v>
      </c>
      <c r="K4" s="1">
        <v>0.75416666666666676</v>
      </c>
      <c r="L4" s="12">
        <v>0.58680555555555558</v>
      </c>
      <c r="M4" s="1">
        <v>0.59583333333333333</v>
      </c>
      <c r="N4" s="2" t="s">
        <v>186</v>
      </c>
      <c r="O4" s="2" t="s">
        <v>187</v>
      </c>
      <c r="P4" s="2">
        <v>750</v>
      </c>
      <c r="Q4" s="8">
        <v>619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3"/>
      <c r="B5" s="2"/>
      <c r="C5" s="2"/>
      <c r="D5" s="2"/>
      <c r="E5" s="4"/>
      <c r="F5" s="2"/>
      <c r="G5" s="5"/>
      <c r="H5" s="2"/>
      <c r="I5" s="2"/>
      <c r="J5" s="12"/>
      <c r="K5" s="1"/>
      <c r="L5" s="12"/>
      <c r="M5" s="1"/>
      <c r="N5" s="2"/>
      <c r="O5" s="2"/>
      <c r="P5" s="2"/>
      <c r="Q5" s="8"/>
      <c r="R5" s="2"/>
      <c r="S5" s="2"/>
      <c r="T5" s="2"/>
      <c r="U5" s="2"/>
    </row>
    <row r="6" spans="1:21" x14ac:dyDescent="0.25">
      <c r="A6" s="3"/>
      <c r="B6" s="2"/>
      <c r="C6" s="2"/>
      <c r="D6" s="2"/>
      <c r="E6" s="4"/>
      <c r="F6" s="2"/>
      <c r="G6" s="5"/>
      <c r="H6" s="4"/>
      <c r="I6" s="4"/>
      <c r="J6" s="10"/>
      <c r="K6" s="1"/>
      <c r="L6" s="10"/>
      <c r="M6" s="11"/>
      <c r="N6" s="2"/>
      <c r="O6" s="2"/>
      <c r="P6" s="2"/>
      <c r="Q6" s="8"/>
      <c r="R6" s="2"/>
      <c r="S6" s="2"/>
      <c r="T6" s="2"/>
      <c r="U6" s="2"/>
    </row>
    <row r="7" spans="1:21" x14ac:dyDescent="0.25">
      <c r="A7" s="3"/>
      <c r="B7" s="2"/>
      <c r="C7" s="2"/>
      <c r="D7" s="2"/>
      <c r="E7" s="4"/>
      <c r="F7" s="2"/>
      <c r="G7" s="5"/>
      <c r="H7" s="4"/>
      <c r="I7" s="4"/>
      <c r="J7" s="10"/>
      <c r="K7" s="11"/>
      <c r="L7" s="10"/>
      <c r="M7" s="11"/>
      <c r="N7" s="9"/>
      <c r="O7" s="9"/>
      <c r="P7" s="2"/>
      <c r="Q7" s="8"/>
      <c r="R7" s="2"/>
      <c r="S7" s="2"/>
      <c r="T7" s="2"/>
      <c r="U7" s="2"/>
    </row>
    <row r="8" spans="1:21" x14ac:dyDescent="0.25">
      <c r="A8" s="3"/>
      <c r="B8" s="2"/>
      <c r="C8" s="2"/>
      <c r="D8" s="2"/>
      <c r="E8" s="4"/>
      <c r="F8" s="2"/>
      <c r="G8" s="5"/>
      <c r="H8" s="4"/>
      <c r="I8" s="4"/>
      <c r="J8" s="10"/>
      <c r="K8" s="11"/>
      <c r="L8" s="10"/>
      <c r="M8" s="10"/>
      <c r="N8" s="2"/>
      <c r="O8" s="2"/>
      <c r="P8" s="2"/>
      <c r="Q8" s="2"/>
      <c r="R8" s="2"/>
      <c r="S8" s="2"/>
      <c r="T8" s="2"/>
      <c r="U8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sqref="A1:U7"/>
    </sheetView>
  </sheetViews>
  <sheetFormatPr defaultRowHeight="15" x14ac:dyDescent="0.25"/>
  <cols>
    <col min="2" max="2" width="16.85546875" bestFit="1" customWidth="1"/>
    <col min="3" max="3" width="13.5703125" bestFit="1" customWidth="1"/>
    <col min="6" max="6" width="17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1" t="s">
        <v>10</v>
      </c>
      <c r="L1" s="28" t="s">
        <v>11</v>
      </c>
      <c r="M1" s="28" t="s">
        <v>12</v>
      </c>
      <c r="N1" s="2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</row>
    <row r="2" spans="1:21" x14ac:dyDescent="0.25">
      <c r="A2" s="3">
        <v>43749</v>
      </c>
      <c r="B2" s="4" t="s">
        <v>21</v>
      </c>
      <c r="C2" s="4" t="s">
        <v>62</v>
      </c>
      <c r="D2" s="4" t="s">
        <v>23</v>
      </c>
      <c r="E2" s="4" t="s">
        <v>137</v>
      </c>
      <c r="F2" s="4" t="s">
        <v>24</v>
      </c>
      <c r="G2" s="5">
        <v>70000</v>
      </c>
      <c r="H2" s="4" t="s">
        <v>63</v>
      </c>
      <c r="I2" s="4" t="s">
        <v>64</v>
      </c>
      <c r="J2" s="6">
        <v>0.45833333333333331</v>
      </c>
      <c r="K2" s="7">
        <v>0.47013888888888888</v>
      </c>
      <c r="L2" s="6">
        <v>0.25694444444444448</v>
      </c>
      <c r="M2" s="7">
        <v>0.27013888888888887</v>
      </c>
      <c r="N2" s="2" t="s">
        <v>190</v>
      </c>
      <c r="O2" s="8" t="s">
        <v>188</v>
      </c>
      <c r="P2" s="8">
        <v>807</v>
      </c>
      <c r="Q2" s="8">
        <v>937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f>A2</f>
        <v>43749</v>
      </c>
      <c r="B3" s="4" t="s">
        <v>21</v>
      </c>
      <c r="C3" s="4" t="s">
        <v>65</v>
      </c>
      <c r="D3" s="4" t="s">
        <v>23</v>
      </c>
      <c r="E3" s="4" t="s">
        <v>60</v>
      </c>
      <c r="F3" s="4" t="s">
        <v>24</v>
      </c>
      <c r="G3" s="5">
        <v>71500</v>
      </c>
      <c r="H3" s="4" t="s">
        <v>66</v>
      </c>
      <c r="I3" s="4" t="s">
        <v>67</v>
      </c>
      <c r="J3" s="6">
        <v>0.4861111111111111</v>
      </c>
      <c r="K3" s="7">
        <v>0.48402777777777778</v>
      </c>
      <c r="L3" s="6">
        <v>0.28125</v>
      </c>
      <c r="M3" s="7">
        <v>0.28541666666666665</v>
      </c>
      <c r="N3" s="2" t="s">
        <v>149</v>
      </c>
      <c r="O3" s="8" t="s">
        <v>189</v>
      </c>
      <c r="P3" s="4">
        <v>682</v>
      </c>
      <c r="Q3" s="8">
        <v>1219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f t="shared" ref="A4:A7" si="0">A3</f>
        <v>43749</v>
      </c>
      <c r="B4" s="2" t="s">
        <v>21</v>
      </c>
      <c r="C4" s="2" t="s">
        <v>104</v>
      </c>
      <c r="D4" s="2" t="s">
        <v>23</v>
      </c>
      <c r="E4" s="4" t="str">
        <f>E2</f>
        <v>HALWC</v>
      </c>
      <c r="F4" s="2" t="s">
        <v>24</v>
      </c>
      <c r="G4" s="5">
        <v>70000</v>
      </c>
      <c r="H4" s="2" t="s">
        <v>105</v>
      </c>
      <c r="I4" s="2" t="s">
        <v>106</v>
      </c>
      <c r="J4" s="12">
        <v>0.70833333333333337</v>
      </c>
      <c r="K4" s="1">
        <v>0.71458333333333324</v>
      </c>
      <c r="L4" s="12">
        <v>0.48958333333333331</v>
      </c>
      <c r="M4" s="1">
        <v>0.50694444444444442</v>
      </c>
      <c r="N4" s="14" t="s">
        <v>194</v>
      </c>
      <c r="O4" s="2" t="s">
        <v>191</v>
      </c>
      <c r="P4" s="2">
        <v>411</v>
      </c>
      <c r="Q4" s="8">
        <v>1373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3">
        <f t="shared" si="0"/>
        <v>43749</v>
      </c>
      <c r="B5" s="2" t="s">
        <v>21</v>
      </c>
      <c r="C5" s="2" t="s">
        <v>71</v>
      </c>
      <c r="D5" s="2" t="s">
        <v>23</v>
      </c>
      <c r="E5" s="4" t="str">
        <f>E3</f>
        <v>HALPT</v>
      </c>
      <c r="F5" s="2" t="s">
        <v>24</v>
      </c>
      <c r="G5" s="5">
        <v>71500</v>
      </c>
      <c r="H5" s="2" t="s">
        <v>72</v>
      </c>
      <c r="I5" s="2" t="s">
        <v>73</v>
      </c>
      <c r="J5" s="12">
        <v>0.74652777777777779</v>
      </c>
      <c r="K5" s="1">
        <v>0.75763888888888886</v>
      </c>
      <c r="L5" s="12">
        <v>0.51736111111111105</v>
      </c>
      <c r="M5" s="1">
        <v>0.52430555555555558</v>
      </c>
      <c r="N5" s="2" t="s">
        <v>160</v>
      </c>
      <c r="O5" s="2" t="s">
        <v>83</v>
      </c>
      <c r="P5" s="2">
        <v>567</v>
      </c>
      <c r="Q5" s="8">
        <v>1076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3">
        <f t="shared" si="0"/>
        <v>43749</v>
      </c>
      <c r="B6" s="2" t="s">
        <v>21</v>
      </c>
      <c r="C6" s="2" t="s">
        <v>74</v>
      </c>
      <c r="D6" s="2" t="s">
        <v>23</v>
      </c>
      <c r="E6" s="4" t="str">
        <f>E2</f>
        <v>HALWC</v>
      </c>
      <c r="F6" s="2" t="s">
        <v>24</v>
      </c>
      <c r="G6" s="5">
        <v>70000</v>
      </c>
      <c r="H6" s="4" t="s">
        <v>75</v>
      </c>
      <c r="I6" s="4" t="s">
        <v>76</v>
      </c>
      <c r="J6" s="23">
        <v>0.89930555555555547</v>
      </c>
      <c r="K6" s="1">
        <v>0.90555555555555556</v>
      </c>
      <c r="L6" s="23">
        <v>0.72916666666666663</v>
      </c>
      <c r="M6" s="15">
        <v>0.75</v>
      </c>
      <c r="N6" s="2" t="s">
        <v>195</v>
      </c>
      <c r="O6" s="14" t="s">
        <v>192</v>
      </c>
      <c r="P6" s="14">
        <v>568</v>
      </c>
      <c r="Q6" s="8">
        <v>748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3">
        <f t="shared" si="0"/>
        <v>43749</v>
      </c>
      <c r="B7" s="14" t="s">
        <v>21</v>
      </c>
      <c r="C7" s="14" t="s">
        <v>107</v>
      </c>
      <c r="D7" s="14" t="s">
        <v>23</v>
      </c>
      <c r="E7" s="4" t="str">
        <f>E3</f>
        <v>HALPT</v>
      </c>
      <c r="F7" s="14" t="s">
        <v>24</v>
      </c>
      <c r="G7" s="5">
        <v>71500</v>
      </c>
      <c r="H7" s="14" t="s">
        <v>108</v>
      </c>
      <c r="I7" s="14" t="s">
        <v>109</v>
      </c>
      <c r="J7" s="23">
        <v>0.9375</v>
      </c>
      <c r="K7" s="1">
        <v>0.95000000000000007</v>
      </c>
      <c r="L7" s="23">
        <v>0.76736111111111116</v>
      </c>
      <c r="M7" s="15">
        <v>0.79236111111111107</v>
      </c>
      <c r="N7" s="2" t="s">
        <v>113</v>
      </c>
      <c r="O7" s="2" t="s">
        <v>193</v>
      </c>
      <c r="P7" s="2">
        <v>657</v>
      </c>
      <c r="Q7" s="8">
        <v>726</v>
      </c>
      <c r="R7" s="14">
        <v>0</v>
      </c>
      <c r="S7" s="14">
        <v>0</v>
      </c>
      <c r="T7" s="14">
        <v>0</v>
      </c>
      <c r="U7" s="14">
        <v>0</v>
      </c>
    </row>
    <row r="8" spans="1:21" x14ac:dyDescent="0.25">
      <c r="A8" s="3"/>
      <c r="B8" s="4"/>
      <c r="C8" s="2"/>
      <c r="D8" s="2"/>
      <c r="E8" s="4"/>
      <c r="F8" s="2"/>
      <c r="G8" s="5"/>
      <c r="H8" s="2"/>
      <c r="I8" s="2"/>
      <c r="J8" s="12"/>
      <c r="K8" s="1"/>
      <c r="L8" s="12"/>
      <c r="M8" s="15"/>
      <c r="N8" s="14"/>
      <c r="O8" s="2"/>
      <c r="P8" s="2"/>
      <c r="Q8" s="8"/>
      <c r="R8" s="2"/>
      <c r="S8" s="2"/>
      <c r="T8" s="2"/>
      <c r="U8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C1" workbookViewId="0">
      <selection activeCell="K9" sqref="K9"/>
    </sheetView>
  </sheetViews>
  <sheetFormatPr defaultRowHeight="15" x14ac:dyDescent="0.25"/>
  <cols>
    <col min="3" max="3" width="13.42578125" bestFit="1" customWidth="1"/>
    <col min="6" max="6" width="12.140625" bestFit="1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s="13" customFormat="1" ht="12.7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4" t="s">
        <v>11</v>
      </c>
      <c r="M1" s="4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s="13" customFormat="1" ht="12.75" x14ac:dyDescent="0.2">
      <c r="A2" s="3">
        <v>43750</v>
      </c>
      <c r="B2" s="4" t="s">
        <v>21</v>
      </c>
      <c r="C2" s="4" t="s">
        <v>22</v>
      </c>
      <c r="D2" s="4" t="s">
        <v>23</v>
      </c>
      <c r="E2" s="4" t="s">
        <v>137</v>
      </c>
      <c r="F2" s="4" t="s">
        <v>24</v>
      </c>
      <c r="G2" s="5">
        <v>70000</v>
      </c>
      <c r="H2" s="4" t="s">
        <v>25</v>
      </c>
      <c r="I2" s="4" t="s">
        <v>26</v>
      </c>
      <c r="J2" s="6">
        <v>0.38541666666666669</v>
      </c>
      <c r="K2" s="1">
        <v>0.42152777777777778</v>
      </c>
      <c r="L2" s="6">
        <v>0.25694444444444448</v>
      </c>
      <c r="M2" s="7">
        <v>0.25486111111111109</v>
      </c>
      <c r="N2" s="2" t="s">
        <v>197</v>
      </c>
      <c r="O2" s="8" t="s">
        <v>196</v>
      </c>
      <c r="P2" s="8">
        <v>357</v>
      </c>
      <c r="Q2" s="8">
        <v>413</v>
      </c>
      <c r="R2" s="4">
        <v>0</v>
      </c>
      <c r="S2" s="4">
        <v>0</v>
      </c>
      <c r="T2" s="4">
        <v>0</v>
      </c>
      <c r="U2" s="4">
        <v>0</v>
      </c>
    </row>
    <row r="3" spans="1:21" s="13" customFormat="1" ht="12.75" x14ac:dyDescent="0.2">
      <c r="A3" s="3">
        <v>43750</v>
      </c>
      <c r="B3" s="4" t="s">
        <v>21</v>
      </c>
      <c r="C3" s="4" t="s">
        <v>27</v>
      </c>
      <c r="D3" s="4" t="s">
        <v>23</v>
      </c>
      <c r="E3" s="4" t="s">
        <v>60</v>
      </c>
      <c r="F3" s="4" t="s">
        <v>24</v>
      </c>
      <c r="G3" s="5">
        <v>71500</v>
      </c>
      <c r="H3" s="4" t="s">
        <v>28</v>
      </c>
      <c r="I3" s="4" t="s">
        <v>29</v>
      </c>
      <c r="J3" s="6">
        <v>0.46180555555555558</v>
      </c>
      <c r="K3" s="1">
        <v>0.45694444444444443</v>
      </c>
      <c r="L3" s="6">
        <v>0.28125</v>
      </c>
      <c r="M3" s="7">
        <v>0.29375000000000001</v>
      </c>
      <c r="N3" s="2" t="s">
        <v>181</v>
      </c>
      <c r="O3" s="8" t="s">
        <v>172</v>
      </c>
      <c r="P3" s="4">
        <v>1182</v>
      </c>
      <c r="Q3" s="8">
        <v>970</v>
      </c>
      <c r="R3" s="4">
        <v>0</v>
      </c>
      <c r="S3" s="4">
        <v>0</v>
      </c>
      <c r="T3" s="4">
        <v>0</v>
      </c>
      <c r="U3" s="4">
        <v>0</v>
      </c>
    </row>
    <row r="4" spans="1:21" s="13" customFormat="1" ht="12.75" x14ac:dyDescent="0.2">
      <c r="A4" s="3">
        <f>A3</f>
        <v>43750</v>
      </c>
      <c r="B4" s="4" t="s">
        <v>21</v>
      </c>
      <c r="C4" s="2" t="s">
        <v>30</v>
      </c>
      <c r="D4" s="2" t="s">
        <v>23</v>
      </c>
      <c r="E4" s="4" t="s">
        <v>137</v>
      </c>
      <c r="F4" s="2" t="s">
        <v>24</v>
      </c>
      <c r="G4" s="5">
        <v>70000</v>
      </c>
      <c r="H4" s="2" t="s">
        <v>31</v>
      </c>
      <c r="I4" s="2" t="s">
        <v>32</v>
      </c>
      <c r="J4" s="12">
        <v>0.55555555555555558</v>
      </c>
      <c r="K4" s="1">
        <v>0.59375</v>
      </c>
      <c r="L4" s="12">
        <v>0.40625</v>
      </c>
      <c r="M4" s="1">
        <v>0.46597222222222223</v>
      </c>
      <c r="N4" s="2" t="s">
        <v>199</v>
      </c>
      <c r="O4" s="2" t="s">
        <v>181</v>
      </c>
      <c r="P4" s="2">
        <v>955</v>
      </c>
      <c r="Q4" s="8">
        <v>926</v>
      </c>
      <c r="R4" s="2">
        <v>0</v>
      </c>
      <c r="S4" s="2">
        <v>0</v>
      </c>
      <c r="T4" s="2">
        <v>0</v>
      </c>
      <c r="U4" s="2">
        <v>0</v>
      </c>
    </row>
    <row r="5" spans="1:21" s="13" customFormat="1" ht="12.75" x14ac:dyDescent="0.2">
      <c r="A5" s="3">
        <v>43750</v>
      </c>
      <c r="B5" s="4" t="s">
        <v>21</v>
      </c>
      <c r="C5" s="2" t="s">
        <v>33</v>
      </c>
      <c r="D5" s="2" t="s">
        <v>23</v>
      </c>
      <c r="E5" s="4" t="s">
        <v>60</v>
      </c>
      <c r="F5" s="2" t="s">
        <v>24</v>
      </c>
      <c r="G5" s="5">
        <f>G3</f>
        <v>71500</v>
      </c>
      <c r="H5" s="2" t="s">
        <v>34</v>
      </c>
      <c r="I5" s="2" t="s">
        <v>35</v>
      </c>
      <c r="J5" s="16">
        <v>0.70138888888888884</v>
      </c>
      <c r="K5" s="1">
        <v>0.68958333333333333</v>
      </c>
      <c r="L5" s="16">
        <v>0.49305555555555558</v>
      </c>
      <c r="M5" s="17">
        <v>0.49791666666666662</v>
      </c>
      <c r="N5" s="2" t="s">
        <v>177</v>
      </c>
      <c r="O5" s="2" t="s">
        <v>198</v>
      </c>
      <c r="P5" s="18">
        <v>909</v>
      </c>
      <c r="Q5" s="8">
        <v>947</v>
      </c>
      <c r="R5" s="2">
        <v>0</v>
      </c>
      <c r="S5" s="2">
        <v>0</v>
      </c>
      <c r="T5" s="2">
        <v>0</v>
      </c>
      <c r="U5" s="2">
        <v>0</v>
      </c>
    </row>
    <row r="6" spans="1:21" s="13" customFormat="1" ht="12.75" x14ac:dyDescent="0.2">
      <c r="A6" s="3">
        <v>43750</v>
      </c>
      <c r="B6" s="4" t="s">
        <v>21</v>
      </c>
      <c r="C6" s="2" t="s">
        <v>36</v>
      </c>
      <c r="D6" s="2" t="s">
        <v>23</v>
      </c>
      <c r="E6" s="4" t="s">
        <v>137</v>
      </c>
      <c r="F6" s="2" t="s">
        <v>24</v>
      </c>
      <c r="G6" s="5">
        <v>70000</v>
      </c>
      <c r="H6" s="4" t="s">
        <v>37</v>
      </c>
      <c r="I6" s="4" t="s">
        <v>38</v>
      </c>
      <c r="J6" s="19">
        <v>0.74652777777777779</v>
      </c>
      <c r="K6" s="1">
        <v>0.7631944444444444</v>
      </c>
      <c r="L6" s="19">
        <v>0.58680555555555558</v>
      </c>
      <c r="M6" s="20">
        <v>0.62708333333333333</v>
      </c>
      <c r="N6" s="2" t="s">
        <v>202</v>
      </c>
      <c r="O6" s="2" t="s">
        <v>200</v>
      </c>
      <c r="P6" s="2">
        <v>1094</v>
      </c>
      <c r="Q6" s="8">
        <v>1155</v>
      </c>
      <c r="R6" s="2">
        <v>0</v>
      </c>
      <c r="S6" s="2">
        <v>0</v>
      </c>
      <c r="T6" s="2">
        <v>0</v>
      </c>
      <c r="U6" s="2">
        <v>0</v>
      </c>
    </row>
    <row r="7" spans="1:21" s="13" customFormat="1" ht="12.75" x14ac:dyDescent="0.2">
      <c r="A7" s="3">
        <v>43750</v>
      </c>
      <c r="B7" s="4" t="s">
        <v>21</v>
      </c>
      <c r="C7" s="21" t="s">
        <v>39</v>
      </c>
      <c r="D7" s="21" t="s">
        <v>23</v>
      </c>
      <c r="E7" s="4" t="s">
        <v>60</v>
      </c>
      <c r="F7" s="21" t="s">
        <v>24</v>
      </c>
      <c r="G7" s="5">
        <f>G5</f>
        <v>71500</v>
      </c>
      <c r="H7" s="21" t="s">
        <v>40</v>
      </c>
      <c r="I7" s="21" t="s">
        <v>41</v>
      </c>
      <c r="J7" s="19">
        <v>0.94097222222222221</v>
      </c>
      <c r="K7" s="1">
        <v>0.94861111111111107</v>
      </c>
      <c r="L7" s="19">
        <v>0.72222222222222221</v>
      </c>
      <c r="M7" s="20">
        <v>0.74791666666666667</v>
      </c>
      <c r="N7" s="2" t="s">
        <v>204</v>
      </c>
      <c r="O7" s="17" t="s">
        <v>201</v>
      </c>
      <c r="P7" s="2">
        <v>891</v>
      </c>
      <c r="Q7" s="21">
        <v>932</v>
      </c>
      <c r="R7" s="21">
        <v>0</v>
      </c>
      <c r="S7" s="21">
        <v>0</v>
      </c>
      <c r="T7" s="21">
        <v>0</v>
      </c>
      <c r="U7" s="21">
        <v>0</v>
      </c>
    </row>
    <row r="8" spans="1:21" s="13" customFormat="1" ht="12.75" x14ac:dyDescent="0.2">
      <c r="A8" s="3">
        <v>43750</v>
      </c>
      <c r="B8" s="2" t="s">
        <v>21</v>
      </c>
      <c r="C8" s="18" t="s">
        <v>42</v>
      </c>
      <c r="D8" s="2" t="s">
        <v>23</v>
      </c>
      <c r="E8" s="4" t="s">
        <v>137</v>
      </c>
      <c r="F8" s="2" t="s">
        <v>24</v>
      </c>
      <c r="G8" s="5">
        <f>G6</f>
        <v>70000</v>
      </c>
      <c r="H8" s="4" t="s">
        <v>43</v>
      </c>
      <c r="I8" s="4" t="s">
        <v>44</v>
      </c>
      <c r="J8" s="16">
        <v>0.94444444444444453</v>
      </c>
      <c r="K8" s="7">
        <v>0.96805555555555556</v>
      </c>
      <c r="L8" s="16">
        <v>0.76736111111111116</v>
      </c>
      <c r="M8" s="17">
        <v>0.79722222222222217</v>
      </c>
      <c r="N8" s="17" t="s">
        <v>205</v>
      </c>
      <c r="O8" s="17" t="s">
        <v>203</v>
      </c>
      <c r="P8" s="18">
        <v>810</v>
      </c>
      <c r="Q8" s="8">
        <v>605</v>
      </c>
      <c r="R8" s="2">
        <v>0</v>
      </c>
      <c r="S8" s="2">
        <v>0</v>
      </c>
      <c r="T8" s="2">
        <v>0</v>
      </c>
      <c r="U8" s="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L6" sqref="L6"/>
    </sheetView>
  </sheetViews>
  <sheetFormatPr defaultRowHeight="15" x14ac:dyDescent="0.25"/>
  <cols>
    <col min="1" max="1" width="10.140625" bestFit="1" customWidth="1"/>
    <col min="3" max="3" width="13.28515625" bestFit="1" customWidth="1"/>
    <col min="4" max="4" width="5.7109375" bestFit="1" customWidth="1"/>
    <col min="7" max="7" width="11.42578125" bestFit="1" customWidth="1"/>
  </cols>
  <sheetData>
    <row r="1" spans="1:21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1" t="s">
        <v>10</v>
      </c>
      <c r="L1" s="28" t="s">
        <v>11</v>
      </c>
      <c r="M1" s="28" t="s">
        <v>12</v>
      </c>
      <c r="N1" s="2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</row>
    <row r="2" spans="1:21" x14ac:dyDescent="0.25">
      <c r="A2" s="3">
        <v>43751</v>
      </c>
      <c r="B2" s="4" t="s">
        <v>21</v>
      </c>
      <c r="C2" s="4" t="s">
        <v>62</v>
      </c>
      <c r="D2" s="4" t="s">
        <v>23</v>
      </c>
      <c r="E2" s="4" t="s">
        <v>206</v>
      </c>
      <c r="F2" s="4" t="s">
        <v>24</v>
      </c>
      <c r="G2" s="5" t="s">
        <v>138</v>
      </c>
      <c r="H2" s="4" t="s">
        <v>63</v>
      </c>
      <c r="I2" s="4" t="s">
        <v>64</v>
      </c>
      <c r="J2" s="6">
        <v>0.45833333333333331</v>
      </c>
      <c r="K2" s="1">
        <v>0.46597222222222223</v>
      </c>
      <c r="L2" s="6">
        <v>0.25694444444444448</v>
      </c>
      <c r="M2" s="7">
        <v>0.27499999999999997</v>
      </c>
      <c r="N2" s="11" t="s">
        <v>215</v>
      </c>
      <c r="O2" s="8" t="s">
        <v>190</v>
      </c>
      <c r="P2" s="9">
        <v>1296</v>
      </c>
      <c r="Q2" s="8">
        <v>1005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43751</v>
      </c>
      <c r="B3" s="2" t="s">
        <v>21</v>
      </c>
      <c r="C3" s="2" t="s">
        <v>68</v>
      </c>
      <c r="D3" s="2" t="s">
        <v>23</v>
      </c>
      <c r="E3" s="4" t="s">
        <v>137</v>
      </c>
      <c r="F3" s="2" t="s">
        <v>24</v>
      </c>
      <c r="G3" s="5">
        <v>70000</v>
      </c>
      <c r="H3" s="2" t="s">
        <v>69</v>
      </c>
      <c r="I3" s="2" t="s">
        <v>70</v>
      </c>
      <c r="J3" s="12">
        <v>0.72569444444444453</v>
      </c>
      <c r="K3" s="1">
        <v>0.71666666666666667</v>
      </c>
      <c r="L3" s="12">
        <v>0.48958333333333331</v>
      </c>
      <c r="M3" s="1">
        <v>0.48888888888888887</v>
      </c>
      <c r="N3" s="2" t="s">
        <v>217</v>
      </c>
      <c r="O3" s="2" t="s">
        <v>150</v>
      </c>
      <c r="P3" s="2">
        <v>555</v>
      </c>
      <c r="Q3" s="8">
        <v>1041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3">
        <v>43751</v>
      </c>
      <c r="B4" s="2" t="s">
        <v>21</v>
      </c>
      <c r="C4" s="2" t="s">
        <v>71</v>
      </c>
      <c r="D4" s="2" t="s">
        <v>23</v>
      </c>
      <c r="E4" s="4" t="s">
        <v>207</v>
      </c>
      <c r="F4" s="2" t="s">
        <v>24</v>
      </c>
      <c r="G4" s="5">
        <v>70000</v>
      </c>
      <c r="H4" s="2" t="s">
        <v>72</v>
      </c>
      <c r="I4" s="2" t="s">
        <v>73</v>
      </c>
      <c r="J4" s="12">
        <v>0.74652777777777779</v>
      </c>
      <c r="K4" s="1">
        <v>0.75</v>
      </c>
      <c r="L4" s="12">
        <v>0.51736111111111105</v>
      </c>
      <c r="M4" s="1">
        <v>0.53611111111111109</v>
      </c>
      <c r="N4" s="2" t="s">
        <v>218</v>
      </c>
      <c r="O4" s="2" t="s">
        <v>216</v>
      </c>
      <c r="P4" s="2">
        <v>701</v>
      </c>
      <c r="Q4" s="8">
        <v>1183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3">
        <v>43751</v>
      </c>
      <c r="B5" s="2" t="s">
        <v>21</v>
      </c>
      <c r="C5" s="2" t="s">
        <v>74</v>
      </c>
      <c r="D5" s="2" t="s">
        <v>23</v>
      </c>
      <c r="E5" s="4" t="s">
        <v>137</v>
      </c>
      <c r="F5" s="2" t="s">
        <v>24</v>
      </c>
      <c r="G5" s="5">
        <v>70000</v>
      </c>
      <c r="H5" s="4" t="s">
        <v>75</v>
      </c>
      <c r="I5" s="4" t="s">
        <v>76</v>
      </c>
      <c r="J5" s="10">
        <v>0.91666666666666663</v>
      </c>
      <c r="K5" s="1">
        <v>0.91041666666666676</v>
      </c>
      <c r="L5" s="10">
        <v>0.74652777777777779</v>
      </c>
      <c r="M5" s="11">
        <v>0.7597222222222223</v>
      </c>
      <c r="N5" s="2" t="s">
        <v>221</v>
      </c>
      <c r="O5" s="2" t="s">
        <v>219</v>
      </c>
      <c r="P5" s="2">
        <v>863</v>
      </c>
      <c r="Q5" s="8">
        <v>785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3">
        <v>43751</v>
      </c>
      <c r="B6" s="2" t="s">
        <v>21</v>
      </c>
      <c r="C6" s="2" t="s">
        <v>77</v>
      </c>
      <c r="D6" s="2" t="s">
        <v>23</v>
      </c>
      <c r="E6" s="4" t="s">
        <v>207</v>
      </c>
      <c r="F6" s="2" t="s">
        <v>24</v>
      </c>
      <c r="G6" s="5">
        <v>70000</v>
      </c>
      <c r="H6" s="4" t="s">
        <v>78</v>
      </c>
      <c r="I6" s="4" t="s">
        <v>79</v>
      </c>
      <c r="J6" s="10">
        <v>0.95833333333333337</v>
      </c>
      <c r="K6" s="11">
        <v>0.96527777777777779</v>
      </c>
      <c r="L6" s="10">
        <v>0.76736111111111116</v>
      </c>
      <c r="M6" s="11">
        <v>0.79513888888888884</v>
      </c>
      <c r="N6" s="9" t="s">
        <v>222</v>
      </c>
      <c r="O6" s="9" t="s">
        <v>220</v>
      </c>
      <c r="P6" s="2">
        <v>1144</v>
      </c>
      <c r="Q6" s="8">
        <v>871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3">
        <v>43751</v>
      </c>
      <c r="B7" s="2" t="s">
        <v>208</v>
      </c>
      <c r="C7" s="2" t="s">
        <v>209</v>
      </c>
      <c r="D7" s="2" t="s">
        <v>210</v>
      </c>
      <c r="E7" s="4" t="s">
        <v>211</v>
      </c>
      <c r="F7" s="29" t="s">
        <v>212</v>
      </c>
      <c r="G7" s="5" t="s">
        <v>213</v>
      </c>
      <c r="H7" s="4" t="s">
        <v>214</v>
      </c>
      <c r="I7" s="4" t="s">
        <v>214</v>
      </c>
      <c r="J7" s="23">
        <v>0.5</v>
      </c>
      <c r="K7" s="23">
        <v>0.4770833333333333</v>
      </c>
      <c r="L7" s="15">
        <v>0.52083333333333337</v>
      </c>
      <c r="M7" s="15">
        <v>0.4993055555555555</v>
      </c>
      <c r="N7" s="30">
        <v>0</v>
      </c>
      <c r="O7" s="30">
        <v>0</v>
      </c>
      <c r="P7" s="30">
        <v>0</v>
      </c>
      <c r="Q7" s="8">
        <v>0</v>
      </c>
      <c r="R7" s="2">
        <v>0</v>
      </c>
      <c r="S7" s="2">
        <v>0</v>
      </c>
      <c r="T7" s="2">
        <v>0</v>
      </c>
      <c r="U7" s="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K7" sqref="K7"/>
    </sheetView>
  </sheetViews>
  <sheetFormatPr defaultRowHeight="15" x14ac:dyDescent="0.25"/>
  <cols>
    <col min="3" max="3" width="13.5703125" bestFit="1" customWidth="1"/>
    <col min="4" max="4" width="5.7109375" bestFit="1" customWidth="1"/>
    <col min="5" max="5" width="7.5703125" bestFit="1" customWidth="1"/>
    <col min="6" max="6" width="12.140625" bestFit="1" customWidth="1"/>
  </cols>
  <sheetData>
    <row r="1" spans="1:21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1" t="s">
        <v>10</v>
      </c>
      <c r="L1" s="28" t="s">
        <v>11</v>
      </c>
      <c r="M1" s="28" t="s">
        <v>12</v>
      </c>
      <c r="N1" s="2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</row>
    <row r="2" spans="1:21" x14ac:dyDescent="0.25">
      <c r="A2" s="3">
        <v>43752</v>
      </c>
      <c r="B2" s="4" t="s">
        <v>21</v>
      </c>
      <c r="C2" s="4" t="s">
        <v>62</v>
      </c>
      <c r="D2" s="4" t="s">
        <v>23</v>
      </c>
      <c r="E2" s="4" t="s">
        <v>137</v>
      </c>
      <c r="F2" s="4" t="s">
        <v>24</v>
      </c>
      <c r="G2" s="5">
        <v>70000</v>
      </c>
      <c r="H2" s="4" t="s">
        <v>63</v>
      </c>
      <c r="I2" s="4" t="s">
        <v>64</v>
      </c>
      <c r="J2" s="6">
        <v>0.45833333333333331</v>
      </c>
      <c r="K2" s="1">
        <v>0.45833333333333331</v>
      </c>
      <c r="L2" s="6">
        <v>0.25694444444444448</v>
      </c>
      <c r="M2" s="7">
        <v>0.25972222222222224</v>
      </c>
      <c r="N2" s="2" t="s">
        <v>203</v>
      </c>
      <c r="O2" s="8" t="s">
        <v>223</v>
      </c>
      <c r="P2" s="8">
        <v>1077</v>
      </c>
      <c r="Q2" s="8">
        <v>644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f t="shared" ref="A3:A7" si="0">A2</f>
        <v>43752</v>
      </c>
      <c r="B3" s="4" t="s">
        <v>21</v>
      </c>
      <c r="C3" s="4" t="s">
        <v>65</v>
      </c>
      <c r="D3" s="4" t="s">
        <v>23</v>
      </c>
      <c r="E3" s="4" t="s">
        <v>207</v>
      </c>
      <c r="F3" s="4" t="s">
        <v>24</v>
      </c>
      <c r="G3" s="5">
        <v>70000</v>
      </c>
      <c r="H3" s="4" t="s">
        <v>66</v>
      </c>
      <c r="I3" s="4" t="s">
        <v>67</v>
      </c>
      <c r="J3" s="6">
        <v>0.4861111111111111</v>
      </c>
      <c r="K3" s="1">
        <v>0.48333333333333334</v>
      </c>
      <c r="L3" s="6">
        <v>0.28125</v>
      </c>
      <c r="M3" s="7">
        <v>0.28194444444444444</v>
      </c>
      <c r="N3" s="2" t="s">
        <v>225</v>
      </c>
      <c r="O3" s="8" t="s">
        <v>224</v>
      </c>
      <c r="P3" s="4">
        <v>949</v>
      </c>
      <c r="Q3" s="8">
        <v>832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f t="shared" si="0"/>
        <v>43752</v>
      </c>
      <c r="B4" s="2" t="s">
        <v>21</v>
      </c>
      <c r="C4" s="2" t="s">
        <v>104</v>
      </c>
      <c r="D4" s="2" t="s">
        <v>23</v>
      </c>
      <c r="E4" s="4" t="s">
        <v>137</v>
      </c>
      <c r="F4" s="2" t="s">
        <v>24</v>
      </c>
      <c r="G4" s="5">
        <f>G2</f>
        <v>70000</v>
      </c>
      <c r="H4" s="2" t="s">
        <v>105</v>
      </c>
      <c r="I4" s="2" t="s">
        <v>106</v>
      </c>
      <c r="J4" s="12">
        <v>0.70833333333333337</v>
      </c>
      <c r="K4" s="1">
        <v>0.69791666666666663</v>
      </c>
      <c r="L4" s="12">
        <v>0.48958333333333331</v>
      </c>
      <c r="M4" s="1">
        <v>0.49652777777777773</v>
      </c>
      <c r="N4" s="14" t="s">
        <v>228</v>
      </c>
      <c r="O4" s="2" t="s">
        <v>226</v>
      </c>
      <c r="P4" s="2">
        <v>391</v>
      </c>
      <c r="Q4" s="8">
        <v>813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3">
        <f t="shared" si="0"/>
        <v>43752</v>
      </c>
      <c r="B5" s="2" t="s">
        <v>21</v>
      </c>
      <c r="C5" s="2" t="s">
        <v>71</v>
      </c>
      <c r="D5" s="2" t="s">
        <v>23</v>
      </c>
      <c r="E5" s="4" t="s">
        <v>207</v>
      </c>
      <c r="F5" s="2" t="s">
        <v>24</v>
      </c>
      <c r="G5" s="5">
        <v>70000</v>
      </c>
      <c r="H5" s="2" t="s">
        <v>72</v>
      </c>
      <c r="I5" s="2" t="s">
        <v>73</v>
      </c>
      <c r="J5" s="12">
        <v>0.74652777777777779</v>
      </c>
      <c r="K5" s="1">
        <v>0.7319444444444444</v>
      </c>
      <c r="L5" s="12">
        <v>0.51736111111111105</v>
      </c>
      <c r="M5" s="1">
        <v>0.52152777777777781</v>
      </c>
      <c r="N5" s="2" t="s">
        <v>229</v>
      </c>
      <c r="O5" s="2" t="s">
        <v>227</v>
      </c>
      <c r="P5" s="2">
        <v>260</v>
      </c>
      <c r="Q5" s="8">
        <v>1253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3">
        <f t="shared" si="0"/>
        <v>43752</v>
      </c>
      <c r="B6" s="2" t="s">
        <v>21</v>
      </c>
      <c r="C6" s="2" t="s">
        <v>74</v>
      </c>
      <c r="D6" s="2" t="s">
        <v>23</v>
      </c>
      <c r="E6" s="4" t="s">
        <v>137</v>
      </c>
      <c r="F6" s="2" t="s">
        <v>24</v>
      </c>
      <c r="G6" s="5">
        <f>G4</f>
        <v>70000</v>
      </c>
      <c r="H6" s="4" t="s">
        <v>75</v>
      </c>
      <c r="I6" s="4" t="s">
        <v>76</v>
      </c>
      <c r="J6" s="23">
        <v>0.89930555555555547</v>
      </c>
      <c r="K6" s="1">
        <v>0.90069444444444446</v>
      </c>
      <c r="L6" s="23">
        <v>0.72916666666666663</v>
      </c>
      <c r="M6" s="15">
        <v>0.73749999999999993</v>
      </c>
      <c r="N6" s="2" t="s">
        <v>230</v>
      </c>
      <c r="O6" s="14" t="s">
        <v>145</v>
      </c>
      <c r="P6" s="14">
        <v>957</v>
      </c>
      <c r="Q6" s="8">
        <v>638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3">
        <f t="shared" si="0"/>
        <v>43752</v>
      </c>
      <c r="B7" s="14" t="s">
        <v>21</v>
      </c>
      <c r="C7" s="14" t="s">
        <v>107</v>
      </c>
      <c r="D7" s="14" t="s">
        <v>23</v>
      </c>
      <c r="E7" s="4" t="s">
        <v>207</v>
      </c>
      <c r="F7" s="14" t="s">
        <v>24</v>
      </c>
      <c r="G7" s="5">
        <v>70000</v>
      </c>
      <c r="H7" s="14" t="s">
        <v>108</v>
      </c>
      <c r="I7" s="14" t="s">
        <v>109</v>
      </c>
      <c r="J7" s="23">
        <v>0.9375</v>
      </c>
      <c r="K7" s="1">
        <v>0.92569444444444438</v>
      </c>
      <c r="L7" s="23">
        <v>0.76736111111111116</v>
      </c>
      <c r="M7" s="15">
        <v>0.7631944444444444</v>
      </c>
      <c r="N7" s="2" t="s">
        <v>231</v>
      </c>
      <c r="O7" s="2" t="s">
        <v>232</v>
      </c>
      <c r="P7" s="2">
        <v>775</v>
      </c>
      <c r="Q7" s="8">
        <v>649</v>
      </c>
      <c r="R7" s="14">
        <v>0</v>
      </c>
      <c r="S7" s="14">
        <v>0</v>
      </c>
      <c r="T7" s="14">
        <v>0</v>
      </c>
      <c r="U7" s="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E8" sqref="E8"/>
    </sheetView>
  </sheetViews>
  <sheetFormatPr defaultRowHeight="15" x14ac:dyDescent="0.25"/>
  <cols>
    <col min="3" max="3" width="13.42578125" bestFit="1" customWidth="1"/>
    <col min="6" max="6" width="12.140625" bestFit="1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13" customFormat="1" ht="12.7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4" t="s">
        <v>11</v>
      </c>
      <c r="M1" s="4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s="13" customFormat="1" ht="12.75" x14ac:dyDescent="0.2">
      <c r="A2" s="3">
        <v>43753</v>
      </c>
      <c r="B2" s="4" t="s">
        <v>21</v>
      </c>
      <c r="C2" s="4" t="s">
        <v>22</v>
      </c>
      <c r="D2" s="4" t="s">
        <v>23</v>
      </c>
      <c r="E2" s="4" t="s">
        <v>137</v>
      </c>
      <c r="F2" s="4" t="s">
        <v>24</v>
      </c>
      <c r="G2" s="5">
        <v>70000</v>
      </c>
      <c r="H2" s="4" t="s">
        <v>25</v>
      </c>
      <c r="I2" s="4" t="s">
        <v>26</v>
      </c>
      <c r="J2" s="6">
        <v>0.38541666666666669</v>
      </c>
      <c r="K2" s="1">
        <v>0.43611111111111112</v>
      </c>
      <c r="L2" s="6">
        <v>0.25694444444444448</v>
      </c>
      <c r="M2" s="7">
        <v>0.27638888888888885</v>
      </c>
      <c r="N2" s="2" t="s">
        <v>234</v>
      </c>
      <c r="O2" s="8" t="s">
        <v>233</v>
      </c>
      <c r="P2" s="8">
        <v>540</v>
      </c>
      <c r="Q2" s="8">
        <v>483</v>
      </c>
      <c r="R2" s="4">
        <v>0</v>
      </c>
      <c r="S2" s="4">
        <v>0</v>
      </c>
      <c r="T2" s="4">
        <v>0</v>
      </c>
      <c r="U2" s="4">
        <v>0</v>
      </c>
    </row>
    <row r="3" spans="1:21" s="13" customFormat="1" ht="12.75" x14ac:dyDescent="0.2">
      <c r="A3" s="3">
        <f>A2</f>
        <v>43753</v>
      </c>
      <c r="B3" s="4" t="s">
        <v>21</v>
      </c>
      <c r="C3" s="4" t="s">
        <v>27</v>
      </c>
      <c r="D3" s="4" t="s">
        <v>23</v>
      </c>
      <c r="E3" s="4" t="s">
        <v>207</v>
      </c>
      <c r="F3" s="4" t="s">
        <v>24</v>
      </c>
      <c r="G3" s="5">
        <v>70000</v>
      </c>
      <c r="H3" s="4" t="s">
        <v>28</v>
      </c>
      <c r="I3" s="4" t="s">
        <v>29</v>
      </c>
      <c r="J3" s="6">
        <v>0.46180555555555558</v>
      </c>
      <c r="K3" s="1" t="s">
        <v>235</v>
      </c>
      <c r="L3" s="6">
        <v>0.28125</v>
      </c>
      <c r="M3" s="7" t="s">
        <v>235</v>
      </c>
      <c r="N3" s="31"/>
      <c r="O3" s="32"/>
      <c r="P3" s="33"/>
      <c r="Q3" s="32"/>
      <c r="R3" s="4">
        <v>0</v>
      </c>
      <c r="S3" s="4">
        <v>0</v>
      </c>
      <c r="T3" s="4">
        <v>0</v>
      </c>
      <c r="U3" s="4">
        <v>0</v>
      </c>
    </row>
    <row r="4" spans="1:21" s="13" customFormat="1" ht="12.75" x14ac:dyDescent="0.2">
      <c r="A4" s="3">
        <f>A3</f>
        <v>43753</v>
      </c>
      <c r="B4" s="4" t="s">
        <v>21</v>
      </c>
      <c r="C4" s="2" t="s">
        <v>30</v>
      </c>
      <c r="D4" s="2" t="s">
        <v>23</v>
      </c>
      <c r="E4" s="4" t="s">
        <v>207</v>
      </c>
      <c r="F4" s="2" t="s">
        <v>24</v>
      </c>
      <c r="G4" s="5">
        <f>G2</f>
        <v>70000</v>
      </c>
      <c r="H4" s="2" t="s">
        <v>31</v>
      </c>
      <c r="I4" s="2" t="s">
        <v>32</v>
      </c>
      <c r="J4" s="12">
        <v>0.55555555555555558</v>
      </c>
      <c r="K4" s="1">
        <v>0.59513888888888888</v>
      </c>
      <c r="L4" s="12">
        <v>0.40625</v>
      </c>
      <c r="M4" s="1">
        <v>0.45833333333333331</v>
      </c>
      <c r="N4" s="2" t="s">
        <v>239</v>
      </c>
      <c r="O4" s="2" t="s">
        <v>146</v>
      </c>
      <c r="P4" s="2">
        <v>635</v>
      </c>
      <c r="Q4" s="8">
        <v>625</v>
      </c>
      <c r="R4" s="2">
        <v>0</v>
      </c>
      <c r="S4" s="2">
        <v>0</v>
      </c>
      <c r="T4" s="2">
        <v>0</v>
      </c>
      <c r="U4" s="2">
        <v>0</v>
      </c>
    </row>
    <row r="5" spans="1:21" s="13" customFormat="1" ht="12.75" x14ac:dyDescent="0.2">
      <c r="A5" s="3">
        <f>A4</f>
        <v>43753</v>
      </c>
      <c r="B5" s="4" t="s">
        <v>21</v>
      </c>
      <c r="C5" s="2" t="s">
        <v>33</v>
      </c>
      <c r="D5" s="2" t="s">
        <v>23</v>
      </c>
      <c r="E5" s="4" t="s">
        <v>137</v>
      </c>
      <c r="F5" s="2" t="s">
        <v>24</v>
      </c>
      <c r="G5" s="5">
        <f>G3</f>
        <v>70000</v>
      </c>
      <c r="H5" s="2" t="s">
        <v>34</v>
      </c>
      <c r="I5" s="2" t="s">
        <v>35</v>
      </c>
      <c r="J5" s="16">
        <v>0.70138888888888884</v>
      </c>
      <c r="K5" s="1">
        <v>0.76180555555555562</v>
      </c>
      <c r="L5" s="16">
        <v>0.49305555555555558</v>
      </c>
      <c r="M5" s="17">
        <v>0.5180555555555556</v>
      </c>
      <c r="N5" s="2" t="s">
        <v>240</v>
      </c>
      <c r="O5" s="2" t="s">
        <v>236</v>
      </c>
      <c r="P5" s="18">
        <v>1143</v>
      </c>
      <c r="Q5" s="8">
        <v>945</v>
      </c>
      <c r="R5" s="2">
        <v>0</v>
      </c>
      <c r="S5" s="2">
        <v>0</v>
      </c>
      <c r="T5" s="2">
        <v>0</v>
      </c>
      <c r="U5" s="2">
        <v>0</v>
      </c>
    </row>
    <row r="6" spans="1:21" s="13" customFormat="1" ht="12.75" x14ac:dyDescent="0.2">
      <c r="A6" s="3">
        <f t="shared" ref="A6:A7" si="0">A5</f>
        <v>43753</v>
      </c>
      <c r="B6" s="4" t="s">
        <v>21</v>
      </c>
      <c r="C6" s="2" t="s">
        <v>36</v>
      </c>
      <c r="D6" s="2" t="s">
        <v>23</v>
      </c>
      <c r="E6" s="4" t="s">
        <v>207</v>
      </c>
      <c r="F6" s="2" t="s">
        <v>24</v>
      </c>
      <c r="G6" s="5">
        <v>70000</v>
      </c>
      <c r="H6" s="4" t="s">
        <v>37</v>
      </c>
      <c r="I6" s="4" t="s">
        <v>38</v>
      </c>
      <c r="J6" s="19">
        <v>0.74652777777777779</v>
      </c>
      <c r="K6" s="1">
        <v>0.76736111111111116</v>
      </c>
      <c r="L6" s="19">
        <v>0.58680555555555558</v>
      </c>
      <c r="M6" s="20">
        <v>0.62986111111111109</v>
      </c>
      <c r="N6" s="2" t="s">
        <v>241</v>
      </c>
      <c r="O6" s="2" t="s">
        <v>123</v>
      </c>
      <c r="P6" s="2">
        <v>569</v>
      </c>
      <c r="Q6" s="8">
        <v>948</v>
      </c>
      <c r="R6" s="2">
        <v>0</v>
      </c>
      <c r="S6" s="2">
        <v>0</v>
      </c>
      <c r="T6" s="2">
        <v>0</v>
      </c>
      <c r="U6" s="2">
        <v>0</v>
      </c>
    </row>
    <row r="7" spans="1:21" s="13" customFormat="1" ht="12.75" x14ac:dyDescent="0.2">
      <c r="A7" s="3">
        <f t="shared" si="0"/>
        <v>43753</v>
      </c>
      <c r="B7" s="4" t="s">
        <v>21</v>
      </c>
      <c r="C7" s="21" t="s">
        <v>39</v>
      </c>
      <c r="D7" s="21" t="s">
        <v>23</v>
      </c>
      <c r="E7" s="4" t="s">
        <v>207</v>
      </c>
      <c r="F7" s="21" t="s">
        <v>24</v>
      </c>
      <c r="G7" s="5">
        <f>G5</f>
        <v>70000</v>
      </c>
      <c r="H7" s="21" t="s">
        <v>40</v>
      </c>
      <c r="I7" s="21" t="s">
        <v>41</v>
      </c>
      <c r="J7" s="19">
        <v>0.94097222222222221</v>
      </c>
      <c r="K7" s="7">
        <v>6.9444444444444447E-4</v>
      </c>
      <c r="L7" s="19">
        <v>0.72222222222222221</v>
      </c>
      <c r="M7" s="20">
        <v>0.80347222222222225</v>
      </c>
      <c r="N7" s="2" t="s">
        <v>123</v>
      </c>
      <c r="O7" s="17" t="s">
        <v>237</v>
      </c>
      <c r="P7" s="2">
        <v>1158</v>
      </c>
      <c r="Q7" s="21">
        <v>822</v>
      </c>
      <c r="R7" s="21">
        <v>0</v>
      </c>
      <c r="S7" s="21">
        <v>0</v>
      </c>
      <c r="T7" s="21">
        <v>0</v>
      </c>
      <c r="U7" s="21">
        <v>0</v>
      </c>
    </row>
    <row r="8" spans="1:21" s="13" customFormat="1" ht="12.75" x14ac:dyDescent="0.2">
      <c r="A8" s="3">
        <f>A7</f>
        <v>43753</v>
      </c>
      <c r="B8" s="2" t="s">
        <v>21</v>
      </c>
      <c r="C8" s="18" t="s">
        <v>42</v>
      </c>
      <c r="D8" s="2" t="s">
        <v>23</v>
      </c>
      <c r="E8" s="4" t="s">
        <v>137</v>
      </c>
      <c r="F8" s="2" t="s">
        <v>24</v>
      </c>
      <c r="G8" s="5">
        <f>G6</f>
        <v>70000</v>
      </c>
      <c r="H8" s="4" t="s">
        <v>43</v>
      </c>
      <c r="I8" s="4" t="s">
        <v>44</v>
      </c>
      <c r="J8" s="16">
        <v>0.94444444444444453</v>
      </c>
      <c r="K8" s="7">
        <v>0.94861111111111107</v>
      </c>
      <c r="L8" s="16">
        <v>0.76736111111111116</v>
      </c>
      <c r="M8" s="17">
        <v>0.79652777777777783</v>
      </c>
      <c r="N8" s="17" t="s">
        <v>242</v>
      </c>
      <c r="O8" s="17" t="s">
        <v>238</v>
      </c>
      <c r="P8" s="18">
        <v>871</v>
      </c>
      <c r="Q8" s="8">
        <v>1111</v>
      </c>
      <c r="R8" s="2">
        <v>0</v>
      </c>
      <c r="S8" s="2">
        <v>0</v>
      </c>
      <c r="T8" s="2">
        <v>0</v>
      </c>
      <c r="U8" s="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C1" workbookViewId="0">
      <selection activeCell="N8" sqref="N8"/>
    </sheetView>
  </sheetViews>
  <sheetFormatPr defaultRowHeight="15" x14ac:dyDescent="0.25"/>
  <cols>
    <col min="3" max="3" width="13.5703125" bestFit="1" customWidth="1"/>
    <col min="4" max="4" width="5.7109375" bestFit="1" customWidth="1"/>
    <col min="5" max="5" width="14.140625" customWidth="1"/>
    <col min="6" max="6" width="12.140625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1" t="s">
        <v>10</v>
      </c>
      <c r="L1" s="28" t="s">
        <v>11</v>
      </c>
      <c r="M1" s="28" t="s">
        <v>12</v>
      </c>
      <c r="N1" s="2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</row>
    <row r="2" spans="1:21" x14ac:dyDescent="0.25">
      <c r="A2" s="3">
        <v>43754</v>
      </c>
      <c r="B2" s="4" t="s">
        <v>21</v>
      </c>
      <c r="C2" s="4" t="s">
        <v>62</v>
      </c>
      <c r="D2" s="4" t="s">
        <v>23</v>
      </c>
      <c r="E2" s="4" t="s">
        <v>207</v>
      </c>
      <c r="F2" s="4" t="s">
        <v>24</v>
      </c>
      <c r="G2" s="5">
        <v>71500</v>
      </c>
      <c r="H2" s="4" t="s">
        <v>63</v>
      </c>
      <c r="I2" s="4" t="s">
        <v>64</v>
      </c>
      <c r="J2" s="6">
        <v>0.45833333333333331</v>
      </c>
      <c r="K2" s="1">
        <v>0.45694444444444443</v>
      </c>
      <c r="L2" s="6">
        <v>0.25694444444444448</v>
      </c>
      <c r="M2" s="7">
        <v>0.25972222222222224</v>
      </c>
      <c r="N2" s="9" t="s">
        <v>244</v>
      </c>
      <c r="O2" s="8" t="s">
        <v>243</v>
      </c>
      <c r="P2" s="9">
        <v>751</v>
      </c>
      <c r="Q2" s="8">
        <v>927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43754</v>
      </c>
      <c r="B3" s="4" t="s">
        <v>21</v>
      </c>
      <c r="C3" s="4" t="s">
        <v>65</v>
      </c>
      <c r="D3" s="4" t="s">
        <v>23</v>
      </c>
      <c r="E3" s="4" t="s">
        <v>137</v>
      </c>
      <c r="F3" s="4" t="s">
        <v>24</v>
      </c>
      <c r="G3" s="5">
        <v>70000</v>
      </c>
      <c r="H3" s="4" t="s">
        <v>66</v>
      </c>
      <c r="I3" s="4" t="s">
        <v>67</v>
      </c>
      <c r="J3" s="6">
        <v>0.4861111111111111</v>
      </c>
      <c r="K3" s="1">
        <v>0.48958333333333331</v>
      </c>
      <c r="L3" s="6">
        <v>0.28125</v>
      </c>
      <c r="M3" s="7">
        <v>0.28958333333333336</v>
      </c>
      <c r="N3" s="8" t="s">
        <v>245</v>
      </c>
      <c r="O3" s="8" t="s">
        <v>120</v>
      </c>
      <c r="P3" s="9">
        <v>851</v>
      </c>
      <c r="Q3" s="8">
        <v>995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v>43754</v>
      </c>
      <c r="B4" s="2" t="s">
        <v>21</v>
      </c>
      <c r="C4" s="2" t="s">
        <v>68</v>
      </c>
      <c r="D4" s="2" t="s">
        <v>23</v>
      </c>
      <c r="E4" s="4" t="s">
        <v>207</v>
      </c>
      <c r="F4" s="2" t="s">
        <v>24</v>
      </c>
      <c r="G4" s="5">
        <v>71500</v>
      </c>
      <c r="H4" s="2" t="s">
        <v>69</v>
      </c>
      <c r="I4" s="2" t="s">
        <v>70</v>
      </c>
      <c r="J4" s="12">
        <v>0.72569444444444453</v>
      </c>
      <c r="K4" s="1">
        <v>0.71944444444444444</v>
      </c>
      <c r="L4" s="12">
        <v>0.48958333333333331</v>
      </c>
      <c r="M4" s="1">
        <v>0.49722222222222223</v>
      </c>
      <c r="N4" s="2" t="s">
        <v>80</v>
      </c>
      <c r="O4" s="2" t="s">
        <v>246</v>
      </c>
      <c r="P4" s="2">
        <v>690</v>
      </c>
      <c r="Q4" s="8">
        <v>1139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3">
        <v>43754</v>
      </c>
      <c r="B5" s="2" t="s">
        <v>21</v>
      </c>
      <c r="C5" s="2" t="s">
        <v>71</v>
      </c>
      <c r="D5" s="2" t="s">
        <v>23</v>
      </c>
      <c r="E5" s="4" t="s">
        <v>137</v>
      </c>
      <c r="F5" s="2" t="s">
        <v>24</v>
      </c>
      <c r="G5" s="5">
        <v>70000</v>
      </c>
      <c r="H5" s="2" t="s">
        <v>72</v>
      </c>
      <c r="I5" s="2" t="s">
        <v>73</v>
      </c>
      <c r="J5" s="12">
        <v>0.74652777777777779</v>
      </c>
      <c r="K5" s="1">
        <v>0.79999999999999993</v>
      </c>
      <c r="L5" s="12">
        <v>0.51736111111111105</v>
      </c>
      <c r="M5" s="1">
        <v>0.58750000000000002</v>
      </c>
      <c r="N5" s="2" t="s">
        <v>249</v>
      </c>
      <c r="O5" s="2" t="s">
        <v>172</v>
      </c>
      <c r="P5" s="2">
        <v>591</v>
      </c>
      <c r="Q5" s="8">
        <v>1354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3">
        <v>43754</v>
      </c>
      <c r="B6" s="2" t="s">
        <v>21</v>
      </c>
      <c r="C6" s="2" t="s">
        <v>74</v>
      </c>
      <c r="D6" s="2" t="s">
        <v>23</v>
      </c>
      <c r="E6" s="4" t="s">
        <v>207</v>
      </c>
      <c r="F6" s="2" t="s">
        <v>24</v>
      </c>
      <c r="G6" s="5">
        <v>71500</v>
      </c>
      <c r="H6" s="4" t="s">
        <v>75</v>
      </c>
      <c r="I6" s="4" t="s">
        <v>76</v>
      </c>
      <c r="J6" s="10">
        <v>0.91666666666666663</v>
      </c>
      <c r="K6" s="1">
        <v>0.91527777777777775</v>
      </c>
      <c r="L6" s="10">
        <v>0.74652777777777779</v>
      </c>
      <c r="M6" s="11">
        <v>0.75347222222222221</v>
      </c>
      <c r="N6" s="2" t="s">
        <v>220</v>
      </c>
      <c r="O6" s="2" t="s">
        <v>247</v>
      </c>
      <c r="P6" s="2">
        <v>718</v>
      </c>
      <c r="Q6" s="8">
        <v>661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3">
        <v>43754</v>
      </c>
      <c r="B7" s="2" t="s">
        <v>21</v>
      </c>
      <c r="C7" s="2" t="s">
        <v>77</v>
      </c>
      <c r="D7" s="2" t="s">
        <v>23</v>
      </c>
      <c r="E7" s="4" t="s">
        <v>137</v>
      </c>
      <c r="F7" s="2" t="s">
        <v>24</v>
      </c>
      <c r="G7" s="5">
        <v>70000</v>
      </c>
      <c r="H7" s="4" t="s">
        <v>78</v>
      </c>
      <c r="I7" s="4" t="s">
        <v>79</v>
      </c>
      <c r="J7" s="10">
        <v>0.95833333333333337</v>
      </c>
      <c r="K7" s="11">
        <v>1.2499999999999999E-2</v>
      </c>
      <c r="L7" s="10">
        <v>0.76736111111111116</v>
      </c>
      <c r="M7" s="11">
        <v>0.8340277777777777</v>
      </c>
      <c r="N7" s="9" t="s">
        <v>250</v>
      </c>
      <c r="O7" s="9" t="s">
        <v>248</v>
      </c>
      <c r="P7" s="2">
        <v>956</v>
      </c>
      <c r="Q7" s="8">
        <v>923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3"/>
      <c r="B8" s="2"/>
      <c r="C8" s="2"/>
      <c r="D8" s="2"/>
      <c r="E8" s="4"/>
      <c r="F8" s="2"/>
      <c r="G8" s="5"/>
      <c r="H8" s="4"/>
      <c r="I8" s="4"/>
      <c r="J8" s="10"/>
      <c r="K8" s="11"/>
      <c r="L8" s="10"/>
      <c r="M8" s="10"/>
      <c r="N8" s="2"/>
      <c r="O8" s="2"/>
      <c r="P8" s="2"/>
      <c r="Q8" s="2"/>
      <c r="R8" s="2"/>
      <c r="S8" s="2"/>
      <c r="T8" s="2"/>
      <c r="U8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sqref="A1:XFD4"/>
    </sheetView>
  </sheetViews>
  <sheetFormatPr defaultRowHeight="15" x14ac:dyDescent="0.25"/>
  <cols>
    <col min="3" max="3" width="13.5703125" bestFit="1" customWidth="1"/>
    <col min="4" max="4" width="5.7109375" bestFit="1" customWidth="1"/>
    <col min="5" max="5" width="14.140625" customWidth="1"/>
    <col min="6" max="6" width="12.140625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1" t="s">
        <v>10</v>
      </c>
      <c r="L1" s="28" t="s">
        <v>11</v>
      </c>
      <c r="M1" s="28" t="s">
        <v>12</v>
      </c>
      <c r="N1" s="2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</row>
    <row r="2" spans="1:21" x14ac:dyDescent="0.25">
      <c r="A2" s="3">
        <v>43755</v>
      </c>
      <c r="B2" s="4" t="s">
        <v>21</v>
      </c>
      <c r="C2" s="4" t="s">
        <v>30</v>
      </c>
      <c r="D2" s="4" t="s">
        <v>23</v>
      </c>
      <c r="E2" s="4" t="s">
        <v>137</v>
      </c>
      <c r="F2" s="4" t="s">
        <v>24</v>
      </c>
      <c r="G2" s="5">
        <v>70000</v>
      </c>
      <c r="H2" s="4" t="s">
        <v>31</v>
      </c>
      <c r="I2" s="4" t="s">
        <v>32</v>
      </c>
      <c r="J2" s="6">
        <v>0.55555555555555558</v>
      </c>
      <c r="K2" s="1">
        <v>0.54722222222222217</v>
      </c>
      <c r="L2" s="6">
        <v>0.40625</v>
      </c>
      <c r="M2" s="7">
        <v>0.41736111111111113</v>
      </c>
      <c r="N2" s="9" t="s">
        <v>251</v>
      </c>
      <c r="O2" s="8" t="s">
        <v>227</v>
      </c>
      <c r="P2" s="9">
        <v>700</v>
      </c>
      <c r="Q2" s="8">
        <v>735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f>A2</f>
        <v>43755</v>
      </c>
      <c r="B3" s="4" t="s">
        <v>21</v>
      </c>
      <c r="C3" s="4" t="s">
        <v>33</v>
      </c>
      <c r="D3" s="4" t="s">
        <v>23</v>
      </c>
      <c r="E3" s="4" t="s">
        <v>207</v>
      </c>
      <c r="F3" s="4" t="s">
        <v>24</v>
      </c>
      <c r="G3" s="5">
        <v>70000</v>
      </c>
      <c r="H3" s="4" t="s">
        <v>34</v>
      </c>
      <c r="I3" s="4" t="s">
        <v>35</v>
      </c>
      <c r="J3" s="6">
        <v>0.70138888888888884</v>
      </c>
      <c r="K3" s="1">
        <v>0.69930555555555562</v>
      </c>
      <c r="L3" s="6">
        <v>0.49305555555555558</v>
      </c>
      <c r="M3" s="7">
        <v>0.50416666666666665</v>
      </c>
      <c r="N3" s="8" t="s">
        <v>252</v>
      </c>
      <c r="O3" s="8" t="s">
        <v>149</v>
      </c>
      <c r="P3" s="9">
        <v>869</v>
      </c>
      <c r="Q3" s="8">
        <v>758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f t="shared" ref="A4" si="0">A3</f>
        <v>43755</v>
      </c>
      <c r="B4" s="2" t="s">
        <v>21</v>
      </c>
      <c r="C4" s="2" t="s">
        <v>74</v>
      </c>
      <c r="D4" s="2" t="s">
        <v>23</v>
      </c>
      <c r="E4" s="4" t="s">
        <v>137</v>
      </c>
      <c r="F4" s="2" t="s">
        <v>24</v>
      </c>
      <c r="G4" s="5">
        <v>70000</v>
      </c>
      <c r="H4" s="2" t="s">
        <v>75</v>
      </c>
      <c r="I4" s="2" t="s">
        <v>76</v>
      </c>
      <c r="J4" s="12">
        <v>0.75694444444444453</v>
      </c>
      <c r="K4" s="1">
        <v>0.7597222222222223</v>
      </c>
      <c r="L4" s="12">
        <v>0.58680555555555558</v>
      </c>
      <c r="M4" s="1">
        <v>0.58333333333333337</v>
      </c>
      <c r="N4" s="2" t="s">
        <v>130</v>
      </c>
      <c r="O4" s="2" t="s">
        <v>253</v>
      </c>
      <c r="P4" s="2">
        <v>903</v>
      </c>
      <c r="Q4" s="8">
        <v>780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3"/>
      <c r="B5" s="2"/>
      <c r="C5" s="2"/>
      <c r="D5" s="2"/>
      <c r="E5" s="4"/>
      <c r="F5" s="2"/>
      <c r="G5" s="5"/>
      <c r="H5" s="2"/>
      <c r="I5" s="2"/>
      <c r="J5" s="12"/>
      <c r="K5" s="1"/>
      <c r="L5" s="12"/>
      <c r="M5" s="1"/>
      <c r="N5" s="2"/>
      <c r="O5" s="2"/>
      <c r="P5" s="2"/>
      <c r="Q5" s="8"/>
      <c r="R5" s="2"/>
      <c r="S5" s="2"/>
      <c r="T5" s="2"/>
      <c r="U5" s="2"/>
    </row>
    <row r="6" spans="1:21" x14ac:dyDescent="0.25">
      <c r="A6" s="3"/>
      <c r="B6" s="2"/>
      <c r="C6" s="2"/>
      <c r="D6" s="2"/>
      <c r="E6" s="4"/>
      <c r="F6" s="2"/>
      <c r="G6" s="5"/>
      <c r="H6" s="4"/>
      <c r="I6" s="4"/>
      <c r="J6" s="10"/>
      <c r="K6" s="1"/>
      <c r="L6" s="10"/>
      <c r="M6" s="11"/>
      <c r="N6" s="2"/>
      <c r="O6" s="2"/>
      <c r="P6" s="2"/>
      <c r="Q6" s="8"/>
      <c r="R6" s="2"/>
      <c r="S6" s="2"/>
      <c r="T6" s="2"/>
      <c r="U6" s="2"/>
    </row>
    <row r="7" spans="1:21" x14ac:dyDescent="0.25">
      <c r="A7" s="3"/>
      <c r="B7" s="2"/>
      <c r="C7" s="2"/>
      <c r="D7" s="2"/>
      <c r="E7" s="4"/>
      <c r="F7" s="2"/>
      <c r="G7" s="5"/>
      <c r="H7" s="4"/>
      <c r="I7" s="4"/>
      <c r="J7" s="10"/>
      <c r="K7" s="11"/>
      <c r="L7" s="10"/>
      <c r="M7" s="11"/>
      <c r="N7" s="9"/>
      <c r="O7" s="9"/>
      <c r="P7" s="2"/>
      <c r="Q7" s="8"/>
      <c r="R7" s="2"/>
      <c r="S7" s="2"/>
      <c r="T7" s="2"/>
      <c r="U7" s="2"/>
    </row>
    <row r="8" spans="1:21" x14ac:dyDescent="0.25">
      <c r="A8" s="3"/>
      <c r="B8" s="2"/>
      <c r="C8" s="2"/>
      <c r="D8" s="2"/>
      <c r="E8" s="4"/>
      <c r="F8" s="2"/>
      <c r="G8" s="5"/>
      <c r="H8" s="4"/>
      <c r="I8" s="4"/>
      <c r="J8" s="10"/>
      <c r="K8" s="11"/>
      <c r="L8" s="10"/>
      <c r="M8" s="10"/>
      <c r="N8" s="2"/>
      <c r="O8" s="2"/>
      <c r="P8" s="2"/>
      <c r="Q8" s="2"/>
      <c r="R8" s="2"/>
      <c r="S8" s="2"/>
      <c r="T8" s="2"/>
      <c r="U8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A4" sqref="A4:XFD4"/>
    </sheetView>
  </sheetViews>
  <sheetFormatPr defaultRowHeight="15" x14ac:dyDescent="0.25"/>
  <cols>
    <col min="3" max="3" width="12.28515625" customWidth="1"/>
  </cols>
  <sheetData>
    <row r="1" spans="1:21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1" t="s">
        <v>10</v>
      </c>
      <c r="L1" s="28" t="s">
        <v>11</v>
      </c>
      <c r="M1" s="28" t="s">
        <v>12</v>
      </c>
      <c r="N1" s="2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</row>
    <row r="2" spans="1:21" x14ac:dyDescent="0.25">
      <c r="A2" s="3">
        <v>43756</v>
      </c>
      <c r="B2" s="4" t="s">
        <v>21</v>
      </c>
      <c r="C2" s="4" t="s">
        <v>62</v>
      </c>
      <c r="D2" s="4" t="s">
        <v>23</v>
      </c>
      <c r="E2" s="4" t="s">
        <v>137</v>
      </c>
      <c r="F2" s="4" t="s">
        <v>24</v>
      </c>
      <c r="G2" s="5">
        <v>70000</v>
      </c>
      <c r="H2" s="4" t="s">
        <v>63</v>
      </c>
      <c r="I2" s="4" t="s">
        <v>64</v>
      </c>
      <c r="J2" s="6">
        <v>0.45833333333333331</v>
      </c>
      <c r="K2" s="7">
        <v>0.57847222222222217</v>
      </c>
      <c r="L2" s="6">
        <v>0.25694444444444448</v>
      </c>
      <c r="M2" s="7">
        <v>0.41041666666666665</v>
      </c>
      <c r="N2" s="2" t="s">
        <v>48</v>
      </c>
      <c r="O2" s="8" t="s">
        <v>95</v>
      </c>
      <c r="P2" s="8">
        <v>862</v>
      </c>
      <c r="Q2" s="8">
        <v>1272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f>A2</f>
        <v>43756</v>
      </c>
      <c r="B3" s="4" t="s">
        <v>21</v>
      </c>
      <c r="C3" s="4" t="s">
        <v>65</v>
      </c>
      <c r="D3" s="4" t="s">
        <v>23</v>
      </c>
      <c r="E3" s="4" t="s">
        <v>207</v>
      </c>
      <c r="F3" s="4" t="s">
        <v>24</v>
      </c>
      <c r="G3" s="5">
        <v>70000</v>
      </c>
      <c r="H3" s="4" t="s">
        <v>66</v>
      </c>
      <c r="I3" s="4" t="s">
        <v>67</v>
      </c>
      <c r="J3" s="6">
        <v>0.4861111111111111</v>
      </c>
      <c r="K3" s="7">
        <v>0.60555555555555551</v>
      </c>
      <c r="L3" s="6">
        <v>0.28125</v>
      </c>
      <c r="M3" s="7">
        <v>0.4291666666666667</v>
      </c>
      <c r="N3" s="2" t="s">
        <v>259</v>
      </c>
      <c r="O3" s="8" t="s">
        <v>188</v>
      </c>
      <c r="P3" s="4">
        <v>608</v>
      </c>
      <c r="Q3" s="8">
        <v>977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f t="shared" ref="A4:A8" si="0">A3</f>
        <v>43756</v>
      </c>
      <c r="B4" s="2" t="s">
        <v>21</v>
      </c>
      <c r="C4" s="2" t="s">
        <v>104</v>
      </c>
      <c r="D4" s="2" t="s">
        <v>23</v>
      </c>
      <c r="E4" s="4" t="s">
        <v>254</v>
      </c>
      <c r="F4" s="2" t="s">
        <v>24</v>
      </c>
      <c r="G4" s="5">
        <v>73500</v>
      </c>
      <c r="H4" s="2" t="s">
        <v>105</v>
      </c>
      <c r="I4" s="2" t="s">
        <v>106</v>
      </c>
      <c r="J4" s="12">
        <v>0.70833333333333337</v>
      </c>
      <c r="K4" s="1">
        <v>0.8027777777777777</v>
      </c>
      <c r="L4" s="12">
        <v>0.48958333333333331</v>
      </c>
      <c r="M4" s="1">
        <v>0.60347222222222219</v>
      </c>
      <c r="N4" s="14" t="s">
        <v>260</v>
      </c>
      <c r="O4" s="2" t="s">
        <v>148</v>
      </c>
      <c r="P4" s="2">
        <v>534</v>
      </c>
      <c r="Q4" s="8">
        <v>1248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3">
        <f t="shared" si="0"/>
        <v>43756</v>
      </c>
      <c r="B5" s="2" t="s">
        <v>21</v>
      </c>
      <c r="C5" s="2" t="s">
        <v>71</v>
      </c>
      <c r="D5" s="2" t="s">
        <v>23</v>
      </c>
      <c r="E5" s="4" t="s">
        <v>137</v>
      </c>
      <c r="F5" s="2" t="s">
        <v>24</v>
      </c>
      <c r="G5" s="5">
        <v>70000</v>
      </c>
      <c r="H5" s="2" t="s">
        <v>72</v>
      </c>
      <c r="I5" s="2" t="s">
        <v>73</v>
      </c>
      <c r="J5" s="12">
        <v>0.74652777777777779</v>
      </c>
      <c r="K5" s="1">
        <v>0.87430555555555556</v>
      </c>
      <c r="L5" s="12">
        <v>0.51736111111111105</v>
      </c>
      <c r="M5" s="1">
        <v>0.63194444444444442</v>
      </c>
      <c r="N5" s="2" t="s">
        <v>224</v>
      </c>
      <c r="O5" s="2" t="s">
        <v>262</v>
      </c>
      <c r="P5" s="2">
        <v>570</v>
      </c>
      <c r="Q5" s="8">
        <v>1719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3">
        <f t="shared" si="0"/>
        <v>43756</v>
      </c>
      <c r="B6" s="2" t="s">
        <v>21</v>
      </c>
      <c r="C6" s="2" t="s">
        <v>74</v>
      </c>
      <c r="D6" s="2" t="s">
        <v>23</v>
      </c>
      <c r="E6" s="4" t="s">
        <v>207</v>
      </c>
      <c r="F6" s="2" t="s">
        <v>24</v>
      </c>
      <c r="G6" s="5">
        <v>70000</v>
      </c>
      <c r="H6" s="4" t="s">
        <v>75</v>
      </c>
      <c r="I6" s="4" t="s">
        <v>76</v>
      </c>
      <c r="J6" s="23">
        <v>0.89930555555555547</v>
      </c>
      <c r="K6" s="1">
        <v>0.8979166666666667</v>
      </c>
      <c r="L6" s="23">
        <v>0.72916666666666663</v>
      </c>
      <c r="M6" s="15">
        <v>0.73472222222222217</v>
      </c>
      <c r="N6" s="2" t="s">
        <v>261</v>
      </c>
      <c r="O6" s="14" t="s">
        <v>263</v>
      </c>
      <c r="P6" s="14">
        <v>696</v>
      </c>
      <c r="Q6" s="8">
        <v>854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3">
        <f t="shared" si="0"/>
        <v>43756</v>
      </c>
      <c r="B7" s="14" t="s">
        <v>21</v>
      </c>
      <c r="C7" s="14" t="s">
        <v>107</v>
      </c>
      <c r="D7" s="14" t="s">
        <v>23</v>
      </c>
      <c r="E7" s="4" t="s">
        <v>137</v>
      </c>
      <c r="F7" s="14" t="s">
        <v>24</v>
      </c>
      <c r="G7" s="5">
        <v>70000</v>
      </c>
      <c r="H7" s="14" t="s">
        <v>108</v>
      </c>
      <c r="I7" s="14" t="s">
        <v>109</v>
      </c>
      <c r="J7" s="23">
        <v>0.9375</v>
      </c>
      <c r="K7" s="1">
        <v>5.0694444444444452E-2</v>
      </c>
      <c r="L7" s="23">
        <v>0.76736111111111116</v>
      </c>
      <c r="M7" s="15">
        <v>0.90763888888888899</v>
      </c>
      <c r="N7" s="2" t="s">
        <v>130</v>
      </c>
      <c r="O7" s="2" t="s">
        <v>94</v>
      </c>
      <c r="P7" s="2">
        <v>448</v>
      </c>
      <c r="Q7" s="8">
        <v>750</v>
      </c>
      <c r="R7" s="14">
        <v>0</v>
      </c>
      <c r="S7" s="14">
        <v>0</v>
      </c>
      <c r="T7" s="14">
        <v>0</v>
      </c>
      <c r="U7" s="14">
        <v>0</v>
      </c>
    </row>
    <row r="8" spans="1:21" x14ac:dyDescent="0.25">
      <c r="A8" s="3">
        <f t="shared" si="0"/>
        <v>43756</v>
      </c>
      <c r="B8" s="14" t="s">
        <v>21</v>
      </c>
      <c r="C8" s="2" t="s">
        <v>255</v>
      </c>
      <c r="D8" s="14" t="s">
        <v>23</v>
      </c>
      <c r="E8" s="4" t="s">
        <v>254</v>
      </c>
      <c r="F8" s="2" t="s">
        <v>256</v>
      </c>
      <c r="G8" s="5">
        <v>73500</v>
      </c>
      <c r="H8" s="4" t="s">
        <v>257</v>
      </c>
      <c r="I8" s="4" t="s">
        <v>258</v>
      </c>
      <c r="J8" s="23">
        <v>0.5625</v>
      </c>
      <c r="K8" s="15">
        <v>0.56805555555555554</v>
      </c>
      <c r="L8" s="23">
        <v>0.82291666666666663</v>
      </c>
      <c r="M8" s="7">
        <v>0.82916666666666661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C1" workbookViewId="0">
      <selection activeCell="K9" sqref="K9"/>
    </sheetView>
  </sheetViews>
  <sheetFormatPr defaultRowHeight="15" x14ac:dyDescent="0.25"/>
  <cols>
    <col min="3" max="3" width="13.42578125" bestFit="1" customWidth="1"/>
    <col min="6" max="6" width="12.140625" bestFit="1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s="13" customFormat="1" ht="12.7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4" t="s">
        <v>11</v>
      </c>
      <c r="M1" s="4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s="13" customFormat="1" ht="12.75" x14ac:dyDescent="0.2">
      <c r="A2" s="3">
        <v>43757</v>
      </c>
      <c r="B2" s="4" t="s">
        <v>21</v>
      </c>
      <c r="C2" s="4" t="s">
        <v>22</v>
      </c>
      <c r="D2" s="4" t="s">
        <v>23</v>
      </c>
      <c r="E2" s="4" t="s">
        <v>207</v>
      </c>
      <c r="F2" s="4" t="s">
        <v>24</v>
      </c>
      <c r="G2" s="5">
        <v>70000</v>
      </c>
      <c r="H2" s="4" t="s">
        <v>25</v>
      </c>
      <c r="I2" s="4" t="s">
        <v>26</v>
      </c>
      <c r="J2" s="6">
        <v>0.38541666666666669</v>
      </c>
      <c r="K2" s="1">
        <v>0.45833333333333331</v>
      </c>
      <c r="L2" s="6">
        <v>0.25694444444444448</v>
      </c>
      <c r="M2" s="7">
        <v>0.26180555555555557</v>
      </c>
      <c r="N2" s="2" t="s">
        <v>265</v>
      </c>
      <c r="O2" s="8" t="s">
        <v>264</v>
      </c>
      <c r="P2" s="8">
        <v>485</v>
      </c>
      <c r="Q2" s="8">
        <v>622</v>
      </c>
      <c r="R2" s="4">
        <v>0</v>
      </c>
      <c r="S2" s="4">
        <v>0</v>
      </c>
      <c r="T2" s="4">
        <v>0</v>
      </c>
      <c r="U2" s="4">
        <v>0</v>
      </c>
    </row>
    <row r="3" spans="1:21" s="13" customFormat="1" ht="12.75" x14ac:dyDescent="0.2">
      <c r="A3" s="3">
        <f>A2</f>
        <v>43757</v>
      </c>
      <c r="B3" s="4" t="s">
        <v>21</v>
      </c>
      <c r="C3" s="4" t="s">
        <v>27</v>
      </c>
      <c r="D3" s="4" t="s">
        <v>23</v>
      </c>
      <c r="E3" s="4" t="s">
        <v>137</v>
      </c>
      <c r="F3" s="4" t="s">
        <v>24</v>
      </c>
      <c r="G3" s="5">
        <v>70000</v>
      </c>
      <c r="H3" s="4" t="s">
        <v>28</v>
      </c>
      <c r="I3" s="4" t="s">
        <v>29</v>
      </c>
      <c r="J3" s="6">
        <v>0.46180555555555558</v>
      </c>
      <c r="K3" s="1">
        <v>0.4770833333333333</v>
      </c>
      <c r="L3" s="6">
        <v>0.28125</v>
      </c>
      <c r="M3" s="7">
        <v>0.31041666666666667</v>
      </c>
      <c r="N3" s="2" t="s">
        <v>203</v>
      </c>
      <c r="O3" s="8" t="s">
        <v>226</v>
      </c>
      <c r="P3" s="4">
        <v>980</v>
      </c>
      <c r="Q3" s="8">
        <v>824</v>
      </c>
      <c r="R3" s="4">
        <v>0</v>
      </c>
      <c r="S3" s="4">
        <v>0</v>
      </c>
      <c r="T3" s="4">
        <v>0</v>
      </c>
      <c r="U3" s="4">
        <v>0</v>
      </c>
    </row>
    <row r="4" spans="1:21" s="13" customFormat="1" ht="12.75" x14ac:dyDescent="0.2">
      <c r="A4" s="3">
        <f>A3</f>
        <v>43757</v>
      </c>
      <c r="B4" s="4" t="s">
        <v>21</v>
      </c>
      <c r="C4" s="2" t="s">
        <v>30</v>
      </c>
      <c r="D4" s="2" t="s">
        <v>23</v>
      </c>
      <c r="E4" s="4" t="s">
        <v>207</v>
      </c>
      <c r="F4" s="2" t="s">
        <v>24</v>
      </c>
      <c r="G4" s="5">
        <v>70000</v>
      </c>
      <c r="H4" s="2" t="s">
        <v>31</v>
      </c>
      <c r="I4" s="2" t="s">
        <v>32</v>
      </c>
      <c r="J4" s="12">
        <v>0.55555555555555558</v>
      </c>
      <c r="K4" s="1">
        <v>0.625</v>
      </c>
      <c r="L4" s="12">
        <v>0.40625</v>
      </c>
      <c r="M4" s="1">
        <v>0.49513888888888885</v>
      </c>
      <c r="N4" s="2" t="s">
        <v>268</v>
      </c>
      <c r="O4" s="2" t="s">
        <v>266</v>
      </c>
      <c r="P4" s="2">
        <v>627</v>
      </c>
      <c r="Q4" s="8">
        <v>1109</v>
      </c>
      <c r="R4" s="2">
        <v>0</v>
      </c>
      <c r="S4" s="2">
        <v>0</v>
      </c>
      <c r="T4" s="2">
        <v>0</v>
      </c>
      <c r="U4" s="2">
        <v>0</v>
      </c>
    </row>
    <row r="5" spans="1:21" s="13" customFormat="1" ht="12.75" x14ac:dyDescent="0.2">
      <c r="A5" s="3">
        <f t="shared" ref="A5:A8" si="0">A4</f>
        <v>43757</v>
      </c>
      <c r="B5" s="4" t="s">
        <v>21</v>
      </c>
      <c r="C5" s="2" t="s">
        <v>33</v>
      </c>
      <c r="D5" s="2" t="s">
        <v>23</v>
      </c>
      <c r="E5" s="4" t="s">
        <v>137</v>
      </c>
      <c r="F5" s="2" t="s">
        <v>24</v>
      </c>
      <c r="G5" s="5">
        <f>G3</f>
        <v>70000</v>
      </c>
      <c r="H5" s="2" t="s">
        <v>34</v>
      </c>
      <c r="I5" s="2" t="s">
        <v>35</v>
      </c>
      <c r="J5" s="16">
        <v>0.70138888888888884</v>
      </c>
      <c r="K5" s="1">
        <v>0.70694444444444438</v>
      </c>
      <c r="L5" s="16">
        <v>0.49305555555555558</v>
      </c>
      <c r="M5" s="17">
        <v>0.51388888888888895</v>
      </c>
      <c r="N5" s="2" t="s">
        <v>269</v>
      </c>
      <c r="O5" s="2" t="s">
        <v>267</v>
      </c>
      <c r="P5" s="18">
        <v>851</v>
      </c>
      <c r="Q5" s="8">
        <v>985</v>
      </c>
      <c r="R5" s="2">
        <v>0</v>
      </c>
      <c r="S5" s="2">
        <v>0</v>
      </c>
      <c r="T5" s="2">
        <v>0</v>
      </c>
      <c r="U5" s="2">
        <v>0</v>
      </c>
    </row>
    <row r="6" spans="1:21" s="13" customFormat="1" ht="12.75" x14ac:dyDescent="0.2">
      <c r="A6" s="3">
        <f t="shared" si="0"/>
        <v>43757</v>
      </c>
      <c r="B6" s="4" t="s">
        <v>21</v>
      </c>
      <c r="C6" s="2" t="s">
        <v>36</v>
      </c>
      <c r="D6" s="2" t="s">
        <v>23</v>
      </c>
      <c r="E6" s="4" t="s">
        <v>207</v>
      </c>
      <c r="F6" s="2" t="s">
        <v>24</v>
      </c>
      <c r="G6" s="5">
        <v>70000</v>
      </c>
      <c r="H6" s="4" t="s">
        <v>37</v>
      </c>
      <c r="I6" s="4" t="s">
        <v>38</v>
      </c>
      <c r="J6" s="19">
        <v>0.74652777777777779</v>
      </c>
      <c r="K6" s="1">
        <v>0.79791666666666661</v>
      </c>
      <c r="L6" s="19">
        <v>0.58680555555555558</v>
      </c>
      <c r="M6" s="20">
        <v>0.66111111111111109</v>
      </c>
      <c r="N6" s="2" t="s">
        <v>188</v>
      </c>
      <c r="O6" s="2" t="s">
        <v>203</v>
      </c>
      <c r="P6" s="2">
        <v>876</v>
      </c>
      <c r="Q6" s="8">
        <v>1267</v>
      </c>
      <c r="R6" s="2">
        <v>0</v>
      </c>
      <c r="S6" s="2">
        <v>0</v>
      </c>
      <c r="T6" s="2">
        <v>0</v>
      </c>
      <c r="U6" s="2">
        <v>0</v>
      </c>
    </row>
    <row r="7" spans="1:21" s="13" customFormat="1" ht="12.75" x14ac:dyDescent="0.2">
      <c r="A7" s="3">
        <f t="shared" si="0"/>
        <v>43757</v>
      </c>
      <c r="B7" s="4" t="s">
        <v>21</v>
      </c>
      <c r="C7" s="21" t="s">
        <v>39</v>
      </c>
      <c r="D7" s="21" t="s">
        <v>23</v>
      </c>
      <c r="E7" s="4" t="s">
        <v>137</v>
      </c>
      <c r="F7" s="21" t="s">
        <v>24</v>
      </c>
      <c r="G7" s="5">
        <f>G5</f>
        <v>70000</v>
      </c>
      <c r="H7" s="21" t="s">
        <v>40</v>
      </c>
      <c r="I7" s="21" t="s">
        <v>41</v>
      </c>
      <c r="J7" s="19">
        <v>0.94097222222222221</v>
      </c>
      <c r="K7" s="1">
        <v>0.94861111111111107</v>
      </c>
      <c r="L7" s="19">
        <v>0.72222222222222221</v>
      </c>
      <c r="M7" s="20">
        <v>0.74097222222222225</v>
      </c>
      <c r="N7" s="2" t="s">
        <v>272</v>
      </c>
      <c r="O7" s="17" t="s">
        <v>270</v>
      </c>
      <c r="P7" s="2">
        <v>546</v>
      </c>
      <c r="Q7" s="21">
        <v>1108</v>
      </c>
      <c r="R7" s="21">
        <v>0</v>
      </c>
      <c r="S7" s="21">
        <v>0</v>
      </c>
      <c r="T7" s="21">
        <v>0</v>
      </c>
      <c r="U7" s="21">
        <v>0</v>
      </c>
    </row>
    <row r="8" spans="1:21" s="13" customFormat="1" ht="12.75" x14ac:dyDescent="0.2">
      <c r="A8" s="3">
        <f t="shared" si="0"/>
        <v>43757</v>
      </c>
      <c r="B8" s="2" t="s">
        <v>21</v>
      </c>
      <c r="C8" s="18" t="s">
        <v>42</v>
      </c>
      <c r="D8" s="2" t="s">
        <v>23</v>
      </c>
      <c r="E8" s="4" t="s">
        <v>207</v>
      </c>
      <c r="F8" s="2" t="s">
        <v>24</v>
      </c>
      <c r="G8" s="5">
        <f>G6</f>
        <v>70000</v>
      </c>
      <c r="H8" s="4" t="s">
        <v>43</v>
      </c>
      <c r="I8" s="4" t="s">
        <v>44</v>
      </c>
      <c r="J8" s="16">
        <v>0.94444444444444453</v>
      </c>
      <c r="K8" s="7">
        <v>0.99097222222222225</v>
      </c>
      <c r="L8" s="16">
        <v>0.76736111111111116</v>
      </c>
      <c r="M8" s="17">
        <v>0.83263888888888893</v>
      </c>
      <c r="N8" s="17" t="s">
        <v>273</v>
      </c>
      <c r="O8" s="17" t="s">
        <v>271</v>
      </c>
      <c r="P8" s="18">
        <v>698</v>
      </c>
      <c r="Q8" s="8">
        <v>1422</v>
      </c>
      <c r="R8" s="2">
        <v>0</v>
      </c>
      <c r="S8" s="2">
        <v>0</v>
      </c>
      <c r="T8" s="2">
        <v>0</v>
      </c>
      <c r="U8" s="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B1" workbookViewId="0">
      <selection activeCell="K6" sqref="K6"/>
    </sheetView>
  </sheetViews>
  <sheetFormatPr defaultRowHeight="15" x14ac:dyDescent="0.25"/>
  <cols>
    <col min="1" max="1" width="10.140625" bestFit="1" customWidth="1"/>
    <col min="3" max="3" width="13.28515625" bestFit="1" customWidth="1"/>
    <col min="4" max="4" width="5.7109375" bestFit="1" customWidth="1"/>
    <col min="6" max="6" width="12.140625" bestFit="1" customWidth="1"/>
    <col min="7" max="7" width="11.42578125" bestFit="1" customWidth="1"/>
    <col min="14" max="14" width="16.7109375" customWidth="1"/>
    <col min="15" max="15" width="17.85546875" customWidth="1"/>
  </cols>
  <sheetData>
    <row r="1" spans="1:21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1" t="s">
        <v>10</v>
      </c>
      <c r="L1" s="28" t="s">
        <v>11</v>
      </c>
      <c r="M1" s="28" t="s">
        <v>12</v>
      </c>
      <c r="N1" s="2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</row>
    <row r="2" spans="1:21" x14ac:dyDescent="0.25">
      <c r="A2" s="3">
        <v>43758</v>
      </c>
      <c r="B2" s="4" t="s">
        <v>21</v>
      </c>
      <c r="C2" s="4" t="s">
        <v>62</v>
      </c>
      <c r="D2" s="4" t="s">
        <v>23</v>
      </c>
      <c r="E2" s="4" t="s">
        <v>137</v>
      </c>
      <c r="F2" s="4" t="s">
        <v>24</v>
      </c>
      <c r="G2" s="5">
        <v>70000</v>
      </c>
      <c r="H2" s="4" t="s">
        <v>63</v>
      </c>
      <c r="I2" s="4" t="s">
        <v>64</v>
      </c>
      <c r="J2" s="6">
        <v>0.45833333333333331</v>
      </c>
      <c r="K2" s="1">
        <v>0.45</v>
      </c>
      <c r="L2" s="6">
        <v>0.25694444444444448</v>
      </c>
      <c r="M2" s="7">
        <v>0.2673611111111111</v>
      </c>
      <c r="N2" s="11" t="s">
        <v>194</v>
      </c>
      <c r="O2" s="8" t="s">
        <v>274</v>
      </c>
      <c r="P2" s="9">
        <v>895</v>
      </c>
      <c r="Q2" s="8">
        <v>925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43758</v>
      </c>
      <c r="B3" s="2" t="s">
        <v>21</v>
      </c>
      <c r="C3" s="2" t="s">
        <v>68</v>
      </c>
      <c r="D3" s="2" t="s">
        <v>23</v>
      </c>
      <c r="E3" s="4" t="s">
        <v>137</v>
      </c>
      <c r="F3" s="2" t="s">
        <v>24</v>
      </c>
      <c r="G3" s="5">
        <v>70000</v>
      </c>
      <c r="H3" s="2" t="s">
        <v>69</v>
      </c>
      <c r="I3" s="2" t="s">
        <v>70</v>
      </c>
      <c r="J3" s="12">
        <v>0.72569444444444453</v>
      </c>
      <c r="K3" s="1">
        <v>0.7104166666666667</v>
      </c>
      <c r="L3" s="12">
        <v>0.48958333333333331</v>
      </c>
      <c r="M3" s="1">
        <v>0.49513888888888885</v>
      </c>
      <c r="N3" s="2" t="s">
        <v>276</v>
      </c>
      <c r="O3" s="2" t="s">
        <v>275</v>
      </c>
      <c r="P3" s="2">
        <v>661</v>
      </c>
      <c r="Q3" s="8">
        <v>1248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3">
        <v>43758</v>
      </c>
      <c r="B4" s="2" t="s">
        <v>21</v>
      </c>
      <c r="C4" s="2" t="s">
        <v>71</v>
      </c>
      <c r="D4" s="2" t="s">
        <v>23</v>
      </c>
      <c r="E4" s="4" t="s">
        <v>207</v>
      </c>
      <c r="F4" s="2" t="s">
        <v>24</v>
      </c>
      <c r="G4" s="5">
        <v>70000</v>
      </c>
      <c r="H4" s="2" t="s">
        <v>72</v>
      </c>
      <c r="I4" s="2" t="s">
        <v>73</v>
      </c>
      <c r="J4" s="12">
        <v>0.74652777777777779</v>
      </c>
      <c r="K4" s="1">
        <v>0.75277777777777777</v>
      </c>
      <c r="L4" s="12">
        <v>0.51736111111111105</v>
      </c>
      <c r="M4" s="1">
        <v>0.53749999999999998</v>
      </c>
      <c r="N4" s="2" t="s">
        <v>277</v>
      </c>
      <c r="O4" s="2" t="s">
        <v>195</v>
      </c>
      <c r="P4" s="2">
        <v>778</v>
      </c>
      <c r="Q4" s="8">
        <v>1077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3">
        <v>43758</v>
      </c>
      <c r="B5" s="2" t="s">
        <v>21</v>
      </c>
      <c r="C5" s="2" t="s">
        <v>74</v>
      </c>
      <c r="D5" s="2" t="s">
        <v>23</v>
      </c>
      <c r="E5" s="4" t="s">
        <v>137</v>
      </c>
      <c r="F5" s="2" t="s">
        <v>24</v>
      </c>
      <c r="G5" s="5">
        <v>70000</v>
      </c>
      <c r="H5" s="4" t="s">
        <v>75</v>
      </c>
      <c r="I5" s="4" t="s">
        <v>76</v>
      </c>
      <c r="J5" s="10">
        <v>0.91666666666666663</v>
      </c>
      <c r="K5" s="1">
        <v>0.89930555555555547</v>
      </c>
      <c r="L5" s="10">
        <v>0.74652777777777779</v>
      </c>
      <c r="M5" s="11">
        <v>0.74722222222222223</v>
      </c>
      <c r="N5" s="2" t="s">
        <v>191</v>
      </c>
      <c r="O5" s="2" t="s">
        <v>278</v>
      </c>
      <c r="P5" s="2">
        <v>851</v>
      </c>
      <c r="Q5" s="8">
        <v>1112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3">
        <v>43758</v>
      </c>
      <c r="B6" s="2" t="s">
        <v>21</v>
      </c>
      <c r="C6" s="2" t="s">
        <v>77</v>
      </c>
      <c r="D6" s="2" t="s">
        <v>23</v>
      </c>
      <c r="E6" s="4" t="s">
        <v>207</v>
      </c>
      <c r="F6" s="2" t="s">
        <v>24</v>
      </c>
      <c r="G6" s="5">
        <v>70000</v>
      </c>
      <c r="H6" s="4" t="s">
        <v>78</v>
      </c>
      <c r="I6" s="4" t="s">
        <v>79</v>
      </c>
      <c r="J6" s="10">
        <v>0.95833333333333337</v>
      </c>
      <c r="K6" s="11">
        <v>0.96250000000000002</v>
      </c>
      <c r="L6" s="10">
        <v>0.76736111111111116</v>
      </c>
      <c r="M6" s="11">
        <v>0.78263888888888899</v>
      </c>
      <c r="N6" s="9" t="s">
        <v>51</v>
      </c>
      <c r="O6" s="9" t="s">
        <v>279</v>
      </c>
      <c r="P6" s="2">
        <v>1002</v>
      </c>
      <c r="Q6" s="8">
        <v>939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3"/>
      <c r="B7" s="2"/>
      <c r="C7" s="2"/>
      <c r="D7" s="2"/>
      <c r="E7" s="4"/>
      <c r="F7" s="29"/>
      <c r="G7" s="5"/>
      <c r="H7" s="4"/>
      <c r="I7" s="4"/>
      <c r="J7" s="23"/>
      <c r="K7" s="23"/>
      <c r="L7" s="15"/>
      <c r="M7" s="15"/>
      <c r="N7" s="30"/>
      <c r="O7" s="30"/>
      <c r="P7" s="30"/>
      <c r="Q7" s="8"/>
      <c r="R7" s="2"/>
      <c r="S7" s="2"/>
      <c r="T7" s="2"/>
      <c r="U7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opLeftCell="D1" workbookViewId="0">
      <selection activeCell="M9" sqref="M9"/>
    </sheetView>
  </sheetViews>
  <sheetFormatPr defaultRowHeight="15" x14ac:dyDescent="0.25"/>
  <cols>
    <col min="1" max="1" width="10.140625" bestFit="1" customWidth="1"/>
    <col min="3" max="3" width="13.5703125" bestFit="1" customWidth="1"/>
    <col min="4" max="4" width="5.7109375" bestFit="1" customWidth="1"/>
    <col min="5" max="5" width="7.5703125" bestFit="1" customWidth="1"/>
    <col min="6" max="6" width="14.140625" customWidth="1"/>
    <col min="14" max="14" width="12.28515625" customWidth="1"/>
    <col min="15" max="15" width="17.28515625" customWidth="1"/>
  </cols>
  <sheetData>
    <row r="1" spans="1:21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1" t="s">
        <v>10</v>
      </c>
      <c r="L1" s="28" t="s">
        <v>11</v>
      </c>
      <c r="M1" s="28" t="s">
        <v>12</v>
      </c>
      <c r="N1" s="2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</row>
    <row r="2" spans="1:21" x14ac:dyDescent="0.25">
      <c r="A2" s="3">
        <v>43759</v>
      </c>
      <c r="B2" s="4" t="s">
        <v>21</v>
      </c>
      <c r="C2" s="4" t="s">
        <v>62</v>
      </c>
      <c r="D2" s="4" t="s">
        <v>23</v>
      </c>
      <c r="E2" s="4" t="s">
        <v>207</v>
      </c>
      <c r="F2" s="4" t="s">
        <v>24</v>
      </c>
      <c r="G2" s="5">
        <v>70000</v>
      </c>
      <c r="H2" s="4" t="s">
        <v>63</v>
      </c>
      <c r="I2" s="4" t="s">
        <v>64</v>
      </c>
      <c r="J2" s="6">
        <v>0.45833333333333331</v>
      </c>
      <c r="K2" s="1">
        <v>0.46249999999999997</v>
      </c>
      <c r="L2" s="6">
        <v>0.25694444444444448</v>
      </c>
      <c r="M2" s="7">
        <v>0.27013888888888887</v>
      </c>
      <c r="N2" s="2" t="s">
        <v>127</v>
      </c>
      <c r="O2" s="8" t="s">
        <v>282</v>
      </c>
      <c r="P2" s="8">
        <v>928</v>
      </c>
      <c r="Q2" s="8">
        <v>782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f t="shared" ref="A3:A7" si="0">A2</f>
        <v>43759</v>
      </c>
      <c r="B3" s="4" t="s">
        <v>21</v>
      </c>
      <c r="C3" s="4" t="s">
        <v>65</v>
      </c>
      <c r="D3" s="4" t="s">
        <v>23</v>
      </c>
      <c r="E3" s="4" t="s">
        <v>137</v>
      </c>
      <c r="F3" s="4" t="s">
        <v>24</v>
      </c>
      <c r="G3" s="5">
        <v>70000</v>
      </c>
      <c r="H3" s="4" t="s">
        <v>66</v>
      </c>
      <c r="I3" s="4" t="s">
        <v>67</v>
      </c>
      <c r="J3" s="6">
        <v>0.4861111111111111</v>
      </c>
      <c r="K3" s="1">
        <v>0.48819444444444443</v>
      </c>
      <c r="L3" s="6">
        <v>0.28125</v>
      </c>
      <c r="M3" s="7">
        <v>0.2986111111111111</v>
      </c>
      <c r="N3" s="2" t="s">
        <v>281</v>
      </c>
      <c r="O3" s="8" t="s">
        <v>174</v>
      </c>
      <c r="P3" s="4">
        <v>611</v>
      </c>
      <c r="Q3" s="8">
        <v>1112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f t="shared" si="0"/>
        <v>43759</v>
      </c>
      <c r="B4" s="2" t="s">
        <v>21</v>
      </c>
      <c r="C4" s="2" t="s">
        <v>104</v>
      </c>
      <c r="D4" s="2" t="s">
        <v>23</v>
      </c>
      <c r="E4" s="4" t="s">
        <v>280</v>
      </c>
      <c r="F4" s="2" t="s">
        <v>24</v>
      </c>
      <c r="G4" s="5">
        <v>71500</v>
      </c>
      <c r="H4" s="2" t="s">
        <v>105</v>
      </c>
      <c r="I4" s="2" t="s">
        <v>106</v>
      </c>
      <c r="J4" s="12">
        <v>0.70833333333333337</v>
      </c>
      <c r="K4" s="1">
        <v>0.81111111111111101</v>
      </c>
      <c r="L4" s="12">
        <v>0.48958333333333331</v>
      </c>
      <c r="M4" s="1">
        <v>0.51180555555555551</v>
      </c>
      <c r="N4" s="14" t="s">
        <v>295</v>
      </c>
      <c r="O4" s="2" t="s">
        <v>83</v>
      </c>
      <c r="P4" s="2">
        <v>233</v>
      </c>
      <c r="Q4" s="8">
        <v>1146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3">
        <f t="shared" si="0"/>
        <v>43759</v>
      </c>
      <c r="B5" s="2" t="s">
        <v>21</v>
      </c>
      <c r="C5" s="2" t="s">
        <v>71</v>
      </c>
      <c r="D5" s="2" t="s">
        <v>23</v>
      </c>
      <c r="E5" s="4" t="s">
        <v>137</v>
      </c>
      <c r="F5" s="2" t="s">
        <v>24</v>
      </c>
      <c r="G5" s="5">
        <v>70000</v>
      </c>
      <c r="H5" s="2" t="s">
        <v>72</v>
      </c>
      <c r="I5" s="2" t="s">
        <v>73</v>
      </c>
      <c r="J5" s="12">
        <v>0.74652777777777779</v>
      </c>
      <c r="K5" s="1">
        <v>0.73819444444444438</v>
      </c>
      <c r="L5" s="12">
        <v>0.51736111111111105</v>
      </c>
      <c r="M5" s="1">
        <v>0.52777777777777779</v>
      </c>
      <c r="N5" s="2" t="s">
        <v>287</v>
      </c>
      <c r="O5" s="2" t="s">
        <v>215</v>
      </c>
      <c r="P5" s="2">
        <v>212</v>
      </c>
      <c r="Q5" s="8">
        <v>1038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3">
        <f t="shared" si="0"/>
        <v>43759</v>
      </c>
      <c r="B6" s="2" t="s">
        <v>21</v>
      </c>
      <c r="C6" s="2" t="s">
        <v>74</v>
      </c>
      <c r="D6" s="2" t="s">
        <v>23</v>
      </c>
      <c r="E6" s="4" t="s">
        <v>283</v>
      </c>
      <c r="F6" s="2" t="s">
        <v>24</v>
      </c>
      <c r="G6" s="5">
        <v>71500</v>
      </c>
      <c r="H6" s="4" t="s">
        <v>75</v>
      </c>
      <c r="I6" s="4" t="s">
        <v>76</v>
      </c>
      <c r="J6" s="23">
        <v>0.89930555555555547</v>
      </c>
      <c r="K6" s="1">
        <v>0.95277777777777783</v>
      </c>
      <c r="L6" s="23">
        <v>0.72916666666666663</v>
      </c>
      <c r="M6" s="15">
        <v>0.79722222222222217</v>
      </c>
      <c r="N6" s="2" t="s">
        <v>297</v>
      </c>
      <c r="O6" s="14" t="s">
        <v>294</v>
      </c>
      <c r="P6" s="14">
        <v>427</v>
      </c>
      <c r="Q6" s="8">
        <v>588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3">
        <f t="shared" si="0"/>
        <v>43759</v>
      </c>
      <c r="B7" s="14" t="s">
        <v>21</v>
      </c>
      <c r="C7" s="14" t="s">
        <v>107</v>
      </c>
      <c r="D7" s="14" t="s">
        <v>23</v>
      </c>
      <c r="E7" s="4" t="s">
        <v>137</v>
      </c>
      <c r="F7" s="14" t="s">
        <v>24</v>
      </c>
      <c r="G7" s="5">
        <v>70000</v>
      </c>
      <c r="H7" s="14" t="s">
        <v>108</v>
      </c>
      <c r="I7" s="14" t="s">
        <v>109</v>
      </c>
      <c r="J7" s="23">
        <v>0.9375</v>
      </c>
      <c r="K7" s="1">
        <v>0.93402777777777779</v>
      </c>
      <c r="L7" s="23">
        <v>0.76736111111111116</v>
      </c>
      <c r="M7" s="15">
        <v>0.78194444444444444</v>
      </c>
      <c r="N7" s="2" t="s">
        <v>296</v>
      </c>
      <c r="O7" s="2" t="s">
        <v>148</v>
      </c>
      <c r="P7" s="2">
        <v>959</v>
      </c>
      <c r="Q7" s="8">
        <v>770</v>
      </c>
      <c r="R7" s="14">
        <v>0</v>
      </c>
      <c r="S7" s="14">
        <v>0</v>
      </c>
      <c r="T7" s="14">
        <v>0</v>
      </c>
      <c r="U7" s="2">
        <v>0</v>
      </c>
    </row>
    <row r="8" spans="1:21" x14ac:dyDescent="0.25">
      <c r="A8" s="34">
        <v>43759</v>
      </c>
      <c r="B8" s="2" t="s">
        <v>21</v>
      </c>
      <c r="C8" s="2" t="s">
        <v>291</v>
      </c>
      <c r="D8" s="2" t="s">
        <v>23</v>
      </c>
      <c r="E8" s="4" t="s">
        <v>283</v>
      </c>
      <c r="F8" s="2" t="s">
        <v>289</v>
      </c>
      <c r="G8" s="5">
        <v>71500</v>
      </c>
      <c r="H8" s="4" t="s">
        <v>284</v>
      </c>
      <c r="I8" s="4" t="s">
        <v>290</v>
      </c>
      <c r="J8" s="35">
        <v>0.77777777777777779</v>
      </c>
      <c r="K8" s="35">
        <v>0.77083333333333337</v>
      </c>
      <c r="L8" s="36" t="s">
        <v>290</v>
      </c>
      <c r="M8" s="30" t="s">
        <v>290</v>
      </c>
      <c r="N8" s="37" t="s">
        <v>286</v>
      </c>
      <c r="O8" s="2" t="s">
        <v>290</v>
      </c>
      <c r="P8" s="37">
        <v>0</v>
      </c>
      <c r="Q8" s="8">
        <v>0</v>
      </c>
      <c r="R8" s="2">
        <v>0</v>
      </c>
      <c r="S8" s="2">
        <v>0</v>
      </c>
      <c r="T8" s="2">
        <v>0</v>
      </c>
      <c r="U8" s="2">
        <v>0</v>
      </c>
    </row>
    <row r="9" spans="1:21" x14ac:dyDescent="0.25">
      <c r="A9" s="34">
        <v>43760</v>
      </c>
      <c r="B9" s="2" t="s">
        <v>21</v>
      </c>
      <c r="C9" s="2" t="s">
        <v>292</v>
      </c>
      <c r="D9" s="2" t="s">
        <v>288</v>
      </c>
      <c r="E9" s="4" t="s">
        <v>280</v>
      </c>
      <c r="F9" s="2" t="s">
        <v>293</v>
      </c>
      <c r="G9" s="5">
        <v>71500</v>
      </c>
      <c r="H9" s="4" t="s">
        <v>290</v>
      </c>
      <c r="I9" s="4" t="s">
        <v>285</v>
      </c>
      <c r="J9" s="35" t="s">
        <v>290</v>
      </c>
      <c r="K9" s="4" t="s">
        <v>290</v>
      </c>
      <c r="L9" s="36">
        <v>0.98958333333333337</v>
      </c>
      <c r="M9" s="36">
        <v>0.98888888888888893</v>
      </c>
      <c r="N9" s="37" t="s">
        <v>290</v>
      </c>
      <c r="O9" s="2" t="s">
        <v>286</v>
      </c>
      <c r="P9" s="37">
        <v>0</v>
      </c>
      <c r="Q9" s="8">
        <v>0</v>
      </c>
      <c r="R9" s="2">
        <v>0</v>
      </c>
      <c r="S9" s="2">
        <v>0</v>
      </c>
      <c r="T9" s="2">
        <v>0</v>
      </c>
      <c r="U9" s="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opLeftCell="D1" workbookViewId="0">
      <selection sqref="A1:U8"/>
    </sheetView>
  </sheetViews>
  <sheetFormatPr defaultRowHeight="15" x14ac:dyDescent="0.25"/>
  <sheetData>
    <row r="1" spans="1:2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4" t="s">
        <v>11</v>
      </c>
      <c r="M1" s="4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25">
      <c r="A2" s="3">
        <v>43760</v>
      </c>
      <c r="B2" s="4" t="s">
        <v>21</v>
      </c>
      <c r="C2" s="4" t="s">
        <v>22</v>
      </c>
      <c r="D2" s="4" t="s">
        <v>23</v>
      </c>
      <c r="E2" s="4" t="s">
        <v>137</v>
      </c>
      <c r="F2" s="4" t="s">
        <v>24</v>
      </c>
      <c r="G2" s="5">
        <v>70000</v>
      </c>
      <c r="H2" s="4" t="s">
        <v>25</v>
      </c>
      <c r="I2" s="4" t="s">
        <v>26</v>
      </c>
      <c r="J2" s="6">
        <v>0.38541666666666669</v>
      </c>
      <c r="K2" s="1">
        <v>0.36458333333333331</v>
      </c>
      <c r="L2" s="6">
        <v>0.25694444444444448</v>
      </c>
      <c r="M2" s="7">
        <v>0.25694444444444448</v>
      </c>
      <c r="N2" s="2" t="s">
        <v>303</v>
      </c>
      <c r="O2" s="8" t="s">
        <v>50</v>
      </c>
      <c r="P2" s="8">
        <v>410</v>
      </c>
      <c r="Q2" s="8">
        <v>288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f>A2</f>
        <v>43760</v>
      </c>
      <c r="B3" s="4" t="s">
        <v>21</v>
      </c>
      <c r="C3" s="4" t="s">
        <v>27</v>
      </c>
      <c r="D3" s="4" t="s">
        <v>23</v>
      </c>
      <c r="E3" s="4" t="s">
        <v>283</v>
      </c>
      <c r="F3" s="4" t="s">
        <v>24</v>
      </c>
      <c r="G3" s="5">
        <v>71500</v>
      </c>
      <c r="H3" s="4" t="s">
        <v>28</v>
      </c>
      <c r="I3" s="4" t="s">
        <v>29</v>
      </c>
      <c r="J3" s="6">
        <v>0.46180555555555558</v>
      </c>
      <c r="K3" s="1">
        <v>0.45277777777777778</v>
      </c>
      <c r="L3" s="6">
        <v>0.28125</v>
      </c>
      <c r="M3" s="7">
        <v>0.28055555555555556</v>
      </c>
      <c r="N3" s="2" t="s">
        <v>304</v>
      </c>
      <c r="O3" s="8" t="s">
        <v>298</v>
      </c>
      <c r="P3" s="4">
        <v>517</v>
      </c>
      <c r="Q3" s="8">
        <v>742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f>A3</f>
        <v>43760</v>
      </c>
      <c r="B4" s="4" t="s">
        <v>21</v>
      </c>
      <c r="C4" s="2" t="s">
        <v>30</v>
      </c>
      <c r="D4" s="2" t="s">
        <v>23</v>
      </c>
      <c r="E4" s="4" t="s">
        <v>137</v>
      </c>
      <c r="F4" s="2" t="s">
        <v>24</v>
      </c>
      <c r="G4" s="5">
        <f>G2</f>
        <v>70000</v>
      </c>
      <c r="H4" s="2" t="s">
        <v>31</v>
      </c>
      <c r="I4" s="2" t="s">
        <v>32</v>
      </c>
      <c r="J4" s="12">
        <v>0.55555555555555558</v>
      </c>
      <c r="K4" s="1">
        <v>0.54236111111111118</v>
      </c>
      <c r="L4" s="12">
        <v>0.40625</v>
      </c>
      <c r="M4" s="1">
        <v>0.40347222222222223</v>
      </c>
      <c r="N4" s="2" t="s">
        <v>307</v>
      </c>
      <c r="O4" s="2" t="s">
        <v>305</v>
      </c>
      <c r="P4" s="2">
        <v>783</v>
      </c>
      <c r="Q4" s="8">
        <v>617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3">
        <f>A4</f>
        <v>43760</v>
      </c>
      <c r="B5" s="4" t="s">
        <v>21</v>
      </c>
      <c r="C5" s="2" t="s">
        <v>33</v>
      </c>
      <c r="D5" s="2" t="s">
        <v>23</v>
      </c>
      <c r="E5" s="4" t="s">
        <v>283</v>
      </c>
      <c r="F5" s="2" t="s">
        <v>24</v>
      </c>
      <c r="G5" s="5">
        <f>G3</f>
        <v>71500</v>
      </c>
      <c r="H5" s="2" t="s">
        <v>34</v>
      </c>
      <c r="I5" s="2" t="s">
        <v>35</v>
      </c>
      <c r="J5" s="16">
        <v>0.70138888888888884</v>
      </c>
      <c r="K5" s="1">
        <v>0.69097222222222221</v>
      </c>
      <c r="L5" s="16">
        <v>0.49305555555555558</v>
      </c>
      <c r="M5" s="17">
        <v>0.4604166666666667</v>
      </c>
      <c r="N5" s="2" t="s">
        <v>176</v>
      </c>
      <c r="O5" s="2" t="s">
        <v>306</v>
      </c>
      <c r="P5" s="18">
        <v>1012</v>
      </c>
      <c r="Q5" s="8">
        <v>965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3">
        <f t="shared" ref="A6:A7" si="0">A5</f>
        <v>43760</v>
      </c>
      <c r="B6" s="4" t="s">
        <v>21</v>
      </c>
      <c r="C6" s="2" t="s">
        <v>36</v>
      </c>
      <c r="D6" s="2" t="s">
        <v>23</v>
      </c>
      <c r="E6" s="4" t="s">
        <v>137</v>
      </c>
      <c r="F6" s="2" t="s">
        <v>24</v>
      </c>
      <c r="G6" s="5">
        <v>70000</v>
      </c>
      <c r="H6" s="4" t="s">
        <v>37</v>
      </c>
      <c r="I6" s="4" t="s">
        <v>38</v>
      </c>
      <c r="J6" s="19">
        <v>0.74652777777777779</v>
      </c>
      <c r="K6" s="1">
        <v>0.7319444444444444</v>
      </c>
      <c r="L6" s="19">
        <v>0.58680555555555558</v>
      </c>
      <c r="M6" s="20">
        <v>0.58472222222222225</v>
      </c>
      <c r="N6" s="2" t="s">
        <v>309</v>
      </c>
      <c r="O6" s="2" t="s">
        <v>148</v>
      </c>
      <c r="P6" s="2">
        <v>520</v>
      </c>
      <c r="Q6" s="8">
        <v>679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3">
        <f t="shared" si="0"/>
        <v>43760</v>
      </c>
      <c r="B7" s="4" t="s">
        <v>21</v>
      </c>
      <c r="C7" s="21" t="s">
        <v>39</v>
      </c>
      <c r="D7" s="21" t="s">
        <v>23</v>
      </c>
      <c r="E7" s="4" t="s">
        <v>283</v>
      </c>
      <c r="F7" s="21" t="s">
        <v>24</v>
      </c>
      <c r="G7" s="5">
        <f>G5</f>
        <v>71500</v>
      </c>
      <c r="H7" s="21" t="s">
        <v>40</v>
      </c>
      <c r="I7" s="21" t="s">
        <v>41</v>
      </c>
      <c r="J7" s="19">
        <v>0.94097222222222221</v>
      </c>
      <c r="K7" s="1">
        <v>0.92986111111111114</v>
      </c>
      <c r="L7" s="19">
        <v>0.72222222222222221</v>
      </c>
      <c r="M7" s="20">
        <v>0.72499999999999998</v>
      </c>
      <c r="N7" s="2" t="s">
        <v>310</v>
      </c>
      <c r="O7" s="17" t="s">
        <v>308</v>
      </c>
      <c r="P7" s="2">
        <v>478</v>
      </c>
      <c r="Q7" s="21">
        <v>1072</v>
      </c>
      <c r="R7" s="21">
        <v>0</v>
      </c>
      <c r="S7" s="21">
        <v>0</v>
      </c>
      <c r="T7" s="21">
        <v>0</v>
      </c>
      <c r="U7" s="21">
        <v>0</v>
      </c>
    </row>
    <row r="8" spans="1:21" x14ac:dyDescent="0.25">
      <c r="A8" s="3">
        <f>A7</f>
        <v>43760</v>
      </c>
      <c r="B8" s="2" t="s">
        <v>21</v>
      </c>
      <c r="C8" s="18" t="s">
        <v>42</v>
      </c>
      <c r="D8" s="2" t="s">
        <v>23</v>
      </c>
      <c r="E8" s="4" t="s">
        <v>137</v>
      </c>
      <c r="F8" s="2" t="s">
        <v>24</v>
      </c>
      <c r="G8" s="5">
        <f>G6</f>
        <v>70000</v>
      </c>
      <c r="H8" s="4" t="s">
        <v>43</v>
      </c>
      <c r="I8" s="4" t="s">
        <v>44</v>
      </c>
      <c r="J8" s="16">
        <v>0.94444444444444453</v>
      </c>
      <c r="K8" s="7">
        <v>0.93333333333333324</v>
      </c>
      <c r="L8" s="16">
        <v>0.76736111111111116</v>
      </c>
      <c r="M8" s="17">
        <v>0.77013888888888893</v>
      </c>
      <c r="N8" s="17" t="s">
        <v>311</v>
      </c>
      <c r="O8" s="17" t="s">
        <v>312</v>
      </c>
      <c r="P8" s="18">
        <v>587</v>
      </c>
      <c r="Q8" s="8">
        <v>916</v>
      </c>
      <c r="R8" s="2">
        <v>0</v>
      </c>
      <c r="S8" s="2">
        <v>0</v>
      </c>
      <c r="T8" s="2">
        <v>0</v>
      </c>
      <c r="U8" s="2">
        <v>0</v>
      </c>
    </row>
    <row r="9" spans="1:21" x14ac:dyDescent="0.25">
      <c r="A9" s="3">
        <f>A8</f>
        <v>43760</v>
      </c>
      <c r="B9" s="2" t="s">
        <v>299</v>
      </c>
      <c r="C9" s="2" t="s">
        <v>300</v>
      </c>
      <c r="D9" s="2" t="s">
        <v>301</v>
      </c>
      <c r="E9" s="4" t="s">
        <v>302</v>
      </c>
      <c r="F9" s="2" t="s">
        <v>119</v>
      </c>
      <c r="G9" s="5">
        <v>4600</v>
      </c>
      <c r="H9" s="4" t="s">
        <v>302</v>
      </c>
      <c r="I9" s="4" t="s">
        <v>302</v>
      </c>
      <c r="J9" s="16">
        <v>0.375</v>
      </c>
      <c r="K9" s="16">
        <v>0.36805555555555558</v>
      </c>
      <c r="L9" s="16">
        <v>0.45833333333333331</v>
      </c>
      <c r="M9" s="16">
        <v>0.49374999999999997</v>
      </c>
      <c r="N9" s="2">
        <v>3</v>
      </c>
      <c r="O9" s="2">
        <v>3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D1" workbookViewId="0">
      <selection activeCell="K8" sqref="K8"/>
    </sheetView>
  </sheetViews>
  <sheetFormatPr defaultRowHeight="15" x14ac:dyDescent="0.25"/>
  <cols>
    <col min="3" max="3" width="13.5703125" bestFit="1" customWidth="1"/>
    <col min="4" max="4" width="5.7109375" bestFit="1" customWidth="1"/>
    <col min="5" max="5" width="14.140625" customWidth="1"/>
    <col min="6" max="6" width="12.140625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1" t="s">
        <v>10</v>
      </c>
      <c r="L1" s="28" t="s">
        <v>11</v>
      </c>
      <c r="M1" s="28" t="s">
        <v>12</v>
      </c>
      <c r="N1" s="2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</row>
    <row r="2" spans="1:21" x14ac:dyDescent="0.25">
      <c r="A2" s="3">
        <v>43761</v>
      </c>
      <c r="B2" s="4" t="s">
        <v>21</v>
      </c>
      <c r="C2" s="4" t="s">
        <v>62</v>
      </c>
      <c r="D2" s="4" t="s">
        <v>23</v>
      </c>
      <c r="E2" s="4" t="s">
        <v>283</v>
      </c>
      <c r="F2" s="4" t="s">
        <v>24</v>
      </c>
      <c r="G2" s="5">
        <v>71500</v>
      </c>
      <c r="H2" s="4" t="s">
        <v>63</v>
      </c>
      <c r="I2" s="4" t="s">
        <v>64</v>
      </c>
      <c r="J2" s="6">
        <v>0.45833333333333331</v>
      </c>
      <c r="K2" s="1">
        <v>0.45416666666666666</v>
      </c>
      <c r="L2" s="6">
        <v>0.25694444444444448</v>
      </c>
      <c r="M2" s="7">
        <v>0.2722222222222222</v>
      </c>
      <c r="N2" s="9" t="s">
        <v>313</v>
      </c>
      <c r="O2" s="8" t="s">
        <v>305</v>
      </c>
      <c r="P2" s="9">
        <v>886</v>
      </c>
      <c r="Q2" s="8">
        <v>738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43761</v>
      </c>
      <c r="B3" s="4" t="s">
        <v>21</v>
      </c>
      <c r="C3" s="4" t="s">
        <v>65</v>
      </c>
      <c r="D3" s="4" t="s">
        <v>23</v>
      </c>
      <c r="E3" s="4" t="s">
        <v>137</v>
      </c>
      <c r="F3" s="4" t="s">
        <v>24</v>
      </c>
      <c r="G3" s="5">
        <v>70000</v>
      </c>
      <c r="H3" s="4" t="s">
        <v>66</v>
      </c>
      <c r="I3" s="4" t="s">
        <v>67</v>
      </c>
      <c r="J3" s="6">
        <v>0.4861111111111111</v>
      </c>
      <c r="K3" s="1">
        <v>0.48055555555555557</v>
      </c>
      <c r="L3" s="6">
        <v>0.28125</v>
      </c>
      <c r="M3" s="7">
        <v>0.29652777777777778</v>
      </c>
      <c r="N3" s="8" t="s">
        <v>314</v>
      </c>
      <c r="O3" s="8" t="s">
        <v>151</v>
      </c>
      <c r="P3" s="9">
        <v>738</v>
      </c>
      <c r="Q3" s="8">
        <v>1084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v>43761</v>
      </c>
      <c r="B4" s="2" t="s">
        <v>21</v>
      </c>
      <c r="C4" s="2" t="s">
        <v>68</v>
      </c>
      <c r="D4" s="2" t="s">
        <v>23</v>
      </c>
      <c r="E4" s="4" t="str">
        <f>E2</f>
        <v>HALYG</v>
      </c>
      <c r="F4" s="2" t="s">
        <v>24</v>
      </c>
      <c r="G4" s="5">
        <v>71500</v>
      </c>
      <c r="H4" s="2" t="s">
        <v>69</v>
      </c>
      <c r="I4" s="2" t="s">
        <v>70</v>
      </c>
      <c r="J4" s="12">
        <v>0.72569444444444453</v>
      </c>
      <c r="K4" s="1">
        <v>0.72361111111111109</v>
      </c>
      <c r="L4" s="12">
        <v>0.48958333333333331</v>
      </c>
      <c r="M4" s="1">
        <v>0.5083333333333333</v>
      </c>
      <c r="N4" s="2" t="s">
        <v>234</v>
      </c>
      <c r="O4" s="2" t="s">
        <v>221</v>
      </c>
      <c r="P4" s="2">
        <v>988</v>
      </c>
      <c r="Q4" s="8">
        <v>1751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3">
        <v>43761</v>
      </c>
      <c r="B5" s="2" t="s">
        <v>21</v>
      </c>
      <c r="C5" s="2" t="s">
        <v>71</v>
      </c>
      <c r="D5" s="2" t="s">
        <v>23</v>
      </c>
      <c r="E5" s="4" t="s">
        <v>137</v>
      </c>
      <c r="F5" s="2" t="s">
        <v>24</v>
      </c>
      <c r="G5" s="5">
        <v>70000</v>
      </c>
      <c r="H5" s="2" t="s">
        <v>72</v>
      </c>
      <c r="I5" s="2" t="s">
        <v>73</v>
      </c>
      <c r="J5" s="12">
        <v>0.74652777777777779</v>
      </c>
      <c r="K5" s="1">
        <v>0.75069444444444444</v>
      </c>
      <c r="L5" s="12">
        <v>0.51736111111111105</v>
      </c>
      <c r="M5" s="1">
        <v>0.54513888888888895</v>
      </c>
      <c r="N5" s="2" t="s">
        <v>315</v>
      </c>
      <c r="O5" s="2" t="s">
        <v>179</v>
      </c>
      <c r="P5" s="2">
        <v>834</v>
      </c>
      <c r="Q5" s="8">
        <v>1433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3">
        <v>43761</v>
      </c>
      <c r="B6" s="2" t="s">
        <v>21</v>
      </c>
      <c r="C6" s="2" t="s">
        <v>74</v>
      </c>
      <c r="D6" s="2" t="s">
        <v>23</v>
      </c>
      <c r="E6" s="4" t="str">
        <f>E4</f>
        <v>HALYG</v>
      </c>
      <c r="F6" s="2" t="s">
        <v>24</v>
      </c>
      <c r="G6" s="5">
        <v>71500</v>
      </c>
      <c r="H6" s="4" t="s">
        <v>75</v>
      </c>
      <c r="I6" s="4" t="s">
        <v>76</v>
      </c>
      <c r="J6" s="10">
        <v>0.91666666666666663</v>
      </c>
      <c r="K6" s="1">
        <v>0.91111111111111109</v>
      </c>
      <c r="L6" s="10">
        <v>0.74652777777777779</v>
      </c>
      <c r="M6" s="11">
        <v>0.7583333333333333</v>
      </c>
      <c r="N6" s="2" t="s">
        <v>317</v>
      </c>
      <c r="O6" s="2" t="s">
        <v>205</v>
      </c>
      <c r="P6" s="2">
        <v>826</v>
      </c>
      <c r="Q6" s="8">
        <v>698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3">
        <v>43761</v>
      </c>
      <c r="B7" s="2" t="s">
        <v>21</v>
      </c>
      <c r="C7" s="2" t="s">
        <v>77</v>
      </c>
      <c r="D7" s="2" t="s">
        <v>23</v>
      </c>
      <c r="E7" s="4" t="s">
        <v>137</v>
      </c>
      <c r="F7" s="2" t="s">
        <v>24</v>
      </c>
      <c r="G7" s="5">
        <v>70000</v>
      </c>
      <c r="H7" s="4" t="s">
        <v>78</v>
      </c>
      <c r="I7" s="4" t="s">
        <v>79</v>
      </c>
      <c r="J7" s="10">
        <v>0.95833333333333337</v>
      </c>
      <c r="K7" s="11">
        <v>0.96666666666666667</v>
      </c>
      <c r="L7" s="10">
        <v>0.76736111111111116</v>
      </c>
      <c r="M7" s="11">
        <v>0.79166666666666663</v>
      </c>
      <c r="N7" s="9" t="s">
        <v>318</v>
      </c>
      <c r="O7" s="9" t="s">
        <v>316</v>
      </c>
      <c r="P7" s="2">
        <v>996</v>
      </c>
      <c r="Q7" s="8">
        <v>888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3"/>
      <c r="B8" s="2"/>
      <c r="C8" s="2"/>
      <c r="D8" s="2"/>
      <c r="E8" s="4"/>
      <c r="F8" s="2"/>
      <c r="G8" s="5"/>
      <c r="H8" s="4"/>
      <c r="I8" s="4"/>
      <c r="J8" s="10"/>
      <c r="K8" s="11"/>
      <c r="L8" s="10"/>
      <c r="M8" s="10"/>
      <c r="N8" s="2"/>
      <c r="O8" s="2"/>
      <c r="P8" s="2"/>
      <c r="Q8" s="2"/>
      <c r="R8" s="2"/>
      <c r="S8" s="2"/>
      <c r="T8" s="2"/>
      <c r="U8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activeCell="A4" sqref="A4"/>
    </sheetView>
  </sheetViews>
  <sheetFormatPr defaultRowHeight="15" x14ac:dyDescent="0.25"/>
  <cols>
    <col min="1" max="1" width="8.7109375" bestFit="1" customWidth="1"/>
    <col min="3" max="3" width="13.28515625" bestFit="1" customWidth="1"/>
    <col min="6" max="6" width="12.140625" bestFit="1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  <col min="18" max="18" width="9.42578125" bestFit="1" customWidth="1"/>
  </cols>
  <sheetData>
    <row r="1" spans="1:21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1" t="s">
        <v>10</v>
      </c>
      <c r="L1" s="28" t="s">
        <v>11</v>
      </c>
      <c r="M1" s="28" t="s">
        <v>12</v>
      </c>
      <c r="N1" s="2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</row>
    <row r="2" spans="1:21" x14ac:dyDescent="0.25">
      <c r="A2" s="3">
        <v>43762</v>
      </c>
      <c r="B2" s="4" t="s">
        <v>21</v>
      </c>
      <c r="C2" s="4" t="s">
        <v>30</v>
      </c>
      <c r="D2" s="4" t="s">
        <v>23</v>
      </c>
      <c r="E2" s="4" t="s">
        <v>137</v>
      </c>
      <c r="F2" s="4" t="s">
        <v>24</v>
      </c>
      <c r="G2" s="5">
        <v>70000</v>
      </c>
      <c r="H2" s="4" t="s">
        <v>31</v>
      </c>
      <c r="I2" s="4" t="s">
        <v>32</v>
      </c>
      <c r="J2" s="6">
        <v>0.55555555555555558</v>
      </c>
      <c r="K2" s="1">
        <v>0.54236111111111118</v>
      </c>
      <c r="L2" s="6">
        <v>0.40625</v>
      </c>
      <c r="M2" s="7">
        <v>0.41041666666666665</v>
      </c>
      <c r="N2" s="9" t="s">
        <v>321</v>
      </c>
      <c r="O2" s="8" t="s">
        <v>319</v>
      </c>
      <c r="P2" s="9">
        <v>696</v>
      </c>
      <c r="Q2" s="8">
        <v>653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f>A2</f>
        <v>43762</v>
      </c>
      <c r="B3" s="4" t="s">
        <v>21</v>
      </c>
      <c r="C3" s="4" t="s">
        <v>33</v>
      </c>
      <c r="D3" s="4" t="s">
        <v>23</v>
      </c>
      <c r="E3" s="4" t="s">
        <v>283</v>
      </c>
      <c r="F3" s="4" t="s">
        <v>24</v>
      </c>
      <c r="G3" s="5">
        <v>71500</v>
      </c>
      <c r="H3" s="4" t="s">
        <v>34</v>
      </c>
      <c r="I3" s="4" t="s">
        <v>35</v>
      </c>
      <c r="J3" s="6">
        <v>0.70138888888888884</v>
      </c>
      <c r="K3" s="1">
        <v>0.70138888888888884</v>
      </c>
      <c r="L3" s="6">
        <v>0.49305555555555558</v>
      </c>
      <c r="M3" s="7">
        <v>0.49305555555555558</v>
      </c>
      <c r="N3" s="8" t="s">
        <v>323</v>
      </c>
      <c r="O3" s="8" t="s">
        <v>320</v>
      </c>
      <c r="P3" s="9">
        <v>909</v>
      </c>
      <c r="Q3" s="8">
        <v>815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f t="shared" ref="A4" si="0">A3</f>
        <v>43762</v>
      </c>
      <c r="B4" s="2" t="s">
        <v>21</v>
      </c>
      <c r="C4" s="2" t="s">
        <v>74</v>
      </c>
      <c r="D4" s="2" t="s">
        <v>23</v>
      </c>
      <c r="E4" s="4" t="s">
        <v>137</v>
      </c>
      <c r="F4" s="2" t="s">
        <v>24</v>
      </c>
      <c r="G4" s="5">
        <v>70000</v>
      </c>
      <c r="H4" s="2" t="s">
        <v>75</v>
      </c>
      <c r="I4" s="2" t="s">
        <v>76</v>
      </c>
      <c r="J4" s="12">
        <v>0.75694444444444453</v>
      </c>
      <c r="K4" s="1">
        <v>0.7631944444444444</v>
      </c>
      <c r="L4" s="12">
        <v>0.58680555555555558</v>
      </c>
      <c r="M4" s="1">
        <v>0.58472222222222225</v>
      </c>
      <c r="N4" s="2" t="s">
        <v>324</v>
      </c>
      <c r="O4" s="2" t="s">
        <v>322</v>
      </c>
      <c r="P4" s="2">
        <v>422</v>
      </c>
      <c r="Q4" s="8">
        <v>889</v>
      </c>
      <c r="R4" s="2">
        <v>0</v>
      </c>
      <c r="S4" s="2">
        <v>0</v>
      </c>
      <c r="T4" s="2">
        <v>0</v>
      </c>
      <c r="U4" s="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D1" workbookViewId="0">
      <selection sqref="A1:U3"/>
    </sheetView>
  </sheetViews>
  <sheetFormatPr defaultRowHeight="15" x14ac:dyDescent="0.25"/>
  <cols>
    <col min="3" max="3" width="12.28515625" customWidth="1"/>
  </cols>
  <sheetData>
    <row r="1" spans="1:21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1" t="s">
        <v>10</v>
      </c>
      <c r="L1" s="28" t="s">
        <v>11</v>
      </c>
      <c r="M1" s="28" t="s">
        <v>12</v>
      </c>
      <c r="N1" s="2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</row>
    <row r="2" spans="1:21" x14ac:dyDescent="0.25">
      <c r="A2" s="3">
        <v>43763</v>
      </c>
      <c r="B2" s="4" t="s">
        <v>21</v>
      </c>
      <c r="C2" s="4" t="s">
        <v>62</v>
      </c>
      <c r="D2" s="4" t="s">
        <v>23</v>
      </c>
      <c r="E2" s="4" t="s">
        <v>283</v>
      </c>
      <c r="F2" s="4" t="s">
        <v>24</v>
      </c>
      <c r="G2" s="5">
        <v>71500</v>
      </c>
      <c r="H2" s="4" t="s">
        <v>63</v>
      </c>
      <c r="I2" s="4" t="s">
        <v>64</v>
      </c>
      <c r="J2" s="6">
        <v>0.45833333333333331</v>
      </c>
      <c r="K2" s="7">
        <v>0.45694444444444443</v>
      </c>
      <c r="L2" s="6">
        <v>0.25694444444444448</v>
      </c>
      <c r="M2" s="7">
        <v>0.25833333333333336</v>
      </c>
      <c r="N2" s="2" t="s">
        <v>325</v>
      </c>
      <c r="O2" s="8" t="s">
        <v>189</v>
      </c>
      <c r="P2" s="8">
        <v>686</v>
      </c>
      <c r="Q2" s="8">
        <v>855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f>A2</f>
        <v>43763</v>
      </c>
      <c r="B3" s="4" t="s">
        <v>21</v>
      </c>
      <c r="C3" s="4" t="s">
        <v>65</v>
      </c>
      <c r="D3" s="4" t="s">
        <v>23</v>
      </c>
      <c r="E3" s="4" t="s">
        <v>137</v>
      </c>
      <c r="F3" s="4" t="s">
        <v>24</v>
      </c>
      <c r="G3" s="5">
        <v>70000</v>
      </c>
      <c r="H3" s="4" t="s">
        <v>66</v>
      </c>
      <c r="I3" s="4" t="s">
        <v>67</v>
      </c>
      <c r="J3" s="6">
        <v>0.4861111111111111</v>
      </c>
      <c r="K3" s="7">
        <v>0.5</v>
      </c>
      <c r="L3" s="6">
        <v>0.28125</v>
      </c>
      <c r="M3" s="7">
        <v>0.30902777777777779</v>
      </c>
      <c r="N3" s="2" t="s">
        <v>326</v>
      </c>
      <c r="O3" s="8" t="s">
        <v>327</v>
      </c>
      <c r="P3" s="4">
        <v>800</v>
      </c>
      <c r="Q3" s="8">
        <v>1275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f t="shared" ref="A4:A7" si="0">A3</f>
        <v>43763</v>
      </c>
      <c r="B4" s="2" t="s">
        <v>21</v>
      </c>
      <c r="C4" s="2" t="s">
        <v>104</v>
      </c>
      <c r="D4" s="2" t="s">
        <v>23</v>
      </c>
      <c r="E4" s="4" t="s">
        <v>283</v>
      </c>
      <c r="F4" s="2" t="s">
        <v>24</v>
      </c>
      <c r="G4" s="5">
        <v>71500</v>
      </c>
      <c r="H4" s="2" t="s">
        <v>105</v>
      </c>
      <c r="I4" s="2" t="s">
        <v>106</v>
      </c>
      <c r="J4" s="12">
        <v>0.70833333333333337</v>
      </c>
      <c r="K4" s="1">
        <v>0.70000000000000007</v>
      </c>
      <c r="L4" s="12">
        <v>0.48958333333333331</v>
      </c>
      <c r="M4" s="1">
        <v>0.49583333333333335</v>
      </c>
      <c r="N4" s="14" t="s">
        <v>328</v>
      </c>
      <c r="O4" s="2" t="s">
        <v>150</v>
      </c>
      <c r="P4" s="2">
        <v>716</v>
      </c>
      <c r="Q4" s="8">
        <v>1674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3">
        <f t="shared" si="0"/>
        <v>43763</v>
      </c>
      <c r="B5" s="2" t="s">
        <v>21</v>
      </c>
      <c r="C5" s="2" t="s">
        <v>71</v>
      </c>
      <c r="D5" s="2" t="s">
        <v>23</v>
      </c>
      <c r="E5" s="4" t="s">
        <v>137</v>
      </c>
      <c r="F5" s="2" t="s">
        <v>24</v>
      </c>
      <c r="G5" s="5">
        <v>70000</v>
      </c>
      <c r="H5" s="2" t="s">
        <v>72</v>
      </c>
      <c r="I5" s="2" t="s">
        <v>73</v>
      </c>
      <c r="J5" s="12">
        <v>0.74652777777777779</v>
      </c>
      <c r="K5" s="1">
        <v>0.75208333333333333</v>
      </c>
      <c r="L5" s="12">
        <v>0.51736111111111105</v>
      </c>
      <c r="M5" s="1">
        <v>0.53749999999999998</v>
      </c>
      <c r="N5" s="2" t="s">
        <v>125</v>
      </c>
      <c r="O5" s="2" t="s">
        <v>95</v>
      </c>
      <c r="P5" s="2">
        <v>968</v>
      </c>
      <c r="Q5" s="8">
        <v>1387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3">
        <f t="shared" si="0"/>
        <v>43763</v>
      </c>
      <c r="B6" s="2" t="s">
        <v>21</v>
      </c>
      <c r="C6" s="2" t="s">
        <v>74</v>
      </c>
      <c r="D6" s="2" t="s">
        <v>23</v>
      </c>
      <c r="E6" s="4" t="s">
        <v>283</v>
      </c>
      <c r="F6" s="2" t="s">
        <v>24</v>
      </c>
      <c r="G6" s="5">
        <v>71500</v>
      </c>
      <c r="H6" s="4" t="s">
        <v>75</v>
      </c>
      <c r="I6" s="4" t="s">
        <v>76</v>
      </c>
      <c r="J6" s="23">
        <v>0.89930555555555547</v>
      </c>
      <c r="K6" s="1">
        <v>0.89444444444444438</v>
      </c>
      <c r="L6" s="23">
        <v>0.72916666666666663</v>
      </c>
      <c r="M6" s="15">
        <v>0.73749999999999993</v>
      </c>
      <c r="N6" s="2" t="s">
        <v>331</v>
      </c>
      <c r="O6" s="14" t="s">
        <v>329</v>
      </c>
      <c r="P6" s="14">
        <v>608</v>
      </c>
      <c r="Q6" s="8">
        <v>987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3">
        <f t="shared" si="0"/>
        <v>43763</v>
      </c>
      <c r="B7" s="14" t="s">
        <v>21</v>
      </c>
      <c r="C7" s="14" t="s">
        <v>107</v>
      </c>
      <c r="D7" s="14" t="s">
        <v>23</v>
      </c>
      <c r="E7" s="4" t="s">
        <v>137</v>
      </c>
      <c r="F7" s="14" t="s">
        <v>24</v>
      </c>
      <c r="G7" s="5">
        <v>70000</v>
      </c>
      <c r="H7" s="14" t="s">
        <v>108</v>
      </c>
      <c r="I7" s="14" t="s">
        <v>109</v>
      </c>
      <c r="J7" s="23">
        <v>0.9375</v>
      </c>
      <c r="K7" s="1">
        <v>0.95138888888888884</v>
      </c>
      <c r="L7" s="23">
        <v>0.76736111111111116</v>
      </c>
      <c r="M7" s="15">
        <v>0.78541666666666676</v>
      </c>
      <c r="N7" s="2" t="s">
        <v>125</v>
      </c>
      <c r="O7" s="2" t="s">
        <v>330</v>
      </c>
      <c r="P7" s="2">
        <v>714</v>
      </c>
      <c r="Q7" s="8">
        <v>1104</v>
      </c>
      <c r="R7" s="14">
        <v>0</v>
      </c>
      <c r="S7" s="14">
        <v>0</v>
      </c>
      <c r="T7" s="14">
        <v>0</v>
      </c>
      <c r="U7" s="14">
        <v>0</v>
      </c>
    </row>
    <row r="8" spans="1:21" x14ac:dyDescent="0.25">
      <c r="A8" s="3"/>
      <c r="B8" s="14"/>
      <c r="C8" s="2"/>
      <c r="D8" s="14"/>
      <c r="E8" s="4"/>
      <c r="F8" s="2"/>
      <c r="G8" s="5"/>
      <c r="H8" s="4"/>
      <c r="I8" s="4"/>
      <c r="J8" s="23"/>
      <c r="K8" s="15"/>
      <c r="L8" s="23"/>
      <c r="M8" s="7"/>
      <c r="N8" s="14"/>
      <c r="O8" s="14"/>
      <c r="P8" s="14"/>
      <c r="Q8" s="14"/>
      <c r="R8" s="14"/>
      <c r="S8" s="14"/>
      <c r="T8" s="14"/>
      <c r="U8" s="14"/>
    </row>
  </sheetData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C1" workbookViewId="0">
      <selection activeCell="N13" sqref="N13"/>
    </sheetView>
  </sheetViews>
  <sheetFormatPr defaultRowHeight="15" x14ac:dyDescent="0.25"/>
  <sheetData>
    <row r="1" spans="1:2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4" t="s">
        <v>11</v>
      </c>
      <c r="M1" s="4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25">
      <c r="A2" s="3">
        <v>43764</v>
      </c>
      <c r="B2" s="4" t="s">
        <v>21</v>
      </c>
      <c r="C2" s="4" t="s">
        <v>22</v>
      </c>
      <c r="D2" s="4" t="s">
        <v>23</v>
      </c>
      <c r="E2" s="4" t="s">
        <v>283</v>
      </c>
      <c r="F2" s="4" t="s">
        <v>24</v>
      </c>
      <c r="G2" s="5">
        <v>71500</v>
      </c>
      <c r="H2" s="4" t="s">
        <v>25</v>
      </c>
      <c r="I2" s="4" t="s">
        <v>26</v>
      </c>
      <c r="J2" s="6">
        <v>0.38541666666666669</v>
      </c>
      <c r="K2" s="1" t="s">
        <v>235</v>
      </c>
      <c r="L2" s="6">
        <v>0.25694444444444448</v>
      </c>
      <c r="M2" s="7" t="s">
        <v>235</v>
      </c>
      <c r="N2" s="31"/>
      <c r="O2" s="32"/>
      <c r="P2" s="32"/>
      <c r="Q2" s="32"/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f>A2</f>
        <v>43764</v>
      </c>
      <c r="B3" s="4" t="s">
        <v>21</v>
      </c>
      <c r="C3" s="4" t="s">
        <v>27</v>
      </c>
      <c r="D3" s="4" t="s">
        <v>23</v>
      </c>
      <c r="E3" s="4" t="s">
        <v>137</v>
      </c>
      <c r="F3" s="4" t="s">
        <v>24</v>
      </c>
      <c r="G3" s="5">
        <v>70000</v>
      </c>
      <c r="H3" s="4" t="s">
        <v>28</v>
      </c>
      <c r="I3" s="4" t="s">
        <v>29</v>
      </c>
      <c r="J3" s="6">
        <v>0.46180555555555558</v>
      </c>
      <c r="K3" s="1" t="s">
        <v>235</v>
      </c>
      <c r="L3" s="6">
        <v>0.28125</v>
      </c>
      <c r="M3" s="7" t="s">
        <v>235</v>
      </c>
      <c r="N3" s="31"/>
      <c r="O3" s="32"/>
      <c r="P3" s="33"/>
      <c r="Q3" s="32"/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f>A3</f>
        <v>43764</v>
      </c>
      <c r="B4" s="4" t="s">
        <v>21</v>
      </c>
      <c r="C4" s="2" t="s">
        <v>30</v>
      </c>
      <c r="D4" s="2" t="s">
        <v>23</v>
      </c>
      <c r="E4" s="4" t="s">
        <v>283</v>
      </c>
      <c r="F4" s="2" t="s">
        <v>24</v>
      </c>
      <c r="G4" s="5">
        <f>G2</f>
        <v>71500</v>
      </c>
      <c r="H4" s="2" t="s">
        <v>31</v>
      </c>
      <c r="I4" s="2" t="s">
        <v>32</v>
      </c>
      <c r="J4" s="12">
        <v>0.55555555555555558</v>
      </c>
      <c r="K4" s="1">
        <v>0.63958333333333328</v>
      </c>
      <c r="L4" s="12">
        <v>0.40625</v>
      </c>
      <c r="M4" s="1">
        <v>0.50069444444444444</v>
      </c>
      <c r="N4" s="2" t="s">
        <v>332</v>
      </c>
      <c r="O4" s="2" t="s">
        <v>267</v>
      </c>
      <c r="P4" s="2">
        <v>737</v>
      </c>
      <c r="Q4" s="8">
        <v>797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3">
        <f>A4</f>
        <v>43764</v>
      </c>
      <c r="B5" s="4" t="s">
        <v>21</v>
      </c>
      <c r="C5" s="2" t="s">
        <v>33</v>
      </c>
      <c r="D5" s="2" t="s">
        <v>23</v>
      </c>
      <c r="E5" s="4" t="s">
        <v>137</v>
      </c>
      <c r="F5" s="2" t="s">
        <v>24</v>
      </c>
      <c r="G5" s="5">
        <f>G3</f>
        <v>70000</v>
      </c>
      <c r="H5" s="2" t="s">
        <v>34</v>
      </c>
      <c r="I5" s="2" t="s">
        <v>35</v>
      </c>
      <c r="J5" s="16">
        <v>0.70138888888888884</v>
      </c>
      <c r="K5" s="1">
        <v>0.72013888888888899</v>
      </c>
      <c r="L5" s="16">
        <v>0.49305555555555558</v>
      </c>
      <c r="M5" s="17">
        <v>0.53472222222222221</v>
      </c>
      <c r="N5" s="2" t="s">
        <v>85</v>
      </c>
      <c r="O5" s="2" t="s">
        <v>85</v>
      </c>
      <c r="P5" s="18">
        <v>773</v>
      </c>
      <c r="Q5" s="8">
        <v>1455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3">
        <f t="shared" ref="A6:A7" si="0">A5</f>
        <v>43764</v>
      </c>
      <c r="B6" s="4" t="s">
        <v>21</v>
      </c>
      <c r="C6" s="2" t="s">
        <v>36</v>
      </c>
      <c r="D6" s="2" t="s">
        <v>23</v>
      </c>
      <c r="E6" s="4" t="s">
        <v>283</v>
      </c>
      <c r="F6" s="2" t="s">
        <v>24</v>
      </c>
      <c r="G6" s="5">
        <f>G4</f>
        <v>71500</v>
      </c>
      <c r="H6" s="4" t="s">
        <v>37</v>
      </c>
      <c r="I6" s="4" t="s">
        <v>38</v>
      </c>
      <c r="J6" s="19">
        <v>0.74652777777777779</v>
      </c>
      <c r="K6" s="1">
        <v>0.80208333333333337</v>
      </c>
      <c r="L6" s="19">
        <v>0.58680555555555558</v>
      </c>
      <c r="M6" s="20">
        <v>0.67291666666666661</v>
      </c>
      <c r="N6" s="2" t="s">
        <v>333</v>
      </c>
      <c r="O6" s="2" t="s">
        <v>261</v>
      </c>
      <c r="P6" s="2">
        <v>719</v>
      </c>
      <c r="Q6" s="8">
        <v>1119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3">
        <f t="shared" si="0"/>
        <v>43764</v>
      </c>
      <c r="B7" s="4" t="s">
        <v>21</v>
      </c>
      <c r="C7" s="21" t="s">
        <v>39</v>
      </c>
      <c r="D7" s="21" t="s">
        <v>23</v>
      </c>
      <c r="E7" s="4" t="s">
        <v>137</v>
      </c>
      <c r="F7" s="21" t="s">
        <v>24</v>
      </c>
      <c r="G7" s="5">
        <f>G5</f>
        <v>70000</v>
      </c>
      <c r="H7" s="21" t="s">
        <v>40</v>
      </c>
      <c r="I7" s="21" t="s">
        <v>41</v>
      </c>
      <c r="J7" s="19">
        <v>0.94097222222222221</v>
      </c>
      <c r="K7" s="1" t="s">
        <v>335</v>
      </c>
      <c r="L7" s="19">
        <v>0.72222222222222221</v>
      </c>
      <c r="M7" s="20">
        <v>0.76041666666666663</v>
      </c>
      <c r="N7" s="31"/>
      <c r="O7" s="17" t="s">
        <v>50</v>
      </c>
      <c r="P7" s="31"/>
      <c r="Q7" s="21">
        <v>997</v>
      </c>
      <c r="R7" s="21">
        <v>0</v>
      </c>
      <c r="S7" s="21">
        <v>0</v>
      </c>
      <c r="T7" s="21">
        <v>0</v>
      </c>
      <c r="U7" s="21">
        <v>0</v>
      </c>
    </row>
    <row r="8" spans="1:21" x14ac:dyDescent="0.25">
      <c r="A8" s="3">
        <f>A7</f>
        <v>43764</v>
      </c>
      <c r="B8" s="2" t="s">
        <v>21</v>
      </c>
      <c r="C8" s="18" t="s">
        <v>42</v>
      </c>
      <c r="D8" s="2" t="s">
        <v>23</v>
      </c>
      <c r="E8" s="4" t="s">
        <v>283</v>
      </c>
      <c r="F8" s="2" t="s">
        <v>24</v>
      </c>
      <c r="G8" s="5">
        <f>G6</f>
        <v>71500</v>
      </c>
      <c r="H8" s="4" t="s">
        <v>43</v>
      </c>
      <c r="I8" s="4" t="s">
        <v>44</v>
      </c>
      <c r="J8" s="16">
        <v>0.94444444444444453</v>
      </c>
      <c r="K8" s="7">
        <v>0.99722222222222223</v>
      </c>
      <c r="L8" s="16">
        <v>0.76736111111111116</v>
      </c>
      <c r="M8" s="17">
        <v>0.82916666666666661</v>
      </c>
      <c r="N8" s="38" t="s">
        <v>176</v>
      </c>
      <c r="O8" s="17" t="s">
        <v>334</v>
      </c>
      <c r="P8" s="18">
        <v>628</v>
      </c>
      <c r="Q8" s="8">
        <v>524</v>
      </c>
      <c r="R8" s="2">
        <v>0</v>
      </c>
      <c r="S8" s="2">
        <v>0</v>
      </c>
      <c r="T8" s="2">
        <v>0</v>
      </c>
      <c r="U8" s="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D1" workbookViewId="0">
      <selection activeCell="A2" sqref="A2:U5"/>
    </sheetView>
  </sheetViews>
  <sheetFormatPr defaultRowHeight="15" x14ac:dyDescent="0.25"/>
  <cols>
    <col min="3" max="3" width="13.42578125" bestFit="1" customWidth="1"/>
    <col min="6" max="6" width="12.140625" bestFit="1" customWidth="1"/>
  </cols>
  <sheetData>
    <row r="1" spans="1:2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4" t="s">
        <v>11</v>
      </c>
      <c r="M1" s="4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25">
      <c r="A2" s="3">
        <v>43765</v>
      </c>
      <c r="B2" s="4" t="s">
        <v>21</v>
      </c>
      <c r="C2" s="4" t="s">
        <v>343</v>
      </c>
      <c r="D2" s="4" t="s">
        <v>23</v>
      </c>
      <c r="E2" s="4" t="s">
        <v>283</v>
      </c>
      <c r="F2" s="4" t="s">
        <v>24</v>
      </c>
      <c r="G2" s="5">
        <v>71500</v>
      </c>
      <c r="H2" s="4" t="s">
        <v>75</v>
      </c>
      <c r="I2" s="4" t="s">
        <v>76</v>
      </c>
      <c r="J2" s="6">
        <v>0.65972222222222221</v>
      </c>
      <c r="K2" s="1">
        <v>0.65416666666666667</v>
      </c>
      <c r="L2" s="6">
        <v>0.49305555555555558</v>
      </c>
      <c r="M2" s="7">
        <v>0.5</v>
      </c>
      <c r="N2" s="2" t="s">
        <v>342</v>
      </c>
      <c r="O2" s="8" t="s">
        <v>338</v>
      </c>
      <c r="P2" s="8">
        <v>880</v>
      </c>
      <c r="Q2" s="8">
        <v>744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f>A2</f>
        <v>43765</v>
      </c>
      <c r="B3" s="4" t="s">
        <v>21</v>
      </c>
      <c r="C3" s="4" t="s">
        <v>336</v>
      </c>
      <c r="D3" s="4" t="s">
        <v>23</v>
      </c>
      <c r="E3" s="4" t="str">
        <f>E5</f>
        <v>HA-LWC</v>
      </c>
      <c r="F3" s="4" t="s">
        <v>24</v>
      </c>
      <c r="G3" s="5">
        <v>70000</v>
      </c>
      <c r="H3" s="4" t="s">
        <v>72</v>
      </c>
      <c r="I3" s="4" t="s">
        <v>73</v>
      </c>
      <c r="J3" s="6">
        <v>0.77083333333333337</v>
      </c>
      <c r="K3" s="1">
        <v>0.77777777777777779</v>
      </c>
      <c r="L3" s="6">
        <v>0.51736111111111105</v>
      </c>
      <c r="M3" s="7">
        <v>0.56736111111111109</v>
      </c>
      <c r="N3" s="2" t="s">
        <v>204</v>
      </c>
      <c r="O3" s="8" t="s">
        <v>141</v>
      </c>
      <c r="P3" s="4">
        <v>1134</v>
      </c>
      <c r="Q3" s="8">
        <v>1717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f>A3</f>
        <v>43765</v>
      </c>
      <c r="B4" s="4" t="s">
        <v>21</v>
      </c>
      <c r="C4" s="2" t="s">
        <v>337</v>
      </c>
      <c r="D4" s="2" t="s">
        <v>23</v>
      </c>
      <c r="E4" s="4" t="s">
        <v>283</v>
      </c>
      <c r="F4" s="2" t="s">
        <v>24</v>
      </c>
      <c r="G4" s="5">
        <f>G2</f>
        <v>71500</v>
      </c>
      <c r="H4" s="2" t="s">
        <v>78</v>
      </c>
      <c r="I4" s="2" t="s">
        <v>79</v>
      </c>
      <c r="J4" s="12">
        <v>0.86805555555555547</v>
      </c>
      <c r="K4" s="1">
        <v>0.8618055555555556</v>
      </c>
      <c r="L4" s="12">
        <v>0.68055555555555547</v>
      </c>
      <c r="M4" s="1">
        <v>0.68680555555555556</v>
      </c>
      <c r="N4" s="2" t="s">
        <v>345</v>
      </c>
      <c r="O4" s="2" t="s">
        <v>344</v>
      </c>
      <c r="P4" s="2">
        <v>1245</v>
      </c>
      <c r="Q4" s="8">
        <v>874</v>
      </c>
      <c r="R4" s="2">
        <v>0</v>
      </c>
      <c r="S4" s="2">
        <v>0</v>
      </c>
      <c r="T4" s="2">
        <v>0</v>
      </c>
      <c r="U4" s="2">
        <v>0</v>
      </c>
    </row>
    <row r="5" spans="1:21" s="39" customFormat="1" x14ac:dyDescent="0.25">
      <c r="A5" s="3">
        <f>A4</f>
        <v>43765</v>
      </c>
      <c r="B5" s="4" t="str">
        <f>B4</f>
        <v>WIZZAIR</v>
      </c>
      <c r="C5" s="2" t="s">
        <v>339</v>
      </c>
      <c r="D5" s="2" t="str">
        <f>D4</f>
        <v>A320</v>
      </c>
      <c r="E5" s="4" t="s">
        <v>340</v>
      </c>
      <c r="F5" s="2" t="str">
        <f>F4</f>
        <v>SCHEDULED</v>
      </c>
      <c r="G5" s="5">
        <f>G3</f>
        <v>70000</v>
      </c>
      <c r="H5" s="2" t="s">
        <v>341</v>
      </c>
      <c r="I5" s="2" t="s">
        <v>290</v>
      </c>
      <c r="J5" s="16">
        <v>0.51736111111111105</v>
      </c>
      <c r="K5" s="1">
        <v>0.53402777777777777</v>
      </c>
      <c r="L5" s="16" t="s">
        <v>290</v>
      </c>
      <c r="M5" s="17" t="s">
        <v>290</v>
      </c>
      <c r="N5" s="2">
        <v>0</v>
      </c>
      <c r="O5" s="2">
        <v>0</v>
      </c>
      <c r="P5" s="18">
        <v>0</v>
      </c>
      <c r="Q5" s="8">
        <v>0</v>
      </c>
      <c r="R5" s="2">
        <v>0</v>
      </c>
      <c r="S5" s="2">
        <v>0</v>
      </c>
      <c r="T5" s="2">
        <v>0</v>
      </c>
      <c r="U5" s="2">
        <v>0</v>
      </c>
    </row>
    <row r="6" spans="1:21" s="39" customFormat="1" x14ac:dyDescent="0.25">
      <c r="A6" s="3"/>
      <c r="B6" s="4"/>
      <c r="C6" s="2"/>
      <c r="D6" s="2"/>
      <c r="E6" s="4"/>
      <c r="F6" s="2"/>
      <c r="G6" s="5"/>
      <c r="H6" s="4"/>
      <c r="I6" s="4"/>
      <c r="J6" s="19"/>
      <c r="K6" s="1"/>
      <c r="L6" s="19"/>
      <c r="M6" s="20"/>
      <c r="N6" s="2"/>
      <c r="O6" s="2"/>
      <c r="P6" s="2"/>
      <c r="Q6" s="8"/>
      <c r="R6" s="2"/>
      <c r="S6" s="2"/>
      <c r="T6" s="2"/>
      <c r="U6" s="2"/>
    </row>
    <row r="7" spans="1:21" s="39" customFormat="1" x14ac:dyDescent="0.25">
      <c r="A7" s="3"/>
      <c r="B7" s="4"/>
      <c r="C7" s="21"/>
      <c r="D7" s="21"/>
      <c r="E7" s="4"/>
      <c r="F7" s="21"/>
      <c r="G7" s="5"/>
      <c r="H7" s="21"/>
      <c r="I7" s="21"/>
      <c r="J7" s="19"/>
      <c r="K7" s="1"/>
      <c r="L7" s="19"/>
      <c r="M7" s="20"/>
      <c r="N7" s="2"/>
      <c r="O7" s="17"/>
      <c r="P7" s="2"/>
      <c r="Q7" s="21"/>
      <c r="R7" s="21"/>
      <c r="S7" s="21"/>
      <c r="T7" s="21"/>
      <c r="U7" s="21"/>
    </row>
    <row r="8" spans="1:21" s="39" customFormat="1" x14ac:dyDescent="0.25">
      <c r="A8" s="3"/>
      <c r="B8" s="2"/>
      <c r="C8" s="18"/>
      <c r="D8" s="2"/>
      <c r="E8" s="4"/>
      <c r="F8" s="2"/>
      <c r="G8" s="5"/>
      <c r="H8" s="4"/>
      <c r="I8" s="4"/>
      <c r="J8" s="16"/>
      <c r="K8" s="7"/>
      <c r="L8" s="16"/>
      <c r="M8" s="17"/>
      <c r="N8" s="17"/>
      <c r="O8" s="17"/>
      <c r="P8" s="18"/>
      <c r="Q8" s="8"/>
      <c r="R8" s="2"/>
      <c r="S8" s="2"/>
      <c r="T8" s="2"/>
      <c r="U8" s="2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opLeftCell="B1" workbookViewId="0">
      <selection activeCell="R5" sqref="R5"/>
    </sheetView>
  </sheetViews>
  <sheetFormatPr defaultRowHeight="15" x14ac:dyDescent="0.25"/>
  <cols>
    <col min="3" max="3" width="17.85546875" bestFit="1" customWidth="1"/>
    <col min="6" max="6" width="12.140625" bestFit="1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6" width="10.28515625" bestFit="1" customWidth="1"/>
  </cols>
  <sheetData>
    <row r="1" spans="1:2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4" t="s">
        <v>11</v>
      </c>
      <c r="M1" s="4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25">
      <c r="A2" s="3">
        <v>43765</v>
      </c>
      <c r="B2" s="4" t="s">
        <v>21</v>
      </c>
      <c r="C2" s="14" t="s">
        <v>346</v>
      </c>
      <c r="D2" s="14" t="s">
        <v>23</v>
      </c>
      <c r="E2" s="14" t="s">
        <v>350</v>
      </c>
      <c r="F2" s="4" t="s">
        <v>24</v>
      </c>
      <c r="G2" s="41">
        <v>70000</v>
      </c>
      <c r="H2" s="14" t="s">
        <v>63</v>
      </c>
      <c r="I2" s="14" t="s">
        <v>64</v>
      </c>
      <c r="J2" s="23">
        <v>0.46180555555555558</v>
      </c>
      <c r="K2" s="15">
        <v>0.45416666666666666</v>
      </c>
      <c r="L2" s="23">
        <v>0.25694444444444448</v>
      </c>
      <c r="M2" s="15">
        <v>0.26597222222222222</v>
      </c>
      <c r="N2" s="14" t="s">
        <v>353</v>
      </c>
      <c r="O2" s="14" t="s">
        <v>352</v>
      </c>
      <c r="P2" s="14">
        <v>1356</v>
      </c>
      <c r="Q2" s="14">
        <v>813</v>
      </c>
      <c r="R2" s="14">
        <v>0</v>
      </c>
      <c r="S2" s="14">
        <v>0</v>
      </c>
      <c r="T2" s="14">
        <v>0</v>
      </c>
      <c r="U2" s="14">
        <v>0</v>
      </c>
    </row>
    <row r="3" spans="1:21" x14ac:dyDescent="0.25">
      <c r="A3" s="3">
        <f>A2</f>
        <v>43765</v>
      </c>
      <c r="B3" s="4" t="s">
        <v>21</v>
      </c>
      <c r="C3" s="14" t="s">
        <v>347</v>
      </c>
      <c r="D3" s="14" t="s">
        <v>23</v>
      </c>
      <c r="E3" s="14" t="s">
        <v>351</v>
      </c>
      <c r="F3" s="4" t="s">
        <v>24</v>
      </c>
      <c r="G3" s="41">
        <v>71500</v>
      </c>
      <c r="H3" s="14" t="s">
        <v>66</v>
      </c>
      <c r="I3" s="14" t="s">
        <v>67</v>
      </c>
      <c r="J3" s="23">
        <v>0.50694444444444442</v>
      </c>
      <c r="K3" s="15">
        <v>0.54583333333333328</v>
      </c>
      <c r="L3" s="23">
        <v>0.30208333333333331</v>
      </c>
      <c r="M3" s="15">
        <v>0.3576388888888889</v>
      </c>
      <c r="N3" s="14" t="s">
        <v>250</v>
      </c>
      <c r="O3" s="14" t="s">
        <v>168</v>
      </c>
      <c r="P3" s="14">
        <v>813</v>
      </c>
      <c r="Q3" s="14">
        <v>941</v>
      </c>
      <c r="R3" s="14">
        <v>0</v>
      </c>
      <c r="S3" s="14">
        <v>0</v>
      </c>
      <c r="T3" s="14">
        <v>0</v>
      </c>
      <c r="U3" s="14">
        <v>0</v>
      </c>
    </row>
    <row r="4" spans="1:21" x14ac:dyDescent="0.25">
      <c r="A4" s="3">
        <f>A3</f>
        <v>43765</v>
      </c>
      <c r="B4" s="4" t="s">
        <v>21</v>
      </c>
      <c r="C4" s="14" t="s">
        <v>348</v>
      </c>
      <c r="D4" s="14" t="s">
        <v>23</v>
      </c>
      <c r="E4" s="14" t="s">
        <v>351</v>
      </c>
      <c r="F4" s="4" t="s">
        <v>24</v>
      </c>
      <c r="G4" s="41">
        <v>71500</v>
      </c>
      <c r="H4" s="14" t="s">
        <v>37</v>
      </c>
      <c r="I4" s="14" t="s">
        <v>38</v>
      </c>
      <c r="J4" s="23">
        <v>0.68055555555555547</v>
      </c>
      <c r="K4" s="15">
        <v>0.72152777777777777</v>
      </c>
      <c r="L4" s="23">
        <v>0.52777777777777779</v>
      </c>
      <c r="M4" s="15">
        <v>0.5805555555555556</v>
      </c>
      <c r="N4" s="14" t="s">
        <v>355</v>
      </c>
      <c r="O4" s="14" t="s">
        <v>223</v>
      </c>
      <c r="P4" s="14">
        <v>598</v>
      </c>
      <c r="Q4" s="14">
        <v>878</v>
      </c>
      <c r="R4" s="14">
        <v>0</v>
      </c>
      <c r="S4" s="14">
        <v>0</v>
      </c>
      <c r="T4" s="14">
        <v>0</v>
      </c>
      <c r="U4" s="14">
        <v>0</v>
      </c>
    </row>
    <row r="5" spans="1:21" x14ac:dyDescent="0.25">
      <c r="A5" s="3">
        <f>A4</f>
        <v>43765</v>
      </c>
      <c r="B5" s="4" t="str">
        <f>B4</f>
        <v>WIZZAIR</v>
      </c>
      <c r="C5" s="14" t="s">
        <v>349</v>
      </c>
      <c r="D5" s="14" t="s">
        <v>23</v>
      </c>
      <c r="E5" s="14" t="s">
        <v>350</v>
      </c>
      <c r="F5" s="4" t="s">
        <v>24</v>
      </c>
      <c r="G5" s="41">
        <v>70000</v>
      </c>
      <c r="H5" s="14" t="s">
        <v>40</v>
      </c>
      <c r="I5" s="14" t="s">
        <v>41</v>
      </c>
      <c r="J5" s="23">
        <v>0.91319444444444453</v>
      </c>
      <c r="K5" s="15">
        <v>0.88750000000000007</v>
      </c>
      <c r="L5" s="23">
        <v>0.69097222222222221</v>
      </c>
      <c r="M5" s="15">
        <v>0.68680555555555556</v>
      </c>
      <c r="N5" s="14" t="s">
        <v>356</v>
      </c>
      <c r="O5" s="14" t="s">
        <v>354</v>
      </c>
      <c r="P5" s="14">
        <v>238</v>
      </c>
      <c r="Q5" s="14">
        <v>843</v>
      </c>
      <c r="R5" s="14">
        <v>0</v>
      </c>
      <c r="S5" s="14">
        <v>0</v>
      </c>
      <c r="T5" s="14">
        <v>0</v>
      </c>
      <c r="U5" s="14">
        <v>0</v>
      </c>
    </row>
    <row r="6" spans="1:21" x14ac:dyDescent="0.25"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</row>
  </sheetData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J6" sqref="J6"/>
    </sheetView>
  </sheetViews>
  <sheetFormatPr defaultRowHeight="15" x14ac:dyDescent="0.25"/>
  <cols>
    <col min="3" max="3" width="17.85546875" bestFit="1" customWidth="1"/>
    <col min="6" max="6" width="12.140625" bestFit="1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6" width="10.28515625" bestFit="1" customWidth="1"/>
  </cols>
  <sheetData>
    <row r="1" spans="1:2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4" t="s">
        <v>11</v>
      </c>
      <c r="M1" s="4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25">
      <c r="A2" s="3">
        <v>43767</v>
      </c>
      <c r="B2" s="4" t="s">
        <v>21</v>
      </c>
      <c r="C2" s="14" t="s">
        <v>357</v>
      </c>
      <c r="D2" s="14" t="s">
        <v>23</v>
      </c>
      <c r="E2" s="14" t="s">
        <v>361</v>
      </c>
      <c r="F2" s="4" t="s">
        <v>24</v>
      </c>
      <c r="G2" s="41">
        <v>71500</v>
      </c>
      <c r="H2" s="14" t="s">
        <v>28</v>
      </c>
      <c r="I2" s="14" t="s">
        <v>29</v>
      </c>
      <c r="J2" s="23">
        <v>0.50694444444444442</v>
      </c>
      <c r="K2" s="15">
        <v>0.50138888888888888</v>
      </c>
      <c r="L2" s="23">
        <v>0.32291666666666669</v>
      </c>
      <c r="M2" s="15">
        <v>0.32361111111111113</v>
      </c>
      <c r="N2" s="14" t="s">
        <v>84</v>
      </c>
      <c r="O2" s="14" t="s">
        <v>362</v>
      </c>
      <c r="P2" s="14">
        <v>974</v>
      </c>
      <c r="Q2" s="14">
        <v>846</v>
      </c>
      <c r="R2" s="14">
        <v>0</v>
      </c>
      <c r="S2" s="14">
        <v>0</v>
      </c>
      <c r="T2" s="14">
        <v>0</v>
      </c>
      <c r="U2" s="14">
        <v>0</v>
      </c>
    </row>
    <row r="3" spans="1:21" x14ac:dyDescent="0.25">
      <c r="A3" s="3">
        <f>A2</f>
        <v>43767</v>
      </c>
      <c r="B3" s="4" t="s">
        <v>21</v>
      </c>
      <c r="C3" s="14" t="s">
        <v>358</v>
      </c>
      <c r="D3" s="14" t="s">
        <v>23</v>
      </c>
      <c r="E3" s="14" t="s">
        <v>340</v>
      </c>
      <c r="F3" s="4" t="s">
        <v>24</v>
      </c>
      <c r="G3" s="41">
        <v>70000</v>
      </c>
      <c r="H3" s="14" t="s">
        <v>34</v>
      </c>
      <c r="I3" s="14" t="s">
        <v>35</v>
      </c>
      <c r="J3" s="23">
        <v>0.72916666666666663</v>
      </c>
      <c r="K3" s="15">
        <v>0.72013888888888899</v>
      </c>
      <c r="L3" s="23">
        <v>0.51388888888888895</v>
      </c>
      <c r="M3" s="15">
        <v>0.5180555555555556</v>
      </c>
      <c r="N3" s="14" t="s">
        <v>139</v>
      </c>
      <c r="O3" s="14" t="s">
        <v>82</v>
      </c>
      <c r="P3" s="14">
        <v>835</v>
      </c>
      <c r="Q3" s="14">
        <v>869</v>
      </c>
      <c r="R3" s="14">
        <v>0</v>
      </c>
      <c r="S3" s="14">
        <v>0</v>
      </c>
      <c r="T3" s="14">
        <v>0</v>
      </c>
      <c r="U3" s="14">
        <v>0</v>
      </c>
    </row>
    <row r="4" spans="1:21" x14ac:dyDescent="0.25">
      <c r="A4" s="3">
        <f>A3</f>
        <v>43767</v>
      </c>
      <c r="B4" s="4" t="s">
        <v>21</v>
      </c>
      <c r="C4" s="14" t="s">
        <v>359</v>
      </c>
      <c r="D4" s="14" t="s">
        <v>23</v>
      </c>
      <c r="E4" s="14" t="s">
        <v>351</v>
      </c>
      <c r="F4" s="4" t="s">
        <v>24</v>
      </c>
      <c r="G4" s="41">
        <v>71500</v>
      </c>
      <c r="H4" s="14" t="s">
        <v>31</v>
      </c>
      <c r="I4" s="14" t="s">
        <v>32</v>
      </c>
      <c r="J4" s="23">
        <v>0.68402777777777779</v>
      </c>
      <c r="K4" s="15">
        <v>0.66805555555555562</v>
      </c>
      <c r="L4" s="23">
        <v>0.52777777777777779</v>
      </c>
      <c r="M4" s="15">
        <v>0.53749999999999998</v>
      </c>
      <c r="N4" s="14" t="s">
        <v>364</v>
      </c>
      <c r="O4" s="14" t="s">
        <v>363</v>
      </c>
      <c r="P4" s="14">
        <v>703</v>
      </c>
      <c r="Q4" s="14">
        <v>714</v>
      </c>
      <c r="R4" s="14">
        <v>0</v>
      </c>
      <c r="S4" s="14">
        <v>0</v>
      </c>
      <c r="T4" s="14">
        <v>0</v>
      </c>
      <c r="U4" s="14">
        <v>0</v>
      </c>
    </row>
    <row r="5" spans="1:21" x14ac:dyDescent="0.25">
      <c r="A5" s="3">
        <f>A4</f>
        <v>43767</v>
      </c>
      <c r="B5" s="4" t="str">
        <f>B4</f>
        <v>WIZZAIR</v>
      </c>
      <c r="C5" s="14" t="s">
        <v>360</v>
      </c>
      <c r="D5" s="14" t="s">
        <v>23</v>
      </c>
      <c r="E5" s="14" t="s">
        <v>350</v>
      </c>
      <c r="F5" s="4" t="s">
        <v>24</v>
      </c>
      <c r="G5" s="41">
        <v>70000</v>
      </c>
      <c r="H5" s="14" t="s">
        <v>43</v>
      </c>
      <c r="I5" s="14" t="s">
        <v>44</v>
      </c>
      <c r="J5" s="23">
        <v>0.94444444444444453</v>
      </c>
      <c r="K5" s="15">
        <v>0.93888888888888899</v>
      </c>
      <c r="L5" s="23">
        <v>0.77430555555555547</v>
      </c>
      <c r="M5" s="15">
        <v>0.77361111111111114</v>
      </c>
      <c r="N5" s="14" t="s">
        <v>366</v>
      </c>
      <c r="O5" s="14" t="s">
        <v>365</v>
      </c>
      <c r="P5" s="14">
        <v>946</v>
      </c>
      <c r="Q5" s="14">
        <v>908</v>
      </c>
      <c r="R5" s="14">
        <v>0</v>
      </c>
      <c r="S5" s="14">
        <v>0</v>
      </c>
      <c r="T5" s="14">
        <v>0</v>
      </c>
      <c r="U5" s="14">
        <v>0</v>
      </c>
    </row>
    <row r="6" spans="1:21" x14ac:dyDescent="0.25"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</row>
  </sheetData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abSelected="1" workbookViewId="0">
      <selection activeCell="K6" sqref="K6"/>
    </sheetView>
  </sheetViews>
  <sheetFormatPr defaultRowHeight="15" x14ac:dyDescent="0.25"/>
  <cols>
    <col min="3" max="3" width="13.7109375" bestFit="1" customWidth="1"/>
    <col min="4" max="4" width="5.7109375" bestFit="1" customWidth="1"/>
    <col min="5" max="5" width="8.140625" bestFit="1" customWidth="1"/>
  </cols>
  <sheetData>
    <row r="1" spans="1:21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1" t="s">
        <v>10</v>
      </c>
      <c r="L1" s="28" t="s">
        <v>11</v>
      </c>
      <c r="M1" s="28" t="s">
        <v>12</v>
      </c>
      <c r="N1" s="2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</row>
    <row r="2" spans="1:21" x14ac:dyDescent="0.25">
      <c r="A2" s="3">
        <v>43768</v>
      </c>
      <c r="B2" s="4" t="s">
        <v>21</v>
      </c>
      <c r="C2" s="4" t="s">
        <v>62</v>
      </c>
      <c r="D2" s="4" t="s">
        <v>23</v>
      </c>
      <c r="E2" s="4" t="s">
        <v>283</v>
      </c>
      <c r="F2" s="4" t="s">
        <v>24</v>
      </c>
      <c r="G2" s="5">
        <v>71500</v>
      </c>
      <c r="H2" s="4" t="s">
        <v>63</v>
      </c>
      <c r="I2" s="4" t="s">
        <v>64</v>
      </c>
      <c r="J2" s="6">
        <v>0.46180555555555558</v>
      </c>
      <c r="K2" s="7">
        <v>0.4513888888888889</v>
      </c>
      <c r="L2" s="6">
        <v>0.25694444444444448</v>
      </c>
      <c r="M2" s="7">
        <v>0.25486111111111109</v>
      </c>
      <c r="N2" s="2" t="s">
        <v>342</v>
      </c>
      <c r="O2" s="8" t="s">
        <v>84</v>
      </c>
      <c r="P2" s="8">
        <v>938</v>
      </c>
      <c r="Q2" s="8">
        <v>964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f>A2</f>
        <v>43768</v>
      </c>
      <c r="B3" s="4" t="s">
        <v>21</v>
      </c>
      <c r="C3" s="4" t="s">
        <v>65</v>
      </c>
      <c r="D3" s="4" t="s">
        <v>23</v>
      </c>
      <c r="E3" s="4" t="s">
        <v>137</v>
      </c>
      <c r="F3" s="4" t="s">
        <v>24</v>
      </c>
      <c r="G3" s="5">
        <v>70000</v>
      </c>
      <c r="H3" s="4" t="s">
        <v>66</v>
      </c>
      <c r="I3" s="4" t="s">
        <v>67</v>
      </c>
      <c r="J3" s="6">
        <v>0.50694444444444442</v>
      </c>
      <c r="K3" s="7">
        <v>0.4916666666666667</v>
      </c>
      <c r="L3" s="6">
        <v>0.30208333333333331</v>
      </c>
      <c r="M3" s="7">
        <v>0.30486111111111108</v>
      </c>
      <c r="N3" s="2" t="s">
        <v>367</v>
      </c>
      <c r="O3" s="8" t="s">
        <v>127</v>
      </c>
      <c r="P3" s="4">
        <v>732</v>
      </c>
      <c r="Q3" s="8">
        <v>1400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3">
        <f>A3</f>
        <v>43768</v>
      </c>
      <c r="B4" s="4" t="s">
        <v>21</v>
      </c>
      <c r="C4" s="4" t="s">
        <v>343</v>
      </c>
      <c r="D4" s="4" t="s">
        <v>23</v>
      </c>
      <c r="E4" s="4" t="s">
        <v>283</v>
      </c>
      <c r="F4" s="4" t="s">
        <v>24</v>
      </c>
      <c r="G4" s="5">
        <v>71500</v>
      </c>
      <c r="H4" s="4" t="s">
        <v>75</v>
      </c>
      <c r="I4" s="4" t="s">
        <v>76</v>
      </c>
      <c r="J4" s="6">
        <v>0.65972222222222221</v>
      </c>
      <c r="K4" s="1">
        <v>0.66041666666666665</v>
      </c>
      <c r="L4" s="6">
        <v>0.49305555555555558</v>
      </c>
      <c r="M4" s="7">
        <v>0.49305555555555558</v>
      </c>
      <c r="N4" s="2" t="s">
        <v>316</v>
      </c>
      <c r="O4" s="8" t="s">
        <v>368</v>
      </c>
      <c r="P4" s="8">
        <v>711</v>
      </c>
      <c r="Q4" s="8">
        <v>1163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3">
        <f>A4</f>
        <v>43768</v>
      </c>
      <c r="B5" s="4" t="s">
        <v>21</v>
      </c>
      <c r="C5" s="4" t="s">
        <v>336</v>
      </c>
      <c r="D5" s="4" t="s">
        <v>23</v>
      </c>
      <c r="E5" s="4" t="s">
        <v>137</v>
      </c>
      <c r="F5" s="4" t="s">
        <v>24</v>
      </c>
      <c r="G5" s="5">
        <v>70000</v>
      </c>
      <c r="H5" s="4" t="s">
        <v>72</v>
      </c>
      <c r="I5" s="4" t="s">
        <v>73</v>
      </c>
      <c r="J5" s="6">
        <v>0.77083333333333337</v>
      </c>
      <c r="K5" s="1">
        <v>0.76944444444444438</v>
      </c>
      <c r="L5" s="6">
        <v>0.53819444444444442</v>
      </c>
      <c r="M5" s="7">
        <v>0.54513888888888895</v>
      </c>
      <c r="N5" s="2" t="s">
        <v>369</v>
      </c>
      <c r="O5" s="8" t="s">
        <v>279</v>
      </c>
      <c r="P5" s="4">
        <v>873</v>
      </c>
      <c r="Q5" s="8">
        <v>1465</v>
      </c>
      <c r="R5" s="4">
        <v>0</v>
      </c>
      <c r="S5" s="4">
        <v>0</v>
      </c>
      <c r="T5" s="4">
        <v>0</v>
      </c>
      <c r="U5" s="4">
        <v>0</v>
      </c>
    </row>
    <row r="6" spans="1:21" x14ac:dyDescent="0.25">
      <c r="A6" s="3">
        <f>A5</f>
        <v>43768</v>
      </c>
      <c r="B6" s="4" t="s">
        <v>21</v>
      </c>
      <c r="C6" s="2" t="s">
        <v>337</v>
      </c>
      <c r="D6" s="2" t="s">
        <v>23</v>
      </c>
      <c r="E6" s="4" t="s">
        <v>283</v>
      </c>
      <c r="F6" s="2" t="s">
        <v>24</v>
      </c>
      <c r="G6" s="5">
        <f>G4</f>
        <v>71500</v>
      </c>
      <c r="H6" s="2" t="s">
        <v>78</v>
      </c>
      <c r="I6" s="2" t="s">
        <v>79</v>
      </c>
      <c r="J6" s="12">
        <v>0.86805555555555547</v>
      </c>
      <c r="K6" s="1">
        <v>0.87430555555555556</v>
      </c>
      <c r="L6" s="12">
        <v>0.68055555555555547</v>
      </c>
      <c r="M6" s="1">
        <v>0.69861111111111107</v>
      </c>
      <c r="N6" s="2" t="s">
        <v>371</v>
      </c>
      <c r="O6" s="2" t="s">
        <v>370</v>
      </c>
      <c r="P6" s="2">
        <v>740</v>
      </c>
      <c r="Q6" s="8">
        <v>929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3"/>
      <c r="B7" s="4"/>
      <c r="C7" s="2"/>
      <c r="D7" s="2"/>
      <c r="E7" s="4"/>
      <c r="F7" s="2"/>
      <c r="G7" s="5"/>
      <c r="H7" s="2"/>
      <c r="I7" s="2"/>
      <c r="J7" s="16"/>
      <c r="K7" s="1"/>
      <c r="L7" s="16"/>
      <c r="M7" s="17"/>
      <c r="N7" s="2"/>
      <c r="O7" s="2"/>
      <c r="P7" s="18"/>
      <c r="Q7" s="8"/>
      <c r="R7" s="2"/>
      <c r="S7" s="2"/>
      <c r="T7" s="2"/>
      <c r="U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OPC</dc:creator>
  <cp:lastModifiedBy>OPC</cp:lastModifiedBy>
  <dcterms:created xsi:type="dcterms:W3CDTF">2019-09-01T04:01:26Z</dcterms:created>
  <dcterms:modified xsi:type="dcterms:W3CDTF">2019-10-30T20:07:09Z</dcterms:modified>
</cp:coreProperties>
</file>