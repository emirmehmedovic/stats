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11820" firstSheet="11" activeTab="30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  <sheet name="11" sheetId="11" r:id="rId11"/>
    <sheet name="12" sheetId="12" r:id="rId12"/>
    <sheet name="13" sheetId="13" r:id="rId13"/>
    <sheet name="14" sheetId="14" r:id="rId14"/>
    <sheet name="15" sheetId="15" r:id="rId15"/>
    <sheet name="16" sheetId="16" r:id="rId16"/>
    <sheet name="17" sheetId="17" r:id="rId17"/>
    <sheet name="18" sheetId="18" r:id="rId18"/>
    <sheet name="19" sheetId="19" r:id="rId19"/>
    <sheet name="20" sheetId="20" r:id="rId20"/>
    <sheet name="21" sheetId="21" r:id="rId21"/>
    <sheet name="22" sheetId="22" r:id="rId22"/>
    <sheet name="23" sheetId="24" r:id="rId23"/>
    <sheet name="24" sheetId="25" r:id="rId24"/>
    <sheet name="25" sheetId="26" r:id="rId25"/>
    <sheet name="26" sheetId="27" r:id="rId26"/>
    <sheet name="27" sheetId="28" r:id="rId27"/>
    <sheet name="28" sheetId="29" r:id="rId28"/>
    <sheet name="29" sheetId="30" r:id="rId29"/>
    <sheet name="30" sheetId="31" r:id="rId30"/>
    <sheet name="31" sheetId="32" r:id="rId31"/>
  </sheets>
  <calcPr calcId="145621"/>
</workbook>
</file>

<file path=xl/calcChain.xml><?xml version="1.0" encoding="utf-8"?>
<calcChain xmlns="http://schemas.openxmlformats.org/spreadsheetml/2006/main">
  <c r="A10" i="31" l="1"/>
  <c r="E8" i="31" l="1"/>
  <c r="E6" i="31"/>
  <c r="E9" i="31"/>
  <c r="E7" i="31"/>
  <c r="G9" i="31" l="1"/>
  <c r="D5" i="31"/>
  <c r="G4" i="31"/>
  <c r="E4" i="31"/>
  <c r="A3" i="31"/>
  <c r="A4" i="31" s="1"/>
  <c r="A5" i="31" s="1"/>
  <c r="A6" i="31" s="1"/>
  <c r="A7" i="31" s="1"/>
  <c r="A8" i="31" s="1"/>
  <c r="A9" i="31" s="1"/>
  <c r="A8" i="30" l="1"/>
  <c r="E7" i="30" l="1"/>
  <c r="E5" i="30"/>
  <c r="A7" i="30"/>
  <c r="A6" i="30"/>
  <c r="A5" i="30"/>
  <c r="A4" i="30"/>
  <c r="A3" i="30"/>
  <c r="E5" i="29" l="1"/>
  <c r="E7" i="29" s="1"/>
  <c r="E4" i="29"/>
  <c r="E6" i="29" s="1"/>
  <c r="D8" i="27" l="1"/>
  <c r="N5" i="25" l="1"/>
  <c r="G9" i="24" l="1"/>
  <c r="G4" i="24" l="1"/>
  <c r="E4" i="24"/>
  <c r="A9" i="24"/>
  <c r="A8" i="24"/>
  <c r="A7" i="24"/>
  <c r="A6" i="24"/>
  <c r="A3" i="24"/>
  <c r="A4" i="24" s="1"/>
  <c r="A5" i="24" s="1"/>
  <c r="D5" i="24"/>
  <c r="E5" i="21" l="1"/>
  <c r="E7" i="21" s="1"/>
  <c r="E4" i="21"/>
  <c r="E6" i="21" s="1"/>
  <c r="D8" i="19" l="1"/>
  <c r="E6" i="17" l="1"/>
  <c r="D5" i="16" l="1"/>
  <c r="E5" i="14" l="1"/>
  <c r="E7" i="14" s="1"/>
  <c r="E4" i="14"/>
  <c r="E6" i="14" s="1"/>
  <c r="D8" i="12" l="1"/>
  <c r="E6" i="10" l="1"/>
  <c r="D5" i="9" l="1"/>
  <c r="A7" i="7" l="1"/>
  <c r="E5" i="7"/>
  <c r="E4" i="7"/>
  <c r="E6" i="7" s="1"/>
  <c r="D6" i="5" l="1"/>
  <c r="E7" i="3" l="1"/>
  <c r="E6" i="3"/>
  <c r="D5" i="2" l="1"/>
</calcChain>
</file>

<file path=xl/comments1.xml><?xml version="1.0" encoding="utf-8"?>
<comments xmlns="http://schemas.openxmlformats.org/spreadsheetml/2006/main">
  <authors>
    <author>OPC</author>
  </authors>
  <commentList>
    <comment ref="K7" authorId="0">
      <text>
        <r>
          <rPr>
            <b/>
            <sz val="9"/>
            <color indexed="81"/>
            <rFont val="Tahoma"/>
            <family val="2"/>
            <charset val="238"/>
          </rPr>
          <t>OPC:</t>
        </r>
        <r>
          <rPr>
            <sz val="9"/>
            <color indexed="81"/>
            <rFont val="Tahoma"/>
            <family val="2"/>
            <charset val="238"/>
          </rPr>
          <t xml:space="preserve">
OTKAZAN
</t>
        </r>
      </text>
    </comment>
  </commentList>
</comments>
</file>

<file path=xl/sharedStrings.xml><?xml version="1.0" encoding="utf-8"?>
<sst xmlns="http://schemas.openxmlformats.org/spreadsheetml/2006/main" count="2590" uniqueCount="431">
  <si>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</si>
  <si>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</si>
  <si>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</si>
  <si>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</si>
  <si>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</si>
  <si>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</si>
  <si>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</si>
  <si>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</si>
  <si>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</si>
  <si>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</si>
  <si>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</si>
  <si>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</si>
  <si>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</si>
  <si>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DOLAZAK</t>
  </si>
  <si>
    <t>br putnika ODLAZAK</t>
  </si>
  <si>
    <t>prtljag D(kg)</t>
  </si>
  <si>
    <t>prtljag O(kg)</t>
  </si>
  <si>
    <t>cargo D(kg)</t>
  </si>
  <si>
    <t>cargo O(kg)</t>
  </si>
  <si>
    <t>pošta D(kg)</t>
  </si>
  <si>
    <t>pošta O(kg)</t>
  </si>
  <si>
    <t>WIZZAIR</t>
  </si>
  <si>
    <t>TZL-DTM-TZL</t>
  </si>
  <si>
    <t>A320</t>
  </si>
  <si>
    <t>SCHEDULED</t>
  </si>
  <si>
    <t>W64298</t>
  </si>
  <si>
    <t>W64297</t>
  </si>
  <si>
    <t>TZL-MMX-TZL</t>
  </si>
  <si>
    <t>W64292</t>
  </si>
  <si>
    <t>W64291</t>
  </si>
  <si>
    <t>TZL-VXO-TZL</t>
  </si>
  <si>
    <t>W64612</t>
  </si>
  <si>
    <t>W64611</t>
  </si>
  <si>
    <t>TZL-GOT-TZL</t>
  </si>
  <si>
    <t>W64296</t>
  </si>
  <si>
    <t>W64295</t>
  </si>
  <si>
    <t>TZL-MLH-TZL</t>
  </si>
  <si>
    <t>W64294</t>
  </si>
  <si>
    <t>W64293</t>
  </si>
  <si>
    <t>TZL-FKB-TZL</t>
  </si>
  <si>
    <t>W64618</t>
  </si>
  <si>
    <t>W64617</t>
  </si>
  <si>
    <t>HALWF</t>
  </si>
  <si>
    <t>HALPR</t>
  </si>
  <si>
    <t>163+1INF</t>
  </si>
  <si>
    <t>70+0INF</t>
  </si>
  <si>
    <t>170+1INF</t>
  </si>
  <si>
    <t>165+3INF</t>
  </si>
  <si>
    <t>62+1INF</t>
  </si>
  <si>
    <t>67+3INF</t>
  </si>
  <si>
    <t>174+1 INF</t>
  </si>
  <si>
    <t>179+3 INF</t>
  </si>
  <si>
    <t>167+3 INF</t>
  </si>
  <si>
    <t>152+1 INF</t>
  </si>
  <si>
    <t>158+3 INF</t>
  </si>
  <si>
    <t>171+10 INF</t>
  </si>
  <si>
    <t>TZL-VIE-TZL</t>
  </si>
  <si>
    <t>W64286</t>
  </si>
  <si>
    <t>W64285</t>
  </si>
  <si>
    <t>TZL-HHN-TZL</t>
  </si>
  <si>
    <t>W64284</t>
  </si>
  <si>
    <t>W64283</t>
  </si>
  <si>
    <t>TZL-FMM-TZL</t>
  </si>
  <si>
    <t>W64280</t>
  </si>
  <si>
    <t>W64279</t>
  </si>
  <si>
    <t>FREEBIRD</t>
  </si>
  <si>
    <t>AYT-TZL-AYT</t>
  </si>
  <si>
    <t>TC-FHY</t>
  </si>
  <si>
    <t>NONSCH/CHARTER</t>
  </si>
  <si>
    <t>FHY821</t>
  </si>
  <si>
    <t>FHY822</t>
  </si>
  <si>
    <t>TZL-EIN-TZL</t>
  </si>
  <si>
    <t>W64290</t>
  </si>
  <si>
    <t>W64289</t>
  </si>
  <si>
    <t>TZL-FDH-TZL</t>
  </si>
  <si>
    <t>W64616</t>
  </si>
  <si>
    <t>W64615</t>
  </si>
  <si>
    <t>TZL-BLL-TZL</t>
  </si>
  <si>
    <t>W64278</t>
  </si>
  <si>
    <t>W64277</t>
  </si>
  <si>
    <t>TZL-SXF-TZL</t>
  </si>
  <si>
    <t>W64276</t>
  </si>
  <si>
    <t>W64275</t>
  </si>
  <si>
    <t>169+5INF</t>
  </si>
  <si>
    <t>128+2INF</t>
  </si>
  <si>
    <t>172+2INF</t>
  </si>
  <si>
    <t>160+3INF</t>
  </si>
  <si>
    <t>172+6INF</t>
  </si>
  <si>
    <t>166+4INF</t>
  </si>
  <si>
    <t>176+4INF</t>
  </si>
  <si>
    <t>179+2INF</t>
  </si>
  <si>
    <t>149+3INF</t>
  </si>
  <si>
    <t>145+2INF</t>
  </si>
  <si>
    <t>177+4 INF</t>
  </si>
  <si>
    <t>169+4 INF</t>
  </si>
  <si>
    <t>79+1 INF</t>
  </si>
  <si>
    <t>139+3 INF</t>
  </si>
  <si>
    <t>178+0 INF</t>
  </si>
  <si>
    <t>169+8 INF</t>
  </si>
  <si>
    <t>TZL-NYO-TZL</t>
  </si>
  <si>
    <t>W64282</t>
  </si>
  <si>
    <t>W64281</t>
  </si>
  <si>
    <t>TZL-CGN-TZL</t>
  </si>
  <si>
    <t>W64300</t>
  </si>
  <si>
    <t>W64299</t>
  </si>
  <si>
    <t>142+3INF</t>
  </si>
  <si>
    <t>47+1INF</t>
  </si>
  <si>
    <t>174+5INF</t>
  </si>
  <si>
    <t>172+4INF</t>
  </si>
  <si>
    <t>69+0INF</t>
  </si>
  <si>
    <t>77+1INF</t>
  </si>
  <si>
    <t>174+5 INF</t>
  </si>
  <si>
    <t>176+2 INF</t>
  </si>
  <si>
    <t>168+2 INF</t>
  </si>
  <si>
    <t>168+5 INF</t>
  </si>
  <si>
    <t>118+0 INF</t>
  </si>
  <si>
    <t>145+1 INF</t>
  </si>
  <si>
    <t>92+3INF</t>
  </si>
  <si>
    <t>55+0INF</t>
  </si>
  <si>
    <t>163+3INF</t>
  </si>
  <si>
    <t>176+6INF</t>
  </si>
  <si>
    <t>92+1INF</t>
  </si>
  <si>
    <t>171+2INF</t>
  </si>
  <si>
    <t>63+1INF</t>
  </si>
  <si>
    <t>174+2INF</t>
  </si>
  <si>
    <t>174+7INF</t>
  </si>
  <si>
    <t>177+3INF</t>
  </si>
  <si>
    <t>175+4INF</t>
  </si>
  <si>
    <t>96+1INF</t>
  </si>
  <si>
    <t>140+4INF</t>
  </si>
  <si>
    <t>W64217</t>
  </si>
  <si>
    <t>151+1 INF</t>
  </si>
  <si>
    <t>66+0 INF</t>
  </si>
  <si>
    <t>TC-FHC</t>
  </si>
  <si>
    <t>171+2 INF</t>
  </si>
  <si>
    <t>167+2 INF</t>
  </si>
  <si>
    <t>94+1 INF</t>
  </si>
  <si>
    <t>96+4 INF</t>
  </si>
  <si>
    <t>179+5 INF</t>
  </si>
  <si>
    <t>172+2 INF</t>
  </si>
  <si>
    <t>180+2 INF</t>
  </si>
  <si>
    <t>171+3 INF</t>
  </si>
  <si>
    <t>148+3 INF</t>
  </si>
  <si>
    <t>172+6 INF</t>
  </si>
  <si>
    <t>151+4 INF</t>
  </si>
  <si>
    <t>145+6INF</t>
  </si>
  <si>
    <t>159+4INF</t>
  </si>
  <si>
    <t>169+3INF</t>
  </si>
  <si>
    <t>176+1INF</t>
  </si>
  <si>
    <t>167+2INF</t>
  </si>
  <si>
    <t>147+1 INF</t>
  </si>
  <si>
    <t>178+5 INF</t>
  </si>
  <si>
    <t>75+3 INF</t>
  </si>
  <si>
    <t>178+11 INF</t>
  </si>
  <si>
    <t>177+1 INF</t>
  </si>
  <si>
    <t>HA-LWF</t>
  </si>
  <si>
    <t>HA-LPR</t>
  </si>
  <si>
    <t>161+4INF</t>
  </si>
  <si>
    <t>141+0INF</t>
  </si>
  <si>
    <t>US AIR FORCE</t>
  </si>
  <si>
    <t>SKP-TZL</t>
  </si>
  <si>
    <t>C-17</t>
  </si>
  <si>
    <t>266.00</t>
  </si>
  <si>
    <t>RCH-900</t>
  </si>
  <si>
    <t>173+4INF</t>
  </si>
  <si>
    <t>175+5INF</t>
  </si>
  <si>
    <t>107+1INF</t>
  </si>
  <si>
    <t>102+0INF</t>
  </si>
  <si>
    <t>AERO-DIENST</t>
  </si>
  <si>
    <t>ONQ-TZL-TRS</t>
  </si>
  <si>
    <t>D328</t>
  </si>
  <si>
    <t>ADN26B</t>
  </si>
  <si>
    <t>16.0</t>
  </si>
  <si>
    <t>DBADA</t>
  </si>
  <si>
    <t>1(TRANZIT)</t>
  </si>
  <si>
    <t>ROP</t>
  </si>
  <si>
    <t>MILITARY</t>
  </si>
  <si>
    <t>MEDEVAC</t>
  </si>
  <si>
    <t>177+1INF</t>
  </si>
  <si>
    <t>175+2INF</t>
  </si>
  <si>
    <t>169+4INF</t>
  </si>
  <si>
    <t>174+1INF</t>
  </si>
  <si>
    <t>HALPJ</t>
  </si>
  <si>
    <t>107+2INF</t>
  </si>
  <si>
    <t>TZL-XJD</t>
  </si>
  <si>
    <t>A319</t>
  </si>
  <si>
    <t>E7-FBA</t>
  </si>
  <si>
    <t>FLY BOSNIA</t>
  </si>
  <si>
    <t>SJJ-TZL</t>
  </si>
  <si>
    <t>TECH.FLT</t>
  </si>
  <si>
    <t>E7-FBB</t>
  </si>
  <si>
    <t>177+2INF</t>
  </si>
  <si>
    <t>176+0INF</t>
  </si>
  <si>
    <t>94+3INF</t>
  </si>
  <si>
    <t>79+1INF</t>
  </si>
  <si>
    <t>RCH900</t>
  </si>
  <si>
    <t>MILITARY/CARGO</t>
  </si>
  <si>
    <t>-</t>
  </si>
  <si>
    <t>FBS302</t>
  </si>
  <si>
    <t>FBS301</t>
  </si>
  <si>
    <t>CREW</t>
  </si>
  <si>
    <t>FBS303</t>
  </si>
  <si>
    <t>FBS304</t>
  </si>
  <si>
    <t>180+2INF</t>
  </si>
  <si>
    <t>151+3INF</t>
  </si>
  <si>
    <t>156+5INF</t>
  </si>
  <si>
    <t>172+3INF</t>
  </si>
  <si>
    <t>170+4INF</t>
  </si>
  <si>
    <t>TCFBR</t>
  </si>
  <si>
    <t>122+1INF</t>
  </si>
  <si>
    <t>159+2INF</t>
  </si>
  <si>
    <t>180+3INF</t>
  </si>
  <si>
    <t>168+4INF</t>
  </si>
  <si>
    <t>178+5INF</t>
  </si>
  <si>
    <t>163+4INF</t>
  </si>
  <si>
    <t>180+5INF</t>
  </si>
  <si>
    <t>SJJ-TZL-SJJ</t>
  </si>
  <si>
    <t>TZL-SJJ</t>
  </si>
  <si>
    <t>133+3INF</t>
  </si>
  <si>
    <t>125+1INF</t>
  </si>
  <si>
    <t>148+3INF</t>
  </si>
  <si>
    <t>171+6INF</t>
  </si>
  <si>
    <t>177+5INF</t>
  </si>
  <si>
    <t>178+4INF</t>
  </si>
  <si>
    <t>171+1INF</t>
  </si>
  <si>
    <t>100+2INF</t>
  </si>
  <si>
    <t>174+6INF</t>
  </si>
  <si>
    <t>175+6INF</t>
  </si>
  <si>
    <t>129+2INF</t>
  </si>
  <si>
    <t>116+1 INF</t>
  </si>
  <si>
    <t>180+3 INF</t>
  </si>
  <si>
    <t>180+4 INF</t>
  </si>
  <si>
    <t>HALWF/HALWO</t>
  </si>
  <si>
    <t>HALWO</t>
  </si>
  <si>
    <t>116+0INF</t>
  </si>
  <si>
    <t>92+0INF</t>
  </si>
  <si>
    <t>NETJETS</t>
  </si>
  <si>
    <t>CRA-TZL-VIE</t>
  </si>
  <si>
    <t>C56X</t>
  </si>
  <si>
    <t>CSDXL</t>
  </si>
  <si>
    <t>NONSCH/GP</t>
  </si>
  <si>
    <t>NJE102L</t>
  </si>
  <si>
    <t>173+6INF</t>
  </si>
  <si>
    <t>161+1INF</t>
  </si>
  <si>
    <t>108+2INF</t>
  </si>
  <si>
    <t>JET STREAM</t>
  </si>
  <si>
    <t>ZAG-TZL-ZAG</t>
  </si>
  <si>
    <t>C525</t>
  </si>
  <si>
    <t>HAKAR</t>
  </si>
  <si>
    <t>GEN.AVI</t>
  </si>
  <si>
    <t>JSH520</t>
  </si>
  <si>
    <t>JSH521</t>
  </si>
  <si>
    <t>179+4INF</t>
  </si>
  <si>
    <t>72+0 INF</t>
  </si>
  <si>
    <t>119+3 INF</t>
  </si>
  <si>
    <t>117+3 INF</t>
  </si>
  <si>
    <t>166+4 INF</t>
  </si>
  <si>
    <t>174+8 INF</t>
  </si>
  <si>
    <t>180+1 INF</t>
  </si>
  <si>
    <t>177+8 INF</t>
  </si>
  <si>
    <t>154+3INF</t>
  </si>
  <si>
    <t>120+1INF</t>
  </si>
  <si>
    <t>176+3INF</t>
  </si>
  <si>
    <t>180+1INF</t>
  </si>
  <si>
    <t>122+3INF</t>
  </si>
  <si>
    <t>180+0INF</t>
  </si>
  <si>
    <t>179+3INF</t>
  </si>
  <si>
    <t>151+2INF</t>
  </si>
  <si>
    <t>145+0INF</t>
  </si>
  <si>
    <t>168+2INF</t>
  </si>
  <si>
    <t>168+6 INF</t>
  </si>
  <si>
    <t>157+1 INF</t>
  </si>
  <si>
    <t>177+6 INF</t>
  </si>
  <si>
    <t>178+7 INF</t>
  </si>
  <si>
    <t>177+3 INF</t>
  </si>
  <si>
    <t>139+2INF</t>
  </si>
  <si>
    <t>167+5INF</t>
  </si>
  <si>
    <t>158+3INF</t>
  </si>
  <si>
    <t>170+0INF</t>
  </si>
  <si>
    <t>173+9INF</t>
  </si>
  <si>
    <t>168+4 INF</t>
  </si>
  <si>
    <t>145+2 INF</t>
  </si>
  <si>
    <t>170+4 INF</t>
  </si>
  <si>
    <t>HA-LPJ</t>
  </si>
  <si>
    <t>146+3 INF</t>
  </si>
  <si>
    <t>153+5 INF</t>
  </si>
  <si>
    <t>180+4INF</t>
  </si>
  <si>
    <t xml:space="preserve">            178+3INF</t>
  </si>
  <si>
    <t xml:space="preserve">       23:24</t>
  </si>
  <si>
    <t>163+5INF</t>
  </si>
  <si>
    <t>140+2INF</t>
  </si>
  <si>
    <t>125+4INF</t>
  </si>
  <si>
    <t>139+3INF</t>
  </si>
  <si>
    <t>179+1INF</t>
  </si>
  <si>
    <t>176+2INF</t>
  </si>
  <si>
    <t>161+2INF</t>
  </si>
  <si>
    <t>148+1INF</t>
  </si>
  <si>
    <t>153+5INF</t>
  </si>
  <si>
    <t>TCFHY</t>
  </si>
  <si>
    <t>155+3INF</t>
  </si>
  <si>
    <t>157+4INF</t>
  </si>
  <si>
    <t>177+44INF</t>
  </si>
  <si>
    <t>131+1INF</t>
  </si>
  <si>
    <t>166+3INF</t>
  </si>
  <si>
    <t>134+3INF</t>
  </si>
  <si>
    <t>176+5INF</t>
  </si>
  <si>
    <t>154+2INF</t>
  </si>
  <si>
    <t>GLOBE AIR</t>
  </si>
  <si>
    <t>C510</t>
  </si>
  <si>
    <t>OEFZD</t>
  </si>
  <si>
    <t>GAC280Y</t>
  </si>
  <si>
    <t>LNZ-TZL-BNX</t>
  </si>
  <si>
    <t>GAC280Z</t>
  </si>
  <si>
    <t>2+0INF</t>
  </si>
  <si>
    <t>178+3INF</t>
  </si>
  <si>
    <t>106+3INF</t>
  </si>
  <si>
    <t>153+2INF</t>
  </si>
  <si>
    <t>178+1INF</t>
  </si>
  <si>
    <t>152+4INF</t>
  </si>
  <si>
    <t>164+2INF</t>
  </si>
  <si>
    <t>133+2INF</t>
  </si>
  <si>
    <t>137+2INF</t>
  </si>
  <si>
    <t>98+1INF</t>
  </si>
  <si>
    <t>173+0INF</t>
  </si>
  <si>
    <t>158+1INF</t>
  </si>
  <si>
    <t>130+2INF</t>
  </si>
  <si>
    <t>177+6INF</t>
  </si>
  <si>
    <t>141+3INF</t>
  </si>
  <si>
    <t>171+9INF</t>
  </si>
  <si>
    <t>177+4INF</t>
  </si>
  <si>
    <t>144+1INF</t>
  </si>
  <si>
    <t>156+1INF</t>
  </si>
  <si>
    <t>142+1INF</t>
  </si>
  <si>
    <t>155+2INF</t>
  </si>
  <si>
    <t>177+5 INF</t>
  </si>
  <si>
    <t>140+5 INF</t>
  </si>
  <si>
    <t>173+2 INF</t>
  </si>
  <si>
    <t>159+1 INF</t>
  </si>
  <si>
    <t>156+6INF</t>
  </si>
  <si>
    <t>167+3INF</t>
  </si>
  <si>
    <t>178+7INF</t>
  </si>
  <si>
    <t>158+4INF</t>
  </si>
  <si>
    <t>177+0INF</t>
  </si>
  <si>
    <t>176+7INF</t>
  </si>
  <si>
    <t>142+4INF</t>
  </si>
  <si>
    <t>168+1INF</t>
  </si>
  <si>
    <t>172+5INF</t>
  </si>
  <si>
    <t>166+6INF</t>
  </si>
  <si>
    <t>173+3INF</t>
  </si>
  <si>
    <t>173+2INF</t>
  </si>
  <si>
    <t>BUMBAR MATE</t>
  </si>
  <si>
    <t>OSI-TZL-LQPP</t>
  </si>
  <si>
    <t>PITTS 2B</t>
  </si>
  <si>
    <t>VHJJZ</t>
  </si>
  <si>
    <t>NON SCH/TECHNICAL</t>
  </si>
  <si>
    <t>0.700</t>
  </si>
  <si>
    <t>VH-JJZ</t>
  </si>
  <si>
    <t>173+1INF</t>
  </si>
  <si>
    <t>159+5INF</t>
  </si>
  <si>
    <t>174+4INF</t>
  </si>
  <si>
    <t>HALWL</t>
  </si>
  <si>
    <t>157+5INF</t>
  </si>
  <si>
    <t>150+1INF</t>
  </si>
  <si>
    <t>179+0INF</t>
  </si>
  <si>
    <t>HA-LWL</t>
  </si>
  <si>
    <t>TCFHC</t>
  </si>
  <si>
    <t>168+3INF</t>
  </si>
  <si>
    <t>164+5INF</t>
  </si>
  <si>
    <t>162+2INF</t>
  </si>
  <si>
    <t>179+5INF</t>
  </si>
  <si>
    <t>175+9INF</t>
  </si>
  <si>
    <t>144+4 INF</t>
  </si>
  <si>
    <t>173+6 INF</t>
  </si>
  <si>
    <t>170+5 INF</t>
  </si>
  <si>
    <t>172+11 INF</t>
  </si>
  <si>
    <t>166+1 INF</t>
  </si>
  <si>
    <t>173+5 INF</t>
  </si>
  <si>
    <t>70.00</t>
  </si>
  <si>
    <t>165+4INF</t>
  </si>
  <si>
    <t>171+3INF</t>
  </si>
  <si>
    <t>174+2 INF</t>
  </si>
  <si>
    <t>175+6 INF</t>
  </si>
  <si>
    <t>176+1 INF</t>
  </si>
  <si>
    <t>139+1INF</t>
  </si>
  <si>
    <t>152+3INF</t>
  </si>
  <si>
    <t>152+5INF</t>
  </si>
  <si>
    <t>146+2INF</t>
  </si>
  <si>
    <t>170+2INF</t>
  </si>
  <si>
    <t>169+0INF</t>
  </si>
  <si>
    <t>176+4FIN</t>
  </si>
  <si>
    <t>156+4INF</t>
  </si>
  <si>
    <t>166+2INF</t>
  </si>
  <si>
    <t>164+3INF</t>
  </si>
  <si>
    <t>167+1INF</t>
  </si>
  <si>
    <t>175+1INF</t>
  </si>
  <si>
    <t>164+4INF</t>
  </si>
  <si>
    <t>146+4INF</t>
  </si>
  <si>
    <t>160+2INF</t>
  </si>
  <si>
    <t>177+8INF</t>
  </si>
  <si>
    <t>OTKAZAN</t>
  </si>
  <si>
    <t>176+3 INF</t>
  </si>
  <si>
    <t>178+3 INF</t>
  </si>
  <si>
    <t>179+7INF</t>
  </si>
  <si>
    <t>164+1INF</t>
  </si>
  <si>
    <t>HA-LWO</t>
  </si>
  <si>
    <t>NUE-TZL-RJK</t>
  </si>
  <si>
    <t>B350</t>
  </si>
  <si>
    <t>D-CUTE</t>
  </si>
  <si>
    <t>ADN11A</t>
  </si>
  <si>
    <t>HA-LWC</t>
  </si>
  <si>
    <t>156+2INF</t>
  </si>
  <si>
    <t>178+6INF</t>
  </si>
  <si>
    <t>164+1 INF</t>
  </si>
  <si>
    <t>169+1INF</t>
  </si>
  <si>
    <t>167+7INF</t>
  </si>
  <si>
    <t>171+7INF</t>
  </si>
  <si>
    <t>164+3 INF</t>
  </si>
  <si>
    <t>179+7 INF</t>
  </si>
  <si>
    <t>175+7 INF</t>
  </si>
  <si>
    <t>SCHONE FROST ERNST</t>
  </si>
  <si>
    <t>OSI-TZL-ETND</t>
  </si>
  <si>
    <t>TBM8</t>
  </si>
  <si>
    <t>N85OSF</t>
  </si>
  <si>
    <t>GENERAL AVIATION</t>
  </si>
  <si>
    <t>3+0 INF</t>
  </si>
  <si>
    <t>2+0 INF</t>
  </si>
  <si>
    <t>172+3 INF</t>
  </si>
  <si>
    <t>165+6 INF</t>
  </si>
  <si>
    <t>HALWC</t>
  </si>
  <si>
    <t>172+10INF</t>
  </si>
  <si>
    <t>121+1INF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</si>
</sst>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charset val="238"/>
      <scheme val="minor"/>
    </font>
    <font>
      <sz val="10"/>
      <name val="Garamond"/>
      <family val="1"/>
      <charset val="238"/>
    </font>
    <font>
      <sz val="10"/>
      <name val="Arial"/>
      <family val="2"/>
      <charset val="238"/>
    </font>
    <font>
      <sz val="10"/>
      <color theme="1"/>
      <name val="Garamond"/>
      <family val="1"/>
      <charset val="238"/>
    </font>
    <font>
      <b/>
      <sz val="10"/>
      <name val="Garamond"/>
      <family val="1"/>
      <charset val="238"/>
    </font>
    <font>
      <sz val="9"/>
      <name val="Garamond"/>
      <family val="1"/>
      <charset val="238"/>
    </font>
    <font>
      <b/>
      <sz val="10"/>
      <color theme="1"/>
      <name val="Garamond"/>
      <family val="1"/>
      <charset val="238"/>
    </font>
    <font>
      <sz val="8"/>
      <color theme="1"/>
      <name val="Garamond"/>
      <family val="1"/>
      <charset val="238"/>
    </font>
    <font>
      <sz val="9"/>
      <color indexed="81"/>
      <name val="Tahoma"/>
      <family val="2"/>
      <charset val="238"/>
    </font>
    <font>
      <b/>
      <sz val="9"/>
      <color indexed="81"/>
      <name val="Tahoma"/>
      <family val="2"/>
      <charset val="238"/>
    </font>
    <font>
      <sz val="10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50">
    <xf numFmtId="0" fontId="0" fillId="0" borderId="0" xfId="0"/>
    <xf numFmtId="0" fontId="1" fillId="0" borderId="0" xfId="0" applyFont="1" applyAlignment="1">
      <alignment horizontal="center" vertical="center"/>
    </xf>
    <xf numFmtId="20" fontId="1" fillId="0" borderId="0" xfId="1" applyNumberFormat="1" applyFont="1" applyFill="1" applyAlignment="1">
      <alignment horizontal="center" vertical="center"/>
    </xf>
    <xf numFmtId="0" fontId="1" fillId="0" borderId="0" xfId="1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14" fontId="1" fillId="0" borderId="0" xfId="2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3" fontId="1" fillId="0" borderId="0" xfId="0" applyNumberFormat="1" applyFont="1" applyFill="1" applyAlignment="1">
      <alignment horizontal="center" vertical="center"/>
    </xf>
    <xf numFmtId="20" fontId="4" fillId="0" borderId="0" xfId="0" applyNumberFormat="1" applyFont="1" applyFill="1" applyAlignment="1">
      <alignment horizontal="center" vertical="center"/>
    </xf>
    <xf numFmtId="20" fontId="1" fillId="0" borderId="0" xfId="0" applyNumberFormat="1" applyFont="1" applyFill="1" applyAlignment="1">
      <alignment horizontal="center" vertical="center"/>
    </xf>
    <xf numFmtId="0" fontId="1" fillId="0" borderId="0" xfId="0" applyNumberFormat="1" applyFont="1" applyFill="1" applyAlignment="1">
      <alignment horizontal="center" vertical="center"/>
    </xf>
    <xf numFmtId="20" fontId="4" fillId="0" borderId="0" xfId="1" applyNumberFormat="1" applyFont="1" applyFill="1" applyAlignment="1">
      <alignment horizontal="center" vertical="center"/>
    </xf>
    <xf numFmtId="0" fontId="5" fillId="0" borderId="0" xfId="1" applyFont="1" applyFill="1" applyAlignment="1">
      <alignment horizontal="center" vertical="center"/>
    </xf>
    <xf numFmtId="20" fontId="6" fillId="0" borderId="0" xfId="0" applyNumberFormat="1" applyFont="1" applyAlignment="1">
      <alignment horizontal="center"/>
    </xf>
    <xf numFmtId="20" fontId="3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/>
    </xf>
    <xf numFmtId="0" fontId="3" fillId="0" borderId="0" xfId="0" applyFont="1" applyFill="1" applyAlignment="1">
      <alignment horizontal="center"/>
    </xf>
    <xf numFmtId="20" fontId="6" fillId="0" borderId="0" xfId="0" applyNumberFormat="1" applyFont="1" applyFill="1" applyAlignment="1">
      <alignment horizontal="center" vertical="center"/>
    </xf>
    <xf numFmtId="20" fontId="3" fillId="0" borderId="0" xfId="0" applyNumberFormat="1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20" fontId="6" fillId="0" borderId="0" xfId="0" applyNumberFormat="1" applyFont="1" applyFill="1" applyAlignment="1">
      <alignment horizontal="center"/>
    </xf>
    <xf numFmtId="20" fontId="3" fillId="0" borderId="0" xfId="0" applyNumberFormat="1" applyFont="1" applyFill="1" applyAlignment="1">
      <alignment horizontal="center"/>
    </xf>
    <xf numFmtId="3" fontId="3" fillId="0" borderId="0" xfId="0" applyNumberFormat="1" applyFont="1" applyFill="1" applyAlignment="1">
      <alignment horizontal="center"/>
    </xf>
    <xf numFmtId="0" fontId="0" fillId="0" borderId="0" xfId="0" applyFill="1"/>
    <xf numFmtId="0" fontId="3" fillId="0" borderId="0" xfId="0" applyFont="1" applyAlignment="1">
      <alignment horizontal="center" vertical="center"/>
    </xf>
    <xf numFmtId="20" fontId="6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20" fontId="3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3" fillId="2" borderId="0" xfId="0" applyFont="1" applyFill="1" applyAlignment="1">
      <alignment horizontal="center"/>
    </xf>
    <xf numFmtId="3" fontId="3" fillId="2" borderId="0" xfId="0" applyNumberFormat="1" applyFont="1" applyFill="1" applyAlignment="1">
      <alignment horizontal="center"/>
    </xf>
    <xf numFmtId="20" fontId="6" fillId="2" borderId="0" xfId="0" applyNumberFormat="1" applyFont="1" applyFill="1" applyAlignment="1">
      <alignment horizontal="center"/>
    </xf>
    <xf numFmtId="20" fontId="1" fillId="2" borderId="0" xfId="1" applyNumberFormat="1" applyFont="1" applyFill="1" applyAlignment="1">
      <alignment horizontal="center" vertical="center"/>
    </xf>
    <xf numFmtId="20" fontId="3" fillId="2" borderId="0" xfId="0" applyNumberFormat="1" applyFont="1" applyFill="1" applyAlignment="1">
      <alignment horizontal="center"/>
    </xf>
    <xf numFmtId="0" fontId="1" fillId="2" borderId="0" xfId="1" applyFont="1" applyFill="1" applyAlignment="1">
      <alignment horizontal="center" vertical="center"/>
    </xf>
    <xf numFmtId="0" fontId="1" fillId="2" borderId="0" xfId="0" applyNumberFormat="1" applyFont="1" applyFill="1" applyAlignment="1">
      <alignment horizontal="center" vertical="center"/>
    </xf>
    <xf numFmtId="14" fontId="1" fillId="2" borderId="0" xfId="2" applyNumberFormat="1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20" fontId="10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0" fontId="3" fillId="0" borderId="0" xfId="0" applyFont="1" applyAlignment="1"/>
    <xf numFmtId="0" fontId="3" fillId="0" borderId="0" xfId="0" applyFont="1"/>
    <xf numFmtId="14" fontId="0" fillId="0" borderId="0" xfId="0" applyNumberFormat="1"/>
    <xf numFmtId="20" fontId="3" fillId="2" borderId="0" xfId="0" applyNumberFormat="1" applyFont="1" applyFill="1" applyAlignment="1">
      <alignment horizontal="center" vertical="center"/>
    </xf>
  </cellXfs>
  <cellStyles count="8">
    <cellStyle name="Normal" xfId="0" builtinId="0"/>
    <cellStyle name="Normal 2" xfId="3"/>
    <cellStyle name="Normal 2 2" xfId="2"/>
    <cellStyle name="Normal 3" xfId="4"/>
    <cellStyle name="Normal 3 2" xfId="1"/>
    <cellStyle name="Normal 4" xfId="5"/>
    <cellStyle name="Normal 5" xfId="6"/>
    <cellStyle name="Normal 6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topLeftCell="D1" workbookViewId="0">
      <selection activeCell="I34" sqref="I34"/>
    </sheetView>
  </sheetViews>
  <sheetFormatPr defaultRowHeight="15" x14ac:dyDescent="0.25"/>
  <cols>
    <col min="3" max="3" width="15.140625" customWidth="1"/>
    <col min="6" max="6" width="18.42578125" customWidth="1"/>
    <col min="10" max="10" width="10" customWidth="1"/>
    <col min="11" max="11" width="11" customWidth="1"/>
    <col min="12" max="12" width="10.85546875" customWidth="1"/>
    <col min="13" max="13" width="12.140625" customWidth="1"/>
    <col min="14" max="14" width="17.85546875" customWidth="1"/>
    <col min="15" max="15" width="18.7109375" customWidth="1"/>
    <col min="16" max="16" width="10.7109375" customWidth="1"/>
    <col min="17" max="17" width="10.5703125" customWidth="1"/>
  </cols>
  <sheetData>
    <row r="1" spans="1:21" s="4" customFormat="1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4" customFormat="1" ht="12.75" x14ac:dyDescent="0.2">
      <c r="A2" s="5">
        <v>43647</v>
      </c>
      <c r="B2" s="6" t="s">
        <v>21</v>
      </c>
      <c r="C2" s="6" t="s">
        <v>22</v>
      </c>
      <c r="D2" s="6" t="s">
        <v>23</v>
      </c>
      <c r="E2" s="6" t="s">
        <v>42</v>
      </c>
      <c r="F2" s="6" t="s">
        <v>24</v>
      </c>
      <c r="G2" s="7">
        <v>71500</v>
      </c>
      <c r="H2" s="6" t="s">
        <v>25</v>
      </c>
      <c r="I2" s="6" t="s">
        <v>26</v>
      </c>
      <c r="J2" s="8">
        <v>0.45833333333333331</v>
      </c>
      <c r="K2" s="2">
        <v>0.46319444444444446</v>
      </c>
      <c r="L2" s="8">
        <v>0.25694444444444448</v>
      </c>
      <c r="M2" s="9">
        <v>0.26250000000000001</v>
      </c>
      <c r="N2" s="3" t="s">
        <v>46</v>
      </c>
      <c r="O2" s="10" t="s">
        <v>44</v>
      </c>
      <c r="P2" s="10">
        <v>1141</v>
      </c>
      <c r="Q2" s="10">
        <v>633</v>
      </c>
      <c r="R2" s="6">
        <v>0</v>
      </c>
      <c r="S2" s="6">
        <v>0</v>
      </c>
      <c r="T2" s="6">
        <v>0</v>
      </c>
      <c r="U2" s="6">
        <v>0</v>
      </c>
    </row>
    <row r="3" spans="1:21" s="4" customFormat="1" ht="12.75" x14ac:dyDescent="0.2">
      <c r="A3" s="5">
        <v>43647</v>
      </c>
      <c r="B3" s="6" t="s">
        <v>21</v>
      </c>
      <c r="C3" s="6" t="s">
        <v>27</v>
      </c>
      <c r="D3" s="6" t="s">
        <v>23</v>
      </c>
      <c r="E3" s="6" t="s">
        <v>43</v>
      </c>
      <c r="F3" s="6" t="s">
        <v>24</v>
      </c>
      <c r="G3" s="7">
        <v>71500</v>
      </c>
      <c r="H3" s="6" t="s">
        <v>28</v>
      </c>
      <c r="I3" s="6" t="s">
        <v>29</v>
      </c>
      <c r="J3" s="8">
        <v>0.4861111111111111</v>
      </c>
      <c r="K3" s="2">
        <v>0.4777777777777778</v>
      </c>
      <c r="L3" s="8">
        <v>0.28125</v>
      </c>
      <c r="M3" s="9">
        <v>0.28750000000000003</v>
      </c>
      <c r="N3" s="3" t="s">
        <v>47</v>
      </c>
      <c r="O3" s="10" t="s">
        <v>45</v>
      </c>
      <c r="P3" s="6">
        <v>1301</v>
      </c>
      <c r="Q3" s="10">
        <v>410</v>
      </c>
      <c r="R3" s="6">
        <v>0</v>
      </c>
      <c r="S3" s="6">
        <v>0</v>
      </c>
      <c r="T3" s="6">
        <v>0</v>
      </c>
      <c r="U3" s="6">
        <v>0</v>
      </c>
    </row>
    <row r="4" spans="1:21" s="4" customFormat="1" ht="12.75" x14ac:dyDescent="0.2">
      <c r="A4" s="5">
        <v>43647</v>
      </c>
      <c r="B4" s="3" t="s">
        <v>21</v>
      </c>
      <c r="C4" s="3" t="s">
        <v>30</v>
      </c>
      <c r="D4" s="3" t="s">
        <v>23</v>
      </c>
      <c r="E4" s="6" t="s">
        <v>42</v>
      </c>
      <c r="F4" s="3" t="s">
        <v>24</v>
      </c>
      <c r="G4" s="7">
        <v>71500</v>
      </c>
      <c r="H4" s="3" t="s">
        <v>31</v>
      </c>
      <c r="I4" s="3" t="s">
        <v>32</v>
      </c>
      <c r="J4" s="11">
        <v>0.70833333333333337</v>
      </c>
      <c r="K4" s="2">
        <v>0.70694444444444438</v>
      </c>
      <c r="L4" s="11">
        <v>0.48958333333333331</v>
      </c>
      <c r="M4" s="2">
        <v>0.50347222222222221</v>
      </c>
      <c r="N4" s="4" t="s">
        <v>50</v>
      </c>
      <c r="O4" s="3" t="s">
        <v>48</v>
      </c>
      <c r="P4" s="3">
        <v>1601</v>
      </c>
      <c r="Q4" s="10">
        <v>466</v>
      </c>
      <c r="R4" s="3">
        <v>0</v>
      </c>
      <c r="S4" s="3">
        <v>0</v>
      </c>
      <c r="T4" s="3">
        <v>0</v>
      </c>
      <c r="U4" s="3">
        <v>0</v>
      </c>
    </row>
    <row r="5" spans="1:21" s="4" customFormat="1" ht="12.75" x14ac:dyDescent="0.2">
      <c r="A5" s="5">
        <v>43647</v>
      </c>
      <c r="B5" s="3" t="s">
        <v>21</v>
      </c>
      <c r="C5" s="3" t="s">
        <v>33</v>
      </c>
      <c r="D5" s="3" t="s">
        <v>23</v>
      </c>
      <c r="E5" s="6" t="s">
        <v>43</v>
      </c>
      <c r="F5" s="3" t="s">
        <v>24</v>
      </c>
      <c r="G5" s="7">
        <v>71500</v>
      </c>
      <c r="H5" s="3" t="s">
        <v>34</v>
      </c>
      <c r="I5" s="3" t="s">
        <v>35</v>
      </c>
      <c r="J5" s="11">
        <v>0.74652777777777779</v>
      </c>
      <c r="K5" s="2">
        <v>0.76250000000000007</v>
      </c>
      <c r="L5" s="11">
        <v>0.51736111111111105</v>
      </c>
      <c r="M5" s="2">
        <v>0.54027777777777775</v>
      </c>
      <c r="N5" s="3" t="s">
        <v>51</v>
      </c>
      <c r="O5" s="3" t="s">
        <v>49</v>
      </c>
      <c r="P5" s="3">
        <v>1493</v>
      </c>
      <c r="Q5" s="10">
        <v>488</v>
      </c>
      <c r="R5" s="3">
        <v>0</v>
      </c>
      <c r="S5" s="3">
        <v>0</v>
      </c>
      <c r="T5" s="3">
        <v>0</v>
      </c>
      <c r="U5" s="3">
        <v>0</v>
      </c>
    </row>
    <row r="6" spans="1:21" s="4" customFormat="1" ht="12.75" x14ac:dyDescent="0.2">
      <c r="A6" s="5">
        <v>43647</v>
      </c>
      <c r="B6" s="3" t="s">
        <v>21</v>
      </c>
      <c r="C6" s="3" t="s">
        <v>36</v>
      </c>
      <c r="D6" s="3" t="s">
        <v>23</v>
      </c>
      <c r="E6" s="6" t="s">
        <v>42</v>
      </c>
      <c r="F6" s="12" t="s">
        <v>24</v>
      </c>
      <c r="G6" s="7">
        <v>71500</v>
      </c>
      <c r="H6" s="6" t="s">
        <v>37</v>
      </c>
      <c r="I6" s="6" t="s">
        <v>38</v>
      </c>
      <c r="J6" s="13">
        <v>0.89930555555555547</v>
      </c>
      <c r="K6" s="2">
        <v>0.92708333333333337</v>
      </c>
      <c r="L6" s="13">
        <v>0.72916666666666663</v>
      </c>
      <c r="M6" s="14">
        <v>0.74375000000000002</v>
      </c>
      <c r="N6" s="3" t="s">
        <v>54</v>
      </c>
      <c r="O6" s="3" t="s">
        <v>52</v>
      </c>
      <c r="P6" s="3">
        <v>1005</v>
      </c>
      <c r="Q6" s="10">
        <v>723</v>
      </c>
      <c r="R6" s="3">
        <v>0</v>
      </c>
      <c r="S6" s="3">
        <v>0</v>
      </c>
      <c r="T6" s="3">
        <v>0</v>
      </c>
      <c r="U6" s="3">
        <v>0</v>
      </c>
    </row>
    <row r="7" spans="1:21" s="4" customFormat="1" ht="12.75" x14ac:dyDescent="0.2">
      <c r="A7" s="5">
        <v>43647</v>
      </c>
      <c r="B7" s="4" t="s">
        <v>21</v>
      </c>
      <c r="C7" s="4" t="s">
        <v>39</v>
      </c>
      <c r="D7" s="4" t="s">
        <v>23</v>
      </c>
      <c r="E7" s="6" t="s">
        <v>43</v>
      </c>
      <c r="F7" s="4" t="s">
        <v>24</v>
      </c>
      <c r="G7" s="15">
        <v>71500</v>
      </c>
      <c r="H7" s="4" t="s">
        <v>40</v>
      </c>
      <c r="I7" s="4" t="s">
        <v>41</v>
      </c>
      <c r="J7" s="13">
        <v>0.9375</v>
      </c>
      <c r="K7" s="2">
        <v>0.9868055555555556</v>
      </c>
      <c r="L7" s="13">
        <v>0.76736111111111116</v>
      </c>
      <c r="M7" s="14">
        <v>0.8256944444444444</v>
      </c>
      <c r="N7" s="3" t="s">
        <v>55</v>
      </c>
      <c r="O7" s="4" t="s">
        <v>53</v>
      </c>
      <c r="P7" s="4">
        <v>1101</v>
      </c>
      <c r="Q7" s="10">
        <v>559</v>
      </c>
      <c r="R7" s="4">
        <v>0</v>
      </c>
      <c r="S7" s="4">
        <v>0</v>
      </c>
      <c r="T7" s="4">
        <v>0</v>
      </c>
      <c r="U7" s="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topLeftCell="G1" workbookViewId="0">
      <selection activeCell="A5" sqref="A5:U5"/>
    </sheetView>
  </sheetViews>
  <sheetFormatPr defaultRowHeight="15" x14ac:dyDescent="0.25"/>
  <cols>
    <col min="1" max="1" width="9.140625" style="23"/>
    <col min="2" max="2" width="11.28515625" style="23" customWidth="1"/>
    <col min="3" max="3" width="14.85546875" style="23" customWidth="1"/>
    <col min="4" max="5" width="9.140625" style="23"/>
    <col min="6" max="6" width="18.5703125" style="23" bestFit="1" customWidth="1"/>
    <col min="7" max="9" width="9.140625" style="23"/>
    <col min="10" max="10" width="10.28515625" style="23" customWidth="1"/>
    <col min="11" max="11" width="10.5703125" style="23" customWidth="1"/>
    <col min="12" max="12" width="10.85546875" style="23" customWidth="1"/>
    <col min="13" max="13" width="11" style="23" customWidth="1"/>
    <col min="14" max="14" width="18" style="23" customWidth="1"/>
    <col min="15" max="15" width="18.5703125" style="23" customWidth="1"/>
    <col min="16" max="16384" width="9.140625" style="23"/>
  </cols>
  <sheetData>
    <row r="1" spans="1:21" s="16" customFormat="1" ht="12.75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2" t="s">
        <v>10</v>
      </c>
      <c r="L1" s="6" t="s">
        <v>11</v>
      </c>
      <c r="M1" s="6" t="s">
        <v>12</v>
      </c>
      <c r="N1" s="3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</row>
    <row r="2" spans="1:21" s="16" customFormat="1" ht="12.75" x14ac:dyDescent="0.2">
      <c r="A2" s="5">
        <v>43648</v>
      </c>
      <c r="B2" s="6" t="s">
        <v>21</v>
      </c>
      <c r="C2" s="6" t="s">
        <v>56</v>
      </c>
      <c r="D2" s="6" t="s">
        <v>23</v>
      </c>
      <c r="E2" s="6" t="s">
        <v>43</v>
      </c>
      <c r="F2" s="6" t="s">
        <v>24</v>
      </c>
      <c r="G2" s="7">
        <v>71500</v>
      </c>
      <c r="H2" s="6" t="s">
        <v>57</v>
      </c>
      <c r="I2" s="6" t="s">
        <v>58</v>
      </c>
      <c r="J2" s="8">
        <v>0.38541666666666669</v>
      </c>
      <c r="K2" s="2">
        <v>0.37847222222222227</v>
      </c>
      <c r="L2" s="8">
        <v>0.25694444444444448</v>
      </c>
      <c r="M2" s="9">
        <v>0.26111111111111113</v>
      </c>
      <c r="N2" s="3" t="s">
        <v>83</v>
      </c>
      <c r="O2" s="10" t="s">
        <v>84</v>
      </c>
      <c r="P2" s="10">
        <v>796</v>
      </c>
      <c r="Q2" s="10">
        <v>297</v>
      </c>
      <c r="R2" s="6">
        <v>0</v>
      </c>
      <c r="S2" s="6">
        <v>0</v>
      </c>
      <c r="T2" s="6">
        <v>0</v>
      </c>
      <c r="U2" s="6">
        <v>0</v>
      </c>
    </row>
    <row r="3" spans="1:21" s="16" customFormat="1" ht="12.75" x14ac:dyDescent="0.2">
      <c r="A3" s="5">
        <v>43648</v>
      </c>
      <c r="B3" s="6" t="s">
        <v>21</v>
      </c>
      <c r="C3" s="6" t="s">
        <v>59</v>
      </c>
      <c r="D3" s="6" t="s">
        <v>23</v>
      </c>
      <c r="E3" s="6" t="s">
        <v>42</v>
      </c>
      <c r="F3" s="6" t="s">
        <v>24</v>
      </c>
      <c r="G3" s="7">
        <v>71500</v>
      </c>
      <c r="H3" s="6" t="s">
        <v>60</v>
      </c>
      <c r="I3" s="6" t="s">
        <v>61</v>
      </c>
      <c r="J3" s="8">
        <v>0.46180555555555558</v>
      </c>
      <c r="K3" s="2">
        <v>0.4680555555555555</v>
      </c>
      <c r="L3" s="8">
        <v>0.28125</v>
      </c>
      <c r="M3" s="9">
        <v>0.28888888888888892</v>
      </c>
      <c r="N3" s="3" t="s">
        <v>85</v>
      </c>
      <c r="O3" s="10" t="s">
        <v>86</v>
      </c>
      <c r="P3" s="6">
        <v>1080</v>
      </c>
      <c r="Q3" s="10">
        <v>699</v>
      </c>
      <c r="R3" s="6">
        <v>0</v>
      </c>
      <c r="S3" s="6">
        <v>0</v>
      </c>
      <c r="T3" s="6">
        <v>0</v>
      </c>
      <c r="U3" s="6">
        <v>0</v>
      </c>
    </row>
    <row r="4" spans="1:21" s="16" customFormat="1" ht="12.75" x14ac:dyDescent="0.2">
      <c r="A4" s="5">
        <v>43648</v>
      </c>
      <c r="B4" s="6" t="s">
        <v>21</v>
      </c>
      <c r="C4" s="3" t="s">
        <v>62</v>
      </c>
      <c r="D4" s="3" t="s">
        <v>23</v>
      </c>
      <c r="E4" s="6" t="s">
        <v>43</v>
      </c>
      <c r="F4" s="3" t="s">
        <v>24</v>
      </c>
      <c r="G4" s="7">
        <v>71500</v>
      </c>
      <c r="H4" s="3" t="s">
        <v>63</v>
      </c>
      <c r="I4" s="3" t="s">
        <v>64</v>
      </c>
      <c r="J4" s="11">
        <v>0.55555555555555558</v>
      </c>
      <c r="K4" s="2">
        <v>0.56944444444444442</v>
      </c>
      <c r="L4" s="11">
        <v>0.40625</v>
      </c>
      <c r="M4" s="2">
        <v>0.4152777777777778</v>
      </c>
      <c r="N4" s="3" t="s">
        <v>87</v>
      </c>
      <c r="O4" s="3" t="s">
        <v>88</v>
      </c>
      <c r="P4" s="3">
        <v>870</v>
      </c>
      <c r="Q4" s="10">
        <v>427</v>
      </c>
      <c r="R4" s="3">
        <v>0</v>
      </c>
      <c r="S4" s="3">
        <v>0</v>
      </c>
      <c r="T4" s="3">
        <v>0</v>
      </c>
      <c r="U4" s="3">
        <v>0</v>
      </c>
    </row>
    <row r="5" spans="1:21" s="16" customFormat="1" ht="12.75" x14ac:dyDescent="0.2">
      <c r="A5" s="5">
        <v>43648</v>
      </c>
      <c r="B5" s="6" t="s">
        <v>65</v>
      </c>
      <c r="C5" s="3" t="s">
        <v>66</v>
      </c>
      <c r="D5" s="3" t="str">
        <f>D4</f>
        <v>A320</v>
      </c>
      <c r="E5" s="6" t="s">
        <v>67</v>
      </c>
      <c r="F5" s="3" t="s">
        <v>68</v>
      </c>
      <c r="G5" s="7">
        <v>77000</v>
      </c>
      <c r="H5" s="3" t="s">
        <v>69</v>
      </c>
      <c r="I5" s="3" t="s">
        <v>70</v>
      </c>
      <c r="J5" s="11">
        <v>0.41319444444444442</v>
      </c>
      <c r="K5" s="2">
        <v>0.44444444444444442</v>
      </c>
      <c r="L5" s="11">
        <v>0.4548611111111111</v>
      </c>
      <c r="M5" s="2">
        <v>0.48819444444444443</v>
      </c>
      <c r="N5" s="3" t="s">
        <v>89</v>
      </c>
      <c r="O5" s="3" t="s">
        <v>90</v>
      </c>
      <c r="P5" s="3">
        <v>2159</v>
      </c>
      <c r="Q5" s="10">
        <v>1946</v>
      </c>
      <c r="R5" s="3">
        <v>0</v>
      </c>
      <c r="S5" s="3">
        <v>0</v>
      </c>
      <c r="T5" s="3">
        <v>0</v>
      </c>
      <c r="U5" s="3">
        <v>0</v>
      </c>
    </row>
    <row r="6" spans="1:21" s="16" customFormat="1" ht="12.75" x14ac:dyDescent="0.2">
      <c r="A6" s="5">
        <v>43648</v>
      </c>
      <c r="B6" s="6" t="s">
        <v>21</v>
      </c>
      <c r="C6" s="3" t="s">
        <v>71</v>
      </c>
      <c r="D6" s="3" t="s">
        <v>23</v>
      </c>
      <c r="E6" s="6" t="s">
        <v>42</v>
      </c>
      <c r="F6" s="3" t="s">
        <v>24</v>
      </c>
      <c r="G6" s="7">
        <v>71500</v>
      </c>
      <c r="H6" s="3" t="s">
        <v>72</v>
      </c>
      <c r="I6" s="3" t="s">
        <v>73</v>
      </c>
      <c r="J6" s="17">
        <v>0.70138888888888884</v>
      </c>
      <c r="K6" s="2">
        <v>0.71388888888888891</v>
      </c>
      <c r="L6" s="17">
        <v>0.49305555555555558</v>
      </c>
      <c r="M6" s="18">
        <v>0.52083333333333337</v>
      </c>
      <c r="N6" s="3" t="s">
        <v>93</v>
      </c>
      <c r="O6" s="3" t="s">
        <v>91</v>
      </c>
      <c r="P6" s="19">
        <v>1199</v>
      </c>
      <c r="Q6" s="10">
        <v>700</v>
      </c>
      <c r="R6" s="3">
        <v>0</v>
      </c>
      <c r="S6" s="3">
        <v>0</v>
      </c>
      <c r="T6" s="3">
        <v>0</v>
      </c>
      <c r="U6" s="3">
        <v>0</v>
      </c>
    </row>
    <row r="7" spans="1:21" s="16" customFormat="1" ht="12.75" x14ac:dyDescent="0.2">
      <c r="A7" s="5">
        <v>43648</v>
      </c>
      <c r="B7" s="6" t="s">
        <v>21</v>
      </c>
      <c r="C7" s="3" t="s">
        <v>74</v>
      </c>
      <c r="D7" s="3" t="s">
        <v>23</v>
      </c>
      <c r="E7" s="6" t="s">
        <v>43</v>
      </c>
      <c r="F7" s="12" t="s">
        <v>24</v>
      </c>
      <c r="G7" s="7">
        <v>71500</v>
      </c>
      <c r="H7" s="6" t="s">
        <v>75</v>
      </c>
      <c r="I7" s="6" t="s">
        <v>76</v>
      </c>
      <c r="J7" s="20">
        <v>0.74652777777777779</v>
      </c>
      <c r="K7" s="2">
        <v>0.75347222222222221</v>
      </c>
      <c r="L7" s="20">
        <v>0.58680555555555558</v>
      </c>
      <c r="M7" s="21">
        <v>0.61041666666666672</v>
      </c>
      <c r="N7" s="3" t="s">
        <v>94</v>
      </c>
      <c r="O7" s="3" t="s">
        <v>92</v>
      </c>
      <c r="P7" s="3">
        <v>976</v>
      </c>
      <c r="Q7" s="10">
        <v>510</v>
      </c>
      <c r="R7" s="3">
        <v>0</v>
      </c>
      <c r="S7" s="3">
        <v>0</v>
      </c>
      <c r="T7" s="3">
        <v>0</v>
      </c>
      <c r="U7" s="3">
        <v>0</v>
      </c>
    </row>
    <row r="8" spans="1:21" s="16" customFormat="1" ht="12.75" x14ac:dyDescent="0.2">
      <c r="A8" s="5">
        <v>43648</v>
      </c>
      <c r="B8" s="6" t="s">
        <v>21</v>
      </c>
      <c r="C8" s="16" t="s">
        <v>77</v>
      </c>
      <c r="D8" s="16" t="s">
        <v>23</v>
      </c>
      <c r="E8" s="6" t="s">
        <v>42</v>
      </c>
      <c r="F8" s="16" t="s">
        <v>24</v>
      </c>
      <c r="G8" s="22">
        <v>71500</v>
      </c>
      <c r="H8" s="16" t="s">
        <v>78</v>
      </c>
      <c r="I8" s="16" t="s">
        <v>79</v>
      </c>
      <c r="J8" s="20">
        <v>0.94097222222222221</v>
      </c>
      <c r="K8" s="2">
        <v>0.97499999999999998</v>
      </c>
      <c r="L8" s="20">
        <v>0.72222222222222221</v>
      </c>
      <c r="M8" s="21">
        <v>0.7715277777777777</v>
      </c>
      <c r="N8" s="18" t="s">
        <v>97</v>
      </c>
      <c r="O8" s="16" t="s">
        <v>95</v>
      </c>
      <c r="P8" s="16">
        <v>1129</v>
      </c>
      <c r="Q8" s="10">
        <v>409</v>
      </c>
      <c r="R8" s="16">
        <v>0</v>
      </c>
      <c r="S8" s="16">
        <v>0</v>
      </c>
      <c r="T8" s="16">
        <v>0</v>
      </c>
      <c r="U8" s="16">
        <v>0</v>
      </c>
    </row>
    <row r="9" spans="1:21" s="19" customFormat="1" ht="12.75" x14ac:dyDescent="0.25">
      <c r="A9" s="5">
        <v>43648</v>
      </c>
      <c r="B9" s="3" t="s">
        <v>21</v>
      </c>
      <c r="C9" s="19" t="s">
        <v>80</v>
      </c>
      <c r="D9" s="3" t="s">
        <v>23</v>
      </c>
      <c r="E9" s="6" t="s">
        <v>43</v>
      </c>
      <c r="F9" s="3" t="s">
        <v>24</v>
      </c>
      <c r="G9" s="7">
        <v>71500</v>
      </c>
      <c r="H9" s="6" t="s">
        <v>81</v>
      </c>
      <c r="I9" s="6" t="s">
        <v>82</v>
      </c>
      <c r="J9" s="17">
        <v>0.94444444444444453</v>
      </c>
      <c r="K9" s="9">
        <v>0.94513888888888886</v>
      </c>
      <c r="L9" s="17">
        <v>0.76736111111111116</v>
      </c>
      <c r="M9" s="18">
        <v>0.78680555555555554</v>
      </c>
      <c r="N9" s="18" t="s">
        <v>98</v>
      </c>
      <c r="O9" s="18" t="s">
        <v>96</v>
      </c>
      <c r="P9" s="19">
        <v>845</v>
      </c>
      <c r="Q9" s="10">
        <v>597</v>
      </c>
      <c r="R9" s="3">
        <v>0</v>
      </c>
      <c r="S9" s="3">
        <v>0</v>
      </c>
      <c r="T9" s="3">
        <v>0</v>
      </c>
      <c r="U9" s="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sqref="A1:U7"/>
    </sheetView>
  </sheetViews>
  <sheetFormatPr defaultRowHeight="15" x14ac:dyDescent="0.25"/>
  <cols>
    <col min="2" max="2" width="10.140625" customWidth="1"/>
    <col min="3" max="3" width="14.7109375" customWidth="1"/>
    <col min="5" max="5" width="11.7109375" customWidth="1"/>
    <col min="6" max="6" width="12.140625" customWidth="1"/>
    <col min="10" max="10" width="10.28515625" customWidth="1"/>
    <col min="11" max="11" width="11.28515625" customWidth="1"/>
    <col min="12" max="12" width="9.7109375" customWidth="1"/>
    <col min="13" max="13" width="11" customWidth="1"/>
    <col min="14" max="14" width="17.7109375" customWidth="1"/>
    <col min="15" max="15" width="19.140625" customWidth="1"/>
  </cols>
  <sheetData>
    <row r="1" spans="1:21" s="24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24" customFormat="1" ht="12.75" customHeight="1" x14ac:dyDescent="0.25">
      <c r="A2" s="5">
        <v>43649</v>
      </c>
      <c r="B2" s="6" t="s">
        <v>21</v>
      </c>
      <c r="C2" s="6" t="s">
        <v>22</v>
      </c>
      <c r="D2" s="6" t="s">
        <v>23</v>
      </c>
      <c r="E2" s="6" t="s">
        <v>42</v>
      </c>
      <c r="F2" s="6" t="s">
        <v>24</v>
      </c>
      <c r="G2" s="7">
        <v>71500</v>
      </c>
      <c r="H2" s="6" t="s">
        <v>25</v>
      </c>
      <c r="I2" s="6" t="s">
        <v>26</v>
      </c>
      <c r="J2" s="8">
        <v>0.45833333333333331</v>
      </c>
      <c r="K2" s="2">
        <v>0.4548611111111111</v>
      </c>
      <c r="L2" s="8">
        <v>0.25694444444444448</v>
      </c>
      <c r="M2" s="9">
        <v>0.26527777777777778</v>
      </c>
      <c r="N2" s="2" t="s">
        <v>107</v>
      </c>
      <c r="O2" s="10" t="s">
        <v>105</v>
      </c>
      <c r="P2" s="10">
        <v>915</v>
      </c>
      <c r="Q2" s="10">
        <v>789</v>
      </c>
      <c r="R2" s="6">
        <v>0</v>
      </c>
      <c r="S2" s="6">
        <v>0</v>
      </c>
      <c r="T2" s="6">
        <v>0</v>
      </c>
      <c r="U2" s="6">
        <v>0</v>
      </c>
    </row>
    <row r="3" spans="1:21" s="24" customFormat="1" ht="12.75" customHeight="1" x14ac:dyDescent="0.25">
      <c r="A3" s="5">
        <v>43649</v>
      </c>
      <c r="B3" s="6" t="s">
        <v>21</v>
      </c>
      <c r="C3" s="6" t="s">
        <v>27</v>
      </c>
      <c r="D3" s="6" t="s">
        <v>23</v>
      </c>
      <c r="E3" s="6" t="s">
        <v>43</v>
      </c>
      <c r="F3" s="6" t="s">
        <v>24</v>
      </c>
      <c r="G3" s="7">
        <v>71500</v>
      </c>
      <c r="H3" s="6" t="s">
        <v>28</v>
      </c>
      <c r="I3" s="6" t="s">
        <v>29</v>
      </c>
      <c r="J3" s="8">
        <v>0.4861111111111111</v>
      </c>
      <c r="K3" s="2">
        <v>0.48958333333333331</v>
      </c>
      <c r="L3" s="8">
        <v>0.28125</v>
      </c>
      <c r="M3" s="9">
        <v>0.28888888888888892</v>
      </c>
      <c r="N3" s="2" t="s">
        <v>108</v>
      </c>
      <c r="O3" s="10" t="s">
        <v>106</v>
      </c>
      <c r="P3" s="6">
        <v>1444</v>
      </c>
      <c r="Q3" s="10">
        <v>430</v>
      </c>
      <c r="R3" s="6">
        <v>0</v>
      </c>
      <c r="S3" s="6">
        <v>0</v>
      </c>
      <c r="T3" s="6">
        <v>0</v>
      </c>
      <c r="U3" s="6">
        <v>0</v>
      </c>
    </row>
    <row r="4" spans="1:21" s="24" customFormat="1" ht="12.75" customHeight="1" x14ac:dyDescent="0.25">
      <c r="A4" s="5">
        <v>43649</v>
      </c>
      <c r="B4" s="3" t="s">
        <v>21</v>
      </c>
      <c r="C4" s="3" t="s">
        <v>99</v>
      </c>
      <c r="D4" s="3" t="s">
        <v>23</v>
      </c>
      <c r="E4" s="6" t="s">
        <v>42</v>
      </c>
      <c r="F4" s="3" t="s">
        <v>24</v>
      </c>
      <c r="G4" s="7">
        <v>71500</v>
      </c>
      <c r="H4" s="3" t="s">
        <v>100</v>
      </c>
      <c r="I4" s="3" t="s">
        <v>101</v>
      </c>
      <c r="J4" s="11">
        <v>0.72569444444444453</v>
      </c>
      <c r="K4" s="2">
        <v>0.72569444444444453</v>
      </c>
      <c r="L4" s="11">
        <v>0.48958333333333331</v>
      </c>
      <c r="M4" s="2">
        <v>0.5083333333333333</v>
      </c>
      <c r="N4" s="3" t="s">
        <v>111</v>
      </c>
      <c r="O4" s="3" t="s">
        <v>109</v>
      </c>
      <c r="P4" s="3">
        <v>1486</v>
      </c>
      <c r="Q4" s="3">
        <v>487</v>
      </c>
      <c r="R4" s="3">
        <v>0</v>
      </c>
      <c r="S4" s="3">
        <v>0</v>
      </c>
      <c r="T4" s="3">
        <v>0</v>
      </c>
      <c r="U4" s="3">
        <v>0</v>
      </c>
    </row>
    <row r="5" spans="1:21" s="24" customFormat="1" ht="12.75" customHeight="1" x14ac:dyDescent="0.25">
      <c r="A5" s="5">
        <v>43649</v>
      </c>
      <c r="B5" s="3" t="s">
        <v>21</v>
      </c>
      <c r="C5" s="3" t="s">
        <v>33</v>
      </c>
      <c r="D5" s="3" t="s">
        <v>23</v>
      </c>
      <c r="E5" s="6" t="s">
        <v>43</v>
      </c>
      <c r="F5" s="3" t="s">
        <v>24</v>
      </c>
      <c r="G5" s="7">
        <v>71500</v>
      </c>
      <c r="H5" s="3" t="s">
        <v>34</v>
      </c>
      <c r="I5" s="3" t="s">
        <v>35</v>
      </c>
      <c r="J5" s="25">
        <v>0.74652777777777779</v>
      </c>
      <c r="K5" s="2">
        <v>0.76041666666666663</v>
      </c>
      <c r="L5" s="25">
        <v>0.51736111111111105</v>
      </c>
      <c r="M5" s="2">
        <v>0.54861111111111105</v>
      </c>
      <c r="N5" s="3" t="s">
        <v>112</v>
      </c>
      <c r="O5" s="24" t="s">
        <v>110</v>
      </c>
      <c r="P5" s="19">
        <v>1690</v>
      </c>
      <c r="Q5" s="24">
        <v>488</v>
      </c>
      <c r="R5" s="3">
        <v>0</v>
      </c>
      <c r="S5" s="3">
        <v>0</v>
      </c>
      <c r="T5" s="3">
        <v>0</v>
      </c>
      <c r="U5" s="3">
        <v>0</v>
      </c>
    </row>
    <row r="6" spans="1:21" s="24" customFormat="1" ht="12.75" customHeight="1" x14ac:dyDescent="0.25">
      <c r="A6" s="5">
        <v>43649</v>
      </c>
      <c r="B6" s="24" t="s">
        <v>21</v>
      </c>
      <c r="C6" s="24" t="s">
        <v>36</v>
      </c>
      <c r="D6" s="24" t="s">
        <v>23</v>
      </c>
      <c r="E6" s="6" t="str">
        <f>E4</f>
        <v>HALWF</v>
      </c>
      <c r="F6" s="24" t="s">
        <v>24</v>
      </c>
      <c r="G6" s="7">
        <v>71500</v>
      </c>
      <c r="H6" s="24" t="s">
        <v>37</v>
      </c>
      <c r="I6" s="24" t="s">
        <v>38</v>
      </c>
      <c r="J6" s="25">
        <v>0.91666666666666663</v>
      </c>
      <c r="K6" s="2">
        <v>0.93125000000000002</v>
      </c>
      <c r="L6" s="25">
        <v>0.74652777777777779</v>
      </c>
      <c r="M6" s="2">
        <v>0.76944444444444438</v>
      </c>
      <c r="N6" s="3" t="s">
        <v>113</v>
      </c>
      <c r="O6" s="24" t="s">
        <v>115</v>
      </c>
      <c r="P6" s="24">
        <v>885</v>
      </c>
      <c r="Q6" s="24">
        <v>562</v>
      </c>
      <c r="R6" s="24">
        <v>0</v>
      </c>
      <c r="S6" s="24">
        <v>0</v>
      </c>
      <c r="T6" s="24">
        <v>0</v>
      </c>
      <c r="U6" s="24">
        <v>0</v>
      </c>
    </row>
    <row r="7" spans="1:21" s="24" customFormat="1" ht="12.75" customHeight="1" x14ac:dyDescent="0.25">
      <c r="A7" s="5">
        <v>43649</v>
      </c>
      <c r="B7" s="24" t="s">
        <v>21</v>
      </c>
      <c r="C7" s="24" t="s">
        <v>102</v>
      </c>
      <c r="D7" s="24" t="s">
        <v>23</v>
      </c>
      <c r="E7" s="6" t="str">
        <f>E5</f>
        <v>HALPR</v>
      </c>
      <c r="F7" s="24" t="s">
        <v>24</v>
      </c>
      <c r="G7" s="26">
        <v>71500</v>
      </c>
      <c r="H7" s="24" t="s">
        <v>103</v>
      </c>
      <c r="I7" s="24" t="s">
        <v>104</v>
      </c>
      <c r="J7" s="25">
        <v>0.95833333333333337</v>
      </c>
      <c r="K7" s="2">
        <v>0.97291666666666676</v>
      </c>
      <c r="L7" s="25">
        <v>0.76736111111111116</v>
      </c>
      <c r="M7" s="2">
        <v>0.79652777777777783</v>
      </c>
      <c r="N7" s="3" t="s">
        <v>114</v>
      </c>
      <c r="O7" s="24" t="s">
        <v>116</v>
      </c>
      <c r="P7" s="24">
        <v>1167</v>
      </c>
      <c r="Q7" s="24">
        <v>657</v>
      </c>
      <c r="R7" s="24">
        <v>0</v>
      </c>
      <c r="S7" s="24">
        <v>0</v>
      </c>
      <c r="T7" s="24">
        <v>0</v>
      </c>
      <c r="U7" s="2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activeCell="C8" sqref="C8"/>
    </sheetView>
  </sheetViews>
  <sheetFormatPr defaultRowHeight="15" x14ac:dyDescent="0.25"/>
  <cols>
    <col min="2" max="2" width="13" customWidth="1"/>
    <col min="3" max="3" width="15.5703125" customWidth="1"/>
    <col min="6" max="6" width="14.42578125" customWidth="1"/>
    <col min="10" max="10" width="10.28515625" customWidth="1"/>
    <col min="11" max="11" width="10.42578125" customWidth="1"/>
    <col min="12" max="12" width="9.85546875" customWidth="1"/>
    <col min="13" max="13" width="10.42578125" customWidth="1"/>
    <col min="14" max="14" width="17.140625" customWidth="1"/>
    <col min="15" max="15" width="18" customWidth="1"/>
    <col min="16" max="16" width="10" customWidth="1"/>
  </cols>
  <sheetData>
    <row r="1" spans="1:21" s="24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24" customFormat="1" ht="12.75" customHeight="1" x14ac:dyDescent="0.25">
      <c r="A2" s="5">
        <v>43650</v>
      </c>
      <c r="B2" s="6" t="s">
        <v>21</v>
      </c>
      <c r="C2" s="6" t="s">
        <v>56</v>
      </c>
      <c r="D2" s="6" t="s">
        <v>23</v>
      </c>
      <c r="E2" s="6" t="s">
        <v>42</v>
      </c>
      <c r="F2" s="6" t="s">
        <v>24</v>
      </c>
      <c r="G2" s="7">
        <v>71500</v>
      </c>
      <c r="H2" s="6" t="s">
        <v>57</v>
      </c>
      <c r="I2" s="6" t="s">
        <v>58</v>
      </c>
      <c r="J2" s="8">
        <v>0.38541666666666669</v>
      </c>
      <c r="K2" s="2">
        <v>0.37013888888888885</v>
      </c>
      <c r="L2" s="8">
        <v>0.25694444444444448</v>
      </c>
      <c r="M2" s="9">
        <v>0.25347222222222221</v>
      </c>
      <c r="N2" s="2" t="s">
        <v>108</v>
      </c>
      <c r="O2" s="10" t="s">
        <v>117</v>
      </c>
      <c r="P2" s="10">
        <v>600</v>
      </c>
      <c r="Q2" s="10">
        <v>265</v>
      </c>
      <c r="R2" s="6">
        <v>0</v>
      </c>
      <c r="S2" s="6">
        <v>0</v>
      </c>
      <c r="T2" s="6">
        <v>0</v>
      </c>
      <c r="U2" s="6">
        <v>0</v>
      </c>
    </row>
    <row r="3" spans="1:21" s="24" customFormat="1" ht="12.75" customHeight="1" x14ac:dyDescent="0.25">
      <c r="A3" s="5">
        <v>43650</v>
      </c>
      <c r="B3" s="6" t="s">
        <v>21</v>
      </c>
      <c r="C3" s="6" t="s">
        <v>22</v>
      </c>
      <c r="D3" s="6" t="s">
        <v>23</v>
      </c>
      <c r="E3" s="6" t="s">
        <v>43</v>
      </c>
      <c r="F3" s="6" t="s">
        <v>24</v>
      </c>
      <c r="G3" s="7">
        <v>71500</v>
      </c>
      <c r="H3" s="6" t="s">
        <v>25</v>
      </c>
      <c r="I3" s="6" t="s">
        <v>26</v>
      </c>
      <c r="J3" s="8">
        <v>0.46180555555555558</v>
      </c>
      <c r="K3" s="2">
        <v>0.46666666666666662</v>
      </c>
      <c r="L3" s="8">
        <v>0.27430555555555552</v>
      </c>
      <c r="M3" s="9">
        <v>0.27430555555555552</v>
      </c>
      <c r="N3" s="2" t="s">
        <v>120</v>
      </c>
      <c r="O3" s="10" t="s">
        <v>118</v>
      </c>
      <c r="P3" s="6">
        <v>1197</v>
      </c>
      <c r="Q3" s="10">
        <v>191</v>
      </c>
      <c r="R3" s="6">
        <v>0</v>
      </c>
      <c r="S3" s="6">
        <v>0</v>
      </c>
      <c r="T3" s="6">
        <v>0</v>
      </c>
      <c r="U3" s="6">
        <v>0</v>
      </c>
    </row>
    <row r="4" spans="1:21" s="24" customFormat="1" ht="12.75" customHeight="1" x14ac:dyDescent="0.25">
      <c r="A4" s="5">
        <v>43650</v>
      </c>
      <c r="B4" s="24" t="s">
        <v>21</v>
      </c>
      <c r="C4" s="24" t="s">
        <v>62</v>
      </c>
      <c r="D4" s="24" t="s">
        <v>23</v>
      </c>
      <c r="E4" s="6" t="s">
        <v>42</v>
      </c>
      <c r="F4" s="24" t="s">
        <v>24</v>
      </c>
      <c r="G4" s="26">
        <v>71500</v>
      </c>
      <c r="H4" s="24" t="s">
        <v>63</v>
      </c>
      <c r="I4" s="24" t="s">
        <v>64</v>
      </c>
      <c r="J4" s="25">
        <v>0.55555555555555558</v>
      </c>
      <c r="K4" s="27">
        <v>0.54861111111111105</v>
      </c>
      <c r="L4" s="25">
        <v>0.40625</v>
      </c>
      <c r="M4" s="27">
        <v>0.41944444444444445</v>
      </c>
      <c r="N4" s="24" t="s">
        <v>122</v>
      </c>
      <c r="O4" s="24" t="s">
        <v>119</v>
      </c>
      <c r="P4" s="24">
        <v>734</v>
      </c>
      <c r="Q4" s="24">
        <v>492</v>
      </c>
      <c r="R4" s="24">
        <v>0</v>
      </c>
      <c r="S4" s="24">
        <v>0</v>
      </c>
      <c r="T4" s="24">
        <v>0</v>
      </c>
      <c r="U4" s="24">
        <v>0</v>
      </c>
    </row>
    <row r="5" spans="1:21" s="24" customFormat="1" ht="12.75" customHeight="1" x14ac:dyDescent="0.25">
      <c r="A5" s="5">
        <v>43650</v>
      </c>
      <c r="B5" s="3" t="s">
        <v>21</v>
      </c>
      <c r="C5" s="3" t="s">
        <v>71</v>
      </c>
      <c r="D5" s="3" t="s">
        <v>23</v>
      </c>
      <c r="E5" s="6" t="s">
        <v>43</v>
      </c>
      <c r="F5" s="3" t="s">
        <v>24</v>
      </c>
      <c r="G5" s="7">
        <v>71500</v>
      </c>
      <c r="H5" s="3" t="s">
        <v>72</v>
      </c>
      <c r="I5" s="3" t="s">
        <v>73</v>
      </c>
      <c r="J5" s="11">
        <v>0.70138888888888884</v>
      </c>
      <c r="K5" s="2">
        <v>0.72083333333333333</v>
      </c>
      <c r="L5" s="11">
        <v>0.49305555555555558</v>
      </c>
      <c r="M5" s="2">
        <v>0.50277777777777777</v>
      </c>
      <c r="N5" s="3" t="s">
        <v>124</v>
      </c>
      <c r="O5" s="3" t="s">
        <v>121</v>
      </c>
      <c r="P5" s="3">
        <v>1089</v>
      </c>
      <c r="Q5" s="3">
        <v>364</v>
      </c>
      <c r="R5" s="3">
        <v>0</v>
      </c>
      <c r="S5" s="3">
        <v>0</v>
      </c>
      <c r="T5" s="3">
        <v>0</v>
      </c>
      <c r="U5" s="3">
        <v>0</v>
      </c>
    </row>
    <row r="6" spans="1:21" s="24" customFormat="1" ht="12.75" customHeight="1" x14ac:dyDescent="0.25">
      <c r="A6" s="5">
        <v>43650</v>
      </c>
      <c r="B6" s="3" t="s">
        <v>21</v>
      </c>
      <c r="C6" s="3" t="s">
        <v>36</v>
      </c>
      <c r="D6" s="3" t="s">
        <v>23</v>
      </c>
      <c r="E6" s="6" t="s">
        <v>42</v>
      </c>
      <c r="F6" s="3" t="s">
        <v>24</v>
      </c>
      <c r="G6" s="7">
        <v>71500</v>
      </c>
      <c r="H6" s="3" t="s">
        <v>37</v>
      </c>
      <c r="I6" s="3" t="s">
        <v>38</v>
      </c>
      <c r="J6" s="25">
        <v>0.75694444444444453</v>
      </c>
      <c r="K6" s="2">
        <v>0.76527777777777783</v>
      </c>
      <c r="L6" s="25">
        <v>0.58680555555555558</v>
      </c>
      <c r="M6" s="18">
        <v>0.60902777777777783</v>
      </c>
      <c r="N6" s="3" t="s">
        <v>125</v>
      </c>
      <c r="O6" s="24" t="s">
        <v>123</v>
      </c>
      <c r="P6" s="19">
        <v>1170</v>
      </c>
      <c r="Q6" s="24">
        <v>444</v>
      </c>
      <c r="R6" s="3">
        <v>0</v>
      </c>
      <c r="S6" s="3">
        <v>0</v>
      </c>
      <c r="T6" s="3">
        <v>0</v>
      </c>
      <c r="U6" s="3">
        <v>0</v>
      </c>
    </row>
    <row r="7" spans="1:21" s="24" customFormat="1" ht="12.75" customHeight="1" x14ac:dyDescent="0.25">
      <c r="A7" s="5">
        <v>43650</v>
      </c>
      <c r="B7" s="24" t="s">
        <v>21</v>
      </c>
      <c r="C7" s="24" t="s">
        <v>27</v>
      </c>
      <c r="D7" s="24" t="s">
        <v>23</v>
      </c>
      <c r="E7" s="6" t="s">
        <v>43</v>
      </c>
      <c r="F7" s="24" t="s">
        <v>24</v>
      </c>
      <c r="G7" s="7">
        <v>71500</v>
      </c>
      <c r="H7" s="24" t="s">
        <v>28</v>
      </c>
      <c r="I7" s="24" t="s">
        <v>29</v>
      </c>
      <c r="J7" s="25">
        <v>0.92708333333333337</v>
      </c>
      <c r="K7" s="2">
        <v>0.93611111111111101</v>
      </c>
      <c r="L7" s="17">
        <v>0.72222222222222221</v>
      </c>
      <c r="M7" s="18">
        <v>0.75208333333333333</v>
      </c>
      <c r="N7" s="12" t="s">
        <v>126</v>
      </c>
      <c r="O7" s="19" t="s">
        <v>128</v>
      </c>
      <c r="P7" s="19">
        <v>1381</v>
      </c>
      <c r="Q7" s="19">
        <v>577</v>
      </c>
      <c r="R7" s="24">
        <v>0</v>
      </c>
      <c r="S7" s="24">
        <v>0</v>
      </c>
      <c r="T7" s="24">
        <v>0</v>
      </c>
      <c r="U7" s="24">
        <v>0</v>
      </c>
    </row>
    <row r="8" spans="1:21" x14ac:dyDescent="0.25">
      <c r="A8" s="5">
        <v>43650</v>
      </c>
      <c r="B8" s="24" t="s">
        <v>21</v>
      </c>
      <c r="C8" s="24" t="s">
        <v>59</v>
      </c>
      <c r="D8" s="24" t="s">
        <v>23</v>
      </c>
      <c r="E8" s="6" t="s">
        <v>42</v>
      </c>
      <c r="F8" s="24" t="s">
        <v>24</v>
      </c>
      <c r="G8" s="26">
        <v>71500</v>
      </c>
      <c r="H8" s="24" t="s">
        <v>60</v>
      </c>
      <c r="I8" s="24" t="s">
        <v>61</v>
      </c>
      <c r="J8" s="25">
        <v>0.95486111111111116</v>
      </c>
      <c r="K8" s="2">
        <v>0.96527777777777779</v>
      </c>
      <c r="L8" s="25">
        <v>0.77777777777777779</v>
      </c>
      <c r="M8" s="27">
        <v>0.79861111111111116</v>
      </c>
      <c r="N8" s="3" t="s">
        <v>127</v>
      </c>
      <c r="O8" s="24" t="s">
        <v>129</v>
      </c>
      <c r="P8" s="24">
        <v>720</v>
      </c>
      <c r="Q8" s="24">
        <v>544</v>
      </c>
      <c r="R8" s="24">
        <v>0</v>
      </c>
      <c r="S8" s="24">
        <v>0</v>
      </c>
      <c r="T8" s="24">
        <v>0</v>
      </c>
      <c r="U8" s="2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"/>
  <sheetViews>
    <sheetView workbookViewId="0">
      <selection activeCell="K7" sqref="K7"/>
    </sheetView>
  </sheetViews>
  <sheetFormatPr defaultRowHeight="12.75" x14ac:dyDescent="0.25"/>
  <cols>
    <col min="1" max="1" width="9.140625" style="24"/>
    <col min="2" max="2" width="18" style="24" customWidth="1"/>
    <col min="3" max="3" width="17.7109375" style="24" customWidth="1"/>
    <col min="4" max="4" width="5.7109375" style="24" bestFit="1" customWidth="1"/>
    <col min="5" max="5" width="14.28515625" style="24" customWidth="1"/>
    <col min="6" max="6" width="23.7109375" style="24" customWidth="1"/>
    <col min="7" max="7" width="9.7109375" style="24" bestFit="1" customWidth="1"/>
    <col min="8" max="8" width="9.140625" style="24"/>
    <col min="9" max="9" width="10.5703125" style="24" customWidth="1"/>
    <col min="10" max="10" width="11.7109375" style="24" customWidth="1"/>
    <col min="11" max="11" width="13.140625" style="24" customWidth="1"/>
    <col min="12" max="12" width="13.42578125" style="24" customWidth="1"/>
    <col min="13" max="13" width="10.85546875" style="24" bestFit="1" customWidth="1"/>
    <col min="14" max="15" width="18.42578125" style="24" bestFit="1" customWidth="1"/>
    <col min="16" max="16" width="10.28515625" style="24" bestFit="1" customWidth="1"/>
    <col min="17" max="16384" width="9.140625" style="24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5">
        <v>43651</v>
      </c>
      <c r="B2" s="6" t="s">
        <v>21</v>
      </c>
      <c r="C2" s="6" t="s">
        <v>22</v>
      </c>
      <c r="D2" s="6" t="s">
        <v>23</v>
      </c>
      <c r="E2" s="6" t="s">
        <v>43</v>
      </c>
      <c r="F2" s="6" t="s">
        <v>24</v>
      </c>
      <c r="G2" s="7">
        <v>71500</v>
      </c>
      <c r="H2" s="6" t="s">
        <v>25</v>
      </c>
      <c r="I2" s="6" t="s">
        <v>26</v>
      </c>
      <c r="J2" s="8">
        <v>0.45833333333333331</v>
      </c>
      <c r="K2" s="2">
        <v>0.45208333333333334</v>
      </c>
      <c r="L2" s="8">
        <v>0.25694444444444448</v>
      </c>
      <c r="M2" s="9">
        <v>0.25625000000000003</v>
      </c>
      <c r="N2" s="24" t="s">
        <v>134</v>
      </c>
      <c r="O2" s="10" t="s">
        <v>131</v>
      </c>
      <c r="P2" s="10">
        <v>1048</v>
      </c>
      <c r="Q2" s="10">
        <v>947</v>
      </c>
      <c r="R2" s="6">
        <v>0</v>
      </c>
      <c r="S2" s="6">
        <v>0</v>
      </c>
      <c r="T2" s="6">
        <v>0</v>
      </c>
      <c r="U2" s="6">
        <v>0</v>
      </c>
    </row>
    <row r="3" spans="1:21" x14ac:dyDescent="0.25">
      <c r="A3" s="5">
        <v>43651</v>
      </c>
      <c r="B3" s="6" t="s">
        <v>21</v>
      </c>
      <c r="C3" s="24" t="s">
        <v>27</v>
      </c>
      <c r="D3" s="24" t="s">
        <v>23</v>
      </c>
      <c r="E3" s="6" t="s">
        <v>42</v>
      </c>
      <c r="F3" s="6" t="s">
        <v>24</v>
      </c>
      <c r="G3" s="7">
        <v>71500</v>
      </c>
      <c r="H3" s="24" t="s">
        <v>28</v>
      </c>
      <c r="I3" s="24" t="s">
        <v>29</v>
      </c>
      <c r="J3" s="25">
        <v>0.4861111111111111</v>
      </c>
      <c r="K3" s="27">
        <v>0.47152777777777777</v>
      </c>
      <c r="L3" s="25">
        <v>0.28125</v>
      </c>
      <c r="M3" s="27">
        <v>0.28541666666666665</v>
      </c>
      <c r="N3" s="24" t="s">
        <v>135</v>
      </c>
      <c r="O3" s="24" t="s">
        <v>132</v>
      </c>
      <c r="P3" s="24">
        <v>1768</v>
      </c>
      <c r="Q3" s="24">
        <v>571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5">
        <v>43651</v>
      </c>
      <c r="B4" s="6" t="s">
        <v>21</v>
      </c>
      <c r="C4" s="24" t="s">
        <v>30</v>
      </c>
      <c r="D4" s="6" t="s">
        <v>23</v>
      </c>
      <c r="E4" s="6" t="s">
        <v>43</v>
      </c>
      <c r="F4" s="6" t="s">
        <v>24</v>
      </c>
      <c r="G4" s="7">
        <v>71500</v>
      </c>
      <c r="H4" s="24" t="s">
        <v>31</v>
      </c>
      <c r="I4" s="24" t="s">
        <v>32</v>
      </c>
      <c r="J4" s="25">
        <v>0.70833333333333337</v>
      </c>
      <c r="K4" s="27">
        <v>0.70694444444444438</v>
      </c>
      <c r="L4" s="25">
        <v>0.48958333333333331</v>
      </c>
      <c r="M4" s="27">
        <v>0.50624999999999998</v>
      </c>
      <c r="N4" s="24" t="s">
        <v>51</v>
      </c>
      <c r="O4" s="24" t="s">
        <v>136</v>
      </c>
      <c r="P4" s="24">
        <v>1727</v>
      </c>
      <c r="Q4" s="24">
        <v>809</v>
      </c>
      <c r="R4" s="6">
        <v>0</v>
      </c>
      <c r="S4" s="6">
        <v>0</v>
      </c>
      <c r="T4" s="6">
        <v>0</v>
      </c>
      <c r="U4" s="6">
        <v>0</v>
      </c>
    </row>
    <row r="5" spans="1:21" x14ac:dyDescent="0.25">
      <c r="A5" s="5">
        <v>43651</v>
      </c>
      <c r="B5" s="6" t="s">
        <v>21</v>
      </c>
      <c r="C5" s="24" t="s">
        <v>33</v>
      </c>
      <c r="D5" s="24" t="s">
        <v>23</v>
      </c>
      <c r="E5" s="6" t="s">
        <v>42</v>
      </c>
      <c r="F5" s="6" t="s">
        <v>24</v>
      </c>
      <c r="G5" s="7">
        <v>71500</v>
      </c>
      <c r="H5" s="24" t="s">
        <v>34</v>
      </c>
      <c r="I5" s="24" t="s">
        <v>35</v>
      </c>
      <c r="J5" s="25">
        <v>0.74652777777777779</v>
      </c>
      <c r="K5" s="27">
        <v>0.75138888888888899</v>
      </c>
      <c r="L5" s="25">
        <v>0.51736111111111105</v>
      </c>
      <c r="M5" s="27">
        <v>0.53541666666666665</v>
      </c>
      <c r="N5" s="24" t="s">
        <v>138</v>
      </c>
      <c r="O5" s="24" t="s">
        <v>137</v>
      </c>
      <c r="P5" s="24">
        <v>1606</v>
      </c>
      <c r="Q5" s="24">
        <v>820</v>
      </c>
      <c r="R5" s="6">
        <v>0</v>
      </c>
      <c r="S5" s="6">
        <v>0</v>
      </c>
      <c r="T5" s="6">
        <v>0</v>
      </c>
      <c r="U5" s="6">
        <v>0</v>
      </c>
    </row>
    <row r="6" spans="1:21" s="16" customFormat="1" x14ac:dyDescent="0.2">
      <c r="A6" s="5">
        <v>43651</v>
      </c>
      <c r="B6" s="6" t="s">
        <v>65</v>
      </c>
      <c r="C6" s="3" t="s">
        <v>66</v>
      </c>
      <c r="D6" s="3" t="str">
        <f>D5</f>
        <v>A320</v>
      </c>
      <c r="E6" s="6" t="s">
        <v>133</v>
      </c>
      <c r="F6" s="3" t="s">
        <v>68</v>
      </c>
      <c r="G6" s="7">
        <v>77000</v>
      </c>
      <c r="H6" s="3" t="s">
        <v>69</v>
      </c>
      <c r="I6" s="3" t="s">
        <v>70</v>
      </c>
      <c r="J6" s="11">
        <v>0.52083333333333337</v>
      </c>
      <c r="K6" s="2">
        <v>0.80902777777777779</v>
      </c>
      <c r="L6" s="11">
        <v>0.5625</v>
      </c>
      <c r="M6" s="2">
        <v>0.80902777777777779</v>
      </c>
      <c r="N6" s="3" t="s">
        <v>140</v>
      </c>
      <c r="O6" s="3" t="s">
        <v>139</v>
      </c>
      <c r="P6" s="3">
        <v>2093</v>
      </c>
      <c r="Q6" s="10">
        <v>1862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5">
        <v>43651</v>
      </c>
      <c r="B7" s="6" t="s">
        <v>21</v>
      </c>
      <c r="C7" s="24" t="s">
        <v>36</v>
      </c>
      <c r="D7" s="6" t="s">
        <v>23</v>
      </c>
      <c r="E7" s="6" t="s">
        <v>43</v>
      </c>
      <c r="F7" s="6" t="s">
        <v>24</v>
      </c>
      <c r="G7" s="26">
        <v>71500</v>
      </c>
      <c r="H7" s="24" t="s">
        <v>37</v>
      </c>
      <c r="I7" s="24" t="s">
        <v>38</v>
      </c>
      <c r="J7" s="25">
        <v>0.89930555555555547</v>
      </c>
      <c r="K7" s="27">
        <v>0.90277777777777779</v>
      </c>
      <c r="L7" s="25">
        <v>0.72916666666666663</v>
      </c>
      <c r="M7" s="27">
        <v>0.74375000000000002</v>
      </c>
      <c r="N7" s="24" t="s">
        <v>141</v>
      </c>
      <c r="O7" s="24" t="s">
        <v>142</v>
      </c>
      <c r="P7" s="24">
        <v>938</v>
      </c>
      <c r="Q7" s="24">
        <v>706</v>
      </c>
      <c r="R7" s="6">
        <v>0</v>
      </c>
      <c r="S7" s="6">
        <v>0</v>
      </c>
      <c r="T7" s="6">
        <v>0</v>
      </c>
      <c r="U7" s="6">
        <v>0</v>
      </c>
    </row>
    <row r="8" spans="1:21" x14ac:dyDescent="0.25">
      <c r="A8" s="5">
        <v>43651</v>
      </c>
      <c r="B8" s="6" t="s">
        <v>21</v>
      </c>
      <c r="C8" s="24" t="s">
        <v>39</v>
      </c>
      <c r="D8" s="24" t="s">
        <v>23</v>
      </c>
      <c r="E8" s="6" t="s">
        <v>42</v>
      </c>
      <c r="F8" s="6" t="s">
        <v>24</v>
      </c>
      <c r="G8" s="7">
        <v>71500</v>
      </c>
      <c r="H8" s="24" t="s">
        <v>40</v>
      </c>
      <c r="I8" s="24" t="s">
        <v>130</v>
      </c>
      <c r="J8" s="25">
        <v>0.9375</v>
      </c>
      <c r="K8" s="27">
        <v>0.97569444444444453</v>
      </c>
      <c r="L8" s="25">
        <v>0.76736111111111116</v>
      </c>
      <c r="M8" s="27">
        <v>0.81944444444444453</v>
      </c>
      <c r="N8" s="24" t="s">
        <v>143</v>
      </c>
      <c r="O8" s="24" t="s">
        <v>144</v>
      </c>
      <c r="P8" s="24">
        <v>808</v>
      </c>
      <c r="Q8" s="24">
        <v>578</v>
      </c>
      <c r="R8" s="6">
        <v>0</v>
      </c>
      <c r="S8" s="6">
        <v>0</v>
      </c>
      <c r="T8" s="6">
        <v>0</v>
      </c>
      <c r="U8" s="6">
        <v>0</v>
      </c>
    </row>
    <row r="9" spans="1:21" ht="12.75" customHeight="1" x14ac:dyDescent="0.25">
      <c r="A9" s="28"/>
      <c r="B9" s="30"/>
      <c r="F9" s="30"/>
      <c r="G9" s="26"/>
      <c r="J9" s="25"/>
      <c r="K9" s="27"/>
      <c r="L9" s="25"/>
      <c r="M9" s="27"/>
    </row>
    <row r="10" spans="1:21" ht="12.75" customHeight="1" x14ac:dyDescent="0.25">
      <c r="A10" s="28"/>
      <c r="B10" s="30"/>
      <c r="F10" s="30"/>
      <c r="G10" s="26"/>
      <c r="J10" s="25"/>
      <c r="K10" s="27"/>
      <c r="L10" s="25"/>
      <c r="M10" s="27"/>
    </row>
    <row r="11" spans="1:21" x14ac:dyDescent="0.25">
      <c r="A11" s="28"/>
      <c r="F11" s="29"/>
      <c r="J11" s="25"/>
      <c r="K11" s="27"/>
      <c r="L11" s="25"/>
      <c r="M11" s="27"/>
    </row>
    <row r="12" spans="1:21" x14ac:dyDescent="0.25">
      <c r="A12" s="28"/>
      <c r="J12" s="25"/>
      <c r="K12" s="27"/>
      <c r="L12" s="25"/>
      <c r="M12" s="27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activeCell="N5" sqref="N5"/>
    </sheetView>
  </sheetViews>
  <sheetFormatPr defaultRowHeight="15" x14ac:dyDescent="0.25"/>
  <cols>
    <col min="1" max="1" width="7" bestFit="1" customWidth="1"/>
    <col min="3" max="3" width="13.42578125" bestFit="1" customWidth="1"/>
    <col min="5" max="5" width="7.42578125" bestFit="1" customWidth="1"/>
    <col min="6" max="6" width="12.140625" bestFit="1" customWidth="1"/>
    <col min="7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4" width="13.42578125" customWidth="1"/>
    <col min="15" max="15" width="15.42578125" customWidth="1"/>
    <col min="16" max="16" width="10.28515625" customWidth="1"/>
  </cols>
  <sheetData>
    <row r="1" spans="1:2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2" t="s">
        <v>10</v>
      </c>
      <c r="L1" s="6" t="s">
        <v>11</v>
      </c>
      <c r="M1" s="6" t="s">
        <v>12</v>
      </c>
      <c r="N1" s="3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</row>
    <row r="2" spans="1:21" x14ac:dyDescent="0.25">
      <c r="A2" s="5">
        <v>43652</v>
      </c>
      <c r="B2" s="6" t="s">
        <v>21</v>
      </c>
      <c r="C2" s="6" t="s">
        <v>56</v>
      </c>
      <c r="D2" s="6" t="s">
        <v>23</v>
      </c>
      <c r="E2" s="6" t="s">
        <v>43</v>
      </c>
      <c r="F2" s="6" t="s">
        <v>24</v>
      </c>
      <c r="G2" s="7">
        <v>71500</v>
      </c>
      <c r="H2" s="6" t="s">
        <v>57</v>
      </c>
      <c r="I2" s="6" t="s">
        <v>58</v>
      </c>
      <c r="J2" s="8">
        <v>0.38541666666666669</v>
      </c>
      <c r="K2" s="2">
        <v>0.37083333333333335</v>
      </c>
      <c r="L2" s="8">
        <v>0.25694444444444448</v>
      </c>
      <c r="M2" s="9">
        <v>0.2673611111111111</v>
      </c>
      <c r="N2" s="3" t="s">
        <v>146</v>
      </c>
      <c r="O2" s="10" t="s">
        <v>119</v>
      </c>
      <c r="P2" s="10">
        <v>384</v>
      </c>
      <c r="Q2" s="10">
        <v>428</v>
      </c>
      <c r="R2" s="6">
        <v>0</v>
      </c>
      <c r="S2" s="6">
        <v>0</v>
      </c>
      <c r="T2" s="6">
        <v>0</v>
      </c>
      <c r="U2" s="6">
        <v>0</v>
      </c>
    </row>
    <row r="3" spans="1:21" x14ac:dyDescent="0.25">
      <c r="A3" s="5">
        <v>43652</v>
      </c>
      <c r="B3" s="6" t="s">
        <v>21</v>
      </c>
      <c r="C3" s="6" t="s">
        <v>59</v>
      </c>
      <c r="D3" s="6" t="s">
        <v>23</v>
      </c>
      <c r="E3" s="6" t="s">
        <v>42</v>
      </c>
      <c r="F3" s="6" t="s">
        <v>24</v>
      </c>
      <c r="G3" s="7">
        <v>71500</v>
      </c>
      <c r="H3" s="6" t="s">
        <v>60</v>
      </c>
      <c r="I3" s="6" t="s">
        <v>61</v>
      </c>
      <c r="J3" s="8">
        <v>0.46180555555555558</v>
      </c>
      <c r="K3" s="2">
        <v>0.45</v>
      </c>
      <c r="L3" s="8">
        <v>0.28125</v>
      </c>
      <c r="M3" s="9">
        <v>0.28680555555555554</v>
      </c>
      <c r="N3" s="3" t="s">
        <v>148</v>
      </c>
      <c r="O3" s="10" t="s">
        <v>145</v>
      </c>
      <c r="P3" s="6">
        <v>1215</v>
      </c>
      <c r="Q3" s="10">
        <v>810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5">
        <v>43652</v>
      </c>
      <c r="B4" s="6" t="s">
        <v>21</v>
      </c>
      <c r="C4" s="3" t="s">
        <v>62</v>
      </c>
      <c r="D4" s="3" t="s">
        <v>23</v>
      </c>
      <c r="E4" s="6" t="s">
        <v>43</v>
      </c>
      <c r="F4" s="3" t="s">
        <v>24</v>
      </c>
      <c r="G4" s="7">
        <v>71500</v>
      </c>
      <c r="H4" s="3" t="s">
        <v>63</v>
      </c>
      <c r="I4" s="3" t="s">
        <v>64</v>
      </c>
      <c r="J4" s="11">
        <v>0.55555555555555558</v>
      </c>
      <c r="K4" s="2">
        <v>0.58402777777777781</v>
      </c>
      <c r="L4" s="11">
        <v>0.40625</v>
      </c>
      <c r="M4" s="2">
        <v>0.43472222222222223</v>
      </c>
      <c r="N4" s="2" t="s">
        <v>114</v>
      </c>
      <c r="O4" s="3" t="s">
        <v>147</v>
      </c>
      <c r="P4" s="3">
        <v>1281</v>
      </c>
      <c r="Q4" s="10">
        <v>839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5">
        <v>43652</v>
      </c>
      <c r="B5" s="6" t="s">
        <v>21</v>
      </c>
      <c r="C5" s="3" t="s">
        <v>71</v>
      </c>
      <c r="D5" s="3" t="s">
        <v>23</v>
      </c>
      <c r="E5" s="6" t="s">
        <v>42</v>
      </c>
      <c r="F5" s="3" t="s">
        <v>24</v>
      </c>
      <c r="G5" s="7">
        <v>71500</v>
      </c>
      <c r="H5" s="3" t="s">
        <v>72</v>
      </c>
      <c r="I5" s="3" t="s">
        <v>73</v>
      </c>
      <c r="J5" s="17">
        <v>0.70138888888888884</v>
      </c>
      <c r="K5" s="2">
        <v>0.71180555555555547</v>
      </c>
      <c r="L5" s="17">
        <v>0.49305555555555558</v>
      </c>
      <c r="M5" s="18">
        <v>0.4777777777777778</v>
      </c>
      <c r="N5" s="3" t="s">
        <v>154</v>
      </c>
      <c r="O5" s="3" t="s">
        <v>149</v>
      </c>
      <c r="P5" s="19">
        <v>1041</v>
      </c>
      <c r="Q5" s="10">
        <v>909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5">
        <v>43652</v>
      </c>
      <c r="B6" s="6" t="s">
        <v>21</v>
      </c>
      <c r="C6" s="3" t="s">
        <v>74</v>
      </c>
      <c r="D6" s="3" t="s">
        <v>23</v>
      </c>
      <c r="E6" s="6" t="s">
        <v>43</v>
      </c>
      <c r="F6" s="12" t="s">
        <v>24</v>
      </c>
      <c r="G6" s="7">
        <v>71500</v>
      </c>
      <c r="H6" s="6" t="s">
        <v>75</v>
      </c>
      <c r="I6" s="6" t="s">
        <v>76</v>
      </c>
      <c r="J6" s="20">
        <v>0.74652777777777779</v>
      </c>
      <c r="K6" s="2">
        <v>0.75694444444444453</v>
      </c>
      <c r="L6" s="20">
        <v>0.58680555555555558</v>
      </c>
      <c r="M6" s="21">
        <v>0.62152777777777779</v>
      </c>
      <c r="N6" s="3" t="s">
        <v>111</v>
      </c>
      <c r="O6" s="3" t="s">
        <v>54</v>
      </c>
      <c r="P6" s="3">
        <v>1493</v>
      </c>
      <c r="Q6" s="10">
        <v>871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5">
        <v>43652</v>
      </c>
      <c r="B7" s="6" t="s">
        <v>21</v>
      </c>
      <c r="C7" s="16" t="s">
        <v>77</v>
      </c>
      <c r="D7" s="16" t="s">
        <v>23</v>
      </c>
      <c r="E7" s="6" t="s">
        <v>42</v>
      </c>
      <c r="F7" s="16" t="s">
        <v>24</v>
      </c>
      <c r="G7" s="22">
        <v>71500</v>
      </c>
      <c r="H7" s="16" t="s">
        <v>78</v>
      </c>
      <c r="I7" s="16" t="s">
        <v>79</v>
      </c>
      <c r="J7" s="20">
        <v>0.94097222222222221</v>
      </c>
      <c r="K7" s="2">
        <v>0.95763888888888893</v>
      </c>
      <c r="L7" s="20">
        <v>0.72222222222222221</v>
      </c>
      <c r="M7" s="21">
        <v>0.75</v>
      </c>
      <c r="N7" s="18" t="s">
        <v>153</v>
      </c>
      <c r="O7" s="16" t="s">
        <v>152</v>
      </c>
      <c r="P7" s="16">
        <v>1317</v>
      </c>
      <c r="Q7" s="10">
        <v>385</v>
      </c>
      <c r="R7" s="16">
        <v>0</v>
      </c>
      <c r="S7" s="16">
        <v>0</v>
      </c>
      <c r="T7" s="16">
        <v>0</v>
      </c>
      <c r="U7" s="16">
        <v>0</v>
      </c>
    </row>
    <row r="8" spans="1:21" x14ac:dyDescent="0.25">
      <c r="A8" s="5">
        <v>43652</v>
      </c>
      <c r="B8" s="3" t="s">
        <v>21</v>
      </c>
      <c r="C8" s="19" t="s">
        <v>80</v>
      </c>
      <c r="D8" s="3" t="s">
        <v>23</v>
      </c>
      <c r="E8" s="6" t="s">
        <v>43</v>
      </c>
      <c r="F8" s="3" t="s">
        <v>24</v>
      </c>
      <c r="G8" s="7">
        <v>71500</v>
      </c>
      <c r="H8" s="6" t="s">
        <v>81</v>
      </c>
      <c r="I8" s="6" t="s">
        <v>82</v>
      </c>
      <c r="J8" s="17">
        <v>0.94444444444444453</v>
      </c>
      <c r="K8" s="9">
        <v>0.9819444444444444</v>
      </c>
      <c r="L8" s="17">
        <v>0.76736111111111116</v>
      </c>
      <c r="M8" s="18">
        <v>0.81111111111111101</v>
      </c>
      <c r="N8" s="18" t="s">
        <v>151</v>
      </c>
      <c r="O8" s="18" t="s">
        <v>150</v>
      </c>
      <c r="P8" s="19">
        <v>1104</v>
      </c>
      <c r="Q8" s="10">
        <v>891</v>
      </c>
      <c r="R8" s="3">
        <v>0</v>
      </c>
      <c r="S8" s="3">
        <v>0</v>
      </c>
      <c r="T8" s="3">
        <v>0</v>
      </c>
      <c r="U8" s="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9"/>
  <sheetViews>
    <sheetView topLeftCell="D1" workbookViewId="0">
      <selection activeCell="N9" sqref="N9"/>
    </sheetView>
  </sheetViews>
  <sheetFormatPr defaultRowHeight="15" x14ac:dyDescent="0.25"/>
  <cols>
    <col min="2" max="2" width="14.140625" bestFit="1" customWidth="1"/>
    <col min="3" max="3" width="14.5703125" customWidth="1"/>
    <col min="5" max="5" width="14.5703125" customWidth="1"/>
    <col min="6" max="6" width="16.42578125" customWidth="1"/>
    <col min="10" max="10" width="11" customWidth="1"/>
    <col min="11" max="11" width="11.42578125" customWidth="1"/>
    <col min="12" max="12" width="11.5703125" customWidth="1"/>
    <col min="13" max="13" width="11.28515625" customWidth="1"/>
    <col min="14" max="14" width="19.5703125" customWidth="1"/>
    <col min="15" max="15" width="19" customWidth="1"/>
  </cols>
  <sheetData>
    <row r="1" spans="1:21" s="4" customFormat="1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4" customFormat="1" ht="12.75" x14ac:dyDescent="0.2">
      <c r="A2" s="5">
        <v>43653</v>
      </c>
      <c r="B2" s="6" t="s">
        <v>21</v>
      </c>
      <c r="C2" s="6" t="s">
        <v>22</v>
      </c>
      <c r="D2" s="6" t="s">
        <v>23</v>
      </c>
      <c r="E2" s="6" t="s">
        <v>155</v>
      </c>
      <c r="F2" s="6" t="s">
        <v>24</v>
      </c>
      <c r="G2" s="7">
        <v>71500</v>
      </c>
      <c r="H2" s="6" t="s">
        <v>25</v>
      </c>
      <c r="I2" s="6" t="s">
        <v>26</v>
      </c>
      <c r="J2" s="8">
        <v>0.45833333333333331</v>
      </c>
      <c r="K2" s="2">
        <v>0.45833333333333331</v>
      </c>
      <c r="L2" s="8">
        <v>0.25694444444444448</v>
      </c>
      <c r="M2" s="9">
        <v>0.26527777777777778</v>
      </c>
      <c r="N2" s="4" t="s">
        <v>164</v>
      </c>
      <c r="O2" s="10" t="s">
        <v>157</v>
      </c>
      <c r="P2" s="4">
        <v>1102</v>
      </c>
      <c r="Q2" s="10">
        <v>916</v>
      </c>
      <c r="R2" s="6">
        <v>0</v>
      </c>
      <c r="S2" s="6">
        <v>0</v>
      </c>
      <c r="T2" s="6">
        <v>0</v>
      </c>
      <c r="U2" s="6">
        <v>0</v>
      </c>
    </row>
    <row r="3" spans="1:21" s="4" customFormat="1" ht="12.75" x14ac:dyDescent="0.2">
      <c r="A3" s="5">
        <v>43653</v>
      </c>
      <c r="B3" s="6" t="s">
        <v>21</v>
      </c>
      <c r="C3" s="6" t="s">
        <v>27</v>
      </c>
      <c r="D3" s="6" t="s">
        <v>23</v>
      </c>
      <c r="E3" s="6" t="s">
        <v>156</v>
      </c>
      <c r="F3" s="6" t="s">
        <v>24</v>
      </c>
      <c r="G3" s="7">
        <v>71500</v>
      </c>
      <c r="H3" s="6" t="s">
        <v>28</v>
      </c>
      <c r="I3" s="6" t="s">
        <v>29</v>
      </c>
      <c r="J3" s="8">
        <v>0.4861111111111111</v>
      </c>
      <c r="K3" s="2">
        <v>0.4861111111111111</v>
      </c>
      <c r="L3" s="8">
        <v>0.28125</v>
      </c>
      <c r="M3" s="9">
        <v>0.28611111111111115</v>
      </c>
      <c r="N3" s="2" t="s">
        <v>165</v>
      </c>
      <c r="O3" s="10" t="s">
        <v>158</v>
      </c>
      <c r="P3" s="10">
        <v>1462</v>
      </c>
      <c r="Q3" s="10">
        <v>979</v>
      </c>
      <c r="R3" s="6">
        <v>0</v>
      </c>
      <c r="S3" s="6">
        <v>0</v>
      </c>
      <c r="T3" s="6">
        <v>0</v>
      </c>
      <c r="U3" s="6">
        <v>0</v>
      </c>
    </row>
    <row r="4" spans="1:21" s="4" customFormat="1" ht="12.75" x14ac:dyDescent="0.2">
      <c r="A4" s="5">
        <v>43653</v>
      </c>
      <c r="B4" s="3" t="s">
        <v>21</v>
      </c>
      <c r="C4" s="3" t="s">
        <v>99</v>
      </c>
      <c r="D4" s="3" t="s">
        <v>23</v>
      </c>
      <c r="E4" s="6" t="str">
        <f>E2</f>
        <v>HA-LWF</v>
      </c>
      <c r="F4" s="3" t="s">
        <v>24</v>
      </c>
      <c r="G4" s="7">
        <v>71500</v>
      </c>
      <c r="H4" s="3" t="s">
        <v>100</v>
      </c>
      <c r="I4" s="3" t="s">
        <v>101</v>
      </c>
      <c r="J4" s="11">
        <v>0.72569444444444453</v>
      </c>
      <c r="K4" s="2">
        <v>0.74861111111111101</v>
      </c>
      <c r="L4" s="11">
        <v>0.48958333333333331</v>
      </c>
      <c r="M4" s="2">
        <v>0.51527777777777783</v>
      </c>
      <c r="N4" s="3" t="s">
        <v>178</v>
      </c>
      <c r="O4" s="3" t="s">
        <v>166</v>
      </c>
      <c r="P4" s="3">
        <v>1861</v>
      </c>
      <c r="Q4" s="10">
        <v>848</v>
      </c>
      <c r="R4" s="3">
        <v>0</v>
      </c>
      <c r="S4" s="3">
        <v>0</v>
      </c>
      <c r="T4" s="3">
        <v>0</v>
      </c>
      <c r="U4" s="3">
        <v>0</v>
      </c>
    </row>
    <row r="5" spans="1:21" s="4" customFormat="1" ht="12.75" x14ac:dyDescent="0.2">
      <c r="A5" s="5">
        <v>43653</v>
      </c>
      <c r="B5" s="3" t="s">
        <v>21</v>
      </c>
      <c r="C5" s="3" t="s">
        <v>33</v>
      </c>
      <c r="D5" s="3" t="s">
        <v>23</v>
      </c>
      <c r="E5" s="6" t="str">
        <f>E3</f>
        <v>HA-LPR</v>
      </c>
      <c r="F5" s="3" t="s">
        <v>24</v>
      </c>
      <c r="G5" s="7">
        <v>71500</v>
      </c>
      <c r="H5" s="3" t="s">
        <v>34</v>
      </c>
      <c r="I5" s="3" t="s">
        <v>35</v>
      </c>
      <c r="J5" s="11">
        <v>0.74652777777777779</v>
      </c>
      <c r="K5" s="2">
        <v>0.80069444444444438</v>
      </c>
      <c r="L5" s="11">
        <v>0.51736111111111105</v>
      </c>
      <c r="M5" s="2">
        <v>0.55625000000000002</v>
      </c>
      <c r="N5" s="3" t="s">
        <v>179</v>
      </c>
      <c r="O5" s="3" t="s">
        <v>167</v>
      </c>
      <c r="P5" s="3">
        <v>1797</v>
      </c>
      <c r="Q5" s="10">
        <v>567</v>
      </c>
      <c r="R5" s="3">
        <v>0</v>
      </c>
      <c r="S5" s="3">
        <v>0</v>
      </c>
      <c r="T5" s="3">
        <v>0</v>
      </c>
      <c r="U5" s="3">
        <v>0</v>
      </c>
    </row>
    <row r="6" spans="1:21" s="4" customFormat="1" ht="12.75" x14ac:dyDescent="0.2">
      <c r="A6" s="5">
        <v>43653</v>
      </c>
      <c r="B6" s="3" t="s">
        <v>21</v>
      </c>
      <c r="C6" s="3" t="s">
        <v>36</v>
      </c>
      <c r="D6" s="3" t="s">
        <v>23</v>
      </c>
      <c r="E6" s="6" t="str">
        <f>E4</f>
        <v>HA-LWF</v>
      </c>
      <c r="F6" s="12" t="s">
        <v>24</v>
      </c>
      <c r="G6" s="7">
        <v>71500</v>
      </c>
      <c r="H6" s="6" t="s">
        <v>37</v>
      </c>
      <c r="I6" s="6" t="s">
        <v>38</v>
      </c>
      <c r="J6" s="13">
        <v>0.91666666666666663</v>
      </c>
      <c r="K6" s="2">
        <v>0.96527777777777779</v>
      </c>
      <c r="L6" s="13">
        <v>0.74652777777777779</v>
      </c>
      <c r="M6" s="14">
        <v>0.8041666666666667</v>
      </c>
      <c r="N6" s="3" t="s">
        <v>181</v>
      </c>
      <c r="O6" s="3" t="s">
        <v>180</v>
      </c>
      <c r="P6" s="3">
        <v>1511</v>
      </c>
      <c r="Q6" s="10">
        <v>604</v>
      </c>
      <c r="R6" s="3">
        <v>0</v>
      </c>
      <c r="S6" s="3">
        <v>0</v>
      </c>
      <c r="T6" s="3">
        <v>0</v>
      </c>
      <c r="U6" s="3">
        <v>0</v>
      </c>
    </row>
    <row r="7" spans="1:21" s="4" customFormat="1" ht="12.75" x14ac:dyDescent="0.2">
      <c r="A7" s="41">
        <f t="shared" ref="A7" si="0">A6</f>
        <v>43653</v>
      </c>
      <c r="B7" s="34" t="s">
        <v>21</v>
      </c>
      <c r="C7" s="34" t="s">
        <v>102</v>
      </c>
      <c r="D7" s="34" t="s">
        <v>23</v>
      </c>
      <c r="E7" s="34" t="s">
        <v>43</v>
      </c>
      <c r="F7" s="34" t="s">
        <v>24</v>
      </c>
      <c r="G7" s="35">
        <v>71500</v>
      </c>
      <c r="H7" s="34" t="s">
        <v>40</v>
      </c>
      <c r="I7" s="34" t="s">
        <v>41</v>
      </c>
      <c r="J7" s="36">
        <v>0.95833333333333337</v>
      </c>
      <c r="K7" s="37"/>
      <c r="L7" s="36">
        <v>0.76736111111111116</v>
      </c>
      <c r="M7" s="38"/>
      <c r="N7" s="39"/>
      <c r="O7" s="34"/>
      <c r="P7" s="34"/>
      <c r="Q7" s="40"/>
      <c r="R7" s="34">
        <v>0</v>
      </c>
      <c r="S7" s="34">
        <v>0</v>
      </c>
      <c r="T7" s="34">
        <v>0</v>
      </c>
      <c r="U7" s="34">
        <v>0</v>
      </c>
    </row>
    <row r="8" spans="1:21" x14ac:dyDescent="0.25">
      <c r="A8" s="5">
        <v>43653</v>
      </c>
      <c r="B8" s="3" t="s">
        <v>159</v>
      </c>
      <c r="C8" s="3" t="s">
        <v>160</v>
      </c>
      <c r="D8" s="3" t="s">
        <v>161</v>
      </c>
      <c r="E8" s="6">
        <v>21109</v>
      </c>
      <c r="F8" s="3" t="s">
        <v>176</v>
      </c>
      <c r="G8" s="7" t="s">
        <v>162</v>
      </c>
      <c r="H8" s="6" t="s">
        <v>163</v>
      </c>
      <c r="I8" s="6"/>
      <c r="J8" s="13">
        <v>0.45833333333333331</v>
      </c>
      <c r="K8" s="14">
        <v>0.44444444444444442</v>
      </c>
      <c r="L8" s="31" t="s">
        <v>175</v>
      </c>
      <c r="M8" s="27" t="s">
        <v>175</v>
      </c>
      <c r="N8" s="3">
        <v>53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</row>
    <row r="9" spans="1:21" s="4" customFormat="1" ht="12.75" x14ac:dyDescent="0.2">
      <c r="A9" s="32">
        <v>43653</v>
      </c>
      <c r="B9" s="3" t="s">
        <v>168</v>
      </c>
      <c r="C9" s="3" t="s">
        <v>169</v>
      </c>
      <c r="D9" s="3" t="s">
        <v>170</v>
      </c>
      <c r="E9" s="3" t="s">
        <v>173</v>
      </c>
      <c r="F9" s="3" t="s">
        <v>177</v>
      </c>
      <c r="G9" s="3" t="s">
        <v>172</v>
      </c>
      <c r="H9" s="6" t="s">
        <v>171</v>
      </c>
      <c r="I9" s="6" t="s">
        <v>171</v>
      </c>
      <c r="J9" s="14">
        <v>0.46527777777777773</v>
      </c>
      <c r="K9" s="14">
        <v>0.45833333333333331</v>
      </c>
      <c r="L9" s="14">
        <v>0.49305555555555558</v>
      </c>
      <c r="M9" s="14">
        <v>0.50208333333333333</v>
      </c>
      <c r="N9" s="33" t="s">
        <v>174</v>
      </c>
      <c r="O9" s="3">
        <v>1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"/>
  <sheetViews>
    <sheetView topLeftCell="G1" workbookViewId="0">
      <selection sqref="A1:U7"/>
    </sheetView>
  </sheetViews>
  <sheetFormatPr defaultRowHeight="15" x14ac:dyDescent="0.25"/>
  <cols>
    <col min="2" max="2" width="11.7109375" customWidth="1"/>
    <col min="3" max="3" width="15.140625" customWidth="1"/>
    <col min="6" max="6" width="18.42578125" customWidth="1"/>
    <col min="10" max="10" width="10" customWidth="1"/>
    <col min="11" max="11" width="11" customWidth="1"/>
    <col min="12" max="12" width="10.85546875" customWidth="1"/>
    <col min="13" max="13" width="12.140625" customWidth="1"/>
    <col min="14" max="14" width="17.85546875" customWidth="1"/>
    <col min="15" max="15" width="18.7109375" customWidth="1"/>
    <col min="16" max="16" width="10.7109375" customWidth="1"/>
    <col min="17" max="17" width="10.5703125" customWidth="1"/>
  </cols>
  <sheetData>
    <row r="1" spans="1:21" s="4" customFormat="1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4" customFormat="1" ht="12.75" x14ac:dyDescent="0.2">
      <c r="A2" s="5">
        <v>43654</v>
      </c>
      <c r="B2" s="6" t="s">
        <v>21</v>
      </c>
      <c r="C2" s="6" t="s">
        <v>22</v>
      </c>
      <c r="D2" s="6" t="s">
        <v>23</v>
      </c>
      <c r="E2" s="6" t="s">
        <v>43</v>
      </c>
      <c r="F2" s="6" t="s">
        <v>24</v>
      </c>
      <c r="G2" s="7">
        <v>71500</v>
      </c>
      <c r="H2" s="6" t="s">
        <v>25</v>
      </c>
      <c r="I2" s="6" t="s">
        <v>26</v>
      </c>
      <c r="J2" s="8">
        <v>0.45833333333333331</v>
      </c>
      <c r="K2" s="2">
        <v>0.46458333333333335</v>
      </c>
      <c r="L2" s="8">
        <v>0.25694444444444448</v>
      </c>
      <c r="M2" s="9">
        <v>0.26041666666666669</v>
      </c>
      <c r="N2" s="3" t="s">
        <v>191</v>
      </c>
      <c r="O2" s="10" t="s">
        <v>147</v>
      </c>
      <c r="P2" s="10">
        <v>1539</v>
      </c>
      <c r="Q2" s="10">
        <v>1134</v>
      </c>
      <c r="R2" s="6">
        <v>0</v>
      </c>
      <c r="S2" s="6">
        <v>0</v>
      </c>
      <c r="T2" s="6">
        <v>0</v>
      </c>
      <c r="U2" s="6">
        <v>0</v>
      </c>
    </row>
    <row r="3" spans="1:21" s="4" customFormat="1" ht="12.75" x14ac:dyDescent="0.2">
      <c r="A3" s="5">
        <v>43654</v>
      </c>
      <c r="B3" s="6" t="s">
        <v>21</v>
      </c>
      <c r="C3" s="6" t="s">
        <v>27</v>
      </c>
      <c r="D3" s="6" t="s">
        <v>23</v>
      </c>
      <c r="E3" s="6" t="s">
        <v>42</v>
      </c>
      <c r="F3" s="6" t="s">
        <v>24</v>
      </c>
      <c r="G3" s="7">
        <v>71500</v>
      </c>
      <c r="H3" s="6" t="s">
        <v>28</v>
      </c>
      <c r="I3" s="6" t="s">
        <v>29</v>
      </c>
      <c r="J3" s="8">
        <v>0.4861111111111111</v>
      </c>
      <c r="K3" s="2">
        <v>0.48333333333333334</v>
      </c>
      <c r="L3" s="8">
        <v>0.28125</v>
      </c>
      <c r="M3" s="9">
        <v>0.28125</v>
      </c>
      <c r="N3" s="3" t="s">
        <v>192</v>
      </c>
      <c r="O3" s="10" t="s">
        <v>183</v>
      </c>
      <c r="P3" s="6">
        <v>1294</v>
      </c>
      <c r="Q3" s="10">
        <v>505</v>
      </c>
      <c r="R3" s="6">
        <v>0</v>
      </c>
      <c r="S3" s="6">
        <v>0</v>
      </c>
      <c r="T3" s="6">
        <v>0</v>
      </c>
      <c r="U3" s="6">
        <v>0</v>
      </c>
    </row>
    <row r="4" spans="1:21" s="4" customFormat="1" ht="12.75" x14ac:dyDescent="0.2">
      <c r="A4" s="5">
        <v>43654</v>
      </c>
      <c r="B4" s="3" t="s">
        <v>21</v>
      </c>
      <c r="C4" s="3" t="s">
        <v>30</v>
      </c>
      <c r="D4" s="3" t="s">
        <v>23</v>
      </c>
      <c r="E4" s="6" t="s">
        <v>182</v>
      </c>
      <c r="F4" s="3" t="s">
        <v>24</v>
      </c>
      <c r="G4" s="7">
        <v>71500</v>
      </c>
      <c r="H4" s="3" t="s">
        <v>31</v>
      </c>
      <c r="I4" s="3" t="s">
        <v>32</v>
      </c>
      <c r="J4" s="11">
        <v>0.70833333333333337</v>
      </c>
      <c r="K4" s="2">
        <v>0.71319444444444446</v>
      </c>
      <c r="L4" s="11">
        <v>0.48958333333333331</v>
      </c>
      <c r="M4" s="2">
        <v>0.50555555555555554</v>
      </c>
      <c r="N4" s="4" t="s">
        <v>203</v>
      </c>
      <c r="O4" s="3" t="s">
        <v>193</v>
      </c>
      <c r="P4" s="3">
        <v>1827</v>
      </c>
      <c r="Q4" s="10">
        <v>902</v>
      </c>
      <c r="R4" s="3">
        <v>0</v>
      </c>
      <c r="S4" s="3">
        <v>0</v>
      </c>
      <c r="T4" s="3">
        <v>0</v>
      </c>
      <c r="U4" s="3">
        <v>0</v>
      </c>
    </row>
    <row r="5" spans="1:21" s="4" customFormat="1" ht="12.75" x14ac:dyDescent="0.2">
      <c r="A5" s="5">
        <v>43654</v>
      </c>
      <c r="B5" s="3" t="s">
        <v>21</v>
      </c>
      <c r="C5" s="3" t="s">
        <v>33</v>
      </c>
      <c r="D5" s="3" t="s">
        <v>23</v>
      </c>
      <c r="E5" s="6" t="s">
        <v>42</v>
      </c>
      <c r="F5" s="3" t="s">
        <v>24</v>
      </c>
      <c r="G5" s="7">
        <v>71500</v>
      </c>
      <c r="H5" s="3" t="s">
        <v>34</v>
      </c>
      <c r="I5" s="3" t="s">
        <v>35</v>
      </c>
      <c r="J5" s="11">
        <v>0.74652777777777779</v>
      </c>
      <c r="K5" s="2">
        <v>0.75416666666666676</v>
      </c>
      <c r="L5" s="11">
        <v>0.51736111111111105</v>
      </c>
      <c r="M5" s="2">
        <v>0.53888888888888886</v>
      </c>
      <c r="N5" s="3" t="s">
        <v>120</v>
      </c>
      <c r="O5" s="3" t="s">
        <v>194</v>
      </c>
      <c r="P5" s="3">
        <v>1417</v>
      </c>
      <c r="Q5" s="10">
        <v>471</v>
      </c>
      <c r="R5" s="3">
        <v>0</v>
      </c>
      <c r="S5" s="3">
        <v>0</v>
      </c>
      <c r="T5" s="3">
        <v>0</v>
      </c>
      <c r="U5" s="3">
        <v>0</v>
      </c>
    </row>
    <row r="6" spans="1:21" s="4" customFormat="1" ht="12.75" x14ac:dyDescent="0.2">
      <c r="A6" s="5">
        <v>43654</v>
      </c>
      <c r="B6" s="3" t="s">
        <v>21</v>
      </c>
      <c r="C6" s="3" t="s">
        <v>36</v>
      </c>
      <c r="D6" s="3" t="s">
        <v>23</v>
      </c>
      <c r="E6" s="6" t="s">
        <v>182</v>
      </c>
      <c r="F6" s="12" t="s">
        <v>24</v>
      </c>
      <c r="G6" s="7">
        <v>71500</v>
      </c>
      <c r="H6" s="6" t="s">
        <v>37</v>
      </c>
      <c r="I6" s="6" t="s">
        <v>38</v>
      </c>
      <c r="J6" s="13">
        <v>0.89930555555555547</v>
      </c>
      <c r="K6" s="2">
        <v>0.92708333333333337</v>
      </c>
      <c r="L6" s="13">
        <v>0.72916666666666663</v>
      </c>
      <c r="M6" s="14">
        <v>0.75138888888888899</v>
      </c>
      <c r="N6" s="3" t="s">
        <v>206</v>
      </c>
      <c r="O6" s="3" t="s">
        <v>204</v>
      </c>
      <c r="P6" s="3">
        <v>1128</v>
      </c>
      <c r="Q6" s="10">
        <v>590</v>
      </c>
      <c r="R6" s="3">
        <v>0</v>
      </c>
      <c r="S6" s="3">
        <v>0</v>
      </c>
      <c r="T6" s="3">
        <v>0</v>
      </c>
      <c r="U6" s="3">
        <v>0</v>
      </c>
    </row>
    <row r="7" spans="1:21" s="4" customFormat="1" ht="12.75" x14ac:dyDescent="0.2">
      <c r="A7" s="5">
        <v>43654</v>
      </c>
      <c r="B7" s="4" t="s">
        <v>21</v>
      </c>
      <c r="C7" s="4" t="s">
        <v>39</v>
      </c>
      <c r="D7" s="4" t="s">
        <v>23</v>
      </c>
      <c r="E7" s="6" t="s">
        <v>42</v>
      </c>
      <c r="F7" s="4" t="s">
        <v>24</v>
      </c>
      <c r="G7" s="15">
        <v>71500</v>
      </c>
      <c r="H7" s="4" t="s">
        <v>40</v>
      </c>
      <c r="I7" s="4" t="s">
        <v>41</v>
      </c>
      <c r="J7" s="13">
        <v>0.9375</v>
      </c>
      <c r="K7" s="2">
        <v>0.9506944444444444</v>
      </c>
      <c r="L7" s="13">
        <v>0.76736111111111116</v>
      </c>
      <c r="M7" s="14">
        <v>0.79166666666666663</v>
      </c>
      <c r="N7" s="3" t="s">
        <v>207</v>
      </c>
      <c r="O7" s="4" t="s">
        <v>205</v>
      </c>
      <c r="P7" s="4">
        <v>797</v>
      </c>
      <c r="Q7" s="10">
        <v>630</v>
      </c>
      <c r="R7" s="4">
        <v>0</v>
      </c>
      <c r="S7" s="4">
        <v>0</v>
      </c>
      <c r="T7" s="4">
        <v>0</v>
      </c>
      <c r="U7" s="4">
        <v>0</v>
      </c>
    </row>
    <row r="8" spans="1:21" x14ac:dyDescent="0.25">
      <c r="A8" s="32">
        <v>43654</v>
      </c>
      <c r="B8" s="3" t="s">
        <v>159</v>
      </c>
      <c r="C8" s="3" t="s">
        <v>184</v>
      </c>
      <c r="D8" s="3" t="s">
        <v>185</v>
      </c>
      <c r="E8" s="6" t="s">
        <v>186</v>
      </c>
      <c r="F8" s="3" t="s">
        <v>196</v>
      </c>
      <c r="G8" s="15" t="s">
        <v>162</v>
      </c>
      <c r="H8" s="6" t="s">
        <v>197</v>
      </c>
      <c r="I8" s="6" t="s">
        <v>195</v>
      </c>
      <c r="J8" s="42" t="s">
        <v>175</v>
      </c>
      <c r="K8" s="6" t="s">
        <v>175</v>
      </c>
      <c r="L8" s="13">
        <v>0.33333333333333331</v>
      </c>
      <c r="M8" s="14">
        <v>0.33819444444444446</v>
      </c>
      <c r="N8" s="4">
        <v>0</v>
      </c>
      <c r="O8" s="4" t="s">
        <v>200</v>
      </c>
      <c r="P8" s="4">
        <v>0</v>
      </c>
      <c r="Q8" s="4">
        <v>0</v>
      </c>
      <c r="R8" s="3">
        <v>0</v>
      </c>
      <c r="S8" s="3">
        <v>0</v>
      </c>
      <c r="T8" s="3">
        <v>0</v>
      </c>
      <c r="U8" s="4">
        <v>0</v>
      </c>
    </row>
    <row r="9" spans="1:21" x14ac:dyDescent="0.25">
      <c r="A9" s="32">
        <v>43654</v>
      </c>
      <c r="B9" s="3" t="s">
        <v>187</v>
      </c>
      <c r="C9" s="3" t="s">
        <v>216</v>
      </c>
      <c r="D9" s="3" t="s">
        <v>185</v>
      </c>
      <c r="E9" s="6" t="s">
        <v>186</v>
      </c>
      <c r="F9" s="3" t="s">
        <v>189</v>
      </c>
      <c r="G9" s="15">
        <v>70000</v>
      </c>
      <c r="H9" s="6" t="s">
        <v>199</v>
      </c>
      <c r="I9" s="6" t="s">
        <v>198</v>
      </c>
      <c r="J9" s="13">
        <v>0.30902777777777779</v>
      </c>
      <c r="K9" s="14">
        <v>0.31180555555555556</v>
      </c>
      <c r="L9" s="8">
        <v>0.71527777777777779</v>
      </c>
      <c r="M9" s="9">
        <v>0.71111111111111114</v>
      </c>
      <c r="N9" s="4" t="s">
        <v>200</v>
      </c>
      <c r="O9" s="4" t="s">
        <v>200</v>
      </c>
      <c r="P9" s="4">
        <v>0</v>
      </c>
      <c r="Q9" s="4">
        <v>0</v>
      </c>
      <c r="R9" s="3">
        <v>0</v>
      </c>
      <c r="S9" s="3">
        <v>0</v>
      </c>
      <c r="T9" s="3">
        <v>0</v>
      </c>
      <c r="U9" s="3">
        <v>0</v>
      </c>
    </row>
    <row r="10" spans="1:21" x14ac:dyDescent="0.25">
      <c r="A10" s="32">
        <v>43654</v>
      </c>
      <c r="B10" s="3" t="s">
        <v>187</v>
      </c>
      <c r="C10" s="3" t="s">
        <v>188</v>
      </c>
      <c r="D10" s="3" t="s">
        <v>185</v>
      </c>
      <c r="E10" s="6" t="s">
        <v>190</v>
      </c>
      <c r="F10" s="3" t="s">
        <v>189</v>
      </c>
      <c r="G10" s="15">
        <v>75500</v>
      </c>
      <c r="H10" s="6" t="s">
        <v>201</v>
      </c>
      <c r="I10" s="6" t="s">
        <v>202</v>
      </c>
      <c r="J10" s="13">
        <v>0.28472222222222221</v>
      </c>
      <c r="K10" s="14">
        <v>0.32083333333333336</v>
      </c>
      <c r="L10" s="42" t="s">
        <v>175</v>
      </c>
      <c r="M10" s="6" t="s">
        <v>175</v>
      </c>
      <c r="N10" s="4" t="s">
        <v>200</v>
      </c>
      <c r="O10" s="4">
        <v>0</v>
      </c>
      <c r="P10" s="4">
        <v>0</v>
      </c>
      <c r="Q10" s="4">
        <v>0</v>
      </c>
      <c r="R10" s="3">
        <v>0</v>
      </c>
      <c r="S10" s="3">
        <v>0</v>
      </c>
      <c r="T10" s="3">
        <v>0</v>
      </c>
      <c r="U10" s="3">
        <v>0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"/>
  <sheetViews>
    <sheetView topLeftCell="E1" workbookViewId="0">
      <selection sqref="A1:U9"/>
    </sheetView>
  </sheetViews>
  <sheetFormatPr defaultRowHeight="15" x14ac:dyDescent="0.25"/>
  <cols>
    <col min="2" max="2" width="12.28515625" customWidth="1"/>
    <col min="3" max="3" width="13.42578125" bestFit="1" customWidth="1"/>
    <col min="6" max="6" width="18.5703125" bestFit="1" customWidth="1"/>
  </cols>
  <sheetData>
    <row r="1" spans="1:2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2" t="s">
        <v>10</v>
      </c>
      <c r="L1" s="6" t="s">
        <v>11</v>
      </c>
      <c r="M1" s="6" t="s">
        <v>12</v>
      </c>
      <c r="N1" s="3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</row>
    <row r="2" spans="1:21" x14ac:dyDescent="0.25">
      <c r="A2" s="5">
        <v>43655</v>
      </c>
      <c r="B2" s="6" t="s">
        <v>21</v>
      </c>
      <c r="C2" s="6" t="s">
        <v>56</v>
      </c>
      <c r="D2" s="6" t="s">
        <v>23</v>
      </c>
      <c r="E2" s="6" t="s">
        <v>42</v>
      </c>
      <c r="F2" s="6" t="s">
        <v>24</v>
      </c>
      <c r="G2" s="7">
        <v>71500</v>
      </c>
      <c r="H2" s="6" t="s">
        <v>57</v>
      </c>
      <c r="I2" s="6" t="s">
        <v>58</v>
      </c>
      <c r="J2" s="8">
        <v>0.38541666666666669</v>
      </c>
      <c r="K2" s="2">
        <v>0.37916666666666665</v>
      </c>
      <c r="L2" s="8">
        <v>0.25694444444444448</v>
      </c>
      <c r="M2" s="9">
        <v>0.26250000000000001</v>
      </c>
      <c r="N2" s="3" t="s">
        <v>212</v>
      </c>
      <c r="O2" s="10" t="s">
        <v>209</v>
      </c>
      <c r="P2" s="10">
        <v>525</v>
      </c>
      <c r="Q2" s="10">
        <v>424</v>
      </c>
      <c r="R2" s="6">
        <v>0</v>
      </c>
      <c r="S2" s="6">
        <v>0</v>
      </c>
      <c r="T2" s="6">
        <v>0</v>
      </c>
      <c r="U2" s="6">
        <v>0</v>
      </c>
    </row>
    <row r="3" spans="1:21" x14ac:dyDescent="0.25">
      <c r="A3" s="5">
        <v>43655</v>
      </c>
      <c r="B3" s="6" t="s">
        <v>21</v>
      </c>
      <c r="C3" s="6" t="s">
        <v>59</v>
      </c>
      <c r="D3" s="6" t="s">
        <v>23</v>
      </c>
      <c r="E3" s="6" t="s">
        <v>182</v>
      </c>
      <c r="F3" s="6" t="s">
        <v>24</v>
      </c>
      <c r="G3" s="7">
        <v>71500</v>
      </c>
      <c r="H3" s="6" t="s">
        <v>60</v>
      </c>
      <c r="I3" s="6" t="s">
        <v>61</v>
      </c>
      <c r="J3" s="8">
        <v>0.46180555555555558</v>
      </c>
      <c r="K3" s="2">
        <v>0.52708333333333335</v>
      </c>
      <c r="L3" s="8">
        <v>0.28125</v>
      </c>
      <c r="M3" s="9">
        <v>0.31944444444444448</v>
      </c>
      <c r="N3" s="3" t="s">
        <v>213</v>
      </c>
      <c r="O3" s="10" t="s">
        <v>210</v>
      </c>
      <c r="P3" s="6">
        <v>1024</v>
      </c>
      <c r="Q3" s="10">
        <v>477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5">
        <v>43655</v>
      </c>
      <c r="B4" s="6" t="s">
        <v>21</v>
      </c>
      <c r="C4" s="3" t="s">
        <v>62</v>
      </c>
      <c r="D4" s="3" t="s">
        <v>23</v>
      </c>
      <c r="E4" s="6" t="s">
        <v>42</v>
      </c>
      <c r="F4" s="3" t="s">
        <v>24</v>
      </c>
      <c r="G4" s="7">
        <v>71500</v>
      </c>
      <c r="H4" s="3" t="s">
        <v>63</v>
      </c>
      <c r="I4" s="3" t="s">
        <v>64</v>
      </c>
      <c r="J4" s="11">
        <v>0.55555555555555558</v>
      </c>
      <c r="K4" s="2">
        <v>0.55277777777777781</v>
      </c>
      <c r="L4" s="11">
        <v>0.40625</v>
      </c>
      <c r="M4" s="2">
        <v>0.41597222222222219</v>
      </c>
      <c r="N4" s="3" t="s">
        <v>165</v>
      </c>
      <c r="O4" s="3" t="s">
        <v>214</v>
      </c>
      <c r="P4" s="3">
        <v>953</v>
      </c>
      <c r="Q4" s="10">
        <v>671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5">
        <v>43655</v>
      </c>
      <c r="B5" s="6" t="s">
        <v>65</v>
      </c>
      <c r="C5" s="3" t="s">
        <v>66</v>
      </c>
      <c r="D5" s="3" t="str">
        <f>D4</f>
        <v>A320</v>
      </c>
      <c r="E5" s="6" t="s">
        <v>208</v>
      </c>
      <c r="F5" s="3" t="s">
        <v>68</v>
      </c>
      <c r="G5" s="7">
        <v>77000</v>
      </c>
      <c r="H5" s="3" t="s">
        <v>69</v>
      </c>
      <c r="I5" s="3" t="s">
        <v>70</v>
      </c>
      <c r="J5" s="11">
        <v>0.41319444444444442</v>
      </c>
      <c r="K5" s="2">
        <v>0.42638888888888887</v>
      </c>
      <c r="L5" s="11">
        <v>0.4548611111111111</v>
      </c>
      <c r="M5" s="2">
        <v>0.47361111111111115</v>
      </c>
      <c r="N5" s="3" t="s">
        <v>211</v>
      </c>
      <c r="O5" s="3" t="s">
        <v>215</v>
      </c>
      <c r="P5" s="3">
        <v>2327</v>
      </c>
      <c r="Q5" s="10">
        <v>1881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5">
        <v>43655</v>
      </c>
      <c r="B6" s="6" t="s">
        <v>21</v>
      </c>
      <c r="C6" s="3" t="s">
        <v>71</v>
      </c>
      <c r="D6" s="3" t="s">
        <v>23</v>
      </c>
      <c r="E6" s="6" t="s">
        <v>182</v>
      </c>
      <c r="F6" s="3" t="s">
        <v>24</v>
      </c>
      <c r="G6" s="7">
        <v>71500</v>
      </c>
      <c r="H6" s="3" t="s">
        <v>72</v>
      </c>
      <c r="I6" s="3" t="s">
        <v>73</v>
      </c>
      <c r="J6" s="17">
        <v>0.70138888888888884</v>
      </c>
      <c r="K6" s="2">
        <v>0.76874999999999993</v>
      </c>
      <c r="L6" s="17">
        <v>0.49305555555555558</v>
      </c>
      <c r="M6" s="18">
        <v>0.57152777777777775</v>
      </c>
      <c r="N6" s="3" t="s">
        <v>165</v>
      </c>
      <c r="O6" s="3" t="s">
        <v>218</v>
      </c>
      <c r="P6" s="19">
        <v>1593</v>
      </c>
      <c r="Q6" s="10">
        <v>724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5">
        <v>43655</v>
      </c>
      <c r="B7" s="6" t="s">
        <v>21</v>
      </c>
      <c r="C7" s="3" t="s">
        <v>74</v>
      </c>
      <c r="D7" s="3" t="s">
        <v>23</v>
      </c>
      <c r="E7" s="6" t="s">
        <v>42</v>
      </c>
      <c r="F7" s="12" t="s">
        <v>24</v>
      </c>
      <c r="G7" s="7">
        <v>71500</v>
      </c>
      <c r="H7" s="6" t="s">
        <v>75</v>
      </c>
      <c r="I7" s="6" t="s">
        <v>76</v>
      </c>
      <c r="J7" s="20">
        <v>0.74652777777777779</v>
      </c>
      <c r="K7" s="2">
        <v>0.79236111111111107</v>
      </c>
      <c r="L7" s="20">
        <v>0.58680555555555558</v>
      </c>
      <c r="M7" s="21">
        <v>0.65416666666666667</v>
      </c>
      <c r="N7" s="3" t="s">
        <v>221</v>
      </c>
      <c r="O7" s="3" t="s">
        <v>219</v>
      </c>
      <c r="P7" s="3">
        <v>1186</v>
      </c>
      <c r="Q7" s="10">
        <v>372</v>
      </c>
      <c r="R7" s="3">
        <v>0</v>
      </c>
      <c r="S7" s="3">
        <v>0</v>
      </c>
      <c r="T7" s="3">
        <v>0</v>
      </c>
      <c r="U7" s="3">
        <v>0</v>
      </c>
    </row>
    <row r="8" spans="1:21" x14ac:dyDescent="0.25">
      <c r="A8" s="5">
        <v>43655</v>
      </c>
      <c r="B8" s="6" t="s">
        <v>21</v>
      </c>
      <c r="C8" s="16" t="s">
        <v>77</v>
      </c>
      <c r="D8" s="16" t="s">
        <v>23</v>
      </c>
      <c r="E8" s="6" t="s">
        <v>42</v>
      </c>
      <c r="F8" s="16" t="s">
        <v>24</v>
      </c>
      <c r="G8" s="22">
        <v>71500</v>
      </c>
      <c r="H8" s="16" t="s">
        <v>78</v>
      </c>
      <c r="I8" s="16" t="s">
        <v>79</v>
      </c>
      <c r="J8" s="20">
        <v>0.94097222222222221</v>
      </c>
      <c r="K8" s="2">
        <v>3.9583333333333331E-2</v>
      </c>
      <c r="L8" s="20">
        <v>0.72222222222222221</v>
      </c>
      <c r="M8" s="21">
        <v>0.84027777777777779</v>
      </c>
      <c r="N8" s="18" t="s">
        <v>222</v>
      </c>
      <c r="O8" s="16" t="s">
        <v>84</v>
      </c>
      <c r="P8" s="16">
        <v>1187</v>
      </c>
      <c r="Q8" s="10">
        <v>625</v>
      </c>
      <c r="R8" s="16">
        <v>0</v>
      </c>
      <c r="S8" s="16">
        <v>0</v>
      </c>
      <c r="T8" s="16">
        <v>0</v>
      </c>
      <c r="U8" s="16">
        <v>0</v>
      </c>
    </row>
    <row r="9" spans="1:21" x14ac:dyDescent="0.25">
      <c r="A9" s="5">
        <v>43655</v>
      </c>
      <c r="B9" s="3" t="s">
        <v>21</v>
      </c>
      <c r="C9" s="19" t="s">
        <v>80</v>
      </c>
      <c r="D9" s="3" t="s">
        <v>23</v>
      </c>
      <c r="E9" s="6" t="s">
        <v>182</v>
      </c>
      <c r="F9" s="3" t="s">
        <v>24</v>
      </c>
      <c r="G9" s="7">
        <v>71500</v>
      </c>
      <c r="H9" s="6" t="s">
        <v>81</v>
      </c>
      <c r="I9" s="6" t="s">
        <v>82</v>
      </c>
      <c r="J9" s="17">
        <v>0.94444444444444453</v>
      </c>
      <c r="K9" s="9">
        <v>0.97222222222222221</v>
      </c>
      <c r="L9" s="17">
        <v>0.76736111111111116</v>
      </c>
      <c r="M9" s="18">
        <v>0.81805555555555554</v>
      </c>
      <c r="N9" s="18" t="s">
        <v>223</v>
      </c>
      <c r="O9" s="18" t="s">
        <v>220</v>
      </c>
      <c r="P9" s="19">
        <v>1180</v>
      </c>
      <c r="Q9" s="10">
        <v>617</v>
      </c>
      <c r="R9" s="3">
        <v>0</v>
      </c>
      <c r="S9" s="3">
        <v>0</v>
      </c>
      <c r="T9" s="3">
        <v>0</v>
      </c>
      <c r="U9" s="3">
        <v>0</v>
      </c>
    </row>
    <row r="10" spans="1:21" x14ac:dyDescent="0.25">
      <c r="A10" s="32">
        <v>43655</v>
      </c>
      <c r="B10" s="3" t="s">
        <v>187</v>
      </c>
      <c r="C10" s="3" t="s">
        <v>217</v>
      </c>
      <c r="D10" s="3" t="s">
        <v>185</v>
      </c>
      <c r="E10" s="6" t="s">
        <v>190</v>
      </c>
      <c r="F10" s="3" t="s">
        <v>189</v>
      </c>
      <c r="G10" s="15">
        <v>76000</v>
      </c>
      <c r="H10" s="6" t="s">
        <v>175</v>
      </c>
      <c r="I10" s="6" t="s">
        <v>202</v>
      </c>
      <c r="J10" s="13" t="s">
        <v>175</v>
      </c>
      <c r="K10" s="14" t="s">
        <v>175</v>
      </c>
      <c r="L10" s="8">
        <v>0.91666666666666663</v>
      </c>
      <c r="M10" s="9">
        <v>0.89722222222222225</v>
      </c>
      <c r="N10" s="4" t="s">
        <v>175</v>
      </c>
      <c r="O10" s="4" t="s">
        <v>200</v>
      </c>
      <c r="P10" s="4">
        <v>0</v>
      </c>
      <c r="Q10" s="4">
        <v>0</v>
      </c>
      <c r="R10" s="3">
        <v>0</v>
      </c>
      <c r="S10" s="3">
        <v>0</v>
      </c>
      <c r="T10" s="3">
        <v>0</v>
      </c>
      <c r="U10" s="3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I19" sqref="I19"/>
    </sheetView>
  </sheetViews>
  <sheetFormatPr defaultRowHeight="15" x14ac:dyDescent="0.25"/>
  <cols>
    <col min="3" max="3" width="13.5703125" bestFit="1" customWidth="1"/>
    <col min="6" max="6" width="12.140625" bestFit="1" customWidth="1"/>
    <col min="10" max="11" width="10.85546875" customWidth="1"/>
    <col min="12" max="12" width="9.85546875" customWidth="1"/>
    <col min="14" max="14" width="17.7109375" customWidth="1"/>
    <col min="15" max="15" width="18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5">
        <v>43656</v>
      </c>
      <c r="B2" s="6" t="s">
        <v>21</v>
      </c>
      <c r="C2" s="6" t="s">
        <v>22</v>
      </c>
      <c r="D2" s="6" t="s">
        <v>23</v>
      </c>
      <c r="E2" s="6" t="s">
        <v>42</v>
      </c>
      <c r="F2" s="6" t="s">
        <v>24</v>
      </c>
      <c r="G2" s="7">
        <v>71500</v>
      </c>
      <c r="H2" s="6" t="s">
        <v>25</v>
      </c>
      <c r="I2" s="6" t="s">
        <v>26</v>
      </c>
      <c r="J2" s="8">
        <v>0.45833333333333331</v>
      </c>
      <c r="K2" s="2">
        <v>0.44930555555555557</v>
      </c>
      <c r="L2" s="8">
        <v>0.25694444444444448</v>
      </c>
      <c r="M2" s="9">
        <v>0.26041666666666669</v>
      </c>
      <c r="N2" s="2" t="s">
        <v>226</v>
      </c>
      <c r="O2" s="10" t="s">
        <v>224</v>
      </c>
      <c r="P2" s="10">
        <v>1209</v>
      </c>
      <c r="Q2" s="10">
        <v>1168</v>
      </c>
      <c r="R2" s="6">
        <v>0</v>
      </c>
      <c r="S2" s="6">
        <v>0</v>
      </c>
      <c r="T2" s="6">
        <v>0</v>
      </c>
      <c r="U2" s="6">
        <v>0</v>
      </c>
    </row>
    <row r="3" spans="1:21" x14ac:dyDescent="0.25">
      <c r="A3" s="5">
        <v>43656</v>
      </c>
      <c r="B3" s="6" t="s">
        <v>21</v>
      </c>
      <c r="C3" s="6" t="s">
        <v>27</v>
      </c>
      <c r="D3" s="6" t="s">
        <v>23</v>
      </c>
      <c r="E3" s="6" t="s">
        <v>182</v>
      </c>
      <c r="F3" s="6" t="s">
        <v>24</v>
      </c>
      <c r="G3" s="7">
        <v>71500</v>
      </c>
      <c r="H3" s="6" t="s">
        <v>28</v>
      </c>
      <c r="I3" s="6" t="s">
        <v>29</v>
      </c>
      <c r="J3" s="8">
        <v>0.4861111111111111</v>
      </c>
      <c r="K3" s="2">
        <v>0.47847222222222219</v>
      </c>
      <c r="L3" s="8">
        <v>0.28125</v>
      </c>
      <c r="M3" s="9">
        <v>0.2951388888888889</v>
      </c>
      <c r="N3" s="2" t="s">
        <v>227</v>
      </c>
      <c r="O3" s="10" t="s">
        <v>225</v>
      </c>
      <c r="P3" s="6">
        <v>1488</v>
      </c>
      <c r="Q3" s="10">
        <v>571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5">
        <v>43656</v>
      </c>
      <c r="B4" s="3" t="s">
        <v>21</v>
      </c>
      <c r="C4" s="3" t="s">
        <v>99</v>
      </c>
      <c r="D4" s="3" t="s">
        <v>23</v>
      </c>
      <c r="E4" s="6" t="s">
        <v>42</v>
      </c>
      <c r="F4" s="3" t="s">
        <v>24</v>
      </c>
      <c r="G4" s="7">
        <v>71500</v>
      </c>
      <c r="H4" s="3" t="s">
        <v>100</v>
      </c>
      <c r="I4" s="3" t="s">
        <v>101</v>
      </c>
      <c r="J4" s="11">
        <v>0.72569444444444453</v>
      </c>
      <c r="K4" s="2">
        <v>0.73055555555555562</v>
      </c>
      <c r="L4" s="11">
        <v>0.48958333333333331</v>
      </c>
      <c r="M4" s="2">
        <v>0.5</v>
      </c>
      <c r="N4" s="3" t="s">
        <v>230</v>
      </c>
      <c r="O4" s="3" t="s">
        <v>219</v>
      </c>
      <c r="P4" s="3">
        <v>1500</v>
      </c>
      <c r="Q4" s="3">
        <v>786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5">
        <v>43656</v>
      </c>
      <c r="B5" s="3" t="s">
        <v>21</v>
      </c>
      <c r="C5" s="3" t="s">
        <v>33</v>
      </c>
      <c r="D5" s="3" t="s">
        <v>23</v>
      </c>
      <c r="E5" s="6" t="s">
        <v>182</v>
      </c>
      <c r="F5" s="3" t="s">
        <v>24</v>
      </c>
      <c r="G5" s="7">
        <v>71500</v>
      </c>
      <c r="H5" s="3" t="s">
        <v>34</v>
      </c>
      <c r="I5" s="3" t="s">
        <v>35</v>
      </c>
      <c r="J5" s="25">
        <v>0.74652777777777779</v>
      </c>
      <c r="K5" s="2">
        <v>0.78055555555555556</v>
      </c>
      <c r="L5" s="25">
        <v>0.51736111111111105</v>
      </c>
      <c r="M5" s="2">
        <v>0.53749999999999998</v>
      </c>
      <c r="N5" s="3" t="s">
        <v>139</v>
      </c>
      <c r="O5" s="24" t="s">
        <v>228</v>
      </c>
      <c r="P5" s="19">
        <v>1459</v>
      </c>
      <c r="Q5" s="24">
        <v>883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5">
        <v>43656</v>
      </c>
      <c r="B6" s="24" t="s">
        <v>21</v>
      </c>
      <c r="C6" s="24" t="s">
        <v>36</v>
      </c>
      <c r="D6" s="24" t="s">
        <v>23</v>
      </c>
      <c r="E6" s="6" t="str">
        <f>E4</f>
        <v>HALWF</v>
      </c>
      <c r="F6" s="24" t="s">
        <v>24</v>
      </c>
      <c r="G6" s="7">
        <v>71500</v>
      </c>
      <c r="H6" s="24" t="s">
        <v>37</v>
      </c>
      <c r="I6" s="24" t="s">
        <v>38</v>
      </c>
      <c r="J6" s="25">
        <v>0.91666666666666663</v>
      </c>
      <c r="K6" s="2">
        <v>0.94166666666666676</v>
      </c>
      <c r="L6" s="25">
        <v>0.74652777777777779</v>
      </c>
      <c r="M6" s="2">
        <v>0.77083333333333337</v>
      </c>
      <c r="N6" s="3" t="s">
        <v>231</v>
      </c>
      <c r="O6" s="24" t="s">
        <v>229</v>
      </c>
      <c r="P6" s="24">
        <v>987</v>
      </c>
      <c r="Q6" s="24">
        <v>379</v>
      </c>
      <c r="R6" s="24">
        <v>0</v>
      </c>
      <c r="S6" s="24">
        <v>0</v>
      </c>
      <c r="T6" s="24">
        <v>0</v>
      </c>
      <c r="U6" s="24">
        <v>0</v>
      </c>
    </row>
    <row r="7" spans="1:21" x14ac:dyDescent="0.25">
      <c r="A7" s="5">
        <v>43656</v>
      </c>
      <c r="B7" s="24" t="s">
        <v>21</v>
      </c>
      <c r="C7" s="24" t="s">
        <v>102</v>
      </c>
      <c r="D7" s="24" t="s">
        <v>23</v>
      </c>
      <c r="E7" s="6" t="s">
        <v>182</v>
      </c>
      <c r="F7" s="24" t="s">
        <v>24</v>
      </c>
      <c r="G7" s="26">
        <v>71500</v>
      </c>
      <c r="H7" s="24" t="s">
        <v>103</v>
      </c>
      <c r="I7" s="24" t="s">
        <v>104</v>
      </c>
      <c r="J7" s="25">
        <v>0.95833333333333337</v>
      </c>
      <c r="K7" s="2">
        <v>0.99444444444444446</v>
      </c>
      <c r="L7" s="25">
        <v>0.76736111111111116</v>
      </c>
      <c r="M7" s="2">
        <v>0.81041666666666667</v>
      </c>
      <c r="N7" s="3" t="s">
        <v>113</v>
      </c>
      <c r="O7" s="24" t="s">
        <v>114</v>
      </c>
      <c r="P7" s="24">
        <v>1351</v>
      </c>
      <c r="Q7" s="24">
        <v>847</v>
      </c>
      <c r="R7" s="24">
        <v>0</v>
      </c>
      <c r="S7" s="24">
        <v>0</v>
      </c>
      <c r="T7" s="24">
        <v>0</v>
      </c>
      <c r="U7" s="24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"/>
  <sheetViews>
    <sheetView topLeftCell="F1" workbookViewId="0">
      <selection activeCell="M8" sqref="M8"/>
    </sheetView>
  </sheetViews>
  <sheetFormatPr defaultRowHeight="15" x14ac:dyDescent="0.25"/>
  <cols>
    <col min="2" max="2" width="13.42578125" customWidth="1"/>
    <col min="3" max="3" width="13.42578125" bestFit="1" customWidth="1"/>
    <col min="5" max="6" width="14.85546875" customWidth="1"/>
    <col min="14" max="15" width="18.28515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5">
        <v>43657</v>
      </c>
      <c r="B2" s="6" t="s">
        <v>21</v>
      </c>
      <c r="C2" s="6" t="s">
        <v>56</v>
      </c>
      <c r="D2" s="6" t="s">
        <v>23</v>
      </c>
      <c r="E2" s="6" t="s">
        <v>182</v>
      </c>
      <c r="F2" s="6" t="s">
        <v>24</v>
      </c>
      <c r="G2" s="7">
        <v>71500</v>
      </c>
      <c r="H2" s="6" t="s">
        <v>57</v>
      </c>
      <c r="I2" s="6" t="s">
        <v>58</v>
      </c>
      <c r="J2" s="8">
        <v>0.38541666666666669</v>
      </c>
      <c r="K2" s="2">
        <v>0.39305555555555555</v>
      </c>
      <c r="L2" s="8">
        <v>0.25694444444444448</v>
      </c>
      <c r="M2" s="9">
        <v>0.26041666666666669</v>
      </c>
      <c r="N2" s="2" t="s">
        <v>242</v>
      </c>
      <c r="O2" s="10" t="s">
        <v>234</v>
      </c>
      <c r="P2" s="10">
        <v>607</v>
      </c>
      <c r="Q2" s="10">
        <v>478</v>
      </c>
      <c r="R2" s="6">
        <v>0</v>
      </c>
      <c r="S2" s="6">
        <v>0</v>
      </c>
      <c r="T2" s="6">
        <v>0</v>
      </c>
      <c r="U2" s="6">
        <v>0</v>
      </c>
    </row>
    <row r="3" spans="1:21" x14ac:dyDescent="0.25">
      <c r="A3" s="5">
        <v>43657</v>
      </c>
      <c r="B3" s="6" t="s">
        <v>21</v>
      </c>
      <c r="C3" s="6" t="s">
        <v>22</v>
      </c>
      <c r="D3" s="6" t="s">
        <v>23</v>
      </c>
      <c r="E3" s="6" t="s">
        <v>232</v>
      </c>
      <c r="F3" s="6" t="s">
        <v>24</v>
      </c>
      <c r="G3" s="7">
        <v>71500</v>
      </c>
      <c r="H3" s="6" t="s">
        <v>25</v>
      </c>
      <c r="I3" s="6" t="s">
        <v>26</v>
      </c>
      <c r="J3" s="8">
        <v>0.46180555555555558</v>
      </c>
      <c r="K3" s="2">
        <v>0.47847222222222219</v>
      </c>
      <c r="L3" s="8">
        <v>0.27430555555555552</v>
      </c>
      <c r="M3" s="9">
        <v>0.2951388888888889</v>
      </c>
      <c r="N3" s="2" t="s">
        <v>206</v>
      </c>
      <c r="O3" s="10" t="s">
        <v>235</v>
      </c>
      <c r="P3" s="6">
        <v>1637</v>
      </c>
      <c r="Q3" s="10">
        <v>413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5">
        <v>43657</v>
      </c>
      <c r="B4" s="24" t="s">
        <v>21</v>
      </c>
      <c r="C4" s="24" t="s">
        <v>62</v>
      </c>
      <c r="D4" s="24" t="s">
        <v>23</v>
      </c>
      <c r="E4" s="6" t="s">
        <v>182</v>
      </c>
      <c r="F4" s="24" t="s">
        <v>24</v>
      </c>
      <c r="G4" s="26">
        <v>71500</v>
      </c>
      <c r="H4" s="24" t="s">
        <v>63</v>
      </c>
      <c r="I4" s="24" t="s">
        <v>64</v>
      </c>
      <c r="J4" s="25">
        <v>0.55555555555555558</v>
      </c>
      <c r="K4" s="27">
        <v>0.57013888888888886</v>
      </c>
      <c r="L4" s="25">
        <v>0.40625</v>
      </c>
      <c r="M4" s="27">
        <v>0.42986111111111108</v>
      </c>
      <c r="N4" s="24" t="s">
        <v>252</v>
      </c>
      <c r="O4" s="24" t="s">
        <v>243</v>
      </c>
      <c r="P4" s="24">
        <v>898</v>
      </c>
      <c r="Q4" s="24">
        <v>609</v>
      </c>
      <c r="R4" s="24">
        <v>0</v>
      </c>
      <c r="S4" s="24">
        <v>0</v>
      </c>
      <c r="T4" s="24">
        <v>0</v>
      </c>
      <c r="U4" s="24">
        <v>0</v>
      </c>
    </row>
    <row r="5" spans="1:21" x14ac:dyDescent="0.25">
      <c r="A5" s="5">
        <v>43657</v>
      </c>
      <c r="B5" s="3" t="s">
        <v>21</v>
      </c>
      <c r="C5" s="3" t="s">
        <v>71</v>
      </c>
      <c r="D5" s="3" t="s">
        <v>23</v>
      </c>
      <c r="E5" s="6" t="s">
        <v>233</v>
      </c>
      <c r="F5" s="3" t="s">
        <v>24</v>
      </c>
      <c r="G5" s="7">
        <v>71500</v>
      </c>
      <c r="H5" s="3" t="s">
        <v>72</v>
      </c>
      <c r="I5" s="3" t="s">
        <v>73</v>
      </c>
      <c r="J5" s="11">
        <v>0.70138888888888884</v>
      </c>
      <c r="K5" s="2">
        <v>0.75208333333333333</v>
      </c>
      <c r="L5" s="11">
        <v>0.49305555555555558</v>
      </c>
      <c r="M5" s="2">
        <v>0.52986111111111112</v>
      </c>
      <c r="N5" s="3" t="s">
        <v>256</v>
      </c>
      <c r="O5" s="3" t="s">
        <v>244</v>
      </c>
      <c r="P5" s="3">
        <v>1145</v>
      </c>
      <c r="Q5" s="3">
        <v>402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5">
        <v>43657</v>
      </c>
      <c r="B6" s="3" t="s">
        <v>21</v>
      </c>
      <c r="C6" s="3" t="s">
        <v>36</v>
      </c>
      <c r="D6" s="3" t="s">
        <v>23</v>
      </c>
      <c r="E6" s="6" t="s">
        <v>182</v>
      </c>
      <c r="F6" s="3" t="s">
        <v>24</v>
      </c>
      <c r="G6" s="7">
        <v>71500</v>
      </c>
      <c r="H6" s="3" t="s">
        <v>37</v>
      </c>
      <c r="I6" s="3" t="s">
        <v>38</v>
      </c>
      <c r="J6" s="25">
        <v>0.75694444444444453</v>
      </c>
      <c r="K6" s="2">
        <v>0.75486111111111109</v>
      </c>
      <c r="L6" s="25">
        <v>0.58680555555555558</v>
      </c>
      <c r="M6" s="18">
        <v>0.59861111111111109</v>
      </c>
      <c r="N6" s="3" t="s">
        <v>257</v>
      </c>
      <c r="O6" s="24" t="s">
        <v>253</v>
      </c>
      <c r="P6" s="19">
        <v>856</v>
      </c>
      <c r="Q6" s="24">
        <v>331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5">
        <v>43657</v>
      </c>
      <c r="B7" s="24" t="s">
        <v>21</v>
      </c>
      <c r="C7" s="24" t="s">
        <v>27</v>
      </c>
      <c r="D7" s="24" t="s">
        <v>23</v>
      </c>
      <c r="E7" s="6" t="s">
        <v>233</v>
      </c>
      <c r="F7" s="24" t="s">
        <v>24</v>
      </c>
      <c r="G7" s="7">
        <v>71500</v>
      </c>
      <c r="H7" s="24" t="s">
        <v>28</v>
      </c>
      <c r="I7" s="24" t="s">
        <v>29</v>
      </c>
      <c r="J7" s="25">
        <v>0.92708333333333337</v>
      </c>
      <c r="K7" s="2">
        <v>0.96875</v>
      </c>
      <c r="L7" s="17">
        <v>0.72222222222222221</v>
      </c>
      <c r="M7" s="18">
        <v>0.78819444444444453</v>
      </c>
      <c r="N7" s="12" t="s">
        <v>258</v>
      </c>
      <c r="O7" s="19" t="s">
        <v>254</v>
      </c>
      <c r="P7" s="19">
        <v>1370</v>
      </c>
      <c r="Q7" s="19">
        <v>1021</v>
      </c>
      <c r="R7" s="24">
        <v>0</v>
      </c>
      <c r="S7" s="24">
        <v>0</v>
      </c>
      <c r="T7" s="24">
        <v>0</v>
      </c>
      <c r="U7" s="24">
        <v>0</v>
      </c>
    </row>
    <row r="8" spans="1:21" x14ac:dyDescent="0.25">
      <c r="A8" s="5">
        <v>43657</v>
      </c>
      <c r="B8" s="24" t="s">
        <v>21</v>
      </c>
      <c r="C8" s="24" t="s">
        <v>59</v>
      </c>
      <c r="D8" s="24" t="s">
        <v>23</v>
      </c>
      <c r="E8" s="6" t="s">
        <v>182</v>
      </c>
      <c r="F8" s="24" t="s">
        <v>24</v>
      </c>
      <c r="G8" s="26">
        <v>71500</v>
      </c>
      <c r="H8" s="24" t="s">
        <v>60</v>
      </c>
      <c r="I8" s="24" t="s">
        <v>61</v>
      </c>
      <c r="J8" s="25">
        <v>0.95486111111111116</v>
      </c>
      <c r="K8" s="2">
        <v>0.97222222222222221</v>
      </c>
      <c r="L8" s="25">
        <v>0.77777777777777779</v>
      </c>
      <c r="M8" s="27">
        <v>0.80555555555555547</v>
      </c>
      <c r="N8" s="3" t="s">
        <v>259</v>
      </c>
      <c r="O8" s="24" t="s">
        <v>255</v>
      </c>
      <c r="P8" s="24">
        <v>908</v>
      </c>
      <c r="Q8" s="24">
        <v>486</v>
      </c>
      <c r="R8" s="24">
        <v>0</v>
      </c>
      <c r="S8" s="24">
        <v>0</v>
      </c>
      <c r="T8" s="24">
        <v>0</v>
      </c>
      <c r="U8" s="24">
        <v>0</v>
      </c>
    </row>
    <row r="9" spans="1:21" x14ac:dyDescent="0.25">
      <c r="A9" s="5">
        <v>43657</v>
      </c>
      <c r="B9" s="24" t="s">
        <v>236</v>
      </c>
      <c r="C9" s="24" t="s">
        <v>237</v>
      </c>
      <c r="D9" s="24" t="s">
        <v>238</v>
      </c>
      <c r="E9" s="6" t="s">
        <v>239</v>
      </c>
      <c r="F9" s="24" t="s">
        <v>240</v>
      </c>
      <c r="G9" s="7">
        <v>10</v>
      </c>
      <c r="H9" s="24" t="s">
        <v>241</v>
      </c>
      <c r="I9" s="24" t="s">
        <v>241</v>
      </c>
      <c r="J9" s="25">
        <v>0.3125</v>
      </c>
      <c r="K9" s="25">
        <v>0.29930555555555555</v>
      </c>
      <c r="L9" s="25">
        <v>0.35416666666666669</v>
      </c>
      <c r="M9" s="43">
        <v>0.37222222222222223</v>
      </c>
      <c r="N9" s="10">
        <v>2</v>
      </c>
      <c r="O9" s="10">
        <v>0</v>
      </c>
      <c r="P9" s="44">
        <v>0</v>
      </c>
      <c r="Q9" s="44">
        <v>0</v>
      </c>
      <c r="R9" s="24">
        <v>0</v>
      </c>
      <c r="S9" s="24">
        <v>0</v>
      </c>
      <c r="T9" s="24">
        <v>0</v>
      </c>
      <c r="U9" s="24">
        <v>0</v>
      </c>
    </row>
    <row r="10" spans="1:21" s="4" customFormat="1" ht="12.75" x14ac:dyDescent="0.2">
      <c r="A10" s="32">
        <v>43657</v>
      </c>
      <c r="B10" s="24" t="s">
        <v>245</v>
      </c>
      <c r="C10" s="24" t="s">
        <v>246</v>
      </c>
      <c r="D10" s="24" t="s">
        <v>247</v>
      </c>
      <c r="E10" s="6" t="s">
        <v>248</v>
      </c>
      <c r="F10" s="24" t="s">
        <v>249</v>
      </c>
      <c r="G10" s="7">
        <v>5</v>
      </c>
      <c r="H10" s="24" t="s">
        <v>250</v>
      </c>
      <c r="I10" s="24" t="s">
        <v>251</v>
      </c>
      <c r="J10" s="13">
        <v>0.41319444444444442</v>
      </c>
      <c r="K10" s="14">
        <v>0.41666666666666669</v>
      </c>
      <c r="L10" s="13">
        <v>0.58333333333333337</v>
      </c>
      <c r="M10" s="14">
        <v>0.5854166666666667</v>
      </c>
      <c r="N10" s="10">
        <v>1</v>
      </c>
      <c r="O10" s="10">
        <v>1</v>
      </c>
      <c r="P10" s="4">
        <v>0</v>
      </c>
      <c r="Q10" s="4">
        <v>0</v>
      </c>
      <c r="R10" s="24">
        <v>0</v>
      </c>
      <c r="S10" s="24">
        <v>0</v>
      </c>
      <c r="T10" s="24">
        <v>0</v>
      </c>
      <c r="U10" s="24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topLeftCell="D1" workbookViewId="0">
      <selection sqref="A1:U8"/>
    </sheetView>
  </sheetViews>
  <sheetFormatPr defaultRowHeight="15" x14ac:dyDescent="0.25"/>
  <cols>
    <col min="3" max="3" width="13.5703125" bestFit="1" customWidth="1"/>
    <col min="5" max="5" width="7.42578125" bestFit="1" customWidth="1"/>
    <col min="6" max="6" width="12.140625" bestFit="1" customWidth="1"/>
    <col min="7" max="7" width="9.710937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5">
        <v>43658</v>
      </c>
      <c r="B2" s="6" t="s">
        <v>21</v>
      </c>
      <c r="C2" s="6" t="s">
        <v>22</v>
      </c>
      <c r="D2" s="6" t="s">
        <v>23</v>
      </c>
      <c r="E2" s="6" t="s">
        <v>233</v>
      </c>
      <c r="F2" s="6" t="s">
        <v>24</v>
      </c>
      <c r="G2" s="7">
        <v>71500</v>
      </c>
      <c r="H2" s="6" t="s">
        <v>25</v>
      </c>
      <c r="I2" s="6" t="s">
        <v>26</v>
      </c>
      <c r="J2" s="8">
        <v>0.45833333333333331</v>
      </c>
      <c r="K2" s="2">
        <v>0.45069444444444445</v>
      </c>
      <c r="L2" s="8">
        <v>0.25694444444444448</v>
      </c>
      <c r="M2" s="9">
        <v>0.26041666666666669</v>
      </c>
      <c r="N2" s="3" t="s">
        <v>262</v>
      </c>
      <c r="O2" s="10" t="s">
        <v>260</v>
      </c>
      <c r="P2" s="10">
        <v>1314</v>
      </c>
      <c r="Q2" s="10">
        <v>860</v>
      </c>
      <c r="R2" s="6">
        <v>0</v>
      </c>
      <c r="S2" s="6">
        <v>0</v>
      </c>
      <c r="T2" s="6">
        <v>0</v>
      </c>
      <c r="U2" s="6">
        <v>0</v>
      </c>
    </row>
    <row r="3" spans="1:21" x14ac:dyDescent="0.25">
      <c r="A3" s="5">
        <v>43658</v>
      </c>
      <c r="B3" s="6" t="s">
        <v>21</v>
      </c>
      <c r="C3" s="6" t="s">
        <v>27</v>
      </c>
      <c r="D3" s="6" t="s">
        <v>23</v>
      </c>
      <c r="E3" s="6" t="s">
        <v>182</v>
      </c>
      <c r="F3" s="6" t="s">
        <v>24</v>
      </c>
      <c r="G3" s="7">
        <v>71500</v>
      </c>
      <c r="H3" s="6" t="s">
        <v>28</v>
      </c>
      <c r="I3" s="6" t="s">
        <v>29</v>
      </c>
      <c r="J3" s="8">
        <v>0.4861111111111111</v>
      </c>
      <c r="K3" s="2">
        <v>0.49236111111111108</v>
      </c>
      <c r="L3" s="8">
        <v>0.28125</v>
      </c>
      <c r="M3" s="9">
        <v>0.28611111111111115</v>
      </c>
      <c r="N3" s="3" t="s">
        <v>263</v>
      </c>
      <c r="O3" s="10" t="s">
        <v>261</v>
      </c>
      <c r="P3" s="6">
        <v>1842</v>
      </c>
      <c r="Q3" s="10">
        <v>969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5">
        <v>43658</v>
      </c>
      <c r="B4" s="3" t="s">
        <v>21</v>
      </c>
      <c r="C4" s="3" t="s">
        <v>30</v>
      </c>
      <c r="D4" s="3" t="s">
        <v>23</v>
      </c>
      <c r="E4" s="6" t="s">
        <v>233</v>
      </c>
      <c r="F4" s="3" t="s">
        <v>24</v>
      </c>
      <c r="G4" s="7">
        <v>71500</v>
      </c>
      <c r="H4" s="3" t="s">
        <v>31</v>
      </c>
      <c r="I4" s="3" t="s">
        <v>32</v>
      </c>
      <c r="J4" s="11">
        <v>0.70833333333333337</v>
      </c>
      <c r="K4" s="2">
        <v>0.73541666666666661</v>
      </c>
      <c r="L4" s="11">
        <v>0.48958333333333331</v>
      </c>
      <c r="M4" s="2">
        <v>0.51250000000000007</v>
      </c>
      <c r="N4" s="4" t="s">
        <v>203</v>
      </c>
      <c r="O4" s="3" t="s">
        <v>264</v>
      </c>
      <c r="P4" s="3">
        <v>1364</v>
      </c>
      <c r="Q4" s="10">
        <v>1015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5">
        <v>43658</v>
      </c>
      <c r="B5" s="3" t="s">
        <v>21</v>
      </c>
      <c r="C5" s="3" t="s">
        <v>33</v>
      </c>
      <c r="D5" s="3" t="s">
        <v>23</v>
      </c>
      <c r="E5" s="6" t="s">
        <v>182</v>
      </c>
      <c r="F5" s="3" t="s">
        <v>24</v>
      </c>
      <c r="G5" s="7">
        <v>71500</v>
      </c>
      <c r="H5" s="3" t="s">
        <v>34</v>
      </c>
      <c r="I5" s="3" t="s">
        <v>35</v>
      </c>
      <c r="J5" s="11">
        <v>0.74652777777777779</v>
      </c>
      <c r="K5" s="2">
        <v>0.8208333333333333</v>
      </c>
      <c r="L5" s="11">
        <v>0.51736111111111105</v>
      </c>
      <c r="M5" s="2">
        <v>0.55972222222222223</v>
      </c>
      <c r="N5" s="3" t="s">
        <v>203</v>
      </c>
      <c r="O5" s="3" t="s">
        <v>267</v>
      </c>
      <c r="P5" s="3">
        <v>1977</v>
      </c>
      <c r="Q5" s="10">
        <v>1067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5">
        <v>43658</v>
      </c>
      <c r="B6" s="3" t="s">
        <v>21</v>
      </c>
      <c r="C6" s="3" t="s">
        <v>36</v>
      </c>
      <c r="D6" s="3" t="s">
        <v>23</v>
      </c>
      <c r="E6" s="6" t="s">
        <v>233</v>
      </c>
      <c r="F6" s="12" t="s">
        <v>24</v>
      </c>
      <c r="G6" s="7">
        <v>71500</v>
      </c>
      <c r="H6" s="6" t="s">
        <v>37</v>
      </c>
      <c r="I6" s="6" t="s">
        <v>38</v>
      </c>
      <c r="J6" s="13">
        <v>0.89930555555555547</v>
      </c>
      <c r="K6" s="2">
        <v>0.92569444444444438</v>
      </c>
      <c r="L6" s="13">
        <v>0.72916666666666663</v>
      </c>
      <c r="M6" s="14">
        <v>0.7680555555555556</v>
      </c>
      <c r="N6" s="3" t="s">
        <v>265</v>
      </c>
      <c r="O6" s="3" t="s">
        <v>268</v>
      </c>
      <c r="P6" s="3">
        <v>867</v>
      </c>
      <c r="Q6" s="10">
        <v>1592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5">
        <v>43658</v>
      </c>
      <c r="B7" s="4" t="s">
        <v>21</v>
      </c>
      <c r="C7" s="4" t="s">
        <v>39</v>
      </c>
      <c r="D7" s="4" t="s">
        <v>23</v>
      </c>
      <c r="E7" s="6" t="s">
        <v>182</v>
      </c>
      <c r="F7" s="4" t="s">
        <v>24</v>
      </c>
      <c r="G7" s="15">
        <v>71500</v>
      </c>
      <c r="H7" s="4" t="s">
        <v>40</v>
      </c>
      <c r="I7" s="4" t="s">
        <v>41</v>
      </c>
      <c r="J7" s="13">
        <v>0.9375</v>
      </c>
      <c r="K7" s="2">
        <v>3.6111111111111115E-2</v>
      </c>
      <c r="L7" s="13">
        <v>0.76736111111111116</v>
      </c>
      <c r="M7" s="14">
        <v>0.89166666666666661</v>
      </c>
      <c r="N7" s="3" t="s">
        <v>269</v>
      </c>
      <c r="O7" s="4" t="s">
        <v>218</v>
      </c>
      <c r="P7" s="4">
        <v>927</v>
      </c>
      <c r="Q7" s="10">
        <v>648</v>
      </c>
      <c r="R7" s="4">
        <v>0</v>
      </c>
      <c r="S7" s="4">
        <v>0</v>
      </c>
      <c r="T7" s="4">
        <v>0</v>
      </c>
      <c r="U7" s="4">
        <v>0</v>
      </c>
    </row>
    <row r="8" spans="1:21" x14ac:dyDescent="0.25">
      <c r="A8" s="5">
        <v>43658</v>
      </c>
      <c r="B8" s="6" t="s">
        <v>65</v>
      </c>
      <c r="C8" s="3" t="s">
        <v>66</v>
      </c>
      <c r="D8" s="3" t="str">
        <f>D7</f>
        <v>A320</v>
      </c>
      <c r="E8" s="6" t="s">
        <v>67</v>
      </c>
      <c r="F8" s="3" t="s">
        <v>68</v>
      </c>
      <c r="G8" s="7">
        <v>77000</v>
      </c>
      <c r="H8" s="3" t="s">
        <v>69</v>
      </c>
      <c r="I8" s="3" t="s">
        <v>70</v>
      </c>
      <c r="J8" s="11">
        <v>0.52083333333333337</v>
      </c>
      <c r="K8" s="2">
        <v>0.51597222222222217</v>
      </c>
      <c r="L8" s="11">
        <v>0.5625</v>
      </c>
      <c r="M8" s="2">
        <v>0.65763888888888888</v>
      </c>
      <c r="N8" s="3" t="s">
        <v>203</v>
      </c>
      <c r="O8" s="3" t="s">
        <v>266</v>
      </c>
      <c r="P8" s="3">
        <v>2203</v>
      </c>
      <c r="Q8" s="10">
        <v>535</v>
      </c>
      <c r="R8" s="3">
        <v>0</v>
      </c>
      <c r="S8" s="3">
        <v>0</v>
      </c>
      <c r="T8" s="3">
        <v>0</v>
      </c>
      <c r="U8" s="3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topLeftCell="G1" workbookViewId="0">
      <selection activeCell="P8" sqref="P8"/>
    </sheetView>
  </sheetViews>
  <sheetFormatPr defaultRowHeight="15" x14ac:dyDescent="0.25"/>
  <cols>
    <col min="1" max="1" width="7.85546875" bestFit="1" customWidth="1"/>
    <col min="3" max="3" width="13.42578125" bestFit="1" customWidth="1"/>
    <col min="5" max="5" width="7.42578125" bestFit="1" customWidth="1"/>
    <col min="6" max="6" width="12.140625" bestFit="1" customWidth="1"/>
    <col min="7" max="9" width="9.7109375" bestFit="1" customWidth="1"/>
    <col min="10" max="10" width="11" bestFit="1" customWidth="1"/>
    <col min="11" max="11" width="10.85546875" bestFit="1" customWidth="1"/>
    <col min="12" max="12" width="11.85546875" customWidth="1"/>
    <col min="13" max="13" width="12.85546875" customWidth="1"/>
    <col min="14" max="14" width="18.7109375" customWidth="1"/>
    <col min="15" max="15" width="19.42578125" customWidth="1"/>
    <col min="16" max="16" width="10.28515625" customWidth="1"/>
  </cols>
  <sheetData>
    <row r="1" spans="1:2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2" t="s">
        <v>10</v>
      </c>
      <c r="L1" s="6" t="s">
        <v>11</v>
      </c>
      <c r="M1" s="6" t="s">
        <v>12</v>
      </c>
      <c r="N1" s="3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</row>
    <row r="2" spans="1:21" x14ac:dyDescent="0.25">
      <c r="A2" s="5">
        <v>43659</v>
      </c>
      <c r="B2" s="6" t="s">
        <v>21</v>
      </c>
      <c r="C2" s="6" t="s">
        <v>56</v>
      </c>
      <c r="D2" s="6" t="s">
        <v>23</v>
      </c>
      <c r="E2" s="6" t="s">
        <v>233</v>
      </c>
      <c r="F2" s="6" t="s">
        <v>24</v>
      </c>
      <c r="G2" s="7">
        <v>71500</v>
      </c>
      <c r="H2" s="6" t="s">
        <v>57</v>
      </c>
      <c r="I2" s="6" t="s">
        <v>58</v>
      </c>
      <c r="J2" s="8">
        <v>0.38541666666666669</v>
      </c>
      <c r="K2" s="2">
        <v>0.3840277777777778</v>
      </c>
      <c r="L2" s="8">
        <v>0.25694444444444448</v>
      </c>
      <c r="M2" s="9">
        <v>0.2638888888888889</v>
      </c>
      <c r="N2" s="3" t="s">
        <v>272</v>
      </c>
      <c r="O2" s="10" t="s">
        <v>270</v>
      </c>
      <c r="P2" s="10">
        <v>1065</v>
      </c>
      <c r="Q2" s="10">
        <v>411</v>
      </c>
      <c r="R2" s="6">
        <v>0</v>
      </c>
      <c r="S2" s="6">
        <v>0</v>
      </c>
      <c r="T2" s="6">
        <v>0</v>
      </c>
      <c r="U2" s="6">
        <v>0</v>
      </c>
    </row>
    <row r="3" spans="1:21" x14ac:dyDescent="0.25">
      <c r="A3" s="5">
        <v>43659</v>
      </c>
      <c r="B3" s="6" t="s">
        <v>21</v>
      </c>
      <c r="C3" s="6" t="s">
        <v>59</v>
      </c>
      <c r="D3" s="6" t="s">
        <v>23</v>
      </c>
      <c r="E3" s="6" t="s">
        <v>182</v>
      </c>
      <c r="F3" s="6" t="s">
        <v>24</v>
      </c>
      <c r="G3" s="7">
        <v>71500</v>
      </c>
      <c r="H3" s="6" t="s">
        <v>60</v>
      </c>
      <c r="I3" s="6" t="s">
        <v>61</v>
      </c>
      <c r="J3" s="8">
        <v>0.46180555555555558</v>
      </c>
      <c r="K3" s="2">
        <v>0.45902777777777781</v>
      </c>
      <c r="L3" s="8">
        <v>0.28125</v>
      </c>
      <c r="M3" s="9">
        <v>0.29166666666666669</v>
      </c>
      <c r="N3" s="3" t="s">
        <v>273</v>
      </c>
      <c r="O3" s="10" t="s">
        <v>271</v>
      </c>
      <c r="P3" s="6">
        <v>1273</v>
      </c>
      <c r="Q3" s="10">
        <v>750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5">
        <v>43659</v>
      </c>
      <c r="B4" s="6" t="s">
        <v>21</v>
      </c>
      <c r="C4" s="3" t="s">
        <v>62</v>
      </c>
      <c r="D4" s="3" t="s">
        <v>23</v>
      </c>
      <c r="E4" s="6" t="s">
        <v>233</v>
      </c>
      <c r="F4" s="3" t="s">
        <v>24</v>
      </c>
      <c r="G4" s="7">
        <v>71500</v>
      </c>
      <c r="H4" s="3" t="s">
        <v>63</v>
      </c>
      <c r="I4" s="3" t="s">
        <v>64</v>
      </c>
      <c r="J4" s="11">
        <v>0.55555555555555558</v>
      </c>
      <c r="K4" s="2">
        <v>0.5444444444444444</v>
      </c>
      <c r="L4" s="11">
        <v>0.40625</v>
      </c>
      <c r="M4" s="2">
        <v>0.41944444444444445</v>
      </c>
      <c r="N4" s="2" t="s">
        <v>274</v>
      </c>
      <c r="O4" s="3" t="s">
        <v>94</v>
      </c>
      <c r="P4" s="3">
        <v>1249</v>
      </c>
      <c r="Q4" s="10">
        <v>772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5">
        <v>43659</v>
      </c>
      <c r="B5" s="6" t="s">
        <v>21</v>
      </c>
      <c r="C5" s="3" t="s">
        <v>71</v>
      </c>
      <c r="D5" s="3" t="s">
        <v>23</v>
      </c>
      <c r="E5" s="6" t="s">
        <v>182</v>
      </c>
      <c r="F5" s="3" t="s">
        <v>24</v>
      </c>
      <c r="G5" s="7">
        <v>71500</v>
      </c>
      <c r="H5" s="3" t="s">
        <v>72</v>
      </c>
      <c r="I5" s="3" t="s">
        <v>73</v>
      </c>
      <c r="J5" s="17">
        <v>0.70138888888888884</v>
      </c>
      <c r="K5" s="2">
        <v>0.70486111111111116</v>
      </c>
      <c r="L5" s="17">
        <v>0.49305555555555558</v>
      </c>
      <c r="M5" s="18">
        <v>0.50069444444444444</v>
      </c>
      <c r="N5" s="3" t="s">
        <v>266</v>
      </c>
      <c r="O5" s="3" t="s">
        <v>135</v>
      </c>
      <c r="P5" s="19">
        <v>1401</v>
      </c>
      <c r="Q5" s="10">
        <v>1373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5">
        <v>43659</v>
      </c>
      <c r="B6" s="6" t="s">
        <v>21</v>
      </c>
      <c r="C6" s="3" t="s">
        <v>74</v>
      </c>
      <c r="D6" s="3" t="s">
        <v>23</v>
      </c>
      <c r="E6" s="6" t="s">
        <v>233</v>
      </c>
      <c r="F6" s="12" t="s">
        <v>24</v>
      </c>
      <c r="G6" s="7">
        <v>71500</v>
      </c>
      <c r="H6" s="6" t="s">
        <v>75</v>
      </c>
      <c r="I6" s="6" t="s">
        <v>76</v>
      </c>
      <c r="J6" s="20">
        <v>0.74652777777777779</v>
      </c>
      <c r="K6" s="2">
        <v>0.74583333333333324</v>
      </c>
      <c r="L6" s="20">
        <v>0.58680555555555558</v>
      </c>
      <c r="M6" s="21">
        <v>0.61388888888888882</v>
      </c>
      <c r="N6" s="3" t="s">
        <v>276</v>
      </c>
      <c r="O6" s="3" t="s">
        <v>275</v>
      </c>
      <c r="P6" s="3">
        <v>1599</v>
      </c>
      <c r="Q6" s="10">
        <v>619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5">
        <v>43659</v>
      </c>
      <c r="B7" s="6" t="s">
        <v>21</v>
      </c>
      <c r="C7" s="16" t="s">
        <v>77</v>
      </c>
      <c r="D7" s="16" t="s">
        <v>23</v>
      </c>
      <c r="E7" s="6" t="s">
        <v>182</v>
      </c>
      <c r="F7" s="16" t="s">
        <v>24</v>
      </c>
      <c r="G7" s="22">
        <v>71500</v>
      </c>
      <c r="H7" s="16" t="s">
        <v>78</v>
      </c>
      <c r="I7" s="16" t="s">
        <v>79</v>
      </c>
      <c r="J7" s="20">
        <v>0.94097222222222221</v>
      </c>
      <c r="K7" s="2">
        <v>0.94930555555555562</v>
      </c>
      <c r="L7" s="20">
        <v>0.72222222222222221</v>
      </c>
      <c r="M7" s="21">
        <v>0.75347222222222221</v>
      </c>
      <c r="N7" s="18" t="s">
        <v>191</v>
      </c>
      <c r="O7" s="16" t="s">
        <v>277</v>
      </c>
      <c r="P7" s="16">
        <v>1323</v>
      </c>
      <c r="Q7" s="10">
        <v>964</v>
      </c>
      <c r="R7" s="16">
        <v>0</v>
      </c>
      <c r="S7" s="16">
        <v>0</v>
      </c>
      <c r="T7" s="16">
        <v>0</v>
      </c>
      <c r="U7" s="16">
        <v>0</v>
      </c>
    </row>
    <row r="8" spans="1:21" x14ac:dyDescent="0.25">
      <c r="A8" s="5">
        <v>43659</v>
      </c>
      <c r="B8" s="3" t="s">
        <v>21</v>
      </c>
      <c r="C8" s="19" t="s">
        <v>80</v>
      </c>
      <c r="D8" s="3" t="s">
        <v>23</v>
      </c>
      <c r="E8" s="6" t="s">
        <v>233</v>
      </c>
      <c r="F8" s="3" t="s">
        <v>24</v>
      </c>
      <c r="G8" s="7">
        <v>71500</v>
      </c>
      <c r="H8" s="6" t="s">
        <v>81</v>
      </c>
      <c r="I8" s="6" t="s">
        <v>82</v>
      </c>
      <c r="J8" s="17">
        <v>0.94444444444444453</v>
      </c>
      <c r="K8" s="9">
        <v>0.95208333333333339</v>
      </c>
      <c r="L8" s="17">
        <v>0.76736111111111116</v>
      </c>
      <c r="M8" s="18">
        <v>0.79513888888888884</v>
      </c>
      <c r="N8" s="18" t="s">
        <v>279</v>
      </c>
      <c r="O8" s="18" t="s">
        <v>278</v>
      </c>
      <c r="P8" s="19">
        <v>1197</v>
      </c>
      <c r="Q8" s="10">
        <v>818</v>
      </c>
      <c r="R8" s="3">
        <v>0</v>
      </c>
      <c r="S8" s="3">
        <v>0</v>
      </c>
      <c r="T8" s="3">
        <v>0</v>
      </c>
      <c r="U8" s="3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6"/>
  <sheetViews>
    <sheetView topLeftCell="G1" workbookViewId="0">
      <selection sqref="A1:U7"/>
    </sheetView>
  </sheetViews>
  <sheetFormatPr defaultRowHeight="15" x14ac:dyDescent="0.25"/>
  <cols>
    <col min="3" max="3" width="13.5703125" bestFit="1" customWidth="1"/>
    <col min="6" max="6" width="12.140625" bestFit="1" customWidth="1"/>
    <col min="8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</cols>
  <sheetData>
    <row r="1" spans="1:21" s="4" customFormat="1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4" customFormat="1" ht="12.75" x14ac:dyDescent="0.2">
      <c r="A2" s="5">
        <v>43660</v>
      </c>
      <c r="B2" s="6" t="s">
        <v>21</v>
      </c>
      <c r="C2" s="6" t="s">
        <v>22</v>
      </c>
      <c r="D2" s="6" t="s">
        <v>23</v>
      </c>
      <c r="E2" s="6" t="s">
        <v>283</v>
      </c>
      <c r="F2" s="6" t="s">
        <v>24</v>
      </c>
      <c r="G2" s="7">
        <v>71500</v>
      </c>
      <c r="H2" s="6" t="s">
        <v>25</v>
      </c>
      <c r="I2" s="6" t="s">
        <v>26</v>
      </c>
      <c r="J2" s="8">
        <v>0.45833333333333331</v>
      </c>
      <c r="K2" s="2">
        <v>0.4513888888888889</v>
      </c>
      <c r="L2" s="8">
        <v>0.25694444444444448</v>
      </c>
      <c r="M2" s="9">
        <v>0.26180555555555557</v>
      </c>
      <c r="N2" s="4" t="s">
        <v>282</v>
      </c>
      <c r="O2" s="10" t="s">
        <v>280</v>
      </c>
      <c r="P2" s="4">
        <v>1448</v>
      </c>
      <c r="Q2" s="10">
        <v>1048</v>
      </c>
      <c r="R2" s="6">
        <v>0</v>
      </c>
      <c r="S2" s="6">
        <v>0</v>
      </c>
      <c r="T2" s="6">
        <v>0</v>
      </c>
      <c r="U2" s="6">
        <v>0</v>
      </c>
    </row>
    <row r="3" spans="1:21" s="4" customFormat="1" ht="12.75" x14ac:dyDescent="0.2">
      <c r="A3" s="5">
        <v>43660</v>
      </c>
      <c r="B3" s="6" t="s">
        <v>21</v>
      </c>
      <c r="C3" s="6" t="s">
        <v>27</v>
      </c>
      <c r="D3" s="6" t="s">
        <v>23</v>
      </c>
      <c r="E3" s="6" t="s">
        <v>233</v>
      </c>
      <c r="F3" s="6" t="s">
        <v>24</v>
      </c>
      <c r="G3" s="7">
        <v>71500</v>
      </c>
      <c r="H3" s="6" t="s">
        <v>28</v>
      </c>
      <c r="I3" s="6" t="s">
        <v>29</v>
      </c>
      <c r="J3" s="8">
        <v>0.4861111111111111</v>
      </c>
      <c r="K3" s="2">
        <v>0.48819444444444443</v>
      </c>
      <c r="L3" s="8">
        <v>0.28125</v>
      </c>
      <c r="M3" s="9">
        <v>0.28541666666666665</v>
      </c>
      <c r="N3" s="2" t="s">
        <v>51</v>
      </c>
      <c r="O3" s="10" t="s">
        <v>281</v>
      </c>
      <c r="P3" s="10">
        <v>1553</v>
      </c>
      <c r="Q3" s="10">
        <v>1202</v>
      </c>
      <c r="R3" s="6">
        <v>0</v>
      </c>
      <c r="S3" s="6">
        <v>0</v>
      </c>
      <c r="T3" s="6">
        <v>0</v>
      </c>
      <c r="U3" s="6">
        <v>0</v>
      </c>
    </row>
    <row r="4" spans="1:21" s="4" customFormat="1" ht="12.75" x14ac:dyDescent="0.2">
      <c r="A4" s="5">
        <v>43660</v>
      </c>
      <c r="B4" s="3" t="s">
        <v>21</v>
      </c>
      <c r="C4" s="3" t="s">
        <v>99</v>
      </c>
      <c r="D4" s="3" t="s">
        <v>23</v>
      </c>
      <c r="E4" s="6" t="str">
        <f>E2</f>
        <v>HA-LPJ</v>
      </c>
      <c r="F4" s="3" t="s">
        <v>24</v>
      </c>
      <c r="G4" s="7">
        <v>71500</v>
      </c>
      <c r="H4" s="3" t="s">
        <v>100</v>
      </c>
      <c r="I4" s="3" t="s">
        <v>101</v>
      </c>
      <c r="J4" s="11">
        <v>0.72569444444444453</v>
      </c>
      <c r="K4" s="2">
        <v>0.72083333333333333</v>
      </c>
      <c r="L4" s="11">
        <v>0.48958333333333331</v>
      </c>
      <c r="M4" s="2">
        <v>0.50624999999999998</v>
      </c>
      <c r="N4" s="3" t="s">
        <v>124</v>
      </c>
      <c r="O4" s="3" t="s">
        <v>284</v>
      </c>
      <c r="P4" s="3">
        <v>2005</v>
      </c>
      <c r="Q4" s="10">
        <v>1418</v>
      </c>
      <c r="R4" s="3">
        <v>0</v>
      </c>
      <c r="S4" s="3">
        <v>0</v>
      </c>
      <c r="T4" s="3">
        <v>0</v>
      </c>
      <c r="U4" s="3">
        <v>0</v>
      </c>
    </row>
    <row r="5" spans="1:21" s="4" customFormat="1" ht="12.75" x14ac:dyDescent="0.2">
      <c r="A5" s="5">
        <v>43660</v>
      </c>
      <c r="B5" s="3" t="s">
        <v>21</v>
      </c>
      <c r="C5" s="3" t="s">
        <v>33</v>
      </c>
      <c r="D5" s="3" t="s">
        <v>23</v>
      </c>
      <c r="E5" s="6" t="str">
        <f>E3</f>
        <v>HALWO</v>
      </c>
      <c r="F5" s="3" t="s">
        <v>24</v>
      </c>
      <c r="G5" s="7">
        <v>71500</v>
      </c>
      <c r="H5" s="3" t="s">
        <v>34</v>
      </c>
      <c r="I5" s="3" t="s">
        <v>35</v>
      </c>
      <c r="J5" s="11">
        <v>0.74652777777777779</v>
      </c>
      <c r="K5" s="2">
        <v>0.76111111111111107</v>
      </c>
      <c r="L5" s="11">
        <v>0.51736111111111105</v>
      </c>
      <c r="M5" s="2">
        <v>0.52847222222222223</v>
      </c>
      <c r="N5" s="3" t="s">
        <v>286</v>
      </c>
      <c r="O5" s="3" t="s">
        <v>285</v>
      </c>
      <c r="P5" s="3">
        <v>2007</v>
      </c>
      <c r="Q5" s="10">
        <v>1397</v>
      </c>
      <c r="R5" s="3">
        <v>0</v>
      </c>
      <c r="S5" s="3">
        <v>0</v>
      </c>
      <c r="T5" s="3">
        <v>0</v>
      </c>
      <c r="U5" s="3">
        <v>0</v>
      </c>
    </row>
    <row r="6" spans="1:21" s="4" customFormat="1" ht="12.75" x14ac:dyDescent="0.2">
      <c r="A6" s="5">
        <v>43660</v>
      </c>
      <c r="B6" s="3" t="s">
        <v>21</v>
      </c>
      <c r="C6" s="3" t="s">
        <v>36</v>
      </c>
      <c r="D6" s="3" t="s">
        <v>23</v>
      </c>
      <c r="E6" s="6" t="str">
        <f>E4</f>
        <v>HA-LPJ</v>
      </c>
      <c r="F6" s="12" t="s">
        <v>24</v>
      </c>
      <c r="G6" s="7">
        <v>71500</v>
      </c>
      <c r="H6" s="6" t="s">
        <v>37</v>
      </c>
      <c r="I6" s="6" t="s">
        <v>38</v>
      </c>
      <c r="J6" s="13">
        <v>0.91666666666666663</v>
      </c>
      <c r="K6" s="2">
        <v>0.91875000000000007</v>
      </c>
      <c r="L6" s="13">
        <v>0.74652777777777779</v>
      </c>
      <c r="M6" s="14">
        <v>0.7597222222222223</v>
      </c>
      <c r="N6" s="3" t="s">
        <v>203</v>
      </c>
      <c r="O6" s="3" t="s">
        <v>265</v>
      </c>
      <c r="P6" s="3">
        <v>1309</v>
      </c>
      <c r="Q6" s="10">
        <v>590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5">
        <v>43660</v>
      </c>
      <c r="B7" s="3" t="s">
        <v>21</v>
      </c>
      <c r="C7" s="3" t="s">
        <v>102</v>
      </c>
      <c r="D7" s="3" t="s">
        <v>23</v>
      </c>
      <c r="E7" s="6" t="str">
        <f>E5</f>
        <v>HALWO</v>
      </c>
      <c r="F7" s="12" t="s">
        <v>24</v>
      </c>
      <c r="G7" s="7">
        <v>71500</v>
      </c>
      <c r="H7" s="6" t="s">
        <v>103</v>
      </c>
      <c r="I7" s="6" t="s">
        <v>104</v>
      </c>
      <c r="J7" s="45">
        <v>0.95833333333333337</v>
      </c>
      <c r="K7" s="47" t="s">
        <v>288</v>
      </c>
      <c r="L7" s="14">
        <v>0.76736111111111116</v>
      </c>
      <c r="M7" s="14">
        <v>0.80069444444444438</v>
      </c>
      <c r="N7" s="46" t="s">
        <v>287</v>
      </c>
      <c r="O7" s="4" t="s">
        <v>47</v>
      </c>
      <c r="P7" s="3">
        <v>1517</v>
      </c>
      <c r="Q7" s="10">
        <v>1158</v>
      </c>
      <c r="R7" s="3">
        <v>0</v>
      </c>
      <c r="S7" s="3">
        <v>0</v>
      </c>
      <c r="T7" s="3">
        <v>0</v>
      </c>
      <c r="U7" s="3">
        <v>0</v>
      </c>
    </row>
    <row r="16" spans="1:21" x14ac:dyDescent="0.25">
      <c r="J16" s="44"/>
    </row>
  </sheetData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activeCell="K7" sqref="K7"/>
    </sheetView>
  </sheetViews>
  <sheetFormatPr defaultRowHeight="15" x14ac:dyDescent="0.25"/>
  <cols>
    <col min="3" max="3" width="13.5703125" bestFit="1" customWidth="1"/>
    <col min="6" max="6" width="12.140625" bestFit="1" customWidth="1"/>
    <col min="14" max="14" width="17" customWidth="1"/>
    <col min="15" max="15" width="17.42578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5">
        <v>43658</v>
      </c>
      <c r="B2" s="6" t="s">
        <v>21</v>
      </c>
      <c r="C2" s="6" t="s">
        <v>22</v>
      </c>
      <c r="D2" s="6" t="s">
        <v>23</v>
      </c>
      <c r="E2" s="6" t="s">
        <v>182</v>
      </c>
      <c r="F2" s="6" t="s">
        <v>24</v>
      </c>
      <c r="G2" s="7">
        <v>71500</v>
      </c>
      <c r="H2" s="6" t="s">
        <v>25</v>
      </c>
      <c r="I2" s="6" t="s">
        <v>26</v>
      </c>
      <c r="J2" s="8">
        <v>0.45833333333333331</v>
      </c>
      <c r="K2" s="2">
        <v>0.46458333333333335</v>
      </c>
      <c r="L2" s="8">
        <v>0.25694444444444448</v>
      </c>
      <c r="M2" s="9">
        <v>0.26111111111111113</v>
      </c>
      <c r="N2" s="3" t="s">
        <v>127</v>
      </c>
      <c r="O2" s="10" t="s">
        <v>289</v>
      </c>
      <c r="P2" s="10">
        <v>1350</v>
      </c>
      <c r="Q2" s="10">
        <v>833</v>
      </c>
      <c r="R2" s="6">
        <v>0</v>
      </c>
      <c r="S2" s="6">
        <v>0</v>
      </c>
      <c r="T2" s="6">
        <v>0</v>
      </c>
      <c r="U2" s="6">
        <v>0</v>
      </c>
    </row>
    <row r="3" spans="1:21" x14ac:dyDescent="0.25">
      <c r="A3" s="5">
        <v>43658</v>
      </c>
      <c r="B3" s="6" t="s">
        <v>21</v>
      </c>
      <c r="C3" s="6" t="s">
        <v>27</v>
      </c>
      <c r="D3" s="6" t="s">
        <v>23</v>
      </c>
      <c r="E3" s="6" t="s">
        <v>233</v>
      </c>
      <c r="F3" s="6" t="s">
        <v>24</v>
      </c>
      <c r="G3" s="7">
        <v>71500</v>
      </c>
      <c r="H3" s="6" t="s">
        <v>28</v>
      </c>
      <c r="I3" s="6" t="s">
        <v>29</v>
      </c>
      <c r="J3" s="8">
        <v>0.4861111111111111</v>
      </c>
      <c r="K3" s="2">
        <v>0.47569444444444442</v>
      </c>
      <c r="L3" s="8">
        <v>0.28125</v>
      </c>
      <c r="M3" s="9">
        <v>0.29166666666666669</v>
      </c>
      <c r="N3" s="3" t="s">
        <v>126</v>
      </c>
      <c r="O3" s="10" t="s">
        <v>290</v>
      </c>
      <c r="P3" s="6">
        <v>1568</v>
      </c>
      <c r="Q3" s="10">
        <v>950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5">
        <v>43658</v>
      </c>
      <c r="B4" s="3" t="s">
        <v>21</v>
      </c>
      <c r="C4" s="3" t="s">
        <v>30</v>
      </c>
      <c r="D4" s="3" t="s">
        <v>23</v>
      </c>
      <c r="E4" s="6" t="s">
        <v>182</v>
      </c>
      <c r="F4" s="3" t="s">
        <v>24</v>
      </c>
      <c r="G4" s="7">
        <v>71500</v>
      </c>
      <c r="H4" s="3" t="s">
        <v>31</v>
      </c>
      <c r="I4" s="3" t="s">
        <v>32</v>
      </c>
      <c r="J4" s="11">
        <v>0.70833333333333337</v>
      </c>
      <c r="K4" s="2">
        <v>0.71805555555555556</v>
      </c>
      <c r="L4" s="11">
        <v>0.48958333333333331</v>
      </c>
      <c r="M4" s="2">
        <v>0.51666666666666672</v>
      </c>
      <c r="N4" s="4" t="s">
        <v>293</v>
      </c>
      <c r="O4" s="3" t="s">
        <v>291</v>
      </c>
      <c r="P4" s="3">
        <v>1943</v>
      </c>
      <c r="Q4" s="10">
        <v>826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5">
        <v>43658</v>
      </c>
      <c r="B5" s="3" t="s">
        <v>21</v>
      </c>
      <c r="C5" s="3" t="s">
        <v>33</v>
      </c>
      <c r="D5" s="3" t="s">
        <v>23</v>
      </c>
      <c r="E5" s="6" t="s">
        <v>233</v>
      </c>
      <c r="F5" s="3" t="s">
        <v>24</v>
      </c>
      <c r="G5" s="7">
        <v>71500</v>
      </c>
      <c r="H5" s="3" t="s">
        <v>34</v>
      </c>
      <c r="I5" s="3" t="s">
        <v>35</v>
      </c>
      <c r="J5" s="11">
        <v>0.74652777777777779</v>
      </c>
      <c r="K5" s="2">
        <v>0.75902777777777775</v>
      </c>
      <c r="L5" s="11">
        <v>0.51736111111111105</v>
      </c>
      <c r="M5" s="2">
        <v>0.5493055555555556</v>
      </c>
      <c r="N5" s="3" t="s">
        <v>294</v>
      </c>
      <c r="O5" s="3" t="s">
        <v>292</v>
      </c>
      <c r="P5" s="3">
        <v>1656</v>
      </c>
      <c r="Q5" s="10">
        <v>959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5">
        <v>43658</v>
      </c>
      <c r="B6" s="3" t="s">
        <v>21</v>
      </c>
      <c r="C6" s="3" t="s">
        <v>36</v>
      </c>
      <c r="D6" s="3" t="s">
        <v>23</v>
      </c>
      <c r="E6" s="6" t="s">
        <v>182</v>
      </c>
      <c r="F6" s="12" t="s">
        <v>24</v>
      </c>
      <c r="G6" s="7">
        <v>71500</v>
      </c>
      <c r="H6" s="6" t="s">
        <v>37</v>
      </c>
      <c r="I6" s="6" t="s">
        <v>38</v>
      </c>
      <c r="J6" s="13">
        <v>0.89930555555555547</v>
      </c>
      <c r="K6" s="2">
        <v>0.91111111111111109</v>
      </c>
      <c r="L6" s="13">
        <v>0.72916666666666663</v>
      </c>
      <c r="M6" s="14">
        <v>0.75694444444444453</v>
      </c>
      <c r="N6" s="3" t="s">
        <v>178</v>
      </c>
      <c r="O6" s="3" t="s">
        <v>295</v>
      </c>
      <c r="P6" s="3">
        <v>1039</v>
      </c>
      <c r="Q6" s="10">
        <v>513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5">
        <v>43658</v>
      </c>
      <c r="B7" s="4" t="s">
        <v>21</v>
      </c>
      <c r="C7" s="4" t="s">
        <v>39</v>
      </c>
      <c r="D7" s="4" t="s">
        <v>23</v>
      </c>
      <c r="E7" s="6" t="s">
        <v>233</v>
      </c>
      <c r="F7" s="4" t="s">
        <v>24</v>
      </c>
      <c r="G7" s="15">
        <v>71500</v>
      </c>
      <c r="H7" s="4" t="s">
        <v>40</v>
      </c>
      <c r="I7" s="4" t="s">
        <v>41</v>
      </c>
      <c r="J7" s="13">
        <v>0.9375</v>
      </c>
      <c r="K7" s="2">
        <v>0.95000000000000007</v>
      </c>
      <c r="L7" s="13">
        <v>0.76736111111111116</v>
      </c>
      <c r="M7" s="14">
        <v>0.79513888888888884</v>
      </c>
      <c r="N7" s="3" t="s">
        <v>297</v>
      </c>
      <c r="O7" s="4" t="s">
        <v>296</v>
      </c>
      <c r="P7" s="4">
        <v>992</v>
      </c>
      <c r="Q7" s="10">
        <v>508</v>
      </c>
      <c r="R7" s="4">
        <v>0</v>
      </c>
      <c r="S7" s="4">
        <v>0</v>
      </c>
      <c r="T7" s="4">
        <v>0</v>
      </c>
      <c r="U7" s="4">
        <v>0</v>
      </c>
    </row>
    <row r="8" spans="1:21" x14ac:dyDescent="0.25">
      <c r="A8" s="5"/>
      <c r="B8" s="6"/>
      <c r="C8" s="3"/>
      <c r="D8" s="3"/>
      <c r="E8" s="6"/>
      <c r="F8" s="3"/>
      <c r="G8" s="7"/>
      <c r="H8" s="3"/>
      <c r="I8" s="3"/>
      <c r="J8" s="11"/>
      <c r="K8" s="2"/>
      <c r="L8" s="11"/>
      <c r="M8" s="2"/>
      <c r="N8" s="3"/>
      <c r="O8" s="3"/>
      <c r="P8" s="3"/>
      <c r="Q8" s="10"/>
      <c r="R8" s="3"/>
      <c r="S8" s="3"/>
      <c r="T8" s="3"/>
      <c r="U8" s="3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"/>
  <sheetViews>
    <sheetView topLeftCell="H1" workbookViewId="0">
      <selection activeCell="K8" sqref="K8"/>
    </sheetView>
  </sheetViews>
  <sheetFormatPr defaultRowHeight="15" x14ac:dyDescent="0.25"/>
  <cols>
    <col min="3" max="3" width="13.42578125" bestFit="1" customWidth="1"/>
    <col min="6" max="6" width="18.5703125" bestFit="1" customWidth="1"/>
    <col min="14" max="14" width="17.28515625" customWidth="1"/>
    <col min="15" max="15" width="17" customWidth="1"/>
  </cols>
  <sheetData>
    <row r="1" spans="1:2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2" t="s">
        <v>10</v>
      </c>
      <c r="L1" s="6" t="s">
        <v>11</v>
      </c>
      <c r="M1" s="6" t="s">
        <v>12</v>
      </c>
      <c r="N1" s="3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</row>
    <row r="2" spans="1:21" x14ac:dyDescent="0.25">
      <c r="A2" s="5">
        <v>43662</v>
      </c>
      <c r="B2" s="6" t="s">
        <v>21</v>
      </c>
      <c r="C2" s="6" t="s">
        <v>56</v>
      </c>
      <c r="D2" s="6" t="s">
        <v>23</v>
      </c>
      <c r="E2" s="6" t="s">
        <v>182</v>
      </c>
      <c r="F2" s="6" t="s">
        <v>24</v>
      </c>
      <c r="G2" s="7">
        <v>71500</v>
      </c>
      <c r="H2" s="6" t="s">
        <v>57</v>
      </c>
      <c r="I2" s="6" t="s">
        <v>58</v>
      </c>
      <c r="J2" s="8">
        <v>0.38541666666666669</v>
      </c>
      <c r="K2" s="2">
        <v>0.36527777777777781</v>
      </c>
      <c r="L2" s="8">
        <v>0.25694444444444448</v>
      </c>
      <c r="M2" s="9">
        <v>0.25277777777777777</v>
      </c>
      <c r="N2" s="3" t="s">
        <v>299</v>
      </c>
      <c r="O2" s="10" t="s">
        <v>243</v>
      </c>
      <c r="P2" s="10">
        <v>1018</v>
      </c>
      <c r="Q2" s="10">
        <v>486</v>
      </c>
      <c r="R2" s="6">
        <v>0</v>
      </c>
      <c r="S2" s="6">
        <v>0</v>
      </c>
      <c r="T2" s="6">
        <v>0</v>
      </c>
      <c r="U2" s="6">
        <v>0</v>
      </c>
    </row>
    <row r="3" spans="1:21" x14ac:dyDescent="0.25">
      <c r="A3" s="5">
        <v>43662</v>
      </c>
      <c r="B3" s="6" t="s">
        <v>21</v>
      </c>
      <c r="C3" s="6" t="s">
        <v>59</v>
      </c>
      <c r="D3" s="6" t="s">
        <v>23</v>
      </c>
      <c r="E3" s="6" t="s">
        <v>233</v>
      </c>
      <c r="F3" s="6" t="s">
        <v>24</v>
      </c>
      <c r="G3" s="7">
        <v>71500</v>
      </c>
      <c r="H3" s="6" t="s">
        <v>60</v>
      </c>
      <c r="I3" s="6" t="s">
        <v>61</v>
      </c>
      <c r="J3" s="8">
        <v>0.46180555555555558</v>
      </c>
      <c r="K3" s="2">
        <v>0.45694444444444443</v>
      </c>
      <c r="L3" s="8">
        <v>0.28125</v>
      </c>
      <c r="M3" s="9">
        <v>0.28541666666666665</v>
      </c>
      <c r="N3" s="3" t="s">
        <v>213</v>
      </c>
      <c r="O3" s="10" t="s">
        <v>210</v>
      </c>
      <c r="P3" s="6">
        <v>964</v>
      </c>
      <c r="Q3" s="10">
        <v>538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5">
        <v>43662</v>
      </c>
      <c r="B4" s="6" t="s">
        <v>21</v>
      </c>
      <c r="C4" s="3" t="s">
        <v>62</v>
      </c>
      <c r="D4" s="3" t="s">
        <v>23</v>
      </c>
      <c r="E4" s="6" t="s">
        <v>182</v>
      </c>
      <c r="F4" s="3" t="s">
        <v>24</v>
      </c>
      <c r="G4" s="7">
        <v>71500</v>
      </c>
      <c r="H4" s="3" t="s">
        <v>63</v>
      </c>
      <c r="I4" s="3" t="s">
        <v>64</v>
      </c>
      <c r="J4" s="11">
        <v>0.55555555555555558</v>
      </c>
      <c r="K4" s="2">
        <v>0.55208333333333337</v>
      </c>
      <c r="L4" s="11">
        <v>0.40625</v>
      </c>
      <c r="M4" s="2">
        <v>0.40277777777777773</v>
      </c>
      <c r="N4" s="3" t="s">
        <v>303</v>
      </c>
      <c r="O4" s="3" t="s">
        <v>300</v>
      </c>
      <c r="P4" s="3">
        <v>857</v>
      </c>
      <c r="Q4" s="10">
        <v>457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5">
        <v>43662</v>
      </c>
      <c r="B5" s="6" t="s">
        <v>65</v>
      </c>
      <c r="C5" s="3" t="s">
        <v>66</v>
      </c>
      <c r="D5" s="3" t="str">
        <f>D4</f>
        <v>A320</v>
      </c>
      <c r="E5" s="6" t="s">
        <v>298</v>
      </c>
      <c r="F5" s="3" t="s">
        <v>68</v>
      </c>
      <c r="G5" s="7">
        <v>77000</v>
      </c>
      <c r="H5" s="3" t="s">
        <v>69</v>
      </c>
      <c r="I5" s="3" t="s">
        <v>70</v>
      </c>
      <c r="J5" s="11">
        <v>0.41319444444444442</v>
      </c>
      <c r="K5" s="2">
        <v>0.43472222222222223</v>
      </c>
      <c r="L5" s="11">
        <v>0.4548611111111111</v>
      </c>
      <c r="M5" s="2">
        <v>0.48541666666666666</v>
      </c>
      <c r="N5" s="3" t="s">
        <v>301</v>
      </c>
      <c r="O5" s="3" t="s">
        <v>222</v>
      </c>
      <c r="P5" s="3">
        <v>2177</v>
      </c>
      <c r="Q5" s="10">
        <v>1756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5">
        <v>43662</v>
      </c>
      <c r="B6" s="6" t="s">
        <v>21</v>
      </c>
      <c r="C6" s="3" t="s">
        <v>71</v>
      </c>
      <c r="D6" s="3" t="s">
        <v>23</v>
      </c>
      <c r="E6" s="6" t="s">
        <v>233</v>
      </c>
      <c r="F6" s="3" t="s">
        <v>24</v>
      </c>
      <c r="G6" s="7">
        <v>71500</v>
      </c>
      <c r="H6" s="3" t="s">
        <v>72</v>
      </c>
      <c r="I6" s="3" t="s">
        <v>73</v>
      </c>
      <c r="J6" s="17">
        <v>0.70138888888888884</v>
      </c>
      <c r="K6" s="2">
        <v>0.69374999999999998</v>
      </c>
      <c r="L6" s="17">
        <v>0.49305555555555558</v>
      </c>
      <c r="M6" s="18">
        <v>0.50763888888888886</v>
      </c>
      <c r="N6" s="3" t="s">
        <v>305</v>
      </c>
      <c r="O6" s="3" t="s">
        <v>302</v>
      </c>
      <c r="P6" s="19">
        <v>1536</v>
      </c>
      <c r="Q6" s="10">
        <v>676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5">
        <v>43662</v>
      </c>
      <c r="B7" s="6" t="s">
        <v>21</v>
      </c>
      <c r="C7" s="3" t="s">
        <v>74</v>
      </c>
      <c r="D7" s="3" t="s">
        <v>23</v>
      </c>
      <c r="E7" s="6" t="s">
        <v>182</v>
      </c>
      <c r="F7" s="12" t="s">
        <v>24</v>
      </c>
      <c r="G7" s="7">
        <v>71500</v>
      </c>
      <c r="H7" s="6" t="s">
        <v>75</v>
      </c>
      <c r="I7" s="6" t="s">
        <v>76</v>
      </c>
      <c r="J7" s="20">
        <v>0.74652777777777779</v>
      </c>
      <c r="K7" s="2">
        <v>0.73402777777777783</v>
      </c>
      <c r="L7" s="20">
        <v>0.58680555555555558</v>
      </c>
      <c r="M7" s="21">
        <v>0.59375</v>
      </c>
      <c r="N7" s="3" t="s">
        <v>289</v>
      </c>
      <c r="O7" s="3" t="s">
        <v>304</v>
      </c>
      <c r="P7" s="3">
        <v>1176</v>
      </c>
      <c r="Q7" s="10">
        <v>433</v>
      </c>
      <c r="R7" s="3">
        <v>0</v>
      </c>
      <c r="S7" s="3">
        <v>0</v>
      </c>
      <c r="T7" s="3">
        <v>0</v>
      </c>
      <c r="U7" s="3">
        <v>0</v>
      </c>
    </row>
    <row r="8" spans="1:21" x14ac:dyDescent="0.25">
      <c r="A8" s="5">
        <v>43662</v>
      </c>
      <c r="B8" s="6" t="s">
        <v>21</v>
      </c>
      <c r="C8" s="16" t="s">
        <v>77</v>
      </c>
      <c r="D8" s="16" t="s">
        <v>23</v>
      </c>
      <c r="E8" s="6" t="s">
        <v>233</v>
      </c>
      <c r="F8" s="16" t="s">
        <v>24</v>
      </c>
      <c r="G8" s="22">
        <v>71500</v>
      </c>
      <c r="H8" s="16" t="s">
        <v>78</v>
      </c>
      <c r="I8" s="16" t="s">
        <v>79</v>
      </c>
      <c r="J8" s="20">
        <v>0.94097222222222221</v>
      </c>
      <c r="K8" s="2">
        <v>0.93958333333333333</v>
      </c>
      <c r="L8" s="20">
        <v>0.72222222222222221</v>
      </c>
      <c r="M8" s="21">
        <v>0.73819444444444438</v>
      </c>
      <c r="N8" s="18" t="s">
        <v>215</v>
      </c>
      <c r="O8" s="16" t="s">
        <v>306</v>
      </c>
      <c r="P8" s="16">
        <v>1203</v>
      </c>
      <c r="Q8" s="10">
        <v>642</v>
      </c>
      <c r="R8" s="16">
        <v>0</v>
      </c>
      <c r="S8" s="16">
        <v>0</v>
      </c>
      <c r="T8" s="16">
        <v>0</v>
      </c>
      <c r="U8" s="16">
        <v>0</v>
      </c>
    </row>
    <row r="9" spans="1:21" x14ac:dyDescent="0.25">
      <c r="A9" s="5">
        <v>43662</v>
      </c>
      <c r="B9" s="3" t="s">
        <v>21</v>
      </c>
      <c r="C9" s="19" t="s">
        <v>80</v>
      </c>
      <c r="D9" s="3" t="s">
        <v>23</v>
      </c>
      <c r="E9" s="6" t="s">
        <v>182</v>
      </c>
      <c r="F9" s="3" t="s">
        <v>24</v>
      </c>
      <c r="G9" s="7">
        <v>71500</v>
      </c>
      <c r="H9" s="6" t="s">
        <v>81</v>
      </c>
      <c r="I9" s="6" t="s">
        <v>82</v>
      </c>
      <c r="J9" s="17">
        <v>0.94444444444444453</v>
      </c>
      <c r="K9" s="9">
        <v>0.93611111111111101</v>
      </c>
      <c r="L9" s="17">
        <v>0.76736111111111116</v>
      </c>
      <c r="M9" s="18">
        <v>0.78402777777777777</v>
      </c>
      <c r="N9" s="18" t="s">
        <v>314</v>
      </c>
      <c r="O9" s="18" t="s">
        <v>83</v>
      </c>
      <c r="P9" s="19">
        <v>1178</v>
      </c>
      <c r="Q9" s="10">
        <v>890</v>
      </c>
      <c r="R9" s="3">
        <v>0</v>
      </c>
      <c r="S9" s="3">
        <v>0</v>
      </c>
      <c r="T9" s="3">
        <v>0</v>
      </c>
      <c r="U9" s="3">
        <v>0</v>
      </c>
    </row>
    <row r="10" spans="1:21" x14ac:dyDescent="0.25">
      <c r="A10" s="48">
        <v>43662</v>
      </c>
      <c r="B10" s="3" t="s">
        <v>307</v>
      </c>
      <c r="C10" s="3" t="s">
        <v>311</v>
      </c>
      <c r="D10" s="3" t="s">
        <v>308</v>
      </c>
      <c r="E10" s="6" t="s">
        <v>309</v>
      </c>
      <c r="F10" s="3" t="s">
        <v>249</v>
      </c>
      <c r="G10" s="7">
        <v>3921</v>
      </c>
      <c r="H10" s="6" t="s">
        <v>310</v>
      </c>
      <c r="I10" s="6" t="s">
        <v>312</v>
      </c>
      <c r="J10" s="13">
        <v>0.3888888888888889</v>
      </c>
      <c r="K10" s="14">
        <v>0.37708333333333338</v>
      </c>
      <c r="L10" s="13">
        <v>0.64583333333333337</v>
      </c>
      <c r="M10" s="14">
        <v>0.6430555555555556</v>
      </c>
      <c r="N10" s="3" t="s">
        <v>313</v>
      </c>
      <c r="O10" s="3" t="s">
        <v>313</v>
      </c>
      <c r="P10" s="44">
        <v>0</v>
      </c>
      <c r="Q10" s="10">
        <v>0</v>
      </c>
      <c r="R10" s="3">
        <v>0</v>
      </c>
      <c r="S10" s="3">
        <v>0</v>
      </c>
      <c r="T10" s="3">
        <v>0</v>
      </c>
      <c r="U10" s="3">
        <v>0</v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K8" sqref="K8"/>
    </sheetView>
  </sheetViews>
  <sheetFormatPr defaultRowHeight="15" x14ac:dyDescent="0.25"/>
  <cols>
    <col min="3" max="3" width="13.5703125" bestFit="1" customWidth="1"/>
    <col min="6" max="6" width="12.140625" bestFit="1" customWidth="1"/>
    <col min="10" max="11" width="10.85546875" customWidth="1"/>
    <col min="12" max="12" width="9.85546875" customWidth="1"/>
    <col min="14" max="14" width="17.7109375" customWidth="1"/>
    <col min="15" max="15" width="18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5">
        <v>43663</v>
      </c>
      <c r="B2" s="6" t="s">
        <v>21</v>
      </c>
      <c r="C2" s="6" t="s">
        <v>22</v>
      </c>
      <c r="D2" s="6" t="s">
        <v>23</v>
      </c>
      <c r="E2" s="6" t="s">
        <v>182</v>
      </c>
      <c r="F2" s="6" t="s">
        <v>24</v>
      </c>
      <c r="G2" s="7">
        <v>71500</v>
      </c>
      <c r="H2" s="6" t="s">
        <v>25</v>
      </c>
      <c r="I2" s="6" t="s">
        <v>26</v>
      </c>
      <c r="J2" s="8">
        <v>0.45833333333333331</v>
      </c>
      <c r="K2" s="2">
        <v>0.44930555555555557</v>
      </c>
      <c r="L2" s="8">
        <v>0.25694444444444448</v>
      </c>
      <c r="M2" s="9">
        <v>0.26319444444444445</v>
      </c>
      <c r="N2" s="2" t="s">
        <v>317</v>
      </c>
      <c r="O2" s="10" t="s">
        <v>315</v>
      </c>
      <c r="P2" s="10">
        <v>1532</v>
      </c>
      <c r="Q2" s="10">
        <v>701</v>
      </c>
      <c r="R2" s="6"/>
      <c r="S2" s="6">
        <v>0</v>
      </c>
      <c r="T2" s="6">
        <v>0</v>
      </c>
      <c r="U2" s="6">
        <v>0</v>
      </c>
    </row>
    <row r="3" spans="1:21" x14ac:dyDescent="0.25">
      <c r="A3" s="5">
        <v>43663</v>
      </c>
      <c r="B3" s="6" t="s">
        <v>21</v>
      </c>
      <c r="C3" s="6" t="s">
        <v>27</v>
      </c>
      <c r="D3" s="6" t="s">
        <v>23</v>
      </c>
      <c r="E3" s="6" t="s">
        <v>233</v>
      </c>
      <c r="F3" s="6" t="s">
        <v>24</v>
      </c>
      <c r="G3" s="7">
        <v>71500</v>
      </c>
      <c r="H3" s="6" t="s">
        <v>28</v>
      </c>
      <c r="I3" s="6" t="s">
        <v>29</v>
      </c>
      <c r="J3" s="8">
        <v>0.4861111111111111</v>
      </c>
      <c r="K3" s="2">
        <v>0.4770833333333333</v>
      </c>
      <c r="L3" s="8">
        <v>0.28125</v>
      </c>
      <c r="M3" s="9">
        <v>0.28750000000000003</v>
      </c>
      <c r="N3" s="2" t="s">
        <v>222</v>
      </c>
      <c r="O3" s="10" t="s">
        <v>316</v>
      </c>
      <c r="P3" s="6">
        <v>1366</v>
      </c>
      <c r="Q3" s="10">
        <v>1056</v>
      </c>
      <c r="R3" s="6"/>
      <c r="S3" s="6">
        <v>0</v>
      </c>
      <c r="T3" s="6">
        <v>0</v>
      </c>
      <c r="U3" s="6">
        <v>0</v>
      </c>
    </row>
    <row r="4" spans="1:21" x14ac:dyDescent="0.25">
      <c r="A4" s="5">
        <v>43663</v>
      </c>
      <c r="B4" s="3" t="s">
        <v>21</v>
      </c>
      <c r="C4" s="3" t="s">
        <v>99</v>
      </c>
      <c r="D4" s="3" t="s">
        <v>23</v>
      </c>
      <c r="E4" s="6" t="s">
        <v>182</v>
      </c>
      <c r="F4" s="3" t="s">
        <v>24</v>
      </c>
      <c r="G4" s="7">
        <v>71500</v>
      </c>
      <c r="H4" s="3" t="s">
        <v>100</v>
      </c>
      <c r="I4" s="3" t="s">
        <v>101</v>
      </c>
      <c r="J4" s="11">
        <v>0.72569444444444453</v>
      </c>
      <c r="K4" s="2">
        <v>0.74652777777777779</v>
      </c>
      <c r="L4" s="11">
        <v>0.48958333333333331</v>
      </c>
      <c r="M4" s="2">
        <v>0.51874999999999993</v>
      </c>
      <c r="N4" s="3" t="s">
        <v>90</v>
      </c>
      <c r="O4" s="3" t="s">
        <v>318</v>
      </c>
      <c r="P4" s="3">
        <v>1565</v>
      </c>
      <c r="Q4" s="3">
        <v>1096</v>
      </c>
      <c r="R4" s="3"/>
      <c r="S4" s="3">
        <v>0</v>
      </c>
      <c r="T4" s="3">
        <v>0</v>
      </c>
      <c r="U4" s="3">
        <v>0</v>
      </c>
    </row>
    <row r="5" spans="1:21" x14ac:dyDescent="0.25">
      <c r="A5" s="5">
        <v>43663</v>
      </c>
      <c r="B5" s="3" t="s">
        <v>21</v>
      </c>
      <c r="C5" s="3" t="s">
        <v>33</v>
      </c>
      <c r="D5" s="3" t="s">
        <v>23</v>
      </c>
      <c r="E5" s="6" t="s">
        <v>233</v>
      </c>
      <c r="F5" s="3" t="s">
        <v>24</v>
      </c>
      <c r="G5" s="7">
        <v>71500</v>
      </c>
      <c r="H5" s="3" t="s">
        <v>34</v>
      </c>
      <c r="I5" s="3" t="s">
        <v>35</v>
      </c>
      <c r="J5" s="25">
        <v>0.74652777777777779</v>
      </c>
      <c r="K5" s="2">
        <v>0.7631944444444444</v>
      </c>
      <c r="L5" s="25">
        <v>0.51736111111111105</v>
      </c>
      <c r="M5" s="2">
        <v>0.54791666666666672</v>
      </c>
      <c r="N5" s="3" t="s">
        <v>46</v>
      </c>
      <c r="O5" s="24" t="s">
        <v>316</v>
      </c>
      <c r="P5" s="19">
        <v>1538</v>
      </c>
      <c r="Q5" s="24">
        <v>1224</v>
      </c>
      <c r="R5" s="3"/>
      <c r="S5" s="3">
        <v>0</v>
      </c>
      <c r="T5" s="3">
        <v>0</v>
      </c>
      <c r="U5" s="3">
        <v>0</v>
      </c>
    </row>
    <row r="6" spans="1:21" x14ac:dyDescent="0.25">
      <c r="A6" s="5">
        <v>43663</v>
      </c>
      <c r="B6" s="24" t="s">
        <v>21</v>
      </c>
      <c r="C6" s="24" t="s">
        <v>36</v>
      </c>
      <c r="D6" s="24" t="s">
        <v>23</v>
      </c>
      <c r="E6" s="6" t="str">
        <f>E4</f>
        <v>HALPJ</v>
      </c>
      <c r="F6" s="24" t="s">
        <v>24</v>
      </c>
      <c r="G6" s="7">
        <v>71500</v>
      </c>
      <c r="H6" s="24" t="s">
        <v>37</v>
      </c>
      <c r="I6" s="24" t="s">
        <v>38</v>
      </c>
      <c r="J6" s="25">
        <v>0.91666666666666663</v>
      </c>
      <c r="K6" s="2">
        <v>0.94791666666666663</v>
      </c>
      <c r="L6" s="25">
        <v>0.74652777777777779</v>
      </c>
      <c r="M6" s="2">
        <v>0.78680555555555554</v>
      </c>
      <c r="N6" s="3" t="s">
        <v>305</v>
      </c>
      <c r="O6" s="24" t="s">
        <v>319</v>
      </c>
      <c r="P6" s="24">
        <v>1178</v>
      </c>
      <c r="Q6" s="24">
        <v>737</v>
      </c>
      <c r="R6" s="24"/>
      <c r="S6" s="24">
        <v>0</v>
      </c>
      <c r="T6" s="24">
        <v>0</v>
      </c>
      <c r="U6" s="24">
        <v>0</v>
      </c>
    </row>
    <row r="7" spans="1:21" x14ac:dyDescent="0.25">
      <c r="A7" s="5">
        <v>43663</v>
      </c>
      <c r="B7" s="24" t="s">
        <v>21</v>
      </c>
      <c r="C7" s="24" t="s">
        <v>102</v>
      </c>
      <c r="D7" s="24" t="s">
        <v>23</v>
      </c>
      <c r="E7" s="6" t="s">
        <v>233</v>
      </c>
      <c r="F7" s="24" t="s">
        <v>24</v>
      </c>
      <c r="G7" s="26">
        <v>71500</v>
      </c>
      <c r="H7" s="24" t="s">
        <v>103</v>
      </c>
      <c r="I7" s="24" t="s">
        <v>104</v>
      </c>
      <c r="J7" s="25">
        <v>0.95833333333333337</v>
      </c>
      <c r="K7" s="2">
        <v>0.99513888888888891</v>
      </c>
      <c r="L7" s="25">
        <v>0.76736111111111116</v>
      </c>
      <c r="M7" s="2">
        <v>0.81944444444444453</v>
      </c>
      <c r="N7" s="3" t="s">
        <v>126</v>
      </c>
      <c r="O7" s="24" t="s">
        <v>320</v>
      </c>
      <c r="P7" s="24">
        <v>1481</v>
      </c>
      <c r="Q7" s="24">
        <v>464</v>
      </c>
      <c r="R7" s="24"/>
      <c r="S7" s="24">
        <v>0</v>
      </c>
      <c r="T7" s="24">
        <v>0</v>
      </c>
      <c r="U7" s="24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"/>
  <sheetViews>
    <sheetView topLeftCell="C1" workbookViewId="0">
      <selection activeCell="K8" sqref="K8"/>
    </sheetView>
  </sheetViews>
  <sheetFormatPr defaultRowHeight="15" x14ac:dyDescent="0.25"/>
  <cols>
    <col min="2" max="2" width="13.42578125" customWidth="1"/>
    <col min="3" max="3" width="13.42578125" bestFit="1" customWidth="1"/>
    <col min="5" max="6" width="14.85546875" customWidth="1"/>
    <col min="14" max="15" width="18.28515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5">
        <v>43664</v>
      </c>
      <c r="B2" s="6" t="s">
        <v>21</v>
      </c>
      <c r="C2" s="6" t="s">
        <v>56</v>
      </c>
      <c r="D2" s="6" t="s">
        <v>23</v>
      </c>
      <c r="E2" s="6" t="s">
        <v>182</v>
      </c>
      <c r="F2" s="6" t="s">
        <v>24</v>
      </c>
      <c r="G2" s="7">
        <v>71500</v>
      </c>
      <c r="H2" s="6" t="s">
        <v>57</v>
      </c>
      <c r="I2" s="6" t="s">
        <v>58</v>
      </c>
      <c r="J2" s="8">
        <v>0.38541666666666669</v>
      </c>
      <c r="K2" s="2">
        <v>0.3743055555555555</v>
      </c>
      <c r="L2" s="8">
        <v>0.25694444444444448</v>
      </c>
      <c r="M2" s="9">
        <v>0.26250000000000001</v>
      </c>
      <c r="N2" s="2" t="s">
        <v>126</v>
      </c>
      <c r="O2" s="10" t="s">
        <v>321</v>
      </c>
      <c r="P2" s="10">
        <v>471</v>
      </c>
      <c r="Q2" s="10">
        <v>419</v>
      </c>
      <c r="R2" s="6">
        <v>0</v>
      </c>
      <c r="S2" s="6">
        <v>0</v>
      </c>
      <c r="T2" s="6">
        <v>0</v>
      </c>
      <c r="U2" s="6">
        <v>0</v>
      </c>
    </row>
    <row r="3" spans="1:21" x14ac:dyDescent="0.25">
      <c r="A3" s="5">
        <v>43664</v>
      </c>
      <c r="B3" s="6" t="s">
        <v>21</v>
      </c>
      <c r="C3" s="6" t="s">
        <v>22</v>
      </c>
      <c r="D3" s="6" t="s">
        <v>23</v>
      </c>
      <c r="E3" s="6" t="s">
        <v>233</v>
      </c>
      <c r="F3" s="6" t="s">
        <v>24</v>
      </c>
      <c r="G3" s="7">
        <v>71500</v>
      </c>
      <c r="H3" s="6" t="s">
        <v>25</v>
      </c>
      <c r="I3" s="6" t="s">
        <v>26</v>
      </c>
      <c r="J3" s="8">
        <v>0.46180555555555558</v>
      </c>
      <c r="K3" s="2">
        <v>0.46666666666666662</v>
      </c>
      <c r="L3" s="8">
        <v>0.27430555555555552</v>
      </c>
      <c r="M3" s="9">
        <v>0.29236111111111113</v>
      </c>
      <c r="N3" s="2" t="s">
        <v>323</v>
      </c>
      <c r="O3" s="10" t="s">
        <v>322</v>
      </c>
      <c r="P3" s="6">
        <v>1408</v>
      </c>
      <c r="Q3" s="10">
        <v>372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5">
        <v>43664</v>
      </c>
      <c r="B4" s="24" t="s">
        <v>21</v>
      </c>
      <c r="C4" s="24" t="s">
        <v>62</v>
      </c>
      <c r="D4" s="24" t="s">
        <v>23</v>
      </c>
      <c r="E4" s="6" t="s">
        <v>182</v>
      </c>
      <c r="F4" s="24" t="s">
        <v>24</v>
      </c>
      <c r="G4" s="26">
        <v>71500</v>
      </c>
      <c r="H4" s="24" t="s">
        <v>63</v>
      </c>
      <c r="I4" s="24" t="s">
        <v>64</v>
      </c>
      <c r="J4" s="25">
        <v>0.55555555555555558</v>
      </c>
      <c r="K4" s="27">
        <v>0.54652777777777783</v>
      </c>
      <c r="L4" s="25">
        <v>0.40625</v>
      </c>
      <c r="M4" s="27">
        <v>0.41180555555555554</v>
      </c>
      <c r="N4" s="24" t="s">
        <v>326</v>
      </c>
      <c r="O4" s="24" t="s">
        <v>324</v>
      </c>
      <c r="P4" s="24">
        <v>1270</v>
      </c>
      <c r="Q4" s="24">
        <v>697</v>
      </c>
      <c r="R4" s="24">
        <v>0</v>
      </c>
      <c r="S4" s="24">
        <v>0</v>
      </c>
      <c r="T4" s="24">
        <v>0</v>
      </c>
      <c r="U4" s="24">
        <v>0</v>
      </c>
    </row>
    <row r="5" spans="1:21" x14ac:dyDescent="0.25">
      <c r="A5" s="5">
        <v>43664</v>
      </c>
      <c r="B5" s="3" t="s">
        <v>21</v>
      </c>
      <c r="C5" s="3" t="s">
        <v>71</v>
      </c>
      <c r="D5" s="3" t="s">
        <v>23</v>
      </c>
      <c r="E5" s="6" t="s">
        <v>233</v>
      </c>
      <c r="F5" s="3" t="s">
        <v>24</v>
      </c>
      <c r="G5" s="7">
        <v>71500</v>
      </c>
      <c r="H5" s="3" t="s">
        <v>72</v>
      </c>
      <c r="I5" s="3" t="s">
        <v>73</v>
      </c>
      <c r="J5" s="11">
        <v>0.70138888888888884</v>
      </c>
      <c r="K5" s="2">
        <v>0.6972222222222223</v>
      </c>
      <c r="L5" s="11">
        <v>0.49305555555555558</v>
      </c>
      <c r="M5" s="2">
        <v>0.50486111111111109</v>
      </c>
      <c r="N5" s="3" t="s">
        <v>326</v>
      </c>
      <c r="O5" s="3" t="s">
        <v>325</v>
      </c>
      <c r="P5" s="3">
        <v>1652</v>
      </c>
      <c r="Q5" s="3">
        <v>756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5">
        <v>43664</v>
      </c>
      <c r="B6" s="3" t="s">
        <v>21</v>
      </c>
      <c r="C6" s="3" t="s">
        <v>36</v>
      </c>
      <c r="D6" s="3" t="s">
        <v>23</v>
      </c>
      <c r="E6" s="6" t="s">
        <v>182</v>
      </c>
      <c r="F6" s="3" t="s">
        <v>24</v>
      </c>
      <c r="G6" s="7">
        <v>71500</v>
      </c>
      <c r="H6" s="3" t="s">
        <v>37</v>
      </c>
      <c r="I6" s="3" t="s">
        <v>38</v>
      </c>
      <c r="J6" s="25">
        <v>0.75694444444444453</v>
      </c>
      <c r="K6" s="2">
        <v>0.75416666666666676</v>
      </c>
      <c r="L6" s="25">
        <v>0.58680555555555558</v>
      </c>
      <c r="M6" s="18">
        <v>0.59027777777777779</v>
      </c>
      <c r="N6" s="3" t="s">
        <v>328</v>
      </c>
      <c r="O6" s="24" t="s">
        <v>327</v>
      </c>
      <c r="P6" s="19">
        <v>1206</v>
      </c>
      <c r="Q6" s="24">
        <v>634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5">
        <v>43664</v>
      </c>
      <c r="B7" s="24" t="s">
        <v>21</v>
      </c>
      <c r="C7" s="24" t="s">
        <v>27</v>
      </c>
      <c r="D7" s="24" t="s">
        <v>23</v>
      </c>
      <c r="E7" s="6" t="s">
        <v>233</v>
      </c>
      <c r="F7" s="24" t="s">
        <v>24</v>
      </c>
      <c r="G7" s="7">
        <v>71500</v>
      </c>
      <c r="H7" s="24" t="s">
        <v>28</v>
      </c>
      <c r="I7" s="24" t="s">
        <v>29</v>
      </c>
      <c r="J7" s="25">
        <v>0.92708333333333337</v>
      </c>
      <c r="K7" s="2">
        <v>0.9194444444444444</v>
      </c>
      <c r="L7" s="17">
        <v>0.72222222222222221</v>
      </c>
      <c r="M7" s="18">
        <v>0.73472222222222217</v>
      </c>
      <c r="N7" s="12" t="s">
        <v>222</v>
      </c>
      <c r="O7" s="19" t="s">
        <v>295</v>
      </c>
      <c r="P7" s="19">
        <v>1395</v>
      </c>
      <c r="Q7" s="19">
        <v>1097</v>
      </c>
      <c r="R7" s="24">
        <v>0</v>
      </c>
      <c r="S7" s="24">
        <v>0</v>
      </c>
      <c r="T7" s="24">
        <v>0</v>
      </c>
      <c r="U7" s="24">
        <v>0</v>
      </c>
    </row>
    <row r="8" spans="1:21" x14ac:dyDescent="0.25">
      <c r="A8" s="5">
        <v>43664</v>
      </c>
      <c r="B8" s="24" t="s">
        <v>21</v>
      </c>
      <c r="C8" s="24" t="s">
        <v>59</v>
      </c>
      <c r="D8" s="24" t="s">
        <v>23</v>
      </c>
      <c r="E8" s="6" t="s">
        <v>182</v>
      </c>
      <c r="F8" s="24" t="s">
        <v>24</v>
      </c>
      <c r="G8" s="26">
        <v>71500</v>
      </c>
      <c r="H8" s="24" t="s">
        <v>60</v>
      </c>
      <c r="I8" s="24" t="s">
        <v>61</v>
      </c>
      <c r="J8" s="25">
        <v>0.95486111111111116</v>
      </c>
      <c r="K8" s="2">
        <v>3.2638888888888891E-2</v>
      </c>
      <c r="L8" s="25">
        <v>0.77777777777777779</v>
      </c>
      <c r="M8" s="27">
        <v>0.85902777777777783</v>
      </c>
      <c r="N8" s="3" t="s">
        <v>329</v>
      </c>
      <c r="O8" s="24" t="s">
        <v>214</v>
      </c>
      <c r="P8" s="24">
        <v>868</v>
      </c>
      <c r="Q8" s="24">
        <v>525</v>
      </c>
      <c r="R8" s="24">
        <v>0</v>
      </c>
      <c r="S8" s="24">
        <v>0</v>
      </c>
      <c r="T8" s="24">
        <v>0</v>
      </c>
      <c r="U8" s="24">
        <v>0</v>
      </c>
    </row>
    <row r="9" spans="1:21" x14ac:dyDescent="0.25">
      <c r="A9" s="5"/>
      <c r="B9" s="24"/>
      <c r="C9" s="24"/>
      <c r="D9" s="24"/>
      <c r="E9" s="6"/>
      <c r="F9" s="24"/>
      <c r="G9" s="7"/>
      <c r="H9" s="24"/>
      <c r="I9" s="24"/>
      <c r="J9" s="25"/>
      <c r="K9" s="25"/>
      <c r="L9" s="25"/>
      <c r="M9" s="43"/>
      <c r="N9" s="10"/>
      <c r="O9" s="10"/>
      <c r="P9" s="44"/>
      <c r="Q9" s="44"/>
      <c r="R9" s="24"/>
      <c r="S9" s="24"/>
      <c r="T9" s="24"/>
      <c r="U9" s="24"/>
    </row>
    <row r="10" spans="1:21" s="4" customFormat="1" ht="12.75" x14ac:dyDescent="0.2">
      <c r="A10" s="32"/>
      <c r="B10" s="24"/>
      <c r="C10" s="24"/>
      <c r="D10" s="24"/>
      <c r="E10" s="6"/>
      <c r="F10" s="24"/>
      <c r="G10" s="7"/>
      <c r="H10" s="24"/>
      <c r="I10" s="24"/>
      <c r="J10" s="13"/>
      <c r="K10" s="14"/>
      <c r="L10" s="13"/>
      <c r="M10" s="14"/>
      <c r="N10" s="10"/>
      <c r="O10" s="10"/>
      <c r="R10" s="24"/>
      <c r="S10" s="24"/>
      <c r="T10" s="24"/>
      <c r="U10" s="24"/>
    </row>
  </sheetData>
  <pageMargins left="0.7" right="0.7" top="0.75" bottom="0.75" header="0.3" footer="0.3"/>
  <pageSetup paperSize="9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workbookViewId="0">
      <selection activeCell="F9" sqref="F9"/>
    </sheetView>
  </sheetViews>
  <sheetFormatPr defaultRowHeight="15" x14ac:dyDescent="0.25"/>
  <cols>
    <col min="2" max="2" width="13.140625" customWidth="1"/>
    <col min="3" max="3" width="13.5703125" bestFit="1" customWidth="1"/>
    <col min="5" max="5" width="7.42578125" bestFit="1" customWidth="1"/>
    <col min="6" max="6" width="18.140625" customWidth="1"/>
    <col min="7" max="7" width="9.7109375" bestFit="1" customWidth="1"/>
    <col min="13" max="13" width="10" customWidth="1"/>
    <col min="14" max="14" width="18" customWidth="1"/>
    <col min="15" max="15" width="17.855468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5">
        <v>43665</v>
      </c>
      <c r="B2" s="6" t="s">
        <v>21</v>
      </c>
      <c r="C2" s="6" t="s">
        <v>22</v>
      </c>
      <c r="D2" s="6" t="s">
        <v>23</v>
      </c>
      <c r="E2" s="6" t="s">
        <v>233</v>
      </c>
      <c r="F2" s="6" t="s">
        <v>24</v>
      </c>
      <c r="G2" s="7">
        <v>71500</v>
      </c>
      <c r="H2" s="6" t="s">
        <v>25</v>
      </c>
      <c r="I2" s="6" t="s">
        <v>26</v>
      </c>
      <c r="J2" s="8">
        <v>0.45833333333333331</v>
      </c>
      <c r="K2" s="2">
        <v>0.46666666666666662</v>
      </c>
      <c r="L2" s="8">
        <v>0.25694444444444448</v>
      </c>
      <c r="M2" s="9">
        <v>0.29236111111111113</v>
      </c>
      <c r="N2" s="3" t="s">
        <v>165</v>
      </c>
      <c r="O2" s="10" t="s">
        <v>330</v>
      </c>
      <c r="P2" s="10">
        <v>1396</v>
      </c>
      <c r="Q2" s="10">
        <v>746</v>
      </c>
      <c r="R2" s="6">
        <v>0</v>
      </c>
      <c r="S2" s="6">
        <v>0</v>
      </c>
      <c r="T2" s="6">
        <v>0</v>
      </c>
      <c r="U2" s="6">
        <v>0</v>
      </c>
    </row>
    <row r="3" spans="1:21" x14ac:dyDescent="0.25">
      <c r="A3" s="5">
        <v>43665</v>
      </c>
      <c r="B3" s="6" t="s">
        <v>21</v>
      </c>
      <c r="C3" s="6" t="s">
        <v>27</v>
      </c>
      <c r="D3" s="6" t="s">
        <v>23</v>
      </c>
      <c r="E3" s="6" t="s">
        <v>182</v>
      </c>
      <c r="F3" s="6" t="s">
        <v>24</v>
      </c>
      <c r="G3" s="7">
        <v>71500</v>
      </c>
      <c r="H3" s="6" t="s">
        <v>28</v>
      </c>
      <c r="I3" s="6" t="s">
        <v>29</v>
      </c>
      <c r="J3" s="8">
        <v>0.4861111111111111</v>
      </c>
      <c r="K3" s="2">
        <v>0.48055555555555557</v>
      </c>
      <c r="L3" s="8">
        <v>0.28125</v>
      </c>
      <c r="M3" s="9">
        <v>0.2951388888888889</v>
      </c>
      <c r="N3" s="3" t="s">
        <v>203</v>
      </c>
      <c r="O3" s="10" t="s">
        <v>331</v>
      </c>
      <c r="P3" s="6">
        <v>1464</v>
      </c>
      <c r="Q3" s="10">
        <v>1280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5">
        <v>43665</v>
      </c>
      <c r="B4" s="3" t="s">
        <v>21</v>
      </c>
      <c r="C4" s="3" t="s">
        <v>30</v>
      </c>
      <c r="D4" s="3" t="s">
        <v>23</v>
      </c>
      <c r="E4" s="6" t="s">
        <v>233</v>
      </c>
      <c r="F4" s="3" t="s">
        <v>24</v>
      </c>
      <c r="G4" s="7">
        <v>71500</v>
      </c>
      <c r="H4" s="3" t="s">
        <v>31</v>
      </c>
      <c r="I4" s="3" t="s">
        <v>32</v>
      </c>
      <c r="J4" s="11">
        <v>0.70833333333333337</v>
      </c>
      <c r="K4" s="2">
        <v>0.74444444444444446</v>
      </c>
      <c r="L4" s="11">
        <v>0.48958333333333331</v>
      </c>
      <c r="M4" s="2">
        <v>0.53194444444444444</v>
      </c>
      <c r="N4" s="4" t="s">
        <v>154</v>
      </c>
      <c r="O4" s="3" t="s">
        <v>332</v>
      </c>
      <c r="P4" s="3">
        <v>1617</v>
      </c>
      <c r="Q4" s="10">
        <v>1096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5">
        <v>43665</v>
      </c>
      <c r="B5" s="3" t="s">
        <v>21</v>
      </c>
      <c r="C5" s="3" t="s">
        <v>33</v>
      </c>
      <c r="D5" s="3" t="s">
        <v>23</v>
      </c>
      <c r="E5" s="6" t="s">
        <v>182</v>
      </c>
      <c r="F5" s="3" t="s">
        <v>24</v>
      </c>
      <c r="G5" s="7">
        <v>71500</v>
      </c>
      <c r="H5" s="3" t="s">
        <v>34</v>
      </c>
      <c r="I5" s="3" t="s">
        <v>35</v>
      </c>
      <c r="J5" s="11">
        <v>0.74652777777777779</v>
      </c>
      <c r="K5" s="2">
        <v>0.75555555555555554</v>
      </c>
      <c r="L5" s="11">
        <v>0.51736111111111105</v>
      </c>
      <c r="M5" s="2">
        <v>0.53749999999999998</v>
      </c>
      <c r="N5" s="3" t="s">
        <v>230</v>
      </c>
      <c r="O5" s="3" t="s">
        <v>333</v>
      </c>
      <c r="P5" s="3">
        <v>1579</v>
      </c>
      <c r="Q5" s="10">
        <v>1267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5">
        <v>43665</v>
      </c>
      <c r="B6" s="3" t="s">
        <v>21</v>
      </c>
      <c r="C6" s="3" t="s">
        <v>36</v>
      </c>
      <c r="D6" s="3" t="s">
        <v>23</v>
      </c>
      <c r="E6" s="6" t="s">
        <v>233</v>
      </c>
      <c r="F6" s="12" t="s">
        <v>24</v>
      </c>
      <c r="G6" s="7">
        <v>71500</v>
      </c>
      <c r="H6" s="6" t="s">
        <v>37</v>
      </c>
      <c r="I6" s="6" t="s">
        <v>38</v>
      </c>
      <c r="J6" s="13">
        <v>0.89930555555555547</v>
      </c>
      <c r="K6" s="2">
        <v>0.9375</v>
      </c>
      <c r="L6" s="13">
        <v>0.72916666666666663</v>
      </c>
      <c r="M6" s="14">
        <v>0.78472222222222221</v>
      </c>
      <c r="N6" s="4" t="s">
        <v>51</v>
      </c>
      <c r="O6" s="10" t="s">
        <v>337</v>
      </c>
      <c r="P6" s="4">
        <v>1127</v>
      </c>
      <c r="Q6" s="10">
        <v>949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5">
        <v>43665</v>
      </c>
      <c r="B7" s="4" t="s">
        <v>21</v>
      </c>
      <c r="C7" s="4" t="s">
        <v>39</v>
      </c>
      <c r="D7" s="4" t="s">
        <v>23</v>
      </c>
      <c r="E7" s="6" t="s">
        <v>182</v>
      </c>
      <c r="F7" s="4" t="s">
        <v>24</v>
      </c>
      <c r="G7" s="15">
        <v>71500</v>
      </c>
      <c r="H7" s="4" t="s">
        <v>40</v>
      </c>
      <c r="I7" s="4" t="s">
        <v>41</v>
      </c>
      <c r="J7" s="13">
        <v>0.9375</v>
      </c>
      <c r="K7" s="2">
        <v>0.94236111111111109</v>
      </c>
      <c r="L7" s="13">
        <v>0.76736111111111116</v>
      </c>
      <c r="M7" s="14">
        <v>0.79236111111111107</v>
      </c>
      <c r="N7" s="3" t="s">
        <v>336</v>
      </c>
      <c r="O7" s="4" t="s">
        <v>335</v>
      </c>
      <c r="P7" s="3">
        <v>853</v>
      </c>
      <c r="Q7" s="10">
        <v>637</v>
      </c>
      <c r="R7" s="4">
        <v>0</v>
      </c>
      <c r="S7" s="4">
        <v>0</v>
      </c>
      <c r="T7" s="4">
        <v>0</v>
      </c>
      <c r="U7" s="4">
        <v>0</v>
      </c>
    </row>
    <row r="8" spans="1:21" x14ac:dyDescent="0.25">
      <c r="A8" s="5">
        <v>43665</v>
      </c>
      <c r="B8" s="6" t="s">
        <v>65</v>
      </c>
      <c r="C8" s="3" t="s">
        <v>66</v>
      </c>
      <c r="D8" s="3" t="str">
        <f>D7</f>
        <v>A320</v>
      </c>
      <c r="E8" s="6" t="s">
        <v>298</v>
      </c>
      <c r="F8" s="3" t="s">
        <v>68</v>
      </c>
      <c r="G8" s="7">
        <v>77000</v>
      </c>
      <c r="H8" s="3" t="s">
        <v>69</v>
      </c>
      <c r="I8" s="3" t="s">
        <v>70</v>
      </c>
      <c r="J8" s="11">
        <v>0.67708333333333337</v>
      </c>
      <c r="K8" s="2">
        <v>0.67986111111111114</v>
      </c>
      <c r="L8" s="11">
        <v>0.71875</v>
      </c>
      <c r="M8" s="14">
        <v>0.72152777777777777</v>
      </c>
      <c r="N8" s="3" t="s">
        <v>230</v>
      </c>
      <c r="O8" s="3" t="s">
        <v>334</v>
      </c>
      <c r="P8" s="3">
        <v>2165</v>
      </c>
      <c r="Q8" s="10">
        <v>1721</v>
      </c>
      <c r="R8" s="3">
        <v>0</v>
      </c>
      <c r="S8" s="3">
        <v>0</v>
      </c>
      <c r="T8" s="3">
        <v>0</v>
      </c>
      <c r="U8" s="3">
        <v>0</v>
      </c>
    </row>
    <row r="9" spans="1:21" x14ac:dyDescent="0.25">
      <c r="N9" s="3"/>
      <c r="O9" s="3"/>
      <c r="P9" s="3"/>
      <c r="Q9" s="10"/>
    </row>
  </sheetData>
  <pageMargins left="0.7" right="0.7" top="0.75" bottom="0.75" header="0.3" footer="0.3"/>
  <pageSetup paperSize="9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topLeftCell="F1" workbookViewId="0">
      <selection activeCell="K8" sqref="K8"/>
    </sheetView>
  </sheetViews>
  <sheetFormatPr defaultRowHeight="15" x14ac:dyDescent="0.25"/>
  <cols>
    <col min="1" max="1" width="7.85546875" bestFit="1" customWidth="1"/>
    <col min="3" max="3" width="13.42578125" bestFit="1" customWidth="1"/>
    <col min="5" max="5" width="7.42578125" bestFit="1" customWidth="1"/>
    <col min="6" max="6" width="12.140625" bestFit="1" customWidth="1"/>
    <col min="7" max="9" width="9.7109375" bestFit="1" customWidth="1"/>
    <col min="10" max="10" width="11" bestFit="1" customWidth="1"/>
    <col min="11" max="11" width="10.85546875" bestFit="1" customWidth="1"/>
    <col min="12" max="12" width="11.85546875" customWidth="1"/>
    <col min="13" max="13" width="12.85546875" customWidth="1"/>
    <col min="14" max="14" width="18.7109375" customWidth="1"/>
    <col min="15" max="15" width="19.42578125" customWidth="1"/>
    <col min="16" max="16" width="10.28515625" customWidth="1"/>
  </cols>
  <sheetData>
    <row r="1" spans="1:2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2" t="s">
        <v>10</v>
      </c>
      <c r="L1" s="6" t="s">
        <v>11</v>
      </c>
      <c r="M1" s="6" t="s">
        <v>12</v>
      </c>
      <c r="N1" s="3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</row>
    <row r="2" spans="1:21" x14ac:dyDescent="0.25">
      <c r="A2" s="5">
        <v>43666</v>
      </c>
      <c r="B2" s="6" t="s">
        <v>21</v>
      </c>
      <c r="C2" s="6" t="s">
        <v>56</v>
      </c>
      <c r="D2" s="6" t="s">
        <v>23</v>
      </c>
      <c r="E2" s="6" t="s">
        <v>233</v>
      </c>
      <c r="F2" s="6" t="s">
        <v>24</v>
      </c>
      <c r="G2" s="7">
        <v>71500</v>
      </c>
      <c r="H2" s="6" t="s">
        <v>57</v>
      </c>
      <c r="I2" s="6" t="s">
        <v>58</v>
      </c>
      <c r="J2" s="8">
        <v>0.38541666666666669</v>
      </c>
      <c r="K2" s="2">
        <v>0.37083333333333335</v>
      </c>
      <c r="L2" s="8">
        <v>0.25694444444444448</v>
      </c>
      <c r="M2" s="9">
        <v>0.25486111111111109</v>
      </c>
      <c r="N2" s="3" t="s">
        <v>179</v>
      </c>
      <c r="O2" s="10" t="s">
        <v>338</v>
      </c>
      <c r="P2" s="10">
        <v>828</v>
      </c>
      <c r="Q2" s="10">
        <v>565</v>
      </c>
      <c r="R2" s="6">
        <v>0</v>
      </c>
      <c r="S2" s="6">
        <v>0</v>
      </c>
      <c r="T2" s="6">
        <v>0</v>
      </c>
      <c r="U2" s="6">
        <v>0</v>
      </c>
    </row>
    <row r="3" spans="1:21" x14ac:dyDescent="0.25">
      <c r="A3" s="5">
        <v>43666</v>
      </c>
      <c r="B3" s="6" t="s">
        <v>21</v>
      </c>
      <c r="C3" s="6" t="s">
        <v>59</v>
      </c>
      <c r="D3" s="6" t="s">
        <v>23</v>
      </c>
      <c r="E3" s="6" t="s">
        <v>182</v>
      </c>
      <c r="F3" s="6" t="s">
        <v>24</v>
      </c>
      <c r="G3" s="7">
        <v>71500</v>
      </c>
      <c r="H3" s="6" t="s">
        <v>60</v>
      </c>
      <c r="I3" s="6" t="s">
        <v>61</v>
      </c>
      <c r="J3" s="8">
        <v>0.46180555555555558</v>
      </c>
      <c r="K3" s="2">
        <v>0.50277777777777777</v>
      </c>
      <c r="L3" s="8">
        <v>0.28125</v>
      </c>
      <c r="M3" s="9">
        <v>0.30416666666666664</v>
      </c>
      <c r="N3" s="3" t="s">
        <v>340</v>
      </c>
      <c r="O3" s="10" t="s">
        <v>339</v>
      </c>
      <c r="P3" s="6">
        <v>1470</v>
      </c>
      <c r="Q3" s="10">
        <v>882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5">
        <v>43666</v>
      </c>
      <c r="B4" s="6" t="s">
        <v>21</v>
      </c>
      <c r="C4" s="3" t="s">
        <v>62</v>
      </c>
      <c r="D4" s="3" t="s">
        <v>23</v>
      </c>
      <c r="E4" s="6" t="s">
        <v>233</v>
      </c>
      <c r="F4" s="3" t="s">
        <v>24</v>
      </c>
      <c r="G4" s="7">
        <v>71500</v>
      </c>
      <c r="H4" s="3" t="s">
        <v>63</v>
      </c>
      <c r="I4" s="3" t="s">
        <v>64</v>
      </c>
      <c r="J4" s="11">
        <v>0.55555555555555558</v>
      </c>
      <c r="K4" s="2">
        <v>0.57916666666666672</v>
      </c>
      <c r="L4" s="11">
        <v>0.40625</v>
      </c>
      <c r="M4" s="2">
        <v>0.40972222222222227</v>
      </c>
      <c r="N4" s="2" t="s">
        <v>89</v>
      </c>
      <c r="O4" s="3" t="s">
        <v>214</v>
      </c>
      <c r="P4" s="3">
        <v>1485</v>
      </c>
      <c r="Q4" s="10">
        <v>816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5">
        <v>43666</v>
      </c>
      <c r="B5" s="6" t="s">
        <v>21</v>
      </c>
      <c r="C5" s="3" t="s">
        <v>71</v>
      </c>
      <c r="D5" s="3" t="s">
        <v>23</v>
      </c>
      <c r="E5" s="6" t="s">
        <v>182</v>
      </c>
      <c r="F5" s="3" t="s">
        <v>24</v>
      </c>
      <c r="G5" s="7">
        <v>71500</v>
      </c>
      <c r="H5" s="3" t="s">
        <v>72</v>
      </c>
      <c r="I5" s="3" t="s">
        <v>73</v>
      </c>
      <c r="J5" s="17">
        <v>0.70138888888888884</v>
      </c>
      <c r="K5" s="2">
        <v>0.78888888888888886</v>
      </c>
      <c r="L5" s="17">
        <v>0.49305555555555558</v>
      </c>
      <c r="M5" s="18">
        <v>0.55277777777777781</v>
      </c>
      <c r="N5" s="3" t="s">
        <v>342</v>
      </c>
      <c r="O5" s="3" t="s">
        <v>341</v>
      </c>
      <c r="P5" s="19">
        <v>1540</v>
      </c>
      <c r="Q5" s="10">
        <v>1259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5">
        <v>43666</v>
      </c>
      <c r="B6" s="6" t="s">
        <v>21</v>
      </c>
      <c r="C6" s="3" t="s">
        <v>74</v>
      </c>
      <c r="D6" s="3" t="s">
        <v>23</v>
      </c>
      <c r="E6" s="6" t="s">
        <v>233</v>
      </c>
      <c r="F6" s="12" t="s">
        <v>24</v>
      </c>
      <c r="G6" s="7">
        <v>71500</v>
      </c>
      <c r="H6" s="6" t="s">
        <v>75</v>
      </c>
      <c r="I6" s="6" t="s">
        <v>76</v>
      </c>
      <c r="J6" s="20">
        <v>0.74652777777777779</v>
      </c>
      <c r="K6" s="2">
        <v>0.75763888888888886</v>
      </c>
      <c r="L6" s="20">
        <v>0.58680555555555558</v>
      </c>
      <c r="M6" s="21">
        <v>0.61875000000000002</v>
      </c>
      <c r="N6" s="3" t="s">
        <v>179</v>
      </c>
      <c r="O6" s="3" t="s">
        <v>344</v>
      </c>
      <c r="P6" s="3">
        <v>1864</v>
      </c>
      <c r="Q6" s="10">
        <v>840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5">
        <v>43666</v>
      </c>
      <c r="B7" s="6" t="s">
        <v>21</v>
      </c>
      <c r="C7" s="16" t="s">
        <v>77</v>
      </c>
      <c r="D7" s="16" t="s">
        <v>23</v>
      </c>
      <c r="E7" s="6" t="s">
        <v>233</v>
      </c>
      <c r="F7" s="16" t="s">
        <v>24</v>
      </c>
      <c r="G7" s="22">
        <v>71500</v>
      </c>
      <c r="H7" s="16" t="s">
        <v>78</v>
      </c>
      <c r="I7" s="16" t="s">
        <v>79</v>
      </c>
      <c r="J7" s="20">
        <v>0.94097222222222221</v>
      </c>
      <c r="K7" s="2">
        <v>4.0972222222222222E-2</v>
      </c>
      <c r="L7" s="20">
        <v>0.72222222222222221</v>
      </c>
      <c r="M7" s="21">
        <v>0.82847222222222217</v>
      </c>
      <c r="N7" s="18" t="s">
        <v>343</v>
      </c>
      <c r="O7" s="16" t="s">
        <v>345</v>
      </c>
      <c r="P7" s="16">
        <v>1135</v>
      </c>
      <c r="Q7" s="10">
        <v>1266</v>
      </c>
      <c r="R7" s="16">
        <v>0</v>
      </c>
      <c r="S7" s="16">
        <v>0</v>
      </c>
      <c r="T7" s="16">
        <v>0</v>
      </c>
      <c r="U7" s="16">
        <v>0</v>
      </c>
    </row>
    <row r="8" spans="1:21" x14ac:dyDescent="0.25">
      <c r="A8" s="5">
        <v>43666</v>
      </c>
      <c r="B8" s="3" t="s">
        <v>21</v>
      </c>
      <c r="C8" s="19" t="s">
        <v>80</v>
      </c>
      <c r="D8" s="3" t="s">
        <v>23</v>
      </c>
      <c r="E8" s="6" t="s">
        <v>182</v>
      </c>
      <c r="F8" s="3" t="s">
        <v>24</v>
      </c>
      <c r="G8" s="7">
        <v>71500</v>
      </c>
      <c r="H8" s="6" t="s">
        <v>81</v>
      </c>
      <c r="I8" s="6" t="s">
        <v>82</v>
      </c>
      <c r="J8" s="17">
        <v>0.94444444444444453</v>
      </c>
      <c r="K8" s="9">
        <v>5.2083333333333336E-2</v>
      </c>
      <c r="L8" s="17">
        <v>0.76736111111111116</v>
      </c>
      <c r="M8" s="18">
        <v>0.83958333333333324</v>
      </c>
      <c r="N8" s="18" t="s">
        <v>223</v>
      </c>
      <c r="O8" s="18" t="s">
        <v>346</v>
      </c>
      <c r="P8" s="19">
        <v>905</v>
      </c>
      <c r="Q8" s="10">
        <v>749</v>
      </c>
      <c r="R8" s="3">
        <v>0</v>
      </c>
      <c r="S8" s="3">
        <v>0</v>
      </c>
      <c r="T8" s="3">
        <v>0</v>
      </c>
      <c r="U8" s="3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topLeftCell="G1" workbookViewId="0">
      <selection sqref="A1:U7"/>
    </sheetView>
  </sheetViews>
  <sheetFormatPr defaultRowHeight="15" x14ac:dyDescent="0.25"/>
  <cols>
    <col min="2" max="2" width="15.7109375" customWidth="1"/>
    <col min="3" max="3" width="16.7109375" customWidth="1"/>
    <col min="4" max="4" width="11" customWidth="1"/>
    <col min="6" max="6" width="18.85546875" customWidth="1"/>
    <col min="7" max="7" width="9.7109375" bestFit="1" customWidth="1"/>
    <col min="14" max="14" width="17.5703125" customWidth="1"/>
    <col min="15" max="15" width="17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5">
        <v>43667</v>
      </c>
      <c r="B2" s="6" t="s">
        <v>21</v>
      </c>
      <c r="C2" s="6" t="s">
        <v>22</v>
      </c>
      <c r="D2" s="6" t="s">
        <v>23</v>
      </c>
      <c r="E2" s="6" t="s">
        <v>283</v>
      </c>
      <c r="F2" s="6" t="s">
        <v>24</v>
      </c>
      <c r="G2" s="7">
        <v>71500</v>
      </c>
      <c r="H2" s="6" t="s">
        <v>25</v>
      </c>
      <c r="I2" s="6" t="s">
        <v>26</v>
      </c>
      <c r="J2" s="8">
        <v>0.45833333333333331</v>
      </c>
      <c r="K2" s="2">
        <v>0.46527777777777773</v>
      </c>
      <c r="L2" s="8">
        <v>0.25694444444444448</v>
      </c>
      <c r="M2" s="9">
        <v>0.27569444444444446</v>
      </c>
      <c r="N2" s="4" t="s">
        <v>348</v>
      </c>
      <c r="O2" s="10" t="s">
        <v>206</v>
      </c>
      <c r="P2" s="4">
        <v>1608</v>
      </c>
      <c r="Q2" s="10">
        <v>784</v>
      </c>
      <c r="R2" s="6">
        <v>0</v>
      </c>
      <c r="S2" s="6">
        <v>0</v>
      </c>
      <c r="T2" s="6">
        <v>0</v>
      </c>
      <c r="U2" s="6">
        <v>0</v>
      </c>
    </row>
    <row r="3" spans="1:21" x14ac:dyDescent="0.25">
      <c r="A3" s="5">
        <v>43667</v>
      </c>
      <c r="B3" s="6" t="s">
        <v>21</v>
      </c>
      <c r="C3" s="6" t="s">
        <v>27</v>
      </c>
      <c r="D3" s="6" t="s">
        <v>23</v>
      </c>
      <c r="E3" s="6" t="s">
        <v>233</v>
      </c>
      <c r="F3" s="6" t="s">
        <v>24</v>
      </c>
      <c r="G3" s="7">
        <v>71500</v>
      </c>
      <c r="H3" s="6" t="s">
        <v>28</v>
      </c>
      <c r="I3" s="6" t="s">
        <v>29</v>
      </c>
      <c r="J3" s="8">
        <v>0.4861111111111111</v>
      </c>
      <c r="K3" s="2">
        <v>0.49027777777777781</v>
      </c>
      <c r="L3" s="8">
        <v>0.28125</v>
      </c>
      <c r="M3" s="9">
        <v>0.28472222222222221</v>
      </c>
      <c r="N3" s="2" t="s">
        <v>224</v>
      </c>
      <c r="O3" s="10" t="s">
        <v>347</v>
      </c>
      <c r="P3" s="10">
        <v>1382</v>
      </c>
      <c r="Q3" s="10">
        <v>1166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5">
        <v>43667</v>
      </c>
      <c r="B4" s="3" t="s">
        <v>21</v>
      </c>
      <c r="C4" s="3" t="s">
        <v>99</v>
      </c>
      <c r="D4" s="3" t="s">
        <v>23</v>
      </c>
      <c r="E4" s="6" t="str">
        <f>E2</f>
        <v>HA-LPJ</v>
      </c>
      <c r="F4" s="3" t="s">
        <v>24</v>
      </c>
      <c r="G4" s="7">
        <v>71500</v>
      </c>
      <c r="H4" s="3" t="s">
        <v>100</v>
      </c>
      <c r="I4" s="3" t="s">
        <v>101</v>
      </c>
      <c r="J4" s="11">
        <v>0.72569444444444453</v>
      </c>
      <c r="K4" s="2">
        <v>0.77569444444444446</v>
      </c>
      <c r="L4" s="11">
        <v>0.48958333333333331</v>
      </c>
      <c r="M4" s="2">
        <v>0.50347222222222221</v>
      </c>
      <c r="N4" s="3" t="s">
        <v>215</v>
      </c>
      <c r="O4" s="3" t="s">
        <v>348</v>
      </c>
      <c r="P4" s="3">
        <v>1757</v>
      </c>
      <c r="Q4" s="10">
        <v>1380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5">
        <v>43667</v>
      </c>
      <c r="B5" s="3" t="s">
        <v>21</v>
      </c>
      <c r="C5" s="3" t="s">
        <v>33</v>
      </c>
      <c r="D5" s="3" t="s">
        <v>23</v>
      </c>
      <c r="E5" s="6" t="str">
        <f>E3</f>
        <v>HALWO</v>
      </c>
      <c r="F5" s="3" t="s">
        <v>24</v>
      </c>
      <c r="G5" s="7">
        <v>71500</v>
      </c>
      <c r="H5" s="3" t="s">
        <v>34</v>
      </c>
      <c r="I5" s="3" t="s">
        <v>35</v>
      </c>
      <c r="J5" s="11">
        <v>0.74652777777777779</v>
      </c>
      <c r="K5" s="2">
        <v>0.78472222222222221</v>
      </c>
      <c r="L5" s="11">
        <v>0.51736111111111105</v>
      </c>
      <c r="M5" s="2">
        <v>0.57291666666666663</v>
      </c>
      <c r="N5" s="3" t="s">
        <v>265</v>
      </c>
      <c r="O5" s="3" t="s">
        <v>349</v>
      </c>
      <c r="P5" s="3">
        <v>1671</v>
      </c>
      <c r="Q5" s="10">
        <v>1545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5">
        <v>43667</v>
      </c>
      <c r="B6" s="3" t="s">
        <v>21</v>
      </c>
      <c r="C6" s="3" t="s">
        <v>36</v>
      </c>
      <c r="D6" s="3" t="s">
        <v>23</v>
      </c>
      <c r="E6" s="6" t="str">
        <f>E4</f>
        <v>HA-LPJ</v>
      </c>
      <c r="F6" s="12" t="s">
        <v>24</v>
      </c>
      <c r="G6" s="7">
        <v>71500</v>
      </c>
      <c r="H6" s="6" t="s">
        <v>37</v>
      </c>
      <c r="I6" s="6" t="s">
        <v>38</v>
      </c>
      <c r="J6" s="13">
        <v>0.91666666666666663</v>
      </c>
      <c r="K6" s="2">
        <v>0.94652777777777775</v>
      </c>
      <c r="L6" s="13">
        <v>0.74652777777777779</v>
      </c>
      <c r="M6" s="14">
        <v>0.80347222222222225</v>
      </c>
      <c r="N6" s="3" t="s">
        <v>227</v>
      </c>
      <c r="O6" s="3" t="s">
        <v>357</v>
      </c>
      <c r="P6" s="3">
        <v>1376</v>
      </c>
      <c r="Q6" s="10">
        <v>816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5">
        <v>43667</v>
      </c>
      <c r="B7" s="3" t="s">
        <v>21</v>
      </c>
      <c r="C7" s="3" t="s">
        <v>102</v>
      </c>
      <c r="D7" s="3" t="s">
        <v>23</v>
      </c>
      <c r="E7" s="6" t="str">
        <f>E5</f>
        <v>HALWO</v>
      </c>
      <c r="F7" s="12" t="s">
        <v>24</v>
      </c>
      <c r="G7" s="7">
        <v>71500</v>
      </c>
      <c r="H7" s="6" t="s">
        <v>103</v>
      </c>
      <c r="I7" s="6" t="s">
        <v>104</v>
      </c>
      <c r="J7" s="45">
        <v>0.95833333333333337</v>
      </c>
      <c r="K7" s="14">
        <v>0.99583333333333324</v>
      </c>
      <c r="L7" s="14">
        <v>0.76736111111111116</v>
      </c>
      <c r="M7" s="14">
        <v>0.8208333333333333</v>
      </c>
      <c r="N7" s="4" t="s">
        <v>359</v>
      </c>
      <c r="O7" s="4" t="s">
        <v>358</v>
      </c>
      <c r="P7" s="3">
        <v>1330</v>
      </c>
      <c r="Q7" s="10">
        <v>940</v>
      </c>
      <c r="R7" s="3">
        <v>0</v>
      </c>
      <c r="S7" s="3">
        <v>0</v>
      </c>
      <c r="T7" s="3">
        <v>0</v>
      </c>
      <c r="U7" s="3">
        <v>0</v>
      </c>
    </row>
    <row r="8" spans="1:21" x14ac:dyDescent="0.25">
      <c r="A8" s="5">
        <v>43667</v>
      </c>
      <c r="B8" s="3" t="s">
        <v>350</v>
      </c>
      <c r="C8" s="3" t="s">
        <v>351</v>
      </c>
      <c r="D8" s="3" t="s">
        <v>352</v>
      </c>
      <c r="E8" s="6" t="s">
        <v>353</v>
      </c>
      <c r="F8" s="12" t="s">
        <v>354</v>
      </c>
      <c r="G8" s="7" t="s">
        <v>355</v>
      </c>
      <c r="H8" s="6" t="s">
        <v>356</v>
      </c>
      <c r="I8" s="6" t="s">
        <v>356</v>
      </c>
      <c r="J8" s="13">
        <v>0.47916666666666669</v>
      </c>
      <c r="K8" s="13">
        <v>0.49722222222222223</v>
      </c>
      <c r="L8" s="14">
        <v>0.49305555555555558</v>
      </c>
      <c r="M8" s="14">
        <v>0.52361111111111114</v>
      </c>
      <c r="N8" s="44">
        <v>0</v>
      </c>
      <c r="O8" s="44">
        <v>0</v>
      </c>
      <c r="P8" s="44">
        <v>0</v>
      </c>
      <c r="Q8" s="10">
        <v>0</v>
      </c>
      <c r="R8" s="3">
        <v>0</v>
      </c>
      <c r="S8" s="3">
        <v>0</v>
      </c>
      <c r="T8" s="3">
        <v>0</v>
      </c>
      <c r="U8" s="3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topLeftCell="B1" workbookViewId="0">
      <selection activeCell="K7" sqref="K7"/>
    </sheetView>
  </sheetViews>
  <sheetFormatPr defaultRowHeight="15" x14ac:dyDescent="0.25"/>
  <cols>
    <col min="2" max="2" width="10.140625" bestFit="1" customWidth="1"/>
    <col min="3" max="3" width="13.5703125" bestFit="1" customWidth="1"/>
    <col min="4" max="4" width="5.7109375" bestFit="1" customWidth="1"/>
    <col min="5" max="5" width="7.85546875" bestFit="1" customWidth="1"/>
    <col min="6" max="6" width="13.7109375" customWidth="1"/>
    <col min="14" max="14" width="17.140625" customWidth="1"/>
    <col min="15" max="15" width="18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5">
        <v>43668</v>
      </c>
      <c r="B2" s="6" t="s">
        <v>21</v>
      </c>
      <c r="C2" s="6" t="s">
        <v>22</v>
      </c>
      <c r="D2" s="6" t="s">
        <v>23</v>
      </c>
      <c r="E2" s="6" t="s">
        <v>233</v>
      </c>
      <c r="F2" s="6" t="s">
        <v>24</v>
      </c>
      <c r="G2" s="7">
        <v>71500</v>
      </c>
      <c r="H2" s="6" t="s">
        <v>25</v>
      </c>
      <c r="I2" s="6" t="s">
        <v>26</v>
      </c>
      <c r="J2" s="8">
        <v>0.45833333333333331</v>
      </c>
      <c r="K2" s="2">
        <v>0.46527777777777773</v>
      </c>
      <c r="L2" s="8">
        <v>0.25694444444444448</v>
      </c>
      <c r="M2" s="9">
        <v>0.26805555555555555</v>
      </c>
      <c r="N2" s="3" t="s">
        <v>263</v>
      </c>
      <c r="O2" s="10" t="s">
        <v>339</v>
      </c>
      <c r="P2" s="10">
        <v>1517</v>
      </c>
      <c r="Q2" s="10">
        <v>771</v>
      </c>
      <c r="R2" s="6">
        <v>0</v>
      </c>
      <c r="S2" s="6">
        <v>0</v>
      </c>
      <c r="T2" s="6">
        <v>0</v>
      </c>
      <c r="U2" s="6">
        <v>0</v>
      </c>
    </row>
    <row r="3" spans="1:21" x14ac:dyDescent="0.25">
      <c r="A3" s="5">
        <v>43668</v>
      </c>
      <c r="B3" s="6" t="s">
        <v>21</v>
      </c>
      <c r="C3" s="6" t="s">
        <v>27</v>
      </c>
      <c r="D3" s="6" t="s">
        <v>23</v>
      </c>
      <c r="E3" s="6" t="s">
        <v>182</v>
      </c>
      <c r="F3" s="6" t="s">
        <v>24</v>
      </c>
      <c r="G3" s="7">
        <v>71500</v>
      </c>
      <c r="H3" s="6" t="s">
        <v>28</v>
      </c>
      <c r="I3" s="6" t="s">
        <v>29</v>
      </c>
      <c r="J3" s="8">
        <v>0.4861111111111111</v>
      </c>
      <c r="K3" s="2">
        <v>0.48333333333333334</v>
      </c>
      <c r="L3" s="8">
        <v>0.28125</v>
      </c>
      <c r="M3" s="9">
        <v>0.28680555555555554</v>
      </c>
      <c r="N3" s="3" t="s">
        <v>164</v>
      </c>
      <c r="O3" s="10" t="s">
        <v>212</v>
      </c>
      <c r="P3" s="6">
        <v>1439</v>
      </c>
      <c r="Q3" s="10">
        <v>1157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5">
        <v>43668</v>
      </c>
      <c r="B4" s="3" t="s">
        <v>21</v>
      </c>
      <c r="C4" s="3" t="s">
        <v>30</v>
      </c>
      <c r="D4" s="3" t="s">
        <v>23</v>
      </c>
      <c r="E4" s="6" t="s">
        <v>360</v>
      </c>
      <c r="F4" s="3" t="s">
        <v>24</v>
      </c>
      <c r="G4" s="7">
        <v>70000</v>
      </c>
      <c r="H4" s="3" t="s">
        <v>31</v>
      </c>
      <c r="I4" s="3" t="s">
        <v>32</v>
      </c>
      <c r="J4" s="11">
        <v>0.70833333333333337</v>
      </c>
      <c r="K4" s="2">
        <v>0.71180555555555547</v>
      </c>
      <c r="L4" s="11">
        <v>0.48958333333333331</v>
      </c>
      <c r="M4" s="2">
        <v>0.50624999999999998</v>
      </c>
      <c r="N4" s="4" t="s">
        <v>359</v>
      </c>
      <c r="O4" s="3" t="s">
        <v>361</v>
      </c>
      <c r="P4" s="3">
        <v>1873</v>
      </c>
      <c r="Q4" s="10">
        <v>1212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5">
        <v>43668</v>
      </c>
      <c r="B5" s="3" t="s">
        <v>21</v>
      </c>
      <c r="C5" s="3" t="s">
        <v>33</v>
      </c>
      <c r="D5" s="3" t="s">
        <v>23</v>
      </c>
      <c r="E5" s="6" t="s">
        <v>182</v>
      </c>
      <c r="F5" s="3" t="s">
        <v>24</v>
      </c>
      <c r="G5" s="7">
        <v>71500</v>
      </c>
      <c r="H5" s="3" t="s">
        <v>34</v>
      </c>
      <c r="I5" s="3" t="s">
        <v>35</v>
      </c>
      <c r="J5" s="11">
        <v>0.74652777777777779</v>
      </c>
      <c r="K5" s="2">
        <v>0.75347222222222221</v>
      </c>
      <c r="L5" s="11">
        <v>0.51736111111111105</v>
      </c>
      <c r="M5" s="2">
        <v>0.53541666666666665</v>
      </c>
      <c r="N5" s="3" t="s">
        <v>165</v>
      </c>
      <c r="O5" s="3" t="s">
        <v>46</v>
      </c>
      <c r="P5" s="3">
        <v>1562</v>
      </c>
      <c r="Q5" s="10">
        <v>1176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5">
        <v>43668</v>
      </c>
      <c r="B6" s="3" t="s">
        <v>21</v>
      </c>
      <c r="C6" s="3" t="s">
        <v>36</v>
      </c>
      <c r="D6" s="3" t="s">
        <v>23</v>
      </c>
      <c r="E6" s="6" t="s">
        <v>360</v>
      </c>
      <c r="F6" s="12" t="s">
        <v>24</v>
      </c>
      <c r="G6" s="7">
        <v>70000</v>
      </c>
      <c r="H6" s="6" t="s">
        <v>37</v>
      </c>
      <c r="I6" s="6" t="s">
        <v>38</v>
      </c>
      <c r="J6" s="13">
        <v>0.89930555555555547</v>
      </c>
      <c r="K6" s="2">
        <v>0.90416666666666667</v>
      </c>
      <c r="L6" s="13">
        <v>0.72916666666666663</v>
      </c>
      <c r="M6" s="14">
        <v>0.75208333333333333</v>
      </c>
      <c r="N6" s="4" t="s">
        <v>363</v>
      </c>
      <c r="O6" s="10" t="s">
        <v>314</v>
      </c>
      <c r="P6" s="4">
        <v>1269</v>
      </c>
      <c r="Q6" s="10">
        <v>810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5">
        <v>43668</v>
      </c>
      <c r="B7" s="4" t="s">
        <v>21</v>
      </c>
      <c r="C7" s="4" t="s">
        <v>39</v>
      </c>
      <c r="D7" s="4" t="s">
        <v>23</v>
      </c>
      <c r="E7" s="6" t="s">
        <v>182</v>
      </c>
      <c r="F7" s="4" t="s">
        <v>24</v>
      </c>
      <c r="G7" s="15">
        <v>71500</v>
      </c>
      <c r="H7" s="4" t="s">
        <v>40</v>
      </c>
      <c r="I7" s="4" t="s">
        <v>41</v>
      </c>
      <c r="J7" s="13">
        <v>0.9375</v>
      </c>
      <c r="K7" s="2">
        <v>0.9375</v>
      </c>
      <c r="L7" s="13">
        <v>0.76736111111111116</v>
      </c>
      <c r="M7" s="14">
        <v>0.78749999999999998</v>
      </c>
      <c r="N7" s="3" t="s">
        <v>213</v>
      </c>
      <c r="O7" s="4" t="s">
        <v>362</v>
      </c>
      <c r="P7" s="3">
        <v>1037</v>
      </c>
      <c r="Q7" s="10">
        <v>357</v>
      </c>
      <c r="R7" s="4">
        <v>0</v>
      </c>
      <c r="S7" s="4">
        <v>0</v>
      </c>
      <c r="T7" s="4">
        <v>0</v>
      </c>
      <c r="U7" s="4">
        <v>0</v>
      </c>
    </row>
    <row r="8" spans="1:21" x14ac:dyDescent="0.25">
      <c r="A8" s="5"/>
      <c r="B8" s="6"/>
      <c r="C8" s="3"/>
      <c r="D8" s="3"/>
      <c r="E8" s="6"/>
      <c r="F8" s="3"/>
      <c r="G8" s="7"/>
      <c r="H8" s="3"/>
      <c r="I8" s="3"/>
      <c r="J8" s="11"/>
      <c r="K8" s="2"/>
      <c r="L8" s="11"/>
      <c r="M8" s="14"/>
      <c r="N8" s="3"/>
      <c r="O8" s="3"/>
      <c r="P8" s="3"/>
      <c r="Q8" s="10"/>
      <c r="R8" s="3"/>
      <c r="S8" s="3"/>
      <c r="T8" s="3"/>
      <c r="U8" s="3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topLeftCell="H1" workbookViewId="0">
      <selection sqref="A1:U9"/>
    </sheetView>
  </sheetViews>
  <sheetFormatPr defaultRowHeight="15" x14ac:dyDescent="0.25"/>
  <cols>
    <col min="3" max="3" width="13.42578125" bestFit="1" customWidth="1"/>
    <col min="4" max="4" width="5.7109375" bestFit="1" customWidth="1"/>
    <col min="5" max="5" width="8" bestFit="1" customWidth="1"/>
    <col min="6" max="6" width="18.5703125" bestFit="1" customWidth="1"/>
    <col min="7" max="7" width="9.7109375" bestFit="1" customWidth="1"/>
    <col min="11" max="11" width="10.85546875" bestFit="1" customWidth="1"/>
    <col min="13" max="13" width="10.85546875" bestFit="1" customWidth="1"/>
    <col min="14" max="14" width="17.28515625" customWidth="1"/>
    <col min="15" max="15" width="17" customWidth="1"/>
  </cols>
  <sheetData>
    <row r="1" spans="1:2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2" t="s">
        <v>10</v>
      </c>
      <c r="L1" s="6" t="s">
        <v>11</v>
      </c>
      <c r="M1" s="6" t="s">
        <v>12</v>
      </c>
      <c r="N1" s="3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</row>
    <row r="2" spans="1:21" x14ac:dyDescent="0.25">
      <c r="A2" s="5">
        <v>43669</v>
      </c>
      <c r="B2" s="6" t="s">
        <v>21</v>
      </c>
      <c r="C2" s="6" t="s">
        <v>56</v>
      </c>
      <c r="D2" s="6" t="s">
        <v>23</v>
      </c>
      <c r="E2" s="6" t="s">
        <v>364</v>
      </c>
      <c r="F2" s="6" t="s">
        <v>24</v>
      </c>
      <c r="G2" s="7">
        <v>70000</v>
      </c>
      <c r="H2" s="6" t="s">
        <v>57</v>
      </c>
      <c r="I2" s="6" t="s">
        <v>58</v>
      </c>
      <c r="J2" s="8">
        <v>0.38541666666666669</v>
      </c>
      <c r="K2" s="2">
        <v>0.375</v>
      </c>
      <c r="L2" s="8">
        <v>0.25694444444444448</v>
      </c>
      <c r="M2" s="9">
        <v>0.25833333333333336</v>
      </c>
      <c r="N2" s="3" t="s">
        <v>367</v>
      </c>
      <c r="O2" s="10" t="s">
        <v>366</v>
      </c>
      <c r="P2" s="10">
        <v>702</v>
      </c>
      <c r="Q2" s="10">
        <v>475</v>
      </c>
      <c r="R2" s="6">
        <v>0</v>
      </c>
      <c r="S2" s="6">
        <v>0</v>
      </c>
      <c r="T2" s="6">
        <v>0</v>
      </c>
      <c r="U2" s="6">
        <v>0</v>
      </c>
    </row>
    <row r="3" spans="1:21" x14ac:dyDescent="0.25">
      <c r="A3" s="5">
        <f t="shared" ref="A3:A9" si="0">A2</f>
        <v>43669</v>
      </c>
      <c r="B3" s="6" t="s">
        <v>21</v>
      </c>
      <c r="C3" s="6" t="s">
        <v>59</v>
      </c>
      <c r="D3" s="6" t="s">
        <v>23</v>
      </c>
      <c r="E3" s="6" t="s">
        <v>283</v>
      </c>
      <c r="F3" s="6" t="s">
        <v>24</v>
      </c>
      <c r="G3" s="7">
        <v>71500</v>
      </c>
      <c r="H3" s="6" t="s">
        <v>60</v>
      </c>
      <c r="I3" s="6" t="s">
        <v>61</v>
      </c>
      <c r="J3" s="8">
        <v>0.46180555555555558</v>
      </c>
      <c r="K3" s="2">
        <v>0.46388888888888885</v>
      </c>
      <c r="L3" s="8">
        <v>0.28125</v>
      </c>
      <c r="M3" s="9">
        <v>0.28541666666666665</v>
      </c>
      <c r="N3" s="3" t="s">
        <v>329</v>
      </c>
      <c r="O3" s="10" t="s">
        <v>347</v>
      </c>
      <c r="P3" s="6">
        <v>1468</v>
      </c>
      <c r="Q3" s="10">
        <v>734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5">
        <f t="shared" si="0"/>
        <v>43669</v>
      </c>
      <c r="B4" s="6" t="s">
        <v>21</v>
      </c>
      <c r="C4" s="3" t="s">
        <v>62</v>
      </c>
      <c r="D4" s="3" t="s">
        <v>23</v>
      </c>
      <c r="E4" s="6" t="str">
        <f>E2</f>
        <v>HA-LWL</v>
      </c>
      <c r="F4" s="3" t="s">
        <v>24</v>
      </c>
      <c r="G4" s="7">
        <f>G2</f>
        <v>70000</v>
      </c>
      <c r="H4" s="3" t="s">
        <v>63</v>
      </c>
      <c r="I4" s="3" t="s">
        <v>64</v>
      </c>
      <c r="J4" s="11">
        <v>0.55555555555555558</v>
      </c>
      <c r="K4" s="2">
        <v>0.54791666666666672</v>
      </c>
      <c r="L4" s="11">
        <v>0.40625</v>
      </c>
      <c r="M4" s="2">
        <v>0.41250000000000003</v>
      </c>
      <c r="N4" s="3" t="s">
        <v>370</v>
      </c>
      <c r="O4" s="3" t="s">
        <v>368</v>
      </c>
      <c r="P4" s="3">
        <v>838</v>
      </c>
      <c r="Q4" s="10">
        <v>650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5">
        <f t="shared" si="0"/>
        <v>43669</v>
      </c>
      <c r="B5" s="6" t="s">
        <v>65</v>
      </c>
      <c r="C5" s="3" t="s">
        <v>66</v>
      </c>
      <c r="D5" s="3" t="str">
        <f>D4</f>
        <v>A320</v>
      </c>
      <c r="E5" s="6" t="s">
        <v>365</v>
      </c>
      <c r="F5" s="3" t="s">
        <v>68</v>
      </c>
      <c r="G5" s="7">
        <v>70000</v>
      </c>
      <c r="H5" s="3" t="s">
        <v>69</v>
      </c>
      <c r="I5" s="3" t="s">
        <v>70</v>
      </c>
      <c r="J5" s="11">
        <v>0.4861111111111111</v>
      </c>
      <c r="K5" s="2">
        <v>0.48055555555555557</v>
      </c>
      <c r="L5" s="11">
        <v>0.52777777777777779</v>
      </c>
      <c r="M5" s="2">
        <v>0.53055555555555556</v>
      </c>
      <c r="N5" s="3" t="s">
        <v>369</v>
      </c>
      <c r="O5" s="3" t="s">
        <v>263</v>
      </c>
      <c r="P5" s="3">
        <v>2278</v>
      </c>
      <c r="Q5" s="10">
        <v>1803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5">
        <f t="shared" si="0"/>
        <v>43669</v>
      </c>
      <c r="B6" s="6" t="s">
        <v>21</v>
      </c>
      <c r="C6" s="3" t="s">
        <v>71</v>
      </c>
      <c r="D6" s="3" t="s">
        <v>23</v>
      </c>
      <c r="E6" s="6" t="s">
        <v>283</v>
      </c>
      <c r="F6" s="3" t="s">
        <v>24</v>
      </c>
      <c r="G6" s="7">
        <v>71500</v>
      </c>
      <c r="H6" s="3" t="s">
        <v>72</v>
      </c>
      <c r="I6" s="3" t="s">
        <v>73</v>
      </c>
      <c r="J6" s="17">
        <v>0.70138888888888884</v>
      </c>
      <c r="K6" s="2">
        <v>0.73472222222222217</v>
      </c>
      <c r="L6" s="17">
        <v>0.49305555555555558</v>
      </c>
      <c r="M6" s="18">
        <v>0.52708333333333335</v>
      </c>
      <c r="N6" s="3" t="s">
        <v>372</v>
      </c>
      <c r="O6" s="3" t="s">
        <v>94</v>
      </c>
      <c r="P6" s="19">
        <v>1582</v>
      </c>
      <c r="Q6" s="10">
        <v>814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5">
        <f t="shared" si="0"/>
        <v>43669</v>
      </c>
      <c r="B7" s="6" t="s">
        <v>21</v>
      </c>
      <c r="C7" s="3" t="s">
        <v>74</v>
      </c>
      <c r="D7" s="3" t="s">
        <v>23</v>
      </c>
      <c r="E7" s="6" t="s">
        <v>364</v>
      </c>
      <c r="F7" s="12" t="s">
        <v>24</v>
      </c>
      <c r="G7" s="7">
        <v>70000</v>
      </c>
      <c r="H7" s="6" t="s">
        <v>75</v>
      </c>
      <c r="I7" s="6" t="s">
        <v>76</v>
      </c>
      <c r="J7" s="20">
        <v>0.74652777777777779</v>
      </c>
      <c r="K7" s="2">
        <v>0.73055555555555562</v>
      </c>
      <c r="L7" s="20">
        <v>0.58680555555555558</v>
      </c>
      <c r="M7" s="21">
        <v>0.58680555555555558</v>
      </c>
      <c r="N7" s="3" t="s">
        <v>373</v>
      </c>
      <c r="O7" s="3" t="s">
        <v>371</v>
      </c>
      <c r="P7" s="3">
        <v>1048</v>
      </c>
      <c r="Q7" s="10">
        <v>756</v>
      </c>
      <c r="R7" s="3">
        <v>0</v>
      </c>
      <c r="S7" s="3">
        <v>0</v>
      </c>
      <c r="T7" s="3">
        <v>0</v>
      </c>
      <c r="U7" s="3">
        <v>0</v>
      </c>
    </row>
    <row r="8" spans="1:21" x14ac:dyDescent="0.25">
      <c r="A8" s="5">
        <f t="shared" si="0"/>
        <v>43669</v>
      </c>
      <c r="B8" s="6" t="s">
        <v>21</v>
      </c>
      <c r="C8" s="16" t="s">
        <v>77</v>
      </c>
      <c r="D8" s="16" t="s">
        <v>23</v>
      </c>
      <c r="E8" s="6" t="s">
        <v>283</v>
      </c>
      <c r="F8" s="16" t="s">
        <v>24</v>
      </c>
      <c r="G8" s="7">
        <v>71500</v>
      </c>
      <c r="H8" s="16" t="s">
        <v>78</v>
      </c>
      <c r="I8" s="16" t="s">
        <v>79</v>
      </c>
      <c r="J8" s="20">
        <v>0.94097222222222221</v>
      </c>
      <c r="K8" s="2">
        <v>0.93125000000000002</v>
      </c>
      <c r="L8" s="20">
        <v>0.72222222222222221</v>
      </c>
      <c r="M8" s="21">
        <v>0.78194444444444444</v>
      </c>
      <c r="N8" s="18" t="s">
        <v>376</v>
      </c>
      <c r="O8" s="16" t="s">
        <v>112</v>
      </c>
      <c r="P8" s="16">
        <v>1226</v>
      </c>
      <c r="Q8" s="10">
        <v>1014</v>
      </c>
      <c r="R8" s="16">
        <v>0</v>
      </c>
      <c r="S8" s="16">
        <v>0</v>
      </c>
      <c r="T8" s="16">
        <v>0</v>
      </c>
      <c r="U8" s="16">
        <v>0</v>
      </c>
    </row>
    <row r="9" spans="1:21" x14ac:dyDescent="0.25">
      <c r="A9" s="5">
        <f t="shared" si="0"/>
        <v>43669</v>
      </c>
      <c r="B9" s="3" t="s">
        <v>21</v>
      </c>
      <c r="C9" s="19" t="s">
        <v>80</v>
      </c>
      <c r="D9" s="3" t="s">
        <v>23</v>
      </c>
      <c r="E9" s="6" t="s">
        <v>364</v>
      </c>
      <c r="F9" s="3" t="s">
        <v>24</v>
      </c>
      <c r="G9" s="7">
        <f>G7</f>
        <v>70000</v>
      </c>
      <c r="H9" s="6" t="s">
        <v>81</v>
      </c>
      <c r="I9" s="6" t="s">
        <v>82</v>
      </c>
      <c r="J9" s="17">
        <v>0.94444444444444453</v>
      </c>
      <c r="K9" s="9">
        <v>0.98125000000000007</v>
      </c>
      <c r="L9" s="17">
        <v>0.76736111111111116</v>
      </c>
      <c r="M9" s="18">
        <v>0.77708333333333324</v>
      </c>
      <c r="N9" s="18" t="s">
        <v>375</v>
      </c>
      <c r="O9" s="18" t="s">
        <v>374</v>
      </c>
      <c r="P9" s="19">
        <v>849</v>
      </c>
      <c r="Q9" s="10">
        <v>765</v>
      </c>
      <c r="R9" s="3">
        <v>0</v>
      </c>
      <c r="S9" s="3">
        <v>0</v>
      </c>
      <c r="T9" s="3">
        <v>0</v>
      </c>
      <c r="U9" s="3">
        <v>0</v>
      </c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topLeftCell="D1" workbookViewId="0">
      <selection activeCell="K8" sqref="K8"/>
    </sheetView>
  </sheetViews>
  <sheetFormatPr defaultRowHeight="15" x14ac:dyDescent="0.25"/>
  <cols>
    <col min="3" max="3" width="13.5703125" bestFit="1" customWidth="1"/>
    <col min="6" max="6" width="12.140625" bestFit="1" customWidth="1"/>
    <col min="10" max="11" width="10.85546875" customWidth="1"/>
    <col min="12" max="12" width="9.85546875" customWidth="1"/>
    <col min="14" max="14" width="17.7109375" customWidth="1"/>
    <col min="15" max="15" width="18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5">
        <v>43670</v>
      </c>
      <c r="B2" s="6" t="s">
        <v>21</v>
      </c>
      <c r="C2" s="6" t="s">
        <v>22</v>
      </c>
      <c r="D2" s="6" t="s">
        <v>23</v>
      </c>
      <c r="E2" s="6" t="s">
        <v>360</v>
      </c>
      <c r="F2" s="6" t="s">
        <v>24</v>
      </c>
      <c r="G2" s="7" t="s">
        <v>377</v>
      </c>
      <c r="H2" s="6" t="s">
        <v>25</v>
      </c>
      <c r="I2" s="6" t="s">
        <v>26</v>
      </c>
      <c r="J2" s="8">
        <v>0.45833333333333331</v>
      </c>
      <c r="K2" s="2">
        <v>0.46666666666666662</v>
      </c>
      <c r="L2" s="8">
        <v>0.25694444444444448</v>
      </c>
      <c r="M2" s="9">
        <v>0.26319444444444445</v>
      </c>
      <c r="N2" s="2" t="s">
        <v>305</v>
      </c>
      <c r="O2" s="10" t="s">
        <v>303</v>
      </c>
      <c r="P2" s="10">
        <v>1518</v>
      </c>
      <c r="Q2" s="10">
        <v>799</v>
      </c>
      <c r="R2" s="6">
        <v>1518</v>
      </c>
      <c r="S2" s="6">
        <v>0</v>
      </c>
      <c r="T2" s="6">
        <v>0</v>
      </c>
      <c r="U2" s="6">
        <v>0</v>
      </c>
    </row>
    <row r="3" spans="1:21" x14ac:dyDescent="0.25">
      <c r="A3" s="5">
        <v>43670</v>
      </c>
      <c r="B3" s="6" t="s">
        <v>21</v>
      </c>
      <c r="C3" s="6" t="s">
        <v>27</v>
      </c>
      <c r="D3" s="6" t="s">
        <v>23</v>
      </c>
      <c r="E3" s="6" t="s">
        <v>182</v>
      </c>
      <c r="F3" s="6" t="s">
        <v>24</v>
      </c>
      <c r="G3" s="7">
        <v>71500</v>
      </c>
      <c r="H3" s="6" t="s">
        <v>28</v>
      </c>
      <c r="I3" s="6" t="s">
        <v>29</v>
      </c>
      <c r="J3" s="8">
        <v>0.4861111111111111</v>
      </c>
      <c r="K3" s="2">
        <v>0.4826388888888889</v>
      </c>
      <c r="L3" s="8">
        <v>0.28125</v>
      </c>
      <c r="M3" s="9">
        <v>0.3</v>
      </c>
      <c r="N3" s="2" t="s">
        <v>378</v>
      </c>
      <c r="O3" s="10" t="s">
        <v>379</v>
      </c>
      <c r="P3" s="6">
        <v>1301</v>
      </c>
      <c r="Q3" s="10">
        <v>1144</v>
      </c>
      <c r="R3" s="6">
        <v>1301</v>
      </c>
      <c r="S3" s="6">
        <v>0</v>
      </c>
      <c r="T3" s="6">
        <v>0</v>
      </c>
      <c r="U3" s="6">
        <v>0</v>
      </c>
    </row>
    <row r="4" spans="1:21" x14ac:dyDescent="0.25">
      <c r="A4" s="5">
        <v>43670</v>
      </c>
      <c r="B4" s="3" t="s">
        <v>21</v>
      </c>
      <c r="C4" s="3" t="s">
        <v>99</v>
      </c>
      <c r="D4" s="3" t="s">
        <v>23</v>
      </c>
      <c r="E4" s="6" t="s">
        <v>233</v>
      </c>
      <c r="F4" s="3" t="s">
        <v>24</v>
      </c>
      <c r="G4" s="7">
        <v>71500</v>
      </c>
      <c r="H4" s="3" t="s">
        <v>100</v>
      </c>
      <c r="I4" s="3" t="s">
        <v>101</v>
      </c>
      <c r="J4" s="11">
        <v>0.72569444444444453</v>
      </c>
      <c r="K4" s="2">
        <v>0.74791666666666667</v>
      </c>
      <c r="L4" s="11">
        <v>0.48958333333333331</v>
      </c>
      <c r="M4" s="2">
        <v>0.5131944444444444</v>
      </c>
      <c r="N4" s="3" t="s">
        <v>274</v>
      </c>
      <c r="O4" s="3" t="s">
        <v>89</v>
      </c>
      <c r="P4" s="3">
        <v>1120</v>
      </c>
      <c r="Q4" s="3">
        <v>1563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5">
        <v>43670</v>
      </c>
      <c r="B5" s="3" t="s">
        <v>21</v>
      </c>
      <c r="C5" s="3" t="s">
        <v>33</v>
      </c>
      <c r="D5" s="3" t="s">
        <v>23</v>
      </c>
      <c r="E5" s="6" t="s">
        <v>182</v>
      </c>
      <c r="F5" s="3" t="s">
        <v>24</v>
      </c>
      <c r="G5" s="7">
        <v>71500</v>
      </c>
      <c r="H5" s="3" t="s">
        <v>34</v>
      </c>
      <c r="I5" s="3" t="s">
        <v>35</v>
      </c>
      <c r="J5" s="25">
        <v>0.74652777777777779</v>
      </c>
      <c r="K5" s="2">
        <v>0.77500000000000002</v>
      </c>
      <c r="L5" s="25">
        <v>0.51736111111111105</v>
      </c>
      <c r="M5" s="2">
        <v>0.55208333333333337</v>
      </c>
      <c r="N5" s="3" t="str">
        <f>N4</f>
        <v>177+3 INF</v>
      </c>
      <c r="O5" s="24" t="s">
        <v>266</v>
      </c>
      <c r="P5" s="19">
        <v>1542</v>
      </c>
      <c r="Q5" s="24">
        <v>1387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5">
        <v>43670</v>
      </c>
      <c r="B6" s="24" t="s">
        <v>21</v>
      </c>
      <c r="C6" s="24" t="s">
        <v>36</v>
      </c>
      <c r="D6" s="24" t="s">
        <v>23</v>
      </c>
      <c r="E6" s="6" t="s">
        <v>233</v>
      </c>
      <c r="F6" s="24" t="s">
        <v>24</v>
      </c>
      <c r="G6" s="7">
        <v>71500</v>
      </c>
      <c r="H6" s="24" t="s">
        <v>37</v>
      </c>
      <c r="I6" s="24" t="s">
        <v>38</v>
      </c>
      <c r="J6" s="25">
        <v>0.91666666666666663</v>
      </c>
      <c r="K6" s="2">
        <v>0.94791666666666663</v>
      </c>
      <c r="L6" s="25">
        <v>0.74652777777777779</v>
      </c>
      <c r="M6" s="2">
        <v>0.78263888888888899</v>
      </c>
      <c r="N6" s="3" t="s">
        <v>381</v>
      </c>
      <c r="O6" s="24" t="s">
        <v>337</v>
      </c>
      <c r="P6" s="24">
        <v>1132</v>
      </c>
      <c r="Q6" s="24">
        <v>638</v>
      </c>
      <c r="R6" s="24">
        <v>0</v>
      </c>
      <c r="S6" s="24">
        <v>0</v>
      </c>
      <c r="T6" s="24">
        <v>0</v>
      </c>
      <c r="U6" s="24">
        <v>0</v>
      </c>
    </row>
    <row r="7" spans="1:21" x14ac:dyDescent="0.25">
      <c r="A7" s="5">
        <v>43670</v>
      </c>
      <c r="B7" s="24" t="s">
        <v>21</v>
      </c>
      <c r="C7" s="24" t="s">
        <v>102</v>
      </c>
      <c r="D7" s="24" t="s">
        <v>23</v>
      </c>
      <c r="E7" s="6" t="s">
        <v>182</v>
      </c>
      <c r="F7" s="24" t="s">
        <v>24</v>
      </c>
      <c r="G7" s="26">
        <v>71500</v>
      </c>
      <c r="H7" s="24" t="s">
        <v>103</v>
      </c>
      <c r="I7" s="24" t="s">
        <v>104</v>
      </c>
      <c r="J7" s="25">
        <v>0.95833333333333337</v>
      </c>
      <c r="K7" s="2">
        <v>0.97777777777777775</v>
      </c>
      <c r="L7" s="25">
        <v>0.76736111111111116</v>
      </c>
      <c r="M7" s="2">
        <v>0.80555555555555547</v>
      </c>
      <c r="N7" s="3" t="s">
        <v>382</v>
      </c>
      <c r="O7" s="24" t="s">
        <v>380</v>
      </c>
      <c r="P7" s="24">
        <v>1078</v>
      </c>
      <c r="Q7" s="24">
        <v>1072</v>
      </c>
      <c r="R7" s="24">
        <v>0</v>
      </c>
      <c r="S7" s="24">
        <v>0</v>
      </c>
      <c r="T7" s="24">
        <v>0</v>
      </c>
      <c r="U7" s="24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"/>
  <sheetViews>
    <sheetView workbookViewId="0">
      <selection activeCell="K9" sqref="K9"/>
    </sheetView>
  </sheetViews>
  <sheetFormatPr defaultRowHeight="15" x14ac:dyDescent="0.25"/>
  <cols>
    <col min="2" max="2" width="13.42578125" customWidth="1"/>
    <col min="3" max="3" width="13.42578125" bestFit="1" customWidth="1"/>
    <col min="5" max="6" width="14.85546875" customWidth="1"/>
    <col min="14" max="15" width="18.28515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5">
        <v>43671</v>
      </c>
      <c r="B2" s="6" t="s">
        <v>21</v>
      </c>
      <c r="C2" s="6" t="s">
        <v>56</v>
      </c>
      <c r="D2" s="6" t="s">
        <v>23</v>
      </c>
      <c r="E2" s="6" t="s">
        <v>233</v>
      </c>
      <c r="F2" s="6" t="s">
        <v>24</v>
      </c>
      <c r="G2" s="7">
        <v>71500</v>
      </c>
      <c r="H2" s="6" t="s">
        <v>57</v>
      </c>
      <c r="I2" s="6" t="s">
        <v>58</v>
      </c>
      <c r="J2" s="8">
        <v>0.38541666666666669</v>
      </c>
      <c r="K2" s="2">
        <v>0.37222222222222223</v>
      </c>
      <c r="L2" s="8">
        <v>0.25694444444444448</v>
      </c>
      <c r="M2" s="9">
        <v>0.26250000000000001</v>
      </c>
      <c r="N2" s="2" t="s">
        <v>385</v>
      </c>
      <c r="O2" s="10" t="s">
        <v>383</v>
      </c>
      <c r="P2" s="10">
        <v>362</v>
      </c>
      <c r="Q2" s="10">
        <v>388</v>
      </c>
      <c r="R2" s="6">
        <v>0</v>
      </c>
      <c r="S2" s="6">
        <v>0</v>
      </c>
      <c r="T2" s="6">
        <v>0</v>
      </c>
      <c r="U2" s="6">
        <v>0</v>
      </c>
    </row>
    <row r="3" spans="1:21" x14ac:dyDescent="0.25">
      <c r="A3" s="5">
        <v>43671</v>
      </c>
      <c r="B3" s="6" t="s">
        <v>21</v>
      </c>
      <c r="C3" s="6" t="s">
        <v>22</v>
      </c>
      <c r="D3" s="6" t="s">
        <v>23</v>
      </c>
      <c r="E3" s="6" t="s">
        <v>182</v>
      </c>
      <c r="F3" s="6" t="s">
        <v>24</v>
      </c>
      <c r="G3" s="7">
        <v>71500</v>
      </c>
      <c r="H3" s="6" t="s">
        <v>25</v>
      </c>
      <c r="I3" s="6" t="s">
        <v>26</v>
      </c>
      <c r="J3" s="8">
        <v>0.46180555555555558</v>
      </c>
      <c r="K3" s="2">
        <v>0.4604166666666667</v>
      </c>
      <c r="L3" s="8">
        <v>0.27430555555555552</v>
      </c>
      <c r="M3" s="9">
        <v>0.28194444444444444</v>
      </c>
      <c r="N3" s="2" t="s">
        <v>323</v>
      </c>
      <c r="O3" s="10" t="s">
        <v>384</v>
      </c>
      <c r="P3" s="6">
        <v>1082</v>
      </c>
      <c r="Q3" s="10">
        <v>960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5">
        <v>43671</v>
      </c>
      <c r="B4" s="24" t="s">
        <v>21</v>
      </c>
      <c r="C4" s="24" t="s">
        <v>62</v>
      </c>
      <c r="D4" s="24" t="s">
        <v>23</v>
      </c>
      <c r="E4" s="6" t="s">
        <v>233</v>
      </c>
      <c r="F4" s="24" t="s">
        <v>24</v>
      </c>
      <c r="G4" s="26">
        <v>71500</v>
      </c>
      <c r="H4" s="24" t="s">
        <v>63</v>
      </c>
      <c r="I4" s="24" t="s">
        <v>64</v>
      </c>
      <c r="J4" s="25">
        <v>0.55555555555555558</v>
      </c>
      <c r="K4" s="27">
        <v>0.54027777777777775</v>
      </c>
      <c r="L4" s="25">
        <v>0.40625</v>
      </c>
      <c r="M4" s="27">
        <v>0.41041666666666665</v>
      </c>
      <c r="N4" s="24" t="s">
        <v>387</v>
      </c>
      <c r="O4" s="24" t="s">
        <v>386</v>
      </c>
      <c r="P4" s="24">
        <v>1120</v>
      </c>
      <c r="Q4" s="24">
        <v>481</v>
      </c>
      <c r="R4" s="24">
        <v>0</v>
      </c>
      <c r="S4" s="24">
        <v>0</v>
      </c>
      <c r="T4" s="24">
        <v>0</v>
      </c>
      <c r="U4" s="24">
        <v>0</v>
      </c>
    </row>
    <row r="5" spans="1:21" x14ac:dyDescent="0.25">
      <c r="A5" s="5">
        <v>43671</v>
      </c>
      <c r="B5" s="3" t="s">
        <v>21</v>
      </c>
      <c r="C5" s="3" t="s">
        <v>71</v>
      </c>
      <c r="D5" s="3" t="s">
        <v>23</v>
      </c>
      <c r="E5" s="6" t="s">
        <v>182</v>
      </c>
      <c r="F5" s="3" t="s">
        <v>24</v>
      </c>
      <c r="G5" s="7">
        <v>71500</v>
      </c>
      <c r="H5" s="3" t="s">
        <v>72</v>
      </c>
      <c r="I5" s="3" t="s">
        <v>73</v>
      </c>
      <c r="J5" s="11">
        <v>0.70138888888888884</v>
      </c>
      <c r="K5" s="2">
        <v>0.70972222222222225</v>
      </c>
      <c r="L5" s="11">
        <v>0.49305555555555558</v>
      </c>
      <c r="M5" s="2">
        <v>0.50624999999999998</v>
      </c>
      <c r="N5" s="24" t="s">
        <v>389</v>
      </c>
      <c r="O5" s="3" t="s">
        <v>388</v>
      </c>
      <c r="P5" s="3">
        <v>1496</v>
      </c>
      <c r="Q5" s="3">
        <v>875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5">
        <v>43671</v>
      </c>
      <c r="B6" s="3" t="s">
        <v>21</v>
      </c>
      <c r="C6" s="3" t="s">
        <v>36</v>
      </c>
      <c r="D6" s="3" t="s">
        <v>23</v>
      </c>
      <c r="E6" s="6" t="s">
        <v>233</v>
      </c>
      <c r="F6" s="3" t="s">
        <v>24</v>
      </c>
      <c r="G6" s="7">
        <v>71500</v>
      </c>
      <c r="H6" s="3" t="s">
        <v>37</v>
      </c>
      <c r="I6" s="3" t="s">
        <v>38</v>
      </c>
      <c r="J6" s="25">
        <v>0.75694444444444453</v>
      </c>
      <c r="K6" s="2">
        <v>0.74930555555555556</v>
      </c>
      <c r="L6" s="25">
        <v>0.58680555555555558</v>
      </c>
      <c r="M6" s="18">
        <v>0.58888888888888891</v>
      </c>
      <c r="N6" s="3" t="s">
        <v>125</v>
      </c>
      <c r="O6" s="24" t="s">
        <v>147</v>
      </c>
      <c r="P6" s="19">
        <v>1133</v>
      </c>
      <c r="Q6" s="24">
        <v>955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5">
        <v>43671</v>
      </c>
      <c r="B7" s="24" t="s">
        <v>21</v>
      </c>
      <c r="C7" s="24" t="s">
        <v>27</v>
      </c>
      <c r="D7" s="24" t="s">
        <v>23</v>
      </c>
      <c r="E7" s="6" t="s">
        <v>182</v>
      </c>
      <c r="F7" s="24" t="s">
        <v>24</v>
      </c>
      <c r="G7" s="7">
        <v>71500</v>
      </c>
      <c r="H7" s="24" t="s">
        <v>28</v>
      </c>
      <c r="I7" s="24" t="s">
        <v>29</v>
      </c>
      <c r="J7" s="25">
        <v>0.92708333333333337</v>
      </c>
      <c r="K7" s="2">
        <v>0.91805555555555562</v>
      </c>
      <c r="L7" s="17">
        <v>0.72222222222222221</v>
      </c>
      <c r="M7" s="18">
        <v>0.73749999999999993</v>
      </c>
      <c r="N7" s="3" t="s">
        <v>359</v>
      </c>
      <c r="O7" s="12" t="s">
        <v>390</v>
      </c>
      <c r="P7" s="3">
        <v>1134</v>
      </c>
      <c r="Q7" s="19">
        <v>1263</v>
      </c>
      <c r="R7" s="24">
        <v>0</v>
      </c>
      <c r="S7" s="24">
        <v>0</v>
      </c>
      <c r="T7" s="24">
        <v>0</v>
      </c>
      <c r="U7" s="24">
        <v>0</v>
      </c>
    </row>
    <row r="8" spans="1:21" x14ac:dyDescent="0.25">
      <c r="A8" s="5">
        <v>43671</v>
      </c>
      <c r="B8" s="24" t="s">
        <v>21</v>
      </c>
      <c r="C8" s="24" t="s">
        <v>59</v>
      </c>
      <c r="D8" s="24" t="s">
        <v>23</v>
      </c>
      <c r="E8" s="6" t="s">
        <v>233</v>
      </c>
      <c r="F8" s="24" t="s">
        <v>24</v>
      </c>
      <c r="G8" s="26">
        <v>71500</v>
      </c>
      <c r="H8" s="24" t="s">
        <v>60</v>
      </c>
      <c r="I8" s="24" t="s">
        <v>61</v>
      </c>
      <c r="J8" s="25">
        <v>0.95486111111111116</v>
      </c>
      <c r="K8" s="2">
        <v>0.99097222222222225</v>
      </c>
      <c r="L8" s="25">
        <v>0.77777777777777779</v>
      </c>
      <c r="M8" s="27">
        <v>0.79861111111111116</v>
      </c>
      <c r="N8" s="3" t="s">
        <v>242</v>
      </c>
      <c r="O8" s="24" t="s">
        <v>277</v>
      </c>
      <c r="P8" s="24">
        <v>935</v>
      </c>
      <c r="Q8" s="24">
        <v>855</v>
      </c>
      <c r="R8" s="24">
        <v>0</v>
      </c>
      <c r="S8" s="24">
        <v>0</v>
      </c>
      <c r="T8" s="24">
        <v>0</v>
      </c>
      <c r="U8" s="24">
        <v>0</v>
      </c>
    </row>
    <row r="9" spans="1:21" x14ac:dyDescent="0.25">
      <c r="A9" s="5"/>
      <c r="B9" s="24"/>
      <c r="C9" s="24"/>
      <c r="D9" s="24"/>
      <c r="E9" s="6"/>
      <c r="F9" s="24"/>
      <c r="G9" s="7"/>
      <c r="H9" s="24"/>
      <c r="I9" s="24"/>
      <c r="J9" s="25"/>
      <c r="K9" s="25"/>
      <c r="L9" s="25"/>
      <c r="M9" s="43"/>
      <c r="N9" s="10"/>
      <c r="O9" s="10"/>
      <c r="P9" s="44"/>
      <c r="Q9" s="44"/>
      <c r="R9" s="24"/>
      <c r="S9" s="24"/>
      <c r="T9" s="24"/>
      <c r="U9" s="24"/>
    </row>
    <row r="10" spans="1:21" s="4" customFormat="1" ht="12.75" x14ac:dyDescent="0.2">
      <c r="A10" s="32"/>
      <c r="B10" s="24"/>
      <c r="C10" s="24"/>
      <c r="D10" s="24"/>
      <c r="E10" s="6"/>
      <c r="F10" s="24"/>
      <c r="G10" s="7"/>
      <c r="H10" s="24"/>
      <c r="I10" s="24"/>
      <c r="J10" s="13"/>
      <c r="K10" s="14"/>
      <c r="L10" s="13"/>
      <c r="M10" s="14"/>
      <c r="N10" s="10"/>
      <c r="O10" s="10"/>
      <c r="R10" s="24"/>
      <c r="S10" s="24"/>
      <c r="T10" s="24"/>
      <c r="U10" s="24"/>
    </row>
  </sheetData>
  <pageMargins left="0.7" right="0.7" top="0.75" bottom="0.75" header="0.3" footer="0.3"/>
  <pageSetup paperSize="9" orientation="portrait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topLeftCell="D1" workbookViewId="0">
      <selection activeCell="K7" sqref="K7"/>
    </sheetView>
  </sheetViews>
  <sheetFormatPr defaultRowHeight="15" x14ac:dyDescent="0.25"/>
  <cols>
    <col min="2" max="2" width="13.140625" customWidth="1"/>
    <col min="3" max="3" width="13.5703125" bestFit="1" customWidth="1"/>
    <col min="5" max="5" width="7.42578125" bestFit="1" customWidth="1"/>
    <col min="6" max="6" width="18.140625" customWidth="1"/>
    <col min="7" max="7" width="9.7109375" bestFit="1" customWidth="1"/>
    <col min="13" max="13" width="10" customWidth="1"/>
    <col min="14" max="14" width="18" customWidth="1"/>
    <col min="15" max="15" width="17.855468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5">
        <v>43672</v>
      </c>
      <c r="B2" s="6" t="s">
        <v>21</v>
      </c>
      <c r="C2" s="6" t="s">
        <v>22</v>
      </c>
      <c r="D2" s="6" t="s">
        <v>23</v>
      </c>
      <c r="E2" s="6" t="s">
        <v>182</v>
      </c>
      <c r="F2" s="6" t="s">
        <v>24</v>
      </c>
      <c r="G2" s="7">
        <v>71500</v>
      </c>
      <c r="H2" s="6" t="s">
        <v>25</v>
      </c>
      <c r="I2" s="6" t="s">
        <v>26</v>
      </c>
      <c r="J2" s="8">
        <v>0.45833333333333331</v>
      </c>
      <c r="K2" s="2">
        <v>0.46597222222222223</v>
      </c>
      <c r="L2" s="8">
        <v>0.25694444444444448</v>
      </c>
      <c r="M2" s="9">
        <v>0.26180555555555557</v>
      </c>
      <c r="N2" s="3" t="s">
        <v>89</v>
      </c>
      <c r="O2" s="10" t="s">
        <v>165</v>
      </c>
      <c r="P2" s="10">
        <v>1410</v>
      </c>
      <c r="Q2" s="10">
        <v>991</v>
      </c>
      <c r="R2" s="6">
        <v>0</v>
      </c>
      <c r="S2" s="6">
        <v>0</v>
      </c>
      <c r="T2" s="6">
        <v>0</v>
      </c>
      <c r="U2" s="6">
        <v>0</v>
      </c>
    </row>
    <row r="3" spans="1:21" x14ac:dyDescent="0.25">
      <c r="A3" s="5">
        <v>43672</v>
      </c>
      <c r="B3" s="6" t="s">
        <v>21</v>
      </c>
      <c r="C3" s="6" t="s">
        <v>27</v>
      </c>
      <c r="D3" s="6" t="s">
        <v>23</v>
      </c>
      <c r="E3" s="6" t="s">
        <v>233</v>
      </c>
      <c r="F3" s="6" t="s">
        <v>24</v>
      </c>
      <c r="G3" s="7">
        <v>71500</v>
      </c>
      <c r="H3" s="6" t="s">
        <v>28</v>
      </c>
      <c r="I3" s="6" t="s">
        <v>29</v>
      </c>
      <c r="J3" s="8">
        <v>0.4861111111111111</v>
      </c>
      <c r="K3" s="2">
        <v>0.49305555555555558</v>
      </c>
      <c r="L3" s="8">
        <v>0.28125</v>
      </c>
      <c r="M3" s="9">
        <v>0.29444444444444445</v>
      </c>
      <c r="N3" s="3" t="s">
        <v>392</v>
      </c>
      <c r="O3" s="10" t="s">
        <v>391</v>
      </c>
      <c r="P3" s="6">
        <v>1291</v>
      </c>
      <c r="Q3" s="10">
        <v>1251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5">
        <v>43672</v>
      </c>
      <c r="B4" s="3" t="s">
        <v>21</v>
      </c>
      <c r="C4" s="3" t="s">
        <v>30</v>
      </c>
      <c r="D4" s="3" t="s">
        <v>23</v>
      </c>
      <c r="E4" s="6" t="s">
        <v>182</v>
      </c>
      <c r="F4" s="3" t="s">
        <v>24</v>
      </c>
      <c r="G4" s="7">
        <v>71500</v>
      </c>
      <c r="H4" s="3" t="s">
        <v>31</v>
      </c>
      <c r="I4" s="3" t="s">
        <v>32</v>
      </c>
      <c r="J4" s="11">
        <v>0.70833333333333337</v>
      </c>
      <c r="K4" s="2">
        <v>0.71597222222222223</v>
      </c>
      <c r="L4" s="11">
        <v>0.48958333333333331</v>
      </c>
      <c r="M4" s="2">
        <v>0.5131944444444444</v>
      </c>
      <c r="N4" s="4" t="s">
        <v>395</v>
      </c>
      <c r="O4" s="3" t="s">
        <v>393</v>
      </c>
      <c r="P4" s="3">
        <v>1481</v>
      </c>
      <c r="Q4" s="10">
        <v>1445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5">
        <v>43672</v>
      </c>
      <c r="B5" s="3" t="s">
        <v>21</v>
      </c>
      <c r="C5" s="3" t="s">
        <v>33</v>
      </c>
      <c r="D5" s="3" t="s">
        <v>23</v>
      </c>
      <c r="E5" s="6" t="s">
        <v>233</v>
      </c>
      <c r="F5" s="3" t="s">
        <v>24</v>
      </c>
      <c r="G5" s="7">
        <v>71500</v>
      </c>
      <c r="H5" s="3" t="s">
        <v>34</v>
      </c>
      <c r="I5" s="3" t="s">
        <v>35</v>
      </c>
      <c r="J5" s="11">
        <v>0.74652777777777779</v>
      </c>
      <c r="K5" s="2">
        <v>0.78333333333333333</v>
      </c>
      <c r="L5" s="11">
        <v>0.51736111111111105</v>
      </c>
      <c r="M5" s="2">
        <v>0.53333333333333333</v>
      </c>
      <c r="N5" s="3" t="s">
        <v>127</v>
      </c>
      <c r="O5" s="3" t="s">
        <v>394</v>
      </c>
      <c r="P5" s="3">
        <v>1283</v>
      </c>
      <c r="Q5" s="10">
        <v>1773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5">
        <v>43672</v>
      </c>
      <c r="B6" s="3" t="s">
        <v>21</v>
      </c>
      <c r="C6" s="3" t="s">
        <v>36</v>
      </c>
      <c r="D6" s="3" t="s">
        <v>23</v>
      </c>
      <c r="E6" s="6" t="s">
        <v>182</v>
      </c>
      <c r="F6" s="3" t="s">
        <v>24</v>
      </c>
      <c r="G6" s="7">
        <v>71500</v>
      </c>
      <c r="H6" s="6" t="s">
        <v>37</v>
      </c>
      <c r="I6" s="6" t="s">
        <v>38</v>
      </c>
      <c r="J6" s="13">
        <v>0.89930555555555547</v>
      </c>
      <c r="K6" s="2">
        <v>0.92708333333333337</v>
      </c>
      <c r="L6" s="13">
        <v>0.72916666666666663</v>
      </c>
      <c r="M6" s="14">
        <v>0.77083333333333337</v>
      </c>
      <c r="N6" s="4" t="s">
        <v>215</v>
      </c>
      <c r="O6" s="10" t="s">
        <v>339</v>
      </c>
      <c r="P6" s="4">
        <v>1246</v>
      </c>
      <c r="Q6" s="10">
        <v>1328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5">
        <v>43672</v>
      </c>
      <c r="B7" s="4" t="s">
        <v>21</v>
      </c>
      <c r="C7" s="4" t="s">
        <v>39</v>
      </c>
      <c r="D7" s="4" t="s">
        <v>23</v>
      </c>
      <c r="E7" s="6" t="s">
        <v>233</v>
      </c>
      <c r="F7" s="4" t="s">
        <v>24</v>
      </c>
      <c r="G7" s="15">
        <v>71500</v>
      </c>
      <c r="H7" s="4" t="s">
        <v>40</v>
      </c>
      <c r="I7" s="4" t="s">
        <v>41</v>
      </c>
      <c r="J7" s="13">
        <v>0.9375</v>
      </c>
      <c r="K7" s="2">
        <v>0.97291666666666676</v>
      </c>
      <c r="L7" s="13">
        <v>0.76736111111111116</v>
      </c>
      <c r="M7" s="14">
        <v>0.81944444444444453</v>
      </c>
      <c r="N7" s="3" t="s">
        <v>294</v>
      </c>
      <c r="O7" s="4" t="s">
        <v>396</v>
      </c>
      <c r="P7" s="3">
        <v>1153</v>
      </c>
      <c r="Q7" s="10">
        <v>992</v>
      </c>
      <c r="R7" s="4">
        <v>0</v>
      </c>
      <c r="S7" s="4">
        <v>0</v>
      </c>
      <c r="T7" s="4">
        <v>0</v>
      </c>
      <c r="U7" s="4">
        <v>0</v>
      </c>
    </row>
    <row r="8" spans="1:21" x14ac:dyDescent="0.25">
      <c r="A8" s="5">
        <v>43672</v>
      </c>
      <c r="B8" s="6" t="s">
        <v>65</v>
      </c>
      <c r="C8" s="3" t="s">
        <v>66</v>
      </c>
      <c r="D8" s="3" t="str">
        <f>D7</f>
        <v>A320</v>
      </c>
      <c r="E8" s="6" t="s">
        <v>298</v>
      </c>
      <c r="F8" s="3" t="s">
        <v>68</v>
      </c>
      <c r="G8" s="7">
        <v>77000</v>
      </c>
      <c r="H8" s="3" t="s">
        <v>69</v>
      </c>
      <c r="I8" s="3" t="s">
        <v>70</v>
      </c>
      <c r="J8" s="11">
        <v>0.67708333333333337</v>
      </c>
      <c r="K8" s="2">
        <v>0.68194444444444446</v>
      </c>
      <c r="L8" s="11">
        <v>0.71875</v>
      </c>
      <c r="M8" s="14">
        <v>0.73055555555555562</v>
      </c>
      <c r="N8" s="3" t="s">
        <v>213</v>
      </c>
      <c r="O8" s="3" t="s">
        <v>342</v>
      </c>
      <c r="P8" s="3">
        <v>2114</v>
      </c>
      <c r="Q8" s="10">
        <v>1746</v>
      </c>
      <c r="R8" s="3">
        <v>0</v>
      </c>
      <c r="S8" s="3">
        <v>0</v>
      </c>
      <c r="T8" s="3">
        <v>0</v>
      </c>
      <c r="U8" s="3">
        <v>0</v>
      </c>
    </row>
    <row r="9" spans="1:21" x14ac:dyDescent="0.25">
      <c r="N9" s="3"/>
      <c r="O9" s="3"/>
      <c r="P9" s="3"/>
      <c r="Q9" s="10"/>
    </row>
  </sheetData>
  <pageMargins left="0.7" right="0.7" top="0.75" bottom="0.75" header="0.3" footer="0.3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topLeftCell="G1" workbookViewId="0">
      <selection activeCell="P17" sqref="P17"/>
    </sheetView>
  </sheetViews>
  <sheetFormatPr defaultRowHeight="15" x14ac:dyDescent="0.25"/>
  <cols>
    <col min="1" max="1" width="7.85546875" bestFit="1" customWidth="1"/>
    <col min="3" max="3" width="13.42578125" bestFit="1" customWidth="1"/>
    <col min="5" max="5" width="7.42578125" bestFit="1" customWidth="1"/>
    <col min="6" max="6" width="12.140625" bestFit="1" customWidth="1"/>
    <col min="7" max="9" width="9.7109375" bestFit="1" customWidth="1"/>
    <col min="10" max="10" width="11" bestFit="1" customWidth="1"/>
    <col min="11" max="11" width="10.85546875" bestFit="1" customWidth="1"/>
    <col min="12" max="12" width="11.85546875" customWidth="1"/>
    <col min="13" max="13" width="12.85546875" customWidth="1"/>
    <col min="14" max="14" width="18.7109375" customWidth="1"/>
    <col min="15" max="15" width="19.42578125" customWidth="1"/>
    <col min="16" max="16" width="10.28515625" customWidth="1"/>
  </cols>
  <sheetData>
    <row r="1" spans="1:2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2" t="s">
        <v>10</v>
      </c>
      <c r="L1" s="6" t="s">
        <v>11</v>
      </c>
      <c r="M1" s="6" t="s">
        <v>12</v>
      </c>
      <c r="N1" s="3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</row>
    <row r="2" spans="1:21" x14ac:dyDescent="0.25">
      <c r="A2" s="5">
        <v>43673</v>
      </c>
      <c r="B2" s="6" t="s">
        <v>21</v>
      </c>
      <c r="C2" s="6" t="s">
        <v>56</v>
      </c>
      <c r="D2" s="6" t="s">
        <v>23</v>
      </c>
      <c r="E2" s="6" t="s">
        <v>182</v>
      </c>
      <c r="F2" s="6" t="s">
        <v>24</v>
      </c>
      <c r="G2" s="7">
        <v>71500</v>
      </c>
      <c r="H2" s="6" t="s">
        <v>57</v>
      </c>
      <c r="I2" s="6" t="s">
        <v>58</v>
      </c>
      <c r="J2" s="8">
        <v>0.38541666666666669</v>
      </c>
      <c r="K2" s="2">
        <v>0.3659722222222222</v>
      </c>
      <c r="L2" s="8">
        <v>0.25694444444444448</v>
      </c>
      <c r="M2" s="9">
        <v>0.25208333333333333</v>
      </c>
      <c r="N2" s="3" t="s">
        <v>366</v>
      </c>
      <c r="O2" s="10" t="s">
        <v>397</v>
      </c>
      <c r="P2" s="10">
        <v>540</v>
      </c>
      <c r="Q2" s="10">
        <v>485</v>
      </c>
      <c r="R2" s="6">
        <v>0</v>
      </c>
      <c r="S2" s="6">
        <v>0</v>
      </c>
      <c r="T2" s="6">
        <v>0</v>
      </c>
      <c r="U2" s="6">
        <v>0</v>
      </c>
    </row>
    <row r="3" spans="1:21" x14ac:dyDescent="0.25">
      <c r="A3" s="5">
        <v>43673</v>
      </c>
      <c r="B3" s="6" t="s">
        <v>21</v>
      </c>
      <c r="C3" s="6" t="s">
        <v>59</v>
      </c>
      <c r="D3" s="6" t="s">
        <v>23</v>
      </c>
      <c r="E3" s="6" t="s">
        <v>233</v>
      </c>
      <c r="F3" s="6" t="s">
        <v>24</v>
      </c>
      <c r="G3" s="7">
        <v>71500</v>
      </c>
      <c r="H3" s="6" t="s">
        <v>60</v>
      </c>
      <c r="I3" s="6" t="s">
        <v>61</v>
      </c>
      <c r="J3" s="8">
        <v>0.46180555555555558</v>
      </c>
      <c r="K3" s="2">
        <v>0.46388888888888885</v>
      </c>
      <c r="L3" s="8">
        <v>0.28125</v>
      </c>
      <c r="M3" s="9">
        <v>0.29722222222222222</v>
      </c>
      <c r="N3" s="3" t="s">
        <v>262</v>
      </c>
      <c r="O3" s="10" t="s">
        <v>107</v>
      </c>
      <c r="P3" s="6">
        <v>1281</v>
      </c>
      <c r="Q3" s="10">
        <v>1104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5">
        <v>43673</v>
      </c>
      <c r="B4" s="6" t="s">
        <v>21</v>
      </c>
      <c r="C4" s="3" t="s">
        <v>62</v>
      </c>
      <c r="D4" s="3" t="s">
        <v>23</v>
      </c>
      <c r="E4" s="6" t="s">
        <v>182</v>
      </c>
      <c r="F4" s="3" t="s">
        <v>24</v>
      </c>
      <c r="G4" s="7">
        <v>71500</v>
      </c>
      <c r="H4" s="3" t="s">
        <v>63</v>
      </c>
      <c r="I4" s="3" t="s">
        <v>64</v>
      </c>
      <c r="J4" s="11">
        <v>0.55555555555555558</v>
      </c>
      <c r="K4" s="2">
        <v>0.56458333333333333</v>
      </c>
      <c r="L4" s="11">
        <v>0.40625</v>
      </c>
      <c r="M4" s="2">
        <v>0.41180555555555554</v>
      </c>
      <c r="N4" s="2" t="s">
        <v>222</v>
      </c>
      <c r="O4" s="3" t="s">
        <v>262</v>
      </c>
      <c r="P4" s="3">
        <v>1580</v>
      </c>
      <c r="Q4" s="10">
        <v>929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5">
        <v>43673</v>
      </c>
      <c r="B5" s="6" t="s">
        <v>21</v>
      </c>
      <c r="C5" s="3" t="s">
        <v>71</v>
      </c>
      <c r="D5" s="3" t="s">
        <v>23</v>
      </c>
      <c r="E5" s="6" t="s">
        <v>233</v>
      </c>
      <c r="F5" s="3" t="s">
        <v>24</v>
      </c>
      <c r="G5" s="7">
        <v>71500</v>
      </c>
      <c r="H5" s="3" t="s">
        <v>72</v>
      </c>
      <c r="I5" s="3" t="s">
        <v>73</v>
      </c>
      <c r="J5" s="17">
        <v>0.70138888888888884</v>
      </c>
      <c r="K5" s="2">
        <v>0.70972222222222225</v>
      </c>
      <c r="L5" s="17">
        <v>0.49305555555555558</v>
      </c>
      <c r="M5" s="18">
        <v>0.50138888888888888</v>
      </c>
      <c r="N5" s="3" t="s">
        <v>181</v>
      </c>
      <c r="O5" s="3" t="s">
        <v>126</v>
      </c>
      <c r="P5" s="19">
        <v>1395</v>
      </c>
      <c r="Q5" s="10">
        <v>1102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5">
        <v>43673</v>
      </c>
      <c r="B6" s="6" t="s">
        <v>21</v>
      </c>
      <c r="C6" s="3" t="s">
        <v>74</v>
      </c>
      <c r="D6" s="3" t="s">
        <v>23</v>
      </c>
      <c r="E6" s="6" t="s">
        <v>182</v>
      </c>
      <c r="F6" s="3" t="s">
        <v>24</v>
      </c>
      <c r="G6" s="7">
        <v>71500</v>
      </c>
      <c r="H6" s="6" t="s">
        <v>75</v>
      </c>
      <c r="I6" s="6" t="s">
        <v>76</v>
      </c>
      <c r="J6" s="20">
        <v>0.74652777777777779</v>
      </c>
      <c r="K6" s="2">
        <v>0.7597222222222223</v>
      </c>
      <c r="L6" s="20">
        <v>0.58680555555555558</v>
      </c>
      <c r="M6" s="21">
        <v>0.60416666666666663</v>
      </c>
      <c r="N6" s="3" t="s">
        <v>398</v>
      </c>
      <c r="O6" s="3" t="s">
        <v>119</v>
      </c>
      <c r="P6" s="3">
        <v>1282</v>
      </c>
      <c r="Q6" s="10">
        <v>972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5">
        <v>43673</v>
      </c>
      <c r="B7" s="6" t="s">
        <v>21</v>
      </c>
      <c r="C7" s="16" t="s">
        <v>77</v>
      </c>
      <c r="D7" s="16" t="s">
        <v>23</v>
      </c>
      <c r="E7" s="6" t="s">
        <v>233</v>
      </c>
      <c r="F7" s="16" t="s">
        <v>24</v>
      </c>
      <c r="G7" s="22">
        <v>71500</v>
      </c>
      <c r="H7" s="16" t="s">
        <v>78</v>
      </c>
      <c r="I7" s="16" t="s">
        <v>79</v>
      </c>
      <c r="J7" s="20">
        <v>0.94097222222222221</v>
      </c>
      <c r="K7" s="37"/>
      <c r="L7" s="20">
        <v>0.72222222222222221</v>
      </c>
      <c r="M7" s="38"/>
      <c r="N7" s="49" t="s">
        <v>399</v>
      </c>
      <c r="O7" s="34"/>
      <c r="P7" s="34"/>
      <c r="Q7" s="40"/>
      <c r="R7" s="16">
        <v>0</v>
      </c>
      <c r="S7" s="16">
        <v>0</v>
      </c>
      <c r="T7" s="16">
        <v>0</v>
      </c>
      <c r="U7" s="16">
        <v>0</v>
      </c>
    </row>
    <row r="8" spans="1:21" x14ac:dyDescent="0.25">
      <c r="A8" s="5">
        <v>43673</v>
      </c>
      <c r="B8" s="3" t="s">
        <v>21</v>
      </c>
      <c r="C8" s="19" t="s">
        <v>80</v>
      </c>
      <c r="D8" s="3" t="s">
        <v>23</v>
      </c>
      <c r="E8" s="6" t="s">
        <v>182</v>
      </c>
      <c r="F8" s="3" t="s">
        <v>24</v>
      </c>
      <c r="G8" s="7">
        <v>71500</v>
      </c>
      <c r="H8" s="6" t="s">
        <v>81</v>
      </c>
      <c r="I8" s="6" t="s">
        <v>82</v>
      </c>
      <c r="J8" s="17">
        <v>0.94444444444444453</v>
      </c>
      <c r="K8" s="9">
        <v>2.7777777777777779E-3</v>
      </c>
      <c r="L8" s="17">
        <v>0.76736111111111116</v>
      </c>
      <c r="M8" s="18">
        <v>0.83680555555555547</v>
      </c>
      <c r="N8" s="18" t="s">
        <v>349</v>
      </c>
      <c r="O8" s="18" t="s">
        <v>126</v>
      </c>
      <c r="P8" s="19">
        <v>1046</v>
      </c>
      <c r="Q8" s="10">
        <v>1227</v>
      </c>
      <c r="R8" s="3">
        <v>0</v>
      </c>
      <c r="S8" s="3">
        <v>0</v>
      </c>
      <c r="T8" s="3">
        <v>0</v>
      </c>
      <c r="U8" s="3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K7" sqref="K7"/>
    </sheetView>
  </sheetViews>
  <sheetFormatPr defaultRowHeight="15" x14ac:dyDescent="0.25"/>
  <cols>
    <col min="1" max="1" width="7.85546875" bestFit="1" customWidth="1"/>
    <col min="3" max="3" width="13.5703125" bestFit="1" customWidth="1"/>
    <col min="4" max="4" width="5.7109375" bestFit="1" customWidth="1"/>
    <col min="5" max="5" width="7.85546875" bestFit="1" customWidth="1"/>
    <col min="6" max="6" width="12.140625" bestFit="1" customWidth="1"/>
    <col min="14" max="14" width="18.28515625" customWidth="1"/>
    <col min="15" max="15" width="18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5">
        <v>43674</v>
      </c>
      <c r="B2" s="6" t="s">
        <v>21</v>
      </c>
      <c r="C2" s="6" t="s">
        <v>22</v>
      </c>
      <c r="D2" s="6" t="s">
        <v>23</v>
      </c>
      <c r="E2" s="6" t="s">
        <v>283</v>
      </c>
      <c r="F2" s="6" t="s">
        <v>24</v>
      </c>
      <c r="G2" s="7">
        <v>71500</v>
      </c>
      <c r="H2" s="6" t="s">
        <v>25</v>
      </c>
      <c r="I2" s="6" t="s">
        <v>26</v>
      </c>
      <c r="J2" s="8">
        <v>0.45833333333333331</v>
      </c>
      <c r="K2" s="2">
        <v>0.48194444444444445</v>
      </c>
      <c r="L2" s="8">
        <v>0.25694444444444448</v>
      </c>
      <c r="M2" s="9">
        <v>0.27361111111111108</v>
      </c>
      <c r="N2" s="4" t="s">
        <v>262</v>
      </c>
      <c r="O2" s="10" t="s">
        <v>400</v>
      </c>
      <c r="P2" s="4">
        <v>1344</v>
      </c>
      <c r="Q2" s="10">
        <v>984</v>
      </c>
      <c r="R2" s="6">
        <v>0</v>
      </c>
      <c r="S2" s="6">
        <v>0</v>
      </c>
      <c r="T2" s="6">
        <v>0</v>
      </c>
      <c r="U2" s="6">
        <v>0</v>
      </c>
    </row>
    <row r="3" spans="1:21" x14ac:dyDescent="0.25">
      <c r="A3" s="5">
        <v>43674</v>
      </c>
      <c r="B3" s="6" t="s">
        <v>21</v>
      </c>
      <c r="C3" s="6" t="s">
        <v>27</v>
      </c>
      <c r="D3" s="6" t="s">
        <v>23</v>
      </c>
      <c r="E3" s="6" t="s">
        <v>233</v>
      </c>
      <c r="F3" s="6" t="s">
        <v>24</v>
      </c>
      <c r="G3" s="7">
        <v>71500</v>
      </c>
      <c r="H3" s="6" t="s">
        <v>28</v>
      </c>
      <c r="I3" s="6" t="s">
        <v>29</v>
      </c>
      <c r="J3" s="8">
        <v>0.4861111111111111</v>
      </c>
      <c r="K3" s="2">
        <v>0.5083333333333333</v>
      </c>
      <c r="L3" s="8">
        <v>0.28125</v>
      </c>
      <c r="M3" s="9">
        <v>0.29444444444444445</v>
      </c>
      <c r="N3" s="2" t="s">
        <v>349</v>
      </c>
      <c r="O3" s="10" t="s">
        <v>401</v>
      </c>
      <c r="P3" s="10">
        <v>1046</v>
      </c>
      <c r="Q3" s="10">
        <v>1594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5">
        <v>43674</v>
      </c>
      <c r="B4" s="3" t="s">
        <v>21</v>
      </c>
      <c r="C4" s="3" t="s">
        <v>99</v>
      </c>
      <c r="D4" s="3" t="s">
        <v>23</v>
      </c>
      <c r="E4" s="6" t="str">
        <f>E2</f>
        <v>HA-LPJ</v>
      </c>
      <c r="F4" s="3" t="s">
        <v>24</v>
      </c>
      <c r="G4" s="7">
        <v>71500</v>
      </c>
      <c r="H4" s="3" t="s">
        <v>100</v>
      </c>
      <c r="I4" s="3" t="s">
        <v>101</v>
      </c>
      <c r="J4" s="11">
        <v>0.72569444444444453</v>
      </c>
      <c r="K4" s="2">
        <v>0.77222222222222225</v>
      </c>
      <c r="L4" s="11">
        <v>0.48958333333333331</v>
      </c>
      <c r="M4" s="2">
        <v>0.52430555555555558</v>
      </c>
      <c r="N4" s="3" t="s">
        <v>207</v>
      </c>
      <c r="O4" s="3" t="s">
        <v>90</v>
      </c>
      <c r="P4" s="3">
        <v>1684</v>
      </c>
      <c r="Q4" s="10">
        <v>1345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5">
        <v>43674</v>
      </c>
      <c r="B5" s="3" t="s">
        <v>21</v>
      </c>
      <c r="C5" s="3" t="s">
        <v>33</v>
      </c>
      <c r="D5" s="3" t="s">
        <v>23</v>
      </c>
      <c r="E5" s="6" t="str">
        <f>E3</f>
        <v>HALWO</v>
      </c>
      <c r="F5" s="3" t="s">
        <v>24</v>
      </c>
      <c r="G5" s="7">
        <v>71500</v>
      </c>
      <c r="H5" s="3" t="s">
        <v>34</v>
      </c>
      <c r="I5" s="3" t="s">
        <v>35</v>
      </c>
      <c r="J5" s="11">
        <v>0.74652777777777779</v>
      </c>
      <c r="K5" s="2">
        <v>0.82430555555555562</v>
      </c>
      <c r="L5" s="11">
        <v>0.51736111111111105</v>
      </c>
      <c r="M5" s="2">
        <v>0.59583333333333333</v>
      </c>
      <c r="N5" s="3" t="s">
        <v>403</v>
      </c>
      <c r="O5" s="3" t="s">
        <v>402</v>
      </c>
      <c r="P5" s="3">
        <v>1109</v>
      </c>
      <c r="Q5" s="10">
        <v>1655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5">
        <v>43674</v>
      </c>
      <c r="B6" s="3" t="s">
        <v>21</v>
      </c>
      <c r="C6" s="3" t="s">
        <v>36</v>
      </c>
      <c r="D6" s="3" t="s">
        <v>23</v>
      </c>
      <c r="E6" s="6" t="str">
        <f>E4</f>
        <v>HA-LPJ</v>
      </c>
      <c r="F6" s="3" t="s">
        <v>24</v>
      </c>
      <c r="G6" s="7">
        <v>71500</v>
      </c>
      <c r="H6" s="6" t="s">
        <v>37</v>
      </c>
      <c r="I6" s="6" t="s">
        <v>38</v>
      </c>
      <c r="J6" s="13">
        <v>0.91666666666666663</v>
      </c>
      <c r="K6" s="2">
        <v>0.96388888888888891</v>
      </c>
      <c r="L6" s="13">
        <v>0.74652777777777779</v>
      </c>
      <c r="M6" s="14">
        <v>0.80902777777777779</v>
      </c>
      <c r="N6" s="3" t="s">
        <v>349</v>
      </c>
      <c r="O6" s="3" t="s">
        <v>178</v>
      </c>
      <c r="P6" s="3">
        <v>1406</v>
      </c>
      <c r="Q6" s="10">
        <v>924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5">
        <v>43674</v>
      </c>
      <c r="B7" s="3" t="s">
        <v>21</v>
      </c>
      <c r="C7" s="3" t="s">
        <v>102</v>
      </c>
      <c r="D7" s="3" t="s">
        <v>23</v>
      </c>
      <c r="E7" s="6" t="str">
        <f>E5</f>
        <v>HALWO</v>
      </c>
      <c r="F7" s="3" t="s">
        <v>24</v>
      </c>
      <c r="G7" s="7">
        <v>71500</v>
      </c>
      <c r="H7" s="6" t="s">
        <v>103</v>
      </c>
      <c r="I7" s="6" t="s">
        <v>104</v>
      </c>
      <c r="J7" s="13">
        <v>0.95833333333333337</v>
      </c>
      <c r="K7" s="14">
        <v>3.4027777777777775E-2</v>
      </c>
      <c r="L7" s="13">
        <v>0.76736111111111116</v>
      </c>
      <c r="M7" s="14">
        <v>0.86458333333333337</v>
      </c>
      <c r="N7" s="4" t="s">
        <v>314</v>
      </c>
      <c r="O7" s="4" t="s">
        <v>263</v>
      </c>
      <c r="P7" s="3">
        <v>1501</v>
      </c>
      <c r="Q7" s="10">
        <v>995</v>
      </c>
      <c r="R7" s="3">
        <v>0</v>
      </c>
      <c r="S7" s="3">
        <v>0</v>
      </c>
      <c r="T7" s="3">
        <v>0</v>
      </c>
      <c r="U7" s="3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topLeftCell="D1" workbookViewId="0">
      <selection activeCell="K8" sqref="K8"/>
    </sheetView>
  </sheetViews>
  <sheetFormatPr defaultRowHeight="15" x14ac:dyDescent="0.25"/>
  <cols>
    <col min="2" max="2" width="13.7109375" bestFit="1" customWidth="1"/>
    <col min="3" max="3" width="13.5703125" bestFit="1" customWidth="1"/>
    <col min="4" max="4" width="5.7109375" bestFit="1" customWidth="1"/>
    <col min="5" max="5" width="7.85546875" bestFit="1" customWidth="1"/>
    <col min="6" max="6" width="13.7109375" customWidth="1"/>
    <col min="14" max="14" width="17.140625" customWidth="1"/>
    <col min="15" max="15" width="18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5">
        <v>43675</v>
      </c>
      <c r="B2" s="6" t="s">
        <v>21</v>
      </c>
      <c r="C2" s="6" t="s">
        <v>22</v>
      </c>
      <c r="D2" s="6" t="s">
        <v>23</v>
      </c>
      <c r="E2" s="6" t="s">
        <v>283</v>
      </c>
      <c r="F2" s="6" t="s">
        <v>24</v>
      </c>
      <c r="G2" s="7">
        <v>71500</v>
      </c>
      <c r="H2" s="6" t="s">
        <v>25</v>
      </c>
      <c r="I2" s="6" t="s">
        <v>26</v>
      </c>
      <c r="J2" s="8">
        <v>0.45833333333333331</v>
      </c>
      <c r="K2" s="2">
        <v>0.47083333333333338</v>
      </c>
      <c r="L2" s="8">
        <v>0.25694444444444448</v>
      </c>
      <c r="M2" s="9">
        <v>0.26597222222222222</v>
      </c>
      <c r="N2" s="3" t="s">
        <v>398</v>
      </c>
      <c r="O2" s="10" t="s">
        <v>336</v>
      </c>
      <c r="P2" s="10">
        <v>1380</v>
      </c>
      <c r="Q2" s="10">
        <v>940</v>
      </c>
      <c r="R2" s="6">
        <v>0</v>
      </c>
      <c r="S2" s="6">
        <v>0</v>
      </c>
      <c r="T2" s="6">
        <v>0</v>
      </c>
      <c r="U2" s="6">
        <v>0</v>
      </c>
    </row>
    <row r="3" spans="1:21" x14ac:dyDescent="0.25">
      <c r="A3" s="5">
        <f t="shared" ref="A3:A8" si="0">A2</f>
        <v>43675</v>
      </c>
      <c r="B3" s="6" t="s">
        <v>21</v>
      </c>
      <c r="C3" s="6" t="s">
        <v>27</v>
      </c>
      <c r="D3" s="6" t="s">
        <v>23</v>
      </c>
      <c r="E3" s="6" t="s">
        <v>404</v>
      </c>
      <c r="F3" s="6" t="s">
        <v>24</v>
      </c>
      <c r="G3" s="7">
        <v>71500</v>
      </c>
      <c r="H3" s="6" t="s">
        <v>28</v>
      </c>
      <c r="I3" s="6" t="s">
        <v>29</v>
      </c>
      <c r="J3" s="8">
        <v>0.4861111111111111</v>
      </c>
      <c r="K3" s="2">
        <v>0.4916666666666667</v>
      </c>
      <c r="L3" s="8">
        <v>0.28125</v>
      </c>
      <c r="M3" s="9">
        <v>0.29236111111111113</v>
      </c>
      <c r="N3" s="3" t="s">
        <v>410</v>
      </c>
      <c r="O3" s="10" t="s">
        <v>274</v>
      </c>
      <c r="P3" s="6">
        <v>1240</v>
      </c>
      <c r="Q3" s="10">
        <v>1474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5">
        <f t="shared" si="0"/>
        <v>43675</v>
      </c>
      <c r="B4" s="3" t="s">
        <v>21</v>
      </c>
      <c r="C4" s="3" t="s">
        <v>30</v>
      </c>
      <c r="D4" s="3" t="s">
        <v>23</v>
      </c>
      <c r="E4" s="6" t="s">
        <v>409</v>
      </c>
      <c r="F4" s="3" t="s">
        <v>24</v>
      </c>
      <c r="G4" s="7">
        <v>70000</v>
      </c>
      <c r="H4" s="3" t="s">
        <v>31</v>
      </c>
      <c r="I4" s="3" t="s">
        <v>32</v>
      </c>
      <c r="J4" s="11">
        <v>0.70833333333333337</v>
      </c>
      <c r="K4" s="2">
        <v>0.71666666666666667</v>
      </c>
      <c r="L4" s="11">
        <v>0.48958333333333331</v>
      </c>
      <c r="M4" s="2">
        <v>0.52361111111111114</v>
      </c>
      <c r="N4" s="4" t="s">
        <v>289</v>
      </c>
      <c r="O4" s="3" t="s">
        <v>411</v>
      </c>
      <c r="P4" s="3">
        <v>1120</v>
      </c>
      <c r="Q4" s="10">
        <v>1642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5">
        <f t="shared" si="0"/>
        <v>43675</v>
      </c>
      <c r="B5" s="3" t="s">
        <v>21</v>
      </c>
      <c r="C5" s="3" t="s">
        <v>33</v>
      </c>
      <c r="D5" s="3" t="s">
        <v>23</v>
      </c>
      <c r="E5" s="6" t="str">
        <f>E3</f>
        <v>HA-LWO</v>
      </c>
      <c r="F5" s="3" t="s">
        <v>24</v>
      </c>
      <c r="G5" s="7">
        <v>71500</v>
      </c>
      <c r="H5" s="3" t="s">
        <v>34</v>
      </c>
      <c r="I5" s="3" t="s">
        <v>35</v>
      </c>
      <c r="J5" s="11">
        <v>0.74652777777777779</v>
      </c>
      <c r="K5" s="2">
        <v>0.74305555555555547</v>
      </c>
      <c r="L5" s="11">
        <v>0.51736111111111105</v>
      </c>
      <c r="M5" s="2">
        <v>0.53125</v>
      </c>
      <c r="N5" s="3" t="s">
        <v>391</v>
      </c>
      <c r="O5" s="3" t="s">
        <v>215</v>
      </c>
      <c r="P5" s="3">
        <v>999</v>
      </c>
      <c r="Q5" s="10">
        <v>1523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5">
        <f t="shared" si="0"/>
        <v>43675</v>
      </c>
      <c r="B6" s="3" t="s">
        <v>21</v>
      </c>
      <c r="C6" s="3" t="s">
        <v>36</v>
      </c>
      <c r="D6" s="3" t="s">
        <v>23</v>
      </c>
      <c r="E6" s="6" t="s">
        <v>409</v>
      </c>
      <c r="F6" s="12" t="s">
        <v>24</v>
      </c>
      <c r="G6" s="7">
        <v>70000</v>
      </c>
      <c r="H6" s="6" t="s">
        <v>37</v>
      </c>
      <c r="I6" s="6" t="s">
        <v>38</v>
      </c>
      <c r="J6" s="13">
        <v>0.89930555555555547</v>
      </c>
      <c r="K6" s="2">
        <v>0.91319444444444453</v>
      </c>
      <c r="L6" s="13">
        <v>0.72916666666666663</v>
      </c>
      <c r="M6" s="14">
        <v>0.75902777777777775</v>
      </c>
      <c r="N6" s="4" t="s">
        <v>164</v>
      </c>
      <c r="O6" s="10" t="s">
        <v>293</v>
      </c>
      <c r="P6" s="4">
        <v>1253</v>
      </c>
      <c r="Q6" s="10">
        <v>885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5">
        <f t="shared" si="0"/>
        <v>43675</v>
      </c>
      <c r="B7" s="4" t="s">
        <v>21</v>
      </c>
      <c r="C7" s="4" t="s">
        <v>39</v>
      </c>
      <c r="D7" s="4" t="s">
        <v>23</v>
      </c>
      <c r="E7" s="6" t="str">
        <f>E5</f>
        <v>HA-LWO</v>
      </c>
      <c r="F7" s="4" t="s">
        <v>24</v>
      </c>
      <c r="G7" s="15">
        <v>71500</v>
      </c>
      <c r="H7" s="4" t="s">
        <v>40</v>
      </c>
      <c r="I7" s="4" t="s">
        <v>41</v>
      </c>
      <c r="J7" s="13">
        <v>0.9375</v>
      </c>
      <c r="K7" s="2">
        <v>0.93402777777777779</v>
      </c>
      <c r="L7" s="13">
        <v>0.76736111111111116</v>
      </c>
      <c r="M7" s="14">
        <v>0.77569444444444446</v>
      </c>
      <c r="N7" s="3" t="s">
        <v>203</v>
      </c>
      <c r="O7" s="4" t="s">
        <v>179</v>
      </c>
      <c r="P7" s="3">
        <v>888</v>
      </c>
      <c r="Q7" s="10">
        <v>832</v>
      </c>
      <c r="R7" s="4">
        <v>0</v>
      </c>
      <c r="S7" s="4">
        <v>0</v>
      </c>
      <c r="T7" s="4">
        <v>0</v>
      </c>
      <c r="U7" s="4">
        <v>0</v>
      </c>
    </row>
    <row r="8" spans="1:21" x14ac:dyDescent="0.25">
      <c r="A8" s="5">
        <f t="shared" si="0"/>
        <v>43675</v>
      </c>
      <c r="B8" s="6" t="s">
        <v>168</v>
      </c>
      <c r="C8" s="3" t="s">
        <v>405</v>
      </c>
      <c r="D8" s="3" t="s">
        <v>406</v>
      </c>
      <c r="E8" s="6" t="s">
        <v>407</v>
      </c>
      <c r="F8" s="3" t="s">
        <v>177</v>
      </c>
      <c r="G8" s="7">
        <v>7000</v>
      </c>
      <c r="H8" s="3" t="s">
        <v>408</v>
      </c>
      <c r="I8" s="3" t="s">
        <v>408</v>
      </c>
      <c r="J8" s="11">
        <v>0.46180555555555558</v>
      </c>
      <c r="K8" s="2">
        <v>0.44861111111111113</v>
      </c>
      <c r="L8" s="11">
        <v>0.4826388888888889</v>
      </c>
      <c r="M8" s="14">
        <v>0.46736111111111112</v>
      </c>
      <c r="N8" s="3">
        <v>0</v>
      </c>
      <c r="O8" s="3">
        <v>1</v>
      </c>
      <c r="P8" s="3">
        <v>0</v>
      </c>
      <c r="Q8" s="10">
        <v>0</v>
      </c>
      <c r="R8" s="3">
        <v>0</v>
      </c>
      <c r="S8" s="3">
        <v>0</v>
      </c>
      <c r="T8" s="3">
        <v>0</v>
      </c>
      <c r="U8" s="3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"/>
  <sheetViews>
    <sheetView workbookViewId="0">
      <selection activeCell="D18" sqref="D18"/>
    </sheetView>
  </sheetViews>
  <sheetFormatPr defaultRowHeight="15" x14ac:dyDescent="0.25"/>
  <cols>
    <col min="2" max="2" width="21.140625" bestFit="1" customWidth="1"/>
    <col min="3" max="3" width="13.42578125" bestFit="1" customWidth="1"/>
    <col min="4" max="4" width="5.7109375" bestFit="1" customWidth="1"/>
    <col min="5" max="5" width="8" bestFit="1" customWidth="1"/>
    <col min="6" max="6" width="18.570312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</cols>
  <sheetData>
    <row r="1" spans="1:2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2" t="s">
        <v>10</v>
      </c>
      <c r="L1" s="6" t="s">
        <v>11</v>
      </c>
      <c r="M1" s="6" t="s">
        <v>12</v>
      </c>
      <c r="N1" s="3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</row>
    <row r="2" spans="1:21" x14ac:dyDescent="0.25">
      <c r="A2" s="5">
        <v>43676</v>
      </c>
      <c r="B2" s="6" t="s">
        <v>21</v>
      </c>
      <c r="C2" s="6" t="s">
        <v>56</v>
      </c>
      <c r="D2" s="6" t="s">
        <v>23</v>
      </c>
      <c r="E2" s="6" t="s">
        <v>409</v>
      </c>
      <c r="F2" s="6" t="s">
        <v>24</v>
      </c>
      <c r="G2" s="7">
        <v>70000</v>
      </c>
      <c r="H2" s="6" t="s">
        <v>57</v>
      </c>
      <c r="I2" s="6" t="s">
        <v>58</v>
      </c>
      <c r="J2" s="8">
        <v>0.38541666666666669</v>
      </c>
      <c r="K2" s="2">
        <v>0.37222222222222223</v>
      </c>
      <c r="L2" s="8">
        <v>0.25694444444444448</v>
      </c>
      <c r="M2" s="9">
        <v>0.26805555555555555</v>
      </c>
      <c r="N2" s="3" t="s">
        <v>414</v>
      </c>
      <c r="O2" s="10" t="s">
        <v>412</v>
      </c>
      <c r="P2" s="10">
        <v>1007</v>
      </c>
      <c r="Q2" s="10">
        <v>551</v>
      </c>
      <c r="R2" s="6">
        <v>0</v>
      </c>
      <c r="S2" s="6">
        <v>0</v>
      </c>
      <c r="T2" s="6">
        <v>0</v>
      </c>
      <c r="U2" s="6">
        <v>0</v>
      </c>
    </row>
    <row r="3" spans="1:21" x14ac:dyDescent="0.25">
      <c r="A3" s="5">
        <f t="shared" ref="A3:A10" si="0">A2</f>
        <v>43676</v>
      </c>
      <c r="B3" s="6" t="s">
        <v>21</v>
      </c>
      <c r="C3" s="6" t="s">
        <v>59</v>
      </c>
      <c r="D3" s="6" t="s">
        <v>23</v>
      </c>
      <c r="E3" s="6" t="s">
        <v>404</v>
      </c>
      <c r="F3" s="6" t="s">
        <v>24</v>
      </c>
      <c r="G3" s="7">
        <v>71500</v>
      </c>
      <c r="H3" s="6" t="s">
        <v>60</v>
      </c>
      <c r="I3" s="6" t="s">
        <v>61</v>
      </c>
      <c r="J3" s="8">
        <v>0.46180555555555558</v>
      </c>
      <c r="K3" s="2">
        <v>0.5</v>
      </c>
      <c r="L3" s="8">
        <v>0.28125</v>
      </c>
      <c r="M3" s="9">
        <v>0.29166666666666669</v>
      </c>
      <c r="N3" s="3" t="s">
        <v>120</v>
      </c>
      <c r="O3" s="10" t="s">
        <v>93</v>
      </c>
      <c r="P3" s="6">
        <v>1205</v>
      </c>
      <c r="Q3" s="10">
        <v>957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5">
        <f t="shared" si="0"/>
        <v>43676</v>
      </c>
      <c r="B4" s="6" t="s">
        <v>21</v>
      </c>
      <c r="C4" s="3" t="s">
        <v>62</v>
      </c>
      <c r="D4" s="3" t="s">
        <v>23</v>
      </c>
      <c r="E4" s="6" t="str">
        <f>E2</f>
        <v>HA-LWC</v>
      </c>
      <c r="F4" s="3" t="s">
        <v>24</v>
      </c>
      <c r="G4" s="7">
        <f>G2</f>
        <v>70000</v>
      </c>
      <c r="H4" s="3" t="s">
        <v>63</v>
      </c>
      <c r="I4" s="3" t="s">
        <v>64</v>
      </c>
      <c r="J4" s="11">
        <v>0.55555555555555558</v>
      </c>
      <c r="K4" s="2">
        <v>0.54999999999999993</v>
      </c>
      <c r="L4" s="11">
        <v>0.40625</v>
      </c>
      <c r="M4" s="2">
        <v>0.41805555555555557</v>
      </c>
      <c r="N4" s="3" t="s">
        <v>415</v>
      </c>
      <c r="O4" s="3" t="s">
        <v>387</v>
      </c>
      <c r="P4" s="3">
        <v>999</v>
      </c>
      <c r="Q4" s="10">
        <v>1015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5">
        <f t="shared" si="0"/>
        <v>43676</v>
      </c>
      <c r="B5" s="6" t="s">
        <v>65</v>
      </c>
      <c r="C5" s="3" t="s">
        <v>66</v>
      </c>
      <c r="D5" s="3" t="str">
        <f>D4</f>
        <v>A320</v>
      </c>
      <c r="E5" s="6" t="s">
        <v>67</v>
      </c>
      <c r="F5" s="3" t="s">
        <v>68</v>
      </c>
      <c r="G5" s="7">
        <v>77000</v>
      </c>
      <c r="H5" s="3" t="s">
        <v>69</v>
      </c>
      <c r="I5" s="3" t="s">
        <v>70</v>
      </c>
      <c r="J5" s="11">
        <v>0.41319444444444442</v>
      </c>
      <c r="K5" s="2">
        <v>0.41319444444444442</v>
      </c>
      <c r="L5" s="11">
        <v>0.4548611111111111</v>
      </c>
      <c r="M5" s="2">
        <v>0.45833333333333331</v>
      </c>
      <c r="N5" s="3" t="s">
        <v>413</v>
      </c>
      <c r="O5" s="3" t="s">
        <v>286</v>
      </c>
      <c r="P5" s="3">
        <v>2016</v>
      </c>
      <c r="Q5" s="10">
        <v>1857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5">
        <f t="shared" si="0"/>
        <v>43676</v>
      </c>
      <c r="B6" s="6" t="s">
        <v>21</v>
      </c>
      <c r="C6" s="3" t="s">
        <v>71</v>
      </c>
      <c r="D6" s="3" t="s">
        <v>23</v>
      </c>
      <c r="E6" s="6" t="str">
        <f>E3</f>
        <v>HA-LWO</v>
      </c>
      <c r="F6" s="3" t="s">
        <v>24</v>
      </c>
      <c r="G6" s="7">
        <v>71500</v>
      </c>
      <c r="H6" s="3" t="s">
        <v>72</v>
      </c>
      <c r="I6" s="3" t="s">
        <v>73</v>
      </c>
      <c r="J6" s="17">
        <v>0.70138888888888884</v>
      </c>
      <c r="K6" s="2">
        <v>0.72916666666666663</v>
      </c>
      <c r="L6" s="17">
        <v>0.49305555555555558</v>
      </c>
      <c r="M6" s="18">
        <v>0.53611111111111109</v>
      </c>
      <c r="N6" s="3" t="s">
        <v>258</v>
      </c>
      <c r="O6" s="3" t="s">
        <v>401</v>
      </c>
      <c r="P6" s="19">
        <v>1438</v>
      </c>
      <c r="Q6" s="10">
        <v>1243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5">
        <f t="shared" si="0"/>
        <v>43676</v>
      </c>
      <c r="B7" s="6" t="s">
        <v>21</v>
      </c>
      <c r="C7" s="3" t="s">
        <v>74</v>
      </c>
      <c r="D7" s="3" t="s">
        <v>23</v>
      </c>
      <c r="E7" s="6" t="str">
        <f>E4</f>
        <v>HA-LWC</v>
      </c>
      <c r="F7" s="12" t="s">
        <v>24</v>
      </c>
      <c r="G7" s="7">
        <v>70000</v>
      </c>
      <c r="H7" s="6" t="s">
        <v>75</v>
      </c>
      <c r="I7" s="6" t="s">
        <v>76</v>
      </c>
      <c r="J7" s="20">
        <v>0.74652777777777779</v>
      </c>
      <c r="K7" s="2">
        <v>0.73333333333333339</v>
      </c>
      <c r="L7" s="20">
        <v>0.58680555555555558</v>
      </c>
      <c r="M7" s="21">
        <v>0.59166666666666667</v>
      </c>
      <c r="N7" s="3" t="s">
        <v>382</v>
      </c>
      <c r="O7" s="3" t="s">
        <v>416</v>
      </c>
      <c r="P7" s="3">
        <v>1066</v>
      </c>
      <c r="Q7" s="10">
        <v>936</v>
      </c>
      <c r="R7" s="3">
        <v>0</v>
      </c>
      <c r="S7" s="3">
        <v>0</v>
      </c>
      <c r="T7" s="3">
        <v>0</v>
      </c>
      <c r="U7" s="3">
        <v>0</v>
      </c>
    </row>
    <row r="8" spans="1:21" x14ac:dyDescent="0.25">
      <c r="A8" s="5">
        <f t="shared" si="0"/>
        <v>43676</v>
      </c>
      <c r="B8" s="6" t="s">
        <v>21</v>
      </c>
      <c r="C8" s="16" t="s">
        <v>77</v>
      </c>
      <c r="D8" s="16" t="s">
        <v>23</v>
      </c>
      <c r="E8" s="6" t="str">
        <f>E6</f>
        <v>HA-LWO</v>
      </c>
      <c r="F8" s="16" t="s">
        <v>24</v>
      </c>
      <c r="G8" s="7">
        <v>71500</v>
      </c>
      <c r="H8" s="16" t="s">
        <v>78</v>
      </c>
      <c r="I8" s="16" t="s">
        <v>79</v>
      </c>
      <c r="J8" s="20">
        <v>0.94097222222222221</v>
      </c>
      <c r="K8" s="2">
        <v>0.96944444444444444</v>
      </c>
      <c r="L8" s="20">
        <v>0.72222222222222221</v>
      </c>
      <c r="M8" s="21">
        <v>0.76736111111111116</v>
      </c>
      <c r="N8" s="18" t="s">
        <v>426</v>
      </c>
      <c r="O8" s="16" t="s">
        <v>417</v>
      </c>
      <c r="P8" s="16">
        <v>1144</v>
      </c>
      <c r="Q8" s="10">
        <v>1358</v>
      </c>
      <c r="R8" s="16">
        <v>0</v>
      </c>
      <c r="S8" s="16">
        <v>0</v>
      </c>
      <c r="T8" s="16">
        <v>0</v>
      </c>
      <c r="U8" s="16">
        <v>0</v>
      </c>
    </row>
    <row r="9" spans="1:21" x14ac:dyDescent="0.25">
      <c r="A9" s="5">
        <f t="shared" si="0"/>
        <v>43676</v>
      </c>
      <c r="B9" s="3" t="s">
        <v>21</v>
      </c>
      <c r="C9" s="19" t="s">
        <v>80</v>
      </c>
      <c r="D9" s="3" t="s">
        <v>23</v>
      </c>
      <c r="E9" s="6" t="str">
        <f>E7</f>
        <v>HA-LWC</v>
      </c>
      <c r="F9" s="3" t="s">
        <v>24</v>
      </c>
      <c r="G9" s="7">
        <f>G7</f>
        <v>70000</v>
      </c>
      <c r="H9" s="6" t="s">
        <v>81</v>
      </c>
      <c r="I9" s="6" t="s">
        <v>82</v>
      </c>
      <c r="J9" s="17">
        <v>0.94444444444444453</v>
      </c>
      <c r="K9" s="9">
        <v>0.92638888888888893</v>
      </c>
      <c r="L9" s="17">
        <v>0.76736111111111116</v>
      </c>
      <c r="M9" s="18">
        <v>0.77777777777777779</v>
      </c>
      <c r="N9" s="18" t="s">
        <v>427</v>
      </c>
      <c r="O9" s="18" t="s">
        <v>418</v>
      </c>
      <c r="P9" s="19">
        <v>1183</v>
      </c>
      <c r="Q9" s="10">
        <v>1136</v>
      </c>
      <c r="R9" s="3">
        <v>0</v>
      </c>
      <c r="S9" s="3">
        <v>0</v>
      </c>
      <c r="T9" s="3">
        <v>0</v>
      </c>
      <c r="U9" s="3">
        <v>0</v>
      </c>
    </row>
    <row r="10" spans="1:21" x14ac:dyDescent="0.25">
      <c r="A10" s="5">
        <f t="shared" si="0"/>
        <v>43676</v>
      </c>
      <c r="B10" s="3" t="s">
        <v>419</v>
      </c>
      <c r="C10" s="3" t="s">
        <v>420</v>
      </c>
      <c r="D10" s="3" t="s">
        <v>421</v>
      </c>
      <c r="E10" s="3" t="s">
        <v>422</v>
      </c>
      <c r="F10" s="3" t="s">
        <v>423</v>
      </c>
      <c r="G10" s="7">
        <v>4</v>
      </c>
      <c r="H10" s="3" t="s">
        <v>422</v>
      </c>
      <c r="I10" s="3" t="s">
        <v>422</v>
      </c>
      <c r="J10" s="45">
        <v>0.70833333333333337</v>
      </c>
      <c r="K10" s="45">
        <v>0.67152777777777783</v>
      </c>
      <c r="L10" s="45">
        <v>0.79166666666666663</v>
      </c>
      <c r="M10" s="45">
        <v>0.78472222222222221</v>
      </c>
      <c r="N10" s="3" t="s">
        <v>424</v>
      </c>
      <c r="O10" s="3" t="s">
        <v>425</v>
      </c>
      <c r="P10" s="10">
        <v>0</v>
      </c>
      <c r="Q10" s="10">
        <v>0</v>
      </c>
      <c r="R10" s="3">
        <v>0</v>
      </c>
      <c r="S10" s="3">
        <v>0</v>
      </c>
      <c r="T10" s="3">
        <v>0</v>
      </c>
      <c r="U10" s="3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tabSelected="1" topLeftCell="B1" workbookViewId="0">
      <selection activeCell="K8" sqref="K8"/>
    </sheetView>
  </sheetViews>
  <sheetFormatPr defaultRowHeight="15" x14ac:dyDescent="0.25"/>
  <cols>
    <col min="3" max="3" width="13.5703125" bestFit="1" customWidth="1"/>
    <col min="6" max="6" width="12.140625" bestFit="1" customWidth="1"/>
    <col min="10" max="11" width="10.85546875" customWidth="1"/>
    <col min="12" max="12" width="9.85546875" customWidth="1"/>
    <col min="14" max="14" width="17.7109375" customWidth="1"/>
    <col min="15" max="15" width="18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5">
        <v>43677</v>
      </c>
      <c r="B2" s="6" t="s">
        <v>21</v>
      </c>
      <c r="C2" s="6" t="s">
        <v>22</v>
      </c>
      <c r="D2" s="6" t="s">
        <v>23</v>
      </c>
      <c r="E2" s="6" t="s">
        <v>233</v>
      </c>
      <c r="F2" s="6" t="s">
        <v>24</v>
      </c>
      <c r="G2" s="7">
        <v>71500</v>
      </c>
      <c r="H2" s="6" t="s">
        <v>25</v>
      </c>
      <c r="I2" s="6" t="s">
        <v>26</v>
      </c>
      <c r="J2" s="8">
        <v>0.45833333333333331</v>
      </c>
      <c r="K2" s="2">
        <v>0.46111111111111108</v>
      </c>
      <c r="L2" s="8">
        <v>0.25694444444444448</v>
      </c>
      <c r="M2" s="9">
        <v>0.26041666666666669</v>
      </c>
      <c r="N2" s="2" t="s">
        <v>429</v>
      </c>
      <c r="O2" s="10" t="s">
        <v>178</v>
      </c>
      <c r="P2" s="10">
        <v>1339</v>
      </c>
      <c r="Q2" s="10">
        <v>775</v>
      </c>
      <c r="R2" s="6">
        <v>0</v>
      </c>
      <c r="S2" s="6">
        <v>0</v>
      </c>
      <c r="T2" s="6">
        <v>0</v>
      </c>
      <c r="U2" s="6">
        <v>0</v>
      </c>
    </row>
    <row r="3" spans="1:21" x14ac:dyDescent="0.25">
      <c r="A3" s="5">
        <v>43677</v>
      </c>
      <c r="B3" s="6" t="s">
        <v>21</v>
      </c>
      <c r="C3" s="6" t="s">
        <v>27</v>
      </c>
      <c r="D3" s="6" t="s">
        <v>23</v>
      </c>
      <c r="E3" s="6" t="s">
        <v>428</v>
      </c>
      <c r="F3" s="6" t="s">
        <v>24</v>
      </c>
      <c r="G3" s="7">
        <v>70000</v>
      </c>
      <c r="H3" s="6" t="s">
        <v>28</v>
      </c>
      <c r="I3" s="6" t="s">
        <v>29</v>
      </c>
      <c r="J3" s="8">
        <v>0.4861111111111111</v>
      </c>
      <c r="K3" s="2">
        <v>0.49513888888888885</v>
      </c>
      <c r="L3" s="8">
        <v>0.28125</v>
      </c>
      <c r="M3" s="9">
        <v>0.28611111111111115</v>
      </c>
      <c r="N3" s="2" t="s">
        <v>430</v>
      </c>
      <c r="O3" s="10" t="s">
        <v>329</v>
      </c>
      <c r="P3" s="6">
        <v>773</v>
      </c>
      <c r="Q3" s="10">
        <v>1320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5">
        <v>43677</v>
      </c>
      <c r="B4" s="3" t="s">
        <v>21</v>
      </c>
      <c r="C4" s="3" t="s">
        <v>99</v>
      </c>
      <c r="D4" s="3" t="s">
        <v>23</v>
      </c>
      <c r="E4" s="6" t="s">
        <v>233</v>
      </c>
      <c r="F4" s="3" t="s">
        <v>24</v>
      </c>
      <c r="G4" s="7">
        <v>71500</v>
      </c>
      <c r="H4" s="3" t="s">
        <v>100</v>
      </c>
      <c r="I4" s="3" t="s">
        <v>101</v>
      </c>
      <c r="J4" s="11">
        <v>0.72569444444444453</v>
      </c>
      <c r="K4" s="2">
        <v>0.74583333333333324</v>
      </c>
      <c r="L4" s="11">
        <v>0.48958333333333331</v>
      </c>
      <c r="M4" s="2">
        <v>0.50555555555555554</v>
      </c>
      <c r="N4" s="3" t="s">
        <v>92</v>
      </c>
      <c r="O4" s="3" t="s">
        <v>211</v>
      </c>
      <c r="P4" s="3">
        <v>1075</v>
      </c>
      <c r="Q4" s="3">
        <v>1736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5">
        <v>43677</v>
      </c>
      <c r="B5" s="3" t="s">
        <v>21</v>
      </c>
      <c r="C5" s="3" t="s">
        <v>33</v>
      </c>
      <c r="D5" s="3" t="s">
        <v>23</v>
      </c>
      <c r="E5" s="6" t="s">
        <v>428</v>
      </c>
      <c r="F5" s="3" t="s">
        <v>24</v>
      </c>
      <c r="G5" s="7">
        <v>70000</v>
      </c>
      <c r="H5" s="3" t="s">
        <v>34</v>
      </c>
      <c r="I5" s="3" t="s">
        <v>35</v>
      </c>
      <c r="J5" s="25">
        <v>0.74652777777777779</v>
      </c>
      <c r="K5" s="2">
        <v>0.76944444444444438</v>
      </c>
      <c r="L5" s="25">
        <v>0.51736111111111105</v>
      </c>
      <c r="M5" s="2">
        <v>0.5493055555555556</v>
      </c>
      <c r="N5" s="3" t="s">
        <v>362</v>
      </c>
      <c r="O5" s="24" t="s">
        <v>266</v>
      </c>
      <c r="P5" s="19">
        <v>1189</v>
      </c>
      <c r="Q5" s="24">
        <v>1571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5">
        <v>43677</v>
      </c>
      <c r="B6" s="24" t="s">
        <v>21</v>
      </c>
      <c r="C6" s="24" t="s">
        <v>36</v>
      </c>
      <c r="D6" s="24" t="s">
        <v>23</v>
      </c>
      <c r="E6" s="6" t="s">
        <v>233</v>
      </c>
      <c r="F6" s="24" t="s">
        <v>24</v>
      </c>
      <c r="G6" s="7">
        <v>71500</v>
      </c>
      <c r="H6" s="24" t="s">
        <v>37</v>
      </c>
      <c r="I6" s="24" t="s">
        <v>38</v>
      </c>
      <c r="J6" s="25">
        <v>0.91666666666666663</v>
      </c>
      <c r="K6" s="2">
        <v>0.93402777777777779</v>
      </c>
      <c r="L6" s="25">
        <v>0.74652777777777779</v>
      </c>
      <c r="M6" s="2">
        <v>0.78749999999999998</v>
      </c>
      <c r="N6" s="3" t="s">
        <v>89</v>
      </c>
      <c r="O6" s="24" t="s">
        <v>379</v>
      </c>
      <c r="P6" s="24">
        <v>1069</v>
      </c>
      <c r="Q6" s="24">
        <v>918</v>
      </c>
      <c r="R6" s="24">
        <v>0</v>
      </c>
      <c r="S6" s="24">
        <v>0</v>
      </c>
      <c r="T6" s="24">
        <v>0</v>
      </c>
      <c r="U6" s="24">
        <v>0</v>
      </c>
    </row>
    <row r="7" spans="1:21" x14ac:dyDescent="0.25">
      <c r="A7" s="5">
        <v>43677</v>
      </c>
      <c r="B7" s="24" t="s">
        <v>21</v>
      </c>
      <c r="C7" s="24" t="s">
        <v>102</v>
      </c>
      <c r="D7" s="24" t="s">
        <v>23</v>
      </c>
      <c r="E7" s="6" t="s">
        <v>428</v>
      </c>
      <c r="F7" s="24" t="s">
        <v>24</v>
      </c>
      <c r="G7" s="26">
        <v>70000</v>
      </c>
      <c r="H7" s="24" t="s">
        <v>103</v>
      </c>
      <c r="I7" s="24" t="s">
        <v>104</v>
      </c>
      <c r="J7" s="25">
        <v>0.95833333333333337</v>
      </c>
      <c r="K7" s="2">
        <v>0.98263888888888884</v>
      </c>
      <c r="L7" s="25">
        <v>0.76736111111111116</v>
      </c>
      <c r="M7" s="2">
        <v>0.80208333333333337</v>
      </c>
      <c r="N7" s="3" t="s">
        <v>165</v>
      </c>
      <c r="O7" s="24" t="s">
        <v>124</v>
      </c>
      <c r="P7" s="24">
        <v>1243</v>
      </c>
      <c r="Q7" s="24">
        <v>1010</v>
      </c>
      <c r="R7" s="24">
        <v>0</v>
      </c>
      <c r="S7" s="24">
        <v>0</v>
      </c>
      <c r="T7" s="24">
        <v>0</v>
      </c>
      <c r="U7" s="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OPC</dc:creator>
  <cp:lastModifiedBy>OPC</cp:lastModifiedBy>
  <dcterms:created xsi:type="dcterms:W3CDTF">2019-06-30T21:42:50Z</dcterms:created>
  <dcterms:modified xsi:type="dcterms:W3CDTF">2019-07-31T21:35:37Z</dcterms:modified>
</cp:coreProperties>
</file>