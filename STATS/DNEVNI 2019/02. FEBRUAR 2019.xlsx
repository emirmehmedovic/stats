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540" windowWidth="17955" windowHeight="11355" firstSheet="8" activeTab="2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2" r:id="rId21"/>
    <sheet name="22" sheetId="23" r:id="rId22"/>
    <sheet name="23" sheetId="24" r:id="rId23"/>
    <sheet name="24" sheetId="26" r:id="rId24"/>
    <sheet name="25" sheetId="27" r:id="rId25"/>
    <sheet name="26" sheetId="28" r:id="rId26"/>
    <sheet name="27" sheetId="29" r:id="rId27"/>
    <sheet name="28" sheetId="30" r:id="rId28"/>
  </sheets>
  <calcPr calcId="145621"/>
</workbook>
</file>

<file path=xl/calcChain.xml><?xml version="1.0" encoding="utf-8"?>
<calcChain xmlns="http://schemas.openxmlformats.org/spreadsheetml/2006/main">
  <c r="G5" i="28" l="1"/>
  <c r="A3" i="28"/>
  <c r="A4" i="28" s="1"/>
  <c r="A5" i="28" s="1"/>
  <c r="G5" i="27" l="1"/>
  <c r="E5" i="27"/>
  <c r="K2" i="27" l="1"/>
  <c r="E4" i="27" l="1"/>
  <c r="A3" i="27"/>
  <c r="A4" i="27" s="1"/>
  <c r="A5" i="27" s="1"/>
  <c r="A3" i="26" l="1"/>
  <c r="A4" i="26" s="1"/>
  <c r="A5" i="26" s="1"/>
  <c r="A6" i="24" l="1"/>
  <c r="A3" i="24"/>
  <c r="A4" i="24" s="1"/>
  <c r="A5" i="24" s="1"/>
  <c r="A3" i="23" l="1"/>
  <c r="A4" i="23" s="1"/>
  <c r="A5" i="23" s="1"/>
  <c r="A3" i="20" l="1"/>
  <c r="G5" i="19" l="1"/>
  <c r="E5" i="19"/>
  <c r="I6" i="19" l="1"/>
  <c r="A6" i="19"/>
  <c r="G3" i="19" l="1"/>
  <c r="A3" i="19"/>
  <c r="A4" i="19" s="1"/>
  <c r="A5" i="19" s="1"/>
  <c r="A3" i="18" l="1"/>
  <c r="A4" i="18" s="1"/>
  <c r="A5" i="18" s="1"/>
  <c r="A3" i="17" l="1"/>
  <c r="A4" i="17" s="1"/>
  <c r="A5" i="17" s="1"/>
  <c r="A3" i="16" l="1"/>
  <c r="A4" i="16" s="1"/>
  <c r="A5" i="16" s="1"/>
  <c r="A3" i="15" l="1"/>
  <c r="A4" i="15" s="1"/>
  <c r="A5" i="15" s="1"/>
  <c r="A3" i="13" l="1"/>
  <c r="A3" i="12" l="1"/>
  <c r="A4" i="12" s="1"/>
  <c r="A5" i="12" s="1"/>
  <c r="A3" i="11" l="1"/>
  <c r="A4" i="11" s="1"/>
  <c r="A5" i="11" s="1"/>
  <c r="A3" i="10" l="1"/>
  <c r="A4" i="10" s="1"/>
  <c r="A5" i="10" s="1"/>
  <c r="A3" i="9" l="1"/>
  <c r="A4" i="9" s="1"/>
  <c r="A5" i="9" s="1"/>
  <c r="A6" i="8" l="1"/>
  <c r="A3" i="8" l="1"/>
  <c r="A4" i="8" s="1"/>
  <c r="A5" i="8" s="1"/>
  <c r="A3" i="7" l="1"/>
  <c r="A3" i="5" l="1"/>
  <c r="A4" i="5" s="1"/>
  <c r="A5" i="5" s="1"/>
  <c r="A3" i="4" l="1"/>
  <c r="A4" i="4" s="1"/>
  <c r="A5" i="4" s="1"/>
  <c r="A3" i="3" l="1"/>
  <c r="A4" i="3" s="1"/>
  <c r="A5" i="3" s="1"/>
  <c r="A3" i="2" l="1"/>
  <c r="A4" i="2" s="1"/>
  <c r="A5" i="2" s="1"/>
  <c r="A3" i="1" l="1"/>
  <c r="A4" i="1" s="1"/>
  <c r="A5" i="1" s="1"/>
</calcChain>
</file>

<file path=xl/sharedStrings.xml><?xml version="1.0" encoding="utf-8"?>
<sst xmlns="http://schemas.openxmlformats.org/spreadsheetml/2006/main" count="1461" uniqueCount="250">
  <si>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</si>
  <si>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</si>
  <si>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</si>
  <si>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</si>
  <si>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</si>
  <si>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</si>
  <si>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</si>
  <si>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</si>
  <si>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</si>
  <si>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</si>
  <si>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</si>
  <si>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</si>
  <si>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</si>
  <si>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</si>
  <si>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</si>
  <si>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</si>
  <si>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</si>
  <si>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</si>
  <si>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</si>
  <si>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</si>
  <si>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</si>
  <si>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</si>
  <si>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</si>
  <si>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</si>
  <si>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SCHEDULED</t>
  </si>
  <si>
    <t>W64298</t>
  </si>
  <si>
    <t>W64297</t>
  </si>
  <si>
    <t>TZL-FMM-TZL</t>
  </si>
  <si>
    <t>W64280</t>
  </si>
  <si>
    <t>W64279</t>
  </si>
  <si>
    <t>TZL-EIN-TZL</t>
  </si>
  <si>
    <t>W64290</t>
  </si>
  <si>
    <t>W64289</t>
  </si>
  <si>
    <t>TZL-GOT-TZL</t>
  </si>
  <si>
    <t>W64296</t>
  </si>
  <si>
    <t>W64295</t>
  </si>
  <si>
    <t>HA-LPJ</t>
  </si>
  <si>
    <t>HA-LWJ</t>
  </si>
  <si>
    <t>166+2 INF</t>
  </si>
  <si>
    <t>148+4 INF</t>
  </si>
  <si>
    <t>150+3 INF</t>
  </si>
  <si>
    <t>163+0 INF</t>
  </si>
  <si>
    <t>165+1 INF</t>
  </si>
  <si>
    <t>172+2 INF</t>
  </si>
  <si>
    <t>171+0 INF</t>
  </si>
  <si>
    <t>AEROHELI GMBH</t>
  </si>
  <si>
    <t>LOAN-TZl-TIA</t>
  </si>
  <si>
    <t>ASJ50</t>
  </si>
  <si>
    <t>D-HFCE</t>
  </si>
  <si>
    <t>NON-SCHEDULED</t>
  </si>
  <si>
    <t>TZL-HHN-TZL</t>
  </si>
  <si>
    <t>HALPJ</t>
  </si>
  <si>
    <t>W64284</t>
  </si>
  <si>
    <t>W64283</t>
  </si>
  <si>
    <t>VIE-TZL-VIE</t>
  </si>
  <si>
    <t>W64286</t>
  </si>
  <si>
    <t>W64285</t>
  </si>
  <si>
    <t>TZL-CGN-TZL</t>
  </si>
  <si>
    <t>W64300</t>
  </si>
  <si>
    <t>W64299</t>
  </si>
  <si>
    <t>TZL-SXF-TZL</t>
  </si>
  <si>
    <t>W64276</t>
  </si>
  <si>
    <t>W64275</t>
  </si>
  <si>
    <t>HALWJ</t>
  </si>
  <si>
    <t>158+3 INF</t>
  </si>
  <si>
    <t>103+2 INF</t>
  </si>
  <si>
    <t>169+6 INF</t>
  </si>
  <si>
    <t>159+2 INF</t>
  </si>
  <si>
    <t>167+1 INF</t>
  </si>
  <si>
    <t>164+1 INF</t>
  </si>
  <si>
    <t>169+3 INF</t>
  </si>
  <si>
    <t>164+3 INF</t>
  </si>
  <si>
    <t>TZL-FDH-TZL</t>
  </si>
  <si>
    <t>W64616</t>
  </si>
  <si>
    <t>W64615</t>
  </si>
  <si>
    <t>TZL-MLH-TZL</t>
  </si>
  <si>
    <t>W64294</t>
  </si>
  <si>
    <t>W64293</t>
  </si>
  <si>
    <t>TZL-MMX-TZL</t>
  </si>
  <si>
    <t>W64292</t>
  </si>
  <si>
    <t>W64291</t>
  </si>
  <si>
    <t>163+4INF</t>
  </si>
  <si>
    <t>158+4INF</t>
  </si>
  <si>
    <t>173+4INF</t>
  </si>
  <si>
    <t>162+3INF</t>
  </si>
  <si>
    <t>177+3 INF</t>
  </si>
  <si>
    <t>152+2 INF</t>
  </si>
  <si>
    <t>165+7 INF</t>
  </si>
  <si>
    <t>174+4 INF</t>
  </si>
  <si>
    <t>155+1INF</t>
  </si>
  <si>
    <t>163+2INF</t>
  </si>
  <si>
    <t>162+5 INF</t>
  </si>
  <si>
    <t>159+3 INF</t>
  </si>
  <si>
    <t>168+2 INF</t>
  </si>
  <si>
    <t>156+1 INF</t>
  </si>
  <si>
    <t>160+2 INF</t>
  </si>
  <si>
    <t>TZL-VIE-TZL</t>
  </si>
  <si>
    <t>153+3 INF</t>
  </si>
  <si>
    <t>82+0 INF</t>
  </si>
  <si>
    <t>156+3 INF</t>
  </si>
  <si>
    <t>143+0 INF</t>
  </si>
  <si>
    <t>170+5 INF</t>
  </si>
  <si>
    <t>154+1INF</t>
  </si>
  <si>
    <t>160+4INF</t>
  </si>
  <si>
    <t>162+2INF</t>
  </si>
  <si>
    <t>164+7 INF</t>
  </si>
  <si>
    <t>172+6 INF</t>
  </si>
  <si>
    <t>162+1INF</t>
  </si>
  <si>
    <t>AVIASERVICE LLC</t>
  </si>
  <si>
    <t>PUY-TZL-INI</t>
  </si>
  <si>
    <t>AS350</t>
  </si>
  <si>
    <t>4L-SAR</t>
  </si>
  <si>
    <t>TECHNICAL/HEL</t>
  </si>
  <si>
    <t>-</t>
  </si>
  <si>
    <t>ROP</t>
  </si>
  <si>
    <t>146+1 INF</t>
  </si>
  <si>
    <t>157+5 INF</t>
  </si>
  <si>
    <t>162+4 INF</t>
  </si>
  <si>
    <t>156+4 INF</t>
  </si>
  <si>
    <t>168+3 INF</t>
  </si>
  <si>
    <t>164+2 INF</t>
  </si>
  <si>
    <t>KTW-TZL-KTW</t>
  </si>
  <si>
    <t>HALWN/HALWJ</t>
  </si>
  <si>
    <t>FERRY IN/OUT NON SCHED.</t>
  </si>
  <si>
    <t>W6801</t>
  </si>
  <si>
    <t>W6803</t>
  </si>
  <si>
    <t>162+0 INF</t>
  </si>
  <si>
    <t>180+1 INF</t>
  </si>
  <si>
    <t>162+1 INF</t>
  </si>
  <si>
    <t>HALWN</t>
  </si>
  <si>
    <t>159+3INF</t>
  </si>
  <si>
    <t>168+3INF</t>
  </si>
  <si>
    <t>157+0INF</t>
  </si>
  <si>
    <t>164+2INF</t>
  </si>
  <si>
    <t>167+3INF</t>
  </si>
  <si>
    <t>173+4 INF</t>
  </si>
  <si>
    <t>149+1 INF</t>
  </si>
  <si>
    <t>HALWO</t>
  </si>
  <si>
    <t>HALPJ/HALWO</t>
  </si>
  <si>
    <t>166+2INF</t>
  </si>
  <si>
    <t>171+4 INF</t>
  </si>
  <si>
    <t>170+1 INF</t>
  </si>
  <si>
    <t>169+4 INF</t>
  </si>
  <si>
    <t>174+3 INF</t>
  </si>
  <si>
    <t>169+1 INF</t>
  </si>
  <si>
    <t>160+0 INF</t>
  </si>
  <si>
    <t>154+1 INF</t>
  </si>
  <si>
    <t>144+1 INF</t>
  </si>
  <si>
    <t>137+5 INF</t>
  </si>
  <si>
    <t>166+1INF</t>
  </si>
  <si>
    <t>170+1INF</t>
  </si>
  <si>
    <t>172+3 INF</t>
  </si>
  <si>
    <t>158+4 INF</t>
  </si>
  <si>
    <t>159+0 INF</t>
  </si>
  <si>
    <t>102+2 INF</t>
  </si>
  <si>
    <t>151+3 INF</t>
  </si>
  <si>
    <t>167+2 INF</t>
  </si>
  <si>
    <t>159+1 INF</t>
  </si>
  <si>
    <t>138+1INF</t>
  </si>
  <si>
    <t>HA-LWO</t>
  </si>
  <si>
    <t>HA-LWN</t>
  </si>
  <si>
    <t>70,0</t>
  </si>
  <si>
    <t>163+4 INF</t>
  </si>
  <si>
    <t>166+3 INF</t>
  </si>
  <si>
    <t>168+1 INF</t>
  </si>
  <si>
    <t>152+1 INF</t>
  </si>
  <si>
    <t>176+1INF</t>
  </si>
  <si>
    <t>170+3INF</t>
  </si>
  <si>
    <t>165+4INF</t>
  </si>
  <si>
    <t>173+1INF</t>
  </si>
  <si>
    <t>172+0 INF</t>
  </si>
  <si>
    <t>165+4 INF</t>
  </si>
  <si>
    <t>155+2INF</t>
  </si>
  <si>
    <t>168+4INF</t>
  </si>
  <si>
    <t>167+4INF</t>
  </si>
  <si>
    <t>168+2INF</t>
  </si>
  <si>
    <t>164+0 INF</t>
  </si>
  <si>
    <t>177+5 INF</t>
  </si>
  <si>
    <t>158+8 INF</t>
  </si>
  <si>
    <t>174+1 INF</t>
  </si>
  <si>
    <t>157+3 INF</t>
  </si>
  <si>
    <t>164+4INF</t>
  </si>
  <si>
    <t>175+1INF</t>
  </si>
  <si>
    <t>177+4INF</t>
  </si>
  <si>
    <t>HALWC</t>
  </si>
  <si>
    <t>HALWO/WC</t>
  </si>
  <si>
    <t>170+2 INF</t>
  </si>
  <si>
    <t>164+4 INF</t>
  </si>
  <si>
    <t>170+0 INF</t>
  </si>
  <si>
    <t>149+3 INF</t>
  </si>
  <si>
    <t>157+2 INF</t>
  </si>
  <si>
    <t>180+1INF</t>
  </si>
  <si>
    <t>165+1INF</t>
  </si>
  <si>
    <t>151+1 INF</t>
  </si>
  <si>
    <t>175+3 INF</t>
  </si>
  <si>
    <t>AERODIENST</t>
  </si>
  <si>
    <t>NUE-TZL-STR</t>
  </si>
  <si>
    <t>B350</t>
  </si>
  <si>
    <t>D-CUTE</t>
  </si>
  <si>
    <t>MEDEVAC</t>
  </si>
  <si>
    <t>ADN12A</t>
  </si>
  <si>
    <t>144+3 INF</t>
  </si>
  <si>
    <t>HA-LWC</t>
  </si>
  <si>
    <t>HA-LYD</t>
  </si>
  <si>
    <t>166+4 INF</t>
  </si>
  <si>
    <t>147+5 INF</t>
  </si>
  <si>
    <t>152+0 INF</t>
  </si>
  <si>
    <t>71,5</t>
  </si>
  <si>
    <t>160+3 INF</t>
  </si>
  <si>
    <t>179+0 INF</t>
  </si>
  <si>
    <t>136+1INF</t>
  </si>
  <si>
    <t>153+1INF</t>
  </si>
  <si>
    <t>HALYD</t>
  </si>
  <si>
    <t>167+2INF</t>
  </si>
  <si>
    <t>157+6INF</t>
  </si>
  <si>
    <t>165+2INF</t>
  </si>
  <si>
    <t>161+3INF</t>
  </si>
  <si>
    <t>160+1INF</t>
  </si>
  <si>
    <t>177+2 INF</t>
  </si>
  <si>
    <t>176+1 INF</t>
  </si>
  <si>
    <t>TZL-VAR-TZL</t>
  </si>
  <si>
    <t>FERRY OUT</t>
  </si>
  <si>
    <t>W6806</t>
  </si>
  <si>
    <t>W6805</t>
  </si>
  <si>
    <t>163+3 INF</t>
  </si>
  <si>
    <t>168+4 INF</t>
  </si>
  <si>
    <t>173+2 INF</t>
  </si>
  <si>
    <t>161+5 INF</t>
  </si>
  <si>
    <t>153+3INF</t>
  </si>
  <si>
    <t>171+3INF</t>
  </si>
  <si>
    <t>163+5INF</t>
  </si>
  <si>
    <t>171+2 INF</t>
  </si>
  <si>
    <t>167+3 INF</t>
  </si>
  <si>
    <t>152+3 INF</t>
  </si>
  <si>
    <t>175+2 INF</t>
  </si>
  <si>
    <t>169+2 INF</t>
  </si>
  <si>
    <t>168+9 INF</t>
  </si>
  <si>
    <t>163+1 INF</t>
  </si>
  <si>
    <t>164+6 INF</t>
  </si>
  <si>
    <t>178+1 INF</t>
  </si>
  <si>
    <t>170+4 INF</t>
  </si>
  <si>
    <t>161+3 INF</t>
  </si>
  <si>
    <t>118+2 INF</t>
  </si>
  <si>
    <t>HALWV</t>
  </si>
  <si>
    <t>167+0 INF</t>
  </si>
  <si>
    <t>HA-LWV</t>
  </si>
  <si>
    <t>162+0INF</t>
  </si>
  <si>
    <t>174+5 INF</t>
  </si>
  <si>
    <t>173+3 INF</t>
  </si>
  <si>
    <t>158+2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</si>
</sst>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sz val="9"/>
      <name val="Garamond"/>
      <family val="1"/>
      <charset val="238"/>
    </font>
    <font>
      <sz val="11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" fillId="0" borderId="0" xfId="5" applyFont="1" applyAlignment="1">
      <alignment horizontal="center" vertical="center"/>
    </xf>
    <xf numFmtId="14" fontId="1" fillId="0" borderId="0" xfId="3" applyNumberFormat="1" applyFont="1" applyFill="1" applyAlignment="1">
      <alignment horizontal="center" vertical="center"/>
    </xf>
    <xf numFmtId="0" fontId="1" fillId="0" borderId="0" xfId="5" applyFont="1" applyFill="1" applyAlignment="1">
      <alignment horizontal="center" vertical="center"/>
    </xf>
    <xf numFmtId="3" fontId="1" fillId="0" borderId="0" xfId="5" applyNumberFormat="1" applyFont="1" applyFill="1" applyAlignment="1">
      <alignment horizontal="center" vertical="center"/>
    </xf>
    <xf numFmtId="20" fontId="4" fillId="0" borderId="0" xfId="5" applyNumberFormat="1" applyFont="1" applyFill="1" applyAlignment="1">
      <alignment horizontal="center" vertical="center"/>
    </xf>
    <xf numFmtId="20" fontId="1" fillId="0" borderId="0" xfId="5" applyNumberFormat="1" applyFont="1" applyFill="1" applyAlignment="1">
      <alignment horizontal="center" vertical="center"/>
    </xf>
    <xf numFmtId="0" fontId="1" fillId="0" borderId="0" xfId="5" applyNumberFormat="1" applyFont="1" applyFill="1" applyAlignment="1">
      <alignment horizontal="center" vertical="center"/>
    </xf>
    <xf numFmtId="0" fontId="1" fillId="0" borderId="0" xfId="4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20" fontId="1" fillId="0" borderId="0" xfId="4" applyNumberFormat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3" fontId="1" fillId="0" borderId="0" xfId="4" applyNumberFormat="1" applyFont="1" applyFill="1" applyAlignment="1">
      <alignment horizontal="center" vertical="center"/>
    </xf>
    <xf numFmtId="20" fontId="5" fillId="0" borderId="0" xfId="5" applyNumberFormat="1" applyFont="1" applyAlignment="1">
      <alignment horizontal="center" vertical="center"/>
    </xf>
    <xf numFmtId="20" fontId="3" fillId="0" borderId="0" xfId="5" applyNumberFormat="1" applyFont="1" applyAlignment="1">
      <alignment horizontal="center" vertical="center"/>
    </xf>
    <xf numFmtId="20" fontId="3" fillId="0" borderId="0" xfId="5" applyNumberFormat="1" applyFont="1" applyFill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0" xfId="4" applyNumberFormat="1" applyFont="1" applyFill="1" applyAlignment="1">
      <alignment horizontal="center" vertical="center"/>
    </xf>
    <xf numFmtId="0" fontId="1" fillId="0" borderId="0" xfId="4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1" fillId="2" borderId="0" xfId="4" applyFont="1" applyFill="1" applyAlignment="1">
      <alignment horizontal="center" vertical="center"/>
    </xf>
    <xf numFmtId="0" fontId="1" fillId="0" borderId="0" xfId="6" applyFont="1" applyFill="1" applyAlignment="1">
      <alignment horizontal="center" vertical="center"/>
    </xf>
    <xf numFmtId="3" fontId="1" fillId="0" borderId="0" xfId="6" applyNumberFormat="1" applyFont="1" applyFill="1" applyAlignment="1">
      <alignment horizontal="center" vertical="center"/>
    </xf>
    <xf numFmtId="20" fontId="4" fillId="0" borderId="0" xfId="6" applyNumberFormat="1" applyFont="1" applyFill="1" applyAlignment="1">
      <alignment horizontal="center" vertical="center"/>
    </xf>
    <xf numFmtId="20" fontId="1" fillId="0" borderId="0" xfId="6" applyNumberFormat="1" applyFont="1" applyFill="1" applyAlignment="1">
      <alignment horizontal="center" vertical="center"/>
    </xf>
    <xf numFmtId="49" fontId="1" fillId="0" borderId="0" xfId="5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7" fillId="0" borderId="0" xfId="1" applyFont="1" applyFill="1" applyAlignment="1">
      <alignment horizontal="center" vertical="center"/>
    </xf>
    <xf numFmtId="0" fontId="8" fillId="0" borderId="0" xfId="0" applyFont="1"/>
    <xf numFmtId="0" fontId="7" fillId="0" borderId="0" xfId="6" applyFont="1" applyFill="1" applyAlignment="1">
      <alignment horizontal="center" vertical="center"/>
    </xf>
    <xf numFmtId="20" fontId="8" fillId="0" borderId="0" xfId="0" applyNumberFormat="1" applyFont="1"/>
    <xf numFmtId="14" fontId="1" fillId="0" borderId="0" xfId="5" applyNumberFormat="1" applyFont="1" applyAlignment="1">
      <alignment horizontal="center" vertical="center"/>
    </xf>
    <xf numFmtId="20" fontId="4" fillId="0" borderId="0" xfId="5" applyNumberFormat="1" applyFont="1" applyAlignment="1">
      <alignment horizontal="center" vertical="center"/>
    </xf>
    <xf numFmtId="20" fontId="1" fillId="0" borderId="0" xfId="5" applyNumberFormat="1" applyFont="1" applyAlignment="1">
      <alignment horizontal="center" vertical="center"/>
    </xf>
  </cellXfs>
  <cellStyles count="7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J19" sqref="J19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43497</v>
      </c>
      <c r="B2" s="6" t="s">
        <v>21</v>
      </c>
      <c r="C2" s="6" t="s">
        <v>22</v>
      </c>
      <c r="D2" s="6" t="s">
        <v>23</v>
      </c>
      <c r="E2" s="6" t="s">
        <v>36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0.46388888888888885</v>
      </c>
      <c r="L2" s="8">
        <v>0.27777777777777779</v>
      </c>
      <c r="M2" s="9">
        <v>0.29166666666666669</v>
      </c>
      <c r="N2" s="3" t="s">
        <v>40</v>
      </c>
      <c r="O2" s="10" t="s">
        <v>38</v>
      </c>
      <c r="P2" s="10">
        <v>824</v>
      </c>
      <c r="Q2" s="10">
        <v>1013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43497</v>
      </c>
      <c r="B3" s="6" t="s">
        <v>21</v>
      </c>
      <c r="C3" s="6" t="s">
        <v>27</v>
      </c>
      <c r="D3" s="6" t="s">
        <v>23</v>
      </c>
      <c r="E3" s="6" t="s">
        <v>37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0.47013888888888888</v>
      </c>
      <c r="L3" s="8">
        <v>0.33333333333333331</v>
      </c>
      <c r="M3" s="9">
        <v>0.33333333333333331</v>
      </c>
      <c r="N3" s="3" t="s">
        <v>41</v>
      </c>
      <c r="O3" s="10" t="s">
        <v>39</v>
      </c>
      <c r="P3" s="6">
        <v>703</v>
      </c>
      <c r="Q3" s="10">
        <v>627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43497</v>
      </c>
      <c r="B4" s="3" t="s">
        <v>21</v>
      </c>
      <c r="C4" s="3" t="s">
        <v>30</v>
      </c>
      <c r="D4" s="3" t="s">
        <v>23</v>
      </c>
      <c r="E4" s="6" t="s">
        <v>37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0.70277777777777783</v>
      </c>
      <c r="L4" s="11">
        <v>0.50347222222222221</v>
      </c>
      <c r="M4" s="2">
        <v>0.50694444444444442</v>
      </c>
      <c r="N4" s="3" t="s">
        <v>38</v>
      </c>
      <c r="O4" s="3" t="s">
        <v>42</v>
      </c>
      <c r="P4" s="3">
        <v>885</v>
      </c>
      <c r="Q4" s="3">
        <v>812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43497</v>
      </c>
      <c r="B5" s="3" t="s">
        <v>21</v>
      </c>
      <c r="C5" s="3" t="s">
        <v>33</v>
      </c>
      <c r="D5" s="3" t="s">
        <v>23</v>
      </c>
      <c r="E5" s="6" t="s">
        <v>36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11">
        <v>0.88888888888888884</v>
      </c>
      <c r="L5" s="12">
        <v>0.63541666666666663</v>
      </c>
      <c r="M5" s="13">
        <v>0.63888888888888895</v>
      </c>
      <c r="N5" s="3" t="s">
        <v>44</v>
      </c>
      <c r="O5" s="3" t="s">
        <v>43</v>
      </c>
      <c r="P5" s="14">
        <v>1051</v>
      </c>
      <c r="Q5" s="3">
        <v>1188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43497</v>
      </c>
      <c r="B6" s="3" t="s">
        <v>45</v>
      </c>
      <c r="C6" s="3" t="s">
        <v>46</v>
      </c>
      <c r="D6" s="3" t="s">
        <v>47</v>
      </c>
      <c r="E6" s="6" t="s">
        <v>48</v>
      </c>
      <c r="F6" s="3" t="s">
        <v>49</v>
      </c>
      <c r="G6" s="15">
        <v>2250</v>
      </c>
      <c r="H6" s="6" t="s">
        <v>48</v>
      </c>
      <c r="I6" s="6" t="s">
        <v>48</v>
      </c>
      <c r="J6" s="16">
        <v>0.5625</v>
      </c>
      <c r="K6" s="2">
        <v>0.56597222222222221</v>
      </c>
      <c r="L6" s="16">
        <v>0.59027777777777779</v>
      </c>
      <c r="M6" s="17">
        <v>0.59375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18"/>
      <c r="G7" s="19"/>
      <c r="J7" s="16"/>
    </row>
    <row r="8" spans="1:21" x14ac:dyDescent="0.2">
      <c r="A8" s="18"/>
      <c r="G8" s="19"/>
      <c r="J8" s="16"/>
    </row>
    <row r="9" spans="1:21" x14ac:dyDescent="0.2">
      <c r="A9" s="18"/>
      <c r="G9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K12" sqref="K12"/>
    </sheetView>
  </sheetViews>
  <sheetFormatPr defaultRowHeight="15" x14ac:dyDescent="0.25"/>
  <cols>
    <col min="2" max="2" width="11.85546875" customWidth="1"/>
    <col min="3" max="3" width="15" customWidth="1"/>
    <col min="5" max="5" width="15.42578125" bestFit="1" customWidth="1"/>
    <col min="6" max="6" width="18.7109375" customWidth="1"/>
    <col min="9" max="9" width="10.140625" customWidth="1"/>
    <col min="10" max="10" width="11.5703125" customWidth="1"/>
    <col min="11" max="11" width="13.28515625" customWidth="1"/>
    <col min="12" max="12" width="11.85546875" customWidth="1"/>
    <col min="13" max="13" width="11" customWidth="1"/>
    <col min="14" max="14" width="19.7109375" customWidth="1"/>
    <col min="15" max="15" width="19.140625" customWidth="1"/>
    <col min="16" max="16" width="9.85546875" customWidth="1"/>
    <col min="17" max="17" width="10.85546875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43498</v>
      </c>
      <c r="B2" s="22" t="s">
        <v>21</v>
      </c>
      <c r="C2" s="22" t="s">
        <v>50</v>
      </c>
      <c r="D2" s="22" t="s">
        <v>23</v>
      </c>
      <c r="E2" s="22" t="s">
        <v>63</v>
      </c>
      <c r="F2" s="22" t="s">
        <v>24</v>
      </c>
      <c r="G2" s="23">
        <v>71500</v>
      </c>
      <c r="H2" s="22" t="s">
        <v>52</v>
      </c>
      <c r="I2" s="22" t="s">
        <v>53</v>
      </c>
      <c r="J2" s="24">
        <v>0.49652777777777773</v>
      </c>
      <c r="K2" s="25">
        <v>0.48749999999999999</v>
      </c>
      <c r="L2" s="24">
        <v>0.3125</v>
      </c>
      <c r="M2" s="25">
        <v>0.31527777777777777</v>
      </c>
      <c r="N2" s="25" t="s">
        <v>66</v>
      </c>
      <c r="O2" s="26" t="s">
        <v>64</v>
      </c>
      <c r="P2" s="26">
        <v>930</v>
      </c>
      <c r="Q2" s="26">
        <v>998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f>A2</f>
        <v>43498</v>
      </c>
      <c r="B3" s="22" t="s">
        <v>21</v>
      </c>
      <c r="C3" s="22" t="s">
        <v>54</v>
      </c>
      <c r="D3" s="22" t="s">
        <v>23</v>
      </c>
      <c r="E3" s="22" t="s">
        <v>51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0.48541666666666666</v>
      </c>
      <c r="L3" s="24">
        <v>0.35416666666666669</v>
      </c>
      <c r="M3" s="25">
        <v>0.35416666666666669</v>
      </c>
      <c r="N3" s="25" t="s">
        <v>67</v>
      </c>
      <c r="O3" s="14" t="s">
        <v>65</v>
      </c>
      <c r="P3" s="22">
        <v>713</v>
      </c>
      <c r="Q3" s="14">
        <v>475</v>
      </c>
      <c r="R3" s="22">
        <v>0</v>
      </c>
      <c r="S3" s="22">
        <v>0</v>
      </c>
      <c r="T3" s="22">
        <v>0</v>
      </c>
      <c r="U3" s="22">
        <v>0</v>
      </c>
    </row>
    <row r="4" spans="1:21" x14ac:dyDescent="0.25">
      <c r="A4" s="21">
        <f>A3</f>
        <v>43498</v>
      </c>
      <c r="B4" s="27" t="s">
        <v>21</v>
      </c>
      <c r="C4" s="27" t="s">
        <v>57</v>
      </c>
      <c r="D4" s="27" t="s">
        <v>23</v>
      </c>
      <c r="E4" s="22" t="s">
        <v>51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0.71527777777777779</v>
      </c>
      <c r="L4" s="28">
        <v>0.52777777777777779</v>
      </c>
      <c r="M4" s="29">
        <v>0.53611111111111109</v>
      </c>
      <c r="N4" s="30" t="s">
        <v>70</v>
      </c>
      <c r="O4" s="26" t="s">
        <v>68</v>
      </c>
      <c r="P4" s="22">
        <v>1152</v>
      </c>
      <c r="Q4" s="26">
        <v>1115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21">
        <f>A4</f>
        <v>43498</v>
      </c>
      <c r="B5" s="27" t="s">
        <v>21</v>
      </c>
      <c r="C5" s="27" t="s">
        <v>60</v>
      </c>
      <c r="D5" s="27" t="s">
        <v>23</v>
      </c>
      <c r="E5" s="22" t="s">
        <v>51</v>
      </c>
      <c r="F5" s="27" t="s">
        <v>24</v>
      </c>
      <c r="G5" s="31">
        <v>71500</v>
      </c>
      <c r="H5" s="27" t="s">
        <v>61</v>
      </c>
      <c r="I5" s="27" t="s">
        <v>62</v>
      </c>
      <c r="J5" s="32">
        <v>0.91319444444444453</v>
      </c>
      <c r="K5" s="33">
        <v>0.91111111111111109</v>
      </c>
      <c r="L5" s="32">
        <v>0.74305555555555547</v>
      </c>
      <c r="M5" s="34">
        <v>0.75</v>
      </c>
      <c r="N5" s="26" t="s">
        <v>71</v>
      </c>
      <c r="O5" s="26" t="s">
        <v>69</v>
      </c>
      <c r="P5" s="22">
        <v>1010</v>
      </c>
      <c r="Q5" s="26">
        <v>889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K14" sqref="K14"/>
    </sheetView>
  </sheetViews>
  <sheetFormatPr defaultRowHeight="15" x14ac:dyDescent="0.25"/>
  <cols>
    <col min="2" max="2" width="9.85546875" customWidth="1"/>
    <col min="3" max="3" width="14.5703125" customWidth="1"/>
    <col min="5" max="5" width="11.28515625" customWidth="1"/>
    <col min="6" max="6" width="16.8554687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43499</v>
      </c>
      <c r="B2" s="6" t="s">
        <v>21</v>
      </c>
      <c r="C2" s="6" t="s">
        <v>22</v>
      </c>
      <c r="D2" s="6" t="s">
        <v>23</v>
      </c>
      <c r="E2" s="27" t="s">
        <v>63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0.47569444444444442</v>
      </c>
      <c r="L2" s="8">
        <v>0.27777777777777779</v>
      </c>
      <c r="M2" s="9">
        <v>0.28125</v>
      </c>
      <c r="N2" s="10" t="s">
        <v>82</v>
      </c>
      <c r="O2" s="10" t="s">
        <v>81</v>
      </c>
      <c r="P2" s="10">
        <v>1024</v>
      </c>
      <c r="Q2" s="10">
        <v>907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43499</v>
      </c>
      <c r="B3" s="6" t="s">
        <v>21</v>
      </c>
      <c r="C3" s="6" t="s">
        <v>72</v>
      </c>
      <c r="D3" s="6" t="s">
        <v>23</v>
      </c>
      <c r="E3" s="6" t="s">
        <v>36</v>
      </c>
      <c r="F3" s="6" t="s">
        <v>24</v>
      </c>
      <c r="G3" s="7">
        <v>71500</v>
      </c>
      <c r="H3" s="6" t="s">
        <v>73</v>
      </c>
      <c r="I3" s="6" t="s">
        <v>74</v>
      </c>
      <c r="J3" s="8">
        <v>0.65277777777777779</v>
      </c>
      <c r="K3" s="9">
        <v>0.65694444444444444</v>
      </c>
      <c r="L3" s="8">
        <v>0.5</v>
      </c>
      <c r="M3" s="9">
        <v>0.51180555555555551</v>
      </c>
      <c r="N3" s="10" t="s">
        <v>86</v>
      </c>
      <c r="O3" s="10" t="s">
        <v>83</v>
      </c>
      <c r="P3" s="6">
        <v>879</v>
      </c>
      <c r="Q3" s="10">
        <v>983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43499</v>
      </c>
      <c r="B4" s="27" t="s">
        <v>21</v>
      </c>
      <c r="C4" s="27" t="s">
        <v>75</v>
      </c>
      <c r="D4" s="27" t="s">
        <v>23</v>
      </c>
      <c r="E4" s="27" t="s">
        <v>63</v>
      </c>
      <c r="F4" s="27" t="s">
        <v>24</v>
      </c>
      <c r="G4" s="31">
        <v>71500</v>
      </c>
      <c r="H4" s="27" t="s">
        <v>76</v>
      </c>
      <c r="I4" s="27" t="s">
        <v>77</v>
      </c>
      <c r="J4" s="28">
        <v>0.69791666666666663</v>
      </c>
      <c r="K4" s="29">
        <v>0.71458333333333324</v>
      </c>
      <c r="L4" s="28">
        <v>0.52777777777777779</v>
      </c>
      <c r="M4" s="29">
        <v>0.54583333333333328</v>
      </c>
      <c r="N4" s="27" t="s">
        <v>87</v>
      </c>
      <c r="O4" s="38" t="s">
        <v>84</v>
      </c>
      <c r="P4" s="27">
        <v>1200</v>
      </c>
      <c r="Q4" s="27">
        <v>856</v>
      </c>
      <c r="R4" s="27">
        <v>0</v>
      </c>
      <c r="S4" s="27">
        <v>0</v>
      </c>
      <c r="T4" s="27">
        <v>0</v>
      </c>
      <c r="U4" s="27">
        <v>0</v>
      </c>
    </row>
    <row r="5" spans="1:21" s="36" customFormat="1" ht="12.75" x14ac:dyDescent="0.25">
      <c r="A5" s="37">
        <f>A4</f>
        <v>43499</v>
      </c>
      <c r="B5" s="27" t="s">
        <v>21</v>
      </c>
      <c r="C5" s="27" t="s">
        <v>78</v>
      </c>
      <c r="D5" s="27" t="s">
        <v>23</v>
      </c>
      <c r="E5" s="6" t="s">
        <v>36</v>
      </c>
      <c r="F5" s="27" t="s">
        <v>24</v>
      </c>
      <c r="G5" s="31">
        <v>71500</v>
      </c>
      <c r="H5" s="27" t="s">
        <v>79</v>
      </c>
      <c r="I5" s="27" t="s">
        <v>80</v>
      </c>
      <c r="J5" s="12">
        <v>0.88888888888888884</v>
      </c>
      <c r="K5" s="39">
        <v>0.88680555555555562</v>
      </c>
      <c r="L5" s="12">
        <v>0.68402777777777779</v>
      </c>
      <c r="M5" s="39">
        <v>0.69791666666666663</v>
      </c>
      <c r="N5" s="36" t="s">
        <v>88</v>
      </c>
      <c r="O5" s="40" t="s">
        <v>85</v>
      </c>
      <c r="P5" s="27">
        <v>933</v>
      </c>
      <c r="Q5" s="27">
        <v>1467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E1" workbookViewId="0">
      <selection activeCell="K6" sqref="K6"/>
    </sheetView>
  </sheetViews>
  <sheetFormatPr defaultRowHeight="15" x14ac:dyDescent="0.25"/>
  <cols>
    <col min="3" max="3" width="15.42578125" customWidth="1"/>
    <col min="6" max="6" width="14.42578125" customWidth="1"/>
    <col min="10" max="12" width="10.85546875" customWidth="1"/>
    <col min="13" max="13" width="12.28515625" customWidth="1"/>
    <col min="14" max="14" width="19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43500</v>
      </c>
      <c r="B2" s="41" t="s">
        <v>21</v>
      </c>
      <c r="C2" s="41" t="s">
        <v>22</v>
      </c>
      <c r="D2" s="41" t="s">
        <v>23</v>
      </c>
      <c r="E2" s="41" t="s">
        <v>63</v>
      </c>
      <c r="F2" s="41" t="s">
        <v>24</v>
      </c>
      <c r="G2" s="42">
        <v>71500</v>
      </c>
      <c r="H2" s="41" t="s">
        <v>26</v>
      </c>
      <c r="I2" s="41" t="s">
        <v>25</v>
      </c>
      <c r="J2" s="43">
        <v>0.4826388888888889</v>
      </c>
      <c r="K2" s="44">
        <v>0.47013888888888888</v>
      </c>
      <c r="L2" s="43">
        <v>0.27777777777777779</v>
      </c>
      <c r="M2" s="9">
        <v>0.28125</v>
      </c>
      <c r="N2" s="10" t="s">
        <v>40</v>
      </c>
      <c r="O2" s="10" t="s">
        <v>89</v>
      </c>
      <c r="P2" s="10">
        <v>1123</v>
      </c>
      <c r="Q2" s="10">
        <v>575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43500</v>
      </c>
      <c r="B3" s="41" t="s">
        <v>21</v>
      </c>
      <c r="C3" s="41" t="s">
        <v>27</v>
      </c>
      <c r="D3" s="41" t="s">
        <v>23</v>
      </c>
      <c r="E3" s="41" t="s">
        <v>51</v>
      </c>
      <c r="F3" s="41" t="s">
        <v>24</v>
      </c>
      <c r="G3" s="42">
        <v>71500</v>
      </c>
      <c r="H3" s="41" t="s">
        <v>29</v>
      </c>
      <c r="I3" s="41" t="s">
        <v>28</v>
      </c>
      <c r="J3" s="43">
        <v>0.4826388888888889</v>
      </c>
      <c r="K3" s="44">
        <v>0.49513888888888885</v>
      </c>
      <c r="L3" s="43">
        <v>0.33333333333333331</v>
      </c>
      <c r="M3" s="9">
        <v>0.3347222222222222</v>
      </c>
      <c r="N3" s="10" t="s">
        <v>91</v>
      </c>
      <c r="O3" s="10" t="s">
        <v>90</v>
      </c>
      <c r="P3" s="6">
        <v>694</v>
      </c>
      <c r="Q3" s="10">
        <v>522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43500</v>
      </c>
      <c r="B4" s="3" t="s">
        <v>21</v>
      </c>
      <c r="C4" s="3" t="s">
        <v>30</v>
      </c>
      <c r="D4" s="3" t="s">
        <v>23</v>
      </c>
      <c r="E4" s="41" t="s">
        <v>51</v>
      </c>
      <c r="F4" s="3" t="s">
        <v>24</v>
      </c>
      <c r="G4" s="15">
        <v>71500</v>
      </c>
      <c r="H4" s="3" t="s">
        <v>32</v>
      </c>
      <c r="I4" s="3" t="s">
        <v>31</v>
      </c>
      <c r="J4" s="11">
        <v>0.71180555555555547</v>
      </c>
      <c r="K4" s="2">
        <v>0.72916666666666663</v>
      </c>
      <c r="L4" s="11">
        <v>0.50347222222222221</v>
      </c>
      <c r="M4" s="29">
        <v>0.52986111111111112</v>
      </c>
      <c r="N4" s="27" t="s">
        <v>94</v>
      </c>
      <c r="O4" s="38" t="s">
        <v>92</v>
      </c>
      <c r="P4" s="27">
        <v>915</v>
      </c>
      <c r="Q4" s="27">
        <v>866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37">
        <f>A4</f>
        <v>43500</v>
      </c>
      <c r="B5" s="27" t="s">
        <v>21</v>
      </c>
      <c r="C5" s="27" t="s">
        <v>33</v>
      </c>
      <c r="D5" s="27" t="s">
        <v>23</v>
      </c>
      <c r="E5" s="41" t="s">
        <v>63</v>
      </c>
      <c r="F5" s="27" t="s">
        <v>24</v>
      </c>
      <c r="G5" s="42">
        <v>71500</v>
      </c>
      <c r="H5" s="27" t="s">
        <v>34</v>
      </c>
      <c r="I5" s="27" t="s">
        <v>35</v>
      </c>
      <c r="J5" s="12">
        <v>0.87152777777777779</v>
      </c>
      <c r="K5" s="39">
        <v>0.88750000000000007</v>
      </c>
      <c r="L5" s="12">
        <v>0.63541666666666663</v>
      </c>
      <c r="M5" s="39">
        <v>0.64027777777777783</v>
      </c>
      <c r="N5" s="27" t="s">
        <v>95</v>
      </c>
      <c r="O5" s="27" t="s">
        <v>93</v>
      </c>
      <c r="P5" s="27">
        <v>1140</v>
      </c>
      <c r="Q5" s="27">
        <v>1252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C1" workbookViewId="0">
      <selection activeCell="K5" sqref="K5"/>
    </sheetView>
  </sheetViews>
  <sheetFormatPr defaultRowHeight="15" x14ac:dyDescent="0.25"/>
  <cols>
    <col min="3" max="3" width="15.42578125" customWidth="1"/>
    <col min="6" max="6" width="14.42578125" customWidth="1"/>
    <col min="10" max="12" width="10.85546875" customWidth="1"/>
    <col min="13" max="13" width="12.28515625" customWidth="1"/>
    <col min="14" max="14" width="19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43501</v>
      </c>
      <c r="B2" s="22" t="s">
        <v>21</v>
      </c>
      <c r="C2" s="22" t="s">
        <v>50</v>
      </c>
      <c r="D2" s="22" t="s">
        <v>23</v>
      </c>
      <c r="E2" s="22" t="s">
        <v>51</v>
      </c>
      <c r="F2" s="22" t="s">
        <v>24</v>
      </c>
      <c r="G2" s="23">
        <v>71500</v>
      </c>
      <c r="H2" s="22" t="s">
        <v>52</v>
      </c>
      <c r="I2" s="22" t="s">
        <v>53</v>
      </c>
      <c r="J2" s="24">
        <v>0.49652777777777773</v>
      </c>
      <c r="K2" s="25">
        <v>0.49305555555555558</v>
      </c>
      <c r="L2" s="24">
        <v>0.3125</v>
      </c>
      <c r="M2" s="25">
        <v>0.3263888888888889</v>
      </c>
      <c r="N2" s="25" t="s">
        <v>99</v>
      </c>
      <c r="O2" s="25" t="s">
        <v>97</v>
      </c>
      <c r="P2" s="26">
        <v>783</v>
      </c>
      <c r="Q2" s="26">
        <v>567</v>
      </c>
      <c r="R2" s="22">
        <v>0</v>
      </c>
      <c r="S2" s="22">
        <v>0</v>
      </c>
      <c r="T2" s="22">
        <v>0</v>
      </c>
      <c r="U2" s="22">
        <v>0</v>
      </c>
    </row>
    <row r="3" spans="1:21" s="36" customFormat="1" ht="12.75" x14ac:dyDescent="0.25">
      <c r="A3" s="21">
        <f>A2</f>
        <v>43501</v>
      </c>
      <c r="B3" s="22" t="s">
        <v>21</v>
      </c>
      <c r="C3" s="22" t="s">
        <v>96</v>
      </c>
      <c r="D3" s="22" t="s">
        <v>23</v>
      </c>
      <c r="E3" s="22" t="s">
        <v>63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0.4826388888888889</v>
      </c>
      <c r="L3" s="24">
        <v>0.35416666666666669</v>
      </c>
      <c r="M3" s="25">
        <v>0.3576388888888889</v>
      </c>
      <c r="N3" s="25" t="s">
        <v>100</v>
      </c>
      <c r="O3" s="25" t="s">
        <v>98</v>
      </c>
      <c r="P3" s="26">
        <v>452</v>
      </c>
      <c r="Q3" s="26">
        <v>388</v>
      </c>
      <c r="R3" s="22">
        <v>0</v>
      </c>
      <c r="S3" s="22">
        <v>0</v>
      </c>
      <c r="T3" s="22">
        <v>0</v>
      </c>
      <c r="U3" s="22">
        <v>0</v>
      </c>
    </row>
    <row r="4" spans="1:21" s="27" customFormat="1" ht="12.75" x14ac:dyDescent="0.25">
      <c r="A4" s="37">
        <f>A3</f>
        <v>43501</v>
      </c>
      <c r="B4" s="27" t="s">
        <v>21</v>
      </c>
      <c r="C4" s="27" t="s">
        <v>57</v>
      </c>
      <c r="D4" s="27" t="s">
        <v>23</v>
      </c>
      <c r="E4" s="22" t="s">
        <v>63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0.72013888888888899</v>
      </c>
      <c r="L4" s="28">
        <v>0.52777777777777779</v>
      </c>
      <c r="M4" s="29">
        <v>0.52638888888888891</v>
      </c>
      <c r="N4" s="26" t="s">
        <v>102</v>
      </c>
      <c r="O4" s="26" t="s">
        <v>101</v>
      </c>
      <c r="P4" s="22">
        <v>983</v>
      </c>
      <c r="Q4" s="26">
        <v>816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37">
        <f>A4</f>
        <v>43501</v>
      </c>
      <c r="B5" s="27" t="s">
        <v>21</v>
      </c>
      <c r="C5" s="27" t="s">
        <v>60</v>
      </c>
      <c r="D5" s="27" t="s">
        <v>23</v>
      </c>
      <c r="E5" s="22" t="s">
        <v>51</v>
      </c>
      <c r="F5" s="27" t="s">
        <v>24</v>
      </c>
      <c r="G5" s="23">
        <v>71500</v>
      </c>
      <c r="H5" s="27" t="s">
        <v>61</v>
      </c>
      <c r="I5" s="27" t="s">
        <v>62</v>
      </c>
      <c r="J5" s="32">
        <v>0.91319444444444453</v>
      </c>
      <c r="K5" s="33">
        <v>0.90902777777777777</v>
      </c>
      <c r="L5" s="32">
        <v>0.74305555555555547</v>
      </c>
      <c r="M5" s="33">
        <v>0.74652777777777779</v>
      </c>
      <c r="N5" s="33" t="s">
        <v>104</v>
      </c>
      <c r="O5" s="26" t="s">
        <v>103</v>
      </c>
      <c r="P5" s="22">
        <v>865</v>
      </c>
      <c r="Q5" s="26">
        <v>738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3" sqref="K3"/>
    </sheetView>
  </sheetViews>
  <sheetFormatPr defaultRowHeight="15" x14ac:dyDescent="0.25"/>
  <cols>
    <col min="3" max="3" width="16.42578125" customWidth="1"/>
    <col min="6" max="6" width="14.85546875" customWidth="1"/>
    <col min="11" max="11" width="13.7109375" customWidth="1"/>
    <col min="12" max="12" width="14" customWidth="1"/>
    <col min="13" max="13" width="15.28515625" customWidth="1"/>
    <col min="14" max="14" width="20" customWidth="1"/>
    <col min="15" max="15" width="21.140625" customWidth="1"/>
    <col min="16" max="16" width="15.28515625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43502</v>
      </c>
      <c r="B2" s="22" t="s">
        <v>21</v>
      </c>
      <c r="C2" s="22" t="s">
        <v>75</v>
      </c>
      <c r="D2" s="22" t="s">
        <v>23</v>
      </c>
      <c r="E2" s="22" t="s">
        <v>51</v>
      </c>
      <c r="F2" s="22" t="s">
        <v>24</v>
      </c>
      <c r="G2" s="45">
        <v>71.5</v>
      </c>
      <c r="H2" s="22" t="s">
        <v>76</v>
      </c>
      <c r="I2" s="22" t="s">
        <v>77</v>
      </c>
      <c r="J2" s="24">
        <v>0.69791666666666663</v>
      </c>
      <c r="K2" s="25">
        <v>0.69791666666666663</v>
      </c>
      <c r="L2" s="24">
        <v>0.52777777777777779</v>
      </c>
      <c r="M2" s="25">
        <v>0.53472222222222221</v>
      </c>
      <c r="N2" s="25" t="s">
        <v>106</v>
      </c>
      <c r="O2" s="25" t="s">
        <v>95</v>
      </c>
      <c r="P2" s="26">
        <v>1157</v>
      </c>
      <c r="Q2" s="26">
        <v>692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v>43502</v>
      </c>
      <c r="B3" s="22" t="s">
        <v>21</v>
      </c>
      <c r="C3" s="22" t="s">
        <v>78</v>
      </c>
      <c r="D3" s="22" t="s">
        <v>23</v>
      </c>
      <c r="E3" s="22" t="s">
        <v>63</v>
      </c>
      <c r="F3" s="22" t="s">
        <v>24</v>
      </c>
      <c r="G3" s="45">
        <v>71.5</v>
      </c>
      <c r="H3" s="22" t="s">
        <v>79</v>
      </c>
      <c r="I3" s="22" t="s">
        <v>80</v>
      </c>
      <c r="J3" s="24">
        <v>0.86458333333333337</v>
      </c>
      <c r="K3" s="25">
        <v>0.8534722222222223</v>
      </c>
      <c r="L3" s="24">
        <v>0.65972222222222221</v>
      </c>
      <c r="M3" s="25">
        <v>0.6645833333333333</v>
      </c>
      <c r="N3" s="25" t="s">
        <v>107</v>
      </c>
      <c r="O3" s="25" t="s">
        <v>105</v>
      </c>
      <c r="P3" s="26">
        <v>955</v>
      </c>
      <c r="Q3" s="26">
        <v>1106</v>
      </c>
      <c r="R3" s="22">
        <v>0</v>
      </c>
      <c r="S3" s="22">
        <v>0</v>
      </c>
      <c r="T3" s="22">
        <v>0</v>
      </c>
      <c r="U3" s="2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K3" sqref="K3"/>
    </sheetView>
  </sheetViews>
  <sheetFormatPr defaultRowHeight="15" x14ac:dyDescent="0.25"/>
  <cols>
    <col min="2" max="2" width="21.28515625" customWidth="1"/>
    <col min="3" max="3" width="12.85546875" bestFit="1" customWidth="1"/>
    <col min="6" max="6" width="16.425781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4" customFormat="1" ht="12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4" customFormat="1" ht="12.75" x14ac:dyDescent="0.2">
      <c r="A2" s="18">
        <v>43503</v>
      </c>
      <c r="B2" s="4" t="s">
        <v>21</v>
      </c>
      <c r="C2" s="4" t="s">
        <v>72</v>
      </c>
      <c r="D2" s="4" t="s">
        <v>23</v>
      </c>
      <c r="E2" s="6" t="s">
        <v>51</v>
      </c>
      <c r="F2" s="4" t="s">
        <v>24</v>
      </c>
      <c r="G2" s="19">
        <v>71500</v>
      </c>
      <c r="H2" s="6" t="s">
        <v>73</v>
      </c>
      <c r="I2" s="6" t="s">
        <v>74</v>
      </c>
      <c r="J2" s="8">
        <v>0.65277777777777779</v>
      </c>
      <c r="K2" s="9">
        <v>0.64444444444444449</v>
      </c>
      <c r="L2" s="8">
        <v>0.5</v>
      </c>
      <c r="M2" s="9">
        <v>0.50138888888888888</v>
      </c>
      <c r="N2" s="4" t="s">
        <v>116</v>
      </c>
      <c r="O2" s="47" t="s">
        <v>115</v>
      </c>
      <c r="P2" s="4">
        <v>870</v>
      </c>
      <c r="Q2" s="47">
        <v>629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8">
        <f>A2</f>
        <v>43503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19">
        <v>2370</v>
      </c>
      <c r="H3" s="6" t="s">
        <v>113</v>
      </c>
      <c r="I3" s="6" t="s">
        <v>113</v>
      </c>
      <c r="J3" s="16" t="s">
        <v>114</v>
      </c>
      <c r="K3" s="17" t="s">
        <v>114</v>
      </c>
      <c r="L3" s="16">
        <v>0.41666666666666669</v>
      </c>
      <c r="M3" s="17">
        <v>0.41875000000000001</v>
      </c>
      <c r="N3" s="4">
        <v>0</v>
      </c>
      <c r="O3" s="47">
        <v>0</v>
      </c>
      <c r="P3" s="4">
        <v>0</v>
      </c>
      <c r="Q3" s="47">
        <v>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18"/>
      <c r="E4" s="6"/>
      <c r="G4" s="19"/>
      <c r="H4" s="6"/>
      <c r="I4" s="6"/>
      <c r="J4" s="8"/>
      <c r="K4" s="9"/>
      <c r="L4" s="8"/>
      <c r="M4" s="9"/>
      <c r="O4" s="47"/>
      <c r="Q4" s="47"/>
      <c r="R4" s="6"/>
      <c r="S4" s="6"/>
      <c r="T4" s="6"/>
      <c r="U4" s="6"/>
    </row>
    <row r="5" spans="1:21" s="4" customFormat="1" ht="12.75" x14ac:dyDescent="0.2">
      <c r="A5" s="46"/>
      <c r="B5" s="6"/>
      <c r="C5" s="6"/>
      <c r="D5" s="6"/>
      <c r="E5" s="6"/>
      <c r="F5" s="6"/>
      <c r="G5" s="7"/>
      <c r="H5" s="6"/>
      <c r="I5" s="6"/>
      <c r="J5" s="9"/>
      <c r="K5" s="9"/>
      <c r="L5" s="6"/>
      <c r="M5" s="6"/>
      <c r="N5" s="6"/>
      <c r="O5" s="6"/>
      <c r="P5" s="6"/>
      <c r="Q5" s="10"/>
      <c r="R5" s="6"/>
      <c r="S5" s="6"/>
      <c r="T5" s="6"/>
      <c r="U5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N4" sqref="N4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43504</v>
      </c>
      <c r="B2" s="6" t="s">
        <v>21</v>
      </c>
      <c r="C2" s="6" t="s">
        <v>22</v>
      </c>
      <c r="D2" s="6" t="s">
        <v>23</v>
      </c>
      <c r="E2" s="6" t="s">
        <v>36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0.51736111111111105</v>
      </c>
      <c r="L2" s="8">
        <v>0.27777777777777779</v>
      </c>
      <c r="M2" s="9">
        <v>0.36805555555555558</v>
      </c>
      <c r="N2" s="3" t="s">
        <v>119</v>
      </c>
      <c r="O2" s="10" t="s">
        <v>117</v>
      </c>
      <c r="P2" s="10">
        <v>818</v>
      </c>
      <c r="Q2" s="10">
        <v>641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43504</v>
      </c>
      <c r="B3" s="6" t="s">
        <v>21</v>
      </c>
      <c r="C3" s="6" t="s">
        <v>27</v>
      </c>
      <c r="D3" s="6" t="s">
        <v>23</v>
      </c>
      <c r="E3" s="6" t="s">
        <v>37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0.4826388888888889</v>
      </c>
      <c r="K3" s="2">
        <v>0.5444444444444444</v>
      </c>
      <c r="L3" s="8">
        <v>0.33333333333333331</v>
      </c>
      <c r="M3" s="9">
        <v>0.38055555555555554</v>
      </c>
      <c r="N3" s="3" t="s">
        <v>94</v>
      </c>
      <c r="O3" s="10" t="s">
        <v>118</v>
      </c>
      <c r="P3" s="6">
        <v>433</v>
      </c>
      <c r="Q3" s="10">
        <v>620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43504</v>
      </c>
      <c r="B4" s="3" t="s">
        <v>21</v>
      </c>
      <c r="C4" s="3" t="s">
        <v>30</v>
      </c>
      <c r="D4" s="3" t="s">
        <v>23</v>
      </c>
      <c r="E4" s="6" t="s">
        <v>37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0.71180555555555547</v>
      </c>
      <c r="K4" s="2">
        <v>0.76527777777777783</v>
      </c>
      <c r="L4" s="11">
        <v>0.50347222222222221</v>
      </c>
      <c r="M4" s="2">
        <v>0.56388888888888888</v>
      </c>
      <c r="N4" s="3" t="s">
        <v>128</v>
      </c>
      <c r="O4" s="3" t="s">
        <v>120</v>
      </c>
      <c r="P4" s="3">
        <v>687</v>
      </c>
      <c r="Q4" s="3">
        <v>874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43504</v>
      </c>
      <c r="B5" s="3" t="s">
        <v>21</v>
      </c>
      <c r="C5" s="3" t="s">
        <v>33</v>
      </c>
      <c r="D5" s="3" t="s">
        <v>23</v>
      </c>
      <c r="E5" s="6" t="s">
        <v>36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11">
        <v>0.85972222222222217</v>
      </c>
      <c r="L5" s="12">
        <v>0.63541666666666663</v>
      </c>
      <c r="M5" s="13">
        <v>0.6333333333333333</v>
      </c>
      <c r="N5" s="3" t="s">
        <v>127</v>
      </c>
      <c r="O5" s="3" t="s">
        <v>126</v>
      </c>
      <c r="P5" s="14">
        <v>992</v>
      </c>
      <c r="Q5" s="3">
        <v>1139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f>A5</f>
        <v>43504</v>
      </c>
      <c r="B6" s="3" t="s">
        <v>21</v>
      </c>
      <c r="C6" s="3" t="s">
        <v>121</v>
      </c>
      <c r="D6" s="3" t="s">
        <v>23</v>
      </c>
      <c r="E6" s="6" t="s">
        <v>122</v>
      </c>
      <c r="F6" s="48" t="s">
        <v>123</v>
      </c>
      <c r="G6" s="7">
        <v>71500</v>
      </c>
      <c r="H6" s="6" t="s">
        <v>124</v>
      </c>
      <c r="I6" s="6" t="s">
        <v>125</v>
      </c>
      <c r="J6" s="16">
        <v>0.6875</v>
      </c>
      <c r="K6" s="2">
        <v>0.67638888888888893</v>
      </c>
      <c r="L6" s="16">
        <v>0.73263888888888884</v>
      </c>
      <c r="M6" s="17">
        <v>0.80208333333333337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18"/>
      <c r="G7" s="19"/>
      <c r="J7" s="16"/>
    </row>
    <row r="8" spans="1:21" x14ac:dyDescent="0.2">
      <c r="A8" s="18"/>
      <c r="G8" s="19"/>
      <c r="J8" s="16"/>
    </row>
    <row r="9" spans="1:21" x14ac:dyDescent="0.2">
      <c r="A9" s="18"/>
      <c r="G9" s="1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P30" sqref="P30"/>
    </sheetView>
  </sheetViews>
  <sheetFormatPr defaultRowHeight="15" x14ac:dyDescent="0.25"/>
  <cols>
    <col min="1" max="1" width="9.140625" style="49"/>
    <col min="2" max="2" width="11.85546875" style="49" customWidth="1"/>
    <col min="3" max="3" width="15" style="49" customWidth="1"/>
    <col min="4" max="4" width="9.140625" style="49"/>
    <col min="5" max="5" width="15.42578125" style="49" bestFit="1" customWidth="1"/>
    <col min="6" max="6" width="18.7109375" style="49" customWidth="1"/>
    <col min="7" max="8" width="9.140625" style="49"/>
    <col min="9" max="9" width="10.140625" style="49" customWidth="1"/>
    <col min="10" max="10" width="11.5703125" style="49" customWidth="1"/>
    <col min="11" max="11" width="13.28515625" style="49" customWidth="1"/>
    <col min="12" max="12" width="11.85546875" style="49" customWidth="1"/>
    <col min="13" max="13" width="11" style="49" customWidth="1"/>
    <col min="14" max="14" width="19.7109375" style="49" customWidth="1"/>
    <col min="15" max="15" width="19.140625" style="49" customWidth="1"/>
    <col min="16" max="16" width="9.85546875" style="49" customWidth="1"/>
    <col min="17" max="17" width="10.85546875" style="49" customWidth="1"/>
    <col min="18" max="16384" width="9.140625" style="49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43505</v>
      </c>
      <c r="B2" s="22" t="s">
        <v>21</v>
      </c>
      <c r="C2" s="22" t="s">
        <v>50</v>
      </c>
      <c r="D2" s="22" t="s">
        <v>23</v>
      </c>
      <c r="E2" s="22" t="s">
        <v>129</v>
      </c>
      <c r="F2" s="22" t="s">
        <v>24</v>
      </c>
      <c r="G2" s="23">
        <v>70000</v>
      </c>
      <c r="H2" s="22" t="s">
        <v>52</v>
      </c>
      <c r="I2" s="22" t="s">
        <v>53</v>
      </c>
      <c r="J2" s="24">
        <v>0.49652777777777773</v>
      </c>
      <c r="K2" s="25">
        <v>0.61319444444444449</v>
      </c>
      <c r="L2" s="24">
        <v>0.3125</v>
      </c>
      <c r="M2" s="25">
        <v>0.4368055555555555</v>
      </c>
      <c r="N2" s="25" t="s">
        <v>133</v>
      </c>
      <c r="O2" s="26" t="s">
        <v>130</v>
      </c>
      <c r="P2" s="26">
        <v>848</v>
      </c>
      <c r="Q2" s="26">
        <v>1136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f>A2</f>
        <v>43505</v>
      </c>
      <c r="B3" s="22" t="s">
        <v>21</v>
      </c>
      <c r="C3" s="22" t="s">
        <v>54</v>
      </c>
      <c r="D3" s="22" t="s">
        <v>23</v>
      </c>
      <c r="E3" s="22" t="s">
        <v>51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0.55347222222222225</v>
      </c>
      <c r="L3" s="24">
        <v>0.35416666666666669</v>
      </c>
      <c r="M3" s="25">
        <v>0.44305555555555554</v>
      </c>
      <c r="N3" s="25" t="s">
        <v>132</v>
      </c>
      <c r="O3" s="14" t="s">
        <v>131</v>
      </c>
      <c r="P3" s="22">
        <v>401</v>
      </c>
      <c r="Q3" s="14">
        <v>617</v>
      </c>
      <c r="R3" s="22">
        <v>0</v>
      </c>
      <c r="S3" s="22">
        <v>0</v>
      </c>
      <c r="T3" s="22">
        <v>0</v>
      </c>
      <c r="U3" s="22">
        <v>0</v>
      </c>
    </row>
    <row r="4" spans="1:21" x14ac:dyDescent="0.25">
      <c r="A4" s="21">
        <f>A3</f>
        <v>43505</v>
      </c>
      <c r="B4" s="27" t="s">
        <v>21</v>
      </c>
      <c r="C4" s="27" t="s">
        <v>57</v>
      </c>
      <c r="D4" s="27" t="s">
        <v>23</v>
      </c>
      <c r="E4" s="22" t="s">
        <v>51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0.77083333333333337</v>
      </c>
      <c r="L4" s="28">
        <v>0.52777777777777779</v>
      </c>
      <c r="M4" s="29">
        <v>0.58750000000000002</v>
      </c>
      <c r="N4" s="4" t="s">
        <v>120</v>
      </c>
      <c r="O4" s="26" t="s">
        <v>134</v>
      </c>
      <c r="P4" s="22">
        <v>1338</v>
      </c>
      <c r="Q4" s="26">
        <v>1046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21">
        <f>A4</f>
        <v>43505</v>
      </c>
      <c r="B5" s="27" t="s">
        <v>21</v>
      </c>
      <c r="C5" s="27" t="s">
        <v>60</v>
      </c>
      <c r="D5" s="27" t="s">
        <v>23</v>
      </c>
      <c r="E5" s="22" t="s">
        <v>129</v>
      </c>
      <c r="F5" s="27" t="s">
        <v>24</v>
      </c>
      <c r="G5" s="31">
        <v>70000</v>
      </c>
      <c r="H5" s="27" t="s">
        <v>61</v>
      </c>
      <c r="I5" s="27" t="s">
        <v>62</v>
      </c>
      <c r="J5" s="32">
        <v>0.91319444444444453</v>
      </c>
      <c r="K5" s="33">
        <v>0.9277777777777777</v>
      </c>
      <c r="L5" s="32">
        <v>0.74305555555555547</v>
      </c>
      <c r="M5" s="34">
        <v>0.76736111111111116</v>
      </c>
      <c r="N5" s="26" t="s">
        <v>136</v>
      </c>
      <c r="O5" s="26" t="s">
        <v>135</v>
      </c>
      <c r="P5" s="22">
        <v>1000</v>
      </c>
      <c r="Q5" s="26">
        <v>1063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N24" sqref="N24"/>
    </sheetView>
  </sheetViews>
  <sheetFormatPr defaultRowHeight="15" x14ac:dyDescent="0.25"/>
  <cols>
    <col min="2" max="2" width="9.85546875" customWidth="1"/>
    <col min="3" max="3" width="14.5703125" customWidth="1"/>
    <col min="5" max="5" width="17.140625" customWidth="1"/>
    <col min="6" max="6" width="16.8554687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43506</v>
      </c>
      <c r="B2" s="6" t="s">
        <v>21</v>
      </c>
      <c r="C2" s="6" t="s">
        <v>22</v>
      </c>
      <c r="D2" s="6" t="s">
        <v>23</v>
      </c>
      <c r="E2" s="27" t="s">
        <v>138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0.47152777777777777</v>
      </c>
      <c r="L2" s="8">
        <v>0.27777777777777779</v>
      </c>
      <c r="M2" s="9">
        <v>0.27916666666666667</v>
      </c>
      <c r="N2" s="10" t="s">
        <v>140</v>
      </c>
      <c r="O2" s="10" t="s">
        <v>139</v>
      </c>
      <c r="P2" s="10">
        <v>1204</v>
      </c>
      <c r="Q2" s="10">
        <v>1052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43506</v>
      </c>
      <c r="B3" s="6" t="s">
        <v>21</v>
      </c>
      <c r="C3" s="6" t="s">
        <v>72</v>
      </c>
      <c r="D3" s="6" t="s">
        <v>23</v>
      </c>
      <c r="E3" s="6" t="s">
        <v>129</v>
      </c>
      <c r="F3" s="6" t="s">
        <v>24</v>
      </c>
      <c r="G3" s="7">
        <v>70000</v>
      </c>
      <c r="H3" s="6" t="s">
        <v>73</v>
      </c>
      <c r="I3" s="6" t="s">
        <v>74</v>
      </c>
      <c r="J3" s="8">
        <v>0.65277777777777779</v>
      </c>
      <c r="K3" s="9">
        <v>0.64166666666666672</v>
      </c>
      <c r="L3" s="8">
        <v>0.5</v>
      </c>
      <c r="M3" s="9">
        <v>0.50624999999999998</v>
      </c>
      <c r="N3" s="10" t="s">
        <v>68</v>
      </c>
      <c r="O3" s="10" t="s">
        <v>141</v>
      </c>
      <c r="P3" s="6">
        <v>939</v>
      </c>
      <c r="Q3" s="10">
        <v>701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43506</v>
      </c>
      <c r="B4" s="27" t="s">
        <v>21</v>
      </c>
      <c r="C4" s="27" t="s">
        <v>75</v>
      </c>
      <c r="D4" s="27" t="s">
        <v>23</v>
      </c>
      <c r="E4" s="27" t="s">
        <v>137</v>
      </c>
      <c r="F4" s="27" t="s">
        <v>24</v>
      </c>
      <c r="G4" s="31">
        <v>71500</v>
      </c>
      <c r="H4" s="27" t="s">
        <v>76</v>
      </c>
      <c r="I4" s="27" t="s">
        <v>77</v>
      </c>
      <c r="J4" s="28">
        <v>0.69791666666666663</v>
      </c>
      <c r="K4" s="29">
        <v>0.88194444444444453</v>
      </c>
      <c r="L4" s="28">
        <v>0.52777777777777779</v>
      </c>
      <c r="M4" s="29">
        <v>0.53194444444444444</v>
      </c>
      <c r="N4" s="27" t="s">
        <v>145</v>
      </c>
      <c r="O4" s="38" t="s">
        <v>142</v>
      </c>
      <c r="P4" s="27">
        <v>676</v>
      </c>
      <c r="Q4" s="27">
        <v>813</v>
      </c>
      <c r="R4" s="27">
        <v>0</v>
      </c>
      <c r="S4" s="27">
        <v>0</v>
      </c>
      <c r="T4" s="27">
        <v>0</v>
      </c>
      <c r="U4" s="27">
        <v>0</v>
      </c>
    </row>
    <row r="5" spans="1:21" s="36" customFormat="1" ht="12.75" x14ac:dyDescent="0.25">
      <c r="A5" s="37">
        <f>A4</f>
        <v>43506</v>
      </c>
      <c r="B5" s="27" t="s">
        <v>21</v>
      </c>
      <c r="C5" s="27" t="s">
        <v>78</v>
      </c>
      <c r="D5" s="27" t="s">
        <v>23</v>
      </c>
      <c r="E5" s="6" t="s">
        <v>129</v>
      </c>
      <c r="F5" s="27" t="s">
        <v>24</v>
      </c>
      <c r="G5" s="31">
        <v>70000</v>
      </c>
      <c r="H5" s="27" t="s">
        <v>79</v>
      </c>
      <c r="I5" s="27" t="s">
        <v>80</v>
      </c>
      <c r="J5" s="12">
        <v>0.88888888888888884</v>
      </c>
      <c r="K5" s="39">
        <v>0.87777777777777777</v>
      </c>
      <c r="L5" s="12">
        <v>0.68402777777777779</v>
      </c>
      <c r="M5" s="39">
        <v>0.67847222222222225</v>
      </c>
      <c r="N5" s="36" t="s">
        <v>144</v>
      </c>
      <c r="O5" s="40" t="s">
        <v>143</v>
      </c>
      <c r="P5" s="27">
        <v>1010</v>
      </c>
      <c r="Q5" s="27">
        <v>1172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K5" sqref="K5"/>
    </sheetView>
  </sheetViews>
  <sheetFormatPr defaultRowHeight="15" x14ac:dyDescent="0.25"/>
  <cols>
    <col min="3" max="3" width="15.42578125" customWidth="1"/>
    <col min="6" max="6" width="14.42578125" customWidth="1"/>
    <col min="10" max="12" width="10.85546875" customWidth="1"/>
    <col min="13" max="13" width="12.28515625" customWidth="1"/>
    <col min="14" max="14" width="19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43507</v>
      </c>
      <c r="B2" s="41" t="s">
        <v>21</v>
      </c>
      <c r="C2" s="41" t="s">
        <v>22</v>
      </c>
      <c r="D2" s="41" t="s">
        <v>23</v>
      </c>
      <c r="E2" s="41" t="s">
        <v>137</v>
      </c>
      <c r="F2" s="41" t="s">
        <v>24</v>
      </c>
      <c r="G2" s="42">
        <v>71500</v>
      </c>
      <c r="H2" s="41" t="s">
        <v>26</v>
      </c>
      <c r="I2" s="41" t="s">
        <v>25</v>
      </c>
      <c r="J2" s="43">
        <v>0.4826388888888889</v>
      </c>
      <c r="K2" s="44">
        <v>0.47152777777777777</v>
      </c>
      <c r="L2" s="43">
        <v>0.27777777777777779</v>
      </c>
      <c r="M2" s="9">
        <v>0.29166666666666669</v>
      </c>
      <c r="N2" s="10" t="s">
        <v>147</v>
      </c>
      <c r="O2" s="10" t="s">
        <v>146</v>
      </c>
      <c r="P2" s="10">
        <v>923</v>
      </c>
      <c r="Q2" s="10">
        <v>733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43507</v>
      </c>
      <c r="B3" s="41" t="s">
        <v>21</v>
      </c>
      <c r="C3" s="41" t="s">
        <v>27</v>
      </c>
      <c r="D3" s="41" t="s">
        <v>23</v>
      </c>
      <c r="E3" s="41" t="s">
        <v>129</v>
      </c>
      <c r="F3" s="41" t="s">
        <v>24</v>
      </c>
      <c r="G3" s="42">
        <v>70000</v>
      </c>
      <c r="H3" s="41" t="s">
        <v>29</v>
      </c>
      <c r="I3" s="41" t="s">
        <v>28</v>
      </c>
      <c r="J3" s="43">
        <v>0.4826388888888889</v>
      </c>
      <c r="K3" s="44">
        <v>0.50416666666666665</v>
      </c>
      <c r="L3" s="43">
        <v>0.33333333333333331</v>
      </c>
      <c r="M3" s="9">
        <v>0.37152777777777773</v>
      </c>
      <c r="N3" s="10" t="s">
        <v>148</v>
      </c>
      <c r="O3" s="10" t="s">
        <v>141</v>
      </c>
      <c r="P3" s="6">
        <v>868</v>
      </c>
      <c r="Q3" s="10">
        <v>524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43507</v>
      </c>
      <c r="B4" s="3" t="s">
        <v>21</v>
      </c>
      <c r="C4" s="3" t="s">
        <v>30</v>
      </c>
      <c r="D4" s="3" t="s">
        <v>23</v>
      </c>
      <c r="E4" s="41" t="s">
        <v>129</v>
      </c>
      <c r="F4" s="3" t="s">
        <v>24</v>
      </c>
      <c r="G4" s="42">
        <v>70000</v>
      </c>
      <c r="H4" s="3" t="s">
        <v>32</v>
      </c>
      <c r="I4" s="3" t="s">
        <v>31</v>
      </c>
      <c r="J4" s="11">
        <v>0.71180555555555547</v>
      </c>
      <c r="K4" s="2">
        <v>0.76041666666666663</v>
      </c>
      <c r="L4" s="11">
        <v>0.50347222222222221</v>
      </c>
      <c r="M4" s="29">
        <v>0.56944444444444442</v>
      </c>
      <c r="N4" s="27" t="s">
        <v>150</v>
      </c>
      <c r="O4" s="38" t="s">
        <v>128</v>
      </c>
      <c r="P4" s="27">
        <v>712</v>
      </c>
      <c r="Q4" s="27">
        <v>780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37">
        <f>A4</f>
        <v>43507</v>
      </c>
      <c r="B5" s="27" t="s">
        <v>21</v>
      </c>
      <c r="C5" s="27" t="s">
        <v>33</v>
      </c>
      <c r="D5" s="27" t="s">
        <v>23</v>
      </c>
      <c r="E5" s="41" t="s">
        <v>137</v>
      </c>
      <c r="F5" s="27" t="s">
        <v>24</v>
      </c>
      <c r="G5" s="42">
        <v>71500</v>
      </c>
      <c r="H5" s="27" t="s">
        <v>34</v>
      </c>
      <c r="I5" s="27" t="s">
        <v>35</v>
      </c>
      <c r="J5" s="12">
        <v>0.87152777777777779</v>
      </c>
      <c r="K5" s="39">
        <v>0.8666666666666667</v>
      </c>
      <c r="L5" s="12">
        <v>0.63541666666666663</v>
      </c>
      <c r="M5" s="39">
        <v>0.65138888888888891</v>
      </c>
      <c r="N5" s="27" t="s">
        <v>90</v>
      </c>
      <c r="O5" s="27" t="s">
        <v>149</v>
      </c>
      <c r="P5" s="27">
        <v>1002</v>
      </c>
      <c r="Q5" s="27">
        <v>1353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5" sqref="K5"/>
    </sheetView>
  </sheetViews>
  <sheetFormatPr defaultRowHeight="15" x14ac:dyDescent="0.25"/>
  <cols>
    <col min="3" max="3" width="15.42578125" customWidth="1"/>
    <col min="6" max="6" width="14.42578125" customWidth="1"/>
    <col min="10" max="12" width="10.85546875" customWidth="1"/>
    <col min="13" max="13" width="12.28515625" customWidth="1"/>
    <col min="14" max="14" width="19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43508</v>
      </c>
      <c r="B2" s="22" t="s">
        <v>21</v>
      </c>
      <c r="C2" s="22" t="s">
        <v>50</v>
      </c>
      <c r="D2" s="22" t="s">
        <v>23</v>
      </c>
      <c r="E2" s="22" t="s">
        <v>129</v>
      </c>
      <c r="F2" s="22" t="s">
        <v>24</v>
      </c>
      <c r="G2" s="23">
        <v>70000</v>
      </c>
      <c r="H2" s="22" t="s">
        <v>52</v>
      </c>
      <c r="I2" s="22" t="s">
        <v>53</v>
      </c>
      <c r="J2" s="24">
        <v>0.49652777777777773</v>
      </c>
      <c r="K2" s="25">
        <v>0.50347222222222221</v>
      </c>
      <c r="L2" s="24">
        <v>0.3125</v>
      </c>
      <c r="M2" s="25">
        <v>0.32291666666666669</v>
      </c>
      <c r="N2" s="25" t="s">
        <v>153</v>
      </c>
      <c r="O2" s="25" t="s">
        <v>151</v>
      </c>
      <c r="P2" s="26">
        <v>758</v>
      </c>
      <c r="Q2" s="26">
        <v>927</v>
      </c>
      <c r="R2" s="22">
        <v>0</v>
      </c>
      <c r="S2" s="22">
        <v>0</v>
      </c>
      <c r="T2" s="22">
        <v>0</v>
      </c>
      <c r="U2" s="22">
        <v>0</v>
      </c>
    </row>
    <row r="3" spans="1:21" s="36" customFormat="1" ht="12.75" x14ac:dyDescent="0.25">
      <c r="A3" s="21">
        <f>A2</f>
        <v>43508</v>
      </c>
      <c r="B3" s="22" t="s">
        <v>21</v>
      </c>
      <c r="C3" s="22" t="s">
        <v>96</v>
      </c>
      <c r="D3" s="22" t="s">
        <v>23</v>
      </c>
      <c r="E3" s="22" t="s">
        <v>137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0.48888888888888887</v>
      </c>
      <c r="L3" s="24">
        <v>0.35416666666666669</v>
      </c>
      <c r="M3" s="25">
        <v>0.36458333333333331</v>
      </c>
      <c r="N3" s="25" t="s">
        <v>154</v>
      </c>
      <c r="O3" s="25" t="s">
        <v>152</v>
      </c>
      <c r="P3" s="26">
        <v>333</v>
      </c>
      <c r="Q3" s="26">
        <v>516</v>
      </c>
      <c r="R3" s="22">
        <v>0</v>
      </c>
      <c r="S3" s="22">
        <v>0</v>
      </c>
      <c r="T3" s="22">
        <v>0</v>
      </c>
      <c r="U3" s="22">
        <v>0</v>
      </c>
    </row>
    <row r="4" spans="1:21" s="27" customFormat="1" ht="12.75" x14ac:dyDescent="0.25">
      <c r="A4" s="37">
        <f>A3</f>
        <v>43508</v>
      </c>
      <c r="B4" s="27" t="s">
        <v>21</v>
      </c>
      <c r="C4" s="27" t="s">
        <v>57</v>
      </c>
      <c r="D4" s="27" t="s">
        <v>23</v>
      </c>
      <c r="E4" s="22" t="s">
        <v>137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0.72222222222222221</v>
      </c>
      <c r="L4" s="28">
        <v>0.52777777777777779</v>
      </c>
      <c r="M4" s="29">
        <v>0.53194444444444444</v>
      </c>
      <c r="N4" s="26" t="s">
        <v>156</v>
      </c>
      <c r="O4" s="26" t="s">
        <v>155</v>
      </c>
      <c r="P4" s="22">
        <v>926</v>
      </c>
      <c r="Q4" s="26">
        <v>670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37">
        <f>A4</f>
        <v>43508</v>
      </c>
      <c r="B5" s="27" t="s">
        <v>21</v>
      </c>
      <c r="C5" s="27" t="s">
        <v>60</v>
      </c>
      <c r="D5" s="27" t="s">
        <v>23</v>
      </c>
      <c r="E5" s="22" t="s">
        <v>129</v>
      </c>
      <c r="F5" s="27" t="s">
        <v>24</v>
      </c>
      <c r="G5" s="23">
        <v>70000</v>
      </c>
      <c r="H5" s="27" t="s">
        <v>61</v>
      </c>
      <c r="I5" s="27" t="s">
        <v>62</v>
      </c>
      <c r="J5" s="32">
        <v>0.91319444444444453</v>
      </c>
      <c r="K5" s="33">
        <v>0.90625</v>
      </c>
      <c r="L5" s="32">
        <v>0.74305555555555547</v>
      </c>
      <c r="M5" s="33">
        <v>0.74722222222222223</v>
      </c>
      <c r="N5" s="33" t="s">
        <v>158</v>
      </c>
      <c r="O5" s="26" t="s">
        <v>157</v>
      </c>
      <c r="P5" s="22">
        <v>804</v>
      </c>
      <c r="Q5" s="26">
        <v>805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G1" workbookViewId="0">
      <selection activeCell="J3" sqref="J3"/>
    </sheetView>
  </sheetViews>
  <sheetFormatPr defaultRowHeight="15" x14ac:dyDescent="0.25"/>
  <cols>
    <col min="3" max="3" width="16.42578125" customWidth="1"/>
    <col min="6" max="6" width="14.85546875" customWidth="1"/>
    <col min="11" max="11" width="13.7109375" customWidth="1"/>
    <col min="12" max="12" width="14" customWidth="1"/>
    <col min="13" max="13" width="15.28515625" customWidth="1"/>
    <col min="14" max="14" width="20" customWidth="1"/>
    <col min="15" max="15" width="21.140625" customWidth="1"/>
    <col min="16" max="16" width="15.28515625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43509</v>
      </c>
      <c r="B2" s="22" t="s">
        <v>21</v>
      </c>
      <c r="C2" s="22" t="s">
        <v>75</v>
      </c>
      <c r="D2" s="22" t="s">
        <v>23</v>
      </c>
      <c r="E2" s="22" t="s">
        <v>159</v>
      </c>
      <c r="F2" s="22" t="s">
        <v>24</v>
      </c>
      <c r="G2" s="45">
        <v>71.5</v>
      </c>
      <c r="H2" s="22" t="s">
        <v>76</v>
      </c>
      <c r="I2" s="22" t="s">
        <v>77</v>
      </c>
      <c r="J2" s="24">
        <v>0.69791666666666663</v>
      </c>
      <c r="K2" s="25">
        <v>0.6958333333333333</v>
      </c>
      <c r="L2" s="24">
        <v>0.52777777777777779</v>
      </c>
      <c r="M2" s="25">
        <v>0.53263888888888888</v>
      </c>
      <c r="N2" s="25" t="s">
        <v>163</v>
      </c>
      <c r="O2" s="25" t="s">
        <v>162</v>
      </c>
      <c r="P2" s="26">
        <v>1134</v>
      </c>
      <c r="Q2" s="26">
        <v>898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f>A2</f>
        <v>43509</v>
      </c>
      <c r="B3" s="22" t="s">
        <v>21</v>
      </c>
      <c r="C3" s="22" t="s">
        <v>78</v>
      </c>
      <c r="D3" s="22" t="s">
        <v>23</v>
      </c>
      <c r="E3" s="22" t="s">
        <v>160</v>
      </c>
      <c r="F3" s="22" t="s">
        <v>24</v>
      </c>
      <c r="G3" s="45" t="s">
        <v>161</v>
      </c>
      <c r="H3" s="22" t="s">
        <v>79</v>
      </c>
      <c r="I3" s="22" t="s">
        <v>80</v>
      </c>
      <c r="J3" s="24">
        <v>0.86458333333333337</v>
      </c>
      <c r="K3" s="25">
        <v>0.85277777777777775</v>
      </c>
      <c r="L3" s="24">
        <v>0.65972222222222221</v>
      </c>
      <c r="M3" s="25">
        <v>0.6645833333333333</v>
      </c>
      <c r="N3" s="25" t="s">
        <v>127</v>
      </c>
      <c r="O3" s="25" t="s">
        <v>164</v>
      </c>
      <c r="P3" s="26">
        <v>1178</v>
      </c>
      <c r="Q3" s="26">
        <v>1034</v>
      </c>
      <c r="R3" s="22">
        <v>0</v>
      </c>
      <c r="S3" s="22">
        <v>0</v>
      </c>
      <c r="T3" s="22">
        <v>0</v>
      </c>
      <c r="U3" s="22">
        <v>0</v>
      </c>
    </row>
  </sheetData>
  <pageMargins left="0.7" right="0.7" top="0.75" bottom="0.75" header="0.3" footer="0.3"/>
  <ignoredErrors>
    <ignoredError sqref="G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G1" workbookViewId="0">
      <selection activeCell="K3" sqref="K3"/>
    </sheetView>
  </sheetViews>
  <sheetFormatPr defaultRowHeight="15" x14ac:dyDescent="0.25"/>
  <cols>
    <col min="2" max="2" width="21.28515625" customWidth="1"/>
    <col min="3" max="3" width="12.85546875" bestFit="1" customWidth="1"/>
    <col min="6" max="6" width="16.425781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4" customFormat="1" ht="12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4" customFormat="1" ht="12.75" x14ac:dyDescent="0.2">
      <c r="A2" s="18">
        <v>43510</v>
      </c>
      <c r="B2" s="4" t="s">
        <v>21</v>
      </c>
      <c r="C2" s="4" t="s">
        <v>72</v>
      </c>
      <c r="D2" s="4" t="s">
        <v>23</v>
      </c>
      <c r="E2" s="6" t="s">
        <v>159</v>
      </c>
      <c r="F2" s="4" t="s">
        <v>24</v>
      </c>
      <c r="G2" s="19">
        <v>71500</v>
      </c>
      <c r="H2" s="6" t="s">
        <v>73</v>
      </c>
      <c r="I2" s="6" t="s">
        <v>74</v>
      </c>
      <c r="J2" s="8">
        <v>0.65277777777777779</v>
      </c>
      <c r="K2" s="9">
        <v>0.63888888888888895</v>
      </c>
      <c r="L2" s="8">
        <v>0.5</v>
      </c>
      <c r="M2" s="9">
        <v>0.49861111111111112</v>
      </c>
      <c r="N2" s="4" t="s">
        <v>120</v>
      </c>
      <c r="O2" s="47" t="s">
        <v>165</v>
      </c>
      <c r="P2" s="4">
        <v>883</v>
      </c>
      <c r="Q2" s="47">
        <v>620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8"/>
      <c r="B3" s="6"/>
      <c r="C3" s="6"/>
      <c r="D3" s="6"/>
      <c r="E3" s="6"/>
      <c r="F3" s="6"/>
      <c r="G3" s="19"/>
      <c r="H3" s="6"/>
      <c r="I3" s="6"/>
      <c r="J3" s="16"/>
      <c r="K3" s="17"/>
      <c r="L3" s="16"/>
      <c r="M3" s="17"/>
      <c r="O3" s="47"/>
      <c r="Q3" s="47"/>
      <c r="R3" s="6"/>
      <c r="S3" s="6"/>
      <c r="T3" s="6"/>
      <c r="U3" s="6"/>
    </row>
    <row r="4" spans="1:21" s="4" customFormat="1" ht="12.75" x14ac:dyDescent="0.2">
      <c r="A4" s="18"/>
      <c r="E4" s="6"/>
      <c r="G4" s="19"/>
      <c r="H4" s="6"/>
      <c r="I4" s="6"/>
      <c r="J4" s="8"/>
      <c r="K4" s="9"/>
      <c r="L4" s="8"/>
      <c r="M4" s="9"/>
      <c r="O4" s="47"/>
      <c r="Q4" s="47"/>
      <c r="R4" s="6"/>
      <c r="S4" s="6"/>
      <c r="T4" s="6"/>
      <c r="U4" s="6"/>
    </row>
    <row r="5" spans="1:21" s="4" customFormat="1" ht="12.75" x14ac:dyDescent="0.2">
      <c r="A5" s="46"/>
      <c r="B5" s="6"/>
      <c r="C5" s="6"/>
      <c r="D5" s="6"/>
      <c r="E5" s="6"/>
      <c r="F5" s="6"/>
      <c r="G5" s="7"/>
      <c r="H5" s="6"/>
      <c r="I5" s="6"/>
      <c r="J5" s="9"/>
      <c r="K5" s="9"/>
      <c r="L5" s="6"/>
      <c r="M5" s="6"/>
      <c r="N5" s="6"/>
      <c r="O5" s="6"/>
      <c r="P5" s="6"/>
      <c r="Q5" s="10"/>
      <c r="R5" s="6"/>
      <c r="S5" s="6"/>
      <c r="T5" s="6"/>
      <c r="U5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N6" sqref="N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43511</v>
      </c>
      <c r="B2" s="6" t="s">
        <v>21</v>
      </c>
      <c r="C2" s="6" t="s">
        <v>22</v>
      </c>
      <c r="D2" s="6" t="s">
        <v>23</v>
      </c>
      <c r="E2" s="6" t="s">
        <v>137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0.47847222222222219</v>
      </c>
      <c r="L2" s="8">
        <v>0.27777777777777779</v>
      </c>
      <c r="M2" s="9">
        <v>0.28402777777777777</v>
      </c>
      <c r="N2" s="3" t="s">
        <v>167</v>
      </c>
      <c r="O2" s="10" t="s">
        <v>149</v>
      </c>
      <c r="P2" s="10">
        <v>713</v>
      </c>
      <c r="Q2" s="10">
        <v>727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43511</v>
      </c>
      <c r="B3" s="6" t="s">
        <v>21</v>
      </c>
      <c r="C3" s="6" t="s">
        <v>27</v>
      </c>
      <c r="D3" s="6" t="s">
        <v>23</v>
      </c>
      <c r="E3" s="6" t="s">
        <v>129</v>
      </c>
      <c r="F3" s="6" t="s">
        <v>24</v>
      </c>
      <c r="G3" s="7">
        <v>70000</v>
      </c>
      <c r="H3" s="6" t="s">
        <v>28</v>
      </c>
      <c r="I3" s="6" t="s">
        <v>29</v>
      </c>
      <c r="J3" s="8">
        <v>0.4826388888888889</v>
      </c>
      <c r="K3" s="2">
        <v>0.47152777777777777</v>
      </c>
      <c r="L3" s="8">
        <v>0.33333333333333331</v>
      </c>
      <c r="M3" s="9">
        <v>0.33958333333333335</v>
      </c>
      <c r="N3" s="3" t="s">
        <v>168</v>
      </c>
      <c r="O3" s="10" t="s">
        <v>166</v>
      </c>
      <c r="P3" s="6">
        <v>557</v>
      </c>
      <c r="Q3" s="10">
        <v>798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43511</v>
      </c>
      <c r="B4" s="3" t="s">
        <v>21</v>
      </c>
      <c r="C4" s="3" t="s">
        <v>30</v>
      </c>
      <c r="D4" s="3" t="s">
        <v>23</v>
      </c>
      <c r="E4" s="6" t="s">
        <v>129</v>
      </c>
      <c r="F4" s="3" t="s">
        <v>24</v>
      </c>
      <c r="G4" s="7">
        <v>70000</v>
      </c>
      <c r="H4" s="3" t="s">
        <v>31</v>
      </c>
      <c r="I4" s="3" t="s">
        <v>32</v>
      </c>
      <c r="J4" s="11">
        <v>0.71180555555555547</v>
      </c>
      <c r="K4" s="2">
        <v>0.70138888888888884</v>
      </c>
      <c r="L4" s="11">
        <v>0.50347222222222221</v>
      </c>
      <c r="M4" s="2">
        <v>0.50902777777777775</v>
      </c>
      <c r="N4" s="3" t="s">
        <v>170</v>
      </c>
      <c r="O4" s="3" t="s">
        <v>169</v>
      </c>
      <c r="P4" s="3">
        <v>753</v>
      </c>
      <c r="Q4" s="3">
        <v>868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43511</v>
      </c>
      <c r="B5" s="3" t="s">
        <v>21</v>
      </c>
      <c r="C5" s="3" t="s">
        <v>33</v>
      </c>
      <c r="D5" s="3" t="s">
        <v>23</v>
      </c>
      <c r="E5" s="6" t="s">
        <v>137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0.875</v>
      </c>
      <c r="L5" s="12">
        <v>0.63541666666666663</v>
      </c>
      <c r="M5" s="13">
        <v>0.64027777777777783</v>
      </c>
      <c r="N5" s="3" t="s">
        <v>171</v>
      </c>
      <c r="O5" s="3" t="s">
        <v>85</v>
      </c>
      <c r="P5" s="14">
        <v>1084</v>
      </c>
      <c r="Q5" s="3">
        <v>1363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/>
      <c r="B6" s="3"/>
      <c r="C6" s="3"/>
      <c r="D6" s="3"/>
      <c r="E6" s="6"/>
      <c r="F6" s="48"/>
      <c r="G6" s="7"/>
      <c r="H6" s="6"/>
      <c r="I6" s="6"/>
      <c r="J6" s="16"/>
      <c r="L6" s="16"/>
      <c r="M6" s="17"/>
      <c r="O6" s="3"/>
      <c r="P6" s="3"/>
      <c r="Q6" s="3"/>
      <c r="R6" s="3"/>
      <c r="S6" s="3"/>
      <c r="T6" s="3"/>
      <c r="U6" s="3"/>
    </row>
    <row r="7" spans="1:21" x14ac:dyDescent="0.2">
      <c r="A7" s="18"/>
      <c r="G7" s="19"/>
      <c r="J7" s="16"/>
    </row>
    <row r="8" spans="1:21" x14ac:dyDescent="0.2">
      <c r="A8" s="18"/>
      <c r="G8" s="19"/>
      <c r="J8" s="16"/>
    </row>
    <row r="9" spans="1:21" x14ac:dyDescent="0.2">
      <c r="A9" s="18"/>
      <c r="G9" s="19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F1" workbookViewId="0">
      <selection activeCell="K6" sqref="K6"/>
    </sheetView>
  </sheetViews>
  <sheetFormatPr defaultRowHeight="15" x14ac:dyDescent="0.25"/>
  <cols>
    <col min="1" max="1" width="9.140625" style="49"/>
    <col min="2" max="2" width="11.85546875" style="49" customWidth="1"/>
    <col min="3" max="3" width="15" style="49" customWidth="1"/>
    <col min="4" max="4" width="9.140625" style="49"/>
    <col min="5" max="5" width="15.42578125" style="49" bestFit="1" customWidth="1"/>
    <col min="6" max="6" width="18.7109375" style="49" customWidth="1"/>
    <col min="7" max="8" width="9.140625" style="49"/>
    <col min="9" max="9" width="10.140625" style="49" customWidth="1"/>
    <col min="10" max="10" width="11.5703125" style="49" customWidth="1"/>
    <col min="11" max="11" width="13.28515625" style="49" customWidth="1"/>
    <col min="12" max="12" width="11.85546875" style="49" customWidth="1"/>
    <col min="13" max="13" width="11" style="49" customWidth="1"/>
    <col min="14" max="14" width="19.7109375" style="49" customWidth="1"/>
    <col min="15" max="15" width="19.140625" style="49" customWidth="1"/>
    <col min="16" max="16" width="9.85546875" style="49" customWidth="1"/>
    <col min="17" max="17" width="10.85546875" style="49" customWidth="1"/>
    <col min="18" max="16384" width="9.140625" style="49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43512</v>
      </c>
      <c r="B2" s="22" t="s">
        <v>21</v>
      </c>
      <c r="C2" s="22" t="s">
        <v>50</v>
      </c>
      <c r="D2" s="22" t="s">
        <v>23</v>
      </c>
      <c r="E2" s="22" t="s">
        <v>129</v>
      </c>
      <c r="F2" s="22" t="s">
        <v>24</v>
      </c>
      <c r="G2" s="23">
        <v>70000</v>
      </c>
      <c r="H2" s="22" t="s">
        <v>52</v>
      </c>
      <c r="I2" s="22" t="s">
        <v>53</v>
      </c>
      <c r="J2" s="24">
        <v>0.49652777777777773</v>
      </c>
      <c r="K2" s="25">
        <v>0.51250000000000007</v>
      </c>
      <c r="L2" s="24">
        <v>0.3125</v>
      </c>
      <c r="M2" s="25">
        <v>0.33402777777777781</v>
      </c>
      <c r="N2" s="25" t="s">
        <v>174</v>
      </c>
      <c r="O2" s="26" t="s">
        <v>166</v>
      </c>
      <c r="P2" s="26">
        <v>985</v>
      </c>
      <c r="Q2" s="26">
        <v>800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f>A2</f>
        <v>43512</v>
      </c>
      <c r="B3" s="22" t="s">
        <v>21</v>
      </c>
      <c r="C3" s="22" t="s">
        <v>54</v>
      </c>
      <c r="D3" s="22" t="s">
        <v>23</v>
      </c>
      <c r="E3" s="22" t="s">
        <v>137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0.47916666666666669</v>
      </c>
      <c r="L3" s="24">
        <v>0.35416666666666669</v>
      </c>
      <c r="M3" s="25">
        <v>0.36458333333333331</v>
      </c>
      <c r="N3" s="25" t="s">
        <v>173</v>
      </c>
      <c r="O3" s="14" t="s">
        <v>172</v>
      </c>
      <c r="P3" s="22">
        <v>493</v>
      </c>
      <c r="Q3" s="14">
        <v>469</v>
      </c>
      <c r="R3" s="22">
        <v>0</v>
      </c>
      <c r="S3" s="22">
        <v>0</v>
      </c>
      <c r="T3" s="22">
        <v>0</v>
      </c>
      <c r="U3" s="22">
        <v>0</v>
      </c>
    </row>
    <row r="4" spans="1:21" x14ac:dyDescent="0.25">
      <c r="A4" s="21">
        <f>A3</f>
        <v>43512</v>
      </c>
      <c r="B4" s="27" t="s">
        <v>21</v>
      </c>
      <c r="C4" s="27" t="s">
        <v>57</v>
      </c>
      <c r="D4" s="27" t="s">
        <v>23</v>
      </c>
      <c r="E4" s="22" t="s">
        <v>137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0.71875</v>
      </c>
      <c r="L4" s="28">
        <v>0.52777777777777779</v>
      </c>
      <c r="M4" s="29">
        <v>0.52430555555555558</v>
      </c>
      <c r="N4" s="4" t="s">
        <v>176</v>
      </c>
      <c r="O4" s="26" t="s">
        <v>175</v>
      </c>
      <c r="P4" s="22">
        <v>1096</v>
      </c>
      <c r="Q4" s="26">
        <v>938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21">
        <f>A4</f>
        <v>43512</v>
      </c>
      <c r="B5" s="27" t="s">
        <v>21</v>
      </c>
      <c r="C5" s="27" t="s">
        <v>60</v>
      </c>
      <c r="D5" s="27" t="s">
        <v>23</v>
      </c>
      <c r="E5" s="22" t="s">
        <v>129</v>
      </c>
      <c r="F5" s="27" t="s">
        <v>24</v>
      </c>
      <c r="G5" s="31">
        <v>70000</v>
      </c>
      <c r="H5" s="27" t="s">
        <v>61</v>
      </c>
      <c r="I5" s="27" t="s">
        <v>62</v>
      </c>
      <c r="J5" s="32">
        <v>0.91319444444444453</v>
      </c>
      <c r="K5" s="33">
        <v>0.91180555555555554</v>
      </c>
      <c r="L5" s="32">
        <v>0.74305555555555547</v>
      </c>
      <c r="M5" s="34">
        <v>0.74236111111111114</v>
      </c>
      <c r="N5" s="26" t="s">
        <v>101</v>
      </c>
      <c r="O5" s="26" t="s">
        <v>120</v>
      </c>
      <c r="P5" s="22">
        <v>1140</v>
      </c>
      <c r="Q5" s="26">
        <v>739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K5" sqref="K5"/>
    </sheetView>
  </sheetViews>
  <sheetFormatPr defaultRowHeight="15" x14ac:dyDescent="0.25"/>
  <cols>
    <col min="2" max="2" width="9.85546875" customWidth="1"/>
    <col min="3" max="3" width="14.5703125" customWidth="1"/>
    <col min="5" max="5" width="17.140625" customWidth="1"/>
    <col min="6" max="6" width="16.8554687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43513</v>
      </c>
      <c r="B2" s="6" t="s">
        <v>21</v>
      </c>
      <c r="C2" s="6" t="s">
        <v>22</v>
      </c>
      <c r="D2" s="6" t="s">
        <v>23</v>
      </c>
      <c r="E2" s="27" t="s">
        <v>137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0.47361111111111115</v>
      </c>
      <c r="L2" s="8">
        <v>0.27777777777777779</v>
      </c>
      <c r="M2" s="9">
        <v>0.28472222222222221</v>
      </c>
      <c r="N2" s="10" t="s">
        <v>178</v>
      </c>
      <c r="O2" s="10" t="s">
        <v>177</v>
      </c>
      <c r="P2" s="10">
        <v>1023</v>
      </c>
      <c r="Q2" s="10">
        <v>901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43513</v>
      </c>
      <c r="B3" s="6" t="s">
        <v>21</v>
      </c>
      <c r="C3" s="6" t="s">
        <v>72</v>
      </c>
      <c r="D3" s="6" t="s">
        <v>23</v>
      </c>
      <c r="E3" s="6" t="s">
        <v>129</v>
      </c>
      <c r="F3" s="6" t="s">
        <v>24</v>
      </c>
      <c r="G3" s="7">
        <v>70000</v>
      </c>
      <c r="H3" s="6" t="s">
        <v>73</v>
      </c>
      <c r="I3" s="6" t="s">
        <v>74</v>
      </c>
      <c r="J3" s="8">
        <v>0.65277777777777779</v>
      </c>
      <c r="K3" s="9">
        <v>0.65069444444444446</v>
      </c>
      <c r="L3" s="8">
        <v>0.5</v>
      </c>
      <c r="M3" s="9">
        <v>0.51041666666666663</v>
      </c>
      <c r="N3" s="10" t="s">
        <v>181</v>
      </c>
      <c r="O3" s="10" t="s">
        <v>179</v>
      </c>
      <c r="P3" s="6">
        <v>1028</v>
      </c>
      <c r="Q3" s="10">
        <v>1100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43513</v>
      </c>
      <c r="B4" s="27" t="s">
        <v>21</v>
      </c>
      <c r="C4" s="27" t="s">
        <v>75</v>
      </c>
      <c r="D4" s="27" t="s">
        <v>23</v>
      </c>
      <c r="E4" s="27" t="s">
        <v>137</v>
      </c>
      <c r="F4" s="27" t="s">
        <v>24</v>
      </c>
      <c r="G4" s="31">
        <v>71500</v>
      </c>
      <c r="H4" s="27" t="s">
        <v>76</v>
      </c>
      <c r="I4" s="27" t="s">
        <v>77</v>
      </c>
      <c r="J4" s="28">
        <v>0.69791666666666663</v>
      </c>
      <c r="K4" s="29">
        <v>0.69027777777777777</v>
      </c>
      <c r="L4" s="28">
        <v>0.52777777777777779</v>
      </c>
      <c r="M4" s="29">
        <v>0.53472222222222221</v>
      </c>
      <c r="N4" s="27" t="s">
        <v>133</v>
      </c>
      <c r="O4" s="38" t="s">
        <v>180</v>
      </c>
      <c r="P4" s="27">
        <v>1109</v>
      </c>
      <c r="Q4" s="27">
        <v>1091</v>
      </c>
      <c r="R4" s="27">
        <v>0</v>
      </c>
      <c r="S4" s="27">
        <v>0</v>
      </c>
      <c r="T4" s="27">
        <v>0</v>
      </c>
      <c r="U4" s="27">
        <v>0</v>
      </c>
    </row>
    <row r="5" spans="1:21" s="36" customFormat="1" ht="12.75" x14ac:dyDescent="0.25">
      <c r="A5" s="37">
        <f>A4</f>
        <v>43513</v>
      </c>
      <c r="B5" s="27" t="s">
        <v>21</v>
      </c>
      <c r="C5" s="27" t="s">
        <v>78</v>
      </c>
      <c r="D5" s="27" t="s">
        <v>23</v>
      </c>
      <c r="E5" s="6" t="s">
        <v>129</v>
      </c>
      <c r="F5" s="27" t="s">
        <v>24</v>
      </c>
      <c r="G5" s="31">
        <v>70000</v>
      </c>
      <c r="H5" s="27" t="s">
        <v>79</v>
      </c>
      <c r="I5" s="27" t="s">
        <v>80</v>
      </c>
      <c r="J5" s="12">
        <v>0.88888888888888884</v>
      </c>
      <c r="K5" s="39">
        <v>0.88124999999999998</v>
      </c>
      <c r="L5" s="12">
        <v>0.68402777777777779</v>
      </c>
      <c r="M5" s="39">
        <v>0.6972222222222223</v>
      </c>
      <c r="N5" s="36" t="s">
        <v>183</v>
      </c>
      <c r="O5" s="40" t="s">
        <v>182</v>
      </c>
      <c r="P5" s="27">
        <v>1228</v>
      </c>
      <c r="Q5" s="27">
        <v>1178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K5" sqref="K5"/>
    </sheetView>
  </sheetViews>
  <sheetFormatPr defaultRowHeight="15" x14ac:dyDescent="0.25"/>
  <cols>
    <col min="3" max="3" width="15.42578125" customWidth="1"/>
    <col min="5" max="5" width="11.7109375" customWidth="1"/>
    <col min="6" max="6" width="14.42578125" customWidth="1"/>
    <col min="10" max="12" width="10.85546875" customWidth="1"/>
    <col min="13" max="13" width="12.28515625" customWidth="1"/>
    <col min="14" max="14" width="19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43514</v>
      </c>
      <c r="B2" s="41" t="s">
        <v>21</v>
      </c>
      <c r="C2" s="41" t="s">
        <v>22</v>
      </c>
      <c r="D2" s="41" t="s">
        <v>23</v>
      </c>
      <c r="E2" s="50" t="s">
        <v>185</v>
      </c>
      <c r="F2" s="41" t="s">
        <v>24</v>
      </c>
      <c r="G2" s="42">
        <v>71500</v>
      </c>
      <c r="H2" s="41" t="s">
        <v>26</v>
      </c>
      <c r="I2" s="41" t="s">
        <v>25</v>
      </c>
      <c r="J2" s="43">
        <v>0.4826388888888889</v>
      </c>
      <c r="K2" s="44">
        <v>0.49305555555555558</v>
      </c>
      <c r="L2" s="43">
        <v>0.27777777777777779</v>
      </c>
      <c r="M2" s="9">
        <v>0.28472222222222221</v>
      </c>
      <c r="N2" s="10" t="s">
        <v>189</v>
      </c>
      <c r="O2" s="10" t="s">
        <v>186</v>
      </c>
      <c r="P2" s="10">
        <v>810</v>
      </c>
      <c r="Q2" s="10">
        <v>472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43514</v>
      </c>
      <c r="B3" s="41" t="s">
        <v>21</v>
      </c>
      <c r="C3" s="41" t="s">
        <v>27</v>
      </c>
      <c r="D3" s="41" t="s">
        <v>23</v>
      </c>
      <c r="E3" s="41" t="s">
        <v>129</v>
      </c>
      <c r="F3" s="41" t="s">
        <v>24</v>
      </c>
      <c r="G3" s="42">
        <v>70000</v>
      </c>
      <c r="H3" s="41" t="s">
        <v>29</v>
      </c>
      <c r="I3" s="41" t="s">
        <v>28</v>
      </c>
      <c r="J3" s="43">
        <v>0.4826388888888889</v>
      </c>
      <c r="K3" s="44">
        <v>0.47152777777777777</v>
      </c>
      <c r="L3" s="43">
        <v>0.33333333333333331</v>
      </c>
      <c r="M3" s="9">
        <v>0.34027777777777773</v>
      </c>
      <c r="N3" s="10" t="s">
        <v>190</v>
      </c>
      <c r="O3" s="10" t="s">
        <v>187</v>
      </c>
      <c r="P3" s="6">
        <v>746</v>
      </c>
      <c r="Q3" s="10">
        <v>556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43514</v>
      </c>
      <c r="B4" s="3" t="s">
        <v>21</v>
      </c>
      <c r="C4" s="3" t="s">
        <v>30</v>
      </c>
      <c r="D4" s="3" t="s">
        <v>23</v>
      </c>
      <c r="E4" s="41" t="s">
        <v>129</v>
      </c>
      <c r="F4" s="3" t="s">
        <v>24</v>
      </c>
      <c r="G4" s="42">
        <v>70000</v>
      </c>
      <c r="H4" s="3" t="s">
        <v>32</v>
      </c>
      <c r="I4" s="3" t="s">
        <v>31</v>
      </c>
      <c r="J4" s="11">
        <v>0.71180555555555547</v>
      </c>
      <c r="K4" s="2">
        <v>0.72569444444444453</v>
      </c>
      <c r="L4" s="11">
        <v>0.50347222222222221</v>
      </c>
      <c r="M4" s="29">
        <v>0.50902777777777775</v>
      </c>
      <c r="N4" s="27" t="s">
        <v>181</v>
      </c>
      <c r="O4" s="38" t="s">
        <v>188</v>
      </c>
      <c r="P4" s="27">
        <v>1023</v>
      </c>
      <c r="Q4" s="27">
        <v>839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37">
        <f>A4</f>
        <v>43514</v>
      </c>
      <c r="B5" s="27" t="s">
        <v>21</v>
      </c>
      <c r="C5" s="27" t="s">
        <v>33</v>
      </c>
      <c r="D5" s="27" t="s">
        <v>23</v>
      </c>
      <c r="E5" s="41" t="s">
        <v>184</v>
      </c>
      <c r="F5" s="27" t="s">
        <v>24</v>
      </c>
      <c r="G5" s="42">
        <v>70000</v>
      </c>
      <c r="H5" s="27" t="s">
        <v>34</v>
      </c>
      <c r="I5" s="27" t="s">
        <v>35</v>
      </c>
      <c r="J5" s="12">
        <v>0.87152777777777779</v>
      </c>
      <c r="K5" s="39">
        <v>0.86458333333333337</v>
      </c>
      <c r="L5" s="12">
        <v>0.63541666666666663</v>
      </c>
      <c r="M5" s="39">
        <v>0.64236111111111105</v>
      </c>
      <c r="N5" s="27" t="s">
        <v>192</v>
      </c>
      <c r="O5" s="27" t="s">
        <v>191</v>
      </c>
      <c r="P5" s="27">
        <v>1210</v>
      </c>
      <c r="Q5" s="27">
        <v>1208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D1" workbookViewId="0">
      <selection activeCell="D1" sqref="A1:XFD1048576"/>
    </sheetView>
  </sheetViews>
  <sheetFormatPr defaultRowHeight="12.75" x14ac:dyDescent="0.2"/>
  <cols>
    <col min="1" max="1" width="9.140625" style="4"/>
    <col min="2" max="2" width="13.140625" style="4" bestFit="1" customWidth="1"/>
    <col min="3" max="3" width="15.42578125" style="4" customWidth="1"/>
    <col min="4" max="5" width="9.140625" style="4"/>
    <col min="6" max="6" width="14.42578125" style="4" customWidth="1"/>
    <col min="7" max="9" width="9.140625" style="4"/>
    <col min="10" max="12" width="10.85546875" style="4" customWidth="1"/>
    <col min="13" max="13" width="12.28515625" style="4" customWidth="1"/>
    <col min="14" max="14" width="19" style="4" customWidth="1"/>
    <col min="15" max="15" width="18.85546875" style="4" customWidth="1"/>
    <col min="16" max="16384" width="9.140625" style="4"/>
  </cols>
  <sheetData>
    <row r="1" spans="1:21" s="36" customFormat="1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x14ac:dyDescent="0.25">
      <c r="A2" s="21">
        <v>43515</v>
      </c>
      <c r="B2" s="22" t="s">
        <v>21</v>
      </c>
      <c r="C2" s="22" t="s">
        <v>50</v>
      </c>
      <c r="D2" s="22" t="s">
        <v>23</v>
      </c>
      <c r="E2" s="22" t="s">
        <v>160</v>
      </c>
      <c r="F2" s="22" t="s">
        <v>24</v>
      </c>
      <c r="G2" s="23">
        <v>70000</v>
      </c>
      <c r="H2" s="22" t="s">
        <v>52</v>
      </c>
      <c r="I2" s="22" t="s">
        <v>53</v>
      </c>
      <c r="J2" s="24">
        <v>0.49652777777777773</v>
      </c>
      <c r="K2" s="25">
        <v>0.4993055555555555</v>
      </c>
      <c r="L2" s="24">
        <v>0.3125</v>
      </c>
      <c r="M2" s="25">
        <v>0.3263888888888889</v>
      </c>
      <c r="N2" s="25" t="s">
        <v>194</v>
      </c>
      <c r="O2" s="25" t="s">
        <v>67</v>
      </c>
      <c r="P2" s="26">
        <v>862</v>
      </c>
      <c r="Q2" s="26">
        <v>630</v>
      </c>
      <c r="R2" s="22">
        <v>0</v>
      </c>
      <c r="S2" s="22">
        <v>0</v>
      </c>
      <c r="T2" s="22">
        <v>0</v>
      </c>
      <c r="U2" s="22">
        <v>0</v>
      </c>
    </row>
    <row r="3" spans="1:21" s="36" customFormat="1" x14ac:dyDescent="0.25">
      <c r="A3" s="21">
        <f>A2</f>
        <v>43515</v>
      </c>
      <c r="B3" s="22" t="s">
        <v>21</v>
      </c>
      <c r="C3" s="22" t="s">
        <v>96</v>
      </c>
      <c r="D3" s="22" t="s">
        <v>23</v>
      </c>
      <c r="E3" s="22" t="s">
        <v>202</v>
      </c>
      <c r="F3" s="22" t="s">
        <v>24</v>
      </c>
      <c r="G3" s="23">
        <f>G2</f>
        <v>70000</v>
      </c>
      <c r="H3" s="22" t="s">
        <v>55</v>
      </c>
      <c r="I3" s="22" t="s">
        <v>56</v>
      </c>
      <c r="J3" s="24">
        <v>0.49305555555555558</v>
      </c>
      <c r="K3" s="25">
        <v>0.48819444444444443</v>
      </c>
      <c r="L3" s="24">
        <v>0.35416666666666669</v>
      </c>
      <c r="M3" s="25">
        <v>0.36180555555555555</v>
      </c>
      <c r="N3" s="25" t="s">
        <v>201</v>
      </c>
      <c r="O3" s="25" t="s">
        <v>193</v>
      </c>
      <c r="P3" s="26">
        <v>485</v>
      </c>
      <c r="Q3" s="26">
        <v>462</v>
      </c>
      <c r="R3" s="22">
        <v>0</v>
      </c>
      <c r="S3" s="22">
        <v>0</v>
      </c>
      <c r="T3" s="22">
        <v>0</v>
      </c>
      <c r="U3" s="22">
        <v>0</v>
      </c>
    </row>
    <row r="4" spans="1:21" s="27" customFormat="1" x14ac:dyDescent="0.25">
      <c r="A4" s="37">
        <f>A3</f>
        <v>43515</v>
      </c>
      <c r="B4" s="27" t="s">
        <v>21</v>
      </c>
      <c r="C4" s="27" t="s">
        <v>57</v>
      </c>
      <c r="D4" s="27" t="s">
        <v>23</v>
      </c>
      <c r="E4" s="22" t="s">
        <v>203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0.71527777777777779</v>
      </c>
      <c r="L4" s="28">
        <v>0.52777777777777779</v>
      </c>
      <c r="M4" s="29">
        <v>0.52638888888888891</v>
      </c>
      <c r="N4" s="26" t="s">
        <v>205</v>
      </c>
      <c r="O4" s="26" t="s">
        <v>176</v>
      </c>
      <c r="P4" s="22">
        <v>931</v>
      </c>
      <c r="Q4" s="26">
        <v>638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">
      <c r="A5" s="37">
        <f>A4</f>
        <v>43515</v>
      </c>
      <c r="B5" s="27" t="s">
        <v>21</v>
      </c>
      <c r="C5" s="27" t="s">
        <v>60</v>
      </c>
      <c r="D5" s="27" t="s">
        <v>23</v>
      </c>
      <c r="E5" s="22" t="str">
        <f>E4</f>
        <v>HA-LYD</v>
      </c>
      <c r="F5" s="27" t="s">
        <v>24</v>
      </c>
      <c r="G5" s="23">
        <f>G4</f>
        <v>71500</v>
      </c>
      <c r="H5" s="27" t="s">
        <v>61</v>
      </c>
      <c r="I5" s="27" t="s">
        <v>62</v>
      </c>
      <c r="J5" s="32">
        <v>0.91319444444444453</v>
      </c>
      <c r="K5" s="33">
        <v>0.90625</v>
      </c>
      <c r="L5" s="32">
        <v>0.74305555555555547</v>
      </c>
      <c r="M5" s="33">
        <v>0.75</v>
      </c>
      <c r="N5" s="33" t="s">
        <v>206</v>
      </c>
      <c r="O5" s="26" t="s">
        <v>204</v>
      </c>
      <c r="P5" s="22">
        <v>709</v>
      </c>
      <c r="Q5" s="26">
        <v>784</v>
      </c>
      <c r="R5" s="27">
        <v>0</v>
      </c>
      <c r="S5" s="27">
        <v>0</v>
      </c>
      <c r="T5" s="27">
        <v>0</v>
      </c>
      <c r="U5" s="27">
        <v>0</v>
      </c>
    </row>
    <row r="6" spans="1:21" x14ac:dyDescent="0.2">
      <c r="A6" s="18">
        <f>A5</f>
        <v>43515</v>
      </c>
      <c r="B6" s="27" t="s">
        <v>195</v>
      </c>
      <c r="C6" s="4" t="s">
        <v>196</v>
      </c>
      <c r="D6" s="4" t="s">
        <v>197</v>
      </c>
      <c r="E6" s="4" t="s">
        <v>198</v>
      </c>
      <c r="F6" s="4" t="s">
        <v>199</v>
      </c>
      <c r="G6" s="4">
        <v>6804</v>
      </c>
      <c r="H6" s="4" t="s">
        <v>200</v>
      </c>
      <c r="I6" s="4" t="str">
        <f>H6</f>
        <v>ADN12A</v>
      </c>
      <c r="J6" s="16">
        <v>0.46180555555555558</v>
      </c>
      <c r="K6" s="17">
        <v>0.45555555555555555</v>
      </c>
      <c r="L6" s="16">
        <v>0.64583333333333337</v>
      </c>
      <c r="M6" s="17">
        <v>0.63888888888888895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B1" workbookViewId="0">
      <selection activeCell="J3" sqref="J3"/>
    </sheetView>
  </sheetViews>
  <sheetFormatPr defaultRowHeight="15" x14ac:dyDescent="0.25"/>
  <cols>
    <col min="3" max="3" width="16.42578125" customWidth="1"/>
    <col min="6" max="6" width="14.85546875" customWidth="1"/>
    <col min="11" max="11" width="13.7109375" customWidth="1"/>
    <col min="12" max="12" width="14" customWidth="1"/>
    <col min="13" max="13" width="15.28515625" customWidth="1"/>
    <col min="14" max="14" width="20" customWidth="1"/>
    <col min="15" max="15" width="21.140625" customWidth="1"/>
    <col min="16" max="16" width="15.28515625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43516</v>
      </c>
      <c r="B2" s="22" t="s">
        <v>21</v>
      </c>
      <c r="C2" s="22" t="s">
        <v>75</v>
      </c>
      <c r="D2" s="22" t="s">
        <v>23</v>
      </c>
      <c r="E2" s="22" t="s">
        <v>160</v>
      </c>
      <c r="F2" s="22" t="s">
        <v>24</v>
      </c>
      <c r="G2" s="45" t="s">
        <v>161</v>
      </c>
      <c r="H2" s="22" t="s">
        <v>76</v>
      </c>
      <c r="I2" s="22" t="s">
        <v>77</v>
      </c>
      <c r="J2" s="24">
        <v>0.69791666666666663</v>
      </c>
      <c r="K2" s="25">
        <v>0.6875</v>
      </c>
      <c r="L2" s="24">
        <v>0.52777777777777779</v>
      </c>
      <c r="M2" s="25">
        <v>0.52708333333333335</v>
      </c>
      <c r="N2" s="25" t="s">
        <v>38</v>
      </c>
      <c r="O2" s="25" t="s">
        <v>208</v>
      </c>
      <c r="P2" s="26">
        <v>864</v>
      </c>
      <c r="Q2" s="26">
        <v>724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f>A2</f>
        <v>43516</v>
      </c>
      <c r="B3" s="22" t="s">
        <v>21</v>
      </c>
      <c r="C3" s="22" t="s">
        <v>78</v>
      </c>
      <c r="D3" s="22" t="s">
        <v>23</v>
      </c>
      <c r="E3" s="22" t="s">
        <v>203</v>
      </c>
      <c r="F3" s="22" t="s">
        <v>24</v>
      </c>
      <c r="G3" s="45" t="s">
        <v>207</v>
      </c>
      <c r="H3" s="22" t="s">
        <v>79</v>
      </c>
      <c r="I3" s="22" t="s">
        <v>80</v>
      </c>
      <c r="J3" s="24">
        <v>0.86458333333333337</v>
      </c>
      <c r="K3" s="25">
        <v>0.84513888888888899</v>
      </c>
      <c r="L3" s="24">
        <v>0.65972222222222221</v>
      </c>
      <c r="M3" s="25">
        <v>0.65833333333333333</v>
      </c>
      <c r="N3" s="25" t="s">
        <v>186</v>
      </c>
      <c r="O3" s="25" t="s">
        <v>209</v>
      </c>
      <c r="P3" s="26">
        <v>987</v>
      </c>
      <c r="Q3" s="26">
        <v>1063</v>
      </c>
      <c r="R3" s="22">
        <v>0</v>
      </c>
      <c r="S3" s="22">
        <v>0</v>
      </c>
      <c r="T3" s="22">
        <v>0</v>
      </c>
      <c r="U3" s="22">
        <v>0</v>
      </c>
    </row>
  </sheetData>
  <pageMargins left="0.7" right="0.7" top="0.75" bottom="0.75" header="0.3" footer="0.3"/>
  <ignoredErrors>
    <ignoredError sqref="G2:G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K2" sqref="K2"/>
    </sheetView>
  </sheetViews>
  <sheetFormatPr defaultRowHeight="15" x14ac:dyDescent="0.25"/>
  <cols>
    <col min="2" max="2" width="21.28515625" customWidth="1"/>
    <col min="3" max="3" width="12.85546875" bestFit="1" customWidth="1"/>
    <col min="6" max="6" width="16.425781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4" customFormat="1" ht="12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4" customFormat="1" ht="12.75" x14ac:dyDescent="0.2">
      <c r="A2" s="18">
        <v>43517</v>
      </c>
      <c r="B2" s="4" t="s">
        <v>21</v>
      </c>
      <c r="C2" s="4" t="s">
        <v>72</v>
      </c>
      <c r="D2" s="4" t="s">
        <v>23</v>
      </c>
      <c r="E2" s="6" t="s">
        <v>129</v>
      </c>
      <c r="F2" s="4" t="s">
        <v>24</v>
      </c>
      <c r="G2" s="19">
        <v>70000</v>
      </c>
      <c r="H2" s="6" t="s">
        <v>73</v>
      </c>
      <c r="I2" s="6" t="s">
        <v>74</v>
      </c>
      <c r="J2" s="8">
        <v>0.65277777777777779</v>
      </c>
      <c r="K2" s="9">
        <v>0.63472222222222219</v>
      </c>
      <c r="L2" s="8">
        <v>0.5</v>
      </c>
      <c r="M2" s="9">
        <v>0.49444444444444446</v>
      </c>
      <c r="N2" s="4" t="s">
        <v>211</v>
      </c>
      <c r="O2" s="47" t="s">
        <v>210</v>
      </c>
      <c r="P2" s="4">
        <v>701</v>
      </c>
      <c r="Q2" s="47">
        <v>601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8"/>
      <c r="B3" s="6"/>
      <c r="C3" s="6"/>
      <c r="D3" s="6"/>
      <c r="E3" s="6"/>
      <c r="F3" s="6"/>
      <c r="G3" s="19"/>
      <c r="H3" s="6"/>
      <c r="I3" s="6"/>
      <c r="J3" s="16"/>
      <c r="K3" s="17"/>
      <c r="L3" s="16"/>
      <c r="M3" s="17"/>
      <c r="O3" s="47"/>
      <c r="Q3" s="47"/>
      <c r="R3" s="6"/>
      <c r="S3" s="6"/>
      <c r="T3" s="6"/>
      <c r="U3" s="6"/>
    </row>
    <row r="4" spans="1:21" s="4" customFormat="1" ht="12.75" x14ac:dyDescent="0.2">
      <c r="A4" s="18"/>
      <c r="E4" s="6"/>
      <c r="G4" s="19"/>
      <c r="H4" s="6"/>
      <c r="I4" s="6"/>
      <c r="J4" s="8"/>
      <c r="K4" s="9"/>
      <c r="L4" s="8"/>
      <c r="M4" s="9"/>
      <c r="O4" s="47"/>
      <c r="Q4" s="47"/>
      <c r="R4" s="6"/>
      <c r="S4" s="6"/>
      <c r="T4" s="6"/>
      <c r="U4" s="6"/>
    </row>
    <row r="5" spans="1:21" s="4" customFormat="1" ht="12.75" x14ac:dyDescent="0.2">
      <c r="A5" s="46"/>
      <c r="B5" s="6"/>
      <c r="C5" s="6"/>
      <c r="D5" s="6"/>
      <c r="E5" s="6"/>
      <c r="F5" s="6"/>
      <c r="G5" s="7"/>
      <c r="H5" s="6"/>
      <c r="I5" s="6"/>
      <c r="J5" s="9"/>
      <c r="K5" s="9"/>
      <c r="L5" s="6"/>
      <c r="M5" s="6"/>
      <c r="N5" s="6"/>
      <c r="O5" s="6"/>
      <c r="P5" s="6"/>
      <c r="Q5" s="10"/>
      <c r="R5" s="6"/>
      <c r="S5" s="6"/>
      <c r="T5" s="6"/>
      <c r="U5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K6" sqref="K6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4.140625" style="4" customWidth="1"/>
    <col min="7" max="9" width="9.140625" style="4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43518</v>
      </c>
      <c r="B2" s="6" t="s">
        <v>21</v>
      </c>
      <c r="C2" s="6" t="s">
        <v>22</v>
      </c>
      <c r="D2" s="6" t="s">
        <v>23</v>
      </c>
      <c r="E2" s="6" t="s">
        <v>212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2">
        <v>0.47500000000000003</v>
      </c>
      <c r="L2" s="8">
        <v>0.27777777777777779</v>
      </c>
      <c r="M2" s="9">
        <v>0.28125</v>
      </c>
      <c r="N2" s="3" t="s">
        <v>215</v>
      </c>
      <c r="O2" s="10" t="s">
        <v>213</v>
      </c>
      <c r="P2" s="10">
        <v>709</v>
      </c>
      <c r="Q2" s="10">
        <v>807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 t="shared" ref="A3:A4" si="0">A2</f>
        <v>43518</v>
      </c>
      <c r="B3" s="6" t="s">
        <v>21</v>
      </c>
      <c r="C3" s="6" t="s">
        <v>27</v>
      </c>
      <c r="D3" s="6" t="s">
        <v>23</v>
      </c>
      <c r="E3" s="6" t="s">
        <v>129</v>
      </c>
      <c r="F3" s="6" t="s">
        <v>24</v>
      </c>
      <c r="G3" s="7">
        <v>70000</v>
      </c>
      <c r="H3" s="6" t="s">
        <v>28</v>
      </c>
      <c r="I3" s="6" t="s">
        <v>29</v>
      </c>
      <c r="J3" s="8">
        <v>0.4826388888888889</v>
      </c>
      <c r="K3" s="2">
        <v>0.46736111111111112</v>
      </c>
      <c r="L3" s="8">
        <v>0.33333333333333331</v>
      </c>
      <c r="M3" s="9">
        <v>0.33263888888888887</v>
      </c>
      <c r="N3" s="3" t="s">
        <v>216</v>
      </c>
      <c r="O3" s="10" t="s">
        <v>214</v>
      </c>
      <c r="P3" s="6">
        <v>583</v>
      </c>
      <c r="Q3" s="10">
        <v>768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 t="shared" si="0"/>
        <v>43518</v>
      </c>
      <c r="B4" s="3" t="s">
        <v>21</v>
      </c>
      <c r="C4" s="3" t="s">
        <v>30</v>
      </c>
      <c r="D4" s="3" t="s">
        <v>23</v>
      </c>
      <c r="E4" s="6" t="s">
        <v>129</v>
      </c>
      <c r="F4" s="3" t="s">
        <v>24</v>
      </c>
      <c r="G4" s="7">
        <v>70000</v>
      </c>
      <c r="H4" s="3" t="s">
        <v>31</v>
      </c>
      <c r="I4" s="3" t="s">
        <v>32</v>
      </c>
      <c r="J4" s="11">
        <v>0.71180555555555547</v>
      </c>
      <c r="K4" s="2">
        <v>0.70416666666666661</v>
      </c>
      <c r="L4" s="11">
        <v>0.50347222222222221</v>
      </c>
      <c r="M4" s="2">
        <v>0.50555555555555554</v>
      </c>
      <c r="N4" s="3" t="s">
        <v>69</v>
      </c>
      <c r="O4" s="3" t="s">
        <v>217</v>
      </c>
      <c r="P4" s="3">
        <v>912</v>
      </c>
      <c r="Q4" s="3">
        <v>676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f>A4</f>
        <v>43518</v>
      </c>
      <c r="B5" s="3" t="s">
        <v>21</v>
      </c>
      <c r="C5" s="3" t="s">
        <v>33</v>
      </c>
      <c r="D5" s="3" t="s">
        <v>23</v>
      </c>
      <c r="E5" s="6" t="s">
        <v>212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0.87152777777777779</v>
      </c>
      <c r="K5" s="2">
        <v>0.86597222222222225</v>
      </c>
      <c r="L5" s="12">
        <v>0.63541666666666663</v>
      </c>
      <c r="M5" s="13">
        <v>0.64236111111111105</v>
      </c>
      <c r="N5" s="3" t="s">
        <v>219</v>
      </c>
      <c r="O5" s="3" t="s">
        <v>218</v>
      </c>
      <c r="P5" s="14">
        <v>1056</v>
      </c>
      <c r="Q5" s="3">
        <v>1466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/>
      <c r="B6" s="3"/>
      <c r="C6" s="3"/>
      <c r="D6" s="3"/>
      <c r="E6" s="6"/>
      <c r="F6" s="48"/>
      <c r="G6" s="7"/>
      <c r="H6" s="6"/>
      <c r="I6" s="6"/>
      <c r="J6" s="16"/>
      <c r="L6" s="16"/>
      <c r="M6" s="17"/>
      <c r="O6" s="3"/>
      <c r="P6" s="3"/>
      <c r="Q6" s="3"/>
      <c r="R6" s="3"/>
      <c r="S6" s="3"/>
      <c r="T6" s="3"/>
      <c r="U6" s="3"/>
    </row>
    <row r="7" spans="1:21" x14ac:dyDescent="0.2">
      <c r="A7" s="18"/>
      <c r="G7" s="19"/>
      <c r="J7" s="16"/>
    </row>
    <row r="8" spans="1:21" x14ac:dyDescent="0.2">
      <c r="A8" s="18"/>
      <c r="G8" s="19"/>
      <c r="J8" s="16"/>
    </row>
    <row r="9" spans="1:21" x14ac:dyDescent="0.2">
      <c r="A9" s="18"/>
      <c r="G9" s="19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K6" sqref="K6"/>
    </sheetView>
  </sheetViews>
  <sheetFormatPr defaultRowHeight="15" x14ac:dyDescent="0.25"/>
  <cols>
    <col min="1" max="1" width="9.140625" style="49"/>
    <col min="2" max="2" width="11.85546875" style="49" customWidth="1"/>
    <col min="3" max="3" width="15" style="49" customWidth="1"/>
    <col min="4" max="4" width="9.140625" style="49"/>
    <col min="5" max="5" width="15.42578125" style="49" bestFit="1" customWidth="1"/>
    <col min="6" max="6" width="18.7109375" style="49" customWidth="1"/>
    <col min="7" max="8" width="9.140625" style="49"/>
    <col min="9" max="9" width="10.140625" style="49" customWidth="1"/>
    <col min="10" max="10" width="11.5703125" style="49" customWidth="1"/>
    <col min="11" max="11" width="13.28515625" style="49" customWidth="1"/>
    <col min="12" max="12" width="11.85546875" style="49" customWidth="1"/>
    <col min="13" max="13" width="11" style="49" customWidth="1"/>
    <col min="14" max="14" width="19.7109375" style="49" customWidth="1"/>
    <col min="15" max="15" width="19.140625" style="49" customWidth="1"/>
    <col min="16" max="16" width="9.85546875" style="49" customWidth="1"/>
    <col min="17" max="17" width="10.85546875" style="49" customWidth="1"/>
    <col min="18" max="16384" width="9.140625" style="49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21">
        <v>43519</v>
      </c>
      <c r="B2" s="22" t="s">
        <v>21</v>
      </c>
      <c r="C2" s="22" t="s">
        <v>50</v>
      </c>
      <c r="D2" s="22" t="s">
        <v>23</v>
      </c>
      <c r="E2" s="22" t="s">
        <v>129</v>
      </c>
      <c r="F2" s="22" t="s">
        <v>24</v>
      </c>
      <c r="G2" s="23">
        <v>70000</v>
      </c>
      <c r="H2" s="22" t="s">
        <v>52</v>
      </c>
      <c r="I2" s="22" t="s">
        <v>53</v>
      </c>
      <c r="J2" s="24">
        <v>0.49652777777777773</v>
      </c>
      <c r="K2" s="25">
        <v>0.49444444444444446</v>
      </c>
      <c r="L2" s="24">
        <v>0.3125</v>
      </c>
      <c r="M2" s="25">
        <v>0.31944444444444448</v>
      </c>
      <c r="N2" s="25" t="s">
        <v>226</v>
      </c>
      <c r="O2" s="26" t="s">
        <v>186</v>
      </c>
      <c r="P2" s="26">
        <v>999</v>
      </c>
      <c r="Q2" s="26">
        <v>1163</v>
      </c>
      <c r="R2" s="22">
        <v>0</v>
      </c>
      <c r="S2" s="22">
        <v>0</v>
      </c>
      <c r="T2" s="22">
        <v>0</v>
      </c>
      <c r="U2" s="22">
        <v>0</v>
      </c>
    </row>
    <row r="3" spans="1:21" x14ac:dyDescent="0.25">
      <c r="A3" s="21">
        <f>A2</f>
        <v>43519</v>
      </c>
      <c r="B3" s="22" t="s">
        <v>21</v>
      </c>
      <c r="C3" s="22" t="s">
        <v>54</v>
      </c>
      <c r="D3" s="22" t="s">
        <v>23</v>
      </c>
      <c r="E3" s="22" t="s">
        <v>212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0.48472222222222222</v>
      </c>
      <c r="L3" s="24">
        <v>0.35416666666666669</v>
      </c>
      <c r="M3" s="25">
        <v>0.36458333333333331</v>
      </c>
      <c r="N3" s="25" t="s">
        <v>227</v>
      </c>
      <c r="O3" s="14" t="s">
        <v>224</v>
      </c>
      <c r="P3" s="22">
        <v>586</v>
      </c>
      <c r="Q3" s="14">
        <v>741</v>
      </c>
      <c r="R3" s="22">
        <v>0</v>
      </c>
      <c r="S3" s="22">
        <v>0</v>
      </c>
      <c r="T3" s="22">
        <v>0</v>
      </c>
      <c r="U3" s="22">
        <v>0</v>
      </c>
    </row>
    <row r="4" spans="1:21" x14ac:dyDescent="0.25">
      <c r="A4" s="21">
        <f>A3</f>
        <v>43519</v>
      </c>
      <c r="B4" s="27" t="s">
        <v>21</v>
      </c>
      <c r="C4" s="27" t="s">
        <v>57</v>
      </c>
      <c r="D4" s="27" t="s">
        <v>23</v>
      </c>
      <c r="E4" s="22" t="s">
        <v>212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0.71666666666666667</v>
      </c>
      <c r="L4" s="28">
        <v>0.52777777777777779</v>
      </c>
      <c r="M4" s="29">
        <v>0.53125</v>
      </c>
      <c r="N4" s="4" t="s">
        <v>228</v>
      </c>
      <c r="O4" s="26" t="s">
        <v>225</v>
      </c>
      <c r="P4" s="22">
        <v>949</v>
      </c>
      <c r="Q4" s="26">
        <v>988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21">
        <f>A4</f>
        <v>43519</v>
      </c>
      <c r="B5" s="27" t="s">
        <v>21</v>
      </c>
      <c r="C5" s="27" t="s">
        <v>60</v>
      </c>
      <c r="D5" s="27" t="s">
        <v>23</v>
      </c>
      <c r="E5" s="22" t="s">
        <v>212</v>
      </c>
      <c r="F5" s="27" t="s">
        <v>24</v>
      </c>
      <c r="G5" s="23">
        <v>71500</v>
      </c>
      <c r="H5" s="27" t="s">
        <v>61</v>
      </c>
      <c r="I5" s="27" t="s">
        <v>62</v>
      </c>
      <c r="J5" s="32">
        <v>0.91319444444444453</v>
      </c>
      <c r="K5" s="33">
        <v>0.90555555555555556</v>
      </c>
      <c r="L5" s="32">
        <v>0.74305555555555547</v>
      </c>
      <c r="M5" s="34">
        <v>0.74861111111111101</v>
      </c>
      <c r="N5" s="26" t="s">
        <v>230</v>
      </c>
      <c r="O5" s="26" t="s">
        <v>229</v>
      </c>
      <c r="P5" s="22">
        <v>874</v>
      </c>
      <c r="Q5" s="26">
        <v>731</v>
      </c>
      <c r="R5" s="27">
        <v>0</v>
      </c>
      <c r="S5" s="27">
        <v>0</v>
      </c>
      <c r="T5" s="27">
        <v>0</v>
      </c>
      <c r="U5" s="27">
        <v>0</v>
      </c>
    </row>
    <row r="6" spans="1:21" s="26" customFormat="1" ht="12.75" x14ac:dyDescent="0.2">
      <c r="A6" s="21">
        <f>A5</f>
        <v>43519</v>
      </c>
      <c r="B6" s="26" t="s">
        <v>21</v>
      </c>
      <c r="C6" s="26" t="s">
        <v>220</v>
      </c>
      <c r="D6" s="26" t="s">
        <v>23</v>
      </c>
      <c r="E6" s="26" t="s">
        <v>129</v>
      </c>
      <c r="F6" s="26" t="s">
        <v>221</v>
      </c>
      <c r="G6" s="26">
        <v>70000</v>
      </c>
      <c r="H6" s="26" t="s">
        <v>222</v>
      </c>
      <c r="I6" s="26" t="s">
        <v>223</v>
      </c>
      <c r="J6" s="17">
        <v>0.98263888888888884</v>
      </c>
      <c r="K6" s="25">
        <v>6.2499999999999995E-3</v>
      </c>
      <c r="L6" s="17">
        <v>0.51736111111111105</v>
      </c>
      <c r="M6" s="17">
        <v>0.52430555555555558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</row>
    <row r="7" spans="1:21" x14ac:dyDescent="0.25">
      <c r="J7" s="51"/>
      <c r="L7" s="51"/>
      <c r="M7" s="5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F1" workbookViewId="0">
      <selection activeCell="K30" sqref="K30"/>
    </sheetView>
  </sheetViews>
  <sheetFormatPr defaultRowHeight="15" x14ac:dyDescent="0.25"/>
  <cols>
    <col min="2" max="2" width="9.85546875" customWidth="1"/>
    <col min="3" max="3" width="14.5703125" customWidth="1"/>
    <col min="5" max="5" width="17.140625" customWidth="1"/>
    <col min="6" max="6" width="16.85546875" customWidth="1"/>
    <col min="10" max="10" width="10.7109375" customWidth="1"/>
    <col min="11" max="11" width="12.28515625" customWidth="1"/>
    <col min="12" max="12" width="10.42578125" customWidth="1"/>
    <col min="13" max="13" width="11.5703125" customWidth="1"/>
    <col min="14" max="14" width="18.5703125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43520</v>
      </c>
      <c r="B2" s="6" t="s">
        <v>21</v>
      </c>
      <c r="C2" s="6" t="s">
        <v>22</v>
      </c>
      <c r="D2" s="6" t="s">
        <v>23</v>
      </c>
      <c r="E2" s="27" t="s">
        <v>212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0.4826388888888889</v>
      </c>
      <c r="K2" s="9">
        <v>0.48541666666666666</v>
      </c>
      <c r="L2" s="8">
        <v>0.27777777777777779</v>
      </c>
      <c r="M2" s="9">
        <v>0.30555555555555552</v>
      </c>
      <c r="N2" s="10" t="s">
        <v>69</v>
      </c>
      <c r="O2" s="10" t="s">
        <v>231</v>
      </c>
      <c r="P2" s="10">
        <v>965</v>
      </c>
      <c r="Q2" s="10">
        <v>740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43520</v>
      </c>
      <c r="B3" s="6" t="s">
        <v>21</v>
      </c>
      <c r="C3" s="6" t="s">
        <v>72</v>
      </c>
      <c r="D3" s="6" t="s">
        <v>23</v>
      </c>
      <c r="E3" s="6" t="s">
        <v>129</v>
      </c>
      <c r="F3" s="6" t="s">
        <v>24</v>
      </c>
      <c r="G3" s="7">
        <v>70000</v>
      </c>
      <c r="H3" s="6" t="s">
        <v>73</v>
      </c>
      <c r="I3" s="6" t="s">
        <v>74</v>
      </c>
      <c r="J3" s="8">
        <v>0.65277777777777779</v>
      </c>
      <c r="K3" s="9">
        <v>0.64930555555555558</v>
      </c>
      <c r="L3" s="8">
        <v>0.5</v>
      </c>
      <c r="M3" s="9">
        <v>0.51180555555555551</v>
      </c>
      <c r="N3" s="10" t="s">
        <v>233</v>
      </c>
      <c r="O3" s="10" t="s">
        <v>232</v>
      </c>
      <c r="P3" s="6">
        <v>975</v>
      </c>
      <c r="Q3" s="10">
        <v>893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43520</v>
      </c>
      <c r="B4" s="27" t="s">
        <v>21</v>
      </c>
      <c r="C4" s="27" t="s">
        <v>75</v>
      </c>
      <c r="D4" s="27" t="s">
        <v>23</v>
      </c>
      <c r="E4" s="27" t="s">
        <v>212</v>
      </c>
      <c r="F4" s="27" t="s">
        <v>24</v>
      </c>
      <c r="G4" s="7">
        <v>71500</v>
      </c>
      <c r="H4" s="27" t="s">
        <v>76</v>
      </c>
      <c r="I4" s="27" t="s">
        <v>77</v>
      </c>
      <c r="J4" s="28">
        <v>0.69791666666666663</v>
      </c>
      <c r="K4" s="29">
        <v>0.69374999999999998</v>
      </c>
      <c r="L4" s="28">
        <v>0.52777777777777779</v>
      </c>
      <c r="M4" s="29">
        <v>0.53611111111111109</v>
      </c>
      <c r="N4" s="27" t="s">
        <v>234</v>
      </c>
      <c r="O4" s="38" t="s">
        <v>41</v>
      </c>
      <c r="P4" s="27">
        <v>1039</v>
      </c>
      <c r="Q4" s="27">
        <v>695</v>
      </c>
      <c r="R4" s="27">
        <v>0</v>
      </c>
      <c r="S4" s="27">
        <v>0</v>
      </c>
      <c r="T4" s="27">
        <v>0</v>
      </c>
      <c r="U4" s="27">
        <v>0</v>
      </c>
    </row>
    <row r="5" spans="1:21" s="36" customFormat="1" ht="12.75" x14ac:dyDescent="0.25">
      <c r="A5" s="37">
        <f>A4</f>
        <v>43520</v>
      </c>
      <c r="B5" s="27" t="s">
        <v>21</v>
      </c>
      <c r="C5" s="27" t="s">
        <v>78</v>
      </c>
      <c r="D5" s="27" t="s">
        <v>23</v>
      </c>
      <c r="E5" s="6" t="s">
        <v>129</v>
      </c>
      <c r="F5" s="27" t="s">
        <v>24</v>
      </c>
      <c r="G5" s="31">
        <v>70000</v>
      </c>
      <c r="H5" s="27" t="s">
        <v>79</v>
      </c>
      <c r="I5" s="27" t="s">
        <v>80</v>
      </c>
      <c r="J5" s="12">
        <v>0.88888888888888884</v>
      </c>
      <c r="K5" s="39">
        <v>0.86458333333333337</v>
      </c>
      <c r="L5" s="12">
        <v>0.68402777777777779</v>
      </c>
      <c r="M5" s="39">
        <v>0.68333333333333324</v>
      </c>
      <c r="N5" s="36" t="s">
        <v>235</v>
      </c>
      <c r="O5" s="40" t="s">
        <v>127</v>
      </c>
      <c r="P5" s="27">
        <v>1002</v>
      </c>
      <c r="Q5" s="27">
        <v>1049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E1" workbookViewId="0">
      <selection activeCell="J5" sqref="J5"/>
    </sheetView>
  </sheetViews>
  <sheetFormatPr defaultRowHeight="15" x14ac:dyDescent="0.25"/>
  <cols>
    <col min="3" max="3" width="15.42578125" customWidth="1"/>
    <col min="5" max="5" width="11.7109375" customWidth="1"/>
    <col min="6" max="6" width="14.42578125" customWidth="1"/>
    <col min="10" max="12" width="10.85546875" customWidth="1"/>
    <col min="13" max="13" width="12.28515625" customWidth="1"/>
    <col min="14" max="14" width="19" customWidth="1"/>
    <col min="15" max="15" width="18.85546875" customWidth="1"/>
  </cols>
  <sheetData>
    <row r="1" spans="1:21" s="36" customFormat="1" ht="12.7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ht="12.75" x14ac:dyDescent="0.25">
      <c r="A2" s="21">
        <v>43521</v>
      </c>
      <c r="B2" s="41" t="s">
        <v>21</v>
      </c>
      <c r="C2" s="41" t="s">
        <v>22</v>
      </c>
      <c r="D2" s="41" t="s">
        <v>23</v>
      </c>
      <c r="E2" s="50" t="s">
        <v>203</v>
      </c>
      <c r="F2" s="41" t="s">
        <v>24</v>
      </c>
      <c r="G2" s="42">
        <v>71500</v>
      </c>
      <c r="H2" s="41" t="s">
        <v>26</v>
      </c>
      <c r="I2" s="41" t="s">
        <v>25</v>
      </c>
      <c r="J2" s="43">
        <v>0.4826388888888889</v>
      </c>
      <c r="K2" s="44">
        <f>J2</f>
        <v>0.4826388888888889</v>
      </c>
      <c r="L2" s="43">
        <v>0.27777777777777779</v>
      </c>
      <c r="M2" s="9">
        <v>0.29444444444444445</v>
      </c>
      <c r="N2" s="10" t="s">
        <v>237</v>
      </c>
      <c r="O2" s="10" t="s">
        <v>236</v>
      </c>
      <c r="P2" s="10">
        <v>878</v>
      </c>
      <c r="Q2" s="10">
        <v>1082</v>
      </c>
      <c r="R2" s="6">
        <v>0</v>
      </c>
      <c r="S2" s="6">
        <v>0</v>
      </c>
      <c r="T2" s="6">
        <v>0</v>
      </c>
      <c r="U2" s="6">
        <v>0</v>
      </c>
    </row>
    <row r="3" spans="1:21" s="36" customFormat="1" ht="12.75" x14ac:dyDescent="0.25">
      <c r="A3" s="21">
        <f>A2</f>
        <v>43521</v>
      </c>
      <c r="B3" s="41" t="s">
        <v>21</v>
      </c>
      <c r="C3" s="41" t="s">
        <v>27</v>
      </c>
      <c r="D3" s="41" t="s">
        <v>23</v>
      </c>
      <c r="E3" s="41" t="s">
        <v>160</v>
      </c>
      <c r="F3" s="41" t="s">
        <v>24</v>
      </c>
      <c r="G3" s="42">
        <v>70000</v>
      </c>
      <c r="H3" s="41" t="s">
        <v>29</v>
      </c>
      <c r="I3" s="41" t="s">
        <v>28</v>
      </c>
      <c r="J3" s="43">
        <v>0.4826388888888889</v>
      </c>
      <c r="K3" s="44">
        <v>0.47500000000000003</v>
      </c>
      <c r="L3" s="43">
        <v>0.33333333333333331</v>
      </c>
      <c r="M3" s="9">
        <v>0.3347222222222222</v>
      </c>
      <c r="N3" s="10" t="s">
        <v>40</v>
      </c>
      <c r="O3" s="10" t="s">
        <v>38</v>
      </c>
      <c r="P3" s="6">
        <v>1036</v>
      </c>
      <c r="Q3" s="10">
        <v>866</v>
      </c>
      <c r="R3" s="6">
        <v>0</v>
      </c>
      <c r="S3" s="6">
        <v>0</v>
      </c>
      <c r="T3" s="6">
        <v>0</v>
      </c>
      <c r="U3" s="6">
        <v>0</v>
      </c>
    </row>
    <row r="4" spans="1:21" s="27" customFormat="1" ht="12.75" x14ac:dyDescent="0.25">
      <c r="A4" s="37">
        <f>A3</f>
        <v>43521</v>
      </c>
      <c r="B4" s="3" t="s">
        <v>21</v>
      </c>
      <c r="C4" s="3" t="s">
        <v>30</v>
      </c>
      <c r="D4" s="3" t="s">
        <v>23</v>
      </c>
      <c r="E4" s="41" t="str">
        <f>E3</f>
        <v>HA-LWN</v>
      </c>
      <c r="F4" s="3" t="s">
        <v>24</v>
      </c>
      <c r="G4" s="42">
        <v>70000</v>
      </c>
      <c r="H4" s="3" t="s">
        <v>32</v>
      </c>
      <c r="I4" s="3" t="s">
        <v>31</v>
      </c>
      <c r="J4" s="11">
        <v>0.71180555555555547</v>
      </c>
      <c r="K4" s="2">
        <v>0.71319444444444446</v>
      </c>
      <c r="L4" s="11">
        <v>0.50347222222222221</v>
      </c>
      <c r="M4" s="29">
        <v>0.51111111111111118</v>
      </c>
      <c r="N4" s="27" t="s">
        <v>68</v>
      </c>
      <c r="O4" s="38" t="s">
        <v>69</v>
      </c>
      <c r="P4" s="27">
        <v>734</v>
      </c>
      <c r="Q4" s="27">
        <v>877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5">
      <c r="A5" s="37">
        <f>A4</f>
        <v>43521</v>
      </c>
      <c r="B5" s="27" t="s">
        <v>21</v>
      </c>
      <c r="C5" s="27" t="s">
        <v>33</v>
      </c>
      <c r="D5" s="27" t="s">
        <v>23</v>
      </c>
      <c r="E5" s="41" t="str">
        <f>E2</f>
        <v>HA-LYD</v>
      </c>
      <c r="F5" s="27" t="s">
        <v>24</v>
      </c>
      <c r="G5" s="42">
        <f>G2</f>
        <v>71500</v>
      </c>
      <c r="H5" s="27" t="s">
        <v>34</v>
      </c>
      <c r="I5" s="27" t="s">
        <v>35</v>
      </c>
      <c r="J5" s="12">
        <v>0.87152777777777779</v>
      </c>
      <c r="K5" s="39">
        <v>0.86041666666666661</v>
      </c>
      <c r="L5" s="12">
        <v>0.63541666666666663</v>
      </c>
      <c r="M5" s="39">
        <v>0.63472222222222219</v>
      </c>
      <c r="N5" s="27" t="s">
        <v>239</v>
      </c>
      <c r="O5" s="27" t="s">
        <v>238</v>
      </c>
      <c r="P5" s="27">
        <v>1334</v>
      </c>
      <c r="Q5" s="27">
        <v>1255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D1" workbookViewId="0">
      <selection activeCell="M5" sqref="M5"/>
    </sheetView>
  </sheetViews>
  <sheetFormatPr defaultRowHeight="12.75" x14ac:dyDescent="0.2"/>
  <cols>
    <col min="1" max="1" width="9.140625" style="4"/>
    <col min="2" max="2" width="13.140625" style="4" bestFit="1" customWidth="1"/>
    <col min="3" max="3" width="15.42578125" style="4" customWidth="1"/>
    <col min="4" max="5" width="9.140625" style="4"/>
    <col min="6" max="6" width="14.42578125" style="4" customWidth="1"/>
    <col min="7" max="9" width="9.140625" style="4"/>
    <col min="10" max="12" width="10.85546875" style="4" customWidth="1"/>
    <col min="13" max="13" width="12.28515625" style="4" customWidth="1"/>
    <col min="14" max="14" width="19" style="4" customWidth="1"/>
    <col min="15" max="15" width="18.85546875" style="4" customWidth="1"/>
    <col min="16" max="16384" width="9.140625" style="4"/>
  </cols>
  <sheetData>
    <row r="1" spans="1:21" s="36" customFormat="1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s="36" customFormat="1" x14ac:dyDescent="0.25">
      <c r="A2" s="21">
        <v>43522</v>
      </c>
      <c r="B2" s="22" t="s">
        <v>21</v>
      </c>
      <c r="C2" s="22" t="s">
        <v>50</v>
      </c>
      <c r="D2" s="22" t="s">
        <v>23</v>
      </c>
      <c r="E2" s="22" t="s">
        <v>212</v>
      </c>
      <c r="F2" s="22" t="s">
        <v>24</v>
      </c>
      <c r="G2" s="23">
        <v>71500</v>
      </c>
      <c r="H2" s="22" t="s">
        <v>52</v>
      </c>
      <c r="I2" s="22" t="s">
        <v>53</v>
      </c>
      <c r="J2" s="24">
        <v>0.49652777777777773</v>
      </c>
      <c r="K2" s="25">
        <v>0.48125000000000001</v>
      </c>
      <c r="L2" s="24">
        <v>0.3125</v>
      </c>
      <c r="M2" s="25">
        <v>0.31805555555555554</v>
      </c>
      <c r="N2" s="25" t="s">
        <v>232</v>
      </c>
      <c r="O2" s="25" t="s">
        <v>93</v>
      </c>
      <c r="P2" s="26">
        <v>1012</v>
      </c>
      <c r="Q2" s="26">
        <v>784</v>
      </c>
      <c r="R2" s="22">
        <v>0</v>
      </c>
      <c r="S2" s="22">
        <v>0</v>
      </c>
      <c r="T2" s="22">
        <v>0</v>
      </c>
      <c r="U2" s="22">
        <v>0</v>
      </c>
    </row>
    <row r="3" spans="1:21" s="36" customFormat="1" x14ac:dyDescent="0.25">
      <c r="A3" s="21">
        <f>A2</f>
        <v>43522</v>
      </c>
      <c r="B3" s="22" t="s">
        <v>21</v>
      </c>
      <c r="C3" s="22" t="s">
        <v>96</v>
      </c>
      <c r="D3" s="22" t="s">
        <v>23</v>
      </c>
      <c r="E3" s="22" t="s">
        <v>129</v>
      </c>
      <c r="F3" s="22" t="s">
        <v>24</v>
      </c>
      <c r="G3" s="23">
        <v>71500</v>
      </c>
      <c r="H3" s="22" t="s">
        <v>55</v>
      </c>
      <c r="I3" s="22" t="s">
        <v>56</v>
      </c>
      <c r="J3" s="24">
        <v>0.49305555555555558</v>
      </c>
      <c r="K3" s="25">
        <v>0.49652777777777773</v>
      </c>
      <c r="L3" s="24">
        <v>0.35416666666666669</v>
      </c>
      <c r="M3" s="25">
        <v>0.3666666666666667</v>
      </c>
      <c r="N3" s="25" t="s">
        <v>242</v>
      </c>
      <c r="O3" s="25" t="s">
        <v>240</v>
      </c>
      <c r="P3" s="26">
        <v>407</v>
      </c>
      <c r="Q3" s="26">
        <v>562</v>
      </c>
      <c r="R3" s="22">
        <v>0</v>
      </c>
      <c r="S3" s="22">
        <v>0</v>
      </c>
      <c r="T3" s="22">
        <v>0</v>
      </c>
      <c r="U3" s="22">
        <v>0</v>
      </c>
    </row>
    <row r="4" spans="1:21" s="27" customFormat="1" x14ac:dyDescent="0.25">
      <c r="A4" s="37">
        <f>A3</f>
        <v>43522</v>
      </c>
      <c r="B4" s="27" t="s">
        <v>21</v>
      </c>
      <c r="C4" s="27" t="s">
        <v>57</v>
      </c>
      <c r="D4" s="27" t="s">
        <v>23</v>
      </c>
      <c r="E4" s="22" t="s">
        <v>243</v>
      </c>
      <c r="F4" s="27" t="s">
        <v>24</v>
      </c>
      <c r="G4" s="23">
        <v>71500</v>
      </c>
      <c r="H4" s="27" t="s">
        <v>58</v>
      </c>
      <c r="I4" s="27" t="s">
        <v>59</v>
      </c>
      <c r="J4" s="28">
        <v>0.72222222222222221</v>
      </c>
      <c r="K4" s="29">
        <v>0.71458333333333324</v>
      </c>
      <c r="L4" s="28">
        <v>0.52777777777777779</v>
      </c>
      <c r="M4" s="29">
        <v>0.52777777777777779</v>
      </c>
      <c r="N4" s="26" t="s">
        <v>94</v>
      </c>
      <c r="O4" s="26" t="s">
        <v>241</v>
      </c>
      <c r="P4" s="22">
        <v>982</v>
      </c>
      <c r="Q4" s="26">
        <v>834</v>
      </c>
      <c r="R4" s="27">
        <v>0</v>
      </c>
      <c r="S4" s="27">
        <v>0</v>
      </c>
      <c r="T4" s="27">
        <v>0</v>
      </c>
      <c r="U4" s="27">
        <v>0</v>
      </c>
    </row>
    <row r="5" spans="1:21" x14ac:dyDescent="0.2">
      <c r="A5" s="37">
        <f>A4</f>
        <v>43522</v>
      </c>
      <c r="B5" s="27" t="s">
        <v>21</v>
      </c>
      <c r="C5" s="27" t="s">
        <v>60</v>
      </c>
      <c r="D5" s="27" t="s">
        <v>23</v>
      </c>
      <c r="E5" s="22" t="s">
        <v>212</v>
      </c>
      <c r="F5" s="27" t="s">
        <v>24</v>
      </c>
      <c r="G5" s="23">
        <f>G4</f>
        <v>71500</v>
      </c>
      <c r="H5" s="27" t="s">
        <v>61</v>
      </c>
      <c r="I5" s="27" t="s">
        <v>62</v>
      </c>
      <c r="J5" s="32">
        <v>0.91319444444444453</v>
      </c>
      <c r="K5" s="33">
        <v>0.90347222222222223</v>
      </c>
      <c r="L5" s="32">
        <v>0.74305555555555547</v>
      </c>
      <c r="M5" s="33">
        <v>0.74444444444444446</v>
      </c>
      <c r="N5" s="33" t="s">
        <v>231</v>
      </c>
      <c r="O5" s="26" t="s">
        <v>244</v>
      </c>
      <c r="P5" s="22">
        <v>981</v>
      </c>
      <c r="Q5" s="26">
        <v>839</v>
      </c>
      <c r="R5" s="27">
        <v>0</v>
      </c>
      <c r="S5" s="27">
        <v>0</v>
      </c>
      <c r="T5" s="27">
        <v>0</v>
      </c>
      <c r="U5" s="2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E1" workbookViewId="0">
      <selection activeCell="K5" sqref="K5"/>
    </sheetView>
  </sheetViews>
  <sheetFormatPr defaultRowHeight="15" x14ac:dyDescent="0.25"/>
  <cols>
    <col min="3" max="3" width="16.42578125" customWidth="1"/>
    <col min="6" max="6" width="14.85546875" customWidth="1"/>
    <col min="10" max="10" width="10.7109375" customWidth="1"/>
    <col min="11" max="11" width="13.7109375" customWidth="1"/>
    <col min="12" max="12" width="14" customWidth="1"/>
    <col min="13" max="13" width="15.28515625" customWidth="1"/>
    <col min="14" max="14" width="20" customWidth="1"/>
    <col min="15" max="15" width="21.140625" customWidth="1"/>
    <col min="16" max="16" width="15.28515625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52">
        <v>43523</v>
      </c>
      <c r="B2" s="20" t="s">
        <v>21</v>
      </c>
      <c r="C2" s="20" t="s">
        <v>30</v>
      </c>
      <c r="D2" s="20" t="s">
        <v>23</v>
      </c>
      <c r="E2" s="20" t="s">
        <v>212</v>
      </c>
      <c r="F2" s="20" t="s">
        <v>24</v>
      </c>
      <c r="G2" s="20">
        <v>71.5</v>
      </c>
      <c r="H2" s="20" t="s">
        <v>31</v>
      </c>
      <c r="I2" s="20" t="s">
        <v>32</v>
      </c>
      <c r="J2" s="53">
        <v>0.5625</v>
      </c>
      <c r="K2" s="54">
        <v>0.56180555555555556</v>
      </c>
      <c r="L2" s="53">
        <v>0.35416666666666669</v>
      </c>
      <c r="M2" s="54">
        <v>0.35486111111111113</v>
      </c>
      <c r="N2" s="20" t="s">
        <v>246</v>
      </c>
      <c r="O2" s="20" t="s">
        <v>102</v>
      </c>
      <c r="P2" s="20">
        <v>814</v>
      </c>
      <c r="Q2" s="20">
        <v>669</v>
      </c>
      <c r="R2" s="20">
        <v>0</v>
      </c>
      <c r="S2" s="20">
        <v>0</v>
      </c>
      <c r="T2" s="20">
        <v>0</v>
      </c>
      <c r="U2" s="20">
        <v>0</v>
      </c>
    </row>
    <row r="3" spans="1:21" x14ac:dyDescent="0.25">
      <c r="A3" s="21">
        <v>43523</v>
      </c>
      <c r="B3" s="22" t="s">
        <v>21</v>
      </c>
      <c r="C3" s="22" t="s">
        <v>75</v>
      </c>
      <c r="D3" s="22" t="s">
        <v>23</v>
      </c>
      <c r="E3" s="22" t="s">
        <v>245</v>
      </c>
      <c r="F3" s="22" t="s">
        <v>24</v>
      </c>
      <c r="G3" s="26">
        <v>71.5</v>
      </c>
      <c r="H3" s="22" t="s">
        <v>76</v>
      </c>
      <c r="I3" s="22" t="s">
        <v>77</v>
      </c>
      <c r="J3" s="24">
        <v>0.69791666666666663</v>
      </c>
      <c r="K3" s="25">
        <v>0.68680555555555556</v>
      </c>
      <c r="L3" s="24">
        <v>0.52777777777777779</v>
      </c>
      <c r="M3" s="25">
        <v>0.52777777777777779</v>
      </c>
      <c r="N3" s="25" t="s">
        <v>247</v>
      </c>
      <c r="O3" s="25" t="s">
        <v>192</v>
      </c>
      <c r="P3" s="26">
        <v>963</v>
      </c>
      <c r="Q3" s="26">
        <v>807</v>
      </c>
      <c r="R3" s="22">
        <v>0</v>
      </c>
      <c r="S3" s="22">
        <v>0</v>
      </c>
      <c r="T3" s="22">
        <v>0</v>
      </c>
      <c r="U3" s="22">
        <v>0</v>
      </c>
    </row>
    <row r="4" spans="1:21" x14ac:dyDescent="0.25">
      <c r="A4" s="21">
        <v>43523</v>
      </c>
      <c r="B4" s="22" t="s">
        <v>21</v>
      </c>
      <c r="C4" s="22" t="s">
        <v>78</v>
      </c>
      <c r="D4" s="22" t="s">
        <v>23</v>
      </c>
      <c r="E4" s="22" t="s">
        <v>203</v>
      </c>
      <c r="F4" s="22" t="s">
        <v>24</v>
      </c>
      <c r="G4" s="26">
        <v>71.5</v>
      </c>
      <c r="H4" s="22" t="s">
        <v>79</v>
      </c>
      <c r="I4" s="22" t="s">
        <v>80</v>
      </c>
      <c r="J4" s="24">
        <v>0.86458333333333337</v>
      </c>
      <c r="K4" s="25">
        <v>0.84652777777777777</v>
      </c>
      <c r="L4" s="24">
        <v>0.65972222222222221</v>
      </c>
      <c r="M4" s="25">
        <v>0.65625</v>
      </c>
      <c r="N4" s="25" t="s">
        <v>235</v>
      </c>
      <c r="O4" s="25" t="s">
        <v>248</v>
      </c>
      <c r="P4" s="26">
        <v>946</v>
      </c>
      <c r="Q4" s="26">
        <v>957</v>
      </c>
      <c r="R4" s="22">
        <v>0</v>
      </c>
      <c r="S4" s="22">
        <v>0</v>
      </c>
      <c r="T4" s="22">
        <v>0</v>
      </c>
      <c r="U4" s="22">
        <v>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A2" sqref="A2"/>
    </sheetView>
  </sheetViews>
  <sheetFormatPr defaultRowHeight="15" x14ac:dyDescent="0.25"/>
  <cols>
    <col min="2" max="2" width="21.28515625" customWidth="1"/>
    <col min="3" max="3" width="12.85546875" bestFit="1" customWidth="1"/>
    <col min="6" max="6" width="16.425781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1" s="4" customFormat="1" ht="12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4" customFormat="1" ht="12.75" x14ac:dyDescent="0.2">
      <c r="A2" s="18">
        <v>43524</v>
      </c>
      <c r="B2" s="4" t="s">
        <v>21</v>
      </c>
      <c r="C2" s="4" t="s">
        <v>72</v>
      </c>
      <c r="D2" s="4" t="s">
        <v>23</v>
      </c>
      <c r="E2" s="6" t="s">
        <v>243</v>
      </c>
      <c r="F2" s="4" t="s">
        <v>24</v>
      </c>
      <c r="G2" s="19">
        <v>71500</v>
      </c>
      <c r="H2" s="6" t="s">
        <v>73</v>
      </c>
      <c r="I2" s="6" t="s">
        <v>74</v>
      </c>
      <c r="J2" s="8">
        <v>0.65277777777777779</v>
      </c>
      <c r="K2" s="9">
        <v>0.64027777777777783</v>
      </c>
      <c r="L2" s="8">
        <v>0.5</v>
      </c>
      <c r="M2" s="9">
        <v>0.50208333333333333</v>
      </c>
      <c r="N2" s="4" t="s">
        <v>249</v>
      </c>
      <c r="O2" s="47" t="s">
        <v>226</v>
      </c>
      <c r="P2" s="4">
        <v>876</v>
      </c>
      <c r="Q2" s="47">
        <v>710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18"/>
      <c r="B3" s="6"/>
      <c r="C3" s="6"/>
      <c r="D3" s="6"/>
      <c r="E3" s="6"/>
      <c r="F3" s="6"/>
      <c r="G3" s="19"/>
      <c r="H3" s="6"/>
      <c r="I3" s="6"/>
      <c r="J3" s="16"/>
      <c r="K3" s="17"/>
      <c r="L3" s="16"/>
      <c r="M3" s="17"/>
      <c r="O3" s="47"/>
      <c r="Q3" s="47"/>
      <c r="R3" s="6"/>
      <c r="S3" s="6"/>
      <c r="T3" s="6"/>
      <c r="U3" s="6"/>
    </row>
    <row r="4" spans="1:21" s="4" customFormat="1" ht="12.75" x14ac:dyDescent="0.2">
      <c r="A4" s="18"/>
      <c r="E4" s="6"/>
      <c r="G4" s="19"/>
      <c r="H4" s="6"/>
      <c r="I4" s="6"/>
      <c r="J4" s="8"/>
      <c r="K4" s="9"/>
      <c r="L4" s="8"/>
      <c r="M4" s="9"/>
      <c r="O4" s="47"/>
      <c r="Q4" s="47"/>
      <c r="R4" s="6"/>
      <c r="S4" s="6"/>
      <c r="T4" s="6"/>
      <c r="U4" s="6"/>
    </row>
    <row r="5" spans="1:21" s="4" customFormat="1" ht="12.75" x14ac:dyDescent="0.2">
      <c r="A5" s="46"/>
      <c r="B5" s="6"/>
      <c r="C5" s="6"/>
      <c r="D5" s="6"/>
      <c r="E5" s="6"/>
      <c r="F5" s="6"/>
      <c r="G5" s="7"/>
      <c r="H5" s="6"/>
      <c r="I5" s="6"/>
      <c r="J5" s="9"/>
      <c r="K5" s="9"/>
      <c r="L5" s="6"/>
      <c r="M5" s="6"/>
      <c r="N5" s="6"/>
      <c r="O5" s="6"/>
      <c r="P5" s="6"/>
      <c r="Q5" s="10"/>
      <c r="R5" s="6"/>
      <c r="S5" s="6"/>
      <c r="T5" s="6"/>
      <c r="U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2019-02-01T03:35:18Z</dcterms:created>
  <dcterms:modified xsi:type="dcterms:W3CDTF">2019-02-28T14:26:05Z</dcterms:modified>
</cp:coreProperties>
</file>