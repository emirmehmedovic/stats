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840" windowWidth="17955" windowHeight="11055" firstSheet="12" activeTab="16"/>
  </bookViews>
  <sheets>
    <sheet name="1" sheetId="23" r:id="rId1"/>
    <sheet name="2" sheetId="24" r:id="rId2"/>
    <sheet name="3" sheetId="25" r:id="rId3"/>
    <sheet name="4" sheetId="26" r:id="rId4"/>
    <sheet name="5" sheetId="27" r:id="rId5"/>
    <sheet name="6" sheetId="28" r:id="rId6"/>
    <sheet name="7" sheetId="30" r:id="rId7"/>
    <sheet name="8" sheetId="31" r:id="rId8"/>
    <sheet name="9" sheetId="32" r:id="rId9"/>
    <sheet name="10" sheetId="33" r:id="rId10"/>
    <sheet name="11" sheetId="34" r:id="rId11"/>
    <sheet name="12" sheetId="35" r:id="rId12"/>
    <sheet name="13" sheetId="36" r:id="rId13"/>
    <sheet name="14" sheetId="37" r:id="rId14"/>
    <sheet name="15" sheetId="38" r:id="rId15"/>
    <sheet name="16" sheetId="39" r:id="rId16"/>
    <sheet name="17" sheetId="40" r:id="rId17"/>
    <sheet name="18" sheetId="41" r:id="rId18"/>
    <sheet name="19" sheetId="42" r:id="rId19"/>
    <sheet name="20" sheetId="43" r:id="rId20"/>
    <sheet name="21" sheetId="44" r:id="rId21"/>
    <sheet name="22" sheetId="56" r:id="rId22"/>
    <sheet name="23" sheetId="46" r:id="rId23"/>
    <sheet name="24" sheetId="47" r:id="rId24"/>
    <sheet name="25" sheetId="49" r:id="rId25"/>
    <sheet name="26" sheetId="50" r:id="rId26"/>
    <sheet name="27" sheetId="51" r:id="rId27"/>
    <sheet name="28" sheetId="52" r:id="rId28"/>
    <sheet name="29" sheetId="45" r:id="rId29"/>
    <sheet name="30" sheetId="53" r:id="rId30"/>
    <sheet name="31" sheetId="55" r:id="rId31"/>
  </sheets>
  <calcPr calcId="145621"/>
</workbook>
</file>

<file path=xl/calcChain.xml><?xml version="1.0" encoding="utf-8"?>
<calcChain xmlns="http://schemas.openxmlformats.org/spreadsheetml/2006/main">
  <c r="E5" i="56" l="1"/>
  <c r="E4" i="56"/>
  <c r="A3" i="56"/>
  <c r="A4" i="56" s="1"/>
  <c r="A5" i="56" s="1"/>
  <c r="A5" i="55" l="1"/>
  <c r="A3" i="55"/>
  <c r="A4" i="55" s="1"/>
  <c r="M4" i="53" l="1"/>
  <c r="A3" i="53" l="1"/>
  <c r="A4" i="53" s="1"/>
  <c r="M2" i="52" l="1"/>
  <c r="G5" i="50" l="1"/>
  <c r="G5" i="49" l="1"/>
  <c r="G5" i="47" l="1"/>
  <c r="E5" i="47"/>
  <c r="G3" i="47"/>
  <c r="A3" i="47"/>
  <c r="A4" i="47" s="1"/>
  <c r="A5" i="47" s="1"/>
  <c r="A3" i="46" l="1"/>
  <c r="A4" i="46" s="1"/>
  <c r="A5" i="46" s="1"/>
  <c r="A3" i="45" l="1"/>
  <c r="A4" i="45" s="1"/>
  <c r="A5" i="45" s="1"/>
  <c r="A4" i="44" l="1"/>
  <c r="A3" i="44" l="1"/>
  <c r="G5" i="42" l="1"/>
  <c r="A3" i="42"/>
  <c r="A4" i="42" s="1"/>
  <c r="A5" i="42" s="1"/>
  <c r="G5" i="41" l="1"/>
  <c r="A3" i="41"/>
  <c r="A4" i="41" s="1"/>
  <c r="A5" i="41" s="1"/>
  <c r="G5" i="40" l="1"/>
  <c r="E5" i="40"/>
  <c r="G3" i="40"/>
  <c r="A3" i="40"/>
  <c r="A4" i="40" s="1"/>
  <c r="A5" i="40" s="1"/>
  <c r="I6" i="39" l="1"/>
  <c r="A6" i="39"/>
  <c r="A3" i="39" l="1"/>
  <c r="A4" i="39" s="1"/>
  <c r="A5" i="39" s="1"/>
  <c r="E5" i="38" l="1"/>
  <c r="E4" i="38"/>
  <c r="A3" i="38"/>
  <c r="A4" i="38" s="1"/>
  <c r="A5" i="38" s="1"/>
  <c r="G5" i="35" l="1"/>
  <c r="A3" i="35"/>
  <c r="A4" i="35" s="1"/>
  <c r="A5" i="35" s="1"/>
  <c r="G5" i="34" l="1"/>
  <c r="A3" i="34"/>
  <c r="A4" i="34" s="1"/>
  <c r="A5" i="34" s="1"/>
  <c r="G5" i="33" l="1"/>
  <c r="E5" i="33"/>
  <c r="E4" i="33"/>
  <c r="G3" i="33"/>
  <c r="A3" i="33"/>
  <c r="A4" i="33" s="1"/>
  <c r="A5" i="33" s="1"/>
  <c r="A3" i="32" l="1"/>
  <c r="A4" i="32" s="1"/>
  <c r="A5" i="32" s="1"/>
  <c r="A3" i="31" l="1"/>
  <c r="A4" i="31" s="1"/>
  <c r="A5" i="31" s="1"/>
  <c r="G5" i="27" l="1"/>
  <c r="A3" i="27"/>
  <c r="A4" i="27" s="1"/>
  <c r="A5" i="27" s="1"/>
  <c r="G5" i="26" l="1"/>
  <c r="E4" i="26"/>
  <c r="A3" i="26"/>
  <c r="A4" i="26" s="1"/>
  <c r="A5" i="26" s="1"/>
  <c r="G5" i="25" l="1"/>
  <c r="G3" i="25"/>
  <c r="E5" i="25"/>
  <c r="E4" i="25"/>
  <c r="A3" i="25"/>
  <c r="A4" i="25" s="1"/>
  <c r="A5" i="25" s="1"/>
  <c r="A6" i="24" l="1"/>
  <c r="A3" i="24"/>
  <c r="A4" i="24" s="1"/>
  <c r="A5" i="24" s="1"/>
  <c r="A3" i="23" l="1"/>
  <c r="A4" i="23" s="1"/>
  <c r="A5" i="23" s="1"/>
</calcChain>
</file>

<file path=xl/sharedStrings.xml><?xml version="1.0" encoding="utf-8"?>
<sst xmlns="http://schemas.openxmlformats.org/spreadsheetml/2006/main" count="1686" uniqueCount="297">
  <si>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</si>
  <si>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</si>
  <si>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</si>
  <si>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</si>
  <si>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</si>
  <si>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</si>
  <si>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</si>
  <si>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</si>
  <si>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</si>
  <si>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</si>
  <si>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</si>
  <si>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</si>
  <si>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</si>
  <si>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</si>
  <si>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</si>
  <si>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</si>
  <si>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</si>
  <si>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</si>
  <si>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</si>
  <si>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</si>
  <si>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</si>
  <si>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</si>
  <si>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TZL-DTM-TZL</t>
  </si>
  <si>
    <t>A320</t>
  </si>
  <si>
    <t>SCHEDULED</t>
  </si>
  <si>
    <t>W64298</t>
  </si>
  <si>
    <t>W64297</t>
  </si>
  <si>
    <t>TZL-FMM-TZL</t>
  </si>
  <si>
    <t>W64280</t>
  </si>
  <si>
    <t>W64279</t>
  </si>
  <si>
    <t>TZL-EIN-TZL</t>
  </si>
  <si>
    <t>W64290</t>
  </si>
  <si>
    <t>W64289</t>
  </si>
  <si>
    <t>TZL-GOT-TZL</t>
  </si>
  <si>
    <t>W64296</t>
  </si>
  <si>
    <t>W64295</t>
  </si>
  <si>
    <t>HALYD</t>
  </si>
  <si>
    <t>HALWV</t>
  </si>
  <si>
    <t>163+1 INF</t>
  </si>
  <si>
    <t>164+7 INF</t>
  </si>
  <si>
    <t>170+3 INF</t>
  </si>
  <si>
    <t>163+5 INF</t>
  </si>
  <si>
    <t>158+2 INF</t>
  </si>
  <si>
    <t>162+0INF</t>
  </si>
  <si>
    <t>163+2INF</t>
  </si>
  <si>
    <t>164+1INF</t>
  </si>
  <si>
    <t>TZL-HHN-TZL</t>
  </si>
  <si>
    <t>W64284</t>
  </si>
  <si>
    <t>W64283</t>
  </si>
  <si>
    <t>VIE-TZL-VIE</t>
  </si>
  <si>
    <t>W64286</t>
  </si>
  <si>
    <t>W64285</t>
  </si>
  <si>
    <t>TZL-CGN-TZL</t>
  </si>
  <si>
    <t>W64300</t>
  </si>
  <si>
    <t>W64299</t>
  </si>
  <si>
    <t>TZL-SXF-TZL</t>
  </si>
  <si>
    <t>W64276</t>
  </si>
  <si>
    <t>W64275</t>
  </si>
  <si>
    <t>164+1 INF</t>
  </si>
  <si>
    <t>157+2 INF</t>
  </si>
  <si>
    <t>169+2 INF</t>
  </si>
  <si>
    <t>152+3 INF</t>
  </si>
  <si>
    <t>167+3 INF</t>
  </si>
  <si>
    <t xml:space="preserve">AERO DIENST </t>
  </si>
  <si>
    <t>NUE-TZL-BUD</t>
  </si>
  <si>
    <t>B350</t>
  </si>
  <si>
    <t>DCUTE</t>
  </si>
  <si>
    <t>MEDEVAC</t>
  </si>
  <si>
    <t>ADN16A</t>
  </si>
  <si>
    <t>161+1 INF</t>
  </si>
  <si>
    <t>160+4 INF</t>
  </si>
  <si>
    <t>176+6INF</t>
  </si>
  <si>
    <t>TZL-FDH-TZL</t>
  </si>
  <si>
    <t>W64616</t>
  </si>
  <si>
    <t>W64615</t>
  </si>
  <si>
    <t>TZL-MLH-TZL</t>
  </si>
  <si>
    <t>W64294</t>
  </si>
  <si>
    <t>W64293</t>
  </si>
  <si>
    <t>TZL-MMX-TZL</t>
  </si>
  <si>
    <t>W64292</t>
  </si>
  <si>
    <t>W64291</t>
  </si>
  <si>
    <t>HA-LYD</t>
  </si>
  <si>
    <t>HA-LWV</t>
  </si>
  <si>
    <t>160+1 INF</t>
  </si>
  <si>
    <t>172+3 INF</t>
  </si>
  <si>
    <t>162+1 INF</t>
  </si>
  <si>
    <t>175+2 INF</t>
  </si>
  <si>
    <t>167+2 INF</t>
  </si>
  <si>
    <t>172+1 INF</t>
  </si>
  <si>
    <t>168+2 INF</t>
  </si>
  <si>
    <t>169+3 INF</t>
  </si>
  <si>
    <t>166+7 INF</t>
  </si>
  <si>
    <t>156+7 INF</t>
  </si>
  <si>
    <t>162+2 INF</t>
  </si>
  <si>
    <t>154+3 INF</t>
  </si>
  <si>
    <t>HA-LYR</t>
  </si>
  <si>
    <t>178+2 INF</t>
  </si>
  <si>
    <t>167+1 INF</t>
  </si>
  <si>
    <t>151+2 INF</t>
  </si>
  <si>
    <t>TZL-VIE-TZL</t>
  </si>
  <si>
    <t>HALYR</t>
  </si>
  <si>
    <t>174+1INF</t>
  </si>
  <si>
    <t>SJJ-TZL-BNX</t>
  </si>
  <si>
    <t>C525</t>
  </si>
  <si>
    <t>T7-BSG</t>
  </si>
  <si>
    <t>NON SCHEDULED/PRIVATNI</t>
  </si>
  <si>
    <t>0</t>
  </si>
  <si>
    <t>2+0INF</t>
  </si>
  <si>
    <t>158+0INF</t>
  </si>
  <si>
    <t>CRA-TZL-CRA</t>
  </si>
  <si>
    <t>HALWB</t>
  </si>
  <si>
    <t>FERRY IN/OUT</t>
  </si>
  <si>
    <t>W6803</t>
  </si>
  <si>
    <t>W6804</t>
  </si>
  <si>
    <t>CREW</t>
  </si>
  <si>
    <t>131+4 INF</t>
  </si>
  <si>
    <t>165+1 INF</t>
  </si>
  <si>
    <t>179+2 INF</t>
  </si>
  <si>
    <t>120+1 INF</t>
  </si>
  <si>
    <t>150+2 INF</t>
  </si>
  <si>
    <t>168+6 INF</t>
  </si>
  <si>
    <t>156+0INF</t>
  </si>
  <si>
    <t>160+3INF</t>
  </si>
  <si>
    <t>150+6INF</t>
  </si>
  <si>
    <t>159+4 INF</t>
  </si>
  <si>
    <t>169+1 INF</t>
  </si>
  <si>
    <t>T7-BEN</t>
  </si>
  <si>
    <t>174+8 INF</t>
  </si>
  <si>
    <t>150+0 INF</t>
  </si>
  <si>
    <t>MIRKO ANZEL</t>
  </si>
  <si>
    <t>BEG-TZL-BEG</t>
  </si>
  <si>
    <t>GEN. PRIVATE</t>
  </si>
  <si>
    <t>BE-36</t>
  </si>
  <si>
    <t>177+3 INF</t>
  </si>
  <si>
    <t>163+0 INF</t>
  </si>
  <si>
    <t>166+2 INF</t>
  </si>
  <si>
    <t>145+3 INF</t>
  </si>
  <si>
    <t>152+1 INF</t>
  </si>
  <si>
    <t>170+0 INF</t>
  </si>
  <si>
    <t>177+2 INF</t>
  </si>
  <si>
    <t>149+3 INF</t>
  </si>
  <si>
    <t>180+4 INF</t>
  </si>
  <si>
    <t>168+7 INF</t>
  </si>
  <si>
    <t>172+5 INF</t>
  </si>
  <si>
    <t>165+3 INF</t>
  </si>
  <si>
    <t>174+3INF</t>
  </si>
  <si>
    <t>173+1INF</t>
  </si>
  <si>
    <t>176+1INF</t>
  </si>
  <si>
    <t>158+4 INF</t>
  </si>
  <si>
    <t>146+4 INF</t>
  </si>
  <si>
    <t>162+4INF</t>
  </si>
  <si>
    <t>157+4INF</t>
  </si>
  <si>
    <t>160+1INF</t>
  </si>
  <si>
    <t>165+1INF</t>
  </si>
  <si>
    <t>148+2INF</t>
  </si>
  <si>
    <t>164+2 INF</t>
  </si>
  <si>
    <t>175+4INF</t>
  </si>
  <si>
    <t>145+2INF</t>
  </si>
  <si>
    <t>154+5INF</t>
  </si>
  <si>
    <t>122+1INF</t>
  </si>
  <si>
    <t>167+2INF</t>
  </si>
  <si>
    <t>164+3 INF</t>
  </si>
  <si>
    <t>163+2 INF</t>
  </si>
  <si>
    <t>162+3 INF</t>
  </si>
  <si>
    <t>163+3 INF</t>
  </si>
  <si>
    <t>171+4INF</t>
  </si>
  <si>
    <t>171+3INF</t>
  </si>
  <si>
    <t>151+4INF</t>
  </si>
  <si>
    <t>154+3INF</t>
  </si>
  <si>
    <t>149+2 INF</t>
  </si>
  <si>
    <t>170+4 INF</t>
  </si>
  <si>
    <t>167+4 INF</t>
  </si>
  <si>
    <t>153+3 INF</t>
  </si>
  <si>
    <t>174+0 INF</t>
  </si>
  <si>
    <t>155+1 INF</t>
  </si>
  <si>
    <t>178+3 INF</t>
  </si>
  <si>
    <t>HAYLR</t>
  </si>
  <si>
    <t>160+3 INF</t>
  </si>
  <si>
    <t>144+3 INF</t>
  </si>
  <si>
    <t>133+3 INF</t>
  </si>
  <si>
    <t>165+4 INF</t>
  </si>
  <si>
    <t>JET EXECUTIVE GMBH</t>
  </si>
  <si>
    <t>BWE-TZL-MUC</t>
  </si>
  <si>
    <t>LJ35A</t>
  </si>
  <si>
    <t>D-CGRC</t>
  </si>
  <si>
    <t>NON SCHEDULED/MEDEVAC</t>
  </si>
  <si>
    <t>JEI363</t>
  </si>
  <si>
    <t>174+2 INF</t>
  </si>
  <si>
    <t>155+5 INF</t>
  </si>
  <si>
    <t>173+4 INF</t>
  </si>
  <si>
    <t>HALYO</t>
  </si>
  <si>
    <t>174+4INF</t>
  </si>
  <si>
    <t>HALWV/HALYO</t>
  </si>
  <si>
    <t>AEROHELI GMBH</t>
  </si>
  <si>
    <t>D-HFCE</t>
  </si>
  <si>
    <t>NON-SCHEDULED</t>
  </si>
  <si>
    <t>TIA-TZl-BTS</t>
  </si>
  <si>
    <t>AS50</t>
  </si>
  <si>
    <t>168+5INF</t>
  </si>
  <si>
    <t>169+0INF</t>
  </si>
  <si>
    <t>169+1INF</t>
  </si>
  <si>
    <t>153+2 INF</t>
  </si>
  <si>
    <t>165+5 INF</t>
  </si>
  <si>
    <t>175+3 INF</t>
  </si>
  <si>
    <t>163+3INF</t>
  </si>
  <si>
    <t>151+5 INF</t>
  </si>
  <si>
    <t>135+4 INF</t>
  </si>
  <si>
    <t>171+1INF</t>
  </si>
  <si>
    <t>175+4 INF</t>
  </si>
  <si>
    <t>170+2 INF</t>
  </si>
  <si>
    <t>169+7 INF</t>
  </si>
  <si>
    <t>109+3 INF</t>
  </si>
  <si>
    <t>167+4INF</t>
  </si>
  <si>
    <t>125+1INF</t>
  </si>
  <si>
    <t>176+2INF</t>
  </si>
  <si>
    <t>170+8INF</t>
  </si>
  <si>
    <t>169+2INF</t>
  </si>
  <si>
    <t>168+0INF</t>
  </si>
  <si>
    <t>162+5INF</t>
  </si>
  <si>
    <t>160+5INF</t>
  </si>
  <si>
    <t>156+2INF</t>
  </si>
  <si>
    <t>179+1INF</t>
  </si>
  <si>
    <t>LAMASSU DOO</t>
  </si>
  <si>
    <t>ZAG-TZL-ZAG</t>
  </si>
  <si>
    <t>DA42</t>
  </si>
  <si>
    <t>SE-MAD</t>
  </si>
  <si>
    <t>NON-SCHEDULED/GA</t>
  </si>
  <si>
    <t>-</t>
  </si>
  <si>
    <t>164+4INF</t>
  </si>
  <si>
    <t>SEVERSTAL AIR</t>
  </si>
  <si>
    <t>SJJ-TZL</t>
  </si>
  <si>
    <t>SU 95</t>
  </si>
  <si>
    <t>RA89119</t>
  </si>
  <si>
    <t>CHARTER / NON-SCHED.</t>
  </si>
  <si>
    <t>ROP</t>
  </si>
  <si>
    <t>SSF5974</t>
  </si>
  <si>
    <t>161+1INF</t>
  </si>
  <si>
    <t>165+8INF</t>
  </si>
  <si>
    <t>150+7INF</t>
  </si>
  <si>
    <t>166+3INF</t>
  </si>
  <si>
    <t>156+4INF</t>
  </si>
  <si>
    <t>176+4 INF</t>
  </si>
  <si>
    <t>159+3 INF</t>
  </si>
  <si>
    <t>HALYO/HALWV</t>
  </si>
  <si>
    <t>TZL-SJJ</t>
  </si>
  <si>
    <t>SU95</t>
  </si>
  <si>
    <t>SSF9575</t>
  </si>
  <si>
    <t>CREW ONLY</t>
  </si>
  <si>
    <t>170+5INF</t>
  </si>
  <si>
    <t>172+4INF</t>
  </si>
  <si>
    <t>140+4 INF</t>
  </si>
  <si>
    <t>164+4 INF</t>
  </si>
  <si>
    <t>HALYR/HALPJ</t>
  </si>
  <si>
    <t>HALPJ</t>
  </si>
  <si>
    <t>161+0INF</t>
  </si>
  <si>
    <t>159+4INF</t>
  </si>
  <si>
    <t>167+3INF</t>
  </si>
  <si>
    <t>154+1INF</t>
  </si>
  <si>
    <t>173+3 INF</t>
  </si>
  <si>
    <t>156+3INF</t>
  </si>
  <si>
    <t>111+2INF</t>
  </si>
  <si>
    <t>165+0INF</t>
  </si>
  <si>
    <t>153+3INF</t>
  </si>
  <si>
    <t>TZL.MMX-TZL</t>
  </si>
  <si>
    <t>172+3INF</t>
  </si>
  <si>
    <t>163+6 INF</t>
  </si>
  <si>
    <t>161+0 INF</t>
  </si>
  <si>
    <t>158+3 INF</t>
  </si>
  <si>
    <t>162+5 INF</t>
  </si>
  <si>
    <t>158+1INF</t>
  </si>
  <si>
    <t>158+6INF</t>
  </si>
  <si>
    <t>160+2INF</t>
  </si>
  <si>
    <t>177+1INF</t>
  </si>
  <si>
    <t>159+3INF</t>
  </si>
  <si>
    <t>169+4INF</t>
  </si>
  <si>
    <t>162+1INF</t>
  </si>
  <si>
    <t>180+0INF</t>
  </si>
  <si>
    <t>135+2 INF</t>
  </si>
  <si>
    <t>HA-LPJ</t>
  </si>
  <si>
    <t>152+6INF</t>
  </si>
  <si>
    <t>149+7INF</t>
  </si>
  <si>
    <t>170+6 INF</t>
  </si>
  <si>
    <t>TZL-NYO-TZL</t>
  </si>
  <si>
    <t>W64282</t>
  </si>
  <si>
    <t>W64281</t>
  </si>
  <si>
    <t>141+1 INF</t>
  </si>
  <si>
    <t>168+2INF</t>
  </si>
  <si>
    <t>171+2INF</t>
  </si>
  <si>
    <t>168+1 INF</t>
  </si>
  <si>
    <t>166+1 INF</t>
  </si>
  <si>
    <t>HA-LYO</t>
  </si>
  <si>
    <t>168+3 INF</t>
  </si>
  <si>
    <t>166+3 INF</t>
  </si>
  <si>
    <t>173+2INF</t>
  </si>
  <si>
    <t>180+6 INF</t>
  </si>
  <si>
    <t>158+5INF</t>
  </si>
  <si>
    <t>155+3INF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</si>
</sst>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9"/>
      <name val="Garamond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20" fontId="1" fillId="0" borderId="0" xfId="1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4" fontId="1" fillId="0" borderId="0" xfId="2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20" fontId="4" fillId="0" borderId="0" xfId="1" applyNumberFormat="1" applyFont="1" applyFill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0" fontId="5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6" fillId="0" borderId="0" xfId="1" applyFont="1" applyFill="1" applyAlignment="1">
      <alignment horizontal="center" vertical="center"/>
    </xf>
    <xf numFmtId="0" fontId="1" fillId="0" borderId="0" xfId="5" applyFont="1" applyFill="1" applyAlignment="1">
      <alignment horizontal="center" vertical="center"/>
    </xf>
    <xf numFmtId="3" fontId="1" fillId="0" borderId="0" xfId="5" applyNumberFormat="1" applyFont="1" applyFill="1" applyAlignment="1">
      <alignment horizontal="center" vertical="center"/>
    </xf>
    <xf numFmtId="20" fontId="4" fillId="0" borderId="0" xfId="5" applyNumberFormat="1" applyFont="1" applyFill="1" applyAlignment="1">
      <alignment horizontal="center" vertical="center"/>
    </xf>
    <xf numFmtId="20" fontId="1" fillId="0" borderId="0" xfId="5" applyNumberFormat="1" applyFont="1" applyFill="1" applyAlignment="1">
      <alignment horizontal="center" vertical="center"/>
    </xf>
    <xf numFmtId="0" fontId="1" fillId="0" borderId="0" xfId="5" applyNumberFormat="1" applyFont="1" applyFill="1" applyAlignment="1">
      <alignment horizontal="center" vertical="center"/>
    </xf>
    <xf numFmtId="0" fontId="1" fillId="0" borderId="0" xfId="4" applyFont="1" applyFill="1" applyAlignment="1">
      <alignment horizontal="center" vertical="center"/>
    </xf>
    <xf numFmtId="20" fontId="4" fillId="0" borderId="0" xfId="4" applyNumberFormat="1" applyFont="1" applyFill="1" applyAlignment="1">
      <alignment horizontal="center" vertical="center"/>
    </xf>
    <xf numFmtId="20" fontId="1" fillId="0" borderId="0" xfId="4" applyNumberFormat="1" applyFont="1" applyFill="1" applyAlignment="1">
      <alignment horizontal="center" vertical="center"/>
    </xf>
    <xf numFmtId="20" fontId="5" fillId="0" borderId="0" xfId="5" applyNumberFormat="1" applyFont="1" applyAlignment="1">
      <alignment horizontal="center" vertical="center"/>
    </xf>
    <xf numFmtId="20" fontId="3" fillId="0" borderId="0" xfId="5" applyNumberFormat="1" applyFont="1" applyAlignment="1">
      <alignment horizontal="center" vertical="center"/>
    </xf>
    <xf numFmtId="20" fontId="3" fillId="0" borderId="0" xfId="5" applyNumberFormat="1" applyFont="1" applyFill="1" applyAlignment="1">
      <alignment horizontal="center" vertical="center"/>
    </xf>
    <xf numFmtId="0" fontId="1" fillId="0" borderId="0" xfId="3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" fillId="0" borderId="0" xfId="3" applyNumberFormat="1" applyFont="1" applyFill="1" applyAlignment="1">
      <alignment horizontal="center" vertical="center"/>
    </xf>
    <xf numFmtId="14" fontId="1" fillId="0" borderId="0" xfId="4" applyNumberFormat="1" applyFont="1" applyFill="1" applyAlignment="1">
      <alignment horizontal="center" vertical="center"/>
    </xf>
    <xf numFmtId="0" fontId="1" fillId="0" borderId="0" xfId="4" applyFont="1" applyAlignment="1">
      <alignment horizontal="center" vertical="center"/>
    </xf>
    <xf numFmtId="3" fontId="1" fillId="0" borderId="0" xfId="4" applyNumberFormat="1" applyFont="1" applyFill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1" fillId="2" borderId="0" xfId="4" applyFont="1" applyFill="1" applyAlignment="1">
      <alignment horizontal="center" vertical="center"/>
    </xf>
    <xf numFmtId="0" fontId="1" fillId="0" borderId="0" xfId="6" applyFont="1" applyFill="1" applyAlignment="1">
      <alignment horizontal="center" vertical="center"/>
    </xf>
    <xf numFmtId="0" fontId="6" fillId="0" borderId="0" xfId="6" applyFont="1" applyFill="1" applyAlignment="1">
      <alignment horizontal="center" vertical="center"/>
    </xf>
    <xf numFmtId="3" fontId="1" fillId="0" borderId="0" xfId="6" applyNumberFormat="1" applyFont="1" applyFill="1" applyAlignment="1">
      <alignment horizontal="center" vertical="center"/>
    </xf>
    <xf numFmtId="20" fontId="4" fillId="0" borderId="0" xfId="6" applyNumberFormat="1" applyFont="1" applyFill="1" applyAlignment="1">
      <alignment horizontal="center" vertical="center"/>
    </xf>
    <xf numFmtId="20" fontId="1" fillId="0" borderId="0" xfId="6" applyNumberFormat="1" applyFont="1" applyFill="1" applyAlignment="1">
      <alignment horizontal="center" vertical="center"/>
    </xf>
    <xf numFmtId="49" fontId="3" fillId="0" borderId="0" xfId="5" applyNumberFormat="1" applyFont="1" applyAlignment="1">
      <alignment horizontal="center" vertical="center"/>
    </xf>
    <xf numFmtId="0" fontId="3" fillId="0" borderId="0" xfId="0" applyFont="1"/>
    <xf numFmtId="14" fontId="3" fillId="0" borderId="0" xfId="0" applyNumberFormat="1" applyFont="1" applyAlignment="1">
      <alignment horizontal="center" vertical="center"/>
    </xf>
    <xf numFmtId="0" fontId="1" fillId="2" borderId="0" xfId="5" applyFont="1" applyFill="1" applyAlignment="1">
      <alignment horizontal="center" vertical="center"/>
    </xf>
    <xf numFmtId="20" fontId="1" fillId="2" borderId="0" xfId="5" applyNumberFormat="1" applyFont="1" applyFill="1" applyAlignment="1">
      <alignment horizontal="center" vertical="center"/>
    </xf>
    <xf numFmtId="0" fontId="1" fillId="2" borderId="0" xfId="5" applyNumberFormat="1" applyFont="1" applyFill="1" applyAlignment="1">
      <alignment horizontal="center" vertical="center"/>
    </xf>
    <xf numFmtId="0" fontId="1" fillId="0" borderId="0" xfId="5" applyFont="1" applyAlignment="1">
      <alignment horizontal="center" vertical="center"/>
    </xf>
    <xf numFmtId="14" fontId="1" fillId="0" borderId="0" xfId="5" applyNumberFormat="1" applyFont="1" applyAlignment="1">
      <alignment horizontal="center" vertical="center"/>
    </xf>
    <xf numFmtId="20" fontId="4" fillId="0" borderId="0" xfId="5" applyNumberFormat="1" applyFont="1" applyAlignment="1">
      <alignment horizontal="center" vertical="center"/>
    </xf>
    <xf numFmtId="20" fontId="1" fillId="0" borderId="0" xfId="5" applyNumberFormat="1" applyFont="1" applyAlignment="1">
      <alignment horizontal="center" vertical="center"/>
    </xf>
    <xf numFmtId="3" fontId="1" fillId="0" borderId="0" xfId="1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</cellXfs>
  <cellStyles count="7">
    <cellStyle name="Normal" xfId="0" builtinId="0"/>
    <cellStyle name="Normal 2" xfId="3"/>
    <cellStyle name="Normal 2 2" xfId="2"/>
    <cellStyle name="Normal 3" xfId="4"/>
    <cellStyle name="Normal 3 2" xfId="1"/>
    <cellStyle name="Normal 4" xfId="5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G4" sqref="G4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4.140625" style="4" customWidth="1"/>
    <col min="7" max="9" width="9.140625" style="4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43525</v>
      </c>
      <c r="B2" s="6" t="s">
        <v>21</v>
      </c>
      <c r="C2" s="6" t="s">
        <v>22</v>
      </c>
      <c r="D2" s="6" t="s">
        <v>23</v>
      </c>
      <c r="E2" s="6" t="s">
        <v>36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2">
        <v>0.47500000000000003</v>
      </c>
      <c r="L2" s="8">
        <v>0.27777777777777779</v>
      </c>
      <c r="M2" s="9">
        <v>0.29444444444444445</v>
      </c>
      <c r="N2" s="3" t="s">
        <v>40</v>
      </c>
      <c r="O2" s="10" t="s">
        <v>38</v>
      </c>
      <c r="P2" s="10">
        <v>999</v>
      </c>
      <c r="Q2" s="10">
        <v>645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f t="shared" ref="A3:A4" si="0">A2</f>
        <v>43525</v>
      </c>
      <c r="B3" s="6" t="s">
        <v>21</v>
      </c>
      <c r="C3" s="6" t="s">
        <v>27</v>
      </c>
      <c r="D3" s="6" t="s">
        <v>23</v>
      </c>
      <c r="E3" s="6" t="s">
        <v>37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0.4826388888888889</v>
      </c>
      <c r="K3" s="2">
        <v>0.46736111111111112</v>
      </c>
      <c r="L3" s="8">
        <v>0.33333333333333331</v>
      </c>
      <c r="M3" s="9">
        <v>0.33124999999999999</v>
      </c>
      <c r="N3" s="3" t="s">
        <v>41</v>
      </c>
      <c r="O3" s="10" t="s">
        <v>39</v>
      </c>
      <c r="P3" s="6">
        <v>850</v>
      </c>
      <c r="Q3" s="10">
        <v>595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f t="shared" si="0"/>
        <v>43525</v>
      </c>
      <c r="B4" s="3" t="s">
        <v>21</v>
      </c>
      <c r="C4" s="3" t="s">
        <v>30</v>
      </c>
      <c r="D4" s="3" t="s">
        <v>23</v>
      </c>
      <c r="E4" s="6" t="s">
        <v>37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0.71180555555555547</v>
      </c>
      <c r="K4" s="2">
        <v>0.71388888888888891</v>
      </c>
      <c r="L4" s="11">
        <v>0.50347222222222221</v>
      </c>
      <c r="M4" s="2">
        <v>0.51597222222222217</v>
      </c>
      <c r="N4" s="3" t="s">
        <v>44</v>
      </c>
      <c r="O4" s="3" t="s">
        <v>42</v>
      </c>
      <c r="P4" s="3">
        <v>866</v>
      </c>
      <c r="Q4" s="3">
        <v>723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f>A4</f>
        <v>43525</v>
      </c>
      <c r="B5" s="3" t="s">
        <v>21</v>
      </c>
      <c r="C5" s="3" t="s">
        <v>33</v>
      </c>
      <c r="D5" s="3" t="s">
        <v>23</v>
      </c>
      <c r="E5" s="6" t="s">
        <v>36</v>
      </c>
      <c r="F5" s="3" t="s">
        <v>24</v>
      </c>
      <c r="G5" s="7">
        <v>71500</v>
      </c>
      <c r="H5" s="3" t="s">
        <v>34</v>
      </c>
      <c r="I5" s="3" t="s">
        <v>35</v>
      </c>
      <c r="J5" s="12">
        <v>0.87152777777777779</v>
      </c>
      <c r="K5" s="2">
        <v>0.85902777777777783</v>
      </c>
      <c r="L5" s="12">
        <v>0.63541666666666663</v>
      </c>
      <c r="M5" s="13">
        <v>0.63958333333333328</v>
      </c>
      <c r="N5" s="3" t="s">
        <v>45</v>
      </c>
      <c r="O5" s="3" t="s">
        <v>43</v>
      </c>
      <c r="P5" s="14">
        <v>1073</v>
      </c>
      <c r="Q5" s="3">
        <v>1164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5"/>
      <c r="B6" s="3"/>
      <c r="C6" s="3"/>
      <c r="D6" s="3"/>
      <c r="E6" s="6"/>
      <c r="F6" s="19"/>
      <c r="G6" s="7"/>
      <c r="H6" s="6"/>
      <c r="I6" s="6"/>
      <c r="J6" s="15"/>
      <c r="L6" s="15"/>
      <c r="M6" s="16"/>
      <c r="O6" s="3"/>
      <c r="P6" s="3"/>
      <c r="Q6" s="3"/>
      <c r="R6" s="3"/>
      <c r="S6" s="3"/>
      <c r="T6" s="3"/>
      <c r="U6" s="3"/>
    </row>
    <row r="7" spans="1:21" x14ac:dyDescent="0.2">
      <c r="A7" s="17"/>
      <c r="G7" s="18"/>
      <c r="J7" s="15"/>
    </row>
    <row r="8" spans="1:21" x14ac:dyDescent="0.2">
      <c r="A8" s="17"/>
      <c r="G8" s="18"/>
      <c r="J8" s="15"/>
    </row>
    <row r="9" spans="1:21" x14ac:dyDescent="0.2">
      <c r="A9" s="17"/>
      <c r="G9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D1" workbookViewId="0">
      <selection activeCell="D1" sqref="A1:XFD1048576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4.140625" style="4" customWidth="1"/>
    <col min="7" max="9" width="9.140625" style="4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43526</v>
      </c>
      <c r="B2" s="20" t="s">
        <v>21</v>
      </c>
      <c r="C2" s="20" t="s">
        <v>46</v>
      </c>
      <c r="D2" s="20" t="s">
        <v>23</v>
      </c>
      <c r="E2" s="20" t="s">
        <v>37</v>
      </c>
      <c r="F2" s="20" t="s">
        <v>24</v>
      </c>
      <c r="G2" s="21">
        <v>70000</v>
      </c>
      <c r="H2" s="20" t="s">
        <v>47</v>
      </c>
      <c r="I2" s="20" t="s">
        <v>48</v>
      </c>
      <c r="J2" s="22">
        <v>0.49652777777777773</v>
      </c>
      <c r="K2" s="23">
        <v>0.49583333333333335</v>
      </c>
      <c r="L2" s="22">
        <v>0.3125</v>
      </c>
      <c r="M2" s="23">
        <v>0.31736111111111115</v>
      </c>
      <c r="N2" s="23" t="s">
        <v>60</v>
      </c>
      <c r="O2" s="24" t="s">
        <v>58</v>
      </c>
      <c r="P2" s="24">
        <v>815</v>
      </c>
      <c r="Q2" s="24">
        <v>744</v>
      </c>
      <c r="R2" s="20">
        <v>0</v>
      </c>
      <c r="S2" s="20">
        <v>0</v>
      </c>
      <c r="T2" s="20">
        <v>0</v>
      </c>
      <c r="U2" s="20">
        <v>0</v>
      </c>
    </row>
    <row r="3" spans="1:21" x14ac:dyDescent="0.2">
      <c r="A3" s="5">
        <f t="shared" ref="A3:A4" si="0">A2</f>
        <v>43526</v>
      </c>
      <c r="B3" s="20" t="s">
        <v>21</v>
      </c>
      <c r="C3" s="20" t="s">
        <v>49</v>
      </c>
      <c r="D3" s="20" t="s">
        <v>23</v>
      </c>
      <c r="E3" s="20" t="s">
        <v>36</v>
      </c>
      <c r="F3" s="20" t="s">
        <v>24</v>
      </c>
      <c r="G3" s="21">
        <v>71500</v>
      </c>
      <c r="H3" s="20" t="s">
        <v>50</v>
      </c>
      <c r="I3" s="20" t="s">
        <v>51</v>
      </c>
      <c r="J3" s="22">
        <v>0.49305555555555558</v>
      </c>
      <c r="K3" s="23">
        <v>0.4826388888888889</v>
      </c>
      <c r="L3" s="22">
        <v>0.35416666666666669</v>
      </c>
      <c r="M3" s="23">
        <v>0.35902777777777778</v>
      </c>
      <c r="N3" s="23" t="s">
        <v>61</v>
      </c>
      <c r="O3" s="14" t="s">
        <v>59</v>
      </c>
      <c r="P3" s="20">
        <v>393</v>
      </c>
      <c r="Q3" s="14">
        <v>579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2">
      <c r="A4" s="5">
        <f t="shared" si="0"/>
        <v>43526</v>
      </c>
      <c r="B4" s="25" t="s">
        <v>21</v>
      </c>
      <c r="C4" s="25" t="s">
        <v>52</v>
      </c>
      <c r="D4" s="25" t="s">
        <v>23</v>
      </c>
      <c r="E4" s="20" t="s">
        <v>36</v>
      </c>
      <c r="F4" s="25" t="s">
        <v>24</v>
      </c>
      <c r="G4" s="21">
        <v>71500</v>
      </c>
      <c r="H4" s="25" t="s">
        <v>53</v>
      </c>
      <c r="I4" s="25" t="s">
        <v>54</v>
      </c>
      <c r="J4" s="26">
        <v>0.72222222222222221</v>
      </c>
      <c r="K4" s="27">
        <v>0.70624999999999993</v>
      </c>
      <c r="L4" s="26">
        <v>0.52777777777777779</v>
      </c>
      <c r="M4" s="27">
        <v>0.53125</v>
      </c>
      <c r="N4" s="4" t="s">
        <v>69</v>
      </c>
      <c r="O4" s="24" t="s">
        <v>62</v>
      </c>
      <c r="P4" s="20">
        <v>1290</v>
      </c>
      <c r="Q4" s="24">
        <v>728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">
      <c r="A5" s="5">
        <f>A4</f>
        <v>43526</v>
      </c>
      <c r="B5" s="25" t="s">
        <v>21</v>
      </c>
      <c r="C5" s="25" t="s">
        <v>55</v>
      </c>
      <c r="D5" s="25" t="s">
        <v>23</v>
      </c>
      <c r="E5" s="20" t="s">
        <v>37</v>
      </c>
      <c r="F5" s="25" t="s">
        <v>24</v>
      </c>
      <c r="G5" s="21">
        <v>71500</v>
      </c>
      <c r="H5" s="25" t="s">
        <v>56</v>
      </c>
      <c r="I5" s="25" t="s">
        <v>57</v>
      </c>
      <c r="J5" s="28">
        <v>0.91319444444444453</v>
      </c>
      <c r="K5" s="29">
        <v>0.90208333333333324</v>
      </c>
      <c r="L5" s="28">
        <v>0.74305555555555547</v>
      </c>
      <c r="M5" s="30">
        <v>0.74930555555555556</v>
      </c>
      <c r="N5" s="24" t="s">
        <v>71</v>
      </c>
      <c r="O5" s="24" t="s">
        <v>70</v>
      </c>
      <c r="P5" s="20">
        <v>851</v>
      </c>
      <c r="Q5" s="24">
        <v>813</v>
      </c>
      <c r="R5" s="25">
        <v>0</v>
      </c>
      <c r="S5" s="25">
        <v>0</v>
      </c>
      <c r="T5" s="25">
        <v>0</v>
      </c>
      <c r="U5" s="25">
        <v>0</v>
      </c>
    </row>
    <row r="6" spans="1:21" x14ac:dyDescent="0.2">
      <c r="A6" s="5">
        <f>A5</f>
        <v>43526</v>
      </c>
      <c r="B6" s="3" t="s">
        <v>63</v>
      </c>
      <c r="C6" s="3" t="s">
        <v>64</v>
      </c>
      <c r="D6" s="3" t="s">
        <v>65</v>
      </c>
      <c r="E6" s="6" t="s">
        <v>66</v>
      </c>
      <c r="F6" s="19" t="s">
        <v>67</v>
      </c>
      <c r="G6" s="7">
        <v>6804</v>
      </c>
      <c r="H6" s="6" t="s">
        <v>68</v>
      </c>
      <c r="I6" s="6" t="s">
        <v>68</v>
      </c>
      <c r="J6" s="15">
        <v>0.46180555555555558</v>
      </c>
      <c r="K6" s="2">
        <v>0.44930555555555557</v>
      </c>
      <c r="L6" s="15">
        <v>0.4826388888888889</v>
      </c>
      <c r="M6" s="16">
        <v>0.48958333333333331</v>
      </c>
      <c r="N6" s="3">
        <v>0</v>
      </c>
      <c r="O6" s="3">
        <v>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17"/>
      <c r="G7" s="18"/>
      <c r="J7" s="15"/>
    </row>
    <row r="8" spans="1:21" x14ac:dyDescent="0.2">
      <c r="A8" s="17"/>
      <c r="G8" s="18"/>
      <c r="J8" s="15"/>
    </row>
    <row r="9" spans="1:21" x14ac:dyDescent="0.2">
      <c r="A9" s="17"/>
      <c r="G9" s="1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G1" workbookViewId="0">
      <selection activeCell="J5" sqref="J5"/>
    </sheetView>
  </sheetViews>
  <sheetFormatPr defaultRowHeight="15" x14ac:dyDescent="0.25"/>
  <cols>
    <col min="2" max="2" width="9.85546875" customWidth="1"/>
    <col min="3" max="3" width="14.5703125" customWidth="1"/>
    <col min="5" max="5" width="17.140625" customWidth="1"/>
    <col min="6" max="6" width="16.85546875" customWidth="1"/>
    <col min="10" max="10" width="10.7109375" customWidth="1"/>
    <col min="11" max="11" width="12.28515625" customWidth="1"/>
    <col min="12" max="12" width="10.42578125" customWidth="1"/>
    <col min="13" max="13" width="11.5703125" customWidth="1"/>
    <col min="14" max="14" width="18.5703125" customWidth="1"/>
    <col min="15" max="15" width="18.85546875" customWidth="1"/>
  </cols>
  <sheetData>
    <row r="1" spans="1:21" s="32" customFormat="1" ht="12.7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s="32" customFormat="1" ht="12.75" x14ac:dyDescent="0.25">
      <c r="A2" s="33">
        <v>43527</v>
      </c>
      <c r="B2" s="6" t="s">
        <v>21</v>
      </c>
      <c r="C2" s="6" t="s">
        <v>22</v>
      </c>
      <c r="D2" s="6" t="s">
        <v>23</v>
      </c>
      <c r="E2" s="25" t="s">
        <v>81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9">
        <v>0.47847222222222219</v>
      </c>
      <c r="L2" s="8">
        <v>0.27777777777777779</v>
      </c>
      <c r="M2" s="9">
        <v>0.29305555555555557</v>
      </c>
      <c r="N2" s="10" t="s">
        <v>84</v>
      </c>
      <c r="O2" s="10" t="s">
        <v>83</v>
      </c>
      <c r="P2" s="10">
        <v>1077</v>
      </c>
      <c r="Q2" s="10">
        <v>819</v>
      </c>
      <c r="R2" s="6">
        <v>0</v>
      </c>
      <c r="S2" s="6">
        <v>0</v>
      </c>
      <c r="T2" s="6">
        <v>0</v>
      </c>
      <c r="U2" s="6">
        <v>0</v>
      </c>
    </row>
    <row r="3" spans="1:21" s="32" customFormat="1" ht="12.75" x14ac:dyDescent="0.25">
      <c r="A3" s="33">
        <f>A2</f>
        <v>43527</v>
      </c>
      <c r="B3" s="6" t="s">
        <v>21</v>
      </c>
      <c r="C3" s="6" t="s">
        <v>72</v>
      </c>
      <c r="D3" s="6" t="s">
        <v>23</v>
      </c>
      <c r="E3" s="6" t="s">
        <v>82</v>
      </c>
      <c r="F3" s="6" t="s">
        <v>24</v>
      </c>
      <c r="G3" s="7">
        <f>G2</f>
        <v>71500</v>
      </c>
      <c r="H3" s="6" t="s">
        <v>73</v>
      </c>
      <c r="I3" s="6" t="s">
        <v>74</v>
      </c>
      <c r="J3" s="8">
        <v>0.65277777777777779</v>
      </c>
      <c r="K3" s="9">
        <v>0.65625</v>
      </c>
      <c r="L3" s="8">
        <v>0.5</v>
      </c>
      <c r="M3" s="9">
        <v>0.51527777777777783</v>
      </c>
      <c r="N3" s="10" t="s">
        <v>87</v>
      </c>
      <c r="O3" s="10" t="s">
        <v>85</v>
      </c>
      <c r="P3" s="6">
        <v>1033</v>
      </c>
      <c r="Q3" s="10">
        <v>767</v>
      </c>
      <c r="R3" s="6">
        <v>0</v>
      </c>
      <c r="S3" s="6">
        <v>0</v>
      </c>
      <c r="T3" s="6">
        <v>0</v>
      </c>
      <c r="U3" s="6">
        <v>0</v>
      </c>
    </row>
    <row r="4" spans="1:21" s="25" customFormat="1" ht="12.75" x14ac:dyDescent="0.25">
      <c r="A4" s="34">
        <f>A3</f>
        <v>43527</v>
      </c>
      <c r="B4" s="25" t="s">
        <v>21</v>
      </c>
      <c r="C4" s="25" t="s">
        <v>75</v>
      </c>
      <c r="D4" s="25" t="s">
        <v>23</v>
      </c>
      <c r="E4" s="25" t="str">
        <f>E2</f>
        <v>HA-LYD</v>
      </c>
      <c r="F4" s="25" t="s">
        <v>24</v>
      </c>
      <c r="G4" s="7">
        <v>71500</v>
      </c>
      <c r="H4" s="25" t="s">
        <v>76</v>
      </c>
      <c r="I4" s="25" t="s">
        <v>77</v>
      </c>
      <c r="J4" s="26">
        <v>0.69791666666666663</v>
      </c>
      <c r="K4" s="27">
        <v>0.69444444444444453</v>
      </c>
      <c r="L4" s="26">
        <v>0.52777777777777779</v>
      </c>
      <c r="M4" s="27">
        <v>0.53680555555555554</v>
      </c>
      <c r="N4" s="25" t="s">
        <v>89</v>
      </c>
      <c r="O4" s="35" t="s">
        <v>86</v>
      </c>
      <c r="P4" s="25">
        <v>1232</v>
      </c>
      <c r="Q4" s="25">
        <v>1011</v>
      </c>
      <c r="R4" s="25">
        <v>0</v>
      </c>
      <c r="S4" s="25">
        <v>0</v>
      </c>
      <c r="T4" s="25">
        <v>0</v>
      </c>
      <c r="U4" s="25">
        <v>0</v>
      </c>
    </row>
    <row r="5" spans="1:21" s="32" customFormat="1" ht="12.75" x14ac:dyDescent="0.25">
      <c r="A5" s="34">
        <f>A4</f>
        <v>43527</v>
      </c>
      <c r="B5" s="25" t="s">
        <v>21</v>
      </c>
      <c r="C5" s="25" t="s">
        <v>78</v>
      </c>
      <c r="D5" s="25" t="s">
        <v>23</v>
      </c>
      <c r="E5" s="6" t="str">
        <f>E3</f>
        <v>HA-LWV</v>
      </c>
      <c r="F5" s="25" t="s">
        <v>24</v>
      </c>
      <c r="G5" s="36">
        <f>G4</f>
        <v>71500</v>
      </c>
      <c r="H5" s="25" t="s">
        <v>79</v>
      </c>
      <c r="I5" s="25" t="s">
        <v>80</v>
      </c>
      <c r="J5" s="12">
        <v>0.88888888888888884</v>
      </c>
      <c r="K5" s="37">
        <v>0.8847222222222223</v>
      </c>
      <c r="L5" s="12">
        <v>0.68402777777777779</v>
      </c>
      <c r="M5" s="37">
        <v>0.69791666666666663</v>
      </c>
      <c r="N5" s="32" t="s">
        <v>83</v>
      </c>
      <c r="O5" s="38" t="s">
        <v>88</v>
      </c>
      <c r="P5" s="25">
        <v>1079</v>
      </c>
      <c r="Q5" s="25">
        <v>1282</v>
      </c>
      <c r="R5" s="25">
        <v>0</v>
      </c>
      <c r="S5" s="25">
        <v>0</v>
      </c>
      <c r="T5" s="25">
        <v>0</v>
      </c>
      <c r="U5" s="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G4" sqref="G4"/>
    </sheetView>
  </sheetViews>
  <sheetFormatPr defaultRowHeight="15" x14ac:dyDescent="0.25"/>
  <cols>
    <col min="3" max="3" width="15.140625" customWidth="1"/>
    <col min="6" max="6" width="15.42578125" customWidth="1"/>
    <col min="14" max="14" width="13.7109375" customWidth="1"/>
    <col min="15" max="15" width="13.85546875" customWidth="1"/>
  </cols>
  <sheetData>
    <row r="1" spans="1:21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x14ac:dyDescent="0.25">
      <c r="A2" s="33">
        <v>43528</v>
      </c>
      <c r="B2" s="39" t="s">
        <v>21</v>
      </c>
      <c r="C2" s="39" t="s">
        <v>22</v>
      </c>
      <c r="D2" s="39" t="s">
        <v>23</v>
      </c>
      <c r="E2" s="40" t="s">
        <v>81</v>
      </c>
      <c r="F2" s="39" t="s">
        <v>24</v>
      </c>
      <c r="G2" s="41">
        <v>71500</v>
      </c>
      <c r="H2" s="39" t="s">
        <v>26</v>
      </c>
      <c r="I2" s="39" t="s">
        <v>25</v>
      </c>
      <c r="J2" s="42">
        <v>0.4826388888888889</v>
      </c>
      <c r="K2" s="43">
        <v>0.48333333333333334</v>
      </c>
      <c r="L2" s="42">
        <v>0.27777777777777779</v>
      </c>
      <c r="M2" s="9">
        <v>0.28611111111111115</v>
      </c>
      <c r="N2" s="10" t="s">
        <v>92</v>
      </c>
      <c r="O2" s="10" t="s">
        <v>90</v>
      </c>
      <c r="P2" s="10">
        <v>1003</v>
      </c>
      <c r="Q2" s="10">
        <v>734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33">
        <f>A2</f>
        <v>43528</v>
      </c>
      <c r="B3" s="39" t="s">
        <v>21</v>
      </c>
      <c r="C3" s="39" t="s">
        <v>27</v>
      </c>
      <c r="D3" s="39" t="s">
        <v>23</v>
      </c>
      <c r="E3" s="39" t="s">
        <v>82</v>
      </c>
      <c r="F3" s="39" t="s">
        <v>24</v>
      </c>
      <c r="G3" s="41">
        <v>71500</v>
      </c>
      <c r="H3" s="39" t="s">
        <v>29</v>
      </c>
      <c r="I3" s="39" t="s">
        <v>28</v>
      </c>
      <c r="J3" s="42">
        <v>0.4826388888888889</v>
      </c>
      <c r="K3" s="43">
        <v>0.47638888888888892</v>
      </c>
      <c r="L3" s="42">
        <v>0.33333333333333331</v>
      </c>
      <c r="M3" s="9">
        <v>0.33611111111111108</v>
      </c>
      <c r="N3" s="10" t="s">
        <v>93</v>
      </c>
      <c r="O3" s="10" t="s">
        <v>91</v>
      </c>
      <c r="P3" s="6">
        <v>721</v>
      </c>
      <c r="Q3" s="10">
        <v>624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34">
        <f>A3</f>
        <v>43528</v>
      </c>
      <c r="B4" s="3" t="s">
        <v>21</v>
      </c>
      <c r="C4" s="3" t="s">
        <v>30</v>
      </c>
      <c r="D4" s="3" t="s">
        <v>23</v>
      </c>
      <c r="E4" s="39" t="str">
        <f>E3</f>
        <v>HA-LWV</v>
      </c>
      <c r="F4" s="3" t="s">
        <v>24</v>
      </c>
      <c r="G4" s="41">
        <v>71500</v>
      </c>
      <c r="H4" s="3" t="s">
        <v>32</v>
      </c>
      <c r="I4" s="3" t="s">
        <v>31</v>
      </c>
      <c r="J4" s="11">
        <v>0.71180555555555547</v>
      </c>
      <c r="K4" s="2">
        <v>0.70694444444444438</v>
      </c>
      <c r="L4" s="11">
        <v>0.50347222222222221</v>
      </c>
      <c r="M4" s="27">
        <v>0.5131944444444444</v>
      </c>
      <c r="N4" s="25" t="s">
        <v>98</v>
      </c>
      <c r="O4" s="35" t="s">
        <v>94</v>
      </c>
      <c r="P4" s="25">
        <v>767</v>
      </c>
      <c r="Q4" s="25">
        <v>785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5">
      <c r="A5" s="34">
        <f>A4</f>
        <v>43528</v>
      </c>
      <c r="B5" s="25" t="s">
        <v>21</v>
      </c>
      <c r="C5" s="25" t="s">
        <v>33</v>
      </c>
      <c r="D5" s="25" t="s">
        <v>23</v>
      </c>
      <c r="E5" s="40" t="s">
        <v>95</v>
      </c>
      <c r="F5" s="25" t="s">
        <v>24</v>
      </c>
      <c r="G5" s="41">
        <f>G2</f>
        <v>71500</v>
      </c>
      <c r="H5" s="25" t="s">
        <v>34</v>
      </c>
      <c r="I5" s="25" t="s">
        <v>35</v>
      </c>
      <c r="J5" s="12">
        <v>0.87152777777777779</v>
      </c>
      <c r="K5" s="37">
        <v>0.86319444444444438</v>
      </c>
      <c r="L5" s="12">
        <v>0.63541666666666663</v>
      </c>
      <c r="M5" s="37">
        <v>0.63958333333333328</v>
      </c>
      <c r="N5" s="25" t="s">
        <v>96</v>
      </c>
      <c r="O5" s="25" t="s">
        <v>97</v>
      </c>
      <c r="P5" s="25">
        <v>1459</v>
      </c>
      <c r="Q5" s="25">
        <v>994</v>
      </c>
      <c r="R5" s="25">
        <v>0</v>
      </c>
      <c r="S5" s="25">
        <v>0</v>
      </c>
      <c r="T5" s="25">
        <v>0</v>
      </c>
      <c r="U5" s="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C1" workbookViewId="0">
      <selection activeCell="O3" sqref="O3"/>
    </sheetView>
  </sheetViews>
  <sheetFormatPr defaultRowHeight="15" x14ac:dyDescent="0.25"/>
  <cols>
    <col min="2" max="2" width="10.140625" customWidth="1"/>
    <col min="3" max="3" width="13.7109375" customWidth="1"/>
    <col min="6" max="6" width="27.140625" customWidth="1"/>
    <col min="10" max="10" width="11" customWidth="1"/>
    <col min="11" max="12" width="10.7109375" customWidth="1"/>
    <col min="13" max="13" width="10.85546875" customWidth="1"/>
    <col min="14" max="14" width="18.140625" customWidth="1"/>
    <col min="15" max="15" width="18.5703125" customWidth="1"/>
    <col min="16" max="17" width="10.5703125" customWidth="1"/>
  </cols>
  <sheetData>
    <row r="1" spans="1:21" s="32" customFormat="1" ht="12.7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s="32" customFormat="1" ht="12.75" x14ac:dyDescent="0.25">
      <c r="A2" s="33">
        <v>43529</v>
      </c>
      <c r="B2" s="20" t="s">
        <v>21</v>
      </c>
      <c r="C2" s="20" t="s">
        <v>46</v>
      </c>
      <c r="D2" s="20" t="s">
        <v>23</v>
      </c>
      <c r="E2" s="20" t="s">
        <v>100</v>
      </c>
      <c r="F2" s="20" t="s">
        <v>24</v>
      </c>
      <c r="G2" s="21">
        <v>71500</v>
      </c>
      <c r="H2" s="20" t="s">
        <v>47</v>
      </c>
      <c r="I2" s="20" t="s">
        <v>48</v>
      </c>
      <c r="J2" s="22">
        <v>0.49652777777777773</v>
      </c>
      <c r="K2" s="23">
        <v>0.49027777777777781</v>
      </c>
      <c r="L2" s="22">
        <v>0.3125</v>
      </c>
      <c r="M2" s="23">
        <v>0.31875000000000003</v>
      </c>
      <c r="N2" s="23" t="s">
        <v>108</v>
      </c>
      <c r="O2" s="23" t="s">
        <v>101</v>
      </c>
      <c r="P2" s="24">
        <v>980</v>
      </c>
      <c r="Q2" s="24">
        <v>844</v>
      </c>
      <c r="R2" s="20">
        <v>0</v>
      </c>
      <c r="S2" s="20">
        <v>0</v>
      </c>
      <c r="T2" s="20">
        <v>0</v>
      </c>
      <c r="U2" s="20">
        <v>0</v>
      </c>
    </row>
    <row r="3" spans="1:21" s="32" customFormat="1" ht="12.75" x14ac:dyDescent="0.25">
      <c r="A3" s="33">
        <f>A2</f>
        <v>43529</v>
      </c>
      <c r="B3" s="20" t="s">
        <v>21</v>
      </c>
      <c r="C3" s="20" t="s">
        <v>99</v>
      </c>
      <c r="D3" s="20" t="s">
        <v>23</v>
      </c>
      <c r="E3" s="47" t="s">
        <v>110</v>
      </c>
      <c r="F3" s="20" t="s">
        <v>24</v>
      </c>
      <c r="G3" s="21">
        <v>71500</v>
      </c>
      <c r="H3" s="20" t="s">
        <v>50</v>
      </c>
      <c r="I3" s="20" t="s">
        <v>51</v>
      </c>
      <c r="J3" s="22">
        <v>0.49305555555555558</v>
      </c>
      <c r="K3" s="23">
        <v>0.71250000000000002</v>
      </c>
      <c r="L3" s="22">
        <v>0.35416666666666669</v>
      </c>
      <c r="M3" s="23">
        <v>0.52847222222222223</v>
      </c>
      <c r="N3" s="23" t="s">
        <v>118</v>
      </c>
      <c r="O3" s="48" t="s">
        <v>115</v>
      </c>
      <c r="P3" s="24">
        <v>395</v>
      </c>
      <c r="Q3" s="49">
        <v>445</v>
      </c>
      <c r="R3" s="20">
        <v>0</v>
      </c>
      <c r="S3" s="20">
        <v>0</v>
      </c>
      <c r="T3" s="20">
        <v>0</v>
      </c>
      <c r="U3" s="20">
        <v>0</v>
      </c>
    </row>
    <row r="4" spans="1:21" s="25" customFormat="1" ht="12.75" x14ac:dyDescent="0.25">
      <c r="A4" s="34">
        <f>A3</f>
        <v>43529</v>
      </c>
      <c r="B4" s="25" t="s">
        <v>21</v>
      </c>
      <c r="C4" s="25" t="s">
        <v>52</v>
      </c>
      <c r="D4" s="25" t="s">
        <v>23</v>
      </c>
      <c r="E4" s="20" t="s">
        <v>100</v>
      </c>
      <c r="F4" s="25" t="s">
        <v>24</v>
      </c>
      <c r="G4" s="21">
        <v>71500</v>
      </c>
      <c r="H4" s="25" t="s">
        <v>53</v>
      </c>
      <c r="I4" s="25" t="s">
        <v>54</v>
      </c>
      <c r="J4" s="26">
        <v>0.72222222222222221</v>
      </c>
      <c r="K4" s="27">
        <v>0.72638888888888886</v>
      </c>
      <c r="L4" s="26">
        <v>0.52777777777777779</v>
      </c>
      <c r="M4" s="27">
        <v>0.5493055555555556</v>
      </c>
      <c r="N4" s="24" t="s">
        <v>119</v>
      </c>
      <c r="O4" s="24" t="s">
        <v>116</v>
      </c>
      <c r="P4" s="20">
        <v>1176</v>
      </c>
      <c r="Q4" s="24">
        <v>831</v>
      </c>
      <c r="R4" s="25">
        <v>0</v>
      </c>
      <c r="S4" s="25">
        <v>0</v>
      </c>
      <c r="T4" s="25">
        <v>0</v>
      </c>
      <c r="U4" s="25">
        <v>0</v>
      </c>
    </row>
    <row r="5" spans="1:21" s="4" customFormat="1" ht="12.75" x14ac:dyDescent="0.2">
      <c r="A5" s="34">
        <f>A4</f>
        <v>43529</v>
      </c>
      <c r="B5" s="25" t="s">
        <v>21</v>
      </c>
      <c r="C5" s="25" t="s">
        <v>55</v>
      </c>
      <c r="D5" s="25" t="s">
        <v>23</v>
      </c>
      <c r="E5" s="20" t="s">
        <v>100</v>
      </c>
      <c r="F5" s="25" t="s">
        <v>24</v>
      </c>
      <c r="G5" s="21">
        <f>G4</f>
        <v>71500</v>
      </c>
      <c r="H5" s="25" t="s">
        <v>56</v>
      </c>
      <c r="I5" s="25" t="s">
        <v>57</v>
      </c>
      <c r="J5" s="28">
        <v>0.91319444444444453</v>
      </c>
      <c r="K5" s="29">
        <v>0.9375</v>
      </c>
      <c r="L5" s="28">
        <v>0.74305555555555547</v>
      </c>
      <c r="M5" s="29">
        <v>0.77083333333333337</v>
      </c>
      <c r="N5" s="29" t="s">
        <v>120</v>
      </c>
      <c r="O5" s="24" t="s">
        <v>117</v>
      </c>
      <c r="P5" s="20">
        <v>1003</v>
      </c>
      <c r="Q5" s="24">
        <v>946</v>
      </c>
      <c r="R5" s="25">
        <v>0</v>
      </c>
      <c r="S5" s="25">
        <v>0</v>
      </c>
      <c r="T5" s="25">
        <v>0</v>
      </c>
      <c r="U5" s="25">
        <v>0</v>
      </c>
    </row>
    <row r="6" spans="1:21" s="45" customFormat="1" ht="12.75" x14ac:dyDescent="0.2">
      <c r="A6" s="17">
        <v>43529</v>
      </c>
      <c r="B6" s="25" t="s">
        <v>21</v>
      </c>
      <c r="C6" s="25" t="s">
        <v>102</v>
      </c>
      <c r="D6" s="25" t="s">
        <v>103</v>
      </c>
      <c r="E6" s="20" t="s">
        <v>104</v>
      </c>
      <c r="F6" s="25" t="s">
        <v>105</v>
      </c>
      <c r="G6" s="21">
        <v>4600</v>
      </c>
      <c r="H6" s="25" t="s">
        <v>104</v>
      </c>
      <c r="I6" s="25" t="s">
        <v>104</v>
      </c>
      <c r="J6" s="15">
        <v>0.43055555555555558</v>
      </c>
      <c r="K6" s="16">
        <v>0.42430555555555555</v>
      </c>
      <c r="L6" s="15">
        <v>0.54166666666666663</v>
      </c>
      <c r="M6" s="16">
        <v>0.60416666666666663</v>
      </c>
      <c r="N6" s="44" t="s">
        <v>107</v>
      </c>
      <c r="O6" s="44" t="s">
        <v>107</v>
      </c>
      <c r="P6" s="44" t="s">
        <v>106</v>
      </c>
      <c r="Q6" s="44" t="s">
        <v>106</v>
      </c>
      <c r="R6" s="25">
        <v>0</v>
      </c>
      <c r="S6" s="25">
        <v>0</v>
      </c>
      <c r="T6" s="25">
        <v>0</v>
      </c>
      <c r="U6" s="25">
        <v>0</v>
      </c>
    </row>
    <row r="7" spans="1:21" s="32" customFormat="1" ht="12.75" x14ac:dyDescent="0.25">
      <c r="A7" s="46">
        <v>43529</v>
      </c>
      <c r="B7" s="25" t="s">
        <v>21</v>
      </c>
      <c r="C7" s="25" t="s">
        <v>109</v>
      </c>
      <c r="D7" s="25" t="s">
        <v>23</v>
      </c>
      <c r="E7" s="20" t="s">
        <v>110</v>
      </c>
      <c r="F7" s="25" t="s">
        <v>111</v>
      </c>
      <c r="G7" s="21">
        <v>71500</v>
      </c>
      <c r="H7" s="25" t="s">
        <v>112</v>
      </c>
      <c r="I7" s="25" t="s">
        <v>113</v>
      </c>
      <c r="J7" s="37">
        <v>0.58333333333333337</v>
      </c>
      <c r="K7" s="37">
        <v>0.57638888888888895</v>
      </c>
      <c r="L7" s="37">
        <v>0.75</v>
      </c>
      <c r="M7" s="37">
        <v>0.73888888888888893</v>
      </c>
      <c r="N7" s="32" t="s">
        <v>114</v>
      </c>
      <c r="O7" s="32" t="s">
        <v>114</v>
      </c>
      <c r="P7" s="32">
        <v>0</v>
      </c>
      <c r="Q7" s="32">
        <v>0</v>
      </c>
      <c r="R7" s="25">
        <v>0</v>
      </c>
      <c r="S7" s="25">
        <v>0</v>
      </c>
      <c r="T7" s="25">
        <v>0</v>
      </c>
      <c r="U7" s="25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D1" workbookViewId="0">
      <selection activeCell="H15" sqref="H15"/>
    </sheetView>
  </sheetViews>
  <sheetFormatPr defaultRowHeight="15" x14ac:dyDescent="0.25"/>
  <cols>
    <col min="2" max="2" width="12.85546875" customWidth="1"/>
    <col min="3" max="3" width="14.5703125" customWidth="1"/>
    <col min="6" max="6" width="13.5703125" customWidth="1"/>
    <col min="10" max="10" width="11" customWidth="1"/>
    <col min="11" max="11" width="11.140625" customWidth="1"/>
    <col min="12" max="12" width="10.28515625" customWidth="1"/>
    <col min="13" max="13" width="10.42578125" customWidth="1"/>
    <col min="14" max="14" width="17.7109375" customWidth="1"/>
    <col min="15" max="15" width="19.28515625" customWidth="1"/>
  </cols>
  <sheetData>
    <row r="1" spans="1:21" x14ac:dyDescent="0.25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</row>
    <row r="2" spans="1:21" x14ac:dyDescent="0.25">
      <c r="A2" s="51">
        <v>43530</v>
      </c>
      <c r="B2" s="50" t="s">
        <v>21</v>
      </c>
      <c r="C2" s="50" t="s">
        <v>30</v>
      </c>
      <c r="D2" s="50" t="s">
        <v>23</v>
      </c>
      <c r="E2" s="50" t="s">
        <v>100</v>
      </c>
      <c r="F2" s="50" t="s">
        <v>24</v>
      </c>
      <c r="G2" s="50">
        <v>71.5</v>
      </c>
      <c r="H2" s="50" t="s">
        <v>31</v>
      </c>
      <c r="I2" s="50" t="s">
        <v>32</v>
      </c>
      <c r="J2" s="52">
        <v>0.5625</v>
      </c>
      <c r="K2" s="53">
        <v>0.59513888888888888</v>
      </c>
      <c r="L2" s="52">
        <v>0.35416666666666669</v>
      </c>
      <c r="M2" s="53">
        <v>0.37986111111111115</v>
      </c>
      <c r="N2" s="50" t="s">
        <v>122</v>
      </c>
      <c r="O2" s="50" t="s">
        <v>121</v>
      </c>
      <c r="P2" s="50">
        <v>881</v>
      </c>
      <c r="Q2" s="50">
        <v>522</v>
      </c>
      <c r="R2" s="50">
        <v>0</v>
      </c>
      <c r="S2" s="50">
        <v>0</v>
      </c>
      <c r="T2" s="50">
        <v>0</v>
      </c>
      <c r="U2" s="50">
        <v>0</v>
      </c>
    </row>
    <row r="3" spans="1:21" x14ac:dyDescent="0.25">
      <c r="A3" s="33">
        <v>43530</v>
      </c>
      <c r="B3" s="20" t="s">
        <v>21</v>
      </c>
      <c r="C3" s="20" t="s">
        <v>75</v>
      </c>
      <c r="D3" s="20" t="s">
        <v>23</v>
      </c>
      <c r="E3" s="20" t="s">
        <v>37</v>
      </c>
      <c r="F3" s="20" t="s">
        <v>24</v>
      </c>
      <c r="G3" s="24">
        <v>71.5</v>
      </c>
      <c r="H3" s="20" t="s">
        <v>76</v>
      </c>
      <c r="I3" s="20" t="s">
        <v>77</v>
      </c>
      <c r="J3" s="22">
        <v>0.69791666666666663</v>
      </c>
      <c r="K3" s="23">
        <v>0.68472222222222223</v>
      </c>
      <c r="L3" s="22">
        <v>0.52777777777777779</v>
      </c>
      <c r="M3" s="23">
        <v>0.52777777777777779</v>
      </c>
      <c r="N3" s="23" t="s">
        <v>125</v>
      </c>
      <c r="O3" s="23" t="s">
        <v>123</v>
      </c>
      <c r="P3" s="24">
        <v>890</v>
      </c>
      <c r="Q3" s="24">
        <v>710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25">
      <c r="A4" s="33">
        <v>43530</v>
      </c>
      <c r="B4" s="20" t="s">
        <v>21</v>
      </c>
      <c r="C4" s="20" t="s">
        <v>78</v>
      </c>
      <c r="D4" s="20" t="s">
        <v>23</v>
      </c>
      <c r="E4" s="20" t="s">
        <v>100</v>
      </c>
      <c r="F4" s="20" t="s">
        <v>24</v>
      </c>
      <c r="G4" s="24">
        <v>71.5</v>
      </c>
      <c r="H4" s="20" t="s">
        <v>79</v>
      </c>
      <c r="I4" s="20" t="s">
        <v>80</v>
      </c>
      <c r="J4" s="22">
        <v>0.86458333333333337</v>
      </c>
      <c r="K4" s="23">
        <v>0.85972222222222217</v>
      </c>
      <c r="L4" s="22">
        <v>0.65972222222222221</v>
      </c>
      <c r="M4" s="23">
        <v>0.65416666666666667</v>
      </c>
      <c r="N4" s="23" t="s">
        <v>86</v>
      </c>
      <c r="O4" s="23" t="s">
        <v>124</v>
      </c>
      <c r="P4" s="24">
        <v>846</v>
      </c>
      <c r="Q4" s="24">
        <v>1106</v>
      </c>
      <c r="R4" s="20">
        <v>0</v>
      </c>
      <c r="S4" s="20">
        <v>0</v>
      </c>
      <c r="T4" s="20">
        <v>0</v>
      </c>
      <c r="U4" s="2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A3" sqref="A3"/>
    </sheetView>
  </sheetViews>
  <sheetFormatPr defaultRowHeight="15" x14ac:dyDescent="0.25"/>
  <cols>
    <col min="2" max="2" width="12.85546875" customWidth="1"/>
    <col min="3" max="3" width="14.5703125" customWidth="1"/>
    <col min="6" max="6" width="13.5703125" customWidth="1"/>
    <col min="10" max="10" width="11" customWidth="1"/>
    <col min="11" max="11" width="11.140625" customWidth="1"/>
    <col min="12" max="12" width="10.28515625" customWidth="1"/>
    <col min="13" max="13" width="10.42578125" customWidth="1"/>
    <col min="14" max="14" width="17.7109375" customWidth="1"/>
    <col min="15" max="15" width="19.28515625" customWidth="1"/>
  </cols>
  <sheetData>
    <row r="1" spans="1:21" x14ac:dyDescent="0.25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</row>
    <row r="2" spans="1:21" x14ac:dyDescent="0.25">
      <c r="A2" s="51">
        <v>43531</v>
      </c>
      <c r="B2" s="50" t="s">
        <v>21</v>
      </c>
      <c r="C2" s="50" t="s">
        <v>72</v>
      </c>
      <c r="D2" s="50" t="s">
        <v>23</v>
      </c>
      <c r="E2" s="20" t="s">
        <v>37</v>
      </c>
      <c r="F2" s="50" t="s">
        <v>24</v>
      </c>
      <c r="G2" s="50">
        <v>71.5</v>
      </c>
      <c r="H2" s="50" t="s">
        <v>73</v>
      </c>
      <c r="I2" s="50" t="s">
        <v>74</v>
      </c>
      <c r="J2" s="52">
        <v>0.64930555555555558</v>
      </c>
      <c r="K2" s="53">
        <v>0.63611111111111118</v>
      </c>
      <c r="L2" s="52">
        <v>0.5</v>
      </c>
      <c r="M2" s="53">
        <v>0.49791666666666662</v>
      </c>
      <c r="N2" s="50" t="s">
        <v>128</v>
      </c>
      <c r="O2" s="50" t="s">
        <v>127</v>
      </c>
      <c r="P2" s="50">
        <v>816</v>
      </c>
      <c r="Q2" s="50">
        <v>880</v>
      </c>
      <c r="R2" s="50">
        <v>0</v>
      </c>
      <c r="S2" s="50">
        <v>0</v>
      </c>
      <c r="T2" s="50">
        <v>0</v>
      </c>
      <c r="U2" s="50">
        <v>0</v>
      </c>
    </row>
    <row r="3" spans="1:21" x14ac:dyDescent="0.25">
      <c r="A3" s="51">
        <v>43531</v>
      </c>
      <c r="B3" s="20" t="s">
        <v>129</v>
      </c>
      <c r="C3" s="20" t="s">
        <v>130</v>
      </c>
      <c r="D3" s="20" t="s">
        <v>132</v>
      </c>
      <c r="E3" s="20" t="s">
        <v>126</v>
      </c>
      <c r="F3" s="20" t="s">
        <v>131</v>
      </c>
      <c r="G3" s="24">
        <v>0.9</v>
      </c>
      <c r="H3" s="20" t="s">
        <v>126</v>
      </c>
      <c r="I3" s="20" t="s">
        <v>126</v>
      </c>
      <c r="J3" s="22">
        <v>0.52083333333333337</v>
      </c>
      <c r="K3" s="23">
        <v>0.54166666666666663</v>
      </c>
      <c r="L3" s="22">
        <v>0.60416666666666663</v>
      </c>
      <c r="M3" s="23">
        <v>0.57361111111111118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25">
      <c r="A4" s="33"/>
      <c r="B4" s="20"/>
      <c r="C4" s="20"/>
      <c r="D4" s="20"/>
      <c r="E4" s="20"/>
      <c r="F4" s="20"/>
      <c r="G4" s="24"/>
      <c r="H4" s="20"/>
      <c r="I4" s="20"/>
      <c r="J4" s="22"/>
      <c r="K4" s="23"/>
      <c r="L4" s="22"/>
      <c r="M4" s="23"/>
      <c r="N4" s="23"/>
      <c r="O4" s="23"/>
      <c r="P4" s="24"/>
      <c r="Q4" s="24"/>
      <c r="R4" s="20"/>
      <c r="S4" s="20"/>
      <c r="T4" s="20"/>
      <c r="U4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A5" sqref="A5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4.140625" style="4" customWidth="1"/>
    <col min="7" max="9" width="9.140625" style="4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43532</v>
      </c>
      <c r="B2" s="6" t="s">
        <v>21</v>
      </c>
      <c r="C2" s="6" t="s">
        <v>22</v>
      </c>
      <c r="D2" s="6" t="s">
        <v>23</v>
      </c>
      <c r="E2" s="6" t="s">
        <v>37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2">
        <v>0.48472222222222222</v>
      </c>
      <c r="L2" s="8">
        <v>0.27777777777777779</v>
      </c>
      <c r="M2" s="9">
        <v>0.29166666666666669</v>
      </c>
      <c r="N2" s="3" t="s">
        <v>135</v>
      </c>
      <c r="O2" s="10" t="s">
        <v>133</v>
      </c>
      <c r="P2" s="10">
        <v>912</v>
      </c>
      <c r="Q2" s="10">
        <v>951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f t="shared" ref="A3:A4" si="0">A2</f>
        <v>43532</v>
      </c>
      <c r="B3" s="6" t="s">
        <v>21</v>
      </c>
      <c r="C3" s="6" t="s">
        <v>27</v>
      </c>
      <c r="D3" s="6" t="s">
        <v>23</v>
      </c>
      <c r="E3" s="6" t="s">
        <v>100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0.4826388888888889</v>
      </c>
      <c r="K3" s="2">
        <v>0.4694444444444445</v>
      </c>
      <c r="L3" s="8">
        <v>0.33333333333333331</v>
      </c>
      <c r="M3" s="9">
        <v>0.3354166666666667</v>
      </c>
      <c r="N3" s="3" t="s">
        <v>136</v>
      </c>
      <c r="O3" s="10" t="s">
        <v>134</v>
      </c>
      <c r="P3" s="6">
        <v>503</v>
      </c>
      <c r="Q3" s="10">
        <v>852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f t="shared" si="0"/>
        <v>43532</v>
      </c>
      <c r="B4" s="3" t="s">
        <v>21</v>
      </c>
      <c r="C4" s="3" t="s">
        <v>30</v>
      </c>
      <c r="D4" s="3" t="s">
        <v>23</v>
      </c>
      <c r="E4" s="6" t="s">
        <v>37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0.71180555555555547</v>
      </c>
      <c r="K4" s="2">
        <v>0.73472222222222217</v>
      </c>
      <c r="L4" s="11">
        <v>0.50347222222222221</v>
      </c>
      <c r="M4" s="2">
        <v>0.53819444444444442</v>
      </c>
      <c r="N4" s="3" t="s">
        <v>137</v>
      </c>
      <c r="O4" s="3" t="s">
        <v>89</v>
      </c>
      <c r="P4" s="3">
        <v>769</v>
      </c>
      <c r="Q4" s="3">
        <v>849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f>A4</f>
        <v>43532</v>
      </c>
      <c r="B5" s="3" t="s">
        <v>21</v>
      </c>
      <c r="C5" s="3" t="s">
        <v>33</v>
      </c>
      <c r="D5" s="3" t="s">
        <v>23</v>
      </c>
      <c r="E5" s="6" t="s">
        <v>100</v>
      </c>
      <c r="F5" s="3" t="s">
        <v>24</v>
      </c>
      <c r="G5" s="7">
        <v>71500</v>
      </c>
      <c r="H5" s="3" t="s">
        <v>34</v>
      </c>
      <c r="I5" s="3" t="s">
        <v>35</v>
      </c>
      <c r="J5" s="12">
        <v>0.87152777777777779</v>
      </c>
      <c r="K5" s="2">
        <v>0.87152777777777779</v>
      </c>
      <c r="L5" s="12">
        <v>0.63541666666666663</v>
      </c>
      <c r="M5" s="13">
        <v>0.65208333333333335</v>
      </c>
      <c r="N5" s="3" t="s">
        <v>138</v>
      </c>
      <c r="O5" s="3" t="s">
        <v>60</v>
      </c>
      <c r="P5" s="14">
        <v>1153</v>
      </c>
      <c r="Q5" s="3">
        <v>1140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5"/>
      <c r="B6" s="3"/>
      <c r="C6" s="3"/>
      <c r="D6" s="3"/>
      <c r="E6" s="6"/>
      <c r="F6" s="19"/>
      <c r="G6" s="7"/>
      <c r="H6" s="6"/>
      <c r="I6" s="6"/>
      <c r="J6" s="15"/>
      <c r="L6" s="15"/>
      <c r="M6" s="16"/>
      <c r="O6" s="3"/>
      <c r="P6" s="3"/>
      <c r="Q6" s="3"/>
      <c r="R6" s="3"/>
      <c r="S6" s="3"/>
      <c r="T6" s="3"/>
      <c r="U6" s="3"/>
    </row>
    <row r="7" spans="1:21" x14ac:dyDescent="0.2">
      <c r="A7" s="17"/>
      <c r="G7" s="18"/>
      <c r="J7" s="15"/>
    </row>
    <row r="8" spans="1:21" x14ac:dyDescent="0.2">
      <c r="A8" s="17"/>
      <c r="G8" s="18"/>
      <c r="J8" s="15"/>
    </row>
    <row r="9" spans="1:21" x14ac:dyDescent="0.2">
      <c r="A9" s="17"/>
      <c r="G9" s="18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XFD1048576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4.140625" style="4" customWidth="1"/>
    <col min="7" max="9" width="9.140625" style="4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43533</v>
      </c>
      <c r="B2" s="20" t="s">
        <v>21</v>
      </c>
      <c r="C2" s="20" t="s">
        <v>46</v>
      </c>
      <c r="D2" s="20" t="s">
        <v>23</v>
      </c>
      <c r="E2" s="20" t="s">
        <v>100</v>
      </c>
      <c r="F2" s="20" t="s">
        <v>24</v>
      </c>
      <c r="G2" s="21">
        <v>70000</v>
      </c>
      <c r="H2" s="20" t="s">
        <v>47</v>
      </c>
      <c r="I2" s="20" t="s">
        <v>48</v>
      </c>
      <c r="J2" s="22">
        <v>0.49652777777777773</v>
      </c>
      <c r="K2" s="23">
        <v>0.51944444444444449</v>
      </c>
      <c r="L2" s="22">
        <v>0.3125</v>
      </c>
      <c r="M2" s="23">
        <v>0.32222222222222224</v>
      </c>
      <c r="N2" s="23" t="s">
        <v>142</v>
      </c>
      <c r="O2" s="24" t="s">
        <v>139</v>
      </c>
      <c r="P2" s="24">
        <v>1174</v>
      </c>
      <c r="Q2" s="24">
        <v>1026</v>
      </c>
      <c r="R2" s="20">
        <v>0</v>
      </c>
      <c r="S2" s="20">
        <v>0</v>
      </c>
      <c r="T2" s="20">
        <v>0</v>
      </c>
      <c r="U2" s="20">
        <v>0</v>
      </c>
    </row>
    <row r="3" spans="1:21" x14ac:dyDescent="0.2">
      <c r="A3" s="5">
        <f t="shared" ref="A3:A4" si="0">A2</f>
        <v>43533</v>
      </c>
      <c r="B3" s="20" t="s">
        <v>21</v>
      </c>
      <c r="C3" s="20" t="s">
        <v>49</v>
      </c>
      <c r="D3" s="20" t="s">
        <v>23</v>
      </c>
      <c r="E3" s="20" t="s">
        <v>37</v>
      </c>
      <c r="F3" s="20" t="s">
        <v>24</v>
      </c>
      <c r="G3" s="21">
        <v>71500</v>
      </c>
      <c r="H3" s="20" t="s">
        <v>50</v>
      </c>
      <c r="I3" s="20" t="s">
        <v>51</v>
      </c>
      <c r="J3" s="22">
        <v>0.49305555555555558</v>
      </c>
      <c r="K3" s="23">
        <v>0.47847222222222219</v>
      </c>
      <c r="L3" s="22">
        <v>0.35416666666666669</v>
      </c>
      <c r="M3" s="23">
        <v>0.35416666666666669</v>
      </c>
      <c r="N3" s="23" t="s">
        <v>91</v>
      </c>
      <c r="O3" s="14" t="s">
        <v>140</v>
      </c>
      <c r="P3" s="20">
        <v>498</v>
      </c>
      <c r="Q3" s="14">
        <v>418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2">
      <c r="A4" s="5">
        <f t="shared" si="0"/>
        <v>43533</v>
      </c>
      <c r="B4" s="25" t="s">
        <v>21</v>
      </c>
      <c r="C4" s="25" t="s">
        <v>52</v>
      </c>
      <c r="D4" s="25" t="s">
        <v>23</v>
      </c>
      <c r="E4" s="20" t="s">
        <v>37</v>
      </c>
      <c r="F4" s="25" t="s">
        <v>24</v>
      </c>
      <c r="G4" s="21">
        <v>71500</v>
      </c>
      <c r="H4" s="25" t="s">
        <v>53</v>
      </c>
      <c r="I4" s="25" t="s">
        <v>54</v>
      </c>
      <c r="J4" s="26">
        <v>0.72222222222222221</v>
      </c>
      <c r="K4" s="27">
        <v>0.73125000000000007</v>
      </c>
      <c r="L4" s="26">
        <v>0.52777777777777779</v>
      </c>
      <c r="M4" s="27">
        <v>0.53402777777777777</v>
      </c>
      <c r="N4" s="4" t="s">
        <v>144</v>
      </c>
      <c r="O4" s="24" t="s">
        <v>141</v>
      </c>
      <c r="P4" s="20">
        <v>1329</v>
      </c>
      <c r="Q4" s="24">
        <v>1054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">
      <c r="A5" s="5">
        <f>A4</f>
        <v>43533</v>
      </c>
      <c r="B5" s="25" t="s">
        <v>21</v>
      </c>
      <c r="C5" s="25" t="s">
        <v>55</v>
      </c>
      <c r="D5" s="25" t="s">
        <v>23</v>
      </c>
      <c r="E5" s="20" t="s">
        <v>37</v>
      </c>
      <c r="F5" s="25" t="s">
        <v>24</v>
      </c>
      <c r="G5" s="21">
        <v>71500</v>
      </c>
      <c r="H5" s="25" t="s">
        <v>56</v>
      </c>
      <c r="I5" s="25" t="s">
        <v>57</v>
      </c>
      <c r="J5" s="28">
        <v>0.91319444444444453</v>
      </c>
      <c r="K5" s="29">
        <v>0.93055555555555547</v>
      </c>
      <c r="L5" s="28">
        <v>0.74305555555555547</v>
      </c>
      <c r="M5" s="30">
        <v>0.76736111111111116</v>
      </c>
      <c r="N5" s="24" t="s">
        <v>84</v>
      </c>
      <c r="O5" s="24" t="s">
        <v>143</v>
      </c>
      <c r="P5" s="20">
        <v>961</v>
      </c>
      <c r="Q5" s="24">
        <v>715</v>
      </c>
      <c r="R5" s="25">
        <v>0</v>
      </c>
      <c r="S5" s="25">
        <v>0</v>
      </c>
      <c r="T5" s="25">
        <v>0</v>
      </c>
      <c r="U5" s="25">
        <v>0</v>
      </c>
    </row>
    <row r="6" spans="1:21" x14ac:dyDescent="0.2">
      <c r="A6" s="17"/>
      <c r="G6" s="18"/>
      <c r="J6" s="15"/>
    </row>
    <row r="7" spans="1:21" x14ac:dyDescent="0.2">
      <c r="A7" s="17"/>
      <c r="G7" s="18"/>
      <c r="J7" s="15"/>
    </row>
    <row r="8" spans="1:21" x14ac:dyDescent="0.2">
      <c r="A8" s="17"/>
      <c r="G8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A5" sqref="A5"/>
    </sheetView>
  </sheetViews>
  <sheetFormatPr defaultRowHeight="15" x14ac:dyDescent="0.25"/>
  <cols>
    <col min="2" max="2" width="9.85546875" customWidth="1"/>
    <col min="3" max="3" width="14.5703125" customWidth="1"/>
    <col min="5" max="5" width="17.140625" customWidth="1"/>
    <col min="6" max="6" width="16.85546875" customWidth="1"/>
    <col min="10" max="10" width="10.7109375" customWidth="1"/>
    <col min="11" max="11" width="12.28515625" customWidth="1"/>
    <col min="12" max="12" width="10.42578125" customWidth="1"/>
    <col min="13" max="13" width="11.5703125" customWidth="1"/>
    <col min="14" max="14" width="18.5703125" customWidth="1"/>
    <col min="15" max="15" width="18.85546875" customWidth="1"/>
  </cols>
  <sheetData>
    <row r="1" spans="1:21" s="32" customFormat="1" ht="12.7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s="32" customFormat="1" ht="12.75" x14ac:dyDescent="0.25">
      <c r="A2" s="33">
        <v>43534</v>
      </c>
      <c r="B2" s="6" t="s">
        <v>21</v>
      </c>
      <c r="C2" s="6" t="s">
        <v>22</v>
      </c>
      <c r="D2" s="6" t="s">
        <v>23</v>
      </c>
      <c r="E2" s="25" t="s">
        <v>100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9">
        <v>0.47013888888888888</v>
      </c>
      <c r="L2" s="8">
        <v>0.27777777777777779</v>
      </c>
      <c r="M2" s="9">
        <v>0.27847222222222223</v>
      </c>
      <c r="N2" s="10" t="s">
        <v>145</v>
      </c>
      <c r="O2" s="10" t="s">
        <v>45</v>
      </c>
      <c r="P2" s="10">
        <v>1358</v>
      </c>
      <c r="Q2" s="10">
        <v>692</v>
      </c>
      <c r="R2" s="6">
        <v>0</v>
      </c>
      <c r="S2" s="6">
        <v>0</v>
      </c>
      <c r="T2" s="6">
        <v>0</v>
      </c>
      <c r="U2" s="6">
        <v>0</v>
      </c>
    </row>
    <row r="3" spans="1:21" s="32" customFormat="1" ht="12.75" x14ac:dyDescent="0.25">
      <c r="A3" s="33">
        <f>A2</f>
        <v>43534</v>
      </c>
      <c r="B3" s="6" t="s">
        <v>21</v>
      </c>
      <c r="C3" s="6" t="s">
        <v>72</v>
      </c>
      <c r="D3" s="6" t="s">
        <v>23</v>
      </c>
      <c r="E3" s="6" t="s">
        <v>82</v>
      </c>
      <c r="F3" s="6" t="s">
        <v>24</v>
      </c>
      <c r="G3" s="7">
        <f>G2</f>
        <v>71500</v>
      </c>
      <c r="H3" s="6" t="s">
        <v>73</v>
      </c>
      <c r="I3" s="6" t="s">
        <v>74</v>
      </c>
      <c r="J3" s="8">
        <v>0.65277777777777779</v>
      </c>
      <c r="K3" s="9">
        <v>0.65069444444444446</v>
      </c>
      <c r="L3" s="8">
        <v>0.5</v>
      </c>
      <c r="M3" s="9">
        <v>0.50763888888888886</v>
      </c>
      <c r="N3" s="9" t="s">
        <v>149</v>
      </c>
      <c r="O3" s="10" t="s">
        <v>146</v>
      </c>
      <c r="P3" s="6">
        <v>901</v>
      </c>
      <c r="Q3" s="10">
        <v>908</v>
      </c>
      <c r="R3" s="6">
        <v>0</v>
      </c>
      <c r="S3" s="6">
        <v>0</v>
      </c>
      <c r="T3" s="6">
        <v>0</v>
      </c>
      <c r="U3" s="6">
        <v>0</v>
      </c>
    </row>
    <row r="4" spans="1:21" s="25" customFormat="1" ht="12.75" x14ac:dyDescent="0.25">
      <c r="A4" s="34">
        <f>A3</f>
        <v>43534</v>
      </c>
      <c r="B4" s="25" t="s">
        <v>21</v>
      </c>
      <c r="C4" s="25" t="s">
        <v>75</v>
      </c>
      <c r="D4" s="25" t="s">
        <v>23</v>
      </c>
      <c r="E4" s="25" t="str">
        <f>E2</f>
        <v>HALYR</v>
      </c>
      <c r="F4" s="25" t="s">
        <v>24</v>
      </c>
      <c r="G4" s="7">
        <v>71500</v>
      </c>
      <c r="H4" s="25" t="s">
        <v>76</v>
      </c>
      <c r="I4" s="25" t="s">
        <v>77</v>
      </c>
      <c r="J4" s="26">
        <v>0.69791666666666663</v>
      </c>
      <c r="K4" s="27">
        <v>0.7104166666666667</v>
      </c>
      <c r="L4" s="26">
        <v>0.52777777777777779</v>
      </c>
      <c r="M4" s="27">
        <v>0.54236111111111118</v>
      </c>
      <c r="N4" s="25" t="s">
        <v>148</v>
      </c>
      <c r="O4" s="35" t="s">
        <v>147</v>
      </c>
      <c r="P4" s="25">
        <v>1172</v>
      </c>
      <c r="Q4" s="25">
        <v>973</v>
      </c>
      <c r="R4" s="25">
        <v>0</v>
      </c>
      <c r="S4" s="25">
        <v>0</v>
      </c>
      <c r="T4" s="25">
        <v>0</v>
      </c>
      <c r="U4" s="25">
        <v>0</v>
      </c>
    </row>
    <row r="5" spans="1:21" s="32" customFormat="1" ht="12.75" x14ac:dyDescent="0.25">
      <c r="A5" s="34">
        <f>A4</f>
        <v>43534</v>
      </c>
      <c r="B5" s="25" t="s">
        <v>21</v>
      </c>
      <c r="C5" s="25" t="s">
        <v>78</v>
      </c>
      <c r="D5" s="25" t="s">
        <v>23</v>
      </c>
      <c r="E5" s="6" t="str">
        <f>E3</f>
        <v>HA-LWV</v>
      </c>
      <c r="F5" s="25" t="s">
        <v>24</v>
      </c>
      <c r="G5" s="36">
        <f>G4</f>
        <v>71500</v>
      </c>
      <c r="H5" s="25" t="s">
        <v>79</v>
      </c>
      <c r="I5" s="25" t="s">
        <v>80</v>
      </c>
      <c r="J5" s="12">
        <v>0.88888888888888884</v>
      </c>
      <c r="K5" s="37">
        <v>0.87708333333333333</v>
      </c>
      <c r="L5" s="12">
        <v>0.68402777777777779</v>
      </c>
      <c r="M5" s="37">
        <v>0.68402777777777779</v>
      </c>
      <c r="N5" s="32" t="s">
        <v>139</v>
      </c>
      <c r="O5" s="25" t="s">
        <v>87</v>
      </c>
      <c r="P5" s="25">
        <v>1121</v>
      </c>
      <c r="Q5" s="25">
        <v>1045</v>
      </c>
      <c r="R5" s="25">
        <v>0</v>
      </c>
      <c r="S5" s="25">
        <v>0</v>
      </c>
      <c r="T5" s="25">
        <v>0</v>
      </c>
      <c r="U5" s="2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D1" workbookViewId="0">
      <selection activeCell="K6" sqref="K6"/>
    </sheetView>
  </sheetViews>
  <sheetFormatPr defaultRowHeight="15" x14ac:dyDescent="0.25"/>
  <cols>
    <col min="3" max="3" width="15.140625" customWidth="1"/>
    <col min="6" max="6" width="15.42578125" customWidth="1"/>
    <col min="10" max="10" width="10.42578125" customWidth="1"/>
    <col min="11" max="11" width="11.42578125" customWidth="1"/>
    <col min="12" max="12" width="12.5703125" customWidth="1"/>
    <col min="13" max="13" width="11.140625" customWidth="1"/>
    <col min="14" max="14" width="18.42578125" customWidth="1"/>
    <col min="15" max="15" width="19.140625" customWidth="1"/>
  </cols>
  <sheetData>
    <row r="1" spans="1:21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x14ac:dyDescent="0.25">
      <c r="A2" s="33">
        <v>43535</v>
      </c>
      <c r="B2" s="39" t="s">
        <v>21</v>
      </c>
      <c r="C2" s="39" t="s">
        <v>22</v>
      </c>
      <c r="D2" s="39" t="s">
        <v>23</v>
      </c>
      <c r="E2" s="40" t="s">
        <v>95</v>
      </c>
      <c r="F2" s="39" t="s">
        <v>24</v>
      </c>
      <c r="G2" s="41">
        <v>71500</v>
      </c>
      <c r="H2" s="39" t="s">
        <v>26</v>
      </c>
      <c r="I2" s="39" t="s">
        <v>25</v>
      </c>
      <c r="J2" s="42">
        <v>0.4826388888888889</v>
      </c>
      <c r="K2" s="43">
        <v>0.48194444444444445</v>
      </c>
      <c r="L2" s="42">
        <v>0.27777777777777779</v>
      </c>
      <c r="M2" s="9">
        <v>0.27777777777777779</v>
      </c>
      <c r="N2" s="10" t="s">
        <v>152</v>
      </c>
      <c r="O2" s="10" t="s">
        <v>150</v>
      </c>
      <c r="P2" s="10">
        <v>1029</v>
      </c>
      <c r="Q2" s="10">
        <v>829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33">
        <f>A2</f>
        <v>43535</v>
      </c>
      <c r="B3" s="39" t="s">
        <v>21</v>
      </c>
      <c r="C3" s="39" t="s">
        <v>27</v>
      </c>
      <c r="D3" s="39" t="s">
        <v>23</v>
      </c>
      <c r="E3" s="39" t="s">
        <v>82</v>
      </c>
      <c r="F3" s="39" t="s">
        <v>24</v>
      </c>
      <c r="G3" s="41">
        <v>71500</v>
      </c>
      <c r="H3" s="39" t="s">
        <v>29</v>
      </c>
      <c r="I3" s="39" t="s">
        <v>28</v>
      </c>
      <c r="J3" s="42">
        <v>0.4826388888888889</v>
      </c>
      <c r="K3" s="43">
        <v>0.51180555555555551</v>
      </c>
      <c r="L3" s="42">
        <v>0.33333333333333331</v>
      </c>
      <c r="M3" s="9">
        <v>0.33888888888888885</v>
      </c>
      <c r="N3" s="10" t="s">
        <v>154</v>
      </c>
      <c r="O3" s="10" t="s">
        <v>151</v>
      </c>
      <c r="P3" s="6">
        <v>623</v>
      </c>
      <c r="Q3" s="10">
        <v>730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34">
        <f>A3</f>
        <v>43535</v>
      </c>
      <c r="B4" s="3" t="s">
        <v>21</v>
      </c>
      <c r="C4" s="3" t="s">
        <v>30</v>
      </c>
      <c r="D4" s="3" t="s">
        <v>23</v>
      </c>
      <c r="E4" s="39" t="s">
        <v>95</v>
      </c>
      <c r="F4" s="3" t="s">
        <v>24</v>
      </c>
      <c r="G4" s="41">
        <v>71500</v>
      </c>
      <c r="H4" s="3" t="s">
        <v>32</v>
      </c>
      <c r="I4" s="3" t="s">
        <v>31</v>
      </c>
      <c r="J4" s="11">
        <v>0.71180555555555547</v>
      </c>
      <c r="K4" s="2">
        <v>0.74097222222222225</v>
      </c>
      <c r="L4" s="11">
        <v>0.50347222222222221</v>
      </c>
      <c r="M4" s="27">
        <v>0.53125</v>
      </c>
      <c r="N4" s="25" t="s">
        <v>89</v>
      </c>
      <c r="O4" s="35" t="s">
        <v>153</v>
      </c>
      <c r="P4" s="25">
        <v>651</v>
      </c>
      <c r="Q4" s="25">
        <v>777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5">
      <c r="A5" s="34">
        <f>A4</f>
        <v>43535</v>
      </c>
      <c r="B5" s="25" t="s">
        <v>21</v>
      </c>
      <c r="C5" s="25" t="s">
        <v>33</v>
      </c>
      <c r="D5" s="25" t="s">
        <v>23</v>
      </c>
      <c r="E5" s="40" t="s">
        <v>82</v>
      </c>
      <c r="F5" s="25" t="s">
        <v>24</v>
      </c>
      <c r="G5" s="41">
        <f>G2</f>
        <v>71500</v>
      </c>
      <c r="H5" s="25" t="s">
        <v>34</v>
      </c>
      <c r="I5" s="25" t="s">
        <v>35</v>
      </c>
      <c r="J5" s="12">
        <v>0.87152777777777779</v>
      </c>
      <c r="K5" s="37">
        <v>0.85833333333333339</v>
      </c>
      <c r="L5" s="12">
        <v>0.63541666666666663</v>
      </c>
      <c r="M5" s="37">
        <v>0.63402777777777775</v>
      </c>
      <c r="N5" s="25" t="s">
        <v>155</v>
      </c>
      <c r="O5" s="25" t="s">
        <v>85</v>
      </c>
      <c r="P5" s="25">
        <v>1424</v>
      </c>
      <c r="Q5" s="25">
        <v>1196</v>
      </c>
      <c r="R5" s="25">
        <v>0</v>
      </c>
      <c r="S5" s="25">
        <v>0</v>
      </c>
      <c r="T5" s="25">
        <v>0</v>
      </c>
      <c r="U5" s="2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G1" workbookViewId="0">
      <selection activeCell="N6" sqref="N6"/>
    </sheetView>
  </sheetViews>
  <sheetFormatPr defaultRowHeight="15" x14ac:dyDescent="0.25"/>
  <cols>
    <col min="2" max="2" width="10.140625" customWidth="1"/>
    <col min="3" max="3" width="13.7109375" customWidth="1"/>
    <col min="6" max="6" width="27.140625" customWidth="1"/>
    <col min="10" max="10" width="11" customWidth="1"/>
    <col min="11" max="12" width="10.7109375" customWidth="1"/>
    <col min="13" max="13" width="10.85546875" customWidth="1"/>
    <col min="14" max="14" width="18.140625" customWidth="1"/>
    <col min="15" max="15" width="18.5703125" customWidth="1"/>
    <col min="16" max="17" width="10.5703125" customWidth="1"/>
  </cols>
  <sheetData>
    <row r="1" spans="1:21" s="32" customFormat="1" ht="12.7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s="32" customFormat="1" ht="12.75" x14ac:dyDescent="0.25">
      <c r="A2" s="33">
        <v>43536</v>
      </c>
      <c r="B2" s="20" t="s">
        <v>21</v>
      </c>
      <c r="C2" s="20" t="s">
        <v>46</v>
      </c>
      <c r="D2" s="20" t="s">
        <v>23</v>
      </c>
      <c r="E2" s="20" t="s">
        <v>37</v>
      </c>
      <c r="F2" s="20" t="s">
        <v>24</v>
      </c>
      <c r="G2" s="21">
        <v>71500</v>
      </c>
      <c r="H2" s="20" t="s">
        <v>47</v>
      </c>
      <c r="I2" s="20" t="s">
        <v>48</v>
      </c>
      <c r="J2" s="22">
        <v>0.49652777777777773</v>
      </c>
      <c r="K2" s="23">
        <v>0.49513888888888885</v>
      </c>
      <c r="L2" s="22">
        <v>0.3125</v>
      </c>
      <c r="M2" s="23">
        <v>0.31875000000000003</v>
      </c>
      <c r="N2" s="23" t="s">
        <v>158</v>
      </c>
      <c r="O2" s="23" t="s">
        <v>156</v>
      </c>
      <c r="P2" s="24">
        <v>950</v>
      </c>
      <c r="Q2" s="24">
        <v>845</v>
      </c>
      <c r="R2" s="20">
        <v>0</v>
      </c>
      <c r="S2" s="20">
        <v>0</v>
      </c>
      <c r="T2" s="20">
        <v>0</v>
      </c>
      <c r="U2" s="20">
        <v>0</v>
      </c>
    </row>
    <row r="3" spans="1:21" s="32" customFormat="1" ht="12.75" x14ac:dyDescent="0.25">
      <c r="A3" s="33">
        <f>A2</f>
        <v>43536</v>
      </c>
      <c r="B3" s="20" t="s">
        <v>21</v>
      </c>
      <c r="C3" s="20" t="s">
        <v>99</v>
      </c>
      <c r="D3" s="20" t="s">
        <v>23</v>
      </c>
      <c r="E3" s="47" t="s">
        <v>100</v>
      </c>
      <c r="F3" s="20" t="s">
        <v>24</v>
      </c>
      <c r="G3" s="21">
        <v>71500</v>
      </c>
      <c r="H3" s="20" t="s">
        <v>50</v>
      </c>
      <c r="I3" s="20" t="s">
        <v>51</v>
      </c>
      <c r="J3" s="22">
        <v>0.49305555555555558</v>
      </c>
      <c r="K3" s="23">
        <v>0.47013888888888888</v>
      </c>
      <c r="L3" s="22">
        <v>0.35416666666666669</v>
      </c>
      <c r="M3" s="23">
        <v>0.35555555555555557</v>
      </c>
      <c r="N3" s="23" t="s">
        <v>159</v>
      </c>
      <c r="O3" s="48" t="s">
        <v>157</v>
      </c>
      <c r="P3" s="24">
        <v>257</v>
      </c>
      <c r="Q3" s="49">
        <v>311</v>
      </c>
      <c r="R3" s="20">
        <v>0</v>
      </c>
      <c r="S3" s="20">
        <v>0</v>
      </c>
      <c r="T3" s="20">
        <v>0</v>
      </c>
      <c r="U3" s="20">
        <v>0</v>
      </c>
    </row>
    <row r="4" spans="1:21" s="25" customFormat="1" ht="12.75" x14ac:dyDescent="0.25">
      <c r="A4" s="34">
        <f>A3</f>
        <v>43536</v>
      </c>
      <c r="B4" s="25" t="s">
        <v>21</v>
      </c>
      <c r="C4" s="25" t="s">
        <v>52</v>
      </c>
      <c r="D4" s="25" t="s">
        <v>23</v>
      </c>
      <c r="E4" s="20" t="s">
        <v>100</v>
      </c>
      <c r="F4" s="25" t="s">
        <v>24</v>
      </c>
      <c r="G4" s="21">
        <v>71500</v>
      </c>
      <c r="H4" s="25" t="s">
        <v>53</v>
      </c>
      <c r="I4" s="25" t="s">
        <v>54</v>
      </c>
      <c r="J4" s="26">
        <v>0.72222222222222221</v>
      </c>
      <c r="K4" s="27">
        <v>0.70972222222222225</v>
      </c>
      <c r="L4" s="26">
        <v>0.52777777777777779</v>
      </c>
      <c r="M4" s="27">
        <v>0.52638888888888891</v>
      </c>
      <c r="N4" s="24" t="s">
        <v>161</v>
      </c>
      <c r="O4" s="24" t="s">
        <v>160</v>
      </c>
      <c r="P4" s="20">
        <v>998</v>
      </c>
      <c r="Q4" s="24">
        <v>1099</v>
      </c>
      <c r="R4" s="25">
        <v>0</v>
      </c>
      <c r="S4" s="25">
        <v>0</v>
      </c>
      <c r="T4" s="25">
        <v>0</v>
      </c>
      <c r="U4" s="25">
        <v>0</v>
      </c>
    </row>
    <row r="5" spans="1:21" s="4" customFormat="1" ht="12.75" x14ac:dyDescent="0.2">
      <c r="A5" s="34">
        <f>A4</f>
        <v>43536</v>
      </c>
      <c r="B5" s="25" t="s">
        <v>21</v>
      </c>
      <c r="C5" s="25" t="s">
        <v>55</v>
      </c>
      <c r="D5" s="25" t="s">
        <v>23</v>
      </c>
      <c r="E5" s="20" t="s">
        <v>37</v>
      </c>
      <c r="F5" s="25" t="s">
        <v>24</v>
      </c>
      <c r="G5" s="21">
        <f>G4</f>
        <v>71500</v>
      </c>
      <c r="H5" s="25" t="s">
        <v>56</v>
      </c>
      <c r="I5" s="25" t="s">
        <v>57</v>
      </c>
      <c r="J5" s="28">
        <v>0.91319444444444453</v>
      </c>
      <c r="K5" s="29">
        <v>0.90625</v>
      </c>
      <c r="L5" s="28">
        <v>0.74305555555555547</v>
      </c>
      <c r="M5" s="29">
        <v>0.74583333333333324</v>
      </c>
      <c r="N5" s="4" t="s">
        <v>162</v>
      </c>
      <c r="O5" s="29" t="s">
        <v>84</v>
      </c>
      <c r="P5" s="20">
        <v>906</v>
      </c>
      <c r="Q5" s="24">
        <v>964</v>
      </c>
      <c r="R5" s="25">
        <v>0</v>
      </c>
      <c r="S5" s="25">
        <v>0</v>
      </c>
      <c r="T5" s="25">
        <v>0</v>
      </c>
      <c r="U5" s="25">
        <v>0</v>
      </c>
    </row>
    <row r="6" spans="1:21" s="45" customFormat="1" ht="12.75" x14ac:dyDescent="0.2">
      <c r="A6" s="17"/>
      <c r="B6" s="25"/>
      <c r="C6" s="25"/>
      <c r="D6" s="25"/>
      <c r="E6" s="20"/>
      <c r="F6" s="25"/>
      <c r="G6" s="21"/>
      <c r="H6" s="25"/>
      <c r="I6" s="25"/>
      <c r="J6" s="15"/>
      <c r="K6" s="16"/>
      <c r="L6" s="15"/>
      <c r="M6" s="16"/>
      <c r="N6" s="44"/>
      <c r="O6" s="44"/>
      <c r="P6" s="44"/>
      <c r="Q6" s="44"/>
      <c r="R6" s="25"/>
      <c r="S6" s="25"/>
      <c r="T6" s="25"/>
      <c r="U6" s="25"/>
    </row>
    <row r="7" spans="1:21" s="32" customFormat="1" ht="12.75" x14ac:dyDescent="0.25">
      <c r="A7" s="46"/>
      <c r="B7" s="25"/>
      <c r="C7" s="25"/>
      <c r="D7" s="25"/>
      <c r="E7" s="20"/>
      <c r="F7" s="25"/>
      <c r="G7" s="21"/>
      <c r="H7" s="25"/>
      <c r="I7" s="25"/>
      <c r="J7" s="37"/>
      <c r="K7" s="37"/>
      <c r="L7" s="37"/>
      <c r="M7" s="37"/>
      <c r="R7" s="25"/>
      <c r="S7" s="25"/>
      <c r="T7" s="25"/>
      <c r="U7" s="25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J1" workbookViewId="0">
      <selection activeCell="N4" sqref="N4"/>
    </sheetView>
  </sheetViews>
  <sheetFormatPr defaultRowHeight="15" x14ac:dyDescent="0.25"/>
  <cols>
    <col min="2" max="2" width="12.85546875" customWidth="1"/>
    <col min="3" max="3" width="14.5703125" customWidth="1"/>
    <col min="6" max="6" width="13.5703125" customWidth="1"/>
    <col min="10" max="10" width="11" customWidth="1"/>
    <col min="11" max="11" width="11.140625" customWidth="1"/>
    <col min="12" max="12" width="10.28515625" customWidth="1"/>
    <col min="13" max="13" width="10.42578125" customWidth="1"/>
    <col min="14" max="14" width="17.7109375" customWidth="1"/>
    <col min="15" max="15" width="19.28515625" customWidth="1"/>
  </cols>
  <sheetData>
    <row r="1" spans="1:21" x14ac:dyDescent="0.25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</row>
    <row r="2" spans="1:21" x14ac:dyDescent="0.25">
      <c r="A2" s="51">
        <v>43537</v>
      </c>
      <c r="B2" s="50" t="s">
        <v>21</v>
      </c>
      <c r="C2" s="50" t="s">
        <v>30</v>
      </c>
      <c r="D2" s="50" t="s">
        <v>23</v>
      </c>
      <c r="E2" s="20" t="s">
        <v>37</v>
      </c>
      <c r="F2" s="50" t="s">
        <v>24</v>
      </c>
      <c r="G2" s="50">
        <v>71.5</v>
      </c>
      <c r="H2" s="50" t="s">
        <v>31</v>
      </c>
      <c r="I2" s="50" t="s">
        <v>32</v>
      </c>
      <c r="J2" s="52">
        <v>0.5625</v>
      </c>
      <c r="K2" s="53">
        <v>0.56319444444444444</v>
      </c>
      <c r="L2" s="52">
        <v>0.35416666666666669</v>
      </c>
      <c r="M2" s="53">
        <v>0.36805555555555558</v>
      </c>
      <c r="N2" s="50" t="s">
        <v>165</v>
      </c>
      <c r="O2" s="50" t="s">
        <v>163</v>
      </c>
      <c r="P2" s="50">
        <v>1057</v>
      </c>
      <c r="Q2" s="50">
        <v>702</v>
      </c>
      <c r="R2" s="50">
        <v>0</v>
      </c>
      <c r="S2" s="50">
        <v>0</v>
      </c>
      <c r="T2" s="50">
        <v>0</v>
      </c>
      <c r="U2" s="50">
        <v>0</v>
      </c>
    </row>
    <row r="3" spans="1:21" x14ac:dyDescent="0.25">
      <c r="A3" s="51">
        <v>43537</v>
      </c>
      <c r="B3" s="20" t="s">
        <v>21</v>
      </c>
      <c r="C3" s="20" t="s">
        <v>75</v>
      </c>
      <c r="D3" s="20" t="s">
        <v>23</v>
      </c>
      <c r="E3" s="20" t="s">
        <v>100</v>
      </c>
      <c r="F3" s="20" t="s">
        <v>24</v>
      </c>
      <c r="G3" s="24">
        <v>71.5</v>
      </c>
      <c r="H3" s="20" t="s">
        <v>76</v>
      </c>
      <c r="I3" s="20" t="s">
        <v>77</v>
      </c>
      <c r="J3" s="22">
        <v>0.69791666666666663</v>
      </c>
      <c r="K3" s="23">
        <v>0.69791666666666663</v>
      </c>
      <c r="L3" s="22">
        <v>0.52777777777777779</v>
      </c>
      <c r="M3" s="23">
        <v>0.53333333333333333</v>
      </c>
      <c r="N3" s="23" t="s">
        <v>167</v>
      </c>
      <c r="O3" s="23" t="s">
        <v>164</v>
      </c>
      <c r="P3" s="24">
        <v>705</v>
      </c>
      <c r="Q3" s="24">
        <v>599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25">
      <c r="A4" s="51">
        <v>43537</v>
      </c>
      <c r="B4" s="20" t="s">
        <v>21</v>
      </c>
      <c r="C4" s="20" t="s">
        <v>78</v>
      </c>
      <c r="D4" s="20" t="s">
        <v>23</v>
      </c>
      <c r="E4" s="20" t="s">
        <v>37</v>
      </c>
      <c r="F4" s="20" t="s">
        <v>24</v>
      </c>
      <c r="G4" s="24">
        <v>71.5</v>
      </c>
      <c r="H4" s="20" t="s">
        <v>79</v>
      </c>
      <c r="I4" s="20" t="s">
        <v>80</v>
      </c>
      <c r="J4" s="22">
        <v>0.86458333333333337</v>
      </c>
      <c r="K4" s="23">
        <v>0.85625000000000007</v>
      </c>
      <c r="L4" s="22">
        <v>0.65972222222222221</v>
      </c>
      <c r="M4" s="23">
        <v>0.66319444444444442</v>
      </c>
      <c r="N4" s="23" t="s">
        <v>168</v>
      </c>
      <c r="O4" s="23" t="s">
        <v>166</v>
      </c>
      <c r="P4" s="24">
        <v>820</v>
      </c>
      <c r="Q4" s="24">
        <v>1082</v>
      </c>
      <c r="R4" s="20">
        <v>0</v>
      </c>
      <c r="S4" s="20">
        <v>0</v>
      </c>
      <c r="T4" s="20">
        <v>0</v>
      </c>
      <c r="U4" s="2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G3" sqref="G3"/>
    </sheetView>
  </sheetViews>
  <sheetFormatPr defaultRowHeight="15" x14ac:dyDescent="0.25"/>
  <cols>
    <col min="2" max="2" width="12.85546875" customWidth="1"/>
    <col min="3" max="3" width="14.5703125" customWidth="1"/>
    <col min="6" max="6" width="13.5703125" customWidth="1"/>
    <col min="10" max="10" width="11" customWidth="1"/>
    <col min="11" max="11" width="11.140625" customWidth="1"/>
    <col min="12" max="12" width="10.28515625" customWidth="1"/>
    <col min="13" max="13" width="10.42578125" customWidth="1"/>
    <col min="14" max="14" width="17.7109375" customWidth="1"/>
    <col min="15" max="15" width="19.28515625" customWidth="1"/>
  </cols>
  <sheetData>
    <row r="1" spans="1:21" x14ac:dyDescent="0.25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</row>
    <row r="2" spans="1:21" x14ac:dyDescent="0.25">
      <c r="A2" s="51">
        <v>43538</v>
      </c>
      <c r="B2" s="50" t="s">
        <v>21</v>
      </c>
      <c r="C2" s="50" t="s">
        <v>72</v>
      </c>
      <c r="D2" s="50" t="s">
        <v>23</v>
      </c>
      <c r="E2" s="20" t="s">
        <v>37</v>
      </c>
      <c r="F2" s="50" t="s">
        <v>24</v>
      </c>
      <c r="G2" s="50">
        <v>71.5</v>
      </c>
      <c r="H2" s="50" t="s">
        <v>73</v>
      </c>
      <c r="I2" s="50" t="s">
        <v>74</v>
      </c>
      <c r="J2" s="52">
        <v>0.65277777777777779</v>
      </c>
      <c r="K2" s="53">
        <v>0.65347222222222223</v>
      </c>
      <c r="L2" s="52">
        <v>0.5</v>
      </c>
      <c r="M2" s="53">
        <v>0.50624999999999998</v>
      </c>
      <c r="N2" s="50" t="s">
        <v>169</v>
      </c>
      <c r="O2" s="50" t="s">
        <v>62</v>
      </c>
      <c r="P2" s="50">
        <v>671</v>
      </c>
      <c r="Q2" s="50">
        <v>702</v>
      </c>
      <c r="R2" s="50">
        <v>0</v>
      </c>
      <c r="S2" s="50">
        <v>0</v>
      </c>
      <c r="T2" s="50">
        <v>0</v>
      </c>
      <c r="U2" s="50">
        <v>0</v>
      </c>
    </row>
    <row r="3" spans="1:21" x14ac:dyDescent="0.25">
      <c r="A3" s="33"/>
      <c r="B3" s="20"/>
      <c r="C3" s="20"/>
      <c r="D3" s="20"/>
      <c r="E3" s="20"/>
      <c r="F3" s="20"/>
      <c r="G3" s="24"/>
      <c r="H3" s="20"/>
      <c r="I3" s="20"/>
      <c r="J3" s="22"/>
      <c r="K3" s="23"/>
      <c r="L3" s="22"/>
      <c r="M3" s="23"/>
      <c r="N3" s="23"/>
      <c r="O3" s="23"/>
      <c r="P3" s="24"/>
      <c r="Q3" s="24"/>
      <c r="R3" s="20"/>
      <c r="S3" s="20"/>
      <c r="T3" s="20"/>
      <c r="U3" s="2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G1" workbookViewId="0">
      <selection activeCell="K5" sqref="K5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4.140625" style="4" customWidth="1"/>
    <col min="7" max="9" width="9.140625" style="4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43539</v>
      </c>
      <c r="B2" s="6" t="s">
        <v>21</v>
      </c>
      <c r="C2" s="6" t="s">
        <v>22</v>
      </c>
      <c r="D2" s="6" t="s">
        <v>23</v>
      </c>
      <c r="E2" s="6" t="s">
        <v>95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2">
        <v>0.48402777777777778</v>
      </c>
      <c r="L2" s="8">
        <v>0.27777777777777779</v>
      </c>
      <c r="M2" s="9">
        <v>0.28680555555555554</v>
      </c>
      <c r="N2" s="3" t="s">
        <v>173</v>
      </c>
      <c r="O2" s="10" t="s">
        <v>170</v>
      </c>
      <c r="P2" s="10">
        <v>1128</v>
      </c>
      <c r="Q2" s="10">
        <v>881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f t="shared" ref="A3:A4" si="0">A2</f>
        <v>43539</v>
      </c>
      <c r="B3" s="6" t="s">
        <v>21</v>
      </c>
      <c r="C3" s="6" t="s">
        <v>27</v>
      </c>
      <c r="D3" s="6" t="s">
        <v>23</v>
      </c>
      <c r="E3" s="6" t="s">
        <v>82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0.4826388888888889</v>
      </c>
      <c r="K3" s="2">
        <v>0.47083333333333338</v>
      </c>
      <c r="L3" s="8">
        <v>0.33333333333333331</v>
      </c>
      <c r="M3" s="9">
        <v>0.3347222222222222</v>
      </c>
      <c r="N3" s="3" t="s">
        <v>172</v>
      </c>
      <c r="O3" s="10" t="s">
        <v>171</v>
      </c>
      <c r="P3" s="6">
        <v>496</v>
      </c>
      <c r="Q3" s="10">
        <v>684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f t="shared" si="0"/>
        <v>43539</v>
      </c>
      <c r="B4" s="3" t="s">
        <v>21</v>
      </c>
      <c r="C4" s="3" t="s">
        <v>30</v>
      </c>
      <c r="D4" s="3" t="s">
        <v>23</v>
      </c>
      <c r="E4" s="6" t="str">
        <f>E3</f>
        <v>HA-LWV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0.71180555555555547</v>
      </c>
      <c r="K4" s="2">
        <v>0.70208333333333339</v>
      </c>
      <c r="L4" s="11">
        <v>0.50347222222222221</v>
      </c>
      <c r="M4" s="2">
        <v>0.50694444444444442</v>
      </c>
      <c r="N4" s="3" t="s">
        <v>84</v>
      </c>
      <c r="O4" s="3" t="s">
        <v>174</v>
      </c>
      <c r="P4" s="3">
        <v>888</v>
      </c>
      <c r="Q4" s="3">
        <v>767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f>A4</f>
        <v>43539</v>
      </c>
      <c r="B5" s="3" t="s">
        <v>21</v>
      </c>
      <c r="C5" s="3" t="s">
        <v>33</v>
      </c>
      <c r="D5" s="3" t="s">
        <v>23</v>
      </c>
      <c r="E5" s="6" t="str">
        <f>E2</f>
        <v>HA-LYR</v>
      </c>
      <c r="F5" s="3" t="s">
        <v>24</v>
      </c>
      <c r="G5" s="7">
        <v>71500</v>
      </c>
      <c r="H5" s="3" t="s">
        <v>34</v>
      </c>
      <c r="I5" s="3" t="s">
        <v>35</v>
      </c>
      <c r="J5" s="12">
        <v>0.87152777777777779</v>
      </c>
      <c r="K5" s="2">
        <v>0.88541666666666663</v>
      </c>
      <c r="L5" s="12">
        <v>0.63541666666666663</v>
      </c>
      <c r="M5" s="13">
        <v>0.64374999999999993</v>
      </c>
      <c r="N5" s="3" t="s">
        <v>175</v>
      </c>
      <c r="O5" s="3" t="s">
        <v>84</v>
      </c>
      <c r="P5" s="14">
        <v>1154</v>
      </c>
      <c r="Q5" s="3">
        <v>1363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5"/>
      <c r="B6" s="3"/>
      <c r="C6" s="3"/>
      <c r="D6" s="3"/>
      <c r="E6" s="6"/>
      <c r="F6" s="19"/>
      <c r="G6" s="7"/>
      <c r="H6" s="6"/>
      <c r="I6" s="6"/>
      <c r="J6" s="15"/>
      <c r="L6" s="15"/>
      <c r="M6" s="16"/>
      <c r="O6" s="3"/>
      <c r="P6" s="3"/>
      <c r="Q6" s="3"/>
      <c r="R6" s="3"/>
      <c r="S6" s="3"/>
      <c r="T6" s="3"/>
      <c r="U6" s="3"/>
    </row>
    <row r="7" spans="1:21" x14ac:dyDescent="0.2">
      <c r="A7" s="17"/>
      <c r="G7" s="18"/>
      <c r="J7" s="15"/>
    </row>
    <row r="8" spans="1:21" x14ac:dyDescent="0.2">
      <c r="A8" s="17"/>
      <c r="G8" s="18"/>
      <c r="J8" s="15"/>
    </row>
    <row r="9" spans="1:21" x14ac:dyDescent="0.2">
      <c r="A9" s="17"/>
      <c r="G9" s="18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N5" sqref="N5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.7109375" style="4" bestFit="1" customWidth="1"/>
    <col min="7" max="9" width="9.140625" style="4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43540</v>
      </c>
      <c r="B2" s="20" t="s">
        <v>21</v>
      </c>
      <c r="C2" s="20" t="s">
        <v>46</v>
      </c>
      <c r="D2" s="20" t="s">
        <v>23</v>
      </c>
      <c r="E2" s="20" t="s">
        <v>37</v>
      </c>
      <c r="F2" s="20" t="s">
        <v>24</v>
      </c>
      <c r="G2" s="21">
        <v>70000</v>
      </c>
      <c r="H2" s="20" t="s">
        <v>47</v>
      </c>
      <c r="I2" s="20" t="s">
        <v>48</v>
      </c>
      <c r="J2" s="22">
        <v>0.49652777777777773</v>
      </c>
      <c r="K2" s="23">
        <v>0.49236111111111108</v>
      </c>
      <c r="L2" s="22">
        <v>0.3125</v>
      </c>
      <c r="M2" s="23">
        <v>0.31527777777777777</v>
      </c>
      <c r="N2" s="23" t="s">
        <v>163</v>
      </c>
      <c r="O2" s="24" t="s">
        <v>177</v>
      </c>
      <c r="P2" s="24">
        <v>906</v>
      </c>
      <c r="Q2" s="24">
        <v>927</v>
      </c>
      <c r="R2" s="20">
        <v>0</v>
      </c>
      <c r="S2" s="20">
        <v>0</v>
      </c>
      <c r="T2" s="20">
        <v>0</v>
      </c>
      <c r="U2" s="20">
        <v>0</v>
      </c>
    </row>
    <row r="3" spans="1:21" x14ac:dyDescent="0.2">
      <c r="A3" s="5">
        <f t="shared" ref="A3:A4" si="0">A2</f>
        <v>43540</v>
      </c>
      <c r="B3" s="20" t="s">
        <v>21</v>
      </c>
      <c r="C3" s="20" t="s">
        <v>49</v>
      </c>
      <c r="D3" s="20" t="s">
        <v>23</v>
      </c>
      <c r="E3" s="20" t="s">
        <v>100</v>
      </c>
      <c r="F3" s="20" t="s">
        <v>24</v>
      </c>
      <c r="G3" s="21">
        <v>71500</v>
      </c>
      <c r="H3" s="20" t="s">
        <v>50</v>
      </c>
      <c r="I3" s="20" t="s">
        <v>51</v>
      </c>
      <c r="J3" s="22">
        <v>0.49305555555555558</v>
      </c>
      <c r="K3" s="23">
        <v>0.4777777777777778</v>
      </c>
      <c r="L3" s="22">
        <v>0.35416666666666669</v>
      </c>
      <c r="M3" s="23">
        <v>0.35625000000000001</v>
      </c>
      <c r="N3" s="23" t="s">
        <v>179</v>
      </c>
      <c r="O3" s="14" t="s">
        <v>178</v>
      </c>
      <c r="P3" s="20">
        <v>416</v>
      </c>
      <c r="Q3" s="14">
        <v>541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2">
      <c r="A4" s="5">
        <f t="shared" si="0"/>
        <v>43540</v>
      </c>
      <c r="B4" s="25" t="s">
        <v>21</v>
      </c>
      <c r="C4" s="25" t="s">
        <v>52</v>
      </c>
      <c r="D4" s="25" t="s">
        <v>23</v>
      </c>
      <c r="E4" s="20" t="s">
        <v>176</v>
      </c>
      <c r="F4" s="25" t="s">
        <v>24</v>
      </c>
      <c r="G4" s="21">
        <v>71500</v>
      </c>
      <c r="H4" s="25" t="s">
        <v>53</v>
      </c>
      <c r="I4" s="25" t="s">
        <v>54</v>
      </c>
      <c r="J4" s="26">
        <v>0.72222222222222221</v>
      </c>
      <c r="K4" s="27">
        <v>0.71180555555555547</v>
      </c>
      <c r="L4" s="26">
        <v>0.52777777777777779</v>
      </c>
      <c r="M4" s="27">
        <v>0.53125</v>
      </c>
      <c r="N4" s="4" t="s">
        <v>189</v>
      </c>
      <c r="O4" s="24" t="s">
        <v>180</v>
      </c>
      <c r="P4" s="20">
        <v>1494</v>
      </c>
      <c r="Q4" s="24">
        <v>1074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">
      <c r="A5" s="5">
        <f>A4</f>
        <v>43540</v>
      </c>
      <c r="B5" s="25" t="s">
        <v>21</v>
      </c>
      <c r="C5" s="25" t="s">
        <v>55</v>
      </c>
      <c r="D5" s="25" t="s">
        <v>23</v>
      </c>
      <c r="E5" s="20" t="s">
        <v>37</v>
      </c>
      <c r="F5" s="25" t="s">
        <v>24</v>
      </c>
      <c r="G5" s="21">
        <v>71500</v>
      </c>
      <c r="H5" s="25" t="s">
        <v>56</v>
      </c>
      <c r="I5" s="25" t="s">
        <v>57</v>
      </c>
      <c r="J5" s="28">
        <v>0.91319444444444453</v>
      </c>
      <c r="K5" s="29">
        <v>0.90347222222222223</v>
      </c>
      <c r="L5" s="28">
        <v>0.74305555555555547</v>
      </c>
      <c r="M5" s="30">
        <v>0.74305555555555547</v>
      </c>
      <c r="N5" s="24" t="s">
        <v>188</v>
      </c>
      <c r="O5" s="24" t="s">
        <v>187</v>
      </c>
      <c r="P5" s="20">
        <v>781</v>
      </c>
      <c r="Q5" s="24">
        <v>1116</v>
      </c>
      <c r="R5" s="25">
        <v>0</v>
      </c>
      <c r="S5" s="25">
        <v>0</v>
      </c>
      <c r="T5" s="25">
        <v>0</v>
      </c>
      <c r="U5" s="25">
        <v>0</v>
      </c>
    </row>
    <row r="6" spans="1:21" x14ac:dyDescent="0.2">
      <c r="A6" s="17">
        <f>A5</f>
        <v>43540</v>
      </c>
      <c r="B6" s="4" t="s">
        <v>181</v>
      </c>
      <c r="C6" s="4" t="s">
        <v>182</v>
      </c>
      <c r="D6" s="4" t="s">
        <v>183</v>
      </c>
      <c r="E6" s="4" t="s">
        <v>184</v>
      </c>
      <c r="F6" s="4" t="s">
        <v>185</v>
      </c>
      <c r="G6" s="18">
        <v>8900</v>
      </c>
      <c r="H6" s="4" t="s">
        <v>186</v>
      </c>
      <c r="I6" s="4" t="str">
        <f>H6</f>
        <v>JEI363</v>
      </c>
      <c r="J6" s="15">
        <v>0.52083333333333337</v>
      </c>
      <c r="K6" s="2">
        <v>0.51458333333333328</v>
      </c>
      <c r="L6" s="15">
        <v>0.60416666666666663</v>
      </c>
      <c r="M6" s="16">
        <v>0.60555555555555551</v>
      </c>
      <c r="N6" s="3">
        <v>0</v>
      </c>
      <c r="O6" s="4">
        <v>2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17"/>
      <c r="G7" s="18"/>
      <c r="J7" s="15"/>
    </row>
    <row r="8" spans="1:21" x14ac:dyDescent="0.2">
      <c r="A8" s="17"/>
      <c r="G8" s="18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topLeftCell="G1" workbookViewId="0">
      <selection activeCell="O9" sqref="O9"/>
    </sheetView>
  </sheetViews>
  <sheetFormatPr defaultRowHeight="15" x14ac:dyDescent="0.25"/>
  <cols>
    <col min="2" max="2" width="19.28515625" customWidth="1"/>
    <col min="3" max="3" width="14.5703125" customWidth="1"/>
    <col min="5" max="5" width="17.140625" customWidth="1"/>
    <col min="6" max="6" width="20.28515625" customWidth="1"/>
    <col min="10" max="10" width="10.7109375" customWidth="1"/>
    <col min="11" max="11" width="12.28515625" customWidth="1"/>
    <col min="12" max="12" width="10.42578125" customWidth="1"/>
    <col min="13" max="13" width="11.5703125" customWidth="1"/>
    <col min="14" max="14" width="18.5703125" customWidth="1"/>
    <col min="15" max="15" width="18.85546875" customWidth="1"/>
  </cols>
  <sheetData>
    <row r="1" spans="1:21" s="32" customFormat="1" ht="12.7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s="32" customFormat="1" ht="12.75" x14ac:dyDescent="0.25">
      <c r="A2" s="33">
        <v>43541</v>
      </c>
      <c r="B2" s="6" t="s">
        <v>21</v>
      </c>
      <c r="C2" s="6" t="s">
        <v>22</v>
      </c>
      <c r="D2" s="6" t="s">
        <v>23</v>
      </c>
      <c r="E2" s="25" t="s">
        <v>192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9">
        <v>0.4916666666666667</v>
      </c>
      <c r="L2" s="8">
        <v>0.27777777777777779</v>
      </c>
      <c r="M2" s="9">
        <v>0.28680555555555554</v>
      </c>
      <c r="N2" s="10" t="s">
        <v>198</v>
      </c>
      <c r="O2" s="10" t="s">
        <v>191</v>
      </c>
      <c r="P2" s="10">
        <v>1219</v>
      </c>
      <c r="Q2" s="10">
        <v>610</v>
      </c>
      <c r="R2" s="6">
        <v>0</v>
      </c>
      <c r="S2" s="6">
        <v>0</v>
      </c>
      <c r="T2" s="6">
        <v>0</v>
      </c>
      <c r="U2" s="6">
        <v>0</v>
      </c>
    </row>
    <row r="3" spans="1:21" s="32" customFormat="1" ht="12.75" x14ac:dyDescent="0.25">
      <c r="A3" s="33">
        <f>A2</f>
        <v>43541</v>
      </c>
      <c r="B3" s="6" t="s">
        <v>21</v>
      </c>
      <c r="C3" s="6" t="s">
        <v>72</v>
      </c>
      <c r="D3" s="6" t="s">
        <v>23</v>
      </c>
      <c r="E3" s="6" t="s">
        <v>100</v>
      </c>
      <c r="F3" s="6" t="s">
        <v>24</v>
      </c>
      <c r="G3" s="7">
        <f>G2</f>
        <v>71500</v>
      </c>
      <c r="H3" s="6" t="s">
        <v>73</v>
      </c>
      <c r="I3" s="6" t="s">
        <v>74</v>
      </c>
      <c r="J3" s="8">
        <v>0.65277777777777779</v>
      </c>
      <c r="K3" s="9">
        <v>0.64722222222222225</v>
      </c>
      <c r="L3" s="8">
        <v>0.5</v>
      </c>
      <c r="M3" s="9">
        <v>0.50624999999999998</v>
      </c>
      <c r="N3" s="9" t="s">
        <v>201</v>
      </c>
      <c r="O3" s="10" t="s">
        <v>199</v>
      </c>
      <c r="P3" s="6">
        <v>958</v>
      </c>
      <c r="Q3" s="10">
        <v>571</v>
      </c>
      <c r="R3" s="6">
        <v>0</v>
      </c>
      <c r="S3" s="6">
        <v>0</v>
      </c>
      <c r="T3" s="6">
        <v>0</v>
      </c>
      <c r="U3" s="6">
        <v>0</v>
      </c>
    </row>
    <row r="4" spans="1:21" s="25" customFormat="1" ht="12.75" x14ac:dyDescent="0.25">
      <c r="A4" s="34">
        <f>A3</f>
        <v>43541</v>
      </c>
      <c r="B4" s="25" t="s">
        <v>21</v>
      </c>
      <c r="C4" s="25" t="s">
        <v>75</v>
      </c>
      <c r="D4" s="25" t="s">
        <v>23</v>
      </c>
      <c r="E4" s="25" t="s">
        <v>190</v>
      </c>
      <c r="F4" s="25" t="s">
        <v>24</v>
      </c>
      <c r="G4" s="7">
        <v>71500</v>
      </c>
      <c r="H4" s="25" t="s">
        <v>76</v>
      </c>
      <c r="I4" s="25" t="s">
        <v>77</v>
      </c>
      <c r="J4" s="26">
        <v>0.69791666666666663</v>
      </c>
      <c r="K4" s="27">
        <v>0.75902777777777775</v>
      </c>
      <c r="L4" s="26">
        <v>0.52777777777777779</v>
      </c>
      <c r="M4" s="27">
        <v>0.54097222222222219</v>
      </c>
      <c r="N4" s="25" t="s">
        <v>202</v>
      </c>
      <c r="O4" s="35" t="s">
        <v>200</v>
      </c>
      <c r="P4" s="25">
        <v>941</v>
      </c>
      <c r="Q4" s="25">
        <v>863</v>
      </c>
      <c r="R4" s="25">
        <v>0</v>
      </c>
      <c r="S4" s="25">
        <v>0</v>
      </c>
      <c r="T4" s="25">
        <v>0</v>
      </c>
      <c r="U4" s="25">
        <v>0</v>
      </c>
    </row>
    <row r="5" spans="1:21" s="32" customFormat="1" ht="12.75" x14ac:dyDescent="0.25">
      <c r="A5" s="34">
        <f>A4</f>
        <v>43541</v>
      </c>
      <c r="B5" s="25" t="s">
        <v>21</v>
      </c>
      <c r="C5" s="25" t="s">
        <v>78</v>
      </c>
      <c r="D5" s="25" t="s">
        <v>23</v>
      </c>
      <c r="E5" s="6" t="str">
        <f>E3</f>
        <v>HALYR</v>
      </c>
      <c r="F5" s="25" t="s">
        <v>24</v>
      </c>
      <c r="G5" s="36">
        <f>G4</f>
        <v>71500</v>
      </c>
      <c r="H5" s="25" t="s">
        <v>79</v>
      </c>
      <c r="I5" s="25" t="s">
        <v>80</v>
      </c>
      <c r="J5" s="12">
        <v>0.88888888888888884</v>
      </c>
      <c r="K5" s="37">
        <v>0.89166666666666661</v>
      </c>
      <c r="L5" s="12">
        <v>0.68402777777777779</v>
      </c>
      <c r="M5" s="37">
        <v>0.6875</v>
      </c>
      <c r="N5" s="32" t="s">
        <v>125</v>
      </c>
      <c r="O5" s="25" t="s">
        <v>180</v>
      </c>
      <c r="P5" s="25">
        <v>1022</v>
      </c>
      <c r="Q5" s="25">
        <v>1005</v>
      </c>
      <c r="R5" s="25">
        <v>0</v>
      </c>
      <c r="S5" s="25">
        <v>0</v>
      </c>
      <c r="T5" s="25">
        <v>0</v>
      </c>
      <c r="U5" s="25">
        <v>0</v>
      </c>
    </row>
    <row r="6" spans="1:21" s="4" customFormat="1" ht="12.75" x14ac:dyDescent="0.2">
      <c r="A6" s="5">
        <v>43541</v>
      </c>
      <c r="B6" s="3" t="s">
        <v>193</v>
      </c>
      <c r="C6" s="3" t="s">
        <v>196</v>
      </c>
      <c r="D6" s="3" t="s">
        <v>197</v>
      </c>
      <c r="E6" s="6" t="s">
        <v>194</v>
      </c>
      <c r="F6" s="3" t="s">
        <v>195</v>
      </c>
      <c r="G6" s="54">
        <v>2250</v>
      </c>
      <c r="H6" s="6" t="s">
        <v>194</v>
      </c>
      <c r="I6" s="6" t="s">
        <v>194</v>
      </c>
      <c r="J6" s="15">
        <v>0.4236111111111111</v>
      </c>
      <c r="K6" s="2">
        <v>0.42499999999999999</v>
      </c>
      <c r="L6" s="15">
        <v>0.44791666666666669</v>
      </c>
      <c r="M6" s="16">
        <v>0.4513888888888889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E5" sqref="E5"/>
    </sheetView>
  </sheetViews>
  <sheetFormatPr defaultRowHeight="15" x14ac:dyDescent="0.25"/>
  <cols>
    <col min="3" max="3" width="15.140625" customWidth="1"/>
    <col min="6" max="6" width="15.42578125" customWidth="1"/>
    <col min="10" max="10" width="10.42578125" customWidth="1"/>
    <col min="11" max="11" width="11.42578125" customWidth="1"/>
    <col min="12" max="12" width="12.5703125" customWidth="1"/>
    <col min="13" max="13" width="11.140625" customWidth="1"/>
    <col min="14" max="14" width="18.42578125" customWidth="1"/>
    <col min="15" max="15" width="19.140625" customWidth="1"/>
  </cols>
  <sheetData>
    <row r="1" spans="1:21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x14ac:dyDescent="0.25">
      <c r="A2" s="33">
        <v>43542</v>
      </c>
      <c r="B2" s="39" t="s">
        <v>21</v>
      </c>
      <c r="C2" s="39" t="s">
        <v>22</v>
      </c>
      <c r="D2" s="39" t="s">
        <v>23</v>
      </c>
      <c r="E2" s="40" t="s">
        <v>100</v>
      </c>
      <c r="F2" s="39" t="s">
        <v>24</v>
      </c>
      <c r="G2" s="41">
        <v>71500</v>
      </c>
      <c r="H2" s="39" t="s">
        <v>25</v>
      </c>
      <c r="I2" s="39" t="s">
        <v>26</v>
      </c>
      <c r="J2" s="42">
        <v>0.4826388888888889</v>
      </c>
      <c r="K2" s="43">
        <v>0.48472222222222222</v>
      </c>
      <c r="L2" s="42">
        <v>0.27777777777777779</v>
      </c>
      <c r="M2" s="9">
        <v>0.29166666666666669</v>
      </c>
      <c r="N2" s="10" t="s">
        <v>205</v>
      </c>
      <c r="O2" s="10" t="s">
        <v>203</v>
      </c>
      <c r="P2" s="10">
        <v>1104</v>
      </c>
      <c r="Q2" s="10">
        <v>936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33">
        <f>A2</f>
        <v>43542</v>
      </c>
      <c r="B3" s="39" t="s">
        <v>21</v>
      </c>
      <c r="C3" s="39" t="s">
        <v>27</v>
      </c>
      <c r="D3" s="39" t="s">
        <v>23</v>
      </c>
      <c r="E3" s="39" t="s">
        <v>190</v>
      </c>
      <c r="F3" s="39" t="s">
        <v>24</v>
      </c>
      <c r="G3" s="41">
        <v>71500</v>
      </c>
      <c r="H3" s="39" t="s">
        <v>28</v>
      </c>
      <c r="I3" s="39" t="s">
        <v>29</v>
      </c>
      <c r="J3" s="42">
        <v>0.4826388888888889</v>
      </c>
      <c r="K3" s="43">
        <v>0.47291666666666665</v>
      </c>
      <c r="L3" s="42">
        <v>0.33333333333333331</v>
      </c>
      <c r="M3" s="9">
        <v>0.33611111111111108</v>
      </c>
      <c r="N3" s="10" t="s">
        <v>206</v>
      </c>
      <c r="O3" s="10" t="s">
        <v>204</v>
      </c>
      <c r="P3" s="6">
        <v>782</v>
      </c>
      <c r="Q3" s="10">
        <v>662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34">
        <f>A3</f>
        <v>43542</v>
      </c>
      <c r="B4" s="3" t="s">
        <v>21</v>
      </c>
      <c r="C4" s="3" t="s">
        <v>30</v>
      </c>
      <c r="D4" s="3" t="s">
        <v>23</v>
      </c>
      <c r="E4" s="39" t="s">
        <v>190</v>
      </c>
      <c r="F4" s="3" t="s">
        <v>24</v>
      </c>
      <c r="G4" s="41">
        <v>71500</v>
      </c>
      <c r="H4" s="3" t="s">
        <v>31</v>
      </c>
      <c r="I4" s="3" t="s">
        <v>32</v>
      </c>
      <c r="J4" s="11">
        <v>0.71180555555555547</v>
      </c>
      <c r="K4" s="2">
        <v>0.7090277777777777</v>
      </c>
      <c r="L4" s="11">
        <v>0.50347222222222221</v>
      </c>
      <c r="M4" s="27">
        <v>0.5083333333333333</v>
      </c>
      <c r="N4" s="25" t="s">
        <v>135</v>
      </c>
      <c r="O4" s="35" t="s">
        <v>207</v>
      </c>
      <c r="P4" s="25">
        <v>617</v>
      </c>
      <c r="Q4" s="25">
        <v>730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5">
      <c r="A5" s="34">
        <f>A4</f>
        <v>43542</v>
      </c>
      <c r="B5" s="25" t="s">
        <v>21</v>
      </c>
      <c r="C5" s="25" t="s">
        <v>33</v>
      </c>
      <c r="D5" s="25" t="s">
        <v>23</v>
      </c>
      <c r="E5" s="40" t="s">
        <v>100</v>
      </c>
      <c r="F5" s="25" t="s">
        <v>24</v>
      </c>
      <c r="G5" s="41">
        <f>G2</f>
        <v>71500</v>
      </c>
      <c r="H5" s="25" t="s">
        <v>34</v>
      </c>
      <c r="I5" s="25" t="s">
        <v>35</v>
      </c>
      <c r="J5" s="12">
        <v>0.87152777777777779</v>
      </c>
      <c r="K5" s="37">
        <v>0.8569444444444444</v>
      </c>
      <c r="L5" s="12">
        <v>0.63541666666666663</v>
      </c>
      <c r="M5" s="37">
        <v>0.63263888888888886</v>
      </c>
      <c r="N5" s="25" t="s">
        <v>209</v>
      </c>
      <c r="O5" s="25" t="s">
        <v>208</v>
      </c>
      <c r="P5" s="25">
        <v>1290</v>
      </c>
      <c r="Q5" s="25">
        <v>1109</v>
      </c>
      <c r="R5" s="25">
        <v>0</v>
      </c>
      <c r="S5" s="25">
        <v>0</v>
      </c>
      <c r="T5" s="25">
        <v>0</v>
      </c>
      <c r="U5" s="2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5" sqref="K5"/>
    </sheetView>
  </sheetViews>
  <sheetFormatPr defaultRowHeight="15" x14ac:dyDescent="0.25"/>
  <cols>
    <col min="2" max="2" width="10.140625" customWidth="1"/>
    <col min="3" max="3" width="13.7109375" customWidth="1"/>
    <col min="6" max="6" width="27.140625" customWidth="1"/>
    <col min="10" max="10" width="11" customWidth="1"/>
    <col min="11" max="12" width="10.7109375" customWidth="1"/>
    <col min="13" max="13" width="10.85546875" customWidth="1"/>
    <col min="14" max="14" width="18.140625" customWidth="1"/>
    <col min="15" max="15" width="18.5703125" customWidth="1"/>
    <col min="16" max="17" width="10.5703125" customWidth="1"/>
  </cols>
  <sheetData>
    <row r="1" spans="1:21" s="32" customFormat="1" ht="12.7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s="32" customFormat="1" ht="12.75" x14ac:dyDescent="0.25">
      <c r="A2" s="33">
        <v>43543</v>
      </c>
      <c r="B2" s="20" t="s">
        <v>21</v>
      </c>
      <c r="C2" s="20" t="s">
        <v>46</v>
      </c>
      <c r="D2" s="20" t="s">
        <v>23</v>
      </c>
      <c r="E2" s="20" t="s">
        <v>190</v>
      </c>
      <c r="F2" s="20" t="s">
        <v>24</v>
      </c>
      <c r="G2" s="21">
        <v>71500</v>
      </c>
      <c r="H2" s="20" t="s">
        <v>47</v>
      </c>
      <c r="I2" s="20" t="s">
        <v>48</v>
      </c>
      <c r="J2" s="22">
        <v>0.49652777777777773</v>
      </c>
      <c r="K2" s="23">
        <v>0.52638888888888891</v>
      </c>
      <c r="L2" s="22">
        <v>0.3125</v>
      </c>
      <c r="M2" s="23">
        <v>0.35069444444444442</v>
      </c>
      <c r="N2" s="23" t="s">
        <v>151</v>
      </c>
      <c r="O2" s="23" t="s">
        <v>210</v>
      </c>
      <c r="P2" s="24">
        <v>869</v>
      </c>
      <c r="Q2" s="24">
        <v>1068</v>
      </c>
      <c r="R2" s="20">
        <v>0</v>
      </c>
      <c r="S2" s="20">
        <v>0</v>
      </c>
      <c r="T2" s="20">
        <v>0</v>
      </c>
      <c r="U2" s="20">
        <v>0</v>
      </c>
    </row>
    <row r="3" spans="1:21" s="32" customFormat="1" ht="12.75" x14ac:dyDescent="0.25">
      <c r="A3" s="33">
        <f>A2</f>
        <v>43543</v>
      </c>
      <c r="B3" s="20" t="s">
        <v>21</v>
      </c>
      <c r="C3" s="20" t="s">
        <v>99</v>
      </c>
      <c r="D3" s="20" t="s">
        <v>23</v>
      </c>
      <c r="E3" s="20" t="s">
        <v>100</v>
      </c>
      <c r="F3" s="20" t="s">
        <v>24</v>
      </c>
      <c r="G3" s="21">
        <v>71500</v>
      </c>
      <c r="H3" s="20" t="s">
        <v>50</v>
      </c>
      <c r="I3" s="20" t="s">
        <v>51</v>
      </c>
      <c r="J3" s="22">
        <v>0.49305555555555558</v>
      </c>
      <c r="K3" s="23">
        <v>0.48125000000000001</v>
      </c>
      <c r="L3" s="22">
        <v>0.35416666666666669</v>
      </c>
      <c r="M3" s="23">
        <v>0.35833333333333334</v>
      </c>
      <c r="N3" s="23" t="s">
        <v>213</v>
      </c>
      <c r="O3" s="24" t="s">
        <v>211</v>
      </c>
      <c r="P3" s="24">
        <v>326</v>
      </c>
      <c r="Q3" s="24">
        <v>433</v>
      </c>
      <c r="R3" s="20">
        <v>0</v>
      </c>
      <c r="S3" s="20">
        <v>0</v>
      </c>
      <c r="T3" s="20">
        <v>0</v>
      </c>
      <c r="U3" s="20">
        <v>0</v>
      </c>
    </row>
    <row r="4" spans="1:21" s="25" customFormat="1" ht="12.75" x14ac:dyDescent="0.25">
      <c r="A4" s="34">
        <f>A3</f>
        <v>43543</v>
      </c>
      <c r="B4" s="25" t="s">
        <v>21</v>
      </c>
      <c r="C4" s="25" t="s">
        <v>52</v>
      </c>
      <c r="D4" s="25" t="s">
        <v>23</v>
      </c>
      <c r="E4" s="20" t="s">
        <v>100</v>
      </c>
      <c r="F4" s="25" t="s">
        <v>24</v>
      </c>
      <c r="G4" s="21">
        <v>71500</v>
      </c>
      <c r="H4" s="25" t="s">
        <v>53</v>
      </c>
      <c r="I4" s="25" t="s">
        <v>54</v>
      </c>
      <c r="J4" s="26">
        <v>0.72222222222222221</v>
      </c>
      <c r="K4" s="27">
        <v>0.71180555555555547</v>
      </c>
      <c r="L4" s="26">
        <v>0.52777777777777779</v>
      </c>
      <c r="M4" s="27">
        <v>0.52847222222222223</v>
      </c>
      <c r="N4" s="24" t="s">
        <v>122</v>
      </c>
      <c r="O4" s="24" t="s">
        <v>212</v>
      </c>
      <c r="P4" s="20">
        <v>1065</v>
      </c>
      <c r="Q4" s="24">
        <v>943</v>
      </c>
      <c r="R4" s="25">
        <v>0</v>
      </c>
      <c r="S4" s="25">
        <v>0</v>
      </c>
      <c r="T4" s="25">
        <v>0</v>
      </c>
      <c r="U4" s="25">
        <v>0</v>
      </c>
    </row>
    <row r="5" spans="1:21" s="4" customFormat="1" ht="12.75" x14ac:dyDescent="0.2">
      <c r="A5" s="34">
        <f>A4</f>
        <v>43543</v>
      </c>
      <c r="B5" s="25" t="s">
        <v>21</v>
      </c>
      <c r="C5" s="25" t="s">
        <v>55</v>
      </c>
      <c r="D5" s="25" t="s">
        <v>23</v>
      </c>
      <c r="E5" s="20" t="s">
        <v>190</v>
      </c>
      <c r="F5" s="25" t="s">
        <v>24</v>
      </c>
      <c r="G5" s="21">
        <f>G4</f>
        <v>71500</v>
      </c>
      <c r="H5" s="25" t="s">
        <v>56</v>
      </c>
      <c r="I5" s="25" t="s">
        <v>57</v>
      </c>
      <c r="J5" s="28">
        <v>0.91319444444444453</v>
      </c>
      <c r="K5" s="29">
        <v>0.91388888888888886</v>
      </c>
      <c r="L5" s="28">
        <v>0.74305555555555547</v>
      </c>
      <c r="M5" s="29">
        <v>0.75</v>
      </c>
      <c r="N5" s="4" t="s">
        <v>215</v>
      </c>
      <c r="O5" s="29" t="s">
        <v>214</v>
      </c>
      <c r="P5" s="20">
        <v>925</v>
      </c>
      <c r="Q5" s="24">
        <v>561</v>
      </c>
      <c r="R5" s="25">
        <v>0</v>
      </c>
      <c r="S5" s="25">
        <v>0</v>
      </c>
      <c r="T5" s="25">
        <v>0</v>
      </c>
      <c r="U5" s="25">
        <v>0</v>
      </c>
    </row>
    <row r="6" spans="1:21" s="45" customFormat="1" ht="12.75" x14ac:dyDescent="0.2">
      <c r="A6" s="17"/>
      <c r="B6" s="25"/>
      <c r="C6" s="25"/>
      <c r="D6" s="25"/>
      <c r="E6" s="20"/>
      <c r="F6" s="25"/>
      <c r="G6" s="21"/>
      <c r="H6" s="25"/>
      <c r="I6" s="25"/>
      <c r="J6" s="15"/>
      <c r="K6" s="16"/>
      <c r="L6" s="15"/>
      <c r="M6" s="16"/>
      <c r="N6" s="44"/>
      <c r="O6" s="44"/>
      <c r="P6" s="44"/>
      <c r="Q6" s="44"/>
      <c r="R6" s="25"/>
      <c r="S6" s="25"/>
      <c r="T6" s="25"/>
      <c r="U6" s="25"/>
    </row>
    <row r="7" spans="1:21" s="32" customFormat="1" ht="12.75" x14ac:dyDescent="0.25">
      <c r="A7" s="46"/>
      <c r="B7" s="25"/>
      <c r="C7" s="25"/>
      <c r="D7" s="25"/>
      <c r="E7" s="20"/>
      <c r="F7" s="25"/>
      <c r="G7" s="21"/>
      <c r="H7" s="25"/>
      <c r="I7" s="25"/>
      <c r="J7" s="37"/>
      <c r="K7" s="37"/>
      <c r="L7" s="37"/>
      <c r="M7" s="37"/>
      <c r="R7" s="25"/>
      <c r="S7" s="25"/>
      <c r="T7" s="25"/>
      <c r="U7" s="25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F13" sqref="F13"/>
    </sheetView>
  </sheetViews>
  <sheetFormatPr defaultRowHeight="12.75" x14ac:dyDescent="0.2"/>
  <cols>
    <col min="1" max="1" width="9.140625" style="4"/>
    <col min="2" max="2" width="12.85546875" style="4" customWidth="1"/>
    <col min="3" max="3" width="14.5703125" style="4" customWidth="1"/>
    <col min="4" max="5" width="9.140625" style="4"/>
    <col min="6" max="6" width="13.5703125" style="4" customWidth="1"/>
    <col min="7" max="9" width="9.140625" style="4"/>
    <col min="10" max="10" width="11" style="4" customWidth="1"/>
    <col min="11" max="11" width="11.140625" style="4" customWidth="1"/>
    <col min="12" max="12" width="10.28515625" style="4" customWidth="1"/>
    <col min="13" max="13" width="10.42578125" style="4" customWidth="1"/>
    <col min="14" max="14" width="17.7109375" style="4" customWidth="1"/>
    <col min="15" max="15" width="19.28515625" style="4" customWidth="1"/>
    <col min="16" max="16384" width="9.140625" style="4"/>
  </cols>
  <sheetData>
    <row r="1" spans="1:21" x14ac:dyDescent="0.2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</row>
    <row r="2" spans="1:21" x14ac:dyDescent="0.2">
      <c r="A2" s="51">
        <v>43544</v>
      </c>
      <c r="B2" s="50" t="s">
        <v>21</v>
      </c>
      <c r="C2" s="50" t="s">
        <v>30</v>
      </c>
      <c r="D2" s="50" t="s">
        <v>23</v>
      </c>
      <c r="E2" s="20" t="s">
        <v>100</v>
      </c>
      <c r="F2" s="50" t="s">
        <v>24</v>
      </c>
      <c r="G2" s="50">
        <v>71.5</v>
      </c>
      <c r="H2" s="50" t="s">
        <v>31</v>
      </c>
      <c r="I2" s="50" t="s">
        <v>32</v>
      </c>
      <c r="J2" s="52">
        <v>0.5625</v>
      </c>
      <c r="K2" s="53">
        <v>0.56527777777777777</v>
      </c>
      <c r="L2" s="52">
        <v>0.35416666666666669</v>
      </c>
      <c r="M2" s="53">
        <v>0.3611111111111111</v>
      </c>
      <c r="N2" s="50" t="s">
        <v>218</v>
      </c>
      <c r="O2" s="50" t="s">
        <v>216</v>
      </c>
      <c r="P2" s="50">
        <v>654</v>
      </c>
      <c r="Q2" s="50">
        <v>664</v>
      </c>
      <c r="R2" s="50">
        <v>0</v>
      </c>
      <c r="S2" s="50">
        <v>0</v>
      </c>
      <c r="T2" s="50">
        <v>0</v>
      </c>
      <c r="U2" s="50">
        <v>0</v>
      </c>
    </row>
    <row r="3" spans="1:21" x14ac:dyDescent="0.2">
      <c r="A3" s="51">
        <v>43544</v>
      </c>
      <c r="B3" s="20" t="s">
        <v>21</v>
      </c>
      <c r="C3" s="20" t="s">
        <v>75</v>
      </c>
      <c r="D3" s="20" t="s">
        <v>23</v>
      </c>
      <c r="E3" s="20" t="s">
        <v>190</v>
      </c>
      <c r="F3" s="20" t="s">
        <v>24</v>
      </c>
      <c r="G3" s="24">
        <v>71.5</v>
      </c>
      <c r="H3" s="20" t="s">
        <v>76</v>
      </c>
      <c r="I3" s="20" t="s">
        <v>77</v>
      </c>
      <c r="J3" s="22">
        <v>0.69791666666666663</v>
      </c>
      <c r="K3" s="23">
        <v>0.70624999999999993</v>
      </c>
      <c r="L3" s="22">
        <v>0.52777777777777779</v>
      </c>
      <c r="M3" s="23">
        <v>0.53472222222222221</v>
      </c>
      <c r="N3" s="23" t="s">
        <v>219</v>
      </c>
      <c r="O3" s="23" t="s">
        <v>217</v>
      </c>
      <c r="P3" s="24">
        <v>756</v>
      </c>
      <c r="Q3" s="24">
        <v>672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2">
      <c r="A4" s="51">
        <v>43544</v>
      </c>
      <c r="B4" s="20" t="s">
        <v>21</v>
      </c>
      <c r="C4" s="20" t="s">
        <v>78</v>
      </c>
      <c r="D4" s="20" t="s">
        <v>23</v>
      </c>
      <c r="E4" s="20" t="s">
        <v>100</v>
      </c>
      <c r="F4" s="20" t="s">
        <v>24</v>
      </c>
      <c r="G4" s="24">
        <v>71.5</v>
      </c>
      <c r="H4" s="20" t="s">
        <v>79</v>
      </c>
      <c r="I4" s="20" t="s">
        <v>80</v>
      </c>
      <c r="J4" s="22">
        <v>0.86458333333333337</v>
      </c>
      <c r="K4" s="23">
        <v>0.85416666666666663</v>
      </c>
      <c r="L4" s="22">
        <v>0.65972222222222221</v>
      </c>
      <c r="M4" s="23">
        <v>0.65972222222222221</v>
      </c>
      <c r="N4" s="23" t="s">
        <v>221</v>
      </c>
      <c r="O4" s="23" t="s">
        <v>220</v>
      </c>
      <c r="P4" s="24">
        <v>925</v>
      </c>
      <c r="Q4" s="24">
        <v>931</v>
      </c>
      <c r="R4" s="20">
        <v>0</v>
      </c>
      <c r="S4" s="20">
        <v>0</v>
      </c>
      <c r="T4" s="20">
        <v>0</v>
      </c>
      <c r="U4" s="20">
        <v>0</v>
      </c>
    </row>
    <row r="5" spans="1:21" x14ac:dyDescent="0.2">
      <c r="A5" s="17"/>
      <c r="B5" s="20"/>
      <c r="C5" s="20"/>
      <c r="D5" s="20"/>
      <c r="E5" s="20"/>
      <c r="F5" s="20"/>
      <c r="G5" s="24"/>
      <c r="H5" s="20"/>
      <c r="I5" s="20"/>
      <c r="J5" s="16"/>
      <c r="L5" s="16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F4" sqref="F4"/>
    </sheetView>
  </sheetViews>
  <sheetFormatPr defaultRowHeight="15" x14ac:dyDescent="0.25"/>
  <cols>
    <col min="2" max="2" width="14.85546875" bestFit="1" customWidth="1"/>
    <col min="3" max="3" width="14.5703125" customWidth="1"/>
    <col min="6" max="6" width="23.28515625" bestFit="1" customWidth="1"/>
    <col min="10" max="10" width="11" customWidth="1"/>
    <col min="11" max="11" width="11.140625" customWidth="1"/>
    <col min="12" max="12" width="10.28515625" customWidth="1"/>
    <col min="13" max="13" width="10.42578125" customWidth="1"/>
    <col min="14" max="14" width="17.7109375" customWidth="1"/>
    <col min="15" max="15" width="19.28515625" customWidth="1"/>
  </cols>
  <sheetData>
    <row r="1" spans="1:21" x14ac:dyDescent="0.25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</row>
    <row r="2" spans="1:21" x14ac:dyDescent="0.25">
      <c r="A2" s="51">
        <v>43545</v>
      </c>
      <c r="B2" s="50" t="s">
        <v>21</v>
      </c>
      <c r="C2" s="50" t="s">
        <v>72</v>
      </c>
      <c r="D2" s="50" t="s">
        <v>23</v>
      </c>
      <c r="E2" s="20" t="s">
        <v>95</v>
      </c>
      <c r="F2" s="50" t="s">
        <v>24</v>
      </c>
      <c r="G2" s="50">
        <v>71500</v>
      </c>
      <c r="H2" s="50" t="s">
        <v>73</v>
      </c>
      <c r="I2" s="50" t="s">
        <v>74</v>
      </c>
      <c r="J2" s="52">
        <v>0.65277777777777779</v>
      </c>
      <c r="K2" s="53">
        <v>0.65069444444444446</v>
      </c>
      <c r="L2" s="52">
        <v>0.5</v>
      </c>
      <c r="M2" s="53">
        <v>0.51180555555555551</v>
      </c>
      <c r="N2" s="50" t="s">
        <v>228</v>
      </c>
      <c r="O2" s="50" t="s">
        <v>216</v>
      </c>
      <c r="P2" s="50">
        <v>717</v>
      </c>
      <c r="Q2" s="50">
        <v>600</v>
      </c>
      <c r="R2" s="50">
        <v>0</v>
      </c>
      <c r="S2" s="50">
        <v>0</v>
      </c>
      <c r="T2" s="50">
        <v>0</v>
      </c>
      <c r="U2" s="50">
        <v>0</v>
      </c>
    </row>
    <row r="3" spans="1:21" x14ac:dyDescent="0.25">
      <c r="A3" s="33">
        <f>A2</f>
        <v>43545</v>
      </c>
      <c r="B3" s="20" t="s">
        <v>222</v>
      </c>
      <c r="C3" s="20" t="s">
        <v>223</v>
      </c>
      <c r="D3" s="20" t="s">
        <v>224</v>
      </c>
      <c r="E3" s="20" t="s">
        <v>225</v>
      </c>
      <c r="F3" s="20" t="s">
        <v>226</v>
      </c>
      <c r="G3" s="24">
        <v>1.7849999999999999</v>
      </c>
      <c r="H3" s="20" t="s">
        <v>227</v>
      </c>
      <c r="I3" s="20" t="s">
        <v>227</v>
      </c>
      <c r="J3" s="22">
        <v>0.39583333333333331</v>
      </c>
      <c r="K3" s="23">
        <v>0.45555555555555555</v>
      </c>
      <c r="L3" s="22">
        <v>0.75</v>
      </c>
      <c r="M3" s="23">
        <v>0.77013888888888893</v>
      </c>
      <c r="N3" s="24">
        <v>0</v>
      </c>
      <c r="O3" s="24">
        <v>0</v>
      </c>
      <c r="P3" s="24">
        <v>0</v>
      </c>
      <c r="Q3" s="24">
        <v>0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25">
      <c r="A4" s="33">
        <f>A3</f>
        <v>43545</v>
      </c>
      <c r="B4" s="20" t="s">
        <v>229</v>
      </c>
      <c r="C4" s="20" t="s">
        <v>230</v>
      </c>
      <c r="D4" s="20" t="s">
        <v>231</v>
      </c>
      <c r="E4" s="20" t="s">
        <v>232</v>
      </c>
      <c r="F4" s="20" t="s">
        <v>233</v>
      </c>
      <c r="G4" s="55">
        <v>45880</v>
      </c>
      <c r="H4" s="20" t="s">
        <v>235</v>
      </c>
      <c r="I4" s="20" t="s">
        <v>234</v>
      </c>
      <c r="J4" s="23">
        <v>0.76736111111111116</v>
      </c>
      <c r="K4" s="23">
        <v>0.76250000000000007</v>
      </c>
      <c r="L4" s="20" t="s">
        <v>234</v>
      </c>
      <c r="M4" s="20" t="s">
        <v>234</v>
      </c>
      <c r="N4" s="24">
        <v>0</v>
      </c>
      <c r="O4" s="24">
        <v>0</v>
      </c>
      <c r="P4" s="24">
        <v>0</v>
      </c>
      <c r="Q4" s="24">
        <v>0</v>
      </c>
      <c r="R4" s="20">
        <v>0</v>
      </c>
      <c r="S4" s="20">
        <v>0</v>
      </c>
      <c r="T4" s="20">
        <v>0</v>
      </c>
      <c r="U4" s="20">
        <v>0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B1" workbookViewId="0">
      <selection activeCell="E17" sqref="E17"/>
    </sheetView>
  </sheetViews>
  <sheetFormatPr defaultRowHeight="15" x14ac:dyDescent="0.25"/>
  <cols>
    <col min="3" max="3" width="14.42578125" customWidth="1"/>
    <col min="5" max="5" width="13.28515625" customWidth="1"/>
    <col min="6" max="6" width="14.140625" customWidth="1"/>
    <col min="14" max="14" width="16.28515625" customWidth="1"/>
    <col min="15" max="15" width="17.2851562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43546</v>
      </c>
      <c r="B2" s="6" t="s">
        <v>21</v>
      </c>
      <c r="C2" s="6" t="s">
        <v>22</v>
      </c>
      <c r="D2" s="6" t="s">
        <v>23</v>
      </c>
      <c r="E2" s="6" t="s">
        <v>95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2">
        <v>0.48402777777777778</v>
      </c>
      <c r="L2" s="8">
        <v>0.27777777777777779</v>
      </c>
      <c r="M2" s="9">
        <v>0.30486111111111108</v>
      </c>
      <c r="N2" s="3" t="s">
        <v>288</v>
      </c>
      <c r="O2" s="10" t="s">
        <v>289</v>
      </c>
      <c r="P2" s="10">
        <v>822</v>
      </c>
      <c r="Q2" s="10">
        <v>965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f t="shared" ref="A3:A4" si="0">A2</f>
        <v>43546</v>
      </c>
      <c r="B3" s="6" t="s">
        <v>21</v>
      </c>
      <c r="C3" s="6" t="s">
        <v>27</v>
      </c>
      <c r="D3" s="6" t="s">
        <v>23</v>
      </c>
      <c r="E3" s="6" t="s">
        <v>290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0.4826388888888889</v>
      </c>
      <c r="K3" s="2">
        <v>0.47222222222222227</v>
      </c>
      <c r="L3" s="8">
        <v>0.33333333333333331</v>
      </c>
      <c r="M3" s="9">
        <v>0.3347222222222222</v>
      </c>
      <c r="N3" s="3" t="s">
        <v>291</v>
      </c>
      <c r="O3" s="10" t="s">
        <v>292</v>
      </c>
      <c r="P3" s="6">
        <v>624</v>
      </c>
      <c r="Q3" s="10">
        <v>524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f t="shared" si="0"/>
        <v>43546</v>
      </c>
      <c r="B4" s="3" t="s">
        <v>21</v>
      </c>
      <c r="C4" s="3" t="s">
        <v>30</v>
      </c>
      <c r="D4" s="3" t="s">
        <v>23</v>
      </c>
      <c r="E4" s="6" t="str">
        <f>E3</f>
        <v>HA-LYO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0.71180555555555547</v>
      </c>
      <c r="K4" s="2">
        <v>0.73611111111111116</v>
      </c>
      <c r="L4" s="11">
        <v>0.50347222222222221</v>
      </c>
      <c r="M4" s="2">
        <v>0.53402777777777777</v>
      </c>
      <c r="N4" s="3" t="s">
        <v>93</v>
      </c>
      <c r="O4" s="3" t="s">
        <v>293</v>
      </c>
      <c r="P4" s="3">
        <v>935</v>
      </c>
      <c r="Q4" s="3">
        <v>765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f>A4</f>
        <v>43546</v>
      </c>
      <c r="B5" s="3" t="s">
        <v>21</v>
      </c>
      <c r="C5" s="3" t="s">
        <v>33</v>
      </c>
      <c r="D5" s="3" t="s">
        <v>23</v>
      </c>
      <c r="E5" s="6" t="str">
        <f>E2</f>
        <v>HA-LYR</v>
      </c>
      <c r="F5" s="3" t="s">
        <v>24</v>
      </c>
      <c r="G5" s="7">
        <v>71500</v>
      </c>
      <c r="H5" s="3" t="s">
        <v>34</v>
      </c>
      <c r="I5" s="3" t="s">
        <v>35</v>
      </c>
      <c r="J5" s="12">
        <v>0.87152777777777779</v>
      </c>
      <c r="K5" s="2">
        <v>0.90347222222222223</v>
      </c>
      <c r="L5" s="12">
        <v>0.63541666666666663</v>
      </c>
      <c r="M5" s="13">
        <v>0.64236111111111105</v>
      </c>
      <c r="N5" s="3" t="s">
        <v>294</v>
      </c>
      <c r="O5" s="3" t="s">
        <v>236</v>
      </c>
      <c r="P5" s="14">
        <v>1130</v>
      </c>
      <c r="Q5" s="3">
        <v>997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P5" sqref="P5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.7109375" style="4" bestFit="1" customWidth="1"/>
    <col min="7" max="9" width="9.140625" style="4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43547</v>
      </c>
      <c r="B2" s="20" t="s">
        <v>21</v>
      </c>
      <c r="C2" s="20" t="s">
        <v>46</v>
      </c>
      <c r="D2" s="20" t="s">
        <v>23</v>
      </c>
      <c r="E2" s="20" t="s">
        <v>100</v>
      </c>
      <c r="F2" s="20" t="s">
        <v>24</v>
      </c>
      <c r="G2" s="21">
        <v>70000</v>
      </c>
      <c r="H2" s="20" t="s">
        <v>47</v>
      </c>
      <c r="I2" s="20" t="s">
        <v>48</v>
      </c>
      <c r="J2" s="22">
        <v>0.49652777777777773</v>
      </c>
      <c r="K2" s="23">
        <v>0.50138888888888888</v>
      </c>
      <c r="L2" s="22">
        <v>0.3125</v>
      </c>
      <c r="M2" s="23">
        <v>0.31597222222222221</v>
      </c>
      <c r="N2" s="23" t="s">
        <v>239</v>
      </c>
      <c r="O2" s="24" t="s">
        <v>237</v>
      </c>
      <c r="P2" s="24">
        <v>1093</v>
      </c>
      <c r="Q2" s="24">
        <v>1025</v>
      </c>
      <c r="R2" s="20">
        <v>0</v>
      </c>
      <c r="S2" s="20">
        <v>0</v>
      </c>
      <c r="T2" s="20">
        <v>0</v>
      </c>
      <c r="U2" s="20">
        <v>0</v>
      </c>
    </row>
    <row r="3" spans="1:21" x14ac:dyDescent="0.2">
      <c r="A3" s="5">
        <f t="shared" ref="A3:A4" si="0">A2</f>
        <v>43547</v>
      </c>
      <c r="B3" s="20" t="s">
        <v>21</v>
      </c>
      <c r="C3" s="20" t="s">
        <v>49</v>
      </c>
      <c r="D3" s="20" t="s">
        <v>23</v>
      </c>
      <c r="E3" s="20" t="s">
        <v>190</v>
      </c>
      <c r="F3" s="20" t="s">
        <v>24</v>
      </c>
      <c r="G3" s="21">
        <v>71500</v>
      </c>
      <c r="H3" s="20" t="s">
        <v>50</v>
      </c>
      <c r="I3" s="20" t="s">
        <v>51</v>
      </c>
      <c r="J3" s="22">
        <v>0.49305555555555558</v>
      </c>
      <c r="K3" s="23">
        <v>0.47638888888888892</v>
      </c>
      <c r="L3" s="22">
        <v>0.35416666666666669</v>
      </c>
      <c r="M3" s="23">
        <v>0.35347222222222219</v>
      </c>
      <c r="N3" s="23" t="s">
        <v>240</v>
      </c>
      <c r="O3" s="14" t="s">
        <v>238</v>
      </c>
      <c r="P3" s="20">
        <v>575</v>
      </c>
      <c r="Q3" s="14">
        <v>688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2">
      <c r="A4" s="5">
        <f t="shared" si="0"/>
        <v>43547</v>
      </c>
      <c r="B4" s="25" t="s">
        <v>21</v>
      </c>
      <c r="C4" s="25" t="s">
        <v>52</v>
      </c>
      <c r="D4" s="25" t="s">
        <v>23</v>
      </c>
      <c r="E4" s="20" t="s">
        <v>190</v>
      </c>
      <c r="F4" s="25" t="s">
        <v>24</v>
      </c>
      <c r="G4" s="21">
        <v>71500</v>
      </c>
      <c r="H4" s="25" t="s">
        <v>53</v>
      </c>
      <c r="I4" s="25" t="s">
        <v>54</v>
      </c>
      <c r="J4" s="26">
        <v>0.72222222222222221</v>
      </c>
      <c r="K4" s="27">
        <v>0.75208333333333333</v>
      </c>
      <c r="L4" s="26">
        <v>0.52777777777777779</v>
      </c>
      <c r="M4" s="27">
        <v>0.53055555555555556</v>
      </c>
      <c r="N4" s="4" t="s">
        <v>172</v>
      </c>
      <c r="O4" s="24" t="s">
        <v>204</v>
      </c>
      <c r="P4" s="20">
        <v>1205</v>
      </c>
      <c r="Q4" s="24">
        <v>983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">
      <c r="A5" s="5">
        <f>A4</f>
        <v>43547</v>
      </c>
      <c r="B5" s="25" t="s">
        <v>21</v>
      </c>
      <c r="C5" s="25" t="s">
        <v>55</v>
      </c>
      <c r="D5" s="25" t="s">
        <v>23</v>
      </c>
      <c r="E5" s="20" t="s">
        <v>100</v>
      </c>
      <c r="F5" s="25" t="s">
        <v>24</v>
      </c>
      <c r="G5" s="21">
        <v>71500</v>
      </c>
      <c r="H5" s="25" t="s">
        <v>56</v>
      </c>
      <c r="I5" s="25" t="s">
        <v>57</v>
      </c>
      <c r="J5" s="28">
        <v>0.91319444444444453</v>
      </c>
      <c r="K5" s="29">
        <v>0.93333333333333324</v>
      </c>
      <c r="L5" s="28">
        <v>0.74305555555555547</v>
      </c>
      <c r="M5" s="30">
        <v>0.77847222222222223</v>
      </c>
      <c r="N5" s="24" t="s">
        <v>242</v>
      </c>
      <c r="O5" s="24" t="s">
        <v>241</v>
      </c>
      <c r="P5" s="20">
        <v>793</v>
      </c>
      <c r="Q5" s="24">
        <v>769</v>
      </c>
      <c r="R5" s="25">
        <v>0</v>
      </c>
      <c r="S5" s="25">
        <v>0</v>
      </c>
      <c r="T5" s="25">
        <v>0</v>
      </c>
      <c r="U5" s="25">
        <v>0</v>
      </c>
    </row>
    <row r="6" spans="1:21" x14ac:dyDescent="0.2">
      <c r="A6" s="17"/>
      <c r="G6" s="18"/>
      <c r="J6" s="15"/>
      <c r="L6" s="15"/>
      <c r="M6" s="16"/>
    </row>
    <row r="7" spans="1:21" x14ac:dyDescent="0.2">
      <c r="A7" s="17"/>
      <c r="G7" s="18"/>
      <c r="J7" s="15"/>
    </row>
    <row r="8" spans="1:21" x14ac:dyDescent="0.2">
      <c r="A8" s="17"/>
      <c r="G8" s="18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5" sqref="K5"/>
    </sheetView>
  </sheetViews>
  <sheetFormatPr defaultRowHeight="15" x14ac:dyDescent="0.25"/>
  <cols>
    <col min="2" max="2" width="19.28515625" customWidth="1"/>
    <col min="3" max="3" width="14.5703125" customWidth="1"/>
    <col min="5" max="5" width="17.140625" customWidth="1"/>
    <col min="6" max="6" width="23.28515625" bestFit="1" customWidth="1"/>
    <col min="10" max="10" width="10.7109375" customWidth="1"/>
    <col min="11" max="11" width="12.28515625" customWidth="1"/>
    <col min="12" max="12" width="10.42578125" customWidth="1"/>
    <col min="13" max="13" width="11.5703125" customWidth="1"/>
    <col min="14" max="14" width="18.5703125" customWidth="1"/>
    <col min="15" max="15" width="18.85546875" customWidth="1"/>
  </cols>
  <sheetData>
    <row r="1" spans="1:21" s="32" customFormat="1" ht="12.7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s="32" customFormat="1" ht="12.75" x14ac:dyDescent="0.25">
      <c r="A2" s="33">
        <v>43548</v>
      </c>
      <c r="B2" s="6" t="s">
        <v>21</v>
      </c>
      <c r="C2" s="6" t="s">
        <v>22</v>
      </c>
      <c r="D2" s="6" t="s">
        <v>23</v>
      </c>
      <c r="E2" s="25" t="s">
        <v>243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9">
        <v>0.47847222222222219</v>
      </c>
      <c r="L2" s="8">
        <v>0.27777777777777779</v>
      </c>
      <c r="M2" s="9">
        <v>0.27986111111111112</v>
      </c>
      <c r="N2" s="10" t="s">
        <v>248</v>
      </c>
      <c r="O2" s="10" t="s">
        <v>40</v>
      </c>
      <c r="P2" s="10">
        <v>1087</v>
      </c>
      <c r="Q2" s="10">
        <v>753</v>
      </c>
      <c r="R2" s="6">
        <v>0</v>
      </c>
      <c r="S2" s="6">
        <v>0</v>
      </c>
      <c r="T2" s="6">
        <v>0</v>
      </c>
      <c r="U2" s="6">
        <v>0</v>
      </c>
    </row>
    <row r="3" spans="1:21" s="32" customFormat="1" ht="12.75" x14ac:dyDescent="0.25">
      <c r="A3" s="33">
        <f>A2</f>
        <v>43548</v>
      </c>
      <c r="B3" s="6" t="s">
        <v>21</v>
      </c>
      <c r="C3" s="6" t="s">
        <v>72</v>
      </c>
      <c r="D3" s="6" t="s">
        <v>23</v>
      </c>
      <c r="E3" s="6" t="s">
        <v>100</v>
      </c>
      <c r="F3" s="6" t="s">
        <v>24</v>
      </c>
      <c r="G3" s="7">
        <f>G2</f>
        <v>71500</v>
      </c>
      <c r="H3" s="6" t="s">
        <v>73</v>
      </c>
      <c r="I3" s="6" t="s">
        <v>74</v>
      </c>
      <c r="J3" s="8">
        <v>0.65277777777777779</v>
      </c>
      <c r="K3" s="9">
        <v>0.64374999999999993</v>
      </c>
      <c r="L3" s="8">
        <v>0.5</v>
      </c>
      <c r="M3" s="9">
        <v>0.50624999999999998</v>
      </c>
      <c r="N3" s="9" t="s">
        <v>137</v>
      </c>
      <c r="O3" s="10" t="s">
        <v>220</v>
      </c>
      <c r="P3" s="6">
        <v>775</v>
      </c>
      <c r="Q3" s="10">
        <v>812</v>
      </c>
      <c r="R3" s="6">
        <v>0</v>
      </c>
      <c r="S3" s="6">
        <v>0</v>
      </c>
      <c r="T3" s="6">
        <v>0</v>
      </c>
      <c r="U3" s="6">
        <v>0</v>
      </c>
    </row>
    <row r="4" spans="1:21" s="25" customFormat="1" ht="12.75" x14ac:dyDescent="0.25">
      <c r="A4" s="34">
        <f>A3</f>
        <v>43548</v>
      </c>
      <c r="B4" s="25" t="s">
        <v>21</v>
      </c>
      <c r="C4" s="25" t="s">
        <v>75</v>
      </c>
      <c r="D4" s="25" t="s">
        <v>23</v>
      </c>
      <c r="E4" s="25" t="s">
        <v>37</v>
      </c>
      <c r="F4" s="25" t="s">
        <v>24</v>
      </c>
      <c r="G4" s="7">
        <v>71500</v>
      </c>
      <c r="H4" s="25" t="s">
        <v>76</v>
      </c>
      <c r="I4" s="25" t="s">
        <v>77</v>
      </c>
      <c r="J4" s="26">
        <v>0.69791666666666663</v>
      </c>
      <c r="K4" s="27">
        <v>0.68472222222222223</v>
      </c>
      <c r="L4" s="26">
        <v>0.52777777777777779</v>
      </c>
      <c r="M4" s="27">
        <v>0.53055555555555556</v>
      </c>
      <c r="N4" s="25" t="s">
        <v>250</v>
      </c>
      <c r="O4" s="35" t="s">
        <v>249</v>
      </c>
      <c r="P4" s="25">
        <v>934</v>
      </c>
      <c r="Q4" s="25">
        <v>808</v>
      </c>
      <c r="R4" s="25">
        <v>0</v>
      </c>
      <c r="S4" s="25">
        <v>0</v>
      </c>
      <c r="T4" s="25">
        <v>0</v>
      </c>
      <c r="U4" s="25">
        <v>0</v>
      </c>
    </row>
    <row r="5" spans="1:21" s="32" customFormat="1" ht="12.75" x14ac:dyDescent="0.25">
      <c r="A5" s="34">
        <f>A4</f>
        <v>43548</v>
      </c>
      <c r="B5" s="25" t="s">
        <v>21</v>
      </c>
      <c r="C5" s="25" t="s">
        <v>78</v>
      </c>
      <c r="D5" s="25" t="s">
        <v>23</v>
      </c>
      <c r="E5" s="6" t="str">
        <f>E3</f>
        <v>HALYR</v>
      </c>
      <c r="F5" s="25" t="s">
        <v>24</v>
      </c>
      <c r="G5" s="36">
        <f>G4</f>
        <v>71500</v>
      </c>
      <c r="H5" s="25" t="s">
        <v>79</v>
      </c>
      <c r="I5" s="25" t="s">
        <v>80</v>
      </c>
      <c r="J5" s="12">
        <v>0.88888888888888884</v>
      </c>
      <c r="K5" s="37">
        <v>0.87986111111111109</v>
      </c>
      <c r="L5" s="12">
        <v>0.68402777777777779</v>
      </c>
      <c r="M5" s="37">
        <v>0.68888888888888899</v>
      </c>
      <c r="N5" s="32" t="s">
        <v>251</v>
      </c>
      <c r="O5" s="25" t="s">
        <v>116</v>
      </c>
      <c r="P5" s="25">
        <v>771</v>
      </c>
      <c r="Q5" s="25">
        <v>894</v>
      </c>
      <c r="R5" s="25">
        <v>0</v>
      </c>
      <c r="S5" s="25">
        <v>0</v>
      </c>
      <c r="T5" s="25">
        <v>0</v>
      </c>
      <c r="U5" s="25">
        <v>0</v>
      </c>
    </row>
    <row r="6" spans="1:21" s="4" customFormat="1" ht="12.75" x14ac:dyDescent="0.2">
      <c r="A6" s="5">
        <v>43548</v>
      </c>
      <c r="B6" s="20" t="s">
        <v>229</v>
      </c>
      <c r="C6" s="3" t="s">
        <v>244</v>
      </c>
      <c r="D6" s="3" t="s">
        <v>245</v>
      </c>
      <c r="E6" s="20" t="s">
        <v>232</v>
      </c>
      <c r="F6" s="20" t="s">
        <v>233</v>
      </c>
      <c r="G6" s="54">
        <v>45880</v>
      </c>
      <c r="H6" s="6" t="s">
        <v>234</v>
      </c>
      <c r="I6" s="6" t="s">
        <v>246</v>
      </c>
      <c r="J6" s="15" t="s">
        <v>234</v>
      </c>
      <c r="K6" s="2" t="s">
        <v>234</v>
      </c>
      <c r="L6" s="15">
        <v>0.46527777777777773</v>
      </c>
      <c r="M6" s="16">
        <v>0.45763888888888887</v>
      </c>
      <c r="N6" s="3" t="s">
        <v>234</v>
      </c>
      <c r="O6" s="3" t="s">
        <v>247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5" sqref="K5"/>
    </sheetView>
  </sheetViews>
  <sheetFormatPr defaultRowHeight="15" x14ac:dyDescent="0.25"/>
  <cols>
    <col min="3" max="3" width="15.140625" customWidth="1"/>
    <col min="5" max="5" width="13" customWidth="1"/>
    <col min="6" max="6" width="15.42578125" customWidth="1"/>
    <col min="10" max="10" width="10.42578125" customWidth="1"/>
    <col min="11" max="11" width="11.42578125" customWidth="1"/>
    <col min="12" max="12" width="12.5703125" customWidth="1"/>
    <col min="13" max="13" width="11.140625" customWidth="1"/>
    <col min="14" max="14" width="18.42578125" customWidth="1"/>
    <col min="15" max="15" width="19.140625" customWidth="1"/>
  </cols>
  <sheetData>
    <row r="1" spans="1:21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x14ac:dyDescent="0.25">
      <c r="A2" s="33">
        <v>43549</v>
      </c>
      <c r="B2" s="39" t="s">
        <v>21</v>
      </c>
      <c r="C2" s="39" t="s">
        <v>22</v>
      </c>
      <c r="D2" s="39" t="s">
        <v>23</v>
      </c>
      <c r="E2" s="40" t="s">
        <v>252</v>
      </c>
      <c r="F2" s="39" t="s">
        <v>24</v>
      </c>
      <c r="G2" s="41">
        <v>71500</v>
      </c>
      <c r="H2" s="39" t="s">
        <v>25</v>
      </c>
      <c r="I2" s="39" t="s">
        <v>26</v>
      </c>
      <c r="J2" s="42">
        <v>0.4826388888888889</v>
      </c>
      <c r="K2" s="43">
        <v>0.48472222222222222</v>
      </c>
      <c r="L2" s="42">
        <v>0.27777777777777779</v>
      </c>
      <c r="M2" s="9">
        <v>0.28611111111111115</v>
      </c>
      <c r="N2" s="10" t="s">
        <v>254</v>
      </c>
      <c r="O2" s="10" t="s">
        <v>166</v>
      </c>
      <c r="P2" s="10">
        <v>1040</v>
      </c>
      <c r="Q2" s="10">
        <v>916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33">
        <v>43549</v>
      </c>
      <c r="B3" s="39" t="s">
        <v>21</v>
      </c>
      <c r="C3" s="39" t="s">
        <v>27</v>
      </c>
      <c r="D3" s="39" t="s">
        <v>23</v>
      </c>
      <c r="E3" s="39" t="s">
        <v>37</v>
      </c>
      <c r="F3" s="39" t="s">
        <v>24</v>
      </c>
      <c r="G3" s="41">
        <v>71500</v>
      </c>
      <c r="H3" s="39" t="s">
        <v>28</v>
      </c>
      <c r="I3" s="39" t="s">
        <v>29</v>
      </c>
      <c r="J3" s="42">
        <v>0.4826388888888889</v>
      </c>
      <c r="K3" s="43">
        <v>0.47569444444444442</v>
      </c>
      <c r="L3" s="42">
        <v>0.33333333333333331</v>
      </c>
      <c r="M3" s="9">
        <v>0.33263888888888887</v>
      </c>
      <c r="N3" s="10" t="s">
        <v>123</v>
      </c>
      <c r="O3" s="10" t="s">
        <v>255</v>
      </c>
      <c r="P3" s="6">
        <v>781</v>
      </c>
      <c r="Q3" s="10">
        <v>640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33">
        <v>43549</v>
      </c>
      <c r="B4" s="3" t="s">
        <v>21</v>
      </c>
      <c r="C4" s="3" t="s">
        <v>30</v>
      </c>
      <c r="D4" s="3" t="s">
        <v>23</v>
      </c>
      <c r="E4" s="39" t="s">
        <v>37</v>
      </c>
      <c r="F4" s="3" t="s">
        <v>24</v>
      </c>
      <c r="G4" s="41">
        <v>71500</v>
      </c>
      <c r="H4" s="3" t="s">
        <v>31</v>
      </c>
      <c r="I4" s="3" t="s">
        <v>32</v>
      </c>
      <c r="J4" s="11">
        <v>0.71180555555555547</v>
      </c>
      <c r="K4" s="2">
        <v>0.71111111111111114</v>
      </c>
      <c r="L4" s="11">
        <v>0.50347222222222221</v>
      </c>
      <c r="M4" s="27">
        <v>0.51388888888888895</v>
      </c>
      <c r="N4" s="25" t="s">
        <v>257</v>
      </c>
      <c r="O4" s="35" t="s">
        <v>45</v>
      </c>
      <c r="P4" s="25">
        <v>825</v>
      </c>
      <c r="Q4" s="25">
        <v>671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5">
      <c r="A5" s="33">
        <v>43549</v>
      </c>
      <c r="B5" s="25" t="s">
        <v>21</v>
      </c>
      <c r="C5" s="25" t="s">
        <v>33</v>
      </c>
      <c r="D5" s="25" t="s">
        <v>23</v>
      </c>
      <c r="E5" s="40" t="s">
        <v>253</v>
      </c>
      <c r="F5" s="25" t="s">
        <v>24</v>
      </c>
      <c r="G5" s="41">
        <f>G2</f>
        <v>71500</v>
      </c>
      <c r="H5" s="25" t="s">
        <v>34</v>
      </c>
      <c r="I5" s="25" t="s">
        <v>35</v>
      </c>
      <c r="J5" s="12">
        <v>0.87152777777777779</v>
      </c>
      <c r="K5" s="37">
        <v>0.85763888888888884</v>
      </c>
      <c r="L5" s="12">
        <v>0.63541666666666663</v>
      </c>
      <c r="M5" s="37">
        <v>0.63680555555555551</v>
      </c>
      <c r="N5" s="25" t="s">
        <v>258</v>
      </c>
      <c r="O5" s="25" t="s">
        <v>256</v>
      </c>
      <c r="P5" s="25">
        <v>1155</v>
      </c>
      <c r="Q5" s="25">
        <v>841</v>
      </c>
      <c r="R5" s="25">
        <v>0</v>
      </c>
      <c r="S5" s="25">
        <v>0</v>
      </c>
      <c r="T5" s="25">
        <v>0</v>
      </c>
      <c r="U5" s="2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5" sqref="K5"/>
    </sheetView>
  </sheetViews>
  <sheetFormatPr defaultRowHeight="15" x14ac:dyDescent="0.25"/>
  <cols>
    <col min="3" max="3" width="15.140625" customWidth="1"/>
    <col min="5" max="5" width="13" customWidth="1"/>
    <col min="6" max="6" width="15.42578125" customWidth="1"/>
    <col min="10" max="10" width="10.42578125" customWidth="1"/>
    <col min="11" max="11" width="11.42578125" customWidth="1"/>
    <col min="12" max="12" width="12.5703125" customWidth="1"/>
    <col min="13" max="13" width="11.140625" customWidth="1"/>
    <col min="14" max="14" width="18.42578125" customWidth="1"/>
    <col min="15" max="15" width="19.140625" customWidth="1"/>
  </cols>
  <sheetData>
    <row r="1" spans="1:21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x14ac:dyDescent="0.25">
      <c r="A2" s="33">
        <v>43550</v>
      </c>
      <c r="B2" s="39" t="s">
        <v>21</v>
      </c>
      <c r="C2" s="39" t="s">
        <v>46</v>
      </c>
      <c r="D2" s="39" t="s">
        <v>23</v>
      </c>
      <c r="E2" s="40" t="s">
        <v>37</v>
      </c>
      <c r="F2" s="39" t="s">
        <v>24</v>
      </c>
      <c r="G2" s="41">
        <v>71500</v>
      </c>
      <c r="H2" s="39" t="s">
        <v>47</v>
      </c>
      <c r="I2" s="39" t="s">
        <v>48</v>
      </c>
      <c r="J2" s="42">
        <v>0.49652777777777773</v>
      </c>
      <c r="K2" s="43">
        <v>0.4916666666666667</v>
      </c>
      <c r="L2" s="42">
        <v>0.3125</v>
      </c>
      <c r="M2" s="9">
        <v>0.31944444444444448</v>
      </c>
      <c r="N2" s="10" t="s">
        <v>259</v>
      </c>
      <c r="O2" s="10" t="s">
        <v>236</v>
      </c>
      <c r="P2" s="10">
        <v>835</v>
      </c>
      <c r="Q2" s="10">
        <v>835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33">
        <v>43550</v>
      </c>
      <c r="B3" s="39" t="s">
        <v>21</v>
      </c>
      <c r="C3" s="39" t="s">
        <v>99</v>
      </c>
      <c r="D3" s="39" t="s">
        <v>23</v>
      </c>
      <c r="E3" s="39" t="s">
        <v>253</v>
      </c>
      <c r="F3" s="39" t="s">
        <v>24</v>
      </c>
      <c r="G3" s="41">
        <v>71500</v>
      </c>
      <c r="H3" s="39" t="s">
        <v>50</v>
      </c>
      <c r="I3" s="39" t="s">
        <v>51</v>
      </c>
      <c r="J3" s="42">
        <v>0.49305555555555558</v>
      </c>
      <c r="K3" s="43">
        <v>0.4861111111111111</v>
      </c>
      <c r="L3" s="42">
        <v>0.35416666666666669</v>
      </c>
      <c r="M3" s="9">
        <v>0.35347222222222219</v>
      </c>
      <c r="N3" s="10" t="s">
        <v>260</v>
      </c>
      <c r="O3" s="10" t="s">
        <v>157</v>
      </c>
      <c r="P3" s="6">
        <v>423</v>
      </c>
      <c r="Q3" s="10">
        <v>292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33">
        <v>43550</v>
      </c>
      <c r="B4" s="3" t="s">
        <v>21</v>
      </c>
      <c r="C4" s="3" t="s">
        <v>52</v>
      </c>
      <c r="D4" s="3" t="s">
        <v>23</v>
      </c>
      <c r="E4" s="39" t="s">
        <v>253</v>
      </c>
      <c r="F4" s="3" t="s">
        <v>24</v>
      </c>
      <c r="G4" s="41">
        <v>71500</v>
      </c>
      <c r="H4" s="3" t="s">
        <v>53</v>
      </c>
      <c r="I4" s="3" t="s">
        <v>54</v>
      </c>
      <c r="J4" s="11">
        <v>0.72222222222222221</v>
      </c>
      <c r="K4" s="2">
        <v>0.71597222222222223</v>
      </c>
      <c r="L4" s="11">
        <v>0.52777777777777779</v>
      </c>
      <c r="M4" s="27">
        <v>0.53125</v>
      </c>
      <c r="N4" s="25" t="s">
        <v>259</v>
      </c>
      <c r="O4" s="35" t="s">
        <v>256</v>
      </c>
      <c r="P4" s="25">
        <v>1118</v>
      </c>
      <c r="Q4" s="25">
        <v>852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5">
      <c r="A5" s="33">
        <v>43550</v>
      </c>
      <c r="B5" s="25" t="s">
        <v>21</v>
      </c>
      <c r="C5" s="25" t="s">
        <v>55</v>
      </c>
      <c r="D5" s="25" t="s">
        <v>23</v>
      </c>
      <c r="E5" s="40" t="s">
        <v>37</v>
      </c>
      <c r="F5" s="25" t="s">
        <v>24</v>
      </c>
      <c r="G5" s="41">
        <f>G2</f>
        <v>71500</v>
      </c>
      <c r="H5" s="25" t="s">
        <v>56</v>
      </c>
      <c r="I5" s="25" t="s">
        <v>57</v>
      </c>
      <c r="J5" s="12">
        <v>0.91319444444444453</v>
      </c>
      <c r="K5" s="37">
        <v>0.90277777777777779</v>
      </c>
      <c r="L5" s="12">
        <v>0.74305555555555547</v>
      </c>
      <c r="M5" s="37">
        <v>0.74513888888888891</v>
      </c>
      <c r="N5" s="25" t="s">
        <v>262</v>
      </c>
      <c r="O5" s="25" t="s">
        <v>261</v>
      </c>
      <c r="P5" s="25">
        <v>810</v>
      </c>
      <c r="Q5" s="25">
        <v>671</v>
      </c>
      <c r="R5" s="25">
        <v>0</v>
      </c>
      <c r="S5" s="25">
        <v>0</v>
      </c>
      <c r="T5" s="25">
        <v>0</v>
      </c>
      <c r="U5" s="2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O10" sqref="O10"/>
    </sheetView>
  </sheetViews>
  <sheetFormatPr defaultRowHeight="15" x14ac:dyDescent="0.25"/>
  <cols>
    <col min="3" max="3" width="15.140625" customWidth="1"/>
    <col min="5" max="5" width="13" customWidth="1"/>
    <col min="6" max="6" width="15.42578125" customWidth="1"/>
    <col min="10" max="10" width="10.42578125" customWidth="1"/>
    <col min="11" max="11" width="11.42578125" customWidth="1"/>
    <col min="12" max="12" width="12.5703125" customWidth="1"/>
    <col min="13" max="13" width="11.140625" customWidth="1"/>
    <col min="14" max="14" width="18.42578125" customWidth="1"/>
    <col min="15" max="15" width="19.140625" customWidth="1"/>
  </cols>
  <sheetData>
    <row r="1" spans="1:21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x14ac:dyDescent="0.25">
      <c r="A2" s="33">
        <v>43551</v>
      </c>
      <c r="B2" s="39" t="s">
        <v>21</v>
      </c>
      <c r="C2" s="39" t="s">
        <v>30</v>
      </c>
      <c r="D2" s="39" t="s">
        <v>23</v>
      </c>
      <c r="E2" s="40" t="s">
        <v>37</v>
      </c>
      <c r="F2" s="39" t="s">
        <v>24</v>
      </c>
      <c r="G2" s="41">
        <v>71500</v>
      </c>
      <c r="H2" s="39" t="s">
        <v>31</v>
      </c>
      <c r="I2" s="39" t="s">
        <v>32</v>
      </c>
      <c r="J2" s="42">
        <v>0.5625</v>
      </c>
      <c r="K2" s="43">
        <v>0.56458333333333333</v>
      </c>
      <c r="L2" s="42">
        <v>0.35416666666666669</v>
      </c>
      <c r="M2" s="9">
        <v>0.36874999999999997</v>
      </c>
      <c r="N2" s="10" t="s">
        <v>267</v>
      </c>
      <c r="O2" s="10" t="s">
        <v>264</v>
      </c>
      <c r="P2" s="10">
        <v>647</v>
      </c>
      <c r="Q2" s="10">
        <v>837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33">
        <v>43551</v>
      </c>
      <c r="B3" s="39" t="s">
        <v>21</v>
      </c>
      <c r="C3" s="39" t="s">
        <v>75</v>
      </c>
      <c r="D3" s="39" t="s">
        <v>23</v>
      </c>
      <c r="E3" s="39" t="s">
        <v>37</v>
      </c>
      <c r="F3" s="39" t="s">
        <v>24</v>
      </c>
      <c r="G3" s="41">
        <v>71500</v>
      </c>
      <c r="H3" s="39" t="s">
        <v>76</v>
      </c>
      <c r="I3" s="39" t="s">
        <v>77</v>
      </c>
      <c r="J3" s="42">
        <v>0.69791666666666663</v>
      </c>
      <c r="K3" s="43">
        <v>0.7729166666666667</v>
      </c>
      <c r="L3" s="42">
        <v>0.52777777777777779</v>
      </c>
      <c r="M3" s="9">
        <v>0.61111111111111105</v>
      </c>
      <c r="N3" s="10" t="s">
        <v>202</v>
      </c>
      <c r="O3" s="10" t="s">
        <v>265</v>
      </c>
      <c r="P3" s="6">
        <v>1000</v>
      </c>
      <c r="Q3" s="10">
        <v>681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33">
        <v>43551</v>
      </c>
      <c r="B4" s="3" t="s">
        <v>21</v>
      </c>
      <c r="C4" s="3" t="s">
        <v>263</v>
      </c>
      <c r="D4" s="3" t="s">
        <v>23</v>
      </c>
      <c r="E4" s="39" t="s">
        <v>253</v>
      </c>
      <c r="F4" s="3" t="s">
        <v>24</v>
      </c>
      <c r="G4" s="41">
        <v>71500</v>
      </c>
      <c r="H4" s="3" t="s">
        <v>79</v>
      </c>
      <c r="I4" s="3" t="s">
        <v>80</v>
      </c>
      <c r="J4" s="11">
        <v>0.86458333333333337</v>
      </c>
      <c r="K4" s="2">
        <v>0.86249999999999993</v>
      </c>
      <c r="L4" s="11">
        <v>0.65972222222222221</v>
      </c>
      <c r="M4" s="27">
        <v>0.66875000000000007</v>
      </c>
      <c r="N4" s="25" t="s">
        <v>268</v>
      </c>
      <c r="O4" s="35" t="s">
        <v>266</v>
      </c>
      <c r="P4" s="25">
        <v>785</v>
      </c>
      <c r="Q4" s="25">
        <v>804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5">
      <c r="A5" s="33"/>
      <c r="B5" s="25"/>
      <c r="C5" s="25"/>
      <c r="D5" s="25"/>
      <c r="E5" s="40"/>
      <c r="F5" s="25"/>
      <c r="G5" s="41"/>
      <c r="H5" s="25"/>
      <c r="I5" s="25"/>
      <c r="J5" s="12"/>
      <c r="K5" s="37"/>
      <c r="L5" s="12"/>
      <c r="M5" s="37"/>
      <c r="N5" s="25"/>
      <c r="O5" s="25"/>
      <c r="P5" s="25"/>
      <c r="Q5" s="25"/>
      <c r="R5" s="25">
        <v>0</v>
      </c>
      <c r="S5" s="25">
        <v>0</v>
      </c>
      <c r="T5" s="25">
        <v>0</v>
      </c>
      <c r="U5" s="25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J2" sqref="J2"/>
    </sheetView>
  </sheetViews>
  <sheetFormatPr defaultRowHeight="15" x14ac:dyDescent="0.25"/>
  <cols>
    <col min="3" max="3" width="15.140625" customWidth="1"/>
    <col min="5" max="5" width="13" customWidth="1"/>
    <col min="6" max="6" width="15.42578125" customWidth="1"/>
    <col min="10" max="10" width="10.42578125" customWidth="1"/>
    <col min="11" max="11" width="11.42578125" customWidth="1"/>
    <col min="12" max="12" width="12.5703125" customWidth="1"/>
    <col min="13" max="13" width="11.140625" customWidth="1"/>
    <col min="14" max="14" width="18.42578125" customWidth="1"/>
    <col min="15" max="15" width="19.140625" customWidth="1"/>
  </cols>
  <sheetData>
    <row r="1" spans="1:21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</row>
    <row r="2" spans="1:21" x14ac:dyDescent="0.25">
      <c r="A2" s="33">
        <v>43552</v>
      </c>
      <c r="B2" s="39" t="s">
        <v>21</v>
      </c>
      <c r="C2" s="39" t="s">
        <v>72</v>
      </c>
      <c r="D2" s="39" t="s">
        <v>23</v>
      </c>
      <c r="E2" s="40" t="s">
        <v>37</v>
      </c>
      <c r="F2" s="39" t="s">
        <v>24</v>
      </c>
      <c r="G2" s="41">
        <v>71500</v>
      </c>
      <c r="H2" s="39" t="s">
        <v>73</v>
      </c>
      <c r="I2" s="39" t="s">
        <v>74</v>
      </c>
      <c r="J2" s="42">
        <v>0.65277777777777779</v>
      </c>
      <c r="K2" s="43">
        <v>0.64583333333333337</v>
      </c>
      <c r="L2" s="42">
        <v>0.5</v>
      </c>
      <c r="M2" s="9">
        <f>L2</f>
        <v>0.5</v>
      </c>
      <c r="N2" s="10" t="s">
        <v>269</v>
      </c>
      <c r="O2" s="10" t="s">
        <v>270</v>
      </c>
      <c r="P2" s="10">
        <v>958</v>
      </c>
      <c r="Q2" s="10">
        <v>892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33"/>
      <c r="B3" s="39"/>
      <c r="C3" s="39"/>
      <c r="D3" s="39"/>
      <c r="E3" s="39"/>
      <c r="F3" s="39"/>
      <c r="G3" s="41"/>
      <c r="H3" s="39"/>
      <c r="I3" s="39"/>
      <c r="J3" s="42"/>
      <c r="K3" s="43"/>
      <c r="L3" s="42"/>
      <c r="M3" s="9"/>
      <c r="N3" s="10"/>
      <c r="O3" s="10"/>
      <c r="P3" s="6"/>
      <c r="Q3" s="10"/>
      <c r="R3" s="6"/>
      <c r="S3" s="6"/>
      <c r="T3" s="6"/>
      <c r="U3" s="6"/>
    </row>
    <row r="4" spans="1:21" x14ac:dyDescent="0.25">
      <c r="A4" s="33"/>
      <c r="B4" s="3"/>
      <c r="C4" s="3"/>
      <c r="D4" s="3"/>
      <c r="E4" s="39"/>
      <c r="F4" s="3"/>
      <c r="G4" s="41"/>
      <c r="H4" s="3"/>
      <c r="I4" s="3"/>
      <c r="J4" s="11"/>
      <c r="K4" s="2"/>
      <c r="L4" s="11"/>
      <c r="M4" s="27"/>
      <c r="N4" s="25"/>
      <c r="O4" s="35"/>
      <c r="P4" s="25"/>
      <c r="Q4" s="25"/>
      <c r="R4" s="25"/>
      <c r="S4" s="25"/>
      <c r="T4" s="25"/>
      <c r="U4" s="25"/>
    </row>
    <row r="5" spans="1:21" x14ac:dyDescent="0.25">
      <c r="A5" s="33"/>
      <c r="B5" s="25"/>
      <c r="C5" s="25"/>
      <c r="D5" s="25"/>
      <c r="E5" s="40"/>
      <c r="F5" s="25"/>
      <c r="G5" s="41"/>
      <c r="H5" s="25"/>
      <c r="I5" s="25"/>
      <c r="J5" s="12"/>
      <c r="K5" s="37"/>
      <c r="L5" s="12"/>
      <c r="M5" s="37"/>
      <c r="N5" s="25"/>
      <c r="O5" s="25"/>
      <c r="P5" s="25"/>
      <c r="Q5" s="25"/>
      <c r="R5" s="25"/>
      <c r="S5" s="25"/>
      <c r="T5" s="25"/>
      <c r="U5" s="2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7" sqref="K7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4.140625" style="4" customWidth="1"/>
    <col min="7" max="9" width="9.140625" style="4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43553</v>
      </c>
      <c r="B2" s="6" t="s">
        <v>21</v>
      </c>
      <c r="C2" s="6" t="s">
        <v>22</v>
      </c>
      <c r="D2" s="6" t="s">
        <v>23</v>
      </c>
      <c r="E2" s="6" t="s">
        <v>37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2">
        <v>0.48125000000000001</v>
      </c>
      <c r="L2" s="8">
        <v>0.27777777777777779</v>
      </c>
      <c r="M2" s="9">
        <v>0.28888888888888892</v>
      </c>
      <c r="N2" s="3" t="s">
        <v>272</v>
      </c>
      <c r="O2" s="10" t="s">
        <v>271</v>
      </c>
      <c r="P2" s="10">
        <v>989</v>
      </c>
      <c r="Q2" s="10">
        <v>1004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f t="shared" ref="A3:A4" si="0">A2</f>
        <v>43553</v>
      </c>
      <c r="B3" s="6" t="s">
        <v>21</v>
      </c>
      <c r="C3" s="6" t="s">
        <v>27</v>
      </c>
      <c r="D3" s="6" t="s">
        <v>23</v>
      </c>
      <c r="E3" s="6" t="s">
        <v>253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0.4826388888888889</v>
      </c>
      <c r="K3" s="2">
        <v>0.47569444444444442</v>
      </c>
      <c r="L3" s="8">
        <v>0.33333333333333331</v>
      </c>
      <c r="M3" s="9">
        <v>0.33680555555555558</v>
      </c>
      <c r="N3" s="3" t="s">
        <v>273</v>
      </c>
      <c r="O3" s="10" t="s">
        <v>259</v>
      </c>
      <c r="P3" s="6">
        <v>746</v>
      </c>
      <c r="Q3" s="10">
        <v>640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f t="shared" si="0"/>
        <v>43553</v>
      </c>
      <c r="B4" s="3" t="s">
        <v>21</v>
      </c>
      <c r="C4" s="3" t="s">
        <v>30</v>
      </c>
      <c r="D4" s="3" t="s">
        <v>23</v>
      </c>
      <c r="E4" s="6" t="s">
        <v>253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0.71180555555555547</v>
      </c>
      <c r="K4" s="2">
        <v>0.73611111111111116</v>
      </c>
      <c r="L4" s="11">
        <v>0.50347222222222221</v>
      </c>
      <c r="M4" s="2">
        <v>0.52708333333333335</v>
      </c>
      <c r="N4" s="3" t="s">
        <v>276</v>
      </c>
      <c r="O4" s="3" t="s">
        <v>274</v>
      </c>
      <c r="P4" s="3">
        <v>1101</v>
      </c>
      <c r="Q4" s="3">
        <v>1028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f>A4</f>
        <v>43553</v>
      </c>
      <c r="B5" s="3" t="s">
        <v>21</v>
      </c>
      <c r="C5" s="3" t="s">
        <v>33</v>
      </c>
      <c r="D5" s="3" t="s">
        <v>23</v>
      </c>
      <c r="E5" s="6" t="s">
        <v>82</v>
      </c>
      <c r="F5" s="3" t="s">
        <v>24</v>
      </c>
      <c r="G5" s="7">
        <v>71500</v>
      </c>
      <c r="H5" s="3" t="s">
        <v>34</v>
      </c>
      <c r="I5" s="3" t="s">
        <v>35</v>
      </c>
      <c r="J5" s="12">
        <v>0.87152777777777779</v>
      </c>
      <c r="K5" s="2">
        <v>0.8666666666666667</v>
      </c>
      <c r="L5" s="12">
        <v>0.63541666666666663</v>
      </c>
      <c r="M5" s="13">
        <v>0.64027777777777783</v>
      </c>
      <c r="N5" s="3" t="s">
        <v>40</v>
      </c>
      <c r="O5" s="3" t="s">
        <v>275</v>
      </c>
      <c r="P5" s="14">
        <v>1255</v>
      </c>
      <c r="Q5" s="3">
        <v>1226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5">
        <v>43553</v>
      </c>
      <c r="B6" s="3" t="s">
        <v>21</v>
      </c>
      <c r="C6" s="3" t="s">
        <v>78</v>
      </c>
      <c r="D6" s="3" t="s">
        <v>23</v>
      </c>
      <c r="E6" s="6" t="s">
        <v>278</v>
      </c>
      <c r="F6" s="19" t="s">
        <v>24</v>
      </c>
      <c r="G6" s="7">
        <v>71500</v>
      </c>
      <c r="H6" s="6" t="s">
        <v>79</v>
      </c>
      <c r="I6" s="6" t="s">
        <v>80</v>
      </c>
      <c r="J6" s="15">
        <v>0.94791666666666663</v>
      </c>
      <c r="K6" s="2">
        <v>0.96666666666666667</v>
      </c>
      <c r="L6" s="15">
        <v>0.74305555555555547</v>
      </c>
      <c r="M6" s="16">
        <v>0.77569444444444446</v>
      </c>
      <c r="N6" s="3" t="s">
        <v>189</v>
      </c>
      <c r="O6" s="3" t="s">
        <v>277</v>
      </c>
      <c r="P6" s="3">
        <v>900</v>
      </c>
      <c r="Q6" s="3">
        <v>834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17"/>
      <c r="G7" s="18"/>
      <c r="J7" s="15"/>
    </row>
    <row r="8" spans="1:21" x14ac:dyDescent="0.2">
      <c r="A8" s="17"/>
      <c r="G8" s="18"/>
      <c r="J8" s="15"/>
    </row>
    <row r="9" spans="1:21" x14ac:dyDescent="0.2">
      <c r="A9" s="17"/>
      <c r="G9" s="18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E1" workbookViewId="0">
      <selection activeCell="K5" sqref="K5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.7109375" style="4" bestFit="1" customWidth="1"/>
    <col min="7" max="9" width="9.140625" style="4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43554</v>
      </c>
      <c r="B2" s="20" t="s">
        <v>21</v>
      </c>
      <c r="C2" s="20" t="s">
        <v>46</v>
      </c>
      <c r="D2" s="20" t="s">
        <v>23</v>
      </c>
      <c r="E2" s="20" t="s">
        <v>253</v>
      </c>
      <c r="F2" s="20" t="s">
        <v>24</v>
      </c>
      <c r="G2" s="21">
        <v>70000</v>
      </c>
      <c r="H2" s="20" t="s">
        <v>47</v>
      </c>
      <c r="I2" s="20" t="s">
        <v>48</v>
      </c>
      <c r="J2" s="22">
        <v>0.49652777777777773</v>
      </c>
      <c r="K2" s="23">
        <v>0.50277777777777777</v>
      </c>
      <c r="L2" s="22">
        <v>0.3125</v>
      </c>
      <c r="M2" s="23">
        <v>0.31944444444444448</v>
      </c>
      <c r="N2" s="23" t="s">
        <v>280</v>
      </c>
      <c r="O2" s="24" t="s">
        <v>279</v>
      </c>
      <c r="P2" s="24">
        <v>804</v>
      </c>
      <c r="Q2" s="24">
        <v>961</v>
      </c>
      <c r="R2" s="20">
        <v>0</v>
      </c>
      <c r="S2" s="20">
        <v>0</v>
      </c>
      <c r="T2" s="20">
        <v>0</v>
      </c>
      <c r="U2" s="20">
        <v>0</v>
      </c>
    </row>
    <row r="3" spans="1:21" x14ac:dyDescent="0.2">
      <c r="A3" s="5">
        <f t="shared" ref="A3" si="0">A2</f>
        <v>43554</v>
      </c>
      <c r="B3" s="20" t="s">
        <v>21</v>
      </c>
      <c r="C3" s="20" t="s">
        <v>49</v>
      </c>
      <c r="D3" s="20" t="s">
        <v>23</v>
      </c>
      <c r="E3" s="20" t="s">
        <v>37</v>
      </c>
      <c r="F3" s="20" t="s">
        <v>24</v>
      </c>
      <c r="G3" s="21">
        <v>71500</v>
      </c>
      <c r="H3" s="20" t="s">
        <v>50</v>
      </c>
      <c r="I3" s="20" t="s">
        <v>51</v>
      </c>
      <c r="J3" s="22">
        <v>0.49305555555555558</v>
      </c>
      <c r="K3" s="23">
        <v>0.48333333333333334</v>
      </c>
      <c r="L3" s="22">
        <v>0.35416666666666669</v>
      </c>
      <c r="M3" s="23">
        <v>0.3756944444444445</v>
      </c>
      <c r="N3" s="23" t="s">
        <v>45</v>
      </c>
      <c r="O3" s="14" t="s">
        <v>212</v>
      </c>
      <c r="P3" s="20">
        <v>419</v>
      </c>
      <c r="Q3" s="14">
        <v>487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2">
      <c r="A4" s="5">
        <f>A3</f>
        <v>43554</v>
      </c>
      <c r="B4" s="25" t="s">
        <v>21</v>
      </c>
      <c r="C4" s="25" t="s">
        <v>55</v>
      </c>
      <c r="D4" s="25" t="s">
        <v>23</v>
      </c>
      <c r="E4" s="20" t="s">
        <v>253</v>
      </c>
      <c r="F4" s="25" t="s">
        <v>24</v>
      </c>
      <c r="G4" s="21">
        <v>71500</v>
      </c>
      <c r="H4" s="25" t="s">
        <v>56</v>
      </c>
      <c r="I4" s="25" t="s">
        <v>57</v>
      </c>
      <c r="J4" s="28">
        <v>0.91319444444444453</v>
      </c>
      <c r="K4" s="29">
        <v>0.90763888888888899</v>
      </c>
      <c r="L4" s="28">
        <v>0.74305555555555547</v>
      </c>
      <c r="M4" s="30">
        <f>L4</f>
        <v>0.74305555555555547</v>
      </c>
      <c r="N4" s="24" t="s">
        <v>135</v>
      </c>
      <c r="O4" s="24" t="s">
        <v>281</v>
      </c>
      <c r="P4" s="20">
        <v>1003</v>
      </c>
      <c r="Q4" s="24">
        <v>1005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">
      <c r="A5" s="5"/>
      <c r="B5" s="25"/>
      <c r="C5" s="25"/>
      <c r="D5" s="25"/>
      <c r="E5" s="20"/>
      <c r="F5" s="25"/>
      <c r="G5" s="21"/>
      <c r="H5" s="25"/>
      <c r="I5" s="25"/>
      <c r="J5" s="28"/>
      <c r="K5" s="29"/>
      <c r="L5" s="28"/>
      <c r="M5" s="30"/>
      <c r="N5" s="24"/>
      <c r="O5" s="24"/>
      <c r="P5" s="20"/>
      <c r="Q5" s="24"/>
      <c r="R5" s="25"/>
      <c r="S5" s="25"/>
      <c r="T5" s="25"/>
      <c r="U5" s="25"/>
    </row>
    <row r="6" spans="1:21" x14ac:dyDescent="0.2">
      <c r="A6" s="17"/>
      <c r="G6" s="18"/>
      <c r="J6" s="15"/>
      <c r="L6" s="15"/>
      <c r="M6" s="16"/>
    </row>
    <row r="7" spans="1:21" x14ac:dyDescent="0.2">
      <c r="A7" s="17"/>
      <c r="G7" s="18"/>
      <c r="J7" s="15"/>
    </row>
    <row r="8" spans="1:21" x14ac:dyDescent="0.2">
      <c r="A8" s="17"/>
      <c r="G8" s="18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5" sqref="K5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.7109375" style="4" bestFit="1" customWidth="1"/>
    <col min="7" max="9" width="9.140625" style="4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43555</v>
      </c>
      <c r="B2" s="20" t="s">
        <v>21</v>
      </c>
      <c r="C2" s="20" t="s">
        <v>282</v>
      </c>
      <c r="D2" s="20" t="s">
        <v>23</v>
      </c>
      <c r="E2" s="20" t="s">
        <v>253</v>
      </c>
      <c r="F2" s="20" t="s">
        <v>24</v>
      </c>
      <c r="G2" s="21">
        <v>71500</v>
      </c>
      <c r="H2" s="20" t="s">
        <v>283</v>
      </c>
      <c r="I2" s="20" t="s">
        <v>284</v>
      </c>
      <c r="J2" s="22">
        <v>0.72569444444444453</v>
      </c>
      <c r="K2" s="23">
        <v>0.72569444444444453</v>
      </c>
      <c r="L2" s="22">
        <v>0.48958333333333331</v>
      </c>
      <c r="M2" s="23">
        <v>0.49513888888888885</v>
      </c>
      <c r="N2" s="23" t="s">
        <v>286</v>
      </c>
      <c r="O2" s="24" t="s">
        <v>285</v>
      </c>
      <c r="P2" s="24">
        <v>1190</v>
      </c>
      <c r="Q2" s="24">
        <v>864</v>
      </c>
      <c r="R2" s="20">
        <v>0</v>
      </c>
      <c r="S2" s="20">
        <v>0</v>
      </c>
      <c r="T2" s="20">
        <v>0</v>
      </c>
      <c r="U2" s="20">
        <v>0</v>
      </c>
    </row>
    <row r="3" spans="1:21" x14ac:dyDescent="0.2">
      <c r="A3" s="5">
        <f t="shared" ref="A3" si="0">A2</f>
        <v>43555</v>
      </c>
      <c r="B3" s="20" t="s">
        <v>21</v>
      </c>
      <c r="C3" s="20" t="s">
        <v>33</v>
      </c>
      <c r="D3" s="20" t="s">
        <v>23</v>
      </c>
      <c r="E3" s="20" t="s">
        <v>37</v>
      </c>
      <c r="F3" s="20" t="s">
        <v>24</v>
      </c>
      <c r="G3" s="21">
        <v>71500</v>
      </c>
      <c r="H3" s="20" t="s">
        <v>34</v>
      </c>
      <c r="I3" s="20" t="s">
        <v>35</v>
      </c>
      <c r="J3" s="22">
        <v>0.74652777777777779</v>
      </c>
      <c r="K3" s="23">
        <v>0.73749999999999993</v>
      </c>
      <c r="L3" s="22">
        <v>0.51736111111111105</v>
      </c>
      <c r="M3" s="23">
        <v>0.52152777777777781</v>
      </c>
      <c r="N3" s="23" t="s">
        <v>287</v>
      </c>
      <c r="O3" s="14" t="s">
        <v>163</v>
      </c>
      <c r="P3" s="20">
        <v>1360</v>
      </c>
      <c r="Q3" s="14">
        <v>1116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2">
      <c r="A4" s="5">
        <f>A3</f>
        <v>43555</v>
      </c>
      <c r="B4" s="25" t="s">
        <v>21</v>
      </c>
      <c r="C4" s="25" t="s">
        <v>75</v>
      </c>
      <c r="D4" s="25" t="s">
        <v>23</v>
      </c>
      <c r="E4" s="20" t="s">
        <v>253</v>
      </c>
      <c r="F4" s="25" t="s">
        <v>24</v>
      </c>
      <c r="G4" s="21">
        <v>71500</v>
      </c>
      <c r="H4" s="25" t="s">
        <v>76</v>
      </c>
      <c r="I4" s="25" t="s">
        <v>77</v>
      </c>
      <c r="J4" s="28">
        <v>0.91666666666666663</v>
      </c>
      <c r="K4" s="29">
        <v>0.91805555555555562</v>
      </c>
      <c r="L4" s="28">
        <v>0.74652777777777779</v>
      </c>
      <c r="M4" s="30">
        <v>0.76041666666666663</v>
      </c>
      <c r="N4" s="24" t="s">
        <v>295</v>
      </c>
      <c r="O4" s="24" t="s">
        <v>212</v>
      </c>
      <c r="P4" s="20">
        <v>1162</v>
      </c>
      <c r="Q4" s="24">
        <v>861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">
      <c r="A5" s="5">
        <f>A4</f>
        <v>43555</v>
      </c>
      <c r="B5" s="25" t="s">
        <v>21</v>
      </c>
      <c r="C5" s="25" t="s">
        <v>52</v>
      </c>
      <c r="D5" s="25" t="s">
        <v>23</v>
      </c>
      <c r="E5" s="20" t="s">
        <v>37</v>
      </c>
      <c r="F5" s="25" t="s">
        <v>24</v>
      </c>
      <c r="G5" s="21">
        <v>71500</v>
      </c>
      <c r="H5" s="25" t="s">
        <v>53</v>
      </c>
      <c r="I5" s="25" t="s">
        <v>54</v>
      </c>
      <c r="J5" s="28">
        <v>0.95833333333333337</v>
      </c>
      <c r="K5" s="29">
        <v>0.95000000000000007</v>
      </c>
      <c r="L5" s="28">
        <v>0.76736111111111116</v>
      </c>
      <c r="M5" s="30">
        <v>0.77430555555555547</v>
      </c>
      <c r="N5" s="24" t="s">
        <v>296</v>
      </c>
      <c r="O5" s="24" t="s">
        <v>256</v>
      </c>
      <c r="P5" s="20">
        <v>1065</v>
      </c>
      <c r="Q5" s="24">
        <v>826</v>
      </c>
      <c r="R5" s="25"/>
      <c r="S5" s="25"/>
      <c r="T5" s="25"/>
      <c r="U5" s="25"/>
    </row>
    <row r="6" spans="1:21" x14ac:dyDescent="0.2">
      <c r="A6" s="17"/>
      <c r="G6" s="18"/>
      <c r="J6" s="15"/>
      <c r="L6" s="15"/>
      <c r="M6" s="16"/>
    </row>
    <row r="7" spans="1:21" x14ac:dyDescent="0.2">
      <c r="A7" s="17"/>
      <c r="G7" s="18"/>
      <c r="J7" s="15"/>
    </row>
    <row r="8" spans="1:21" x14ac:dyDescent="0.2">
      <c r="A8" s="17"/>
      <c r="G8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2019-02-01T03:35:18Z</dcterms:created>
  <dcterms:modified xsi:type="dcterms:W3CDTF">2019-06-26T11:08:44Z</dcterms:modified>
</cp:coreProperties>
</file>