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6675" windowHeight="5325" firstSheet="10" activeTab="28"/>
  </bookViews>
  <sheets>
    <sheet name="1" sheetId="1" r:id="rId1"/>
    <sheet name="2" sheetId="2" r:id="rId2"/>
    <sheet name="3" sheetId="4" r:id="rId3"/>
    <sheet name="4" sheetId="5" r:id="rId4"/>
    <sheet name="5" sheetId="8" r:id="rId5"/>
    <sheet name="6" sheetId="9" r:id="rId6"/>
    <sheet name="7" sheetId="10" r:id="rId7"/>
    <sheet name="8" sheetId="11" r:id="rId8"/>
    <sheet name="9" sheetId="12" r:id="rId9"/>
    <sheet name="11" sheetId="14" r:id="rId10"/>
    <sheet name="12" sheetId="15" r:id="rId11"/>
    <sheet name="13" sheetId="16" r:id="rId12"/>
    <sheet name="14" sheetId="17" r:id="rId13"/>
    <sheet name="15" sheetId="18" r:id="rId14"/>
    <sheet name="16" sheetId="19" r:id="rId15"/>
    <sheet name="17" sheetId="13" r:id="rId16"/>
    <sheet name="18" sheetId="20" r:id="rId17"/>
    <sheet name="19" sheetId="21" r:id="rId18"/>
    <sheet name="20" sheetId="22" r:id="rId19"/>
    <sheet name="21" sheetId="23" r:id="rId20"/>
    <sheet name="22" sheetId="24" r:id="rId21"/>
    <sheet name="23" sheetId="25" r:id="rId22"/>
    <sheet name="24" sheetId="26" r:id="rId23"/>
    <sheet name="25" sheetId="27" r:id="rId24"/>
    <sheet name="26" sheetId="28" r:id="rId25"/>
    <sheet name="27" sheetId="29" r:id="rId26"/>
    <sheet name="28" sheetId="30" r:id="rId27"/>
    <sheet name="29" sheetId="31" r:id="rId28"/>
    <sheet name="30" sheetId="32" r:id="rId29"/>
  </sheets>
  <calcPr calcId="145621"/>
</workbook>
</file>

<file path=xl/calcChain.xml><?xml version="1.0" encoding="utf-8"?>
<calcChain xmlns="http://schemas.openxmlformats.org/spreadsheetml/2006/main">
  <c r="G4" i="32" l="1"/>
  <c r="G6" i="32" s="1"/>
  <c r="A3" i="32"/>
  <c r="A4" i="32" s="1"/>
  <c r="A5" i="32" s="1"/>
  <c r="A6" i="32" s="1"/>
  <c r="A7" i="32" s="1"/>
  <c r="G7" i="30" l="1"/>
  <c r="G6" i="30"/>
  <c r="E5" i="30"/>
  <c r="E7" i="30" s="1"/>
  <c r="G4" i="30"/>
  <c r="E4" i="30"/>
  <c r="E6" i="30" s="1"/>
  <c r="A3" i="30"/>
  <c r="A4" i="30" s="1"/>
  <c r="A5" i="30" s="1"/>
  <c r="A6" i="30" s="1"/>
  <c r="A7" i="30" s="1"/>
  <c r="A3" i="29" l="1"/>
  <c r="A4" i="29" s="1"/>
  <c r="A5" i="29" s="1"/>
  <c r="A6" i="29" s="1"/>
  <c r="A7" i="29" s="1"/>
  <c r="A4" i="27" l="1"/>
  <c r="A5" i="27" s="1"/>
  <c r="A6" i="27" s="1"/>
  <c r="A7" i="27" s="1"/>
  <c r="A3" i="27"/>
  <c r="E7" i="27"/>
  <c r="A4" i="26" l="1"/>
  <c r="G7" i="26"/>
  <c r="G6" i="26"/>
  <c r="E6" i="26"/>
  <c r="E7" i="26"/>
  <c r="A3" i="26"/>
  <c r="A5" i="26" l="1"/>
  <c r="A6" i="26" s="1"/>
  <c r="A7" i="26" s="1"/>
  <c r="G4" i="25"/>
  <c r="G6" i="25" s="1"/>
  <c r="A3" i="25"/>
  <c r="A4" i="25" s="1"/>
  <c r="A5" i="25" s="1"/>
  <c r="A6" i="25" s="1"/>
  <c r="A7" i="25" s="1"/>
  <c r="G7" i="23" l="1"/>
  <c r="E6" i="23"/>
  <c r="E5" i="23"/>
  <c r="E7" i="23" s="1"/>
  <c r="G4" i="23"/>
  <c r="G6" i="23" s="1"/>
  <c r="E4" i="23"/>
  <c r="A3" i="23"/>
  <c r="A4" i="23" s="1"/>
  <c r="A5" i="23" s="1"/>
  <c r="A6" i="23" s="1"/>
  <c r="A7" i="23" s="1"/>
  <c r="A3" i="22" l="1"/>
  <c r="A4" i="22" s="1"/>
  <c r="A5" i="22" s="1"/>
  <c r="A6" i="22" s="1"/>
  <c r="A7" i="22" s="1"/>
  <c r="E7" i="20" l="1"/>
  <c r="I9" i="13" l="1"/>
  <c r="A9" i="13"/>
  <c r="G8" i="13" l="1"/>
  <c r="G7" i="13"/>
  <c r="A7" i="13"/>
  <c r="A6" i="13"/>
  <c r="G5" i="13"/>
  <c r="A5" i="13"/>
  <c r="D4" i="13"/>
  <c r="G4" i="19" l="1"/>
  <c r="G6" i="19" s="1"/>
  <c r="A3" i="19"/>
  <c r="A4" i="19" s="1"/>
  <c r="A5" i="19" s="1"/>
  <c r="A6" i="19" s="1"/>
  <c r="A7" i="19" s="1"/>
  <c r="A3" i="18" l="1"/>
  <c r="A4" i="18" s="1"/>
  <c r="A5" i="18" s="1"/>
  <c r="A6" i="18" s="1"/>
  <c r="A7" i="18" s="1"/>
  <c r="G8" i="17" l="1"/>
  <c r="E5" i="17"/>
  <c r="E7" i="17" s="1"/>
  <c r="G4" i="17"/>
  <c r="E4" i="17"/>
  <c r="E6" i="17" s="1"/>
  <c r="E8" i="17" s="1"/>
  <c r="G5" i="17"/>
  <c r="G7" i="17" s="1"/>
  <c r="A3" i="17"/>
  <c r="A4" i="17" s="1"/>
  <c r="A5" i="17" s="1"/>
  <c r="A6" i="17" s="1"/>
  <c r="A7" i="17" s="1"/>
  <c r="A8" i="17" s="1"/>
  <c r="A4" i="16" l="1"/>
  <c r="A5" i="16" s="1"/>
  <c r="A6" i="16" s="1"/>
  <c r="A7" i="16" s="1"/>
  <c r="A3" i="16"/>
  <c r="A9" i="14" l="1"/>
  <c r="A8" i="14"/>
  <c r="E7" i="14" l="1"/>
  <c r="A3" i="14"/>
  <c r="A4" i="14" s="1"/>
  <c r="A5" i="14" s="1"/>
  <c r="A6" i="14" s="1"/>
  <c r="A7" i="14" s="1"/>
  <c r="A3" i="13" l="1"/>
  <c r="A4" i="13" l="1"/>
  <c r="G4" i="12"/>
  <c r="G6" i="12" s="1"/>
  <c r="A3" i="12"/>
  <c r="A4" i="12" s="1"/>
  <c r="A5" i="12" s="1"/>
  <c r="A6" i="12" s="1"/>
  <c r="A7" i="12" s="1"/>
  <c r="G3" i="11" l="1"/>
  <c r="G4" i="11" s="1"/>
  <c r="G5" i="11" s="1"/>
  <c r="G6" i="11" s="1"/>
  <c r="G7" i="11" s="1"/>
  <c r="A3" i="11"/>
  <c r="A4" i="11" s="1"/>
  <c r="A5" i="11" s="1"/>
  <c r="A6" i="11" s="1"/>
  <c r="A7" i="11" s="1"/>
  <c r="A5" i="10" l="1"/>
  <c r="G8" i="10"/>
  <c r="E5" i="10"/>
  <c r="E7" i="10" s="1"/>
  <c r="G4" i="10"/>
  <c r="E4" i="10"/>
  <c r="E6" i="10" s="1"/>
  <c r="E8" i="10" s="1"/>
  <c r="G3" i="10"/>
  <c r="G5" i="10" s="1"/>
  <c r="G7" i="10" s="1"/>
  <c r="A3" i="10"/>
  <c r="A4" i="10" s="1"/>
  <c r="A6" i="10" l="1"/>
  <c r="A7" i="10" s="1"/>
  <c r="A8" i="10" s="1"/>
  <c r="E7" i="5"/>
  <c r="E6" i="5"/>
  <c r="E5" i="5"/>
  <c r="G3" i="5" l="1"/>
  <c r="G4" i="5" s="1"/>
  <c r="G5" i="5" s="1"/>
  <c r="G6" i="5" s="1"/>
  <c r="G7" i="5" s="1"/>
  <c r="A3" i="5"/>
  <c r="A4" i="5" s="1"/>
  <c r="A5" i="5" s="1"/>
  <c r="A6" i="5" s="1"/>
  <c r="A7" i="5" s="1"/>
  <c r="G3" i="4" l="1"/>
  <c r="A6" i="4"/>
  <c r="A7" i="4" s="1"/>
  <c r="A8" i="4" s="1"/>
  <c r="A9" i="4" s="1"/>
  <c r="A5" i="4"/>
  <c r="A4" i="4"/>
  <c r="A3" i="4"/>
  <c r="G9" i="4"/>
  <c r="G6" i="4"/>
  <c r="G8" i="4" s="1"/>
  <c r="E6" i="4"/>
  <c r="E8" i="4" s="1"/>
  <c r="D5" i="4"/>
  <c r="G4" i="4"/>
  <c r="E4" i="4"/>
  <c r="E7" i="4" s="1"/>
  <c r="E9" i="4" s="1"/>
  <c r="A8" i="2" l="1"/>
  <c r="E6" i="2"/>
  <c r="G4" i="2"/>
  <c r="G6" i="2" s="1"/>
  <c r="E4" i="2"/>
  <c r="A3" i="2"/>
  <c r="A4" i="2" s="1"/>
  <c r="A5" i="2" s="1"/>
  <c r="A6" i="2" s="1"/>
  <c r="A7" i="2" s="1"/>
  <c r="A8" i="1" l="1"/>
  <c r="G4" i="1" l="1"/>
  <c r="G5" i="1" s="1"/>
  <c r="G6" i="1" s="1"/>
  <c r="G7" i="1" s="1"/>
  <c r="G3" i="1"/>
  <c r="A4" i="1"/>
  <c r="A5" i="1" s="1"/>
  <c r="A6" i="1" s="1"/>
  <c r="A7" i="1" s="1"/>
  <c r="A3" i="1"/>
</calcChain>
</file>

<file path=xl/sharedStrings.xml><?xml version="1.0" encoding="utf-8"?>
<sst xmlns="http://schemas.openxmlformats.org/spreadsheetml/2006/main" count="2234" uniqueCount="408">
  <si>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</si>
  <si>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</si>
  <si>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</si>
  <si>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</si>
  <si>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</si>
  <si>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</si>
  <si>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</si>
  <si>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</si>
  <si>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</si>
  <si>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</si>
  <si>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</si>
  <si>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</si>
  <si>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</si>
  <si>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</si>
  <si>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</si>
  <si>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</si>
  <si>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</si>
  <si>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</si>
  <si>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</si>
  <si>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</si>
  <si>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</si>
  <si>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</si>
  <si>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</si>
  <si>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</si>
  <si>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HALWO</t>
  </si>
  <si>
    <t>SCHEDULED</t>
  </si>
  <si>
    <t>W64298</t>
  </si>
  <si>
    <t>W64297</t>
  </si>
  <si>
    <t>TZL-MMX-TZL</t>
  </si>
  <si>
    <t>W64292</t>
  </si>
  <si>
    <t>W64291</t>
  </si>
  <si>
    <t>TZL-NYO-TZL</t>
  </si>
  <si>
    <t>W64282</t>
  </si>
  <si>
    <t>W64281</t>
  </si>
  <si>
    <t>TZL-GOT-TZL</t>
  </si>
  <si>
    <t>W64296</t>
  </si>
  <si>
    <t>W64295</t>
  </si>
  <si>
    <t>TZL-MLH-TZL</t>
  </si>
  <si>
    <t>W64294</t>
  </si>
  <si>
    <t>W64293</t>
  </si>
  <si>
    <t>TZL-CGN-TZL</t>
  </si>
  <si>
    <t>W64300</t>
  </si>
  <si>
    <t>W64299</t>
  </si>
  <si>
    <t>HALWV</t>
  </si>
  <si>
    <t>177+4INF</t>
  </si>
  <si>
    <t>175+3INF</t>
  </si>
  <si>
    <t>176+3 INF</t>
  </si>
  <si>
    <t>148+6 INF</t>
  </si>
  <si>
    <t>169+1 INF</t>
  </si>
  <si>
    <t>173+6 INF</t>
  </si>
  <si>
    <t>HELIMASTER</t>
  </si>
  <si>
    <t>R44</t>
  </si>
  <si>
    <t>YUHTB</t>
  </si>
  <si>
    <t>INT. NON SCHED.</t>
  </si>
  <si>
    <t>-</t>
  </si>
  <si>
    <t>CREW ONLY</t>
  </si>
  <si>
    <t>BEG-TZL-BEG</t>
  </si>
  <si>
    <t>124+2 INF</t>
  </si>
  <si>
    <t>155+2 INF</t>
  </si>
  <si>
    <t>177+1 INF</t>
  </si>
  <si>
    <t>179+4 INF</t>
  </si>
  <si>
    <t>170+4 INF</t>
  </si>
  <si>
    <t>148+0 INF</t>
  </si>
  <si>
    <t>TZL-VXO-TZL</t>
  </si>
  <si>
    <t>W64612</t>
  </si>
  <si>
    <t>W64611</t>
  </si>
  <si>
    <t>TZL-FKB-TZL</t>
  </si>
  <si>
    <t>W64618</t>
  </si>
  <si>
    <t>W64617</t>
  </si>
  <si>
    <t>MIRKO ANZEL</t>
  </si>
  <si>
    <t>BE-36</t>
  </si>
  <si>
    <t>T7BEN</t>
  </si>
  <si>
    <t>NON. SCHD</t>
  </si>
  <si>
    <t>CREW</t>
  </si>
  <si>
    <t>180+1INF</t>
  </si>
  <si>
    <t>144+3INF</t>
  </si>
  <si>
    <t>150+3INF</t>
  </si>
  <si>
    <t>88+4INF</t>
  </si>
  <si>
    <t>156+1INF</t>
  </si>
  <si>
    <t>178+1INF</t>
  </si>
  <si>
    <t>80+0 INF</t>
  </si>
  <si>
    <t>108+2 INF</t>
  </si>
  <si>
    <t>173+4 INF</t>
  </si>
  <si>
    <t>154+7 INF</t>
  </si>
  <si>
    <t>140+1 INF</t>
  </si>
  <si>
    <t>92+4 INF</t>
  </si>
  <si>
    <t>TZL-VIE-TZL</t>
  </si>
  <si>
    <t>HA-LWO</t>
  </si>
  <si>
    <t>W64286</t>
  </si>
  <si>
    <t>W64285</t>
  </si>
  <si>
    <t>TZL-HHN-TZL</t>
  </si>
  <si>
    <t>W64284</t>
  </si>
  <si>
    <t>W64283</t>
  </si>
  <si>
    <t>TZL-FMM-TZL</t>
  </si>
  <si>
    <t>W64280</t>
  </si>
  <si>
    <t>W64279</t>
  </si>
  <si>
    <t>FREEBIRD</t>
  </si>
  <si>
    <t>AYT-TZL-AYT</t>
  </si>
  <si>
    <t>NONSCH/CHARTER</t>
  </si>
  <si>
    <t>FHY821</t>
  </si>
  <si>
    <t>FHY822</t>
  </si>
  <si>
    <t>TZL-EIN-TZL</t>
  </si>
  <si>
    <t>W64290</t>
  </si>
  <si>
    <t>W64289</t>
  </si>
  <si>
    <t>TZL-FDH-TZL</t>
  </si>
  <si>
    <t>W64616</t>
  </si>
  <si>
    <t>W64615</t>
  </si>
  <si>
    <t>TZL-BLL-TZL</t>
  </si>
  <si>
    <t>W64278</t>
  </si>
  <si>
    <t>W64277</t>
  </si>
  <si>
    <t>TZL-SXF-TZL</t>
  </si>
  <si>
    <t>W64276</t>
  </si>
  <si>
    <t>W64275</t>
  </si>
  <si>
    <t>HA-LWV</t>
  </si>
  <si>
    <t>160+1 INF</t>
  </si>
  <si>
    <t>174+6 INF</t>
  </si>
  <si>
    <t>166+4 INF</t>
  </si>
  <si>
    <t>180+6 INF</t>
  </si>
  <si>
    <t>179+10 INF</t>
  </si>
  <si>
    <t>173+2 INF</t>
  </si>
  <si>
    <t>125+0 INF</t>
  </si>
  <si>
    <t>100+5 INF</t>
  </si>
  <si>
    <t>100+4INF</t>
  </si>
  <si>
    <t>171+3INF</t>
  </si>
  <si>
    <t>PROAIR AVIATION</t>
  </si>
  <si>
    <t>SJJ-TZL</t>
  </si>
  <si>
    <t>CRJ2</t>
  </si>
  <si>
    <t>DAGRA</t>
  </si>
  <si>
    <t>GEN AVI</t>
  </si>
  <si>
    <t>PAV251</t>
  </si>
  <si>
    <t>ROP</t>
  </si>
  <si>
    <t>129+6INF</t>
  </si>
  <si>
    <t>59+0INF</t>
  </si>
  <si>
    <t>161+1INF</t>
  </si>
  <si>
    <t>167+5INF</t>
  </si>
  <si>
    <t>TCFBR</t>
  </si>
  <si>
    <t>164+1INF</t>
  </si>
  <si>
    <t>HALWF</t>
  </si>
  <si>
    <t>155+3 INF</t>
  </si>
  <si>
    <t>116+1 INF</t>
  </si>
  <si>
    <t>128+1 INF</t>
  </si>
  <si>
    <t>172+0 INF</t>
  </si>
  <si>
    <t>173+3 INF</t>
  </si>
  <si>
    <t>TZL-BLL</t>
  </si>
  <si>
    <t>112+2INF</t>
  </si>
  <si>
    <t>149+3INF</t>
  </si>
  <si>
    <t>174+3INF</t>
  </si>
  <si>
    <t>176+7INF</t>
  </si>
  <si>
    <t>110+3INF</t>
  </si>
  <si>
    <t>141+0INF</t>
  </si>
  <si>
    <t>139+4 INF</t>
  </si>
  <si>
    <t>176+4 INF</t>
  </si>
  <si>
    <t>120+2 INF</t>
  </si>
  <si>
    <t>177+3 INF</t>
  </si>
  <si>
    <t>139+2 INF</t>
  </si>
  <si>
    <t>168+1 INF</t>
  </si>
  <si>
    <t>130+4 INF</t>
  </si>
  <si>
    <t>172+4 INF</t>
  </si>
  <si>
    <t>134+2 INF</t>
  </si>
  <si>
    <t>151+4 INF</t>
  </si>
  <si>
    <t>101+2 INF</t>
  </si>
  <si>
    <t>132+6 INF</t>
  </si>
  <si>
    <t>147+2 INF</t>
  </si>
  <si>
    <t>178+3 INF</t>
  </si>
  <si>
    <t>HALWC</t>
  </si>
  <si>
    <t>149+2 INF</t>
  </si>
  <si>
    <t>162+2 NIF</t>
  </si>
  <si>
    <t>146+1 INF</t>
  </si>
  <si>
    <t>155+4 INF</t>
  </si>
  <si>
    <t>167+0 INF</t>
  </si>
  <si>
    <t>175+6 INF</t>
  </si>
  <si>
    <t>169+6 INF</t>
  </si>
  <si>
    <t>144+4 INF</t>
  </si>
  <si>
    <t>166+3 INF</t>
  </si>
  <si>
    <t>145+4 INF</t>
  </si>
  <si>
    <t>HA-LWF</t>
  </si>
  <si>
    <t>162+4INF</t>
  </si>
  <si>
    <t>173+7INF</t>
  </si>
  <si>
    <t>152+1INF</t>
  </si>
  <si>
    <t>158+6INF</t>
  </si>
  <si>
    <t>151+1INF</t>
  </si>
  <si>
    <t>175+9INF</t>
  </si>
  <si>
    <t>179+5INF</t>
  </si>
  <si>
    <t>178+5 INF</t>
  </si>
  <si>
    <t>172+6 INF</t>
  </si>
  <si>
    <t>142+0 INF</t>
  </si>
  <si>
    <t>137+2 INF</t>
  </si>
  <si>
    <t>175+1 INF</t>
  </si>
  <si>
    <t>169+2INF</t>
  </si>
  <si>
    <t>167+4INF</t>
  </si>
  <si>
    <t>159+3INF</t>
  </si>
  <si>
    <t>131+0INF</t>
  </si>
  <si>
    <t>157+1INF</t>
  </si>
  <si>
    <t>180+3INF</t>
  </si>
  <si>
    <t>112+0 INF</t>
  </si>
  <si>
    <t>142+3 NIF</t>
  </si>
  <si>
    <t>172+2 INF</t>
  </si>
  <si>
    <t>174+2 INF</t>
  </si>
  <si>
    <t>163+6 INF</t>
  </si>
  <si>
    <t>121+2 INF</t>
  </si>
  <si>
    <t>HALPJ</t>
  </si>
  <si>
    <t>122+3 INF</t>
  </si>
  <si>
    <t>82+4 INF</t>
  </si>
  <si>
    <t>167+4 INF</t>
  </si>
  <si>
    <t>162+3 INF</t>
  </si>
  <si>
    <t>146+2 INF</t>
  </si>
  <si>
    <t>171+2 INF</t>
  </si>
  <si>
    <t>US AIR FORCE</t>
  </si>
  <si>
    <t>RMS-TZL-RMS</t>
  </si>
  <si>
    <t>C-130</t>
  </si>
  <si>
    <t>86-0419</t>
  </si>
  <si>
    <t>NON SCHEDULED</t>
  </si>
  <si>
    <t>70.00</t>
  </si>
  <si>
    <t>HERKY32</t>
  </si>
  <si>
    <t>72+3INF</t>
  </si>
  <si>
    <t>54+2INF</t>
  </si>
  <si>
    <t>94+1INF</t>
  </si>
  <si>
    <t>170+3INF</t>
  </si>
  <si>
    <t>172+4INF</t>
  </si>
  <si>
    <t>64+2INF</t>
  </si>
  <si>
    <t>168+3INF</t>
  </si>
  <si>
    <t>172+3INF</t>
  </si>
  <si>
    <t>136+3INF</t>
  </si>
  <si>
    <t>109+2INF</t>
  </si>
  <si>
    <t>126+2INF</t>
  </si>
  <si>
    <t>167+3INF</t>
  </si>
  <si>
    <t>177+2INF</t>
  </si>
  <si>
    <t>OSBIH</t>
  </si>
  <si>
    <t>UH1H</t>
  </si>
  <si>
    <t>R620</t>
  </si>
  <si>
    <t>R625</t>
  </si>
  <si>
    <t>MILITARY</t>
  </si>
  <si>
    <t>121+1INF</t>
  </si>
  <si>
    <t>131+1INF</t>
  </si>
  <si>
    <t>116+2INF</t>
  </si>
  <si>
    <t>176+5INF</t>
  </si>
  <si>
    <t>124+4INF</t>
  </si>
  <si>
    <t>144+1INF</t>
  </si>
  <si>
    <t>95+3INF</t>
  </si>
  <si>
    <t>124+3INF</t>
  </si>
  <si>
    <t>171+8INF</t>
  </si>
  <si>
    <t>179+2INF</t>
  </si>
  <si>
    <t>119+3INF</t>
  </si>
  <si>
    <t>EUFOR</t>
  </si>
  <si>
    <t>BUT-TZL-BUT</t>
  </si>
  <si>
    <t>PC6T</t>
  </si>
  <si>
    <t>3GEH</t>
  </si>
  <si>
    <t>PORTA06</t>
  </si>
  <si>
    <t>152+3 INF</t>
  </si>
  <si>
    <t>171+14 INF</t>
  </si>
  <si>
    <t>117+2 INF</t>
  </si>
  <si>
    <t>171+3 INF</t>
  </si>
  <si>
    <t>102+3 INF</t>
  </si>
  <si>
    <t>121+3 INF</t>
  </si>
  <si>
    <t>171+4INF</t>
  </si>
  <si>
    <t>Cancelled</t>
  </si>
  <si>
    <t>161+0INF</t>
  </si>
  <si>
    <t>169+1INF</t>
  </si>
  <si>
    <t>180+5INF</t>
  </si>
  <si>
    <t>168+2INF</t>
  </si>
  <si>
    <t>160+2INF</t>
  </si>
  <si>
    <t>173+6INF</t>
  </si>
  <si>
    <t>149+1INF</t>
  </si>
  <si>
    <t>174+8INF</t>
  </si>
  <si>
    <t>175+5INF</t>
  </si>
  <si>
    <t>159+2INF</t>
  </si>
  <si>
    <t>172+5INF</t>
  </si>
  <si>
    <t>170+4INF</t>
  </si>
  <si>
    <t>148+6INF</t>
  </si>
  <si>
    <t>168+5INF</t>
  </si>
  <si>
    <t>151+0INF</t>
  </si>
  <si>
    <t>165+4INF</t>
  </si>
  <si>
    <t>155+0INF</t>
  </si>
  <si>
    <t>168+7INF</t>
  </si>
  <si>
    <t>134+4INF</t>
  </si>
  <si>
    <t>174+0INF</t>
  </si>
  <si>
    <t>165+1INF</t>
  </si>
  <si>
    <t>101+2INF</t>
  </si>
  <si>
    <t>146+3INF</t>
  </si>
  <si>
    <t>170+2INF</t>
  </si>
  <si>
    <t>155+0 INF</t>
  </si>
  <si>
    <t>160+2 INF</t>
  </si>
  <si>
    <t>167+3 INF</t>
  </si>
  <si>
    <t>68+1 INF</t>
  </si>
  <si>
    <t>81+0INF</t>
  </si>
  <si>
    <t>81+2INF</t>
  </si>
  <si>
    <t>158+5INF</t>
  </si>
  <si>
    <t>SWISS AIR AMBULANCE</t>
  </si>
  <si>
    <t>ZRH-TZL-ZRH</t>
  </si>
  <si>
    <t>CL650</t>
  </si>
  <si>
    <t>HB-JWB</t>
  </si>
  <si>
    <t>NONSCHEDULED</t>
  </si>
  <si>
    <t>SAZ61</t>
  </si>
  <si>
    <t>SAZ62</t>
  </si>
  <si>
    <t>150+2INF</t>
  </si>
  <si>
    <t>113+4INF</t>
  </si>
  <si>
    <t>TCFHY</t>
  </si>
  <si>
    <t>138+3 INF</t>
  </si>
  <si>
    <t>177+4 INF</t>
  </si>
  <si>
    <t>161+3 INF</t>
  </si>
  <si>
    <t>146+3 INF</t>
  </si>
  <si>
    <t>AERO-DIENST</t>
  </si>
  <si>
    <t>BOJ-TZL-BOJ</t>
  </si>
  <si>
    <t>B350</t>
  </si>
  <si>
    <t>D-CUTE</t>
  </si>
  <si>
    <t>MEDEVAC</t>
  </si>
  <si>
    <t>ADNA12</t>
  </si>
  <si>
    <t>147+5 INF</t>
  </si>
  <si>
    <t>154+1 INF</t>
  </si>
  <si>
    <t>171+0 INF</t>
  </si>
  <si>
    <t>142+1 INF</t>
  </si>
  <si>
    <t>162+4 INF</t>
  </si>
  <si>
    <t>HALYU</t>
  </si>
  <si>
    <t>165+4 INF</t>
  </si>
  <si>
    <t>175+2INF</t>
  </si>
  <si>
    <t>138+1INF</t>
  </si>
  <si>
    <t>169+3INF</t>
  </si>
  <si>
    <t>138+6INF</t>
  </si>
  <si>
    <t>157+1 INF</t>
  </si>
  <si>
    <t>140+3 INF</t>
  </si>
  <si>
    <t>175+5 INF</t>
  </si>
  <si>
    <t>178+3INF</t>
  </si>
  <si>
    <t>155+3INF</t>
  </si>
  <si>
    <t>167+2 INF</t>
  </si>
  <si>
    <t>141+0 INF</t>
  </si>
  <si>
    <t>BEG-TZL-OMO</t>
  </si>
  <si>
    <t>YU-HTB</t>
  </si>
  <si>
    <t>NON-SCHEDULED</t>
  </si>
  <si>
    <t>170+3 INF</t>
  </si>
  <si>
    <t>158+2 INF</t>
  </si>
  <si>
    <t>180+2INF</t>
  </si>
  <si>
    <t>166+3INF</t>
  </si>
  <si>
    <t>156+6INF</t>
  </si>
  <si>
    <t>169+4INF</t>
  </si>
  <si>
    <t>167+6INF</t>
  </si>
  <si>
    <t>156+0INF</t>
  </si>
  <si>
    <t>163+1INF</t>
  </si>
  <si>
    <t>138+2INF</t>
  </si>
  <si>
    <t>161+2INF</t>
  </si>
  <si>
    <t>161+5INF</t>
  </si>
  <si>
    <t>168+0INF</t>
  </si>
  <si>
    <t>174+4INF</t>
  </si>
  <si>
    <t>170+1INF</t>
  </si>
  <si>
    <t>157+0INF</t>
  </si>
  <si>
    <t>168+4INF</t>
  </si>
  <si>
    <t>136+2INF</t>
  </si>
  <si>
    <t>160+0INF</t>
  </si>
  <si>
    <t>178+0INF</t>
  </si>
  <si>
    <t>172+1INF</t>
  </si>
  <si>
    <t>154+2INF</t>
  </si>
  <si>
    <t>171+2INF</t>
  </si>
  <si>
    <t>161+3INF</t>
  </si>
  <si>
    <t>138+3INF</t>
  </si>
  <si>
    <t>159+0INF</t>
  </si>
  <si>
    <t>164+9INF</t>
  </si>
  <si>
    <t>109+0 INF</t>
  </si>
  <si>
    <t>63+1 INF</t>
  </si>
  <si>
    <t>175+3 INF</t>
  </si>
  <si>
    <t>167+5 INF</t>
  </si>
  <si>
    <t>168+3 INF</t>
  </si>
  <si>
    <t>157+3 INF</t>
  </si>
  <si>
    <t>162+2INF</t>
  </si>
  <si>
    <t>166+4INF</t>
  </si>
  <si>
    <t>114+3INF</t>
  </si>
  <si>
    <t>163+4INF</t>
  </si>
  <si>
    <t>165+3INF</t>
  </si>
  <si>
    <t>163+6INF</t>
  </si>
  <si>
    <t>152+6INF</t>
  </si>
  <si>
    <t>99+3INF</t>
  </si>
  <si>
    <t>168+1INF</t>
  </si>
  <si>
    <t>166+1INF</t>
  </si>
  <si>
    <t>HALPT</t>
  </si>
  <si>
    <t>HALWC/HALPT</t>
  </si>
  <si>
    <t>163+2INF</t>
  </si>
  <si>
    <t>176+3INF</t>
  </si>
  <si>
    <t>163+2 INF</t>
  </si>
  <si>
    <t>172+6INF</t>
  </si>
  <si>
    <t>175+6INF</t>
  </si>
  <si>
    <t>176+2INF</t>
  </si>
  <si>
    <t>159+5 INF</t>
  </si>
  <si>
    <t>154+6 INF</t>
  </si>
  <si>
    <t>173+1 INF</t>
  </si>
  <si>
    <t>HALYO</t>
  </si>
  <si>
    <t>177+2 INF</t>
  </si>
  <si>
    <t>160+4 INF</t>
  </si>
  <si>
    <t>170+1 INF</t>
  </si>
  <si>
    <t>163+5 INF</t>
  </si>
  <si>
    <t>165+3 INF</t>
  </si>
  <si>
    <t>148+1 INF</t>
  </si>
  <si>
    <t>172+1 INF</t>
  </si>
  <si>
    <t>174+0 INF</t>
  </si>
  <si>
    <t>179+1INF</t>
  </si>
  <si>
    <t>163+0INF</t>
  </si>
  <si>
    <t>173+5INF</t>
  </si>
  <si>
    <t>142+1INF</t>
  </si>
  <si>
    <t>171+9INF</t>
  </si>
  <si>
    <t>165+2INF</t>
  </si>
  <si>
    <t>HALOY</t>
  </si>
  <si>
    <t>172+5 INF</t>
  </si>
  <si>
    <t>164+2 INF</t>
  </si>
  <si>
    <t>168+5 INF</t>
  </si>
  <si>
    <t>149+3 INF</t>
  </si>
  <si>
    <t>160+0 INF</t>
  </si>
  <si>
    <t>180+0 INF</t>
  </si>
  <si>
    <t>127+4INF</t>
  </si>
  <si>
    <t>131+3INF</t>
  </si>
  <si>
    <t>178+4INF</t>
  </si>
  <si>
    <t>143+5INF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</si>
</sst>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center"/>
    </xf>
    <xf numFmtId="0" fontId="1" fillId="0" borderId="0" xfId="0" applyFont="1" applyBorder="1" applyAlignment="1" applyProtection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20" fontId="3" fillId="2" borderId="0" xfId="1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selection activeCell="J21" sqref="J21"/>
    </sheetView>
  </sheetViews>
  <sheetFormatPr defaultRowHeight="15" x14ac:dyDescent="0.25"/>
  <cols>
    <col min="2" max="2" width="12" customWidth="1"/>
    <col min="3" max="3" width="14.42578125" customWidth="1"/>
    <col min="4" max="4" width="7" customWidth="1"/>
    <col min="6" max="6" width="16.5703125" bestFit="1" customWidth="1"/>
    <col min="10" max="10" width="10.7109375" customWidth="1"/>
    <col min="11" max="11" width="11" customWidth="1"/>
    <col min="12" max="12" width="10.85546875" customWidth="1"/>
    <col min="13" max="13" width="10.7109375" customWidth="1"/>
    <col min="14" max="14" width="17.7109375" customWidth="1"/>
    <col min="15" max="15" width="17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5" x14ac:dyDescent="0.25">
      <c r="A2" s="4">
        <v>43709</v>
      </c>
      <c r="B2" s="5" t="s">
        <v>21</v>
      </c>
      <c r="C2" s="5" t="s">
        <v>22</v>
      </c>
      <c r="D2" s="5" t="s">
        <v>23</v>
      </c>
      <c r="E2" s="5" t="s">
        <v>43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0.44444444444444442</v>
      </c>
      <c r="L2" s="7">
        <v>0.25694444444444448</v>
      </c>
      <c r="M2" s="8">
        <v>0.26041666666666669</v>
      </c>
      <c r="N2" s="10" t="s">
        <v>46</v>
      </c>
      <c r="O2" s="9" t="s">
        <v>44</v>
      </c>
      <c r="P2" s="10">
        <v>1171</v>
      </c>
      <c r="Q2" s="9">
        <v>978</v>
      </c>
      <c r="R2" s="5">
        <v>0</v>
      </c>
      <c r="S2" s="5">
        <v>0</v>
      </c>
      <c r="T2" s="5">
        <v>0</v>
      </c>
      <c r="U2" s="5">
        <v>0</v>
      </c>
    </row>
    <row r="3" spans="1:25" x14ac:dyDescent="0.25">
      <c r="A3" s="4">
        <f>A2</f>
        <v>43709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f>G2</f>
        <v>71500</v>
      </c>
      <c r="H3" s="5" t="s">
        <v>29</v>
      </c>
      <c r="I3" s="5" t="s">
        <v>30</v>
      </c>
      <c r="J3" s="7">
        <v>0.4861111111111111</v>
      </c>
      <c r="K3" s="2">
        <v>0.48958333333333331</v>
      </c>
      <c r="L3" s="7">
        <v>0.28125</v>
      </c>
      <c r="M3" s="8">
        <v>0.30486111111111108</v>
      </c>
      <c r="N3" s="9" t="s">
        <v>47</v>
      </c>
      <c r="O3" s="9" t="s">
        <v>45</v>
      </c>
      <c r="P3" s="10">
        <v>673</v>
      </c>
      <c r="Q3" s="9">
        <v>962</v>
      </c>
      <c r="R3" s="5">
        <v>0</v>
      </c>
      <c r="S3" s="5">
        <v>0</v>
      </c>
      <c r="T3" s="5">
        <v>0</v>
      </c>
      <c r="U3" s="5">
        <v>0</v>
      </c>
    </row>
    <row r="4" spans="1:25" x14ac:dyDescent="0.25">
      <c r="A4" s="4">
        <f t="shared" ref="A4:A8" si="0">A3</f>
        <v>43709</v>
      </c>
      <c r="B4" s="3" t="s">
        <v>21</v>
      </c>
      <c r="C4" s="3" t="s">
        <v>31</v>
      </c>
      <c r="D4" s="3" t="s">
        <v>23</v>
      </c>
      <c r="E4" s="5" t="s">
        <v>43</v>
      </c>
      <c r="F4" s="3" t="s">
        <v>25</v>
      </c>
      <c r="G4" s="6">
        <f t="shared" ref="G4:G7" si="1">G3</f>
        <v>71500</v>
      </c>
      <c r="H4" s="3" t="s">
        <v>32</v>
      </c>
      <c r="I4" s="3" t="s">
        <v>33</v>
      </c>
      <c r="J4" s="13">
        <v>0.72569444444444453</v>
      </c>
      <c r="K4" s="2">
        <v>0.7597222222222223</v>
      </c>
      <c r="L4" s="13">
        <v>0.48958333333333331</v>
      </c>
      <c r="M4" s="2">
        <v>0.51874999999999993</v>
      </c>
      <c r="N4" s="3" t="s">
        <v>57</v>
      </c>
      <c r="O4" s="3" t="s">
        <v>48</v>
      </c>
      <c r="P4" s="3">
        <v>943</v>
      </c>
      <c r="Q4" s="9">
        <v>1291</v>
      </c>
      <c r="R4" s="3">
        <v>0</v>
      </c>
      <c r="S4" s="3">
        <v>0</v>
      </c>
      <c r="T4" s="3">
        <v>0</v>
      </c>
      <c r="U4" s="3">
        <v>0</v>
      </c>
    </row>
    <row r="5" spans="1:25" x14ac:dyDescent="0.25">
      <c r="A5" s="4">
        <f t="shared" si="0"/>
        <v>43709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f t="shared" si="1"/>
        <v>71500</v>
      </c>
      <c r="H5" s="3" t="s">
        <v>35</v>
      </c>
      <c r="I5" s="3" t="s">
        <v>36</v>
      </c>
      <c r="J5" s="13">
        <v>0.74652777777777779</v>
      </c>
      <c r="K5" s="2">
        <v>0.79722222222222217</v>
      </c>
      <c r="L5" s="13">
        <v>0.51736111111111105</v>
      </c>
      <c r="M5" s="2">
        <v>0.55138888888888882</v>
      </c>
      <c r="N5" s="3" t="s">
        <v>58</v>
      </c>
      <c r="O5" s="3" t="s">
        <v>49</v>
      </c>
      <c r="P5" s="3">
        <v>1112</v>
      </c>
      <c r="Q5" s="9">
        <v>1453</v>
      </c>
      <c r="R5" s="3">
        <v>0</v>
      </c>
      <c r="S5" s="3">
        <v>0</v>
      </c>
      <c r="T5" s="3">
        <v>0</v>
      </c>
      <c r="U5" s="3">
        <v>0</v>
      </c>
    </row>
    <row r="6" spans="1:25" x14ac:dyDescent="0.25">
      <c r="A6" s="4">
        <f t="shared" si="0"/>
        <v>43709</v>
      </c>
      <c r="B6" s="3" t="s">
        <v>21</v>
      </c>
      <c r="C6" s="3" t="s">
        <v>37</v>
      </c>
      <c r="D6" s="3" t="s">
        <v>23</v>
      </c>
      <c r="E6" s="5" t="s">
        <v>43</v>
      </c>
      <c r="F6" s="3" t="s">
        <v>25</v>
      </c>
      <c r="G6" s="6">
        <f t="shared" si="1"/>
        <v>71500</v>
      </c>
      <c r="H6" s="5" t="s">
        <v>38</v>
      </c>
      <c r="I6" s="5" t="s">
        <v>39</v>
      </c>
      <c r="J6" s="11">
        <v>0.91666666666666663</v>
      </c>
      <c r="K6" s="2">
        <v>0.98263888888888884</v>
      </c>
      <c r="L6" s="11">
        <v>0.74652777777777779</v>
      </c>
      <c r="M6" s="12">
        <v>0.79375000000000007</v>
      </c>
      <c r="N6" s="3" t="s">
        <v>61</v>
      </c>
      <c r="O6" s="3" t="s">
        <v>59</v>
      </c>
      <c r="P6" s="3">
        <v>901</v>
      </c>
      <c r="Q6" s="9">
        <v>907</v>
      </c>
      <c r="R6" s="3">
        <v>0</v>
      </c>
      <c r="S6" s="3">
        <v>0</v>
      </c>
      <c r="T6" s="3">
        <v>0</v>
      </c>
      <c r="U6" s="3">
        <v>0</v>
      </c>
    </row>
    <row r="7" spans="1:25" x14ac:dyDescent="0.25">
      <c r="A7" s="4">
        <f t="shared" si="0"/>
        <v>43709</v>
      </c>
      <c r="B7" s="3" t="s">
        <v>21</v>
      </c>
      <c r="C7" s="3" t="s">
        <v>40</v>
      </c>
      <c r="D7" s="3" t="s">
        <v>23</v>
      </c>
      <c r="E7" s="5" t="s">
        <v>24</v>
      </c>
      <c r="F7" s="3" t="s">
        <v>25</v>
      </c>
      <c r="G7" s="6">
        <f t="shared" si="1"/>
        <v>71500</v>
      </c>
      <c r="H7" s="5" t="s">
        <v>41</v>
      </c>
      <c r="I7" s="5" t="s">
        <v>42</v>
      </c>
      <c r="J7" s="11">
        <v>0.95833333333333337</v>
      </c>
      <c r="K7" s="12">
        <v>2.7083333333333334E-2</v>
      </c>
      <c r="L7" s="11">
        <v>0.76736111111111116</v>
      </c>
      <c r="M7" s="12">
        <v>0.84722222222222221</v>
      </c>
      <c r="N7" s="10" t="s">
        <v>62</v>
      </c>
      <c r="O7" s="10" t="s">
        <v>60</v>
      </c>
      <c r="P7" s="3">
        <v>856</v>
      </c>
      <c r="Q7" s="9">
        <v>1192</v>
      </c>
      <c r="R7" s="3">
        <v>0</v>
      </c>
      <c r="S7" s="3">
        <v>0</v>
      </c>
      <c r="T7" s="3">
        <v>0</v>
      </c>
      <c r="U7" s="3">
        <v>0</v>
      </c>
    </row>
    <row r="8" spans="1:25" x14ac:dyDescent="0.25">
      <c r="A8" s="4">
        <f t="shared" si="0"/>
        <v>43709</v>
      </c>
      <c r="B8" s="3" t="s">
        <v>50</v>
      </c>
      <c r="C8" s="3" t="s">
        <v>56</v>
      </c>
      <c r="D8" s="3" t="s">
        <v>51</v>
      </c>
      <c r="E8" s="5" t="s">
        <v>52</v>
      </c>
      <c r="F8" s="3" t="s">
        <v>53</v>
      </c>
      <c r="G8" s="15">
        <v>1134</v>
      </c>
      <c r="H8" s="15" t="s">
        <v>54</v>
      </c>
      <c r="I8" s="15" t="s">
        <v>54</v>
      </c>
      <c r="J8" s="16">
        <v>0.58333333333333337</v>
      </c>
      <c r="K8" s="16">
        <v>0.57500000000000007</v>
      </c>
      <c r="L8" s="16">
        <v>0.67708333333333337</v>
      </c>
      <c r="M8" s="16">
        <v>0.70486111111111116</v>
      </c>
      <c r="N8" s="15" t="s">
        <v>55</v>
      </c>
      <c r="O8" s="15" t="s">
        <v>55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4"/>
      <c r="W8" s="14"/>
      <c r="X8" s="14"/>
      <c r="Y8" s="14"/>
    </row>
    <row r="9" spans="1:25" x14ac:dyDescent="0.25"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F32" sqref="F32"/>
    </sheetView>
  </sheetViews>
  <sheetFormatPr defaultRowHeight="15" x14ac:dyDescent="0.25"/>
  <cols>
    <col min="2" max="2" width="17" customWidth="1"/>
    <col min="3" max="3" width="13.7109375" customWidth="1"/>
    <col min="4" max="4" width="7.140625" customWidth="1"/>
    <col min="6" max="6" width="12.140625" customWidth="1"/>
    <col min="10" max="10" width="11.140625" customWidth="1"/>
    <col min="11" max="11" width="10.42578125" customWidth="1"/>
    <col min="12" max="12" width="10.140625" customWidth="1"/>
    <col min="13" max="13" width="10.7109375" customWidth="1"/>
    <col min="14" max="14" width="17.7109375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43710</v>
      </c>
      <c r="B2" s="5" t="s">
        <v>21</v>
      </c>
      <c r="C2" s="5" t="s">
        <v>22</v>
      </c>
      <c r="D2" s="5" t="s">
        <v>23</v>
      </c>
      <c r="E2" s="5" t="s">
        <v>43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0.45833333333333331</v>
      </c>
      <c r="L2" s="7">
        <v>0.25694444444444448</v>
      </c>
      <c r="M2" s="8">
        <v>0.27430555555555552</v>
      </c>
      <c r="N2" s="3" t="s">
        <v>76</v>
      </c>
      <c r="O2" s="9" t="s">
        <v>74</v>
      </c>
      <c r="P2" s="9">
        <v>1209</v>
      </c>
      <c r="Q2" s="9">
        <v>893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8" si="0">A2</f>
        <v>43710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0.47430555555555554</v>
      </c>
      <c r="L3" s="7">
        <v>0.28125</v>
      </c>
      <c r="M3" s="8">
        <v>0.29236111111111113</v>
      </c>
      <c r="N3" s="3" t="s">
        <v>77</v>
      </c>
      <c r="O3" s="9" t="s">
        <v>75</v>
      </c>
      <c r="P3" s="5">
        <v>607</v>
      </c>
      <c r="Q3" s="9">
        <v>688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43710</v>
      </c>
      <c r="B4" s="3" t="s">
        <v>21</v>
      </c>
      <c r="C4" s="3" t="s">
        <v>63</v>
      </c>
      <c r="D4" s="3" t="s">
        <v>23</v>
      </c>
      <c r="E4" s="5" t="str">
        <f>E2</f>
        <v>HALWV</v>
      </c>
      <c r="F4" s="3" t="s">
        <v>25</v>
      </c>
      <c r="G4" s="6">
        <f>G2</f>
        <v>71500</v>
      </c>
      <c r="H4" s="3" t="s">
        <v>64</v>
      </c>
      <c r="I4" s="3" t="s">
        <v>65</v>
      </c>
      <c r="J4" s="13">
        <v>0.70833333333333337</v>
      </c>
      <c r="K4" s="2">
        <v>0.71388888888888891</v>
      </c>
      <c r="L4" s="13">
        <v>0.48958333333333331</v>
      </c>
      <c r="M4" s="2">
        <v>0.51250000000000007</v>
      </c>
      <c r="N4" s="15" t="s">
        <v>80</v>
      </c>
      <c r="O4" s="3" t="s">
        <v>78</v>
      </c>
      <c r="P4" s="3">
        <v>485</v>
      </c>
      <c r="Q4" s="9">
        <v>915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43710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0.77083333333333337</v>
      </c>
      <c r="L5" s="13">
        <v>0.51736111111111105</v>
      </c>
      <c r="M5" s="2">
        <v>0.55069444444444449</v>
      </c>
      <c r="N5" s="3" t="s">
        <v>81</v>
      </c>
      <c r="O5" s="3" t="s">
        <v>79</v>
      </c>
      <c r="P5" s="3">
        <v>429</v>
      </c>
      <c r="Q5" s="9">
        <v>1252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43710</v>
      </c>
      <c r="B6" s="3" t="s">
        <v>21</v>
      </c>
      <c r="C6" s="3" t="s">
        <v>37</v>
      </c>
      <c r="D6" s="3" t="s">
        <v>23</v>
      </c>
      <c r="E6" s="5" t="str">
        <f>E2</f>
        <v>HALWV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17">
        <v>0.89930555555555547</v>
      </c>
      <c r="K6" s="2">
        <v>0.8965277777777777</v>
      </c>
      <c r="L6" s="17">
        <v>0.72916666666666663</v>
      </c>
      <c r="M6" s="16">
        <v>0.74375000000000002</v>
      </c>
      <c r="N6" s="3" t="s">
        <v>84</v>
      </c>
      <c r="O6" s="15" t="s">
        <v>82</v>
      </c>
      <c r="P6" s="15">
        <v>879</v>
      </c>
      <c r="Q6" s="9">
        <v>602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43710</v>
      </c>
      <c r="B7" s="15" t="s">
        <v>21</v>
      </c>
      <c r="C7" s="15" t="s">
        <v>66</v>
      </c>
      <c r="D7" s="15" t="s">
        <v>23</v>
      </c>
      <c r="E7" s="5" t="s">
        <v>24</v>
      </c>
      <c r="F7" s="15" t="s">
        <v>25</v>
      </c>
      <c r="G7" s="18">
        <v>71500</v>
      </c>
      <c r="H7" s="15" t="s">
        <v>67</v>
      </c>
      <c r="I7" s="15" t="s">
        <v>68</v>
      </c>
      <c r="J7" s="17">
        <v>0.9375</v>
      </c>
      <c r="K7" s="2">
        <v>0.95833333333333337</v>
      </c>
      <c r="L7" s="17">
        <v>0.76736111111111116</v>
      </c>
      <c r="M7" s="16">
        <v>0.8027777777777777</v>
      </c>
      <c r="N7" s="3" t="s">
        <v>85</v>
      </c>
      <c r="O7" s="3" t="s">
        <v>83</v>
      </c>
      <c r="P7" s="3">
        <v>512</v>
      </c>
      <c r="Q7" s="9">
        <v>784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4">
        <f t="shared" si="0"/>
        <v>43710</v>
      </c>
      <c r="B8" s="3" t="s">
        <v>69</v>
      </c>
      <c r="C8" s="3" t="s">
        <v>56</v>
      </c>
      <c r="D8" s="3" t="s">
        <v>70</v>
      </c>
      <c r="E8" s="5" t="s">
        <v>71</v>
      </c>
      <c r="F8" s="3" t="s">
        <v>72</v>
      </c>
      <c r="G8" s="6">
        <v>1600</v>
      </c>
      <c r="H8" s="5" t="s">
        <v>71</v>
      </c>
      <c r="I8" s="5" t="s">
        <v>71</v>
      </c>
      <c r="J8" s="17">
        <v>0.45833333333333331</v>
      </c>
      <c r="K8" s="16">
        <v>0.40972222222222227</v>
      </c>
      <c r="L8" s="17">
        <v>0.625</v>
      </c>
      <c r="M8" s="16">
        <v>0.56458333333333333</v>
      </c>
      <c r="N8" s="3" t="s">
        <v>73</v>
      </c>
      <c r="O8" s="3" t="s">
        <v>73</v>
      </c>
      <c r="P8" s="3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C31" sqref="C31"/>
    </sheetView>
  </sheetViews>
  <sheetFormatPr defaultRowHeight="12.75" x14ac:dyDescent="0.2"/>
  <cols>
    <col min="1" max="1" width="9.140625" style="14"/>
    <col min="2" max="2" width="22.7109375" style="14" customWidth="1"/>
    <col min="3" max="3" width="14.28515625" style="14" customWidth="1"/>
    <col min="4" max="4" width="12.42578125" style="14" customWidth="1"/>
    <col min="5" max="5" width="9.140625" style="14"/>
    <col min="6" max="6" width="18.140625" style="14" customWidth="1"/>
    <col min="7" max="12" width="9.140625" style="14"/>
    <col min="13" max="13" width="11.42578125" style="14" customWidth="1"/>
    <col min="14" max="14" width="17.5703125" style="14" customWidth="1"/>
    <col min="15" max="15" width="19.5703125" style="14" customWidth="1"/>
    <col min="16" max="16384" width="9.140625" style="14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43711</v>
      </c>
      <c r="B2" s="5" t="s">
        <v>21</v>
      </c>
      <c r="C2" s="5" t="s">
        <v>86</v>
      </c>
      <c r="D2" s="5" t="s">
        <v>23</v>
      </c>
      <c r="E2" s="5" t="s">
        <v>113</v>
      </c>
      <c r="F2" s="5" t="s">
        <v>25</v>
      </c>
      <c r="G2" s="6">
        <v>71500</v>
      </c>
      <c r="H2" s="5" t="s">
        <v>88</v>
      </c>
      <c r="I2" s="5" t="s">
        <v>89</v>
      </c>
      <c r="J2" s="7">
        <v>0.38541666666666669</v>
      </c>
      <c r="K2" s="2">
        <v>0.36874999999999997</v>
      </c>
      <c r="L2" s="7">
        <v>0.25694444444444448</v>
      </c>
      <c r="M2" s="8">
        <v>0.25625000000000003</v>
      </c>
      <c r="N2" s="3" t="s">
        <v>120</v>
      </c>
      <c r="O2" s="9" t="s">
        <v>114</v>
      </c>
      <c r="P2" s="9">
        <v>277</v>
      </c>
      <c r="Q2" s="9">
        <v>375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43711</v>
      </c>
      <c r="B3" s="5" t="s">
        <v>21</v>
      </c>
      <c r="C3" s="5" t="s">
        <v>90</v>
      </c>
      <c r="D3" s="5" t="s">
        <v>23</v>
      </c>
      <c r="E3" s="5" t="s">
        <v>87</v>
      </c>
      <c r="F3" s="5" t="s">
        <v>25</v>
      </c>
      <c r="G3" s="6">
        <f>G2</f>
        <v>71500</v>
      </c>
      <c r="H3" s="5" t="s">
        <v>91</v>
      </c>
      <c r="I3" s="5" t="s">
        <v>92</v>
      </c>
      <c r="J3" s="7">
        <v>0.46180555555555558</v>
      </c>
      <c r="K3" s="2">
        <v>0.46319444444444446</v>
      </c>
      <c r="L3" s="7">
        <v>0.28125</v>
      </c>
      <c r="M3" s="8">
        <v>0.29236111111111113</v>
      </c>
      <c r="N3" s="3" t="s">
        <v>121</v>
      </c>
      <c r="O3" s="9" t="s">
        <v>115</v>
      </c>
      <c r="P3" s="5">
        <v>543</v>
      </c>
      <c r="Q3" s="9">
        <v>1094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>A3</f>
        <v>43711</v>
      </c>
      <c r="B4" s="5" t="s">
        <v>21</v>
      </c>
      <c r="C4" s="3" t="s">
        <v>93</v>
      </c>
      <c r="D4" s="3" t="s">
        <v>23</v>
      </c>
      <c r="E4" s="5" t="str">
        <f>E2</f>
        <v>HA-LWV</v>
      </c>
      <c r="F4" s="3" t="s">
        <v>25</v>
      </c>
      <c r="G4" s="6">
        <f>G2</f>
        <v>71500</v>
      </c>
      <c r="H4" s="3" t="s">
        <v>94</v>
      </c>
      <c r="I4" s="3" t="s">
        <v>95</v>
      </c>
      <c r="J4" s="13">
        <v>0.55555555555555558</v>
      </c>
      <c r="K4" s="2">
        <v>0.54305555555555551</v>
      </c>
      <c r="L4" s="13">
        <v>0.40625</v>
      </c>
      <c r="M4" s="2">
        <v>0.41041666666666665</v>
      </c>
      <c r="N4" s="3" t="s">
        <v>122</v>
      </c>
      <c r="O4" s="3" t="s">
        <v>116</v>
      </c>
      <c r="P4" s="3">
        <v>497</v>
      </c>
      <c r="Q4" s="9">
        <v>975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>A4</f>
        <v>43711</v>
      </c>
      <c r="B5" s="5" t="s">
        <v>96</v>
      </c>
      <c r="C5" s="3" t="s">
        <v>97</v>
      </c>
      <c r="D5" s="3" t="str">
        <f>D4</f>
        <v>A320</v>
      </c>
      <c r="E5" s="5" t="s">
        <v>135</v>
      </c>
      <c r="F5" s="3" t="s">
        <v>98</v>
      </c>
      <c r="G5" s="6">
        <v>77000</v>
      </c>
      <c r="H5" s="3" t="s">
        <v>99</v>
      </c>
      <c r="I5" s="3" t="s">
        <v>100</v>
      </c>
      <c r="J5" s="13">
        <v>0.41319444444444442</v>
      </c>
      <c r="K5" s="2">
        <v>0.41319444444444442</v>
      </c>
      <c r="L5" s="13">
        <v>0.4548611111111111</v>
      </c>
      <c r="M5" s="2">
        <v>0.4604166666666667</v>
      </c>
      <c r="N5" s="3" t="s">
        <v>117</v>
      </c>
      <c r="O5" s="3" t="s">
        <v>118</v>
      </c>
      <c r="P5" s="3">
        <v>2408</v>
      </c>
      <c r="Q5" s="9">
        <v>1864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>A5</f>
        <v>43711</v>
      </c>
      <c r="B6" s="5" t="s">
        <v>21</v>
      </c>
      <c r="C6" s="3" t="s">
        <v>101</v>
      </c>
      <c r="D6" s="3" t="s">
        <v>23</v>
      </c>
      <c r="E6" s="5" t="str">
        <f>E3</f>
        <v>HA-LWO</v>
      </c>
      <c r="F6" s="3" t="s">
        <v>25</v>
      </c>
      <c r="G6" s="6">
        <f>G3</f>
        <v>71500</v>
      </c>
      <c r="H6" s="3" t="s">
        <v>102</v>
      </c>
      <c r="I6" s="3" t="s">
        <v>103</v>
      </c>
      <c r="J6" s="19">
        <v>0.70138888888888884</v>
      </c>
      <c r="K6" s="2">
        <v>0.71180555555555547</v>
      </c>
      <c r="L6" s="19">
        <v>0.49305555555555558</v>
      </c>
      <c r="M6" s="20">
        <v>0.51180555555555551</v>
      </c>
      <c r="N6" s="3" t="s">
        <v>131</v>
      </c>
      <c r="O6" s="3" t="s">
        <v>119</v>
      </c>
      <c r="P6" s="21">
        <v>611</v>
      </c>
      <c r="Q6" s="9">
        <v>949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ref="A7:A9" si="0">A6</f>
        <v>43711</v>
      </c>
      <c r="B7" s="5" t="s">
        <v>21</v>
      </c>
      <c r="C7" s="3" t="s">
        <v>104</v>
      </c>
      <c r="D7" s="3" t="s">
        <v>23</v>
      </c>
      <c r="E7" s="5" t="str">
        <f>E4</f>
        <v>HA-LWV</v>
      </c>
      <c r="F7" s="3" t="s">
        <v>25</v>
      </c>
      <c r="G7" s="6">
        <v>71500</v>
      </c>
      <c r="H7" s="5" t="s">
        <v>105</v>
      </c>
      <c r="I7" s="5" t="s">
        <v>106</v>
      </c>
      <c r="J7" s="22">
        <v>0.74652777777777779</v>
      </c>
      <c r="K7" s="2">
        <v>0.71944444444444444</v>
      </c>
      <c r="L7" s="22">
        <v>0.58680555555555558</v>
      </c>
      <c r="M7" s="23">
        <v>0.58333333333333337</v>
      </c>
      <c r="N7" s="3" t="s">
        <v>132</v>
      </c>
      <c r="O7" s="3" t="s">
        <v>123</v>
      </c>
      <c r="P7" s="3">
        <v>311</v>
      </c>
      <c r="Q7" s="9">
        <v>621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4">
        <f t="shared" si="0"/>
        <v>43711</v>
      </c>
      <c r="B8" s="5" t="s">
        <v>21</v>
      </c>
      <c r="C8" s="24" t="s">
        <v>107</v>
      </c>
      <c r="D8" s="24" t="s">
        <v>23</v>
      </c>
      <c r="E8" s="5" t="str">
        <f>E6</f>
        <v>HA-LWO</v>
      </c>
      <c r="F8" s="24" t="s">
        <v>25</v>
      </c>
      <c r="G8" s="6">
        <f>G6</f>
        <v>71500</v>
      </c>
      <c r="H8" s="24" t="s">
        <v>108</v>
      </c>
      <c r="I8" s="24" t="s">
        <v>109</v>
      </c>
      <c r="J8" s="22">
        <v>0.94097222222222221</v>
      </c>
      <c r="K8" s="2">
        <v>0.9458333333333333</v>
      </c>
      <c r="L8" s="22">
        <v>0.72222222222222221</v>
      </c>
      <c r="M8" s="23">
        <v>0.74513888888888891</v>
      </c>
      <c r="N8" s="3" t="s">
        <v>133</v>
      </c>
      <c r="O8" s="20" t="s">
        <v>133</v>
      </c>
      <c r="P8" s="3">
        <v>669</v>
      </c>
      <c r="Q8" s="24">
        <v>933</v>
      </c>
      <c r="R8" s="24">
        <v>0</v>
      </c>
      <c r="S8" s="24">
        <v>0</v>
      </c>
      <c r="T8" s="24">
        <v>0</v>
      </c>
      <c r="U8" s="24">
        <v>0</v>
      </c>
    </row>
    <row r="9" spans="1:21" x14ac:dyDescent="0.2">
      <c r="A9" s="4">
        <f t="shared" si="0"/>
        <v>43711</v>
      </c>
      <c r="B9" s="3" t="s">
        <v>21</v>
      </c>
      <c r="C9" s="21" t="s">
        <v>110</v>
      </c>
      <c r="D9" s="3" t="s">
        <v>23</v>
      </c>
      <c r="E9" s="5" t="str">
        <f>E7</f>
        <v>HA-LWV</v>
      </c>
      <c r="F9" s="3" t="s">
        <v>25</v>
      </c>
      <c r="G9" s="6">
        <f>G7</f>
        <v>71500</v>
      </c>
      <c r="H9" s="5" t="s">
        <v>111</v>
      </c>
      <c r="I9" s="5" t="s">
        <v>112</v>
      </c>
      <c r="J9" s="19">
        <v>0.94444444444444453</v>
      </c>
      <c r="K9" s="8">
        <v>0.92638888888888893</v>
      </c>
      <c r="L9" s="19">
        <v>0.76736111111111116</v>
      </c>
      <c r="M9" s="20">
        <v>0.77222222222222225</v>
      </c>
      <c r="N9" s="20" t="s">
        <v>136</v>
      </c>
      <c r="O9" s="20" t="s">
        <v>134</v>
      </c>
      <c r="P9" s="21">
        <v>698</v>
      </c>
      <c r="Q9" s="9">
        <v>821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25">
        <v>43711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128</v>
      </c>
      <c r="G10" s="15">
        <v>23995</v>
      </c>
      <c r="H10" s="5" t="s">
        <v>129</v>
      </c>
      <c r="I10" s="5" t="s">
        <v>54</v>
      </c>
      <c r="J10" s="17">
        <v>0.74652777777777779</v>
      </c>
      <c r="K10" s="16">
        <v>0.6972222222222223</v>
      </c>
      <c r="L10" s="17" t="s">
        <v>130</v>
      </c>
      <c r="M10" s="16" t="s">
        <v>130</v>
      </c>
      <c r="N10" s="26" t="s">
        <v>73</v>
      </c>
      <c r="O10" s="26" t="s">
        <v>54</v>
      </c>
      <c r="P10" s="15">
        <v>0</v>
      </c>
      <c r="Q10" s="15">
        <v>0</v>
      </c>
      <c r="R10" s="3">
        <v>0</v>
      </c>
      <c r="S10" s="3">
        <v>0</v>
      </c>
      <c r="T10" s="3">
        <v>0</v>
      </c>
      <c r="U10" s="3">
        <v>0</v>
      </c>
    </row>
    <row r="11" spans="1:21" s="10" customFormat="1" x14ac:dyDescent="0.25">
      <c r="A11" s="27"/>
      <c r="J11" s="11"/>
      <c r="K11" s="12"/>
      <c r="L11" s="11"/>
      <c r="M11" s="12"/>
    </row>
    <row r="12" spans="1:21" s="15" customFormat="1" x14ac:dyDescent="0.2">
      <c r="A12" s="25"/>
      <c r="B12" s="28"/>
      <c r="D12" s="28"/>
      <c r="J12" s="17"/>
      <c r="K12" s="16"/>
      <c r="L12" s="29"/>
      <c r="O12" s="26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selection sqref="A1:U7"/>
    </sheetView>
  </sheetViews>
  <sheetFormatPr defaultRowHeight="15" x14ac:dyDescent="0.25"/>
  <cols>
    <col min="2" max="2" width="20.42578125" customWidth="1"/>
    <col min="3" max="3" width="14.42578125" customWidth="1"/>
    <col min="4" max="4" width="7" customWidth="1"/>
    <col min="6" max="6" width="16.5703125" bestFit="1" customWidth="1"/>
    <col min="10" max="10" width="10.7109375" customWidth="1"/>
    <col min="11" max="11" width="11" customWidth="1"/>
    <col min="12" max="12" width="10.85546875" customWidth="1"/>
    <col min="13" max="13" width="10.7109375" customWidth="1"/>
    <col min="14" max="14" width="17.7109375" customWidth="1"/>
    <col min="15" max="15" width="17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5" x14ac:dyDescent="0.25">
      <c r="A2" s="4">
        <v>43712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0.44791666666666669</v>
      </c>
      <c r="L2" s="7">
        <v>0.25694444444444448</v>
      </c>
      <c r="M2" s="8">
        <v>0.25972222222222224</v>
      </c>
      <c r="N2" s="10" t="s">
        <v>139</v>
      </c>
      <c r="O2" s="9" t="s">
        <v>59</v>
      </c>
      <c r="P2" s="10">
        <v>868</v>
      </c>
      <c r="Q2" s="9">
        <v>959</v>
      </c>
      <c r="R2" s="5">
        <v>0</v>
      </c>
      <c r="S2" s="5">
        <v>0</v>
      </c>
      <c r="T2" s="5">
        <v>0</v>
      </c>
      <c r="U2" s="5">
        <v>0</v>
      </c>
    </row>
    <row r="3" spans="1:25" x14ac:dyDescent="0.25">
      <c r="A3" s="4">
        <f>A2</f>
        <v>43712</v>
      </c>
      <c r="B3" s="5" t="s">
        <v>21</v>
      </c>
      <c r="C3" s="5" t="s">
        <v>28</v>
      </c>
      <c r="D3" s="5" t="s">
        <v>23</v>
      </c>
      <c r="E3" s="5" t="s">
        <v>43</v>
      </c>
      <c r="F3" s="5" t="s">
        <v>25</v>
      </c>
      <c r="G3" s="6">
        <f>G2</f>
        <v>71500</v>
      </c>
      <c r="H3" s="5" t="s">
        <v>29</v>
      </c>
      <c r="I3" s="5" t="s">
        <v>30</v>
      </c>
      <c r="J3" s="7">
        <v>0.4861111111111111</v>
      </c>
      <c r="K3" s="2">
        <v>0.52916666666666667</v>
      </c>
      <c r="L3" s="7">
        <v>0.28125</v>
      </c>
      <c r="M3" s="8">
        <v>0.28263888888888888</v>
      </c>
      <c r="N3" s="9" t="s">
        <v>140</v>
      </c>
      <c r="O3" s="9" t="s">
        <v>138</v>
      </c>
      <c r="P3" s="10">
        <v>529</v>
      </c>
      <c r="Q3" s="9">
        <v>912</v>
      </c>
      <c r="R3" s="5">
        <v>0</v>
      </c>
      <c r="S3" s="5">
        <v>0</v>
      </c>
      <c r="T3" s="5">
        <v>0</v>
      </c>
      <c r="U3" s="5">
        <v>0</v>
      </c>
    </row>
    <row r="4" spans="1:25" x14ac:dyDescent="0.25">
      <c r="A4" s="4">
        <f t="shared" ref="A4:A7" si="0">A3</f>
        <v>43712</v>
      </c>
      <c r="B4" s="3" t="s">
        <v>21</v>
      </c>
      <c r="C4" s="3" t="s">
        <v>31</v>
      </c>
      <c r="D4" s="3" t="s">
        <v>23</v>
      </c>
      <c r="E4" s="5" t="s">
        <v>137</v>
      </c>
      <c r="F4" s="3" t="s">
        <v>25</v>
      </c>
      <c r="G4" s="6">
        <f t="shared" ref="G4:G7" si="1">G3</f>
        <v>71500</v>
      </c>
      <c r="H4" s="3" t="s">
        <v>32</v>
      </c>
      <c r="I4" s="3" t="s">
        <v>33</v>
      </c>
      <c r="J4" s="13">
        <v>0.72569444444444453</v>
      </c>
      <c r="K4" s="2">
        <v>0.7270833333333333</v>
      </c>
      <c r="L4" s="13">
        <v>0.48958333333333331</v>
      </c>
      <c r="M4" s="2">
        <v>0.5</v>
      </c>
      <c r="N4" s="3" t="s">
        <v>144</v>
      </c>
      <c r="O4" s="3" t="s">
        <v>141</v>
      </c>
      <c r="P4" s="3">
        <v>691</v>
      </c>
      <c r="Q4" s="9">
        <v>1320</v>
      </c>
      <c r="R4" s="3">
        <v>0</v>
      </c>
      <c r="S4" s="3">
        <v>0</v>
      </c>
      <c r="T4" s="3">
        <v>0</v>
      </c>
      <c r="U4" s="3">
        <v>0</v>
      </c>
    </row>
    <row r="5" spans="1:25" x14ac:dyDescent="0.25">
      <c r="A5" s="4">
        <f t="shared" si="0"/>
        <v>43712</v>
      </c>
      <c r="B5" s="3" t="s">
        <v>21</v>
      </c>
      <c r="C5" s="3" t="s">
        <v>34</v>
      </c>
      <c r="D5" s="3" t="s">
        <v>23</v>
      </c>
      <c r="E5" s="5" t="str">
        <f>E3</f>
        <v>HALWV</v>
      </c>
      <c r="F5" s="3" t="s">
        <v>25</v>
      </c>
      <c r="G5" s="6">
        <f t="shared" si="1"/>
        <v>71500</v>
      </c>
      <c r="H5" s="3" t="s">
        <v>35</v>
      </c>
      <c r="I5" s="3" t="s">
        <v>36</v>
      </c>
      <c r="J5" s="13">
        <v>0.74652777777777779</v>
      </c>
      <c r="K5" s="2">
        <v>0.79027777777777775</v>
      </c>
      <c r="L5" s="13">
        <v>0.51736111111111105</v>
      </c>
      <c r="M5" s="2">
        <v>0.57986111111111105</v>
      </c>
      <c r="N5" s="3" t="s">
        <v>145</v>
      </c>
      <c r="O5" s="3" t="s">
        <v>142</v>
      </c>
      <c r="P5" s="3">
        <v>768</v>
      </c>
      <c r="Q5" s="9">
        <v>1505</v>
      </c>
      <c r="R5" s="3">
        <v>0</v>
      </c>
      <c r="S5" s="3">
        <v>0</v>
      </c>
      <c r="T5" s="3">
        <v>0</v>
      </c>
      <c r="U5" s="3">
        <v>0</v>
      </c>
    </row>
    <row r="6" spans="1:25" x14ac:dyDescent="0.25">
      <c r="A6" s="4">
        <f t="shared" si="0"/>
        <v>43712</v>
      </c>
      <c r="B6" s="3" t="s">
        <v>21</v>
      </c>
      <c r="C6" s="3" t="s">
        <v>37</v>
      </c>
      <c r="D6" s="3" t="s">
        <v>23</v>
      </c>
      <c r="E6" s="5" t="str">
        <f>E4</f>
        <v>HALWF</v>
      </c>
      <c r="F6" s="3" t="s">
        <v>25</v>
      </c>
      <c r="G6" s="6">
        <f t="shared" si="1"/>
        <v>71500</v>
      </c>
      <c r="H6" s="5" t="s">
        <v>38</v>
      </c>
      <c r="I6" s="5" t="s">
        <v>39</v>
      </c>
      <c r="J6" s="11">
        <v>0.91666666666666663</v>
      </c>
      <c r="K6" s="2">
        <v>0.91180555555555554</v>
      </c>
      <c r="L6" s="11">
        <v>0.74652777777777779</v>
      </c>
      <c r="M6" s="12">
        <v>0.75902777777777775</v>
      </c>
      <c r="N6" s="3" t="s">
        <v>148</v>
      </c>
      <c r="O6" s="3" t="s">
        <v>146</v>
      </c>
      <c r="P6" s="3">
        <v>552</v>
      </c>
      <c r="Q6" s="9">
        <v>808</v>
      </c>
      <c r="R6" s="3">
        <v>0</v>
      </c>
      <c r="S6" s="3">
        <v>0</v>
      </c>
      <c r="T6" s="3">
        <v>0</v>
      </c>
      <c r="U6" s="3">
        <v>0</v>
      </c>
    </row>
    <row r="7" spans="1:25" x14ac:dyDescent="0.25">
      <c r="A7" s="4">
        <f t="shared" si="0"/>
        <v>43712</v>
      </c>
      <c r="B7" s="3" t="s">
        <v>21</v>
      </c>
      <c r="C7" s="3" t="s">
        <v>40</v>
      </c>
      <c r="D7" s="3" t="s">
        <v>23</v>
      </c>
      <c r="E7" s="5" t="str">
        <f>E5</f>
        <v>HALWV</v>
      </c>
      <c r="F7" s="3" t="s">
        <v>25</v>
      </c>
      <c r="G7" s="6">
        <f t="shared" si="1"/>
        <v>71500</v>
      </c>
      <c r="H7" s="5" t="s">
        <v>41</v>
      </c>
      <c r="I7" s="5" t="s">
        <v>42</v>
      </c>
      <c r="J7" s="11">
        <v>0.95833333333333337</v>
      </c>
      <c r="K7" s="12">
        <v>2.4305555555555556E-2</v>
      </c>
      <c r="L7" s="11">
        <v>0.76736111111111116</v>
      </c>
      <c r="M7" s="12">
        <v>0.8208333333333333</v>
      </c>
      <c r="N7" s="10" t="s">
        <v>149</v>
      </c>
      <c r="O7" s="10" t="s">
        <v>147</v>
      </c>
      <c r="P7" s="3">
        <v>728</v>
      </c>
      <c r="Q7" s="9">
        <v>918</v>
      </c>
      <c r="R7" s="3">
        <v>0</v>
      </c>
      <c r="S7" s="3">
        <v>0</v>
      </c>
      <c r="T7" s="3">
        <v>0</v>
      </c>
      <c r="U7" s="3">
        <v>0</v>
      </c>
    </row>
    <row r="8" spans="1:25" s="14" customFormat="1" ht="12.75" x14ac:dyDescent="0.2">
      <c r="A8" s="25">
        <v>43712</v>
      </c>
      <c r="B8" s="3" t="s">
        <v>124</v>
      </c>
      <c r="C8" s="3" t="s">
        <v>143</v>
      </c>
      <c r="D8" s="3" t="s">
        <v>126</v>
      </c>
      <c r="E8" s="3" t="s">
        <v>127</v>
      </c>
      <c r="F8" s="3" t="s">
        <v>128</v>
      </c>
      <c r="G8" s="15">
        <v>23995</v>
      </c>
      <c r="H8" s="5" t="s">
        <v>54</v>
      </c>
      <c r="I8" s="5" t="s">
        <v>129</v>
      </c>
      <c r="J8" s="17" t="s">
        <v>130</v>
      </c>
      <c r="K8" s="16" t="s">
        <v>130</v>
      </c>
      <c r="L8" s="17">
        <v>0.58333333333333337</v>
      </c>
      <c r="M8" s="16">
        <v>0.58680555555555558</v>
      </c>
      <c r="N8" s="26" t="s">
        <v>54</v>
      </c>
      <c r="O8" s="26" t="s">
        <v>73</v>
      </c>
      <c r="P8" s="15">
        <v>0</v>
      </c>
      <c r="Q8" s="15">
        <v>0</v>
      </c>
      <c r="R8" s="3">
        <v>0</v>
      </c>
      <c r="S8" s="3">
        <v>0</v>
      </c>
      <c r="T8" s="3">
        <v>0</v>
      </c>
      <c r="U8" s="3">
        <v>0</v>
      </c>
    </row>
    <row r="9" spans="1:25" x14ac:dyDescent="0.25"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U8"/>
    </sheetView>
  </sheetViews>
  <sheetFormatPr defaultRowHeight="12.75" x14ac:dyDescent="0.2"/>
  <cols>
    <col min="1" max="1" width="7.85546875" style="15" bestFit="1" customWidth="1"/>
    <col min="2" max="2" width="14.42578125" style="15" bestFit="1" customWidth="1"/>
    <col min="3" max="3" width="17.5703125" style="15" customWidth="1"/>
    <col min="4" max="4" width="10" style="15" customWidth="1"/>
    <col min="5" max="5" width="9.140625" style="15"/>
    <col min="6" max="6" width="15.7109375" style="15" customWidth="1"/>
    <col min="7" max="9" width="9.140625" style="15"/>
    <col min="10" max="10" width="11" style="15" bestFit="1" customWidth="1"/>
    <col min="11" max="11" width="10.85546875" style="15" bestFit="1" customWidth="1"/>
    <col min="12" max="12" width="11" style="15" bestFit="1" customWidth="1"/>
    <col min="13" max="13" width="10.85546875" style="15" bestFit="1" customWidth="1"/>
    <col min="14" max="15" width="18.42578125" style="15" bestFit="1" customWidth="1"/>
    <col min="16" max="16" width="10.28515625" style="15" bestFit="1" customWidth="1"/>
    <col min="17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43713</v>
      </c>
      <c r="B2" s="5" t="s">
        <v>21</v>
      </c>
      <c r="C2" s="5" t="s">
        <v>86</v>
      </c>
      <c r="D2" s="5" t="s">
        <v>23</v>
      </c>
      <c r="E2" s="5" t="s">
        <v>137</v>
      </c>
      <c r="F2" s="5" t="s">
        <v>25</v>
      </c>
      <c r="G2" s="6">
        <v>71500</v>
      </c>
      <c r="H2" s="5" t="s">
        <v>88</v>
      </c>
      <c r="I2" s="5" t="s">
        <v>89</v>
      </c>
      <c r="J2" s="7">
        <v>0.38541666666666669</v>
      </c>
      <c r="K2" s="2">
        <v>0.37916666666666665</v>
      </c>
      <c r="L2" s="7">
        <v>0.25694444444444448</v>
      </c>
      <c r="M2" s="2">
        <v>0.2673611111111111</v>
      </c>
      <c r="N2" s="2" t="s">
        <v>152</v>
      </c>
      <c r="O2" s="9" t="s">
        <v>150</v>
      </c>
      <c r="P2" s="9">
        <v>331</v>
      </c>
      <c r="Q2" s="9">
        <v>484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43713</v>
      </c>
      <c r="B3" s="5" t="s">
        <v>21</v>
      </c>
      <c r="C3" s="5" t="s">
        <v>22</v>
      </c>
      <c r="D3" s="5" t="s">
        <v>23</v>
      </c>
      <c r="E3" s="5" t="s">
        <v>43</v>
      </c>
      <c r="F3" s="5" t="s">
        <v>25</v>
      </c>
      <c r="G3" s="6">
        <v>71500</v>
      </c>
      <c r="H3" s="5" t="s">
        <v>26</v>
      </c>
      <c r="I3" s="5" t="s">
        <v>27</v>
      </c>
      <c r="J3" s="7">
        <v>0.46180555555555558</v>
      </c>
      <c r="K3" s="2">
        <v>0.29236111111111113</v>
      </c>
      <c r="L3" s="7">
        <v>0.27430555555555552</v>
      </c>
      <c r="M3" s="2">
        <v>0.29236111111111113</v>
      </c>
      <c r="N3" s="2" t="s">
        <v>154</v>
      </c>
      <c r="O3" s="9" t="s">
        <v>151</v>
      </c>
      <c r="P3" s="5">
        <v>591</v>
      </c>
      <c r="Q3" s="9">
        <v>1135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43713</v>
      </c>
      <c r="B4" s="10" t="s">
        <v>21</v>
      </c>
      <c r="C4" s="10" t="s">
        <v>93</v>
      </c>
      <c r="D4" s="10" t="s">
        <v>23</v>
      </c>
      <c r="E4" s="5" t="s">
        <v>137</v>
      </c>
      <c r="F4" s="10" t="s">
        <v>25</v>
      </c>
      <c r="G4" s="6">
        <v>71500</v>
      </c>
      <c r="H4" s="10" t="s">
        <v>94</v>
      </c>
      <c r="I4" s="10" t="s">
        <v>95</v>
      </c>
      <c r="J4" s="11">
        <v>0.55555555555555558</v>
      </c>
      <c r="K4" s="12">
        <v>0.54097222222222219</v>
      </c>
      <c r="L4" s="11">
        <v>0.40625</v>
      </c>
      <c r="M4" s="2">
        <v>0.41180555555555554</v>
      </c>
      <c r="N4" s="10" t="s">
        <v>156</v>
      </c>
      <c r="O4" s="10" t="s">
        <v>155</v>
      </c>
      <c r="P4" s="10">
        <v>600</v>
      </c>
      <c r="Q4" s="10">
        <v>676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4">
        <v>43713</v>
      </c>
      <c r="B5" s="3" t="s">
        <v>21</v>
      </c>
      <c r="C5" s="3" t="s">
        <v>101</v>
      </c>
      <c r="D5" s="3" t="s">
        <v>23</v>
      </c>
      <c r="E5" s="5" t="s">
        <v>43</v>
      </c>
      <c r="F5" s="3" t="s">
        <v>25</v>
      </c>
      <c r="G5" s="6">
        <v>71500</v>
      </c>
      <c r="H5" s="3" t="s">
        <v>102</v>
      </c>
      <c r="I5" s="3" t="s">
        <v>103</v>
      </c>
      <c r="J5" s="13">
        <v>0.70138888888888884</v>
      </c>
      <c r="K5" s="2">
        <v>0.71111111111111114</v>
      </c>
      <c r="L5" s="13">
        <v>0.49305555555555558</v>
      </c>
      <c r="M5" s="2">
        <v>0.52083333333333337</v>
      </c>
      <c r="N5" s="10" t="s">
        <v>158</v>
      </c>
      <c r="O5" s="3" t="s">
        <v>153</v>
      </c>
      <c r="P5" s="3">
        <v>659</v>
      </c>
      <c r="Q5" s="3">
        <v>1224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43713</v>
      </c>
      <c r="B6" s="3" t="s">
        <v>21</v>
      </c>
      <c r="C6" s="3" t="s">
        <v>37</v>
      </c>
      <c r="D6" s="3" t="s">
        <v>23</v>
      </c>
      <c r="E6" s="5" t="s">
        <v>137</v>
      </c>
      <c r="F6" s="3" t="s">
        <v>25</v>
      </c>
      <c r="G6" s="6">
        <v>71500</v>
      </c>
      <c r="H6" s="3" t="s">
        <v>38</v>
      </c>
      <c r="I6" s="3" t="s">
        <v>39</v>
      </c>
      <c r="J6" s="11">
        <v>0.75694444444444453</v>
      </c>
      <c r="K6" s="2">
        <v>0.75138888888888899</v>
      </c>
      <c r="L6" s="11">
        <v>0.58680555555555558</v>
      </c>
      <c r="M6" s="16">
        <v>0.58124999999999993</v>
      </c>
      <c r="N6" s="3" t="s">
        <v>159</v>
      </c>
      <c r="O6" s="10" t="s">
        <v>157</v>
      </c>
      <c r="P6" s="21">
        <v>550</v>
      </c>
      <c r="Q6" s="10">
        <v>763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43713</v>
      </c>
      <c r="B7" s="10" t="s">
        <v>21</v>
      </c>
      <c r="C7" s="10" t="s">
        <v>28</v>
      </c>
      <c r="D7" s="10" t="s">
        <v>23</v>
      </c>
      <c r="E7" s="5" t="s">
        <v>43</v>
      </c>
      <c r="F7" s="10" t="s">
        <v>25</v>
      </c>
      <c r="G7" s="6">
        <v>71500</v>
      </c>
      <c r="H7" s="10" t="s">
        <v>29</v>
      </c>
      <c r="I7" s="10" t="s">
        <v>30</v>
      </c>
      <c r="J7" s="11">
        <v>0.92708333333333337</v>
      </c>
      <c r="K7" s="2">
        <v>0.93888888888888899</v>
      </c>
      <c r="L7" s="19">
        <v>0.72222222222222221</v>
      </c>
      <c r="M7" s="16">
        <v>0.75694444444444453</v>
      </c>
      <c r="N7" s="3" t="s">
        <v>160</v>
      </c>
      <c r="O7" s="3" t="s">
        <v>162</v>
      </c>
      <c r="P7" s="3">
        <v>434</v>
      </c>
      <c r="Q7" s="21">
        <v>1227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4">
        <v>43713</v>
      </c>
      <c r="B8" s="10" t="s">
        <v>21</v>
      </c>
      <c r="C8" s="10" t="s">
        <v>90</v>
      </c>
      <c r="D8" s="10" t="s">
        <v>23</v>
      </c>
      <c r="E8" s="5" t="s">
        <v>137</v>
      </c>
      <c r="F8" s="10" t="s">
        <v>25</v>
      </c>
      <c r="G8" s="6">
        <v>71500</v>
      </c>
      <c r="H8" s="10" t="s">
        <v>91</v>
      </c>
      <c r="I8" s="10" t="s">
        <v>92</v>
      </c>
      <c r="J8" s="11">
        <v>0.95486111111111116</v>
      </c>
      <c r="K8" s="2">
        <v>0.95694444444444438</v>
      </c>
      <c r="L8" s="11">
        <v>0.77777777777777779</v>
      </c>
      <c r="M8" s="16">
        <v>0.78819444444444453</v>
      </c>
      <c r="N8" s="3" t="s">
        <v>161</v>
      </c>
      <c r="O8" s="10" t="s">
        <v>163</v>
      </c>
      <c r="P8" s="10">
        <v>411</v>
      </c>
      <c r="Q8" s="10">
        <v>1104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25"/>
      <c r="B9" s="31"/>
      <c r="C9" s="31"/>
      <c r="D9" s="31"/>
      <c r="E9" s="31"/>
      <c r="F9" s="31"/>
      <c r="G9" s="30"/>
      <c r="K9" s="16"/>
      <c r="M9" s="1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P7" sqref="P7"/>
    </sheetView>
  </sheetViews>
  <sheetFormatPr defaultRowHeight="12.75" x14ac:dyDescent="0.2"/>
  <cols>
    <col min="1" max="1" width="9.140625" style="15"/>
    <col min="2" max="2" width="18.42578125" style="15" bestFit="1" customWidth="1"/>
    <col min="3" max="3" width="13.5703125" style="15" bestFit="1" customWidth="1"/>
    <col min="4" max="4" width="5.7109375" style="15" bestFit="1" customWidth="1"/>
    <col min="5" max="5" width="7.85546875" style="15" bestFit="1" customWidth="1"/>
    <col min="6" max="6" width="18.5703125" style="15" bestFit="1" customWidth="1"/>
    <col min="7" max="8" width="9.7109375" style="15" bestFit="1" customWidth="1"/>
    <col min="9" max="9" width="9.140625" style="15"/>
    <col min="10" max="10" width="11" style="15" bestFit="1" customWidth="1"/>
    <col min="11" max="11" width="10.85546875" style="15" bestFit="1" customWidth="1"/>
    <col min="12" max="12" width="11" style="15" bestFit="1" customWidth="1"/>
    <col min="13" max="13" width="10.85546875" style="15" bestFit="1" customWidth="1"/>
    <col min="14" max="15" width="18.42578125" style="15" bestFit="1" customWidth="1"/>
    <col min="16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43714</v>
      </c>
      <c r="B2" s="5" t="s">
        <v>21</v>
      </c>
      <c r="C2" s="5" t="s">
        <v>22</v>
      </c>
      <c r="D2" s="5" t="s">
        <v>23</v>
      </c>
      <c r="E2" s="5" t="s">
        <v>164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0.46319444444444446</v>
      </c>
      <c r="L2" s="7">
        <v>0.25694444444444448</v>
      </c>
      <c r="M2" s="8">
        <v>0.2638888888888889</v>
      </c>
      <c r="N2" s="3" t="s">
        <v>166</v>
      </c>
      <c r="O2" s="9" t="s">
        <v>61</v>
      </c>
      <c r="P2" s="9">
        <v>650</v>
      </c>
      <c r="Q2" s="9">
        <v>1154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43714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0.49583333333333335</v>
      </c>
      <c r="L3" s="7">
        <v>0.28125</v>
      </c>
      <c r="M3" s="8">
        <v>0.28750000000000003</v>
      </c>
      <c r="N3" s="3" t="s">
        <v>167</v>
      </c>
      <c r="O3" s="9" t="s">
        <v>165</v>
      </c>
      <c r="P3" s="5">
        <v>584</v>
      </c>
      <c r="Q3" s="9">
        <v>845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43714</v>
      </c>
      <c r="B4" s="3" t="s">
        <v>21</v>
      </c>
      <c r="C4" s="3" t="s">
        <v>63</v>
      </c>
      <c r="D4" s="3" t="s">
        <v>23</v>
      </c>
      <c r="E4" s="5" t="s">
        <v>43</v>
      </c>
      <c r="F4" s="3" t="s">
        <v>25</v>
      </c>
      <c r="G4" s="6">
        <v>71500</v>
      </c>
      <c r="H4" s="3" t="s">
        <v>64</v>
      </c>
      <c r="I4" s="3" t="s">
        <v>65</v>
      </c>
      <c r="J4" s="13">
        <v>0.70833333333333337</v>
      </c>
      <c r="K4" s="2">
        <v>0.70833333333333337</v>
      </c>
      <c r="L4" s="13">
        <v>0.48958333333333331</v>
      </c>
      <c r="M4" s="2">
        <v>0.50555555555555554</v>
      </c>
      <c r="N4" s="15" t="s">
        <v>172</v>
      </c>
      <c r="O4" s="3" t="s">
        <v>168</v>
      </c>
      <c r="P4" s="3">
        <v>542</v>
      </c>
      <c r="Q4" s="9">
        <v>1268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v>43714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0.74861111111111101</v>
      </c>
      <c r="L5" s="13">
        <v>0.51736111111111105</v>
      </c>
      <c r="M5" s="2">
        <v>0.53402777777777777</v>
      </c>
      <c r="N5" s="3" t="s">
        <v>173</v>
      </c>
      <c r="O5" s="3" t="s">
        <v>169</v>
      </c>
      <c r="P5" s="3">
        <v>805</v>
      </c>
      <c r="Q5" s="9">
        <v>1535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43714</v>
      </c>
      <c r="B6" s="3" t="s">
        <v>21</v>
      </c>
      <c r="C6" s="3" t="s">
        <v>37</v>
      </c>
      <c r="D6" s="3" t="s">
        <v>23</v>
      </c>
      <c r="E6" s="5" t="s">
        <v>43</v>
      </c>
      <c r="F6" s="3" t="s">
        <v>25</v>
      </c>
      <c r="G6" s="6">
        <v>71500</v>
      </c>
      <c r="H6" s="5" t="s">
        <v>38</v>
      </c>
      <c r="I6" s="5" t="s">
        <v>39</v>
      </c>
      <c r="J6" s="17">
        <v>0.89930555555555547</v>
      </c>
      <c r="K6" s="2">
        <v>0.90416666666666667</v>
      </c>
      <c r="L6" s="17">
        <v>0.72916666666666663</v>
      </c>
      <c r="M6" s="16">
        <v>0.74652777777777779</v>
      </c>
      <c r="N6" s="3" t="s">
        <v>142</v>
      </c>
      <c r="O6" s="15" t="s">
        <v>170</v>
      </c>
      <c r="P6" s="15">
        <v>315</v>
      </c>
      <c r="Q6" s="9">
        <v>1230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43714</v>
      </c>
      <c r="B7" s="15" t="s">
        <v>21</v>
      </c>
      <c r="C7" s="15" t="s">
        <v>66</v>
      </c>
      <c r="D7" s="15" t="s">
        <v>23</v>
      </c>
      <c r="E7" s="5" t="s">
        <v>24</v>
      </c>
      <c r="F7" s="15" t="s">
        <v>25</v>
      </c>
      <c r="G7" s="6">
        <v>71500</v>
      </c>
      <c r="H7" s="15" t="s">
        <v>67</v>
      </c>
      <c r="I7" s="15" t="s">
        <v>68</v>
      </c>
      <c r="J7" s="17">
        <v>0.9375</v>
      </c>
      <c r="K7" s="2">
        <v>0.76736111111111116</v>
      </c>
      <c r="L7" s="17">
        <v>0.76736111111111116</v>
      </c>
      <c r="M7" s="16">
        <v>0.78472222222222221</v>
      </c>
      <c r="N7" s="3" t="s">
        <v>174</v>
      </c>
      <c r="O7" s="3" t="s">
        <v>171</v>
      </c>
      <c r="P7" s="3">
        <v>661</v>
      </c>
      <c r="Q7" s="9">
        <v>1207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4"/>
      <c r="B8" s="5"/>
      <c r="C8" s="3"/>
      <c r="D8" s="3"/>
      <c r="E8" s="5"/>
      <c r="F8" s="3"/>
      <c r="G8" s="6"/>
      <c r="H8" s="3"/>
      <c r="I8" s="3"/>
      <c r="J8" s="13"/>
      <c r="K8" s="2"/>
      <c r="L8" s="13"/>
      <c r="M8" s="16"/>
      <c r="O8" s="3"/>
      <c r="P8" s="3"/>
      <c r="Q8" s="9"/>
      <c r="R8" s="3"/>
      <c r="S8" s="3"/>
      <c r="T8" s="3"/>
      <c r="U8" s="3"/>
    </row>
    <row r="9" spans="1:21" x14ac:dyDescent="0.2">
      <c r="A9" s="25"/>
      <c r="B9" s="5"/>
      <c r="G9" s="18"/>
      <c r="J9" s="17"/>
      <c r="K9" s="16"/>
      <c r="L9" s="17"/>
      <c r="M9" s="16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C1" workbookViewId="0">
      <selection activeCell="K7" sqref="K7"/>
    </sheetView>
  </sheetViews>
  <sheetFormatPr defaultRowHeight="12.75" x14ac:dyDescent="0.2"/>
  <cols>
    <col min="1" max="1" width="9.140625" style="14"/>
    <col min="2" max="2" width="22.7109375" style="14" customWidth="1"/>
    <col min="3" max="3" width="14.28515625" style="14" customWidth="1"/>
    <col min="4" max="4" width="12.42578125" style="14" customWidth="1"/>
    <col min="5" max="5" width="9.140625" style="14"/>
    <col min="6" max="6" width="18.140625" style="14" customWidth="1"/>
    <col min="7" max="12" width="9.140625" style="14"/>
    <col min="13" max="13" width="11.42578125" style="14" customWidth="1"/>
    <col min="14" max="14" width="17.5703125" style="14" customWidth="1"/>
    <col min="15" max="15" width="19.5703125" style="14" customWidth="1"/>
    <col min="16" max="16384" width="9.140625" style="14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43715</v>
      </c>
      <c r="B2" s="5" t="s">
        <v>21</v>
      </c>
      <c r="C2" s="5" t="s">
        <v>86</v>
      </c>
      <c r="D2" s="5" t="s">
        <v>23</v>
      </c>
      <c r="E2" s="5" t="s">
        <v>113</v>
      </c>
      <c r="F2" s="5" t="s">
        <v>25</v>
      </c>
      <c r="G2" s="6">
        <v>71500</v>
      </c>
      <c r="H2" s="5" t="s">
        <v>88</v>
      </c>
      <c r="I2" s="5" t="s">
        <v>89</v>
      </c>
      <c r="J2" s="7">
        <v>0.38541666666666669</v>
      </c>
      <c r="K2" s="2">
        <v>0.40138888888888885</v>
      </c>
      <c r="L2" s="7">
        <v>0.25694444444444448</v>
      </c>
      <c r="M2" s="8">
        <v>0.26180555555555557</v>
      </c>
      <c r="N2" s="3" t="s">
        <v>178</v>
      </c>
      <c r="O2" s="9" t="s">
        <v>176</v>
      </c>
      <c r="P2" s="9">
        <v>386</v>
      </c>
      <c r="Q2" s="9">
        <v>404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43715</v>
      </c>
      <c r="B3" s="5" t="s">
        <v>21</v>
      </c>
      <c r="C3" s="5" t="s">
        <v>90</v>
      </c>
      <c r="D3" s="5" t="s">
        <v>23</v>
      </c>
      <c r="E3" s="5" t="s">
        <v>175</v>
      </c>
      <c r="F3" s="5" t="s">
        <v>25</v>
      </c>
      <c r="G3" s="6">
        <f>G2</f>
        <v>71500</v>
      </c>
      <c r="H3" s="5" t="s">
        <v>91</v>
      </c>
      <c r="I3" s="5" t="s">
        <v>92</v>
      </c>
      <c r="J3" s="7">
        <v>0.46180555555555558</v>
      </c>
      <c r="K3" s="2">
        <v>0.46736111111111112</v>
      </c>
      <c r="L3" s="7">
        <v>0.28125</v>
      </c>
      <c r="M3" s="8">
        <v>0.2951388888888889</v>
      </c>
      <c r="N3" s="3" t="s">
        <v>179</v>
      </c>
      <c r="O3" s="9" t="s">
        <v>177</v>
      </c>
      <c r="P3" s="5">
        <v>833</v>
      </c>
      <c r="Q3" s="9">
        <v>889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>A3</f>
        <v>43715</v>
      </c>
      <c r="B4" s="5" t="s">
        <v>21</v>
      </c>
      <c r="C4" s="3" t="s">
        <v>93</v>
      </c>
      <c r="D4" s="3" t="s">
        <v>23</v>
      </c>
      <c r="E4" s="5" t="str">
        <f>E2</f>
        <v>HA-LWV</v>
      </c>
      <c r="F4" s="3" t="s">
        <v>25</v>
      </c>
      <c r="G4" s="6">
        <f>G2</f>
        <v>71500</v>
      </c>
      <c r="H4" s="3" t="s">
        <v>94</v>
      </c>
      <c r="I4" s="3" t="s">
        <v>95</v>
      </c>
      <c r="J4" s="13">
        <v>0.55555555555555558</v>
      </c>
      <c r="K4" s="2">
        <v>0.57222222222222219</v>
      </c>
      <c r="L4" s="13">
        <v>0.40625</v>
      </c>
      <c r="M4" s="2">
        <v>0.43263888888888885</v>
      </c>
      <c r="N4" s="3" t="s">
        <v>180</v>
      </c>
      <c r="O4" s="3" t="s">
        <v>181</v>
      </c>
      <c r="P4" s="3">
        <v>877</v>
      </c>
      <c r="Q4" s="9">
        <v>1065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>A4</f>
        <v>43715</v>
      </c>
      <c r="B5" s="5" t="s">
        <v>21</v>
      </c>
      <c r="C5" s="3" t="s">
        <v>101</v>
      </c>
      <c r="D5" s="3" t="s">
        <v>23</v>
      </c>
      <c r="E5" s="5" t="str">
        <f>E3</f>
        <v>HA-LWF</v>
      </c>
      <c r="F5" s="3" t="s">
        <v>25</v>
      </c>
      <c r="G5" s="6">
        <f>G3</f>
        <v>71500</v>
      </c>
      <c r="H5" s="3" t="s">
        <v>102</v>
      </c>
      <c r="I5" s="3" t="s">
        <v>103</v>
      </c>
      <c r="J5" s="19">
        <v>0.70138888888888884</v>
      </c>
      <c r="K5" s="2">
        <v>0.72222222222222221</v>
      </c>
      <c r="L5" s="19">
        <v>0.49305555555555558</v>
      </c>
      <c r="M5" s="20">
        <v>0.50902777777777775</v>
      </c>
      <c r="N5" s="3" t="s">
        <v>82</v>
      </c>
      <c r="O5" s="3" t="s">
        <v>182</v>
      </c>
      <c r="P5" s="21">
        <v>1113</v>
      </c>
      <c r="Q5" s="9">
        <v>1032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 t="shared" ref="A6:A8" si="0">A5</f>
        <v>43715</v>
      </c>
      <c r="B6" s="5" t="s">
        <v>21</v>
      </c>
      <c r="C6" s="3" t="s">
        <v>104</v>
      </c>
      <c r="D6" s="3" t="s">
        <v>23</v>
      </c>
      <c r="E6" s="5" t="str">
        <f>E4</f>
        <v>HA-LWV</v>
      </c>
      <c r="F6" s="3" t="s">
        <v>25</v>
      </c>
      <c r="G6" s="6">
        <v>71500</v>
      </c>
      <c r="H6" s="5" t="s">
        <v>105</v>
      </c>
      <c r="I6" s="5" t="s">
        <v>106</v>
      </c>
      <c r="J6" s="22">
        <v>0.74652777777777779</v>
      </c>
      <c r="K6" s="2">
        <v>0.73819444444444438</v>
      </c>
      <c r="L6" s="22">
        <v>0.58680555555555558</v>
      </c>
      <c r="M6" s="23">
        <v>0.60625000000000007</v>
      </c>
      <c r="N6" s="3" t="s">
        <v>185</v>
      </c>
      <c r="O6" s="3" t="s">
        <v>183</v>
      </c>
      <c r="P6" s="3">
        <v>852</v>
      </c>
      <c r="Q6" s="9">
        <v>1206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si="0"/>
        <v>43715</v>
      </c>
      <c r="B7" s="5" t="s">
        <v>21</v>
      </c>
      <c r="C7" s="24" t="s">
        <v>107</v>
      </c>
      <c r="D7" s="24" t="s">
        <v>23</v>
      </c>
      <c r="E7" s="5" t="str">
        <f>E5</f>
        <v>HA-LWF</v>
      </c>
      <c r="F7" s="24" t="s">
        <v>25</v>
      </c>
      <c r="G7" s="6">
        <f>G5</f>
        <v>71500</v>
      </c>
      <c r="H7" s="24" t="s">
        <v>108</v>
      </c>
      <c r="I7" s="24" t="s">
        <v>109</v>
      </c>
      <c r="J7" s="22">
        <v>0.94097222222222221</v>
      </c>
      <c r="K7" s="2">
        <v>0.96736111111111101</v>
      </c>
      <c r="L7" s="22">
        <v>0.72222222222222221</v>
      </c>
      <c r="M7" s="23">
        <v>0.76736111111111116</v>
      </c>
      <c r="N7" s="3" t="s">
        <v>186</v>
      </c>
      <c r="O7" s="20" t="s">
        <v>82</v>
      </c>
      <c r="P7" s="3">
        <v>558</v>
      </c>
      <c r="Q7" s="24">
        <v>1014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">
      <c r="A8" s="4">
        <f t="shared" si="0"/>
        <v>43715</v>
      </c>
      <c r="B8" s="3" t="s">
        <v>21</v>
      </c>
      <c r="C8" s="21" t="s">
        <v>110</v>
      </c>
      <c r="D8" s="3" t="s">
        <v>23</v>
      </c>
      <c r="E8" s="5" t="str">
        <f>E6</f>
        <v>HA-LWV</v>
      </c>
      <c r="F8" s="3" t="s">
        <v>25</v>
      </c>
      <c r="G8" s="6">
        <f>G6</f>
        <v>71500</v>
      </c>
      <c r="H8" s="5" t="s">
        <v>111</v>
      </c>
      <c r="I8" s="5" t="s">
        <v>112</v>
      </c>
      <c r="J8" s="19">
        <v>0.94444444444444453</v>
      </c>
      <c r="K8" s="8">
        <v>0.94930555555555562</v>
      </c>
      <c r="L8" s="19">
        <v>0.76736111111111116</v>
      </c>
      <c r="M8" s="20">
        <v>0.77847222222222223</v>
      </c>
      <c r="N8" s="20" t="s">
        <v>187</v>
      </c>
      <c r="O8" s="20" t="s">
        <v>184</v>
      </c>
      <c r="P8" s="21">
        <v>919</v>
      </c>
      <c r="Q8" s="9">
        <v>735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5"/>
      <c r="B9" s="3"/>
      <c r="C9" s="3"/>
      <c r="D9" s="3"/>
      <c r="E9" s="3"/>
      <c r="F9" s="3"/>
      <c r="G9" s="15"/>
      <c r="H9" s="5"/>
      <c r="I9" s="5"/>
      <c r="J9" s="17"/>
      <c r="K9" s="16"/>
      <c r="L9" s="17"/>
      <c r="M9" s="16"/>
      <c r="N9" s="26"/>
      <c r="O9" s="26"/>
      <c r="P9" s="15"/>
      <c r="Q9" s="15"/>
      <c r="R9" s="3"/>
      <c r="S9" s="3"/>
      <c r="T9" s="3"/>
      <c r="U9" s="3"/>
    </row>
    <row r="10" spans="1:21" s="10" customFormat="1" x14ac:dyDescent="0.25">
      <c r="A10" s="27"/>
      <c r="J10" s="11"/>
      <c r="K10" s="12"/>
      <c r="L10" s="11"/>
      <c r="M10" s="12"/>
    </row>
    <row r="11" spans="1:21" s="15" customFormat="1" x14ac:dyDescent="0.2">
      <c r="A11" s="25"/>
      <c r="B11" s="28"/>
      <c r="D11" s="28"/>
      <c r="J11" s="17"/>
      <c r="K11" s="16"/>
      <c r="L11" s="29"/>
      <c r="O11" s="26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selection activeCell="Q7" sqref="Q7"/>
    </sheetView>
  </sheetViews>
  <sheetFormatPr defaultRowHeight="15" x14ac:dyDescent="0.25"/>
  <cols>
    <col min="2" max="2" width="12" customWidth="1"/>
    <col min="3" max="3" width="14.42578125" customWidth="1"/>
    <col min="4" max="4" width="7" customWidth="1"/>
    <col min="6" max="6" width="16.5703125" bestFit="1" customWidth="1"/>
    <col min="10" max="10" width="10.7109375" customWidth="1"/>
    <col min="11" max="11" width="11" customWidth="1"/>
    <col min="12" max="12" width="10.85546875" customWidth="1"/>
    <col min="13" max="13" width="10.7109375" customWidth="1"/>
    <col min="14" max="14" width="17.7109375" customWidth="1"/>
    <col min="15" max="15" width="17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5" x14ac:dyDescent="0.25">
      <c r="A2" s="4">
        <v>43716</v>
      </c>
      <c r="B2" s="5" t="s">
        <v>21</v>
      </c>
      <c r="C2" s="5" t="s">
        <v>22</v>
      </c>
      <c r="D2" s="5" t="s">
        <v>23</v>
      </c>
      <c r="E2" s="5" t="s">
        <v>43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0.44722222222222219</v>
      </c>
      <c r="L2" s="7">
        <v>0.25694444444444448</v>
      </c>
      <c r="M2" s="8">
        <v>0.26180555555555557</v>
      </c>
      <c r="N2" s="12" t="s">
        <v>190</v>
      </c>
      <c r="O2" s="9" t="s">
        <v>188</v>
      </c>
      <c r="P2" s="10">
        <v>1246</v>
      </c>
      <c r="Q2" s="9">
        <v>889</v>
      </c>
      <c r="R2" s="5">
        <v>0</v>
      </c>
      <c r="S2" s="5">
        <v>0</v>
      </c>
      <c r="T2" s="5">
        <v>0</v>
      </c>
      <c r="U2" s="5">
        <v>0</v>
      </c>
    </row>
    <row r="3" spans="1:25" x14ac:dyDescent="0.25">
      <c r="A3" s="4">
        <f>A2</f>
        <v>43716</v>
      </c>
      <c r="B3" s="5" t="s">
        <v>21</v>
      </c>
      <c r="C3" s="5" t="s">
        <v>28</v>
      </c>
      <c r="D3" s="5" t="s">
        <v>23</v>
      </c>
      <c r="E3" s="5" t="s">
        <v>137</v>
      </c>
      <c r="F3" s="5" t="s">
        <v>25</v>
      </c>
      <c r="G3" s="6">
        <f>G2</f>
        <v>71500</v>
      </c>
      <c r="H3" s="5" t="s">
        <v>29</v>
      </c>
      <c r="I3" s="5" t="s">
        <v>30</v>
      </c>
      <c r="J3" s="7">
        <v>0.4861111111111111</v>
      </c>
      <c r="K3" s="2">
        <v>0.48680555555555555</v>
      </c>
      <c r="L3" s="7">
        <v>0.28125</v>
      </c>
      <c r="M3" s="8">
        <v>0.29722222222222222</v>
      </c>
      <c r="N3" s="9" t="s">
        <v>191</v>
      </c>
      <c r="O3" s="9" t="s">
        <v>189</v>
      </c>
      <c r="P3" s="10">
        <v>624</v>
      </c>
      <c r="Q3" s="9">
        <v>812</v>
      </c>
      <c r="R3" s="5">
        <v>0</v>
      </c>
      <c r="S3" s="5">
        <v>0</v>
      </c>
      <c r="T3" s="5">
        <v>0</v>
      </c>
      <c r="U3" s="5">
        <v>0</v>
      </c>
    </row>
    <row r="4" spans="1:25" x14ac:dyDescent="0.25">
      <c r="A4" s="4">
        <f t="shared" ref="A4:A7" si="0">A3</f>
        <v>43716</v>
      </c>
      <c r="B4" s="3" t="s">
        <v>21</v>
      </c>
      <c r="C4" s="3" t="s">
        <v>31</v>
      </c>
      <c r="D4" s="3" t="s">
        <v>23</v>
      </c>
      <c r="E4" s="5" t="s">
        <v>164</v>
      </c>
      <c r="F4" s="3" t="s">
        <v>25</v>
      </c>
      <c r="G4" s="6">
        <f t="shared" ref="G4:G7" si="1">G3</f>
        <v>71500</v>
      </c>
      <c r="H4" s="3" t="s">
        <v>32</v>
      </c>
      <c r="I4" s="3" t="s">
        <v>33</v>
      </c>
      <c r="J4" s="13">
        <v>0.72569444444444453</v>
      </c>
      <c r="K4" s="2">
        <v>0.74305555555555547</v>
      </c>
      <c r="L4" s="13">
        <v>0.48958333333333331</v>
      </c>
      <c r="M4" s="2">
        <v>0.50555555555555554</v>
      </c>
      <c r="N4" s="3" t="s">
        <v>194</v>
      </c>
      <c r="O4" s="3" t="s">
        <v>192</v>
      </c>
      <c r="P4" s="3">
        <v>1020</v>
      </c>
      <c r="Q4" s="9">
        <v>1053</v>
      </c>
      <c r="R4" s="3">
        <v>0</v>
      </c>
      <c r="S4" s="3">
        <v>0</v>
      </c>
      <c r="T4" s="3">
        <v>0</v>
      </c>
      <c r="U4" s="3">
        <v>0</v>
      </c>
    </row>
    <row r="5" spans="1:25" x14ac:dyDescent="0.25">
      <c r="A5" s="4">
        <f t="shared" si="0"/>
        <v>43716</v>
      </c>
      <c r="B5" s="3" t="s">
        <v>21</v>
      </c>
      <c r="C5" s="3" t="s">
        <v>34</v>
      </c>
      <c r="D5" s="3" t="s">
        <v>23</v>
      </c>
      <c r="E5" s="5" t="s">
        <v>137</v>
      </c>
      <c r="F5" s="3" t="s">
        <v>25</v>
      </c>
      <c r="G5" s="6">
        <f t="shared" si="1"/>
        <v>71500</v>
      </c>
      <c r="H5" s="3" t="s">
        <v>35</v>
      </c>
      <c r="I5" s="3" t="s">
        <v>36</v>
      </c>
      <c r="J5" s="13">
        <v>0.74652777777777779</v>
      </c>
      <c r="K5" s="2">
        <v>0.76111111111111107</v>
      </c>
      <c r="L5" s="13">
        <v>0.51736111111111105</v>
      </c>
      <c r="M5" s="2">
        <v>0.52708333333333335</v>
      </c>
      <c r="N5" s="3" t="s">
        <v>195</v>
      </c>
      <c r="O5" s="3" t="s">
        <v>193</v>
      </c>
      <c r="P5" s="3">
        <v>993</v>
      </c>
      <c r="Q5" s="9">
        <v>1137</v>
      </c>
      <c r="R5" s="3">
        <v>0</v>
      </c>
      <c r="S5" s="3">
        <v>0</v>
      </c>
      <c r="T5" s="3">
        <v>0</v>
      </c>
      <c r="U5" s="3">
        <v>0</v>
      </c>
    </row>
    <row r="6" spans="1:25" x14ac:dyDescent="0.25">
      <c r="A6" s="4">
        <f t="shared" si="0"/>
        <v>43716</v>
      </c>
      <c r="B6" s="3" t="s">
        <v>21</v>
      </c>
      <c r="C6" s="3" t="s">
        <v>37</v>
      </c>
      <c r="D6" s="3" t="s">
        <v>23</v>
      </c>
      <c r="E6" s="5" t="s">
        <v>164</v>
      </c>
      <c r="F6" s="3" t="s">
        <v>25</v>
      </c>
      <c r="G6" s="6">
        <f t="shared" si="1"/>
        <v>71500</v>
      </c>
      <c r="H6" s="5" t="s">
        <v>38</v>
      </c>
      <c r="I6" s="5" t="s">
        <v>39</v>
      </c>
      <c r="J6" s="11">
        <v>0.91666666666666663</v>
      </c>
      <c r="K6" s="2">
        <v>0.93472222222222223</v>
      </c>
      <c r="L6" s="11">
        <v>0.74652777777777779</v>
      </c>
      <c r="M6" s="12">
        <v>0.77986111111111101</v>
      </c>
      <c r="N6" s="3" t="s">
        <v>198</v>
      </c>
      <c r="O6" s="3" t="s">
        <v>196</v>
      </c>
      <c r="P6" s="3">
        <v>1069</v>
      </c>
      <c r="Q6" s="9">
        <v>634</v>
      </c>
      <c r="R6" s="3">
        <v>0</v>
      </c>
      <c r="S6" s="3">
        <v>0</v>
      </c>
      <c r="T6" s="3">
        <v>0</v>
      </c>
      <c r="U6" s="3">
        <v>0</v>
      </c>
    </row>
    <row r="7" spans="1:25" x14ac:dyDescent="0.25">
      <c r="A7" s="4">
        <f t="shared" si="0"/>
        <v>43716</v>
      </c>
      <c r="B7" s="3" t="s">
        <v>21</v>
      </c>
      <c r="C7" s="3" t="s">
        <v>40</v>
      </c>
      <c r="D7" s="3" t="s">
        <v>23</v>
      </c>
      <c r="E7" s="5" t="s">
        <v>137</v>
      </c>
      <c r="F7" s="3" t="s">
        <v>25</v>
      </c>
      <c r="G7" s="6">
        <f t="shared" si="1"/>
        <v>71500</v>
      </c>
      <c r="H7" s="5" t="s">
        <v>41</v>
      </c>
      <c r="I7" s="5" t="s">
        <v>42</v>
      </c>
      <c r="J7" s="11">
        <v>0.95833333333333337</v>
      </c>
      <c r="K7" s="12">
        <v>0.98402777777777783</v>
      </c>
      <c r="L7" s="11">
        <v>0.76736111111111116</v>
      </c>
      <c r="M7" s="12">
        <v>0.80625000000000002</v>
      </c>
      <c r="N7" s="10" t="s">
        <v>199</v>
      </c>
      <c r="O7" s="10" t="s">
        <v>197</v>
      </c>
      <c r="P7" s="3">
        <v>901</v>
      </c>
      <c r="Q7" s="9">
        <v>581</v>
      </c>
      <c r="R7" s="3">
        <v>0</v>
      </c>
      <c r="S7" s="3">
        <v>0</v>
      </c>
      <c r="T7" s="3">
        <v>0</v>
      </c>
      <c r="U7" s="3">
        <v>0</v>
      </c>
    </row>
    <row r="8" spans="1:25" x14ac:dyDescent="0.25">
      <c r="A8" s="4"/>
      <c r="B8" s="3"/>
      <c r="C8" s="3"/>
      <c r="D8" s="3"/>
      <c r="E8" s="5"/>
      <c r="F8" s="3"/>
      <c r="G8" s="15"/>
      <c r="H8" s="15"/>
      <c r="I8" s="15"/>
      <c r="J8" s="16"/>
      <c r="K8" s="16"/>
      <c r="L8" s="16"/>
      <c r="M8" s="16"/>
      <c r="N8" s="15"/>
      <c r="O8" s="15"/>
      <c r="P8" s="15"/>
      <c r="Q8" s="15"/>
      <c r="R8" s="15"/>
      <c r="S8" s="15"/>
      <c r="T8" s="15"/>
      <c r="U8" s="15"/>
      <c r="V8" s="14"/>
      <c r="W8" s="14"/>
      <c r="X8" s="14"/>
      <c r="Y8" s="14"/>
    </row>
    <row r="9" spans="1:25" x14ac:dyDescent="0.25"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8" sqref="A8:XFD8"/>
    </sheetView>
  </sheetViews>
  <sheetFormatPr defaultRowHeight="15" x14ac:dyDescent="0.25"/>
  <cols>
    <col min="2" max="2" width="17" customWidth="1"/>
    <col min="3" max="3" width="13.7109375" customWidth="1"/>
    <col min="4" max="4" width="7.140625" customWidth="1"/>
    <col min="6" max="6" width="12.140625" customWidth="1"/>
    <col min="10" max="10" width="11.140625" customWidth="1"/>
    <col min="11" max="11" width="10.42578125" customWidth="1"/>
    <col min="12" max="12" width="10.140625" customWidth="1"/>
    <col min="13" max="13" width="10.7109375" customWidth="1"/>
    <col min="14" max="14" width="17.7109375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43717</v>
      </c>
      <c r="B2" s="5" t="s">
        <v>21</v>
      </c>
      <c r="C2" s="5" t="s">
        <v>22</v>
      </c>
      <c r="D2" s="5" t="s">
        <v>23</v>
      </c>
      <c r="E2" s="5" t="s">
        <v>137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0.46597222222222223</v>
      </c>
      <c r="L2" s="7">
        <v>0.25694444444444448</v>
      </c>
      <c r="M2" s="8">
        <v>0.26041666666666669</v>
      </c>
      <c r="N2" s="3" t="s">
        <v>201</v>
      </c>
      <c r="O2" s="9" t="s">
        <v>203</v>
      </c>
      <c r="P2" s="9">
        <v>485</v>
      </c>
      <c r="Q2" s="9">
        <v>713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7" si="0">A2</f>
        <v>43717</v>
      </c>
      <c r="B3" s="5" t="s">
        <v>21</v>
      </c>
      <c r="C3" s="5" t="s">
        <v>28</v>
      </c>
      <c r="D3" s="5" t="s">
        <v>23</v>
      </c>
      <c r="E3" s="5" t="s">
        <v>164</v>
      </c>
      <c r="F3" s="5" t="s">
        <v>25</v>
      </c>
      <c r="G3" s="6">
        <v>70500</v>
      </c>
      <c r="H3" s="5" t="s">
        <v>29</v>
      </c>
      <c r="I3" s="5" t="s">
        <v>30</v>
      </c>
      <c r="J3" s="7">
        <v>0.4861111111111111</v>
      </c>
      <c r="K3" s="2">
        <v>0.49722222222222223</v>
      </c>
      <c r="L3" s="7">
        <v>0.28125</v>
      </c>
      <c r="M3" s="8">
        <v>0.28958333333333336</v>
      </c>
      <c r="N3" s="3" t="s">
        <v>202</v>
      </c>
      <c r="O3" s="9" t="s">
        <v>204</v>
      </c>
      <c r="P3" s="5">
        <v>544</v>
      </c>
      <c r="Q3" s="9">
        <v>928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43717</v>
      </c>
      <c r="B4" s="3" t="s">
        <v>21</v>
      </c>
      <c r="C4" s="3" t="s">
        <v>63</v>
      </c>
      <c r="D4" s="3" t="s">
        <v>23</v>
      </c>
      <c r="E4" s="5" t="s">
        <v>200</v>
      </c>
      <c r="F4" s="3" t="s">
        <v>25</v>
      </c>
      <c r="G4" s="6">
        <f>G2</f>
        <v>71500</v>
      </c>
      <c r="H4" s="3" t="s">
        <v>64</v>
      </c>
      <c r="I4" s="3" t="s">
        <v>65</v>
      </c>
      <c r="J4" s="13">
        <v>0.70833333333333337</v>
      </c>
      <c r="K4" s="2">
        <v>0.70347222222222217</v>
      </c>
      <c r="L4" s="13">
        <v>0.48958333333333331</v>
      </c>
      <c r="M4" s="2">
        <v>0.51458333333333328</v>
      </c>
      <c r="N4" s="15" t="s">
        <v>214</v>
      </c>
      <c r="O4" s="3" t="s">
        <v>205</v>
      </c>
      <c r="P4" s="3">
        <v>439</v>
      </c>
      <c r="Q4" s="9">
        <v>897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43717</v>
      </c>
      <c r="B5" s="3" t="s">
        <v>21</v>
      </c>
      <c r="C5" s="3" t="s">
        <v>34</v>
      </c>
      <c r="D5" s="3" t="s">
        <v>23</v>
      </c>
      <c r="E5" s="5" t="s">
        <v>164</v>
      </c>
      <c r="F5" s="3" t="s">
        <v>25</v>
      </c>
      <c r="G5" s="6">
        <v>70500</v>
      </c>
      <c r="H5" s="3" t="s">
        <v>35</v>
      </c>
      <c r="I5" s="3" t="s">
        <v>36</v>
      </c>
      <c r="J5" s="13">
        <v>0.74652777777777779</v>
      </c>
      <c r="K5" s="2">
        <v>0.79166666666666663</v>
      </c>
      <c r="L5" s="13">
        <v>0.51736111111111105</v>
      </c>
      <c r="M5" s="2">
        <v>0.56180555555555556</v>
      </c>
      <c r="N5" s="3" t="s">
        <v>215</v>
      </c>
      <c r="O5" s="3" t="s">
        <v>206</v>
      </c>
      <c r="P5" s="3">
        <v>290</v>
      </c>
      <c r="Q5" s="9">
        <v>1226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43717</v>
      </c>
      <c r="B6" s="3" t="s">
        <v>21</v>
      </c>
      <c r="C6" s="3" t="s">
        <v>37</v>
      </c>
      <c r="D6" s="3" t="s">
        <v>23</v>
      </c>
      <c r="E6" s="5" t="s">
        <v>200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17">
        <v>0.89930555555555547</v>
      </c>
      <c r="K6" s="2">
        <v>0.88750000000000007</v>
      </c>
      <c r="L6" s="17">
        <v>0.72916666666666663</v>
      </c>
      <c r="M6" s="16">
        <v>0.7319444444444444</v>
      </c>
      <c r="N6" s="3" t="s">
        <v>216</v>
      </c>
      <c r="O6" s="15" t="s">
        <v>217</v>
      </c>
      <c r="P6" s="15">
        <v>386</v>
      </c>
      <c r="Q6" s="9">
        <v>747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43717</v>
      </c>
      <c r="B7" s="15" t="s">
        <v>21</v>
      </c>
      <c r="C7" s="15" t="s">
        <v>66</v>
      </c>
      <c r="D7" s="15" t="s">
        <v>23</v>
      </c>
      <c r="E7" s="5" t="s">
        <v>164</v>
      </c>
      <c r="F7" s="15" t="s">
        <v>25</v>
      </c>
      <c r="G7" s="6">
        <v>70500</v>
      </c>
      <c r="H7" s="15" t="s">
        <v>67</v>
      </c>
      <c r="I7" s="15" t="s">
        <v>68</v>
      </c>
      <c r="J7" s="17">
        <v>0.9375</v>
      </c>
      <c r="K7" s="2">
        <v>0.96666666666666667</v>
      </c>
      <c r="L7" s="17">
        <v>0.76736111111111116</v>
      </c>
      <c r="M7" s="16">
        <v>0.79166666666666663</v>
      </c>
      <c r="N7" s="3" t="s">
        <v>219</v>
      </c>
      <c r="O7" s="3" t="s">
        <v>218</v>
      </c>
      <c r="P7" s="3">
        <v>347</v>
      </c>
      <c r="Q7" s="9">
        <v>856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7">
        <v>43717</v>
      </c>
      <c r="B8" s="3" t="s">
        <v>207</v>
      </c>
      <c r="C8" s="3" t="s">
        <v>208</v>
      </c>
      <c r="D8" s="3" t="s">
        <v>209</v>
      </c>
      <c r="E8" s="5" t="s">
        <v>210</v>
      </c>
      <c r="F8" s="3" t="s">
        <v>211</v>
      </c>
      <c r="G8" s="3" t="s">
        <v>212</v>
      </c>
      <c r="H8" s="5" t="s">
        <v>213</v>
      </c>
      <c r="I8" s="5"/>
      <c r="J8" s="13">
        <v>0.625</v>
      </c>
      <c r="K8" s="12">
        <v>0.57152777777777775</v>
      </c>
      <c r="L8" s="32"/>
      <c r="M8" s="32"/>
      <c r="N8" s="15">
        <v>0</v>
      </c>
      <c r="O8" s="10">
        <v>0</v>
      </c>
      <c r="P8" s="10">
        <v>0</v>
      </c>
      <c r="Q8" s="9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7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43719</v>
      </c>
      <c r="B2" s="5" t="s">
        <v>21</v>
      </c>
      <c r="C2" s="5" t="s">
        <v>22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0.45833333333333331</v>
      </c>
      <c r="K2" s="2">
        <v>0.45694444444444443</v>
      </c>
      <c r="L2" s="7">
        <v>0.25694444444444448</v>
      </c>
      <c r="M2" s="8">
        <v>0.26458333333333334</v>
      </c>
      <c r="N2" s="10" t="s">
        <v>223</v>
      </c>
      <c r="O2" s="9" t="s">
        <v>221</v>
      </c>
      <c r="P2" s="10">
        <v>551</v>
      </c>
      <c r="Q2" s="9">
        <v>682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43719</v>
      </c>
      <c r="B3" s="5" t="s">
        <v>21</v>
      </c>
      <c r="C3" s="5" t="s">
        <v>28</v>
      </c>
      <c r="D3" s="5" t="s">
        <v>23</v>
      </c>
      <c r="E3" s="5" t="s">
        <v>200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0.48402777777777778</v>
      </c>
      <c r="L3" s="7">
        <v>0.28125</v>
      </c>
      <c r="M3" s="8">
        <v>0.28541666666666665</v>
      </c>
      <c r="N3" s="9" t="s">
        <v>224</v>
      </c>
      <c r="O3" s="9" t="s">
        <v>222</v>
      </c>
      <c r="P3" s="10">
        <v>513</v>
      </c>
      <c r="Q3" s="9">
        <v>878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9" si="0">A3</f>
        <v>43719</v>
      </c>
      <c r="B4" s="3" t="s">
        <v>21</v>
      </c>
      <c r="C4" s="3" t="s">
        <v>31</v>
      </c>
      <c r="D4" s="3" t="s">
        <v>23</v>
      </c>
      <c r="E4" s="5" t="s">
        <v>164</v>
      </c>
      <c r="F4" s="3" t="s">
        <v>25</v>
      </c>
      <c r="G4" s="6">
        <v>70000</v>
      </c>
      <c r="H4" s="3" t="s">
        <v>32</v>
      </c>
      <c r="I4" s="3" t="s">
        <v>33</v>
      </c>
      <c r="J4" s="13">
        <v>0.72569444444444453</v>
      </c>
      <c r="K4" s="2">
        <v>0.72569444444444453</v>
      </c>
      <c r="L4" s="13">
        <v>0.48958333333333331</v>
      </c>
      <c r="M4" s="2">
        <v>0.51041666666666663</v>
      </c>
      <c r="N4" s="3" t="s">
        <v>232</v>
      </c>
      <c r="O4" s="3" t="s">
        <v>225</v>
      </c>
      <c r="P4" s="3">
        <v>697</v>
      </c>
      <c r="Q4" s="9">
        <v>1176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43719</v>
      </c>
      <c r="B5" s="3" t="s">
        <v>21</v>
      </c>
      <c r="C5" s="3" t="s">
        <v>34</v>
      </c>
      <c r="D5" s="3" t="s">
        <v>23</v>
      </c>
      <c r="E5" s="5" t="s">
        <v>200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0.76041666666666663</v>
      </c>
      <c r="L5" s="13">
        <v>0.51736111111111105</v>
      </c>
      <c r="M5" s="2">
        <v>0.54999999999999993</v>
      </c>
      <c r="N5" s="3" t="s">
        <v>233</v>
      </c>
      <c r="O5" s="3" t="s">
        <v>226</v>
      </c>
      <c r="P5" s="3">
        <v>476</v>
      </c>
      <c r="Q5" s="9">
        <v>1278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43719</v>
      </c>
      <c r="B6" s="3" t="s">
        <v>21</v>
      </c>
      <c r="C6" s="3" t="s">
        <v>37</v>
      </c>
      <c r="D6" s="3" t="s">
        <v>23</v>
      </c>
      <c r="E6" s="5" t="s">
        <v>164</v>
      </c>
      <c r="F6" s="3" t="s">
        <v>25</v>
      </c>
      <c r="G6" s="6">
        <v>70000</v>
      </c>
      <c r="H6" s="5" t="s">
        <v>38</v>
      </c>
      <c r="I6" s="5" t="s">
        <v>39</v>
      </c>
      <c r="J6" s="11">
        <v>0.91666666666666663</v>
      </c>
      <c r="K6" s="2">
        <v>0.90347222222222223</v>
      </c>
      <c r="L6" s="11">
        <v>0.74652777777777779</v>
      </c>
      <c r="M6" s="12">
        <v>0.7583333333333333</v>
      </c>
      <c r="N6" s="3" t="s">
        <v>234</v>
      </c>
      <c r="O6" s="3" t="s">
        <v>177</v>
      </c>
      <c r="P6" s="3">
        <v>235</v>
      </c>
      <c r="Q6" s="9">
        <v>599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43719</v>
      </c>
      <c r="B7" s="3" t="s">
        <v>21</v>
      </c>
      <c r="C7" s="3" t="s">
        <v>40</v>
      </c>
      <c r="D7" s="3" t="s">
        <v>23</v>
      </c>
      <c r="E7" s="5" t="str">
        <f>E5</f>
        <v>HALPJ</v>
      </c>
      <c r="F7" s="3" t="s">
        <v>25</v>
      </c>
      <c r="G7" s="6">
        <v>71500</v>
      </c>
      <c r="H7" s="5" t="s">
        <v>41</v>
      </c>
      <c r="I7" s="5" t="s">
        <v>42</v>
      </c>
      <c r="J7" s="11">
        <v>0.95833333333333337</v>
      </c>
      <c r="K7" s="12">
        <v>0.96319444444444446</v>
      </c>
      <c r="L7" s="11">
        <v>0.76736111111111116</v>
      </c>
      <c r="M7" s="12">
        <v>0.79513888888888884</v>
      </c>
      <c r="N7" s="10" t="s">
        <v>236</v>
      </c>
      <c r="O7" s="10" t="s">
        <v>235</v>
      </c>
      <c r="P7" s="3">
        <v>795</v>
      </c>
      <c r="Q7" s="9">
        <v>1050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43719</v>
      </c>
      <c r="B8" s="3" t="s">
        <v>227</v>
      </c>
      <c r="C8" s="3" t="s">
        <v>125</v>
      </c>
      <c r="D8" s="3" t="s">
        <v>228</v>
      </c>
      <c r="E8" s="5" t="s">
        <v>229</v>
      </c>
      <c r="F8" s="3" t="s">
        <v>231</v>
      </c>
      <c r="H8" s="5" t="s">
        <v>229</v>
      </c>
      <c r="I8" s="5" t="s">
        <v>229</v>
      </c>
      <c r="J8" s="11">
        <v>0.4375</v>
      </c>
      <c r="K8" s="12">
        <v>0.4458333333333333</v>
      </c>
      <c r="L8" s="11"/>
      <c r="M8" s="11"/>
      <c r="N8" s="3">
        <v>0</v>
      </c>
      <c r="O8" s="3">
        <v>0</v>
      </c>
      <c r="P8" s="3">
        <v>0</v>
      </c>
      <c r="Q8" s="9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4">
        <f t="shared" si="0"/>
        <v>43719</v>
      </c>
      <c r="B9" s="3" t="s">
        <v>227</v>
      </c>
      <c r="C9" s="3" t="s">
        <v>125</v>
      </c>
      <c r="D9" s="3" t="s">
        <v>228</v>
      </c>
      <c r="E9" s="5" t="s">
        <v>230</v>
      </c>
      <c r="F9" s="3" t="s">
        <v>231</v>
      </c>
      <c r="H9" s="5" t="s">
        <v>230</v>
      </c>
      <c r="I9" s="5" t="s">
        <v>230</v>
      </c>
      <c r="J9" s="11">
        <v>0.4375</v>
      </c>
      <c r="K9" s="12">
        <v>0.4458333333333333</v>
      </c>
      <c r="L9" s="11"/>
      <c r="M9" s="11"/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activeCell="A4" sqref="A4:U6"/>
    </sheetView>
  </sheetViews>
  <sheetFormatPr defaultRowHeight="15" x14ac:dyDescent="0.25"/>
  <cols>
    <col min="4" max="4" width="5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43720</v>
      </c>
      <c r="B2" s="5" t="s">
        <v>21</v>
      </c>
      <c r="C2" s="5" t="s">
        <v>86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88</v>
      </c>
      <c r="I2" s="5" t="s">
        <v>89</v>
      </c>
      <c r="J2" s="7">
        <v>0.38541666666666669</v>
      </c>
      <c r="K2" s="2">
        <v>0.3833333333333333</v>
      </c>
      <c r="L2" s="7">
        <v>0.25694444444444448</v>
      </c>
      <c r="M2" s="2">
        <v>0.25833333333333336</v>
      </c>
      <c r="N2" s="2" t="s">
        <v>238</v>
      </c>
      <c r="O2" s="9" t="s">
        <v>237</v>
      </c>
      <c r="P2" s="9">
        <v>186</v>
      </c>
      <c r="Q2" s="9">
        <v>379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43720</v>
      </c>
      <c r="B3" s="5" t="s">
        <v>21</v>
      </c>
      <c r="C3" s="5" t="s">
        <v>22</v>
      </c>
      <c r="D3" s="5" t="s">
        <v>23</v>
      </c>
      <c r="E3" s="5" t="s">
        <v>200</v>
      </c>
      <c r="F3" s="5" t="s">
        <v>25</v>
      </c>
      <c r="G3" s="6">
        <v>71500</v>
      </c>
      <c r="H3" s="5" t="s">
        <v>26</v>
      </c>
      <c r="I3" s="5" t="s">
        <v>27</v>
      </c>
      <c r="J3" s="7">
        <v>0.46180555555555558</v>
      </c>
      <c r="K3" s="2">
        <v>0.47500000000000003</v>
      </c>
      <c r="L3" s="7">
        <v>0.27430555555555552</v>
      </c>
      <c r="M3" s="2">
        <v>0.29652777777777778</v>
      </c>
      <c r="N3" s="2" t="s">
        <v>239</v>
      </c>
      <c r="O3" s="9" t="s">
        <v>188</v>
      </c>
      <c r="P3" s="5">
        <v>659</v>
      </c>
      <c r="Q3" s="9">
        <v>996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43720</v>
      </c>
      <c r="B4" s="10" t="s">
        <v>21</v>
      </c>
      <c r="C4" s="10" t="s">
        <v>93</v>
      </c>
      <c r="D4" s="10" t="s">
        <v>23</v>
      </c>
      <c r="E4" s="5" t="s">
        <v>164</v>
      </c>
      <c r="F4" s="10" t="s">
        <v>25</v>
      </c>
      <c r="G4" s="6">
        <v>70000</v>
      </c>
      <c r="H4" s="10" t="s">
        <v>94</v>
      </c>
      <c r="I4" s="10" t="s">
        <v>95</v>
      </c>
      <c r="J4" s="11">
        <v>0.55555555555555558</v>
      </c>
      <c r="K4" s="12">
        <v>0.55347222222222225</v>
      </c>
      <c r="L4" s="11">
        <v>0.40625</v>
      </c>
      <c r="M4" s="2">
        <v>0.40625</v>
      </c>
      <c r="N4" s="10" t="s">
        <v>242</v>
      </c>
      <c r="O4" s="10" t="s">
        <v>240</v>
      </c>
      <c r="P4" s="10">
        <v>443</v>
      </c>
      <c r="Q4" s="10">
        <v>611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4">
        <v>43720</v>
      </c>
      <c r="B5" s="3" t="s">
        <v>21</v>
      </c>
      <c r="C5" s="3" t="s">
        <v>101</v>
      </c>
      <c r="D5" s="3" t="s">
        <v>23</v>
      </c>
      <c r="E5" s="5" t="s">
        <v>200</v>
      </c>
      <c r="F5" s="3" t="s">
        <v>25</v>
      </c>
      <c r="G5" s="6">
        <v>71500</v>
      </c>
      <c r="H5" s="3" t="s">
        <v>102</v>
      </c>
      <c r="I5" s="3" t="s">
        <v>103</v>
      </c>
      <c r="J5" s="13">
        <v>0.70138888888888884</v>
      </c>
      <c r="K5" s="2">
        <v>0.71111111111111114</v>
      </c>
      <c r="L5" s="13">
        <v>0.49305555555555558</v>
      </c>
      <c r="M5" s="2">
        <v>0.51111111111111118</v>
      </c>
      <c r="N5" s="10" t="s">
        <v>250</v>
      </c>
      <c r="O5" s="3" t="s">
        <v>241</v>
      </c>
      <c r="P5" s="3">
        <v>463</v>
      </c>
      <c r="Q5" s="3">
        <v>1058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43720</v>
      </c>
      <c r="B6" s="3" t="s">
        <v>21</v>
      </c>
      <c r="C6" s="3" t="s">
        <v>37</v>
      </c>
      <c r="D6" s="3" t="s">
        <v>23</v>
      </c>
      <c r="E6" s="5" t="s">
        <v>164</v>
      </c>
      <c r="F6" s="3" t="s">
        <v>25</v>
      </c>
      <c r="G6" s="6">
        <v>70000</v>
      </c>
      <c r="H6" s="3" t="s">
        <v>38</v>
      </c>
      <c r="I6" s="3" t="s">
        <v>39</v>
      </c>
      <c r="J6" s="11">
        <v>0.75694444444444453</v>
      </c>
      <c r="K6" s="2">
        <v>0.74652777777777779</v>
      </c>
      <c r="L6" s="11">
        <v>0.58680555555555558</v>
      </c>
      <c r="M6" s="16">
        <v>0.59027777777777779</v>
      </c>
      <c r="N6" s="3" t="s">
        <v>251</v>
      </c>
      <c r="O6" s="10" t="s">
        <v>204</v>
      </c>
      <c r="P6" s="21">
        <v>422</v>
      </c>
      <c r="Q6" s="10">
        <v>750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43720</v>
      </c>
      <c r="B7" s="10" t="s">
        <v>21</v>
      </c>
      <c r="C7" s="10" t="s">
        <v>28</v>
      </c>
      <c r="D7" s="10" t="s">
        <v>23</v>
      </c>
      <c r="E7" s="5" t="s">
        <v>200</v>
      </c>
      <c r="F7" s="10" t="s">
        <v>25</v>
      </c>
      <c r="G7" s="6">
        <v>71500</v>
      </c>
      <c r="H7" s="10" t="s">
        <v>29</v>
      </c>
      <c r="I7" s="10" t="s">
        <v>30</v>
      </c>
      <c r="J7" s="11">
        <v>0.92708333333333337</v>
      </c>
      <c r="K7" s="2">
        <v>0.94652777777777775</v>
      </c>
      <c r="L7" s="19">
        <v>0.72222222222222221</v>
      </c>
      <c r="M7" s="16">
        <v>0.76041666666666663</v>
      </c>
      <c r="N7" s="3" t="s">
        <v>252</v>
      </c>
      <c r="O7" s="3" t="s">
        <v>248</v>
      </c>
      <c r="P7" s="3">
        <v>385</v>
      </c>
      <c r="Q7" s="21">
        <v>1589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4">
        <v>43720</v>
      </c>
      <c r="B8" s="10" t="s">
        <v>21</v>
      </c>
      <c r="C8" s="10" t="s">
        <v>90</v>
      </c>
      <c r="D8" s="10" t="s">
        <v>23</v>
      </c>
      <c r="E8" s="5" t="s">
        <v>164</v>
      </c>
      <c r="F8" s="10" t="s">
        <v>25</v>
      </c>
      <c r="G8" s="6">
        <v>70000</v>
      </c>
      <c r="H8" s="10" t="s">
        <v>91</v>
      </c>
      <c r="I8" s="10" t="s">
        <v>92</v>
      </c>
      <c r="J8" s="11">
        <v>0.95486111111111116</v>
      </c>
      <c r="K8" s="2">
        <v>0.95486111111111116</v>
      </c>
      <c r="L8" s="11">
        <v>0.77777777777777779</v>
      </c>
      <c r="M8" s="16">
        <v>0.78125</v>
      </c>
      <c r="N8" s="3" t="s">
        <v>253</v>
      </c>
      <c r="O8" s="10" t="s">
        <v>249</v>
      </c>
      <c r="P8" s="10">
        <v>516</v>
      </c>
      <c r="Q8" s="10">
        <v>778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5">
      <c r="A9" s="4">
        <v>43720</v>
      </c>
      <c r="B9" s="10" t="s">
        <v>243</v>
      </c>
      <c r="C9" s="10" t="s">
        <v>244</v>
      </c>
      <c r="D9" s="10" t="s">
        <v>245</v>
      </c>
      <c r="E9" s="5" t="s">
        <v>246</v>
      </c>
      <c r="F9" s="10" t="s">
        <v>231</v>
      </c>
      <c r="G9" s="6">
        <v>2760</v>
      </c>
      <c r="H9" s="10" t="s">
        <v>247</v>
      </c>
      <c r="I9" s="10" t="s">
        <v>247</v>
      </c>
      <c r="J9" s="11">
        <v>0.4375</v>
      </c>
      <c r="K9" s="11">
        <v>0.43958333333333338</v>
      </c>
      <c r="L9" s="11">
        <v>0.51041666666666663</v>
      </c>
      <c r="M9" s="16">
        <v>0.54236111111111118</v>
      </c>
      <c r="N9" s="10">
        <v>4</v>
      </c>
      <c r="O9" s="10">
        <v>4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  <row r="10" spans="1:21" x14ac:dyDescent="0.25">
      <c r="A10" s="4">
        <v>43720</v>
      </c>
      <c r="B10" s="3" t="s">
        <v>207</v>
      </c>
      <c r="C10" s="3" t="s">
        <v>208</v>
      </c>
      <c r="D10" s="3" t="s">
        <v>209</v>
      </c>
      <c r="E10" s="5" t="s">
        <v>210</v>
      </c>
      <c r="F10" s="3" t="s">
        <v>211</v>
      </c>
      <c r="G10" s="3" t="s">
        <v>212</v>
      </c>
      <c r="H10" s="34"/>
      <c r="I10" s="5" t="s">
        <v>213</v>
      </c>
      <c r="J10" s="36"/>
      <c r="K10" s="37"/>
      <c r="L10" s="13">
        <v>0.625</v>
      </c>
      <c r="M10" s="12">
        <v>0.58333333333333337</v>
      </c>
      <c r="N10" s="35"/>
      <c r="O10" s="10">
        <v>0</v>
      </c>
      <c r="P10" s="38"/>
      <c r="Q10" s="9">
        <v>0</v>
      </c>
      <c r="R10" s="39"/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K8" sqref="K8"/>
    </sheetView>
  </sheetViews>
  <sheetFormatPr defaultRowHeight="12.75" x14ac:dyDescent="0.2"/>
  <cols>
    <col min="1" max="1" width="9.140625" style="15"/>
    <col min="2" max="2" width="18.42578125" style="15" bestFit="1" customWidth="1"/>
    <col min="3" max="3" width="13.5703125" style="15" bestFit="1" customWidth="1"/>
    <col min="4" max="4" width="5.7109375" style="15" bestFit="1" customWidth="1"/>
    <col min="5" max="5" width="7.85546875" style="15" bestFit="1" customWidth="1"/>
    <col min="6" max="6" width="18.5703125" style="15" bestFit="1" customWidth="1"/>
    <col min="7" max="8" width="9.7109375" style="15" bestFit="1" customWidth="1"/>
    <col min="9" max="9" width="9.140625" style="15"/>
    <col min="10" max="10" width="11" style="15" bestFit="1" customWidth="1"/>
    <col min="11" max="11" width="10.85546875" style="15" bestFit="1" customWidth="1"/>
    <col min="12" max="12" width="11" style="15" bestFit="1" customWidth="1"/>
    <col min="13" max="13" width="10.85546875" style="15" bestFit="1" customWidth="1"/>
    <col min="14" max="15" width="18.42578125" style="15" bestFit="1" customWidth="1"/>
    <col min="16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43721</v>
      </c>
      <c r="B2" s="5" t="s">
        <v>21</v>
      </c>
      <c r="C2" s="5" t="s">
        <v>22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0.45833333333333331</v>
      </c>
      <c r="K2" s="8" t="s">
        <v>255</v>
      </c>
      <c r="L2" s="7">
        <v>0.25694444444444448</v>
      </c>
      <c r="M2" s="8" t="s">
        <v>255</v>
      </c>
      <c r="N2" s="3"/>
      <c r="O2" s="9" t="s">
        <v>254</v>
      </c>
      <c r="P2" s="9"/>
      <c r="Q2" s="9">
        <v>892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43721</v>
      </c>
      <c r="B3" s="5" t="s">
        <v>21</v>
      </c>
      <c r="C3" s="5" t="s">
        <v>28</v>
      </c>
      <c r="D3" s="5" t="s">
        <v>23</v>
      </c>
      <c r="E3" s="5" t="s">
        <v>200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8" t="s">
        <v>255</v>
      </c>
      <c r="L3" s="7">
        <v>0.28125</v>
      </c>
      <c r="M3" s="8" t="s">
        <v>255</v>
      </c>
      <c r="N3" s="3"/>
      <c r="O3" s="9" t="s">
        <v>188</v>
      </c>
      <c r="P3" s="5"/>
      <c r="Q3" s="9">
        <v>1254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 t="shared" ref="A4:A7" si="0">A3</f>
        <v>43721</v>
      </c>
      <c r="B4" s="3" t="s">
        <v>21</v>
      </c>
      <c r="C4" s="3" t="s">
        <v>63</v>
      </c>
      <c r="D4" s="3" t="s">
        <v>23</v>
      </c>
      <c r="E4" s="5" t="s">
        <v>164</v>
      </c>
      <c r="F4" s="3" t="s">
        <v>25</v>
      </c>
      <c r="G4" s="6">
        <v>70000</v>
      </c>
      <c r="H4" s="3" t="s">
        <v>64</v>
      </c>
      <c r="I4" s="3" t="s">
        <v>65</v>
      </c>
      <c r="J4" s="13">
        <v>0.70833333333333337</v>
      </c>
      <c r="K4" s="2">
        <v>0.69930555555555562</v>
      </c>
      <c r="L4" s="13">
        <v>0.48958333333333331</v>
      </c>
      <c r="M4" s="2">
        <v>0.49444444444444446</v>
      </c>
      <c r="N4" s="15" t="s">
        <v>256</v>
      </c>
      <c r="O4" s="3" t="s">
        <v>254</v>
      </c>
      <c r="P4" s="3">
        <v>533</v>
      </c>
      <c r="Q4" s="9">
        <v>892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 t="shared" si="0"/>
        <v>43721</v>
      </c>
      <c r="B5" s="3" t="s">
        <v>21</v>
      </c>
      <c r="C5" s="3" t="s">
        <v>34</v>
      </c>
      <c r="D5" s="3" t="s">
        <v>23</v>
      </c>
      <c r="E5" s="5" t="s">
        <v>200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0.75555555555555554</v>
      </c>
      <c r="L5" s="13">
        <v>0.51736111111111105</v>
      </c>
      <c r="M5" s="2">
        <v>0.53194444444444444</v>
      </c>
      <c r="N5" s="3" t="s">
        <v>257</v>
      </c>
      <c r="O5" s="3" t="s">
        <v>188</v>
      </c>
      <c r="P5" s="3">
        <v>700</v>
      </c>
      <c r="Q5" s="9">
        <v>1254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 t="shared" si="0"/>
        <v>43721</v>
      </c>
      <c r="B6" s="3" t="s">
        <v>21</v>
      </c>
      <c r="C6" s="3" t="s">
        <v>37</v>
      </c>
      <c r="D6" s="3" t="s">
        <v>23</v>
      </c>
      <c r="E6" s="5" t="s">
        <v>164</v>
      </c>
      <c r="F6" s="3" t="s">
        <v>25</v>
      </c>
      <c r="G6" s="6">
        <v>70000</v>
      </c>
      <c r="H6" s="5" t="s">
        <v>38</v>
      </c>
      <c r="I6" s="5" t="s">
        <v>39</v>
      </c>
      <c r="J6" s="17">
        <v>0.89930555555555547</v>
      </c>
      <c r="K6" s="2">
        <v>0.89583333333333337</v>
      </c>
      <c r="L6" s="17">
        <v>0.72916666666666663</v>
      </c>
      <c r="M6" s="16">
        <v>0.73541666666666661</v>
      </c>
      <c r="N6" s="3" t="s">
        <v>259</v>
      </c>
      <c r="O6" s="15" t="s">
        <v>258</v>
      </c>
      <c r="P6" s="15">
        <v>650</v>
      </c>
      <c r="Q6" s="9">
        <v>710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si="0"/>
        <v>43721</v>
      </c>
      <c r="B7" s="15" t="s">
        <v>21</v>
      </c>
      <c r="C7" s="15" t="s">
        <v>66</v>
      </c>
      <c r="D7" s="15" t="s">
        <v>23</v>
      </c>
      <c r="E7" s="5" t="s">
        <v>200</v>
      </c>
      <c r="F7" s="15" t="s">
        <v>25</v>
      </c>
      <c r="G7" s="6">
        <v>71500</v>
      </c>
      <c r="H7" s="15" t="s">
        <v>67</v>
      </c>
      <c r="I7" s="15" t="s">
        <v>68</v>
      </c>
      <c r="J7" s="17">
        <v>0.9375</v>
      </c>
      <c r="K7" s="2">
        <v>0.93958333333333333</v>
      </c>
      <c r="L7" s="17">
        <v>0.76736111111111116</v>
      </c>
      <c r="M7" s="16">
        <v>0.79027777777777775</v>
      </c>
      <c r="N7" s="3" t="s">
        <v>218</v>
      </c>
      <c r="O7" s="3" t="s">
        <v>218</v>
      </c>
      <c r="P7" s="3">
        <v>431</v>
      </c>
      <c r="Q7" s="9">
        <v>720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4"/>
      <c r="B8" s="5"/>
      <c r="C8" s="3"/>
      <c r="D8" s="3"/>
      <c r="E8" s="5"/>
      <c r="F8" s="3"/>
      <c r="G8" s="6"/>
      <c r="H8" s="3"/>
      <c r="I8" s="3"/>
      <c r="J8" s="13"/>
      <c r="K8" s="2"/>
      <c r="L8" s="13"/>
      <c r="M8" s="16"/>
      <c r="O8" s="3"/>
      <c r="P8" s="3"/>
      <c r="Q8" s="9"/>
      <c r="R8" s="3"/>
      <c r="S8" s="3"/>
      <c r="T8" s="3"/>
      <c r="U8" s="3"/>
    </row>
    <row r="9" spans="1:21" x14ac:dyDescent="0.2">
      <c r="A9" s="25"/>
      <c r="B9" s="5"/>
      <c r="G9" s="18"/>
      <c r="J9" s="17"/>
      <c r="K9" s="16"/>
      <c r="L9" s="17"/>
      <c r="M9" s="1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U8"/>
    </sheetView>
  </sheetViews>
  <sheetFormatPr defaultRowHeight="12.75" x14ac:dyDescent="0.2"/>
  <cols>
    <col min="1" max="1" width="9.140625" style="14"/>
    <col min="2" max="2" width="22.7109375" style="14" customWidth="1"/>
    <col min="3" max="3" width="14.28515625" style="14" customWidth="1"/>
    <col min="4" max="4" width="12.42578125" style="14" customWidth="1"/>
    <col min="5" max="5" width="9.140625" style="14"/>
    <col min="6" max="6" width="18.140625" style="14" customWidth="1"/>
    <col min="7" max="12" width="9.140625" style="14"/>
    <col min="13" max="13" width="11.42578125" style="14" customWidth="1"/>
    <col min="14" max="14" width="17.5703125" style="14" customWidth="1"/>
    <col min="15" max="15" width="19.5703125" style="14" customWidth="1"/>
    <col min="16" max="16384" width="9.140625" style="14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43722</v>
      </c>
      <c r="B2" s="5" t="s">
        <v>21</v>
      </c>
      <c r="C2" s="5" t="s">
        <v>86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88</v>
      </c>
      <c r="I2" s="5" t="s">
        <v>89</v>
      </c>
      <c r="J2" s="7">
        <v>0.38541666666666669</v>
      </c>
      <c r="K2" s="2">
        <v>0.3659722222222222</v>
      </c>
      <c r="L2" s="7">
        <v>0.25694444444444448</v>
      </c>
      <c r="M2" s="8">
        <v>0.25486111111111109</v>
      </c>
      <c r="N2" s="3" t="s">
        <v>262</v>
      </c>
      <c r="O2" s="9" t="s">
        <v>260</v>
      </c>
      <c r="P2" s="9">
        <v>414</v>
      </c>
      <c r="Q2" s="9">
        <v>342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43722</v>
      </c>
      <c r="B3" s="5" t="s">
        <v>21</v>
      </c>
      <c r="C3" s="5" t="s">
        <v>90</v>
      </c>
      <c r="D3" s="5" t="s">
        <v>23</v>
      </c>
      <c r="E3" s="5" t="s">
        <v>200</v>
      </c>
      <c r="F3" s="5" t="s">
        <v>25</v>
      </c>
      <c r="G3" s="6">
        <v>71500</v>
      </c>
      <c r="H3" s="5" t="s">
        <v>91</v>
      </c>
      <c r="I3" s="5" t="s">
        <v>92</v>
      </c>
      <c r="J3" s="7">
        <v>0.46180555555555558</v>
      </c>
      <c r="K3" s="2">
        <v>0.46249999999999997</v>
      </c>
      <c r="L3" s="7">
        <v>0.28125</v>
      </c>
      <c r="M3" s="8">
        <v>0.28958333333333336</v>
      </c>
      <c r="N3" s="3" t="s">
        <v>263</v>
      </c>
      <c r="O3" s="9" t="s">
        <v>261</v>
      </c>
      <c r="P3" s="5">
        <v>810</v>
      </c>
      <c r="Q3" s="9">
        <v>910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>A3</f>
        <v>43722</v>
      </c>
      <c r="B4" s="5" t="s">
        <v>21</v>
      </c>
      <c r="C4" s="3" t="s">
        <v>93</v>
      </c>
      <c r="D4" s="3" t="s">
        <v>23</v>
      </c>
      <c r="E4" s="5" t="str">
        <f>E2</f>
        <v>HALWC</v>
      </c>
      <c r="F4" s="3" t="s">
        <v>25</v>
      </c>
      <c r="G4" s="6">
        <f>G2</f>
        <v>70000</v>
      </c>
      <c r="H4" s="3" t="s">
        <v>94</v>
      </c>
      <c r="I4" s="3" t="s">
        <v>95</v>
      </c>
      <c r="J4" s="13">
        <v>0.55555555555555558</v>
      </c>
      <c r="K4" s="2">
        <v>0.54236111111111118</v>
      </c>
      <c r="L4" s="13">
        <v>0.40625</v>
      </c>
      <c r="M4" s="2">
        <v>0.4055555555555555</v>
      </c>
      <c r="N4" s="3" t="s">
        <v>265</v>
      </c>
      <c r="O4" s="3" t="s">
        <v>220</v>
      </c>
      <c r="P4" s="3">
        <v>635</v>
      </c>
      <c r="Q4" s="9">
        <v>868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>A4</f>
        <v>43722</v>
      </c>
      <c r="B5" s="5" t="s">
        <v>21</v>
      </c>
      <c r="C5" s="3" t="s">
        <v>101</v>
      </c>
      <c r="D5" s="3" t="s">
        <v>23</v>
      </c>
      <c r="E5" s="5" t="str">
        <f>E3</f>
        <v>HALPJ</v>
      </c>
      <c r="F5" s="3" t="s">
        <v>25</v>
      </c>
      <c r="G5" s="6">
        <f>G3</f>
        <v>71500</v>
      </c>
      <c r="H5" s="3" t="s">
        <v>102</v>
      </c>
      <c r="I5" s="3" t="s">
        <v>103</v>
      </c>
      <c r="J5" s="19">
        <v>0.70138888888888884</v>
      </c>
      <c r="K5" s="2">
        <v>0.69305555555555554</v>
      </c>
      <c r="L5" s="19">
        <v>0.49305555555555558</v>
      </c>
      <c r="M5" s="20">
        <v>0.50138888888888888</v>
      </c>
      <c r="N5" s="3" t="s">
        <v>267</v>
      </c>
      <c r="O5" s="3" t="s">
        <v>264</v>
      </c>
      <c r="P5" s="21">
        <v>946</v>
      </c>
      <c r="Q5" s="9">
        <v>877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 t="shared" ref="A6:A8" si="0">A5</f>
        <v>43722</v>
      </c>
      <c r="B6" s="5" t="s">
        <v>21</v>
      </c>
      <c r="C6" s="3" t="s">
        <v>104</v>
      </c>
      <c r="D6" s="3" t="s">
        <v>23</v>
      </c>
      <c r="E6" s="5" t="str">
        <f>E4</f>
        <v>HALWC</v>
      </c>
      <c r="F6" s="3" t="s">
        <v>25</v>
      </c>
      <c r="G6" s="6">
        <v>70000</v>
      </c>
      <c r="H6" s="5" t="s">
        <v>105</v>
      </c>
      <c r="I6" s="5" t="s">
        <v>106</v>
      </c>
      <c r="J6" s="22">
        <v>0.74652777777777779</v>
      </c>
      <c r="K6" s="2">
        <v>0.7368055555555556</v>
      </c>
      <c r="L6" s="22">
        <v>0.58680555555555558</v>
      </c>
      <c r="M6" s="23">
        <v>0.58124999999999993</v>
      </c>
      <c r="N6" s="3" t="s">
        <v>268</v>
      </c>
      <c r="O6" s="3" t="s">
        <v>266</v>
      </c>
      <c r="P6" s="3">
        <v>1193</v>
      </c>
      <c r="Q6" s="9">
        <v>809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si="0"/>
        <v>43722</v>
      </c>
      <c r="B7" s="5" t="s">
        <v>21</v>
      </c>
      <c r="C7" s="24" t="s">
        <v>107</v>
      </c>
      <c r="D7" s="24" t="s">
        <v>23</v>
      </c>
      <c r="E7" s="5" t="str">
        <f>E5</f>
        <v>HALPJ</v>
      </c>
      <c r="F7" s="24" t="s">
        <v>25</v>
      </c>
      <c r="G7" s="6">
        <f>G5</f>
        <v>71500</v>
      </c>
      <c r="H7" s="24" t="s">
        <v>108</v>
      </c>
      <c r="I7" s="24" t="s">
        <v>109</v>
      </c>
      <c r="J7" s="22">
        <v>0.94097222222222221</v>
      </c>
      <c r="K7" s="2">
        <v>0.9472222222222223</v>
      </c>
      <c r="L7" s="22">
        <v>0.72222222222222221</v>
      </c>
      <c r="M7" s="23">
        <v>0.7416666666666667</v>
      </c>
      <c r="N7" s="3" t="s">
        <v>270</v>
      </c>
      <c r="O7" s="20" t="s">
        <v>269</v>
      </c>
      <c r="P7" s="3">
        <v>576</v>
      </c>
      <c r="Q7" s="24">
        <v>955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">
      <c r="A8" s="4">
        <f t="shared" si="0"/>
        <v>43722</v>
      </c>
      <c r="B8" s="3" t="s">
        <v>21</v>
      </c>
      <c r="C8" s="21" t="s">
        <v>110</v>
      </c>
      <c r="D8" s="3" t="s">
        <v>23</v>
      </c>
      <c r="E8" s="5" t="str">
        <f>E6</f>
        <v>HALWC</v>
      </c>
      <c r="F8" s="3" t="s">
        <v>25</v>
      </c>
      <c r="G8" s="6">
        <f>G6</f>
        <v>70000</v>
      </c>
      <c r="H8" s="5" t="s">
        <v>111</v>
      </c>
      <c r="I8" s="5" t="s">
        <v>112</v>
      </c>
      <c r="J8" s="19">
        <v>0.94444444444444453</v>
      </c>
      <c r="K8" s="8">
        <v>0.9291666666666667</v>
      </c>
      <c r="L8" s="19">
        <v>0.76736111111111116</v>
      </c>
      <c r="M8" s="20">
        <v>0.77361111111111114</v>
      </c>
      <c r="N8" s="20" t="s">
        <v>271</v>
      </c>
      <c r="O8" s="20" t="s">
        <v>266</v>
      </c>
      <c r="P8" s="21">
        <v>688</v>
      </c>
      <c r="Q8" s="9">
        <v>835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25"/>
      <c r="B9" s="3"/>
      <c r="C9" s="3"/>
      <c r="D9" s="3"/>
      <c r="E9" s="3"/>
      <c r="F9" s="3"/>
      <c r="G9" s="15"/>
      <c r="H9" s="5"/>
      <c r="I9" s="5"/>
      <c r="J9" s="17"/>
      <c r="K9" s="16"/>
      <c r="L9" s="17"/>
      <c r="M9" s="16"/>
      <c r="N9" s="26"/>
      <c r="O9" s="26"/>
      <c r="P9" s="15"/>
      <c r="Q9" s="15"/>
      <c r="R9" s="3"/>
      <c r="S9" s="3"/>
      <c r="T9" s="3"/>
      <c r="U9" s="3"/>
    </row>
    <row r="10" spans="1:21" s="10" customFormat="1" x14ac:dyDescent="0.25">
      <c r="A10" s="27"/>
      <c r="J10" s="11"/>
      <c r="K10" s="12"/>
      <c r="L10" s="11"/>
      <c r="M10" s="12"/>
    </row>
    <row r="11" spans="1:21" s="15" customFormat="1" x14ac:dyDescent="0.2">
      <c r="A11" s="25"/>
      <c r="B11" s="28"/>
      <c r="D11" s="28"/>
      <c r="J11" s="17"/>
      <c r="K11" s="16"/>
      <c r="L11" s="29"/>
      <c r="O11" s="26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selection activeCell="A2" sqref="A2"/>
    </sheetView>
  </sheetViews>
  <sheetFormatPr defaultRowHeight="15" x14ac:dyDescent="0.25"/>
  <cols>
    <col min="2" max="2" width="12" customWidth="1"/>
    <col min="3" max="3" width="14.42578125" customWidth="1"/>
    <col min="4" max="4" width="7" customWidth="1"/>
    <col min="6" max="6" width="16.5703125" bestFit="1" customWidth="1"/>
    <col min="10" max="10" width="10.7109375" customWidth="1"/>
    <col min="11" max="11" width="11" customWidth="1"/>
    <col min="12" max="12" width="10.85546875" customWidth="1"/>
    <col min="13" max="13" width="10.7109375" customWidth="1"/>
    <col min="14" max="14" width="17.7109375" customWidth="1"/>
    <col min="15" max="15" width="17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5" x14ac:dyDescent="0.25">
      <c r="A2" s="4">
        <v>43723</v>
      </c>
      <c r="B2" s="5" t="s">
        <v>21</v>
      </c>
      <c r="C2" s="5" t="s">
        <v>22</v>
      </c>
      <c r="D2" s="5" t="s">
        <v>23</v>
      </c>
      <c r="E2" s="5" t="s">
        <v>200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0.45277777777777778</v>
      </c>
      <c r="L2" s="7">
        <v>0.25694444444444448</v>
      </c>
      <c r="M2" s="8">
        <v>0.26458333333333334</v>
      </c>
      <c r="N2" s="12" t="s">
        <v>273</v>
      </c>
      <c r="O2" s="9" t="s">
        <v>189</v>
      </c>
      <c r="P2" s="10">
        <v>1166</v>
      </c>
      <c r="Q2" s="9">
        <v>1002</v>
      </c>
      <c r="R2" s="5">
        <v>0</v>
      </c>
      <c r="S2" s="5">
        <v>0</v>
      </c>
      <c r="T2" s="5">
        <v>0</v>
      </c>
      <c r="U2" s="5">
        <v>0</v>
      </c>
    </row>
    <row r="3" spans="1:25" x14ac:dyDescent="0.25">
      <c r="A3" s="4">
        <f>A2</f>
        <v>43723</v>
      </c>
      <c r="B3" s="5" t="s">
        <v>21</v>
      </c>
      <c r="C3" s="5" t="s">
        <v>28</v>
      </c>
      <c r="D3" s="5" t="s">
        <v>23</v>
      </c>
      <c r="E3" s="5" t="s">
        <v>164</v>
      </c>
      <c r="F3" s="5" t="s">
        <v>25</v>
      </c>
      <c r="G3" s="6">
        <v>70000</v>
      </c>
      <c r="H3" s="5" t="s">
        <v>29</v>
      </c>
      <c r="I3" s="5" t="s">
        <v>30</v>
      </c>
      <c r="J3" s="7">
        <v>0.4861111111111111</v>
      </c>
      <c r="K3" s="2">
        <v>0.4777777777777778</v>
      </c>
      <c r="L3" s="7">
        <v>0.28125</v>
      </c>
      <c r="M3" s="8">
        <v>0.29097222222222224</v>
      </c>
      <c r="N3" s="9" t="s">
        <v>274</v>
      </c>
      <c r="O3" s="9" t="s">
        <v>272</v>
      </c>
      <c r="P3" s="10">
        <v>830</v>
      </c>
      <c r="Q3" s="9">
        <v>864</v>
      </c>
      <c r="R3" s="5">
        <v>0</v>
      </c>
      <c r="S3" s="5">
        <v>0</v>
      </c>
      <c r="T3" s="5">
        <v>0</v>
      </c>
      <c r="U3" s="5">
        <v>0</v>
      </c>
    </row>
    <row r="4" spans="1:25" x14ac:dyDescent="0.25">
      <c r="A4" s="4">
        <f t="shared" ref="A4:A7" si="0">A3</f>
        <v>43723</v>
      </c>
      <c r="B4" s="3" t="s">
        <v>21</v>
      </c>
      <c r="C4" s="3" t="s">
        <v>31</v>
      </c>
      <c r="D4" s="3" t="s">
        <v>23</v>
      </c>
      <c r="E4" s="5" t="s">
        <v>200</v>
      </c>
      <c r="F4" s="3" t="s">
        <v>25</v>
      </c>
      <c r="G4" s="6">
        <v>71500</v>
      </c>
      <c r="H4" s="3" t="s">
        <v>32</v>
      </c>
      <c r="I4" s="3" t="s">
        <v>33</v>
      </c>
      <c r="J4" s="13">
        <v>0.72569444444444453</v>
      </c>
      <c r="K4" s="2">
        <v>0.72222222222222221</v>
      </c>
      <c r="L4" s="13">
        <v>0.48958333333333331</v>
      </c>
      <c r="M4" s="2">
        <v>0.50277777777777777</v>
      </c>
      <c r="N4" s="3" t="s">
        <v>277</v>
      </c>
      <c r="O4" s="3" t="s">
        <v>275</v>
      </c>
      <c r="P4" s="3">
        <v>487</v>
      </c>
      <c r="Q4" s="9">
        <v>1048</v>
      </c>
      <c r="R4" s="3">
        <v>0</v>
      </c>
      <c r="S4" s="3">
        <v>0</v>
      </c>
      <c r="T4" s="3">
        <v>0</v>
      </c>
      <c r="U4" s="3">
        <v>0</v>
      </c>
    </row>
    <row r="5" spans="1:25" x14ac:dyDescent="0.25">
      <c r="A5" s="4">
        <f t="shared" si="0"/>
        <v>43723</v>
      </c>
      <c r="B5" s="3" t="s">
        <v>21</v>
      </c>
      <c r="C5" s="3" t="s">
        <v>34</v>
      </c>
      <c r="D5" s="3" t="s">
        <v>23</v>
      </c>
      <c r="E5" s="5" t="s">
        <v>164</v>
      </c>
      <c r="F5" s="3" t="s">
        <v>25</v>
      </c>
      <c r="G5" s="6">
        <v>70000</v>
      </c>
      <c r="H5" s="3" t="s">
        <v>35</v>
      </c>
      <c r="I5" s="3" t="s">
        <v>36</v>
      </c>
      <c r="J5" s="13">
        <v>0.74652777777777779</v>
      </c>
      <c r="K5" s="2">
        <v>0.7631944444444444</v>
      </c>
      <c r="L5" s="13">
        <v>0.51736111111111105</v>
      </c>
      <c r="M5" s="2">
        <v>0.53194444444444444</v>
      </c>
      <c r="N5" s="3" t="s">
        <v>278</v>
      </c>
      <c r="O5" s="3" t="s">
        <v>276</v>
      </c>
      <c r="P5" s="3">
        <v>821</v>
      </c>
      <c r="Q5" s="9">
        <v>1182</v>
      </c>
      <c r="R5" s="3">
        <v>0</v>
      </c>
      <c r="S5" s="3">
        <v>0</v>
      </c>
      <c r="T5" s="3">
        <v>0</v>
      </c>
      <c r="U5" s="3">
        <v>0</v>
      </c>
    </row>
    <row r="6" spans="1:25" x14ac:dyDescent="0.25">
      <c r="A6" s="4">
        <f t="shared" si="0"/>
        <v>43723</v>
      </c>
      <c r="B6" s="3" t="s">
        <v>21</v>
      </c>
      <c r="C6" s="3" t="s">
        <v>37</v>
      </c>
      <c r="D6" s="3" t="s">
        <v>23</v>
      </c>
      <c r="E6" s="5" t="s">
        <v>200</v>
      </c>
      <c r="F6" s="3" t="s">
        <v>25</v>
      </c>
      <c r="G6" s="6">
        <v>71500</v>
      </c>
      <c r="H6" s="5" t="s">
        <v>38</v>
      </c>
      <c r="I6" s="5" t="s">
        <v>39</v>
      </c>
      <c r="J6" s="11">
        <v>0.91666666666666663</v>
      </c>
      <c r="K6" s="2">
        <v>0.91666666666666663</v>
      </c>
      <c r="L6" s="11">
        <v>0.74652777777777779</v>
      </c>
      <c r="M6" s="12">
        <v>0.75694444444444453</v>
      </c>
      <c r="N6" s="3" t="s">
        <v>218</v>
      </c>
      <c r="O6" s="3" t="s">
        <v>257</v>
      </c>
      <c r="P6" s="3">
        <v>951</v>
      </c>
      <c r="Q6" s="9">
        <v>909</v>
      </c>
      <c r="R6" s="3">
        <v>0</v>
      </c>
      <c r="S6" s="3">
        <v>0</v>
      </c>
      <c r="T6" s="3">
        <v>0</v>
      </c>
      <c r="U6" s="3">
        <v>0</v>
      </c>
    </row>
    <row r="7" spans="1:25" x14ac:dyDescent="0.25">
      <c r="A7" s="4">
        <f t="shared" si="0"/>
        <v>43723</v>
      </c>
      <c r="B7" s="3" t="s">
        <v>21</v>
      </c>
      <c r="C7" s="3" t="s">
        <v>40</v>
      </c>
      <c r="D7" s="3" t="s">
        <v>23</v>
      </c>
      <c r="E7" s="5" t="s">
        <v>164</v>
      </c>
      <c r="F7" s="3" t="s">
        <v>25</v>
      </c>
      <c r="G7" s="6">
        <v>71000</v>
      </c>
      <c r="H7" s="5" t="s">
        <v>41</v>
      </c>
      <c r="I7" s="5" t="s">
        <v>42</v>
      </c>
      <c r="J7" s="11">
        <v>0.95833333333333337</v>
      </c>
      <c r="K7" s="12">
        <v>0.97222222222222221</v>
      </c>
      <c r="L7" s="11">
        <v>0.76736111111111116</v>
      </c>
      <c r="M7" s="12">
        <v>0.79722222222222217</v>
      </c>
      <c r="N7" s="10" t="s">
        <v>133</v>
      </c>
      <c r="O7" s="10" t="s">
        <v>279</v>
      </c>
      <c r="P7" s="3">
        <v>873</v>
      </c>
      <c r="Q7" s="9">
        <v>793</v>
      </c>
      <c r="R7" s="3">
        <v>0</v>
      </c>
      <c r="S7" s="3">
        <v>0</v>
      </c>
      <c r="T7" s="3">
        <v>0</v>
      </c>
      <c r="U7" s="3">
        <v>0</v>
      </c>
    </row>
    <row r="8" spans="1:25" x14ac:dyDescent="0.25">
      <c r="A8" s="4"/>
      <c r="B8" s="3"/>
      <c r="C8" s="3"/>
      <c r="D8" s="3"/>
      <c r="E8" s="5"/>
      <c r="F8" s="3"/>
      <c r="G8" s="15"/>
      <c r="H8" s="15"/>
      <c r="I8" s="15"/>
      <c r="J8" s="16"/>
      <c r="K8" s="16"/>
      <c r="L8" s="16"/>
      <c r="M8" s="16"/>
      <c r="N8" s="15"/>
      <c r="O8" s="15"/>
      <c r="P8" s="15"/>
      <c r="Q8" s="15"/>
      <c r="R8" s="15"/>
      <c r="S8" s="15"/>
      <c r="T8" s="15"/>
      <c r="U8" s="15"/>
      <c r="V8" s="14"/>
      <c r="W8" s="14"/>
      <c r="X8" s="14"/>
      <c r="Y8" s="14"/>
    </row>
    <row r="9" spans="1:25" x14ac:dyDescent="0.25"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16" sqref="H16"/>
    </sheetView>
  </sheetViews>
  <sheetFormatPr defaultRowHeight="15" x14ac:dyDescent="0.25"/>
  <cols>
    <col min="2" max="2" width="21.85546875" bestFit="1" customWidth="1"/>
    <col min="3" max="3" width="13.7109375" customWidth="1"/>
    <col min="4" max="4" width="7.140625" customWidth="1"/>
    <col min="6" max="6" width="12.140625" customWidth="1"/>
    <col min="10" max="10" width="11.140625" customWidth="1"/>
    <col min="11" max="11" width="10.42578125" customWidth="1"/>
    <col min="12" max="12" width="10.140625" customWidth="1"/>
    <col min="13" max="13" width="10.7109375" customWidth="1"/>
    <col min="14" max="14" width="17.7109375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43724</v>
      </c>
      <c r="B2" s="5" t="s">
        <v>21</v>
      </c>
      <c r="C2" s="5" t="s">
        <v>22</v>
      </c>
      <c r="D2" s="5" t="s">
        <v>23</v>
      </c>
      <c r="E2" s="5" t="s">
        <v>200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0.45208333333333334</v>
      </c>
      <c r="L2" s="7">
        <v>0.25694444444444448</v>
      </c>
      <c r="M2" s="8">
        <v>0.26666666666666666</v>
      </c>
      <c r="N2" s="3" t="s">
        <v>282</v>
      </c>
      <c r="O2" s="9" t="s">
        <v>280</v>
      </c>
      <c r="P2" s="9">
        <v>892</v>
      </c>
      <c r="Q2" s="9">
        <v>778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7" si="0">A2</f>
        <v>43724</v>
      </c>
      <c r="B3" s="5" t="s">
        <v>21</v>
      </c>
      <c r="C3" s="5" t="s">
        <v>28</v>
      </c>
      <c r="D3" s="5" t="s">
        <v>23</v>
      </c>
      <c r="E3" s="5" t="s">
        <v>164</v>
      </c>
      <c r="F3" s="5" t="s">
        <v>25</v>
      </c>
      <c r="G3" s="6">
        <v>70500</v>
      </c>
      <c r="H3" s="5" t="s">
        <v>29</v>
      </c>
      <c r="I3" s="5" t="s">
        <v>30</v>
      </c>
      <c r="J3" s="7">
        <v>0.4861111111111111</v>
      </c>
      <c r="K3" s="2">
        <v>0.4916666666666667</v>
      </c>
      <c r="L3" s="7">
        <v>0.28125</v>
      </c>
      <c r="M3" s="8">
        <v>0.28750000000000003</v>
      </c>
      <c r="N3" s="3" t="s">
        <v>283</v>
      </c>
      <c r="O3" s="9" t="s">
        <v>281</v>
      </c>
      <c r="P3" s="5">
        <v>183</v>
      </c>
      <c r="Q3" s="9">
        <v>932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43724</v>
      </c>
      <c r="B4" s="3" t="s">
        <v>21</v>
      </c>
      <c r="C4" s="3" t="s">
        <v>63</v>
      </c>
      <c r="D4" s="3" t="s">
        <v>23</v>
      </c>
      <c r="E4" s="5" t="s">
        <v>200</v>
      </c>
      <c r="F4" s="3" t="s">
        <v>25</v>
      </c>
      <c r="G4" s="6">
        <f>G2</f>
        <v>71500</v>
      </c>
      <c r="H4" s="3" t="s">
        <v>64</v>
      </c>
      <c r="I4" s="3" t="s">
        <v>65</v>
      </c>
      <c r="J4" s="13">
        <v>0.70833333333333337</v>
      </c>
      <c r="K4" s="2">
        <v>0.7006944444444444</v>
      </c>
      <c r="L4" s="13">
        <v>0.48958333333333331</v>
      </c>
      <c r="M4" s="2">
        <v>0.50347222222222221</v>
      </c>
      <c r="N4" s="15" t="s">
        <v>284</v>
      </c>
      <c r="O4" s="3" t="s">
        <v>251</v>
      </c>
      <c r="P4" s="3">
        <v>344</v>
      </c>
      <c r="Q4" s="9">
        <v>1069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43724</v>
      </c>
      <c r="B5" s="3" t="s">
        <v>21</v>
      </c>
      <c r="C5" s="3" t="s">
        <v>34</v>
      </c>
      <c r="D5" s="3" t="s">
        <v>23</v>
      </c>
      <c r="E5" s="5" t="s">
        <v>164</v>
      </c>
      <c r="F5" s="3" t="s">
        <v>25</v>
      </c>
      <c r="G5" s="6">
        <v>70500</v>
      </c>
      <c r="H5" s="3" t="s">
        <v>35</v>
      </c>
      <c r="I5" s="3" t="s">
        <v>36</v>
      </c>
      <c r="J5" s="13">
        <v>0.74652777777777779</v>
      </c>
      <c r="K5" s="2">
        <v>0.7416666666666667</v>
      </c>
      <c r="L5" s="13">
        <v>0.51736111111111105</v>
      </c>
      <c r="M5" s="2">
        <v>0.53194444444444444</v>
      </c>
      <c r="N5" s="3" t="s">
        <v>285</v>
      </c>
      <c r="O5" s="3" t="s">
        <v>196</v>
      </c>
      <c r="P5" s="3">
        <v>388</v>
      </c>
      <c r="Q5" s="9">
        <v>952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43724</v>
      </c>
      <c r="B6" s="3" t="s">
        <v>21</v>
      </c>
      <c r="C6" s="3" t="s">
        <v>37</v>
      </c>
      <c r="D6" s="3" t="s">
        <v>23</v>
      </c>
      <c r="E6" s="5" t="s">
        <v>200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17">
        <v>0.89930555555555547</v>
      </c>
      <c r="K6" s="2">
        <v>0.8979166666666667</v>
      </c>
      <c r="L6" s="17">
        <v>0.72916666666666663</v>
      </c>
      <c r="M6" s="16">
        <v>0.73958333333333337</v>
      </c>
      <c r="N6" s="3" t="s">
        <v>294</v>
      </c>
      <c r="O6" s="15" t="s">
        <v>269</v>
      </c>
      <c r="P6" s="15">
        <v>624</v>
      </c>
      <c r="Q6" s="9">
        <v>556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43724</v>
      </c>
      <c r="B7" s="15" t="s">
        <v>21</v>
      </c>
      <c r="C7" s="15" t="s">
        <v>66</v>
      </c>
      <c r="D7" s="15" t="s">
        <v>23</v>
      </c>
      <c r="E7" s="5" t="s">
        <v>164</v>
      </c>
      <c r="F7" s="15" t="s">
        <v>25</v>
      </c>
      <c r="G7" s="6">
        <v>70500</v>
      </c>
      <c r="H7" s="15" t="s">
        <v>67</v>
      </c>
      <c r="I7" s="15" t="s">
        <v>68</v>
      </c>
      <c r="J7" s="17">
        <v>0.9375</v>
      </c>
      <c r="K7" s="2">
        <v>0.92013888888888884</v>
      </c>
      <c r="L7" s="17">
        <v>0.76736111111111116</v>
      </c>
      <c r="M7" s="16">
        <v>0.7715277777777777</v>
      </c>
      <c r="N7" s="3" t="s">
        <v>295</v>
      </c>
      <c r="O7" s="3" t="s">
        <v>286</v>
      </c>
      <c r="P7" s="3">
        <v>504</v>
      </c>
      <c r="Q7" s="9">
        <v>564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7">
        <v>43724</v>
      </c>
      <c r="B8" s="3" t="s">
        <v>287</v>
      </c>
      <c r="C8" s="3" t="s">
        <v>288</v>
      </c>
      <c r="D8" s="3" t="s">
        <v>289</v>
      </c>
      <c r="E8" s="5" t="s">
        <v>290</v>
      </c>
      <c r="F8" s="3" t="s">
        <v>291</v>
      </c>
      <c r="G8" s="40">
        <v>21000</v>
      </c>
      <c r="H8" s="5" t="s">
        <v>292</v>
      </c>
      <c r="I8" s="5" t="s">
        <v>293</v>
      </c>
      <c r="J8" s="13">
        <v>0.6875</v>
      </c>
      <c r="K8" s="12">
        <v>0.67152777777777783</v>
      </c>
      <c r="L8" s="16">
        <v>0.85416666666666663</v>
      </c>
      <c r="M8" s="16">
        <v>0.85902777777777783</v>
      </c>
      <c r="N8" s="15">
        <v>0</v>
      </c>
      <c r="O8" s="10">
        <v>2</v>
      </c>
      <c r="P8" s="10">
        <v>0</v>
      </c>
      <c r="Q8" s="9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K9" sqref="K9"/>
    </sheetView>
  </sheetViews>
  <sheetFormatPr defaultRowHeight="12.75" x14ac:dyDescent="0.2"/>
  <cols>
    <col min="1" max="1" width="9.140625" style="14"/>
    <col min="2" max="2" width="22.7109375" style="14" customWidth="1"/>
    <col min="3" max="3" width="14.28515625" style="14" customWidth="1"/>
    <col min="4" max="4" width="12.42578125" style="14" customWidth="1"/>
    <col min="5" max="5" width="9.140625" style="14"/>
    <col min="6" max="6" width="18.140625" style="14" customWidth="1"/>
    <col min="7" max="9" width="9.140625" style="14"/>
    <col min="10" max="10" width="11" style="14" bestFit="1" customWidth="1"/>
    <col min="11" max="11" width="10.85546875" style="14" bestFit="1" customWidth="1"/>
    <col min="12" max="12" width="11" style="14" bestFit="1" customWidth="1"/>
    <col min="13" max="13" width="11.42578125" style="14" customWidth="1"/>
    <col min="14" max="14" width="17.5703125" style="14" customWidth="1"/>
    <col min="15" max="15" width="19.5703125" style="14" customWidth="1"/>
    <col min="16" max="16384" width="9.140625" style="14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43725</v>
      </c>
      <c r="B2" s="5" t="s">
        <v>21</v>
      </c>
      <c r="C2" s="5" t="s">
        <v>86</v>
      </c>
      <c r="D2" s="5" t="s">
        <v>23</v>
      </c>
      <c r="E2" s="33" t="s">
        <v>200</v>
      </c>
      <c r="F2" s="5" t="s">
        <v>25</v>
      </c>
      <c r="G2" s="6">
        <v>71500</v>
      </c>
      <c r="H2" s="5" t="s">
        <v>88</v>
      </c>
      <c r="I2" s="5" t="s">
        <v>89</v>
      </c>
      <c r="J2" s="7">
        <v>0.38541666666666669</v>
      </c>
      <c r="K2" s="2">
        <v>0.37013888888888885</v>
      </c>
      <c r="L2" s="7">
        <v>0.25694444444444448</v>
      </c>
      <c r="M2" s="8">
        <v>0.26111111111111113</v>
      </c>
      <c r="N2" s="3" t="s">
        <v>205</v>
      </c>
      <c r="O2" s="9" t="s">
        <v>297</v>
      </c>
      <c r="P2" s="9">
        <v>352</v>
      </c>
      <c r="Q2" s="9">
        <v>384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43725</v>
      </c>
      <c r="B3" s="5" t="s">
        <v>21</v>
      </c>
      <c r="C3" s="5" t="s">
        <v>90</v>
      </c>
      <c r="D3" s="5" t="s">
        <v>23</v>
      </c>
      <c r="E3" s="33" t="s">
        <v>164</v>
      </c>
      <c r="F3" s="5" t="s">
        <v>25</v>
      </c>
      <c r="G3" s="6">
        <v>70000</v>
      </c>
      <c r="H3" s="5" t="s">
        <v>91</v>
      </c>
      <c r="I3" s="5" t="s">
        <v>92</v>
      </c>
      <c r="J3" s="7">
        <v>0.46180555555555558</v>
      </c>
      <c r="K3" s="2">
        <v>0.46111111111111108</v>
      </c>
      <c r="L3" s="7">
        <v>0.28125</v>
      </c>
      <c r="M3" s="8">
        <v>0.2951388888888889</v>
      </c>
      <c r="N3" s="3" t="s">
        <v>165</v>
      </c>
      <c r="O3" s="9" t="s">
        <v>203</v>
      </c>
      <c r="P3" s="5">
        <v>625</v>
      </c>
      <c r="Q3" s="9">
        <v>751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>A3</f>
        <v>43725</v>
      </c>
      <c r="B4" s="5" t="s">
        <v>96</v>
      </c>
      <c r="C4" s="3" t="s">
        <v>97</v>
      </c>
      <c r="D4" s="3" t="str">
        <f>D3</f>
        <v>A320</v>
      </c>
      <c r="E4" s="33" t="s">
        <v>296</v>
      </c>
      <c r="F4" s="3" t="s">
        <v>98</v>
      </c>
      <c r="G4" s="6">
        <v>77000</v>
      </c>
      <c r="H4" s="3" t="s">
        <v>99</v>
      </c>
      <c r="I4" s="3" t="s">
        <v>100</v>
      </c>
      <c r="J4" s="13">
        <v>0.41319444444444442</v>
      </c>
      <c r="K4" s="2">
        <v>0.40486111111111112</v>
      </c>
      <c r="L4" s="13">
        <v>0.4548611111111111</v>
      </c>
      <c r="M4" s="2">
        <v>0.4381944444444445</v>
      </c>
      <c r="N4" s="3" t="s">
        <v>298</v>
      </c>
      <c r="O4" s="3">
        <v>0</v>
      </c>
      <c r="P4" s="3">
        <v>2484</v>
      </c>
      <c r="Q4" s="9">
        <v>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>A4</f>
        <v>43725</v>
      </c>
      <c r="B5" s="5" t="s">
        <v>21</v>
      </c>
      <c r="C5" s="3" t="s">
        <v>101</v>
      </c>
      <c r="D5" s="3" t="s">
        <v>23</v>
      </c>
      <c r="E5" s="33" t="s">
        <v>200</v>
      </c>
      <c r="F5" s="3" t="s">
        <v>25</v>
      </c>
      <c r="G5" s="6">
        <f>G2</f>
        <v>71500</v>
      </c>
      <c r="H5" s="3" t="s">
        <v>102</v>
      </c>
      <c r="I5" s="3" t="s">
        <v>103</v>
      </c>
      <c r="J5" s="19">
        <v>0.70138888888888884</v>
      </c>
      <c r="K5" s="2">
        <v>0.69097222222222221</v>
      </c>
      <c r="L5" s="19">
        <v>0.49305555555555558</v>
      </c>
      <c r="M5" s="20">
        <v>0.4993055555555555</v>
      </c>
      <c r="N5" s="3" t="s">
        <v>300</v>
      </c>
      <c r="O5" s="3" t="s">
        <v>151</v>
      </c>
      <c r="P5" s="21">
        <v>836</v>
      </c>
      <c r="Q5" s="9">
        <v>1075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>A5</f>
        <v>43725</v>
      </c>
      <c r="B6" s="5" t="s">
        <v>21</v>
      </c>
      <c r="C6" s="3" t="s">
        <v>104</v>
      </c>
      <c r="D6" s="3" t="s">
        <v>23</v>
      </c>
      <c r="E6" s="33" t="s">
        <v>164</v>
      </c>
      <c r="F6" s="3" t="s">
        <v>25</v>
      </c>
      <c r="G6" s="6">
        <v>70000</v>
      </c>
      <c r="H6" s="5" t="s">
        <v>105</v>
      </c>
      <c r="I6" s="5" t="s">
        <v>106</v>
      </c>
      <c r="J6" s="22">
        <v>0.74652777777777779</v>
      </c>
      <c r="K6" s="2">
        <v>0.72638888888888886</v>
      </c>
      <c r="L6" s="22">
        <v>0.58680555555555558</v>
      </c>
      <c r="M6" s="23">
        <v>0.59027777777777779</v>
      </c>
      <c r="N6" s="3" t="s">
        <v>307</v>
      </c>
      <c r="O6" s="3" t="s">
        <v>299</v>
      </c>
      <c r="P6" s="3">
        <v>764</v>
      </c>
      <c r="Q6" s="9">
        <v>463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>A6</f>
        <v>43725</v>
      </c>
      <c r="B7" s="5" t="s">
        <v>21</v>
      </c>
      <c r="C7" s="24" t="s">
        <v>107</v>
      </c>
      <c r="D7" s="24" t="s">
        <v>23</v>
      </c>
      <c r="E7" s="33" t="s">
        <v>200</v>
      </c>
      <c r="F7" s="24" t="s">
        <v>25</v>
      </c>
      <c r="G7" s="6">
        <f>G5</f>
        <v>71500</v>
      </c>
      <c r="H7" s="24" t="s">
        <v>108</v>
      </c>
      <c r="I7" s="24" t="s">
        <v>109</v>
      </c>
      <c r="J7" s="22">
        <v>0.94097222222222221</v>
      </c>
      <c r="K7" s="2">
        <v>0.94513888888888886</v>
      </c>
      <c r="L7" s="22">
        <v>0.72222222222222221</v>
      </c>
      <c r="M7" s="23">
        <v>0.73749999999999993</v>
      </c>
      <c r="N7" s="3" t="s">
        <v>310</v>
      </c>
      <c r="O7" s="20" t="s">
        <v>308</v>
      </c>
      <c r="P7" s="3">
        <v>564</v>
      </c>
      <c r="Q7" s="24">
        <v>843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">
      <c r="A8" s="4">
        <v>43725</v>
      </c>
      <c r="B8" s="3" t="s">
        <v>21</v>
      </c>
      <c r="C8" s="21" t="s">
        <v>110</v>
      </c>
      <c r="D8" s="3" t="s">
        <v>23</v>
      </c>
      <c r="E8" s="33" t="s">
        <v>164</v>
      </c>
      <c r="F8" s="3" t="s">
        <v>25</v>
      </c>
      <c r="G8" s="6">
        <f>G6</f>
        <v>70000</v>
      </c>
      <c r="H8" s="5" t="s">
        <v>111</v>
      </c>
      <c r="I8" s="5" t="s">
        <v>112</v>
      </c>
      <c r="J8" s="19">
        <v>0.94444444444444453</v>
      </c>
      <c r="K8" s="8">
        <v>0.97777777777777775</v>
      </c>
      <c r="L8" s="19">
        <v>0.76736111111111116</v>
      </c>
      <c r="M8" s="20">
        <v>0.77083333333333337</v>
      </c>
      <c r="N8" s="20" t="s">
        <v>311</v>
      </c>
      <c r="O8" s="20" t="s">
        <v>309</v>
      </c>
      <c r="P8" s="21">
        <v>687</v>
      </c>
      <c r="Q8" s="9">
        <v>608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4">
        <f>A8</f>
        <v>43725</v>
      </c>
      <c r="B9" s="3" t="s">
        <v>301</v>
      </c>
      <c r="C9" s="21" t="s">
        <v>302</v>
      </c>
      <c r="D9" s="3" t="s">
        <v>303</v>
      </c>
      <c r="E9" s="5" t="s">
        <v>304</v>
      </c>
      <c r="F9" s="3" t="s">
        <v>305</v>
      </c>
      <c r="G9" s="6">
        <v>6804</v>
      </c>
      <c r="H9" s="5" t="s">
        <v>306</v>
      </c>
      <c r="I9" s="5" t="str">
        <f>H9</f>
        <v>ADNA12</v>
      </c>
      <c r="J9" s="19">
        <v>0.66666666666666663</v>
      </c>
      <c r="K9" s="8">
        <v>0.67291666666666661</v>
      </c>
      <c r="L9" s="19">
        <v>0.6875</v>
      </c>
      <c r="M9" s="20">
        <v>0.70694444444444438</v>
      </c>
      <c r="N9" s="41">
        <v>0</v>
      </c>
      <c r="O9" s="41">
        <v>2</v>
      </c>
      <c r="P9" s="21">
        <v>0</v>
      </c>
      <c r="Q9" s="9">
        <v>0</v>
      </c>
      <c r="R9" s="3">
        <v>0</v>
      </c>
      <c r="S9" s="3">
        <v>0</v>
      </c>
      <c r="T9" s="3"/>
      <c r="U9" s="3"/>
    </row>
    <row r="10" spans="1:21" s="10" customFormat="1" x14ac:dyDescent="0.25">
      <c r="A10" s="27"/>
      <c r="J10" s="11"/>
      <c r="K10" s="12"/>
      <c r="L10" s="11"/>
      <c r="M10" s="12"/>
    </row>
    <row r="11" spans="1:21" s="15" customFormat="1" x14ac:dyDescent="0.2">
      <c r="A11" s="25"/>
      <c r="B11" s="28"/>
      <c r="D11" s="28"/>
      <c r="J11" s="17"/>
      <c r="K11" s="16"/>
      <c r="L11" s="29"/>
      <c r="O11" s="2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43726</v>
      </c>
      <c r="B2" s="5" t="s">
        <v>21</v>
      </c>
      <c r="C2" s="5" t="s">
        <v>22</v>
      </c>
      <c r="D2" s="5" t="s">
        <v>23</v>
      </c>
      <c r="E2" s="5" t="s">
        <v>200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0.45555555555555555</v>
      </c>
      <c r="L2" s="7">
        <v>0.25694444444444448</v>
      </c>
      <c r="M2" s="8">
        <v>0.2638888888888889</v>
      </c>
      <c r="N2" s="10" t="s">
        <v>314</v>
      </c>
      <c r="O2" s="9" t="s">
        <v>313</v>
      </c>
      <c r="P2" s="10">
        <v>767</v>
      </c>
      <c r="Q2" s="9">
        <v>788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43726</v>
      </c>
      <c r="B3" s="5" t="s">
        <v>21</v>
      </c>
      <c r="C3" s="5" t="s">
        <v>28</v>
      </c>
      <c r="D3" s="5" t="s">
        <v>23</v>
      </c>
      <c r="E3" s="5" t="s">
        <v>164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0.47847222222222219</v>
      </c>
      <c r="L3" s="7">
        <v>0.28125</v>
      </c>
      <c r="M3" s="8">
        <v>0.28750000000000003</v>
      </c>
      <c r="N3" s="9" t="s">
        <v>315</v>
      </c>
      <c r="O3" s="9" t="s">
        <v>171</v>
      </c>
      <c r="P3" s="10">
        <v>603</v>
      </c>
      <c r="Q3" s="9">
        <v>1111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43726</v>
      </c>
      <c r="B4" s="3" t="s">
        <v>21</v>
      </c>
      <c r="C4" s="3" t="s">
        <v>31</v>
      </c>
      <c r="D4" s="3" t="s">
        <v>23</v>
      </c>
      <c r="E4" s="5" t="s">
        <v>312</v>
      </c>
      <c r="F4" s="3" t="s">
        <v>25</v>
      </c>
      <c r="G4" s="6">
        <v>71500</v>
      </c>
      <c r="H4" s="3" t="s">
        <v>32</v>
      </c>
      <c r="I4" s="3" t="s">
        <v>33</v>
      </c>
      <c r="J4" s="13">
        <v>0.72569444444444453</v>
      </c>
      <c r="K4" s="2">
        <v>0.72083333333333333</v>
      </c>
      <c r="L4" s="13">
        <v>0.48958333333333331</v>
      </c>
      <c r="M4" s="2">
        <v>0.49652777777777773</v>
      </c>
      <c r="N4" s="3" t="s">
        <v>317</v>
      </c>
      <c r="O4" s="3" t="s">
        <v>254</v>
      </c>
      <c r="P4" s="3">
        <v>721</v>
      </c>
      <c r="Q4" s="9">
        <v>1006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43726</v>
      </c>
      <c r="B5" s="3" t="s">
        <v>21</v>
      </c>
      <c r="C5" s="3" t="s">
        <v>34</v>
      </c>
      <c r="D5" s="3" t="s">
        <v>23</v>
      </c>
      <c r="E5" s="5" t="s">
        <v>164</v>
      </c>
      <c r="F5" s="3" t="s">
        <v>25</v>
      </c>
      <c r="G5" s="6">
        <v>70000</v>
      </c>
      <c r="H5" s="3" t="s">
        <v>35</v>
      </c>
      <c r="I5" s="3" t="s">
        <v>36</v>
      </c>
      <c r="J5" s="13">
        <v>0.74652777777777779</v>
      </c>
      <c r="K5" s="2">
        <v>0.73611111111111116</v>
      </c>
      <c r="L5" s="13">
        <v>0.51736111111111105</v>
      </c>
      <c r="M5" s="2">
        <v>0.55972222222222223</v>
      </c>
      <c r="N5" s="3" t="s">
        <v>173</v>
      </c>
      <c r="O5" s="3" t="s">
        <v>316</v>
      </c>
      <c r="P5" s="3">
        <v>856</v>
      </c>
      <c r="Q5" s="9">
        <v>1401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43726</v>
      </c>
      <c r="B6" s="3" t="s">
        <v>21</v>
      </c>
      <c r="C6" s="3" t="s">
        <v>37</v>
      </c>
      <c r="D6" s="3" t="s">
        <v>23</v>
      </c>
      <c r="E6" s="5" t="s">
        <v>312</v>
      </c>
      <c r="F6" s="3" t="s">
        <v>25</v>
      </c>
      <c r="G6" s="6">
        <v>71500</v>
      </c>
      <c r="H6" s="5" t="s">
        <v>38</v>
      </c>
      <c r="I6" s="5" t="s">
        <v>39</v>
      </c>
      <c r="J6" s="11">
        <v>0.91666666666666663</v>
      </c>
      <c r="K6" s="2">
        <v>0.91041666666666676</v>
      </c>
      <c r="L6" s="11">
        <v>0.74652777777777779</v>
      </c>
      <c r="M6" s="12">
        <v>0.75277777777777777</v>
      </c>
      <c r="N6" s="3" t="s">
        <v>318</v>
      </c>
      <c r="O6" s="3" t="s">
        <v>320</v>
      </c>
      <c r="P6" s="3">
        <v>696</v>
      </c>
      <c r="Q6" s="9">
        <v>751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43726</v>
      </c>
      <c r="B7" s="3" t="s">
        <v>21</v>
      </c>
      <c r="C7" s="3" t="s">
        <v>40</v>
      </c>
      <c r="D7" s="3" t="s">
        <v>23</v>
      </c>
      <c r="E7" s="5" t="str">
        <f>E5</f>
        <v>HALWC</v>
      </c>
      <c r="F7" s="3" t="s">
        <v>25</v>
      </c>
      <c r="G7" s="6">
        <v>70000</v>
      </c>
      <c r="H7" s="5" t="s">
        <v>41</v>
      </c>
      <c r="I7" s="5" t="s">
        <v>42</v>
      </c>
      <c r="J7" s="11">
        <v>0.95833333333333337</v>
      </c>
      <c r="K7" s="12">
        <v>0.99513888888888891</v>
      </c>
      <c r="L7" s="11">
        <v>0.76736111111111116</v>
      </c>
      <c r="M7" s="12">
        <v>0.82291666666666663</v>
      </c>
      <c r="N7" s="10" t="s">
        <v>319</v>
      </c>
      <c r="O7" s="10" t="s">
        <v>183</v>
      </c>
      <c r="P7" s="3">
        <v>667</v>
      </c>
      <c r="Q7" s="9">
        <v>1035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/>
      <c r="B8" s="3"/>
      <c r="C8" s="3"/>
      <c r="D8" s="3"/>
      <c r="E8" s="5"/>
      <c r="F8" s="3"/>
      <c r="H8" s="5"/>
      <c r="I8" s="5"/>
      <c r="J8" s="11"/>
      <c r="K8" s="12"/>
      <c r="L8" s="11"/>
      <c r="M8" s="11"/>
      <c r="N8" s="3"/>
      <c r="O8" s="3"/>
      <c r="P8" s="3"/>
      <c r="Q8" s="9"/>
      <c r="R8" s="3"/>
      <c r="S8" s="3"/>
      <c r="T8" s="3"/>
      <c r="U8" s="3"/>
    </row>
    <row r="9" spans="1:21" x14ac:dyDescent="0.25">
      <c r="A9" s="4"/>
      <c r="B9" s="3"/>
      <c r="C9" s="3"/>
      <c r="D9" s="3"/>
      <c r="E9" s="5"/>
      <c r="F9" s="3"/>
      <c r="H9" s="5"/>
      <c r="I9" s="5"/>
      <c r="J9" s="11"/>
      <c r="K9" s="12"/>
      <c r="L9" s="11"/>
      <c r="M9" s="11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5" sqref="A5:U5"/>
    </sheetView>
  </sheetViews>
  <sheetFormatPr defaultRowHeight="15" x14ac:dyDescent="0.25"/>
  <cols>
    <col min="1" max="2" width="9.140625" style="32"/>
    <col min="3" max="3" width="13.28515625" style="32" bestFit="1" customWidth="1"/>
    <col min="4" max="5" width="9.140625" style="32"/>
    <col min="6" max="6" width="12.140625" style="32" bestFit="1" customWidth="1"/>
    <col min="7" max="7" width="9.7109375" style="32" bestFit="1" customWidth="1"/>
    <col min="8" max="16384" width="9.140625" style="3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43727</v>
      </c>
      <c r="B2" s="10" t="s">
        <v>21</v>
      </c>
      <c r="C2" s="10" t="s">
        <v>104</v>
      </c>
      <c r="D2" s="10" t="s">
        <v>23</v>
      </c>
      <c r="E2" s="5" t="s">
        <v>312</v>
      </c>
      <c r="F2" s="10" t="s">
        <v>25</v>
      </c>
      <c r="G2" s="6">
        <v>71500</v>
      </c>
      <c r="H2" s="10" t="s">
        <v>94</v>
      </c>
      <c r="I2" s="10" t="s">
        <v>95</v>
      </c>
      <c r="J2" s="11">
        <v>0.55555555555555558</v>
      </c>
      <c r="K2" s="12">
        <v>0.55833333333333335</v>
      </c>
      <c r="L2" s="11">
        <v>0.40625</v>
      </c>
      <c r="M2" s="2">
        <v>0.41805555555555557</v>
      </c>
      <c r="N2" s="10" t="s">
        <v>322</v>
      </c>
      <c r="O2" s="10" t="s">
        <v>314</v>
      </c>
      <c r="P2" s="10">
        <v>540</v>
      </c>
      <c r="Q2" s="10">
        <v>726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4">
        <v>43727</v>
      </c>
      <c r="B3" s="3" t="s">
        <v>21</v>
      </c>
      <c r="C3" s="3" t="s">
        <v>101</v>
      </c>
      <c r="D3" s="3" t="s">
        <v>23</v>
      </c>
      <c r="E3" s="5" t="s">
        <v>164</v>
      </c>
      <c r="F3" s="3" t="s">
        <v>25</v>
      </c>
      <c r="G3" s="6">
        <v>70000</v>
      </c>
      <c r="H3" s="3" t="s">
        <v>102</v>
      </c>
      <c r="I3" s="3" t="s">
        <v>103</v>
      </c>
      <c r="J3" s="13">
        <v>0.70138888888888884</v>
      </c>
      <c r="K3" s="2">
        <v>0.7055555555555556</v>
      </c>
      <c r="L3" s="13">
        <v>0.49305555555555558</v>
      </c>
      <c r="M3" s="2">
        <v>0.51041666666666663</v>
      </c>
      <c r="N3" s="10" t="s">
        <v>324</v>
      </c>
      <c r="O3" s="3" t="s">
        <v>321</v>
      </c>
      <c r="P3" s="3">
        <v>712</v>
      </c>
      <c r="Q3" s="3">
        <v>1045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43727</v>
      </c>
      <c r="B4" s="3" t="s">
        <v>21</v>
      </c>
      <c r="C4" s="3" t="s">
        <v>37</v>
      </c>
      <c r="D4" s="3" t="s">
        <v>23</v>
      </c>
      <c r="E4" s="5" t="s">
        <v>312</v>
      </c>
      <c r="F4" s="3" t="s">
        <v>25</v>
      </c>
      <c r="G4" s="6">
        <v>71500</v>
      </c>
      <c r="H4" s="3" t="s">
        <v>38</v>
      </c>
      <c r="I4" s="3" t="s">
        <v>39</v>
      </c>
      <c r="J4" s="11">
        <v>0.75694444444444453</v>
      </c>
      <c r="K4" s="2">
        <v>0.7597222222222223</v>
      </c>
      <c r="L4" s="11">
        <v>0.58680555555555558</v>
      </c>
      <c r="M4" s="16">
        <v>0.59444444444444444</v>
      </c>
      <c r="N4" s="3" t="s">
        <v>187</v>
      </c>
      <c r="O4" s="10" t="s">
        <v>323</v>
      </c>
      <c r="P4" s="21">
        <v>662</v>
      </c>
      <c r="Q4" s="10">
        <v>760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43727</v>
      </c>
      <c r="B5" s="3" t="s">
        <v>50</v>
      </c>
      <c r="C5" s="3" t="s">
        <v>325</v>
      </c>
      <c r="D5" s="3" t="s">
        <v>51</v>
      </c>
      <c r="E5" s="5" t="s">
        <v>326</v>
      </c>
      <c r="F5" s="3" t="s">
        <v>327</v>
      </c>
      <c r="G5" s="6">
        <v>2</v>
      </c>
      <c r="H5" s="5" t="s">
        <v>326</v>
      </c>
      <c r="I5" s="5" t="s">
        <v>326</v>
      </c>
      <c r="J5" s="17">
        <v>0.66666666666666663</v>
      </c>
      <c r="K5" s="16">
        <v>0.68055555555555547</v>
      </c>
      <c r="L5" s="17">
        <v>0.68055555555555547</v>
      </c>
      <c r="M5" s="16">
        <v>0.70833333333333337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N8" sqref="N8"/>
    </sheetView>
  </sheetViews>
  <sheetFormatPr defaultRowHeight="12.75" x14ac:dyDescent="0.2"/>
  <cols>
    <col min="1" max="1" width="9.140625" style="15"/>
    <col min="2" max="2" width="18.42578125" style="15" bestFit="1" customWidth="1"/>
    <col min="3" max="3" width="13.5703125" style="15" bestFit="1" customWidth="1"/>
    <col min="4" max="4" width="5.7109375" style="15" bestFit="1" customWidth="1"/>
    <col min="5" max="5" width="7.85546875" style="15" bestFit="1" customWidth="1"/>
    <col min="6" max="6" width="18.5703125" style="15" bestFit="1" customWidth="1"/>
    <col min="7" max="8" width="9.7109375" style="15" bestFit="1" customWidth="1"/>
    <col min="9" max="9" width="9.140625" style="15"/>
    <col min="10" max="10" width="11" style="15" bestFit="1" customWidth="1"/>
    <col min="11" max="11" width="10.85546875" style="15" bestFit="1" customWidth="1"/>
    <col min="12" max="12" width="11" style="15" bestFit="1" customWidth="1"/>
    <col min="13" max="13" width="10.85546875" style="15" bestFit="1" customWidth="1"/>
    <col min="14" max="15" width="18.42578125" style="15" bestFit="1" customWidth="1"/>
    <col min="16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43728</v>
      </c>
      <c r="B2" s="5" t="s">
        <v>21</v>
      </c>
      <c r="C2" s="5" t="s">
        <v>22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0.45833333333333331</v>
      </c>
      <c r="K2" s="8">
        <v>0.45416666666666666</v>
      </c>
      <c r="L2" s="7">
        <v>0.25694444444444448</v>
      </c>
      <c r="M2" s="8">
        <v>0.26041666666666669</v>
      </c>
      <c r="N2" s="3" t="s">
        <v>329</v>
      </c>
      <c r="O2" s="9" t="s">
        <v>279</v>
      </c>
      <c r="P2" s="9">
        <v>804</v>
      </c>
      <c r="Q2" s="9">
        <v>874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43728</v>
      </c>
      <c r="B3" s="5" t="s">
        <v>21</v>
      </c>
      <c r="C3" s="5" t="s">
        <v>28</v>
      </c>
      <c r="D3" s="5" t="s">
        <v>23</v>
      </c>
      <c r="E3" s="5" t="s">
        <v>312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8">
        <v>0.46736111111111112</v>
      </c>
      <c r="L3" s="7">
        <v>0.28125</v>
      </c>
      <c r="M3" s="8">
        <v>0.28472222222222221</v>
      </c>
      <c r="N3" s="3" t="s">
        <v>328</v>
      </c>
      <c r="O3" s="9" t="s">
        <v>260</v>
      </c>
      <c r="P3" s="5">
        <v>720</v>
      </c>
      <c r="Q3" s="9">
        <v>1189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 t="shared" ref="A4:A7" si="0">A3</f>
        <v>43728</v>
      </c>
      <c r="B4" s="3" t="s">
        <v>21</v>
      </c>
      <c r="C4" s="3" t="s">
        <v>63</v>
      </c>
      <c r="D4" s="3" t="s">
        <v>23</v>
      </c>
      <c r="E4" s="5" t="s">
        <v>164</v>
      </c>
      <c r="F4" s="3" t="s">
        <v>25</v>
      </c>
      <c r="G4" s="6">
        <v>70000</v>
      </c>
      <c r="H4" s="3" t="s">
        <v>64</v>
      </c>
      <c r="I4" s="3" t="s">
        <v>65</v>
      </c>
      <c r="J4" s="13">
        <v>0.70833333333333337</v>
      </c>
      <c r="K4" s="2">
        <v>0.70208333333333339</v>
      </c>
      <c r="L4" s="13">
        <v>0.48958333333333331</v>
      </c>
      <c r="M4" s="2">
        <v>0.49722222222222223</v>
      </c>
      <c r="N4" s="15" t="s">
        <v>191</v>
      </c>
      <c r="O4" s="3" t="s">
        <v>138</v>
      </c>
      <c r="P4" s="3">
        <v>341</v>
      </c>
      <c r="Q4" s="9">
        <v>976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 t="shared" si="0"/>
        <v>43728</v>
      </c>
      <c r="B5" s="3" t="s">
        <v>21</v>
      </c>
      <c r="C5" s="3" t="s">
        <v>34</v>
      </c>
      <c r="D5" s="3" t="s">
        <v>23</v>
      </c>
      <c r="E5" s="5" t="s">
        <v>312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0.7597222222222223</v>
      </c>
      <c r="L5" s="13">
        <v>0.51736111111111105</v>
      </c>
      <c r="M5" s="2">
        <v>0.54375000000000007</v>
      </c>
      <c r="N5" s="3" t="s">
        <v>237</v>
      </c>
      <c r="O5" s="3" t="s">
        <v>328</v>
      </c>
      <c r="P5" s="3">
        <v>494</v>
      </c>
      <c r="Q5" s="9">
        <v>1421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 t="shared" si="0"/>
        <v>43728</v>
      </c>
      <c r="B6" s="3" t="s">
        <v>21</v>
      </c>
      <c r="C6" s="3" t="s">
        <v>37</v>
      </c>
      <c r="D6" s="3" t="s">
        <v>23</v>
      </c>
      <c r="E6" s="5" t="s">
        <v>164</v>
      </c>
      <c r="F6" s="3" t="s">
        <v>25</v>
      </c>
      <c r="G6" s="6">
        <v>70000</v>
      </c>
      <c r="H6" s="5" t="s">
        <v>38</v>
      </c>
      <c r="I6" s="5" t="s">
        <v>39</v>
      </c>
      <c r="J6" s="17">
        <v>0.89930555555555547</v>
      </c>
      <c r="K6" s="2">
        <v>0.90138888888888891</v>
      </c>
      <c r="L6" s="17">
        <v>0.72916666666666663</v>
      </c>
      <c r="M6" s="16">
        <v>0.7368055555555556</v>
      </c>
      <c r="N6" s="3" t="s">
        <v>330</v>
      </c>
      <c r="O6" s="15" t="s">
        <v>177</v>
      </c>
      <c r="P6" s="15">
        <v>568</v>
      </c>
      <c r="Q6" s="9">
        <v>800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si="0"/>
        <v>43728</v>
      </c>
      <c r="B7" s="15" t="s">
        <v>21</v>
      </c>
      <c r="C7" s="15" t="s">
        <v>66</v>
      </c>
      <c r="D7" s="15" t="s">
        <v>23</v>
      </c>
      <c r="E7" s="5" t="s">
        <v>312</v>
      </c>
      <c r="F7" s="15" t="s">
        <v>25</v>
      </c>
      <c r="G7" s="6">
        <v>71500</v>
      </c>
      <c r="H7" s="15" t="s">
        <v>67</v>
      </c>
      <c r="I7" s="15" t="s">
        <v>68</v>
      </c>
      <c r="J7" s="17">
        <v>0.9375</v>
      </c>
      <c r="K7" s="2">
        <v>0.94236111111111109</v>
      </c>
      <c r="L7" s="17">
        <v>0.76736111111111116</v>
      </c>
      <c r="M7" s="16">
        <v>0.79236111111111107</v>
      </c>
      <c r="N7" s="3" t="s">
        <v>331</v>
      </c>
      <c r="O7" s="3" t="s">
        <v>271</v>
      </c>
      <c r="P7" s="3">
        <v>581</v>
      </c>
      <c r="Q7" s="9">
        <v>579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4"/>
      <c r="B8" s="5"/>
      <c r="C8" s="3"/>
      <c r="D8" s="3"/>
      <c r="E8" s="5"/>
      <c r="F8" s="3"/>
      <c r="G8" s="6"/>
      <c r="H8" s="3"/>
      <c r="I8" s="3"/>
      <c r="J8" s="13"/>
      <c r="K8" s="2"/>
      <c r="L8" s="13"/>
      <c r="M8" s="16"/>
      <c r="O8" s="3"/>
      <c r="P8" s="3"/>
      <c r="Q8" s="9"/>
      <c r="R8" s="3"/>
      <c r="S8" s="3"/>
      <c r="T8" s="3"/>
      <c r="U8" s="3"/>
    </row>
    <row r="9" spans="1:21" x14ac:dyDescent="0.2">
      <c r="A9" s="25"/>
      <c r="B9" s="5"/>
      <c r="G9" s="18"/>
      <c r="J9" s="17"/>
      <c r="K9" s="16"/>
      <c r="L9" s="17"/>
      <c r="M9" s="1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7" sqref="K7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43729</v>
      </c>
      <c r="B2" s="5" t="s">
        <v>21</v>
      </c>
      <c r="C2" s="5" t="s">
        <v>86</v>
      </c>
      <c r="D2" s="5" t="s">
        <v>23</v>
      </c>
      <c r="E2" s="5" t="s">
        <v>164</v>
      </c>
      <c r="F2" s="5" t="s">
        <v>25</v>
      </c>
      <c r="G2" s="6">
        <v>70000</v>
      </c>
      <c r="H2" s="5" t="s">
        <v>88</v>
      </c>
      <c r="I2" s="5" t="s">
        <v>89</v>
      </c>
      <c r="J2" s="7">
        <v>0.38541666666666669</v>
      </c>
      <c r="K2" s="2">
        <v>0.37083333333333335</v>
      </c>
      <c r="L2" s="7">
        <v>0.25694444444444448</v>
      </c>
      <c r="M2" s="8">
        <v>0.26041666666666669</v>
      </c>
      <c r="N2" s="3" t="s">
        <v>265</v>
      </c>
      <c r="O2" s="9" t="s">
        <v>332</v>
      </c>
      <c r="P2" s="9">
        <v>328</v>
      </c>
      <c r="Q2" s="9">
        <v>569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43729</v>
      </c>
      <c r="B3" s="5" t="s">
        <v>21</v>
      </c>
      <c r="C3" s="5" t="s">
        <v>90</v>
      </c>
      <c r="D3" s="5" t="s">
        <v>23</v>
      </c>
      <c r="E3" s="5" t="s">
        <v>312</v>
      </c>
      <c r="F3" s="5" t="s">
        <v>25</v>
      </c>
      <c r="G3" s="6">
        <v>71500</v>
      </c>
      <c r="H3" s="5" t="s">
        <v>91</v>
      </c>
      <c r="I3" s="5" t="s">
        <v>92</v>
      </c>
      <c r="J3" s="7">
        <v>0.46180555555555558</v>
      </c>
      <c r="K3" s="2">
        <v>0.46875</v>
      </c>
      <c r="L3" s="7">
        <v>0.28125</v>
      </c>
      <c r="M3" s="8">
        <v>0.3</v>
      </c>
      <c r="N3" s="3" t="s">
        <v>334</v>
      </c>
      <c r="O3" s="9" t="s">
        <v>333</v>
      </c>
      <c r="P3" s="5">
        <v>752</v>
      </c>
      <c r="Q3" s="9">
        <v>888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43729</v>
      </c>
      <c r="B4" s="5" t="s">
        <v>21</v>
      </c>
      <c r="C4" s="3" t="s">
        <v>101</v>
      </c>
      <c r="D4" s="3" t="s">
        <v>23</v>
      </c>
      <c r="E4" s="5" t="str">
        <f>E2</f>
        <v>HALWC</v>
      </c>
      <c r="F4" s="3" t="s">
        <v>25</v>
      </c>
      <c r="G4" s="6">
        <f>G2</f>
        <v>70000</v>
      </c>
      <c r="H4" s="3" t="s">
        <v>102</v>
      </c>
      <c r="I4" s="3" t="s">
        <v>103</v>
      </c>
      <c r="J4" s="19">
        <v>0.70138888888888884</v>
      </c>
      <c r="K4" s="2">
        <v>0.69930555555555562</v>
      </c>
      <c r="L4" s="19">
        <v>0.49305555555555558</v>
      </c>
      <c r="M4" s="20">
        <v>0.5083333333333333</v>
      </c>
      <c r="N4" s="3" t="s">
        <v>335</v>
      </c>
      <c r="O4" s="3" t="s">
        <v>182</v>
      </c>
      <c r="P4" s="21">
        <v>594</v>
      </c>
      <c r="Q4" s="9">
        <v>1373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ref="A5:A7" si="0">A4</f>
        <v>43729</v>
      </c>
      <c r="B5" s="5" t="s">
        <v>21</v>
      </c>
      <c r="C5" s="3" t="s">
        <v>104</v>
      </c>
      <c r="D5" s="3" t="s">
        <v>23</v>
      </c>
      <c r="E5" s="5" t="str">
        <f>E3</f>
        <v>HALYU</v>
      </c>
      <c r="F5" s="3" t="s">
        <v>25</v>
      </c>
      <c r="G5" s="6">
        <v>71500</v>
      </c>
      <c r="H5" s="5" t="s">
        <v>105</v>
      </c>
      <c r="I5" s="5" t="s">
        <v>106</v>
      </c>
      <c r="J5" s="22">
        <v>0.74652777777777779</v>
      </c>
      <c r="K5" s="2">
        <v>0.72986111111111107</v>
      </c>
      <c r="L5" s="22">
        <v>0.58680555555555558</v>
      </c>
      <c r="M5" s="23">
        <v>0.58333333333333337</v>
      </c>
      <c r="N5" s="3" t="s">
        <v>336</v>
      </c>
      <c r="O5" s="3" t="s">
        <v>339</v>
      </c>
      <c r="P5" s="3">
        <v>577</v>
      </c>
      <c r="Q5" s="9">
        <v>884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43729</v>
      </c>
      <c r="B6" s="5" t="s">
        <v>21</v>
      </c>
      <c r="C6" s="24" t="s">
        <v>107</v>
      </c>
      <c r="D6" s="24" t="s">
        <v>23</v>
      </c>
      <c r="E6" s="5" t="str">
        <f>E4</f>
        <v>HALWC</v>
      </c>
      <c r="F6" s="24" t="s">
        <v>25</v>
      </c>
      <c r="G6" s="6">
        <f>G4</f>
        <v>70000</v>
      </c>
      <c r="H6" s="24" t="s">
        <v>108</v>
      </c>
      <c r="I6" s="24" t="s">
        <v>109</v>
      </c>
      <c r="J6" s="22">
        <v>0.94097222222222221</v>
      </c>
      <c r="K6" s="2">
        <v>0.93541666666666667</v>
      </c>
      <c r="L6" s="22">
        <v>0.72222222222222221</v>
      </c>
      <c r="M6" s="23">
        <v>0.73125000000000007</v>
      </c>
      <c r="N6" s="3" t="s">
        <v>337</v>
      </c>
      <c r="O6" s="20" t="s">
        <v>340</v>
      </c>
      <c r="P6" s="3">
        <v>618</v>
      </c>
      <c r="Q6" s="24">
        <v>856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4">
        <f t="shared" si="0"/>
        <v>43729</v>
      </c>
      <c r="B7" s="3" t="s">
        <v>21</v>
      </c>
      <c r="C7" s="21" t="s">
        <v>110</v>
      </c>
      <c r="D7" s="3" t="s">
        <v>23</v>
      </c>
      <c r="E7" s="5" t="str">
        <f>E5</f>
        <v>HALYU</v>
      </c>
      <c r="F7" s="3" t="s">
        <v>25</v>
      </c>
      <c r="G7" s="6">
        <f>G5</f>
        <v>71500</v>
      </c>
      <c r="H7" s="5" t="s">
        <v>111</v>
      </c>
      <c r="I7" s="5" t="s">
        <v>112</v>
      </c>
      <c r="J7" s="19">
        <v>0.94444444444444453</v>
      </c>
      <c r="K7" s="8">
        <v>0.93055555555555547</v>
      </c>
      <c r="L7" s="19">
        <v>0.76736111111111116</v>
      </c>
      <c r="M7" s="20">
        <v>0.7729166666666667</v>
      </c>
      <c r="N7" s="20" t="s">
        <v>338</v>
      </c>
      <c r="O7" s="20" t="s">
        <v>341</v>
      </c>
      <c r="P7" s="21">
        <v>607</v>
      </c>
      <c r="Q7" s="9">
        <v>778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/>
      <c r="B8" s="3"/>
      <c r="C8" s="21"/>
      <c r="D8" s="3"/>
      <c r="E8" s="5"/>
      <c r="F8" s="3"/>
      <c r="G8" s="6"/>
      <c r="H8" s="5"/>
      <c r="I8" s="5"/>
      <c r="J8" s="19"/>
      <c r="K8" s="8"/>
      <c r="L8" s="19"/>
      <c r="M8" s="20"/>
      <c r="N8" s="20"/>
      <c r="O8" s="20"/>
      <c r="P8" s="21"/>
      <c r="Q8" s="9"/>
      <c r="R8" s="3"/>
      <c r="S8" s="3"/>
      <c r="T8" s="3"/>
      <c r="U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K6" sqref="K6"/>
    </sheetView>
  </sheetViews>
  <sheetFormatPr defaultRowHeight="15" x14ac:dyDescent="0.25"/>
  <cols>
    <col min="3" max="3" width="13.28515625" bestFit="1" customWidth="1"/>
    <col min="6" max="6" width="12.140625" bestFit="1" customWidth="1"/>
    <col min="10" max="10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43730</v>
      </c>
      <c r="B2" s="5" t="s">
        <v>21</v>
      </c>
      <c r="C2" s="5" t="s">
        <v>22</v>
      </c>
      <c r="D2" s="5" t="s">
        <v>23</v>
      </c>
      <c r="E2" s="5" t="s">
        <v>312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0.47638888888888892</v>
      </c>
      <c r="L2" s="7">
        <v>0.25694444444444448</v>
      </c>
      <c r="M2" s="8">
        <v>0.25486111111111109</v>
      </c>
      <c r="N2" s="12" t="s">
        <v>343</v>
      </c>
      <c r="O2" s="9" t="s">
        <v>342</v>
      </c>
      <c r="P2" s="10">
        <v>837</v>
      </c>
      <c r="Q2" s="9">
        <v>1017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43730</v>
      </c>
      <c r="B3" s="3" t="s">
        <v>21</v>
      </c>
      <c r="C3" s="3" t="s">
        <v>31</v>
      </c>
      <c r="D3" s="3" t="s">
        <v>23</v>
      </c>
      <c r="E3" s="5" t="s">
        <v>312</v>
      </c>
      <c r="F3" s="3" t="s">
        <v>25</v>
      </c>
      <c r="G3" s="6">
        <v>71500</v>
      </c>
      <c r="H3" s="3" t="s">
        <v>32</v>
      </c>
      <c r="I3" s="3" t="s">
        <v>33</v>
      </c>
      <c r="J3" s="13">
        <v>0.72569444444444453</v>
      </c>
      <c r="K3" s="2">
        <v>0.74930555555555556</v>
      </c>
      <c r="L3" s="13">
        <v>0.48958333333333331</v>
      </c>
      <c r="M3" s="2">
        <v>0.51041666666666663</v>
      </c>
      <c r="N3" s="3" t="s">
        <v>345</v>
      </c>
      <c r="O3" s="3" t="s">
        <v>344</v>
      </c>
      <c r="P3" s="3">
        <v>890</v>
      </c>
      <c r="Q3" s="9">
        <v>1384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43730</v>
      </c>
      <c r="B4" s="3" t="s">
        <v>21</v>
      </c>
      <c r="C4" s="3" t="s">
        <v>34</v>
      </c>
      <c r="D4" s="3" t="s">
        <v>23</v>
      </c>
      <c r="E4" s="5" t="s">
        <v>164</v>
      </c>
      <c r="F4" s="3" t="s">
        <v>25</v>
      </c>
      <c r="G4" s="6">
        <v>70000</v>
      </c>
      <c r="H4" s="3" t="s">
        <v>35</v>
      </c>
      <c r="I4" s="3" t="s">
        <v>36</v>
      </c>
      <c r="J4" s="13">
        <v>0.74652777777777779</v>
      </c>
      <c r="K4" s="2">
        <v>0.76180555555555562</v>
      </c>
      <c r="L4" s="13">
        <v>0.51736111111111105</v>
      </c>
      <c r="M4" s="2">
        <v>0.54027777777777775</v>
      </c>
      <c r="N4" s="3" t="s">
        <v>346</v>
      </c>
      <c r="O4" s="3" t="s">
        <v>257</v>
      </c>
      <c r="P4" s="3">
        <v>845</v>
      </c>
      <c r="Q4" s="9">
        <v>1169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43730</v>
      </c>
      <c r="B5" s="3" t="s">
        <v>21</v>
      </c>
      <c r="C5" s="3" t="s">
        <v>37</v>
      </c>
      <c r="D5" s="3" t="s">
        <v>23</v>
      </c>
      <c r="E5" s="5" t="s">
        <v>312</v>
      </c>
      <c r="F5" s="3" t="s">
        <v>25</v>
      </c>
      <c r="G5" s="6">
        <v>71500</v>
      </c>
      <c r="H5" s="5" t="s">
        <v>38</v>
      </c>
      <c r="I5" s="5" t="s">
        <v>39</v>
      </c>
      <c r="J5" s="11">
        <v>0.91666666666666663</v>
      </c>
      <c r="K5" s="2">
        <v>0.93611111111111101</v>
      </c>
      <c r="L5" s="11">
        <v>0.74652777777777779</v>
      </c>
      <c r="M5" s="12">
        <v>0.78680555555555554</v>
      </c>
      <c r="N5" s="3" t="s">
        <v>348</v>
      </c>
      <c r="O5" s="3" t="s">
        <v>146</v>
      </c>
      <c r="P5" s="3">
        <v>829</v>
      </c>
      <c r="Q5" s="9">
        <v>573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43730</v>
      </c>
      <c r="B6" s="3" t="s">
        <v>21</v>
      </c>
      <c r="C6" s="3" t="s">
        <v>40</v>
      </c>
      <c r="D6" s="3" t="s">
        <v>23</v>
      </c>
      <c r="E6" s="5" t="s">
        <v>164</v>
      </c>
      <c r="F6" s="3" t="s">
        <v>25</v>
      </c>
      <c r="G6" s="6">
        <v>70000</v>
      </c>
      <c r="H6" s="5" t="s">
        <v>41</v>
      </c>
      <c r="I6" s="5" t="s">
        <v>42</v>
      </c>
      <c r="J6" s="11">
        <v>0.95833333333333337</v>
      </c>
      <c r="K6" s="12">
        <v>0.97430555555555554</v>
      </c>
      <c r="L6" s="11">
        <v>0.76736111111111116</v>
      </c>
      <c r="M6" s="12">
        <v>0.80486111111111114</v>
      </c>
      <c r="N6" s="10" t="s">
        <v>349</v>
      </c>
      <c r="O6" s="10" t="s">
        <v>347</v>
      </c>
      <c r="P6" s="3">
        <v>814</v>
      </c>
      <c r="Q6" s="9">
        <v>818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7"/>
    </sheetView>
  </sheetViews>
  <sheetFormatPr defaultRowHeight="15" x14ac:dyDescent="0.25"/>
  <cols>
    <col min="2" max="2" width="21.85546875" bestFit="1" customWidth="1"/>
    <col min="3" max="3" width="13.7109375" customWidth="1"/>
    <col min="4" max="4" width="7.140625" customWidth="1"/>
    <col min="6" max="6" width="12.140625" customWidth="1"/>
    <col min="10" max="10" width="11.140625" customWidth="1"/>
    <col min="11" max="11" width="10.42578125" customWidth="1"/>
    <col min="12" max="12" width="10.140625" customWidth="1"/>
    <col min="13" max="13" width="10.7109375" customWidth="1"/>
    <col min="14" max="14" width="17.7109375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43731</v>
      </c>
      <c r="B2" s="5" t="s">
        <v>21</v>
      </c>
      <c r="C2" s="5" t="s">
        <v>22</v>
      </c>
      <c r="D2" s="5" t="s">
        <v>23</v>
      </c>
      <c r="E2" s="5" t="s">
        <v>312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0.4604166666666667</v>
      </c>
      <c r="L2" s="7">
        <v>0.25694444444444448</v>
      </c>
      <c r="M2" s="8">
        <v>0.26180555555555557</v>
      </c>
      <c r="N2" s="3" t="s">
        <v>351</v>
      </c>
      <c r="O2" s="9" t="s">
        <v>350</v>
      </c>
      <c r="P2" s="9">
        <v>987</v>
      </c>
      <c r="Q2" s="9">
        <v>818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7" si="0">A2</f>
        <v>43731</v>
      </c>
      <c r="B3" s="5" t="s">
        <v>21</v>
      </c>
      <c r="C3" s="5" t="s">
        <v>28</v>
      </c>
      <c r="D3" s="5" t="s">
        <v>23</v>
      </c>
      <c r="E3" s="5" t="s">
        <v>164</v>
      </c>
      <c r="F3" s="5" t="s">
        <v>25</v>
      </c>
      <c r="G3" s="6">
        <v>70000</v>
      </c>
      <c r="H3" s="5" t="s">
        <v>29</v>
      </c>
      <c r="I3" s="5" t="s">
        <v>30</v>
      </c>
      <c r="J3" s="7">
        <v>0.4861111111111111</v>
      </c>
      <c r="K3" s="2">
        <v>0.47847222222222219</v>
      </c>
      <c r="L3" s="7">
        <v>0.28125</v>
      </c>
      <c r="M3" s="8">
        <v>0.29444444444444445</v>
      </c>
      <c r="N3" s="3" t="s">
        <v>352</v>
      </c>
      <c r="O3" s="9" t="s">
        <v>346</v>
      </c>
      <c r="P3" s="5">
        <v>655</v>
      </c>
      <c r="Q3" s="9">
        <v>801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43731</v>
      </c>
      <c r="B4" s="3" t="s">
        <v>21</v>
      </c>
      <c r="C4" s="3" t="s">
        <v>63</v>
      </c>
      <c r="D4" s="3" t="s">
        <v>23</v>
      </c>
      <c r="E4" s="5" t="s">
        <v>312</v>
      </c>
      <c r="F4" s="3" t="s">
        <v>25</v>
      </c>
      <c r="G4" s="6">
        <f>G2</f>
        <v>71500</v>
      </c>
      <c r="H4" s="3" t="s">
        <v>64</v>
      </c>
      <c r="I4" s="3" t="s">
        <v>65</v>
      </c>
      <c r="J4" s="13">
        <v>0.70833333333333337</v>
      </c>
      <c r="K4" s="2">
        <v>0.69930555555555562</v>
      </c>
      <c r="L4" s="13">
        <v>0.48958333333333331</v>
      </c>
      <c r="M4" s="2">
        <v>0.50486111111111109</v>
      </c>
      <c r="N4" s="15" t="s">
        <v>355</v>
      </c>
      <c r="O4" s="3" t="s">
        <v>353</v>
      </c>
      <c r="P4" s="3">
        <v>435</v>
      </c>
      <c r="Q4" s="9">
        <v>982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43731</v>
      </c>
      <c r="B5" s="3" t="s">
        <v>21</v>
      </c>
      <c r="C5" s="3" t="s">
        <v>34</v>
      </c>
      <c r="D5" s="3" t="s">
        <v>23</v>
      </c>
      <c r="E5" s="5" t="s">
        <v>164</v>
      </c>
      <c r="F5" s="3" t="s">
        <v>25</v>
      </c>
      <c r="G5" s="6">
        <v>70000</v>
      </c>
      <c r="H5" s="3" t="s">
        <v>35</v>
      </c>
      <c r="I5" s="3" t="s">
        <v>36</v>
      </c>
      <c r="J5" s="13">
        <v>0.74652777777777779</v>
      </c>
      <c r="K5" s="2">
        <v>0.74722222222222223</v>
      </c>
      <c r="L5" s="13">
        <v>0.51736111111111105</v>
      </c>
      <c r="M5" s="2">
        <v>0.52986111111111112</v>
      </c>
      <c r="N5" s="3" t="s">
        <v>356</v>
      </c>
      <c r="O5" s="3" t="s">
        <v>354</v>
      </c>
      <c r="P5" s="3">
        <v>389</v>
      </c>
      <c r="Q5" s="9">
        <v>1072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43731</v>
      </c>
      <c r="B6" s="3" t="s">
        <v>21</v>
      </c>
      <c r="C6" s="3" t="s">
        <v>37</v>
      </c>
      <c r="D6" s="3" t="s">
        <v>23</v>
      </c>
      <c r="E6" s="5" t="s">
        <v>312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17">
        <v>0.89930555555555547</v>
      </c>
      <c r="K6" s="2">
        <v>0.90416666666666667</v>
      </c>
      <c r="L6" s="17">
        <v>0.72916666666666663</v>
      </c>
      <c r="M6" s="16">
        <v>0.74375000000000002</v>
      </c>
      <c r="N6" s="3" t="s">
        <v>359</v>
      </c>
      <c r="O6" s="15" t="s">
        <v>357</v>
      </c>
      <c r="P6" s="15">
        <v>699</v>
      </c>
      <c r="Q6" s="9">
        <v>710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43731</v>
      </c>
      <c r="B7" s="15" t="s">
        <v>21</v>
      </c>
      <c r="C7" s="15" t="s">
        <v>66</v>
      </c>
      <c r="D7" s="15" t="s">
        <v>23</v>
      </c>
      <c r="E7" s="5" t="s">
        <v>164</v>
      </c>
      <c r="F7" s="15" t="s">
        <v>25</v>
      </c>
      <c r="G7" s="6">
        <v>70000</v>
      </c>
      <c r="H7" s="15" t="s">
        <v>67</v>
      </c>
      <c r="I7" s="15" t="s">
        <v>68</v>
      </c>
      <c r="J7" s="17">
        <v>0.9375</v>
      </c>
      <c r="K7" s="2">
        <v>0.93194444444444446</v>
      </c>
      <c r="L7" s="17">
        <v>0.76736111111111116</v>
      </c>
      <c r="M7" s="16">
        <v>0.77430555555555547</v>
      </c>
      <c r="N7" s="3" t="s">
        <v>360</v>
      </c>
      <c r="O7" s="3" t="s">
        <v>358</v>
      </c>
      <c r="P7" s="3">
        <v>844</v>
      </c>
      <c r="Q7" s="9">
        <v>427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5">
      <c r="A8" s="27"/>
      <c r="B8" s="3"/>
      <c r="C8" s="3"/>
      <c r="D8" s="3"/>
      <c r="E8" s="5"/>
      <c r="F8" s="3"/>
      <c r="G8" s="40"/>
      <c r="H8" s="5"/>
      <c r="I8" s="5"/>
      <c r="J8" s="13"/>
      <c r="K8" s="12"/>
      <c r="L8" s="16"/>
      <c r="M8" s="16"/>
      <c r="N8" s="15"/>
      <c r="O8" s="10"/>
      <c r="P8" s="10"/>
      <c r="Q8" s="9"/>
      <c r="R8" s="3"/>
      <c r="S8" s="3"/>
      <c r="T8" s="3"/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3" max="3" width="13.42578125" bestFit="1" customWidth="1"/>
    <col min="4" max="4" width="5.710937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43732</v>
      </c>
      <c r="B2" s="5" t="s">
        <v>21</v>
      </c>
      <c r="C2" s="5" t="s">
        <v>86</v>
      </c>
      <c r="D2" s="5" t="s">
        <v>23</v>
      </c>
      <c r="E2" s="5" t="s">
        <v>312</v>
      </c>
      <c r="F2" s="5" t="s">
        <v>25</v>
      </c>
      <c r="G2" s="6">
        <v>71500</v>
      </c>
      <c r="H2" s="5" t="s">
        <v>88</v>
      </c>
      <c r="I2" s="5" t="s">
        <v>89</v>
      </c>
      <c r="J2" s="7">
        <v>0.38541666666666669</v>
      </c>
      <c r="K2" s="2">
        <v>0.36736111111111108</v>
      </c>
      <c r="L2" s="7">
        <v>0.25694444444444448</v>
      </c>
      <c r="M2" s="8">
        <v>0.2590277777777778</v>
      </c>
      <c r="N2" s="3" t="s">
        <v>363</v>
      </c>
      <c r="O2" s="9" t="s">
        <v>361</v>
      </c>
      <c r="P2" s="9">
        <v>240</v>
      </c>
      <c r="Q2" s="9">
        <v>579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43732</v>
      </c>
      <c r="B3" s="5" t="s">
        <v>21</v>
      </c>
      <c r="C3" s="5" t="s">
        <v>90</v>
      </c>
      <c r="D3" s="5" t="s">
        <v>23</v>
      </c>
      <c r="E3" s="5" t="s">
        <v>164</v>
      </c>
      <c r="F3" s="5" t="s">
        <v>25</v>
      </c>
      <c r="G3" s="6">
        <v>70000</v>
      </c>
      <c r="H3" s="5" t="s">
        <v>91</v>
      </c>
      <c r="I3" s="5" t="s">
        <v>92</v>
      </c>
      <c r="J3" s="7">
        <v>0.46180555555555558</v>
      </c>
      <c r="K3" s="2">
        <v>0.4513888888888889</v>
      </c>
      <c r="L3" s="7">
        <v>0.28125</v>
      </c>
      <c r="M3" s="8">
        <v>0.28541666666666665</v>
      </c>
      <c r="N3" s="3" t="s">
        <v>364</v>
      </c>
      <c r="O3" s="9" t="s">
        <v>362</v>
      </c>
      <c r="P3" s="5">
        <v>649</v>
      </c>
      <c r="Q3" s="9">
        <v>767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43732</v>
      </c>
      <c r="B4" s="5" t="s">
        <v>21</v>
      </c>
      <c r="C4" s="3" t="s">
        <v>101</v>
      </c>
      <c r="D4" s="3" t="s">
        <v>23</v>
      </c>
      <c r="E4" s="5" t="s">
        <v>312</v>
      </c>
      <c r="F4" s="3" t="s">
        <v>25</v>
      </c>
      <c r="G4" s="6">
        <v>71500</v>
      </c>
      <c r="H4" s="3" t="s">
        <v>102</v>
      </c>
      <c r="I4" s="3" t="s">
        <v>103</v>
      </c>
      <c r="J4" s="19">
        <v>0.70138888888888884</v>
      </c>
      <c r="K4" s="2">
        <v>0.70416666666666661</v>
      </c>
      <c r="L4" s="19">
        <v>0.49305555555555558</v>
      </c>
      <c r="M4" s="20">
        <v>0.48958333333333331</v>
      </c>
      <c r="N4" s="3" t="s">
        <v>366</v>
      </c>
      <c r="O4" s="3" t="s">
        <v>365</v>
      </c>
      <c r="P4" s="21">
        <v>794</v>
      </c>
      <c r="Q4" s="9">
        <v>987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ref="A5:A7" si="0">A4</f>
        <v>43732</v>
      </c>
      <c r="B5" s="5" t="s">
        <v>21</v>
      </c>
      <c r="C5" s="3" t="s">
        <v>104</v>
      </c>
      <c r="D5" s="3" t="s">
        <v>23</v>
      </c>
      <c r="E5" s="5" t="s">
        <v>164</v>
      </c>
      <c r="F5" s="3" t="s">
        <v>25</v>
      </c>
      <c r="G5" s="6">
        <v>70000</v>
      </c>
      <c r="H5" s="5" t="s">
        <v>105</v>
      </c>
      <c r="I5" s="5" t="s">
        <v>106</v>
      </c>
      <c r="J5" s="22">
        <v>0.74652777777777779</v>
      </c>
      <c r="K5" s="2">
        <v>0.72499999999999998</v>
      </c>
      <c r="L5" s="22">
        <v>0.58680555555555558</v>
      </c>
      <c r="M5" s="23">
        <v>0.58611111111111114</v>
      </c>
      <c r="N5" s="3" t="s">
        <v>367</v>
      </c>
      <c r="O5" s="3" t="s">
        <v>369</v>
      </c>
      <c r="P5" s="3">
        <v>781</v>
      </c>
      <c r="Q5" s="9">
        <v>759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43732</v>
      </c>
      <c r="B6" s="5" t="s">
        <v>21</v>
      </c>
      <c r="C6" s="24" t="s">
        <v>107</v>
      </c>
      <c r="D6" s="24" t="s">
        <v>23</v>
      </c>
      <c r="E6" s="5" t="str">
        <f>E4</f>
        <v>HALYU</v>
      </c>
      <c r="F6" s="24" t="s">
        <v>25</v>
      </c>
      <c r="G6" s="6">
        <f>G4</f>
        <v>71500</v>
      </c>
      <c r="H6" s="24" t="s">
        <v>108</v>
      </c>
      <c r="I6" s="24" t="s">
        <v>109</v>
      </c>
      <c r="J6" s="22">
        <v>0.94097222222222221</v>
      </c>
      <c r="K6" s="2">
        <v>0.94097222222222221</v>
      </c>
      <c r="L6" s="22">
        <v>0.72222222222222221</v>
      </c>
      <c r="M6" s="23">
        <v>0.74305555555555547</v>
      </c>
      <c r="N6" s="3" t="s">
        <v>368</v>
      </c>
      <c r="O6" s="20" t="s">
        <v>370</v>
      </c>
      <c r="P6" s="3">
        <v>363</v>
      </c>
      <c r="Q6" s="24">
        <v>954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4">
        <f t="shared" si="0"/>
        <v>43732</v>
      </c>
      <c r="B7" s="3" t="s">
        <v>21</v>
      </c>
      <c r="C7" s="21" t="s">
        <v>110</v>
      </c>
      <c r="D7" s="3" t="s">
        <v>23</v>
      </c>
      <c r="E7" s="5" t="str">
        <f>E5</f>
        <v>HALWC</v>
      </c>
      <c r="F7" s="3" t="s">
        <v>25</v>
      </c>
      <c r="G7" s="6">
        <f>G5</f>
        <v>70000</v>
      </c>
      <c r="H7" s="5" t="s">
        <v>111</v>
      </c>
      <c r="I7" s="5" t="s">
        <v>112</v>
      </c>
      <c r="J7" s="19">
        <v>0.94444444444444453</v>
      </c>
      <c r="K7" s="8">
        <v>0.93333333333333324</v>
      </c>
      <c r="L7" s="19">
        <v>0.76736111111111116</v>
      </c>
      <c r="M7" s="20">
        <v>0.76874999999999993</v>
      </c>
      <c r="N7" s="20" t="s">
        <v>190</v>
      </c>
      <c r="O7" s="20" t="s">
        <v>333</v>
      </c>
      <c r="P7" s="21">
        <v>732</v>
      </c>
      <c r="Q7" s="9">
        <v>503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B1" workbookViewId="0">
      <selection activeCell="K8" sqref="K8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43733</v>
      </c>
      <c r="B2" s="5" t="s">
        <v>21</v>
      </c>
      <c r="C2" s="5" t="s">
        <v>22</v>
      </c>
      <c r="D2" s="5" t="s">
        <v>23</v>
      </c>
      <c r="E2" s="5" t="s">
        <v>372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0.4597222222222222</v>
      </c>
      <c r="L2" s="7">
        <v>0.25694444444444448</v>
      </c>
      <c r="M2" s="8">
        <v>0.26874999999999999</v>
      </c>
      <c r="N2" s="10" t="s">
        <v>374</v>
      </c>
      <c r="O2" s="9" t="s">
        <v>226</v>
      </c>
      <c r="P2" s="10">
        <v>883</v>
      </c>
      <c r="Q2" s="9">
        <v>702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43733</v>
      </c>
      <c r="B3" s="5" t="s">
        <v>21</v>
      </c>
      <c r="C3" s="5" t="s">
        <v>28</v>
      </c>
      <c r="D3" s="5" t="s">
        <v>23</v>
      </c>
      <c r="E3" s="5" t="s">
        <v>312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0.4777777777777778</v>
      </c>
      <c r="L3" s="7">
        <v>0.28125</v>
      </c>
      <c r="M3" s="8">
        <v>0.28611111111111115</v>
      </c>
      <c r="N3" s="9" t="s">
        <v>375</v>
      </c>
      <c r="O3" s="9" t="s">
        <v>373</v>
      </c>
      <c r="P3" s="10">
        <v>722</v>
      </c>
      <c r="Q3" s="9">
        <v>1059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ref="A4:A7" si="0">A3</f>
        <v>43733</v>
      </c>
      <c r="B4" s="3" t="s">
        <v>21</v>
      </c>
      <c r="C4" s="3" t="s">
        <v>31</v>
      </c>
      <c r="D4" s="3" t="s">
        <v>23</v>
      </c>
      <c r="E4" s="5" t="s">
        <v>371</v>
      </c>
      <c r="F4" s="3" t="s">
        <v>25</v>
      </c>
      <c r="G4" s="6">
        <v>71500</v>
      </c>
      <c r="H4" s="3" t="s">
        <v>32</v>
      </c>
      <c r="I4" s="3" t="s">
        <v>33</v>
      </c>
      <c r="J4" s="13">
        <v>0.72569444444444453</v>
      </c>
      <c r="K4" s="2">
        <v>0.73611111111111116</v>
      </c>
      <c r="L4" s="13">
        <v>0.48958333333333331</v>
      </c>
      <c r="M4" s="2">
        <v>0.51944444444444449</v>
      </c>
      <c r="N4" s="3" t="s">
        <v>278</v>
      </c>
      <c r="O4" s="3" t="s">
        <v>173</v>
      </c>
      <c r="P4" s="3">
        <v>567</v>
      </c>
      <c r="Q4" s="9">
        <v>992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43733</v>
      </c>
      <c r="B5" s="3" t="s">
        <v>21</v>
      </c>
      <c r="C5" s="3" t="s">
        <v>34</v>
      </c>
      <c r="D5" s="3" t="s">
        <v>23</v>
      </c>
      <c r="E5" s="5" t="s">
        <v>312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0.75208333333333333</v>
      </c>
      <c r="L5" s="13">
        <v>0.51736111111111105</v>
      </c>
      <c r="M5" s="2">
        <v>0.53611111111111109</v>
      </c>
      <c r="N5" s="3" t="s">
        <v>271</v>
      </c>
      <c r="O5" s="3" t="s">
        <v>323</v>
      </c>
      <c r="P5" s="3">
        <v>931</v>
      </c>
      <c r="Q5" s="9">
        <v>1206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43733</v>
      </c>
      <c r="B6" s="3" t="s">
        <v>21</v>
      </c>
      <c r="C6" s="3" t="s">
        <v>37</v>
      </c>
      <c r="D6" s="3" t="s">
        <v>23</v>
      </c>
      <c r="E6" s="5" t="s">
        <v>371</v>
      </c>
      <c r="F6" s="3" t="s">
        <v>25</v>
      </c>
      <c r="G6" s="6">
        <v>71500</v>
      </c>
      <c r="H6" s="5" t="s">
        <v>38</v>
      </c>
      <c r="I6" s="5" t="s">
        <v>39</v>
      </c>
      <c r="J6" s="11">
        <v>0.91666666666666663</v>
      </c>
      <c r="K6" s="2">
        <v>0.9375</v>
      </c>
      <c r="L6" s="11">
        <v>0.74652777777777779</v>
      </c>
      <c r="M6" s="12">
        <v>0.7729166666666667</v>
      </c>
      <c r="N6" s="3" t="s">
        <v>378</v>
      </c>
      <c r="O6" s="3" t="s">
        <v>376</v>
      </c>
      <c r="P6" s="3">
        <v>950</v>
      </c>
      <c r="Q6" s="9">
        <v>772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43733</v>
      </c>
      <c r="B7" s="3" t="s">
        <v>21</v>
      </c>
      <c r="C7" s="3" t="s">
        <v>40</v>
      </c>
      <c r="D7" s="3" t="s">
        <v>23</v>
      </c>
      <c r="E7" s="5" t="str">
        <f>E5</f>
        <v>HALYU</v>
      </c>
      <c r="F7" s="3" t="s">
        <v>25</v>
      </c>
      <c r="G7" s="6">
        <v>71500</v>
      </c>
      <c r="H7" s="5" t="s">
        <v>41</v>
      </c>
      <c r="I7" s="5" t="s">
        <v>42</v>
      </c>
      <c r="J7" s="11">
        <v>0.95833333333333337</v>
      </c>
      <c r="K7" s="12">
        <v>0.99861111111111101</v>
      </c>
      <c r="L7" s="11">
        <v>0.76736111111111116</v>
      </c>
      <c r="M7" s="12">
        <v>0.78680555555555554</v>
      </c>
      <c r="N7" s="10" t="s">
        <v>369</v>
      </c>
      <c r="O7" s="10" t="s">
        <v>377</v>
      </c>
      <c r="P7" s="3">
        <v>1110</v>
      </c>
      <c r="Q7" s="9">
        <v>903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v>43733</v>
      </c>
      <c r="B8" s="3" t="s">
        <v>50</v>
      </c>
      <c r="C8" s="3" t="s">
        <v>325</v>
      </c>
      <c r="D8" s="3" t="s">
        <v>51</v>
      </c>
      <c r="E8" s="5" t="s">
        <v>326</v>
      </c>
      <c r="F8" s="3" t="s">
        <v>327</v>
      </c>
      <c r="G8" s="6">
        <v>2</v>
      </c>
      <c r="H8" s="5" t="s">
        <v>326</v>
      </c>
      <c r="I8" s="5" t="s">
        <v>326</v>
      </c>
      <c r="J8" s="17">
        <v>0.625</v>
      </c>
      <c r="K8" s="16">
        <v>0.60972222222222217</v>
      </c>
      <c r="L8" s="17">
        <v>0.63888888888888895</v>
      </c>
      <c r="M8" s="16">
        <v>0.625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4"/>
      <c r="B9" s="3"/>
      <c r="C9" s="3"/>
      <c r="D9" s="3"/>
      <c r="E9" s="5"/>
      <c r="F9" s="3"/>
      <c r="H9" s="5"/>
      <c r="I9" s="5"/>
      <c r="J9" s="11"/>
      <c r="K9" s="12"/>
      <c r="L9" s="11"/>
      <c r="M9" s="11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4" sqref="A4"/>
    </sheetView>
  </sheetViews>
  <sheetFormatPr defaultRowHeight="15" x14ac:dyDescent="0.25"/>
  <cols>
    <col min="1" max="2" width="9.140625" style="32"/>
    <col min="3" max="3" width="13.28515625" style="32" bestFit="1" customWidth="1"/>
    <col min="4" max="5" width="9.140625" style="32"/>
    <col min="6" max="6" width="12.140625" style="32" bestFit="1" customWidth="1"/>
    <col min="7" max="7" width="9.7109375" style="32" bestFit="1" customWidth="1"/>
    <col min="8" max="10" width="9.140625" style="32"/>
    <col min="11" max="11" width="10.85546875" style="32" bestFit="1" customWidth="1"/>
    <col min="12" max="12" width="9.140625" style="32"/>
    <col min="13" max="13" width="10.85546875" style="32" bestFit="1" customWidth="1"/>
    <col min="14" max="15" width="18.42578125" style="32" bestFit="1" customWidth="1"/>
    <col min="16" max="16384" width="9.140625" style="3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43734</v>
      </c>
      <c r="B2" s="10" t="s">
        <v>21</v>
      </c>
      <c r="C2" s="10" t="s">
        <v>104</v>
      </c>
      <c r="D2" s="10" t="s">
        <v>23</v>
      </c>
      <c r="E2" s="5" t="s">
        <v>312</v>
      </c>
      <c r="F2" s="10" t="s">
        <v>25</v>
      </c>
      <c r="G2" s="6">
        <v>71500</v>
      </c>
      <c r="H2" s="10" t="s">
        <v>94</v>
      </c>
      <c r="I2" s="10" t="s">
        <v>95</v>
      </c>
      <c r="J2" s="11">
        <v>0.55555555555555558</v>
      </c>
      <c r="K2" s="12">
        <v>0.54583333333333328</v>
      </c>
      <c r="L2" s="11">
        <v>0.40625</v>
      </c>
      <c r="M2" s="2">
        <v>0.40902777777777777</v>
      </c>
      <c r="N2" s="10" t="s">
        <v>380</v>
      </c>
      <c r="O2" s="10" t="s">
        <v>379</v>
      </c>
      <c r="P2" s="10">
        <v>888</v>
      </c>
      <c r="Q2" s="10">
        <v>639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4">
        <v>43734</v>
      </c>
      <c r="B3" s="3" t="s">
        <v>21</v>
      </c>
      <c r="C3" s="3" t="s">
        <v>101</v>
      </c>
      <c r="D3" s="3" t="s">
        <v>23</v>
      </c>
      <c r="E3" s="5" t="s">
        <v>371</v>
      </c>
      <c r="F3" s="3" t="s">
        <v>25</v>
      </c>
      <c r="G3" s="6">
        <v>71500</v>
      </c>
      <c r="H3" s="3" t="s">
        <v>102</v>
      </c>
      <c r="I3" s="3" t="s">
        <v>103</v>
      </c>
      <c r="J3" s="13">
        <v>0.70138888888888884</v>
      </c>
      <c r="K3" s="2">
        <v>0.69513888888888886</v>
      </c>
      <c r="L3" s="13">
        <v>0.49305555555555558</v>
      </c>
      <c r="M3" s="2">
        <v>0.41180555555555554</v>
      </c>
      <c r="N3" s="10" t="s">
        <v>196</v>
      </c>
      <c r="O3" s="3" t="s">
        <v>281</v>
      </c>
      <c r="P3" s="3">
        <v>838</v>
      </c>
      <c r="Q3" s="3">
        <v>823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43734</v>
      </c>
      <c r="B4" s="3" t="s">
        <v>21</v>
      </c>
      <c r="C4" s="3" t="s">
        <v>37</v>
      </c>
      <c r="D4" s="3" t="s">
        <v>23</v>
      </c>
      <c r="E4" s="5" t="s">
        <v>312</v>
      </c>
      <c r="F4" s="3" t="s">
        <v>25</v>
      </c>
      <c r="G4" s="6">
        <v>71500</v>
      </c>
      <c r="H4" s="3" t="s">
        <v>38</v>
      </c>
      <c r="I4" s="3" t="s">
        <v>39</v>
      </c>
      <c r="J4" s="11">
        <v>0.75694444444444453</v>
      </c>
      <c r="K4" s="2">
        <v>0.7583333333333333</v>
      </c>
      <c r="L4" s="11">
        <v>0.58680555555555558</v>
      </c>
      <c r="M4" s="16">
        <v>0.59166666666666667</v>
      </c>
      <c r="N4" s="3" t="s">
        <v>320</v>
      </c>
      <c r="O4" s="10" t="s">
        <v>381</v>
      </c>
      <c r="P4" s="21">
        <v>853</v>
      </c>
      <c r="Q4" s="10">
        <v>748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3"/>
      <c r="C5" s="3"/>
      <c r="D5" s="3"/>
      <c r="E5" s="5"/>
      <c r="F5" s="3"/>
      <c r="G5" s="6"/>
      <c r="H5" s="5"/>
      <c r="I5" s="5"/>
      <c r="J5" s="17"/>
      <c r="K5" s="16"/>
      <c r="L5" s="17"/>
      <c r="M5" s="16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2.75" x14ac:dyDescent="0.2"/>
  <cols>
    <col min="1" max="1" width="9.140625" style="15"/>
    <col min="2" max="2" width="18.42578125" style="15" bestFit="1" customWidth="1"/>
    <col min="3" max="3" width="13.5703125" style="15" bestFit="1" customWidth="1"/>
    <col min="4" max="4" width="5.7109375" style="15" bestFit="1" customWidth="1"/>
    <col min="5" max="5" width="7.85546875" style="15" bestFit="1" customWidth="1"/>
    <col min="6" max="6" width="18.5703125" style="15" bestFit="1" customWidth="1"/>
    <col min="7" max="8" width="9.7109375" style="15" bestFit="1" customWidth="1"/>
    <col min="9" max="9" width="9.140625" style="15"/>
    <col min="10" max="10" width="11" style="15" bestFit="1" customWidth="1"/>
    <col min="11" max="11" width="10.85546875" style="15" bestFit="1" customWidth="1"/>
    <col min="12" max="12" width="11" style="15" bestFit="1" customWidth="1"/>
    <col min="13" max="13" width="10.85546875" style="15" bestFit="1" customWidth="1"/>
    <col min="14" max="15" width="18.42578125" style="15" bestFit="1" customWidth="1"/>
    <col min="16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43735</v>
      </c>
      <c r="B2" s="5" t="s">
        <v>21</v>
      </c>
      <c r="C2" s="5" t="s">
        <v>22</v>
      </c>
      <c r="D2" s="5" t="s">
        <v>23</v>
      </c>
      <c r="E2" s="5" t="s">
        <v>312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8">
        <v>0.4861111111111111</v>
      </c>
      <c r="L2" s="7">
        <v>0.25694444444444448</v>
      </c>
      <c r="M2" s="8">
        <v>0.2986111111111111</v>
      </c>
      <c r="N2" s="3" t="s">
        <v>279</v>
      </c>
      <c r="O2" s="9" t="s">
        <v>220</v>
      </c>
      <c r="P2" s="9">
        <v>624</v>
      </c>
      <c r="Q2" s="9">
        <v>978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f>A2</f>
        <v>43735</v>
      </c>
      <c r="B3" s="5" t="s">
        <v>21</v>
      </c>
      <c r="C3" s="5" t="s">
        <v>28</v>
      </c>
      <c r="D3" s="5" t="s">
        <v>23</v>
      </c>
      <c r="E3" s="5" t="s">
        <v>371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8">
        <v>0.49722222222222223</v>
      </c>
      <c r="L3" s="7">
        <v>0.28125</v>
      </c>
      <c r="M3" s="8">
        <v>0.28958333333333336</v>
      </c>
      <c r="N3" s="3" t="s">
        <v>136</v>
      </c>
      <c r="O3" s="9" t="s">
        <v>265</v>
      </c>
      <c r="P3" s="5">
        <v>1044</v>
      </c>
      <c r="Q3" s="9">
        <v>987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f t="shared" ref="A4:A7" si="0">A3</f>
        <v>43735</v>
      </c>
      <c r="B4" s="3" t="s">
        <v>21</v>
      </c>
      <c r="C4" s="3" t="s">
        <v>63</v>
      </c>
      <c r="D4" s="3" t="s">
        <v>23</v>
      </c>
      <c r="E4" s="5" t="s">
        <v>382</v>
      </c>
      <c r="F4" s="3" t="s">
        <v>25</v>
      </c>
      <c r="G4" s="6">
        <v>71500</v>
      </c>
      <c r="H4" s="3" t="s">
        <v>64</v>
      </c>
      <c r="I4" s="3" t="s">
        <v>65</v>
      </c>
      <c r="J4" s="13">
        <v>0.70833333333333337</v>
      </c>
      <c r="K4" s="2">
        <v>0.73402777777777783</v>
      </c>
      <c r="L4" s="13">
        <v>0.48958333333333331</v>
      </c>
      <c r="M4" s="2">
        <v>0.52569444444444446</v>
      </c>
      <c r="N4" s="15" t="s">
        <v>383</v>
      </c>
      <c r="O4" s="3" t="s">
        <v>349</v>
      </c>
      <c r="P4" s="3">
        <v>677</v>
      </c>
      <c r="Q4" s="9">
        <v>1131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f t="shared" si="0"/>
        <v>43735</v>
      </c>
      <c r="B5" s="3" t="s">
        <v>21</v>
      </c>
      <c r="C5" s="3" t="s">
        <v>34</v>
      </c>
      <c r="D5" s="3" t="s">
        <v>23</v>
      </c>
      <c r="E5" s="5" t="s">
        <v>371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0.7680555555555556</v>
      </c>
      <c r="L5" s="13">
        <v>0.51736111111111105</v>
      </c>
      <c r="M5" s="2">
        <v>0.54861111111111105</v>
      </c>
      <c r="N5" s="3" t="s">
        <v>187</v>
      </c>
      <c r="O5" s="3" t="s">
        <v>330</v>
      </c>
      <c r="P5" s="3">
        <v>877</v>
      </c>
      <c r="Q5" s="9">
        <v>1354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f t="shared" si="0"/>
        <v>43735</v>
      </c>
      <c r="B6" s="3" t="s">
        <v>21</v>
      </c>
      <c r="C6" s="3" t="s">
        <v>37</v>
      </c>
      <c r="D6" s="3" t="s">
        <v>23</v>
      </c>
      <c r="E6" s="5" t="s">
        <v>382</v>
      </c>
      <c r="F6" s="3" t="s">
        <v>25</v>
      </c>
      <c r="G6" s="6">
        <v>71500</v>
      </c>
      <c r="H6" s="5" t="s">
        <v>38</v>
      </c>
      <c r="I6" s="5" t="s">
        <v>39</v>
      </c>
      <c r="J6" s="17">
        <v>0.89930555555555547</v>
      </c>
      <c r="K6" s="2">
        <v>0.9194444444444444</v>
      </c>
      <c r="L6" s="17">
        <v>0.72916666666666663</v>
      </c>
      <c r="M6" s="16">
        <v>0.76597222222222217</v>
      </c>
      <c r="N6" s="3" t="s">
        <v>385</v>
      </c>
      <c r="O6" s="15" t="s">
        <v>119</v>
      </c>
      <c r="P6" s="15">
        <v>732</v>
      </c>
      <c r="Q6" s="9">
        <v>709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si="0"/>
        <v>43735</v>
      </c>
      <c r="B7" s="15" t="s">
        <v>21</v>
      </c>
      <c r="C7" s="15" t="s">
        <v>66</v>
      </c>
      <c r="D7" s="15" t="s">
        <v>23</v>
      </c>
      <c r="E7" s="5" t="s">
        <v>371</v>
      </c>
      <c r="F7" s="15" t="s">
        <v>25</v>
      </c>
      <c r="G7" s="6">
        <v>71500</v>
      </c>
      <c r="H7" s="15" t="s">
        <v>67</v>
      </c>
      <c r="I7" s="15" t="s">
        <v>68</v>
      </c>
      <c r="J7" s="17">
        <v>0.9375</v>
      </c>
      <c r="K7" s="2">
        <v>0.95694444444444438</v>
      </c>
      <c r="L7" s="17">
        <v>0.76736111111111116</v>
      </c>
      <c r="M7" s="16">
        <v>0.80069444444444438</v>
      </c>
      <c r="N7" s="3" t="s">
        <v>61</v>
      </c>
      <c r="O7" s="3" t="s">
        <v>384</v>
      </c>
      <c r="P7" s="3">
        <v>733</v>
      </c>
      <c r="Q7" s="9">
        <v>879</v>
      </c>
      <c r="R7" s="15">
        <v>0</v>
      </c>
      <c r="S7" s="15">
        <v>0</v>
      </c>
      <c r="T7" s="15">
        <v>0</v>
      </c>
      <c r="U7" s="15">
        <v>0</v>
      </c>
    </row>
    <row r="8" spans="1:21" x14ac:dyDescent="0.2">
      <c r="A8" s="4"/>
      <c r="B8" s="5"/>
      <c r="C8" s="3"/>
      <c r="D8" s="3"/>
      <c r="E8" s="5"/>
      <c r="F8" s="3"/>
      <c r="G8" s="6"/>
      <c r="H8" s="3"/>
      <c r="I8" s="3"/>
      <c r="J8" s="13"/>
      <c r="K8" s="2"/>
      <c r="L8" s="13"/>
      <c r="M8" s="16"/>
      <c r="O8" s="3"/>
      <c r="P8" s="3"/>
      <c r="Q8" s="9"/>
      <c r="R8" s="3"/>
      <c r="S8" s="3"/>
      <c r="T8" s="3"/>
      <c r="U8" s="3"/>
    </row>
    <row r="9" spans="1:21" x14ac:dyDescent="0.2">
      <c r="A9" s="25"/>
      <c r="B9" s="5"/>
      <c r="G9" s="18"/>
      <c r="J9" s="17"/>
      <c r="K9" s="16"/>
      <c r="L9" s="17"/>
      <c r="M9" s="16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6" sqref="K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43736</v>
      </c>
      <c r="B2" s="5" t="s">
        <v>21</v>
      </c>
      <c r="C2" s="5" t="s">
        <v>86</v>
      </c>
      <c r="D2" s="5" t="s">
        <v>23</v>
      </c>
      <c r="E2" s="5" t="s">
        <v>382</v>
      </c>
      <c r="F2" s="5" t="s">
        <v>25</v>
      </c>
      <c r="G2" s="6">
        <v>70000</v>
      </c>
      <c r="H2" s="5" t="s">
        <v>88</v>
      </c>
      <c r="I2" s="5" t="s">
        <v>89</v>
      </c>
      <c r="J2" s="7">
        <v>0.38541666666666669</v>
      </c>
      <c r="K2" s="2">
        <v>0.36805555555555558</v>
      </c>
      <c r="L2" s="7">
        <v>0.25694444444444448</v>
      </c>
      <c r="M2" s="8">
        <v>0.25555555555555559</v>
      </c>
      <c r="N2" s="3" t="s">
        <v>388</v>
      </c>
      <c r="O2" s="9" t="s">
        <v>386</v>
      </c>
      <c r="P2" s="9">
        <v>555</v>
      </c>
      <c r="Q2" s="9">
        <v>598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43736</v>
      </c>
      <c r="B3" s="5" t="s">
        <v>21</v>
      </c>
      <c r="C3" s="5" t="s">
        <v>90</v>
      </c>
      <c r="D3" s="5" t="s">
        <v>23</v>
      </c>
      <c r="E3" s="5" t="s">
        <v>371</v>
      </c>
      <c r="F3" s="5" t="s">
        <v>25</v>
      </c>
      <c r="G3" s="6">
        <v>71500</v>
      </c>
      <c r="H3" s="5" t="s">
        <v>91</v>
      </c>
      <c r="I3" s="5" t="s">
        <v>92</v>
      </c>
      <c r="J3" s="7">
        <v>0.46180555555555558</v>
      </c>
      <c r="K3" s="2">
        <v>0.45416666666666666</v>
      </c>
      <c r="L3" s="7">
        <v>0.28125</v>
      </c>
      <c r="M3" s="8">
        <v>0.28958333333333336</v>
      </c>
      <c r="N3" s="3" t="s">
        <v>389</v>
      </c>
      <c r="O3" s="9" t="s">
        <v>387</v>
      </c>
      <c r="P3" s="5">
        <v>950</v>
      </c>
      <c r="Q3" s="9">
        <v>803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43736</v>
      </c>
      <c r="B4" s="5" t="s">
        <v>21</v>
      </c>
      <c r="C4" s="3" t="s">
        <v>101</v>
      </c>
      <c r="D4" s="3" t="s">
        <v>23</v>
      </c>
      <c r="E4" s="5" t="str">
        <f>E2</f>
        <v>HALYO</v>
      </c>
      <c r="F4" s="3" t="s">
        <v>25</v>
      </c>
      <c r="G4" s="6">
        <f>G2</f>
        <v>70000</v>
      </c>
      <c r="H4" s="3" t="s">
        <v>102</v>
      </c>
      <c r="I4" s="3" t="s">
        <v>103</v>
      </c>
      <c r="J4" s="19">
        <v>0.70138888888888884</v>
      </c>
      <c r="K4" s="2">
        <v>0.71527777777777779</v>
      </c>
      <c r="L4" s="19">
        <v>0.49305555555555558</v>
      </c>
      <c r="M4" s="20">
        <v>0.52500000000000002</v>
      </c>
      <c r="N4" s="3" t="s">
        <v>378</v>
      </c>
      <c r="O4" s="3" t="s">
        <v>390</v>
      </c>
      <c r="P4" s="21">
        <v>1014</v>
      </c>
      <c r="Q4" s="9">
        <v>935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ref="A5:A7" si="0">A4</f>
        <v>43736</v>
      </c>
      <c r="B5" s="5" t="s">
        <v>21</v>
      </c>
      <c r="C5" s="3" t="s">
        <v>104</v>
      </c>
      <c r="D5" s="3" t="s">
        <v>23</v>
      </c>
      <c r="E5" s="5" t="str">
        <f>E3</f>
        <v>HALPT</v>
      </c>
      <c r="F5" s="3" t="s">
        <v>25</v>
      </c>
      <c r="G5" s="6">
        <v>71500</v>
      </c>
      <c r="H5" s="5" t="s">
        <v>105</v>
      </c>
      <c r="I5" s="5" t="s">
        <v>106</v>
      </c>
      <c r="J5" s="22">
        <v>0.74652777777777779</v>
      </c>
      <c r="K5" s="2">
        <v>0.72499999999999998</v>
      </c>
      <c r="L5" s="22">
        <v>0.58680555555555558</v>
      </c>
      <c r="M5" s="23">
        <v>0.59166666666666667</v>
      </c>
      <c r="N5" s="3" t="s">
        <v>391</v>
      </c>
      <c r="O5" s="3" t="s">
        <v>271</v>
      </c>
      <c r="P5" s="3">
        <v>884</v>
      </c>
      <c r="Q5" s="9">
        <v>993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43736</v>
      </c>
      <c r="B6" s="5" t="s">
        <v>21</v>
      </c>
      <c r="C6" s="24" t="s">
        <v>107</v>
      </c>
      <c r="D6" s="24" t="s">
        <v>23</v>
      </c>
      <c r="E6" s="5" t="str">
        <f>E4</f>
        <v>HALYO</v>
      </c>
      <c r="F6" s="24" t="s">
        <v>25</v>
      </c>
      <c r="G6" s="6">
        <f>G4</f>
        <v>70000</v>
      </c>
      <c r="H6" s="24" t="s">
        <v>108</v>
      </c>
      <c r="I6" s="24" t="s">
        <v>109</v>
      </c>
      <c r="J6" s="22">
        <v>0.94097222222222221</v>
      </c>
      <c r="K6" s="2">
        <v>0.95208333333333339</v>
      </c>
      <c r="L6" s="22">
        <v>0.72222222222222221</v>
      </c>
      <c r="M6" s="23">
        <v>0.75416666666666676</v>
      </c>
      <c r="N6" s="3" t="s">
        <v>392</v>
      </c>
      <c r="O6" s="20" t="s">
        <v>365</v>
      </c>
      <c r="P6" s="3">
        <v>901</v>
      </c>
      <c r="Q6" s="24">
        <v>1127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4">
        <f t="shared" si="0"/>
        <v>43736</v>
      </c>
      <c r="B7" s="3" t="s">
        <v>21</v>
      </c>
      <c r="C7" s="21" t="s">
        <v>110</v>
      </c>
      <c r="D7" s="3" t="s">
        <v>23</v>
      </c>
      <c r="E7" s="5" t="str">
        <f>E5</f>
        <v>HALPT</v>
      </c>
      <c r="F7" s="3" t="s">
        <v>25</v>
      </c>
      <c r="G7" s="6">
        <f>G5</f>
        <v>71500</v>
      </c>
      <c r="H7" s="5" t="s">
        <v>111</v>
      </c>
      <c r="I7" s="5" t="s">
        <v>112</v>
      </c>
      <c r="J7" s="19">
        <v>0.94444444444444453</v>
      </c>
      <c r="K7" s="8">
        <v>0.92499999999999993</v>
      </c>
      <c r="L7" s="19">
        <v>0.76736111111111116</v>
      </c>
      <c r="M7" s="20">
        <v>0.76388888888888884</v>
      </c>
      <c r="N7" s="20" t="s">
        <v>393</v>
      </c>
      <c r="O7" s="20" t="s">
        <v>392</v>
      </c>
      <c r="P7" s="21">
        <v>1061</v>
      </c>
      <c r="Q7" s="9">
        <v>593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/>
      <c r="B8" s="3"/>
      <c r="C8" s="21"/>
      <c r="D8" s="3"/>
      <c r="E8" s="5"/>
      <c r="F8" s="3"/>
      <c r="G8" s="6"/>
      <c r="H8" s="5"/>
      <c r="I8" s="5"/>
      <c r="J8" s="19"/>
      <c r="K8" s="8"/>
      <c r="L8" s="19"/>
      <c r="M8" s="20"/>
      <c r="N8" s="20"/>
      <c r="O8" s="20"/>
      <c r="P8" s="21"/>
      <c r="Q8" s="9"/>
      <c r="R8" s="3"/>
      <c r="S8" s="3"/>
      <c r="T8" s="3"/>
      <c r="U8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D1" sqref="A1:XFD6"/>
    </sheetView>
  </sheetViews>
  <sheetFormatPr defaultRowHeight="15" x14ac:dyDescent="0.25"/>
  <cols>
    <col min="3" max="3" width="13.28515625" bestFit="1" customWidth="1"/>
    <col min="6" max="6" width="12.140625" bestFit="1" customWidth="1"/>
    <col min="10" max="10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43737</v>
      </c>
      <c r="B2" s="5" t="s">
        <v>21</v>
      </c>
      <c r="C2" s="5" t="s">
        <v>22</v>
      </c>
      <c r="D2" s="5" t="s">
        <v>23</v>
      </c>
      <c r="E2" s="5" t="s">
        <v>382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0.4548611111111111</v>
      </c>
      <c r="L2" s="7">
        <v>0.25694444444444448</v>
      </c>
      <c r="M2" s="8">
        <v>0.26041666666666669</v>
      </c>
      <c r="N2" s="12" t="s">
        <v>344</v>
      </c>
      <c r="O2" s="9" t="s">
        <v>267</v>
      </c>
      <c r="P2" s="10">
        <v>981</v>
      </c>
      <c r="Q2" s="9">
        <v>1004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43737</v>
      </c>
      <c r="B3" s="3" t="s">
        <v>21</v>
      </c>
      <c r="C3" s="3" t="s">
        <v>31</v>
      </c>
      <c r="D3" s="3" t="s">
        <v>23</v>
      </c>
      <c r="E3" s="5" t="s">
        <v>382</v>
      </c>
      <c r="F3" s="3" t="s">
        <v>25</v>
      </c>
      <c r="G3" s="6">
        <v>71500</v>
      </c>
      <c r="H3" s="3" t="s">
        <v>32</v>
      </c>
      <c r="I3" s="3" t="s">
        <v>33</v>
      </c>
      <c r="J3" s="13">
        <v>0.72569444444444453</v>
      </c>
      <c r="K3" s="2">
        <v>0.7104166666666667</v>
      </c>
      <c r="L3" s="13">
        <v>0.48958333333333331</v>
      </c>
      <c r="M3" s="2">
        <v>0.49583333333333335</v>
      </c>
      <c r="N3" s="3" t="s">
        <v>394</v>
      </c>
      <c r="O3" s="3" t="s">
        <v>369</v>
      </c>
      <c r="P3" s="3">
        <v>759</v>
      </c>
      <c r="Q3" s="9">
        <v>1598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43737</v>
      </c>
      <c r="B4" s="3" t="s">
        <v>21</v>
      </c>
      <c r="C4" s="3" t="s">
        <v>34</v>
      </c>
      <c r="D4" s="3" t="s">
        <v>23</v>
      </c>
      <c r="E4" s="5" t="s">
        <v>371</v>
      </c>
      <c r="F4" s="3" t="s">
        <v>25</v>
      </c>
      <c r="G4" s="6">
        <v>71500</v>
      </c>
      <c r="H4" s="3" t="s">
        <v>35</v>
      </c>
      <c r="I4" s="3" t="s">
        <v>36</v>
      </c>
      <c r="J4" s="13">
        <v>0.74652777777777779</v>
      </c>
      <c r="K4" s="2">
        <v>0.75902777777777775</v>
      </c>
      <c r="L4" s="13">
        <v>0.51736111111111105</v>
      </c>
      <c r="M4" s="2">
        <v>0.53472222222222221</v>
      </c>
      <c r="N4" s="3" t="s">
        <v>241</v>
      </c>
      <c r="O4" s="3" t="s">
        <v>221</v>
      </c>
      <c r="P4" s="3">
        <v>1169</v>
      </c>
      <c r="Q4" s="9">
        <v>1468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43737</v>
      </c>
      <c r="B5" s="3" t="s">
        <v>21</v>
      </c>
      <c r="C5" s="3" t="s">
        <v>37</v>
      </c>
      <c r="D5" s="3" t="s">
        <v>23</v>
      </c>
      <c r="E5" s="5" t="s">
        <v>382</v>
      </c>
      <c r="F5" s="3" t="s">
        <v>25</v>
      </c>
      <c r="G5" s="6">
        <v>71500</v>
      </c>
      <c r="H5" s="5" t="s">
        <v>38</v>
      </c>
      <c r="I5" s="5" t="s">
        <v>39</v>
      </c>
      <c r="J5" s="11">
        <v>0.91666666666666663</v>
      </c>
      <c r="K5" s="2">
        <v>0.90694444444444444</v>
      </c>
      <c r="L5" s="11">
        <v>0.74652777777777779</v>
      </c>
      <c r="M5" s="12">
        <v>0.75138888888888899</v>
      </c>
      <c r="N5" s="3" t="s">
        <v>391</v>
      </c>
      <c r="O5" s="3" t="s">
        <v>333</v>
      </c>
      <c r="P5" s="3">
        <v>842</v>
      </c>
      <c r="Q5" s="9">
        <v>738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43737</v>
      </c>
      <c r="B6" s="3" t="s">
        <v>21</v>
      </c>
      <c r="C6" s="3" t="s">
        <v>40</v>
      </c>
      <c r="D6" s="3" t="s">
        <v>23</v>
      </c>
      <c r="E6" s="5" t="s">
        <v>371</v>
      </c>
      <c r="F6" s="3" t="s">
        <v>25</v>
      </c>
      <c r="G6" s="6">
        <v>71500</v>
      </c>
      <c r="H6" s="5" t="s">
        <v>41</v>
      </c>
      <c r="I6" s="5" t="s">
        <v>42</v>
      </c>
      <c r="J6" s="11">
        <v>0.95833333333333337</v>
      </c>
      <c r="K6" s="12">
        <v>0.95694444444444438</v>
      </c>
      <c r="L6" s="11">
        <v>0.76736111111111116</v>
      </c>
      <c r="M6" s="12">
        <v>0.78888888888888886</v>
      </c>
      <c r="N6" s="10" t="s">
        <v>396</v>
      </c>
      <c r="O6" s="10" t="s">
        <v>395</v>
      </c>
      <c r="P6" s="3">
        <v>841</v>
      </c>
      <c r="Q6" s="9">
        <v>1058</v>
      </c>
      <c r="R6" s="3">
        <v>0</v>
      </c>
      <c r="S6" s="3">
        <v>0</v>
      </c>
      <c r="T6" s="3">
        <v>0</v>
      </c>
      <c r="U6" s="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G1" workbookViewId="0">
      <selection activeCell="K6" sqref="K6"/>
    </sheetView>
  </sheetViews>
  <sheetFormatPr defaultRowHeight="15" x14ac:dyDescent="0.25"/>
  <cols>
    <col min="1" max="1" width="7.85546875" bestFit="1" customWidth="1"/>
    <col min="3" max="3" width="13.28515625" bestFit="1" customWidth="1"/>
    <col min="4" max="4" width="5.7109375" bestFit="1" customWidth="1"/>
    <col min="5" max="5" width="7.5703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  <col min="17" max="17" width="9.28515625" customWidth="1"/>
    <col min="18" max="18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43738</v>
      </c>
      <c r="B2" s="5" t="s">
        <v>21</v>
      </c>
      <c r="C2" s="5" t="s">
        <v>22</v>
      </c>
      <c r="D2" s="5" t="s">
        <v>23</v>
      </c>
      <c r="E2" s="5" t="s">
        <v>382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0.45833333333333331</v>
      </c>
      <c r="K2" s="2">
        <v>0.45624999999999999</v>
      </c>
      <c r="L2" s="7">
        <v>0.25694444444444448</v>
      </c>
      <c r="M2" s="8">
        <v>0.25833333333333336</v>
      </c>
      <c r="N2" s="3" t="s">
        <v>400</v>
      </c>
      <c r="O2" s="9" t="s">
        <v>398</v>
      </c>
      <c r="P2" s="9">
        <v>990</v>
      </c>
      <c r="Q2" s="9">
        <v>1028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7" si="0">A2</f>
        <v>43738</v>
      </c>
      <c r="B3" s="5" t="s">
        <v>21</v>
      </c>
      <c r="C3" s="5" t="s">
        <v>28</v>
      </c>
      <c r="D3" s="5" t="s">
        <v>23</v>
      </c>
      <c r="E3" s="5" t="s">
        <v>371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0.4861111111111111</v>
      </c>
      <c r="K3" s="2">
        <v>0.47222222222222227</v>
      </c>
      <c r="L3" s="7">
        <v>0.28125</v>
      </c>
      <c r="M3" s="8">
        <v>0.28472222222222221</v>
      </c>
      <c r="N3" s="3" t="s">
        <v>401</v>
      </c>
      <c r="O3" s="9" t="s">
        <v>399</v>
      </c>
      <c r="P3" s="5">
        <v>707</v>
      </c>
      <c r="Q3" s="9">
        <v>966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43738</v>
      </c>
      <c r="B4" s="3" t="s">
        <v>21</v>
      </c>
      <c r="C4" s="3" t="s">
        <v>63</v>
      </c>
      <c r="D4" s="3" t="s">
        <v>23</v>
      </c>
      <c r="E4" s="5" t="s">
        <v>397</v>
      </c>
      <c r="F4" s="3" t="s">
        <v>25</v>
      </c>
      <c r="G4" s="6">
        <f>G2</f>
        <v>71500</v>
      </c>
      <c r="H4" s="3" t="s">
        <v>64</v>
      </c>
      <c r="I4" s="3" t="s">
        <v>65</v>
      </c>
      <c r="J4" s="13">
        <v>0.70833333333333337</v>
      </c>
      <c r="K4" s="2">
        <v>0.69861111111111107</v>
      </c>
      <c r="L4" s="13">
        <v>0.48958333333333331</v>
      </c>
      <c r="M4" s="2">
        <v>0.49305555555555558</v>
      </c>
      <c r="N4" s="15" t="s">
        <v>404</v>
      </c>
      <c r="O4" s="3" t="s">
        <v>402</v>
      </c>
      <c r="P4" s="3">
        <v>680</v>
      </c>
      <c r="Q4" s="9">
        <v>885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43738</v>
      </c>
      <c r="B5" s="3" t="s">
        <v>21</v>
      </c>
      <c r="C5" s="3" t="s">
        <v>34</v>
      </c>
      <c r="D5" s="3" t="s">
        <v>23</v>
      </c>
      <c r="E5" s="5" t="s">
        <v>371</v>
      </c>
      <c r="F5" s="3" t="s">
        <v>25</v>
      </c>
      <c r="G5" s="6">
        <v>71500</v>
      </c>
      <c r="H5" s="3" t="s">
        <v>35</v>
      </c>
      <c r="I5" s="3" t="s">
        <v>36</v>
      </c>
      <c r="J5" s="13">
        <v>0.74652777777777779</v>
      </c>
      <c r="K5" s="2">
        <v>0.7368055555555556</v>
      </c>
      <c r="L5" s="13">
        <v>0.51736111111111105</v>
      </c>
      <c r="M5" s="2">
        <v>0.52222222222222225</v>
      </c>
      <c r="N5" s="3" t="s">
        <v>405</v>
      </c>
      <c r="O5" s="3" t="s">
        <v>403</v>
      </c>
      <c r="P5" s="3">
        <v>564</v>
      </c>
      <c r="Q5" s="9">
        <v>935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43738</v>
      </c>
      <c r="B6" s="3" t="s">
        <v>21</v>
      </c>
      <c r="C6" s="3" t="s">
        <v>37</v>
      </c>
      <c r="D6" s="3" t="s">
        <v>23</v>
      </c>
      <c r="E6" s="5" t="s">
        <v>382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17">
        <v>0.89930555555555547</v>
      </c>
      <c r="K6" s="2">
        <v>0.88750000000000007</v>
      </c>
      <c r="L6" s="17">
        <v>0.72916666666666663</v>
      </c>
      <c r="M6" s="16">
        <v>0.73402777777777783</v>
      </c>
      <c r="N6" s="3" t="s">
        <v>406</v>
      </c>
      <c r="O6" s="15" t="s">
        <v>365</v>
      </c>
      <c r="P6" s="15">
        <v>1009</v>
      </c>
      <c r="Q6" s="9">
        <v>786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43738</v>
      </c>
      <c r="B7" s="15" t="s">
        <v>21</v>
      </c>
      <c r="C7" s="15" t="s">
        <v>66</v>
      </c>
      <c r="D7" s="15" t="s">
        <v>23</v>
      </c>
      <c r="E7" s="5" t="s">
        <v>371</v>
      </c>
      <c r="F7" s="15" t="s">
        <v>25</v>
      </c>
      <c r="G7" s="6">
        <v>71500</v>
      </c>
      <c r="H7" s="15" t="s">
        <v>67</v>
      </c>
      <c r="I7" s="15" t="s">
        <v>68</v>
      </c>
      <c r="J7" s="17">
        <v>0.9375</v>
      </c>
      <c r="K7" s="2">
        <v>0.92638888888888893</v>
      </c>
      <c r="L7" s="17">
        <v>0.76736111111111116</v>
      </c>
      <c r="M7" s="16">
        <v>0.77083333333333337</v>
      </c>
      <c r="N7" s="3" t="s">
        <v>407</v>
      </c>
      <c r="O7" s="3" t="s">
        <v>336</v>
      </c>
      <c r="P7" s="3">
        <v>684</v>
      </c>
      <c r="Q7" s="9">
        <v>929</v>
      </c>
      <c r="R7" s="15">
        <v>0</v>
      </c>
      <c r="S7" s="15">
        <v>0</v>
      </c>
      <c r="T7" s="15">
        <v>0</v>
      </c>
      <c r="U7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2019-09-01T04:01:26Z</dcterms:created>
  <dcterms:modified xsi:type="dcterms:W3CDTF">2019-09-30T20:15:22Z</dcterms:modified>
</cp:coreProperties>
</file>