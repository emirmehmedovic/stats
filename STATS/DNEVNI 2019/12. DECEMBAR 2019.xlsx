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95" windowWidth="18195" windowHeight="11700" firstSheet="9" activeTab="28"/>
  </bookViews>
  <sheets>
    <sheet name="1" sheetId="1" r:id="rId1"/>
    <sheet name="2" sheetId="2" r:id="rId2"/>
    <sheet name="3" sheetId="3" r:id="rId3"/>
    <sheet name="4" sheetId="5" r:id="rId4"/>
    <sheet name="6" sheetId="7" r:id="rId5"/>
    <sheet name="7" sheetId="8" r:id="rId6"/>
    <sheet name="8" sheetId="9" r:id="rId7"/>
    <sheet name="9" sheetId="10" r:id="rId8"/>
    <sheet name="10" sheetId="11" r:id="rId9"/>
    <sheet name="11" sheetId="12" r:id="rId10"/>
    <sheet name="13" sheetId="13" r:id="rId11"/>
    <sheet name="14" sheetId="14" r:id="rId12"/>
    <sheet name="15" sheetId="15" r:id="rId13"/>
    <sheet name="16" sheetId="16" r:id="rId14"/>
    <sheet name="17" sheetId="17" r:id="rId15"/>
    <sheet name="18" sheetId="18" r:id="rId16"/>
    <sheet name="19" sheetId="20" r:id="rId17"/>
    <sheet name="20" sheetId="21" r:id="rId18"/>
    <sheet name="21" sheetId="22" r:id="rId19"/>
    <sheet name="22" sheetId="23" r:id="rId20"/>
    <sheet name="23" sheetId="24" r:id="rId21"/>
    <sheet name="24" sheetId="25" r:id="rId22"/>
    <sheet name="25" sheetId="26" r:id="rId23"/>
    <sheet name="26" sheetId="27" r:id="rId24"/>
    <sheet name="27" sheetId="28" r:id="rId25"/>
    <sheet name="28" sheetId="29" r:id="rId26"/>
    <sheet name="29" sheetId="30" r:id="rId27"/>
    <sheet name="30" sheetId="31" r:id="rId28"/>
    <sheet name="31" sheetId="32" r:id="rId29"/>
  </sheets>
  <calcPr calcId="145621"/>
</workbook>
</file>

<file path=xl/calcChain.xml><?xml version="1.0" encoding="utf-8"?>
<calcChain xmlns="http://schemas.openxmlformats.org/spreadsheetml/2006/main">
  <c r="G6" i="31" l="1"/>
  <c r="G4" i="31"/>
  <c r="G2" i="31"/>
  <c r="E6" i="31"/>
  <c r="E4" i="31"/>
  <c r="A7" i="31"/>
  <c r="A6" i="31"/>
  <c r="A5" i="31"/>
  <c r="A4" i="31"/>
  <c r="A3" i="31"/>
  <c r="G6" i="30" l="1"/>
  <c r="E5" i="30"/>
  <c r="E4" i="30"/>
  <c r="E6" i="30" s="1"/>
  <c r="A3" i="30"/>
  <c r="A4" i="30" s="1"/>
  <c r="A5" i="30" s="1"/>
  <c r="A6" i="30" s="1"/>
  <c r="M5" i="26" l="1"/>
  <c r="G6" i="26" l="1"/>
  <c r="E5" i="26"/>
  <c r="E4" i="26"/>
  <c r="E6" i="26" s="1"/>
  <c r="A3" i="26"/>
  <c r="A4" i="26" s="1"/>
  <c r="A5" i="26" s="1"/>
  <c r="A6" i="26" s="1"/>
  <c r="E5" i="25" l="1"/>
  <c r="B5" i="25"/>
  <c r="E4" i="25"/>
  <c r="A3" i="25"/>
  <c r="A4" i="25" s="1"/>
  <c r="A5" i="25" s="1"/>
  <c r="G6" i="23" l="1"/>
  <c r="E5" i="23"/>
  <c r="E4" i="23"/>
  <c r="E6" i="23" s="1"/>
  <c r="A3" i="23"/>
  <c r="A4" i="23" s="1"/>
  <c r="A5" i="23" s="1"/>
  <c r="A6" i="23" s="1"/>
  <c r="A3" i="21" l="1"/>
  <c r="A4" i="21" s="1"/>
  <c r="A5" i="21" s="1"/>
  <c r="A6" i="21" s="1"/>
  <c r="I7" i="20" l="1"/>
  <c r="H7" i="20"/>
  <c r="G5" i="9" l="1"/>
  <c r="G6" i="18" l="1"/>
  <c r="E5" i="18"/>
  <c r="E4" i="18"/>
  <c r="E6" i="18" s="1"/>
  <c r="A3" i="18"/>
  <c r="A4" i="18" s="1"/>
  <c r="A5" i="18" s="1"/>
  <c r="A6" i="18" s="1"/>
  <c r="E5" i="17" l="1"/>
  <c r="B5" i="17"/>
  <c r="E4" i="17"/>
  <c r="A3" i="17"/>
  <c r="A4" i="17" s="1"/>
  <c r="A5" i="17" s="1"/>
  <c r="B5" i="16" l="1"/>
  <c r="A3" i="16"/>
  <c r="A4" i="16" s="1"/>
  <c r="A5" i="16" s="1"/>
  <c r="G5" i="15" l="1"/>
  <c r="E4" i="15"/>
  <c r="E3" i="15"/>
  <c r="A5" i="15"/>
  <c r="G4" i="15"/>
  <c r="A3" i="15"/>
  <c r="A4" i="15" s="1"/>
  <c r="A3" i="13" l="1"/>
  <c r="A4" i="13" s="1"/>
  <c r="A5" i="13" s="1"/>
  <c r="A6" i="13" s="1"/>
  <c r="E6" i="12" l="1"/>
  <c r="E5" i="12"/>
  <c r="E4" i="12"/>
  <c r="G6" i="12"/>
  <c r="A3" i="12"/>
  <c r="A4" i="12" s="1"/>
  <c r="A5" i="12" s="1"/>
  <c r="A6" i="12" s="1"/>
  <c r="E5" i="11" l="1"/>
  <c r="B5" i="11"/>
  <c r="E4" i="11"/>
  <c r="A3" i="11"/>
  <c r="A4" i="11" s="1"/>
  <c r="A5" i="11" s="1"/>
  <c r="B7" i="10" l="1"/>
  <c r="A7" i="10"/>
  <c r="B6" i="10"/>
  <c r="A6" i="10"/>
  <c r="B5" i="10" l="1"/>
  <c r="A3" i="10"/>
  <c r="A4" i="10" s="1"/>
  <c r="A5" i="10" s="1"/>
  <c r="G4" i="9" l="1"/>
  <c r="A3" i="9"/>
  <c r="A4" i="9" s="1"/>
  <c r="G7" i="7" l="1"/>
  <c r="A7" i="7"/>
  <c r="E6" i="7" l="1"/>
  <c r="G6" i="7"/>
  <c r="A3" i="7"/>
  <c r="A4" i="7" s="1"/>
  <c r="A5" i="7" s="1"/>
  <c r="A6" i="7" s="1"/>
  <c r="G6" i="5" l="1"/>
  <c r="A3" i="5"/>
  <c r="A4" i="5" s="1"/>
  <c r="A5" i="5" s="1"/>
  <c r="A6" i="5" s="1"/>
  <c r="E5" i="3" l="1"/>
  <c r="E4" i="3"/>
  <c r="B5" i="3"/>
  <c r="A3" i="3"/>
  <c r="A4" i="3" s="1"/>
  <c r="A5" i="3" s="1"/>
  <c r="B5" i="2" l="1"/>
  <c r="A3" i="2"/>
  <c r="A4" i="2" s="1"/>
  <c r="A5" i="2" s="1"/>
  <c r="A5" i="1" l="1"/>
  <c r="G4" i="1" l="1"/>
  <c r="E4" i="1"/>
  <c r="A3" i="1"/>
  <c r="A4" i="1" s="1"/>
</calcChain>
</file>

<file path=xl/sharedStrings.xml><?xml version="1.0" encoding="utf-8"?>
<sst xmlns="http://schemas.openxmlformats.org/spreadsheetml/2006/main" count="1903" uniqueCount="359">
  <si>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</si>
  <si>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</si>
  <si>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</si>
  <si>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</si>
  <si>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</si>
  <si>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</si>
  <si>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</si>
  <si>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</si>
  <si>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</si>
  <si>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</si>
  <si>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</si>
  <si>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</si>
  <si>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</si>
  <si>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</si>
  <si>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</si>
  <si>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</si>
  <si>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</si>
  <si>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</si>
  <si>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</si>
  <si>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</si>
  <si>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</si>
  <si>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</si>
  <si>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TZL-MLH-TZL</t>
  </si>
  <si>
    <t>A320</t>
  </si>
  <si>
    <t>HALYR</t>
  </si>
  <si>
    <t>SCHEDULED</t>
  </si>
  <si>
    <t>W64294</t>
  </si>
  <si>
    <t>W64293</t>
  </si>
  <si>
    <t>TZL-GOT-TZL</t>
  </si>
  <si>
    <t>W64296</t>
  </si>
  <si>
    <t>W64295</t>
  </si>
  <si>
    <t>TZL-CGN-TZL</t>
  </si>
  <si>
    <t>W64300</t>
  </si>
  <si>
    <t>W64299</t>
  </si>
  <si>
    <t>HALWF</t>
  </si>
  <si>
    <t>150+3INF</t>
  </si>
  <si>
    <t>180+2INF</t>
  </si>
  <si>
    <t>MIRKO ANZEL</t>
  </si>
  <si>
    <t>BEG-TZL-BEG</t>
  </si>
  <si>
    <t>BE-36</t>
  </si>
  <si>
    <t>T7BEN</t>
  </si>
  <si>
    <t>GP/PRIVATE</t>
  </si>
  <si>
    <t>163+3INF</t>
  </si>
  <si>
    <t>160+3INF</t>
  </si>
  <si>
    <t>173+2INF</t>
  </si>
  <si>
    <t>160+4INF</t>
  </si>
  <si>
    <t>TZL - DTM - TZL</t>
  </si>
  <si>
    <t>W64298</t>
  </si>
  <si>
    <t>W64297</t>
  </si>
  <si>
    <t>TZL- MMX - TZL</t>
  </si>
  <si>
    <t>W64292</t>
  </si>
  <si>
    <t>W64291</t>
  </si>
  <si>
    <t>TZL - FDH - TZL</t>
  </si>
  <si>
    <t>W64616</t>
  </si>
  <si>
    <t>W64615</t>
  </si>
  <si>
    <t>TZL - BLL - TZL</t>
  </si>
  <si>
    <t>W64278</t>
  </si>
  <si>
    <t>W64277</t>
  </si>
  <si>
    <t>175+2INF</t>
  </si>
  <si>
    <t>160+0INF</t>
  </si>
  <si>
    <t>159+0 INF</t>
  </si>
  <si>
    <t>152+2 INF</t>
  </si>
  <si>
    <t>149+2 INF</t>
  </si>
  <si>
    <t>98+0INF</t>
  </si>
  <si>
    <t>118+4INF</t>
  </si>
  <si>
    <t>74+0INF</t>
  </si>
  <si>
    <t>TZL - HHN- TZL</t>
  </si>
  <si>
    <t>TZL- EIN - TZL</t>
  </si>
  <si>
    <t>TZL - FMM - TZL</t>
  </si>
  <si>
    <t>TZL - SXF - TZL</t>
  </si>
  <si>
    <t>HA-LYR</t>
  </si>
  <si>
    <t>HA-LWF</t>
  </si>
  <si>
    <t>W64284</t>
  </si>
  <si>
    <t>W64290</t>
  </si>
  <si>
    <t>W64280</t>
  </si>
  <si>
    <t>W64276</t>
  </si>
  <si>
    <t>W64283</t>
  </si>
  <si>
    <t>W64289</t>
  </si>
  <si>
    <t>W64279</t>
  </si>
  <si>
    <t>W64275</t>
  </si>
  <si>
    <t>178+3 INF</t>
  </si>
  <si>
    <t>158+10 INF</t>
  </si>
  <si>
    <t>170+2 INF</t>
  </si>
  <si>
    <t>168+1 INF</t>
  </si>
  <si>
    <t>160+6 INF</t>
  </si>
  <si>
    <t>157+8 INF</t>
  </si>
  <si>
    <t>123+1 INF</t>
  </si>
  <si>
    <t>TZL-DTM-TZL</t>
  </si>
  <si>
    <t>TZL-MMX-TZL</t>
  </si>
  <si>
    <t>MLH-TZL-MLH</t>
  </si>
  <si>
    <t>GOT-TZL-GOT</t>
  </si>
  <si>
    <t>CGN-TZL-CGN</t>
  </si>
  <si>
    <t>177+3INF</t>
  </si>
  <si>
    <t>144+2INF</t>
  </si>
  <si>
    <t>153+2INF</t>
  </si>
  <si>
    <t>120+2INF</t>
  </si>
  <si>
    <t>170+6INF</t>
  </si>
  <si>
    <t>161+1INF</t>
  </si>
  <si>
    <t>155+4 INF</t>
  </si>
  <si>
    <t>165+2 INF</t>
  </si>
  <si>
    <t>178+2 INF</t>
  </si>
  <si>
    <t>FDH-TZL-FDH</t>
  </si>
  <si>
    <t>BLL-TZL-BLL</t>
  </si>
  <si>
    <t>HALWJ</t>
  </si>
  <si>
    <t>172+1 INF</t>
  </si>
  <si>
    <t>147+0 INF</t>
  </si>
  <si>
    <t>169+1 INF</t>
  </si>
  <si>
    <t>158+2 INF</t>
  </si>
  <si>
    <t>DIV TO BNX</t>
  </si>
  <si>
    <t>164+2INF</t>
  </si>
  <si>
    <t>880+INF</t>
  </si>
  <si>
    <t>162+5INF</t>
  </si>
  <si>
    <t>149+4INF</t>
  </si>
  <si>
    <t>128+4INF</t>
  </si>
  <si>
    <t>BNX-TZL</t>
  </si>
  <si>
    <t>FERRY IN</t>
  </si>
  <si>
    <t>-</t>
  </si>
  <si>
    <t>TZL-HHN-TZL</t>
  </si>
  <si>
    <t>TZL-EIN-TZL</t>
  </si>
  <si>
    <t>TZL-FMM-TZL</t>
  </si>
  <si>
    <t>TZL-SXF-TZL</t>
  </si>
  <si>
    <t>162+7 INF</t>
  </si>
  <si>
    <t>180+7 INF</t>
  </si>
  <si>
    <t>179+4 INF</t>
  </si>
  <si>
    <t>162+4INF</t>
  </si>
  <si>
    <t>171+3INF</t>
  </si>
  <si>
    <t>163+2INF</t>
  </si>
  <si>
    <t>134+1INF</t>
  </si>
  <si>
    <t>SJJ-TZL-SJJ</t>
  </si>
  <si>
    <t>HALYC</t>
  </si>
  <si>
    <t>NONSCHEDULED</t>
  </si>
  <si>
    <t>W62237</t>
  </si>
  <si>
    <t>129+1INF</t>
  </si>
  <si>
    <t>AIR SWISSLION</t>
  </si>
  <si>
    <t>OSMACI-TZL.BEG</t>
  </si>
  <si>
    <t>A109</t>
  </si>
  <si>
    <t>YU-HRD</t>
  </si>
  <si>
    <t>168+4INF</t>
  </si>
  <si>
    <t>155+3INF</t>
  </si>
  <si>
    <t>176+2INF</t>
  </si>
  <si>
    <t>N/A</t>
  </si>
  <si>
    <t>DIV TO BEG</t>
  </si>
  <si>
    <t>DIV TO BUD</t>
  </si>
  <si>
    <t>BUD-TZL</t>
  </si>
  <si>
    <t>W64300A</t>
  </si>
  <si>
    <t>HA-LYC</t>
  </si>
  <si>
    <t>HA-LWJ</t>
  </si>
  <si>
    <t>BEG-TZL</t>
  </si>
  <si>
    <t>167+4INF</t>
  </si>
  <si>
    <t>148+2INF</t>
  </si>
  <si>
    <t>168+0INF</t>
  </si>
  <si>
    <t>150+1INF</t>
  </si>
  <si>
    <t>156+2INF</t>
  </si>
  <si>
    <t>95+2INF</t>
  </si>
  <si>
    <t>111+2INF</t>
  </si>
  <si>
    <t>AVIATION CHARTER ENTERPRISE SUPPORT</t>
  </si>
  <si>
    <t>VIE-TZL-BEG</t>
  </si>
  <si>
    <t>PA34</t>
  </si>
  <si>
    <t>OEFMW</t>
  </si>
  <si>
    <t>GEN AVI</t>
  </si>
  <si>
    <t>3+0INF</t>
  </si>
  <si>
    <t>CREW</t>
  </si>
  <si>
    <t>160+2INF</t>
  </si>
  <si>
    <t>180+12 INF</t>
  </si>
  <si>
    <t>152+4 INF</t>
  </si>
  <si>
    <t>162+4 INF</t>
  </si>
  <si>
    <t>BEG-TZL-VIE</t>
  </si>
  <si>
    <t>169+5INF</t>
  </si>
  <si>
    <t>162+1INF</t>
  </si>
  <si>
    <t>131+3INF</t>
  </si>
  <si>
    <t>167+1INF</t>
  </si>
  <si>
    <t>115+0 INF</t>
  </si>
  <si>
    <t>171+3 INF</t>
  </si>
  <si>
    <t>160+0 INF</t>
  </si>
  <si>
    <t>157+3 INF</t>
  </si>
  <si>
    <t>166+1 INF</t>
  </si>
  <si>
    <t>163+6INF</t>
  </si>
  <si>
    <t>161+4INF</t>
  </si>
  <si>
    <t>167+2INF</t>
  </si>
  <si>
    <t>148+1INF</t>
  </si>
  <si>
    <t>TZL-FDH-TZL</t>
  </si>
  <si>
    <t>TZL-BLL-TZL</t>
  </si>
  <si>
    <t>HALWJ/HALWC</t>
  </si>
  <si>
    <t>HAYC</t>
  </si>
  <si>
    <t>HALWC</t>
  </si>
  <si>
    <t>71500/70.000</t>
  </si>
  <si>
    <t>152+3INF</t>
  </si>
  <si>
    <t>127+2INF</t>
  </si>
  <si>
    <t>164+3INF</t>
  </si>
  <si>
    <t>149+0INF</t>
  </si>
  <si>
    <t>119+1INF</t>
  </si>
  <si>
    <t>180+5INF</t>
  </si>
  <si>
    <t>163+0INF</t>
  </si>
  <si>
    <t>83+2INF</t>
  </si>
  <si>
    <t>169+2INF</t>
  </si>
  <si>
    <t>173+6 INF</t>
  </si>
  <si>
    <t>175+3 INF</t>
  </si>
  <si>
    <t>161+4 INF</t>
  </si>
  <si>
    <t>170+4INF</t>
  </si>
  <si>
    <t>164+9INF</t>
  </si>
  <si>
    <t>166+4 INF</t>
  </si>
  <si>
    <t>174+4 INF</t>
  </si>
  <si>
    <t>167+2 INF</t>
  </si>
  <si>
    <t>172+5INF</t>
  </si>
  <si>
    <t>152+2INF</t>
  </si>
  <si>
    <t>FLYBOSNIA</t>
  </si>
  <si>
    <t>RUH-TZL</t>
  </si>
  <si>
    <t>A319</t>
  </si>
  <si>
    <t>E7-FBA</t>
  </si>
  <si>
    <t>TEHNICAL</t>
  </si>
  <si>
    <t>FBS102</t>
  </si>
  <si>
    <t>ROP</t>
  </si>
  <si>
    <t>17+0INF</t>
  </si>
  <si>
    <t>179+4INF</t>
  </si>
  <si>
    <t>HA-LWC</t>
  </si>
  <si>
    <t>151+4INF</t>
  </si>
  <si>
    <t>130+2INF</t>
  </si>
  <si>
    <t>FBS107</t>
  </si>
  <si>
    <t>T7-BEN</t>
  </si>
  <si>
    <t>179+2INF</t>
  </si>
  <si>
    <t>180+1INF</t>
  </si>
  <si>
    <t>101+2INF</t>
  </si>
  <si>
    <t>169+6 INF</t>
  </si>
  <si>
    <t>TECHNICAL</t>
  </si>
  <si>
    <t>TZL-OMO</t>
  </si>
  <si>
    <t>116+1 INF</t>
  </si>
  <si>
    <t>146+3 INF</t>
  </si>
  <si>
    <t>139+4INF</t>
  </si>
  <si>
    <t>107+2INF</t>
  </si>
  <si>
    <t>129+0INF</t>
  </si>
  <si>
    <t>175+8INF</t>
  </si>
  <si>
    <t>12:!3</t>
  </si>
  <si>
    <t>173+11INF</t>
  </si>
  <si>
    <t>174+4INF</t>
  </si>
  <si>
    <t>175+3INF</t>
  </si>
  <si>
    <t>85+0INF</t>
  </si>
  <si>
    <t>154+1INF</t>
  </si>
  <si>
    <t>60+0INF</t>
  </si>
  <si>
    <t>174+2INF</t>
  </si>
  <si>
    <t>177+4INF</t>
  </si>
  <si>
    <t>125+1 INF</t>
  </si>
  <si>
    <t>155+1 INF</t>
  </si>
  <si>
    <t>140+2INF</t>
  </si>
  <si>
    <t>174+5INF</t>
  </si>
  <si>
    <t>178+2INF</t>
  </si>
  <si>
    <t>170+3INF</t>
  </si>
  <si>
    <t>134+9 INF</t>
  </si>
  <si>
    <t>113+3 INF</t>
  </si>
  <si>
    <t>173+3 INF</t>
  </si>
  <si>
    <t>129+2 INF</t>
  </si>
  <si>
    <t>EUROSYSTEM TRADE WARENHANDLES</t>
  </si>
  <si>
    <t>VIE-TZL-VIE</t>
  </si>
  <si>
    <t>C525</t>
  </si>
  <si>
    <t>OE-FLH</t>
  </si>
  <si>
    <t>NON-SCHEDULED/GP</t>
  </si>
  <si>
    <t>174+1INF</t>
  </si>
  <si>
    <t>85+1INF</t>
  </si>
  <si>
    <t>96+3INF</t>
  </si>
  <si>
    <t>179+3INF</t>
  </si>
  <si>
    <t>147+3INF</t>
  </si>
  <si>
    <t>114+1INF</t>
  </si>
  <si>
    <t>173+4INF</t>
  </si>
  <si>
    <t>172+2INF</t>
  </si>
  <si>
    <t>137+1INF</t>
  </si>
  <si>
    <t>129+2INF</t>
  </si>
  <si>
    <t>180+3 INF</t>
  </si>
  <si>
    <t>175+2 INF</t>
  </si>
  <si>
    <t>119+0 INF</t>
  </si>
  <si>
    <t>154+3 INF</t>
  </si>
  <si>
    <t>174+2 INF</t>
  </si>
  <si>
    <t>151+3INF</t>
  </si>
  <si>
    <t>154+0INF</t>
  </si>
  <si>
    <t>158+1INF</t>
  </si>
  <si>
    <t>FLYDUBAI</t>
  </si>
  <si>
    <t>DXB-TZL-SJJ</t>
  </si>
  <si>
    <t>B737</t>
  </si>
  <si>
    <t>NON SCHEDULED</t>
  </si>
  <si>
    <t>DIVERTED</t>
  </si>
  <si>
    <t>A6FGI</t>
  </si>
  <si>
    <t>FZ761</t>
  </si>
  <si>
    <t>FZ762</t>
  </si>
  <si>
    <t>76+3INF</t>
  </si>
  <si>
    <t>173++INF</t>
  </si>
  <si>
    <t>172+3INF</t>
  </si>
  <si>
    <t>170+1INF</t>
  </si>
  <si>
    <t>157+1INF</t>
  </si>
  <si>
    <t>154+9INF</t>
  </si>
  <si>
    <t>147+2INF</t>
  </si>
  <si>
    <t>180+2 INF</t>
  </si>
  <si>
    <t>173+1 INF</t>
  </si>
  <si>
    <t>143+2 INF</t>
  </si>
  <si>
    <t>176+4INF</t>
  </si>
  <si>
    <t>156+1INF</t>
  </si>
  <si>
    <t>172+1INF</t>
  </si>
  <si>
    <t>174+3INF</t>
  </si>
  <si>
    <t>149+4 INF</t>
  </si>
  <si>
    <t>132+3 INF</t>
  </si>
  <si>
    <t>177+3 INF</t>
  </si>
  <si>
    <t>173+2 INF</t>
  </si>
  <si>
    <t>151+8 INF</t>
  </si>
  <si>
    <t>138+4 INF</t>
  </si>
  <si>
    <t>178+3INF</t>
  </si>
  <si>
    <t>127+1INF</t>
  </si>
  <si>
    <t>156+6INF</t>
  </si>
  <si>
    <t>178+1INF</t>
  </si>
  <si>
    <t>176+1INF</t>
  </si>
  <si>
    <t>156+4INF</t>
  </si>
  <si>
    <t>166+1INF</t>
  </si>
  <si>
    <t>166+5INF</t>
  </si>
  <si>
    <t>144+4 INF</t>
  </si>
  <si>
    <t>165+4 INF</t>
  </si>
  <si>
    <t>132+1 INF</t>
  </si>
  <si>
    <t>172+3 INF</t>
  </si>
  <si>
    <t>177+4 INF</t>
  </si>
  <si>
    <t>160+2 INF</t>
  </si>
  <si>
    <t>171+2 INF</t>
  </si>
  <si>
    <t>178+0INF</t>
  </si>
  <si>
    <t>173+3INF</t>
  </si>
  <si>
    <t>169+7 INF</t>
  </si>
  <si>
    <t>170+4 INF</t>
  </si>
  <si>
    <t>162+1 INF</t>
  </si>
  <si>
    <t>172+0INF</t>
  </si>
  <si>
    <t>HALPL</t>
  </si>
  <si>
    <t>FERRY IN/TECH</t>
  </si>
  <si>
    <t>W6805</t>
  </si>
  <si>
    <t>159+7 INF</t>
  </si>
  <si>
    <t>161+1 INF</t>
  </si>
  <si>
    <t>168+2 INF</t>
  </si>
  <si>
    <t>167+3 INF</t>
  </si>
  <si>
    <t>169+0INF</t>
  </si>
  <si>
    <t>164+1INF</t>
  </si>
  <si>
    <t>VULKAN AIR</t>
  </si>
  <si>
    <t>AN26B</t>
  </si>
  <si>
    <t>URCQD</t>
  </si>
  <si>
    <t>VKA102</t>
  </si>
  <si>
    <t>160+2ING</t>
  </si>
  <si>
    <t>172+4INF</t>
  </si>
  <si>
    <t>160+1INF</t>
  </si>
  <si>
    <t>173+1INF</t>
  </si>
  <si>
    <t>170+2INF</t>
  </si>
  <si>
    <t>169+4INF</t>
  </si>
  <si>
    <t>169+2 INF</t>
  </si>
  <si>
    <t>162+2 INF</t>
  </si>
  <si>
    <t>166+3INF</t>
  </si>
  <si>
    <t>167+10INF</t>
  </si>
  <si>
    <t>171+2INF</t>
  </si>
  <si>
    <t>177+0INF</t>
  </si>
  <si>
    <t>172+4 INF</t>
  </si>
  <si>
    <t>164+3 INF</t>
  </si>
  <si>
    <t>178+1 INF</t>
  </si>
  <si>
    <t>173+7INF</t>
  </si>
  <si>
    <t>174+0INF</t>
  </si>
  <si>
    <t>116+2INF</t>
  </si>
  <si>
    <t>142+4INF</t>
  </si>
  <si>
    <t>31.12.209</t>
  </si>
  <si>
    <t>156+4 INF</t>
  </si>
  <si>
    <t>176+1 INF</t>
  </si>
  <si>
    <t>165+5 INF</t>
  </si>
  <si>
    <t>164+2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</si>
</sst>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38"/>
      <scheme val="minor"/>
    </font>
    <font>
      <sz val="10"/>
      <name val="Garamond"/>
      <family val="1"/>
      <charset val="238"/>
    </font>
    <font>
      <sz val="10"/>
      <name val="Arial"/>
      <family val="2"/>
      <charset val="238"/>
    </font>
    <font>
      <b/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8"/>
      <name val="Garamond"/>
      <family val="1"/>
      <charset val="238"/>
    </font>
    <font>
      <sz val="8"/>
      <color theme="1"/>
      <name val="Garamond"/>
      <family val="1"/>
      <charset val="238"/>
    </font>
    <font>
      <sz val="11"/>
      <color theme="1"/>
      <name val="Garamond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2">
    <xf numFmtId="0" fontId="0" fillId="0" borderId="0" xfId="0"/>
    <xf numFmtId="20" fontId="1" fillId="0" borderId="0" xfId="1" applyNumberFormat="1" applyFont="1" applyFill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14" fontId="1" fillId="0" borderId="0" xfId="2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20" fontId="3" fillId="0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20" fontId="5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20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6" fillId="0" borderId="0" xfId="1" applyFont="1" applyFill="1" applyAlignment="1">
      <alignment horizontal="center" vertical="center" wrapText="1"/>
    </xf>
    <xf numFmtId="20" fontId="5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20" fontId="1" fillId="2" borderId="0" xfId="1" applyNumberFormat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20" fontId="3" fillId="0" borderId="0" xfId="0" applyNumberFormat="1" applyFont="1" applyAlignment="1">
      <alignment horizontal="center" vertical="center"/>
    </xf>
  </cellXfs>
  <cellStyles count="3">
    <cellStyle name="Normal" xfId="0" builtinId="0"/>
    <cellStyle name="Normal 2 2" xfId="2"/>
    <cellStyle name="Normal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G5" sqref="G5"/>
    </sheetView>
  </sheetViews>
  <sheetFormatPr defaultRowHeight="15" x14ac:dyDescent="0.25"/>
  <cols>
    <col min="1" max="1" width="7.85546875" bestFit="1" customWidth="1"/>
    <col min="3" max="3" width="10.7109375" customWidth="1"/>
    <col min="4" max="4" width="5.7109375" bestFit="1" customWidth="1"/>
    <col min="5" max="5" width="7.42578125" bestFit="1" customWidth="1"/>
    <col min="6" max="6" width="12.140625" bestFit="1" customWidth="1"/>
    <col min="7" max="7" width="9.7109375" bestFit="1" customWidth="1"/>
    <col min="14" max="14" width="17.42578125" customWidth="1"/>
    <col min="15" max="15" width="17.5703125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3">
        <v>43800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5">
        <v>71500</v>
      </c>
      <c r="H2" s="4" t="s">
        <v>26</v>
      </c>
      <c r="I2" s="4" t="s">
        <v>27</v>
      </c>
      <c r="J2" s="6">
        <v>0.65972222222222221</v>
      </c>
      <c r="K2" s="1">
        <v>0.6430555555555556</v>
      </c>
      <c r="L2" s="6">
        <v>0.49305555555555558</v>
      </c>
      <c r="M2" s="7">
        <v>0.4916666666666667</v>
      </c>
      <c r="N2" s="2" t="s">
        <v>42</v>
      </c>
      <c r="O2" s="8" t="s">
        <v>35</v>
      </c>
      <c r="P2" s="8">
        <v>1033</v>
      </c>
      <c r="Q2" s="8">
        <v>633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43800</v>
      </c>
      <c r="B3" s="4" t="s">
        <v>21</v>
      </c>
      <c r="C3" s="4" t="s">
        <v>28</v>
      </c>
      <c r="D3" s="4" t="s">
        <v>23</v>
      </c>
      <c r="E3" s="4" t="s">
        <v>34</v>
      </c>
      <c r="F3" s="4" t="s">
        <v>25</v>
      </c>
      <c r="G3" s="5">
        <v>71500</v>
      </c>
      <c r="H3" s="4" t="s">
        <v>29</v>
      </c>
      <c r="I3" s="4" t="s">
        <v>30</v>
      </c>
      <c r="J3" s="6">
        <v>0.77083333333333337</v>
      </c>
      <c r="K3" s="1">
        <v>0.76597222222222217</v>
      </c>
      <c r="L3" s="6">
        <v>0.53819444444444442</v>
      </c>
      <c r="M3" s="7">
        <v>0.5444444444444444</v>
      </c>
      <c r="N3" s="2" t="s">
        <v>43</v>
      </c>
      <c r="O3" s="8" t="s">
        <v>36</v>
      </c>
      <c r="P3" s="4">
        <v>1107</v>
      </c>
      <c r="Q3" s="8">
        <v>1483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43800</v>
      </c>
      <c r="B4" s="4" t="s">
        <v>21</v>
      </c>
      <c r="C4" s="4" t="s">
        <v>31</v>
      </c>
      <c r="D4" s="2" t="s">
        <v>23</v>
      </c>
      <c r="E4" s="4" t="str">
        <f>E2</f>
        <v>HALYR</v>
      </c>
      <c r="F4" s="2" t="s">
        <v>25</v>
      </c>
      <c r="G4" s="5">
        <f>G2</f>
        <v>71500</v>
      </c>
      <c r="H4" s="2" t="s">
        <v>32</v>
      </c>
      <c r="I4" s="2" t="s">
        <v>33</v>
      </c>
      <c r="J4" s="9">
        <v>0.86805555555555547</v>
      </c>
      <c r="K4" s="1">
        <v>0.8520833333333333</v>
      </c>
      <c r="L4" s="9">
        <v>0.68055555555555547</v>
      </c>
      <c r="M4" s="1">
        <v>0.6743055555555556</v>
      </c>
      <c r="N4" s="2" t="s">
        <v>44</v>
      </c>
      <c r="O4" s="2" t="s">
        <v>45</v>
      </c>
      <c r="P4" s="2">
        <v>1027</v>
      </c>
      <c r="Q4" s="8">
        <v>755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>A4</f>
        <v>43800</v>
      </c>
      <c r="B5" s="2" t="s">
        <v>37</v>
      </c>
      <c r="C5" s="2" t="s">
        <v>38</v>
      </c>
      <c r="D5" s="2" t="s">
        <v>39</v>
      </c>
      <c r="E5" s="4" t="s">
        <v>40</v>
      </c>
      <c r="F5" s="2" t="s">
        <v>41</v>
      </c>
      <c r="G5" s="5">
        <v>990</v>
      </c>
      <c r="H5" s="2" t="s">
        <v>40</v>
      </c>
      <c r="I5" s="2" t="s">
        <v>40</v>
      </c>
      <c r="J5" s="9">
        <v>0.45833333333333331</v>
      </c>
      <c r="K5" s="1">
        <v>0.47291666666666665</v>
      </c>
      <c r="L5" s="9">
        <v>0.54166666666666663</v>
      </c>
      <c r="M5" s="1">
        <v>0.58611111111111114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/>
      <c r="B6" s="2"/>
      <c r="C6" s="2"/>
      <c r="D6" s="2"/>
      <c r="E6" s="4"/>
      <c r="F6" s="2"/>
      <c r="G6" s="5"/>
      <c r="H6" s="4"/>
      <c r="I6" s="4"/>
      <c r="J6" s="11"/>
      <c r="K6" s="1"/>
      <c r="L6" s="11"/>
      <c r="M6" s="12"/>
      <c r="N6" s="2"/>
      <c r="O6" s="10"/>
      <c r="P6" s="10"/>
      <c r="Q6" s="8"/>
      <c r="R6" s="2"/>
      <c r="S6" s="2"/>
      <c r="T6" s="2"/>
      <c r="U6" s="2"/>
    </row>
    <row r="7" spans="1:21" x14ac:dyDescent="0.25">
      <c r="A7" s="3"/>
      <c r="B7" s="10"/>
      <c r="C7" s="10"/>
      <c r="D7" s="10"/>
      <c r="E7" s="4"/>
      <c r="F7" s="10"/>
      <c r="G7" s="5"/>
      <c r="H7" s="10"/>
      <c r="I7" s="10"/>
      <c r="J7" s="11"/>
      <c r="K7" s="1"/>
      <c r="L7" s="11"/>
      <c r="M7" s="12"/>
      <c r="N7" s="2"/>
      <c r="O7" s="2"/>
      <c r="P7" s="2"/>
      <c r="Q7" s="8"/>
      <c r="R7" s="10"/>
      <c r="S7" s="10"/>
      <c r="T7" s="10"/>
      <c r="U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H34" sqref="H34"/>
    </sheetView>
  </sheetViews>
  <sheetFormatPr defaultRowHeight="15" x14ac:dyDescent="0.25"/>
  <cols>
    <col min="1" max="1" width="7.85546875" bestFit="1" customWidth="1"/>
    <col min="3" max="3" width="15" bestFit="1" customWidth="1"/>
    <col min="4" max="4" width="5.7109375" bestFit="1" customWidth="1"/>
    <col min="5" max="5" width="7.42578125" bestFit="1" customWidth="1"/>
    <col min="6" max="6" width="12.140625" bestFit="1" customWidth="1"/>
    <col min="7" max="7" width="9.7109375" bestFit="1" customWidth="1"/>
    <col min="14" max="14" width="17.42578125" customWidth="1"/>
    <col min="15" max="15" width="17.5703125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3">
        <v>43801</v>
      </c>
      <c r="B2" s="4" t="s">
        <v>21</v>
      </c>
      <c r="C2" s="10" t="s">
        <v>46</v>
      </c>
      <c r="D2" s="10" t="s">
        <v>23</v>
      </c>
      <c r="E2" s="10" t="s">
        <v>34</v>
      </c>
      <c r="F2" s="4" t="s">
        <v>25</v>
      </c>
      <c r="G2" s="13">
        <v>71500</v>
      </c>
      <c r="H2" s="10" t="s">
        <v>47</v>
      </c>
      <c r="I2" s="10" t="s">
        <v>48</v>
      </c>
      <c r="J2" s="11">
        <v>0.46180555555555558</v>
      </c>
      <c r="K2" s="12">
        <v>0.4597222222222222</v>
      </c>
      <c r="L2" s="11">
        <v>0.25694444444444448</v>
      </c>
      <c r="M2" s="12">
        <v>0.27916666666666667</v>
      </c>
      <c r="N2" s="10" t="s">
        <v>60</v>
      </c>
      <c r="O2" s="10" t="s">
        <v>58</v>
      </c>
      <c r="P2" s="10">
        <v>693</v>
      </c>
      <c r="Q2" s="10">
        <v>817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3">
        <f>A2</f>
        <v>43801</v>
      </c>
      <c r="B3" s="4" t="s">
        <v>21</v>
      </c>
      <c r="C3" s="10" t="s">
        <v>49</v>
      </c>
      <c r="D3" s="10" t="s">
        <v>23</v>
      </c>
      <c r="E3" s="10" t="s">
        <v>24</v>
      </c>
      <c r="F3" s="4" t="s">
        <v>25</v>
      </c>
      <c r="G3" s="13">
        <v>71500</v>
      </c>
      <c r="H3" s="10" t="s">
        <v>50</v>
      </c>
      <c r="I3" s="10" t="s">
        <v>51</v>
      </c>
      <c r="J3" s="11">
        <v>0.50694444444444442</v>
      </c>
      <c r="K3" s="12">
        <v>0.49444444444444446</v>
      </c>
      <c r="L3" s="11">
        <v>0.30208333333333331</v>
      </c>
      <c r="M3" s="12">
        <v>0.30694444444444441</v>
      </c>
      <c r="N3" s="10" t="s">
        <v>61</v>
      </c>
      <c r="O3" s="10" t="s">
        <v>59</v>
      </c>
      <c r="P3" s="10">
        <v>703</v>
      </c>
      <c r="Q3" s="10">
        <v>617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3">
        <f>A3</f>
        <v>43801</v>
      </c>
      <c r="B4" s="4" t="s">
        <v>21</v>
      </c>
      <c r="C4" s="10" t="s">
        <v>52</v>
      </c>
      <c r="D4" s="10" t="s">
        <v>23</v>
      </c>
      <c r="E4" s="10" t="s">
        <v>24</v>
      </c>
      <c r="F4" s="4" t="s">
        <v>25</v>
      </c>
      <c r="G4" s="13">
        <v>71500</v>
      </c>
      <c r="H4" s="10" t="s">
        <v>53</v>
      </c>
      <c r="I4" s="10" t="s">
        <v>54</v>
      </c>
      <c r="J4" s="11">
        <v>0.68055555555555547</v>
      </c>
      <c r="K4" s="12">
        <v>0.66527777777777775</v>
      </c>
      <c r="L4" s="11">
        <v>0.52777777777777779</v>
      </c>
      <c r="M4" s="12">
        <v>0.52708333333333335</v>
      </c>
      <c r="N4" s="10" t="s">
        <v>63</v>
      </c>
      <c r="O4" s="10" t="s">
        <v>62</v>
      </c>
      <c r="P4" s="10">
        <v>419</v>
      </c>
      <c r="Q4" s="10">
        <v>575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3">
        <f>A4</f>
        <v>43801</v>
      </c>
      <c r="B5" s="4" t="str">
        <f>B4</f>
        <v>WIZZAIR</v>
      </c>
      <c r="C5" s="10" t="s">
        <v>55</v>
      </c>
      <c r="D5" s="10" t="s">
        <v>23</v>
      </c>
      <c r="E5" s="10" t="s">
        <v>34</v>
      </c>
      <c r="F5" s="4" t="s">
        <v>25</v>
      </c>
      <c r="G5" s="13">
        <v>71500</v>
      </c>
      <c r="H5" s="10" t="s">
        <v>56</v>
      </c>
      <c r="I5" s="10" t="s">
        <v>57</v>
      </c>
      <c r="J5" s="11">
        <v>0.91319444444444453</v>
      </c>
      <c r="K5" s="12">
        <v>0.89513888888888893</v>
      </c>
      <c r="L5" s="11">
        <v>0.69097222222222221</v>
      </c>
      <c r="M5" s="12">
        <v>0.6875</v>
      </c>
      <c r="N5" s="10" t="s">
        <v>65</v>
      </c>
      <c r="O5" s="10" t="s">
        <v>64</v>
      </c>
      <c r="P5" s="10">
        <v>336</v>
      </c>
      <c r="Q5" s="10">
        <v>367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5">
      <c r="A6" s="3"/>
      <c r="B6" s="2"/>
      <c r="C6" s="2"/>
      <c r="D6" s="2"/>
      <c r="E6" s="4"/>
      <c r="F6" s="2"/>
      <c r="G6" s="5"/>
      <c r="H6" s="4"/>
      <c r="I6" s="4"/>
      <c r="J6" s="11"/>
      <c r="K6" s="1"/>
      <c r="L6" s="11"/>
      <c r="M6" s="12"/>
      <c r="N6" s="2"/>
      <c r="O6" s="10"/>
      <c r="P6" s="10"/>
      <c r="Q6" s="8"/>
      <c r="R6" s="2"/>
      <c r="S6" s="2"/>
      <c r="T6" s="2"/>
      <c r="U6" s="2"/>
    </row>
    <row r="7" spans="1:21" x14ac:dyDescent="0.25">
      <c r="A7" s="3"/>
      <c r="B7" s="10"/>
      <c r="C7" s="10"/>
      <c r="D7" s="10"/>
      <c r="E7" s="4"/>
      <c r="F7" s="10"/>
      <c r="G7" s="5"/>
      <c r="H7" s="10"/>
      <c r="I7" s="10"/>
      <c r="J7" s="11"/>
      <c r="K7" s="1"/>
      <c r="L7" s="11"/>
      <c r="M7" s="12"/>
      <c r="N7" s="2"/>
      <c r="O7" s="2"/>
      <c r="P7" s="2"/>
      <c r="Q7" s="8"/>
      <c r="R7" s="10"/>
      <c r="S7" s="10"/>
      <c r="T7" s="10"/>
      <c r="U7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Q39" sqref="Q39"/>
    </sheetView>
  </sheetViews>
  <sheetFormatPr defaultRowHeight="15" x14ac:dyDescent="0.25"/>
  <cols>
    <col min="1" max="1" width="7.85546875" bestFit="1" customWidth="1"/>
    <col min="3" max="3" width="15" bestFit="1" customWidth="1"/>
    <col min="4" max="4" width="5.7109375" bestFit="1" customWidth="1"/>
    <col min="5" max="5" width="7.42578125" bestFit="1" customWidth="1"/>
    <col min="6" max="6" width="12.140625" bestFit="1" customWidth="1"/>
    <col min="7" max="7" width="9.7109375" bestFit="1" customWidth="1"/>
    <col min="10" max="10" width="11" bestFit="1" customWidth="1"/>
    <col min="14" max="14" width="17.42578125" customWidth="1"/>
    <col min="15" max="15" width="17.5703125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3">
        <v>43802</v>
      </c>
      <c r="B2" s="4" t="s">
        <v>21</v>
      </c>
      <c r="C2" s="10" t="s">
        <v>66</v>
      </c>
      <c r="D2" s="10" t="s">
        <v>23</v>
      </c>
      <c r="E2" s="10" t="s">
        <v>70</v>
      </c>
      <c r="F2" s="4" t="s">
        <v>25</v>
      </c>
      <c r="G2" s="13">
        <v>71500</v>
      </c>
      <c r="H2" s="10" t="s">
        <v>72</v>
      </c>
      <c r="I2" s="10" t="s">
        <v>76</v>
      </c>
      <c r="J2" s="11">
        <v>0.50694444444444442</v>
      </c>
      <c r="K2" s="12">
        <v>0.53055555555555556</v>
      </c>
      <c r="L2" s="11">
        <v>0.32291666666666669</v>
      </c>
      <c r="M2" s="12">
        <v>0.35347222222222219</v>
      </c>
      <c r="N2" s="10" t="s">
        <v>81</v>
      </c>
      <c r="O2" s="10" t="s">
        <v>80</v>
      </c>
      <c r="P2" s="10">
        <v>921</v>
      </c>
      <c r="Q2" s="10">
        <v>757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3">
        <f>A2</f>
        <v>43802</v>
      </c>
      <c r="B3" s="4" t="s">
        <v>21</v>
      </c>
      <c r="C3" s="10" t="s">
        <v>67</v>
      </c>
      <c r="D3" s="10" t="s">
        <v>23</v>
      </c>
      <c r="E3" s="10" t="s">
        <v>71</v>
      </c>
      <c r="F3" s="4" t="s">
        <v>25</v>
      </c>
      <c r="G3" s="13">
        <v>71500</v>
      </c>
      <c r="H3" s="10" t="s">
        <v>73</v>
      </c>
      <c r="I3" s="10" t="s">
        <v>77</v>
      </c>
      <c r="J3" s="11">
        <v>0.72916666666666663</v>
      </c>
      <c r="K3" s="12">
        <v>0.69027777777777777</v>
      </c>
      <c r="L3" s="11">
        <v>0.51388888888888895</v>
      </c>
      <c r="M3" s="12">
        <v>0.54236111111111118</v>
      </c>
      <c r="N3" s="10" t="s">
        <v>82</v>
      </c>
      <c r="O3" s="10" t="s">
        <v>82</v>
      </c>
      <c r="P3" s="10">
        <v>625</v>
      </c>
      <c r="Q3" s="10">
        <v>625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3">
        <f>A3</f>
        <v>43802</v>
      </c>
      <c r="B4" s="4" t="s">
        <v>21</v>
      </c>
      <c r="C4" s="10" t="s">
        <v>68</v>
      </c>
      <c r="D4" s="10" t="s">
        <v>23</v>
      </c>
      <c r="E4" s="10" t="str">
        <f>E2</f>
        <v>HA-LYR</v>
      </c>
      <c r="F4" s="4" t="s">
        <v>25</v>
      </c>
      <c r="G4" s="13">
        <v>71500</v>
      </c>
      <c r="H4" s="10" t="s">
        <v>74</v>
      </c>
      <c r="I4" s="10" t="s">
        <v>78</v>
      </c>
      <c r="J4" s="11">
        <v>0.68402777777777779</v>
      </c>
      <c r="K4" s="12">
        <v>0.73333333333333339</v>
      </c>
      <c r="L4" s="11">
        <v>0.52777777777777779</v>
      </c>
      <c r="M4" s="12">
        <v>0.55902777777777779</v>
      </c>
      <c r="N4" s="10" t="s">
        <v>85</v>
      </c>
      <c r="O4" s="10" t="s">
        <v>83</v>
      </c>
      <c r="P4" s="10">
        <v>722</v>
      </c>
      <c r="Q4" s="10">
        <v>750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3">
        <f>A4</f>
        <v>43802</v>
      </c>
      <c r="B5" s="4" t="str">
        <f>B4</f>
        <v>WIZZAIR</v>
      </c>
      <c r="C5" s="10" t="s">
        <v>69</v>
      </c>
      <c r="D5" s="10" t="s">
        <v>23</v>
      </c>
      <c r="E5" s="10" t="str">
        <f>E3</f>
        <v>HA-LWF</v>
      </c>
      <c r="F5" s="4" t="s">
        <v>25</v>
      </c>
      <c r="G5" s="13">
        <v>71500</v>
      </c>
      <c r="H5" s="10" t="s">
        <v>75</v>
      </c>
      <c r="I5" s="10" t="s">
        <v>79</v>
      </c>
      <c r="J5" s="11">
        <v>0.94444444444444453</v>
      </c>
      <c r="K5" s="12">
        <v>0.9458333333333333</v>
      </c>
      <c r="L5" s="11">
        <v>0.77430555555555547</v>
      </c>
      <c r="M5" s="12">
        <v>0.78055555555555556</v>
      </c>
      <c r="N5" s="10" t="s">
        <v>86</v>
      </c>
      <c r="O5" s="10" t="s">
        <v>84</v>
      </c>
      <c r="P5" s="10">
        <v>441</v>
      </c>
      <c r="Q5" s="10">
        <v>556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5">
      <c r="A6" s="3"/>
      <c r="B6" s="2"/>
      <c r="C6" s="2"/>
      <c r="D6" s="2"/>
      <c r="E6" s="4"/>
      <c r="F6" s="2"/>
      <c r="G6" s="5"/>
      <c r="H6" s="4"/>
      <c r="I6" s="4"/>
      <c r="J6" s="11"/>
      <c r="K6" s="1"/>
      <c r="L6" s="11"/>
      <c r="M6" s="12"/>
      <c r="N6" s="2"/>
      <c r="O6" s="10"/>
      <c r="P6" s="10"/>
      <c r="Q6" s="8"/>
      <c r="R6" s="2"/>
      <c r="S6" s="2"/>
      <c r="T6" s="2"/>
      <c r="U6" s="2"/>
    </row>
    <row r="7" spans="1:21" x14ac:dyDescent="0.25">
      <c r="A7" s="3"/>
      <c r="B7" s="10"/>
      <c r="C7" s="10"/>
      <c r="D7" s="10"/>
      <c r="E7" s="4"/>
      <c r="F7" s="10"/>
      <c r="G7" s="5"/>
      <c r="H7" s="10"/>
      <c r="I7" s="10"/>
      <c r="J7" s="11"/>
      <c r="K7" s="1"/>
      <c r="L7" s="11"/>
      <c r="M7" s="12"/>
      <c r="N7" s="2"/>
      <c r="O7" s="2"/>
      <c r="P7" s="2"/>
      <c r="Q7" s="8"/>
      <c r="R7" s="10"/>
      <c r="S7" s="10"/>
      <c r="T7" s="10"/>
      <c r="U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L6" sqref="L6"/>
    </sheetView>
  </sheetViews>
  <sheetFormatPr defaultRowHeight="15" x14ac:dyDescent="0.25"/>
  <cols>
    <col min="4" max="4" width="5.710937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">
        <v>43803</v>
      </c>
      <c r="B2" s="4" t="s">
        <v>21</v>
      </c>
      <c r="C2" s="4" t="s">
        <v>87</v>
      </c>
      <c r="D2" s="4" t="s">
        <v>23</v>
      </c>
      <c r="E2" s="4" t="s">
        <v>24</v>
      </c>
      <c r="F2" s="4" t="s">
        <v>25</v>
      </c>
      <c r="G2" s="5">
        <v>71500</v>
      </c>
      <c r="H2" s="4" t="s">
        <v>47</v>
      </c>
      <c r="I2" s="4" t="s">
        <v>48</v>
      </c>
      <c r="J2" s="6">
        <v>0.46180555555555558</v>
      </c>
      <c r="K2" s="7">
        <v>0.46249999999999997</v>
      </c>
      <c r="L2" s="6">
        <v>0.25694444444444448</v>
      </c>
      <c r="M2" s="7">
        <v>0.25694444444444448</v>
      </c>
      <c r="N2" s="2" t="s">
        <v>94</v>
      </c>
      <c r="O2" s="8" t="s">
        <v>92</v>
      </c>
      <c r="P2" s="8">
        <v>680</v>
      </c>
      <c r="Q2" s="8">
        <v>747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43803</v>
      </c>
      <c r="B3" s="4" t="s">
        <v>21</v>
      </c>
      <c r="C3" s="4" t="s">
        <v>88</v>
      </c>
      <c r="D3" s="4" t="s">
        <v>23</v>
      </c>
      <c r="E3" s="4" t="s">
        <v>34</v>
      </c>
      <c r="F3" s="4" t="s">
        <v>25</v>
      </c>
      <c r="G3" s="5">
        <v>71500</v>
      </c>
      <c r="H3" s="4" t="s">
        <v>50</v>
      </c>
      <c r="I3" s="4" t="s">
        <v>51</v>
      </c>
      <c r="J3" s="6">
        <v>0.50694444444444442</v>
      </c>
      <c r="K3" s="7">
        <v>0.50347222222222221</v>
      </c>
      <c r="L3" s="6">
        <v>0.30208333333333331</v>
      </c>
      <c r="M3" s="7">
        <v>0.30277777777777776</v>
      </c>
      <c r="N3" s="2" t="s">
        <v>95</v>
      </c>
      <c r="O3" s="8" t="s">
        <v>93</v>
      </c>
      <c r="P3" s="4">
        <v>550</v>
      </c>
      <c r="Q3" s="8">
        <v>876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43803</v>
      </c>
      <c r="B4" s="4" t="s">
        <v>21</v>
      </c>
      <c r="C4" s="4" t="s">
        <v>89</v>
      </c>
      <c r="D4" s="4" t="s">
        <v>23</v>
      </c>
      <c r="E4" s="4" t="s">
        <v>24</v>
      </c>
      <c r="F4" s="4" t="s">
        <v>25</v>
      </c>
      <c r="G4" s="5">
        <v>71500</v>
      </c>
      <c r="H4" s="4" t="s">
        <v>26</v>
      </c>
      <c r="I4" s="4" t="s">
        <v>27</v>
      </c>
      <c r="J4" s="6">
        <v>0.65972222222222221</v>
      </c>
      <c r="K4" s="1">
        <v>0.66249999999999998</v>
      </c>
      <c r="L4" s="6">
        <v>0.49305555555555558</v>
      </c>
      <c r="M4" s="7">
        <v>0.50138888888888888</v>
      </c>
      <c r="N4" s="2" t="s">
        <v>98</v>
      </c>
      <c r="O4" s="8" t="s">
        <v>96</v>
      </c>
      <c r="P4" s="8">
        <v>843</v>
      </c>
      <c r="Q4" s="8">
        <v>608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f>A4</f>
        <v>43803</v>
      </c>
      <c r="B5" s="4" t="s">
        <v>21</v>
      </c>
      <c r="C5" s="4" t="s">
        <v>90</v>
      </c>
      <c r="D5" s="4" t="s">
        <v>23</v>
      </c>
      <c r="E5" s="4" t="s">
        <v>34</v>
      </c>
      <c r="F5" s="4" t="s">
        <v>25</v>
      </c>
      <c r="G5" s="5">
        <v>71500</v>
      </c>
      <c r="H5" s="4" t="s">
        <v>29</v>
      </c>
      <c r="I5" s="4" t="s">
        <v>30</v>
      </c>
      <c r="J5" s="6">
        <v>0.77083333333333337</v>
      </c>
      <c r="K5" s="1">
        <v>0.76041666666666663</v>
      </c>
      <c r="L5" s="6">
        <v>0.53819444444444442</v>
      </c>
      <c r="M5" s="7">
        <v>0.54236111111111118</v>
      </c>
      <c r="N5" s="2" t="s">
        <v>99</v>
      </c>
      <c r="O5" s="8" t="s">
        <v>97</v>
      </c>
      <c r="P5" s="4">
        <v>787</v>
      </c>
      <c r="Q5" s="8">
        <v>845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f>A5</f>
        <v>43803</v>
      </c>
      <c r="B6" s="4" t="s">
        <v>21</v>
      </c>
      <c r="C6" s="2" t="s">
        <v>91</v>
      </c>
      <c r="D6" s="2" t="s">
        <v>23</v>
      </c>
      <c r="E6" s="4" t="s">
        <v>24</v>
      </c>
      <c r="F6" s="2" t="s">
        <v>25</v>
      </c>
      <c r="G6" s="5">
        <f>G4</f>
        <v>71500</v>
      </c>
      <c r="H6" s="2" t="s">
        <v>32</v>
      </c>
      <c r="I6" s="2" t="s">
        <v>33</v>
      </c>
      <c r="J6" s="9">
        <v>0.86805555555555547</v>
      </c>
      <c r="K6" s="1">
        <v>0.87708333333333333</v>
      </c>
      <c r="L6" s="9">
        <v>0.68055555555555547</v>
      </c>
      <c r="M6" s="1">
        <v>0.69791666666666663</v>
      </c>
      <c r="N6" s="2" t="s">
        <v>62</v>
      </c>
      <c r="O6" s="2" t="s">
        <v>100</v>
      </c>
      <c r="P6" s="2">
        <v>827</v>
      </c>
      <c r="Q6" s="8">
        <v>808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/>
      <c r="B7" s="4"/>
      <c r="C7" s="2"/>
      <c r="D7" s="2"/>
      <c r="E7" s="4"/>
      <c r="F7" s="2"/>
      <c r="G7" s="5"/>
      <c r="H7" s="2"/>
      <c r="I7" s="2"/>
      <c r="J7" s="9"/>
      <c r="K7" s="9"/>
      <c r="L7" s="2"/>
      <c r="M7" s="2"/>
      <c r="N7" s="2"/>
      <c r="O7" s="2"/>
      <c r="P7" s="2"/>
      <c r="Q7" s="2"/>
      <c r="R7" s="2"/>
      <c r="S7" s="2"/>
      <c r="T7" s="2"/>
      <c r="U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E1" workbookViewId="0">
      <selection activeCell="J35" sqref="J35"/>
    </sheetView>
  </sheetViews>
  <sheetFormatPr defaultRowHeight="15" x14ac:dyDescent="0.25"/>
  <cols>
    <col min="3" max="3" width="13.7109375" bestFit="1" customWidth="1"/>
    <col min="4" max="4" width="5.7109375" bestFit="1" customWidth="1"/>
    <col min="14" max="14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">
        <v>43805</v>
      </c>
      <c r="B2" s="4" t="s">
        <v>21</v>
      </c>
      <c r="C2" s="4" t="s">
        <v>87</v>
      </c>
      <c r="D2" s="4" t="s">
        <v>23</v>
      </c>
      <c r="E2" s="4" t="s">
        <v>24</v>
      </c>
      <c r="F2" s="4" t="s">
        <v>25</v>
      </c>
      <c r="G2" s="5">
        <v>71500</v>
      </c>
      <c r="H2" s="4" t="s">
        <v>47</v>
      </c>
      <c r="I2" s="4" t="s">
        <v>48</v>
      </c>
      <c r="J2" s="6">
        <v>0.46180555555555558</v>
      </c>
      <c r="K2" s="7">
        <v>0.48472222222222222</v>
      </c>
      <c r="L2" s="6">
        <v>0.25694444444444448</v>
      </c>
      <c r="M2" s="7">
        <v>0.26041666666666669</v>
      </c>
      <c r="N2" s="10" t="s">
        <v>106</v>
      </c>
      <c r="O2" s="2" t="s">
        <v>104</v>
      </c>
      <c r="P2" s="10">
        <v>888</v>
      </c>
      <c r="Q2" s="8">
        <v>845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43805</v>
      </c>
      <c r="B3" s="4" t="s">
        <v>21</v>
      </c>
      <c r="C3" s="4" t="s">
        <v>88</v>
      </c>
      <c r="D3" s="4" t="s">
        <v>23</v>
      </c>
      <c r="E3" s="4" t="s">
        <v>34</v>
      </c>
      <c r="F3" s="4" t="s">
        <v>25</v>
      </c>
      <c r="G3" s="5">
        <v>71500</v>
      </c>
      <c r="H3" s="4" t="s">
        <v>50</v>
      </c>
      <c r="I3" s="4" t="s">
        <v>51</v>
      </c>
      <c r="J3" s="6">
        <v>0.50694444444444442</v>
      </c>
      <c r="K3" s="15"/>
      <c r="L3" s="6">
        <v>0.30208333333333331</v>
      </c>
      <c r="M3" s="7">
        <v>0.29930555555555555</v>
      </c>
      <c r="N3" s="17" t="s">
        <v>108</v>
      </c>
      <c r="O3" s="8" t="s">
        <v>105</v>
      </c>
      <c r="P3" s="16"/>
      <c r="Q3" s="8">
        <v>659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43805</v>
      </c>
      <c r="B4" s="4" t="s">
        <v>21</v>
      </c>
      <c r="C4" s="4" t="s">
        <v>89</v>
      </c>
      <c r="D4" s="4" t="s">
        <v>23</v>
      </c>
      <c r="E4" s="4" t="s">
        <v>103</v>
      </c>
      <c r="F4" s="4" t="s">
        <v>25</v>
      </c>
      <c r="G4" s="5">
        <v>71500</v>
      </c>
      <c r="H4" s="4" t="s">
        <v>26</v>
      </c>
      <c r="I4" s="4" t="s">
        <v>27</v>
      </c>
      <c r="J4" s="6">
        <v>0.65972222222222221</v>
      </c>
      <c r="K4" s="1">
        <v>0.6743055555555556</v>
      </c>
      <c r="L4" s="6">
        <v>0.49305555555555558</v>
      </c>
      <c r="M4" s="7">
        <v>0.52152777777777781</v>
      </c>
      <c r="N4" s="2" t="s">
        <v>111</v>
      </c>
      <c r="O4" s="8" t="s">
        <v>107</v>
      </c>
      <c r="P4" s="8">
        <v>660</v>
      </c>
      <c r="Q4" s="8">
        <v>711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f>A4</f>
        <v>43805</v>
      </c>
      <c r="B5" s="4" t="s">
        <v>21</v>
      </c>
      <c r="C5" s="4" t="s">
        <v>101</v>
      </c>
      <c r="D5" s="4" t="s">
        <v>23</v>
      </c>
      <c r="E5" s="4" t="s">
        <v>34</v>
      </c>
      <c r="F5" s="4" t="s">
        <v>25</v>
      </c>
      <c r="G5" s="5">
        <v>71500</v>
      </c>
      <c r="H5" s="4" t="s">
        <v>53</v>
      </c>
      <c r="I5" s="4" t="s">
        <v>54</v>
      </c>
      <c r="J5" s="6">
        <v>0.68055555555555547</v>
      </c>
      <c r="K5" s="1">
        <v>0.78402777777777777</v>
      </c>
      <c r="L5" s="6">
        <v>0.52777777777777779</v>
      </c>
      <c r="M5" s="7">
        <v>0.64930555555555558</v>
      </c>
      <c r="N5" s="2" t="s">
        <v>112</v>
      </c>
      <c r="O5" s="8" t="s">
        <v>109</v>
      </c>
      <c r="P5" s="4">
        <v>730</v>
      </c>
      <c r="Q5" s="8">
        <v>751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f>A5</f>
        <v>43805</v>
      </c>
      <c r="B6" s="4" t="s">
        <v>21</v>
      </c>
      <c r="C6" s="2" t="s">
        <v>102</v>
      </c>
      <c r="D6" s="2" t="s">
        <v>23</v>
      </c>
      <c r="E6" s="4" t="str">
        <f>E4</f>
        <v>HALWJ</v>
      </c>
      <c r="F6" s="2" t="s">
        <v>25</v>
      </c>
      <c r="G6" s="5">
        <f>G4</f>
        <v>71500</v>
      </c>
      <c r="H6" s="2" t="s">
        <v>56</v>
      </c>
      <c r="I6" s="2" t="s">
        <v>57</v>
      </c>
      <c r="J6" s="9">
        <v>0.91319444444444453</v>
      </c>
      <c r="K6" s="1">
        <v>0.91180555555555554</v>
      </c>
      <c r="L6" s="9">
        <v>0.69097222222222221</v>
      </c>
      <c r="M6" s="1">
        <v>0.70486111111111116</v>
      </c>
      <c r="N6" s="2" t="s">
        <v>113</v>
      </c>
      <c r="O6" s="2" t="s">
        <v>110</v>
      </c>
      <c r="P6" s="2">
        <v>468</v>
      </c>
      <c r="Q6" s="8">
        <v>402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f>A6</f>
        <v>43805</v>
      </c>
      <c r="B7" s="4" t="s">
        <v>21</v>
      </c>
      <c r="C7" s="2" t="s">
        <v>114</v>
      </c>
      <c r="D7" s="2" t="s">
        <v>23</v>
      </c>
      <c r="E7" s="4" t="s">
        <v>34</v>
      </c>
      <c r="F7" s="2" t="s">
        <v>115</v>
      </c>
      <c r="G7" s="5">
        <f>G5</f>
        <v>71500</v>
      </c>
      <c r="H7" s="4" t="s">
        <v>50</v>
      </c>
      <c r="I7" s="2" t="s">
        <v>116</v>
      </c>
      <c r="J7" s="9">
        <v>0.57986111111111105</v>
      </c>
      <c r="K7" s="9">
        <v>0.6166666666666667</v>
      </c>
      <c r="L7" s="2" t="s">
        <v>116</v>
      </c>
      <c r="M7" s="2" t="s">
        <v>116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topLeftCell="G1" workbookViewId="0">
      <selection sqref="A1:U5"/>
    </sheetView>
  </sheetViews>
  <sheetFormatPr defaultRowHeight="15" x14ac:dyDescent="0.25"/>
  <cols>
    <col min="1" max="1" width="10.140625" bestFit="1" customWidth="1"/>
    <col min="3" max="3" width="13.42578125" bestFit="1" customWidth="1"/>
    <col min="4" max="4" width="5.7109375" bestFit="1" customWidth="1"/>
    <col min="5" max="5" width="7.42578125" bestFit="1" customWidth="1"/>
    <col min="6" max="6" width="12.140625" bestFit="1" customWidth="1"/>
    <col min="14" max="15" width="18.42578125" bestFit="1" customWidth="1"/>
  </cols>
  <sheetData>
    <row r="1" spans="1:22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2" x14ac:dyDescent="0.25">
      <c r="A2" s="3">
        <v>43806</v>
      </c>
      <c r="B2" s="4" t="s">
        <v>21</v>
      </c>
      <c r="C2" s="4" t="s">
        <v>117</v>
      </c>
      <c r="D2" s="4" t="s">
        <v>23</v>
      </c>
      <c r="E2" s="4" t="s">
        <v>103</v>
      </c>
      <c r="F2" s="4" t="s">
        <v>25</v>
      </c>
      <c r="G2" s="5">
        <v>71500</v>
      </c>
      <c r="H2" s="4" t="s">
        <v>72</v>
      </c>
      <c r="I2" s="4" t="s">
        <v>76</v>
      </c>
      <c r="J2" s="6">
        <v>0.50694444444444442</v>
      </c>
      <c r="K2" s="7">
        <v>0.4909722222222222</v>
      </c>
      <c r="L2" s="6">
        <v>0.32291666666666669</v>
      </c>
      <c r="M2" s="7">
        <v>0.31666666666666665</v>
      </c>
      <c r="N2" s="2" t="s">
        <v>122</v>
      </c>
      <c r="O2" s="8" t="s">
        <v>121</v>
      </c>
      <c r="P2" s="8">
        <v>973</v>
      </c>
      <c r="Q2" s="8">
        <v>823</v>
      </c>
      <c r="R2" s="4">
        <v>0</v>
      </c>
      <c r="S2" s="4">
        <v>0</v>
      </c>
      <c r="T2" s="4">
        <v>0</v>
      </c>
      <c r="U2" s="4">
        <v>0</v>
      </c>
    </row>
    <row r="3" spans="1:22" x14ac:dyDescent="0.25">
      <c r="A3" s="3">
        <v>43806</v>
      </c>
      <c r="B3" s="4" t="s">
        <v>21</v>
      </c>
      <c r="C3" s="4" t="s">
        <v>118</v>
      </c>
      <c r="D3" s="4" t="s">
        <v>23</v>
      </c>
      <c r="E3" s="4" t="s">
        <v>34</v>
      </c>
      <c r="F3" s="4" t="s">
        <v>25</v>
      </c>
      <c r="G3" s="5">
        <v>71500</v>
      </c>
      <c r="H3" s="4" t="s">
        <v>73</v>
      </c>
      <c r="I3" s="4" t="s">
        <v>77</v>
      </c>
      <c r="J3" s="6">
        <v>0.71527777777777779</v>
      </c>
      <c r="K3" s="7">
        <v>0.6958333333333333</v>
      </c>
      <c r="L3" s="6">
        <v>0.5</v>
      </c>
      <c r="M3" s="7">
        <v>0.50277777777777777</v>
      </c>
      <c r="N3" s="2" t="s">
        <v>125</v>
      </c>
      <c r="O3" s="8" t="s">
        <v>100</v>
      </c>
      <c r="P3" s="10">
        <v>822</v>
      </c>
      <c r="Q3" s="8">
        <v>751</v>
      </c>
      <c r="R3" s="4">
        <v>0</v>
      </c>
      <c r="S3" s="4">
        <v>0</v>
      </c>
      <c r="T3" s="4">
        <v>0</v>
      </c>
      <c r="U3" s="4">
        <v>0</v>
      </c>
    </row>
    <row r="4" spans="1:22" x14ac:dyDescent="0.25">
      <c r="A4" s="3">
        <v>43806</v>
      </c>
      <c r="B4" s="2" t="s">
        <v>21</v>
      </c>
      <c r="C4" s="2" t="s">
        <v>119</v>
      </c>
      <c r="D4" s="2" t="s">
        <v>23</v>
      </c>
      <c r="E4" s="4" t="s">
        <v>103</v>
      </c>
      <c r="F4" s="2" t="s">
        <v>25</v>
      </c>
      <c r="G4" s="5">
        <v>71500</v>
      </c>
      <c r="H4" s="4" t="s">
        <v>74</v>
      </c>
      <c r="I4" s="4" t="s">
        <v>78</v>
      </c>
      <c r="J4" s="11">
        <v>0.68402777777777779</v>
      </c>
      <c r="K4" s="1">
        <v>0.6645833333333333</v>
      </c>
      <c r="L4" s="11">
        <v>0.52777777777777779</v>
      </c>
      <c r="M4" s="12">
        <v>0.53263888888888888</v>
      </c>
      <c r="N4" s="2" t="s">
        <v>124</v>
      </c>
      <c r="O4" s="10" t="s">
        <v>123</v>
      </c>
      <c r="P4" s="4">
        <v>910</v>
      </c>
      <c r="Q4" s="8">
        <v>919</v>
      </c>
      <c r="R4" s="2">
        <v>0</v>
      </c>
      <c r="S4" s="2">
        <v>0</v>
      </c>
      <c r="T4" s="2">
        <v>0</v>
      </c>
      <c r="U4" s="2">
        <v>0</v>
      </c>
    </row>
    <row r="5" spans="1:22" x14ac:dyDescent="0.25">
      <c r="A5" s="3">
        <v>43806</v>
      </c>
      <c r="B5" s="2" t="s">
        <v>21</v>
      </c>
      <c r="C5" s="2" t="s">
        <v>120</v>
      </c>
      <c r="D5" s="2" t="s">
        <v>23</v>
      </c>
      <c r="E5" s="4" t="s">
        <v>103</v>
      </c>
      <c r="F5" s="2" t="s">
        <v>25</v>
      </c>
      <c r="G5" s="5">
        <v>71500</v>
      </c>
      <c r="H5" s="2" t="s">
        <v>75</v>
      </c>
      <c r="I5" s="2" t="s">
        <v>79</v>
      </c>
      <c r="J5" s="9">
        <v>0.94444444444444453</v>
      </c>
      <c r="K5" s="1">
        <v>0.92847222222222225</v>
      </c>
      <c r="L5" s="9">
        <v>0.77430555555555547</v>
      </c>
      <c r="M5" s="1">
        <v>0.77222222222222225</v>
      </c>
      <c r="N5" s="2" t="s">
        <v>127</v>
      </c>
      <c r="O5" s="2" t="s">
        <v>126</v>
      </c>
      <c r="P5" s="2">
        <v>572</v>
      </c>
      <c r="Q5" s="8">
        <v>400</v>
      </c>
      <c r="R5" s="2">
        <v>0</v>
      </c>
      <c r="S5" s="2">
        <v>0</v>
      </c>
      <c r="T5" s="2">
        <v>0</v>
      </c>
      <c r="U5" s="2">
        <v>0</v>
      </c>
    </row>
    <row r="6" spans="1:22" x14ac:dyDescent="0.25">
      <c r="A6" s="18"/>
      <c r="B6" s="19"/>
      <c r="C6" s="19"/>
      <c r="D6" s="19"/>
      <c r="E6" s="19"/>
      <c r="F6" s="19"/>
      <c r="G6" s="13"/>
      <c r="H6" s="10"/>
      <c r="I6" s="10"/>
      <c r="J6" s="12"/>
      <c r="K6" s="12"/>
      <c r="L6" s="12"/>
      <c r="M6" s="12"/>
      <c r="N6" s="10"/>
      <c r="O6" s="10"/>
      <c r="P6" s="10"/>
      <c r="Q6" s="10"/>
      <c r="R6" s="10"/>
      <c r="S6" s="10"/>
      <c r="T6" s="10"/>
      <c r="U6" s="10"/>
      <c r="V6" s="20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G6" sqref="G6"/>
    </sheetView>
  </sheetViews>
  <sheetFormatPr defaultRowHeight="15" x14ac:dyDescent="0.25"/>
  <cols>
    <col min="1" max="1" width="7.85546875" bestFit="1" customWidth="1"/>
    <col min="2" max="2" width="14.28515625" bestFit="1" customWidth="1"/>
    <col min="3" max="3" width="16.42578125" bestFit="1" customWidth="1"/>
    <col min="4" max="4" width="5.7109375" bestFit="1" customWidth="1"/>
    <col min="5" max="5" width="8.140625" bestFit="1" customWidth="1"/>
    <col min="6" max="6" width="16.5703125" bestFit="1" customWidth="1"/>
    <col min="7" max="7" width="9.7109375" bestFit="1" customWidth="1"/>
    <col min="10" max="10" width="11" bestFit="1" customWidth="1"/>
    <col min="11" max="11" width="11.71093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6" width="11.7109375" bestFit="1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3">
        <v>43807</v>
      </c>
      <c r="B2" s="4" t="s">
        <v>21</v>
      </c>
      <c r="C2" s="4" t="s">
        <v>22</v>
      </c>
      <c r="D2" s="4" t="s">
        <v>23</v>
      </c>
      <c r="E2" s="4" t="s">
        <v>34</v>
      </c>
      <c r="F2" s="4" t="s">
        <v>25</v>
      </c>
      <c r="G2" s="5">
        <v>71500</v>
      </c>
      <c r="H2" s="4" t="s">
        <v>26</v>
      </c>
      <c r="I2" s="4" t="s">
        <v>27</v>
      </c>
      <c r="J2" s="6">
        <v>0.65972222222222221</v>
      </c>
      <c r="K2" s="1">
        <v>0.64861111111111114</v>
      </c>
      <c r="L2" s="6">
        <v>0.49305555555555558</v>
      </c>
      <c r="M2" s="7">
        <v>0.49444444444444446</v>
      </c>
      <c r="N2" s="2" t="s">
        <v>138</v>
      </c>
      <c r="O2" s="8" t="s">
        <v>137</v>
      </c>
      <c r="P2" s="8">
        <v>739</v>
      </c>
      <c r="Q2" s="8">
        <v>812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43807</v>
      </c>
      <c r="B3" s="4" t="s">
        <v>21</v>
      </c>
      <c r="C3" s="4" t="s">
        <v>28</v>
      </c>
      <c r="D3" s="4" t="s">
        <v>23</v>
      </c>
      <c r="E3" s="4" t="s">
        <v>103</v>
      </c>
      <c r="F3" s="4" t="s">
        <v>25</v>
      </c>
      <c r="G3" s="5">
        <v>71500</v>
      </c>
      <c r="H3" s="4" t="s">
        <v>29</v>
      </c>
      <c r="I3" s="4" t="s">
        <v>30</v>
      </c>
      <c r="J3" s="6">
        <v>0.77083333333333337</v>
      </c>
      <c r="K3" s="2" t="s">
        <v>141</v>
      </c>
      <c r="L3" s="6">
        <v>0.53819444444444442</v>
      </c>
      <c r="M3" s="7">
        <v>0.53680555555555554</v>
      </c>
      <c r="N3" s="2" t="s">
        <v>141</v>
      </c>
      <c r="O3" s="8" t="s">
        <v>139</v>
      </c>
      <c r="P3" s="4" t="s">
        <v>141</v>
      </c>
      <c r="Q3" s="8">
        <v>1449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43807</v>
      </c>
      <c r="B4" s="4" t="s">
        <v>21</v>
      </c>
      <c r="C4" s="4" t="s">
        <v>31</v>
      </c>
      <c r="D4" s="2" t="s">
        <v>23</v>
      </c>
      <c r="E4" s="4" t="s">
        <v>34</v>
      </c>
      <c r="F4" s="2" t="s">
        <v>25</v>
      </c>
      <c r="G4" s="5">
        <f>G2</f>
        <v>71500</v>
      </c>
      <c r="H4" s="2" t="s">
        <v>32</v>
      </c>
      <c r="I4" s="2" t="s">
        <v>33</v>
      </c>
      <c r="J4" s="9">
        <v>0.86805555555555547</v>
      </c>
      <c r="K4" s="1" t="s">
        <v>142</v>
      </c>
      <c r="L4" s="9">
        <v>0.68055555555555547</v>
      </c>
      <c r="M4" s="1">
        <v>0.67986111111111114</v>
      </c>
      <c r="N4" s="2" t="s">
        <v>142</v>
      </c>
      <c r="O4" s="2" t="s">
        <v>106</v>
      </c>
      <c r="P4" s="2" t="s">
        <v>142</v>
      </c>
      <c r="Q4" s="8">
        <v>797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v>43807</v>
      </c>
      <c r="B5" s="2" t="s">
        <v>21</v>
      </c>
      <c r="C5" s="2" t="s">
        <v>128</v>
      </c>
      <c r="D5" s="2" t="s">
        <v>23</v>
      </c>
      <c r="E5" s="4" t="s">
        <v>129</v>
      </c>
      <c r="F5" s="2" t="s">
        <v>130</v>
      </c>
      <c r="G5" s="5">
        <f>G3</f>
        <v>71500</v>
      </c>
      <c r="H5" s="2" t="s">
        <v>131</v>
      </c>
      <c r="I5" s="2" t="s">
        <v>131</v>
      </c>
      <c r="J5" s="9" t="s">
        <v>140</v>
      </c>
      <c r="K5" s="1">
        <v>0.55694444444444446</v>
      </c>
      <c r="L5" s="9" t="s">
        <v>140</v>
      </c>
      <c r="M5" s="1">
        <v>0.59861111111111109</v>
      </c>
      <c r="N5" s="2" t="s">
        <v>132</v>
      </c>
      <c r="O5" s="2">
        <v>0</v>
      </c>
      <c r="P5" s="2">
        <v>501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v>43807</v>
      </c>
      <c r="B6" s="2" t="s">
        <v>133</v>
      </c>
      <c r="C6" s="2" t="s">
        <v>134</v>
      </c>
      <c r="D6" s="2" t="s">
        <v>135</v>
      </c>
      <c r="E6" s="4" t="s">
        <v>136</v>
      </c>
      <c r="F6" s="2" t="s">
        <v>130</v>
      </c>
      <c r="G6" s="5">
        <v>3175</v>
      </c>
      <c r="H6" s="4" t="s">
        <v>136</v>
      </c>
      <c r="I6" s="4" t="s">
        <v>136</v>
      </c>
      <c r="J6" s="11">
        <v>0.60069444444444442</v>
      </c>
      <c r="K6" s="1">
        <v>0.5625</v>
      </c>
      <c r="L6" s="11">
        <v>0.625</v>
      </c>
      <c r="M6" s="12">
        <v>0.60902777777777783</v>
      </c>
      <c r="N6" s="2">
        <v>0</v>
      </c>
      <c r="O6" s="10">
        <v>0</v>
      </c>
      <c r="P6" s="10">
        <v>0</v>
      </c>
      <c r="Q6" s="8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/>
      <c r="B7" s="10"/>
      <c r="C7" s="10"/>
      <c r="D7" s="10"/>
      <c r="E7" s="4"/>
      <c r="F7" s="10"/>
      <c r="G7" s="5"/>
      <c r="H7" s="10"/>
      <c r="I7" s="10"/>
      <c r="J7" s="11"/>
      <c r="K7" s="1"/>
      <c r="L7" s="11"/>
      <c r="M7" s="12"/>
      <c r="N7" s="2"/>
      <c r="O7" s="2"/>
      <c r="P7" s="2"/>
      <c r="Q7" s="8"/>
      <c r="R7" s="10"/>
      <c r="S7" s="10"/>
      <c r="T7" s="10"/>
      <c r="U7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5" sqref="K5"/>
    </sheetView>
  </sheetViews>
  <sheetFormatPr defaultRowHeight="15" x14ac:dyDescent="0.25"/>
  <cols>
    <col min="1" max="1" width="7.85546875" bestFit="1" customWidth="1"/>
    <col min="4" max="4" width="5.7109375" bestFit="1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3">
        <v>43808</v>
      </c>
      <c r="B2" s="4" t="s">
        <v>21</v>
      </c>
      <c r="C2" s="10" t="s">
        <v>46</v>
      </c>
      <c r="D2" s="10" t="s">
        <v>23</v>
      </c>
      <c r="E2" s="10" t="s">
        <v>145</v>
      </c>
      <c r="F2" s="4" t="s">
        <v>25</v>
      </c>
      <c r="G2" s="13">
        <v>71500</v>
      </c>
      <c r="H2" s="10" t="s">
        <v>47</v>
      </c>
      <c r="I2" s="10" t="s">
        <v>48</v>
      </c>
      <c r="J2" s="11">
        <v>0.46180555555555558</v>
      </c>
      <c r="K2" s="12">
        <v>0.48333333333333334</v>
      </c>
      <c r="L2" s="11">
        <v>0.25694444444444448</v>
      </c>
      <c r="M2" s="12">
        <v>0.3034722222222222</v>
      </c>
      <c r="N2" s="10" t="s">
        <v>150</v>
      </c>
      <c r="O2" s="10" t="s">
        <v>148</v>
      </c>
      <c r="P2" s="10">
        <v>1066</v>
      </c>
      <c r="Q2" s="10">
        <v>678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3">
        <f>A2</f>
        <v>43808</v>
      </c>
      <c r="B3" s="4" t="s">
        <v>21</v>
      </c>
      <c r="C3" s="10" t="s">
        <v>49</v>
      </c>
      <c r="D3" s="10" t="s">
        <v>23</v>
      </c>
      <c r="E3" s="10" t="s">
        <v>146</v>
      </c>
      <c r="F3" s="4" t="s">
        <v>25</v>
      </c>
      <c r="G3" s="13">
        <v>71500</v>
      </c>
      <c r="H3" s="10" t="s">
        <v>50</v>
      </c>
      <c r="I3" s="10" t="s">
        <v>51</v>
      </c>
      <c r="J3" s="11">
        <v>0.50694444444444442</v>
      </c>
      <c r="K3" s="12">
        <v>0.60625000000000007</v>
      </c>
      <c r="L3" s="11">
        <v>0.30208333333333331</v>
      </c>
      <c r="M3" s="12">
        <v>0.4236111111111111</v>
      </c>
      <c r="N3" s="10" t="s">
        <v>152</v>
      </c>
      <c r="O3" s="10" t="s">
        <v>149</v>
      </c>
      <c r="P3" s="10">
        <v>636</v>
      </c>
      <c r="Q3" s="10">
        <v>963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3">
        <f>A3</f>
        <v>43808</v>
      </c>
      <c r="B4" s="4" t="s">
        <v>21</v>
      </c>
      <c r="C4" s="10" t="s">
        <v>52</v>
      </c>
      <c r="D4" s="10" t="s">
        <v>23</v>
      </c>
      <c r="E4" s="10" t="s">
        <v>145</v>
      </c>
      <c r="F4" s="4" t="s">
        <v>25</v>
      </c>
      <c r="G4" s="13">
        <v>71500</v>
      </c>
      <c r="H4" s="10" t="s">
        <v>53</v>
      </c>
      <c r="I4" s="10" t="s">
        <v>54</v>
      </c>
      <c r="J4" s="11">
        <v>0.68055555555555547</v>
      </c>
      <c r="K4" s="12">
        <v>0.66319444444444442</v>
      </c>
      <c r="L4" s="11">
        <v>0.52777777777777779</v>
      </c>
      <c r="M4" s="12">
        <v>0.52569444444444446</v>
      </c>
      <c r="N4" s="10" t="s">
        <v>112</v>
      </c>
      <c r="O4" s="10" t="s">
        <v>151</v>
      </c>
      <c r="P4" s="10">
        <v>645</v>
      </c>
      <c r="Q4" s="10">
        <v>502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3">
        <f>A4</f>
        <v>43808</v>
      </c>
      <c r="B5" s="4" t="str">
        <f>B4</f>
        <v>WIZZAIR</v>
      </c>
      <c r="C5" s="10" t="s">
        <v>55</v>
      </c>
      <c r="D5" s="10" t="s">
        <v>23</v>
      </c>
      <c r="E5" s="10" t="s">
        <v>146</v>
      </c>
      <c r="F5" s="4" t="s">
        <v>25</v>
      </c>
      <c r="G5" s="13">
        <v>71500</v>
      </c>
      <c r="H5" s="10" t="s">
        <v>56</v>
      </c>
      <c r="I5" s="10" t="s">
        <v>57</v>
      </c>
      <c r="J5" s="11">
        <v>0.91319444444444453</v>
      </c>
      <c r="K5" s="12">
        <v>0.90277777777777779</v>
      </c>
      <c r="L5" s="11">
        <v>0.69097222222222221</v>
      </c>
      <c r="M5" s="12">
        <v>0.69444444444444453</v>
      </c>
      <c r="N5" s="10" t="s">
        <v>153</v>
      </c>
      <c r="O5" s="10" t="s">
        <v>154</v>
      </c>
      <c r="P5" s="10">
        <v>393</v>
      </c>
      <c r="Q5" s="10">
        <v>496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5">
      <c r="A6" s="3">
        <f>A5</f>
        <v>43808</v>
      </c>
      <c r="B6" s="4" t="str">
        <f>B5</f>
        <v>WIZZAIR</v>
      </c>
      <c r="C6" s="10" t="s">
        <v>143</v>
      </c>
      <c r="D6" s="10" t="s">
        <v>23</v>
      </c>
      <c r="E6" s="10" t="s">
        <v>145</v>
      </c>
      <c r="F6" s="4" t="s">
        <v>115</v>
      </c>
      <c r="G6" s="13">
        <v>71500</v>
      </c>
      <c r="H6" s="10" t="s">
        <v>144</v>
      </c>
      <c r="I6" s="10" t="s">
        <v>116</v>
      </c>
      <c r="J6" s="11">
        <v>0.25694444444444448</v>
      </c>
      <c r="K6" s="11">
        <v>0.2722222222222222</v>
      </c>
      <c r="L6" s="10" t="s">
        <v>116</v>
      </c>
      <c r="M6" s="10" t="s">
        <v>116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</row>
    <row r="7" spans="1:21" x14ac:dyDescent="0.25">
      <c r="A7" s="3">
        <f>A6</f>
        <v>43808</v>
      </c>
      <c r="B7" s="4" t="str">
        <f>B6</f>
        <v>WIZZAIR</v>
      </c>
      <c r="C7" s="10" t="s">
        <v>147</v>
      </c>
      <c r="D7" s="10" t="s">
        <v>23</v>
      </c>
      <c r="E7" s="10" t="s">
        <v>146</v>
      </c>
      <c r="F7" s="4" t="s">
        <v>115</v>
      </c>
      <c r="G7" s="13">
        <v>71500</v>
      </c>
      <c r="H7" s="10" t="s">
        <v>29</v>
      </c>
      <c r="I7" s="10" t="s">
        <v>116</v>
      </c>
      <c r="J7" s="11">
        <v>0.35069444444444442</v>
      </c>
      <c r="K7" s="11">
        <v>0.39097222222222222</v>
      </c>
      <c r="L7" s="10" t="s">
        <v>116</v>
      </c>
      <c r="M7" s="10" t="s">
        <v>116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H1" workbookViewId="0">
      <selection sqref="A1:U5"/>
    </sheetView>
  </sheetViews>
  <sheetFormatPr defaultRowHeight="15" x14ac:dyDescent="0.25"/>
  <cols>
    <col min="1" max="1" width="8.7109375" bestFit="1" customWidth="1"/>
    <col min="2" max="2" width="24" customWidth="1"/>
    <col min="3" max="3" width="15" bestFit="1" customWidth="1"/>
    <col min="4" max="4" width="5.7109375" bestFit="1" customWidth="1"/>
    <col min="5" max="5" width="7.42578125" bestFit="1" customWidth="1"/>
    <col min="6" max="6" width="12.140625" bestFit="1" customWidth="1"/>
    <col min="7" max="7" width="9.7109375" bestFit="1" customWidth="1"/>
    <col min="10" max="10" width="11" bestFit="1" customWidth="1"/>
    <col min="14" max="14" width="17.42578125" customWidth="1"/>
    <col min="15" max="15" width="17.5703125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3">
        <v>43809</v>
      </c>
      <c r="B2" s="4" t="s">
        <v>21</v>
      </c>
      <c r="C2" s="10" t="s">
        <v>66</v>
      </c>
      <c r="D2" s="10" t="s">
        <v>23</v>
      </c>
      <c r="E2" s="10" t="s">
        <v>103</v>
      </c>
      <c r="F2" s="4" t="s">
        <v>25</v>
      </c>
      <c r="G2" s="13">
        <v>71500</v>
      </c>
      <c r="H2" s="10" t="s">
        <v>72</v>
      </c>
      <c r="I2" s="10" t="s">
        <v>76</v>
      </c>
      <c r="J2" s="11">
        <v>0.50694444444444442</v>
      </c>
      <c r="K2" s="12">
        <v>0.51250000000000007</v>
      </c>
      <c r="L2" s="11">
        <v>0.32291666666666669</v>
      </c>
      <c r="M2" s="12">
        <v>0.33888888888888885</v>
      </c>
      <c r="N2" s="10" t="s">
        <v>163</v>
      </c>
      <c r="O2" s="10" t="s">
        <v>162</v>
      </c>
      <c r="P2" s="10">
        <v>1013</v>
      </c>
      <c r="Q2" s="10">
        <v>761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3">
        <f>A2</f>
        <v>43809</v>
      </c>
      <c r="B3" s="4" t="s">
        <v>21</v>
      </c>
      <c r="C3" s="10" t="s">
        <v>67</v>
      </c>
      <c r="D3" s="10" t="s">
        <v>23</v>
      </c>
      <c r="E3" s="10" t="s">
        <v>129</v>
      </c>
      <c r="F3" s="4" t="s">
        <v>25</v>
      </c>
      <c r="G3" s="13">
        <v>71500</v>
      </c>
      <c r="H3" s="10" t="s">
        <v>73</v>
      </c>
      <c r="I3" s="10" t="s">
        <v>77</v>
      </c>
      <c r="J3" s="11">
        <v>0.72916666666666663</v>
      </c>
      <c r="K3" s="12">
        <v>0.72499999999999998</v>
      </c>
      <c r="L3" s="11">
        <v>0.51388888888888895</v>
      </c>
      <c r="M3" s="12">
        <v>0.52569444444444446</v>
      </c>
      <c r="N3" s="10" t="s">
        <v>167</v>
      </c>
      <c r="O3" s="10" t="s">
        <v>164</v>
      </c>
      <c r="P3" s="10">
        <v>559</v>
      </c>
      <c r="Q3" s="10">
        <v>517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3">
        <f>A3</f>
        <v>43809</v>
      </c>
      <c r="B4" s="4" t="s">
        <v>21</v>
      </c>
      <c r="C4" s="10" t="s">
        <v>68</v>
      </c>
      <c r="D4" s="10" t="s">
        <v>23</v>
      </c>
      <c r="E4" s="10" t="str">
        <f>E2</f>
        <v>HALWJ</v>
      </c>
      <c r="F4" s="4" t="s">
        <v>25</v>
      </c>
      <c r="G4" s="13">
        <v>71500</v>
      </c>
      <c r="H4" s="10" t="s">
        <v>74</v>
      </c>
      <c r="I4" s="10" t="s">
        <v>78</v>
      </c>
      <c r="J4" s="11">
        <v>0.68402777777777779</v>
      </c>
      <c r="K4" s="12">
        <v>0.6777777777777777</v>
      </c>
      <c r="L4" s="11">
        <v>0.52777777777777779</v>
      </c>
      <c r="M4" s="12">
        <v>0.5493055555555556</v>
      </c>
      <c r="N4" s="10" t="s">
        <v>168</v>
      </c>
      <c r="O4" s="10" t="s">
        <v>165</v>
      </c>
      <c r="P4" s="10">
        <v>654</v>
      </c>
      <c r="Q4" s="10">
        <v>464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3">
        <f>A4</f>
        <v>43809</v>
      </c>
      <c r="B5" s="4" t="str">
        <f>B4</f>
        <v>WIZZAIR</v>
      </c>
      <c r="C5" s="10" t="s">
        <v>69</v>
      </c>
      <c r="D5" s="10" t="s">
        <v>23</v>
      </c>
      <c r="E5" s="10" t="str">
        <f>E3</f>
        <v>HALYC</v>
      </c>
      <c r="F5" s="4" t="s">
        <v>25</v>
      </c>
      <c r="G5" s="13">
        <v>71500</v>
      </c>
      <c r="H5" s="10" t="s">
        <v>75</v>
      </c>
      <c r="I5" s="10" t="s">
        <v>79</v>
      </c>
      <c r="J5" s="11">
        <v>0.94444444444444453</v>
      </c>
      <c r="K5" s="12">
        <v>0.93611111111111101</v>
      </c>
      <c r="L5" s="11">
        <v>0.77430555555555547</v>
      </c>
      <c r="M5" s="12">
        <v>0.77916666666666667</v>
      </c>
      <c r="N5" s="10" t="s">
        <v>170</v>
      </c>
      <c r="O5" s="10" t="s">
        <v>169</v>
      </c>
      <c r="P5" s="10">
        <v>744</v>
      </c>
      <c r="Q5" s="10">
        <v>541</v>
      </c>
      <c r="R5" s="10">
        <v>0</v>
      </c>
      <c r="S5" s="10">
        <v>0</v>
      </c>
      <c r="T5" s="10">
        <v>0</v>
      </c>
      <c r="U5" s="10">
        <v>0</v>
      </c>
    </row>
    <row r="6" spans="1:21" s="25" customFormat="1" ht="22.5" x14ac:dyDescent="0.25">
      <c r="A6" s="3">
        <v>43809</v>
      </c>
      <c r="B6" s="21" t="s">
        <v>155</v>
      </c>
      <c r="C6" s="2" t="s">
        <v>156</v>
      </c>
      <c r="D6" s="2" t="s">
        <v>157</v>
      </c>
      <c r="E6" s="4" t="s">
        <v>158</v>
      </c>
      <c r="F6" s="2" t="s">
        <v>159</v>
      </c>
      <c r="G6" s="5">
        <v>1999</v>
      </c>
      <c r="H6" s="4" t="s">
        <v>158</v>
      </c>
      <c r="I6" s="4" t="s">
        <v>158</v>
      </c>
      <c r="J6" s="22">
        <v>0.4375</v>
      </c>
      <c r="K6" s="1">
        <v>0.47361111111111115</v>
      </c>
      <c r="L6" s="22">
        <v>0.47916666666666669</v>
      </c>
      <c r="M6" s="23">
        <v>0.49305555555555558</v>
      </c>
      <c r="N6" s="2" t="s">
        <v>160</v>
      </c>
      <c r="O6" s="24" t="s">
        <v>161</v>
      </c>
      <c r="P6" s="24">
        <v>0</v>
      </c>
      <c r="Q6" s="8">
        <v>0</v>
      </c>
      <c r="R6" s="2">
        <v>0</v>
      </c>
      <c r="S6" s="2">
        <v>0</v>
      </c>
      <c r="T6" s="2">
        <v>0</v>
      </c>
      <c r="U6" s="2"/>
    </row>
    <row r="7" spans="1:21" s="27" customFormat="1" ht="22.5" x14ac:dyDescent="0.25">
      <c r="A7" s="3">
        <v>43809</v>
      </c>
      <c r="B7" s="26" t="s">
        <v>155</v>
      </c>
      <c r="C7" s="24" t="s">
        <v>166</v>
      </c>
      <c r="D7" s="24" t="s">
        <v>157</v>
      </c>
      <c r="E7" s="4" t="s">
        <v>158</v>
      </c>
      <c r="F7" s="24" t="s">
        <v>159</v>
      </c>
      <c r="G7" s="5">
        <v>1999</v>
      </c>
      <c r="H7" s="24" t="s">
        <v>158</v>
      </c>
      <c r="I7" s="24" t="s">
        <v>158</v>
      </c>
      <c r="J7" s="22">
        <v>0.54166666666666663</v>
      </c>
      <c r="K7" s="1">
        <v>0.62013888888888891</v>
      </c>
      <c r="L7" s="22">
        <v>0.5625</v>
      </c>
      <c r="M7" s="23">
        <v>0.64722222222222225</v>
      </c>
      <c r="N7" s="2" t="s">
        <v>161</v>
      </c>
      <c r="O7" s="2" t="s">
        <v>160</v>
      </c>
      <c r="P7" s="2">
        <v>0</v>
      </c>
      <c r="Q7" s="8">
        <v>0</v>
      </c>
      <c r="R7" s="24">
        <v>0</v>
      </c>
      <c r="S7" s="24">
        <v>0</v>
      </c>
      <c r="T7" s="24">
        <v>0</v>
      </c>
      <c r="U7" s="24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6" sqref="K6"/>
    </sheetView>
  </sheetViews>
  <sheetFormatPr defaultRowHeight="15" x14ac:dyDescent="0.25"/>
  <cols>
    <col min="3" max="3" width="13.7109375" bestFit="1" customWidth="1"/>
    <col min="4" max="4" width="5.71093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">
        <v>43810</v>
      </c>
      <c r="B2" s="4" t="s">
        <v>21</v>
      </c>
      <c r="C2" s="4" t="s">
        <v>87</v>
      </c>
      <c r="D2" s="4" t="s">
        <v>23</v>
      </c>
      <c r="E2" s="4" t="s">
        <v>103</v>
      </c>
      <c r="F2" s="4" t="s">
        <v>25</v>
      </c>
      <c r="G2" s="5">
        <v>71500</v>
      </c>
      <c r="H2" s="4" t="s">
        <v>47</v>
      </c>
      <c r="I2" s="4" t="s">
        <v>48</v>
      </c>
      <c r="J2" s="6">
        <v>0.46180555555555558</v>
      </c>
      <c r="K2" s="7">
        <v>0.4548611111111111</v>
      </c>
      <c r="L2" s="6">
        <v>0.25694444444444448</v>
      </c>
      <c r="M2" s="7">
        <v>0.26874999999999999</v>
      </c>
      <c r="N2" s="2" t="s">
        <v>172</v>
      </c>
      <c r="O2" s="8" t="s">
        <v>106</v>
      </c>
      <c r="P2" s="8">
        <v>994</v>
      </c>
      <c r="Q2" s="8">
        <v>823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43810</v>
      </c>
      <c r="B3" s="4" t="s">
        <v>21</v>
      </c>
      <c r="C3" s="4" t="s">
        <v>88</v>
      </c>
      <c r="D3" s="4" t="s">
        <v>23</v>
      </c>
      <c r="E3" s="4" t="s">
        <v>129</v>
      </c>
      <c r="F3" s="4" t="s">
        <v>25</v>
      </c>
      <c r="G3" s="5">
        <v>71500</v>
      </c>
      <c r="H3" s="4" t="s">
        <v>50</v>
      </c>
      <c r="I3" s="4" t="s">
        <v>51</v>
      </c>
      <c r="J3" s="6">
        <v>0.50694444444444442</v>
      </c>
      <c r="K3" s="7">
        <v>0.49374999999999997</v>
      </c>
      <c r="L3" s="6">
        <v>0.30208333333333331</v>
      </c>
      <c r="M3" s="7">
        <v>0.30486111111111108</v>
      </c>
      <c r="N3" s="2" t="s">
        <v>173</v>
      </c>
      <c r="O3" s="8" t="s">
        <v>171</v>
      </c>
      <c r="P3" s="4">
        <v>982</v>
      </c>
      <c r="Q3" s="8">
        <v>652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43810</v>
      </c>
      <c r="B4" s="4" t="s">
        <v>21</v>
      </c>
      <c r="C4" s="4" t="s">
        <v>89</v>
      </c>
      <c r="D4" s="4" t="s">
        <v>23</v>
      </c>
      <c r="E4" s="4" t="str">
        <f>E2</f>
        <v>HALWJ</v>
      </c>
      <c r="F4" s="4" t="s">
        <v>25</v>
      </c>
      <c r="G4" s="5">
        <v>71500</v>
      </c>
      <c r="H4" s="4" t="s">
        <v>26</v>
      </c>
      <c r="I4" s="4" t="s">
        <v>27</v>
      </c>
      <c r="J4" s="6">
        <v>0.65972222222222221</v>
      </c>
      <c r="K4" s="1">
        <v>0.65069444444444446</v>
      </c>
      <c r="L4" s="6">
        <v>0.49305555555555558</v>
      </c>
      <c r="M4" s="7">
        <v>0.49513888888888885</v>
      </c>
      <c r="N4" s="2" t="s">
        <v>176</v>
      </c>
      <c r="O4" s="8" t="s">
        <v>174</v>
      </c>
      <c r="P4" s="8">
        <v>804</v>
      </c>
      <c r="Q4" s="8">
        <v>565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f>A4</f>
        <v>43810</v>
      </c>
      <c r="B5" s="4" t="s">
        <v>21</v>
      </c>
      <c r="C5" s="4" t="s">
        <v>90</v>
      </c>
      <c r="D5" s="4" t="s">
        <v>23</v>
      </c>
      <c r="E5" s="4" t="str">
        <f>E3</f>
        <v>HALYC</v>
      </c>
      <c r="F5" s="4" t="s">
        <v>25</v>
      </c>
      <c r="G5" s="5">
        <v>71500</v>
      </c>
      <c r="H5" s="4" t="s">
        <v>29</v>
      </c>
      <c r="I5" s="4" t="s">
        <v>30</v>
      </c>
      <c r="J5" s="6">
        <v>0.77083333333333337</v>
      </c>
      <c r="K5" s="1">
        <v>0.76041666666666663</v>
      </c>
      <c r="L5" s="6">
        <v>0.53819444444444442</v>
      </c>
      <c r="M5" s="7">
        <v>0.53680555555555554</v>
      </c>
      <c r="N5" s="2" t="s">
        <v>178</v>
      </c>
      <c r="O5" s="8" t="s">
        <v>175</v>
      </c>
      <c r="P5" s="4">
        <v>784</v>
      </c>
      <c r="Q5" s="8">
        <v>1270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f>A5</f>
        <v>43810</v>
      </c>
      <c r="B6" s="4" t="s">
        <v>21</v>
      </c>
      <c r="C6" s="2" t="s">
        <v>91</v>
      </c>
      <c r="D6" s="2" t="s">
        <v>23</v>
      </c>
      <c r="E6" s="4" t="str">
        <f>E4</f>
        <v>HALWJ</v>
      </c>
      <c r="F6" s="2" t="s">
        <v>25</v>
      </c>
      <c r="G6" s="5">
        <f>G4</f>
        <v>71500</v>
      </c>
      <c r="H6" s="2" t="s">
        <v>32</v>
      </c>
      <c r="I6" s="2" t="s">
        <v>33</v>
      </c>
      <c r="J6" s="9">
        <v>0.86805555555555547</v>
      </c>
      <c r="K6" s="1">
        <v>0.85555555555555562</v>
      </c>
      <c r="L6" s="9">
        <v>0.68055555555555547</v>
      </c>
      <c r="M6" s="1">
        <v>0.68611111111111101</v>
      </c>
      <c r="N6" s="2" t="s">
        <v>179</v>
      </c>
      <c r="O6" s="2" t="s">
        <v>177</v>
      </c>
      <c r="P6" s="2">
        <v>916</v>
      </c>
      <c r="Q6" s="8">
        <v>685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/>
      <c r="B7" s="4"/>
      <c r="C7" s="2"/>
      <c r="D7" s="2"/>
      <c r="E7" s="4"/>
      <c r="F7" s="2"/>
      <c r="G7" s="5"/>
      <c r="H7" s="2"/>
      <c r="I7" s="2"/>
      <c r="J7" s="9"/>
      <c r="K7" s="9"/>
      <c r="L7" s="2"/>
      <c r="M7" s="2"/>
      <c r="N7" s="2"/>
      <c r="O7" s="2"/>
      <c r="P7" s="2"/>
      <c r="Q7" s="2"/>
      <c r="R7" s="2"/>
      <c r="S7" s="2"/>
      <c r="T7" s="2"/>
      <c r="U7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6" sqref="K6"/>
    </sheetView>
  </sheetViews>
  <sheetFormatPr defaultRowHeight="15" x14ac:dyDescent="0.25"/>
  <cols>
    <col min="4" max="4" width="5.710937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">
        <v>43782</v>
      </c>
      <c r="B2" s="4" t="s">
        <v>21</v>
      </c>
      <c r="C2" s="4" t="s">
        <v>87</v>
      </c>
      <c r="D2" s="4" t="s">
        <v>23</v>
      </c>
      <c r="E2" s="4" t="s">
        <v>182</v>
      </c>
      <c r="F2" s="4" t="s">
        <v>25</v>
      </c>
      <c r="G2" s="5" t="s">
        <v>185</v>
      </c>
      <c r="H2" s="4" t="s">
        <v>47</v>
      </c>
      <c r="I2" s="4" t="s">
        <v>48</v>
      </c>
      <c r="J2" s="6">
        <v>0.46180555555555558</v>
      </c>
      <c r="K2" s="7">
        <v>0.45416666666666666</v>
      </c>
      <c r="L2" s="6">
        <v>0.25694444444444448</v>
      </c>
      <c r="M2" s="7">
        <v>0.25972222222222224</v>
      </c>
      <c r="N2" s="2" t="s">
        <v>188</v>
      </c>
      <c r="O2" s="8" t="s">
        <v>186</v>
      </c>
      <c r="P2" s="8">
        <v>926</v>
      </c>
      <c r="Q2" s="8">
        <v>864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43782</v>
      </c>
      <c r="B3" s="4" t="s">
        <v>21</v>
      </c>
      <c r="C3" s="4" t="s">
        <v>88</v>
      </c>
      <c r="D3" s="4" t="s">
        <v>23</v>
      </c>
      <c r="E3" s="4" t="s">
        <v>183</v>
      </c>
      <c r="F3" s="4" t="s">
        <v>25</v>
      </c>
      <c r="G3" s="5">
        <v>71500</v>
      </c>
      <c r="H3" s="4" t="s">
        <v>50</v>
      </c>
      <c r="I3" s="4" t="s">
        <v>51</v>
      </c>
      <c r="J3" s="6">
        <v>0.50694444444444442</v>
      </c>
      <c r="K3" s="7">
        <v>0.49583333333333335</v>
      </c>
      <c r="L3" s="6">
        <v>0.30208333333333331</v>
      </c>
      <c r="M3" s="7">
        <v>0.30833333333333335</v>
      </c>
      <c r="N3" s="2" t="s">
        <v>36</v>
      </c>
      <c r="O3" s="8" t="s">
        <v>187</v>
      </c>
      <c r="P3" s="4">
        <v>934</v>
      </c>
      <c r="Q3" s="8">
        <v>679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 t="shared" ref="A4:A6" si="0">A3</f>
        <v>43782</v>
      </c>
      <c r="B4" s="2" t="s">
        <v>21</v>
      </c>
      <c r="C4" s="2" t="s">
        <v>22</v>
      </c>
      <c r="D4" s="2" t="s">
        <v>23</v>
      </c>
      <c r="E4" s="4" t="s">
        <v>184</v>
      </c>
      <c r="F4" s="2" t="s">
        <v>25</v>
      </c>
      <c r="G4" s="5">
        <v>70000</v>
      </c>
      <c r="H4" s="4" t="s">
        <v>26</v>
      </c>
      <c r="I4" s="4" t="s">
        <v>27</v>
      </c>
      <c r="J4" s="11">
        <v>0.65972222222222221</v>
      </c>
      <c r="K4" s="1">
        <v>0.65486111111111112</v>
      </c>
      <c r="L4" s="11">
        <v>0.49305555555555558</v>
      </c>
      <c r="M4" s="12">
        <v>0.49652777777777773</v>
      </c>
      <c r="N4" s="2" t="s">
        <v>191</v>
      </c>
      <c r="O4" s="10" t="s">
        <v>189</v>
      </c>
      <c r="P4" s="10">
        <v>849</v>
      </c>
      <c r="Q4" s="8">
        <v>528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 t="shared" si="0"/>
        <v>43782</v>
      </c>
      <c r="B5" s="2" t="s">
        <v>21</v>
      </c>
      <c r="C5" s="2" t="s">
        <v>180</v>
      </c>
      <c r="D5" s="2" t="s">
        <v>23</v>
      </c>
      <c r="E5" s="4" t="s">
        <v>129</v>
      </c>
      <c r="F5" s="2" t="s">
        <v>25</v>
      </c>
      <c r="G5" s="5">
        <v>71500</v>
      </c>
      <c r="H5" s="2" t="s">
        <v>53</v>
      </c>
      <c r="I5" s="2" t="s">
        <v>54</v>
      </c>
      <c r="J5" s="9">
        <v>0.68055555555555547</v>
      </c>
      <c r="K5" s="1">
        <v>0.67361111111111116</v>
      </c>
      <c r="L5" s="9">
        <v>0.52777777777777779</v>
      </c>
      <c r="M5" s="1">
        <v>0.53055555555555556</v>
      </c>
      <c r="N5" s="2" t="s">
        <v>179</v>
      </c>
      <c r="O5" s="2" t="s">
        <v>190</v>
      </c>
      <c r="P5" s="2">
        <v>816</v>
      </c>
      <c r="Q5" s="8">
        <v>498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f t="shared" si="0"/>
        <v>43782</v>
      </c>
      <c r="B6" s="2" t="s">
        <v>21</v>
      </c>
      <c r="C6" s="2" t="s">
        <v>181</v>
      </c>
      <c r="D6" s="2" t="s">
        <v>23</v>
      </c>
      <c r="E6" s="4" t="s">
        <v>184</v>
      </c>
      <c r="F6" s="2" t="s">
        <v>25</v>
      </c>
      <c r="G6" s="5">
        <v>70000</v>
      </c>
      <c r="H6" s="4" t="s">
        <v>56</v>
      </c>
      <c r="I6" s="4" t="s">
        <v>57</v>
      </c>
      <c r="J6" s="11">
        <v>0.91319444444444453</v>
      </c>
      <c r="K6" s="1">
        <v>0.90625</v>
      </c>
      <c r="L6" s="11">
        <v>0.69097222222222221</v>
      </c>
      <c r="M6" s="12">
        <v>0.69444444444444453</v>
      </c>
      <c r="N6" s="2" t="s">
        <v>192</v>
      </c>
      <c r="O6" s="10" t="s">
        <v>193</v>
      </c>
      <c r="P6" s="10">
        <v>574</v>
      </c>
      <c r="Q6" s="8">
        <v>345</v>
      </c>
      <c r="R6" s="2">
        <v>0</v>
      </c>
      <c r="S6" s="2">
        <v>0</v>
      </c>
      <c r="T6" s="2">
        <v>0</v>
      </c>
      <c r="U6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activeCell="N5" sqref="N5"/>
    </sheetView>
  </sheetViews>
  <sheetFormatPr defaultRowHeight="15" x14ac:dyDescent="0.25"/>
  <cols>
    <col min="1" max="1" width="10.140625" bestFit="1" customWidth="1"/>
    <col min="3" max="3" width="13.42578125" bestFit="1" customWidth="1"/>
    <col min="4" max="4" width="5.7109375" bestFit="1" customWidth="1"/>
    <col min="5" max="5" width="7.42578125" bestFit="1" customWidth="1"/>
    <col min="6" max="6" width="12.140625" bestFit="1" customWidth="1"/>
    <col min="14" max="15" width="18.42578125" bestFit="1" customWidth="1"/>
  </cols>
  <sheetData>
    <row r="1" spans="1:22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2" x14ac:dyDescent="0.25">
      <c r="A2" s="3">
        <v>43813</v>
      </c>
      <c r="B2" s="4" t="s">
        <v>21</v>
      </c>
      <c r="C2" s="4" t="s">
        <v>117</v>
      </c>
      <c r="D2" s="4" t="s">
        <v>23</v>
      </c>
      <c r="E2" s="4" t="s">
        <v>129</v>
      </c>
      <c r="F2" s="4" t="s">
        <v>25</v>
      </c>
      <c r="G2" s="5">
        <v>71500</v>
      </c>
      <c r="H2" s="4" t="s">
        <v>72</v>
      </c>
      <c r="I2" s="4" t="s">
        <v>76</v>
      </c>
      <c r="J2" s="6">
        <v>0.50694444444444442</v>
      </c>
      <c r="K2" s="7">
        <v>0.50763888888888886</v>
      </c>
      <c r="L2" s="6">
        <v>0.32291666666666669</v>
      </c>
      <c r="M2" s="7">
        <v>0.32430555555555557</v>
      </c>
      <c r="N2" s="2" t="s">
        <v>195</v>
      </c>
      <c r="O2" s="8" t="s">
        <v>194</v>
      </c>
      <c r="P2" s="8">
        <v>1068</v>
      </c>
      <c r="Q2" s="8">
        <v>900</v>
      </c>
      <c r="R2" s="4">
        <v>0</v>
      </c>
      <c r="S2" s="4">
        <v>0</v>
      </c>
      <c r="T2" s="4">
        <v>0</v>
      </c>
      <c r="U2" s="4">
        <v>0</v>
      </c>
    </row>
    <row r="3" spans="1:22" x14ac:dyDescent="0.25">
      <c r="A3" s="3">
        <v>43813</v>
      </c>
      <c r="B3" s="4" t="s">
        <v>21</v>
      </c>
      <c r="C3" s="4" t="s">
        <v>118</v>
      </c>
      <c r="D3" s="4" t="s">
        <v>23</v>
      </c>
      <c r="E3" s="4" t="s">
        <v>184</v>
      </c>
      <c r="F3" s="4" t="s">
        <v>25</v>
      </c>
      <c r="G3" s="5">
        <v>70000</v>
      </c>
      <c r="H3" s="4" t="s">
        <v>73</v>
      </c>
      <c r="I3" s="4" t="s">
        <v>77</v>
      </c>
      <c r="J3" s="6">
        <v>0.71527777777777779</v>
      </c>
      <c r="K3" s="7">
        <v>0.7368055555555556</v>
      </c>
      <c r="L3" s="6">
        <v>0.5</v>
      </c>
      <c r="M3" s="7">
        <v>0.50902777777777775</v>
      </c>
      <c r="N3" s="2" t="s">
        <v>198</v>
      </c>
      <c r="O3" s="8" t="s">
        <v>196</v>
      </c>
      <c r="P3" s="10">
        <v>963</v>
      </c>
      <c r="Q3" s="8">
        <v>1095</v>
      </c>
      <c r="R3" s="4">
        <v>0</v>
      </c>
      <c r="S3" s="4">
        <v>0</v>
      </c>
      <c r="T3" s="4">
        <v>0</v>
      </c>
      <c r="U3" s="4">
        <v>0</v>
      </c>
    </row>
    <row r="4" spans="1:22" x14ac:dyDescent="0.25">
      <c r="A4" s="3">
        <v>43813</v>
      </c>
      <c r="B4" s="2" t="s">
        <v>21</v>
      </c>
      <c r="C4" s="2" t="s">
        <v>119</v>
      </c>
      <c r="D4" s="2" t="s">
        <v>23</v>
      </c>
      <c r="E4" s="4" t="s">
        <v>129</v>
      </c>
      <c r="F4" s="2" t="s">
        <v>25</v>
      </c>
      <c r="G4" s="5">
        <v>71500</v>
      </c>
      <c r="H4" s="4" t="s">
        <v>74</v>
      </c>
      <c r="I4" s="4" t="s">
        <v>78</v>
      </c>
      <c r="J4" s="11">
        <v>0.68402777777777779</v>
      </c>
      <c r="K4" s="1">
        <v>0.67708333333333337</v>
      </c>
      <c r="L4" s="11">
        <v>0.52777777777777779</v>
      </c>
      <c r="M4" s="12">
        <v>0.54305555555555551</v>
      </c>
      <c r="N4" s="2" t="s">
        <v>199</v>
      </c>
      <c r="O4" s="10" t="s">
        <v>197</v>
      </c>
      <c r="P4" s="4">
        <v>1398</v>
      </c>
      <c r="Q4" s="8">
        <v>905</v>
      </c>
      <c r="R4" s="2">
        <v>0</v>
      </c>
      <c r="S4" s="2">
        <v>0</v>
      </c>
      <c r="T4" s="2">
        <v>0</v>
      </c>
      <c r="U4" s="2">
        <v>0</v>
      </c>
    </row>
    <row r="5" spans="1:22" x14ac:dyDescent="0.25">
      <c r="A5" s="3">
        <v>43813</v>
      </c>
      <c r="B5" s="2" t="s">
        <v>21</v>
      </c>
      <c r="C5" s="2" t="s">
        <v>120</v>
      </c>
      <c r="D5" s="2" t="s">
        <v>23</v>
      </c>
      <c r="E5" s="4" t="s">
        <v>129</v>
      </c>
      <c r="F5" s="2" t="s">
        <v>25</v>
      </c>
      <c r="G5" s="5">
        <v>71500</v>
      </c>
      <c r="H5" s="2" t="s">
        <v>75</v>
      </c>
      <c r="I5" s="2" t="s">
        <v>79</v>
      </c>
      <c r="J5" s="9">
        <v>0.94444444444444453</v>
      </c>
      <c r="K5" s="28"/>
      <c r="L5" s="9">
        <v>0.77430555555555547</v>
      </c>
      <c r="M5" s="1">
        <v>0.76736111111111116</v>
      </c>
      <c r="N5" s="29" t="s">
        <v>142</v>
      </c>
      <c r="O5" s="2" t="s">
        <v>113</v>
      </c>
      <c r="P5" s="29"/>
      <c r="Q5" s="8">
        <v>395</v>
      </c>
      <c r="R5" s="2">
        <v>0</v>
      </c>
      <c r="S5" s="2">
        <v>0</v>
      </c>
      <c r="T5" s="2">
        <v>0</v>
      </c>
      <c r="U5" s="2">
        <v>0</v>
      </c>
    </row>
    <row r="6" spans="1:22" x14ac:dyDescent="0.25">
      <c r="A6" s="18"/>
      <c r="B6" s="19"/>
      <c r="C6" s="19"/>
      <c r="D6" s="19"/>
      <c r="E6" s="19"/>
      <c r="F6" s="19"/>
      <c r="G6" s="13"/>
      <c r="H6" s="10"/>
      <c r="I6" s="10"/>
      <c r="J6" s="12"/>
      <c r="K6" s="12"/>
      <c r="L6" s="12"/>
      <c r="M6" s="12"/>
      <c r="N6" s="10"/>
      <c r="O6" s="10"/>
      <c r="P6" s="10"/>
      <c r="Q6" s="10"/>
      <c r="R6" s="10"/>
      <c r="S6" s="10"/>
      <c r="T6" s="10"/>
      <c r="U6" s="10"/>
      <c r="V6" s="20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6" sqref="A6:T6"/>
    </sheetView>
  </sheetViews>
  <sheetFormatPr defaultRowHeight="15" x14ac:dyDescent="0.25"/>
  <cols>
    <col min="1" max="1" width="8.7109375" bestFit="1" customWidth="1"/>
    <col min="2" max="2" width="14.28515625" bestFit="1" customWidth="1"/>
    <col min="3" max="3" width="16.42578125" bestFit="1" customWidth="1"/>
    <col min="4" max="4" width="5.7109375" bestFit="1" customWidth="1"/>
    <col min="5" max="5" width="8.140625" bestFit="1" customWidth="1"/>
    <col min="6" max="6" width="16.5703125" bestFit="1" customWidth="1"/>
    <col min="7" max="7" width="9.7109375" bestFit="1" customWidth="1"/>
    <col min="10" max="10" width="11" bestFit="1" customWidth="1"/>
    <col min="11" max="11" width="11.71093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6" width="11.7109375" bestFit="1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3">
        <v>43814</v>
      </c>
      <c r="B2" s="4" t="s">
        <v>21</v>
      </c>
      <c r="C2" s="4" t="s">
        <v>22</v>
      </c>
      <c r="D2" s="4" t="s">
        <v>23</v>
      </c>
      <c r="E2" s="4" t="s">
        <v>184</v>
      </c>
      <c r="F2" s="4" t="s">
        <v>25</v>
      </c>
      <c r="G2" s="5">
        <v>70000</v>
      </c>
      <c r="H2" s="4" t="s">
        <v>26</v>
      </c>
      <c r="I2" s="4" t="s">
        <v>27</v>
      </c>
      <c r="J2" s="6">
        <v>0.65972222222222221</v>
      </c>
      <c r="K2" s="1">
        <v>0.65347222222222223</v>
      </c>
      <c r="L2" s="6">
        <v>0.49305555555555558</v>
      </c>
      <c r="M2" s="7">
        <v>0.49861111111111112</v>
      </c>
      <c r="N2" s="2" t="s">
        <v>202</v>
      </c>
      <c r="O2" s="8" t="s">
        <v>200</v>
      </c>
      <c r="P2" s="8">
        <v>805</v>
      </c>
      <c r="Q2" s="8">
        <v>554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43814</v>
      </c>
      <c r="B3" s="4" t="s">
        <v>21</v>
      </c>
      <c r="C3" s="4" t="s">
        <v>28</v>
      </c>
      <c r="D3" s="4" t="s">
        <v>23</v>
      </c>
      <c r="E3" s="4" t="str">
        <f>E5</f>
        <v>HALYC</v>
      </c>
      <c r="F3" s="4" t="s">
        <v>25</v>
      </c>
      <c r="G3" s="5">
        <v>71500</v>
      </c>
      <c r="H3" s="4" t="s">
        <v>29</v>
      </c>
      <c r="I3" s="4" t="s">
        <v>30</v>
      </c>
      <c r="J3" s="6">
        <v>0.77083333333333337</v>
      </c>
      <c r="K3" s="1">
        <v>0.78749999999999998</v>
      </c>
      <c r="L3" s="6">
        <v>0.53819444444444442</v>
      </c>
      <c r="M3" s="7">
        <v>0.54305555555555551</v>
      </c>
      <c r="N3" s="2" t="s">
        <v>203</v>
      </c>
      <c r="O3" s="8" t="s">
        <v>201</v>
      </c>
      <c r="P3" s="4">
        <v>1171</v>
      </c>
      <c r="Q3" s="8">
        <v>1311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43814</v>
      </c>
      <c r="B4" s="4" t="s">
        <v>21</v>
      </c>
      <c r="C4" s="4" t="s">
        <v>31</v>
      </c>
      <c r="D4" s="2" t="s">
        <v>23</v>
      </c>
      <c r="E4" s="4" t="str">
        <f>E2</f>
        <v>HALWC</v>
      </c>
      <c r="F4" s="2" t="s">
        <v>25</v>
      </c>
      <c r="G4" s="5">
        <f>G2</f>
        <v>70000</v>
      </c>
      <c r="H4" s="2" t="s">
        <v>32</v>
      </c>
      <c r="I4" s="2" t="s">
        <v>33</v>
      </c>
      <c r="J4" s="9">
        <v>0.86805555555555547</v>
      </c>
      <c r="K4" s="1">
        <v>0.86458333333333337</v>
      </c>
      <c r="L4" s="9">
        <v>0.68055555555555547</v>
      </c>
      <c r="M4" s="1">
        <v>0.68611111111111101</v>
      </c>
      <c r="N4" s="2" t="s">
        <v>213</v>
      </c>
      <c r="O4" s="2" t="s">
        <v>204</v>
      </c>
      <c r="P4" s="2">
        <v>1234</v>
      </c>
      <c r="Q4" s="8">
        <v>898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>A4</f>
        <v>43814</v>
      </c>
      <c r="B5" s="2" t="s">
        <v>21</v>
      </c>
      <c r="C5" s="2" t="s">
        <v>143</v>
      </c>
      <c r="D5" s="2" t="s">
        <v>23</v>
      </c>
      <c r="E5" s="4" t="s">
        <v>129</v>
      </c>
      <c r="F5" s="2" t="s">
        <v>115</v>
      </c>
      <c r="G5" s="5">
        <f>G3</f>
        <v>71500</v>
      </c>
      <c r="H5" s="2" t="s">
        <v>131</v>
      </c>
      <c r="I5" s="2" t="s">
        <v>131</v>
      </c>
      <c r="J5" s="9">
        <v>0.52777777777777779</v>
      </c>
      <c r="K5" s="1">
        <v>0.50416666666666665</v>
      </c>
      <c r="L5" s="9" t="s">
        <v>116</v>
      </c>
      <c r="M5" s="1" t="s">
        <v>116</v>
      </c>
      <c r="N5" s="2">
        <v>0</v>
      </c>
      <c r="O5" s="2" t="s">
        <v>116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v>43814</v>
      </c>
      <c r="B6" s="2" t="s">
        <v>205</v>
      </c>
      <c r="C6" s="2" t="s">
        <v>206</v>
      </c>
      <c r="D6" s="2" t="s">
        <v>207</v>
      </c>
      <c r="E6" s="4" t="s">
        <v>208</v>
      </c>
      <c r="F6" s="2" t="s">
        <v>209</v>
      </c>
      <c r="G6" s="5">
        <v>70000</v>
      </c>
      <c r="H6" s="4" t="s">
        <v>210</v>
      </c>
      <c r="I6" s="4" t="s">
        <v>116</v>
      </c>
      <c r="J6" s="11">
        <v>0.74236111111111114</v>
      </c>
      <c r="K6" s="1">
        <v>0.74236111111111114</v>
      </c>
      <c r="L6" s="11" t="s">
        <v>211</v>
      </c>
      <c r="M6" s="12" t="s">
        <v>211</v>
      </c>
      <c r="N6" s="2" t="s">
        <v>212</v>
      </c>
      <c r="O6" s="10" t="s">
        <v>116</v>
      </c>
      <c r="P6" s="10">
        <v>258</v>
      </c>
      <c r="Q6" s="8">
        <v>0</v>
      </c>
      <c r="R6" s="2">
        <v>0</v>
      </c>
      <c r="S6" s="2">
        <v>0</v>
      </c>
      <c r="T6" s="2">
        <v>0</v>
      </c>
      <c r="U6" s="2"/>
    </row>
    <row r="7" spans="1:21" x14ac:dyDescent="0.25">
      <c r="A7" s="3"/>
      <c r="B7" s="10"/>
      <c r="C7" s="10"/>
      <c r="D7" s="10"/>
      <c r="E7" s="4"/>
      <c r="F7" s="10"/>
      <c r="G7" s="5"/>
      <c r="H7" s="10"/>
      <c r="I7" s="10"/>
      <c r="J7" s="11"/>
      <c r="K7" s="1"/>
      <c r="L7" s="11"/>
      <c r="M7" s="12"/>
      <c r="N7" s="2"/>
      <c r="O7" s="2"/>
      <c r="P7" s="2"/>
      <c r="Q7" s="8"/>
      <c r="R7" s="10"/>
      <c r="S7" s="10"/>
      <c r="T7" s="10"/>
      <c r="U7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L5" sqref="L5"/>
    </sheetView>
  </sheetViews>
  <sheetFormatPr defaultRowHeight="15" x14ac:dyDescent="0.25"/>
  <cols>
    <col min="1" max="1" width="8.7109375" bestFit="1" customWidth="1"/>
    <col min="2" max="2" width="14.140625" bestFit="1" customWidth="1"/>
    <col min="3" max="3" width="15" bestFit="1" customWidth="1"/>
    <col min="4" max="4" width="5.7109375" bestFit="1" customWidth="1"/>
    <col min="6" max="6" width="11.28515625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3">
        <v>43815</v>
      </c>
      <c r="B2" s="4" t="s">
        <v>21</v>
      </c>
      <c r="C2" s="10" t="s">
        <v>46</v>
      </c>
      <c r="D2" s="10" t="s">
        <v>23</v>
      </c>
      <c r="E2" s="10" t="s">
        <v>145</v>
      </c>
      <c r="F2" s="4" t="s">
        <v>25</v>
      </c>
      <c r="G2" s="13">
        <v>71500</v>
      </c>
      <c r="H2" s="10" t="s">
        <v>47</v>
      </c>
      <c r="I2" s="10" t="s">
        <v>48</v>
      </c>
      <c r="J2" s="11">
        <v>0.46180555555555558</v>
      </c>
      <c r="K2" s="12">
        <v>0.46597222222222223</v>
      </c>
      <c r="L2" s="11">
        <v>0.25694444444444448</v>
      </c>
      <c r="M2" s="12">
        <v>0.26666666666666666</v>
      </c>
      <c r="N2" s="10" t="s">
        <v>219</v>
      </c>
      <c r="O2" s="10" t="s">
        <v>215</v>
      </c>
      <c r="P2" s="10">
        <v>1100</v>
      </c>
      <c r="Q2" s="10">
        <v>707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3">
        <f>A2</f>
        <v>43815</v>
      </c>
      <c r="B3" s="4" t="s">
        <v>21</v>
      </c>
      <c r="C3" s="10" t="s">
        <v>49</v>
      </c>
      <c r="D3" s="10" t="s">
        <v>23</v>
      </c>
      <c r="E3" s="10" t="s">
        <v>214</v>
      </c>
      <c r="F3" s="4" t="s">
        <v>25</v>
      </c>
      <c r="G3" s="13">
        <v>70000</v>
      </c>
      <c r="H3" s="10" t="s">
        <v>50</v>
      </c>
      <c r="I3" s="10" t="s">
        <v>51</v>
      </c>
      <c r="J3" s="11">
        <v>0.50694444444444442</v>
      </c>
      <c r="K3" s="12">
        <v>0.49722222222222223</v>
      </c>
      <c r="L3" s="11">
        <v>0.30208333333333331</v>
      </c>
      <c r="M3" s="12">
        <v>0.30486111111111108</v>
      </c>
      <c r="N3" s="10" t="s">
        <v>220</v>
      </c>
      <c r="O3" s="10" t="s">
        <v>216</v>
      </c>
      <c r="P3" s="10">
        <v>1177</v>
      </c>
      <c r="Q3" s="10">
        <v>962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3">
        <f>A3</f>
        <v>43815</v>
      </c>
      <c r="B4" s="4" t="s">
        <v>21</v>
      </c>
      <c r="C4" s="10" t="s">
        <v>52</v>
      </c>
      <c r="D4" s="10" t="s">
        <v>23</v>
      </c>
      <c r="E4" s="10" t="s">
        <v>214</v>
      </c>
      <c r="F4" s="4" t="s">
        <v>25</v>
      </c>
      <c r="G4" s="13">
        <v>70000</v>
      </c>
      <c r="H4" s="10" t="s">
        <v>53</v>
      </c>
      <c r="I4" s="10" t="s">
        <v>54</v>
      </c>
      <c r="J4" s="11">
        <v>0.68055555555555547</v>
      </c>
      <c r="K4" s="12">
        <v>0.66388888888888886</v>
      </c>
      <c r="L4" s="11">
        <v>0.52777777777777779</v>
      </c>
      <c r="M4" s="12">
        <v>0.52986111111111112</v>
      </c>
      <c r="N4" s="10" t="s">
        <v>222</v>
      </c>
      <c r="O4" s="10" t="s">
        <v>221</v>
      </c>
      <c r="P4" s="10">
        <v>902</v>
      </c>
      <c r="Q4" s="10">
        <v>520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3">
        <f>A4</f>
        <v>43815</v>
      </c>
      <c r="B5" s="4" t="str">
        <f>B4</f>
        <v>WIZZAIR</v>
      </c>
      <c r="C5" s="10" t="s">
        <v>55</v>
      </c>
      <c r="D5" s="10" t="s">
        <v>23</v>
      </c>
      <c r="E5" s="10" t="s">
        <v>145</v>
      </c>
      <c r="F5" s="4" t="s">
        <v>25</v>
      </c>
      <c r="G5" s="13">
        <v>71500</v>
      </c>
      <c r="H5" s="10" t="s">
        <v>56</v>
      </c>
      <c r="I5" s="10" t="s">
        <v>57</v>
      </c>
      <c r="J5" s="11">
        <v>0.91319444444444453</v>
      </c>
      <c r="K5" s="12">
        <v>0.92361111111111116</v>
      </c>
      <c r="L5" s="11">
        <v>0.69097222222222221</v>
      </c>
      <c r="M5" s="12">
        <v>0.69097222222222221</v>
      </c>
      <c r="N5" s="10" t="s">
        <v>226</v>
      </c>
      <c r="O5" s="10" t="s">
        <v>225</v>
      </c>
      <c r="P5" s="10">
        <v>931</v>
      </c>
      <c r="Q5" s="10">
        <v>476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5">
      <c r="A6" s="3">
        <v>43815</v>
      </c>
      <c r="B6" s="2" t="s">
        <v>205</v>
      </c>
      <c r="C6" s="2" t="s">
        <v>224</v>
      </c>
      <c r="D6" s="2" t="s">
        <v>207</v>
      </c>
      <c r="E6" s="4" t="s">
        <v>208</v>
      </c>
      <c r="F6" s="2" t="s">
        <v>223</v>
      </c>
      <c r="G6" s="5">
        <v>70000</v>
      </c>
      <c r="H6" s="4" t="s">
        <v>211</v>
      </c>
      <c r="I6" s="4" t="s">
        <v>217</v>
      </c>
      <c r="J6" s="11" t="s">
        <v>211</v>
      </c>
      <c r="K6" s="1" t="s">
        <v>211</v>
      </c>
      <c r="L6" s="11">
        <v>0.33333333333333331</v>
      </c>
      <c r="M6" s="12">
        <v>0.3527777777777778</v>
      </c>
      <c r="N6" s="2">
        <v>0</v>
      </c>
      <c r="O6" s="10">
        <v>0</v>
      </c>
      <c r="P6" s="10">
        <v>0</v>
      </c>
      <c r="Q6" s="8">
        <v>0</v>
      </c>
      <c r="R6" s="2">
        <v>0</v>
      </c>
      <c r="S6" s="2">
        <v>0</v>
      </c>
      <c r="T6" s="2">
        <v>0</v>
      </c>
      <c r="U6" s="10">
        <v>0</v>
      </c>
    </row>
    <row r="7" spans="1:21" x14ac:dyDescent="0.25">
      <c r="A7" s="3">
        <v>43815</v>
      </c>
      <c r="B7" s="4" t="s">
        <v>37</v>
      </c>
      <c r="C7" s="10" t="s">
        <v>38</v>
      </c>
      <c r="D7" s="10" t="s">
        <v>39</v>
      </c>
      <c r="E7" s="10" t="s">
        <v>40</v>
      </c>
      <c r="F7" s="4" t="s">
        <v>41</v>
      </c>
      <c r="G7" s="13">
        <v>1600</v>
      </c>
      <c r="H7" s="10" t="s">
        <v>218</v>
      </c>
      <c r="I7" s="10" t="s">
        <v>218</v>
      </c>
      <c r="J7" s="11">
        <v>0.5</v>
      </c>
      <c r="K7" s="11">
        <v>0.50486111111111109</v>
      </c>
      <c r="L7" s="12">
        <v>0.54166666666666663</v>
      </c>
      <c r="M7" s="12">
        <v>0.53333333333333333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Q5" sqref="Q5"/>
    </sheetView>
  </sheetViews>
  <sheetFormatPr defaultRowHeight="15" x14ac:dyDescent="0.25"/>
  <cols>
    <col min="4" max="4" width="5.7109375" bestFit="1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3">
        <v>43816</v>
      </c>
      <c r="B2" s="4" t="s">
        <v>21</v>
      </c>
      <c r="C2" s="10" t="s">
        <v>66</v>
      </c>
      <c r="D2" s="10" t="s">
        <v>23</v>
      </c>
      <c r="E2" s="10" t="s">
        <v>129</v>
      </c>
      <c r="F2" s="4" t="s">
        <v>25</v>
      </c>
      <c r="G2" s="13">
        <v>71500</v>
      </c>
      <c r="H2" s="10" t="s">
        <v>72</v>
      </c>
      <c r="I2" s="10" t="s">
        <v>76</v>
      </c>
      <c r="J2" s="11">
        <v>0.50694444444444442</v>
      </c>
      <c r="K2" s="12" t="s">
        <v>231</v>
      </c>
      <c r="L2" s="11">
        <v>0.32291666666666669</v>
      </c>
      <c r="M2" s="12">
        <v>0.3298611111111111</v>
      </c>
      <c r="N2" s="10" t="s">
        <v>230</v>
      </c>
      <c r="O2" s="10" t="s">
        <v>227</v>
      </c>
      <c r="P2" s="10">
        <v>959</v>
      </c>
      <c r="Q2" s="10">
        <v>708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3">
        <f>A2</f>
        <v>43816</v>
      </c>
      <c r="B3" s="4" t="s">
        <v>21</v>
      </c>
      <c r="C3" s="10" t="s">
        <v>67</v>
      </c>
      <c r="D3" s="10" t="s">
        <v>23</v>
      </c>
      <c r="E3" s="10" t="s">
        <v>184</v>
      </c>
      <c r="F3" s="4" t="s">
        <v>25</v>
      </c>
      <c r="G3" s="13">
        <v>70000</v>
      </c>
      <c r="H3" s="10" t="s">
        <v>73</v>
      </c>
      <c r="I3" s="10" t="s">
        <v>77</v>
      </c>
      <c r="J3" s="11">
        <v>0.72916666666666663</v>
      </c>
      <c r="K3" s="12">
        <v>0.71875</v>
      </c>
      <c r="L3" s="11">
        <v>0.51388888888888895</v>
      </c>
      <c r="M3" s="12">
        <v>0.52222222222222225</v>
      </c>
      <c r="N3" s="10" t="s">
        <v>233</v>
      </c>
      <c r="O3" s="10" t="s">
        <v>228</v>
      </c>
      <c r="P3" s="10">
        <v>981</v>
      </c>
      <c r="Q3" s="10">
        <v>624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3">
        <f>A3</f>
        <v>43816</v>
      </c>
      <c r="B4" s="4" t="s">
        <v>21</v>
      </c>
      <c r="C4" s="10" t="s">
        <v>68</v>
      </c>
      <c r="D4" s="10" t="s">
        <v>23</v>
      </c>
      <c r="E4" s="10" t="str">
        <f>E2</f>
        <v>HALYC</v>
      </c>
      <c r="F4" s="4" t="s">
        <v>25</v>
      </c>
      <c r="G4" s="13">
        <v>71500</v>
      </c>
      <c r="H4" s="10" t="s">
        <v>74</v>
      </c>
      <c r="I4" s="10" t="s">
        <v>78</v>
      </c>
      <c r="J4" s="11">
        <v>0.68402777777777779</v>
      </c>
      <c r="K4" s="12">
        <v>0.68263888888888891</v>
      </c>
      <c r="L4" s="11">
        <v>0.52777777777777779</v>
      </c>
      <c r="M4" s="12">
        <v>0.54791666666666672</v>
      </c>
      <c r="N4" s="10" t="s">
        <v>232</v>
      </c>
      <c r="O4" s="10" t="s">
        <v>229</v>
      </c>
      <c r="P4" s="10">
        <v>1045</v>
      </c>
      <c r="Q4" s="10">
        <v>389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3">
        <f>A4</f>
        <v>43816</v>
      </c>
      <c r="B5" s="4" t="str">
        <f>B4</f>
        <v>WIZZAIR</v>
      </c>
      <c r="C5" s="10" t="s">
        <v>69</v>
      </c>
      <c r="D5" s="10" t="s">
        <v>23</v>
      </c>
      <c r="E5" s="10" t="str">
        <f>E3</f>
        <v>HALWC</v>
      </c>
      <c r="F5" s="4" t="s">
        <v>25</v>
      </c>
      <c r="G5" s="13">
        <v>70000</v>
      </c>
      <c r="H5" s="10" t="s">
        <v>75</v>
      </c>
      <c r="I5" s="10" t="s">
        <v>79</v>
      </c>
      <c r="J5" s="11">
        <v>0.94444444444444453</v>
      </c>
      <c r="K5" s="12">
        <v>0.94097222222222221</v>
      </c>
      <c r="L5" s="11">
        <v>0.77430555555555547</v>
      </c>
      <c r="M5" s="12">
        <v>0.77638888888888891</v>
      </c>
      <c r="N5" s="10" t="s">
        <v>234</v>
      </c>
      <c r="O5" s="10" t="s">
        <v>235</v>
      </c>
      <c r="P5" s="10">
        <v>803</v>
      </c>
      <c r="Q5" s="10">
        <v>446</v>
      </c>
      <c r="R5" s="10">
        <v>0</v>
      </c>
      <c r="S5" s="10">
        <v>0</v>
      </c>
      <c r="T5" s="10">
        <v>0</v>
      </c>
      <c r="U5" s="1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B5" sqref="B5"/>
    </sheetView>
  </sheetViews>
  <sheetFormatPr defaultRowHeight="15" x14ac:dyDescent="0.25"/>
  <cols>
    <col min="3" max="3" width="13.7109375" bestFit="1" customWidth="1"/>
    <col min="4" max="4" width="5.71093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">
        <v>43817</v>
      </c>
      <c r="B2" s="4" t="s">
        <v>21</v>
      </c>
      <c r="C2" s="4" t="s">
        <v>87</v>
      </c>
      <c r="D2" s="4" t="s">
        <v>23</v>
      </c>
      <c r="E2" s="4" t="s">
        <v>129</v>
      </c>
      <c r="F2" s="4" t="s">
        <v>25</v>
      </c>
      <c r="G2" s="5">
        <v>71500</v>
      </c>
      <c r="H2" s="4" t="s">
        <v>47</v>
      </c>
      <c r="I2" s="4" t="s">
        <v>48</v>
      </c>
      <c r="J2" s="6">
        <v>0.46180555555555558</v>
      </c>
      <c r="K2" s="7">
        <v>0.46388888888888885</v>
      </c>
      <c r="L2" s="6">
        <v>0.25694444444444448</v>
      </c>
      <c r="M2" s="7">
        <v>0.26597222222222222</v>
      </c>
      <c r="N2" s="2" t="s">
        <v>238</v>
      </c>
      <c r="O2" s="8" t="s">
        <v>236</v>
      </c>
      <c r="P2" s="8">
        <v>999</v>
      </c>
      <c r="Q2" s="8">
        <v>526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43817</v>
      </c>
      <c r="B3" s="4" t="s">
        <v>21</v>
      </c>
      <c r="C3" s="4" t="s">
        <v>88</v>
      </c>
      <c r="D3" s="4" t="s">
        <v>23</v>
      </c>
      <c r="E3" s="4" t="s">
        <v>184</v>
      </c>
      <c r="F3" s="4" t="s">
        <v>25</v>
      </c>
      <c r="G3" s="5">
        <v>70000</v>
      </c>
      <c r="H3" s="4" t="s">
        <v>50</v>
      </c>
      <c r="I3" s="4" t="s">
        <v>51</v>
      </c>
      <c r="J3" s="6">
        <v>0.50694444444444442</v>
      </c>
      <c r="K3" s="7">
        <v>0.49444444444444446</v>
      </c>
      <c r="L3" s="6">
        <v>0.30208333333333331</v>
      </c>
      <c r="M3" s="7">
        <v>0.29930555555555555</v>
      </c>
      <c r="N3" s="2" t="s">
        <v>239</v>
      </c>
      <c r="O3" s="8" t="s">
        <v>237</v>
      </c>
      <c r="P3" s="4">
        <v>944</v>
      </c>
      <c r="Q3" s="8">
        <v>369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43817</v>
      </c>
      <c r="B4" s="4" t="s">
        <v>21</v>
      </c>
      <c r="C4" s="4" t="s">
        <v>89</v>
      </c>
      <c r="D4" s="4" t="s">
        <v>23</v>
      </c>
      <c r="E4" s="4" t="str">
        <f>E2</f>
        <v>HALYC</v>
      </c>
      <c r="F4" s="4" t="s">
        <v>25</v>
      </c>
      <c r="G4" s="5">
        <v>71500</v>
      </c>
      <c r="H4" s="4" t="s">
        <v>26</v>
      </c>
      <c r="I4" s="4" t="s">
        <v>27</v>
      </c>
      <c r="J4" s="6">
        <v>0.65972222222222221</v>
      </c>
      <c r="K4" s="1">
        <v>0.65</v>
      </c>
      <c r="L4" s="6">
        <v>0.49305555555555558</v>
      </c>
      <c r="M4" s="7">
        <v>0.49722222222222223</v>
      </c>
      <c r="N4" s="2" t="s">
        <v>243</v>
      </c>
      <c r="O4" s="8" t="s">
        <v>240</v>
      </c>
      <c r="P4" s="8">
        <v>833</v>
      </c>
      <c r="Q4" s="8">
        <v>434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f>A4</f>
        <v>43817</v>
      </c>
      <c r="B5" s="4" t="s">
        <v>21</v>
      </c>
      <c r="C5" s="4" t="s">
        <v>90</v>
      </c>
      <c r="D5" s="4" t="s">
        <v>23</v>
      </c>
      <c r="E5" s="4" t="str">
        <f>E3</f>
        <v>HALWC</v>
      </c>
      <c r="F5" s="4" t="s">
        <v>25</v>
      </c>
      <c r="G5" s="5">
        <v>70000</v>
      </c>
      <c r="H5" s="4" t="s">
        <v>29</v>
      </c>
      <c r="I5" s="4" t="s">
        <v>30</v>
      </c>
      <c r="J5" s="6">
        <v>0.77083333333333337</v>
      </c>
      <c r="K5" s="1">
        <v>0.77361111111111114</v>
      </c>
      <c r="L5" s="6">
        <v>0.53819444444444442</v>
      </c>
      <c r="M5" s="7">
        <v>0.5395833333333333</v>
      </c>
      <c r="N5" s="2" t="s">
        <v>244</v>
      </c>
      <c r="O5" s="8" t="s">
        <v>241</v>
      </c>
      <c r="P5" s="4">
        <v>973</v>
      </c>
      <c r="Q5" s="8">
        <v>1173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f>A5</f>
        <v>43817</v>
      </c>
      <c r="B6" s="4" t="s">
        <v>21</v>
      </c>
      <c r="C6" s="2" t="s">
        <v>91</v>
      </c>
      <c r="D6" s="2" t="s">
        <v>23</v>
      </c>
      <c r="E6" s="4" t="str">
        <f>E4</f>
        <v>HALYC</v>
      </c>
      <c r="F6" s="2" t="s">
        <v>25</v>
      </c>
      <c r="G6" s="5">
        <f>G4</f>
        <v>71500</v>
      </c>
      <c r="H6" s="2" t="s">
        <v>32</v>
      </c>
      <c r="I6" s="2" t="s">
        <v>33</v>
      </c>
      <c r="J6" s="9">
        <v>0.86805555555555547</v>
      </c>
      <c r="K6" s="1">
        <v>0.87291666666666667</v>
      </c>
      <c r="L6" s="9">
        <v>0.68055555555555547</v>
      </c>
      <c r="M6" s="1">
        <v>0.68611111111111101</v>
      </c>
      <c r="N6" s="2" t="s">
        <v>245</v>
      </c>
      <c r="O6" s="2" t="s">
        <v>242</v>
      </c>
      <c r="P6" s="2">
        <v>985</v>
      </c>
      <c r="Q6" s="8">
        <v>580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/>
      <c r="B7" s="4"/>
      <c r="C7" s="2"/>
      <c r="D7" s="2"/>
      <c r="E7" s="4"/>
      <c r="F7" s="2"/>
      <c r="G7" s="5"/>
      <c r="H7" s="2"/>
      <c r="I7" s="2"/>
      <c r="J7" s="9"/>
      <c r="K7" s="9"/>
      <c r="L7" s="2"/>
      <c r="M7" s="2"/>
      <c r="N7" s="2"/>
      <c r="O7" s="2"/>
      <c r="P7" s="2"/>
      <c r="Q7" s="2"/>
      <c r="R7" s="2"/>
      <c r="S7" s="2"/>
      <c r="T7" s="2"/>
      <c r="U7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7" sqref="A7"/>
    </sheetView>
  </sheetViews>
  <sheetFormatPr defaultRowHeight="15" x14ac:dyDescent="0.25"/>
  <cols>
    <col min="2" max="2" width="36.7109375" bestFit="1" customWidth="1"/>
    <col min="3" max="3" width="13.7109375" bestFit="1" customWidth="1"/>
    <col min="4" max="4" width="5.7109375" bestFit="1" customWidth="1"/>
    <col min="6" max="6" width="20.7109375" bestFit="1" customWidth="1"/>
    <col min="10" max="10" width="11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">
        <v>43818</v>
      </c>
      <c r="B2" s="4" t="s">
        <v>21</v>
      </c>
      <c r="C2" s="4" t="s">
        <v>117</v>
      </c>
      <c r="D2" s="4" t="s">
        <v>23</v>
      </c>
      <c r="E2" s="4" t="s">
        <v>184</v>
      </c>
      <c r="F2" s="4" t="s">
        <v>25</v>
      </c>
      <c r="G2" s="5">
        <v>70000</v>
      </c>
      <c r="H2" s="4" t="s">
        <v>72</v>
      </c>
      <c r="I2" s="4" t="s">
        <v>27</v>
      </c>
      <c r="J2" s="6">
        <v>0.50694444444444442</v>
      </c>
      <c r="K2" s="7">
        <v>0.52013888888888882</v>
      </c>
      <c r="L2" s="6">
        <v>0.32291666666666669</v>
      </c>
      <c r="M2" s="7">
        <v>0.32847222222222222</v>
      </c>
      <c r="N2" s="2" t="s">
        <v>248</v>
      </c>
      <c r="O2" s="8" t="s">
        <v>246</v>
      </c>
      <c r="P2" s="8">
        <v>827</v>
      </c>
      <c r="Q2" s="8">
        <v>696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43818</v>
      </c>
      <c r="B3" s="4" t="s">
        <v>21</v>
      </c>
      <c r="C3" s="4" t="s">
        <v>118</v>
      </c>
      <c r="D3" s="4" t="s">
        <v>23</v>
      </c>
      <c r="E3" s="4" t="s">
        <v>129</v>
      </c>
      <c r="F3" s="4" t="s">
        <v>25</v>
      </c>
      <c r="G3" s="5">
        <v>71500</v>
      </c>
      <c r="H3" s="4" t="s">
        <v>73</v>
      </c>
      <c r="I3" s="4" t="s">
        <v>77</v>
      </c>
      <c r="J3" s="6">
        <v>0.68402777777777779</v>
      </c>
      <c r="K3" s="7">
        <v>0.68472222222222223</v>
      </c>
      <c r="L3" s="6">
        <v>0.46875</v>
      </c>
      <c r="M3" s="7">
        <v>0.4680555555555555</v>
      </c>
      <c r="N3" s="2" t="s">
        <v>255</v>
      </c>
      <c r="O3" s="8" t="s">
        <v>247</v>
      </c>
      <c r="P3" s="4">
        <v>952</v>
      </c>
      <c r="Q3" s="8">
        <v>551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43818</v>
      </c>
      <c r="B4" s="4" t="s">
        <v>21</v>
      </c>
      <c r="C4" s="4" t="s">
        <v>119</v>
      </c>
      <c r="D4" s="4" t="s">
        <v>23</v>
      </c>
      <c r="E4" s="4" t="s">
        <v>184</v>
      </c>
      <c r="F4" s="4" t="s">
        <v>25</v>
      </c>
      <c r="G4" s="5">
        <v>70000</v>
      </c>
      <c r="H4" s="4" t="s">
        <v>74</v>
      </c>
      <c r="I4" s="4" t="s">
        <v>78</v>
      </c>
      <c r="J4" s="6">
        <v>0.68402777777777779</v>
      </c>
      <c r="K4" s="1">
        <v>0.6791666666666667</v>
      </c>
      <c r="L4" s="6">
        <v>0.52777777777777779</v>
      </c>
      <c r="M4" s="7">
        <v>0.54861111111111105</v>
      </c>
      <c r="N4" s="2" t="s">
        <v>44</v>
      </c>
      <c r="O4" s="8" t="s">
        <v>249</v>
      </c>
      <c r="P4" s="8">
        <v>1358</v>
      </c>
      <c r="Q4" s="8">
        <v>517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43818</v>
      </c>
      <c r="B5" s="4" t="s">
        <v>21</v>
      </c>
      <c r="C5" s="4" t="s">
        <v>88</v>
      </c>
      <c r="D5" s="4" t="s">
        <v>23</v>
      </c>
      <c r="E5" s="4" t="s">
        <v>184</v>
      </c>
      <c r="F5" s="4" t="s">
        <v>25</v>
      </c>
      <c r="G5" s="5">
        <v>70000</v>
      </c>
      <c r="H5" s="4" t="s">
        <v>50</v>
      </c>
      <c r="I5" s="4" t="s">
        <v>51</v>
      </c>
      <c r="J5" s="6">
        <v>0.92013888888888884</v>
      </c>
      <c r="K5" s="1">
        <v>0.90763888888888899</v>
      </c>
      <c r="L5" s="6">
        <v>0.71527777777777779</v>
      </c>
      <c r="M5" s="7">
        <v>0.71319444444444446</v>
      </c>
      <c r="N5" s="2" t="s">
        <v>168</v>
      </c>
      <c r="O5" s="8" t="s">
        <v>256</v>
      </c>
      <c r="P5" s="4">
        <v>938</v>
      </c>
      <c r="Q5" s="8">
        <v>416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v>43818</v>
      </c>
      <c r="B6" s="4" t="s">
        <v>21</v>
      </c>
      <c r="C6" s="2" t="s">
        <v>22</v>
      </c>
      <c r="D6" s="2" t="s">
        <v>23</v>
      </c>
      <c r="E6" s="4" t="s">
        <v>129</v>
      </c>
      <c r="F6" s="2" t="s">
        <v>25</v>
      </c>
      <c r="G6" s="5">
        <v>71500</v>
      </c>
      <c r="H6" s="2" t="s">
        <v>26</v>
      </c>
      <c r="I6" s="2" t="s">
        <v>27</v>
      </c>
      <c r="J6" s="9">
        <v>0.94097222222222221</v>
      </c>
      <c r="K6" s="1">
        <v>0.93888888888888899</v>
      </c>
      <c r="L6" s="9">
        <v>0.77430555555555547</v>
      </c>
      <c r="M6" s="1">
        <v>0.77569444444444446</v>
      </c>
      <c r="N6" s="2" t="s">
        <v>258</v>
      </c>
      <c r="O6" s="2" t="s">
        <v>257</v>
      </c>
      <c r="P6" s="2">
        <v>1282</v>
      </c>
      <c r="Q6" s="8">
        <v>458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v>43818</v>
      </c>
      <c r="B7" s="4" t="s">
        <v>250</v>
      </c>
      <c r="C7" s="2" t="s">
        <v>251</v>
      </c>
      <c r="D7" s="2" t="s">
        <v>252</v>
      </c>
      <c r="E7" s="4" t="s">
        <v>253</v>
      </c>
      <c r="F7" s="2" t="s">
        <v>254</v>
      </c>
      <c r="G7" s="5">
        <v>5670</v>
      </c>
      <c r="H7" s="2" t="str">
        <f>E7</f>
        <v>OE-FLH</v>
      </c>
      <c r="I7" s="2" t="str">
        <f>E7</f>
        <v>OE-FLH</v>
      </c>
      <c r="J7" s="9">
        <v>0.41319444444444442</v>
      </c>
      <c r="K7" s="1">
        <v>0.41736111111111113</v>
      </c>
      <c r="L7" s="9">
        <v>0.6875</v>
      </c>
      <c r="M7" s="1">
        <v>0.6777777777777777</v>
      </c>
      <c r="N7" s="2">
        <v>6</v>
      </c>
      <c r="O7" s="2">
        <v>6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B1" workbookViewId="0">
      <selection activeCell="J7" sqref="J7"/>
    </sheetView>
  </sheetViews>
  <sheetFormatPr defaultRowHeight="15" x14ac:dyDescent="0.25"/>
  <cols>
    <col min="1" max="1" width="10.140625" bestFit="1" customWidth="1"/>
    <col min="3" max="3" width="13.5703125" bestFit="1" customWidth="1"/>
    <col min="4" max="4" width="5.710937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">
        <v>43819</v>
      </c>
      <c r="B2" s="4" t="s">
        <v>21</v>
      </c>
      <c r="C2" s="4" t="s">
        <v>87</v>
      </c>
      <c r="D2" s="4" t="s">
        <v>23</v>
      </c>
      <c r="E2" s="4" t="s">
        <v>129</v>
      </c>
      <c r="F2" s="4" t="s">
        <v>25</v>
      </c>
      <c r="G2" s="5">
        <v>71500</v>
      </c>
      <c r="H2" s="4" t="s">
        <v>47</v>
      </c>
      <c r="I2" s="4" t="s">
        <v>48</v>
      </c>
      <c r="J2" s="6">
        <v>0.46180555555555558</v>
      </c>
      <c r="K2" s="7">
        <v>0.45624999999999999</v>
      </c>
      <c r="L2" s="6">
        <v>0.25694444444444448</v>
      </c>
      <c r="M2" s="7">
        <v>0.2638888888888889</v>
      </c>
      <c r="N2" s="2" t="s">
        <v>261</v>
      </c>
      <c r="O2" s="8" t="s">
        <v>259</v>
      </c>
      <c r="P2" s="8">
        <v>1135</v>
      </c>
      <c r="Q2" s="8">
        <v>778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43819</v>
      </c>
      <c r="B3" s="4" t="s">
        <v>21</v>
      </c>
      <c r="C3" s="4" t="s">
        <v>88</v>
      </c>
      <c r="D3" s="4" t="s">
        <v>23</v>
      </c>
      <c r="E3" s="4" t="s">
        <v>184</v>
      </c>
      <c r="F3" s="4" t="s">
        <v>25</v>
      </c>
      <c r="G3" s="5">
        <v>70000</v>
      </c>
      <c r="H3" s="4" t="s">
        <v>50</v>
      </c>
      <c r="I3" s="4" t="s">
        <v>51</v>
      </c>
      <c r="J3" s="6">
        <v>0.50694444444444442</v>
      </c>
      <c r="K3" s="7">
        <v>0.49374999999999997</v>
      </c>
      <c r="L3" s="6">
        <v>0.30208333333333331</v>
      </c>
      <c r="M3" s="7">
        <v>0.30555555555555552</v>
      </c>
      <c r="N3" s="2" t="s">
        <v>262</v>
      </c>
      <c r="O3" s="8" t="s">
        <v>260</v>
      </c>
      <c r="P3" s="4">
        <v>1141</v>
      </c>
      <c r="Q3" s="8">
        <v>513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 t="shared" ref="A4:A6" si="0">A3</f>
        <v>43819</v>
      </c>
      <c r="B4" s="2" t="s">
        <v>21</v>
      </c>
      <c r="C4" s="2" t="s">
        <v>22</v>
      </c>
      <c r="D4" s="2" t="s">
        <v>23</v>
      </c>
      <c r="E4" s="4" t="s">
        <v>129</v>
      </c>
      <c r="F4" s="2" t="s">
        <v>25</v>
      </c>
      <c r="G4" s="5">
        <v>71500</v>
      </c>
      <c r="H4" s="4" t="s">
        <v>26</v>
      </c>
      <c r="I4" s="4" t="s">
        <v>27</v>
      </c>
      <c r="J4" s="11">
        <v>0.65972222222222221</v>
      </c>
      <c r="K4" s="1">
        <v>0.65625</v>
      </c>
      <c r="L4" s="11">
        <v>0.49305555555555558</v>
      </c>
      <c r="M4" s="12">
        <v>0.5</v>
      </c>
      <c r="N4" s="2" t="s">
        <v>265</v>
      </c>
      <c r="O4" s="10" t="s">
        <v>263</v>
      </c>
      <c r="P4" s="10">
        <v>1581</v>
      </c>
      <c r="Q4" s="8">
        <v>639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 t="shared" si="0"/>
        <v>43819</v>
      </c>
      <c r="B5" s="2" t="s">
        <v>21</v>
      </c>
      <c r="C5" s="2" t="s">
        <v>180</v>
      </c>
      <c r="D5" s="2" t="s">
        <v>23</v>
      </c>
      <c r="E5" s="4" t="s">
        <v>184</v>
      </c>
      <c r="F5" s="2" t="s">
        <v>25</v>
      </c>
      <c r="G5" s="5">
        <v>70000</v>
      </c>
      <c r="H5" s="2" t="s">
        <v>53</v>
      </c>
      <c r="I5" s="2" t="s">
        <v>54</v>
      </c>
      <c r="J5" s="9">
        <v>0.68055555555555547</v>
      </c>
      <c r="K5" s="1">
        <v>0.68472222222222223</v>
      </c>
      <c r="L5" s="9">
        <v>0.52777777777777779</v>
      </c>
      <c r="M5" s="1">
        <v>0.5493055555555556</v>
      </c>
      <c r="N5" s="2" t="s">
        <v>266</v>
      </c>
      <c r="O5" s="2" t="s">
        <v>264</v>
      </c>
      <c r="P5" s="2">
        <v>1060</v>
      </c>
      <c r="Q5" s="8">
        <v>519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f t="shared" si="0"/>
        <v>43819</v>
      </c>
      <c r="B6" s="2" t="s">
        <v>21</v>
      </c>
      <c r="C6" s="2" t="s">
        <v>181</v>
      </c>
      <c r="D6" s="2" t="s">
        <v>23</v>
      </c>
      <c r="E6" s="4" t="s">
        <v>129</v>
      </c>
      <c r="F6" s="2" t="s">
        <v>25</v>
      </c>
      <c r="G6" s="5">
        <v>71500</v>
      </c>
      <c r="H6" s="4" t="s">
        <v>56</v>
      </c>
      <c r="I6" s="4" t="s">
        <v>57</v>
      </c>
      <c r="J6" s="11">
        <v>0.91319444444444453</v>
      </c>
      <c r="K6" s="1">
        <v>0.9194444444444444</v>
      </c>
      <c r="L6" s="11">
        <v>0.69097222222222221</v>
      </c>
      <c r="M6" s="12">
        <v>0.70277777777777783</v>
      </c>
      <c r="N6" s="2" t="s">
        <v>266</v>
      </c>
      <c r="O6" s="10" t="s">
        <v>267</v>
      </c>
      <c r="P6" s="10">
        <v>886</v>
      </c>
      <c r="Q6" s="8">
        <v>718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8">
        <v>43819</v>
      </c>
      <c r="B7" s="2" t="s">
        <v>21</v>
      </c>
      <c r="C7" s="2" t="s">
        <v>28</v>
      </c>
      <c r="D7" s="10" t="s">
        <v>23</v>
      </c>
      <c r="E7" s="4" t="s">
        <v>184</v>
      </c>
      <c r="F7" s="2" t="s">
        <v>25</v>
      </c>
      <c r="G7" s="13">
        <v>70000</v>
      </c>
      <c r="H7" s="4" t="s">
        <v>29</v>
      </c>
      <c r="I7" s="4" t="s">
        <v>30</v>
      </c>
      <c r="J7" s="12">
        <v>0.94444444444444453</v>
      </c>
      <c r="K7" s="12">
        <v>0.9458333333333333</v>
      </c>
      <c r="L7" s="12">
        <v>0.71180555555555547</v>
      </c>
      <c r="M7" s="12">
        <v>0.71736111111111101</v>
      </c>
      <c r="N7" s="2" t="s">
        <v>269</v>
      </c>
      <c r="O7" s="2" t="s">
        <v>268</v>
      </c>
      <c r="P7" s="2">
        <v>1048</v>
      </c>
      <c r="Q7" s="8">
        <v>1238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H8" s="30"/>
      <c r="I8" s="30"/>
      <c r="J8" s="30"/>
      <c r="K8" s="30"/>
      <c r="L8" s="30"/>
      <c r="M8" s="30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L15" sqref="L15"/>
    </sheetView>
  </sheetViews>
  <sheetFormatPr defaultRowHeight="15" x14ac:dyDescent="0.25"/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">
        <v>43820</v>
      </c>
      <c r="B2" s="4" t="s">
        <v>21</v>
      </c>
      <c r="C2" s="4" t="s">
        <v>117</v>
      </c>
      <c r="D2" s="4" t="s">
        <v>23</v>
      </c>
      <c r="E2" s="4" t="s">
        <v>129</v>
      </c>
      <c r="F2" s="4" t="s">
        <v>25</v>
      </c>
      <c r="G2" s="5">
        <v>71500</v>
      </c>
      <c r="H2" s="4" t="s">
        <v>72</v>
      </c>
      <c r="I2" s="4" t="s">
        <v>76</v>
      </c>
      <c r="J2" s="6">
        <v>0.50694444444444442</v>
      </c>
      <c r="K2" s="7">
        <v>0.48958333333333331</v>
      </c>
      <c r="L2" s="6">
        <v>0.32291666666666669</v>
      </c>
      <c r="M2" s="7">
        <v>0.32500000000000001</v>
      </c>
      <c r="N2" s="2" t="s">
        <v>261</v>
      </c>
      <c r="O2" s="8" t="s">
        <v>270</v>
      </c>
      <c r="P2" s="8">
        <v>1189</v>
      </c>
      <c r="Q2" s="8">
        <v>673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43820</v>
      </c>
      <c r="B3" s="4" t="s">
        <v>21</v>
      </c>
      <c r="C3" s="4" t="s">
        <v>118</v>
      </c>
      <c r="D3" s="4" t="s">
        <v>23</v>
      </c>
      <c r="E3" s="4" t="s">
        <v>184</v>
      </c>
      <c r="F3" s="4" t="s">
        <v>25</v>
      </c>
      <c r="G3" s="5">
        <v>70000</v>
      </c>
      <c r="H3" s="4" t="s">
        <v>73</v>
      </c>
      <c r="I3" s="4" t="s">
        <v>77</v>
      </c>
      <c r="J3" s="6">
        <v>0.71527777777777779</v>
      </c>
      <c r="K3" s="7">
        <v>0.70000000000000007</v>
      </c>
      <c r="L3" s="6">
        <v>0.5</v>
      </c>
      <c r="M3" s="7">
        <v>0.51041666666666663</v>
      </c>
      <c r="N3" s="2" t="s">
        <v>58</v>
      </c>
      <c r="O3" s="8" t="s">
        <v>271</v>
      </c>
      <c r="P3" s="10">
        <v>1172</v>
      </c>
      <c r="Q3" s="8">
        <v>887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43820</v>
      </c>
      <c r="B4" s="2" t="s">
        <v>21</v>
      </c>
      <c r="C4" s="2" t="s">
        <v>119</v>
      </c>
      <c r="D4" s="2" t="s">
        <v>23</v>
      </c>
      <c r="E4" s="4" t="s">
        <v>129</v>
      </c>
      <c r="F4" s="2" t="s">
        <v>25</v>
      </c>
      <c r="G4" s="5">
        <v>71500</v>
      </c>
      <c r="H4" s="4" t="s">
        <v>74</v>
      </c>
      <c r="I4" s="4" t="s">
        <v>78</v>
      </c>
      <c r="J4" s="11">
        <v>0.68402777777777779</v>
      </c>
      <c r="K4" s="1">
        <v>0.6645833333333333</v>
      </c>
      <c r="L4" s="11">
        <v>0.52777777777777779</v>
      </c>
      <c r="M4" s="12">
        <v>0.52569444444444446</v>
      </c>
      <c r="N4" s="2" t="s">
        <v>282</v>
      </c>
      <c r="O4" s="10" t="s">
        <v>272</v>
      </c>
      <c r="P4" s="4">
        <v>1591</v>
      </c>
      <c r="Q4" s="8">
        <v>632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v>43820</v>
      </c>
      <c r="B5" s="2" t="s">
        <v>21</v>
      </c>
      <c r="C5" s="2" t="s">
        <v>87</v>
      </c>
      <c r="D5" s="2" t="s">
        <v>23</v>
      </c>
      <c r="E5" s="4" t="s">
        <v>184</v>
      </c>
      <c r="F5" s="2" t="s">
        <v>25</v>
      </c>
      <c r="G5" s="5">
        <v>70000</v>
      </c>
      <c r="H5" s="2" t="s">
        <v>75</v>
      </c>
      <c r="I5" s="2" t="s">
        <v>79</v>
      </c>
      <c r="J5" s="9">
        <v>0.9375</v>
      </c>
      <c r="K5" s="1">
        <v>0.91875000000000007</v>
      </c>
      <c r="L5" s="9">
        <v>0.74652777777777779</v>
      </c>
      <c r="M5" s="1">
        <v>0.74444444444444446</v>
      </c>
      <c r="N5" s="2" t="s">
        <v>283</v>
      </c>
      <c r="O5" s="2" t="s">
        <v>285</v>
      </c>
      <c r="P5" s="2">
        <v>1062</v>
      </c>
      <c r="Q5" s="8">
        <v>672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v>43820</v>
      </c>
      <c r="B6" s="2" t="s">
        <v>21</v>
      </c>
      <c r="C6" s="2" t="s">
        <v>120</v>
      </c>
      <c r="D6" s="2" t="s">
        <v>23</v>
      </c>
      <c r="E6" s="4" t="s">
        <v>129</v>
      </c>
      <c r="F6" s="2" t="s">
        <v>25</v>
      </c>
      <c r="G6" s="5">
        <v>71500</v>
      </c>
      <c r="H6" s="2" t="s">
        <v>75</v>
      </c>
      <c r="I6" s="2" t="s">
        <v>79</v>
      </c>
      <c r="J6" s="9">
        <v>0.94444444444444453</v>
      </c>
      <c r="K6" s="1">
        <v>0.95138888888888884</v>
      </c>
      <c r="L6" s="9">
        <v>0.77430555555555547</v>
      </c>
      <c r="M6" s="1">
        <v>0.79236111111111107</v>
      </c>
      <c r="N6" s="2" t="s">
        <v>284</v>
      </c>
      <c r="O6" s="2" t="s">
        <v>151</v>
      </c>
      <c r="P6" s="2">
        <v>874</v>
      </c>
      <c r="Q6" s="8">
        <v>657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8">
        <v>43820</v>
      </c>
      <c r="B7" s="10" t="s">
        <v>273</v>
      </c>
      <c r="C7" s="10" t="s">
        <v>274</v>
      </c>
      <c r="D7" s="10" t="s">
        <v>275</v>
      </c>
      <c r="E7" s="10" t="s">
        <v>278</v>
      </c>
      <c r="F7" s="10" t="s">
        <v>276</v>
      </c>
      <c r="G7" s="13">
        <v>79000</v>
      </c>
      <c r="H7" s="10" t="s">
        <v>279</v>
      </c>
      <c r="I7" s="10" t="s">
        <v>280</v>
      </c>
      <c r="J7" s="10" t="s">
        <v>277</v>
      </c>
      <c r="K7" s="12">
        <v>0.67499999999999993</v>
      </c>
      <c r="L7" s="12"/>
      <c r="M7" s="12">
        <v>0.80138888888888893</v>
      </c>
      <c r="N7" s="10" t="s">
        <v>286</v>
      </c>
      <c r="O7" s="10" t="s">
        <v>281</v>
      </c>
      <c r="P7" s="10">
        <v>3484</v>
      </c>
      <c r="Q7" s="10">
        <v>3484</v>
      </c>
      <c r="R7" s="10">
        <v>0</v>
      </c>
      <c r="S7" s="10">
        <v>0</v>
      </c>
      <c r="T7" s="10">
        <v>0</v>
      </c>
      <c r="U7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H1" workbookViewId="0">
      <selection sqref="A1:U6"/>
    </sheetView>
  </sheetViews>
  <sheetFormatPr defaultRowHeight="15" x14ac:dyDescent="0.25"/>
  <cols>
    <col min="3" max="3" width="13.7109375" bestFit="1" customWidth="1"/>
    <col min="4" max="4" width="5.7109375" bestFit="1" customWidth="1"/>
    <col min="6" max="6" width="12.14062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">
        <v>43821</v>
      </c>
      <c r="B2" s="4" t="s">
        <v>21</v>
      </c>
      <c r="C2" s="4" t="s">
        <v>87</v>
      </c>
      <c r="D2" s="4" t="s">
        <v>23</v>
      </c>
      <c r="E2" s="4" t="s">
        <v>184</v>
      </c>
      <c r="F2" s="4" t="s">
        <v>25</v>
      </c>
      <c r="G2" s="5">
        <v>70000</v>
      </c>
      <c r="H2" s="4" t="s">
        <v>47</v>
      </c>
      <c r="I2" s="4" t="s">
        <v>48</v>
      </c>
      <c r="J2" s="6">
        <v>0.46180555555555558</v>
      </c>
      <c r="K2" s="7">
        <v>0.47083333333333338</v>
      </c>
      <c r="L2" s="6">
        <v>0.25694444444444448</v>
      </c>
      <c r="M2" s="7">
        <v>0.26458333333333334</v>
      </c>
      <c r="N2" s="2" t="s">
        <v>288</v>
      </c>
      <c r="O2" s="8" t="s">
        <v>287</v>
      </c>
      <c r="P2" s="8">
        <v>1088</v>
      </c>
      <c r="Q2" s="8">
        <v>639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43821</v>
      </c>
      <c r="B3" s="4" t="s">
        <v>21</v>
      </c>
      <c r="C3" s="4" t="s">
        <v>88</v>
      </c>
      <c r="D3" s="4" t="s">
        <v>23</v>
      </c>
      <c r="E3" s="4" t="s">
        <v>129</v>
      </c>
      <c r="F3" s="4" t="s">
        <v>25</v>
      </c>
      <c r="G3" s="5">
        <v>71500</v>
      </c>
      <c r="H3" s="4" t="s">
        <v>50</v>
      </c>
      <c r="I3" s="4" t="s">
        <v>51</v>
      </c>
      <c r="J3" s="6">
        <v>0.50694444444444442</v>
      </c>
      <c r="K3" s="7">
        <v>0.49513888888888885</v>
      </c>
      <c r="L3" s="6">
        <v>0.30208333333333331</v>
      </c>
      <c r="M3" s="7">
        <v>0.3034722222222222</v>
      </c>
      <c r="N3" s="2" t="s">
        <v>289</v>
      </c>
      <c r="O3" s="8" t="s">
        <v>132</v>
      </c>
      <c r="P3" s="4">
        <v>1020</v>
      </c>
      <c r="Q3" s="8">
        <v>837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43821</v>
      </c>
      <c r="B4" s="4" t="s">
        <v>21</v>
      </c>
      <c r="C4" s="4" t="s">
        <v>89</v>
      </c>
      <c r="D4" s="4" t="s">
        <v>23</v>
      </c>
      <c r="E4" s="4" t="str">
        <f>E2</f>
        <v>HALWC</v>
      </c>
      <c r="F4" s="4" t="s">
        <v>25</v>
      </c>
      <c r="G4" s="5">
        <v>70000</v>
      </c>
      <c r="H4" s="4" t="s">
        <v>26</v>
      </c>
      <c r="I4" s="4" t="s">
        <v>27</v>
      </c>
      <c r="J4" s="6">
        <v>0.65972222222222221</v>
      </c>
      <c r="K4" s="1">
        <v>0.66805555555555562</v>
      </c>
      <c r="L4" s="6">
        <v>0.49305555555555558</v>
      </c>
      <c r="M4" s="7">
        <v>0.50763888888888886</v>
      </c>
      <c r="N4" s="2" t="s">
        <v>291</v>
      </c>
      <c r="O4" s="8" t="s">
        <v>83</v>
      </c>
      <c r="P4" s="8">
        <v>1382</v>
      </c>
      <c r="Q4" s="8">
        <v>547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f>A4</f>
        <v>43821</v>
      </c>
      <c r="B5" s="4" t="s">
        <v>21</v>
      </c>
      <c r="C5" s="4" t="s">
        <v>90</v>
      </c>
      <c r="D5" s="4" t="s">
        <v>23</v>
      </c>
      <c r="E5" s="4" t="str">
        <f>E3</f>
        <v>HALYC</v>
      </c>
      <c r="F5" s="4" t="s">
        <v>25</v>
      </c>
      <c r="G5" s="5">
        <v>71500</v>
      </c>
      <c r="H5" s="4" t="s">
        <v>29</v>
      </c>
      <c r="I5" s="4" t="s">
        <v>30</v>
      </c>
      <c r="J5" s="6">
        <v>0.77083333333333337</v>
      </c>
      <c r="K5" s="1">
        <v>0.7631944444444444</v>
      </c>
      <c r="L5" s="6">
        <v>0.53819444444444442</v>
      </c>
      <c r="M5" s="7">
        <v>0.54166666666666663</v>
      </c>
      <c r="N5" s="2" t="s">
        <v>293</v>
      </c>
      <c r="O5" s="8" t="s">
        <v>290</v>
      </c>
      <c r="P5" s="4">
        <v>1264</v>
      </c>
      <c r="Q5" s="8">
        <v>952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f>A5</f>
        <v>43821</v>
      </c>
      <c r="B6" s="4" t="s">
        <v>21</v>
      </c>
      <c r="C6" s="2" t="s">
        <v>91</v>
      </c>
      <c r="D6" s="2" t="s">
        <v>23</v>
      </c>
      <c r="E6" s="4" t="str">
        <f>E4</f>
        <v>HALWC</v>
      </c>
      <c r="F6" s="2" t="s">
        <v>25</v>
      </c>
      <c r="G6" s="5">
        <f>G4</f>
        <v>70000</v>
      </c>
      <c r="H6" s="2" t="s">
        <v>32</v>
      </c>
      <c r="I6" s="2" t="s">
        <v>33</v>
      </c>
      <c r="J6" s="9">
        <v>0.86805555555555547</v>
      </c>
      <c r="K6" s="1">
        <v>0.88541666666666663</v>
      </c>
      <c r="L6" s="9">
        <v>0.68055555555555547</v>
      </c>
      <c r="M6" s="1">
        <v>0.70624999999999993</v>
      </c>
      <c r="N6" s="2" t="s">
        <v>294</v>
      </c>
      <c r="O6" s="2" t="s">
        <v>292</v>
      </c>
      <c r="P6" s="2">
        <v>1276</v>
      </c>
      <c r="Q6" s="8">
        <v>1090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/>
      <c r="B7" s="4"/>
      <c r="C7" s="2"/>
      <c r="D7" s="2"/>
      <c r="E7" s="4"/>
      <c r="F7" s="2"/>
      <c r="G7" s="5"/>
      <c r="H7" s="2"/>
      <c r="I7" s="2"/>
      <c r="J7" s="9"/>
      <c r="K7" s="9"/>
      <c r="L7" s="2"/>
      <c r="M7" s="2"/>
      <c r="N7" s="2"/>
      <c r="O7" s="2"/>
      <c r="P7" s="2"/>
      <c r="Q7" s="2"/>
      <c r="R7" s="2"/>
      <c r="S7" s="2"/>
      <c r="T7" s="2"/>
      <c r="U7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E1" workbookViewId="0">
      <selection activeCell="K7" sqref="K7"/>
    </sheetView>
  </sheetViews>
  <sheetFormatPr defaultRowHeight="15" x14ac:dyDescent="0.25"/>
  <cols>
    <col min="1" max="1" width="10.140625" bestFit="1" customWidth="1"/>
    <col min="3" max="3" width="13.5703125" bestFit="1" customWidth="1"/>
    <col min="4" max="4" width="5.710937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">
        <v>43822</v>
      </c>
      <c r="B2" s="4" t="s">
        <v>21</v>
      </c>
      <c r="C2" s="4" t="s">
        <v>87</v>
      </c>
      <c r="D2" s="4" t="s">
        <v>23</v>
      </c>
      <c r="E2" s="4" t="s">
        <v>184</v>
      </c>
      <c r="F2" s="4" t="s">
        <v>25</v>
      </c>
      <c r="G2" s="5">
        <v>70000</v>
      </c>
      <c r="H2" s="4" t="s">
        <v>47</v>
      </c>
      <c r="I2" s="4" t="s">
        <v>48</v>
      </c>
      <c r="J2" s="6">
        <v>0.46180555555555558</v>
      </c>
      <c r="K2" s="7">
        <v>0.45069444444444445</v>
      </c>
      <c r="L2" s="6">
        <v>0.25694444444444448</v>
      </c>
      <c r="M2" s="7">
        <v>0.26944444444444443</v>
      </c>
      <c r="N2" s="2" t="s">
        <v>297</v>
      </c>
      <c r="O2" s="8" t="s">
        <v>295</v>
      </c>
      <c r="P2" s="8">
        <v>1067</v>
      </c>
      <c r="Q2" s="8">
        <v>645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43822</v>
      </c>
      <c r="B3" s="4" t="s">
        <v>21</v>
      </c>
      <c r="C3" s="4" t="s">
        <v>88</v>
      </c>
      <c r="D3" s="4" t="s">
        <v>23</v>
      </c>
      <c r="E3" s="4" t="s">
        <v>129</v>
      </c>
      <c r="F3" s="4" t="s">
        <v>25</v>
      </c>
      <c r="G3" s="5">
        <v>71500</v>
      </c>
      <c r="H3" s="4" t="s">
        <v>50</v>
      </c>
      <c r="I3" s="4" t="s">
        <v>51</v>
      </c>
      <c r="J3" s="6">
        <v>0.50694444444444442</v>
      </c>
      <c r="K3" s="7">
        <v>0.49444444444444446</v>
      </c>
      <c r="L3" s="6">
        <v>0.30208333333333331</v>
      </c>
      <c r="M3" s="7">
        <v>0.30277777777777776</v>
      </c>
      <c r="N3" s="2" t="s">
        <v>298</v>
      </c>
      <c r="O3" s="8" t="s">
        <v>296</v>
      </c>
      <c r="P3" s="4">
        <v>971</v>
      </c>
      <c r="Q3" s="8">
        <v>523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43822</v>
      </c>
      <c r="B4" s="2" t="s">
        <v>21</v>
      </c>
      <c r="C4" s="2" t="s">
        <v>22</v>
      </c>
      <c r="D4" s="2" t="s">
        <v>23</v>
      </c>
      <c r="E4" s="4" t="s">
        <v>184</v>
      </c>
      <c r="F4" s="2" t="s">
        <v>25</v>
      </c>
      <c r="G4" s="5">
        <v>70000</v>
      </c>
      <c r="H4" s="4" t="s">
        <v>26</v>
      </c>
      <c r="I4" s="4" t="s">
        <v>27</v>
      </c>
      <c r="J4" s="11">
        <v>0.65972222222222221</v>
      </c>
      <c r="K4" s="1">
        <v>0.65555555555555556</v>
      </c>
      <c r="L4" s="11">
        <v>0.49305555555555558</v>
      </c>
      <c r="M4" s="12">
        <v>0.49583333333333335</v>
      </c>
      <c r="N4" s="2" t="s">
        <v>262</v>
      </c>
      <c r="O4" s="10" t="s">
        <v>299</v>
      </c>
      <c r="P4" s="10">
        <v>924</v>
      </c>
      <c r="Q4" s="8">
        <v>590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v>43822</v>
      </c>
      <c r="B5" s="2" t="s">
        <v>21</v>
      </c>
      <c r="C5" s="2" t="s">
        <v>180</v>
      </c>
      <c r="D5" s="2" t="s">
        <v>23</v>
      </c>
      <c r="E5" s="4" t="s">
        <v>129</v>
      </c>
      <c r="F5" s="2" t="s">
        <v>25</v>
      </c>
      <c r="G5" s="5">
        <v>71500</v>
      </c>
      <c r="H5" s="2" t="s">
        <v>53</v>
      </c>
      <c r="I5" s="2" t="s">
        <v>54</v>
      </c>
      <c r="J5" s="9">
        <v>0.68055555555555547</v>
      </c>
      <c r="K5" s="1">
        <v>0.6743055555555556</v>
      </c>
      <c r="L5" s="9">
        <v>0.52777777777777779</v>
      </c>
      <c r="M5" s="1">
        <v>0.52916666666666667</v>
      </c>
      <c r="N5" s="2" t="s">
        <v>301</v>
      </c>
      <c r="O5" s="2" t="s">
        <v>300</v>
      </c>
      <c r="P5" s="2">
        <v>1214</v>
      </c>
      <c r="Q5" s="8">
        <v>465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v>43822</v>
      </c>
      <c r="B6" s="2" t="s">
        <v>21</v>
      </c>
      <c r="C6" s="2" t="s">
        <v>181</v>
      </c>
      <c r="D6" s="2" t="s">
        <v>23</v>
      </c>
      <c r="E6" s="4" t="s">
        <v>184</v>
      </c>
      <c r="F6" s="2" t="s">
        <v>25</v>
      </c>
      <c r="G6" s="5">
        <v>70000</v>
      </c>
      <c r="H6" s="4" t="s">
        <v>56</v>
      </c>
      <c r="I6" s="4" t="s">
        <v>57</v>
      </c>
      <c r="J6" s="11">
        <v>0.91319444444444453</v>
      </c>
      <c r="K6" s="1">
        <v>0.91111111111111109</v>
      </c>
      <c r="L6" s="11">
        <v>0.69097222222222221</v>
      </c>
      <c r="M6" s="12">
        <v>0.70277777777777783</v>
      </c>
      <c r="N6" s="2" t="s">
        <v>304</v>
      </c>
      <c r="O6" s="10" t="s">
        <v>302</v>
      </c>
      <c r="P6" s="10">
        <v>931</v>
      </c>
      <c r="Q6" s="8">
        <v>530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v>43822</v>
      </c>
      <c r="B7" s="2" t="s">
        <v>21</v>
      </c>
      <c r="C7" s="2" t="s">
        <v>28</v>
      </c>
      <c r="D7" s="10" t="s">
        <v>23</v>
      </c>
      <c r="E7" s="4" t="s">
        <v>129</v>
      </c>
      <c r="F7" s="2" t="s">
        <v>25</v>
      </c>
      <c r="G7" s="5">
        <v>71500</v>
      </c>
      <c r="H7" s="4" t="s">
        <v>29</v>
      </c>
      <c r="I7" s="4" t="s">
        <v>30</v>
      </c>
      <c r="J7" s="11">
        <v>0.94444444444444453</v>
      </c>
      <c r="K7" s="12">
        <v>0.93194444444444446</v>
      </c>
      <c r="L7" s="11">
        <v>0.71180555555555547</v>
      </c>
      <c r="M7" s="12">
        <v>0.71666666666666667</v>
      </c>
      <c r="N7" s="2" t="s">
        <v>305</v>
      </c>
      <c r="O7" s="2" t="s">
        <v>303</v>
      </c>
      <c r="P7" s="2">
        <v>942</v>
      </c>
      <c r="Q7" s="8">
        <v>972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H8" s="30"/>
      <c r="I8" s="30"/>
      <c r="J8" s="30"/>
      <c r="K8" s="30"/>
      <c r="L8" s="30"/>
      <c r="M8" s="30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J5" sqref="J5"/>
    </sheetView>
  </sheetViews>
  <sheetFormatPr defaultRowHeight="15" x14ac:dyDescent="0.25"/>
  <cols>
    <col min="3" max="3" width="15" bestFit="1" customWidth="1"/>
    <col min="4" max="4" width="5.7109375" bestFit="1" customWidth="1"/>
    <col min="6" max="6" width="12.140625" bestFit="1" customWidth="1"/>
    <col min="13" max="13" width="10.85546875" bestFit="1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3">
        <v>43823</v>
      </c>
      <c r="B2" s="4" t="s">
        <v>21</v>
      </c>
      <c r="C2" s="10" t="s">
        <v>66</v>
      </c>
      <c r="D2" s="10" t="s">
        <v>23</v>
      </c>
      <c r="E2" s="10" t="s">
        <v>129</v>
      </c>
      <c r="F2" s="4" t="s">
        <v>25</v>
      </c>
      <c r="G2" s="13">
        <v>71500</v>
      </c>
      <c r="H2" s="10" t="s">
        <v>72</v>
      </c>
      <c r="I2" s="10" t="s">
        <v>76</v>
      </c>
      <c r="J2" s="11">
        <v>0.50694444444444442</v>
      </c>
      <c r="K2" s="12">
        <v>0.50208333333333333</v>
      </c>
      <c r="L2" s="11">
        <v>0.32291666666666669</v>
      </c>
      <c r="M2" s="12">
        <v>0.32361111111111113</v>
      </c>
      <c r="N2" s="10" t="s">
        <v>170</v>
      </c>
      <c r="O2" s="10" t="s">
        <v>306</v>
      </c>
      <c r="P2" s="10">
        <v>1081</v>
      </c>
      <c r="Q2" s="10">
        <v>509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3">
        <f>A2</f>
        <v>43823</v>
      </c>
      <c r="B3" s="4" t="s">
        <v>21</v>
      </c>
      <c r="C3" s="10" t="s">
        <v>67</v>
      </c>
      <c r="D3" s="10" t="s">
        <v>23</v>
      </c>
      <c r="E3" s="10" t="s">
        <v>184</v>
      </c>
      <c r="F3" s="4" t="s">
        <v>25</v>
      </c>
      <c r="G3" s="13">
        <v>70000</v>
      </c>
      <c r="H3" s="10" t="s">
        <v>73</v>
      </c>
      <c r="I3" s="10" t="s">
        <v>77</v>
      </c>
      <c r="J3" s="11">
        <v>0.72916666666666663</v>
      </c>
      <c r="K3" s="12">
        <v>0.71180555555555547</v>
      </c>
      <c r="L3" s="11">
        <v>0.51388888888888895</v>
      </c>
      <c r="M3" s="12">
        <v>0.50972222222222219</v>
      </c>
      <c r="N3" s="10" t="s">
        <v>80</v>
      </c>
      <c r="O3" s="10" t="s">
        <v>307</v>
      </c>
      <c r="P3" s="10">
        <v>1291</v>
      </c>
      <c r="Q3" s="10">
        <v>833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3">
        <f>A3</f>
        <v>43823</v>
      </c>
      <c r="B4" s="4" t="s">
        <v>21</v>
      </c>
      <c r="C4" s="10" t="s">
        <v>68</v>
      </c>
      <c r="D4" s="10" t="s">
        <v>23</v>
      </c>
      <c r="E4" s="10" t="str">
        <f>E2</f>
        <v>HALYC</v>
      </c>
      <c r="F4" s="4" t="s">
        <v>25</v>
      </c>
      <c r="G4" s="13">
        <v>71500</v>
      </c>
      <c r="H4" s="10" t="s">
        <v>74</v>
      </c>
      <c r="I4" s="10" t="s">
        <v>78</v>
      </c>
      <c r="J4" s="11">
        <v>0.68402777777777779</v>
      </c>
      <c r="K4" s="12">
        <v>0.67499999999999993</v>
      </c>
      <c r="L4" s="11">
        <v>0.52777777777777779</v>
      </c>
      <c r="M4" s="12">
        <v>0.53611111111111109</v>
      </c>
      <c r="N4" s="10" t="s">
        <v>266</v>
      </c>
      <c r="O4" s="10" t="s">
        <v>308</v>
      </c>
      <c r="P4" s="10">
        <v>1081</v>
      </c>
      <c r="Q4" s="10">
        <v>606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3">
        <f>A4</f>
        <v>43823</v>
      </c>
      <c r="B5" s="4" t="str">
        <f>B4</f>
        <v>WIZZAIR</v>
      </c>
      <c r="C5" s="10" t="s">
        <v>69</v>
      </c>
      <c r="D5" s="10" t="s">
        <v>23</v>
      </c>
      <c r="E5" s="10" t="str">
        <f>E3</f>
        <v>HALWC</v>
      </c>
      <c r="F5" s="4" t="s">
        <v>25</v>
      </c>
      <c r="G5" s="13">
        <v>70000</v>
      </c>
      <c r="H5" s="10" t="s">
        <v>75</v>
      </c>
      <c r="I5" s="10" t="s">
        <v>79</v>
      </c>
      <c r="J5" s="11">
        <v>0.94444444444444453</v>
      </c>
      <c r="K5" s="12">
        <v>0.92847222222222225</v>
      </c>
      <c r="L5" s="11">
        <v>0.77430555555555547</v>
      </c>
      <c r="M5" s="12">
        <v>0.77083333333333337</v>
      </c>
      <c r="N5" s="10" t="s">
        <v>310</v>
      </c>
      <c r="O5" s="10" t="s">
        <v>309</v>
      </c>
      <c r="P5" s="10">
        <v>934</v>
      </c>
      <c r="Q5" s="10">
        <v>645</v>
      </c>
      <c r="R5" s="10">
        <v>0</v>
      </c>
      <c r="S5" s="10">
        <v>0</v>
      </c>
      <c r="T5" s="10">
        <v>0</v>
      </c>
      <c r="U5" s="10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Q6" sqref="Q6"/>
    </sheetView>
  </sheetViews>
  <sheetFormatPr defaultRowHeight="15" x14ac:dyDescent="0.25"/>
  <cols>
    <col min="3" max="3" width="13.7109375" bestFit="1" customWidth="1"/>
    <col min="4" max="4" width="5.71093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">
        <v>43824</v>
      </c>
      <c r="B2" s="4" t="s">
        <v>21</v>
      </c>
      <c r="C2" s="4" t="s">
        <v>87</v>
      </c>
      <c r="D2" s="4" t="s">
        <v>23</v>
      </c>
      <c r="E2" s="4" t="s">
        <v>129</v>
      </c>
      <c r="F2" s="4" t="s">
        <v>25</v>
      </c>
      <c r="G2" s="5">
        <v>71500</v>
      </c>
      <c r="H2" s="4" t="s">
        <v>47</v>
      </c>
      <c r="I2" s="4" t="s">
        <v>48</v>
      </c>
      <c r="J2" s="6">
        <v>0.46180555555555558</v>
      </c>
      <c r="K2" s="7">
        <v>0.45</v>
      </c>
      <c r="L2" s="6">
        <v>0.25694444444444448</v>
      </c>
      <c r="M2" s="7">
        <v>0.26180555555555557</v>
      </c>
      <c r="N2" s="2" t="s">
        <v>312</v>
      </c>
      <c r="O2" s="8" t="s">
        <v>175</v>
      </c>
      <c r="P2" s="8">
        <v>1143</v>
      </c>
      <c r="Q2" s="8">
        <v>564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43824</v>
      </c>
      <c r="B3" s="4" t="s">
        <v>21</v>
      </c>
      <c r="C3" s="4" t="s">
        <v>88</v>
      </c>
      <c r="D3" s="4" t="s">
        <v>23</v>
      </c>
      <c r="E3" s="4" t="s">
        <v>184</v>
      </c>
      <c r="F3" s="4" t="s">
        <v>25</v>
      </c>
      <c r="G3" s="5">
        <v>70000</v>
      </c>
      <c r="H3" s="4" t="s">
        <v>50</v>
      </c>
      <c r="I3" s="4" t="s">
        <v>51</v>
      </c>
      <c r="J3" s="6">
        <v>0.50694444444444442</v>
      </c>
      <c r="K3" s="7">
        <v>0.48819444444444443</v>
      </c>
      <c r="L3" s="6">
        <v>0.30208333333333331</v>
      </c>
      <c r="M3" s="7">
        <v>0.30624999999999997</v>
      </c>
      <c r="N3" s="2" t="s">
        <v>313</v>
      </c>
      <c r="O3" s="8" t="s">
        <v>311</v>
      </c>
      <c r="P3" s="4">
        <v>976</v>
      </c>
      <c r="Q3" s="8">
        <v>697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43824</v>
      </c>
      <c r="B4" s="4" t="s">
        <v>21</v>
      </c>
      <c r="C4" s="4" t="s">
        <v>89</v>
      </c>
      <c r="D4" s="4" t="s">
        <v>23</v>
      </c>
      <c r="E4" s="4" t="str">
        <f>E2</f>
        <v>HALYC</v>
      </c>
      <c r="F4" s="4" t="s">
        <v>25</v>
      </c>
      <c r="G4" s="5">
        <v>71500</v>
      </c>
      <c r="H4" s="4" t="s">
        <v>26</v>
      </c>
      <c r="I4" s="4" t="s">
        <v>27</v>
      </c>
      <c r="J4" s="6">
        <v>0.65972222222222221</v>
      </c>
      <c r="K4" s="1">
        <v>0.65347222222222223</v>
      </c>
      <c r="L4" s="6">
        <v>0.49305555555555558</v>
      </c>
      <c r="M4" s="7">
        <v>0.49722222222222223</v>
      </c>
      <c r="N4" s="2" t="s">
        <v>316</v>
      </c>
      <c r="O4" s="8" t="s">
        <v>314</v>
      </c>
      <c r="P4" s="8">
        <v>1039</v>
      </c>
      <c r="Q4" s="8">
        <v>604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f>A4</f>
        <v>43824</v>
      </c>
      <c r="B5" s="4" t="s">
        <v>21</v>
      </c>
      <c r="C5" s="4" t="s">
        <v>90</v>
      </c>
      <c r="D5" s="4" t="s">
        <v>23</v>
      </c>
      <c r="E5" s="4" t="str">
        <f>E3</f>
        <v>HALWC</v>
      </c>
      <c r="F5" s="4" t="s">
        <v>25</v>
      </c>
      <c r="G5" s="5">
        <v>70000</v>
      </c>
      <c r="H5" s="4" t="s">
        <v>29</v>
      </c>
      <c r="I5" s="4" t="s">
        <v>30</v>
      </c>
      <c r="J5" s="6">
        <v>0.77083333333333337</v>
      </c>
      <c r="K5" s="1">
        <v>0.75763888888888886</v>
      </c>
      <c r="L5" s="6">
        <v>0.53819444444444442</v>
      </c>
      <c r="M5" s="7">
        <f>L5</f>
        <v>0.53819444444444442</v>
      </c>
      <c r="N5" s="2" t="s">
        <v>293</v>
      </c>
      <c r="O5" s="8" t="s">
        <v>315</v>
      </c>
      <c r="P5" s="4">
        <v>933</v>
      </c>
      <c r="Q5" s="8">
        <v>820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f>A5</f>
        <v>43824</v>
      </c>
      <c r="B6" s="4" t="s">
        <v>21</v>
      </c>
      <c r="C6" s="2" t="s">
        <v>91</v>
      </c>
      <c r="D6" s="2" t="s">
        <v>23</v>
      </c>
      <c r="E6" s="4" t="str">
        <f>E4</f>
        <v>HALYC</v>
      </c>
      <c r="F6" s="2" t="s">
        <v>25</v>
      </c>
      <c r="G6" s="5">
        <f>G4</f>
        <v>71500</v>
      </c>
      <c r="H6" s="2" t="s">
        <v>32</v>
      </c>
      <c r="I6" s="2" t="s">
        <v>33</v>
      </c>
      <c r="J6" s="9">
        <v>0.86805555555555547</v>
      </c>
      <c r="K6" s="1">
        <v>0.85555555555555562</v>
      </c>
      <c r="L6" s="9">
        <v>0.68055555555555547</v>
      </c>
      <c r="M6" s="1">
        <v>0.68402777777777779</v>
      </c>
      <c r="N6" s="2" t="s">
        <v>317</v>
      </c>
      <c r="O6" s="2" t="s">
        <v>270</v>
      </c>
      <c r="P6" s="2">
        <v>1348</v>
      </c>
      <c r="Q6" s="8">
        <v>469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/>
      <c r="B7" s="4"/>
      <c r="C7" s="2"/>
      <c r="D7" s="2"/>
      <c r="E7" s="4"/>
      <c r="F7" s="2"/>
      <c r="G7" s="5"/>
      <c r="H7" s="2"/>
      <c r="I7" s="2"/>
      <c r="J7" s="9"/>
      <c r="K7" s="9"/>
      <c r="L7" s="2"/>
      <c r="M7" s="2"/>
      <c r="N7" s="2"/>
      <c r="O7" s="2"/>
      <c r="P7" s="2"/>
      <c r="Q7" s="2"/>
      <c r="R7" s="2"/>
      <c r="S7" s="2"/>
      <c r="T7" s="2"/>
      <c r="U7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13" sqref="K13"/>
    </sheetView>
  </sheetViews>
  <sheetFormatPr defaultRowHeight="15" x14ac:dyDescent="0.25"/>
  <cols>
    <col min="2" max="2" width="9.140625" bestFit="1" customWidth="1"/>
    <col min="3" max="3" width="13.7109375" bestFit="1" customWidth="1"/>
    <col min="4" max="4" width="5.7109375" bestFit="1" customWidth="1"/>
    <col min="6" max="6" width="20.7109375" bestFit="1" customWidth="1"/>
    <col min="10" max="10" width="11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">
        <v>43825</v>
      </c>
      <c r="B2" s="4" t="s">
        <v>21</v>
      </c>
      <c r="C2" s="4" t="s">
        <v>117</v>
      </c>
      <c r="D2" s="4" t="s">
        <v>23</v>
      </c>
      <c r="E2" s="4" t="s">
        <v>184</v>
      </c>
      <c r="F2" s="4" t="s">
        <v>25</v>
      </c>
      <c r="G2" s="5">
        <v>70000</v>
      </c>
      <c r="H2" s="4" t="s">
        <v>72</v>
      </c>
      <c r="I2" s="4" t="s">
        <v>27</v>
      </c>
      <c r="J2" s="6">
        <v>0.50694444444444442</v>
      </c>
      <c r="K2" s="7">
        <v>0.50069444444444444</v>
      </c>
      <c r="L2" s="6">
        <v>0.32291666666666669</v>
      </c>
      <c r="M2" s="7">
        <v>0.31944444444444448</v>
      </c>
      <c r="N2" s="2" t="s">
        <v>318</v>
      </c>
      <c r="O2" s="8" t="s">
        <v>96</v>
      </c>
      <c r="P2" s="8">
        <v>731</v>
      </c>
      <c r="Q2" s="8">
        <v>436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43825</v>
      </c>
      <c r="B3" s="4" t="s">
        <v>21</v>
      </c>
      <c r="C3" s="4" t="s">
        <v>119</v>
      </c>
      <c r="D3" s="4" t="s">
        <v>23</v>
      </c>
      <c r="E3" s="4" t="s">
        <v>129</v>
      </c>
      <c r="F3" s="4" t="s">
        <v>25</v>
      </c>
      <c r="G3" s="5">
        <v>71500</v>
      </c>
      <c r="H3" s="4" t="s">
        <v>73</v>
      </c>
      <c r="I3" s="4" t="s">
        <v>77</v>
      </c>
      <c r="J3" s="6">
        <v>0.64930555555555558</v>
      </c>
      <c r="K3" s="7">
        <v>0.63750000000000007</v>
      </c>
      <c r="L3" s="6">
        <v>0.49305555555555558</v>
      </c>
      <c r="M3" s="7">
        <v>0.49513888888888885</v>
      </c>
      <c r="N3" s="2" t="s">
        <v>198</v>
      </c>
      <c r="O3" s="8" t="s">
        <v>319</v>
      </c>
      <c r="P3" s="4">
        <v>1044</v>
      </c>
      <c r="Q3" s="8">
        <v>589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43825</v>
      </c>
      <c r="B4" s="4" t="s">
        <v>21</v>
      </c>
      <c r="C4" s="4" t="s">
        <v>118</v>
      </c>
      <c r="D4" s="4" t="s">
        <v>23</v>
      </c>
      <c r="E4" s="4" t="s">
        <v>184</v>
      </c>
      <c r="F4" s="4" t="s">
        <v>25</v>
      </c>
      <c r="G4" s="5">
        <v>70000</v>
      </c>
      <c r="H4" s="4" t="s">
        <v>74</v>
      </c>
      <c r="I4" s="4" t="s">
        <v>78</v>
      </c>
      <c r="J4" s="6">
        <v>0.75347222222222221</v>
      </c>
      <c r="K4" s="1">
        <v>0.75694444444444453</v>
      </c>
      <c r="L4" s="6">
        <v>0.53819444444444442</v>
      </c>
      <c r="M4" s="7">
        <v>0.54027777777777775</v>
      </c>
      <c r="N4" s="2" t="s">
        <v>321</v>
      </c>
      <c r="O4" s="8" t="s">
        <v>320</v>
      </c>
      <c r="P4" s="8">
        <v>797</v>
      </c>
      <c r="Q4" s="8">
        <v>676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43825</v>
      </c>
      <c r="B5" s="4" t="s">
        <v>21</v>
      </c>
      <c r="C5" s="2" t="s">
        <v>22</v>
      </c>
      <c r="D5" s="2" t="s">
        <v>23</v>
      </c>
      <c r="E5" s="4" t="s">
        <v>184</v>
      </c>
      <c r="F5" s="2" t="s">
        <v>25</v>
      </c>
      <c r="G5" s="5">
        <v>70000</v>
      </c>
      <c r="H5" s="2" t="s">
        <v>26</v>
      </c>
      <c r="I5" s="2" t="s">
        <v>27</v>
      </c>
      <c r="J5" s="9">
        <v>0.94097222222222221</v>
      </c>
      <c r="K5" s="1"/>
      <c r="L5" s="9">
        <v>0.77430555555555547</v>
      </c>
      <c r="M5" s="1">
        <v>0.79027777777777775</v>
      </c>
      <c r="N5" s="29" t="s">
        <v>141</v>
      </c>
      <c r="O5" s="2" t="s">
        <v>198</v>
      </c>
      <c r="P5" s="2"/>
      <c r="Q5" s="8">
        <v>632</v>
      </c>
      <c r="R5" s="2">
        <v>0</v>
      </c>
      <c r="S5" s="2">
        <v>0</v>
      </c>
      <c r="T5" s="2">
        <v>0</v>
      </c>
      <c r="U5" s="2">
        <v>0</v>
      </c>
    </row>
    <row r="7" spans="1:21" x14ac:dyDescent="0.25">
      <c r="A7" s="3"/>
      <c r="B7" s="4"/>
      <c r="C7" s="2"/>
      <c r="D7" s="2"/>
      <c r="E7" s="4"/>
      <c r="F7" s="2"/>
      <c r="G7" s="5"/>
      <c r="H7" s="2"/>
      <c r="I7" s="2"/>
      <c r="J7" s="9"/>
      <c r="K7" s="1"/>
      <c r="L7" s="9"/>
      <c r="M7" s="1"/>
      <c r="N7" s="2"/>
      <c r="O7" s="2"/>
      <c r="P7" s="2"/>
      <c r="Q7" s="2"/>
      <c r="R7" s="2"/>
      <c r="S7" s="2"/>
      <c r="T7" s="2"/>
      <c r="U7" s="2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B1" workbookViewId="0">
      <selection activeCell="K8" sqref="K8"/>
    </sheetView>
  </sheetViews>
  <sheetFormatPr defaultRowHeight="15" x14ac:dyDescent="0.25"/>
  <cols>
    <col min="1" max="1" width="10.140625" bestFit="1" customWidth="1"/>
    <col min="2" max="2" width="12.28515625" bestFit="1" customWidth="1"/>
    <col min="3" max="3" width="13.5703125" bestFit="1" customWidth="1"/>
    <col min="4" max="4" width="5.7109375" bestFit="1" customWidth="1"/>
    <col min="6" max="6" width="15.57031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">
        <v>43826</v>
      </c>
      <c r="B2" s="4" t="s">
        <v>21</v>
      </c>
      <c r="C2" s="14" t="s">
        <v>143</v>
      </c>
      <c r="D2" s="4" t="s">
        <v>23</v>
      </c>
      <c r="E2" s="14" t="s">
        <v>322</v>
      </c>
      <c r="F2" s="14" t="s">
        <v>323</v>
      </c>
      <c r="G2" s="5">
        <v>71500</v>
      </c>
      <c r="H2" s="14" t="s">
        <v>324</v>
      </c>
      <c r="I2" s="14" t="s">
        <v>116</v>
      </c>
      <c r="J2" s="31">
        <v>0.27083333333333331</v>
      </c>
      <c r="K2" s="1">
        <v>0.26041666666666669</v>
      </c>
      <c r="L2" s="14" t="s">
        <v>116</v>
      </c>
      <c r="M2" s="14" t="s">
        <v>116</v>
      </c>
      <c r="N2" s="2" t="s">
        <v>116</v>
      </c>
      <c r="O2" s="14" t="s">
        <v>116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3">
        <v>43826</v>
      </c>
      <c r="B3" s="4" t="s">
        <v>21</v>
      </c>
      <c r="C3" s="4" t="s">
        <v>87</v>
      </c>
      <c r="D3" s="4" t="s">
        <v>23</v>
      </c>
      <c r="E3" s="4" t="s">
        <v>129</v>
      </c>
      <c r="F3" s="4" t="s">
        <v>25</v>
      </c>
      <c r="G3" s="5">
        <v>71500</v>
      </c>
      <c r="H3" s="4" t="s">
        <v>47</v>
      </c>
      <c r="I3" s="4" t="s">
        <v>48</v>
      </c>
      <c r="J3" s="6">
        <v>0.46180555555555558</v>
      </c>
      <c r="K3" s="7">
        <v>0.47291666666666665</v>
      </c>
      <c r="L3" s="6">
        <v>0.25694444444444448</v>
      </c>
      <c r="M3" s="7">
        <v>0.2673611111111111</v>
      </c>
      <c r="N3" s="2" t="s">
        <v>327</v>
      </c>
      <c r="O3" s="8" t="s">
        <v>325</v>
      </c>
      <c r="P3" s="8">
        <v>924</v>
      </c>
      <c r="Q3" s="8">
        <v>604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43826</v>
      </c>
      <c r="B4" s="4" t="s">
        <v>21</v>
      </c>
      <c r="C4" s="4" t="s">
        <v>88</v>
      </c>
      <c r="D4" s="4" t="s">
        <v>23</v>
      </c>
      <c r="E4" s="4" t="s">
        <v>322</v>
      </c>
      <c r="F4" s="4" t="s">
        <v>25</v>
      </c>
      <c r="G4" s="5">
        <v>71500</v>
      </c>
      <c r="H4" s="4" t="s">
        <v>50</v>
      </c>
      <c r="I4" s="4" t="s">
        <v>51</v>
      </c>
      <c r="J4" s="6">
        <v>0.50694444444444442</v>
      </c>
      <c r="K4" s="7">
        <v>0.48749999999999999</v>
      </c>
      <c r="L4" s="6">
        <v>0.30208333333333331</v>
      </c>
      <c r="M4" s="7">
        <v>0.2951388888888889</v>
      </c>
      <c r="N4" s="2" t="s">
        <v>269</v>
      </c>
      <c r="O4" s="8" t="s">
        <v>326</v>
      </c>
      <c r="P4" s="4">
        <v>1157</v>
      </c>
      <c r="Q4" s="8">
        <v>526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43826</v>
      </c>
      <c r="B5" s="2" t="s">
        <v>21</v>
      </c>
      <c r="C5" s="2" t="s">
        <v>22</v>
      </c>
      <c r="D5" s="2" t="s">
        <v>23</v>
      </c>
      <c r="E5" s="4" t="s">
        <v>129</v>
      </c>
      <c r="F5" s="2" t="s">
        <v>25</v>
      </c>
      <c r="G5" s="5">
        <v>71500</v>
      </c>
      <c r="H5" s="4" t="s">
        <v>26</v>
      </c>
      <c r="I5" s="4" t="s">
        <v>27</v>
      </c>
      <c r="J5" s="11">
        <v>0.65972222222222221</v>
      </c>
      <c r="K5" s="1">
        <v>0.66041666666666665</v>
      </c>
      <c r="L5" s="11">
        <v>0.49305555555555558</v>
      </c>
      <c r="M5" s="12">
        <v>0.51041666666666663</v>
      </c>
      <c r="N5" s="2" t="s">
        <v>329</v>
      </c>
      <c r="O5" s="10" t="s">
        <v>328</v>
      </c>
      <c r="P5" s="10">
        <v>924</v>
      </c>
      <c r="Q5" s="8">
        <v>808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v>43826</v>
      </c>
      <c r="B6" s="2" t="s">
        <v>21</v>
      </c>
      <c r="C6" s="2" t="s">
        <v>180</v>
      </c>
      <c r="D6" s="2" t="s">
        <v>23</v>
      </c>
      <c r="E6" s="4" t="s">
        <v>322</v>
      </c>
      <c r="F6" s="2" t="s">
        <v>25</v>
      </c>
      <c r="G6" s="5">
        <v>71500</v>
      </c>
      <c r="H6" s="2" t="s">
        <v>53</v>
      </c>
      <c r="I6" s="2" t="s">
        <v>54</v>
      </c>
      <c r="J6" s="9">
        <v>0.68055555555555547</v>
      </c>
      <c r="K6" s="1">
        <v>0.66388888888888886</v>
      </c>
      <c r="L6" s="9">
        <v>0.52777777777777779</v>
      </c>
      <c r="M6" s="1">
        <v>0.52500000000000002</v>
      </c>
      <c r="N6" s="2" t="s">
        <v>330</v>
      </c>
      <c r="O6" s="2" t="s">
        <v>315</v>
      </c>
      <c r="P6" s="2">
        <v>732</v>
      </c>
      <c r="Q6" s="8">
        <v>581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v>43826</v>
      </c>
      <c r="B7" s="2" t="s">
        <v>21</v>
      </c>
      <c r="C7" s="2" t="s">
        <v>181</v>
      </c>
      <c r="D7" s="2" t="s">
        <v>23</v>
      </c>
      <c r="E7" s="4" t="s">
        <v>129</v>
      </c>
      <c r="F7" s="2" t="s">
        <v>25</v>
      </c>
      <c r="G7" s="5">
        <v>71500</v>
      </c>
      <c r="H7" s="4" t="s">
        <v>56</v>
      </c>
      <c r="I7" s="4" t="s">
        <v>57</v>
      </c>
      <c r="J7" s="11">
        <v>0.91319444444444453</v>
      </c>
      <c r="K7" s="1">
        <v>0.8930555555555556</v>
      </c>
      <c r="L7" s="11">
        <v>0.69097222222222221</v>
      </c>
      <c r="M7" s="12">
        <v>0.69444444444444453</v>
      </c>
      <c r="N7" s="2" t="s">
        <v>337</v>
      </c>
      <c r="O7" s="10" t="s">
        <v>335</v>
      </c>
      <c r="P7" s="10">
        <v>732</v>
      </c>
      <c r="Q7" s="8">
        <v>561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3">
        <v>43826</v>
      </c>
      <c r="B8" s="2" t="s">
        <v>21</v>
      </c>
      <c r="C8" s="2" t="s">
        <v>28</v>
      </c>
      <c r="D8" s="10" t="s">
        <v>23</v>
      </c>
      <c r="E8" s="4" t="s">
        <v>322</v>
      </c>
      <c r="F8" s="2" t="s">
        <v>25</v>
      </c>
      <c r="G8" s="5">
        <v>71500</v>
      </c>
      <c r="H8" s="4" t="s">
        <v>29</v>
      </c>
      <c r="I8" s="4" t="s">
        <v>30</v>
      </c>
      <c r="J8" s="11">
        <v>0.94444444444444453</v>
      </c>
      <c r="K8" s="12">
        <v>0.94166666666666676</v>
      </c>
      <c r="L8" s="12">
        <v>0.71180555555555547</v>
      </c>
      <c r="M8" s="12">
        <v>0.72430555555555554</v>
      </c>
      <c r="N8" s="2" t="s">
        <v>338</v>
      </c>
      <c r="O8" s="2" t="s">
        <v>336</v>
      </c>
      <c r="P8" s="2">
        <v>1036</v>
      </c>
      <c r="Q8" s="8">
        <v>971</v>
      </c>
      <c r="R8" s="2">
        <v>0</v>
      </c>
      <c r="S8" s="2">
        <v>0</v>
      </c>
      <c r="T8" s="2">
        <v>0</v>
      </c>
      <c r="U8" s="2">
        <v>0</v>
      </c>
    </row>
    <row r="9" spans="1:21" s="19" customFormat="1" ht="12.75" x14ac:dyDescent="0.2">
      <c r="A9" s="18">
        <v>43826</v>
      </c>
      <c r="B9" s="2" t="s">
        <v>331</v>
      </c>
      <c r="C9" s="2" t="s">
        <v>147</v>
      </c>
      <c r="D9" s="2" t="s">
        <v>332</v>
      </c>
      <c r="E9" s="4" t="s">
        <v>333</v>
      </c>
      <c r="F9" s="2" t="s">
        <v>223</v>
      </c>
      <c r="G9" s="5">
        <v>24000</v>
      </c>
      <c r="H9" s="10" t="s">
        <v>334</v>
      </c>
      <c r="I9" s="10" t="s">
        <v>116</v>
      </c>
      <c r="J9" s="11">
        <v>0.625</v>
      </c>
      <c r="K9" s="12">
        <v>0.62361111111111112</v>
      </c>
      <c r="L9" s="10" t="s">
        <v>211</v>
      </c>
      <c r="M9" s="10" t="s">
        <v>211</v>
      </c>
      <c r="N9" s="2" t="s">
        <v>161</v>
      </c>
      <c r="O9" s="10" t="s">
        <v>116</v>
      </c>
      <c r="P9" s="10">
        <v>0</v>
      </c>
      <c r="Q9" s="10" t="s">
        <v>116</v>
      </c>
      <c r="R9" s="2">
        <v>0</v>
      </c>
      <c r="S9" s="2">
        <v>0</v>
      </c>
      <c r="T9" s="2">
        <v>0</v>
      </c>
      <c r="U9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L6" sqref="L6"/>
    </sheetView>
  </sheetViews>
  <sheetFormatPr defaultRowHeight="15" x14ac:dyDescent="0.25"/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">
        <v>43827</v>
      </c>
      <c r="B2" s="4" t="s">
        <v>21</v>
      </c>
      <c r="C2" s="4" t="s">
        <v>117</v>
      </c>
      <c r="D2" s="4" t="s">
        <v>23</v>
      </c>
      <c r="E2" s="4" t="s">
        <v>129</v>
      </c>
      <c r="F2" s="4" t="s">
        <v>25</v>
      </c>
      <c r="G2" s="5">
        <v>71500</v>
      </c>
      <c r="H2" s="4" t="s">
        <v>72</v>
      </c>
      <c r="I2" s="4" t="s">
        <v>76</v>
      </c>
      <c r="J2" s="6">
        <v>0.50694444444444442</v>
      </c>
      <c r="K2" s="7">
        <v>0.49791666666666662</v>
      </c>
      <c r="L2" s="6">
        <v>0.32291666666666669</v>
      </c>
      <c r="M2" s="7">
        <v>0.32430555555555557</v>
      </c>
      <c r="N2" s="2" t="s">
        <v>339</v>
      </c>
      <c r="O2" s="8" t="s">
        <v>339</v>
      </c>
      <c r="P2" s="8">
        <v>913</v>
      </c>
      <c r="Q2" s="8">
        <v>860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43827</v>
      </c>
      <c r="B3" s="4" t="s">
        <v>21</v>
      </c>
      <c r="C3" s="4" t="s">
        <v>118</v>
      </c>
      <c r="D3" s="4" t="s">
        <v>23</v>
      </c>
      <c r="E3" s="4" t="s">
        <v>322</v>
      </c>
      <c r="F3" s="4" t="s">
        <v>25</v>
      </c>
      <c r="G3" s="5">
        <v>71500</v>
      </c>
      <c r="H3" s="4" t="s">
        <v>73</v>
      </c>
      <c r="I3" s="4" t="s">
        <v>77</v>
      </c>
      <c r="J3" s="6">
        <v>0.71527777777777779</v>
      </c>
      <c r="K3" s="7">
        <v>0.70000000000000007</v>
      </c>
      <c r="L3" s="6">
        <v>0.5</v>
      </c>
      <c r="M3" s="7">
        <v>0.5083333333333333</v>
      </c>
      <c r="N3" s="2" t="s">
        <v>289</v>
      </c>
      <c r="O3" s="8" t="s">
        <v>291</v>
      </c>
      <c r="P3" s="10">
        <v>1275</v>
      </c>
      <c r="Q3" s="8">
        <v>873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43827</v>
      </c>
      <c r="B4" s="2" t="s">
        <v>21</v>
      </c>
      <c r="C4" s="2" t="s">
        <v>119</v>
      </c>
      <c r="D4" s="2" t="s">
        <v>23</v>
      </c>
      <c r="E4" s="4" t="s">
        <v>129</v>
      </c>
      <c r="F4" s="2" t="s">
        <v>25</v>
      </c>
      <c r="G4" s="5">
        <v>71000</v>
      </c>
      <c r="H4" s="4" t="s">
        <v>74</v>
      </c>
      <c r="I4" s="4" t="s">
        <v>78</v>
      </c>
      <c r="J4" s="11">
        <v>0.68402777777777779</v>
      </c>
      <c r="K4" s="1">
        <v>0.67847222222222225</v>
      </c>
      <c r="L4" s="11">
        <v>0.52777777777777779</v>
      </c>
      <c r="M4" s="12">
        <v>0.54652777777777783</v>
      </c>
      <c r="N4" s="2" t="s">
        <v>172</v>
      </c>
      <c r="O4" s="10" t="s">
        <v>340</v>
      </c>
      <c r="P4" s="4">
        <v>1074</v>
      </c>
      <c r="Q4" s="8">
        <v>785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v>43827</v>
      </c>
      <c r="B5" s="2" t="s">
        <v>21</v>
      </c>
      <c r="C5" s="2" t="s">
        <v>87</v>
      </c>
      <c r="D5" s="2" t="s">
        <v>23</v>
      </c>
      <c r="E5" s="4" t="s">
        <v>322</v>
      </c>
      <c r="F5" s="2" t="s">
        <v>25</v>
      </c>
      <c r="G5" s="5">
        <v>71500</v>
      </c>
      <c r="H5" s="2" t="s">
        <v>75</v>
      </c>
      <c r="I5" s="2" t="s">
        <v>79</v>
      </c>
      <c r="J5" s="9">
        <v>0.9375</v>
      </c>
      <c r="K5" s="1">
        <v>0.93402777777777779</v>
      </c>
      <c r="L5" s="9">
        <v>0.74652777777777779</v>
      </c>
      <c r="M5" s="1">
        <v>0.75416666666666676</v>
      </c>
      <c r="N5" s="2" t="s">
        <v>341</v>
      </c>
      <c r="O5" s="2" t="s">
        <v>195</v>
      </c>
      <c r="P5" s="2">
        <v>1166</v>
      </c>
      <c r="Q5" s="8">
        <v>688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v>43827</v>
      </c>
      <c r="B6" s="2" t="s">
        <v>21</v>
      </c>
      <c r="C6" s="2" t="s">
        <v>120</v>
      </c>
      <c r="D6" s="2" t="s">
        <v>23</v>
      </c>
      <c r="E6" s="4" t="s">
        <v>129</v>
      </c>
      <c r="F6" s="2" t="s">
        <v>25</v>
      </c>
      <c r="G6" s="5">
        <v>71500</v>
      </c>
      <c r="H6" s="2" t="s">
        <v>75</v>
      </c>
      <c r="I6" s="2" t="s">
        <v>79</v>
      </c>
      <c r="J6" s="9">
        <v>0.94444444444444453</v>
      </c>
      <c r="K6" s="1">
        <v>0.95000000000000007</v>
      </c>
      <c r="L6" s="9">
        <v>0.77430555555555547</v>
      </c>
      <c r="M6" s="1">
        <v>0.78680555555555554</v>
      </c>
      <c r="N6" s="2" t="s">
        <v>342</v>
      </c>
      <c r="O6" s="2" t="s">
        <v>327</v>
      </c>
      <c r="P6" s="2">
        <v>955</v>
      </c>
      <c r="Q6" s="8">
        <v>626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8"/>
      <c r="B7" s="10"/>
      <c r="C7" s="10"/>
      <c r="D7" s="10"/>
      <c r="E7" s="10"/>
      <c r="F7" s="10"/>
      <c r="G7" s="13"/>
      <c r="H7" s="10"/>
      <c r="I7" s="10"/>
      <c r="J7" s="10"/>
      <c r="K7" s="12"/>
      <c r="L7" s="12"/>
      <c r="M7" s="12"/>
      <c r="N7" s="10"/>
      <c r="O7" s="10"/>
      <c r="P7" s="10"/>
      <c r="Q7" s="10"/>
      <c r="R7" s="10"/>
      <c r="S7" s="10"/>
      <c r="T7" s="10"/>
      <c r="U7" s="19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6" sqref="K6"/>
    </sheetView>
  </sheetViews>
  <sheetFormatPr defaultRowHeight="15" x14ac:dyDescent="0.25"/>
  <cols>
    <col min="4" max="4" width="5.710937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">
        <v>43828</v>
      </c>
      <c r="B2" s="4" t="s">
        <v>21</v>
      </c>
      <c r="C2" s="4" t="s">
        <v>87</v>
      </c>
      <c r="D2" s="4" t="s">
        <v>23</v>
      </c>
      <c r="E2" s="4" t="s">
        <v>322</v>
      </c>
      <c r="F2" s="4" t="s">
        <v>25</v>
      </c>
      <c r="G2" s="5">
        <v>71500</v>
      </c>
      <c r="H2" s="4" t="s">
        <v>47</v>
      </c>
      <c r="I2" s="4" t="s">
        <v>48</v>
      </c>
      <c r="J2" s="6">
        <v>0.46180555555555558</v>
      </c>
      <c r="K2" s="7">
        <v>0.46111111111111108</v>
      </c>
      <c r="L2" s="6">
        <v>0.25694444444444448</v>
      </c>
      <c r="M2" s="7">
        <v>0.26597222222222222</v>
      </c>
      <c r="N2" s="2" t="s">
        <v>58</v>
      </c>
      <c r="O2" s="8" t="s">
        <v>343</v>
      </c>
      <c r="P2" s="8">
        <v>1257</v>
      </c>
      <c r="Q2" s="8">
        <v>793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43828</v>
      </c>
      <c r="B3" s="4" t="s">
        <v>21</v>
      </c>
      <c r="C3" s="4" t="s">
        <v>88</v>
      </c>
      <c r="D3" s="4" t="s">
        <v>23</v>
      </c>
      <c r="E3" s="4" t="s">
        <v>129</v>
      </c>
      <c r="F3" s="4" t="s">
        <v>25</v>
      </c>
      <c r="G3" s="5">
        <v>71500</v>
      </c>
      <c r="H3" s="4" t="s">
        <v>50</v>
      </c>
      <c r="I3" s="4" t="s">
        <v>51</v>
      </c>
      <c r="J3" s="6">
        <v>0.50694444444444442</v>
      </c>
      <c r="K3" s="7">
        <v>0.51458333333333328</v>
      </c>
      <c r="L3" s="6">
        <v>0.30208333333333331</v>
      </c>
      <c r="M3" s="7">
        <v>0.31666666666666665</v>
      </c>
      <c r="N3" s="2" t="s">
        <v>283</v>
      </c>
      <c r="O3" s="8" t="s">
        <v>272</v>
      </c>
      <c r="P3" s="4">
        <v>1104</v>
      </c>
      <c r="Q3" s="8">
        <v>725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43828</v>
      </c>
      <c r="B4" s="4" t="s">
        <v>21</v>
      </c>
      <c r="C4" s="4" t="s">
        <v>22</v>
      </c>
      <c r="D4" s="4" t="s">
        <v>23</v>
      </c>
      <c r="E4" s="4" t="str">
        <f>E2</f>
        <v>HALPL</v>
      </c>
      <c r="F4" s="4" t="s">
        <v>25</v>
      </c>
      <c r="G4" s="5">
        <v>71500</v>
      </c>
      <c r="H4" s="4" t="s">
        <v>26</v>
      </c>
      <c r="I4" s="4" t="s">
        <v>27</v>
      </c>
      <c r="J4" s="6">
        <v>0.65972222222222221</v>
      </c>
      <c r="K4" s="1">
        <v>0.67291666666666661</v>
      </c>
      <c r="L4" s="6">
        <v>0.49305555555555558</v>
      </c>
      <c r="M4" s="7">
        <v>0.50972222222222219</v>
      </c>
      <c r="N4" s="2" t="s">
        <v>344</v>
      </c>
      <c r="O4" s="8" t="s">
        <v>294</v>
      </c>
      <c r="P4" s="8">
        <v>884</v>
      </c>
      <c r="Q4" s="8">
        <v>997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f>A4</f>
        <v>43828</v>
      </c>
      <c r="B5" s="4" t="s">
        <v>21</v>
      </c>
      <c r="C5" s="4" t="s">
        <v>28</v>
      </c>
      <c r="D5" s="4" t="s">
        <v>23</v>
      </c>
      <c r="E5" s="4" t="str">
        <f>E3</f>
        <v>HALYC</v>
      </c>
      <c r="F5" s="4" t="s">
        <v>25</v>
      </c>
      <c r="G5" s="5">
        <v>71500</v>
      </c>
      <c r="H5" s="4" t="s">
        <v>29</v>
      </c>
      <c r="I5" s="4" t="s">
        <v>30</v>
      </c>
      <c r="J5" s="6">
        <v>0.77083333333333337</v>
      </c>
      <c r="K5" s="1">
        <v>0.78472222222222221</v>
      </c>
      <c r="L5" s="6">
        <v>0.53819444444444442</v>
      </c>
      <c r="M5" s="7">
        <v>0.55972222222222223</v>
      </c>
      <c r="N5" s="2" t="s">
        <v>137</v>
      </c>
      <c r="O5" s="8" t="s">
        <v>317</v>
      </c>
      <c r="P5" s="4">
        <v>1033</v>
      </c>
      <c r="Q5" s="8">
        <v>1029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f>A5</f>
        <v>43828</v>
      </c>
      <c r="B6" s="4" t="s">
        <v>21</v>
      </c>
      <c r="C6" s="2" t="s">
        <v>91</v>
      </c>
      <c r="D6" s="2" t="s">
        <v>23</v>
      </c>
      <c r="E6" s="4" t="str">
        <f>E4</f>
        <v>HALPL</v>
      </c>
      <c r="F6" s="2" t="s">
        <v>25</v>
      </c>
      <c r="G6" s="5">
        <f>G4</f>
        <v>71500</v>
      </c>
      <c r="H6" s="2" t="s">
        <v>32</v>
      </c>
      <c r="I6" s="2" t="s">
        <v>33</v>
      </c>
      <c r="J6" s="9">
        <v>0.86805555555555547</v>
      </c>
      <c r="K6" s="1">
        <v>0.8930555555555556</v>
      </c>
      <c r="L6" s="9">
        <v>0.68055555555555547</v>
      </c>
      <c r="M6" s="1">
        <v>0.7090277777777777</v>
      </c>
      <c r="N6" s="2" t="s">
        <v>345</v>
      </c>
      <c r="O6" s="2" t="s">
        <v>346</v>
      </c>
      <c r="P6" s="2">
        <v>1354</v>
      </c>
      <c r="Q6" s="8">
        <v>950</v>
      </c>
      <c r="R6" s="2">
        <v>0</v>
      </c>
      <c r="S6" s="2">
        <v>0</v>
      </c>
      <c r="T6" s="2">
        <v>0</v>
      </c>
      <c r="U6" s="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D1" workbookViewId="0">
      <selection activeCell="P8" sqref="P8"/>
    </sheetView>
  </sheetViews>
  <sheetFormatPr defaultRowHeight="15" x14ac:dyDescent="0.25"/>
  <cols>
    <col min="1" max="1" width="10.140625" bestFit="1" customWidth="1"/>
    <col min="3" max="3" width="13.5703125" bestFit="1" customWidth="1"/>
    <col min="4" max="4" width="5.710937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" t="s">
        <v>10</v>
      </c>
      <c r="L1" s="14" t="s">
        <v>11</v>
      </c>
      <c r="M1" s="14" t="s">
        <v>12</v>
      </c>
      <c r="N1" s="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">
        <v>43829</v>
      </c>
      <c r="B2" s="4" t="s">
        <v>21</v>
      </c>
      <c r="C2" s="4" t="s">
        <v>87</v>
      </c>
      <c r="D2" s="4" t="s">
        <v>23</v>
      </c>
      <c r="E2" s="4" t="s">
        <v>322</v>
      </c>
      <c r="F2" s="4" t="s">
        <v>25</v>
      </c>
      <c r="G2" s="5">
        <f>G3</f>
        <v>71500</v>
      </c>
      <c r="H2" s="4" t="s">
        <v>47</v>
      </c>
      <c r="I2" s="4" t="s">
        <v>48</v>
      </c>
      <c r="J2" s="6">
        <v>0.46180555555555558</v>
      </c>
      <c r="K2" s="7">
        <v>0.4548611111111111</v>
      </c>
      <c r="L2" s="6">
        <v>0.25694444444444448</v>
      </c>
      <c r="M2" s="7">
        <v>0.26041666666666669</v>
      </c>
      <c r="N2" s="2" t="s">
        <v>348</v>
      </c>
      <c r="O2" s="8" t="s">
        <v>100</v>
      </c>
      <c r="P2" s="8">
        <v>1019</v>
      </c>
      <c r="Q2" s="8">
        <v>734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43829</v>
      </c>
      <c r="B3" s="4" t="s">
        <v>21</v>
      </c>
      <c r="C3" s="4" t="s">
        <v>88</v>
      </c>
      <c r="D3" s="4" t="s">
        <v>23</v>
      </c>
      <c r="E3" s="4" t="s">
        <v>129</v>
      </c>
      <c r="F3" s="4" t="s">
        <v>25</v>
      </c>
      <c r="G3" s="5">
        <v>71500</v>
      </c>
      <c r="H3" s="4" t="s">
        <v>50</v>
      </c>
      <c r="I3" s="4" t="s">
        <v>51</v>
      </c>
      <c r="J3" s="6">
        <v>0.50694444444444442</v>
      </c>
      <c r="K3" s="7">
        <v>0.48958333333333331</v>
      </c>
      <c r="L3" s="6">
        <v>0.30208333333333331</v>
      </c>
      <c r="M3" s="7">
        <v>0.3034722222222222</v>
      </c>
      <c r="N3" s="2" t="s">
        <v>315</v>
      </c>
      <c r="O3" s="8" t="s">
        <v>347</v>
      </c>
      <c r="P3" s="4">
        <v>1104</v>
      </c>
      <c r="Q3" s="8">
        <v>878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43829</v>
      </c>
      <c r="B4" s="2" t="s">
        <v>21</v>
      </c>
      <c r="C4" s="2" t="s">
        <v>22</v>
      </c>
      <c r="D4" s="2" t="s">
        <v>23</v>
      </c>
      <c r="E4" s="4" t="str">
        <f>E2</f>
        <v>HALPL</v>
      </c>
      <c r="F4" s="2" t="s">
        <v>25</v>
      </c>
      <c r="G4" s="5">
        <f>G3</f>
        <v>71500</v>
      </c>
      <c r="H4" s="4" t="s">
        <v>26</v>
      </c>
      <c r="I4" s="4" t="s">
        <v>27</v>
      </c>
      <c r="J4" s="11">
        <v>0.65972222222222221</v>
      </c>
      <c r="K4" s="1">
        <v>0.66319444444444442</v>
      </c>
      <c r="L4" s="11">
        <v>0.49305555555555558</v>
      </c>
      <c r="M4" s="12">
        <v>0.49374999999999997</v>
      </c>
      <c r="N4" s="2" t="s">
        <v>44</v>
      </c>
      <c r="O4" s="10" t="s">
        <v>312</v>
      </c>
      <c r="P4" s="10">
        <v>1165</v>
      </c>
      <c r="Q4" s="8">
        <v>781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>A4</f>
        <v>43829</v>
      </c>
      <c r="B5" s="2" t="s">
        <v>21</v>
      </c>
      <c r="C5" s="2" t="s">
        <v>180</v>
      </c>
      <c r="D5" s="2" t="s">
        <v>23</v>
      </c>
      <c r="E5" s="4" t="s">
        <v>129</v>
      </c>
      <c r="F5" s="2" t="s">
        <v>25</v>
      </c>
      <c r="G5" s="5">
        <v>71500</v>
      </c>
      <c r="H5" s="2" t="s">
        <v>53</v>
      </c>
      <c r="I5" s="2" t="s">
        <v>54</v>
      </c>
      <c r="J5" s="9">
        <v>0.68055555555555547</v>
      </c>
      <c r="K5" s="1">
        <v>0.67152777777777783</v>
      </c>
      <c r="L5" s="9">
        <v>0.52777777777777779</v>
      </c>
      <c r="M5" s="1">
        <v>0.53333333333333333</v>
      </c>
      <c r="N5" s="2" t="s">
        <v>350</v>
      </c>
      <c r="O5" s="2" t="s">
        <v>349</v>
      </c>
      <c r="P5" s="2">
        <v>1104</v>
      </c>
      <c r="Q5" s="8">
        <v>897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f>A5</f>
        <v>43829</v>
      </c>
      <c r="B6" s="2" t="s">
        <v>21</v>
      </c>
      <c r="C6" s="2" t="s">
        <v>181</v>
      </c>
      <c r="D6" s="2" t="s">
        <v>23</v>
      </c>
      <c r="E6" s="4" t="str">
        <f>E4</f>
        <v>HALPL</v>
      </c>
      <c r="F6" s="2" t="s">
        <v>25</v>
      </c>
      <c r="G6" s="5">
        <f>G5</f>
        <v>71500</v>
      </c>
      <c r="H6" s="4" t="s">
        <v>56</v>
      </c>
      <c r="I6" s="4" t="s">
        <v>57</v>
      </c>
      <c r="J6" s="11">
        <v>0.91319444444444453</v>
      </c>
      <c r="K6" s="1">
        <v>0.90763888888888899</v>
      </c>
      <c r="L6" s="11">
        <v>0.69097222222222221</v>
      </c>
      <c r="M6" s="12">
        <v>0.70486111111111116</v>
      </c>
      <c r="N6" s="2" t="s">
        <v>352</v>
      </c>
      <c r="O6" s="10" t="s">
        <v>109</v>
      </c>
      <c r="P6" s="10">
        <v>595</v>
      </c>
      <c r="Q6" s="8">
        <v>668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f>A6</f>
        <v>43829</v>
      </c>
      <c r="B7" s="2" t="s">
        <v>21</v>
      </c>
      <c r="C7" s="2" t="s">
        <v>28</v>
      </c>
      <c r="D7" s="10" t="s">
        <v>23</v>
      </c>
      <c r="E7" s="4" t="s">
        <v>129</v>
      </c>
      <c r="F7" s="2" t="s">
        <v>25</v>
      </c>
      <c r="G7" s="5">
        <v>71500</v>
      </c>
      <c r="H7" s="4" t="s">
        <v>29</v>
      </c>
      <c r="I7" s="4" t="s">
        <v>30</v>
      </c>
      <c r="J7" s="11">
        <v>0.94444444444444453</v>
      </c>
      <c r="K7" s="12">
        <v>0.9458333333333333</v>
      </c>
      <c r="L7" s="11">
        <v>0.71180555555555547</v>
      </c>
      <c r="M7" s="12">
        <v>0.7284722222222223</v>
      </c>
      <c r="N7" s="2" t="s">
        <v>353</v>
      </c>
      <c r="O7" s="2" t="s">
        <v>351</v>
      </c>
      <c r="P7" s="2">
        <v>1050</v>
      </c>
      <c r="Q7" s="8">
        <v>797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H8" s="30"/>
      <c r="I8" s="30"/>
      <c r="J8" s="30"/>
      <c r="K8" s="30"/>
      <c r="L8" s="30"/>
      <c r="M8" s="30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topLeftCell="D1" workbookViewId="0">
      <selection activeCell="U4" sqref="U4"/>
    </sheetView>
  </sheetViews>
  <sheetFormatPr defaultRowHeight="15" x14ac:dyDescent="0.25"/>
  <cols>
    <col min="3" max="3" width="15" bestFit="1" customWidth="1"/>
    <col min="4" max="4" width="5.7109375" bestFit="1" customWidth="1"/>
    <col min="6" max="6" width="12.140625" bestFit="1" customWidth="1"/>
    <col min="13" max="13" width="10.85546875" bestFit="1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3" t="s">
        <v>354</v>
      </c>
      <c r="B2" s="4" t="s">
        <v>21</v>
      </c>
      <c r="C2" s="10" t="s">
        <v>66</v>
      </c>
      <c r="D2" s="10" t="s">
        <v>23</v>
      </c>
      <c r="E2" s="10" t="s">
        <v>322</v>
      </c>
      <c r="F2" s="4" t="s">
        <v>25</v>
      </c>
      <c r="G2" s="13">
        <v>71500</v>
      </c>
      <c r="H2" s="10" t="s">
        <v>72</v>
      </c>
      <c r="I2" s="10" t="s">
        <v>76</v>
      </c>
      <c r="J2" s="11">
        <v>0.50694444444444442</v>
      </c>
      <c r="K2" s="12">
        <v>0.49513888888888885</v>
      </c>
      <c r="L2" s="11">
        <v>0.32291666666666669</v>
      </c>
      <c r="M2" s="12">
        <v>0.3263888888888889</v>
      </c>
      <c r="N2" s="10" t="s">
        <v>355</v>
      </c>
      <c r="O2" s="10" t="s">
        <v>341</v>
      </c>
      <c r="P2" s="10">
        <v>719</v>
      </c>
      <c r="Q2" s="10">
        <v>705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3" t="s">
        <v>354</v>
      </c>
      <c r="B3" s="4" t="s">
        <v>21</v>
      </c>
      <c r="C3" s="10" t="s">
        <v>67</v>
      </c>
      <c r="D3" s="10" t="s">
        <v>23</v>
      </c>
      <c r="E3" s="10" t="s">
        <v>129</v>
      </c>
      <c r="F3" s="4" t="s">
        <v>25</v>
      </c>
      <c r="G3" s="13">
        <v>71500</v>
      </c>
      <c r="H3" s="10" t="s">
        <v>73</v>
      </c>
      <c r="I3" s="10" t="s">
        <v>77</v>
      </c>
      <c r="J3" s="11">
        <v>0.72916666666666663</v>
      </c>
      <c r="K3" s="12">
        <v>0.71944444444444444</v>
      </c>
      <c r="L3" s="11">
        <v>0.51388888888888895</v>
      </c>
      <c r="M3" s="12">
        <v>0.52986111111111112</v>
      </c>
      <c r="N3" s="10" t="s">
        <v>357</v>
      </c>
      <c r="O3" s="10" t="s">
        <v>356</v>
      </c>
      <c r="P3" s="10">
        <v>728</v>
      </c>
      <c r="Q3" s="10">
        <v>714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3" t="s">
        <v>354</v>
      </c>
      <c r="B4" s="4" t="s">
        <v>21</v>
      </c>
      <c r="C4" s="10" t="s">
        <v>68</v>
      </c>
      <c r="D4" s="10" t="s">
        <v>23</v>
      </c>
      <c r="E4" s="10" t="s">
        <v>322</v>
      </c>
      <c r="F4" s="4" t="s">
        <v>25</v>
      </c>
      <c r="G4" s="13">
        <v>71500</v>
      </c>
      <c r="H4" s="10" t="s">
        <v>74</v>
      </c>
      <c r="I4" s="10" t="s">
        <v>78</v>
      </c>
      <c r="J4" s="11">
        <v>0.68402777777777779</v>
      </c>
      <c r="K4" s="12">
        <v>0.66666666666666663</v>
      </c>
      <c r="L4" s="11">
        <v>0.52777777777777779</v>
      </c>
      <c r="M4" s="12">
        <v>0.53819444444444442</v>
      </c>
      <c r="N4" s="10" t="s">
        <v>358</v>
      </c>
      <c r="O4" s="10" t="s">
        <v>289</v>
      </c>
      <c r="P4" s="10">
        <v>756</v>
      </c>
      <c r="Q4" s="10">
        <v>669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3"/>
      <c r="B5" s="4"/>
      <c r="C5" s="10"/>
      <c r="D5" s="10"/>
      <c r="E5" s="10"/>
      <c r="F5" s="4"/>
      <c r="G5" s="13"/>
      <c r="H5" s="10"/>
      <c r="I5" s="10"/>
      <c r="J5" s="11"/>
      <c r="K5" s="12"/>
      <c r="L5" s="11"/>
      <c r="M5" s="12"/>
      <c r="N5" s="10"/>
      <c r="O5" s="10"/>
      <c r="P5" s="10"/>
      <c r="Q5" s="10"/>
      <c r="R5" s="10"/>
      <c r="S5" s="10"/>
      <c r="T5" s="10"/>
      <c r="U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1</vt:lpstr>
      <vt:lpstr>2</vt:lpstr>
      <vt:lpstr>3</vt:lpstr>
      <vt:lpstr>4</vt:lpstr>
      <vt:lpstr>6</vt:lpstr>
      <vt:lpstr>7</vt:lpstr>
      <vt:lpstr>8</vt:lpstr>
      <vt:lpstr>9</vt:lpstr>
      <vt:lpstr>10</vt:lpstr>
      <vt:lpstr>11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2019-10-31T12:45:40Z</dcterms:created>
  <dcterms:modified xsi:type="dcterms:W3CDTF">2019-12-31T16:30:06Z</dcterms:modified>
</cp:coreProperties>
</file>