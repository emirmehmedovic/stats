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PC-TZL\Desktop\STATISTIČKI IZVJEŠTAJI\2023\Dnevni izvještaji\12. DECEMBAR 2023\"/>
    </mc:Choice>
  </mc:AlternateContent>
  <xr:revisionPtr revIDLastSave="0" documentId="13_ncr:1_{EF577B7C-A0D5-4FC2-87A2-6910281C8229}" xr6:coauthVersionLast="37" xr6:coauthVersionMax="37" xr10:uidLastSave="{00000000-0000-0000-0000-000000000000}"/>
  <bookViews>
    <workbookView xWindow="-30" yWindow="825" windowWidth="19230" windowHeight="5025" tabRatio="891" xr2:uid="{00000000-000D-0000-FFFF-FFFF00000000}"/>
  </bookViews>
  <sheets>
    <sheet name="Redovni promet" sheetId="7" r:id="rId1"/>
    <sheet name="Vanredni promet" sheetId="10" r:id="rId2"/>
    <sheet name="Ostala slijetanja" sheetId="17" r:id="rId3"/>
    <sheet name="Izvještaj za fakturisanje" sheetId="18" r:id="rId4"/>
    <sheet name="UKUPNO" sheetId="19" r:id="rId5"/>
    <sheet name="Sheet1" sheetId="20" r:id="rId6"/>
  </sheets>
  <definedNames>
    <definedName name="_xlnm._FilterDatabase" localSheetId="2" hidden="1">'Ostala slijetanja'!$K$4:$K$39</definedName>
    <definedName name="_xlnm._FilterDatabase" localSheetId="1" hidden="1">'Vanredni promet'!$K$4:$K$42</definedName>
  </definedNames>
  <calcPr calcId="179021"/>
</workbook>
</file>

<file path=xl/calcChain.xml><?xml version="1.0" encoding="utf-8"?>
<calcChain xmlns="http://schemas.openxmlformats.org/spreadsheetml/2006/main">
  <c r="AV11" i="7" l="1"/>
  <c r="AV10" i="7"/>
  <c r="AV9" i="7"/>
  <c r="AP37" i="7"/>
  <c r="AO37" i="7"/>
  <c r="AN37" i="7"/>
  <c r="AM37" i="7"/>
  <c r="AK37" i="7"/>
  <c r="AJ37" i="7"/>
  <c r="AI37" i="7"/>
  <c r="AH37" i="7"/>
  <c r="AF37" i="7"/>
  <c r="AE37" i="7"/>
  <c r="AD37" i="7"/>
  <c r="AC37" i="7"/>
  <c r="AA37" i="7"/>
  <c r="Z37" i="7"/>
  <c r="Y37" i="7"/>
  <c r="X37" i="7"/>
  <c r="V37" i="7"/>
  <c r="U37" i="7"/>
  <c r="T37" i="7"/>
  <c r="S37" i="7"/>
  <c r="S38" i="7" s="1"/>
  <c r="S41" i="7" s="1"/>
  <c r="AO38" i="7" l="1"/>
  <c r="AO41" i="7" s="1"/>
  <c r="AC38" i="7"/>
  <c r="AC41" i="7" s="1"/>
  <c r="AH38" i="7"/>
  <c r="AH41" i="7" s="1"/>
  <c r="AE38" i="7"/>
  <c r="AE41" i="7" s="1"/>
  <c r="Z38" i="7"/>
  <c r="Z41" i="7" s="1"/>
  <c r="AV12" i="7"/>
  <c r="E8" i="19" s="1"/>
  <c r="U38" i="7"/>
  <c r="U41" i="7" s="1"/>
  <c r="X38" i="7"/>
  <c r="AM38" i="7"/>
  <c r="AM41" i="7" s="1"/>
  <c r="AJ38" i="7"/>
  <c r="AJ41" i="7" s="1"/>
  <c r="H22" i="18"/>
  <c r="H21" i="18"/>
  <c r="F22" i="18"/>
  <c r="F21" i="18"/>
  <c r="H17" i="18"/>
  <c r="F17" i="18"/>
  <c r="AX11" i="7" l="1"/>
  <c r="X41" i="7"/>
  <c r="AW11" i="7"/>
  <c r="H23" i="18"/>
  <c r="F23" i="18"/>
  <c r="H18" i="18"/>
  <c r="F18" i="18"/>
  <c r="H39" i="17"/>
  <c r="P10" i="19" s="1"/>
  <c r="G39" i="17"/>
  <c r="N10" i="19" s="1"/>
  <c r="F39" i="17"/>
  <c r="I10" i="19" s="1"/>
  <c r="E39" i="17"/>
  <c r="G10" i="19" s="1"/>
  <c r="D39" i="17"/>
  <c r="E10" i="19" s="1"/>
  <c r="K43" i="7"/>
  <c r="Q37" i="7"/>
  <c r="P37" i="7"/>
  <c r="O37" i="7"/>
  <c r="N37" i="7"/>
  <c r="L37" i="7"/>
  <c r="K37" i="7"/>
  <c r="J37" i="7"/>
  <c r="I37" i="7"/>
  <c r="K10" i="19" l="1"/>
  <c r="AY11" i="7"/>
  <c r="R10" i="19"/>
  <c r="H25" i="18"/>
  <c r="I38" i="7"/>
  <c r="F25" i="18"/>
  <c r="N38" i="7"/>
  <c r="K38" i="7"/>
  <c r="P38" i="7"/>
  <c r="D37" i="7"/>
  <c r="E37" i="7"/>
  <c r="F37" i="7"/>
  <c r="G37" i="7"/>
  <c r="AW10" i="7" l="1"/>
  <c r="K41" i="7"/>
  <c r="AX10" i="7"/>
  <c r="P41" i="7"/>
  <c r="N41" i="7"/>
  <c r="I41" i="7"/>
  <c r="D38" i="7"/>
  <c r="AW9" i="7" s="1"/>
  <c r="F38" i="7"/>
  <c r="AW12" i="7" l="1"/>
  <c r="G8" i="19" s="1"/>
  <c r="AY10" i="7"/>
  <c r="AX9" i="7"/>
  <c r="H42" i="10"/>
  <c r="P9" i="19" s="1"/>
  <c r="P12" i="19" s="1"/>
  <c r="G42" i="10"/>
  <c r="N9" i="19" s="1"/>
  <c r="F42" i="10"/>
  <c r="I9" i="19" s="1"/>
  <c r="E42" i="10"/>
  <c r="G9" i="19" s="1"/>
  <c r="D42" i="10"/>
  <c r="E9" i="19" s="1"/>
  <c r="E12" i="19" s="1"/>
  <c r="N12" i="19" l="1"/>
  <c r="R9" i="19"/>
  <c r="R12" i="19" s="1"/>
  <c r="K9" i="19"/>
  <c r="G12" i="19"/>
  <c r="AY9" i="7"/>
  <c r="AY12" i="7" s="1"/>
  <c r="AX12" i="7"/>
  <c r="I8" i="19" s="1"/>
  <c r="D41" i="7"/>
  <c r="F41" i="7"/>
  <c r="I12" i="19" l="1"/>
  <c r="K8" i="19"/>
  <c r="K12" i="19" s="1"/>
</calcChain>
</file>

<file path=xl/sharedStrings.xml><?xml version="1.0" encoding="utf-8"?>
<sst xmlns="http://schemas.openxmlformats.org/spreadsheetml/2006/main" count="207" uniqueCount="113">
  <si>
    <t>Datum</t>
  </si>
  <si>
    <t>Br. Operacija</t>
  </si>
  <si>
    <t>Ukrcano</t>
  </si>
  <si>
    <t>Iskrcano</t>
  </si>
  <si>
    <t>PUTNICI</t>
  </si>
  <si>
    <t>Istovareno</t>
  </si>
  <si>
    <t>Utovareno</t>
  </si>
  <si>
    <t>RUTA</t>
  </si>
  <si>
    <t>TERET (u tonama)</t>
  </si>
  <si>
    <t>KOMPANIJA</t>
  </si>
  <si>
    <t>DTM</t>
  </si>
  <si>
    <t>MLH</t>
  </si>
  <si>
    <t>FMM</t>
  </si>
  <si>
    <t>UKUPNO</t>
  </si>
  <si>
    <t>WIZZAIR MALTA (W4)</t>
  </si>
  <si>
    <t>Redovni promet</t>
  </si>
  <si>
    <t>Vanredni promet</t>
  </si>
  <si>
    <t>Ostala slijetanja</t>
  </si>
  <si>
    <t>Broj letova</t>
  </si>
  <si>
    <t>Ukupno</t>
  </si>
  <si>
    <t>TERET</t>
  </si>
  <si>
    <t>Br. Letova</t>
  </si>
  <si>
    <t>TIP OPERACIJE</t>
  </si>
  <si>
    <t>Destinacija</t>
  </si>
  <si>
    <t>Broj putnika</t>
  </si>
  <si>
    <t>WIZZ AIR HUNGARY LTD</t>
  </si>
  <si>
    <t>1.</t>
  </si>
  <si>
    <t>Dortmund (DTM)</t>
  </si>
  <si>
    <t>Basel Mulhouse (MLH)</t>
  </si>
  <si>
    <t>3.</t>
  </si>
  <si>
    <t>Memmingen (FMM)</t>
  </si>
  <si>
    <t>UKUPNO:</t>
  </si>
  <si>
    <t>Izvještaj pripremio:</t>
  </si>
  <si>
    <t>Operativni centar JP "MAT" d.o.o.</t>
  </si>
  <si>
    <t>1 DECEMBAR</t>
  </si>
  <si>
    <t>2 DECEMBAR</t>
  </si>
  <si>
    <t>3 DECEMBAR</t>
  </si>
  <si>
    <t>4 DECEMBAR</t>
  </si>
  <si>
    <t>5 DECEMBAR</t>
  </si>
  <si>
    <t>6 DECEMBAR</t>
  </si>
  <si>
    <t>7 DECEMBAR</t>
  </si>
  <si>
    <t>8 DECEMBAR</t>
  </si>
  <si>
    <t>9 DECEMBAR</t>
  </si>
  <si>
    <t>10 DECEMBAR</t>
  </si>
  <si>
    <t>11 DECEMBAR</t>
  </si>
  <si>
    <t>12 DECEMBAR</t>
  </si>
  <si>
    <t>13 DECEMBAR</t>
  </si>
  <si>
    <t>14 DECEMBAR</t>
  </si>
  <si>
    <t>15 DECEMBAR</t>
  </si>
  <si>
    <t>16 DECEMBAR</t>
  </si>
  <si>
    <t>17 DECEMBAR</t>
  </si>
  <si>
    <t>18 DECEMBAR</t>
  </si>
  <si>
    <t>19 DECEMBAR</t>
  </si>
  <si>
    <t>20 DECEMBAR</t>
  </si>
  <si>
    <t>21 DECEMBAR</t>
  </si>
  <si>
    <t>22 DECEMBAR</t>
  </si>
  <si>
    <t>23 DECEMBAR</t>
  </si>
  <si>
    <t>24 DECEMBAR</t>
  </si>
  <si>
    <t>25 DECEMBAR</t>
  </si>
  <si>
    <t>26 DECEMBAR</t>
  </si>
  <si>
    <t>27 DECEMBAR</t>
  </si>
  <si>
    <t>28 DECEMBAR</t>
  </si>
  <si>
    <t>29 DECEMBAR</t>
  </si>
  <si>
    <t>30 DECEMBAR</t>
  </si>
  <si>
    <t>31 DECEMBAR</t>
  </si>
  <si>
    <t>Izvještaj o broju odlazećih putnika WIZZAIR                          za mjesec DECEMBAR 2023. godine</t>
  </si>
  <si>
    <t>SAW-TZL-SAW</t>
  </si>
  <si>
    <t>PEGASUS</t>
  </si>
  <si>
    <t>DIVERTOVANI</t>
  </si>
  <si>
    <t>TZL-SHJ</t>
  </si>
  <si>
    <t>BLUEBIRD NORDICK</t>
  </si>
  <si>
    <t>CARGO</t>
  </si>
  <si>
    <t>LJU-TZL</t>
  </si>
  <si>
    <t>DELIĆ AIR DOO</t>
  </si>
  <si>
    <t>TZL-LJU</t>
  </si>
  <si>
    <t>GP</t>
  </si>
  <si>
    <t>DTM-TZL-DTM</t>
  </si>
  <si>
    <t>WIZZAIR</t>
  </si>
  <si>
    <t xml:space="preserve">           SAW-TZL-SAW</t>
  </si>
  <si>
    <t>JED-TZL-JED</t>
  </si>
  <si>
    <t>FLYNAS</t>
  </si>
  <si>
    <t>IST-TZL-IST</t>
  </si>
  <si>
    <t>SOS AMBULANCE</t>
  </si>
  <si>
    <t>MEDEVAC</t>
  </si>
  <si>
    <t>WIZZ AIR MALTA</t>
  </si>
  <si>
    <t>WIZZ AIR HUNGARY (W6)</t>
  </si>
  <si>
    <t>HAD</t>
  </si>
  <si>
    <t>NYO</t>
  </si>
  <si>
    <t>MST</t>
  </si>
  <si>
    <t>LUMIWINGS S.A.</t>
  </si>
  <si>
    <t>EBJ</t>
  </si>
  <si>
    <t>SCN</t>
  </si>
  <si>
    <t>WIZZAIR MALTA</t>
  </si>
  <si>
    <t>LUMIWINGS</t>
  </si>
  <si>
    <t>BR.LETOVA</t>
  </si>
  <si>
    <t>UKRCANO</t>
  </si>
  <si>
    <t>ISKRCANO</t>
  </si>
  <si>
    <t>BTS-TZL</t>
  </si>
  <si>
    <t>ICAR AIR</t>
  </si>
  <si>
    <t>GERMANY AIR FORCE</t>
  </si>
  <si>
    <t>D adt</t>
  </si>
  <si>
    <t>kg</t>
  </si>
  <si>
    <t>FOG-TZL</t>
  </si>
  <si>
    <t>LUMIWINGS S.A</t>
  </si>
  <si>
    <t>T</t>
  </si>
  <si>
    <t>ZAG-TZL-ZAG</t>
  </si>
  <si>
    <t>BEG-TZL-BEG</t>
  </si>
  <si>
    <t>HELIMASTER</t>
  </si>
  <si>
    <t>HRG-TZL-HAM</t>
  </si>
  <si>
    <t>AERO-DIENST GMBH</t>
  </si>
  <si>
    <t>DECEMBAR 2023</t>
  </si>
  <si>
    <t>2023</t>
  </si>
  <si>
    <t>RYANAIR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</si>
</sst>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9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C00000"/>
      <name val="Calibri"/>
      <family val="2"/>
      <charset val="238"/>
      <scheme val="minor"/>
    </font>
    <font>
      <sz val="11"/>
      <color theme="1"/>
      <name val="times new roman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 CE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mbria"/>
      <family val="1"/>
      <charset val="238"/>
      <scheme val="major"/>
    </font>
    <font>
      <b/>
      <sz val="16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b/>
      <sz val="11"/>
      <color theme="1"/>
      <name val="Times New Roman"/>
      <family val="1"/>
    </font>
    <font>
      <sz val="10"/>
      <color theme="1"/>
      <name val="Garamond"/>
      <family val="1"/>
      <charset val="238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/>
    <xf numFmtId="164" fontId="8" fillId="0" borderId="0" applyFont="0" applyFill="0" applyBorder="0" applyAlignment="0" applyProtection="0"/>
    <xf numFmtId="0" fontId="9" fillId="0" borderId="0"/>
    <xf numFmtId="0" fontId="10" fillId="0" borderId="0"/>
    <xf numFmtId="0" fontId="11" fillId="0" borderId="0"/>
  </cellStyleXfs>
  <cellXfs count="253">
    <xf numFmtId="0" fontId="0" fillId="0" borderId="0" xfId="0"/>
    <xf numFmtId="0" fontId="0" fillId="3" borderId="0" xfId="0" applyFill="1" applyProtection="1">
      <protection locked="0"/>
    </xf>
    <xf numFmtId="0" fontId="2" fillId="3" borderId="0" xfId="0" applyFont="1" applyFill="1" applyBorder="1" applyAlignment="1" applyProtection="1">
      <protection locked="0"/>
    </xf>
    <xf numFmtId="0" fontId="0" fillId="3" borderId="0" xfId="0" applyFill="1" applyBorder="1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3" borderId="0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Border="1" applyProtection="1">
      <protection locked="0"/>
    </xf>
    <xf numFmtId="0" fontId="0" fillId="3" borderId="1" xfId="0" applyFill="1" applyBorder="1" applyAlignment="1" applyProtection="1">
      <alignment horizontal="center"/>
    </xf>
    <xf numFmtId="0" fontId="0" fillId="3" borderId="0" xfId="0" applyFill="1" applyBorder="1" applyAlignment="1" applyProtection="1">
      <alignment horizontal="center"/>
    </xf>
    <xf numFmtId="0" fontId="0" fillId="0" borderId="15" xfId="0" applyFill="1" applyBorder="1" applyAlignment="1" applyProtection="1">
      <alignment horizontal="center"/>
      <protection locked="0"/>
    </xf>
    <xf numFmtId="0" fontId="0" fillId="0" borderId="16" xfId="0" applyFill="1" applyBorder="1" applyAlignment="1" applyProtection="1">
      <alignment horizontal="center"/>
      <protection locked="0"/>
    </xf>
    <xf numFmtId="0" fontId="0" fillId="0" borderId="3" xfId="0" applyFill="1" applyBorder="1" applyAlignment="1">
      <alignment horizontal="center"/>
    </xf>
    <xf numFmtId="49" fontId="0" fillId="2" borderId="14" xfId="0" applyNumberFormat="1" applyFill="1" applyBorder="1" applyAlignment="1" applyProtection="1">
      <alignment horizontal="center"/>
      <protection locked="0"/>
    </xf>
    <xf numFmtId="0" fontId="0" fillId="0" borderId="15" xfId="0" applyFont="1" applyFill="1" applyBorder="1" applyAlignment="1" applyProtection="1">
      <alignment horizontal="center"/>
      <protection locked="0"/>
    </xf>
    <xf numFmtId="0" fontId="0" fillId="0" borderId="16" xfId="0" applyFont="1" applyFill="1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1" fillId="0" borderId="0" xfId="0" applyFont="1" applyProtection="1">
      <protection locked="0"/>
    </xf>
    <xf numFmtId="0" fontId="1" fillId="0" borderId="0" xfId="0" applyFont="1" applyFill="1" applyBorder="1" applyAlignment="1" applyProtection="1">
      <alignment horizontal="center"/>
      <protection locked="0"/>
    </xf>
    <xf numFmtId="0" fontId="1" fillId="0" borderId="12" xfId="0" applyFont="1" applyFill="1" applyBorder="1" applyAlignment="1" applyProtection="1">
      <alignment horizontal="center"/>
      <protection locked="0"/>
    </xf>
    <xf numFmtId="0" fontId="1" fillId="0" borderId="13" xfId="0" applyFont="1" applyFill="1" applyBorder="1" applyAlignment="1" applyProtection="1">
      <alignment horizontal="center"/>
      <protection locked="0"/>
    </xf>
    <xf numFmtId="0" fontId="0" fillId="0" borderId="3" xfId="0" applyFont="1" applyBorder="1" applyAlignment="1" applyProtection="1">
      <alignment horizontal="center"/>
      <protection locked="0"/>
    </xf>
    <xf numFmtId="0" fontId="0" fillId="0" borderId="3" xfId="0" applyFont="1" applyFill="1" applyBorder="1" applyAlignment="1" applyProtection="1">
      <alignment horizontal="center"/>
      <protection locked="0"/>
    </xf>
    <xf numFmtId="0" fontId="0" fillId="0" borderId="3" xfId="0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2" xfId="0" applyFont="1" applyFill="1" applyBorder="1" applyAlignment="1" applyProtection="1">
      <alignment horizontal="center"/>
      <protection locked="0"/>
    </xf>
    <xf numFmtId="0" fontId="0" fillId="0" borderId="2" xfId="0" applyNumberFormat="1" applyFont="1" applyFill="1" applyBorder="1" applyAlignment="1" applyProtection="1">
      <alignment horizontal="center"/>
      <protection locked="0"/>
    </xf>
    <xf numFmtId="0" fontId="0" fillId="0" borderId="3" xfId="0" applyFill="1" applyBorder="1" applyAlignment="1" applyProtection="1">
      <alignment horizontal="center"/>
      <protection locked="0"/>
    </xf>
    <xf numFmtId="0" fontId="0" fillId="0" borderId="12" xfId="0" applyFill="1" applyBorder="1" applyAlignment="1" applyProtection="1">
      <alignment horizontal="center" vertical="center"/>
      <protection locked="0"/>
    </xf>
    <xf numFmtId="3" fontId="0" fillId="0" borderId="3" xfId="0" applyNumberFormat="1" applyFill="1" applyBorder="1" applyAlignment="1" applyProtection="1">
      <alignment horizontal="center" vertical="center"/>
      <protection locked="0"/>
    </xf>
    <xf numFmtId="0" fontId="0" fillId="3" borderId="6" xfId="0" applyFill="1" applyBorder="1" applyAlignment="1" applyProtection="1">
      <alignment horizontal="center"/>
    </xf>
    <xf numFmtId="0" fontId="0" fillId="3" borderId="5" xfId="0" applyFill="1" applyBorder="1" applyAlignment="1" applyProtection="1">
      <alignment horizontal="center"/>
    </xf>
    <xf numFmtId="0" fontId="0" fillId="0" borderId="3" xfId="0" applyFont="1" applyFill="1" applyBorder="1" applyAlignment="1" applyProtection="1">
      <alignment horizontal="center"/>
    </xf>
    <xf numFmtId="0" fontId="0" fillId="3" borderId="5" xfId="0" applyFill="1" applyBorder="1" applyAlignment="1" applyProtection="1">
      <alignment horizontal="center"/>
    </xf>
    <xf numFmtId="0" fontId="0" fillId="0" borderId="0" xfId="0" applyFont="1" applyFill="1" applyBorder="1" applyAlignment="1" applyProtection="1">
      <alignment horizontal="center"/>
      <protection locked="0"/>
    </xf>
    <xf numFmtId="0" fontId="0" fillId="0" borderId="13" xfId="0" applyFont="1" applyFill="1" applyBorder="1" applyAlignment="1" applyProtection="1">
      <alignment horizontal="center"/>
      <protection locked="0"/>
    </xf>
    <xf numFmtId="0" fontId="0" fillId="0" borderId="0" xfId="0" applyFill="1" applyBorder="1" applyAlignment="1" applyProtection="1">
      <alignment horizontal="center"/>
      <protection locked="0"/>
    </xf>
    <xf numFmtId="0" fontId="0" fillId="0" borderId="12" xfId="0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12" fillId="0" borderId="0" xfId="0" applyFont="1" applyFill="1" applyProtection="1">
      <protection locked="0"/>
    </xf>
    <xf numFmtId="0" fontId="4" fillId="0" borderId="15" xfId="0" applyFont="1" applyFill="1" applyBorder="1" applyAlignment="1" applyProtection="1">
      <alignment horizontal="center"/>
      <protection locked="0"/>
    </xf>
    <xf numFmtId="0" fontId="4" fillId="0" borderId="16" xfId="0" applyFont="1" applyFill="1" applyBorder="1" applyAlignment="1" applyProtection="1">
      <alignment horizontal="center"/>
      <protection locked="0"/>
    </xf>
    <xf numFmtId="0" fontId="0" fillId="0" borderId="20" xfId="0" applyFont="1" applyFill="1" applyBorder="1" applyAlignment="1" applyProtection="1">
      <alignment horizontal="center"/>
      <protection locked="0"/>
    </xf>
    <xf numFmtId="0" fontId="0" fillId="0" borderId="18" xfId="0" applyFont="1" applyFill="1" applyBorder="1" applyAlignment="1" applyProtection="1">
      <alignment horizontal="center"/>
      <protection locked="0"/>
    </xf>
    <xf numFmtId="0" fontId="0" fillId="3" borderId="0" xfId="0" applyFill="1" applyBorder="1" applyAlignment="1" applyProtection="1">
      <alignment horizontal="center" vertical="center"/>
      <protection locked="0"/>
    </xf>
    <xf numFmtId="16" fontId="1" fillId="0" borderId="2" xfId="0" applyNumberFormat="1" applyFont="1" applyBorder="1" applyAlignment="1" applyProtection="1">
      <alignment horizontal="center" vertical="center"/>
      <protection locked="0"/>
    </xf>
    <xf numFmtId="0" fontId="1" fillId="0" borderId="0" xfId="0" applyNumberFormat="1" applyFont="1" applyBorder="1" applyAlignment="1" applyProtection="1">
      <alignment horizontal="center"/>
      <protection locked="0"/>
    </xf>
    <xf numFmtId="0" fontId="0" fillId="0" borderId="9" xfId="0" applyFill="1" applyBorder="1" applyAlignment="1" applyProtection="1">
      <alignment horizontal="center"/>
      <protection locked="0"/>
    </xf>
    <xf numFmtId="0" fontId="0" fillId="0" borderId="13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4" xfId="0" applyFill="1" applyBorder="1" applyAlignment="1" applyProtection="1">
      <alignment horizontal="center" vertical="center"/>
      <protection locked="0"/>
    </xf>
    <xf numFmtId="0" fontId="0" fillId="0" borderId="2" xfId="0" applyFont="1" applyFill="1" applyBorder="1" applyAlignment="1" applyProtection="1">
      <protection locked="0"/>
    </xf>
    <xf numFmtId="0" fontId="0" fillId="0" borderId="3" xfId="0" applyFont="1" applyFill="1" applyBorder="1" applyAlignment="1" applyProtection="1">
      <protection locked="0"/>
    </xf>
    <xf numFmtId="0" fontId="0" fillId="0" borderId="3" xfId="0" applyBorder="1" applyProtection="1"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14" fillId="0" borderId="0" xfId="6" applyFont="1"/>
    <xf numFmtId="0" fontId="15" fillId="0" borderId="0" xfId="6" applyFont="1" applyAlignment="1">
      <alignment horizontal="center" vertical="center"/>
    </xf>
    <xf numFmtId="0" fontId="14" fillId="0" borderId="17" xfId="6" applyFont="1" applyBorder="1" applyAlignment="1">
      <alignment horizontal="center" vertical="center"/>
    </xf>
    <xf numFmtId="0" fontId="14" fillId="0" borderId="0" xfId="6" applyFont="1" applyBorder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0" fillId="0" borderId="2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protection locked="0"/>
    </xf>
    <xf numFmtId="0" fontId="0" fillId="0" borderId="13" xfId="0" applyFont="1" applyFill="1" applyBorder="1" applyAlignment="1" applyProtection="1">
      <alignment horizontal="center"/>
      <protection locked="0"/>
    </xf>
    <xf numFmtId="0" fontId="0" fillId="3" borderId="17" xfId="0" applyFill="1" applyBorder="1" applyAlignment="1" applyProtection="1">
      <alignment horizontal="center" vertical="center"/>
      <protection locked="0"/>
    </xf>
    <xf numFmtId="16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0" fillId="0" borderId="25" xfId="0" applyFill="1" applyBorder="1" applyAlignment="1" applyProtection="1">
      <alignment horizontal="center"/>
      <protection locked="0"/>
    </xf>
    <xf numFmtId="0" fontId="0" fillId="0" borderId="26" xfId="0" applyFont="1" applyFill="1" applyBorder="1" applyAlignment="1" applyProtection="1">
      <alignment horizontal="center"/>
      <protection locked="0"/>
    </xf>
    <xf numFmtId="0" fontId="17" fillId="0" borderId="26" xfId="0" applyFont="1" applyBorder="1" applyAlignment="1">
      <alignment horizontal="center" vertical="center"/>
    </xf>
    <xf numFmtId="0" fontId="0" fillId="0" borderId="27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17" fillId="0" borderId="17" xfId="0" applyFont="1" applyBorder="1" applyAlignment="1">
      <alignment horizontal="center" vertical="center"/>
    </xf>
    <xf numFmtId="3" fontId="0" fillId="0" borderId="17" xfId="0" applyNumberFormat="1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</xf>
    <xf numFmtId="0" fontId="0" fillId="0" borderId="16" xfId="0" applyBorder="1" applyAlignment="1" applyProtection="1">
      <alignment horizontal="center"/>
      <protection locked="0"/>
    </xf>
    <xf numFmtId="0" fontId="0" fillId="0" borderId="15" xfId="0" applyFill="1" applyBorder="1" applyAlignment="1" applyProtection="1">
      <alignment horizontal="center" vertical="center"/>
      <protection locked="0"/>
    </xf>
    <xf numFmtId="0" fontId="0" fillId="0" borderId="17" xfId="0" applyFill="1" applyBorder="1" applyAlignment="1" applyProtection="1">
      <alignment horizontal="center" vertical="center"/>
      <protection locked="0"/>
    </xf>
    <xf numFmtId="0" fontId="0" fillId="0" borderId="17" xfId="0" applyFill="1" applyBorder="1" applyAlignment="1" applyProtection="1">
      <alignment horizontal="center"/>
      <protection locked="0"/>
    </xf>
    <xf numFmtId="0" fontId="0" fillId="3" borderId="16" xfId="0" applyFill="1" applyBorder="1" applyAlignment="1" applyProtection="1">
      <alignment horizontal="center"/>
      <protection locked="0"/>
    </xf>
    <xf numFmtId="0" fontId="0" fillId="0" borderId="17" xfId="0" applyNumberFormat="1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 vertical="center"/>
      <protection locked="0"/>
    </xf>
    <xf numFmtId="0" fontId="0" fillId="0" borderId="16" xfId="0" applyFont="1" applyFill="1" applyBorder="1" applyAlignment="1" applyProtection="1">
      <protection locked="0"/>
    </xf>
    <xf numFmtId="0" fontId="0" fillId="0" borderId="15" xfId="0" applyFont="1" applyBorder="1" applyAlignment="1" applyProtection="1">
      <alignment horizontal="center"/>
      <protection locked="0"/>
    </xf>
    <xf numFmtId="0" fontId="0" fillId="0" borderId="17" xfId="0" applyFont="1" applyBorder="1" applyAlignment="1" applyProtection="1">
      <alignment horizontal="center"/>
      <protection locked="0"/>
    </xf>
    <xf numFmtId="3" fontId="0" fillId="0" borderId="17" xfId="0" applyNumberFormat="1" applyFill="1" applyBorder="1" applyAlignment="1" applyProtection="1">
      <alignment horizontal="center" vertical="center"/>
      <protection locked="0"/>
    </xf>
    <xf numFmtId="0" fontId="0" fillId="0" borderId="17" xfId="0" applyFill="1" applyBorder="1" applyAlignment="1">
      <alignment horizontal="center"/>
    </xf>
    <xf numFmtId="0" fontId="0" fillId="0" borderId="15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0" fillId="0" borderId="16" xfId="0" applyFill="1" applyBorder="1" applyAlignment="1" applyProtection="1">
      <alignment horizontal="center" vertical="center" wrapText="1"/>
      <protection locked="0"/>
    </xf>
    <xf numFmtId="0" fontId="0" fillId="3" borderId="15" xfId="0" applyFont="1" applyFill="1" applyBorder="1" applyAlignment="1" applyProtection="1">
      <alignment horizontal="center"/>
      <protection locked="0"/>
    </xf>
    <xf numFmtId="0" fontId="0" fillId="3" borderId="17" xfId="0" applyFont="1" applyFill="1" applyBorder="1" applyAlignment="1" applyProtection="1">
      <alignment horizontal="center"/>
      <protection locked="0"/>
    </xf>
    <xf numFmtId="3" fontId="0" fillId="3" borderId="17" xfId="0" applyNumberFormat="1" applyFont="1" applyFill="1" applyBorder="1" applyAlignment="1" applyProtection="1">
      <alignment horizontal="center"/>
      <protection locked="0"/>
    </xf>
    <xf numFmtId="4" fontId="0" fillId="0" borderId="17" xfId="0" applyNumberFormat="1" applyFont="1" applyFill="1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3" borderId="15" xfId="0" applyFill="1" applyBorder="1" applyAlignment="1" applyProtection="1">
      <alignment horizontal="center" vertical="center"/>
      <protection locked="0"/>
    </xf>
    <xf numFmtId="0" fontId="4" fillId="0" borderId="17" xfId="0" applyFont="1" applyFill="1" applyBorder="1" applyAlignment="1" applyProtection="1">
      <alignment horizontal="center"/>
      <protection locked="0"/>
    </xf>
    <xf numFmtId="4" fontId="0" fillId="0" borderId="17" xfId="0" applyNumberFormat="1" applyFont="1" applyFill="1" applyBorder="1" applyAlignment="1" applyProtection="1">
      <alignment horizontal="center"/>
    </xf>
    <xf numFmtId="0" fontId="0" fillId="0" borderId="20" xfId="0" applyFill="1" applyBorder="1" applyAlignment="1" applyProtection="1">
      <alignment horizontal="center" vertical="center"/>
      <protection locked="0"/>
    </xf>
    <xf numFmtId="0" fontId="0" fillId="0" borderId="28" xfId="0" applyFill="1" applyBorder="1" applyAlignment="1" applyProtection="1">
      <alignment horizontal="center" vertical="center"/>
      <protection locked="0"/>
    </xf>
    <xf numFmtId="0" fontId="0" fillId="0" borderId="28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</xf>
    <xf numFmtId="0" fontId="0" fillId="3" borderId="17" xfId="0" applyFont="1" applyFill="1" applyBorder="1" applyAlignment="1" applyProtection="1">
      <alignment horizontal="center"/>
      <protection locked="0"/>
    </xf>
    <xf numFmtId="0" fontId="0" fillId="0" borderId="31" xfId="0" applyFont="1" applyFill="1" applyBorder="1" applyAlignment="1" applyProtection="1">
      <alignment horizontal="center"/>
      <protection locked="0"/>
    </xf>
    <xf numFmtId="0" fontId="0" fillId="0" borderId="14" xfId="0" applyFont="1" applyFill="1" applyBorder="1" applyAlignment="1" applyProtection="1">
      <protection locked="0"/>
    </xf>
    <xf numFmtId="0" fontId="0" fillId="3" borderId="17" xfId="0" applyFill="1" applyBorder="1" applyAlignment="1" applyProtection="1">
      <alignment horizontal="center" vertical="center"/>
      <protection locked="0"/>
    </xf>
    <xf numFmtId="0" fontId="0" fillId="3" borderId="5" xfId="0" applyFill="1" applyBorder="1" applyAlignment="1" applyProtection="1">
      <alignment horizontal="center"/>
    </xf>
    <xf numFmtId="0" fontId="3" fillId="3" borderId="0" xfId="0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Border="1" applyAlignment="1" applyProtection="1">
      <alignment horizontal="center"/>
      <protection locked="0"/>
    </xf>
    <xf numFmtId="0" fontId="0" fillId="3" borderId="0" xfId="0" applyFill="1" applyBorder="1" applyAlignment="1" applyProtection="1">
      <protection locked="0"/>
    </xf>
    <xf numFmtId="0" fontId="4" fillId="0" borderId="0" xfId="0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locked="0"/>
    </xf>
    <xf numFmtId="0" fontId="0" fillId="3" borderId="17" xfId="0" applyFill="1" applyBorder="1" applyAlignment="1" applyProtection="1">
      <alignment horizontal="center" vertical="center"/>
    </xf>
    <xf numFmtId="0" fontId="0" fillId="3" borderId="0" xfId="0" applyFill="1" applyAlignment="1" applyProtection="1">
      <alignment horizontal="center" vertic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0" fillId="0" borderId="13" xfId="0" applyFont="1" applyFill="1" applyBorder="1" applyAlignment="1" applyProtection="1">
      <alignment horizontal="center"/>
      <protection locked="0"/>
    </xf>
    <xf numFmtId="0" fontId="0" fillId="0" borderId="3" xfId="0" applyFont="1" applyBorder="1" applyAlignment="1" applyProtection="1">
      <alignment horizontal="center" vertical="center"/>
      <protection locked="0"/>
    </xf>
    <xf numFmtId="0" fontId="0" fillId="4" borderId="0" xfId="0" applyFill="1" applyAlignme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3" xfId="0" applyFont="1" applyFill="1" applyBorder="1" applyAlignment="1" applyProtection="1">
      <alignment horizontal="center" vertical="center"/>
    </xf>
    <xf numFmtId="0" fontId="0" fillId="0" borderId="3" xfId="0" applyFont="1" applyFill="1" applyBorder="1" applyAlignment="1" applyProtection="1">
      <alignment horizontal="center" vertical="center"/>
      <protection locked="0"/>
    </xf>
    <xf numFmtId="0" fontId="0" fillId="0" borderId="3" xfId="0" applyFill="1" applyBorder="1" applyAlignment="1">
      <alignment horizontal="center" vertical="center"/>
    </xf>
    <xf numFmtId="4" fontId="0" fillId="0" borderId="3" xfId="0" applyNumberFormat="1" applyFont="1" applyFill="1" applyBorder="1" applyAlignment="1" applyProtection="1">
      <alignment horizontal="center" vertical="center"/>
      <protection locked="0"/>
    </xf>
    <xf numFmtId="4" fontId="0" fillId="0" borderId="3" xfId="0" applyNumberFormat="1" applyFont="1" applyFill="1" applyBorder="1" applyAlignment="1" applyProtection="1">
      <alignment horizontal="center" vertical="center"/>
    </xf>
    <xf numFmtId="0" fontId="0" fillId="0" borderId="4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1" fillId="0" borderId="12" xfId="0" applyFont="1" applyFill="1" applyBorder="1" applyAlignment="1" applyProtection="1">
      <alignment horizontal="center" vertical="center"/>
      <protection locked="0"/>
    </xf>
    <xf numFmtId="0" fontId="1" fillId="0" borderId="13" xfId="0" applyFont="1" applyFill="1" applyBorder="1" applyAlignment="1" applyProtection="1">
      <alignment horizontal="center" vertical="center"/>
      <protection locked="0"/>
    </xf>
    <xf numFmtId="3" fontId="0" fillId="0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ont="1" applyBorder="1" applyAlignment="1" applyProtection="1">
      <alignment horizontal="center" vertical="center"/>
      <protection locked="0"/>
    </xf>
    <xf numFmtId="0" fontId="0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32" xfId="0" applyBorder="1"/>
    <xf numFmtId="0" fontId="0" fillId="0" borderId="24" xfId="0" applyBorder="1"/>
    <xf numFmtId="0" fontId="0" fillId="0" borderId="33" xfId="0" applyBorder="1"/>
    <xf numFmtId="0" fontId="0" fillId="0" borderId="34" xfId="0" applyBorder="1"/>
    <xf numFmtId="0" fontId="0" fillId="0" borderId="0" xfId="0" applyBorder="1"/>
    <xf numFmtId="0" fontId="18" fillId="0" borderId="34" xfId="0" applyFont="1" applyBorder="1"/>
    <xf numFmtId="0" fontId="0" fillId="0" borderId="36" xfId="0" applyBorder="1"/>
    <xf numFmtId="0" fontId="0" fillId="0" borderId="23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4" xfId="0" applyFill="1" applyBorder="1"/>
    <xf numFmtId="0" fontId="18" fillId="0" borderId="0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6" xfId="0" applyFont="1" applyBorder="1"/>
    <xf numFmtId="0" fontId="18" fillId="0" borderId="23" xfId="0" applyFont="1" applyBorder="1"/>
    <xf numFmtId="0" fontId="18" fillId="0" borderId="23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3" borderId="0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</xf>
    <xf numFmtId="0" fontId="0" fillId="3" borderId="7" xfId="0" applyFill="1" applyBorder="1" applyAlignment="1" applyProtection="1">
      <alignment horizontal="center"/>
    </xf>
    <xf numFmtId="0" fontId="3" fillId="0" borderId="5" xfId="0" applyFont="1" applyFill="1" applyBorder="1" applyAlignment="1" applyProtection="1">
      <alignment horizontal="center" vertical="center"/>
      <protection locked="0"/>
    </xf>
    <xf numFmtId="0" fontId="3" fillId="0" borderId="6" xfId="0" applyFont="1" applyFill="1" applyBorder="1" applyAlignment="1" applyProtection="1">
      <alignment horizontal="center" vertical="center"/>
      <protection locked="0"/>
    </xf>
    <xf numFmtId="0" fontId="3" fillId="0" borderId="7" xfId="0" applyFont="1" applyFill="1" applyBorder="1" applyAlignment="1" applyProtection="1">
      <alignment horizontal="center" vertical="center"/>
      <protection locked="0"/>
    </xf>
    <xf numFmtId="0" fontId="2" fillId="0" borderId="21" xfId="0" applyFont="1" applyFill="1" applyBorder="1" applyAlignment="1" applyProtection="1">
      <alignment horizontal="center" vertical="center"/>
      <protection locked="0"/>
    </xf>
    <xf numFmtId="0" fontId="2" fillId="0" borderId="19" xfId="0" applyFont="1" applyFill="1" applyBorder="1" applyAlignment="1" applyProtection="1">
      <alignment horizontal="center" vertical="center"/>
      <protection locked="0"/>
    </xf>
    <xf numFmtId="0" fontId="2" fillId="0" borderId="22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6" xfId="0" applyFont="1" applyFill="1" applyBorder="1" applyAlignment="1" applyProtection="1">
      <alignment horizontal="center"/>
      <protection locked="0"/>
    </xf>
    <xf numFmtId="0" fontId="2" fillId="0" borderId="7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 vertical="center"/>
      <protection locked="0"/>
    </xf>
    <xf numFmtId="0" fontId="2" fillId="0" borderId="6" xfId="0" applyFont="1" applyFill="1" applyBorder="1" applyAlignment="1" applyProtection="1">
      <alignment horizontal="center" vertical="center"/>
      <protection locked="0"/>
    </xf>
    <xf numFmtId="0" fontId="2" fillId="0" borderId="7" xfId="0" applyFont="1" applyFill="1" applyBorder="1" applyAlignment="1" applyProtection="1">
      <alignment horizontal="center" vertical="center"/>
      <protection locked="0"/>
    </xf>
    <xf numFmtId="0" fontId="0" fillId="0" borderId="14" xfId="0" applyFill="1" applyBorder="1" applyAlignment="1" applyProtection="1">
      <alignment horizontal="center" vertical="center" wrapText="1"/>
      <protection locked="0"/>
    </xf>
    <xf numFmtId="0" fontId="0" fillId="0" borderId="31" xfId="0" applyFill="1" applyBorder="1" applyAlignment="1" applyProtection="1">
      <alignment horizontal="center" vertical="center" wrapText="1"/>
      <protection locked="0"/>
    </xf>
    <xf numFmtId="0" fontId="0" fillId="0" borderId="14" xfId="0" applyFont="1" applyFill="1" applyBorder="1" applyAlignment="1" applyProtection="1">
      <alignment horizontal="center"/>
      <protection locked="0"/>
    </xf>
    <xf numFmtId="0" fontId="0" fillId="0" borderId="31" xfId="0" applyFont="1" applyFill="1" applyBorder="1" applyAlignment="1" applyProtection="1">
      <alignment horizontal="center"/>
      <protection locked="0"/>
    </xf>
    <xf numFmtId="0" fontId="0" fillId="0" borderId="29" xfId="0" applyFill="1" applyBorder="1" applyAlignment="1" applyProtection="1">
      <alignment horizontal="center" vertical="center" wrapText="1"/>
      <protection locked="0"/>
    </xf>
    <xf numFmtId="0" fontId="0" fillId="0" borderId="30" xfId="0" applyFill="1" applyBorder="1" applyAlignment="1" applyProtection="1">
      <alignment horizontal="center" vertical="center" wrapText="1"/>
      <protection locked="0"/>
    </xf>
    <xf numFmtId="0" fontId="0" fillId="0" borderId="14" xfId="0" applyFont="1" applyFill="1" applyBorder="1" applyAlignment="1" applyProtection="1">
      <alignment horizontal="center"/>
    </xf>
    <xf numFmtId="0" fontId="0" fillId="0" borderId="31" xfId="0" applyFont="1" applyFill="1" applyBorder="1" applyAlignment="1" applyProtection="1">
      <alignment horizontal="center"/>
    </xf>
    <xf numFmtId="0" fontId="0" fillId="0" borderId="14" xfId="0" applyFill="1" applyBorder="1" applyAlignment="1" applyProtection="1">
      <alignment horizontal="center"/>
      <protection locked="0"/>
    </xf>
    <xf numFmtId="0" fontId="0" fillId="0" borderId="31" xfId="0" applyFill="1" applyBorder="1" applyAlignment="1" applyProtection="1">
      <alignment horizontal="center"/>
      <protection locked="0"/>
    </xf>
    <xf numFmtId="0" fontId="0" fillId="3" borderId="14" xfId="0" applyFont="1" applyFill="1" applyBorder="1" applyAlignment="1" applyProtection="1">
      <alignment horizontal="center"/>
      <protection locked="0"/>
    </xf>
    <xf numFmtId="0" fontId="0" fillId="3" borderId="3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26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>
      <alignment horizontal="center"/>
    </xf>
    <xf numFmtId="0" fontId="0" fillId="0" borderId="17" xfId="0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center"/>
      <protection locked="0"/>
    </xf>
    <xf numFmtId="0" fontId="0" fillId="0" borderId="17" xfId="0" applyFont="1" applyBorder="1" applyAlignment="1" applyProtection="1">
      <alignment horizontal="center"/>
      <protection locked="0"/>
    </xf>
    <xf numFmtId="0" fontId="0" fillId="0" borderId="2" xfId="0" applyFont="1" applyBorder="1" applyAlignment="1" applyProtection="1">
      <alignment horizontal="center" vertical="center"/>
      <protection locked="0"/>
    </xf>
    <xf numFmtId="0" fontId="0" fillId="0" borderId="3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4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2" xfId="0" applyFont="1" applyFill="1" applyBorder="1" applyAlignment="1" applyProtection="1">
      <alignment horizontal="center"/>
      <protection locked="0"/>
    </xf>
    <xf numFmtId="0" fontId="0" fillId="0" borderId="13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8" xfId="0" applyFont="1" applyFill="1" applyBorder="1" applyAlignment="1" applyProtection="1">
      <alignment horizontal="center"/>
      <protection locked="0"/>
    </xf>
    <xf numFmtId="0" fontId="0" fillId="0" borderId="9" xfId="0" applyFont="1" applyFill="1" applyBorder="1" applyAlignment="1" applyProtection="1">
      <alignment horizontal="center"/>
      <protection locked="0"/>
    </xf>
    <xf numFmtId="0" fontId="0" fillId="0" borderId="12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2" xfId="0" applyFill="1" applyBorder="1" applyAlignment="1" applyProtection="1">
      <alignment horizontal="center"/>
      <protection locked="0"/>
    </xf>
    <xf numFmtId="0" fontId="0" fillId="0" borderId="13" xfId="0" applyFill="1" applyBorder="1" applyAlignment="1" applyProtection="1">
      <alignment horizontal="center"/>
      <protection locked="0"/>
    </xf>
    <xf numFmtId="0" fontId="0" fillId="0" borderId="12" xfId="0" applyFont="1" applyBorder="1" applyAlignment="1" applyProtection="1">
      <alignment horizontal="center"/>
      <protection locked="0"/>
    </xf>
    <xf numFmtId="0" fontId="0" fillId="0" borderId="13" xfId="0" applyFont="1" applyBorder="1" applyAlignment="1" applyProtection="1">
      <alignment horizontal="center"/>
      <protection locked="0"/>
    </xf>
    <xf numFmtId="0" fontId="0" fillId="0" borderId="12" xfId="0" applyFill="1" applyBorder="1" applyAlignment="1" applyProtection="1">
      <alignment horizontal="center" vertical="center" wrapText="1"/>
      <protection locked="0"/>
    </xf>
    <xf numFmtId="0" fontId="0" fillId="0" borderId="13" xfId="0" applyFill="1" applyBorder="1" applyAlignment="1" applyProtection="1">
      <alignment horizontal="center" vertical="center" wrapText="1"/>
      <protection locked="0"/>
    </xf>
    <xf numFmtId="0" fontId="0" fillId="0" borderId="5" xfId="0" applyFill="1" applyBorder="1" applyAlignment="1" applyProtection="1">
      <alignment horizontal="center" vertical="center" wrapText="1"/>
      <protection locked="0"/>
    </xf>
    <xf numFmtId="0" fontId="0" fillId="0" borderId="7" xfId="0" applyFill="1" applyBorder="1" applyAlignment="1" applyProtection="1">
      <alignment horizontal="center" vertical="center" wrapText="1"/>
      <protection locked="0"/>
    </xf>
    <xf numFmtId="0" fontId="0" fillId="0" borderId="10" xfId="0" applyFill="1" applyBorder="1" applyAlignment="1" applyProtection="1">
      <alignment horizontal="center" vertical="center" wrapText="1"/>
      <protection locked="0"/>
    </xf>
    <xf numFmtId="0" fontId="0" fillId="0" borderId="11" xfId="0" applyFill="1" applyBorder="1" applyAlignment="1" applyProtection="1">
      <alignment horizontal="center" vertical="center" wrapText="1"/>
      <protection locked="0"/>
    </xf>
    <xf numFmtId="0" fontId="0" fillId="0" borderId="12" xfId="0" applyFont="1" applyFill="1" applyBorder="1" applyAlignment="1" applyProtection="1">
      <alignment horizontal="center"/>
    </xf>
    <xf numFmtId="0" fontId="0" fillId="0" borderId="13" xfId="0" applyFont="1" applyFill="1" applyBorder="1" applyAlignment="1" applyProtection="1">
      <alignment horizontal="center"/>
    </xf>
    <xf numFmtId="0" fontId="14" fillId="0" borderId="0" xfId="6" applyFont="1" applyAlignment="1">
      <alignment horizontal="center" vertical="center"/>
    </xf>
    <xf numFmtId="0" fontId="15" fillId="0" borderId="0" xfId="6" applyFont="1" applyAlignment="1">
      <alignment horizontal="center" vertical="center"/>
    </xf>
    <xf numFmtId="3" fontId="15" fillId="0" borderId="0" xfId="6" applyNumberFormat="1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6" fillId="0" borderId="17" xfId="6" applyFont="1" applyBorder="1" applyAlignment="1">
      <alignment horizontal="center"/>
    </xf>
    <xf numFmtId="0" fontId="14" fillId="0" borderId="17" xfId="6" applyFont="1" applyBorder="1" applyAlignment="1">
      <alignment horizontal="center" vertical="center"/>
    </xf>
    <xf numFmtId="0" fontId="14" fillId="0" borderId="24" xfId="6" applyFont="1" applyBorder="1"/>
    <xf numFmtId="0" fontId="16" fillId="0" borderId="24" xfId="6" applyFont="1" applyBorder="1" applyAlignment="1">
      <alignment horizontal="center"/>
    </xf>
    <xf numFmtId="0" fontId="15" fillId="0" borderId="23" xfId="6" applyFont="1" applyBorder="1" applyAlignment="1">
      <alignment horizontal="center" vertical="center"/>
    </xf>
    <xf numFmtId="0" fontId="14" fillId="0" borderId="24" xfId="6" applyFont="1" applyBorder="1" applyAlignment="1">
      <alignment horizontal="center" vertical="center"/>
    </xf>
    <xf numFmtId="0" fontId="16" fillId="0" borderId="24" xfId="6" applyFont="1" applyBorder="1" applyAlignment="1">
      <alignment horizontal="center" vertical="center"/>
    </xf>
    <xf numFmtId="0" fontId="13" fillId="0" borderId="0" xfId="6" applyFont="1" applyAlignment="1">
      <alignment horizontal="center" vertical="center" wrapText="1"/>
    </xf>
    <xf numFmtId="0" fontId="0" fillId="3" borderId="17" xfId="0" applyFill="1" applyBorder="1" applyAlignment="1" applyProtection="1">
      <alignment horizontal="center"/>
    </xf>
    <xf numFmtId="0" fontId="0" fillId="3" borderId="17" xfId="0" applyFill="1" applyBorder="1" applyAlignment="1" applyProtection="1">
      <alignment horizontal="center" vertical="center"/>
      <protection locked="0"/>
    </xf>
    <xf numFmtId="0" fontId="0" fillId="3" borderId="17" xfId="0" applyFill="1" applyBorder="1" applyAlignment="1" applyProtection="1">
      <alignment horizontal="center"/>
      <protection locked="0"/>
    </xf>
    <xf numFmtId="49" fontId="0" fillId="0" borderId="23" xfId="0" applyNumberFormat="1" applyBorder="1" applyAlignment="1">
      <alignment horizontal="center"/>
    </xf>
  </cellXfs>
  <cellStyles count="8">
    <cellStyle name="Comma 2" xfId="4" xr:uid="{00000000-0005-0000-0000-000000000000}"/>
    <cellStyle name="Hyperlink 2" xfId="2" xr:uid="{00000000-0005-0000-0000-000002000000}"/>
    <cellStyle name="Normal" xfId="0" builtinId="0"/>
    <cellStyle name="Normal 2" xfId="1" xr:uid="{00000000-0005-0000-0000-000004000000}"/>
    <cellStyle name="Normal 2 2" xfId="6" xr:uid="{00000000-0005-0000-0000-000005000000}"/>
    <cellStyle name="Normal 3" xfId="3" xr:uid="{00000000-0005-0000-0000-000006000000}"/>
    <cellStyle name="Normal 4" xfId="5" xr:uid="{00000000-0005-0000-0000-000007000000}"/>
    <cellStyle name="Normal 4 2" xfId="7" xr:uid="{00000000-0005-0000-0000-000008000000}"/>
  </cellStyles>
  <dxfs count="0"/>
  <tableStyles count="0" defaultTableStyle="TableStyleMedium9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533400</xdr:colOff>
      <xdr:row>3</xdr:row>
      <xdr:rowOff>26459</xdr:rowOff>
    </xdr:to>
    <xdr:grpSp>
      <xdr:nvGrpSpPr>
        <xdr:cNvPr id="2" name="Group 3">
          <a:extLst>
            <a:ext uri="{FF2B5EF4-FFF2-40B4-BE49-F238E27FC236}">
              <a16:creationId xmlns:a16="http://schemas.microsoft.com/office/drawing/2014/main" id="{B6BEF661-1E3A-4260-8546-B693B1F495C1}"/>
            </a:ext>
          </a:extLst>
        </xdr:cNvPr>
        <xdr:cNvGrpSpPr>
          <a:grpSpLocks/>
        </xdr:cNvGrpSpPr>
      </xdr:nvGrpSpPr>
      <xdr:grpSpPr bwMode="auto">
        <a:xfrm>
          <a:off x="0" y="0"/>
          <a:ext cx="6057900" cy="597959"/>
          <a:chOff x="911" y="2076"/>
          <a:chExt cx="9074" cy="938"/>
        </a:xfrm>
      </xdr:grpSpPr>
      <xdr:grpSp>
        <xdr:nvGrpSpPr>
          <xdr:cNvPr id="3" name="Group 4">
            <a:extLst>
              <a:ext uri="{FF2B5EF4-FFF2-40B4-BE49-F238E27FC236}">
                <a16:creationId xmlns:a16="http://schemas.microsoft.com/office/drawing/2014/main" id="{F5801B16-9209-42D4-9532-9156EB19C6D6}"/>
              </a:ext>
            </a:extLst>
          </xdr:cNvPr>
          <xdr:cNvGrpSpPr>
            <a:grpSpLocks/>
          </xdr:cNvGrpSpPr>
        </xdr:nvGrpSpPr>
        <xdr:grpSpPr bwMode="auto">
          <a:xfrm>
            <a:off x="1738" y="2124"/>
            <a:ext cx="8247" cy="889"/>
            <a:chOff x="1971" y="742"/>
            <a:chExt cx="8247" cy="889"/>
          </a:xfrm>
        </xdr:grpSpPr>
        <xdr:sp macro="" textlink="">
          <xdr:nvSpPr>
            <xdr:cNvPr id="7" name="WordArt 5">
              <a:extLst>
                <a:ext uri="{FF2B5EF4-FFF2-40B4-BE49-F238E27FC236}">
                  <a16:creationId xmlns:a16="http://schemas.microsoft.com/office/drawing/2014/main" id="{CB7C00FD-86A9-40AF-A706-936FA7AE131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042" y="742"/>
              <a:ext cx="8176" cy="378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49083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800" b="1" i="1" kern="10" spc="0">
                  <a:ln>
                    <a:noFill/>
                  </a:ln>
                  <a:solidFill>
                    <a:srgbClr val="0000FF"/>
                  </a:solidFill>
                  <a:effectLst/>
                  <a:latin typeface="Arial"/>
                  <a:cs typeface="Arial"/>
                </a:rPr>
                <a:t>TUZLA  INTERNATIONAL  AIRPORT</a:t>
              </a:r>
            </a:p>
          </xdr:txBody>
        </xdr:sp>
        <xdr:sp macro="" textlink="">
          <xdr:nvSpPr>
            <xdr:cNvPr id="8" name="WordArt 6">
              <a:extLst>
                <a:ext uri="{FF2B5EF4-FFF2-40B4-BE49-F238E27FC236}">
                  <a16:creationId xmlns:a16="http://schemas.microsoft.com/office/drawing/2014/main" id="{96904FD4-2EB7-4E2A-B6D1-55F6D56F6B6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245" y="1253"/>
              <a:ext cx="7331" cy="378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49083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800" b="1" i="1" kern="10" spc="0">
                  <a:ln w="9525">
                    <a:solidFill>
                      <a:srgbClr val="0000FF"/>
                    </a:solidFill>
                    <a:round/>
                    <a:headEnd/>
                    <a:tailEnd/>
                  </a:ln>
                  <a:solidFill>
                    <a:srgbClr val="FFFFFF"/>
                  </a:solidFill>
                  <a:effectLst/>
                  <a:latin typeface="Arial"/>
                  <a:cs typeface="Arial"/>
                </a:rPr>
                <a:t>MEĐUNARODNI  AERODROM  TUZLA</a:t>
              </a:r>
            </a:p>
          </xdr:txBody>
        </xdr:sp>
        <xdr:sp macro="" textlink="">
          <xdr:nvSpPr>
            <xdr:cNvPr id="9" name="WordArt 7">
              <a:extLst>
                <a:ext uri="{FF2B5EF4-FFF2-40B4-BE49-F238E27FC236}">
                  <a16:creationId xmlns:a16="http://schemas.microsoft.com/office/drawing/2014/main" id="{65BC1E70-FDF0-4F02-8AEE-157BFB6FF78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1971" y="1236"/>
              <a:ext cx="378" cy="222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38625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400" b="1" i="1" kern="10" spc="0">
                  <a:ln w="9525">
                    <a:solidFill>
                      <a:srgbClr val="0000FF"/>
                    </a:solidFill>
                    <a:round/>
                    <a:headEnd/>
                    <a:tailEnd/>
                  </a:ln>
                  <a:solidFill>
                    <a:srgbClr val="FFFFFF"/>
                  </a:solidFill>
                  <a:effectLst/>
                  <a:latin typeface="Arial"/>
                  <a:cs typeface="Arial"/>
                </a:rPr>
                <a:t>JP</a:t>
              </a:r>
            </a:p>
          </xdr:txBody>
        </xdr:sp>
        <xdr:sp macro="" textlink="">
          <xdr:nvSpPr>
            <xdr:cNvPr id="10" name="WordArt 8">
              <a:extLst>
                <a:ext uri="{FF2B5EF4-FFF2-40B4-BE49-F238E27FC236}">
                  <a16:creationId xmlns:a16="http://schemas.microsoft.com/office/drawing/2014/main" id="{844E309E-461A-4AB6-9E3C-B38E41715D3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9561" y="1375"/>
              <a:ext cx="654" cy="245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41745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800" b="1" i="1" kern="10" spc="0">
                  <a:ln w="9525">
                    <a:solidFill>
                      <a:srgbClr val="0000FF"/>
                    </a:solidFill>
                    <a:round/>
                    <a:headEnd/>
                    <a:tailEnd/>
                  </a:ln>
                  <a:solidFill>
                    <a:srgbClr val="FFFFFF"/>
                  </a:solidFill>
                  <a:effectLst/>
                  <a:latin typeface="Arial"/>
                  <a:cs typeface="Arial"/>
                </a:rPr>
                <a:t>d.o.o.</a:t>
              </a:r>
            </a:p>
          </xdr:txBody>
        </xdr:sp>
      </xdr:grpSp>
      <xdr:grpSp>
        <xdr:nvGrpSpPr>
          <xdr:cNvPr id="4" name="Group 9">
            <a:extLst>
              <a:ext uri="{FF2B5EF4-FFF2-40B4-BE49-F238E27FC236}">
                <a16:creationId xmlns:a16="http://schemas.microsoft.com/office/drawing/2014/main" id="{9D371AFA-3AF8-44AB-AB51-4BEBDB4E44DC}"/>
              </a:ext>
            </a:extLst>
          </xdr:cNvPr>
          <xdr:cNvGrpSpPr>
            <a:grpSpLocks/>
          </xdr:cNvGrpSpPr>
        </xdr:nvGrpSpPr>
        <xdr:grpSpPr bwMode="auto">
          <a:xfrm>
            <a:off x="911" y="2076"/>
            <a:ext cx="782" cy="938"/>
            <a:chOff x="1549" y="1680"/>
            <a:chExt cx="782" cy="938"/>
          </a:xfrm>
        </xdr:grpSpPr>
        <xdr:sp macro="" textlink="">
          <xdr:nvSpPr>
            <xdr:cNvPr id="5" name="Freeform 10">
              <a:extLst>
                <a:ext uri="{FF2B5EF4-FFF2-40B4-BE49-F238E27FC236}">
                  <a16:creationId xmlns:a16="http://schemas.microsoft.com/office/drawing/2014/main" id="{6BBDD180-4E5A-467A-B5E2-D584A2C470F8}"/>
                </a:ext>
              </a:extLst>
            </xdr:cNvPr>
            <xdr:cNvSpPr>
              <a:spLocks/>
            </xdr:cNvSpPr>
          </xdr:nvSpPr>
          <xdr:spPr bwMode="auto">
            <a:xfrm>
              <a:off x="1549" y="1680"/>
              <a:ext cx="782" cy="938"/>
            </a:xfrm>
            <a:custGeom>
              <a:avLst/>
              <a:gdLst>
                <a:gd name="T0" fmla="*/ 0 w 782"/>
                <a:gd name="T1" fmla="*/ 938 h 938"/>
                <a:gd name="T2" fmla="*/ 645 w 782"/>
                <a:gd name="T3" fmla="*/ 938 h 938"/>
                <a:gd name="T4" fmla="*/ 782 w 782"/>
                <a:gd name="T5" fmla="*/ 0 h 938"/>
                <a:gd name="T6" fmla="*/ 0 w 782"/>
                <a:gd name="T7" fmla="*/ 938 h 93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2" h="938">
                  <a:moveTo>
                    <a:pt x="0" y="938"/>
                  </a:moveTo>
                  <a:lnTo>
                    <a:pt x="645" y="938"/>
                  </a:lnTo>
                  <a:lnTo>
                    <a:pt x="782" y="0"/>
                  </a:lnTo>
                  <a:lnTo>
                    <a:pt x="0" y="938"/>
                  </a:lnTo>
                  <a:close/>
                </a:path>
              </a:pathLst>
            </a:custGeom>
            <a:solidFill>
              <a:srgbClr val="0000FF"/>
            </a:solidFill>
            <a:ln w="635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" name="Freeform 11">
              <a:extLst>
                <a:ext uri="{FF2B5EF4-FFF2-40B4-BE49-F238E27FC236}">
                  <a16:creationId xmlns:a16="http://schemas.microsoft.com/office/drawing/2014/main" id="{951BEB50-3377-481B-BA67-CAA7C90A1C10}"/>
                </a:ext>
              </a:extLst>
            </xdr:cNvPr>
            <xdr:cNvSpPr>
              <a:spLocks/>
            </xdr:cNvSpPr>
          </xdr:nvSpPr>
          <xdr:spPr bwMode="auto">
            <a:xfrm>
              <a:off x="1549" y="2266"/>
              <a:ext cx="644" cy="352"/>
            </a:xfrm>
            <a:custGeom>
              <a:avLst/>
              <a:gdLst>
                <a:gd name="T0" fmla="*/ 0 w 644"/>
                <a:gd name="T1" fmla="*/ 352 h 352"/>
                <a:gd name="T2" fmla="*/ 644 w 644"/>
                <a:gd name="T3" fmla="*/ 352 h 352"/>
                <a:gd name="T4" fmla="*/ 540 w 644"/>
                <a:gd name="T5" fmla="*/ 0 h 352"/>
                <a:gd name="T6" fmla="*/ 0 w 644"/>
                <a:gd name="T7" fmla="*/ 352 h 3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44" h="352">
                  <a:moveTo>
                    <a:pt x="0" y="352"/>
                  </a:moveTo>
                  <a:lnTo>
                    <a:pt x="644" y="352"/>
                  </a:lnTo>
                  <a:lnTo>
                    <a:pt x="540" y="0"/>
                  </a:lnTo>
                  <a:lnTo>
                    <a:pt x="0" y="352"/>
                  </a:lnTo>
                  <a:close/>
                </a:path>
              </a:pathLst>
            </a:custGeom>
            <a:solidFill>
              <a:srgbClr val="FFFF00"/>
            </a:solidFill>
            <a:ln w="6350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Y43"/>
  <sheetViews>
    <sheetView tabSelected="1" zoomScale="90" zoomScaleNormal="90" workbookViewId="0">
      <selection activeCell="AS8" sqref="AS8:AY11"/>
    </sheetView>
  </sheetViews>
  <sheetFormatPr defaultRowHeight="15" x14ac:dyDescent="0.25"/>
  <cols>
    <col min="1" max="1" width="3.7109375" style="1" customWidth="1"/>
    <col min="2" max="2" width="14.85546875" style="1" customWidth="1"/>
    <col min="3" max="3" width="1.42578125" style="1" customWidth="1"/>
    <col min="4" max="4" width="6.42578125" style="1" customWidth="1"/>
    <col min="5" max="5" width="5" style="1" customWidth="1"/>
    <col min="6" max="6" width="6.42578125" style="1" customWidth="1"/>
    <col min="7" max="7" width="5" style="1" customWidth="1"/>
    <col min="8" max="8" width="2.7109375" style="1" customWidth="1"/>
    <col min="9" max="9" width="6.42578125" style="1" customWidth="1"/>
    <col min="10" max="10" width="5" style="1" customWidth="1"/>
    <col min="11" max="11" width="6.42578125" style="1" customWidth="1"/>
    <col min="12" max="12" width="5" style="1" customWidth="1"/>
    <col min="13" max="13" width="2.7109375" style="1" customWidth="1"/>
    <col min="14" max="14" width="6.42578125" style="1" customWidth="1"/>
    <col min="15" max="15" width="5" style="1" customWidth="1"/>
    <col min="16" max="16" width="6.42578125" style="1" customWidth="1"/>
    <col min="17" max="17" width="5" style="1" customWidth="1"/>
    <col min="18" max="18" width="2.7109375" style="1" customWidth="1"/>
    <col min="19" max="19" width="6.42578125" style="1" customWidth="1"/>
    <col min="20" max="20" width="5" style="1" customWidth="1"/>
    <col min="21" max="21" width="6.42578125" style="1" customWidth="1"/>
    <col min="22" max="22" width="5" style="1" customWidth="1"/>
    <col min="23" max="23" width="2.7109375" style="1" customWidth="1"/>
    <col min="24" max="24" width="6.42578125" style="1" customWidth="1"/>
    <col min="25" max="25" width="5" style="1" customWidth="1"/>
    <col min="26" max="26" width="6.42578125" style="1" customWidth="1"/>
    <col min="27" max="27" width="5" style="1" customWidth="1"/>
    <col min="28" max="28" width="2.5703125" style="1" customWidth="1"/>
    <col min="29" max="29" width="6.42578125" style="1" customWidth="1"/>
    <col min="30" max="30" width="5" style="1" customWidth="1"/>
    <col min="31" max="31" width="6.42578125" style="1" customWidth="1"/>
    <col min="32" max="32" width="5" style="1" customWidth="1"/>
    <col min="33" max="33" width="2.7109375" style="1" customWidth="1"/>
    <col min="34" max="34" width="6.42578125" style="1" customWidth="1"/>
    <col min="35" max="35" width="5" style="1" customWidth="1"/>
    <col min="36" max="36" width="6.42578125" style="1" customWidth="1"/>
    <col min="37" max="37" width="5" style="1" customWidth="1"/>
    <col min="38" max="38" width="2.7109375" style="1" customWidth="1"/>
    <col min="39" max="39" width="6.42578125" style="1" customWidth="1"/>
    <col min="40" max="40" width="5" style="1" customWidth="1"/>
    <col min="41" max="41" width="6.42578125" style="1" customWidth="1"/>
    <col min="42" max="42" width="5" style="1" customWidth="1"/>
    <col min="43" max="43" width="2.28515625" style="1" customWidth="1"/>
    <col min="44" max="44" width="2.5703125" style="1" customWidth="1"/>
    <col min="45" max="46" width="9.140625" style="1"/>
    <col min="47" max="47" width="4.28515625" style="1" customWidth="1"/>
    <col min="48" max="48" width="10.7109375" style="1" bestFit="1" customWidth="1"/>
    <col min="49" max="49" width="9.85546875" style="1" bestFit="1" customWidth="1"/>
    <col min="50" max="50" width="10.140625" style="1" bestFit="1" customWidth="1"/>
    <col min="51" max="16384" width="9.140625" style="1"/>
  </cols>
  <sheetData>
    <row r="1" spans="2:51" ht="15.75" thickBot="1" x14ac:dyDescent="0.3">
      <c r="C1" s="7"/>
      <c r="I1" s="7"/>
      <c r="J1" s="7"/>
      <c r="K1" s="42"/>
      <c r="L1" s="42"/>
      <c r="M1" s="7"/>
    </row>
    <row r="2" spans="2:51" ht="15.75" thickBot="1" x14ac:dyDescent="0.3">
      <c r="B2" s="2"/>
      <c r="C2" s="116"/>
      <c r="D2" s="179" t="s">
        <v>85</v>
      </c>
      <c r="E2" s="180"/>
      <c r="F2" s="180"/>
      <c r="G2" s="181"/>
      <c r="H2" s="116"/>
      <c r="I2" s="176" t="s">
        <v>14</v>
      </c>
      <c r="J2" s="177"/>
      <c r="K2" s="177"/>
      <c r="L2" s="177"/>
      <c r="M2" s="177"/>
      <c r="N2" s="177"/>
      <c r="O2" s="177"/>
      <c r="P2" s="177"/>
      <c r="Q2" s="178"/>
      <c r="R2" s="111"/>
      <c r="S2" s="182" t="s">
        <v>89</v>
      </c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4"/>
    </row>
    <row r="3" spans="2:51" ht="9" customHeight="1" thickBot="1" x14ac:dyDescent="0.3"/>
    <row r="4" spans="2:51" ht="16.5" thickBot="1" x14ac:dyDescent="0.3">
      <c r="C4" s="39"/>
      <c r="D4" s="173" t="s">
        <v>11</v>
      </c>
      <c r="E4" s="174"/>
      <c r="F4" s="174"/>
      <c r="G4" s="175"/>
      <c r="H4" s="117"/>
      <c r="I4" s="173" t="s">
        <v>10</v>
      </c>
      <c r="J4" s="174"/>
      <c r="K4" s="174"/>
      <c r="L4" s="175"/>
      <c r="M4" s="117"/>
      <c r="N4" s="173" t="s">
        <v>12</v>
      </c>
      <c r="O4" s="174"/>
      <c r="P4" s="174"/>
      <c r="Q4" s="175"/>
      <c r="R4" s="112"/>
      <c r="S4" s="173" t="s">
        <v>86</v>
      </c>
      <c r="T4" s="174"/>
      <c r="U4" s="174"/>
      <c r="V4" s="175"/>
      <c r="W4" s="112"/>
      <c r="X4" s="173" t="s">
        <v>87</v>
      </c>
      <c r="Y4" s="174"/>
      <c r="Z4" s="174"/>
      <c r="AA4" s="175"/>
      <c r="AB4" s="118"/>
      <c r="AC4" s="173" t="s">
        <v>88</v>
      </c>
      <c r="AD4" s="174"/>
      <c r="AE4" s="174"/>
      <c r="AF4" s="175"/>
      <c r="AG4" s="118"/>
      <c r="AH4" s="173" t="s">
        <v>90</v>
      </c>
      <c r="AI4" s="174"/>
      <c r="AJ4" s="174"/>
      <c r="AK4" s="175"/>
      <c r="AL4" s="118"/>
      <c r="AM4" s="173" t="s">
        <v>91</v>
      </c>
      <c r="AN4" s="174"/>
      <c r="AO4" s="174"/>
      <c r="AP4" s="175"/>
    </row>
    <row r="5" spans="2:51" ht="15.75" customHeight="1" x14ac:dyDescent="0.25">
      <c r="B5" s="4" t="s">
        <v>0</v>
      </c>
      <c r="C5" s="5"/>
      <c r="D5" s="169" t="s">
        <v>2</v>
      </c>
      <c r="E5" s="170"/>
      <c r="F5" s="169" t="s">
        <v>3</v>
      </c>
      <c r="G5" s="170"/>
      <c r="H5" s="5"/>
      <c r="I5" s="169" t="s">
        <v>2</v>
      </c>
      <c r="J5" s="170"/>
      <c r="K5" s="169" t="s">
        <v>3</v>
      </c>
      <c r="L5" s="170"/>
      <c r="M5" s="5"/>
      <c r="N5" s="169" t="s">
        <v>2</v>
      </c>
      <c r="O5" s="170"/>
      <c r="P5" s="169" t="s">
        <v>3</v>
      </c>
      <c r="Q5" s="170"/>
      <c r="R5" s="113"/>
      <c r="S5" s="169" t="s">
        <v>2</v>
      </c>
      <c r="T5" s="170"/>
      <c r="U5" s="169" t="s">
        <v>3</v>
      </c>
      <c r="V5" s="170"/>
      <c r="W5" s="113"/>
      <c r="X5" s="169" t="s">
        <v>2</v>
      </c>
      <c r="Y5" s="170"/>
      <c r="Z5" s="169" t="s">
        <v>3</v>
      </c>
      <c r="AA5" s="170"/>
      <c r="AC5" s="169" t="s">
        <v>2</v>
      </c>
      <c r="AD5" s="170"/>
      <c r="AE5" s="169" t="s">
        <v>3</v>
      </c>
      <c r="AF5" s="170"/>
      <c r="AH5" s="169" t="s">
        <v>2</v>
      </c>
      <c r="AI5" s="170"/>
      <c r="AJ5" s="169" t="s">
        <v>3</v>
      </c>
      <c r="AK5" s="170"/>
      <c r="AM5" s="169" t="s">
        <v>2</v>
      </c>
      <c r="AN5" s="170"/>
      <c r="AO5" s="169" t="s">
        <v>3</v>
      </c>
      <c r="AP5" s="170"/>
    </row>
    <row r="6" spans="2:51" x14ac:dyDescent="0.25">
      <c r="B6" s="14" t="s">
        <v>34</v>
      </c>
      <c r="C6" s="37"/>
      <c r="D6" s="15">
        <v>211</v>
      </c>
      <c r="E6" s="16">
        <v>1</v>
      </c>
      <c r="F6" s="15">
        <v>190</v>
      </c>
      <c r="G6" s="16">
        <v>1</v>
      </c>
      <c r="H6" s="37"/>
      <c r="I6" s="15"/>
      <c r="J6" s="16"/>
      <c r="K6" s="15"/>
      <c r="L6" s="16"/>
      <c r="M6" s="37"/>
      <c r="N6" s="15"/>
      <c r="O6" s="16"/>
      <c r="P6" s="15"/>
      <c r="Q6" s="16"/>
      <c r="R6" s="37"/>
      <c r="S6" s="15"/>
      <c r="T6" s="16"/>
      <c r="U6" s="15"/>
      <c r="V6" s="16"/>
      <c r="W6" s="37"/>
      <c r="X6" s="15"/>
      <c r="Y6" s="16"/>
      <c r="Z6" s="15"/>
      <c r="AA6" s="16"/>
      <c r="AC6" s="15"/>
      <c r="AD6" s="16"/>
      <c r="AE6" s="15"/>
      <c r="AF6" s="16"/>
      <c r="AH6" s="15"/>
      <c r="AI6" s="16"/>
      <c r="AJ6" s="15"/>
      <c r="AK6" s="16"/>
      <c r="AM6" s="15"/>
      <c r="AN6" s="16"/>
      <c r="AO6" s="15"/>
      <c r="AP6" s="16"/>
    </row>
    <row r="7" spans="2:51" x14ac:dyDescent="0.25">
      <c r="B7" s="14" t="s">
        <v>35</v>
      </c>
      <c r="C7" s="37"/>
      <c r="D7" s="15"/>
      <c r="E7" s="16"/>
      <c r="F7" s="15"/>
      <c r="G7" s="16"/>
      <c r="H7" s="37"/>
      <c r="I7" s="15">
        <v>160</v>
      </c>
      <c r="J7" s="16">
        <v>1</v>
      </c>
      <c r="K7" s="15">
        <v>166</v>
      </c>
      <c r="L7" s="16">
        <v>8</v>
      </c>
      <c r="M7" s="37"/>
      <c r="N7" s="15">
        <v>172</v>
      </c>
      <c r="O7" s="16">
        <v>4</v>
      </c>
      <c r="P7" s="15">
        <v>0</v>
      </c>
      <c r="Q7" s="16">
        <v>0</v>
      </c>
      <c r="R7" s="37"/>
      <c r="S7" s="15"/>
      <c r="T7" s="16"/>
      <c r="U7" s="15"/>
      <c r="V7" s="16"/>
      <c r="W7" s="37"/>
      <c r="X7" s="15"/>
      <c r="Y7" s="16"/>
      <c r="Z7" s="15"/>
      <c r="AA7" s="16"/>
      <c r="AC7" s="15"/>
      <c r="AD7" s="16"/>
      <c r="AE7" s="15"/>
      <c r="AF7" s="16"/>
      <c r="AH7" s="15"/>
      <c r="AI7" s="16"/>
      <c r="AJ7" s="15"/>
      <c r="AK7" s="16"/>
      <c r="AM7" s="15"/>
      <c r="AN7" s="16"/>
      <c r="AO7" s="15"/>
      <c r="AP7" s="16"/>
    </row>
    <row r="8" spans="2:51" x14ac:dyDescent="0.25">
      <c r="B8" s="14" t="s">
        <v>36</v>
      </c>
      <c r="C8" s="37"/>
      <c r="D8" s="15"/>
      <c r="E8" s="16"/>
      <c r="F8" s="15"/>
      <c r="G8" s="16"/>
      <c r="H8" s="37"/>
      <c r="I8" s="15"/>
      <c r="J8" s="16"/>
      <c r="K8" s="15"/>
      <c r="L8" s="16"/>
      <c r="M8" s="37"/>
      <c r="N8" s="15">
        <v>157</v>
      </c>
      <c r="O8" s="16">
        <v>2</v>
      </c>
      <c r="P8" s="15">
        <v>165</v>
      </c>
      <c r="Q8" s="16">
        <v>8</v>
      </c>
      <c r="R8" s="37"/>
      <c r="S8" s="15"/>
      <c r="T8" s="16"/>
      <c r="U8" s="15"/>
      <c r="V8" s="16"/>
      <c r="W8" s="37"/>
      <c r="X8" s="15"/>
      <c r="Y8" s="16"/>
      <c r="Z8" s="15"/>
      <c r="AA8" s="16"/>
      <c r="AC8" s="15"/>
      <c r="AD8" s="16"/>
      <c r="AE8" s="15"/>
      <c r="AF8" s="16"/>
      <c r="AH8" s="15"/>
      <c r="AI8" s="16"/>
      <c r="AJ8" s="15"/>
      <c r="AK8" s="16"/>
      <c r="AM8" s="15"/>
      <c r="AN8" s="16"/>
      <c r="AO8" s="15"/>
      <c r="AP8" s="16"/>
      <c r="AS8" s="1" t="s">
        <v>13</v>
      </c>
      <c r="AV8" s="1" t="s">
        <v>94</v>
      </c>
      <c r="AW8" s="1" t="s">
        <v>95</v>
      </c>
      <c r="AX8" s="1" t="s">
        <v>96</v>
      </c>
      <c r="AY8" s="1" t="s">
        <v>13</v>
      </c>
    </row>
    <row r="9" spans="2:51" ht="15.75" customHeight="1" x14ac:dyDescent="0.25">
      <c r="B9" s="14" t="s">
        <v>37</v>
      </c>
      <c r="C9" s="37"/>
      <c r="D9" s="15">
        <v>209</v>
      </c>
      <c r="E9" s="16">
        <v>2</v>
      </c>
      <c r="F9" s="15">
        <v>192</v>
      </c>
      <c r="G9" s="16">
        <v>6</v>
      </c>
      <c r="H9" s="37"/>
      <c r="I9" s="15"/>
      <c r="J9" s="16"/>
      <c r="K9" s="15"/>
      <c r="L9" s="16"/>
      <c r="M9" s="37"/>
      <c r="N9" s="15"/>
      <c r="O9" s="16"/>
      <c r="P9" s="15"/>
      <c r="Q9" s="16"/>
      <c r="R9" s="37"/>
      <c r="S9" s="15"/>
      <c r="T9" s="16"/>
      <c r="U9" s="15"/>
      <c r="V9" s="16"/>
      <c r="W9" s="37"/>
      <c r="X9" s="15"/>
      <c r="Y9" s="16"/>
      <c r="Z9" s="15"/>
      <c r="AA9" s="16"/>
      <c r="AC9" s="15"/>
      <c r="AD9" s="16"/>
      <c r="AE9" s="15"/>
      <c r="AF9" s="16"/>
      <c r="AH9" s="15"/>
      <c r="AI9" s="16"/>
      <c r="AJ9" s="15"/>
      <c r="AK9" s="16"/>
      <c r="AM9" s="15"/>
      <c r="AN9" s="16"/>
      <c r="AO9" s="15"/>
      <c r="AP9" s="16"/>
      <c r="AS9" s="1" t="s">
        <v>25</v>
      </c>
      <c r="AV9" s="108">
        <f>COUNTA(D6:D36)</f>
        <v>12</v>
      </c>
      <c r="AW9" s="119">
        <f>D38</f>
        <v>2130</v>
      </c>
      <c r="AX9" s="119">
        <f>F38</f>
        <v>2303</v>
      </c>
      <c r="AY9" s="119">
        <f>SUM(AW9:AX9)</f>
        <v>4433</v>
      </c>
    </row>
    <row r="10" spans="2:51" x14ac:dyDescent="0.25">
      <c r="B10" s="14" t="s">
        <v>38</v>
      </c>
      <c r="C10" s="37"/>
      <c r="D10" s="15"/>
      <c r="E10" s="16"/>
      <c r="F10" s="15"/>
      <c r="G10" s="16"/>
      <c r="H10" s="37"/>
      <c r="I10" s="15">
        <v>164</v>
      </c>
      <c r="J10" s="16">
        <v>1</v>
      </c>
      <c r="K10" s="15">
        <v>161</v>
      </c>
      <c r="L10" s="16">
        <v>2</v>
      </c>
      <c r="M10" s="37"/>
      <c r="N10" s="15">
        <v>154</v>
      </c>
      <c r="O10" s="16">
        <v>6</v>
      </c>
      <c r="P10" s="15">
        <v>171</v>
      </c>
      <c r="Q10" s="16">
        <v>4</v>
      </c>
      <c r="R10" s="37"/>
      <c r="S10" s="15"/>
      <c r="T10" s="16"/>
      <c r="U10" s="15"/>
      <c r="V10" s="16"/>
      <c r="W10" s="37"/>
      <c r="X10" s="15"/>
      <c r="Y10" s="16"/>
      <c r="Z10" s="15"/>
      <c r="AA10" s="16"/>
      <c r="AC10" s="15"/>
      <c r="AD10" s="16"/>
      <c r="AE10" s="15"/>
      <c r="AF10" s="16"/>
      <c r="AH10" s="15"/>
      <c r="AI10" s="16"/>
      <c r="AJ10" s="15"/>
      <c r="AK10" s="16"/>
      <c r="AM10" s="15"/>
      <c r="AN10" s="16"/>
      <c r="AO10" s="15"/>
      <c r="AP10" s="16"/>
      <c r="AS10" s="1" t="s">
        <v>92</v>
      </c>
      <c r="AV10" s="119">
        <f>COUNTA(I6:I36,N6:N36)</f>
        <v>28</v>
      </c>
      <c r="AW10" s="119">
        <f>I38+N38</f>
        <v>4577</v>
      </c>
      <c r="AX10" s="119">
        <f>K38+P38</f>
        <v>4446</v>
      </c>
      <c r="AY10" s="119">
        <f>SUM(AW10:AX10)</f>
        <v>9023</v>
      </c>
    </row>
    <row r="11" spans="2:51" x14ac:dyDescent="0.25">
      <c r="B11" s="14" t="s">
        <v>39</v>
      </c>
      <c r="C11" s="37"/>
      <c r="D11" s="43"/>
      <c r="E11" s="44"/>
      <c r="F11" s="15"/>
      <c r="G11" s="16"/>
      <c r="H11" s="37"/>
      <c r="I11" s="15"/>
      <c r="J11" s="16"/>
      <c r="K11" s="15"/>
      <c r="L11" s="16"/>
      <c r="M11" s="37"/>
      <c r="N11" s="15"/>
      <c r="O11" s="16"/>
      <c r="P11" s="15"/>
      <c r="Q11" s="16"/>
      <c r="R11" s="37"/>
      <c r="S11" s="43"/>
      <c r="T11" s="44"/>
      <c r="U11" s="15"/>
      <c r="V11" s="16"/>
      <c r="W11" s="37"/>
      <c r="X11" s="43"/>
      <c r="Y11" s="44"/>
      <c r="Z11" s="15"/>
      <c r="AA11" s="16"/>
      <c r="AC11" s="43"/>
      <c r="AD11" s="44"/>
      <c r="AE11" s="15"/>
      <c r="AF11" s="16"/>
      <c r="AH11" s="43"/>
      <c r="AI11" s="44"/>
      <c r="AJ11" s="15"/>
      <c r="AK11" s="16"/>
      <c r="AM11" s="43"/>
      <c r="AN11" s="44"/>
      <c r="AO11" s="15"/>
      <c r="AP11" s="16"/>
      <c r="AS11" s="1" t="s">
        <v>93</v>
      </c>
      <c r="AV11" s="119">
        <f>COUNTA(S6:S36,X6:X36,AC6:AC36,AH6:AH36,AM6:AM36)</f>
        <v>20</v>
      </c>
      <c r="AW11" s="119">
        <f>S38+X38+AC38+AH38+AM38</f>
        <v>647</v>
      </c>
      <c r="AX11" s="119">
        <f>U38+Z38+AE38+AJ38+AO38</f>
        <v>1314</v>
      </c>
      <c r="AY11" s="119">
        <f>SUM(AW11:AX11)</f>
        <v>1961</v>
      </c>
    </row>
    <row r="12" spans="2:51" ht="15.75" customHeight="1" x14ac:dyDescent="0.25">
      <c r="B12" s="14" t="s">
        <v>40</v>
      </c>
      <c r="C12" s="37"/>
      <c r="D12" s="15"/>
      <c r="E12" s="16"/>
      <c r="F12" s="15"/>
      <c r="G12" s="16"/>
      <c r="H12" s="37"/>
      <c r="I12" s="15">
        <v>162</v>
      </c>
      <c r="J12" s="16">
        <v>5</v>
      </c>
      <c r="K12" s="15">
        <v>176</v>
      </c>
      <c r="L12" s="16">
        <v>8</v>
      </c>
      <c r="M12" s="37"/>
      <c r="N12" s="15">
        <v>152</v>
      </c>
      <c r="O12" s="16">
        <v>1</v>
      </c>
      <c r="P12" s="15">
        <v>133</v>
      </c>
      <c r="Q12" s="16">
        <v>7</v>
      </c>
      <c r="R12" s="37"/>
      <c r="S12" s="15"/>
      <c r="T12" s="16"/>
      <c r="U12" s="15"/>
      <c r="V12" s="16"/>
      <c r="W12" s="37"/>
      <c r="X12" s="15"/>
      <c r="Y12" s="16"/>
      <c r="Z12" s="15"/>
      <c r="AA12" s="16"/>
      <c r="AC12" s="15"/>
      <c r="AD12" s="16"/>
      <c r="AE12" s="15"/>
      <c r="AF12" s="16"/>
      <c r="AH12" s="15"/>
      <c r="AI12" s="16"/>
      <c r="AJ12" s="15"/>
      <c r="AK12" s="16"/>
      <c r="AM12" s="15"/>
      <c r="AN12" s="16"/>
      <c r="AO12" s="15"/>
      <c r="AP12" s="16"/>
      <c r="AV12" s="120">
        <f>SUM(AV9:AV11)</f>
        <v>60</v>
      </c>
      <c r="AW12" s="120">
        <f t="shared" ref="AW12:AY12" si="0">SUM(AW9:AW11)</f>
        <v>7354</v>
      </c>
      <c r="AX12" s="120">
        <f t="shared" si="0"/>
        <v>8063</v>
      </c>
      <c r="AY12" s="120">
        <f t="shared" si="0"/>
        <v>15417</v>
      </c>
    </row>
    <row r="13" spans="2:51" x14ac:dyDescent="0.25">
      <c r="B13" s="14" t="s">
        <v>41</v>
      </c>
      <c r="C13" s="37"/>
      <c r="D13" s="15">
        <v>204</v>
      </c>
      <c r="E13" s="16">
        <v>4</v>
      </c>
      <c r="F13" s="15">
        <v>204</v>
      </c>
      <c r="G13" s="16">
        <v>3</v>
      </c>
      <c r="H13" s="37"/>
      <c r="I13" s="15"/>
      <c r="J13" s="16"/>
      <c r="K13" s="15"/>
      <c r="L13" s="16"/>
      <c r="M13" s="37"/>
      <c r="N13" s="15"/>
      <c r="O13" s="16"/>
      <c r="P13" s="15"/>
      <c r="Q13" s="16"/>
      <c r="R13" s="37"/>
      <c r="S13" s="15"/>
      <c r="T13" s="16"/>
      <c r="U13" s="15"/>
      <c r="V13" s="16"/>
      <c r="W13" s="37"/>
      <c r="X13" s="15"/>
      <c r="Y13" s="16"/>
      <c r="Z13" s="15"/>
      <c r="AA13" s="16"/>
      <c r="AC13" s="15"/>
      <c r="AD13" s="16"/>
      <c r="AE13" s="15"/>
      <c r="AF13" s="16"/>
      <c r="AH13" s="15"/>
      <c r="AI13" s="16"/>
      <c r="AJ13" s="15"/>
      <c r="AK13" s="16"/>
      <c r="AM13" s="15"/>
      <c r="AN13" s="16"/>
      <c r="AO13" s="15"/>
      <c r="AP13" s="16"/>
    </row>
    <row r="14" spans="2:51" ht="15" customHeight="1" x14ac:dyDescent="0.25">
      <c r="B14" s="14" t="s">
        <v>42</v>
      </c>
      <c r="C14" s="37"/>
      <c r="D14" s="15"/>
      <c r="E14" s="16"/>
      <c r="F14" s="15"/>
      <c r="G14" s="16"/>
      <c r="H14" s="37"/>
      <c r="I14" s="15">
        <v>164</v>
      </c>
      <c r="J14" s="16">
        <v>2</v>
      </c>
      <c r="K14" s="15">
        <v>173</v>
      </c>
      <c r="L14" s="16">
        <v>3</v>
      </c>
      <c r="M14" s="37"/>
      <c r="N14" s="15">
        <v>152</v>
      </c>
      <c r="O14" s="16">
        <v>3</v>
      </c>
      <c r="P14" s="15">
        <v>154</v>
      </c>
      <c r="Q14" s="16">
        <v>6</v>
      </c>
      <c r="R14" s="37"/>
      <c r="S14" s="15"/>
      <c r="T14" s="16"/>
      <c r="U14" s="15"/>
      <c r="V14" s="16"/>
      <c r="W14" s="37"/>
      <c r="X14" s="15"/>
      <c r="Y14" s="16"/>
      <c r="Z14" s="15"/>
      <c r="AA14" s="16"/>
      <c r="AC14" s="15"/>
      <c r="AD14" s="16"/>
      <c r="AE14" s="15"/>
      <c r="AF14" s="16"/>
      <c r="AH14" s="15"/>
      <c r="AI14" s="16"/>
      <c r="AJ14" s="15"/>
      <c r="AK14" s="16"/>
      <c r="AM14" s="15"/>
      <c r="AN14" s="16"/>
      <c r="AO14" s="15"/>
      <c r="AP14" s="16"/>
    </row>
    <row r="15" spans="2:51" x14ac:dyDescent="0.25">
      <c r="B15" s="14" t="s">
        <v>43</v>
      </c>
      <c r="C15" s="37"/>
      <c r="D15" s="15"/>
      <c r="E15" s="16"/>
      <c r="F15" s="15"/>
      <c r="G15" s="16"/>
      <c r="H15" s="37"/>
      <c r="I15" s="43"/>
      <c r="J15" s="44"/>
      <c r="K15" s="15"/>
      <c r="L15" s="16"/>
      <c r="M15" s="37"/>
      <c r="N15" s="15">
        <v>152</v>
      </c>
      <c r="O15" s="16">
        <v>4</v>
      </c>
      <c r="P15" s="15">
        <v>162</v>
      </c>
      <c r="Q15" s="16">
        <v>4</v>
      </c>
      <c r="R15" s="37"/>
      <c r="S15" s="15"/>
      <c r="T15" s="16"/>
      <c r="U15" s="15"/>
      <c r="V15" s="16"/>
      <c r="W15" s="37"/>
      <c r="X15" s="15"/>
      <c r="Y15" s="16"/>
      <c r="Z15" s="15"/>
      <c r="AA15" s="16"/>
      <c r="AC15" s="15"/>
      <c r="AD15" s="16"/>
      <c r="AE15" s="15"/>
      <c r="AF15" s="16"/>
      <c r="AH15" s="15"/>
      <c r="AI15" s="16"/>
      <c r="AJ15" s="15"/>
      <c r="AK15" s="16"/>
      <c r="AM15" s="15"/>
      <c r="AN15" s="16"/>
      <c r="AO15" s="15"/>
      <c r="AP15" s="16"/>
    </row>
    <row r="16" spans="2:51" x14ac:dyDescent="0.25">
      <c r="B16" s="14" t="s">
        <v>44</v>
      </c>
      <c r="C16" s="37"/>
      <c r="D16" s="15">
        <v>197</v>
      </c>
      <c r="E16" s="16">
        <v>3</v>
      </c>
      <c r="F16" s="15">
        <v>191</v>
      </c>
      <c r="G16" s="16">
        <v>8</v>
      </c>
      <c r="H16" s="37"/>
      <c r="I16" s="43"/>
      <c r="J16" s="44"/>
      <c r="K16" s="15"/>
      <c r="L16" s="16"/>
      <c r="M16" s="37"/>
      <c r="N16" s="15"/>
      <c r="O16" s="16"/>
      <c r="P16" s="15"/>
      <c r="Q16" s="16"/>
      <c r="R16" s="37"/>
      <c r="S16" s="15"/>
      <c r="T16" s="16"/>
      <c r="U16" s="15"/>
      <c r="V16" s="16"/>
      <c r="W16" s="37"/>
      <c r="X16" s="15"/>
      <c r="Y16" s="16"/>
      <c r="Z16" s="15"/>
      <c r="AA16" s="16"/>
      <c r="AC16" s="15"/>
      <c r="AD16" s="16"/>
      <c r="AE16" s="15"/>
      <c r="AF16" s="16"/>
      <c r="AH16" s="15"/>
      <c r="AI16" s="16"/>
      <c r="AJ16" s="15"/>
      <c r="AK16" s="16"/>
      <c r="AM16" s="15"/>
      <c r="AN16" s="16"/>
      <c r="AO16" s="15"/>
      <c r="AP16" s="16"/>
    </row>
    <row r="17" spans="2:46" ht="17.25" customHeight="1" x14ac:dyDescent="0.25">
      <c r="B17" s="14" t="s">
        <v>45</v>
      </c>
      <c r="C17" s="37"/>
      <c r="D17" s="15"/>
      <c r="E17" s="16"/>
      <c r="F17" s="15"/>
      <c r="G17" s="16"/>
      <c r="H17" s="37"/>
      <c r="I17" s="15">
        <v>172</v>
      </c>
      <c r="J17" s="16">
        <v>3</v>
      </c>
      <c r="K17" s="15">
        <v>173</v>
      </c>
      <c r="L17" s="16">
        <v>8</v>
      </c>
      <c r="M17" s="37"/>
      <c r="N17" s="15">
        <v>167</v>
      </c>
      <c r="O17" s="16">
        <v>8</v>
      </c>
      <c r="P17" s="15">
        <v>169</v>
      </c>
      <c r="Q17" s="16">
        <v>4</v>
      </c>
      <c r="R17" s="37"/>
      <c r="S17" s="15"/>
      <c r="T17" s="16"/>
      <c r="U17" s="15"/>
      <c r="V17" s="16"/>
      <c r="W17" s="37"/>
      <c r="X17" s="15"/>
      <c r="Y17" s="16"/>
      <c r="Z17" s="15"/>
      <c r="AA17" s="16"/>
      <c r="AC17" s="15"/>
      <c r="AD17" s="16"/>
      <c r="AE17" s="15"/>
      <c r="AF17" s="16"/>
      <c r="AH17" s="15"/>
      <c r="AI17" s="16"/>
      <c r="AJ17" s="15"/>
      <c r="AK17" s="16"/>
      <c r="AM17" s="15"/>
      <c r="AN17" s="16"/>
      <c r="AO17" s="15"/>
      <c r="AP17" s="16"/>
    </row>
    <row r="18" spans="2:46" x14ac:dyDescent="0.25">
      <c r="B18" s="14" t="s">
        <v>46</v>
      </c>
      <c r="C18" s="37"/>
      <c r="D18" s="43">
        <v>136</v>
      </c>
      <c r="E18" s="16">
        <v>3</v>
      </c>
      <c r="F18" s="15">
        <v>168</v>
      </c>
      <c r="G18" s="16">
        <v>5</v>
      </c>
      <c r="H18" s="37"/>
      <c r="I18" s="15"/>
      <c r="J18" s="16"/>
      <c r="K18" s="15"/>
      <c r="L18" s="16"/>
      <c r="M18" s="37"/>
      <c r="N18" s="15"/>
      <c r="O18" s="16"/>
      <c r="P18" s="15"/>
      <c r="Q18" s="16"/>
      <c r="R18" s="37"/>
      <c r="S18" s="43"/>
      <c r="T18" s="16"/>
      <c r="U18" s="15"/>
      <c r="V18" s="16"/>
      <c r="W18" s="37"/>
      <c r="X18" s="43"/>
      <c r="Y18" s="16"/>
      <c r="Z18" s="15"/>
      <c r="AA18" s="16"/>
      <c r="AC18" s="43"/>
      <c r="AD18" s="16"/>
      <c r="AE18" s="15"/>
      <c r="AF18" s="16"/>
      <c r="AH18" s="43"/>
      <c r="AI18" s="16"/>
      <c r="AJ18" s="15"/>
      <c r="AK18" s="16"/>
      <c r="AM18" s="43"/>
      <c r="AN18" s="16"/>
      <c r="AO18" s="15"/>
      <c r="AP18" s="16"/>
    </row>
    <row r="19" spans="2:46" ht="15.75" customHeight="1" x14ac:dyDescent="0.25">
      <c r="B19" s="14" t="s">
        <v>47</v>
      </c>
      <c r="C19" s="37"/>
      <c r="D19" s="15"/>
      <c r="E19" s="16"/>
      <c r="F19" s="15"/>
      <c r="G19" s="16"/>
      <c r="H19" s="37"/>
      <c r="I19" s="15">
        <v>173</v>
      </c>
      <c r="J19" s="16">
        <v>3</v>
      </c>
      <c r="K19" s="15">
        <v>170</v>
      </c>
      <c r="L19" s="16">
        <v>4</v>
      </c>
      <c r="M19" s="37"/>
      <c r="N19" s="15">
        <v>166</v>
      </c>
      <c r="O19" s="16">
        <v>6</v>
      </c>
      <c r="P19" s="15">
        <v>167</v>
      </c>
      <c r="Q19" s="16">
        <v>10</v>
      </c>
      <c r="R19" s="37"/>
      <c r="S19" s="15"/>
      <c r="T19" s="16"/>
      <c r="U19" s="15"/>
      <c r="V19" s="16"/>
      <c r="W19" s="37"/>
      <c r="X19" s="15"/>
      <c r="Y19" s="16"/>
      <c r="Z19" s="15"/>
      <c r="AA19" s="16"/>
      <c r="AC19" s="15"/>
      <c r="AD19" s="16"/>
      <c r="AE19" s="15"/>
      <c r="AF19" s="16"/>
      <c r="AH19" s="15"/>
      <c r="AI19" s="16"/>
      <c r="AJ19" s="15"/>
      <c r="AK19" s="16"/>
      <c r="AM19" s="15"/>
      <c r="AN19" s="16"/>
      <c r="AO19" s="15"/>
      <c r="AP19" s="16"/>
    </row>
    <row r="20" spans="2:46" x14ac:dyDescent="0.25">
      <c r="B20" s="14" t="s">
        <v>48</v>
      </c>
      <c r="C20" s="37"/>
      <c r="D20" s="15">
        <v>194</v>
      </c>
      <c r="E20" s="16">
        <v>2</v>
      </c>
      <c r="F20" s="43">
        <v>213</v>
      </c>
      <c r="G20" s="44">
        <v>6</v>
      </c>
      <c r="H20" s="37"/>
      <c r="I20" s="15"/>
      <c r="J20" s="16"/>
      <c r="K20" s="15"/>
      <c r="L20" s="16"/>
      <c r="M20" s="37"/>
      <c r="N20" s="15"/>
      <c r="O20" s="16"/>
      <c r="P20" s="15"/>
      <c r="Q20" s="16"/>
      <c r="R20" s="37"/>
      <c r="S20" s="15"/>
      <c r="T20" s="16"/>
      <c r="U20" s="43"/>
      <c r="V20" s="44"/>
      <c r="W20" s="115"/>
      <c r="X20" s="15"/>
      <c r="Y20" s="16"/>
      <c r="Z20" s="43"/>
      <c r="AA20" s="44"/>
      <c r="AB20" s="8"/>
      <c r="AC20" s="15"/>
      <c r="AD20" s="16"/>
      <c r="AE20" s="43"/>
      <c r="AF20" s="44"/>
      <c r="AH20" s="15"/>
      <c r="AI20" s="16"/>
      <c r="AJ20" s="43"/>
      <c r="AK20" s="44"/>
      <c r="AM20" s="15"/>
      <c r="AN20" s="16"/>
      <c r="AO20" s="43"/>
      <c r="AP20" s="44"/>
    </row>
    <row r="21" spans="2:46" ht="15.75" customHeight="1" x14ac:dyDescent="0.25">
      <c r="B21" s="14" t="s">
        <v>49</v>
      </c>
      <c r="C21" s="37"/>
      <c r="D21" s="15"/>
      <c r="E21" s="16"/>
      <c r="F21" s="15"/>
      <c r="G21" s="16"/>
      <c r="H21" s="37"/>
      <c r="I21" s="15">
        <v>169</v>
      </c>
      <c r="J21" s="16">
        <v>3</v>
      </c>
      <c r="K21" s="15">
        <v>165</v>
      </c>
      <c r="L21" s="16">
        <v>3</v>
      </c>
      <c r="M21" s="37"/>
      <c r="N21" s="15">
        <v>160</v>
      </c>
      <c r="O21" s="16">
        <v>1</v>
      </c>
      <c r="P21" s="15">
        <v>173</v>
      </c>
      <c r="Q21" s="16">
        <v>9</v>
      </c>
      <c r="R21" s="37"/>
      <c r="S21" s="15"/>
      <c r="T21" s="16"/>
      <c r="U21" s="15"/>
      <c r="V21" s="16"/>
      <c r="W21" s="37"/>
      <c r="X21" s="15"/>
      <c r="Y21" s="16"/>
      <c r="Z21" s="15"/>
      <c r="AA21" s="16"/>
      <c r="AB21" s="114"/>
      <c r="AC21" s="15"/>
      <c r="AD21" s="16"/>
      <c r="AE21" s="15"/>
      <c r="AF21" s="16"/>
      <c r="AG21" s="65"/>
      <c r="AH21" s="15"/>
      <c r="AI21" s="16"/>
      <c r="AJ21" s="15"/>
      <c r="AK21" s="16"/>
      <c r="AL21" s="65"/>
      <c r="AM21" s="15"/>
      <c r="AN21" s="16"/>
      <c r="AO21" s="15"/>
      <c r="AP21" s="16"/>
      <c r="AQ21" s="65"/>
      <c r="AR21" s="65"/>
      <c r="AS21" s="65"/>
      <c r="AT21" s="65"/>
    </row>
    <row r="22" spans="2:46" s="6" customFormat="1" x14ac:dyDescent="0.25">
      <c r="B22" s="14" t="s">
        <v>50</v>
      </c>
      <c r="C22" s="37"/>
      <c r="D22" s="15"/>
      <c r="E22" s="16"/>
      <c r="F22" s="15"/>
      <c r="G22" s="16"/>
      <c r="H22" s="37"/>
      <c r="I22" s="40"/>
      <c r="J22" s="16"/>
      <c r="K22" s="15"/>
      <c r="L22" s="16"/>
      <c r="M22" s="37"/>
      <c r="N22" s="15"/>
      <c r="O22" s="16"/>
      <c r="P22" s="15"/>
      <c r="Q22" s="16"/>
      <c r="R22" s="37"/>
      <c r="S22" s="15"/>
      <c r="T22" s="16"/>
      <c r="U22" s="15"/>
      <c r="V22" s="16"/>
      <c r="W22" s="37"/>
      <c r="X22" s="15"/>
      <c r="Y22" s="16"/>
      <c r="Z22" s="15"/>
      <c r="AA22" s="16"/>
      <c r="AB22" s="114"/>
      <c r="AC22" s="15"/>
      <c r="AD22" s="16"/>
      <c r="AE22" s="15"/>
      <c r="AF22" s="16"/>
      <c r="AG22" s="65"/>
      <c r="AH22" s="15"/>
      <c r="AI22" s="16"/>
      <c r="AJ22" s="15"/>
      <c r="AK22" s="16"/>
      <c r="AL22" s="65"/>
      <c r="AM22" s="15"/>
      <c r="AN22" s="16"/>
      <c r="AO22" s="15"/>
      <c r="AP22" s="16"/>
      <c r="AQ22" s="65"/>
      <c r="AR22" s="65"/>
      <c r="AS22" s="65"/>
      <c r="AT22" s="65"/>
    </row>
    <row r="23" spans="2:46" x14ac:dyDescent="0.25">
      <c r="B23" s="14" t="s">
        <v>51</v>
      </c>
      <c r="C23" s="37"/>
      <c r="D23" s="15">
        <v>140</v>
      </c>
      <c r="E23" s="16">
        <v>2</v>
      </c>
      <c r="F23" s="15">
        <v>161</v>
      </c>
      <c r="G23" s="16">
        <v>1</v>
      </c>
      <c r="H23" s="37"/>
      <c r="I23" s="15"/>
      <c r="J23" s="16"/>
      <c r="K23" s="15"/>
      <c r="L23" s="16"/>
      <c r="M23" s="37"/>
      <c r="N23" s="15"/>
      <c r="O23" s="16"/>
      <c r="P23" s="15"/>
      <c r="Q23" s="16"/>
      <c r="R23" s="37"/>
      <c r="S23" s="15">
        <v>28</v>
      </c>
      <c r="T23" s="16">
        <v>0</v>
      </c>
      <c r="U23" s="15">
        <v>66</v>
      </c>
      <c r="V23" s="16">
        <v>0</v>
      </c>
      <c r="W23" s="37"/>
      <c r="X23" s="15">
        <v>16</v>
      </c>
      <c r="Y23" s="16">
        <v>0</v>
      </c>
      <c r="Z23" s="15">
        <v>51</v>
      </c>
      <c r="AA23" s="16">
        <v>1</v>
      </c>
      <c r="AB23" s="114"/>
      <c r="AC23" s="15"/>
      <c r="AD23" s="16"/>
      <c r="AE23" s="15"/>
      <c r="AF23" s="16"/>
      <c r="AG23" s="65"/>
      <c r="AH23" s="15"/>
      <c r="AI23" s="16"/>
      <c r="AJ23" s="15"/>
      <c r="AK23" s="16"/>
      <c r="AL23" s="65"/>
      <c r="AM23" s="15"/>
      <c r="AN23" s="16"/>
      <c r="AO23" s="15"/>
      <c r="AP23" s="16"/>
      <c r="AQ23" s="65"/>
      <c r="AR23" s="65"/>
      <c r="AS23" s="65"/>
      <c r="AT23" s="65"/>
    </row>
    <row r="24" spans="2:46" x14ac:dyDescent="0.25">
      <c r="B24" s="14" t="s">
        <v>52</v>
      </c>
      <c r="C24" s="37"/>
      <c r="D24" s="15"/>
      <c r="E24" s="16"/>
      <c r="F24" s="15"/>
      <c r="G24" s="16"/>
      <c r="H24" s="37"/>
      <c r="I24" s="15">
        <v>158</v>
      </c>
      <c r="J24" s="16">
        <v>0</v>
      </c>
      <c r="K24" s="15">
        <v>164</v>
      </c>
      <c r="L24" s="16">
        <v>3</v>
      </c>
      <c r="M24" s="37"/>
      <c r="N24" s="15">
        <v>148</v>
      </c>
      <c r="O24" s="16">
        <v>2</v>
      </c>
      <c r="P24" s="15">
        <v>156</v>
      </c>
      <c r="Q24" s="16">
        <v>6</v>
      </c>
      <c r="R24" s="37"/>
      <c r="S24" s="15"/>
      <c r="T24" s="16"/>
      <c r="U24" s="15"/>
      <c r="V24" s="16"/>
      <c r="W24" s="37"/>
      <c r="X24" s="15"/>
      <c r="Y24" s="16"/>
      <c r="Z24" s="15"/>
      <c r="AA24" s="16"/>
      <c r="AB24" s="114"/>
      <c r="AC24" s="15">
        <v>21</v>
      </c>
      <c r="AD24" s="16">
        <v>0</v>
      </c>
      <c r="AE24" s="15">
        <v>34</v>
      </c>
      <c r="AF24" s="16">
        <v>1</v>
      </c>
      <c r="AG24" s="65"/>
      <c r="AH24" s="15"/>
      <c r="AI24" s="16"/>
      <c r="AJ24" s="15"/>
      <c r="AK24" s="16"/>
      <c r="AL24" s="65"/>
      <c r="AM24" s="15"/>
      <c r="AN24" s="16"/>
      <c r="AO24" s="15"/>
      <c r="AP24" s="16"/>
      <c r="AQ24" s="65"/>
      <c r="AR24" s="65"/>
      <c r="AS24" s="65"/>
      <c r="AT24" s="65"/>
    </row>
    <row r="25" spans="2:46" x14ac:dyDescent="0.25">
      <c r="B25" s="14" t="s">
        <v>53</v>
      </c>
      <c r="C25" s="37"/>
      <c r="D25" s="15">
        <v>138</v>
      </c>
      <c r="E25" s="16">
        <v>3</v>
      </c>
      <c r="F25" s="15">
        <v>216</v>
      </c>
      <c r="G25" s="16">
        <v>0</v>
      </c>
      <c r="H25" s="37"/>
      <c r="I25" s="15"/>
      <c r="J25" s="16"/>
      <c r="K25" s="15"/>
      <c r="L25" s="16"/>
      <c r="M25" s="37"/>
      <c r="N25" s="15"/>
      <c r="O25" s="16"/>
      <c r="P25" s="15"/>
      <c r="Q25" s="16"/>
      <c r="R25" s="37"/>
      <c r="S25" s="15"/>
      <c r="T25" s="16"/>
      <c r="U25" s="15"/>
      <c r="V25" s="16"/>
      <c r="W25" s="37"/>
      <c r="X25" s="15"/>
      <c r="Y25" s="16"/>
      <c r="Z25" s="15"/>
      <c r="AA25" s="16"/>
      <c r="AB25" s="114"/>
      <c r="AC25" s="15"/>
      <c r="AD25" s="16"/>
      <c r="AE25" s="15"/>
      <c r="AF25" s="16"/>
      <c r="AG25" s="65"/>
      <c r="AH25" s="15">
        <v>11</v>
      </c>
      <c r="AI25" s="16">
        <v>0</v>
      </c>
      <c r="AJ25" s="15">
        <v>61</v>
      </c>
      <c r="AK25" s="16">
        <v>1</v>
      </c>
      <c r="AL25" s="65"/>
      <c r="AM25" s="15">
        <v>13</v>
      </c>
      <c r="AN25" s="16">
        <v>0</v>
      </c>
      <c r="AO25" s="15">
        <v>57</v>
      </c>
      <c r="AP25" s="16">
        <v>2</v>
      </c>
      <c r="AQ25" s="65"/>
      <c r="AR25" s="65"/>
      <c r="AS25" s="65"/>
      <c r="AT25" s="65"/>
    </row>
    <row r="26" spans="2:46" s="7" customFormat="1" ht="14.25" customHeight="1" x14ac:dyDescent="0.25">
      <c r="B26" s="14" t="s">
        <v>54</v>
      </c>
      <c r="C26" s="37"/>
      <c r="D26" s="15"/>
      <c r="E26" s="16"/>
      <c r="F26" s="15"/>
      <c r="G26" s="16"/>
      <c r="H26" s="37"/>
      <c r="I26" s="15">
        <v>152</v>
      </c>
      <c r="J26" s="16">
        <v>4</v>
      </c>
      <c r="K26" s="15">
        <v>167</v>
      </c>
      <c r="L26" s="16">
        <v>6</v>
      </c>
      <c r="M26" s="37"/>
      <c r="N26" s="15">
        <v>146</v>
      </c>
      <c r="O26" s="16">
        <v>4</v>
      </c>
      <c r="P26" s="15">
        <v>0</v>
      </c>
      <c r="Q26" s="16">
        <v>0</v>
      </c>
      <c r="R26" s="37"/>
      <c r="S26" s="15"/>
      <c r="T26" s="16"/>
      <c r="U26" s="15"/>
      <c r="V26" s="16"/>
      <c r="W26" s="37"/>
      <c r="X26" s="15"/>
      <c r="Y26" s="16"/>
      <c r="Z26" s="15"/>
      <c r="AA26" s="16"/>
      <c r="AB26" s="114"/>
      <c r="AC26" s="15">
        <v>15</v>
      </c>
      <c r="AD26" s="16">
        <v>1</v>
      </c>
      <c r="AE26" s="15">
        <v>81</v>
      </c>
      <c r="AF26" s="16">
        <v>0</v>
      </c>
      <c r="AG26" s="65"/>
      <c r="AH26" s="15"/>
      <c r="AI26" s="16"/>
      <c r="AJ26" s="15"/>
      <c r="AK26" s="16"/>
      <c r="AL26" s="65"/>
      <c r="AM26" s="15"/>
      <c r="AN26" s="16"/>
      <c r="AO26" s="15"/>
      <c r="AP26" s="16"/>
      <c r="AQ26" s="65"/>
      <c r="AR26" s="65"/>
      <c r="AS26" s="65"/>
      <c r="AT26" s="65"/>
    </row>
    <row r="27" spans="2:46" ht="15.75" customHeight="1" x14ac:dyDescent="0.25">
      <c r="B27" s="14" t="s">
        <v>55</v>
      </c>
      <c r="C27" s="37"/>
      <c r="D27" s="15">
        <v>150</v>
      </c>
      <c r="E27" s="16">
        <v>2</v>
      </c>
      <c r="F27" s="15">
        <v>176</v>
      </c>
      <c r="G27" s="16">
        <v>2</v>
      </c>
      <c r="H27" s="37"/>
      <c r="I27" s="15"/>
      <c r="J27" s="16"/>
      <c r="K27" s="15"/>
      <c r="L27" s="16"/>
      <c r="M27" s="37"/>
      <c r="N27" s="15"/>
      <c r="O27" s="16"/>
      <c r="P27" s="15"/>
      <c r="Q27" s="16"/>
      <c r="R27" s="37"/>
      <c r="S27" s="15">
        <v>33</v>
      </c>
      <c r="T27" s="16">
        <v>0</v>
      </c>
      <c r="U27" s="15">
        <v>101</v>
      </c>
      <c r="V27" s="16">
        <v>3</v>
      </c>
      <c r="W27" s="37"/>
      <c r="X27" s="15">
        <v>21</v>
      </c>
      <c r="Y27" s="16">
        <v>0</v>
      </c>
      <c r="Z27" s="15">
        <v>103</v>
      </c>
      <c r="AA27" s="16">
        <v>2</v>
      </c>
      <c r="AB27" s="114"/>
      <c r="AC27" s="15"/>
      <c r="AD27" s="16"/>
      <c r="AE27" s="15"/>
      <c r="AF27" s="16"/>
      <c r="AG27" s="65"/>
      <c r="AH27" s="15"/>
      <c r="AI27" s="16"/>
      <c r="AJ27" s="15"/>
      <c r="AK27" s="16"/>
      <c r="AL27" s="65"/>
      <c r="AM27" s="15"/>
      <c r="AN27" s="16"/>
      <c r="AO27" s="15"/>
      <c r="AP27" s="16"/>
      <c r="AQ27" s="65"/>
      <c r="AR27" s="65"/>
      <c r="AS27" s="65"/>
      <c r="AT27" s="65"/>
    </row>
    <row r="28" spans="2:46" x14ac:dyDescent="0.25">
      <c r="B28" s="14" t="s">
        <v>56</v>
      </c>
      <c r="C28" s="37"/>
      <c r="D28" s="15"/>
      <c r="E28" s="16"/>
      <c r="F28" s="15"/>
      <c r="G28" s="16"/>
      <c r="H28" s="37"/>
      <c r="I28" s="15">
        <v>159</v>
      </c>
      <c r="J28" s="16">
        <v>1</v>
      </c>
      <c r="K28" s="15">
        <v>174</v>
      </c>
      <c r="L28" s="16">
        <v>2</v>
      </c>
      <c r="M28" s="37"/>
      <c r="N28" s="15">
        <v>164</v>
      </c>
      <c r="O28" s="16">
        <v>5</v>
      </c>
      <c r="P28" s="15">
        <v>172</v>
      </c>
      <c r="Q28" s="16">
        <v>3</v>
      </c>
      <c r="R28" s="37"/>
      <c r="S28" s="15"/>
      <c r="T28" s="16"/>
      <c r="U28" s="15"/>
      <c r="V28" s="16"/>
      <c r="W28" s="37"/>
      <c r="X28" s="15"/>
      <c r="Y28" s="16"/>
      <c r="Z28" s="15"/>
      <c r="AA28" s="16"/>
      <c r="AB28" s="114"/>
      <c r="AC28" s="15"/>
      <c r="AD28" s="16"/>
      <c r="AE28" s="15"/>
      <c r="AF28" s="16"/>
      <c r="AG28" s="65"/>
      <c r="AH28" s="15"/>
      <c r="AI28" s="16"/>
      <c r="AJ28" s="15"/>
      <c r="AK28" s="16"/>
      <c r="AL28" s="65"/>
      <c r="AM28" s="15">
        <v>22</v>
      </c>
      <c r="AN28" s="16">
        <v>0</v>
      </c>
      <c r="AO28" s="15">
        <v>99</v>
      </c>
      <c r="AP28" s="16">
        <v>3</v>
      </c>
      <c r="AQ28" s="65"/>
      <c r="AR28" s="65"/>
      <c r="AS28" s="65"/>
      <c r="AT28" s="65"/>
    </row>
    <row r="29" spans="2:46" x14ac:dyDescent="0.25">
      <c r="B29" s="14" t="s">
        <v>57</v>
      </c>
      <c r="C29" s="37"/>
      <c r="D29" s="15"/>
      <c r="E29" s="16"/>
      <c r="F29" s="15"/>
      <c r="G29" s="16"/>
      <c r="H29" s="37"/>
      <c r="I29" s="15"/>
      <c r="J29" s="16"/>
      <c r="K29" s="15"/>
      <c r="L29" s="16"/>
      <c r="M29" s="37"/>
      <c r="N29" s="15"/>
      <c r="O29" s="16"/>
      <c r="P29" s="15"/>
      <c r="Q29" s="16"/>
      <c r="R29" s="37"/>
      <c r="S29" s="15"/>
      <c r="T29" s="16"/>
      <c r="U29" s="15"/>
      <c r="V29" s="16"/>
      <c r="W29" s="37"/>
      <c r="X29" s="15"/>
      <c r="Y29" s="16"/>
      <c r="Z29" s="15"/>
      <c r="AA29" s="16"/>
      <c r="AB29" s="114"/>
      <c r="AC29" s="15"/>
      <c r="AD29" s="16"/>
      <c r="AE29" s="15"/>
      <c r="AF29" s="16"/>
      <c r="AG29" s="65"/>
      <c r="AH29" s="15">
        <v>24</v>
      </c>
      <c r="AI29" s="16">
        <v>0</v>
      </c>
      <c r="AJ29" s="15">
        <v>85</v>
      </c>
      <c r="AK29" s="16">
        <v>0</v>
      </c>
      <c r="AL29" s="65"/>
      <c r="AM29" s="15"/>
      <c r="AN29" s="16"/>
      <c r="AO29" s="15"/>
      <c r="AP29" s="16"/>
      <c r="AQ29" s="65"/>
      <c r="AR29" s="65"/>
      <c r="AS29" s="65"/>
      <c r="AT29" s="65"/>
    </row>
    <row r="30" spans="2:46" s="7" customFormat="1" x14ac:dyDescent="0.25">
      <c r="B30" s="14" t="s">
        <v>58</v>
      </c>
      <c r="C30" s="37"/>
      <c r="D30" s="15">
        <v>152</v>
      </c>
      <c r="E30" s="16">
        <v>4</v>
      </c>
      <c r="F30" s="15">
        <v>168</v>
      </c>
      <c r="G30" s="16">
        <v>1</v>
      </c>
      <c r="H30" s="37"/>
      <c r="I30" s="15"/>
      <c r="J30" s="16"/>
      <c r="K30" s="15"/>
      <c r="L30" s="16"/>
      <c r="M30" s="37"/>
      <c r="N30" s="15"/>
      <c r="O30" s="16"/>
      <c r="P30" s="15"/>
      <c r="Q30" s="16"/>
      <c r="R30" s="37"/>
      <c r="S30" s="15">
        <v>33</v>
      </c>
      <c r="T30" s="16">
        <v>1</v>
      </c>
      <c r="U30" s="15">
        <v>92</v>
      </c>
      <c r="V30" s="16">
        <v>2</v>
      </c>
      <c r="W30" s="37"/>
      <c r="X30" s="15">
        <v>30</v>
      </c>
      <c r="Y30" s="16">
        <v>1</v>
      </c>
      <c r="Z30" s="15">
        <v>72</v>
      </c>
      <c r="AA30" s="16">
        <v>1</v>
      </c>
      <c r="AB30" s="114"/>
      <c r="AC30" s="15"/>
      <c r="AD30" s="16"/>
      <c r="AE30" s="15"/>
      <c r="AF30" s="16"/>
      <c r="AG30" s="65"/>
      <c r="AH30" s="15"/>
      <c r="AI30" s="16"/>
      <c r="AJ30" s="15"/>
      <c r="AK30" s="16"/>
      <c r="AL30" s="65"/>
      <c r="AM30" s="15"/>
      <c r="AN30" s="16"/>
      <c r="AO30" s="15"/>
      <c r="AP30" s="16"/>
      <c r="AQ30" s="124"/>
      <c r="AR30" s="65"/>
      <c r="AS30" s="65"/>
      <c r="AT30" s="65"/>
    </row>
    <row r="31" spans="2:46" x14ac:dyDescent="0.25">
      <c r="B31" s="14" t="s">
        <v>59</v>
      </c>
      <c r="C31" s="37"/>
      <c r="D31" s="15"/>
      <c r="E31" s="16"/>
      <c r="F31" s="15"/>
      <c r="G31" s="16"/>
      <c r="H31" s="37"/>
      <c r="I31" s="15">
        <v>168</v>
      </c>
      <c r="J31" s="16">
        <v>2</v>
      </c>
      <c r="K31" s="15">
        <v>175</v>
      </c>
      <c r="L31" s="16">
        <v>4</v>
      </c>
      <c r="M31" s="37"/>
      <c r="N31" s="15">
        <v>155</v>
      </c>
      <c r="O31" s="16">
        <v>2</v>
      </c>
      <c r="P31" s="11">
        <v>178</v>
      </c>
      <c r="Q31" s="12">
        <v>3</v>
      </c>
      <c r="R31" s="39"/>
      <c r="S31" s="15"/>
      <c r="T31" s="16"/>
      <c r="U31" s="15"/>
      <c r="V31" s="16"/>
      <c r="W31" s="37"/>
      <c r="X31" s="15"/>
      <c r="Y31" s="16"/>
      <c r="Z31" s="15"/>
      <c r="AA31" s="16"/>
      <c r="AB31" s="114"/>
      <c r="AC31" s="15">
        <v>21</v>
      </c>
      <c r="AD31" s="16">
        <v>0</v>
      </c>
      <c r="AE31" s="15">
        <v>77</v>
      </c>
      <c r="AF31" s="16">
        <v>0</v>
      </c>
      <c r="AG31" s="65"/>
      <c r="AH31" s="15"/>
      <c r="AI31" s="16"/>
      <c r="AJ31" s="15"/>
      <c r="AK31" s="16"/>
      <c r="AL31" s="65"/>
      <c r="AM31" s="15"/>
      <c r="AN31" s="16"/>
      <c r="AO31" s="15"/>
      <c r="AP31" s="16"/>
      <c r="AQ31" s="65"/>
      <c r="AR31" s="65"/>
      <c r="AS31" s="65"/>
      <c r="AT31" s="65"/>
    </row>
    <row r="32" spans="2:46" ht="14.25" customHeight="1" x14ac:dyDescent="0.25">
      <c r="B32" s="14" t="s">
        <v>60</v>
      </c>
      <c r="C32" s="37"/>
      <c r="D32" s="15">
        <v>204</v>
      </c>
      <c r="E32" s="16">
        <v>1</v>
      </c>
      <c r="F32" s="15">
        <v>223</v>
      </c>
      <c r="G32" s="16">
        <v>4</v>
      </c>
      <c r="H32" s="37"/>
      <c r="I32" s="15"/>
      <c r="J32" s="16"/>
      <c r="K32" s="15"/>
      <c r="L32" s="16"/>
      <c r="M32" s="37"/>
      <c r="N32" s="15"/>
      <c r="O32" s="16"/>
      <c r="P32" s="15"/>
      <c r="Q32" s="16"/>
      <c r="R32" s="37"/>
      <c r="S32" s="15"/>
      <c r="T32" s="16"/>
      <c r="U32" s="15"/>
      <c r="V32" s="16"/>
      <c r="W32" s="37"/>
      <c r="X32" s="15"/>
      <c r="Y32" s="16"/>
      <c r="Z32" s="15"/>
      <c r="AA32" s="16"/>
      <c r="AB32" s="114"/>
      <c r="AC32" s="15"/>
      <c r="AD32" s="16"/>
      <c r="AE32" s="15"/>
      <c r="AF32" s="16"/>
      <c r="AG32" s="65"/>
      <c r="AH32" s="15">
        <v>39</v>
      </c>
      <c r="AI32" s="16">
        <v>1</v>
      </c>
      <c r="AJ32" s="15">
        <v>45</v>
      </c>
      <c r="AK32" s="16">
        <v>0</v>
      </c>
      <c r="AL32" s="65"/>
      <c r="AM32" s="15">
        <v>32</v>
      </c>
      <c r="AN32" s="16">
        <v>1</v>
      </c>
      <c r="AO32" s="15">
        <v>46</v>
      </c>
      <c r="AP32" s="16">
        <v>0</v>
      </c>
      <c r="AQ32" s="65"/>
      <c r="AR32" s="65"/>
      <c r="AS32" s="65"/>
      <c r="AT32" s="65"/>
    </row>
    <row r="33" spans="2:46" x14ac:dyDescent="0.25">
      <c r="B33" s="14" t="s">
        <v>61</v>
      </c>
      <c r="C33" s="37"/>
      <c r="D33" s="15"/>
      <c r="E33" s="16"/>
      <c r="F33" s="15"/>
      <c r="G33" s="16"/>
      <c r="H33" s="37"/>
      <c r="I33" s="15">
        <v>168</v>
      </c>
      <c r="J33" s="16">
        <v>5</v>
      </c>
      <c r="K33" s="15">
        <v>171</v>
      </c>
      <c r="L33" s="16">
        <v>1</v>
      </c>
      <c r="M33" s="37"/>
      <c r="N33" s="15">
        <v>159</v>
      </c>
      <c r="O33" s="16">
        <v>3</v>
      </c>
      <c r="P33" s="15">
        <v>165</v>
      </c>
      <c r="Q33" s="16">
        <v>4</v>
      </c>
      <c r="R33" s="37"/>
      <c r="S33" s="15"/>
      <c r="T33" s="16"/>
      <c r="U33" s="15"/>
      <c r="V33" s="16"/>
      <c r="W33" s="37"/>
      <c r="X33" s="15"/>
      <c r="Y33" s="16"/>
      <c r="Z33" s="15"/>
      <c r="AA33" s="16"/>
      <c r="AB33" s="114"/>
      <c r="AC33" s="15">
        <v>30</v>
      </c>
      <c r="AD33" s="16">
        <v>1</v>
      </c>
      <c r="AE33" s="15">
        <v>50</v>
      </c>
      <c r="AF33" s="16">
        <v>1</v>
      </c>
      <c r="AG33" s="65"/>
      <c r="AH33" s="15"/>
      <c r="AI33" s="16"/>
      <c r="AJ33" s="15"/>
      <c r="AK33" s="16"/>
      <c r="AL33" s="65"/>
      <c r="AM33" s="15"/>
      <c r="AN33" s="16"/>
      <c r="AO33" s="15"/>
      <c r="AP33" s="16"/>
      <c r="AQ33" s="65"/>
      <c r="AR33" s="65"/>
      <c r="AS33" s="65"/>
      <c r="AT33" s="65"/>
    </row>
    <row r="34" spans="2:46" x14ac:dyDescent="0.25">
      <c r="B34" s="14" t="s">
        <v>62</v>
      </c>
      <c r="C34" s="37"/>
      <c r="D34" s="15">
        <v>166</v>
      </c>
      <c r="E34" s="16">
        <v>2</v>
      </c>
      <c r="F34" s="15">
        <v>160</v>
      </c>
      <c r="G34" s="16">
        <v>4</v>
      </c>
      <c r="H34" s="37"/>
      <c r="I34" s="15"/>
      <c r="J34" s="16"/>
      <c r="K34" s="15"/>
      <c r="L34" s="16"/>
      <c r="M34" s="37"/>
      <c r="N34" s="15"/>
      <c r="O34" s="16"/>
      <c r="P34" s="15"/>
      <c r="Q34" s="16"/>
      <c r="R34" s="37"/>
      <c r="S34" s="15">
        <v>81</v>
      </c>
      <c r="T34" s="16">
        <v>0</v>
      </c>
      <c r="U34" s="15">
        <v>62</v>
      </c>
      <c r="V34" s="16">
        <v>0</v>
      </c>
      <c r="W34" s="37"/>
      <c r="X34" s="15">
        <v>50</v>
      </c>
      <c r="Y34" s="16">
        <v>0</v>
      </c>
      <c r="Z34" s="15">
        <v>44</v>
      </c>
      <c r="AA34" s="16">
        <v>0</v>
      </c>
      <c r="AB34" s="8"/>
      <c r="AC34" s="15"/>
      <c r="AD34" s="16"/>
      <c r="AE34" s="15"/>
      <c r="AF34" s="16"/>
      <c r="AH34" s="15"/>
      <c r="AI34" s="16"/>
      <c r="AJ34" s="15"/>
      <c r="AK34" s="16"/>
      <c r="AM34" s="15"/>
      <c r="AN34" s="16"/>
      <c r="AO34" s="15"/>
      <c r="AP34" s="16"/>
    </row>
    <row r="35" spans="2:46" x14ac:dyDescent="0.25">
      <c r="B35" s="14" t="s">
        <v>63</v>
      </c>
      <c r="C35" s="37"/>
      <c r="D35" s="15"/>
      <c r="E35" s="16"/>
      <c r="F35" s="15"/>
      <c r="G35" s="16"/>
      <c r="H35" s="37"/>
      <c r="I35" s="15">
        <v>159</v>
      </c>
      <c r="J35" s="16">
        <v>3</v>
      </c>
      <c r="K35" s="15">
        <v>167</v>
      </c>
      <c r="L35" s="16">
        <v>2</v>
      </c>
      <c r="M35" s="37"/>
      <c r="N35" s="15">
        <v>157</v>
      </c>
      <c r="O35" s="16">
        <v>4</v>
      </c>
      <c r="P35" s="15">
        <v>154</v>
      </c>
      <c r="Q35" s="16">
        <v>3</v>
      </c>
      <c r="R35" s="37"/>
      <c r="S35" s="15"/>
      <c r="T35" s="16"/>
      <c r="U35" s="15"/>
      <c r="V35" s="16"/>
      <c r="W35" s="37"/>
      <c r="X35" s="15"/>
      <c r="Y35" s="16"/>
      <c r="Z35" s="15"/>
      <c r="AA35" s="16"/>
      <c r="AC35" s="15"/>
      <c r="AD35" s="16"/>
      <c r="AE35" s="15"/>
      <c r="AF35" s="16"/>
      <c r="AH35" s="15"/>
      <c r="AI35" s="16"/>
      <c r="AJ35" s="15"/>
      <c r="AK35" s="16"/>
      <c r="AM35" s="15">
        <v>63</v>
      </c>
      <c r="AN35" s="16">
        <v>1</v>
      </c>
      <c r="AO35" s="15">
        <v>50</v>
      </c>
      <c r="AP35" s="16">
        <v>0</v>
      </c>
    </row>
    <row r="36" spans="2:46" ht="15.75" thickBot="1" x14ac:dyDescent="0.3">
      <c r="B36" s="14" t="s">
        <v>64</v>
      </c>
      <c r="C36" s="37"/>
      <c r="D36" s="15"/>
      <c r="E36" s="16"/>
      <c r="F36" s="15"/>
      <c r="G36" s="16"/>
      <c r="H36" s="37"/>
      <c r="I36" s="45"/>
      <c r="J36" s="46"/>
      <c r="K36" s="15"/>
      <c r="L36" s="16"/>
      <c r="M36" s="37"/>
      <c r="N36" s="15"/>
      <c r="O36" s="16"/>
      <c r="P36" s="15"/>
      <c r="Q36" s="16"/>
      <c r="R36" s="37"/>
      <c r="S36" s="15"/>
      <c r="T36" s="16"/>
      <c r="U36" s="15"/>
      <c r="V36" s="16"/>
      <c r="W36" s="37"/>
      <c r="X36" s="15"/>
      <c r="Y36" s="16"/>
      <c r="Z36" s="15"/>
      <c r="AA36" s="16"/>
      <c r="AC36" s="15"/>
      <c r="AD36" s="16"/>
      <c r="AE36" s="15"/>
      <c r="AF36" s="16"/>
      <c r="AH36" s="15">
        <v>57</v>
      </c>
      <c r="AI36" s="16">
        <v>0</v>
      </c>
      <c r="AJ36" s="15">
        <v>21</v>
      </c>
      <c r="AK36" s="16">
        <v>0</v>
      </c>
      <c r="AM36" s="15"/>
      <c r="AN36" s="16"/>
      <c r="AO36" s="15"/>
      <c r="AP36" s="16"/>
    </row>
    <row r="37" spans="2:46" ht="15.75" thickBot="1" x14ac:dyDescent="0.3">
      <c r="C37" s="10"/>
      <c r="D37" s="9">
        <f t="shared" ref="D37:G37" si="1">SUM(D6:D36)</f>
        <v>2101</v>
      </c>
      <c r="E37" s="33">
        <f t="shared" si="1"/>
        <v>29</v>
      </c>
      <c r="F37" s="34">
        <f t="shared" si="1"/>
        <v>2262</v>
      </c>
      <c r="G37" s="9">
        <f t="shared" si="1"/>
        <v>41</v>
      </c>
      <c r="H37" s="10"/>
      <c r="I37" s="36">
        <f>SUM(I6:I36)</f>
        <v>2128</v>
      </c>
      <c r="J37" s="36">
        <f t="shared" ref="J37:L37" si="2">SUM(J6:J36)</f>
        <v>33</v>
      </c>
      <c r="K37" s="36">
        <f t="shared" si="2"/>
        <v>2202</v>
      </c>
      <c r="L37" s="9">
        <f t="shared" si="2"/>
        <v>54</v>
      </c>
      <c r="M37" s="10"/>
      <c r="N37" s="9">
        <f t="shared" ref="N37:Q37" si="3">SUM(N6:N36)</f>
        <v>2361</v>
      </c>
      <c r="O37" s="33">
        <f t="shared" si="3"/>
        <v>55</v>
      </c>
      <c r="P37" s="36">
        <f t="shared" si="3"/>
        <v>2119</v>
      </c>
      <c r="Q37" s="9">
        <f t="shared" si="3"/>
        <v>71</v>
      </c>
      <c r="R37" s="10"/>
      <c r="S37" s="9">
        <f t="shared" ref="S37:V37" si="4">SUM(S6:S36)</f>
        <v>175</v>
      </c>
      <c r="T37" s="33">
        <f t="shared" si="4"/>
        <v>1</v>
      </c>
      <c r="U37" s="109">
        <f t="shared" si="4"/>
        <v>321</v>
      </c>
      <c r="V37" s="9">
        <f t="shared" si="4"/>
        <v>5</v>
      </c>
      <c r="W37" s="10"/>
      <c r="X37" s="9">
        <f t="shared" ref="X37:AA37" si="5">SUM(X6:X36)</f>
        <v>117</v>
      </c>
      <c r="Y37" s="33">
        <f t="shared" si="5"/>
        <v>1</v>
      </c>
      <c r="Z37" s="109">
        <f t="shared" si="5"/>
        <v>270</v>
      </c>
      <c r="AA37" s="9">
        <f t="shared" si="5"/>
        <v>4</v>
      </c>
      <c r="AC37" s="9">
        <f t="shared" ref="AC37:AF37" si="6">SUM(AC6:AC36)</f>
        <v>87</v>
      </c>
      <c r="AD37" s="33">
        <f t="shared" si="6"/>
        <v>2</v>
      </c>
      <c r="AE37" s="109">
        <f t="shared" si="6"/>
        <v>242</v>
      </c>
      <c r="AF37" s="9">
        <f t="shared" si="6"/>
        <v>2</v>
      </c>
      <c r="AH37" s="9">
        <f t="shared" ref="AH37:AK37" si="7">SUM(AH6:AH36)</f>
        <v>131</v>
      </c>
      <c r="AI37" s="33">
        <f t="shared" si="7"/>
        <v>1</v>
      </c>
      <c r="AJ37" s="109">
        <f t="shared" si="7"/>
        <v>212</v>
      </c>
      <c r="AK37" s="9">
        <f t="shared" si="7"/>
        <v>1</v>
      </c>
      <c r="AM37" s="9">
        <f t="shared" ref="AM37:AP37" si="8">SUM(AM6:AM36)</f>
        <v>130</v>
      </c>
      <c r="AN37" s="33">
        <f t="shared" si="8"/>
        <v>2</v>
      </c>
      <c r="AO37" s="109">
        <f t="shared" si="8"/>
        <v>252</v>
      </c>
      <c r="AP37" s="9">
        <f t="shared" si="8"/>
        <v>5</v>
      </c>
    </row>
    <row r="38" spans="2:46" ht="15.75" thickBot="1" x14ac:dyDescent="0.3">
      <c r="C38" s="10"/>
      <c r="D38" s="171">
        <f>SUM(D37:E37)</f>
        <v>2130</v>
      </c>
      <c r="E38" s="172"/>
      <c r="F38" s="171">
        <f>SUM(F37:G37)</f>
        <v>2303</v>
      </c>
      <c r="G38" s="172"/>
      <c r="H38" s="10"/>
      <c r="I38" s="171">
        <f>SUM(I37:J37)</f>
        <v>2161</v>
      </c>
      <c r="J38" s="172"/>
      <c r="K38" s="171">
        <f>SUM(K37+L37)</f>
        <v>2256</v>
      </c>
      <c r="L38" s="172"/>
      <c r="M38" s="10"/>
      <c r="N38" s="171">
        <f>SUM(N37:O37)</f>
        <v>2416</v>
      </c>
      <c r="O38" s="172"/>
      <c r="P38" s="171">
        <f>SUM(P37:Q37)</f>
        <v>2190</v>
      </c>
      <c r="Q38" s="172"/>
      <c r="R38" s="10"/>
      <c r="S38" s="171">
        <f>SUM(S37:T37)</f>
        <v>176</v>
      </c>
      <c r="T38" s="172"/>
      <c r="U38" s="171">
        <f>SUM(U37:V37)</f>
        <v>326</v>
      </c>
      <c r="V38" s="172"/>
      <c r="W38" s="10"/>
      <c r="X38" s="171">
        <f>SUM(X37:Y37)</f>
        <v>118</v>
      </c>
      <c r="Y38" s="172"/>
      <c r="Z38" s="171">
        <f>SUM(Z37:AA37)</f>
        <v>274</v>
      </c>
      <c r="AA38" s="172"/>
      <c r="AC38" s="171">
        <f>SUM(AC37:AD37)</f>
        <v>89</v>
      </c>
      <c r="AD38" s="172"/>
      <c r="AE38" s="171">
        <f>SUM(AE37:AF37)</f>
        <v>244</v>
      </c>
      <c r="AF38" s="172"/>
      <c r="AH38" s="171">
        <f>SUM(AH37:AI37)</f>
        <v>132</v>
      </c>
      <c r="AI38" s="172"/>
      <c r="AJ38" s="171">
        <f>SUM(AJ37:AK37)</f>
        <v>213</v>
      </c>
      <c r="AK38" s="172"/>
      <c r="AM38" s="171">
        <f>SUM(AM37:AN37)</f>
        <v>132</v>
      </c>
      <c r="AN38" s="172"/>
      <c r="AO38" s="171">
        <f>SUM(AO37:AP37)</f>
        <v>257</v>
      </c>
      <c r="AP38" s="172"/>
    </row>
    <row r="39" spans="2:46" ht="15.75" x14ac:dyDescent="0.25">
      <c r="C39" s="3"/>
      <c r="D39" s="168"/>
      <c r="E39" s="168"/>
      <c r="F39" s="168"/>
      <c r="G39" s="168"/>
      <c r="H39" s="3"/>
      <c r="I39" s="168"/>
      <c r="J39" s="168"/>
      <c r="K39" s="168"/>
      <c r="L39" s="168"/>
      <c r="M39" s="3"/>
      <c r="N39" s="168"/>
      <c r="O39" s="168"/>
      <c r="P39" s="168"/>
      <c r="Q39" s="168"/>
      <c r="R39" s="110"/>
      <c r="S39" s="168"/>
      <c r="T39" s="168"/>
      <c r="U39" s="168"/>
      <c r="V39" s="168"/>
      <c r="W39" s="110"/>
      <c r="X39" s="168"/>
      <c r="Y39" s="168"/>
      <c r="Z39" s="168"/>
      <c r="AA39" s="168"/>
      <c r="AC39" s="168"/>
      <c r="AD39" s="168"/>
      <c r="AE39" s="168"/>
      <c r="AF39" s="168"/>
      <c r="AH39" s="168"/>
      <c r="AI39" s="168"/>
      <c r="AJ39" s="168"/>
      <c r="AK39" s="168"/>
      <c r="AM39" s="168"/>
      <c r="AN39" s="168"/>
      <c r="AO39" s="168"/>
      <c r="AP39" s="168"/>
    </row>
    <row r="41" spans="2:46" hidden="1" x14ac:dyDescent="0.25">
      <c r="D41" s="1">
        <f>D38</f>
        <v>2130</v>
      </c>
      <c r="F41" s="1">
        <f>F38</f>
        <v>2303</v>
      </c>
      <c r="I41" s="1">
        <f>I38</f>
        <v>2161</v>
      </c>
      <c r="K41" s="1">
        <f>K38</f>
        <v>2256</v>
      </c>
      <c r="N41" s="1">
        <f>N38</f>
        <v>2416</v>
      </c>
      <c r="P41" s="1">
        <f>P38</f>
        <v>2190</v>
      </c>
      <c r="S41" s="1">
        <f>S38</f>
        <v>176</v>
      </c>
      <c r="U41" s="1">
        <f>U38</f>
        <v>326</v>
      </c>
      <c r="X41" s="1">
        <f>X38</f>
        <v>118</v>
      </c>
      <c r="Z41" s="1">
        <f>Z38</f>
        <v>274</v>
      </c>
      <c r="AC41" s="1">
        <f>AC38</f>
        <v>89</v>
      </c>
      <c r="AE41" s="1">
        <f>AE38</f>
        <v>244</v>
      </c>
      <c r="AH41" s="1">
        <f>AH38</f>
        <v>132</v>
      </c>
      <c r="AJ41" s="1">
        <f>AJ38</f>
        <v>213</v>
      </c>
      <c r="AM41" s="1">
        <f>AM38</f>
        <v>132</v>
      </c>
      <c r="AO41" s="1">
        <f>AO38</f>
        <v>257</v>
      </c>
    </row>
    <row r="42" spans="2:46" hidden="1" x14ac:dyDescent="0.25"/>
    <row r="43" spans="2:46" hidden="1" x14ac:dyDescent="0.25">
      <c r="K43" s="1" t="e">
        <f>#REF!</f>
        <v>#REF!</v>
      </c>
    </row>
  </sheetData>
  <mergeCells count="59">
    <mergeCell ref="D2:G2"/>
    <mergeCell ref="S2:AP2"/>
    <mergeCell ref="AH39:AI39"/>
    <mergeCell ref="AJ39:AK39"/>
    <mergeCell ref="AM4:AP4"/>
    <mergeCell ref="AM5:AN5"/>
    <mergeCell ref="AO5:AP5"/>
    <mergeCell ref="AM38:AN38"/>
    <mergeCell ref="AO38:AP38"/>
    <mergeCell ref="AM39:AN39"/>
    <mergeCell ref="AO39:AP39"/>
    <mergeCell ref="AH4:AK4"/>
    <mergeCell ref="AH5:AI5"/>
    <mergeCell ref="AJ5:AK5"/>
    <mergeCell ref="AH38:AI38"/>
    <mergeCell ref="AJ38:AK38"/>
    <mergeCell ref="AE5:AF5"/>
    <mergeCell ref="AC38:AD38"/>
    <mergeCell ref="AE38:AF38"/>
    <mergeCell ref="AC39:AD39"/>
    <mergeCell ref="AE39:AF39"/>
    <mergeCell ref="X38:Y38"/>
    <mergeCell ref="Z38:AA38"/>
    <mergeCell ref="X39:Y39"/>
    <mergeCell ref="Z39:AA39"/>
    <mergeCell ref="AC5:AD5"/>
    <mergeCell ref="I2:Q2"/>
    <mergeCell ref="N4:Q4"/>
    <mergeCell ref="I5:J5"/>
    <mergeCell ref="N5:O5"/>
    <mergeCell ref="P5:Q5"/>
    <mergeCell ref="D4:G4"/>
    <mergeCell ref="I4:L4"/>
    <mergeCell ref="K5:L5"/>
    <mergeCell ref="S4:V4"/>
    <mergeCell ref="S5:T5"/>
    <mergeCell ref="U5:V5"/>
    <mergeCell ref="AC4:AF4"/>
    <mergeCell ref="N38:O38"/>
    <mergeCell ref="P38:Q38"/>
    <mergeCell ref="I39:J39"/>
    <mergeCell ref="N39:O39"/>
    <mergeCell ref="P39:Q39"/>
    <mergeCell ref="I38:J38"/>
    <mergeCell ref="K38:L38"/>
    <mergeCell ref="K39:L39"/>
    <mergeCell ref="S38:T38"/>
    <mergeCell ref="U38:V38"/>
    <mergeCell ref="S39:T39"/>
    <mergeCell ref="U39:V39"/>
    <mergeCell ref="X4:AA4"/>
    <mergeCell ref="X5:Y5"/>
    <mergeCell ref="Z5:AA5"/>
    <mergeCell ref="D39:E39"/>
    <mergeCell ref="D5:E5"/>
    <mergeCell ref="F39:G39"/>
    <mergeCell ref="F5:G5"/>
    <mergeCell ref="F38:G38"/>
    <mergeCell ref="D38:E38"/>
  </mergeCells>
  <pageMargins left="0.7" right="0.7" top="0.75" bottom="0.75" header="0.3" footer="0.3"/>
  <pageSetup paperSize="9" scale="60" orientation="landscape" r:id="rId1"/>
  <ignoredErrors>
    <ignoredError sqref="AV9 AV12 AW12:AY12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Q44"/>
  <sheetViews>
    <sheetView topLeftCell="A22" zoomScaleNormal="100" workbookViewId="0">
      <selection activeCell="M29" activeCellId="3" sqref="M7:M10 M22 M28 M29"/>
    </sheetView>
  </sheetViews>
  <sheetFormatPr defaultRowHeight="15" x14ac:dyDescent="0.25"/>
  <cols>
    <col min="1" max="1" width="9.140625" style="6" customWidth="1"/>
    <col min="2" max="2" width="0.7109375" style="6" customWidth="1"/>
    <col min="3" max="3" width="16.85546875" style="6" customWidth="1"/>
    <col min="4" max="4" width="13.28515625" style="6" bestFit="1" customWidth="1"/>
    <col min="5" max="8" width="10.7109375" style="6" customWidth="1"/>
    <col min="9" max="9" width="9.140625" style="6"/>
    <col min="10" max="10" width="14.140625" style="6" customWidth="1"/>
    <col min="11" max="11" width="45.42578125" style="6" customWidth="1"/>
    <col min="12" max="12" width="13.7109375" style="6" bestFit="1" customWidth="1"/>
    <col min="13" max="14" width="9.140625" style="125"/>
    <col min="15" max="16384" width="9.140625" style="6"/>
  </cols>
  <sheetData>
    <row r="4" spans="3:14" ht="15.75" thickBot="1" x14ac:dyDescent="0.3">
      <c r="G4" s="207"/>
      <c r="H4" s="207"/>
    </row>
    <row r="5" spans="3:14" ht="16.5" thickBot="1" x14ac:dyDescent="0.3">
      <c r="C5" s="20"/>
      <c r="D5" s="20"/>
      <c r="E5" s="197" t="s">
        <v>4</v>
      </c>
      <c r="F5" s="198"/>
      <c r="G5" s="197" t="s">
        <v>8</v>
      </c>
      <c r="H5" s="198"/>
      <c r="I5" s="202" t="s">
        <v>7</v>
      </c>
      <c r="J5" s="203"/>
      <c r="K5" s="209" t="s">
        <v>9</v>
      </c>
      <c r="L5" s="211" t="s">
        <v>22</v>
      </c>
    </row>
    <row r="6" spans="3:14" ht="16.5" thickBot="1" x14ac:dyDescent="0.3">
      <c r="C6" s="52" t="s">
        <v>0</v>
      </c>
      <c r="D6" s="69" t="s">
        <v>1</v>
      </c>
      <c r="E6" s="22" t="s">
        <v>2</v>
      </c>
      <c r="F6" s="23" t="s">
        <v>3</v>
      </c>
      <c r="G6" s="21" t="s">
        <v>6</v>
      </c>
      <c r="H6" s="21" t="s">
        <v>5</v>
      </c>
      <c r="I6" s="204"/>
      <c r="J6" s="205"/>
      <c r="K6" s="210"/>
      <c r="L6" s="212"/>
      <c r="M6" s="125" t="s">
        <v>100</v>
      </c>
      <c r="N6" s="125" t="s">
        <v>101</v>
      </c>
    </row>
    <row r="7" spans="3:14" ht="15.75" customHeight="1" thickBot="1" x14ac:dyDescent="0.3">
      <c r="C7" s="48">
        <v>45261</v>
      </c>
      <c r="D7" s="70">
        <v>2</v>
      </c>
      <c r="E7" s="71">
        <v>169</v>
      </c>
      <c r="F7" s="71">
        <v>182</v>
      </c>
      <c r="G7" s="72">
        <v>0</v>
      </c>
      <c r="H7" s="71">
        <v>0</v>
      </c>
      <c r="I7" s="199" t="s">
        <v>66</v>
      </c>
      <c r="J7" s="199"/>
      <c r="K7" s="71" t="s">
        <v>67</v>
      </c>
      <c r="L7" s="73" t="s">
        <v>68</v>
      </c>
      <c r="M7" s="125">
        <v>169</v>
      </c>
    </row>
    <row r="8" spans="3:14" ht="15.75" customHeight="1" thickBot="1" x14ac:dyDescent="0.3">
      <c r="C8" s="48">
        <v>45261</v>
      </c>
      <c r="D8" s="11">
        <v>2</v>
      </c>
      <c r="E8" s="74">
        <v>165</v>
      </c>
      <c r="F8" s="74">
        <v>183</v>
      </c>
      <c r="G8" s="75">
        <v>0</v>
      </c>
      <c r="H8" s="74">
        <v>0</v>
      </c>
      <c r="I8" s="206" t="s">
        <v>66</v>
      </c>
      <c r="J8" s="206"/>
      <c r="K8" s="74" t="s">
        <v>67</v>
      </c>
      <c r="L8" s="16" t="s">
        <v>68</v>
      </c>
      <c r="M8" s="125">
        <v>164</v>
      </c>
    </row>
    <row r="9" spans="3:14" ht="16.5" thickBot="1" x14ac:dyDescent="0.3">
      <c r="C9" s="48">
        <v>45262</v>
      </c>
      <c r="D9" s="15">
        <v>2</v>
      </c>
      <c r="E9" s="76">
        <v>0</v>
      </c>
      <c r="F9" s="76">
        <v>0</v>
      </c>
      <c r="G9" s="74">
        <v>3.5</v>
      </c>
      <c r="H9" s="74">
        <v>0</v>
      </c>
      <c r="I9" s="206" t="s">
        <v>69</v>
      </c>
      <c r="J9" s="206"/>
      <c r="K9" s="77" t="s">
        <v>70</v>
      </c>
      <c r="L9" s="78" t="s">
        <v>71</v>
      </c>
      <c r="N9" s="125">
        <v>3450</v>
      </c>
    </row>
    <row r="10" spans="3:14" ht="16.5" thickBot="1" x14ac:dyDescent="0.3">
      <c r="C10" s="48">
        <v>45263</v>
      </c>
      <c r="D10" s="79">
        <v>2</v>
      </c>
      <c r="E10" s="80">
        <v>160</v>
      </c>
      <c r="F10" s="80">
        <v>179</v>
      </c>
      <c r="G10" s="80">
        <v>0</v>
      </c>
      <c r="H10" s="80">
        <v>0</v>
      </c>
      <c r="I10" s="200" t="s">
        <v>66</v>
      </c>
      <c r="J10" s="200"/>
      <c r="K10" s="77" t="s">
        <v>67</v>
      </c>
      <c r="L10" s="78" t="s">
        <v>68</v>
      </c>
      <c r="M10" s="125">
        <v>158</v>
      </c>
    </row>
    <row r="11" spans="3:14" ht="16.5" thickBot="1" x14ac:dyDescent="0.3">
      <c r="C11" s="48">
        <v>45264</v>
      </c>
      <c r="D11" s="15"/>
      <c r="E11" s="80"/>
      <c r="F11" s="80"/>
      <c r="G11" s="80"/>
      <c r="H11" s="80"/>
      <c r="I11" s="201"/>
      <c r="J11" s="201"/>
      <c r="K11" s="81"/>
      <c r="L11" s="82"/>
    </row>
    <row r="12" spans="3:14" ht="15.75" customHeight="1" thickBot="1" x14ac:dyDescent="0.3">
      <c r="C12" s="48">
        <v>45265</v>
      </c>
      <c r="D12" s="11"/>
      <c r="E12" s="74"/>
      <c r="F12" s="74"/>
      <c r="G12" s="83"/>
      <c r="H12" s="74"/>
      <c r="I12" s="206"/>
      <c r="J12" s="206"/>
      <c r="K12" s="84"/>
      <c r="L12" s="85"/>
    </row>
    <row r="13" spans="3:14" ht="15.75" customHeight="1" thickBot="1" x14ac:dyDescent="0.3">
      <c r="C13" s="48">
        <v>45266</v>
      </c>
      <c r="D13" s="86"/>
      <c r="E13" s="87"/>
      <c r="F13" s="87"/>
      <c r="G13" s="87"/>
      <c r="H13" s="87"/>
      <c r="I13" s="206"/>
      <c r="J13" s="206"/>
      <c r="K13" s="77"/>
      <c r="L13" s="78"/>
    </row>
    <row r="14" spans="3:14" ht="16.5" thickBot="1" x14ac:dyDescent="0.3">
      <c r="C14" s="48">
        <v>45267</v>
      </c>
      <c r="D14" s="79"/>
      <c r="E14" s="80"/>
      <c r="F14" s="80"/>
      <c r="G14" s="88"/>
      <c r="H14" s="80"/>
      <c r="I14" s="200"/>
      <c r="J14" s="200"/>
      <c r="K14" s="89"/>
      <c r="L14" s="78"/>
    </row>
    <row r="15" spans="3:14" ht="16.5" thickBot="1" x14ac:dyDescent="0.3">
      <c r="C15" s="48">
        <v>45268</v>
      </c>
      <c r="D15" s="90"/>
      <c r="E15" s="91"/>
      <c r="F15" s="91"/>
      <c r="G15" s="88"/>
      <c r="H15" s="80"/>
      <c r="I15" s="208"/>
      <c r="J15" s="208"/>
      <c r="K15" s="74"/>
      <c r="L15" s="78"/>
    </row>
    <row r="16" spans="3:14" ht="16.5" thickBot="1" x14ac:dyDescent="0.3">
      <c r="C16" s="48">
        <v>45269</v>
      </c>
      <c r="D16" s="79">
        <v>1</v>
      </c>
      <c r="E16" s="80">
        <v>0</v>
      </c>
      <c r="F16" s="80">
        <v>2</v>
      </c>
      <c r="G16" s="88">
        <v>0</v>
      </c>
      <c r="H16" s="80">
        <v>0</v>
      </c>
      <c r="I16" s="206" t="s">
        <v>72</v>
      </c>
      <c r="J16" s="206"/>
      <c r="K16" s="77" t="s">
        <v>73</v>
      </c>
      <c r="L16" s="92" t="s">
        <v>75</v>
      </c>
      <c r="M16" s="125">
        <v>2</v>
      </c>
    </row>
    <row r="17" spans="3:17" ht="16.5" thickBot="1" x14ac:dyDescent="0.3">
      <c r="C17" s="48">
        <v>45270</v>
      </c>
      <c r="D17" s="15">
        <v>1</v>
      </c>
      <c r="E17" s="74">
        <v>2</v>
      </c>
      <c r="F17" s="74">
        <v>0</v>
      </c>
      <c r="G17" s="76">
        <v>0</v>
      </c>
      <c r="H17" s="74">
        <v>0</v>
      </c>
      <c r="I17" s="206" t="s">
        <v>74</v>
      </c>
      <c r="J17" s="206"/>
      <c r="K17" s="104" t="s">
        <v>73</v>
      </c>
      <c r="L17" s="78" t="s">
        <v>75</v>
      </c>
      <c r="M17" s="125">
        <v>2</v>
      </c>
    </row>
    <row r="18" spans="3:17" ht="16.5" thickBot="1" x14ac:dyDescent="0.3">
      <c r="C18" s="48">
        <v>45270</v>
      </c>
      <c r="D18" s="93">
        <v>2</v>
      </c>
      <c r="E18" s="94">
        <v>0</v>
      </c>
      <c r="F18" s="94">
        <v>167</v>
      </c>
      <c r="G18" s="95">
        <v>0</v>
      </c>
      <c r="H18" s="94">
        <v>0</v>
      </c>
      <c r="I18" s="206" t="s">
        <v>76</v>
      </c>
      <c r="J18" s="206"/>
      <c r="K18" s="94" t="s">
        <v>77</v>
      </c>
      <c r="L18" s="78" t="s">
        <v>68</v>
      </c>
    </row>
    <row r="19" spans="3:17" ht="16.5" thickBot="1" x14ac:dyDescent="0.3">
      <c r="C19" s="48">
        <v>45271</v>
      </c>
      <c r="D19" s="93">
        <v>2</v>
      </c>
      <c r="E19" s="105">
        <v>0</v>
      </c>
      <c r="F19" s="105">
        <v>173</v>
      </c>
      <c r="G19" s="95">
        <v>0</v>
      </c>
      <c r="H19" s="105">
        <v>0</v>
      </c>
      <c r="I19" s="107" t="s">
        <v>78</v>
      </c>
      <c r="J19" s="106"/>
      <c r="K19" s="105" t="s">
        <v>67</v>
      </c>
      <c r="L19" s="78" t="s">
        <v>68</v>
      </c>
    </row>
    <row r="20" spans="3:17" ht="16.5" thickBot="1" x14ac:dyDescent="0.3">
      <c r="C20" s="48">
        <v>45271</v>
      </c>
      <c r="D20" s="93">
        <v>2</v>
      </c>
      <c r="E20" s="105">
        <v>0</v>
      </c>
      <c r="F20" s="105">
        <v>36</v>
      </c>
      <c r="G20" s="95">
        <v>0</v>
      </c>
      <c r="H20" s="105">
        <v>0</v>
      </c>
      <c r="I20" s="187" t="s">
        <v>79</v>
      </c>
      <c r="J20" s="188"/>
      <c r="K20" s="105" t="s">
        <v>80</v>
      </c>
      <c r="L20" s="78" t="s">
        <v>68</v>
      </c>
    </row>
    <row r="21" spans="3:17" ht="16.5" thickBot="1" x14ac:dyDescent="0.3">
      <c r="C21" s="48">
        <v>45272</v>
      </c>
      <c r="D21" s="15">
        <v>2</v>
      </c>
      <c r="E21" s="74">
        <v>3</v>
      </c>
      <c r="F21" s="74">
        <v>0</v>
      </c>
      <c r="G21" s="74">
        <v>0</v>
      </c>
      <c r="H21" s="74">
        <v>0</v>
      </c>
      <c r="I21" s="187" t="s">
        <v>81</v>
      </c>
      <c r="J21" s="188"/>
      <c r="K21" s="94" t="s">
        <v>82</v>
      </c>
      <c r="L21" s="82" t="s">
        <v>83</v>
      </c>
      <c r="M21" s="120">
        <v>2</v>
      </c>
      <c r="N21" s="120"/>
      <c r="O21" s="1"/>
      <c r="P21" s="1"/>
      <c r="Q21" s="1"/>
    </row>
    <row r="22" spans="3:17" ht="16.5" thickBot="1" x14ac:dyDescent="0.3">
      <c r="C22" s="48">
        <v>45273</v>
      </c>
      <c r="D22" s="79">
        <v>2</v>
      </c>
      <c r="E22" s="80">
        <v>204</v>
      </c>
      <c r="F22" s="80">
        <v>238</v>
      </c>
      <c r="G22" s="88">
        <v>0</v>
      </c>
      <c r="H22" s="80">
        <v>0</v>
      </c>
      <c r="I22" s="185" t="s">
        <v>66</v>
      </c>
      <c r="J22" s="186"/>
      <c r="K22" s="74" t="s">
        <v>67</v>
      </c>
      <c r="L22" s="82" t="s">
        <v>68</v>
      </c>
      <c r="M22" s="120">
        <v>203</v>
      </c>
      <c r="N22" s="120"/>
      <c r="O22" s="1"/>
      <c r="P22" s="1"/>
      <c r="Q22" s="1"/>
    </row>
    <row r="23" spans="3:17" ht="16.5" customHeight="1" thickBot="1" x14ac:dyDescent="0.3">
      <c r="C23" s="48">
        <v>45274</v>
      </c>
      <c r="D23" s="15"/>
      <c r="E23" s="74"/>
      <c r="F23" s="74"/>
      <c r="G23" s="74"/>
      <c r="H23" s="74"/>
      <c r="I23" s="187"/>
      <c r="J23" s="188"/>
      <c r="K23" s="96"/>
      <c r="L23" s="82"/>
      <c r="M23" s="120"/>
      <c r="N23" s="120"/>
      <c r="O23" s="1"/>
      <c r="P23" s="1"/>
      <c r="Q23" s="1"/>
    </row>
    <row r="24" spans="3:17" ht="16.5" thickBot="1" x14ac:dyDescent="0.3">
      <c r="C24" s="48">
        <v>45275</v>
      </c>
      <c r="D24" s="79"/>
      <c r="E24" s="80"/>
      <c r="F24" s="80"/>
      <c r="G24" s="88"/>
      <c r="H24" s="80"/>
      <c r="I24" s="185"/>
      <c r="J24" s="186"/>
      <c r="K24" s="74"/>
      <c r="L24" s="97"/>
    </row>
    <row r="25" spans="3:17" ht="16.5" thickBot="1" x14ac:dyDescent="0.3">
      <c r="C25" s="48">
        <v>45276</v>
      </c>
      <c r="D25" s="98"/>
      <c r="E25" s="67"/>
      <c r="F25" s="80"/>
      <c r="G25" s="80"/>
      <c r="H25" s="80"/>
      <c r="I25" s="187"/>
      <c r="J25" s="188"/>
      <c r="K25" s="74"/>
      <c r="L25" s="97"/>
    </row>
    <row r="26" spans="3:17" ht="16.5" thickBot="1" x14ac:dyDescent="0.3">
      <c r="C26" s="48">
        <v>45277</v>
      </c>
      <c r="D26" s="98"/>
      <c r="E26" s="67"/>
      <c r="F26" s="80"/>
      <c r="G26" s="74"/>
      <c r="H26" s="74"/>
      <c r="I26" s="187"/>
      <c r="J26" s="188"/>
      <c r="K26" s="74"/>
      <c r="L26" s="97"/>
    </row>
    <row r="27" spans="3:17" ht="16.5" thickBot="1" x14ac:dyDescent="0.3">
      <c r="C27" s="48">
        <v>45278</v>
      </c>
      <c r="D27" s="79"/>
      <c r="E27" s="80"/>
      <c r="F27" s="80"/>
      <c r="G27" s="74"/>
      <c r="H27" s="74"/>
      <c r="I27" s="185"/>
      <c r="J27" s="186"/>
      <c r="K27" s="94"/>
      <c r="L27" s="97"/>
    </row>
    <row r="28" spans="3:17" ht="16.5" thickBot="1" x14ac:dyDescent="0.3">
      <c r="C28" s="48">
        <v>45279</v>
      </c>
      <c r="D28" s="79">
        <v>2</v>
      </c>
      <c r="E28" s="80">
        <v>123</v>
      </c>
      <c r="F28" s="80">
        <v>171</v>
      </c>
      <c r="G28" s="121">
        <v>0</v>
      </c>
      <c r="H28" s="121">
        <v>0</v>
      </c>
      <c r="I28" s="185" t="s">
        <v>66</v>
      </c>
      <c r="J28" s="186"/>
      <c r="K28" s="121" t="s">
        <v>67</v>
      </c>
      <c r="L28" s="82" t="s">
        <v>68</v>
      </c>
      <c r="M28" s="125">
        <v>121</v>
      </c>
    </row>
    <row r="29" spans="3:17" ht="15.75" customHeight="1" thickBot="1" x14ac:dyDescent="0.3">
      <c r="C29" s="48">
        <v>45279</v>
      </c>
      <c r="D29" s="15">
        <v>2</v>
      </c>
      <c r="E29" s="74">
        <v>142</v>
      </c>
      <c r="F29" s="74">
        <v>178</v>
      </c>
      <c r="G29" s="74">
        <v>0</v>
      </c>
      <c r="H29" s="74">
        <v>0</v>
      </c>
      <c r="I29" s="185" t="s">
        <v>66</v>
      </c>
      <c r="J29" s="186"/>
      <c r="K29" s="121" t="s">
        <v>67</v>
      </c>
      <c r="L29" s="82" t="s">
        <v>68</v>
      </c>
      <c r="M29" s="125">
        <v>137</v>
      </c>
    </row>
    <row r="30" spans="3:17" ht="15.75" customHeight="1" thickBot="1" x14ac:dyDescent="0.3">
      <c r="C30" s="48">
        <v>45279</v>
      </c>
      <c r="D30" s="15">
        <v>2</v>
      </c>
      <c r="E30" s="74">
        <v>0</v>
      </c>
      <c r="F30" s="74">
        <v>0</v>
      </c>
      <c r="G30" s="74">
        <v>0</v>
      </c>
      <c r="H30" s="74">
        <v>2.2000000000000002</v>
      </c>
      <c r="I30" s="195" t="s">
        <v>105</v>
      </c>
      <c r="J30" s="196"/>
      <c r="K30" s="94" t="s">
        <v>98</v>
      </c>
      <c r="L30" s="78" t="s">
        <v>71</v>
      </c>
    </row>
    <row r="31" spans="3:17" ht="16.5" thickBot="1" x14ac:dyDescent="0.3">
      <c r="C31" s="48">
        <v>45281</v>
      </c>
      <c r="D31" s="15"/>
      <c r="E31" s="74"/>
      <c r="F31" s="74"/>
      <c r="G31" s="74"/>
      <c r="H31" s="74"/>
      <c r="I31" s="187"/>
      <c r="J31" s="188"/>
      <c r="K31" s="77"/>
      <c r="L31" s="78"/>
    </row>
    <row r="32" spans="3:17" ht="15.75" customHeight="1" thickBot="1" x14ac:dyDescent="0.3">
      <c r="C32" s="48">
        <v>45282</v>
      </c>
      <c r="D32" s="15"/>
      <c r="E32" s="74"/>
      <c r="F32" s="99"/>
      <c r="G32" s="74"/>
      <c r="H32" s="74"/>
      <c r="I32" s="191"/>
      <c r="J32" s="192"/>
      <c r="K32" s="100"/>
      <c r="L32" s="97"/>
    </row>
    <row r="33" spans="3:13" ht="15.75" customHeight="1" thickBot="1" x14ac:dyDescent="0.3">
      <c r="C33" s="48">
        <v>45283</v>
      </c>
      <c r="D33" s="11"/>
      <c r="E33" s="81"/>
      <c r="F33" s="81"/>
      <c r="G33" s="81"/>
      <c r="H33" s="81"/>
      <c r="I33" s="187"/>
      <c r="J33" s="188"/>
      <c r="K33" s="74"/>
      <c r="L33" s="78"/>
    </row>
    <row r="34" spans="3:13" ht="16.5" thickBot="1" x14ac:dyDescent="0.3">
      <c r="C34" s="48">
        <v>45284</v>
      </c>
      <c r="D34" s="15"/>
      <c r="E34" s="74"/>
      <c r="F34" s="99"/>
      <c r="G34" s="74"/>
      <c r="H34" s="74"/>
      <c r="I34" s="191"/>
      <c r="J34" s="192"/>
      <c r="K34" s="100"/>
      <c r="L34" s="78"/>
    </row>
    <row r="35" spans="3:13" ht="16.5" thickBot="1" x14ac:dyDescent="0.3">
      <c r="C35" s="48">
        <v>45285</v>
      </c>
      <c r="D35" s="15"/>
      <c r="E35" s="74"/>
      <c r="F35" s="74"/>
      <c r="G35" s="74"/>
      <c r="H35" s="74"/>
      <c r="I35" s="185"/>
      <c r="J35" s="186"/>
      <c r="K35" s="100"/>
      <c r="L35" s="78"/>
    </row>
    <row r="36" spans="3:13" ht="16.5" thickBot="1" x14ac:dyDescent="0.3">
      <c r="C36" s="48">
        <v>45286</v>
      </c>
      <c r="D36" s="15"/>
      <c r="E36" s="74"/>
      <c r="F36" s="74"/>
      <c r="G36" s="74"/>
      <c r="H36" s="74"/>
      <c r="I36" s="187"/>
      <c r="J36" s="188"/>
      <c r="K36" s="74"/>
      <c r="L36" s="78"/>
    </row>
    <row r="37" spans="3:13" ht="16.5" thickBot="1" x14ac:dyDescent="0.3">
      <c r="C37" s="48">
        <v>45287</v>
      </c>
      <c r="D37" s="15"/>
      <c r="E37" s="80"/>
      <c r="F37" s="80"/>
      <c r="G37" s="80"/>
      <c r="H37" s="80"/>
      <c r="I37" s="193"/>
      <c r="J37" s="194"/>
      <c r="K37" s="81"/>
      <c r="L37" s="78"/>
    </row>
    <row r="38" spans="3:13" ht="16.5" thickBot="1" x14ac:dyDescent="0.3">
      <c r="C38" s="48">
        <v>45288</v>
      </c>
      <c r="D38" s="79"/>
      <c r="E38" s="80"/>
      <c r="F38" s="80"/>
      <c r="G38" s="80"/>
      <c r="H38" s="80"/>
      <c r="I38" s="187"/>
      <c r="J38" s="188"/>
      <c r="K38" s="77"/>
      <c r="L38" s="78"/>
    </row>
    <row r="39" spans="3:13" ht="15.75" customHeight="1" thickBot="1" x14ac:dyDescent="0.3">
      <c r="C39" s="48">
        <v>45289</v>
      </c>
      <c r="D39" s="15"/>
      <c r="E39" s="74"/>
      <c r="F39" s="74"/>
      <c r="G39" s="74"/>
      <c r="H39" s="74"/>
      <c r="I39" s="191"/>
      <c r="J39" s="192"/>
      <c r="K39" s="100"/>
      <c r="L39" s="78"/>
    </row>
    <row r="40" spans="3:13" ht="15.75" customHeight="1" thickBot="1" x14ac:dyDescent="0.3">
      <c r="C40" s="48">
        <v>45290</v>
      </c>
      <c r="D40" s="15"/>
      <c r="E40" s="74"/>
      <c r="F40" s="74"/>
      <c r="G40" s="74"/>
      <c r="H40" s="74"/>
      <c r="I40" s="77"/>
      <c r="J40" s="77"/>
      <c r="K40" s="100"/>
      <c r="L40" s="78"/>
    </row>
    <row r="41" spans="3:13" ht="15.75" customHeight="1" thickBot="1" x14ac:dyDescent="0.3">
      <c r="C41" s="48">
        <v>45291</v>
      </c>
      <c r="D41" s="101">
        <v>2</v>
      </c>
      <c r="E41" s="102">
        <v>1</v>
      </c>
      <c r="F41" s="102">
        <v>0</v>
      </c>
      <c r="G41" s="102">
        <v>0</v>
      </c>
      <c r="H41" s="102">
        <v>0</v>
      </c>
      <c r="I41" s="189" t="s">
        <v>108</v>
      </c>
      <c r="J41" s="190"/>
      <c r="K41" s="103" t="s">
        <v>109</v>
      </c>
      <c r="L41" s="92" t="s">
        <v>83</v>
      </c>
      <c r="M41" s="125">
        <v>1</v>
      </c>
    </row>
    <row r="42" spans="3:13" ht="16.5" thickBot="1" x14ac:dyDescent="0.3">
      <c r="C42" s="49"/>
      <c r="D42" s="18">
        <f>SUM(D7:D41)</f>
        <v>28</v>
      </c>
      <c r="E42" s="19">
        <f>SUM(E7:E41)</f>
        <v>969</v>
      </c>
      <c r="F42" s="18">
        <f>SUM(F7:F41)</f>
        <v>1509</v>
      </c>
      <c r="G42" s="18">
        <f>SUM(G7:G41)</f>
        <v>3.5</v>
      </c>
      <c r="H42" s="18">
        <f>SUM(H7:H41)</f>
        <v>2.2000000000000002</v>
      </c>
      <c r="I42" s="17"/>
      <c r="J42" s="17"/>
      <c r="K42" s="17"/>
    </row>
    <row r="43" spans="3:13" x14ac:dyDescent="0.25">
      <c r="C43" s="41"/>
    </row>
    <row r="44" spans="3:13" x14ac:dyDescent="0.25">
      <c r="C44" s="17"/>
    </row>
  </sheetData>
  <mergeCells count="39">
    <mergeCell ref="K5:K6"/>
    <mergeCell ref="L5:L6"/>
    <mergeCell ref="I12:J12"/>
    <mergeCell ref="I13:J13"/>
    <mergeCell ref="I17:J17"/>
    <mergeCell ref="I16:J16"/>
    <mergeCell ref="G4:H4"/>
    <mergeCell ref="I9:J9"/>
    <mergeCell ref="I10:J10"/>
    <mergeCell ref="I15:J15"/>
    <mergeCell ref="I18:J18"/>
    <mergeCell ref="E5:F5"/>
    <mergeCell ref="G5:H5"/>
    <mergeCell ref="I7:J7"/>
    <mergeCell ref="I14:J14"/>
    <mergeCell ref="I11:J11"/>
    <mergeCell ref="I5:J6"/>
    <mergeCell ref="I8:J8"/>
    <mergeCell ref="I30:J30"/>
    <mergeCell ref="I29:J29"/>
    <mergeCell ref="I27:J27"/>
    <mergeCell ref="I26:J26"/>
    <mergeCell ref="I25:J25"/>
    <mergeCell ref="I28:J28"/>
    <mergeCell ref="I35:J35"/>
    <mergeCell ref="I34:J34"/>
    <mergeCell ref="I33:J33"/>
    <mergeCell ref="I32:J32"/>
    <mergeCell ref="I31:J31"/>
    <mergeCell ref="I41:J41"/>
    <mergeCell ref="I39:J39"/>
    <mergeCell ref="I38:J38"/>
    <mergeCell ref="I37:J37"/>
    <mergeCell ref="I36:J36"/>
    <mergeCell ref="I24:J24"/>
    <mergeCell ref="I23:J23"/>
    <mergeCell ref="I22:J22"/>
    <mergeCell ref="I21:J21"/>
    <mergeCell ref="I20:J2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728BD-C4B3-4187-894D-A8D92AA8BE23}">
  <dimension ref="C4:Q41"/>
  <sheetViews>
    <sheetView topLeftCell="A4" zoomScale="90" zoomScaleNormal="90" workbookViewId="0">
      <selection activeCell="G32" sqref="G32"/>
    </sheetView>
  </sheetViews>
  <sheetFormatPr defaultRowHeight="15" x14ac:dyDescent="0.25"/>
  <cols>
    <col min="1" max="1" width="9.140625" style="6" customWidth="1"/>
    <col min="2" max="2" width="0.7109375" style="6" customWidth="1"/>
    <col min="3" max="3" width="16.85546875" style="6" customWidth="1"/>
    <col min="4" max="4" width="13.28515625" style="6" bestFit="1" customWidth="1"/>
    <col min="5" max="6" width="10.7109375" style="125" customWidth="1"/>
    <col min="7" max="8" width="10.7109375" style="6" customWidth="1"/>
    <col min="9" max="9" width="9.140625" style="6"/>
    <col min="10" max="10" width="14.140625" style="6" customWidth="1"/>
    <col min="11" max="11" width="45.42578125" style="125" customWidth="1"/>
    <col min="12" max="12" width="13.7109375" style="6" bestFit="1" customWidth="1"/>
    <col min="13" max="16384" width="9.140625" style="6"/>
  </cols>
  <sheetData>
    <row r="4" spans="3:12" ht="15.75" thickBot="1" x14ac:dyDescent="0.3">
      <c r="G4" s="207"/>
      <c r="H4" s="207"/>
    </row>
    <row r="5" spans="3:12" ht="16.5" thickBot="1" x14ac:dyDescent="0.3">
      <c r="C5" s="20"/>
      <c r="D5" s="20"/>
      <c r="E5" s="217" t="s">
        <v>4</v>
      </c>
      <c r="F5" s="218"/>
      <c r="G5" s="197" t="s">
        <v>8</v>
      </c>
      <c r="H5" s="198"/>
      <c r="I5" s="202" t="s">
        <v>7</v>
      </c>
      <c r="J5" s="203"/>
      <c r="K5" s="209" t="s">
        <v>9</v>
      </c>
      <c r="L5" s="211" t="s">
        <v>22</v>
      </c>
    </row>
    <row r="6" spans="3:12" ht="16.5" thickBot="1" x14ac:dyDescent="0.3">
      <c r="C6" s="52" t="s">
        <v>0</v>
      </c>
      <c r="D6" s="52" t="s">
        <v>21</v>
      </c>
      <c r="E6" s="133" t="s">
        <v>2</v>
      </c>
      <c r="F6" s="134" t="s">
        <v>3</v>
      </c>
      <c r="G6" s="21" t="s">
        <v>6</v>
      </c>
      <c r="H6" s="21" t="s">
        <v>5</v>
      </c>
      <c r="I6" s="219"/>
      <c r="J6" s="220"/>
      <c r="K6" s="213"/>
      <c r="L6" s="214"/>
    </row>
    <row r="7" spans="3:12" ht="15.75" customHeight="1" thickBot="1" x14ac:dyDescent="0.3">
      <c r="C7" s="48">
        <v>45261</v>
      </c>
      <c r="D7" s="50"/>
      <c r="E7" s="64"/>
      <c r="F7" s="64"/>
      <c r="G7" s="29"/>
      <c r="H7" s="28"/>
      <c r="I7" s="221"/>
      <c r="J7" s="222"/>
      <c r="K7" s="64"/>
      <c r="L7" s="54"/>
    </row>
    <row r="8" spans="3:12" ht="16.5" thickBot="1" x14ac:dyDescent="0.3">
      <c r="C8" s="48">
        <v>45262</v>
      </c>
      <c r="D8" s="38"/>
      <c r="E8" s="135"/>
      <c r="F8" s="135"/>
      <c r="G8" s="25"/>
      <c r="H8" s="25"/>
      <c r="I8" s="215"/>
      <c r="J8" s="216"/>
      <c r="K8" s="126"/>
      <c r="L8" s="35"/>
    </row>
    <row r="9" spans="3:12" ht="16.5" thickBot="1" x14ac:dyDescent="0.3">
      <c r="C9" s="48">
        <v>45263</v>
      </c>
      <c r="D9" s="66"/>
      <c r="E9" s="26"/>
      <c r="F9" s="26"/>
      <c r="G9" s="26"/>
      <c r="H9" s="26"/>
      <c r="I9" s="223"/>
      <c r="J9" s="224"/>
      <c r="K9" s="126"/>
      <c r="L9" s="30"/>
    </row>
    <row r="10" spans="3:12" ht="16.5" thickBot="1" x14ac:dyDescent="0.3">
      <c r="C10" s="48">
        <v>45264</v>
      </c>
      <c r="D10" s="66"/>
      <c r="E10" s="26"/>
      <c r="F10" s="26"/>
      <c r="G10" s="26"/>
      <c r="H10" s="26"/>
      <c r="I10" s="225"/>
      <c r="J10" s="226"/>
      <c r="K10" s="26"/>
      <c r="L10" s="55"/>
    </row>
    <row r="11" spans="3:12" ht="15.75" customHeight="1" thickBot="1" x14ac:dyDescent="0.3">
      <c r="C11" s="48">
        <v>45265</v>
      </c>
      <c r="D11" s="66"/>
      <c r="E11" s="136"/>
      <c r="F11" s="123"/>
      <c r="G11" s="24"/>
      <c r="H11" s="24"/>
      <c r="I11" s="215"/>
      <c r="J11" s="216"/>
      <c r="K11" s="127"/>
      <c r="L11" s="35"/>
    </row>
    <row r="12" spans="3:12" ht="15.75" customHeight="1" thickBot="1" x14ac:dyDescent="0.3">
      <c r="C12" s="48">
        <v>45266</v>
      </c>
      <c r="D12" s="66"/>
      <c r="E12" s="136"/>
      <c r="F12" s="123"/>
      <c r="G12" s="35"/>
      <c r="H12" s="24"/>
      <c r="I12" s="215"/>
      <c r="J12" s="216"/>
      <c r="K12" s="126"/>
      <c r="L12" s="13"/>
    </row>
    <row r="13" spans="3:12" ht="16.5" thickBot="1" x14ac:dyDescent="0.3">
      <c r="C13" s="48">
        <v>45267</v>
      </c>
      <c r="D13" s="66"/>
      <c r="E13" s="26"/>
      <c r="F13" s="26"/>
      <c r="G13" s="30"/>
      <c r="H13" s="35"/>
      <c r="I13" s="223"/>
      <c r="J13" s="224"/>
      <c r="K13" s="128"/>
      <c r="L13" s="27"/>
    </row>
    <row r="14" spans="3:12" ht="16.5" thickBot="1" x14ac:dyDescent="0.3">
      <c r="C14" s="48">
        <v>45268</v>
      </c>
      <c r="D14" s="66"/>
      <c r="E14" s="137"/>
      <c r="F14" s="126"/>
      <c r="G14" s="35"/>
      <c r="H14" s="30"/>
      <c r="I14" s="227"/>
      <c r="J14" s="228"/>
      <c r="K14" s="127"/>
      <c r="L14" s="35"/>
    </row>
    <row r="15" spans="3:12" ht="16.5" thickBot="1" x14ac:dyDescent="0.3">
      <c r="C15" s="48">
        <v>45269</v>
      </c>
      <c r="D15" s="66"/>
      <c r="E15" s="126"/>
      <c r="F15" s="26"/>
      <c r="G15" s="30"/>
      <c r="H15" s="55"/>
      <c r="I15" s="215"/>
      <c r="J15" s="216"/>
      <c r="K15" s="126"/>
      <c r="L15" s="30"/>
    </row>
    <row r="16" spans="3:12" ht="16.5" thickBot="1" x14ac:dyDescent="0.3">
      <c r="C16" s="48">
        <v>45270</v>
      </c>
      <c r="D16" s="66"/>
      <c r="E16" s="26"/>
      <c r="F16" s="127"/>
      <c r="G16" s="55"/>
      <c r="H16" s="35"/>
      <c r="I16" s="215"/>
      <c r="J16" s="216"/>
      <c r="K16" s="26"/>
      <c r="L16" s="55"/>
    </row>
    <row r="17" spans="3:17" ht="16.5" thickBot="1" x14ac:dyDescent="0.3">
      <c r="C17" s="48">
        <v>45271</v>
      </c>
      <c r="D17" s="66"/>
      <c r="E17" s="127"/>
      <c r="F17" s="126"/>
      <c r="G17" s="35"/>
      <c r="H17" s="13"/>
      <c r="I17" s="215"/>
      <c r="J17" s="216"/>
      <c r="K17" s="127"/>
      <c r="L17" s="35"/>
    </row>
    <row r="18" spans="3:17" ht="16.5" thickBot="1" x14ac:dyDescent="0.3">
      <c r="C18" s="48">
        <v>45272</v>
      </c>
      <c r="D18" s="66"/>
      <c r="E18" s="126"/>
      <c r="F18" s="128"/>
      <c r="G18" s="13"/>
      <c r="H18" s="25"/>
      <c r="I18" s="215"/>
      <c r="J18" s="226"/>
      <c r="K18" s="126"/>
      <c r="L18" s="30"/>
      <c r="M18" s="1"/>
      <c r="N18" s="1"/>
      <c r="O18" s="1"/>
      <c r="P18" s="1"/>
      <c r="Q18" s="1"/>
    </row>
    <row r="19" spans="3:17" ht="16.5" thickBot="1" x14ac:dyDescent="0.3">
      <c r="C19" s="48">
        <v>45273</v>
      </c>
      <c r="D19" s="66"/>
      <c r="E19" s="128"/>
      <c r="F19" s="26"/>
      <c r="G19" s="32"/>
      <c r="H19" s="26"/>
      <c r="I19" s="229"/>
      <c r="J19" s="230"/>
      <c r="K19" s="128"/>
      <c r="L19" s="55"/>
      <c r="M19" s="1"/>
      <c r="N19" s="1"/>
      <c r="O19" s="1"/>
      <c r="P19" s="1"/>
      <c r="Q19" s="1"/>
    </row>
    <row r="20" spans="3:17" ht="16.5" customHeight="1" thickBot="1" x14ac:dyDescent="0.3">
      <c r="C20" s="48">
        <v>45274</v>
      </c>
      <c r="D20" s="66"/>
      <c r="E20" s="127"/>
      <c r="F20" s="127"/>
      <c r="G20" s="25"/>
      <c r="H20" s="25"/>
      <c r="I20" s="215"/>
      <c r="J20" s="216"/>
      <c r="K20" s="129"/>
      <c r="L20" s="35"/>
      <c r="M20" s="1"/>
      <c r="N20" s="1"/>
      <c r="O20" s="1"/>
      <c r="P20" s="1"/>
      <c r="Q20" s="1"/>
    </row>
    <row r="21" spans="3:17" ht="16.5" thickBot="1" x14ac:dyDescent="0.3">
      <c r="C21" s="48">
        <v>45275</v>
      </c>
      <c r="D21" s="66"/>
      <c r="E21" s="126"/>
      <c r="F21" s="26"/>
      <c r="G21" s="32"/>
      <c r="H21" s="26"/>
      <c r="I21" s="227"/>
      <c r="J21" s="228"/>
      <c r="K21" s="126"/>
      <c r="L21" s="13"/>
    </row>
    <row r="22" spans="3:17" ht="16.5" thickBot="1" x14ac:dyDescent="0.3">
      <c r="C22" s="48">
        <v>45276</v>
      </c>
      <c r="D22" s="66"/>
      <c r="E22" s="26"/>
      <c r="F22" s="26"/>
      <c r="G22" s="26"/>
      <c r="H22" s="26"/>
      <c r="I22" s="215"/>
      <c r="J22" s="216"/>
      <c r="K22" s="26"/>
      <c r="L22" s="57"/>
    </row>
    <row r="23" spans="3:17" ht="16.5" thickBot="1" x14ac:dyDescent="0.3">
      <c r="C23" s="48">
        <v>45277</v>
      </c>
      <c r="D23" s="66">
        <v>1</v>
      </c>
      <c r="E23" s="127"/>
      <c r="F23" s="31">
        <v>0</v>
      </c>
      <c r="G23" s="25">
        <v>0</v>
      </c>
      <c r="H23" s="25">
        <v>0</v>
      </c>
      <c r="I23" s="227" t="s">
        <v>102</v>
      </c>
      <c r="J23" s="228"/>
      <c r="K23" s="127" t="s">
        <v>103</v>
      </c>
      <c r="L23" s="57" t="s">
        <v>104</v>
      </c>
    </row>
    <row r="24" spans="3:17" ht="16.5" thickBot="1" x14ac:dyDescent="0.3">
      <c r="C24" s="48">
        <v>45278</v>
      </c>
      <c r="D24" s="66"/>
      <c r="E24" s="126"/>
      <c r="F24" s="31"/>
      <c r="G24" s="25"/>
      <c r="H24" s="25"/>
      <c r="I24" s="215"/>
      <c r="J24" s="216"/>
      <c r="K24" s="126"/>
      <c r="L24" s="57"/>
    </row>
    <row r="25" spans="3:17" ht="15.75" customHeight="1" thickBot="1" x14ac:dyDescent="0.3">
      <c r="C25" s="48">
        <v>45279</v>
      </c>
      <c r="D25" s="66"/>
      <c r="E25" s="128"/>
      <c r="F25" s="127"/>
      <c r="G25" s="25"/>
      <c r="H25" s="25"/>
      <c r="I25" s="227"/>
      <c r="J25" s="228"/>
      <c r="K25" s="26"/>
      <c r="L25" s="56"/>
    </row>
    <row r="26" spans="3:17" ht="15.75" customHeight="1" thickBot="1" x14ac:dyDescent="0.3">
      <c r="C26" s="48">
        <v>45279</v>
      </c>
      <c r="D26" s="122">
        <v>2</v>
      </c>
      <c r="E26" s="128">
        <v>0</v>
      </c>
      <c r="F26" s="127">
        <v>4</v>
      </c>
      <c r="G26" s="25">
        <v>0</v>
      </c>
      <c r="H26" s="25">
        <v>0</v>
      </c>
      <c r="I26" s="215" t="s">
        <v>97</v>
      </c>
      <c r="J26" s="216"/>
      <c r="K26" s="26" t="s">
        <v>99</v>
      </c>
      <c r="L26" s="56"/>
    </row>
    <row r="27" spans="3:17" ht="15.75" customHeight="1" thickBot="1" x14ac:dyDescent="0.3">
      <c r="C27" s="48">
        <v>45280</v>
      </c>
      <c r="D27" s="66"/>
      <c r="E27" s="127"/>
      <c r="F27" s="127"/>
      <c r="G27" s="25"/>
      <c r="H27" s="25"/>
      <c r="I27" s="215"/>
      <c r="J27" s="216"/>
      <c r="K27" s="127"/>
      <c r="L27" s="56"/>
    </row>
    <row r="28" spans="3:17" ht="16.5" thickBot="1" x14ac:dyDescent="0.3">
      <c r="C28" s="48">
        <v>45281</v>
      </c>
      <c r="D28" s="66"/>
      <c r="E28" s="127"/>
      <c r="F28" s="127"/>
      <c r="G28" s="25"/>
      <c r="H28" s="25"/>
      <c r="I28" s="215"/>
      <c r="J28" s="216"/>
      <c r="K28" s="126"/>
      <c r="L28" s="56"/>
    </row>
    <row r="29" spans="3:17" ht="15.75" customHeight="1" thickBot="1" x14ac:dyDescent="0.3">
      <c r="C29" s="48">
        <v>45282</v>
      </c>
      <c r="D29" s="66"/>
      <c r="E29" s="127"/>
      <c r="F29" s="138"/>
      <c r="G29" s="25"/>
      <c r="H29" s="25"/>
      <c r="I29" s="215"/>
      <c r="J29" s="216"/>
      <c r="K29" s="128"/>
      <c r="L29" s="57"/>
    </row>
    <row r="30" spans="3:17" ht="15.75" customHeight="1" thickBot="1" x14ac:dyDescent="0.3">
      <c r="C30" s="48">
        <v>45283</v>
      </c>
      <c r="D30" s="66"/>
      <c r="E30" s="26"/>
      <c r="F30" s="26"/>
      <c r="G30" s="30"/>
      <c r="H30" s="30"/>
      <c r="I30" s="215"/>
      <c r="J30" s="226"/>
      <c r="K30" s="127"/>
      <c r="L30" s="56"/>
    </row>
    <row r="31" spans="3:17" ht="16.5" thickBot="1" x14ac:dyDescent="0.3">
      <c r="C31" s="48">
        <v>45284</v>
      </c>
      <c r="D31" s="66"/>
      <c r="E31" s="127"/>
      <c r="F31" s="138"/>
      <c r="G31" s="25"/>
      <c r="H31" s="25"/>
      <c r="I31" s="235"/>
      <c r="J31" s="236"/>
      <c r="K31" s="130"/>
      <c r="L31" s="27"/>
    </row>
    <row r="32" spans="3:17" ht="16.5" thickBot="1" x14ac:dyDescent="0.3">
      <c r="C32" s="48">
        <v>45285</v>
      </c>
      <c r="D32" s="66">
        <v>2</v>
      </c>
      <c r="E32" s="127">
        <v>0</v>
      </c>
      <c r="F32" s="127">
        <v>0</v>
      </c>
      <c r="G32" s="25">
        <v>0</v>
      </c>
      <c r="H32" s="25">
        <v>0</v>
      </c>
      <c r="I32" s="229" t="s">
        <v>106</v>
      </c>
      <c r="J32" s="230"/>
      <c r="K32" s="130" t="s">
        <v>107</v>
      </c>
      <c r="L32" s="141" t="s">
        <v>104</v>
      </c>
    </row>
    <row r="33" spans="3:12" ht="16.5" thickBot="1" x14ac:dyDescent="0.3">
      <c r="C33" s="48">
        <v>45286</v>
      </c>
      <c r="D33" s="66"/>
      <c r="E33" s="127"/>
      <c r="F33" s="127"/>
      <c r="G33" s="25"/>
      <c r="H33" s="25"/>
      <c r="I33" s="215"/>
      <c r="J33" s="216"/>
      <c r="K33" s="127"/>
      <c r="L33" s="56"/>
    </row>
    <row r="34" spans="3:12" ht="16.5" thickBot="1" x14ac:dyDescent="0.3">
      <c r="C34" s="48">
        <v>45287</v>
      </c>
      <c r="D34" s="38"/>
      <c r="E34" s="26"/>
      <c r="F34" s="26"/>
      <c r="G34" s="26"/>
      <c r="H34" s="26"/>
      <c r="I34" s="225"/>
      <c r="J34" s="226"/>
      <c r="K34" s="26"/>
      <c r="L34" s="56"/>
    </row>
    <row r="35" spans="3:12" ht="16.5" thickBot="1" x14ac:dyDescent="0.3">
      <c r="C35" s="48">
        <v>45288</v>
      </c>
      <c r="D35" s="51"/>
      <c r="E35" s="26"/>
      <c r="F35" s="26"/>
      <c r="G35" s="26"/>
      <c r="H35" s="26"/>
      <c r="I35" s="215"/>
      <c r="J35" s="216"/>
      <c r="K35" s="126"/>
      <c r="L35" s="56"/>
    </row>
    <row r="36" spans="3:12" ht="15.75" customHeight="1" thickBot="1" x14ac:dyDescent="0.3">
      <c r="C36" s="48">
        <v>45289</v>
      </c>
      <c r="D36" s="38"/>
      <c r="E36" s="127"/>
      <c r="F36" s="127"/>
      <c r="G36" s="25"/>
      <c r="H36" s="25"/>
      <c r="I36" s="235"/>
      <c r="J36" s="236"/>
      <c r="K36" s="130"/>
      <c r="L36" s="56"/>
    </row>
    <row r="37" spans="3:12" ht="15.75" customHeight="1" thickBot="1" x14ac:dyDescent="0.3">
      <c r="C37" s="48">
        <v>45290</v>
      </c>
      <c r="D37" s="51"/>
      <c r="E37" s="26"/>
      <c r="F37" s="26"/>
      <c r="G37" s="26"/>
      <c r="H37" s="53"/>
      <c r="I37" s="233"/>
      <c r="J37" s="234"/>
      <c r="K37" s="131"/>
      <c r="L37" s="58"/>
    </row>
    <row r="38" spans="3:12" ht="15.75" customHeight="1" thickBot="1" x14ac:dyDescent="0.3">
      <c r="C38" s="68">
        <v>45291</v>
      </c>
      <c r="D38" s="66"/>
      <c r="E38" s="127"/>
      <c r="F38" s="127"/>
      <c r="G38" s="25"/>
      <c r="H38" s="53"/>
      <c r="I38" s="231"/>
      <c r="J38" s="232"/>
      <c r="K38" s="131"/>
      <c r="L38" s="58"/>
    </row>
    <row r="39" spans="3:12" ht="16.5" thickBot="1" x14ac:dyDescent="0.3">
      <c r="C39" s="49"/>
      <c r="D39" s="18">
        <f>SUM(D7:D37)</f>
        <v>5</v>
      </c>
      <c r="E39" s="139">
        <f>SUM(E7:E37)</f>
        <v>0</v>
      </c>
      <c r="F39" s="140">
        <f>SUM(F7:F37)</f>
        <v>4</v>
      </c>
      <c r="G39" s="18">
        <f>SUM(G7:G37)</f>
        <v>0</v>
      </c>
      <c r="H39" s="18">
        <f>SUM(H7:H37)</f>
        <v>0</v>
      </c>
      <c r="I39" s="17"/>
      <c r="J39" s="17"/>
      <c r="K39" s="132"/>
    </row>
    <row r="40" spans="3:12" x14ac:dyDescent="0.25">
      <c r="C40" s="41"/>
    </row>
    <row r="41" spans="3:12" x14ac:dyDescent="0.25">
      <c r="C41" s="17"/>
    </row>
  </sheetData>
  <mergeCells count="38">
    <mergeCell ref="I38:J38"/>
    <mergeCell ref="I37:J37"/>
    <mergeCell ref="I25:J25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26:J26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K5:K6"/>
    <mergeCell ref="L5:L6"/>
    <mergeCell ref="I12:J12"/>
    <mergeCell ref="G4:H4"/>
    <mergeCell ref="E5:F5"/>
    <mergeCell ref="G5:H5"/>
    <mergeCell ref="I5:J6"/>
    <mergeCell ref="I7:J7"/>
    <mergeCell ref="I8:J8"/>
    <mergeCell ref="I9:J9"/>
    <mergeCell ref="I10:J10"/>
    <mergeCell ref="I11:J1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FC5B6-E7C4-4383-A93D-86F9D02D700D}">
  <dimension ref="B9:I34"/>
  <sheetViews>
    <sheetView zoomScale="90" zoomScaleNormal="90" zoomScaleSheetLayoutView="80" workbookViewId="0">
      <selection activeCell="M20" sqref="M20"/>
    </sheetView>
  </sheetViews>
  <sheetFormatPr defaultColWidth="9.140625" defaultRowHeight="15" x14ac:dyDescent="0.25"/>
  <cols>
    <col min="1" max="16384" width="9.140625" style="59"/>
  </cols>
  <sheetData>
    <row r="9" spans="2:9" ht="15" customHeight="1" x14ac:dyDescent="0.25">
      <c r="B9" s="248" t="s">
        <v>65</v>
      </c>
      <c r="C9" s="248"/>
      <c r="D9" s="248"/>
      <c r="E9" s="248"/>
      <c r="F9" s="248"/>
      <c r="G9" s="248"/>
      <c r="H9" s="248"/>
      <c r="I9" s="248"/>
    </row>
    <row r="10" spans="2:9" ht="15" customHeight="1" x14ac:dyDescent="0.25">
      <c r="B10" s="248"/>
      <c r="C10" s="248"/>
      <c r="D10" s="248"/>
      <c r="E10" s="248"/>
      <c r="F10" s="248"/>
      <c r="G10" s="248"/>
      <c r="H10" s="248"/>
      <c r="I10" s="248"/>
    </row>
    <row r="11" spans="2:9" ht="15" customHeight="1" x14ac:dyDescent="0.25">
      <c r="B11" s="248"/>
      <c r="C11" s="248"/>
      <c r="D11" s="248"/>
      <c r="E11" s="248"/>
      <c r="F11" s="248"/>
      <c r="G11" s="248"/>
      <c r="H11" s="248"/>
      <c r="I11" s="248"/>
    </row>
    <row r="14" spans="2:9" x14ac:dyDescent="0.25">
      <c r="B14" s="60"/>
      <c r="C14" s="238" t="s">
        <v>23</v>
      </c>
      <c r="D14" s="238"/>
      <c r="E14" s="238"/>
      <c r="F14" s="238" t="s">
        <v>18</v>
      </c>
      <c r="G14" s="238"/>
      <c r="H14" s="238" t="s">
        <v>24</v>
      </c>
      <c r="I14" s="238"/>
    </row>
    <row r="15" spans="2:9" ht="11.25" customHeight="1" x14ac:dyDescent="0.25">
      <c r="B15" s="60"/>
      <c r="C15" s="60"/>
      <c r="D15" s="60"/>
      <c r="E15" s="60"/>
      <c r="F15" s="60"/>
      <c r="G15" s="60"/>
      <c r="H15" s="60"/>
      <c r="I15" s="60"/>
    </row>
    <row r="16" spans="2:9" x14ac:dyDescent="0.25">
      <c r="B16" s="245" t="s">
        <v>25</v>
      </c>
      <c r="C16" s="245"/>
      <c r="D16" s="245"/>
      <c r="E16" s="245"/>
      <c r="F16" s="245"/>
      <c r="G16" s="245"/>
      <c r="H16" s="245"/>
      <c r="I16" s="245"/>
    </row>
    <row r="17" spans="2:9" ht="18" customHeight="1" x14ac:dyDescent="0.25">
      <c r="B17" s="61" t="s">
        <v>26</v>
      </c>
      <c r="C17" s="242" t="s">
        <v>28</v>
      </c>
      <c r="D17" s="242"/>
      <c r="E17" s="242"/>
      <c r="F17" s="242">
        <f>COUNTA('Redovni promet'!D6:D35)</f>
        <v>12</v>
      </c>
      <c r="G17" s="242"/>
      <c r="H17" s="242">
        <f>SUM('Redovni promet'!D6:D35)</f>
        <v>2101</v>
      </c>
      <c r="I17" s="242"/>
    </row>
    <row r="18" spans="2:9" ht="18" customHeight="1" x14ac:dyDescent="0.25">
      <c r="B18" s="62"/>
      <c r="C18" s="246"/>
      <c r="D18" s="246"/>
      <c r="E18" s="246"/>
      <c r="F18" s="247">
        <f>SUM(F17:G17)</f>
        <v>12</v>
      </c>
      <c r="G18" s="247"/>
      <c r="H18" s="247">
        <f>SUM(H17:I17)</f>
        <v>2101</v>
      </c>
      <c r="I18" s="247"/>
    </row>
    <row r="19" spans="2:9" ht="12.75" customHeight="1" x14ac:dyDescent="0.25">
      <c r="B19" s="62"/>
      <c r="C19" s="62"/>
      <c r="D19" s="62"/>
      <c r="E19" s="62"/>
      <c r="F19" s="62"/>
      <c r="G19" s="62"/>
      <c r="H19" s="62"/>
      <c r="I19" s="62"/>
    </row>
    <row r="20" spans="2:9" ht="18" customHeight="1" x14ac:dyDescent="0.25">
      <c r="B20" s="245" t="s">
        <v>84</v>
      </c>
      <c r="C20" s="245"/>
      <c r="D20" s="245"/>
      <c r="E20" s="245"/>
      <c r="F20" s="245"/>
      <c r="G20" s="245"/>
      <c r="H20" s="245"/>
      <c r="I20" s="245"/>
    </row>
    <row r="21" spans="2:9" ht="18" customHeight="1" x14ac:dyDescent="0.25">
      <c r="B21" s="61" t="s">
        <v>26</v>
      </c>
      <c r="C21" s="242" t="s">
        <v>27</v>
      </c>
      <c r="D21" s="242"/>
      <c r="E21" s="242"/>
      <c r="F21" s="242">
        <f>COUNTA('Redovni promet'!I6:I35)</f>
        <v>13</v>
      </c>
      <c r="G21" s="242"/>
      <c r="H21" s="242">
        <f>SUM('Redovni promet'!I6:I36)</f>
        <v>2128</v>
      </c>
      <c r="I21" s="242"/>
    </row>
    <row r="22" spans="2:9" ht="18" customHeight="1" x14ac:dyDescent="0.25">
      <c r="B22" s="61" t="s">
        <v>29</v>
      </c>
      <c r="C22" s="242" t="s">
        <v>30</v>
      </c>
      <c r="D22" s="242"/>
      <c r="E22" s="242"/>
      <c r="F22" s="242">
        <f>COUNTA('Redovni promet'!N6:N36)</f>
        <v>15</v>
      </c>
      <c r="G22" s="242"/>
      <c r="H22" s="242">
        <f>SUM('Redovni promet'!N6:N35)</f>
        <v>2361</v>
      </c>
      <c r="I22" s="242"/>
    </row>
    <row r="23" spans="2:9" x14ac:dyDescent="0.25">
      <c r="C23" s="243"/>
      <c r="D23" s="243"/>
      <c r="E23" s="243"/>
      <c r="F23" s="244">
        <f>SUM(F21:G22)</f>
        <v>28</v>
      </c>
      <c r="G23" s="244"/>
      <c r="H23" s="244">
        <f>SUM(H21:I22)</f>
        <v>4489</v>
      </c>
      <c r="I23" s="244"/>
    </row>
    <row r="24" spans="2:9" ht="18" customHeight="1" x14ac:dyDescent="0.25">
      <c r="C24" s="238"/>
      <c r="D24" s="238"/>
      <c r="E24" s="238"/>
      <c r="F24" s="238"/>
      <c r="G24" s="238"/>
      <c r="H24" s="239"/>
      <c r="I24" s="239"/>
    </row>
    <row r="25" spans="2:9" x14ac:dyDescent="0.25">
      <c r="C25" s="240" t="s">
        <v>31</v>
      </c>
      <c r="D25" s="240"/>
      <c r="E25" s="240"/>
      <c r="F25" s="241">
        <f>F18+F23</f>
        <v>40</v>
      </c>
      <c r="G25" s="241"/>
      <c r="H25" s="241">
        <f>H18+H23</f>
        <v>6590</v>
      </c>
      <c r="I25" s="241"/>
    </row>
    <row r="31" spans="2:9" x14ac:dyDescent="0.25">
      <c r="B31" s="237" t="s">
        <v>32</v>
      </c>
      <c r="C31" s="237"/>
      <c r="D31" s="237"/>
    </row>
    <row r="32" spans="2:9" x14ac:dyDescent="0.25">
      <c r="B32" s="63"/>
      <c r="C32" s="63"/>
      <c r="D32" s="63"/>
    </row>
    <row r="33" spans="2:4" x14ac:dyDescent="0.25">
      <c r="B33" s="237"/>
      <c r="C33" s="237"/>
      <c r="D33" s="237"/>
    </row>
    <row r="34" spans="2:4" x14ac:dyDescent="0.25">
      <c r="B34" s="59" t="s">
        <v>33</v>
      </c>
    </row>
  </sheetData>
  <mergeCells count="29">
    <mergeCell ref="B9:I11"/>
    <mergeCell ref="C14:E14"/>
    <mergeCell ref="F14:G14"/>
    <mergeCell ref="H14:I14"/>
    <mergeCell ref="B16:I16"/>
    <mergeCell ref="B20:I20"/>
    <mergeCell ref="C21:E21"/>
    <mergeCell ref="F21:G21"/>
    <mergeCell ref="H21:I21"/>
    <mergeCell ref="C17:E17"/>
    <mergeCell ref="F17:G17"/>
    <mergeCell ref="H17:I17"/>
    <mergeCell ref="C18:E18"/>
    <mergeCell ref="F18:G18"/>
    <mergeCell ref="H18:I18"/>
    <mergeCell ref="C22:E22"/>
    <mergeCell ref="F22:G22"/>
    <mergeCell ref="H22:I22"/>
    <mergeCell ref="C23:E23"/>
    <mergeCell ref="F23:G23"/>
    <mergeCell ref="H23:I23"/>
    <mergeCell ref="B31:D31"/>
    <mergeCell ref="B33:D33"/>
    <mergeCell ref="C24:E24"/>
    <mergeCell ref="F24:G24"/>
    <mergeCell ref="H24:I24"/>
    <mergeCell ref="C25:E25"/>
    <mergeCell ref="F25:G25"/>
    <mergeCell ref="H25:I25"/>
  </mergeCells>
  <pageMargins left="0.7" right="0.35416666666666669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8ECF9-7219-44E8-9401-3D9F58F35CAE}">
  <dimension ref="C4:S14"/>
  <sheetViews>
    <sheetView workbookViewId="0">
      <selection activeCell="C6" sqref="C6:S12"/>
    </sheetView>
  </sheetViews>
  <sheetFormatPr defaultRowHeight="15" x14ac:dyDescent="0.25"/>
  <sheetData>
    <row r="4" spans="3:19" x14ac:dyDescent="0.25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3:19" x14ac:dyDescent="0.25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3:19" x14ac:dyDescent="0.25">
      <c r="C6" s="1"/>
      <c r="D6" s="1"/>
      <c r="E6" s="1"/>
      <c r="F6" s="1"/>
      <c r="G6" s="250" t="s">
        <v>4</v>
      </c>
      <c r="H6" s="250"/>
      <c r="I6" s="250"/>
      <c r="J6" s="250"/>
      <c r="K6" s="250"/>
      <c r="L6" s="250"/>
      <c r="M6" s="47"/>
      <c r="N6" s="250" t="s">
        <v>20</v>
      </c>
      <c r="O6" s="250"/>
      <c r="P6" s="250"/>
      <c r="Q6" s="250"/>
      <c r="R6" s="250"/>
      <c r="S6" s="250"/>
    </row>
    <row r="7" spans="3:19" x14ac:dyDescent="0.25">
      <c r="C7" s="1"/>
      <c r="D7" s="1"/>
      <c r="E7" s="251" t="s">
        <v>18</v>
      </c>
      <c r="F7" s="251"/>
      <c r="G7" s="251" t="s">
        <v>2</v>
      </c>
      <c r="H7" s="251"/>
      <c r="I7" s="251" t="s">
        <v>3</v>
      </c>
      <c r="J7" s="251"/>
      <c r="K7" s="251" t="s">
        <v>19</v>
      </c>
      <c r="L7" s="251"/>
      <c r="M7" s="3"/>
      <c r="N7" s="251" t="s">
        <v>6</v>
      </c>
      <c r="O7" s="251"/>
      <c r="P7" s="251" t="s">
        <v>5</v>
      </c>
      <c r="Q7" s="251"/>
      <c r="R7" s="251" t="s">
        <v>19</v>
      </c>
      <c r="S7" s="251"/>
    </row>
    <row r="8" spans="3:19" x14ac:dyDescent="0.25">
      <c r="C8" s="251" t="s">
        <v>15</v>
      </c>
      <c r="D8" s="251"/>
      <c r="E8" s="249">
        <f>'Redovni promet'!AV12</f>
        <v>60</v>
      </c>
      <c r="F8" s="249"/>
      <c r="G8" s="249">
        <f>'Redovni promet'!AW12</f>
        <v>7354</v>
      </c>
      <c r="H8" s="249"/>
      <c r="I8" s="249">
        <f>'Redovni promet'!AX12</f>
        <v>8063</v>
      </c>
      <c r="J8" s="249"/>
      <c r="K8" s="249">
        <f>SUM(G8:J8)</f>
        <v>15417</v>
      </c>
      <c r="L8" s="249"/>
      <c r="M8" s="3"/>
      <c r="N8" s="251">
        <v>0</v>
      </c>
      <c r="O8" s="251"/>
      <c r="P8" s="251">
        <v>0</v>
      </c>
      <c r="Q8" s="251"/>
      <c r="R8" s="251">
        <v>0</v>
      </c>
      <c r="S8" s="251"/>
    </row>
    <row r="9" spans="3:19" x14ac:dyDescent="0.25">
      <c r="C9" s="251" t="s">
        <v>16</v>
      </c>
      <c r="D9" s="251"/>
      <c r="E9" s="249">
        <f>'Vanredni promet'!D42/2</f>
        <v>14</v>
      </c>
      <c r="F9" s="249"/>
      <c r="G9" s="249">
        <f>'Vanredni promet'!E42</f>
        <v>969</v>
      </c>
      <c r="H9" s="249"/>
      <c r="I9" s="249">
        <f>'Vanredni promet'!F42</f>
        <v>1509</v>
      </c>
      <c r="J9" s="249"/>
      <c r="K9" s="249">
        <f>SUM(G9:J9)</f>
        <v>2478</v>
      </c>
      <c r="L9" s="249"/>
      <c r="M9" s="3"/>
      <c r="N9" s="249">
        <f>'Vanredni promet'!G42</f>
        <v>3.5</v>
      </c>
      <c r="O9" s="249"/>
      <c r="P9" s="249">
        <f>'Vanredni promet'!H42</f>
        <v>2.2000000000000002</v>
      </c>
      <c r="Q9" s="249"/>
      <c r="R9" s="249">
        <f>SUM(N9:Q9)</f>
        <v>5.7</v>
      </c>
      <c r="S9" s="249"/>
    </row>
    <row r="10" spans="3:19" x14ac:dyDescent="0.25">
      <c r="C10" s="251" t="s">
        <v>17</v>
      </c>
      <c r="D10" s="251"/>
      <c r="E10" s="249">
        <f>'Ostala slijetanja'!D39</f>
        <v>5</v>
      </c>
      <c r="F10" s="249"/>
      <c r="G10" s="249">
        <f>'Ostala slijetanja'!E39</f>
        <v>0</v>
      </c>
      <c r="H10" s="249"/>
      <c r="I10" s="249">
        <f>'Ostala slijetanja'!F39</f>
        <v>4</v>
      </c>
      <c r="J10" s="249"/>
      <c r="K10" s="251">
        <f>SUM(G10:J10)</f>
        <v>4</v>
      </c>
      <c r="L10" s="251"/>
      <c r="M10" s="3"/>
      <c r="N10" s="249">
        <f>'Ostala slijetanja'!G39</f>
        <v>0</v>
      </c>
      <c r="O10" s="249"/>
      <c r="P10" s="249">
        <f>'Ostala slijetanja'!H39</f>
        <v>0</v>
      </c>
      <c r="Q10" s="249"/>
      <c r="R10" s="249">
        <f>SUM(N10:Q10)</f>
        <v>0</v>
      </c>
      <c r="S10" s="249"/>
    </row>
    <row r="11" spans="3:19" x14ac:dyDescent="0.25">
      <c r="C11" s="1"/>
      <c r="D11" s="1"/>
      <c r="E11" s="1"/>
      <c r="F11" s="1"/>
      <c r="G11" s="1"/>
      <c r="H11" s="1"/>
      <c r="I11" s="1"/>
      <c r="J11" s="1"/>
      <c r="K11" s="1"/>
      <c r="L11" s="1"/>
      <c r="M11" s="8"/>
      <c r="N11" s="1"/>
      <c r="O11" s="1"/>
      <c r="P11" s="1"/>
      <c r="Q11" s="1"/>
      <c r="R11" s="1"/>
      <c r="S11" s="1"/>
    </row>
    <row r="12" spans="3:19" x14ac:dyDescent="0.25">
      <c r="C12" s="251" t="s">
        <v>13</v>
      </c>
      <c r="D12" s="251"/>
      <c r="E12" s="249">
        <f>SUM(E8:F10)</f>
        <v>79</v>
      </c>
      <c r="F12" s="249"/>
      <c r="G12" s="249">
        <f>SUM(G8:H10)</f>
        <v>8323</v>
      </c>
      <c r="H12" s="249"/>
      <c r="I12" s="249">
        <f>SUM(I8:J10)</f>
        <v>9576</v>
      </c>
      <c r="J12" s="249"/>
      <c r="K12" s="249">
        <f>SUM(K8:L10)</f>
        <v>17899</v>
      </c>
      <c r="L12" s="249"/>
      <c r="M12" s="10"/>
      <c r="N12" s="249">
        <f>SUM(N8:O10)</f>
        <v>3.5</v>
      </c>
      <c r="O12" s="249"/>
      <c r="P12" s="249">
        <f>SUM(P8:Q10)</f>
        <v>2.2000000000000002</v>
      </c>
      <c r="Q12" s="249"/>
      <c r="R12" s="249">
        <f>SUM(R8:S10)</f>
        <v>5.7</v>
      </c>
      <c r="S12" s="249"/>
    </row>
    <row r="13" spans="3:19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3:19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</sheetData>
  <mergeCells count="41">
    <mergeCell ref="C8:D8"/>
    <mergeCell ref="C9:D9"/>
    <mergeCell ref="C10:D10"/>
    <mergeCell ref="K10:L10"/>
    <mergeCell ref="E7:F7"/>
    <mergeCell ref="E8:F8"/>
    <mergeCell ref="E9:F9"/>
    <mergeCell ref="E10:F10"/>
    <mergeCell ref="G7:H7"/>
    <mergeCell ref="G8:H8"/>
    <mergeCell ref="G9:H9"/>
    <mergeCell ref="G10:H10"/>
    <mergeCell ref="I8:J8"/>
    <mergeCell ref="I9:J9"/>
    <mergeCell ref="I10:J10"/>
    <mergeCell ref="K8:L8"/>
    <mergeCell ref="C12:D12"/>
    <mergeCell ref="E12:F12"/>
    <mergeCell ref="G12:H12"/>
    <mergeCell ref="I12:J12"/>
    <mergeCell ref="K12:L12"/>
    <mergeCell ref="K9:L9"/>
    <mergeCell ref="G6:L6"/>
    <mergeCell ref="N6:S6"/>
    <mergeCell ref="N7:O7"/>
    <mergeCell ref="P7:Q7"/>
    <mergeCell ref="R7:S7"/>
    <mergeCell ref="I7:J7"/>
    <mergeCell ref="K7:L7"/>
    <mergeCell ref="N8:O8"/>
    <mergeCell ref="P8:Q8"/>
    <mergeCell ref="R8:S8"/>
    <mergeCell ref="N9:O9"/>
    <mergeCell ref="P9:Q9"/>
    <mergeCell ref="R9:S9"/>
    <mergeCell ref="N10:O10"/>
    <mergeCell ref="P10:Q10"/>
    <mergeCell ref="R10:S10"/>
    <mergeCell ref="N12:O12"/>
    <mergeCell ref="P12:Q12"/>
    <mergeCell ref="R12:S12"/>
  </mergeCells>
  <pageMargins left="0.7" right="0.7" top="0.75" bottom="0.75" header="0.3" footer="0.3"/>
  <ignoredErrors>
    <ignoredError sqref="K10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1038C-6242-4BCA-AC5A-78131FE01437}">
  <dimension ref="B5:O20"/>
  <sheetViews>
    <sheetView zoomScale="90" zoomScaleNormal="90" workbookViewId="0">
      <selection activeCell="O21" sqref="O21"/>
    </sheetView>
  </sheetViews>
  <sheetFormatPr defaultRowHeight="15" x14ac:dyDescent="0.25"/>
  <cols>
    <col min="3" max="3" width="14.140625" customWidth="1"/>
    <col min="4" max="4" width="10.5703125" bestFit="1" customWidth="1"/>
    <col min="5" max="5" width="10.28515625" bestFit="1" customWidth="1"/>
    <col min="6" max="6" width="10.42578125" bestFit="1" customWidth="1"/>
    <col min="11" max="11" width="12.85546875" customWidth="1"/>
    <col min="12" max="12" width="10.5703125" bestFit="1" customWidth="1"/>
    <col min="13" max="13" width="10.42578125" bestFit="1" customWidth="1"/>
  </cols>
  <sheetData>
    <row r="5" spans="2:15" x14ac:dyDescent="0.25">
      <c r="C5" s="252" t="s">
        <v>110</v>
      </c>
      <c r="D5" s="252"/>
      <c r="E5" s="252"/>
      <c r="F5" s="252"/>
      <c r="K5" s="252" t="s">
        <v>111</v>
      </c>
      <c r="L5" s="252"/>
      <c r="M5" s="252"/>
      <c r="N5" s="252"/>
    </row>
    <row r="6" spans="2:15" x14ac:dyDescent="0.25">
      <c r="B6" s="142"/>
      <c r="C6" s="143"/>
      <c r="D6" s="143"/>
      <c r="E6" s="143" t="s">
        <v>4</v>
      </c>
      <c r="F6" s="143"/>
      <c r="G6" s="144"/>
      <c r="J6" s="142"/>
      <c r="K6" s="143"/>
      <c r="L6" s="143"/>
      <c r="M6" s="143" t="s">
        <v>4</v>
      </c>
      <c r="N6" s="143"/>
      <c r="O6" s="144"/>
    </row>
    <row r="7" spans="2:15" x14ac:dyDescent="0.25">
      <c r="B7" s="145"/>
      <c r="C7" s="146"/>
      <c r="D7" s="151" t="s">
        <v>18</v>
      </c>
      <c r="E7" s="151" t="s">
        <v>2</v>
      </c>
      <c r="F7" s="151" t="s">
        <v>3</v>
      </c>
      <c r="G7" s="152" t="s">
        <v>19</v>
      </c>
      <c r="J7" s="145"/>
      <c r="K7" s="146"/>
      <c r="L7" s="151" t="s">
        <v>18</v>
      </c>
      <c r="M7" s="151" t="s">
        <v>2</v>
      </c>
      <c r="N7" s="151" t="s">
        <v>3</v>
      </c>
      <c r="O7" s="152" t="s">
        <v>19</v>
      </c>
    </row>
    <row r="8" spans="2:15" x14ac:dyDescent="0.25">
      <c r="B8" s="147" t="s">
        <v>15</v>
      </c>
      <c r="C8" s="146"/>
      <c r="D8" s="156">
        <v>60</v>
      </c>
      <c r="E8" s="156">
        <v>7354</v>
      </c>
      <c r="F8" s="156">
        <v>8063</v>
      </c>
      <c r="G8" s="157">
        <v>15417</v>
      </c>
      <c r="J8" s="147" t="s">
        <v>15</v>
      </c>
      <c r="K8" s="146"/>
      <c r="L8" s="156">
        <v>1795</v>
      </c>
      <c r="M8" s="167">
        <v>290359</v>
      </c>
      <c r="N8" s="167">
        <v>275119</v>
      </c>
      <c r="O8" s="157">
        <v>565478</v>
      </c>
    </row>
    <row r="9" spans="2:15" x14ac:dyDescent="0.25">
      <c r="B9" s="145" t="s">
        <v>25</v>
      </c>
      <c r="C9" s="146"/>
      <c r="D9" s="151">
        <v>12</v>
      </c>
      <c r="E9" s="151">
        <v>2130</v>
      </c>
      <c r="F9" s="151">
        <v>2303</v>
      </c>
      <c r="G9" s="152">
        <v>4433</v>
      </c>
      <c r="J9" s="145" t="s">
        <v>25</v>
      </c>
      <c r="K9" s="146"/>
      <c r="L9" s="151">
        <v>1539</v>
      </c>
      <c r="M9" s="151">
        <v>256380</v>
      </c>
      <c r="N9" s="151">
        <v>247009</v>
      </c>
      <c r="O9" s="152">
        <v>503389</v>
      </c>
    </row>
    <row r="10" spans="2:15" x14ac:dyDescent="0.25">
      <c r="B10" s="145" t="s">
        <v>92</v>
      </c>
      <c r="C10" s="146"/>
      <c r="D10" s="151">
        <v>28</v>
      </c>
      <c r="E10" s="151">
        <v>4577</v>
      </c>
      <c r="F10" s="151">
        <v>4446</v>
      </c>
      <c r="G10" s="152">
        <v>9023</v>
      </c>
      <c r="J10" s="145" t="s">
        <v>92</v>
      </c>
      <c r="K10" s="146"/>
      <c r="L10" s="151">
        <v>87</v>
      </c>
      <c r="M10" s="151">
        <v>15235</v>
      </c>
      <c r="N10" s="151">
        <v>10095</v>
      </c>
      <c r="O10" s="152">
        <v>25330</v>
      </c>
    </row>
    <row r="11" spans="2:15" x14ac:dyDescent="0.25">
      <c r="B11" s="145" t="s">
        <v>93</v>
      </c>
      <c r="C11" s="146"/>
      <c r="D11" s="151">
        <v>20</v>
      </c>
      <c r="E11" s="151">
        <v>647</v>
      </c>
      <c r="F11" s="151">
        <v>1314</v>
      </c>
      <c r="G11" s="152">
        <v>1961</v>
      </c>
      <c r="J11" s="145" t="s">
        <v>93</v>
      </c>
      <c r="K11" s="146"/>
      <c r="L11" s="151">
        <v>20</v>
      </c>
      <c r="M11" s="151">
        <v>647</v>
      </c>
      <c r="N11" s="151">
        <v>1314</v>
      </c>
      <c r="O11" s="152">
        <v>1961</v>
      </c>
    </row>
    <row r="12" spans="2:15" x14ac:dyDescent="0.25">
      <c r="B12" s="147" t="s">
        <v>16</v>
      </c>
      <c r="C12" s="146"/>
      <c r="D12" s="156">
        <v>14</v>
      </c>
      <c r="E12" s="156">
        <v>969</v>
      </c>
      <c r="F12" s="156">
        <v>1509</v>
      </c>
      <c r="G12" s="157">
        <v>2478</v>
      </c>
      <c r="J12" s="155" t="s">
        <v>112</v>
      </c>
      <c r="K12" s="146"/>
      <c r="L12" s="150">
        <v>149</v>
      </c>
      <c r="M12" s="151">
        <v>18097</v>
      </c>
      <c r="N12" s="151">
        <v>16701</v>
      </c>
      <c r="O12" s="152">
        <v>34798</v>
      </c>
    </row>
    <row r="13" spans="2:15" x14ac:dyDescent="0.25">
      <c r="B13" s="147" t="s">
        <v>17</v>
      </c>
      <c r="C13" s="146"/>
      <c r="D13" s="156">
        <v>5</v>
      </c>
      <c r="E13" s="156">
        <v>0</v>
      </c>
      <c r="F13" s="156">
        <v>4</v>
      </c>
      <c r="G13" s="157">
        <v>4</v>
      </c>
      <c r="J13" s="147" t="s">
        <v>16</v>
      </c>
      <c r="K13" s="146"/>
      <c r="L13" s="156">
        <v>120</v>
      </c>
      <c r="M13" s="156">
        <v>7496</v>
      </c>
      <c r="N13" s="156">
        <v>9373</v>
      </c>
      <c r="O13" s="157">
        <v>16869</v>
      </c>
    </row>
    <row r="14" spans="2:15" x14ac:dyDescent="0.25">
      <c r="B14" s="145"/>
      <c r="C14" s="146"/>
      <c r="D14" s="151"/>
      <c r="E14" s="151"/>
      <c r="F14" s="151"/>
      <c r="G14" s="152"/>
      <c r="J14" s="147" t="s">
        <v>17</v>
      </c>
      <c r="K14" s="146"/>
      <c r="L14" s="156">
        <v>89</v>
      </c>
      <c r="M14" s="156">
        <v>16</v>
      </c>
      <c r="N14" s="156">
        <v>435</v>
      </c>
      <c r="O14" s="157">
        <v>451</v>
      </c>
    </row>
    <row r="15" spans="2:15" x14ac:dyDescent="0.25">
      <c r="B15" s="158" t="s">
        <v>13</v>
      </c>
      <c r="C15" s="159"/>
      <c r="D15" s="160">
        <v>79</v>
      </c>
      <c r="E15" s="160">
        <v>8323</v>
      </c>
      <c r="F15" s="160">
        <v>9576</v>
      </c>
      <c r="G15" s="161">
        <v>17899</v>
      </c>
      <c r="J15" s="145"/>
      <c r="K15" s="146"/>
      <c r="L15" s="151"/>
      <c r="M15" s="151"/>
      <c r="N15" s="151"/>
      <c r="O15" s="152"/>
    </row>
    <row r="16" spans="2:15" x14ac:dyDescent="0.25">
      <c r="J16" s="148" t="s">
        <v>13</v>
      </c>
      <c r="K16" s="149"/>
      <c r="L16" s="160">
        <v>2004</v>
      </c>
      <c r="M16" s="160">
        <v>297871</v>
      </c>
      <c r="N16" s="160">
        <v>284927</v>
      </c>
      <c r="O16" s="161">
        <v>582798</v>
      </c>
    </row>
    <row r="17" spans="4:15" x14ac:dyDescent="0.25">
      <c r="D17" s="162"/>
      <c r="E17" s="163" t="s">
        <v>20</v>
      </c>
      <c r="F17" s="164"/>
      <c r="G17" s="146"/>
    </row>
    <row r="18" spans="4:15" x14ac:dyDescent="0.25">
      <c r="D18" s="165" t="s">
        <v>6</v>
      </c>
      <c r="E18" s="151" t="s">
        <v>5</v>
      </c>
      <c r="F18" s="152" t="s">
        <v>19</v>
      </c>
      <c r="G18" s="146"/>
      <c r="K18" s="151"/>
      <c r="L18" s="162"/>
      <c r="M18" s="163" t="s">
        <v>20</v>
      </c>
      <c r="N18" s="164"/>
      <c r="O18" s="151"/>
    </row>
    <row r="19" spans="4:15" x14ac:dyDescent="0.25">
      <c r="D19" s="166">
        <v>3.5</v>
      </c>
      <c r="E19" s="153">
        <v>2.2000000000000002</v>
      </c>
      <c r="F19" s="154">
        <v>5.7</v>
      </c>
      <c r="G19" s="146"/>
      <c r="K19" s="151"/>
      <c r="L19" s="165" t="s">
        <v>6</v>
      </c>
      <c r="M19" s="151" t="s">
        <v>5</v>
      </c>
      <c r="N19" s="152" t="s">
        <v>19</v>
      </c>
      <c r="O19" s="151"/>
    </row>
    <row r="20" spans="4:15" x14ac:dyDescent="0.25">
      <c r="K20" s="151"/>
      <c r="L20" s="166">
        <v>3.5</v>
      </c>
      <c r="M20" s="153">
        <v>11.4</v>
      </c>
      <c r="N20" s="154">
        <v>14.9</v>
      </c>
      <c r="O20" s="151"/>
    </row>
  </sheetData>
  <mergeCells count="2">
    <mergeCell ref="K5:N5"/>
    <mergeCell ref="C5:F5"/>
  </mergeCells>
  <pageMargins left="0.7" right="0.7" top="0.75" bottom="0.75" header="0.3" footer="0.3"/>
  <pageSetup paperSize="9" orientation="portrait" verticalDpi="0" r:id="rId1"/>
  <ignoredErrors>
    <ignoredError sqref="K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Redovni promet</vt:lpstr>
      <vt:lpstr>Vanredni promet</vt:lpstr>
      <vt:lpstr>Ostala slijetanja</vt:lpstr>
      <vt:lpstr>Izvještaj za fakturisanje</vt:lpstr>
      <vt:lpstr>UKUPNO</vt:lpstr>
      <vt:lpstr>Sheet1</vt:lpstr>
    </vt:vector>
  </TitlesOfParts>
  <Company>Bajric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Semir</dc:creator>
  <cp:lastModifiedBy>OPC-TZL</cp:lastModifiedBy>
  <cp:lastPrinted>2023-12-17T09:55:08Z</cp:lastPrinted>
  <dcterms:created xsi:type="dcterms:W3CDTF">2017-01-18T09:15:02Z</dcterms:created>
  <dcterms:modified xsi:type="dcterms:W3CDTF">2024-01-03T07:41:38Z</dcterms:modified>
</cp:coreProperties>
</file>