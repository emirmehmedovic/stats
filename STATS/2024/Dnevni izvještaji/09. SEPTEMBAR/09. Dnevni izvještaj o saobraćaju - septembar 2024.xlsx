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94AE974-0F6D-4FF2-9B82-D61A6A5A962E}" xr6:coauthVersionLast="37" xr6:coauthVersionMax="37" xr10:uidLastSave="{00000000-0000-0000-0000-000000000000}"/>
  <bookViews>
    <workbookView xWindow="0" yWindow="0" windowWidth="22260" windowHeight="12645" firstSheet="5" activeTab="18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8" l="1"/>
  <c r="I3" i="8"/>
</calcChain>
</file>

<file path=xl/sharedStrings.xml><?xml version="1.0" encoding="utf-8"?>
<sst xmlns="http://schemas.openxmlformats.org/spreadsheetml/2006/main" count="1517" uniqueCount="294">
  <si>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</si>
  <si>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</si>
  <si>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</si>
  <si>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</si>
  <si>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</si>
  <si>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</si>
  <si>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</si>
  <si>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</si>
  <si>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</si>
  <si>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</si>
  <si>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</si>
  <si>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</si>
  <si>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</si>
  <si>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</si>
  <si>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</si>
  <si>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</si>
  <si>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</si>
  <si>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</si>
  <si>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</si>
  <si>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</si>
  <si>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</si>
  <si>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 MALTA LTD</t>
  </si>
  <si>
    <t>FMM-TZL-FMM</t>
  </si>
  <si>
    <t>A320</t>
  </si>
  <si>
    <t>SCHEDULED</t>
  </si>
  <si>
    <t>W44280</t>
  </si>
  <si>
    <t>W44279</t>
  </si>
  <si>
    <t>WIZZAIR HUNGARY LTD</t>
  </si>
  <si>
    <t>MLH-TZL-MLH</t>
  </si>
  <si>
    <t>W64294</t>
  </si>
  <si>
    <t>W64293</t>
  </si>
  <si>
    <t>DTM-TZL-DTM</t>
  </si>
  <si>
    <t>W44298</t>
  </si>
  <si>
    <t>W44297</t>
  </si>
  <si>
    <t>9H-WBB</t>
  </si>
  <si>
    <t>9H-WZU</t>
  </si>
  <si>
    <t>148+2 INF</t>
  </si>
  <si>
    <t>HA-LWV</t>
  </si>
  <si>
    <t>182+2 INF</t>
  </si>
  <si>
    <t>147+5 INF</t>
  </si>
  <si>
    <t>178+4 INF</t>
  </si>
  <si>
    <t>167+3 IN</t>
  </si>
  <si>
    <t>173+6 INF</t>
  </si>
  <si>
    <t>FREEBIRD AIRLINES</t>
  </si>
  <si>
    <t>AYT-TZL-AYT</t>
  </si>
  <si>
    <t>TC-FHG</t>
  </si>
  <si>
    <t>CHARTER</t>
  </si>
  <si>
    <t>FH821</t>
  </si>
  <si>
    <t>FH822</t>
  </si>
  <si>
    <t>9H-WDA</t>
  </si>
  <si>
    <t>HA-LWM</t>
  </si>
  <si>
    <t>152+2 INF</t>
  </si>
  <si>
    <t>W64279</t>
  </si>
  <si>
    <t>W64280</t>
  </si>
  <si>
    <t>180+11 INF</t>
  </si>
  <si>
    <t>60+1 INF</t>
  </si>
  <si>
    <t>168+6 INF</t>
  </si>
  <si>
    <t>59+3 INF</t>
  </si>
  <si>
    <t>173+5 INF</t>
  </si>
  <si>
    <t>HA-LWU</t>
  </si>
  <si>
    <t>91+3INF</t>
  </si>
  <si>
    <t>174+4 INF</t>
  </si>
  <si>
    <t>9H-WBV</t>
  </si>
  <si>
    <t>171+0 INF</t>
  </si>
  <si>
    <t>175+6 INF</t>
  </si>
  <si>
    <t>ZAVOD ZA ZAVARIVANJE</t>
  </si>
  <si>
    <t>SA342J</t>
  </si>
  <si>
    <t>YUHES</t>
  </si>
  <si>
    <t>TC-FHM</t>
  </si>
  <si>
    <t>145+5 INF</t>
  </si>
  <si>
    <t>27+0 INF</t>
  </si>
  <si>
    <t>HELIKOPTER</t>
  </si>
  <si>
    <t>YU-HES</t>
  </si>
  <si>
    <t>LYZP-TZL-JAHORINA</t>
  </si>
  <si>
    <t>JAHORINA-TZL-LYZP</t>
  </si>
  <si>
    <t>-</t>
  </si>
  <si>
    <t>TC-FHP</t>
  </si>
  <si>
    <t>HA-LYG</t>
  </si>
  <si>
    <t>161+5 INF</t>
  </si>
  <si>
    <t>154+6 INF</t>
  </si>
  <si>
    <t>164+3 INF</t>
  </si>
  <si>
    <t>9H-WZT</t>
  </si>
  <si>
    <t>177+0 INF</t>
  </si>
  <si>
    <t>174+6 INF</t>
  </si>
  <si>
    <t>170+3 INF</t>
  </si>
  <si>
    <t>163+1 INF</t>
  </si>
  <si>
    <t>179+4 INF</t>
  </si>
  <si>
    <t>PEGASUS AIRLINES</t>
  </si>
  <si>
    <t>SAW-TZL-SAW</t>
  </si>
  <si>
    <t>PC250</t>
  </si>
  <si>
    <t>PC251</t>
  </si>
  <si>
    <t>TAILWIND AIRLINES</t>
  </si>
  <si>
    <t>B737</t>
  </si>
  <si>
    <t>TWI171F</t>
  </si>
  <si>
    <t>TWI172</t>
  </si>
  <si>
    <t>HALWR</t>
  </si>
  <si>
    <t>TC-RDJ</t>
  </si>
  <si>
    <t>195+4 INF</t>
  </si>
  <si>
    <t>166+3 INF</t>
  </si>
  <si>
    <t>172+3 INF</t>
  </si>
  <si>
    <t>IBRAHIM TOPIĆ</t>
  </si>
  <si>
    <t>LQBI-TZL-KVO</t>
  </si>
  <si>
    <t>MS893E</t>
  </si>
  <si>
    <t>E7-ABS</t>
  </si>
  <si>
    <t>GA</t>
  </si>
  <si>
    <t>172+7 INF</t>
  </si>
  <si>
    <t>EUFOR</t>
  </si>
  <si>
    <t>GLAMOC-TZL-BUTMIR</t>
  </si>
  <si>
    <t>HAWK01</t>
  </si>
  <si>
    <t xml:space="preserve">MILITARY </t>
  </si>
  <si>
    <t>69+4 INF</t>
  </si>
  <si>
    <t>117+5 INF</t>
  </si>
  <si>
    <t>TCTLA</t>
  </si>
  <si>
    <t>EC45</t>
  </si>
  <si>
    <t>HA-LWC</t>
  </si>
  <si>
    <t>166+5 INF</t>
  </si>
  <si>
    <t>W64298</t>
  </si>
  <si>
    <t>W64297</t>
  </si>
  <si>
    <t>178+2 INF</t>
  </si>
  <si>
    <t>BUTMIR-TZL-BUTMIR</t>
  </si>
  <si>
    <t>MI-17</t>
  </si>
  <si>
    <t>RUBIK 72</t>
  </si>
  <si>
    <t>UŽICE-TZL-LQBI</t>
  </si>
  <si>
    <t>E7ABQ</t>
  </si>
  <si>
    <t>E7-ABQ</t>
  </si>
  <si>
    <t>9H-WBO</t>
  </si>
  <si>
    <t>HA-LPL</t>
  </si>
  <si>
    <t>9H-WZS</t>
  </si>
  <si>
    <t>NOVELICO LTD</t>
  </si>
  <si>
    <t>PFO-TZL-QEJ</t>
  </si>
  <si>
    <t>TBM700</t>
  </si>
  <si>
    <t>T7-LCNH</t>
  </si>
  <si>
    <t>NONSCHEDULED</t>
  </si>
  <si>
    <t>T7LCNH</t>
  </si>
  <si>
    <t>116+2 INF</t>
  </si>
  <si>
    <t>117+2 INF</t>
  </si>
  <si>
    <t>CREW</t>
  </si>
  <si>
    <t>173+3 INF</t>
  </si>
  <si>
    <t>168+7 INF</t>
  </si>
  <si>
    <t>DTM-TZL</t>
  </si>
  <si>
    <t>TZL-CLJ</t>
  </si>
  <si>
    <t>FERRY</t>
  </si>
  <si>
    <t>W6804</t>
  </si>
  <si>
    <t>9H-WBA</t>
  </si>
  <si>
    <t>52+0 INF</t>
  </si>
  <si>
    <t>9H-WZQ</t>
  </si>
  <si>
    <t>157+9 INF</t>
  </si>
  <si>
    <t>180+6 INF</t>
  </si>
  <si>
    <t>82+3 INF</t>
  </si>
  <si>
    <t>177+2 INF</t>
  </si>
  <si>
    <t>180+5 INF</t>
  </si>
  <si>
    <t>81+3 INF</t>
  </si>
  <si>
    <t>171+5 INF</t>
  </si>
  <si>
    <t>180+1 INF</t>
  </si>
  <si>
    <t>MUJO MUSIC</t>
  </si>
  <si>
    <t>LYVJ-TZL-LQCG</t>
  </si>
  <si>
    <t>PIONEER 400</t>
  </si>
  <si>
    <t>YU-KES</t>
  </si>
  <si>
    <t>PRIVATNI LET</t>
  </si>
  <si>
    <t>LQCG-TZL-LYVJ</t>
  </si>
  <si>
    <t>9HWZV</t>
  </si>
  <si>
    <t>HALWE</t>
  </si>
  <si>
    <t>176+7 INF</t>
  </si>
  <si>
    <t>174+3 INF</t>
  </si>
  <si>
    <t>161+4 INF</t>
  </si>
  <si>
    <t>165+4 INF</t>
  </si>
  <si>
    <t>175+1 INF</t>
  </si>
  <si>
    <t>9HWZT</t>
  </si>
  <si>
    <t>180+3 INF</t>
  </si>
  <si>
    <t>Novelico Ltd.</t>
  </si>
  <si>
    <t>TBM9600</t>
  </si>
  <si>
    <t>NON SCHEDULED</t>
  </si>
  <si>
    <t>QEJ-TZL-PFO</t>
  </si>
  <si>
    <t>TC-RBI</t>
  </si>
  <si>
    <t>TC-TLA</t>
  </si>
  <si>
    <t>A321</t>
  </si>
  <si>
    <t>190+3 INF</t>
  </si>
  <si>
    <t>144+6 INF</t>
  </si>
  <si>
    <t>166+1 INF</t>
  </si>
  <si>
    <t>170+8 INF</t>
  </si>
  <si>
    <t>122+5 INF</t>
  </si>
  <si>
    <t>3+1 INF</t>
  </si>
  <si>
    <t>HA-LWQ</t>
  </si>
  <si>
    <t>173+1 INF</t>
  </si>
  <si>
    <t>177+4 INF</t>
  </si>
  <si>
    <t>TZL-DTM-TZL</t>
  </si>
  <si>
    <t>128+5 INF</t>
  </si>
  <si>
    <t>159+1 INF</t>
  </si>
  <si>
    <t>168+2 INF</t>
  </si>
  <si>
    <t>9H-WZW</t>
  </si>
  <si>
    <t>179+6 INF</t>
  </si>
  <si>
    <t>185+7 INF</t>
  </si>
  <si>
    <t>TC-FHL</t>
  </si>
  <si>
    <t>175+2 INF</t>
  </si>
  <si>
    <t>67+2 INF</t>
  </si>
  <si>
    <t>167+5 INF</t>
  </si>
  <si>
    <t>87+2 INF</t>
  </si>
  <si>
    <t>157+2 INF</t>
  </si>
  <si>
    <t>9H-WZV</t>
  </si>
  <si>
    <t>119+2 INF</t>
  </si>
  <si>
    <t>176+3 INF</t>
  </si>
  <si>
    <t>169+4 INF</t>
  </si>
  <si>
    <t>SMATSA LLC</t>
  </si>
  <si>
    <t>SJJ-TZL</t>
  </si>
  <si>
    <t>B350</t>
  </si>
  <si>
    <t>YU-BTC</t>
  </si>
  <si>
    <t>TEHNICAL</t>
  </si>
  <si>
    <t>ROP</t>
  </si>
  <si>
    <t>TZL-SJJ</t>
  </si>
  <si>
    <t>179+0 INF</t>
  </si>
  <si>
    <t>TC-FHC</t>
  </si>
  <si>
    <t>HA-LWE</t>
  </si>
  <si>
    <t>AERO-DIENST GMBH</t>
  </si>
  <si>
    <t>NUE-TZL-LJU</t>
  </si>
  <si>
    <t>D328</t>
  </si>
  <si>
    <t>DB-ADA</t>
  </si>
  <si>
    <t>MEDEVAC</t>
  </si>
  <si>
    <t>ADN78D</t>
  </si>
  <si>
    <t>TZL-BEG</t>
  </si>
  <si>
    <t>YUBTC</t>
  </si>
  <si>
    <t>STR-TZL</t>
  </si>
  <si>
    <t>TZL-FMM</t>
  </si>
  <si>
    <t>FERRY IN</t>
  </si>
  <si>
    <t>CNL</t>
  </si>
  <si>
    <t>W4803</t>
  </si>
  <si>
    <t>AYT-TZL-OTP</t>
  </si>
  <si>
    <t>172+3INF</t>
  </si>
  <si>
    <t>172+0INF</t>
  </si>
  <si>
    <t>179+2 INF</t>
  </si>
  <si>
    <t>HA-LWN</t>
  </si>
  <si>
    <t>TC-RBU</t>
  </si>
  <si>
    <t>159+6 INF</t>
  </si>
  <si>
    <t>168+8 INF</t>
  </si>
  <si>
    <t>104+3 INF</t>
  </si>
  <si>
    <t>172+1 INF</t>
  </si>
  <si>
    <t>171+2 INF</t>
  </si>
  <si>
    <t>9H-WDD</t>
  </si>
  <si>
    <t>131+0 INF</t>
  </si>
  <si>
    <t>SWISS AIR AMBULANCE</t>
  </si>
  <si>
    <t>CL650</t>
  </si>
  <si>
    <t>HB-JWA</t>
  </si>
  <si>
    <t>SAZ52</t>
  </si>
  <si>
    <t>SAZ53</t>
  </si>
  <si>
    <t>CFU-TZL-ZRH</t>
  </si>
  <si>
    <t>167+4 INF</t>
  </si>
  <si>
    <t>174+2 INF</t>
  </si>
  <si>
    <t>174+5 INF</t>
  </si>
  <si>
    <t>TC-FHF</t>
  </si>
  <si>
    <t>HA-LWZ</t>
  </si>
  <si>
    <t>113+6 INF</t>
  </si>
  <si>
    <t>AYT-TZL-IST</t>
  </si>
  <si>
    <t>164+2 INF</t>
  </si>
  <si>
    <t>BNX-TZL</t>
  </si>
  <si>
    <t>N803SR</t>
  </si>
  <si>
    <t>GEN.PVT.</t>
  </si>
  <si>
    <t>DAVID CAMPBELL</t>
  </si>
  <si>
    <t>CIRRUS SR22</t>
  </si>
  <si>
    <t>FLY NAS</t>
  </si>
  <si>
    <t>JED-TZL-SJJ</t>
  </si>
  <si>
    <t>HZ-NS66</t>
  </si>
  <si>
    <t>KN342</t>
  </si>
  <si>
    <t>145+6INF</t>
  </si>
  <si>
    <t>158+5INF</t>
  </si>
  <si>
    <t>177+5 INF</t>
  </si>
  <si>
    <t>AERO KLUB FENIX</t>
  </si>
  <si>
    <t>LQCG-TZL-TIV</t>
  </si>
  <si>
    <t>C172F</t>
  </si>
  <si>
    <t>E7-CAR</t>
  </si>
  <si>
    <t>E7CAR</t>
  </si>
  <si>
    <t>TZL-PRN</t>
  </si>
  <si>
    <t>9H-WBP</t>
  </si>
  <si>
    <t>HA-LYL</t>
  </si>
  <si>
    <t>E7SAF</t>
  </si>
  <si>
    <t>E7-SAF</t>
  </si>
  <si>
    <t>C172P</t>
  </si>
  <si>
    <t>LQCG-TZL</t>
  </si>
  <si>
    <t>167+2 INF</t>
  </si>
  <si>
    <t>180+4 INF</t>
  </si>
  <si>
    <t>164+5 INF</t>
  </si>
  <si>
    <t>TZL-LQCG</t>
  </si>
  <si>
    <t>GEN.AVI</t>
  </si>
  <si>
    <t>TC-RDK</t>
  </si>
  <si>
    <t>9H-WBT</t>
  </si>
  <si>
    <t>235+2 INF</t>
  </si>
  <si>
    <t>142+3 INF</t>
  </si>
  <si>
    <t>174+7 INF</t>
  </si>
  <si>
    <t>159+0 INF</t>
  </si>
  <si>
    <t>179+5 INF</t>
  </si>
  <si>
    <t>9H-WBQ</t>
  </si>
  <si>
    <t>9H-WDC</t>
  </si>
  <si>
    <t>166+4 INF</t>
  </si>
  <si>
    <t>171+3 INF</t>
  </si>
  <si>
    <t>C172 F</t>
  </si>
  <si>
    <t>TIV-TZL-LQCG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</si>
</sst>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b/>
      <sz val="10"/>
      <name val="Garamond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6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/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workbookViewId="0">
      <selection activeCell="X10" sqref="X10"/>
    </sheetView>
  </sheetViews>
  <sheetFormatPr defaultRowHeight="15" x14ac:dyDescent="0.25"/>
  <cols>
    <col min="1" max="1" width="11.5703125" customWidth="1"/>
    <col min="2" max="2" width="22.5703125" customWidth="1"/>
    <col min="3" max="3" width="16.140625" customWidth="1"/>
    <col min="5" max="5" width="12.7109375" customWidth="1"/>
    <col min="6" max="6" width="20.28515625" customWidth="1"/>
    <col min="7" max="7" width="9.42578125" bestFit="1" customWidth="1"/>
    <col min="10" max="13" width="9.42578125" bestFit="1" customWidth="1"/>
    <col min="14" max="14" width="13.42578125" customWidth="1"/>
    <col min="15" max="15" width="14.5703125" customWidth="1"/>
    <col min="16" max="21" width="9.425781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/>
      <c r="B2" s="1"/>
      <c r="C2" s="1"/>
      <c r="D2" s="2"/>
      <c r="E2" s="1"/>
      <c r="F2" s="2"/>
      <c r="G2" s="4"/>
      <c r="H2" s="1"/>
      <c r="I2" s="1"/>
      <c r="J2" s="5"/>
      <c r="K2" s="6"/>
      <c r="L2" s="5"/>
      <c r="M2" s="6"/>
      <c r="N2" s="2"/>
      <c r="O2" s="2"/>
      <c r="P2" s="2"/>
      <c r="Q2" s="2"/>
      <c r="R2" s="2"/>
      <c r="S2" s="2"/>
      <c r="T2" s="2"/>
      <c r="U2" s="2"/>
    </row>
    <row r="3" spans="1:21" x14ac:dyDescent="0.25">
      <c r="A3" s="3"/>
      <c r="B3" s="1"/>
      <c r="C3" s="1"/>
      <c r="D3" s="7"/>
      <c r="E3" s="7"/>
      <c r="F3" s="7"/>
      <c r="G3" s="4"/>
      <c r="H3" s="7"/>
      <c r="I3" s="7"/>
      <c r="J3" s="6"/>
      <c r="K3" s="6"/>
      <c r="L3" s="6"/>
      <c r="M3" s="6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/>
      <c r="B4" s="1"/>
      <c r="C4" s="1"/>
      <c r="D4" s="1"/>
      <c r="E4" s="1"/>
      <c r="F4" s="7"/>
      <c r="G4" s="1"/>
      <c r="H4" s="1"/>
      <c r="I4" s="1"/>
      <c r="J4" s="6"/>
      <c r="K4" s="6"/>
      <c r="L4" s="6"/>
      <c r="M4" s="6"/>
      <c r="N4" s="1"/>
      <c r="O4" s="1"/>
      <c r="P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C2FD-7642-4610-8A19-1D0401C38D62}">
  <dimension ref="A1:U4"/>
  <sheetViews>
    <sheetView workbookViewId="0">
      <selection activeCell="B31" sqref="B31"/>
    </sheetView>
  </sheetViews>
  <sheetFormatPr defaultRowHeight="15" x14ac:dyDescent="0.25"/>
  <cols>
    <col min="2" max="2" width="24" customWidth="1"/>
    <col min="3" max="3" width="19.42578125" customWidth="1"/>
    <col min="5" max="5" width="11.140625" customWidth="1"/>
    <col min="6" max="6" width="16.4257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45537</v>
      </c>
      <c r="B2" s="1" t="s">
        <v>21</v>
      </c>
      <c r="C2" s="1" t="s">
        <v>22</v>
      </c>
      <c r="D2" s="1" t="s">
        <v>23</v>
      </c>
      <c r="E2" s="1" t="s">
        <v>34</v>
      </c>
      <c r="F2" s="1" t="s">
        <v>24</v>
      </c>
      <c r="G2" s="4">
        <v>71500</v>
      </c>
      <c r="H2" s="1" t="s">
        <v>25</v>
      </c>
      <c r="I2" s="1" t="s">
        <v>26</v>
      </c>
      <c r="J2" s="5">
        <v>0.42708333333333331</v>
      </c>
      <c r="K2" s="6">
        <v>0.41180555555555554</v>
      </c>
      <c r="L2" s="5">
        <v>0.4513888888888889</v>
      </c>
      <c r="M2" s="6">
        <v>0.47222222222222227</v>
      </c>
      <c r="N2" s="1" t="s">
        <v>36</v>
      </c>
      <c r="O2" s="1" t="s">
        <v>38</v>
      </c>
      <c r="P2" s="1">
        <v>467</v>
      </c>
      <c r="Q2" s="1">
        <v>629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45537</v>
      </c>
      <c r="B3" s="1" t="s">
        <v>27</v>
      </c>
      <c r="C3" s="1" t="s">
        <v>28</v>
      </c>
      <c r="D3" s="1" t="s">
        <v>23</v>
      </c>
      <c r="E3" s="1" t="s">
        <v>37</v>
      </c>
      <c r="F3" s="1" t="s">
        <v>24</v>
      </c>
      <c r="G3" s="4">
        <v>71500</v>
      </c>
      <c r="H3" s="1" t="s">
        <v>29</v>
      </c>
      <c r="I3" s="1" t="s">
        <v>30</v>
      </c>
      <c r="J3" s="5">
        <v>0.50347222222222221</v>
      </c>
      <c r="K3" s="6">
        <v>0.52361111111111114</v>
      </c>
      <c r="L3" s="5">
        <v>0.52777777777777779</v>
      </c>
      <c r="M3" s="6">
        <v>0.52777777777777779</v>
      </c>
      <c r="N3" s="1" t="s">
        <v>39</v>
      </c>
      <c r="O3" s="1" t="s">
        <v>40</v>
      </c>
      <c r="P3" s="1">
        <v>675</v>
      </c>
      <c r="Q3" s="1">
        <v>849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45537</v>
      </c>
      <c r="B4" s="1" t="s">
        <v>21</v>
      </c>
      <c r="C4" s="1" t="s">
        <v>31</v>
      </c>
      <c r="D4" s="1" t="s">
        <v>23</v>
      </c>
      <c r="E4" s="1" t="s">
        <v>35</v>
      </c>
      <c r="F4" s="1" t="s">
        <v>24</v>
      </c>
      <c r="G4" s="4">
        <v>71500</v>
      </c>
      <c r="H4" s="1" t="s">
        <v>32</v>
      </c>
      <c r="I4" s="1" t="s">
        <v>33</v>
      </c>
      <c r="J4" s="5">
        <v>0.72222222222222221</v>
      </c>
      <c r="K4" s="6">
        <v>0.75555555555555554</v>
      </c>
      <c r="L4" s="5">
        <v>0.74305555555555547</v>
      </c>
      <c r="M4" s="6">
        <v>0.8125</v>
      </c>
      <c r="N4" s="1" t="s">
        <v>41</v>
      </c>
      <c r="O4" s="1" t="s">
        <v>42</v>
      </c>
      <c r="P4" s="1">
        <v>1089</v>
      </c>
      <c r="Q4" s="1">
        <v>1039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DF4E-60C0-4F5D-8A03-EB00EEF10125}">
  <dimension ref="A1:U4"/>
  <sheetViews>
    <sheetView workbookViewId="0">
      <selection activeCell="B35" sqref="B35"/>
    </sheetView>
  </sheetViews>
  <sheetFormatPr defaultRowHeight="15" x14ac:dyDescent="0.25"/>
  <cols>
    <col min="2" max="2" width="26.28515625" customWidth="1"/>
    <col min="3" max="3" width="15.7109375" customWidth="1"/>
    <col min="6" max="6" width="15" customWidth="1"/>
    <col min="14" max="14" width="13" customWidth="1"/>
    <col min="15" max="15" width="12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45538</v>
      </c>
      <c r="B2" s="1" t="s">
        <v>43</v>
      </c>
      <c r="C2" s="1" t="s">
        <v>44</v>
      </c>
      <c r="D2" s="2" t="s">
        <v>23</v>
      </c>
      <c r="E2" s="1" t="s">
        <v>45</v>
      </c>
      <c r="F2" s="2" t="s">
        <v>46</v>
      </c>
      <c r="G2" s="4">
        <v>77000</v>
      </c>
      <c r="H2" s="1" t="s">
        <v>47</v>
      </c>
      <c r="I2" s="1" t="s">
        <v>48</v>
      </c>
      <c r="J2" s="5">
        <v>0.3298611111111111</v>
      </c>
      <c r="K2" s="6">
        <v>0.32708333333333334</v>
      </c>
      <c r="L2" s="5">
        <v>0.37152777777777773</v>
      </c>
      <c r="M2" s="6">
        <v>0.37291666666666662</v>
      </c>
      <c r="N2" s="2" t="s">
        <v>51</v>
      </c>
      <c r="O2" s="2" t="s">
        <v>54</v>
      </c>
      <c r="P2" s="2">
        <v>2120</v>
      </c>
      <c r="Q2" s="2">
        <v>2450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45538</v>
      </c>
      <c r="B3" s="1" t="s">
        <v>27</v>
      </c>
      <c r="C3" s="1" t="s">
        <v>22</v>
      </c>
      <c r="D3" s="2" t="s">
        <v>23</v>
      </c>
      <c r="E3" s="1" t="s">
        <v>50</v>
      </c>
      <c r="F3" s="2" t="s">
        <v>24</v>
      </c>
      <c r="G3" s="4">
        <v>71500</v>
      </c>
      <c r="H3" s="1" t="s">
        <v>52</v>
      </c>
      <c r="I3" s="1" t="s">
        <v>53</v>
      </c>
      <c r="J3" s="5">
        <v>0.44097222222222227</v>
      </c>
      <c r="K3" s="6">
        <v>0.4236111111111111</v>
      </c>
      <c r="L3" s="5">
        <v>0.46527777777777773</v>
      </c>
      <c r="M3" s="6">
        <v>0.4680555555555555</v>
      </c>
      <c r="N3" s="1" t="s">
        <v>55</v>
      </c>
      <c r="O3" s="1" t="s">
        <v>56</v>
      </c>
      <c r="P3" s="1">
        <v>282</v>
      </c>
      <c r="Q3" s="1">
        <v>464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45538</v>
      </c>
      <c r="B4" s="1" t="s">
        <v>27</v>
      </c>
      <c r="C4" s="1" t="s">
        <v>28</v>
      </c>
      <c r="D4" s="1" t="s">
        <v>23</v>
      </c>
      <c r="E4" s="1" t="s">
        <v>49</v>
      </c>
      <c r="F4" s="1" t="s">
        <v>24</v>
      </c>
      <c r="G4" s="4">
        <v>71500</v>
      </c>
      <c r="H4" s="1" t="s">
        <v>29</v>
      </c>
      <c r="I4" s="1" t="s">
        <v>30</v>
      </c>
      <c r="J4" s="5">
        <v>0.75</v>
      </c>
      <c r="K4" s="6">
        <v>0.79513888888888884</v>
      </c>
      <c r="L4" s="5">
        <v>0.77430555555555547</v>
      </c>
      <c r="M4" s="6">
        <v>0.82500000000000007</v>
      </c>
      <c r="N4" s="1" t="s">
        <v>57</v>
      </c>
      <c r="O4" s="1" t="s">
        <v>58</v>
      </c>
      <c r="P4" s="1">
        <v>197</v>
      </c>
      <c r="Q4" s="1">
        <v>1065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8D47-F9C2-445E-8BBC-2A57E5977BB4}">
  <dimension ref="A1:U3"/>
  <sheetViews>
    <sheetView workbookViewId="0">
      <selection activeCell="C15" sqref="C15"/>
    </sheetView>
  </sheetViews>
  <sheetFormatPr defaultRowHeight="15" x14ac:dyDescent="0.25"/>
  <cols>
    <col min="2" max="2" width="23.28515625" bestFit="1" customWidth="1"/>
    <col min="3" max="3" width="15.42578125" customWidth="1"/>
    <col min="6" max="6" width="12.140625" bestFit="1" customWidth="1"/>
    <col min="14" max="14" width="14.5703125" customWidth="1"/>
    <col min="15" max="15" width="12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45539</v>
      </c>
      <c r="B2" s="1" t="s">
        <v>21</v>
      </c>
      <c r="C2" s="1" t="s">
        <v>22</v>
      </c>
      <c r="D2" s="2" t="s">
        <v>23</v>
      </c>
      <c r="E2" s="1" t="s">
        <v>59</v>
      </c>
      <c r="F2" s="2" t="s">
        <v>24</v>
      </c>
      <c r="G2" s="4">
        <v>71500</v>
      </c>
      <c r="H2" s="1" t="s">
        <v>26</v>
      </c>
      <c r="I2" s="1" t="s">
        <v>25</v>
      </c>
      <c r="J2" s="5">
        <v>0.41666666666666669</v>
      </c>
      <c r="K2" s="6">
        <v>0.39930555555555558</v>
      </c>
      <c r="L2" s="5">
        <v>0.44097222222222227</v>
      </c>
      <c r="M2" s="6">
        <v>0.44513888888888892</v>
      </c>
      <c r="N2" s="1" t="s">
        <v>60</v>
      </c>
      <c r="O2" s="1" t="s">
        <v>61</v>
      </c>
      <c r="P2" s="1">
        <v>246</v>
      </c>
      <c r="Q2" s="1">
        <v>677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45539</v>
      </c>
      <c r="B3" s="1" t="s">
        <v>21</v>
      </c>
      <c r="C3" s="1" t="s">
        <v>31</v>
      </c>
      <c r="D3" s="1" t="s">
        <v>23</v>
      </c>
      <c r="E3" s="1" t="s">
        <v>62</v>
      </c>
      <c r="F3" s="1" t="s">
        <v>24</v>
      </c>
      <c r="G3" s="4">
        <v>71500</v>
      </c>
      <c r="H3" s="1" t="s">
        <v>32</v>
      </c>
      <c r="I3" s="1" t="s">
        <v>33</v>
      </c>
      <c r="J3" s="5">
        <v>0.72222222222222221</v>
      </c>
      <c r="K3" s="6">
        <v>0.75763888888888886</v>
      </c>
      <c r="L3" s="5">
        <v>0.74305555555555547</v>
      </c>
      <c r="M3" s="6">
        <v>0.80833333333333324</v>
      </c>
      <c r="N3" s="1" t="s">
        <v>63</v>
      </c>
      <c r="O3" s="1" t="s">
        <v>64</v>
      </c>
      <c r="P3" s="1">
        <v>966</v>
      </c>
      <c r="Q3" s="1">
        <v>780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4BA5-C03C-4AB0-8404-0B83E31DF2CF}">
  <dimension ref="A1:U4"/>
  <sheetViews>
    <sheetView workbookViewId="0">
      <selection activeCell="J6" sqref="J6"/>
    </sheetView>
  </sheetViews>
  <sheetFormatPr defaultRowHeight="15" x14ac:dyDescent="0.25"/>
  <cols>
    <col min="2" max="2" width="26.85546875" customWidth="1"/>
    <col min="3" max="3" width="22.5703125" customWidth="1"/>
    <col min="5" max="5" width="12" customWidth="1"/>
    <col min="6" max="6" width="15.140625" customWidth="1"/>
  </cols>
  <sheetData>
    <row r="1" spans="1:21" s="8" customFormat="1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8" customFormat="1" ht="12.75" x14ac:dyDescent="0.2">
      <c r="A2" s="3">
        <v>45540</v>
      </c>
      <c r="B2" s="1" t="s">
        <v>43</v>
      </c>
      <c r="C2" s="1" t="s">
        <v>44</v>
      </c>
      <c r="D2" s="2" t="s">
        <v>23</v>
      </c>
      <c r="E2" s="1" t="s">
        <v>68</v>
      </c>
      <c r="F2" s="2" t="s">
        <v>46</v>
      </c>
      <c r="G2" s="4">
        <v>77000</v>
      </c>
      <c r="H2" s="1" t="s">
        <v>47</v>
      </c>
      <c r="I2" s="1" t="s">
        <v>48</v>
      </c>
      <c r="J2" s="5">
        <v>0.3298611111111111</v>
      </c>
      <c r="K2" s="6">
        <v>0.32569444444444445</v>
      </c>
      <c r="L2" s="5">
        <v>0.37152777777777773</v>
      </c>
      <c r="M2" s="6">
        <v>0.3743055555555555</v>
      </c>
      <c r="N2" s="2" t="s">
        <v>69</v>
      </c>
      <c r="O2" s="2" t="s">
        <v>70</v>
      </c>
      <c r="P2" s="2">
        <v>1902</v>
      </c>
      <c r="Q2" s="2">
        <v>347</v>
      </c>
      <c r="R2" s="2">
        <v>0</v>
      </c>
      <c r="S2" s="2">
        <v>0</v>
      </c>
      <c r="T2" s="2">
        <v>0</v>
      </c>
      <c r="U2" s="2">
        <v>0</v>
      </c>
    </row>
    <row r="3" spans="1:21" s="8" customFormat="1" ht="12.75" x14ac:dyDescent="0.2">
      <c r="A3" s="3">
        <v>45540</v>
      </c>
      <c r="B3" s="1" t="s">
        <v>65</v>
      </c>
      <c r="C3" s="1" t="s">
        <v>73</v>
      </c>
      <c r="D3" s="7" t="s">
        <v>66</v>
      </c>
      <c r="E3" s="7" t="s">
        <v>72</v>
      </c>
      <c r="F3" s="7" t="s">
        <v>71</v>
      </c>
      <c r="G3" s="4">
        <v>2</v>
      </c>
      <c r="H3" s="7" t="s">
        <v>67</v>
      </c>
      <c r="I3" s="7" t="s">
        <v>67</v>
      </c>
      <c r="J3" s="5">
        <v>0.3611111111111111</v>
      </c>
      <c r="K3" s="6">
        <v>0.38125000000000003</v>
      </c>
      <c r="L3" s="5">
        <v>0.375</v>
      </c>
      <c r="M3" s="6">
        <v>0.40347222222222223</v>
      </c>
      <c r="N3" s="1">
        <v>2</v>
      </c>
      <c r="O3" s="1">
        <v>2</v>
      </c>
      <c r="P3" s="1" t="s">
        <v>75</v>
      </c>
      <c r="Q3" s="1" t="s">
        <v>75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45540</v>
      </c>
      <c r="B4" s="1" t="s">
        <v>65</v>
      </c>
      <c r="C4" s="1" t="s">
        <v>74</v>
      </c>
      <c r="D4" s="7" t="s">
        <v>66</v>
      </c>
      <c r="E4" s="7" t="s">
        <v>72</v>
      </c>
      <c r="F4" s="7" t="s">
        <v>71</v>
      </c>
      <c r="G4" s="4">
        <v>2</v>
      </c>
      <c r="H4" s="7" t="s">
        <v>67</v>
      </c>
      <c r="I4" s="7" t="s">
        <v>67</v>
      </c>
      <c r="J4" s="5">
        <v>0.59722222222222221</v>
      </c>
      <c r="K4" s="6">
        <v>0.59444444444444444</v>
      </c>
      <c r="L4" s="5">
        <v>0.61111111111111105</v>
      </c>
      <c r="M4" s="6">
        <v>0.60555555555555551</v>
      </c>
      <c r="N4" s="1">
        <v>2</v>
      </c>
      <c r="O4" s="1">
        <v>2</v>
      </c>
      <c r="P4" s="1" t="s">
        <v>75</v>
      </c>
      <c r="Q4" s="1" t="s">
        <v>75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F243-4384-47A9-9B47-A4E257E49F8B}">
  <dimension ref="A1:U5"/>
  <sheetViews>
    <sheetView workbookViewId="0">
      <selection sqref="A1:BB8"/>
    </sheetView>
  </sheetViews>
  <sheetFormatPr defaultRowHeight="15" x14ac:dyDescent="0.25"/>
  <cols>
    <col min="2" max="2" width="23.28515625" bestFit="1" customWidth="1"/>
    <col min="3" max="3" width="17.85546875" customWidth="1"/>
    <col min="4" max="4" width="12.28515625" customWidth="1"/>
    <col min="6" max="6" width="15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45541</v>
      </c>
      <c r="B2" s="1" t="s">
        <v>43</v>
      </c>
      <c r="C2" s="1" t="s">
        <v>44</v>
      </c>
      <c r="D2" s="2" t="s">
        <v>23</v>
      </c>
      <c r="E2" s="1" t="s">
        <v>76</v>
      </c>
      <c r="F2" s="2" t="s">
        <v>46</v>
      </c>
      <c r="G2" s="4">
        <v>77000</v>
      </c>
      <c r="H2" s="1" t="s">
        <v>47</v>
      </c>
      <c r="I2" s="1" t="s">
        <v>48</v>
      </c>
      <c r="J2" s="5">
        <v>0.3298611111111111</v>
      </c>
      <c r="K2" s="6">
        <v>0.32708333333333334</v>
      </c>
      <c r="L2" s="5">
        <v>0.37152777777777773</v>
      </c>
      <c r="M2" s="6">
        <v>0.37638888888888888</v>
      </c>
      <c r="N2" s="2" t="s">
        <v>78</v>
      </c>
      <c r="O2" s="2" t="s">
        <v>79</v>
      </c>
      <c r="P2" s="2">
        <v>2334</v>
      </c>
      <c r="Q2" s="2">
        <v>2016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45541</v>
      </c>
      <c r="B3" s="1" t="s">
        <v>21</v>
      </c>
      <c r="C3" s="1" t="s">
        <v>22</v>
      </c>
      <c r="D3" s="2" t="s">
        <v>23</v>
      </c>
      <c r="E3" s="1" t="s">
        <v>62</v>
      </c>
      <c r="F3" s="2" t="s">
        <v>24</v>
      </c>
      <c r="G3" s="4">
        <v>71500</v>
      </c>
      <c r="H3" s="1" t="s">
        <v>26</v>
      </c>
      <c r="I3" s="1" t="s">
        <v>25</v>
      </c>
      <c r="J3" s="5">
        <v>0.42708333333333331</v>
      </c>
      <c r="K3" s="6">
        <v>0.4236111111111111</v>
      </c>
      <c r="L3" s="5">
        <v>0.4513888888888889</v>
      </c>
      <c r="M3" s="6">
        <v>0.60833333333333328</v>
      </c>
      <c r="N3" s="1" t="s">
        <v>80</v>
      </c>
      <c r="O3" s="1" t="s">
        <v>84</v>
      </c>
      <c r="P3" s="1">
        <v>365</v>
      </c>
      <c r="Q3" s="1">
        <v>671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45541</v>
      </c>
      <c r="B4" s="1" t="s">
        <v>27</v>
      </c>
      <c r="C4" s="1" t="s">
        <v>28</v>
      </c>
      <c r="D4" s="7" t="s">
        <v>23</v>
      </c>
      <c r="E4" s="1" t="s">
        <v>77</v>
      </c>
      <c r="F4" s="7" t="s">
        <v>24</v>
      </c>
      <c r="G4" s="1">
        <v>71.5</v>
      </c>
      <c r="H4" s="7" t="s">
        <v>29</v>
      </c>
      <c r="I4" s="1" t="s">
        <v>30</v>
      </c>
      <c r="J4" s="5">
        <v>0.50347222222222221</v>
      </c>
      <c r="K4" s="6">
        <v>0.51111111111111118</v>
      </c>
      <c r="L4" s="5">
        <v>0.52777777777777779</v>
      </c>
      <c r="M4" s="6">
        <v>0.54166666666666663</v>
      </c>
      <c r="N4" s="1" t="s">
        <v>82</v>
      </c>
      <c r="O4" s="1" t="s">
        <v>83</v>
      </c>
      <c r="P4" s="1">
        <v>812</v>
      </c>
      <c r="Q4" s="1">
        <v>1178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45541</v>
      </c>
      <c r="B5" s="1" t="s">
        <v>21</v>
      </c>
      <c r="C5" s="1" t="s">
        <v>31</v>
      </c>
      <c r="D5" s="7" t="s">
        <v>23</v>
      </c>
      <c r="E5" s="1" t="s">
        <v>81</v>
      </c>
      <c r="F5" s="7" t="s">
        <v>24</v>
      </c>
      <c r="G5" s="1">
        <v>71.5</v>
      </c>
      <c r="H5" s="1" t="s">
        <v>32</v>
      </c>
      <c r="I5" s="1" t="s">
        <v>33</v>
      </c>
      <c r="J5" s="5">
        <v>0.72222222222222221</v>
      </c>
      <c r="K5" s="6">
        <v>0.7104166666666667</v>
      </c>
      <c r="L5" s="5">
        <v>0.74305555555555547</v>
      </c>
      <c r="M5" s="6">
        <v>0.75277777777777777</v>
      </c>
      <c r="N5" s="1" t="s">
        <v>85</v>
      </c>
      <c r="O5" s="1" t="s">
        <v>86</v>
      </c>
      <c r="P5" s="1">
        <v>689</v>
      </c>
      <c r="Q5" s="1">
        <v>1156</v>
      </c>
      <c r="R5" s="1">
        <v>0</v>
      </c>
      <c r="S5" s="1">
        <v>0</v>
      </c>
      <c r="T5" s="1">
        <v>0</v>
      </c>
      <c r="U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0DB3-5677-4673-93BD-071ADAC650CC}">
  <dimension ref="A1:U6"/>
  <sheetViews>
    <sheetView workbookViewId="0">
      <selection activeCell="D38" sqref="D38"/>
    </sheetView>
  </sheetViews>
  <sheetFormatPr defaultRowHeight="12.75" x14ac:dyDescent="0.2"/>
  <cols>
    <col min="1" max="1" width="9.140625" style="8"/>
    <col min="2" max="2" width="22.28515625" style="8" customWidth="1"/>
    <col min="3" max="3" width="19.85546875" style="8" bestFit="1" customWidth="1"/>
    <col min="4" max="5" width="9.140625" style="8"/>
    <col min="6" max="6" width="12.140625" style="8" bestFit="1" customWidth="1"/>
    <col min="7" max="16384" width="9.140625" style="8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 s="3">
        <v>45542</v>
      </c>
      <c r="B2" s="1" t="s">
        <v>21</v>
      </c>
      <c r="C2" s="1" t="s">
        <v>22</v>
      </c>
      <c r="D2" s="2" t="s">
        <v>23</v>
      </c>
      <c r="E2" s="1" t="s">
        <v>95</v>
      </c>
      <c r="F2" s="2" t="s">
        <v>24</v>
      </c>
      <c r="G2" s="4">
        <v>71500</v>
      </c>
      <c r="H2" s="1" t="s">
        <v>26</v>
      </c>
      <c r="I2" s="1" t="s">
        <v>25</v>
      </c>
      <c r="J2" s="5">
        <v>0.44097222222222227</v>
      </c>
      <c r="K2" s="6">
        <v>0.44444444444444442</v>
      </c>
      <c r="L2" s="5">
        <v>0.46527777777777773</v>
      </c>
      <c r="M2" s="6">
        <v>0.4777777777777778</v>
      </c>
      <c r="N2" s="1" t="s">
        <v>99</v>
      </c>
      <c r="O2" s="1" t="s">
        <v>105</v>
      </c>
      <c r="P2" s="1">
        <v>617</v>
      </c>
      <c r="Q2" s="1">
        <v>722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">
      <c r="A3" s="3">
        <v>45542</v>
      </c>
      <c r="B3" s="1" t="s">
        <v>87</v>
      </c>
      <c r="C3" s="2" t="s">
        <v>88</v>
      </c>
      <c r="D3" s="2" t="s">
        <v>23</v>
      </c>
      <c r="E3" s="2" t="s">
        <v>96</v>
      </c>
      <c r="F3" s="2" t="s">
        <v>24</v>
      </c>
      <c r="G3" s="4">
        <v>75000</v>
      </c>
      <c r="H3" s="2" t="s">
        <v>89</v>
      </c>
      <c r="I3" s="2" t="s">
        <v>90</v>
      </c>
      <c r="J3" s="9">
        <v>0.3298611111111111</v>
      </c>
      <c r="K3" s="10">
        <v>0.3215277777777778</v>
      </c>
      <c r="L3" s="9">
        <v>0.36805555555555558</v>
      </c>
      <c r="M3" s="10">
        <v>0.37013888888888885</v>
      </c>
      <c r="N3" s="2" t="s">
        <v>97</v>
      </c>
      <c r="O3" s="2" t="s">
        <v>98</v>
      </c>
      <c r="P3" s="2">
        <v>1603</v>
      </c>
      <c r="Q3" s="2">
        <v>1589</v>
      </c>
      <c r="R3" s="2">
        <v>0</v>
      </c>
      <c r="S3" s="2">
        <v>0</v>
      </c>
      <c r="T3" s="2">
        <v>0</v>
      </c>
      <c r="U3" s="2">
        <v>0</v>
      </c>
    </row>
    <row r="4" spans="1:21" x14ac:dyDescent="0.2">
      <c r="A4" s="3">
        <v>45542</v>
      </c>
      <c r="B4" s="1" t="s">
        <v>91</v>
      </c>
      <c r="C4" s="2" t="s">
        <v>44</v>
      </c>
      <c r="D4" s="2" t="s">
        <v>92</v>
      </c>
      <c r="E4" s="2" t="s">
        <v>112</v>
      </c>
      <c r="F4" s="2" t="s">
        <v>46</v>
      </c>
      <c r="G4" s="4">
        <v>66000</v>
      </c>
      <c r="H4" s="2" t="s">
        <v>93</v>
      </c>
      <c r="I4" s="2" t="s">
        <v>94</v>
      </c>
      <c r="J4" s="9">
        <v>0.73263888888888884</v>
      </c>
      <c r="K4" s="10">
        <v>0.74722222222222223</v>
      </c>
      <c r="L4" s="9">
        <v>0.77430555555555547</v>
      </c>
      <c r="M4" s="10">
        <v>0.79791666666666661</v>
      </c>
      <c r="N4" s="1" t="s">
        <v>110</v>
      </c>
      <c r="O4" s="1" t="s">
        <v>111</v>
      </c>
      <c r="P4" s="1">
        <v>2046</v>
      </c>
      <c r="Q4" s="1">
        <v>1414</v>
      </c>
      <c r="R4" s="2">
        <v>0</v>
      </c>
      <c r="S4" s="2">
        <v>0</v>
      </c>
      <c r="T4" s="2">
        <v>0</v>
      </c>
      <c r="U4" s="2">
        <v>0</v>
      </c>
    </row>
    <row r="5" spans="1:21" x14ac:dyDescent="0.2">
      <c r="A5" s="11">
        <v>45542</v>
      </c>
      <c r="B5" s="8" t="s">
        <v>100</v>
      </c>
      <c r="C5" s="8" t="s">
        <v>101</v>
      </c>
      <c r="D5" s="8" t="s">
        <v>102</v>
      </c>
      <c r="E5" s="8" t="s">
        <v>103</v>
      </c>
      <c r="F5" s="8" t="s">
        <v>104</v>
      </c>
      <c r="G5" s="8">
        <v>1050</v>
      </c>
      <c r="J5" s="13">
        <v>0.33333333333333331</v>
      </c>
      <c r="K5" s="12">
        <v>0.37152777777777773</v>
      </c>
      <c r="L5" s="13">
        <v>0.34375</v>
      </c>
      <c r="M5" s="12">
        <v>0.3923611111111111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</row>
    <row r="6" spans="1:21" x14ac:dyDescent="0.2">
      <c r="A6" s="11">
        <v>45542</v>
      </c>
      <c r="B6" s="8" t="s">
        <v>106</v>
      </c>
      <c r="C6" s="8" t="s">
        <v>107</v>
      </c>
      <c r="D6" s="8" t="s">
        <v>113</v>
      </c>
      <c r="E6" s="8" t="s">
        <v>108</v>
      </c>
      <c r="F6" s="8" t="s">
        <v>109</v>
      </c>
      <c r="G6" s="8">
        <v>4</v>
      </c>
      <c r="H6" s="8" t="s">
        <v>108</v>
      </c>
      <c r="I6" s="8" t="s">
        <v>108</v>
      </c>
      <c r="J6" s="12">
        <v>0.60416666666666663</v>
      </c>
      <c r="K6" s="12">
        <v>0.57986111111111105</v>
      </c>
      <c r="L6" s="12">
        <v>0.625</v>
      </c>
      <c r="M6" s="12">
        <v>0.61805555555555558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6580-BF5F-4E4A-851A-016522D98933}">
  <dimension ref="A1:U4"/>
  <sheetViews>
    <sheetView workbookViewId="0">
      <selection sqref="A1:V4"/>
    </sheetView>
  </sheetViews>
  <sheetFormatPr defaultRowHeight="15" x14ac:dyDescent="0.25"/>
  <cols>
    <col min="2" max="2" width="24" customWidth="1"/>
    <col min="3" max="3" width="19.85546875" bestFit="1" customWidth="1"/>
    <col min="5" max="5" width="12" customWidth="1"/>
    <col min="6" max="6" width="12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45543</v>
      </c>
      <c r="B2" s="1" t="s">
        <v>21</v>
      </c>
      <c r="C2" s="1" t="s">
        <v>31</v>
      </c>
      <c r="D2" s="1" t="s">
        <v>23</v>
      </c>
      <c r="E2" s="1" t="s">
        <v>114</v>
      </c>
      <c r="F2" s="1" t="s">
        <v>24</v>
      </c>
      <c r="G2" s="4">
        <v>71500</v>
      </c>
      <c r="H2" s="1" t="s">
        <v>116</v>
      </c>
      <c r="I2" s="1" t="s">
        <v>117</v>
      </c>
      <c r="J2" s="5">
        <v>0.51041666666666663</v>
      </c>
      <c r="K2" s="6">
        <v>0.49444444444444446</v>
      </c>
      <c r="L2" s="5">
        <v>0.53472222222222221</v>
      </c>
      <c r="M2" s="6">
        <v>0.57361111111111118</v>
      </c>
      <c r="N2" s="1" t="s">
        <v>115</v>
      </c>
      <c r="O2" s="1" t="s">
        <v>118</v>
      </c>
      <c r="P2" s="1">
        <v>844</v>
      </c>
      <c r="Q2" s="1">
        <v>705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45543</v>
      </c>
      <c r="B3" s="8" t="s">
        <v>100</v>
      </c>
      <c r="C3" s="8" t="s">
        <v>122</v>
      </c>
      <c r="D3" s="8" t="s">
        <v>102</v>
      </c>
      <c r="E3" s="8" t="s">
        <v>124</v>
      </c>
      <c r="F3" s="8" t="s">
        <v>104</v>
      </c>
      <c r="G3" s="8">
        <v>1050</v>
      </c>
      <c r="H3" s="8" t="s">
        <v>123</v>
      </c>
      <c r="I3" s="8" t="str">
        <f>H3</f>
        <v>E7ABQ</v>
      </c>
      <c r="J3" s="13">
        <v>0.66666666666666663</v>
      </c>
      <c r="K3" s="12">
        <v>0.66666666666666663</v>
      </c>
      <c r="L3" s="13">
        <v>0.68055555555555547</v>
      </c>
      <c r="M3" s="12">
        <v>0.69097222222222221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45543</v>
      </c>
      <c r="B4" s="8" t="s">
        <v>106</v>
      </c>
      <c r="C4" s="8" t="s">
        <v>119</v>
      </c>
      <c r="D4" s="8" t="s">
        <v>120</v>
      </c>
      <c r="E4" s="8">
        <v>702</v>
      </c>
      <c r="F4" s="8" t="s">
        <v>109</v>
      </c>
      <c r="G4" s="8">
        <v>13000</v>
      </c>
      <c r="H4" s="8" t="s">
        <v>121</v>
      </c>
      <c r="I4" s="8" t="str">
        <f>H4</f>
        <v>RUBIK 72</v>
      </c>
      <c r="J4" s="13">
        <v>0.60416666666666663</v>
      </c>
      <c r="K4" s="12">
        <v>0.57986111111111105</v>
      </c>
      <c r="L4" s="13">
        <v>0.625</v>
      </c>
      <c r="M4" s="12">
        <v>0.61805555555555558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7A6C-842C-4341-BCA2-3FF7C8DF6C3B}">
  <dimension ref="A1:U9"/>
  <sheetViews>
    <sheetView workbookViewId="0">
      <selection activeCell="O24" sqref="O24"/>
    </sheetView>
  </sheetViews>
  <sheetFormatPr defaultRowHeight="15" x14ac:dyDescent="0.25"/>
  <cols>
    <col min="1" max="1" width="14.5703125" bestFit="1" customWidth="1"/>
    <col min="2" max="2" width="23.85546875" customWidth="1"/>
    <col min="3" max="3" width="17.85546875" customWidth="1"/>
    <col min="5" max="5" width="13.140625" customWidth="1"/>
    <col min="6" max="6" width="17.5703125" customWidth="1"/>
    <col min="7" max="7" width="11.7109375" bestFit="1" customWidth="1"/>
    <col min="10" max="10" width="9.85546875" bestFit="1" customWidth="1"/>
    <col min="12" max="12" width="9.85546875" bestFit="1" customWidth="1"/>
    <col min="14" max="14" width="13" customWidth="1"/>
    <col min="15" max="15" width="12.85546875" customWidth="1"/>
    <col min="18" max="21" width="9.425781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45544</v>
      </c>
      <c r="B2" s="1" t="s">
        <v>21</v>
      </c>
      <c r="C2" s="1" t="s">
        <v>22</v>
      </c>
      <c r="D2" s="2" t="s">
        <v>23</v>
      </c>
      <c r="E2" s="1" t="s">
        <v>125</v>
      </c>
      <c r="F2" s="2" t="s">
        <v>24</v>
      </c>
      <c r="G2" s="4">
        <v>71500</v>
      </c>
      <c r="H2" s="1" t="s">
        <v>26</v>
      </c>
      <c r="I2" s="1" t="s">
        <v>25</v>
      </c>
      <c r="J2" s="5">
        <v>0.42708333333333331</v>
      </c>
      <c r="K2" s="6">
        <v>0.44375000000000003</v>
      </c>
      <c r="L2" s="5">
        <v>0.4513888888888889</v>
      </c>
      <c r="M2" s="6">
        <v>0.47569444444444442</v>
      </c>
      <c r="N2" s="1" t="s">
        <v>134</v>
      </c>
      <c r="O2" s="1" t="s">
        <v>99</v>
      </c>
      <c r="P2" s="1">
        <v>375</v>
      </c>
      <c r="Q2" s="1">
        <v>400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45544</v>
      </c>
      <c r="B3" s="1" t="s">
        <v>27</v>
      </c>
      <c r="C3" s="1" t="s">
        <v>28</v>
      </c>
      <c r="D3" s="7" t="s">
        <v>23</v>
      </c>
      <c r="E3" s="1" t="s">
        <v>126</v>
      </c>
      <c r="F3" s="7" t="s">
        <v>24</v>
      </c>
      <c r="G3" s="1">
        <v>71.5</v>
      </c>
      <c r="H3" s="7" t="s">
        <v>29</v>
      </c>
      <c r="I3" s="1" t="s">
        <v>30</v>
      </c>
      <c r="J3" s="5">
        <v>0.50347222222222221</v>
      </c>
      <c r="K3" s="6">
        <v>0.5083333333333333</v>
      </c>
      <c r="L3" s="5">
        <v>0.52777777777777779</v>
      </c>
      <c r="M3" s="6">
        <v>0.54166666666666663</v>
      </c>
      <c r="N3" s="1" t="s">
        <v>135</v>
      </c>
      <c r="O3" s="1" t="s">
        <v>137</v>
      </c>
      <c r="P3" s="1">
        <v>521</v>
      </c>
      <c r="Q3" s="1">
        <v>1173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45544</v>
      </c>
      <c r="B4" s="1" t="s">
        <v>21</v>
      </c>
      <c r="C4" s="1" t="s">
        <v>139</v>
      </c>
      <c r="D4" s="7" t="s">
        <v>23</v>
      </c>
      <c r="E4" s="1" t="s">
        <v>127</v>
      </c>
      <c r="F4" s="7" t="s">
        <v>24</v>
      </c>
      <c r="G4" s="1">
        <v>71.5</v>
      </c>
      <c r="H4" s="1" t="s">
        <v>32</v>
      </c>
      <c r="I4" s="1" t="s">
        <v>75</v>
      </c>
      <c r="J4" s="5">
        <v>0.72222222222222221</v>
      </c>
      <c r="K4" s="6">
        <v>0.74375000000000002</v>
      </c>
      <c r="L4" s="5" t="s">
        <v>75</v>
      </c>
      <c r="M4" s="6" t="s">
        <v>75</v>
      </c>
      <c r="N4" s="1" t="s">
        <v>138</v>
      </c>
      <c r="O4" s="1" t="s">
        <v>75</v>
      </c>
      <c r="P4" s="1">
        <v>929</v>
      </c>
      <c r="Q4" s="1" t="s">
        <v>75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45544</v>
      </c>
      <c r="B5" s="1" t="s">
        <v>128</v>
      </c>
      <c r="C5" s="1" t="s">
        <v>129</v>
      </c>
      <c r="D5" s="7" t="s">
        <v>130</v>
      </c>
      <c r="E5" s="1" t="s">
        <v>131</v>
      </c>
      <c r="F5" s="7" t="s">
        <v>132</v>
      </c>
      <c r="G5" s="1">
        <v>3450</v>
      </c>
      <c r="H5" s="1" t="s">
        <v>133</v>
      </c>
      <c r="I5" s="1" t="s">
        <v>133</v>
      </c>
      <c r="J5" s="5">
        <v>0.46875</v>
      </c>
      <c r="K5" s="6">
        <v>0.47222222222222227</v>
      </c>
      <c r="L5" s="5">
        <v>0.5</v>
      </c>
      <c r="M5" s="6">
        <v>0.50486111111111109</v>
      </c>
      <c r="N5" s="1" t="s">
        <v>136</v>
      </c>
      <c r="O5" s="1" t="s">
        <v>136</v>
      </c>
      <c r="P5" s="1" t="s">
        <v>75</v>
      </c>
      <c r="Q5" s="1" t="s">
        <v>75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>
        <v>45544</v>
      </c>
      <c r="B6" s="1" t="s">
        <v>27</v>
      </c>
      <c r="C6" s="1" t="s">
        <v>140</v>
      </c>
      <c r="D6" s="1" t="s">
        <v>23</v>
      </c>
      <c r="E6" s="1" t="s">
        <v>127</v>
      </c>
      <c r="F6" s="1" t="s">
        <v>141</v>
      </c>
      <c r="G6" s="1">
        <v>71.5</v>
      </c>
      <c r="H6" s="1" t="s">
        <v>75</v>
      </c>
      <c r="I6" s="1" t="s">
        <v>142</v>
      </c>
      <c r="J6" s="1" t="s">
        <v>75</v>
      </c>
      <c r="K6" s="1" t="s">
        <v>75</v>
      </c>
      <c r="L6" s="5">
        <v>0.86458333333333337</v>
      </c>
      <c r="M6" s="6">
        <v>0.90833333333333333</v>
      </c>
      <c r="N6" s="1" t="s">
        <v>75</v>
      </c>
      <c r="O6" s="1" t="s">
        <v>141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4EA7-D258-45DA-BFCB-CAAC28427C45}">
  <dimension ref="A1:U4"/>
  <sheetViews>
    <sheetView workbookViewId="0">
      <selection activeCell="B3" sqref="B3"/>
    </sheetView>
  </sheetViews>
  <sheetFormatPr defaultRowHeight="15" x14ac:dyDescent="0.25"/>
  <cols>
    <col min="2" max="2" width="27.140625" customWidth="1"/>
    <col min="3" max="3" width="18.85546875" customWidth="1"/>
    <col min="5" max="5" width="10.140625" customWidth="1"/>
    <col min="6" max="6" width="16.42578125" customWidth="1"/>
    <col min="14" max="14" width="13.5703125" customWidth="1"/>
    <col min="15" max="15" width="13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45545</v>
      </c>
      <c r="B2" s="1" t="s">
        <v>43</v>
      </c>
      <c r="C2" s="1" t="s">
        <v>44</v>
      </c>
      <c r="D2" s="2" t="s">
        <v>23</v>
      </c>
      <c r="E2" s="1" t="s">
        <v>45</v>
      </c>
      <c r="F2" s="2" t="s">
        <v>46</v>
      </c>
      <c r="G2" s="4">
        <v>77000</v>
      </c>
      <c r="H2" s="1" t="s">
        <v>47</v>
      </c>
      <c r="I2" s="1" t="s">
        <v>48</v>
      </c>
      <c r="J2" s="5">
        <v>0.3298611111111111</v>
      </c>
      <c r="K2" s="6">
        <v>0.3756944444444445</v>
      </c>
      <c r="L2" s="5">
        <v>0.37152777777777773</v>
      </c>
      <c r="M2" s="6">
        <v>0.42430555555555555</v>
      </c>
      <c r="N2" s="2" t="s">
        <v>146</v>
      </c>
      <c r="O2" s="2" t="s">
        <v>147</v>
      </c>
      <c r="P2" s="2">
        <v>2187</v>
      </c>
      <c r="Q2" s="2">
        <v>2334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45545</v>
      </c>
      <c r="B3" s="1" t="s">
        <v>27</v>
      </c>
      <c r="C3" s="1" t="s">
        <v>22</v>
      </c>
      <c r="D3" s="2" t="s">
        <v>23</v>
      </c>
      <c r="E3" s="1" t="s">
        <v>145</v>
      </c>
      <c r="F3" s="2" t="s">
        <v>24</v>
      </c>
      <c r="G3" s="4">
        <v>71500</v>
      </c>
      <c r="H3" s="1" t="s">
        <v>52</v>
      </c>
      <c r="I3" s="1" t="s">
        <v>53</v>
      </c>
      <c r="J3" s="5">
        <v>0.44097222222222227</v>
      </c>
      <c r="K3" s="6">
        <v>0.47847222222222219</v>
      </c>
      <c r="L3" s="5">
        <v>0.46527777777777773</v>
      </c>
      <c r="M3" s="6">
        <v>0.51180555555555551</v>
      </c>
      <c r="N3" s="1" t="s">
        <v>144</v>
      </c>
      <c r="O3" s="1" t="s">
        <v>137</v>
      </c>
      <c r="P3" s="1">
        <v>125</v>
      </c>
      <c r="Q3" s="1">
        <v>360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45545</v>
      </c>
      <c r="B4" s="1" t="s">
        <v>27</v>
      </c>
      <c r="C4" s="1" t="s">
        <v>28</v>
      </c>
      <c r="D4" s="1" t="s">
        <v>23</v>
      </c>
      <c r="E4" s="1" t="s">
        <v>143</v>
      </c>
      <c r="F4" s="1" t="s">
        <v>24</v>
      </c>
      <c r="G4" s="4">
        <v>71500</v>
      </c>
      <c r="H4" s="1" t="s">
        <v>29</v>
      </c>
      <c r="I4" s="1" t="s">
        <v>30</v>
      </c>
      <c r="J4" s="5">
        <v>0.75</v>
      </c>
      <c r="K4" s="6">
        <v>0.73819444444444438</v>
      </c>
      <c r="L4" s="5">
        <v>0.77430555555555547</v>
      </c>
      <c r="M4" s="6">
        <v>0.77708333333333324</v>
      </c>
      <c r="N4" s="1" t="s">
        <v>148</v>
      </c>
      <c r="O4" s="1" t="s">
        <v>149</v>
      </c>
      <c r="P4" s="1">
        <v>344</v>
      </c>
      <c r="Q4" s="1">
        <v>739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9003-66FF-46EE-A358-A8741E85CD39}">
  <dimension ref="A1:U3"/>
  <sheetViews>
    <sheetView workbookViewId="0">
      <selection sqref="A1:XFD1"/>
    </sheetView>
  </sheetViews>
  <sheetFormatPr defaultRowHeight="15" x14ac:dyDescent="0.25"/>
  <cols>
    <col min="2" max="2" width="23.28515625" bestFit="1" customWidth="1"/>
    <col min="3" max="3" width="15.42578125" customWidth="1"/>
    <col min="6" max="6" width="12.140625" bestFit="1" customWidth="1"/>
    <col min="14" max="14" width="14.5703125" customWidth="1"/>
    <col min="15" max="15" width="12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45546</v>
      </c>
      <c r="B2" s="1" t="s">
        <v>21</v>
      </c>
      <c r="C2" s="1" t="s">
        <v>22</v>
      </c>
      <c r="D2" s="2" t="s">
        <v>23</v>
      </c>
      <c r="E2" s="1" t="s">
        <v>127</v>
      </c>
      <c r="F2" s="2" t="s">
        <v>24</v>
      </c>
      <c r="G2" s="4">
        <v>71500</v>
      </c>
      <c r="H2" s="1" t="s">
        <v>26</v>
      </c>
      <c r="I2" s="1" t="s">
        <v>25</v>
      </c>
      <c r="J2" s="5">
        <v>0.41666666666666669</v>
      </c>
      <c r="K2" s="6">
        <v>0.40763888888888888</v>
      </c>
      <c r="L2" s="5">
        <v>0.44097222222222227</v>
      </c>
      <c r="M2" s="6">
        <v>0.4458333333333333</v>
      </c>
      <c r="N2" s="1" t="s">
        <v>151</v>
      </c>
      <c r="O2" s="1" t="s">
        <v>150</v>
      </c>
      <c r="P2" s="1">
        <v>369</v>
      </c>
      <c r="Q2" s="1">
        <v>414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45546</v>
      </c>
      <c r="B3" s="1" t="s">
        <v>21</v>
      </c>
      <c r="C3" s="1" t="s">
        <v>31</v>
      </c>
      <c r="D3" s="1" t="s">
        <v>23</v>
      </c>
      <c r="E3" s="1" t="s">
        <v>62</v>
      </c>
      <c r="F3" s="1" t="s">
        <v>24</v>
      </c>
      <c r="G3" s="4">
        <v>71500</v>
      </c>
      <c r="H3" s="1" t="s">
        <v>32</v>
      </c>
      <c r="I3" s="1" t="s">
        <v>33</v>
      </c>
      <c r="J3" s="5">
        <v>0.72222222222222221</v>
      </c>
      <c r="K3" s="6">
        <v>0.73333333333333339</v>
      </c>
      <c r="L3" s="5">
        <v>0.74305555555555547</v>
      </c>
      <c r="M3" s="6">
        <v>0.78541666666666676</v>
      </c>
      <c r="N3" s="1" t="s">
        <v>152</v>
      </c>
      <c r="O3" s="1" t="s">
        <v>153</v>
      </c>
      <c r="P3" s="1">
        <v>825</v>
      </c>
      <c r="Q3" s="1">
        <v>912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2261-2D4E-4AE8-AB9E-72381B1F62C4}">
  <dimension ref="A1:U3"/>
  <sheetViews>
    <sheetView workbookViewId="0">
      <selection activeCell="M12" sqref="M12"/>
    </sheetView>
  </sheetViews>
  <sheetFormatPr defaultRowHeight="1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4" customFormat="1" x14ac:dyDescent="0.25">
      <c r="A2" s="15">
        <v>45547</v>
      </c>
      <c r="B2" s="14" t="s">
        <v>154</v>
      </c>
      <c r="C2" s="14" t="s">
        <v>155</v>
      </c>
      <c r="D2" s="14" t="s">
        <v>156</v>
      </c>
      <c r="E2" s="14" t="s">
        <v>157</v>
      </c>
      <c r="F2" s="14" t="s">
        <v>158</v>
      </c>
      <c r="G2" s="14">
        <v>1000</v>
      </c>
      <c r="H2" s="14" t="s">
        <v>157</v>
      </c>
      <c r="I2" s="14" t="s">
        <v>157</v>
      </c>
      <c r="J2" s="16">
        <v>0.69791666666666663</v>
      </c>
      <c r="K2" s="16">
        <v>0.73472222222222217</v>
      </c>
      <c r="L2" s="16">
        <v>0.74652777777777779</v>
      </c>
      <c r="M2" s="16">
        <v>0.75763888888888886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</row>
    <row r="3" spans="1:21" s="14" customFormat="1" x14ac:dyDescent="0.25">
      <c r="A3" s="15">
        <v>45547</v>
      </c>
      <c r="B3" s="14" t="s">
        <v>154</v>
      </c>
      <c r="C3" s="14" t="s">
        <v>159</v>
      </c>
      <c r="D3" s="14" t="s">
        <v>156</v>
      </c>
      <c r="E3" s="14" t="s">
        <v>157</v>
      </c>
      <c r="F3" s="14" t="s">
        <v>158</v>
      </c>
      <c r="G3" s="14">
        <v>1000</v>
      </c>
      <c r="H3" s="14" t="s">
        <v>157</v>
      </c>
      <c r="I3" s="14" t="s">
        <v>157</v>
      </c>
      <c r="J3" s="16">
        <v>0.33680555555555558</v>
      </c>
      <c r="K3" s="16">
        <v>0.34722222222222227</v>
      </c>
      <c r="L3" s="16">
        <v>0.3576388888888889</v>
      </c>
      <c r="M3" s="16">
        <v>0.36458333333333331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DA1D-137B-4F24-9243-55B9A48E144B}">
  <dimension ref="A1:U6"/>
  <sheetViews>
    <sheetView workbookViewId="0">
      <selection sqref="A1:U5"/>
    </sheetView>
  </sheetViews>
  <sheetFormatPr defaultRowHeight="15" x14ac:dyDescent="0.25"/>
  <cols>
    <col min="2" max="2" width="23.28515625" bestFit="1" customWidth="1"/>
    <col min="3" max="3" width="17.85546875" customWidth="1"/>
    <col min="4" max="4" width="12.28515625" customWidth="1"/>
    <col min="6" max="6" width="15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45548</v>
      </c>
      <c r="B2" s="1" t="s">
        <v>43</v>
      </c>
      <c r="C2" s="1" t="s">
        <v>44</v>
      </c>
      <c r="D2" s="2" t="s">
        <v>23</v>
      </c>
      <c r="E2" s="1" t="s">
        <v>68</v>
      </c>
      <c r="F2" s="2" t="s">
        <v>46</v>
      </c>
      <c r="G2" s="4">
        <v>77000</v>
      </c>
      <c r="H2" s="1" t="s">
        <v>47</v>
      </c>
      <c r="I2" s="1" t="s">
        <v>48</v>
      </c>
      <c r="J2" s="5">
        <v>0.3298611111111111</v>
      </c>
      <c r="K2" s="6">
        <v>0.45833333333333331</v>
      </c>
      <c r="L2" s="5">
        <v>0.37152777777777773</v>
      </c>
      <c r="M2" s="6">
        <v>0.51736111111111105</v>
      </c>
      <c r="N2" s="2" t="s">
        <v>162</v>
      </c>
      <c r="O2" s="2">
        <v>179</v>
      </c>
      <c r="P2" s="2">
        <v>2593</v>
      </c>
      <c r="Q2" s="2">
        <v>2079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45548</v>
      </c>
      <c r="B3" s="1" t="s">
        <v>21</v>
      </c>
      <c r="C3" s="1" t="s">
        <v>22</v>
      </c>
      <c r="D3" s="2" t="s">
        <v>23</v>
      </c>
      <c r="E3" s="1" t="s">
        <v>160</v>
      </c>
      <c r="F3" s="2" t="s">
        <v>24</v>
      </c>
      <c r="G3" s="4">
        <v>71500</v>
      </c>
      <c r="H3" s="1" t="s">
        <v>26</v>
      </c>
      <c r="I3" s="1" t="s">
        <v>25</v>
      </c>
      <c r="J3" s="5">
        <v>0.42708333333333331</v>
      </c>
      <c r="K3" s="6">
        <v>0.42986111111111108</v>
      </c>
      <c r="L3" s="5">
        <v>0.4513888888888889</v>
      </c>
      <c r="M3" s="6">
        <v>0.46249999999999997</v>
      </c>
      <c r="N3" s="1" t="s">
        <v>163</v>
      </c>
      <c r="O3" s="1" t="s">
        <v>165</v>
      </c>
      <c r="P3" s="1">
        <v>529</v>
      </c>
      <c r="Q3" s="1">
        <v>622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45548</v>
      </c>
      <c r="B4" s="1" t="s">
        <v>27</v>
      </c>
      <c r="C4" s="1" t="s">
        <v>28</v>
      </c>
      <c r="D4" s="7" t="s">
        <v>23</v>
      </c>
      <c r="E4" s="1" t="s">
        <v>161</v>
      </c>
      <c r="F4" s="7" t="s">
        <v>24</v>
      </c>
      <c r="G4" s="1">
        <v>71.5</v>
      </c>
      <c r="H4" s="7" t="s">
        <v>29</v>
      </c>
      <c r="I4" s="1" t="s">
        <v>30</v>
      </c>
      <c r="J4" s="5">
        <v>0.50347222222222221</v>
      </c>
      <c r="K4" s="6">
        <v>0.51250000000000007</v>
      </c>
      <c r="L4" s="5">
        <v>0.52777777777777779</v>
      </c>
      <c r="M4" s="6">
        <v>0.55069444444444449</v>
      </c>
      <c r="N4" s="1" t="s">
        <v>164</v>
      </c>
      <c r="O4" s="1" t="s">
        <v>166</v>
      </c>
      <c r="P4" s="1">
        <v>465</v>
      </c>
      <c r="Q4" s="1">
        <v>885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45548</v>
      </c>
      <c r="B5" s="1" t="s">
        <v>21</v>
      </c>
      <c r="C5" s="1" t="s">
        <v>31</v>
      </c>
      <c r="D5" s="7" t="s">
        <v>23</v>
      </c>
      <c r="E5" s="1" t="s">
        <v>167</v>
      </c>
      <c r="F5" s="7" t="s">
        <v>24</v>
      </c>
      <c r="G5" s="1">
        <v>71.5</v>
      </c>
      <c r="H5" s="1" t="s">
        <v>32</v>
      </c>
      <c r="I5" s="1" t="s">
        <v>33</v>
      </c>
      <c r="J5" s="5">
        <v>0.72222222222222221</v>
      </c>
      <c r="K5" s="6">
        <v>0.75</v>
      </c>
      <c r="L5" s="5">
        <v>0.74305555555555547</v>
      </c>
      <c r="M5" s="6">
        <v>0.78611111111111109</v>
      </c>
      <c r="N5" s="1" t="s">
        <v>84</v>
      </c>
      <c r="O5" s="1" t="s">
        <v>168</v>
      </c>
      <c r="P5" s="1">
        <v>710</v>
      </c>
      <c r="Q5" s="1">
        <v>1248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>
        <v>45548</v>
      </c>
      <c r="B6" s="1" t="s">
        <v>169</v>
      </c>
      <c r="C6" s="1" t="s">
        <v>172</v>
      </c>
      <c r="D6" s="7" t="s">
        <v>170</v>
      </c>
      <c r="E6" s="7" t="s">
        <v>133</v>
      </c>
      <c r="F6" s="7" t="s">
        <v>171</v>
      </c>
      <c r="G6" s="4">
        <v>4</v>
      </c>
      <c r="H6" s="7" t="s">
        <v>133</v>
      </c>
      <c r="I6" s="7" t="s">
        <v>133</v>
      </c>
      <c r="J6" s="5">
        <v>0.5</v>
      </c>
      <c r="K6" s="6">
        <v>0.50694444444444442</v>
      </c>
      <c r="L6" s="5">
        <v>0.52083333333333337</v>
      </c>
      <c r="M6" s="6">
        <v>0.57291666666666663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579C-1705-40FF-A9CA-A14D2EDF4A22}">
  <dimension ref="A1:U4"/>
  <sheetViews>
    <sheetView workbookViewId="0">
      <selection activeCell="I32" sqref="I32"/>
    </sheetView>
  </sheetViews>
  <sheetFormatPr defaultRowHeight="15" x14ac:dyDescent="0.25"/>
  <cols>
    <col min="2" max="2" width="25.140625" customWidth="1"/>
    <col min="3" max="3" width="21.5703125" customWidth="1"/>
    <col min="5" max="5" width="13.28515625" customWidth="1"/>
    <col min="6" max="6" width="17.85546875" customWidth="1"/>
    <col min="14" max="14" width="13" customWidth="1"/>
    <col min="15" max="15" width="12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45549</v>
      </c>
      <c r="B2" s="1" t="s">
        <v>21</v>
      </c>
      <c r="C2" s="1" t="s">
        <v>22</v>
      </c>
      <c r="D2" s="2" t="s">
        <v>23</v>
      </c>
      <c r="E2" s="1" t="s">
        <v>62</v>
      </c>
      <c r="F2" s="2" t="s">
        <v>24</v>
      </c>
      <c r="G2" s="4">
        <v>71500</v>
      </c>
      <c r="H2" s="1" t="s">
        <v>52</v>
      </c>
      <c r="I2" s="1" t="s">
        <v>53</v>
      </c>
      <c r="J2" s="5">
        <v>0.44097222222222227</v>
      </c>
      <c r="K2" s="6">
        <v>0.4291666666666667</v>
      </c>
      <c r="L2" s="5">
        <v>0.46527777777777773</v>
      </c>
      <c r="M2" s="6">
        <v>0.47083333333333338</v>
      </c>
      <c r="N2" s="1" t="s">
        <v>178</v>
      </c>
      <c r="O2" s="1" t="s">
        <v>179</v>
      </c>
      <c r="P2" s="1">
        <v>446</v>
      </c>
      <c r="Q2" s="1">
        <v>706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45549</v>
      </c>
      <c r="B3" s="1" t="s">
        <v>87</v>
      </c>
      <c r="C3" s="2" t="s">
        <v>88</v>
      </c>
      <c r="D3" s="2" t="s">
        <v>175</v>
      </c>
      <c r="E3" s="2" t="s">
        <v>173</v>
      </c>
      <c r="F3" s="2" t="s">
        <v>24</v>
      </c>
      <c r="G3" s="4">
        <v>75000</v>
      </c>
      <c r="H3" s="2" t="s">
        <v>89</v>
      </c>
      <c r="I3" s="2" t="s">
        <v>90</v>
      </c>
      <c r="J3" s="9">
        <v>0.3298611111111111</v>
      </c>
      <c r="K3" s="10">
        <v>0.31944444444444448</v>
      </c>
      <c r="L3" s="9">
        <v>0.36805555555555558</v>
      </c>
      <c r="M3" s="10">
        <v>0.37847222222222227</v>
      </c>
      <c r="N3" s="2" t="s">
        <v>176</v>
      </c>
      <c r="O3" s="2" t="s">
        <v>177</v>
      </c>
      <c r="P3" s="2">
        <v>2048</v>
      </c>
      <c r="Q3" s="2">
        <v>1251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45549</v>
      </c>
      <c r="B4" s="1" t="s">
        <v>91</v>
      </c>
      <c r="C4" s="2" t="s">
        <v>44</v>
      </c>
      <c r="D4" s="2" t="s">
        <v>92</v>
      </c>
      <c r="E4" s="2" t="s">
        <v>174</v>
      </c>
      <c r="F4" s="2" t="s">
        <v>46</v>
      </c>
      <c r="G4" s="4">
        <v>66000</v>
      </c>
      <c r="H4" s="2" t="s">
        <v>93</v>
      </c>
      <c r="I4" s="2" t="s">
        <v>94</v>
      </c>
      <c r="J4" s="9">
        <v>0.73263888888888884</v>
      </c>
      <c r="K4" s="10">
        <v>0.75347222222222221</v>
      </c>
      <c r="L4" s="9">
        <v>0.77430555555555547</v>
      </c>
      <c r="M4" s="10">
        <v>0.78611111111111109</v>
      </c>
      <c r="N4" s="1" t="s">
        <v>180</v>
      </c>
      <c r="O4" s="1" t="s">
        <v>181</v>
      </c>
      <c r="P4" s="1">
        <v>1550</v>
      </c>
      <c r="Q4" s="1">
        <v>45</v>
      </c>
      <c r="R4" s="2">
        <v>0</v>
      </c>
      <c r="S4" s="2">
        <v>0</v>
      </c>
      <c r="T4" s="2">
        <v>0</v>
      </c>
      <c r="U4" s="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97E4-5B16-4DB0-B163-81A8CA7442DF}">
  <dimension ref="A1:U4"/>
  <sheetViews>
    <sheetView workbookViewId="0">
      <selection activeCell="M2" sqref="M2"/>
    </sheetView>
  </sheetViews>
  <sheetFormatPr defaultRowHeight="15" x14ac:dyDescent="0.25"/>
  <cols>
    <col min="2" max="3" width="23.28515625" customWidth="1"/>
    <col min="6" max="6" width="12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45550</v>
      </c>
      <c r="B2" s="1" t="s">
        <v>27</v>
      </c>
      <c r="C2" s="1" t="s">
        <v>31</v>
      </c>
      <c r="D2" s="1" t="s">
        <v>23</v>
      </c>
      <c r="E2" s="1" t="s">
        <v>182</v>
      </c>
      <c r="F2" s="1" t="s">
        <v>24</v>
      </c>
      <c r="G2" s="4">
        <v>71500</v>
      </c>
      <c r="H2" s="1" t="s">
        <v>116</v>
      </c>
      <c r="I2" s="1" t="s">
        <v>117</v>
      </c>
      <c r="J2" s="5">
        <v>0.51041666666666663</v>
      </c>
      <c r="K2" s="6">
        <v>0.50972222222222219</v>
      </c>
      <c r="L2" s="5">
        <v>0.53472222222222221</v>
      </c>
      <c r="M2" s="6">
        <v>0.5444444444444444</v>
      </c>
      <c r="N2" s="1" t="s">
        <v>183</v>
      </c>
      <c r="O2" s="1" t="s">
        <v>184</v>
      </c>
      <c r="P2" s="1">
        <v>1075</v>
      </c>
      <c r="Q2" s="1">
        <v>836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/>
      <c r="B3" s="8"/>
      <c r="C3" s="8"/>
      <c r="D3" s="8"/>
      <c r="E3" s="8"/>
      <c r="F3" s="8"/>
      <c r="G3" s="8"/>
      <c r="H3" s="8"/>
      <c r="I3" s="8"/>
      <c r="J3" s="13"/>
      <c r="K3" s="12"/>
      <c r="L3" s="13"/>
      <c r="M3" s="12"/>
      <c r="N3" s="8"/>
      <c r="O3" s="8"/>
      <c r="P3" s="8"/>
      <c r="Q3" s="8"/>
      <c r="R3" s="8"/>
      <c r="S3" s="8"/>
      <c r="T3" s="8"/>
      <c r="U3" s="8"/>
    </row>
    <row r="4" spans="1:21" x14ac:dyDescent="0.25">
      <c r="A4" s="3"/>
      <c r="B4" s="8"/>
      <c r="C4" s="8"/>
      <c r="D4" s="8"/>
      <c r="E4" s="8"/>
      <c r="F4" s="8"/>
      <c r="G4" s="8"/>
      <c r="H4" s="8"/>
      <c r="I4" s="8"/>
      <c r="J4" s="13"/>
      <c r="K4" s="12"/>
      <c r="L4" s="13"/>
      <c r="M4" s="12"/>
      <c r="N4" s="8"/>
      <c r="O4" s="8"/>
      <c r="P4" s="8"/>
      <c r="Q4" s="8"/>
      <c r="R4" s="8"/>
      <c r="S4" s="8"/>
      <c r="T4" s="8"/>
      <c r="U4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9CAB-3E6D-4B7D-A39C-17C83E162AFA}">
  <dimension ref="A1:U6"/>
  <sheetViews>
    <sheetView workbookViewId="0">
      <selection activeCell="M6" sqref="M6"/>
    </sheetView>
  </sheetViews>
  <sheetFormatPr defaultRowHeight="15" x14ac:dyDescent="0.25"/>
  <cols>
    <col min="2" max="2" width="27" customWidth="1"/>
    <col min="3" max="3" width="19" customWidth="1"/>
    <col min="5" max="5" width="13.85546875" customWidth="1"/>
    <col min="6" max="6" width="17.85546875" customWidth="1"/>
    <col min="14" max="15" width="15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45551</v>
      </c>
      <c r="B2" s="1" t="s">
        <v>21</v>
      </c>
      <c r="C2" s="1" t="s">
        <v>22</v>
      </c>
      <c r="D2" s="2" t="s">
        <v>23</v>
      </c>
      <c r="E2" s="1" t="s">
        <v>81</v>
      </c>
      <c r="F2" s="2" t="s">
        <v>24</v>
      </c>
      <c r="G2" s="4">
        <v>71500</v>
      </c>
      <c r="H2" s="1" t="s">
        <v>26</v>
      </c>
      <c r="I2" s="1" t="s">
        <v>25</v>
      </c>
      <c r="J2" s="5">
        <v>0.42708333333333331</v>
      </c>
      <c r="K2" s="6">
        <v>0.43124999999999997</v>
      </c>
      <c r="L2" s="5">
        <v>0.4513888888888889</v>
      </c>
      <c r="M2" s="6">
        <v>0.46180555555555558</v>
      </c>
      <c r="N2" s="1" t="s">
        <v>186</v>
      </c>
      <c r="O2" s="1" t="s">
        <v>187</v>
      </c>
      <c r="P2" s="1">
        <v>573</v>
      </c>
      <c r="Q2" s="1">
        <v>351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45551</v>
      </c>
      <c r="B3" s="1" t="s">
        <v>27</v>
      </c>
      <c r="C3" s="1" t="s">
        <v>28</v>
      </c>
      <c r="D3" s="7" t="s">
        <v>23</v>
      </c>
      <c r="E3" s="1" t="s">
        <v>126</v>
      </c>
      <c r="F3" s="7" t="s">
        <v>24</v>
      </c>
      <c r="G3" s="1">
        <v>71.5</v>
      </c>
      <c r="H3" s="7" t="s">
        <v>29</v>
      </c>
      <c r="I3" s="1" t="s">
        <v>30</v>
      </c>
      <c r="J3" s="5">
        <v>0.50347222222222221</v>
      </c>
      <c r="K3" s="6">
        <v>0.50694444444444442</v>
      </c>
      <c r="L3" s="5">
        <v>0.52777777777777779</v>
      </c>
      <c r="M3" s="6">
        <v>0.54027777777777775</v>
      </c>
      <c r="N3" s="1" t="s">
        <v>36</v>
      </c>
      <c r="O3" s="1" t="s">
        <v>188</v>
      </c>
      <c r="P3" s="1">
        <v>577</v>
      </c>
      <c r="Q3" s="1">
        <v>335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45551</v>
      </c>
      <c r="B4" s="1" t="s">
        <v>21</v>
      </c>
      <c r="C4" s="1" t="s">
        <v>185</v>
      </c>
      <c r="D4" s="7" t="s">
        <v>23</v>
      </c>
      <c r="E4" s="1" t="s">
        <v>189</v>
      </c>
      <c r="F4" s="7" t="s">
        <v>24</v>
      </c>
      <c r="G4" s="1">
        <v>71.5</v>
      </c>
      <c r="H4" s="1" t="s">
        <v>32</v>
      </c>
      <c r="I4" s="1" t="s">
        <v>33</v>
      </c>
      <c r="J4" s="5">
        <v>0.72222222222222221</v>
      </c>
      <c r="K4" s="6">
        <v>0.74722222222222223</v>
      </c>
      <c r="L4" s="5">
        <v>0.74305555555555547</v>
      </c>
      <c r="M4" s="6">
        <v>0.78125</v>
      </c>
      <c r="N4" s="1" t="s">
        <v>190</v>
      </c>
      <c r="O4" s="1" t="s">
        <v>191</v>
      </c>
      <c r="P4" s="1">
        <v>1177</v>
      </c>
      <c r="Q4" s="1">
        <v>924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5"/>
      <c r="M5" s="6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5"/>
      <c r="M6" s="6"/>
      <c r="N6" s="1"/>
      <c r="O6" s="1"/>
      <c r="P6" s="1"/>
      <c r="Q6" s="1"/>
      <c r="R6" s="1"/>
      <c r="S6" s="1"/>
      <c r="T6" s="1"/>
      <c r="U6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B435-79F4-4D84-9363-FBBAB17AE2C6}">
  <dimension ref="A1:U4"/>
  <sheetViews>
    <sheetView workbookViewId="0">
      <selection activeCell="A4" sqref="A4:U4"/>
    </sheetView>
  </sheetViews>
  <sheetFormatPr defaultRowHeight="15" x14ac:dyDescent="0.25"/>
  <cols>
    <col min="2" max="2" width="27.140625" customWidth="1"/>
    <col min="3" max="3" width="18.85546875" customWidth="1"/>
    <col min="5" max="5" width="10.140625" customWidth="1"/>
    <col min="6" max="6" width="16.42578125" customWidth="1"/>
    <col min="14" max="14" width="13.5703125" customWidth="1"/>
    <col min="15" max="15" width="13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45552</v>
      </c>
      <c r="B2" s="1" t="s">
        <v>43</v>
      </c>
      <c r="C2" s="1" t="s">
        <v>44</v>
      </c>
      <c r="D2" s="2" t="s">
        <v>23</v>
      </c>
      <c r="E2" s="1" t="s">
        <v>192</v>
      </c>
      <c r="F2" s="2" t="s">
        <v>46</v>
      </c>
      <c r="G2" s="4">
        <v>77000</v>
      </c>
      <c r="H2" s="1" t="s">
        <v>47</v>
      </c>
      <c r="I2" s="1" t="s">
        <v>48</v>
      </c>
      <c r="J2" s="5">
        <v>0.3298611111111111</v>
      </c>
      <c r="K2" s="6">
        <v>0.34513888888888888</v>
      </c>
      <c r="L2" s="5">
        <v>0.37152777777777773</v>
      </c>
      <c r="M2" s="6">
        <v>0.38750000000000001</v>
      </c>
      <c r="N2" s="2" t="s">
        <v>190</v>
      </c>
      <c r="O2" s="2" t="s">
        <v>193</v>
      </c>
      <c r="P2" s="2">
        <v>2587</v>
      </c>
      <c r="Q2" s="2">
        <v>2326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45552</v>
      </c>
      <c r="B3" s="1" t="s">
        <v>27</v>
      </c>
      <c r="C3" s="1" t="s">
        <v>22</v>
      </c>
      <c r="D3" s="2" t="s">
        <v>23</v>
      </c>
      <c r="E3" s="1" t="s">
        <v>62</v>
      </c>
      <c r="F3" s="2" t="s">
        <v>24</v>
      </c>
      <c r="G3" s="4">
        <v>71500</v>
      </c>
      <c r="H3" s="1" t="s">
        <v>52</v>
      </c>
      <c r="I3" s="1" t="s">
        <v>53</v>
      </c>
      <c r="J3" s="5">
        <v>0.44097222222222227</v>
      </c>
      <c r="K3" s="6">
        <v>0.42499999999999999</v>
      </c>
      <c r="L3" s="5">
        <v>0.46527777777777773</v>
      </c>
      <c r="M3" s="6">
        <v>0.4694444444444445</v>
      </c>
      <c r="N3" s="2" t="s">
        <v>194</v>
      </c>
      <c r="O3" s="2" t="s">
        <v>195</v>
      </c>
      <c r="P3" s="1">
        <v>262</v>
      </c>
      <c r="Q3" s="1">
        <v>490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45552</v>
      </c>
      <c r="B4" s="1" t="s">
        <v>27</v>
      </c>
      <c r="C4" s="1" t="s">
        <v>28</v>
      </c>
      <c r="D4" s="1" t="s">
        <v>23</v>
      </c>
      <c r="E4" s="1" t="s">
        <v>182</v>
      </c>
      <c r="F4" s="1" t="s">
        <v>24</v>
      </c>
      <c r="G4" s="4">
        <v>71500</v>
      </c>
      <c r="H4" s="1" t="s">
        <v>29</v>
      </c>
      <c r="I4" s="1" t="s">
        <v>30</v>
      </c>
      <c r="J4" s="5">
        <v>0.75</v>
      </c>
      <c r="K4" s="6">
        <v>0.74375000000000002</v>
      </c>
      <c r="L4" s="5">
        <v>0.77430555555555547</v>
      </c>
      <c r="M4" s="6">
        <v>0.78819444444444453</v>
      </c>
      <c r="N4" s="1" t="s">
        <v>196</v>
      </c>
      <c r="O4" s="1" t="s">
        <v>197</v>
      </c>
      <c r="P4" s="1">
        <v>252</v>
      </c>
      <c r="Q4" s="1">
        <v>747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5DA8-F876-4215-A852-2B5BB8690BF9}">
  <dimension ref="A1:U4"/>
  <sheetViews>
    <sheetView workbookViewId="0">
      <selection activeCell="G35" sqref="G35"/>
    </sheetView>
  </sheetViews>
  <sheetFormatPr defaultRowHeight="15" x14ac:dyDescent="0.25"/>
  <cols>
    <col min="2" max="2" width="23.28515625" bestFit="1" customWidth="1"/>
    <col min="3" max="3" width="15.42578125" customWidth="1"/>
    <col min="6" max="6" width="12.140625" bestFit="1" customWidth="1"/>
    <col min="14" max="14" width="14.5703125" customWidth="1"/>
    <col min="15" max="15" width="12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45553</v>
      </c>
      <c r="B2" s="1" t="s">
        <v>21</v>
      </c>
      <c r="C2" s="1" t="s">
        <v>22</v>
      </c>
      <c r="D2" s="2" t="s">
        <v>23</v>
      </c>
      <c r="E2" s="1" t="s">
        <v>198</v>
      </c>
      <c r="F2" s="2" t="s">
        <v>24</v>
      </c>
      <c r="G2" s="4">
        <v>71500</v>
      </c>
      <c r="H2" s="1" t="s">
        <v>26</v>
      </c>
      <c r="I2" s="1" t="s">
        <v>25</v>
      </c>
      <c r="J2" s="5">
        <v>0.41666666666666669</v>
      </c>
      <c r="K2" s="6">
        <v>0.39930555555555558</v>
      </c>
      <c r="L2" s="5">
        <v>0.44097222222222227</v>
      </c>
      <c r="M2" s="6">
        <v>0.44444444444444442</v>
      </c>
      <c r="N2" s="1" t="s">
        <v>199</v>
      </c>
      <c r="O2" s="1" t="s">
        <v>200</v>
      </c>
      <c r="P2" s="1">
        <v>371</v>
      </c>
      <c r="Q2" s="1">
        <v>541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45553</v>
      </c>
      <c r="B3" s="1" t="s">
        <v>21</v>
      </c>
      <c r="C3" s="1" t="s">
        <v>31</v>
      </c>
      <c r="D3" s="1" t="s">
        <v>23</v>
      </c>
      <c r="E3" s="1" t="s">
        <v>49</v>
      </c>
      <c r="F3" s="1" t="s">
        <v>24</v>
      </c>
      <c r="G3" s="4">
        <v>71500</v>
      </c>
      <c r="H3" s="1" t="s">
        <v>32</v>
      </c>
      <c r="I3" s="1" t="s">
        <v>33</v>
      </c>
      <c r="J3" s="5">
        <v>0.72222222222222221</v>
      </c>
      <c r="K3" s="6">
        <v>0.71736111111111101</v>
      </c>
      <c r="L3" s="5">
        <v>0.74305555555555547</v>
      </c>
      <c r="M3" s="6">
        <v>0.75277777777777777</v>
      </c>
      <c r="N3" s="1" t="s">
        <v>201</v>
      </c>
      <c r="O3" s="1" t="s">
        <v>83</v>
      </c>
      <c r="P3" s="1">
        <v>837</v>
      </c>
      <c r="Q3" s="1">
        <v>1073</v>
      </c>
      <c r="R3" s="1">
        <v>0</v>
      </c>
      <c r="S3" s="1">
        <v>0</v>
      </c>
      <c r="T3" s="1">
        <v>0</v>
      </c>
      <c r="U3" s="1">
        <v>0</v>
      </c>
    </row>
    <row r="4" spans="1:21" s="14" customFormat="1" x14ac:dyDescent="0.25">
      <c r="A4" s="15">
        <v>45553</v>
      </c>
      <c r="B4" s="14" t="s">
        <v>202</v>
      </c>
      <c r="C4" s="14" t="s">
        <v>203</v>
      </c>
      <c r="D4" s="14" t="s">
        <v>204</v>
      </c>
      <c r="E4" s="14" t="s">
        <v>205</v>
      </c>
      <c r="F4" s="14" t="s">
        <v>206</v>
      </c>
      <c r="G4" s="14">
        <v>6800</v>
      </c>
      <c r="H4" s="14" t="s">
        <v>75</v>
      </c>
      <c r="I4" s="14" t="s">
        <v>75</v>
      </c>
      <c r="J4" s="16">
        <v>0.72916666666666663</v>
      </c>
      <c r="K4" s="16">
        <v>0.79027777777777775</v>
      </c>
      <c r="L4" s="14" t="s">
        <v>207</v>
      </c>
      <c r="M4" s="14" t="s">
        <v>207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B3D4-1598-4D98-A7BB-CD7E4C680154}">
  <dimension ref="A1:V7"/>
  <sheetViews>
    <sheetView tabSelected="1" workbookViewId="0">
      <selection activeCell="F9" sqref="F9"/>
    </sheetView>
  </sheetViews>
  <sheetFormatPr defaultRowHeight="15" x14ac:dyDescent="0.25"/>
  <cols>
    <col min="1" max="1" width="13.85546875" bestFit="1" customWidth="1"/>
    <col min="2" max="2" width="14.5703125" customWidth="1"/>
    <col min="7" max="7" width="9.42578125" bestFit="1" customWidth="1"/>
    <col min="12" max="21" width="9.425781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0"/>
    </row>
    <row r="2" spans="1:22" s="14" customFormat="1" x14ac:dyDescent="0.25">
      <c r="A2" s="11">
        <v>45554</v>
      </c>
      <c r="B2" s="8" t="s">
        <v>202</v>
      </c>
      <c r="C2" s="8" t="s">
        <v>208</v>
      </c>
      <c r="D2" s="8" t="s">
        <v>204</v>
      </c>
      <c r="E2" s="8" t="s">
        <v>205</v>
      </c>
      <c r="F2" s="8" t="s">
        <v>206</v>
      </c>
      <c r="G2" s="8">
        <v>6800</v>
      </c>
      <c r="H2" s="8" t="s">
        <v>75</v>
      </c>
      <c r="I2" s="8" t="s">
        <v>75</v>
      </c>
      <c r="J2" s="12" t="s">
        <v>75</v>
      </c>
      <c r="K2" s="12" t="s">
        <v>75</v>
      </c>
      <c r="L2" s="12">
        <v>0.41666666666666669</v>
      </c>
      <c r="M2" s="12">
        <v>0.43402777777777773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/>
    </row>
    <row r="3" spans="1:22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2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spans="1:22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pans="1:22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C618-C056-4297-B0AE-BEE3978441AC}">
  <dimension ref="A1:U12"/>
  <sheetViews>
    <sheetView workbookViewId="0">
      <selection activeCell="A3" sqref="A3:U5"/>
    </sheetView>
  </sheetViews>
  <sheetFormatPr defaultRowHeight="15" x14ac:dyDescent="0.25"/>
  <cols>
    <col min="1" max="1" width="12.7109375" bestFit="1" customWidth="1"/>
    <col min="2" max="2" width="25.28515625" customWidth="1"/>
    <col min="3" max="3" width="17.5703125" customWidth="1"/>
    <col min="6" max="6" width="18.28515625" customWidth="1"/>
    <col min="7" max="7" width="9.42578125" bestFit="1" customWidth="1"/>
    <col min="10" max="10" width="9.42578125" bestFit="1" customWidth="1"/>
    <col min="12" max="12" width="9.42578125" bestFit="1" customWidth="1"/>
    <col min="14" max="14" width="12.5703125" customWidth="1"/>
    <col min="15" max="15" width="12" customWidth="1"/>
    <col min="16" max="16" width="9.42578125" bestFit="1" customWidth="1"/>
    <col min="18" max="21" width="9.425781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45555</v>
      </c>
      <c r="B2" s="1" t="s">
        <v>43</v>
      </c>
      <c r="C2" s="1" t="s">
        <v>225</v>
      </c>
      <c r="D2" s="2" t="s">
        <v>23</v>
      </c>
      <c r="E2" s="1" t="s">
        <v>210</v>
      </c>
      <c r="F2" s="2" t="s">
        <v>46</v>
      </c>
      <c r="G2" s="4">
        <v>77000</v>
      </c>
      <c r="H2" s="1" t="s">
        <v>47</v>
      </c>
      <c r="I2" s="1" t="s">
        <v>48</v>
      </c>
      <c r="J2" s="5">
        <v>0.30902777777777779</v>
      </c>
      <c r="K2" s="6">
        <v>0.31458333333333333</v>
      </c>
      <c r="L2" s="5">
        <v>0.34027777777777773</v>
      </c>
      <c r="M2" s="6">
        <v>0.34513888888888888</v>
      </c>
      <c r="N2" s="2" t="s">
        <v>209</v>
      </c>
      <c r="O2" s="2" t="s">
        <v>136</v>
      </c>
      <c r="P2" s="2">
        <v>2389</v>
      </c>
      <c r="Q2" s="2">
        <v>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45555</v>
      </c>
      <c r="B3" s="1" t="s">
        <v>21</v>
      </c>
      <c r="C3" s="1" t="s">
        <v>221</v>
      </c>
      <c r="D3" s="2" t="s">
        <v>23</v>
      </c>
      <c r="E3" s="1" t="s">
        <v>127</v>
      </c>
      <c r="F3" s="2" t="s">
        <v>24</v>
      </c>
      <c r="G3" s="4">
        <v>71500</v>
      </c>
      <c r="H3" s="1" t="s">
        <v>26</v>
      </c>
      <c r="I3" s="1" t="s">
        <v>25</v>
      </c>
      <c r="J3" s="5">
        <v>0.42708333333333331</v>
      </c>
      <c r="K3" s="6" t="s">
        <v>223</v>
      </c>
      <c r="L3" s="5">
        <v>0.4513888888888889</v>
      </c>
      <c r="M3" s="6">
        <v>0.54305555555555551</v>
      </c>
      <c r="N3" s="1" t="s">
        <v>223</v>
      </c>
      <c r="O3" s="1" t="s">
        <v>227</v>
      </c>
      <c r="P3" s="1" t="s">
        <v>223</v>
      </c>
      <c r="Q3" s="1">
        <v>589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45555</v>
      </c>
      <c r="B4" s="1" t="s">
        <v>27</v>
      </c>
      <c r="C4" s="1" t="s">
        <v>28</v>
      </c>
      <c r="D4" s="7" t="s">
        <v>23</v>
      </c>
      <c r="E4" s="1" t="s">
        <v>211</v>
      </c>
      <c r="F4" s="7" t="s">
        <v>24</v>
      </c>
      <c r="G4" s="1">
        <v>71.5</v>
      </c>
      <c r="H4" s="7" t="s">
        <v>29</v>
      </c>
      <c r="I4" s="1" t="s">
        <v>30</v>
      </c>
      <c r="J4" s="5">
        <v>0.50347222222222221</v>
      </c>
      <c r="K4" s="6">
        <v>0.51736111111111105</v>
      </c>
      <c r="L4" s="5">
        <v>0.52777777777777779</v>
      </c>
      <c r="M4" s="6">
        <v>0.56458333333333333</v>
      </c>
      <c r="N4" s="1" t="s">
        <v>165</v>
      </c>
      <c r="O4" s="1" t="s">
        <v>226</v>
      </c>
      <c r="P4" s="1">
        <v>789</v>
      </c>
      <c r="Q4" s="1">
        <v>753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45555</v>
      </c>
      <c r="B5" s="1" t="s">
        <v>21</v>
      </c>
      <c r="C5" s="1" t="s">
        <v>31</v>
      </c>
      <c r="D5" s="7" t="s">
        <v>23</v>
      </c>
      <c r="E5" s="1" t="s">
        <v>114</v>
      </c>
      <c r="F5" s="7" t="s">
        <v>24</v>
      </c>
      <c r="G5" s="1">
        <v>71.5</v>
      </c>
      <c r="H5" s="1" t="s">
        <v>32</v>
      </c>
      <c r="I5" s="1" t="s">
        <v>33</v>
      </c>
      <c r="J5" s="5">
        <v>0.72222222222222221</v>
      </c>
      <c r="K5" s="6">
        <v>0.72291666666666676</v>
      </c>
      <c r="L5" s="5">
        <v>0.74305555555555547</v>
      </c>
      <c r="M5" s="6">
        <v>0.7583333333333333</v>
      </c>
      <c r="N5" s="1" t="s">
        <v>137</v>
      </c>
      <c r="O5" s="1" t="s">
        <v>228</v>
      </c>
      <c r="P5" s="1">
        <v>838</v>
      </c>
      <c r="Q5" s="1">
        <v>1347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>
        <v>45555</v>
      </c>
      <c r="B6" s="1" t="s">
        <v>212</v>
      </c>
      <c r="C6" s="1" t="s">
        <v>213</v>
      </c>
      <c r="D6" s="7" t="s">
        <v>214</v>
      </c>
      <c r="E6" s="1" t="s">
        <v>215</v>
      </c>
      <c r="F6" s="7" t="s">
        <v>216</v>
      </c>
      <c r="G6" s="1">
        <v>15660</v>
      </c>
      <c r="H6" s="1" t="s">
        <v>217</v>
      </c>
      <c r="I6" s="1" t="s">
        <v>217</v>
      </c>
      <c r="J6" s="5">
        <v>0.54861111111111105</v>
      </c>
      <c r="K6" s="6">
        <v>0.54166666666666663</v>
      </c>
      <c r="L6" s="5">
        <v>0.57638888888888895</v>
      </c>
      <c r="M6" s="6">
        <v>0.56944444444444442</v>
      </c>
      <c r="N6" s="1">
        <v>0</v>
      </c>
      <c r="O6" s="1">
        <v>1</v>
      </c>
      <c r="P6" s="1" t="s">
        <v>75</v>
      </c>
      <c r="Q6" s="1" t="s">
        <v>75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3">
        <v>45555</v>
      </c>
      <c r="B7" s="1" t="s">
        <v>202</v>
      </c>
      <c r="C7" s="1" t="s">
        <v>218</v>
      </c>
      <c r="D7" s="1" t="s">
        <v>204</v>
      </c>
      <c r="E7" s="1" t="s">
        <v>205</v>
      </c>
      <c r="F7" s="1" t="s">
        <v>206</v>
      </c>
      <c r="G7" s="1">
        <v>6800</v>
      </c>
      <c r="H7" s="1" t="s">
        <v>219</v>
      </c>
      <c r="I7" s="1" t="s">
        <v>219</v>
      </c>
      <c r="J7" s="5" t="s">
        <v>207</v>
      </c>
      <c r="K7" s="6" t="s">
        <v>207</v>
      </c>
      <c r="L7" s="5">
        <v>0.70833333333333337</v>
      </c>
      <c r="M7" s="6">
        <v>0.625</v>
      </c>
      <c r="N7" s="1" t="s">
        <v>75</v>
      </c>
      <c r="O7" s="1" t="s">
        <v>75</v>
      </c>
      <c r="P7" s="1" t="s">
        <v>75</v>
      </c>
      <c r="Q7" s="1" t="s">
        <v>75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3">
        <v>45555</v>
      </c>
      <c r="B8" s="1" t="s">
        <v>21</v>
      </c>
      <c r="C8" s="1" t="s">
        <v>220</v>
      </c>
      <c r="D8" s="2" t="s">
        <v>23</v>
      </c>
      <c r="E8" s="1" t="s">
        <v>127</v>
      </c>
      <c r="F8" s="2" t="s">
        <v>222</v>
      </c>
      <c r="G8" s="4">
        <v>71500</v>
      </c>
      <c r="H8" s="1" t="s">
        <v>224</v>
      </c>
      <c r="I8" s="1" t="s">
        <v>75</v>
      </c>
      <c r="J8" s="5">
        <v>0.4236111111111111</v>
      </c>
      <c r="K8" s="6">
        <v>0.4993055555555555</v>
      </c>
      <c r="L8" s="5" t="s">
        <v>75</v>
      </c>
      <c r="M8" s="6" t="s">
        <v>75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1F98-B89F-4B2A-9F4F-69F66A65CC6E}">
  <dimension ref="A1:U4"/>
  <sheetViews>
    <sheetView workbookViewId="0">
      <selection activeCell="M4" sqref="M4"/>
    </sheetView>
  </sheetViews>
  <sheetFormatPr defaultRowHeight="15" x14ac:dyDescent="0.25"/>
  <cols>
    <col min="2" max="2" width="25.140625" customWidth="1"/>
    <col min="3" max="3" width="19.28515625" customWidth="1"/>
    <col min="5" max="5" width="13.28515625" customWidth="1"/>
    <col min="6" max="6" width="17.85546875" customWidth="1"/>
    <col min="14" max="14" width="13" customWidth="1"/>
    <col min="15" max="15" width="12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45556</v>
      </c>
      <c r="B2" s="1" t="s">
        <v>27</v>
      </c>
      <c r="C2" s="1" t="s">
        <v>22</v>
      </c>
      <c r="D2" s="2" t="s">
        <v>23</v>
      </c>
      <c r="E2" s="1" t="s">
        <v>229</v>
      </c>
      <c r="F2" s="2" t="s">
        <v>24</v>
      </c>
      <c r="G2" s="4">
        <v>71500</v>
      </c>
      <c r="H2" s="1" t="s">
        <v>52</v>
      </c>
      <c r="I2" s="1" t="s">
        <v>53</v>
      </c>
      <c r="J2" s="5">
        <v>0.44097222222222227</v>
      </c>
      <c r="K2" s="6">
        <v>0.46458333333333335</v>
      </c>
      <c r="L2" s="5">
        <v>0.46527777777777773</v>
      </c>
      <c r="M2" s="6">
        <v>0.49652777777777773</v>
      </c>
      <c r="N2" s="1" t="s">
        <v>165</v>
      </c>
      <c r="O2" s="1" t="s">
        <v>232</v>
      </c>
      <c r="P2" s="1">
        <v>446</v>
      </c>
      <c r="Q2" s="1">
        <v>667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45556</v>
      </c>
      <c r="B3" s="1" t="s">
        <v>87</v>
      </c>
      <c r="C3" s="2" t="s">
        <v>88</v>
      </c>
      <c r="D3" s="2" t="s">
        <v>175</v>
      </c>
      <c r="E3" s="2" t="s">
        <v>230</v>
      </c>
      <c r="F3" s="2" t="s">
        <v>24</v>
      </c>
      <c r="G3" s="4">
        <v>75000</v>
      </c>
      <c r="H3" s="2" t="s">
        <v>89</v>
      </c>
      <c r="I3" s="2" t="s">
        <v>90</v>
      </c>
      <c r="J3" s="9">
        <v>0.3298611111111111</v>
      </c>
      <c r="K3" s="10">
        <v>0.45902777777777781</v>
      </c>
      <c r="L3" s="9">
        <v>0.36805555555555558</v>
      </c>
      <c r="M3" s="10">
        <v>0.52847222222222223</v>
      </c>
      <c r="N3" s="2" t="s">
        <v>231</v>
      </c>
      <c r="O3" s="2" t="s">
        <v>233</v>
      </c>
      <c r="P3" s="2">
        <v>1425</v>
      </c>
      <c r="Q3" s="2">
        <v>1054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/>
      <c r="B4" s="1"/>
      <c r="C4" s="2"/>
      <c r="D4" s="2"/>
      <c r="E4" s="2"/>
      <c r="F4" s="2"/>
      <c r="G4" s="4"/>
      <c r="H4" s="2"/>
      <c r="I4" s="2"/>
      <c r="J4" s="9"/>
      <c r="K4" s="10"/>
      <c r="L4" s="9"/>
      <c r="M4" s="10"/>
      <c r="N4" s="1"/>
      <c r="O4" s="1"/>
      <c r="P4" s="1"/>
      <c r="Q4" s="1"/>
      <c r="R4" s="2"/>
      <c r="S4" s="2"/>
      <c r="T4" s="2"/>
      <c r="U4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7C3F-2C84-4619-9771-91FC807932F5}">
  <dimension ref="A1:U4"/>
  <sheetViews>
    <sheetView workbookViewId="0">
      <selection sqref="A1:XFD2"/>
    </sheetView>
  </sheetViews>
  <sheetFormatPr defaultRowHeight="15" x14ac:dyDescent="0.25"/>
  <cols>
    <col min="2" max="2" width="23.28515625" customWidth="1"/>
    <col min="3" max="3" width="16.28515625" customWidth="1"/>
    <col min="6" max="6" width="12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45557</v>
      </c>
      <c r="B2" s="1" t="s">
        <v>27</v>
      </c>
      <c r="C2" s="1" t="s">
        <v>31</v>
      </c>
      <c r="D2" s="1" t="s">
        <v>23</v>
      </c>
      <c r="E2" s="1" t="s">
        <v>145</v>
      </c>
      <c r="F2" s="1" t="s">
        <v>24</v>
      </c>
      <c r="G2" s="4">
        <v>71500</v>
      </c>
      <c r="H2" s="1" t="s">
        <v>116</v>
      </c>
      <c r="I2" s="1" t="s">
        <v>117</v>
      </c>
      <c r="J2" s="5">
        <v>0.51041666666666663</v>
      </c>
      <c r="K2" s="6">
        <v>0.50763888888888886</v>
      </c>
      <c r="L2" s="5">
        <v>0.53472222222222221</v>
      </c>
      <c r="M2" s="6">
        <v>0.54236111111111118</v>
      </c>
      <c r="N2" s="1" t="s">
        <v>235</v>
      </c>
      <c r="O2" s="1" t="s">
        <v>234</v>
      </c>
      <c r="P2" s="1">
        <v>901</v>
      </c>
      <c r="Q2" s="1">
        <v>878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/>
      <c r="B3" s="8"/>
      <c r="C3" s="8"/>
      <c r="D3" s="8"/>
      <c r="E3" s="8"/>
      <c r="F3" s="8"/>
      <c r="G3" s="8"/>
      <c r="H3" s="8"/>
      <c r="I3" s="8"/>
      <c r="J3" s="13"/>
      <c r="K3" s="12"/>
      <c r="L3" s="13"/>
      <c r="M3" s="12"/>
      <c r="N3" s="8"/>
      <c r="O3" s="8"/>
      <c r="P3" s="8"/>
      <c r="Q3" s="8"/>
      <c r="R3" s="8"/>
      <c r="S3" s="8"/>
      <c r="T3" s="8"/>
      <c r="U3" s="8"/>
    </row>
    <row r="4" spans="1:21" x14ac:dyDescent="0.25">
      <c r="A4" s="3"/>
      <c r="B4" s="8"/>
      <c r="C4" s="8"/>
      <c r="D4" s="8"/>
      <c r="E4" s="8"/>
      <c r="F4" s="8"/>
      <c r="G4" s="8"/>
      <c r="H4" s="8"/>
      <c r="I4" s="8"/>
      <c r="J4" s="13"/>
      <c r="K4" s="12"/>
      <c r="L4" s="13"/>
      <c r="M4" s="12"/>
      <c r="N4" s="8"/>
      <c r="O4" s="8"/>
      <c r="P4" s="8"/>
      <c r="Q4" s="8"/>
      <c r="R4" s="8"/>
      <c r="S4" s="8"/>
      <c r="T4" s="8"/>
      <c r="U4" s="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8697-120F-44B2-AE04-D71A52D1F754}">
  <dimension ref="A1:U6"/>
  <sheetViews>
    <sheetView workbookViewId="0">
      <selection activeCell="M7" sqref="M7"/>
    </sheetView>
  </sheetViews>
  <sheetFormatPr defaultRowHeight="15" x14ac:dyDescent="0.25"/>
  <cols>
    <col min="2" max="2" width="27" customWidth="1"/>
    <col min="3" max="3" width="19" customWidth="1"/>
    <col min="5" max="5" width="13.85546875" customWidth="1"/>
    <col min="6" max="6" width="17.85546875" customWidth="1"/>
    <col min="14" max="15" width="15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45558</v>
      </c>
      <c r="B2" s="1" t="s">
        <v>21</v>
      </c>
      <c r="C2" s="1" t="s">
        <v>22</v>
      </c>
      <c r="D2" s="2" t="s">
        <v>23</v>
      </c>
      <c r="E2" s="1" t="s">
        <v>127</v>
      </c>
      <c r="F2" s="2" t="s">
        <v>24</v>
      </c>
      <c r="G2" s="4">
        <v>71500</v>
      </c>
      <c r="H2" s="1" t="s">
        <v>26</v>
      </c>
      <c r="I2" s="1" t="s">
        <v>25</v>
      </c>
      <c r="J2" s="5">
        <v>0.42708333333333331</v>
      </c>
      <c r="K2" s="6">
        <v>0.41250000000000003</v>
      </c>
      <c r="L2" s="5">
        <v>0.4513888888888889</v>
      </c>
      <c r="M2" s="6">
        <v>0.45624999999999999</v>
      </c>
      <c r="N2" s="1" t="s">
        <v>78</v>
      </c>
      <c r="O2" s="1" t="s">
        <v>237</v>
      </c>
      <c r="P2" s="1">
        <v>533</v>
      </c>
      <c r="Q2" s="1">
        <v>492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45558</v>
      </c>
      <c r="B3" s="1" t="s">
        <v>27</v>
      </c>
      <c r="C3" s="1" t="s">
        <v>28</v>
      </c>
      <c r="D3" s="7" t="s">
        <v>23</v>
      </c>
      <c r="E3" s="1" t="s">
        <v>182</v>
      </c>
      <c r="F3" s="7" t="s">
        <v>24</v>
      </c>
      <c r="G3" s="4">
        <v>71500</v>
      </c>
      <c r="H3" s="7" t="s">
        <v>29</v>
      </c>
      <c r="I3" s="1" t="s">
        <v>30</v>
      </c>
      <c r="J3" s="5">
        <v>0.50347222222222221</v>
      </c>
      <c r="K3" s="6">
        <v>0.50486111111111109</v>
      </c>
      <c r="L3" s="5">
        <v>0.52777777777777779</v>
      </c>
      <c r="M3" s="6">
        <v>0.55208333333333337</v>
      </c>
      <c r="N3" s="1" t="s">
        <v>245</v>
      </c>
      <c r="O3" s="1" t="s">
        <v>244</v>
      </c>
      <c r="P3" s="1">
        <v>477</v>
      </c>
      <c r="Q3" s="1">
        <v>1032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45558</v>
      </c>
      <c r="B4" s="1" t="s">
        <v>21</v>
      </c>
      <c r="C4" s="1" t="s">
        <v>185</v>
      </c>
      <c r="D4" s="7" t="s">
        <v>23</v>
      </c>
      <c r="E4" s="1" t="s">
        <v>236</v>
      </c>
      <c r="F4" s="7" t="s">
        <v>24</v>
      </c>
      <c r="G4" s="4">
        <v>71500</v>
      </c>
      <c r="H4" s="1" t="s">
        <v>32</v>
      </c>
      <c r="I4" s="1" t="s">
        <v>33</v>
      </c>
      <c r="J4" s="5">
        <v>0.72222222222222221</v>
      </c>
      <c r="K4" s="6">
        <v>0.71458333333333324</v>
      </c>
      <c r="L4" s="5">
        <v>0.74305555555555547</v>
      </c>
      <c r="M4" s="6">
        <v>0.74930555555555556</v>
      </c>
      <c r="N4" s="1" t="s">
        <v>246</v>
      </c>
      <c r="O4" s="1" t="s">
        <v>168</v>
      </c>
      <c r="P4" s="1">
        <v>1170</v>
      </c>
      <c r="Q4" s="1">
        <v>881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45558</v>
      </c>
      <c r="B5" s="1" t="s">
        <v>238</v>
      </c>
      <c r="C5" s="1" t="s">
        <v>243</v>
      </c>
      <c r="D5" s="1" t="s">
        <v>239</v>
      </c>
      <c r="E5" s="1" t="s">
        <v>240</v>
      </c>
      <c r="F5" s="1" t="s">
        <v>216</v>
      </c>
      <c r="G5" s="1">
        <v>21.863</v>
      </c>
      <c r="H5" s="1" t="s">
        <v>241</v>
      </c>
      <c r="I5" s="1" t="s">
        <v>242</v>
      </c>
      <c r="J5" s="5">
        <v>0.54861111111111105</v>
      </c>
      <c r="K5" s="6">
        <v>0.54652777777777783</v>
      </c>
      <c r="L5" s="5">
        <v>0.57291666666666663</v>
      </c>
      <c r="M5" s="6">
        <v>0.56944444444444442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5"/>
      <c r="M6" s="6"/>
      <c r="N6" s="1"/>
      <c r="O6" s="1"/>
      <c r="P6" s="1"/>
      <c r="Q6" s="1"/>
      <c r="R6" s="1"/>
      <c r="S6" s="1"/>
      <c r="T6" s="1"/>
      <c r="U6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3462-8BF1-41DD-859F-C39D11602C9A}">
  <dimension ref="A1:U5"/>
  <sheetViews>
    <sheetView workbookViewId="0">
      <selection activeCell="F24" sqref="F24"/>
    </sheetView>
  </sheetViews>
  <sheetFormatPr defaultRowHeight="15" x14ac:dyDescent="0.25"/>
  <cols>
    <col min="2" max="2" width="22.28515625" customWidth="1"/>
    <col min="3" max="3" width="21.85546875" customWidth="1"/>
    <col min="4" max="4" width="17.7109375" customWidth="1"/>
    <col min="6" max="6" width="13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45559</v>
      </c>
      <c r="B2" s="1" t="s">
        <v>43</v>
      </c>
      <c r="C2" s="1" t="s">
        <v>250</v>
      </c>
      <c r="D2" s="2" t="s">
        <v>23</v>
      </c>
      <c r="E2" s="1" t="s">
        <v>247</v>
      </c>
      <c r="F2" s="2" t="s">
        <v>46</v>
      </c>
      <c r="G2" s="4">
        <v>77000</v>
      </c>
      <c r="H2" s="1" t="s">
        <v>47</v>
      </c>
      <c r="I2" s="1" t="s">
        <v>48</v>
      </c>
      <c r="J2" s="5">
        <v>0.3298611111111111</v>
      </c>
      <c r="K2" s="6">
        <v>0.34166666666666662</v>
      </c>
      <c r="L2" s="5">
        <v>0.37152777777777773</v>
      </c>
      <c r="M2" s="6">
        <v>0.38472222222222219</v>
      </c>
      <c r="N2" s="2" t="s">
        <v>228</v>
      </c>
      <c r="O2" s="2">
        <v>167</v>
      </c>
      <c r="P2" s="2">
        <v>2696</v>
      </c>
      <c r="Q2" s="2">
        <v>1889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45559</v>
      </c>
      <c r="B3" s="1" t="s">
        <v>27</v>
      </c>
      <c r="C3" s="1" t="s">
        <v>22</v>
      </c>
      <c r="D3" s="2" t="s">
        <v>23</v>
      </c>
      <c r="E3" s="1" t="s">
        <v>248</v>
      </c>
      <c r="F3" s="2" t="s">
        <v>24</v>
      </c>
      <c r="G3" s="4">
        <v>71500</v>
      </c>
      <c r="H3" s="1" t="s">
        <v>52</v>
      </c>
      <c r="I3" s="1" t="s">
        <v>53</v>
      </c>
      <c r="J3" s="5">
        <v>0.44097222222222227</v>
      </c>
      <c r="K3" s="6">
        <v>0.43958333333333338</v>
      </c>
      <c r="L3" s="5">
        <v>0.46527777777777773</v>
      </c>
      <c r="M3" s="6">
        <v>0.48402777777777778</v>
      </c>
      <c r="N3" s="2" t="s">
        <v>249</v>
      </c>
      <c r="O3" s="2" t="s">
        <v>197</v>
      </c>
      <c r="P3" s="1">
        <v>349</v>
      </c>
      <c r="Q3" s="1">
        <v>350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45559</v>
      </c>
      <c r="B4" s="1" t="s">
        <v>27</v>
      </c>
      <c r="C4" s="1" t="s">
        <v>28</v>
      </c>
      <c r="D4" s="1" t="s">
        <v>23</v>
      </c>
      <c r="E4" s="1" t="s">
        <v>145</v>
      </c>
      <c r="F4" s="1" t="s">
        <v>24</v>
      </c>
      <c r="G4" s="4">
        <v>71500</v>
      </c>
      <c r="H4" s="1" t="s">
        <v>29</v>
      </c>
      <c r="I4" s="1" t="s">
        <v>30</v>
      </c>
      <c r="J4" s="5">
        <v>0.75</v>
      </c>
      <c r="K4" s="6">
        <v>0.74861111111111101</v>
      </c>
      <c r="L4" s="5">
        <v>0.77430555555555547</v>
      </c>
      <c r="M4" s="6">
        <v>0.78194444444444444</v>
      </c>
      <c r="N4" s="1" t="s">
        <v>165</v>
      </c>
      <c r="O4" s="1" t="s">
        <v>251</v>
      </c>
      <c r="P4" s="1">
        <v>525</v>
      </c>
      <c r="Q4" s="1">
        <v>543</v>
      </c>
      <c r="R4" s="1">
        <v>0</v>
      </c>
      <c r="S4" s="1">
        <v>0</v>
      </c>
      <c r="T4" s="1">
        <v>0</v>
      </c>
      <c r="U4" s="1">
        <v>0</v>
      </c>
    </row>
    <row r="5" spans="1:21" s="14" customFormat="1" x14ac:dyDescent="0.25">
      <c r="A5" s="3">
        <v>45559</v>
      </c>
      <c r="B5" s="14" t="s">
        <v>255</v>
      </c>
      <c r="C5" s="1" t="s">
        <v>252</v>
      </c>
      <c r="D5" s="14" t="s">
        <v>256</v>
      </c>
      <c r="E5" s="1" t="s">
        <v>253</v>
      </c>
      <c r="F5" s="7" t="s">
        <v>254</v>
      </c>
      <c r="H5" s="1" t="s">
        <v>75</v>
      </c>
      <c r="I5" s="1" t="s">
        <v>75</v>
      </c>
      <c r="J5" s="17">
        <v>0.60416666666666663</v>
      </c>
      <c r="K5" s="16">
        <v>0.61805555555555558</v>
      </c>
      <c r="L5" s="14" t="s">
        <v>207</v>
      </c>
      <c r="M5" s="14" t="s">
        <v>207</v>
      </c>
      <c r="N5" s="14">
        <v>1</v>
      </c>
      <c r="O5" s="7" t="s">
        <v>207</v>
      </c>
      <c r="P5" s="14">
        <v>0</v>
      </c>
      <c r="Q5" s="14">
        <v>0</v>
      </c>
      <c r="R5" s="1">
        <v>0</v>
      </c>
      <c r="S5" s="1">
        <v>0</v>
      </c>
      <c r="T5" s="1">
        <v>0</v>
      </c>
      <c r="U5" s="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E039-DF76-4B85-B157-C7E50EF00659}">
  <dimension ref="A1:U4"/>
  <sheetViews>
    <sheetView workbookViewId="0">
      <selection activeCell="J26" sqref="J26"/>
    </sheetView>
  </sheetViews>
  <sheetFormatPr defaultRowHeight="15" x14ac:dyDescent="0.25"/>
  <cols>
    <col min="2" max="2" width="23.28515625" bestFit="1" customWidth="1"/>
    <col min="3" max="3" width="15.42578125" customWidth="1"/>
    <col min="6" max="6" width="12.140625" bestFit="1" customWidth="1"/>
    <col min="14" max="14" width="14.5703125" customWidth="1"/>
    <col min="15" max="15" width="12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45560</v>
      </c>
      <c r="B2" s="1" t="s">
        <v>21</v>
      </c>
      <c r="C2" s="1" t="s">
        <v>22</v>
      </c>
      <c r="D2" s="2" t="s">
        <v>23</v>
      </c>
      <c r="E2" s="1" t="s">
        <v>127</v>
      </c>
      <c r="F2" s="2" t="s">
        <v>24</v>
      </c>
      <c r="G2" s="4">
        <v>71500</v>
      </c>
      <c r="H2" s="1" t="s">
        <v>26</v>
      </c>
      <c r="I2" s="1" t="s">
        <v>25</v>
      </c>
      <c r="J2" s="5">
        <v>0.41666666666666669</v>
      </c>
      <c r="K2" s="6">
        <v>0.39930555555555558</v>
      </c>
      <c r="L2" s="5">
        <v>0.44097222222222227</v>
      </c>
      <c r="M2" s="6">
        <v>0.44375000000000003</v>
      </c>
      <c r="N2" s="1" t="s">
        <v>261</v>
      </c>
      <c r="O2" s="1" t="s">
        <v>262</v>
      </c>
      <c r="P2" s="1">
        <v>495</v>
      </c>
      <c r="Q2" s="1">
        <v>714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45560</v>
      </c>
      <c r="B3" s="1" t="s">
        <v>21</v>
      </c>
      <c r="C3" s="1" t="s">
        <v>31</v>
      </c>
      <c r="D3" s="1" t="s">
        <v>23</v>
      </c>
      <c r="E3" s="1" t="s">
        <v>236</v>
      </c>
      <c r="F3" s="1" t="s">
        <v>24</v>
      </c>
      <c r="G3" s="4">
        <v>71500</v>
      </c>
      <c r="H3" s="1" t="s">
        <v>32</v>
      </c>
      <c r="I3" s="1" t="s">
        <v>33</v>
      </c>
      <c r="J3" s="5">
        <v>0.72222222222222221</v>
      </c>
      <c r="K3" s="6">
        <v>0.71250000000000002</v>
      </c>
      <c r="L3" s="5">
        <v>0.74305555555555547</v>
      </c>
      <c r="M3" s="6">
        <v>0.75694444444444453</v>
      </c>
      <c r="N3" s="1" t="s">
        <v>263</v>
      </c>
      <c r="O3" s="1" t="s">
        <v>235</v>
      </c>
      <c r="P3" s="1">
        <v>1053</v>
      </c>
      <c r="Q3" s="1">
        <v>938</v>
      </c>
      <c r="R3" s="1">
        <v>0</v>
      </c>
      <c r="S3" s="1">
        <v>0</v>
      </c>
      <c r="T3" s="1">
        <v>0</v>
      </c>
      <c r="U3" s="1">
        <v>0</v>
      </c>
    </row>
    <row r="4" spans="1:21" s="8" customFormat="1" ht="12.75" x14ac:dyDescent="0.2">
      <c r="A4" s="3">
        <v>45560</v>
      </c>
      <c r="B4" s="8" t="s">
        <v>257</v>
      </c>
      <c r="C4" s="8" t="s">
        <v>258</v>
      </c>
      <c r="D4" s="8" t="s">
        <v>23</v>
      </c>
      <c r="E4" s="8" t="s">
        <v>259</v>
      </c>
      <c r="F4" s="8" t="s">
        <v>206</v>
      </c>
      <c r="G4" s="18">
        <v>79000</v>
      </c>
      <c r="H4" s="8" t="s">
        <v>260</v>
      </c>
      <c r="I4" s="8" t="s">
        <v>260</v>
      </c>
      <c r="J4" s="13">
        <v>0.3263888888888889</v>
      </c>
      <c r="K4" s="12">
        <v>0.375</v>
      </c>
      <c r="M4" s="13">
        <v>0.43194444444444446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03EC-6AE5-4871-8537-6DF7E95318E0}">
  <dimension ref="A1:U10"/>
  <sheetViews>
    <sheetView workbookViewId="0">
      <selection activeCell="I31" sqref="I31"/>
    </sheetView>
  </sheetViews>
  <sheetFormatPr defaultRowHeight="15" x14ac:dyDescent="0.25"/>
  <cols>
    <col min="1" max="1" width="13.28515625" customWidth="1"/>
    <col min="2" max="2" width="21.5703125" customWidth="1"/>
    <col min="3" max="3" width="16.28515625" customWidth="1"/>
    <col min="4" max="4" width="19.28515625" customWidth="1"/>
    <col min="6" max="6" width="16.855468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9">
        <v>45561</v>
      </c>
      <c r="B2" s="1" t="s">
        <v>264</v>
      </c>
      <c r="C2" s="1" t="s">
        <v>265</v>
      </c>
      <c r="D2" s="1" t="s">
        <v>266</v>
      </c>
      <c r="E2" s="1" t="s">
        <v>267</v>
      </c>
      <c r="F2" s="1" t="s">
        <v>132</v>
      </c>
      <c r="G2" s="1">
        <v>1045</v>
      </c>
      <c r="H2" s="1" t="s">
        <v>268</v>
      </c>
      <c r="I2" s="1" t="s">
        <v>268</v>
      </c>
      <c r="J2" s="5">
        <v>0.34722222222222227</v>
      </c>
      <c r="K2" s="6">
        <v>0.3923611111111111</v>
      </c>
      <c r="L2" s="5">
        <v>0.375</v>
      </c>
      <c r="M2" s="6">
        <v>0.4236111111111111</v>
      </c>
      <c r="N2" s="1" t="s">
        <v>136</v>
      </c>
      <c r="O2" s="1" t="s">
        <v>136</v>
      </c>
      <c r="P2" s="1" t="s">
        <v>75</v>
      </c>
      <c r="Q2" s="1" t="s">
        <v>75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45561</v>
      </c>
      <c r="B3" s="8" t="s">
        <v>255</v>
      </c>
      <c r="C3" s="1" t="s">
        <v>269</v>
      </c>
      <c r="D3" s="8" t="s">
        <v>256</v>
      </c>
      <c r="E3" s="1" t="s">
        <v>253</v>
      </c>
      <c r="F3" s="7" t="s">
        <v>254</v>
      </c>
      <c r="G3" s="8">
        <v>1540</v>
      </c>
      <c r="H3" s="1" t="s">
        <v>75</v>
      </c>
      <c r="I3" s="1" t="s">
        <v>75</v>
      </c>
      <c r="J3" s="13" t="s">
        <v>207</v>
      </c>
      <c r="K3" s="12" t="s">
        <v>207</v>
      </c>
      <c r="L3" s="13">
        <v>0.51041666666666663</v>
      </c>
      <c r="M3" s="12">
        <v>0.52222222222222225</v>
      </c>
      <c r="N3" s="8" t="s">
        <v>75</v>
      </c>
      <c r="O3" s="7">
        <v>1</v>
      </c>
      <c r="P3" s="8" t="s">
        <v>75</v>
      </c>
      <c r="Q3" s="8" t="s">
        <v>75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83D8-3746-413F-B7C3-0C527ED9BD79}">
  <dimension ref="A1:U5"/>
  <sheetViews>
    <sheetView workbookViewId="0">
      <selection activeCell="Q5" sqref="Q5"/>
    </sheetView>
  </sheetViews>
  <sheetFormatPr defaultRowHeight="15" x14ac:dyDescent="0.25"/>
  <cols>
    <col min="2" max="2" width="26" customWidth="1"/>
    <col min="3" max="3" width="18.42578125" customWidth="1"/>
    <col min="5" max="5" width="11.42578125" customWidth="1"/>
    <col min="6" max="6" width="19" customWidth="1"/>
    <col min="14" max="14" width="10.5703125" customWidth="1"/>
    <col min="15" max="15" width="10.855468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45562</v>
      </c>
      <c r="B2" s="1" t="s">
        <v>21</v>
      </c>
      <c r="C2" s="1" t="s">
        <v>22</v>
      </c>
      <c r="D2" s="2" t="s">
        <v>23</v>
      </c>
      <c r="E2" s="1" t="s">
        <v>270</v>
      </c>
      <c r="F2" s="2" t="s">
        <v>24</v>
      </c>
      <c r="G2" s="4">
        <v>71500</v>
      </c>
      <c r="H2" s="1" t="s">
        <v>26</v>
      </c>
      <c r="I2" s="1" t="s">
        <v>25</v>
      </c>
      <c r="J2" s="5">
        <v>0.42708333333333331</v>
      </c>
      <c r="K2" s="6">
        <v>0.4152777777777778</v>
      </c>
      <c r="L2" s="5">
        <v>0.4513888888888889</v>
      </c>
      <c r="M2" s="6">
        <v>0.4694444444444445</v>
      </c>
      <c r="N2" s="1" t="s">
        <v>149</v>
      </c>
      <c r="O2" s="1" t="s">
        <v>276</v>
      </c>
      <c r="P2" s="1">
        <v>553</v>
      </c>
      <c r="Q2" s="1">
        <v>495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45562</v>
      </c>
      <c r="B3" s="1" t="s">
        <v>27</v>
      </c>
      <c r="C3" s="1" t="s">
        <v>28</v>
      </c>
      <c r="D3" s="7" t="s">
        <v>23</v>
      </c>
      <c r="E3" s="1" t="s">
        <v>271</v>
      </c>
      <c r="F3" s="7" t="s">
        <v>24</v>
      </c>
      <c r="G3" s="1">
        <v>71.5</v>
      </c>
      <c r="H3" s="7" t="s">
        <v>29</v>
      </c>
      <c r="I3" s="1" t="s">
        <v>30</v>
      </c>
      <c r="J3" s="5">
        <v>0.50347222222222221</v>
      </c>
      <c r="K3" s="6">
        <v>0.51388888888888895</v>
      </c>
      <c r="L3" s="5">
        <v>0.52777777777777779</v>
      </c>
      <c r="M3" s="6">
        <v>0.56805555555555554</v>
      </c>
      <c r="N3" s="1" t="s">
        <v>277</v>
      </c>
      <c r="O3" s="1" t="s">
        <v>278</v>
      </c>
      <c r="P3" s="1">
        <v>747</v>
      </c>
      <c r="Q3" s="1">
        <v>918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45562</v>
      </c>
      <c r="B4" s="1" t="s">
        <v>21</v>
      </c>
      <c r="C4" s="1" t="s">
        <v>31</v>
      </c>
      <c r="D4" s="7" t="s">
        <v>23</v>
      </c>
      <c r="E4" s="1" t="s">
        <v>236</v>
      </c>
      <c r="F4" s="7" t="s">
        <v>24</v>
      </c>
      <c r="G4" s="1">
        <v>71.5</v>
      </c>
      <c r="H4" s="1" t="s">
        <v>32</v>
      </c>
      <c r="I4" s="1" t="s">
        <v>33</v>
      </c>
      <c r="J4" s="5">
        <v>0.72222222222222221</v>
      </c>
      <c r="K4" s="6">
        <v>0.72777777777777775</v>
      </c>
      <c r="L4" s="5">
        <v>0.74305555555555547</v>
      </c>
      <c r="M4" s="6">
        <v>0.76666666666666661</v>
      </c>
      <c r="N4" s="1" t="s">
        <v>168</v>
      </c>
      <c r="O4" s="1" t="s">
        <v>228</v>
      </c>
      <c r="P4" s="1">
        <v>1047</v>
      </c>
      <c r="Q4" s="1">
        <v>1397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45562</v>
      </c>
      <c r="B5" s="1" t="s">
        <v>264</v>
      </c>
      <c r="C5" s="1" t="s">
        <v>275</v>
      </c>
      <c r="D5" s="1" t="s">
        <v>274</v>
      </c>
      <c r="E5" s="1" t="s">
        <v>273</v>
      </c>
      <c r="F5" s="1" t="s">
        <v>132</v>
      </c>
      <c r="G5" s="1">
        <v>1045</v>
      </c>
      <c r="H5" s="1" t="s">
        <v>272</v>
      </c>
      <c r="I5" s="1" t="s">
        <v>272</v>
      </c>
      <c r="J5" s="5">
        <v>0.46527777777777773</v>
      </c>
      <c r="K5" s="6">
        <v>0.48541666666666666</v>
      </c>
      <c r="L5" s="5" t="s">
        <v>207</v>
      </c>
      <c r="M5" s="6" t="s">
        <v>207</v>
      </c>
      <c r="N5" s="1" t="s">
        <v>75</v>
      </c>
      <c r="O5" s="1" t="s">
        <v>75</v>
      </c>
      <c r="P5" s="1" t="s">
        <v>75</v>
      </c>
      <c r="Q5" s="1" t="s">
        <v>75</v>
      </c>
      <c r="R5" s="1">
        <v>0</v>
      </c>
      <c r="S5" s="1">
        <v>0</v>
      </c>
      <c r="T5" s="1">
        <v>0</v>
      </c>
      <c r="U5" s="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9F77-6F6D-402F-B6E4-4440A940E716}">
  <dimension ref="A1:U4"/>
  <sheetViews>
    <sheetView workbookViewId="0">
      <selection activeCell="N11" sqref="N11"/>
    </sheetView>
  </sheetViews>
  <sheetFormatPr defaultRowHeight="15" x14ac:dyDescent="0.25"/>
  <cols>
    <col min="2" max="2" width="25.140625" customWidth="1"/>
    <col min="3" max="3" width="19.28515625" customWidth="1"/>
    <col min="5" max="5" width="13.28515625" customWidth="1"/>
    <col min="6" max="6" width="17.85546875" customWidth="1"/>
    <col min="14" max="14" width="13" customWidth="1"/>
    <col min="15" max="15" width="12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45563</v>
      </c>
      <c r="B2" s="1" t="s">
        <v>27</v>
      </c>
      <c r="C2" s="1" t="s">
        <v>22</v>
      </c>
      <c r="D2" s="2" t="s">
        <v>23</v>
      </c>
      <c r="E2" s="1" t="s">
        <v>282</v>
      </c>
      <c r="F2" s="2" t="s">
        <v>24</v>
      </c>
      <c r="G2" s="4">
        <v>71500</v>
      </c>
      <c r="H2" s="1" t="s">
        <v>52</v>
      </c>
      <c r="I2" s="1" t="s">
        <v>53</v>
      </c>
      <c r="J2" s="5">
        <v>0.44097222222222227</v>
      </c>
      <c r="K2" s="6">
        <v>0.4465277777777778</v>
      </c>
      <c r="L2" s="5">
        <v>0.46527777777777773</v>
      </c>
      <c r="M2" s="6">
        <v>0.48958333333333331</v>
      </c>
      <c r="N2" s="1" t="s">
        <v>84</v>
      </c>
      <c r="O2" s="1" t="s">
        <v>285</v>
      </c>
      <c r="P2" s="1">
        <v>596</v>
      </c>
      <c r="Q2" s="1">
        <v>821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45563</v>
      </c>
      <c r="B3" s="1" t="s">
        <v>87</v>
      </c>
      <c r="C3" s="2" t="s">
        <v>88</v>
      </c>
      <c r="D3" s="2" t="s">
        <v>175</v>
      </c>
      <c r="E3" s="2" t="s">
        <v>281</v>
      </c>
      <c r="F3" s="2" t="s">
        <v>24</v>
      </c>
      <c r="G3" s="4">
        <v>89000</v>
      </c>
      <c r="H3" s="2" t="s">
        <v>89</v>
      </c>
      <c r="I3" s="2" t="s">
        <v>90</v>
      </c>
      <c r="J3" s="9">
        <v>0.3298611111111111</v>
      </c>
      <c r="K3" s="10">
        <v>0.30624999999999997</v>
      </c>
      <c r="L3" s="9">
        <v>0.36805555555555558</v>
      </c>
      <c r="M3" s="10">
        <v>0.36458333333333331</v>
      </c>
      <c r="N3" s="2" t="s">
        <v>283</v>
      </c>
      <c r="O3" s="2" t="s">
        <v>284</v>
      </c>
      <c r="P3" s="2">
        <v>2847</v>
      </c>
      <c r="Q3" s="2">
        <v>1526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45563</v>
      </c>
      <c r="B4" s="1" t="s">
        <v>264</v>
      </c>
      <c r="C4" s="2" t="s">
        <v>279</v>
      </c>
      <c r="D4" s="2" t="s">
        <v>274</v>
      </c>
      <c r="E4" s="2" t="s">
        <v>273</v>
      </c>
      <c r="F4" s="2" t="s">
        <v>280</v>
      </c>
      <c r="G4" s="4">
        <v>1000</v>
      </c>
      <c r="H4" s="2" t="s">
        <v>75</v>
      </c>
      <c r="I4" s="2" t="s">
        <v>75</v>
      </c>
      <c r="J4" s="9" t="s">
        <v>207</v>
      </c>
      <c r="K4" s="10" t="s">
        <v>207</v>
      </c>
      <c r="L4" s="9">
        <v>0.375</v>
      </c>
      <c r="M4" s="10">
        <v>0.3833333333333333</v>
      </c>
      <c r="N4" s="1">
        <v>0</v>
      </c>
      <c r="O4" s="1">
        <v>0</v>
      </c>
      <c r="P4" s="1">
        <v>0</v>
      </c>
      <c r="Q4" s="1">
        <v>0</v>
      </c>
      <c r="R4" s="2">
        <v>0</v>
      </c>
      <c r="S4" s="2">
        <v>0</v>
      </c>
      <c r="T4" s="2">
        <v>0</v>
      </c>
      <c r="U4" s="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FADD-A419-4CB1-A746-F16CE3B01171}">
  <dimension ref="A1:U2"/>
  <sheetViews>
    <sheetView workbookViewId="0">
      <selection activeCell="E3" sqref="E3"/>
    </sheetView>
  </sheetViews>
  <sheetFormatPr defaultRowHeight="15" x14ac:dyDescent="0.25"/>
  <cols>
    <col min="2" max="2" width="29.140625" customWidth="1"/>
    <col min="3" max="3" width="19.7109375" customWidth="1"/>
    <col min="6" max="6" width="18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45564</v>
      </c>
      <c r="B2" s="1" t="s">
        <v>27</v>
      </c>
      <c r="C2" s="1" t="s">
        <v>31</v>
      </c>
      <c r="D2" s="1" t="s">
        <v>23</v>
      </c>
      <c r="E2" s="1" t="s">
        <v>271</v>
      </c>
      <c r="F2" s="1" t="s">
        <v>24</v>
      </c>
      <c r="G2" s="4">
        <v>71500</v>
      </c>
      <c r="H2" s="1" t="s">
        <v>116</v>
      </c>
      <c r="I2" s="1" t="s">
        <v>117</v>
      </c>
      <c r="J2" s="5">
        <v>0.51041666666666663</v>
      </c>
      <c r="K2" s="6">
        <v>0.50624999999999998</v>
      </c>
      <c r="L2" s="5">
        <v>0.53472222222222221</v>
      </c>
      <c r="M2" s="6">
        <v>0.55833333333333335</v>
      </c>
      <c r="N2" s="1" t="s">
        <v>286</v>
      </c>
      <c r="O2" s="6" t="s">
        <v>287</v>
      </c>
      <c r="P2" s="1">
        <v>853</v>
      </c>
      <c r="Q2" s="1">
        <v>1015</v>
      </c>
      <c r="R2" s="1">
        <v>0</v>
      </c>
      <c r="S2" s="1">
        <v>0</v>
      </c>
      <c r="T2" s="1">
        <v>0</v>
      </c>
      <c r="U2" s="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6F9C-4AE3-41E3-A62B-D3E472515563}">
  <dimension ref="A1:U6"/>
  <sheetViews>
    <sheetView workbookViewId="0">
      <selection activeCell="L4" sqref="L4"/>
    </sheetView>
  </sheetViews>
  <sheetFormatPr defaultRowHeight="15" x14ac:dyDescent="0.25"/>
  <cols>
    <col min="2" max="2" width="27" customWidth="1"/>
    <col min="3" max="3" width="19" customWidth="1"/>
    <col min="5" max="5" width="13.85546875" customWidth="1"/>
    <col min="6" max="6" width="17.85546875" customWidth="1"/>
    <col min="14" max="15" width="15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45565</v>
      </c>
      <c r="B2" s="1" t="s">
        <v>21</v>
      </c>
      <c r="C2" s="1" t="s">
        <v>22</v>
      </c>
      <c r="D2" s="2" t="s">
        <v>23</v>
      </c>
      <c r="E2" s="1" t="s">
        <v>288</v>
      </c>
      <c r="F2" s="2" t="s">
        <v>24</v>
      </c>
      <c r="G2" s="4">
        <v>71500</v>
      </c>
      <c r="H2" s="1" t="s">
        <v>26</v>
      </c>
      <c r="I2" s="1" t="s">
        <v>25</v>
      </c>
      <c r="J2" s="5">
        <v>0.42708333333333331</v>
      </c>
      <c r="K2" s="6">
        <v>0.4145833333333333</v>
      </c>
      <c r="L2" s="5">
        <v>0.4513888888888889</v>
      </c>
      <c r="M2" s="6">
        <v>0.45</v>
      </c>
      <c r="N2" s="1" t="s">
        <v>290</v>
      </c>
      <c r="O2" s="1" t="s">
        <v>165</v>
      </c>
      <c r="P2" s="1">
        <v>761</v>
      </c>
      <c r="Q2" s="1">
        <v>362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45565</v>
      </c>
      <c r="B3" s="1" t="s">
        <v>27</v>
      </c>
      <c r="C3" s="1" t="s">
        <v>28</v>
      </c>
      <c r="D3" s="7" t="s">
        <v>23</v>
      </c>
      <c r="E3" s="1" t="s">
        <v>145</v>
      </c>
      <c r="F3" s="7" t="s">
        <v>24</v>
      </c>
      <c r="G3" s="4">
        <v>71500</v>
      </c>
      <c r="H3" s="7" t="s">
        <v>29</v>
      </c>
      <c r="I3" s="1" t="s">
        <v>30</v>
      </c>
      <c r="J3" s="5">
        <v>0.50347222222222221</v>
      </c>
      <c r="K3" s="6">
        <v>0.50208333333333333</v>
      </c>
      <c r="L3" s="5">
        <v>0.52777777777777779</v>
      </c>
      <c r="M3" s="6">
        <v>0.53611111111111109</v>
      </c>
      <c r="N3" s="1" t="s">
        <v>291</v>
      </c>
      <c r="O3" s="1" t="s">
        <v>152</v>
      </c>
      <c r="P3" s="1">
        <v>835</v>
      </c>
      <c r="Q3" s="1">
        <v>760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45565</v>
      </c>
      <c r="B4" s="1" t="s">
        <v>21</v>
      </c>
      <c r="C4" s="1" t="s">
        <v>185</v>
      </c>
      <c r="D4" s="7" t="s">
        <v>23</v>
      </c>
      <c r="E4" s="1" t="s">
        <v>289</v>
      </c>
      <c r="F4" s="7" t="s">
        <v>24</v>
      </c>
      <c r="G4" s="4">
        <v>71500</v>
      </c>
      <c r="H4" s="1" t="s">
        <v>32</v>
      </c>
      <c r="I4" s="1" t="s">
        <v>33</v>
      </c>
      <c r="J4" s="5">
        <v>0.72222222222222221</v>
      </c>
      <c r="K4" s="6">
        <v>0.71805555555555556</v>
      </c>
      <c r="L4" s="5">
        <v>0.74305555555555547</v>
      </c>
      <c r="M4" s="6">
        <v>0.75138888888888899</v>
      </c>
      <c r="N4" s="1" t="s">
        <v>263</v>
      </c>
      <c r="O4" s="1" t="s">
        <v>153</v>
      </c>
      <c r="P4" s="1">
        <v>1313</v>
      </c>
      <c r="Q4" s="1">
        <v>845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45565</v>
      </c>
      <c r="B5" s="1" t="s">
        <v>264</v>
      </c>
      <c r="C5" s="1" t="s">
        <v>293</v>
      </c>
      <c r="D5" s="1" t="s">
        <v>292</v>
      </c>
      <c r="E5" s="1" t="s">
        <v>268</v>
      </c>
      <c r="F5" s="1" t="s">
        <v>104</v>
      </c>
      <c r="G5" s="1">
        <v>1000</v>
      </c>
      <c r="H5" s="1" t="s">
        <v>268</v>
      </c>
      <c r="I5" s="1" t="s">
        <v>268</v>
      </c>
      <c r="J5" s="5">
        <v>0.60416666666666663</v>
      </c>
      <c r="K5" s="6">
        <v>0.60416666666666663</v>
      </c>
      <c r="L5" s="5">
        <v>0.625</v>
      </c>
      <c r="M5" s="6">
        <v>0.625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5"/>
      <c r="M6" s="6"/>
      <c r="N6" s="1"/>
      <c r="O6" s="1"/>
      <c r="P6" s="1"/>
      <c r="Q6" s="1"/>
      <c r="R6" s="1"/>
      <c r="S6" s="1"/>
      <c r="T6" s="1"/>
      <c r="U6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2024-11-14T11:16:38Z</dcterms:modified>
</cp:coreProperties>
</file>