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663C892F-3A54-4959-AE54-E06DA7B66CAA}" xr6:coauthVersionLast="37" xr6:coauthVersionMax="37" xr10:uidLastSave="{00000000-0000-0000-0000-000000000000}"/>
  <bookViews>
    <workbookView xWindow="0" yWindow="0" windowWidth="22260" windowHeight="12645" firstSheet="5" activeTab="25" xr2:uid="{00000000-000D-0000-FFFF-FFFF00000000}"/>
  </bookViews>
  <sheets>
    <sheet name="01" sheetId="1" r:id="rId1"/>
    <sheet name="02" sheetId="2" r:id="rId2"/>
    <sheet name="03" sheetId="46" r:id="rId3"/>
    <sheet name="04" sheetId="39" r:id="rId4"/>
    <sheet name="05" sheetId="40" r:id="rId5"/>
    <sheet name="06" sheetId="6" r:id="rId6"/>
    <sheet name="07" sheetId="7" r:id="rId7"/>
    <sheet name="08" sheetId="32" r:id="rId8"/>
    <sheet name="09" sheetId="9" r:id="rId9"/>
    <sheet name="10" sheetId="50" r:id="rId10"/>
    <sheet name="11" sheetId="11" r:id="rId11"/>
    <sheet name="12" sheetId="12" r:id="rId12"/>
    <sheet name="13" sheetId="33" r:id="rId13"/>
    <sheet name="14" sheetId="14" r:id="rId14"/>
    <sheet name="15" sheetId="51" r:id="rId15"/>
    <sheet name="16" sheetId="41" r:id="rId16"/>
    <sheet name="17" sheetId="17" r:id="rId17"/>
    <sheet name="18" sheetId="18" r:id="rId18"/>
    <sheet name="19" sheetId="34" r:id="rId19"/>
    <sheet name="20" sheetId="35" r:id="rId20"/>
    <sheet name="21" sheetId="21" r:id="rId21"/>
    <sheet name="22" sheetId="52" r:id="rId22"/>
    <sheet name="23" sheetId="43" r:id="rId23"/>
    <sheet name="24" sheetId="54" r:id="rId24"/>
    <sheet name="25" sheetId="25" r:id="rId25"/>
    <sheet name="26" sheetId="55" r:id="rId26"/>
    <sheet name="27" sheetId="56" r:id="rId27"/>
    <sheet name="28" sheetId="44" r:id="rId28"/>
    <sheet name="29" sheetId="45" r:id="rId29"/>
    <sheet name="30" sheetId="30" r:id="rId30"/>
    <sheet name="31" sheetId="31" r:id="rId3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5" i="7" l="1"/>
  <c r="P2" i="39" l="1"/>
</calcChain>
</file>

<file path=xl/sharedStrings.xml><?xml version="1.0" encoding="utf-8"?>
<sst xmlns="http://schemas.openxmlformats.org/spreadsheetml/2006/main" count="1343" uniqueCount="265">
  <si>
    <t>datum</t>
  </si>
  <si>
    <t>kompanija</t>
  </si>
  <si>
    <t>ruta</t>
  </si>
  <si>
    <t>tip a/c</t>
  </si>
  <si>
    <t>reg</t>
  </si>
  <si>
    <t>tip OPER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</si>
  <si>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</si>
  <si>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</si>
  <si>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</si>
  <si>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</si>
  <si>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</si>
  <si>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</si>
  <si>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</si>
  <si>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DOLAZAK</t>
  </si>
  <si>
    <t>br putnika ODLAZAK</t>
  </si>
  <si>
    <t>prtljag D(kg)</t>
  </si>
  <si>
    <t>prtljag O(kg)</t>
  </si>
  <si>
    <t>cargo D(kg)</t>
  </si>
  <si>
    <t>cargo O(kg)</t>
  </si>
  <si>
    <t>pošta D(kg)</t>
  </si>
  <si>
    <t>pošta O(kg)</t>
  </si>
  <si>
    <t xml:space="preserve">THOMAS AMBIEL </t>
  </si>
  <si>
    <t>NONSCHEDULED</t>
  </si>
  <si>
    <t>N6509Z</t>
  </si>
  <si>
    <t>-</t>
  </si>
  <si>
    <t>ROP</t>
  </si>
  <si>
    <t>TZL-ZQC</t>
  </si>
  <si>
    <t>C350</t>
  </si>
  <si>
    <t>LEARJET 35</t>
  </si>
  <si>
    <t>D-CDRF</t>
  </si>
  <si>
    <t>FKB-TZL-STR</t>
  </si>
  <si>
    <t>DRF STIFTUNG LUFTRETTUNG GEMEINNUTZIGE AG</t>
  </si>
  <si>
    <t>MEDEVAC</t>
  </si>
  <si>
    <t>AMB247</t>
  </si>
  <si>
    <t>AEROKLUB FENIX</t>
  </si>
  <si>
    <t>CILJUGE-TZL-GRZ</t>
  </si>
  <si>
    <t>C172F</t>
  </si>
  <si>
    <t>E7-CAR</t>
  </si>
  <si>
    <t>NON SCHEDULED</t>
  </si>
  <si>
    <t>WIZZAIR HUNGARY LTD</t>
  </si>
  <si>
    <t>MLH-TZL-MLH</t>
  </si>
  <si>
    <t>A320</t>
  </si>
  <si>
    <t>SCHEDULED</t>
  </si>
  <si>
    <t>W64294</t>
  </si>
  <si>
    <t>W64293</t>
  </si>
  <si>
    <t>WIZZAIR MALTA LTD</t>
  </si>
  <si>
    <t>DTM-TZL-DTM</t>
  </si>
  <si>
    <t>W44298</t>
  </si>
  <si>
    <t>W44297</t>
  </si>
  <si>
    <t>FMM-TZL-FMM</t>
  </si>
  <si>
    <t>HA-LWU</t>
  </si>
  <si>
    <t>W44280</t>
  </si>
  <si>
    <t>W44279</t>
  </si>
  <si>
    <t>HA-LYL</t>
  </si>
  <si>
    <t>9H-WZV</t>
  </si>
  <si>
    <t>159+2 INF</t>
  </si>
  <si>
    <t>174+4 INF</t>
  </si>
  <si>
    <t>170+3 INF</t>
  </si>
  <si>
    <t xml:space="preserve"> 147+10 INF</t>
  </si>
  <si>
    <t>161+1 INF</t>
  </si>
  <si>
    <t>164+3 INF</t>
  </si>
  <si>
    <t>FREEBIRD AIRLINES</t>
  </si>
  <si>
    <t>AYT-TZL-AYT</t>
  </si>
  <si>
    <t>TC-FHN</t>
  </si>
  <si>
    <t>CHARTER</t>
  </si>
  <si>
    <t>FH821</t>
  </si>
  <si>
    <t>FH822</t>
  </si>
  <si>
    <t>178+12 INF</t>
  </si>
  <si>
    <t>9H-WZS</t>
  </si>
  <si>
    <t>167+7 INF</t>
  </si>
  <si>
    <t>168+3 INF</t>
  </si>
  <si>
    <t>180+10 INF</t>
  </si>
  <si>
    <t>165+3 INF</t>
  </si>
  <si>
    <t>GLOCK AVIATION</t>
  </si>
  <si>
    <t>BUD-TZL-BUD</t>
  </si>
  <si>
    <t>GLOBAL XRS</t>
  </si>
  <si>
    <t>OE-IGG</t>
  </si>
  <si>
    <t>GCK-17</t>
  </si>
  <si>
    <t>LDVA-TZL-LDVA</t>
  </si>
  <si>
    <t>DA42</t>
  </si>
  <si>
    <t>SE-MAD</t>
  </si>
  <si>
    <t>LAMASSU D.O.O.</t>
  </si>
  <si>
    <t>CREW</t>
  </si>
  <si>
    <t>HA-LWZ</t>
  </si>
  <si>
    <t>9H-WBT</t>
  </si>
  <si>
    <t>9H-WDA</t>
  </si>
  <si>
    <t>OTP-TZL-AYT</t>
  </si>
  <si>
    <t>TC-FHK</t>
  </si>
  <si>
    <t>179+9 INF</t>
  </si>
  <si>
    <t>NETJETS</t>
  </si>
  <si>
    <t>PGD-TZL-MXP</t>
  </si>
  <si>
    <t>C680</t>
  </si>
  <si>
    <t>CS-LTN</t>
  </si>
  <si>
    <t>GP</t>
  </si>
  <si>
    <t>5</t>
  </si>
  <si>
    <t>0</t>
  </si>
  <si>
    <t>177+4 INF</t>
  </si>
  <si>
    <t>154+4 INF</t>
  </si>
  <si>
    <t>C68A</t>
  </si>
  <si>
    <t>CS-LTG</t>
  </si>
  <si>
    <t>NCE-TZL-TGD</t>
  </si>
  <si>
    <t>166+2 INF</t>
  </si>
  <si>
    <t>NJE120B</t>
  </si>
  <si>
    <t>NJE027Y</t>
  </si>
  <si>
    <t>177+2 INF</t>
  </si>
  <si>
    <t>158+4 INF</t>
  </si>
  <si>
    <t>163+4 INF</t>
  </si>
  <si>
    <t>BWK-TZL-CILJUGE</t>
  </si>
  <si>
    <t>DELIC AIR DOO</t>
  </si>
  <si>
    <t>LNZ-TZL-BEG</t>
  </si>
  <si>
    <t>T7-BSG</t>
  </si>
  <si>
    <t>N/N</t>
  </si>
  <si>
    <t>AEROKLUB TUZLA</t>
  </si>
  <si>
    <t>UZC-TZL-LQJL</t>
  </si>
  <si>
    <t>SF25</t>
  </si>
  <si>
    <t>YU-6017</t>
  </si>
  <si>
    <t>GA PRIVATE</t>
  </si>
  <si>
    <t>YU6017</t>
  </si>
  <si>
    <t>C525</t>
  </si>
  <si>
    <t>9H-WDD</t>
  </si>
  <si>
    <t>LQJL-TZL-UZC</t>
  </si>
  <si>
    <t>171+8 INF</t>
  </si>
  <si>
    <t>176+1 INF</t>
  </si>
  <si>
    <t>171+3 INF</t>
  </si>
  <si>
    <t>167+1 INF</t>
  </si>
  <si>
    <t>171+4 INF</t>
  </si>
  <si>
    <t>174+5 INF</t>
  </si>
  <si>
    <t>115+11 INF</t>
  </si>
  <si>
    <t>175+5 INF</t>
  </si>
  <si>
    <t>9H-WBQ</t>
  </si>
  <si>
    <t>170+5 INF</t>
  </si>
  <si>
    <t>161+4 INF</t>
  </si>
  <si>
    <t>9H-WBJ</t>
  </si>
  <si>
    <t>178+1 INF</t>
  </si>
  <si>
    <t>168+14 INF</t>
  </si>
  <si>
    <t>TC-FHP</t>
  </si>
  <si>
    <t>HA-LWR</t>
  </si>
  <si>
    <t>9H-WDQ</t>
  </si>
  <si>
    <t>180+7 INF</t>
  </si>
  <si>
    <t>180+5 INF</t>
  </si>
  <si>
    <t>173+3 INF</t>
  </si>
  <si>
    <t>172+3 INF</t>
  </si>
  <si>
    <t>175+3 INF</t>
  </si>
  <si>
    <t>175+2 INF</t>
  </si>
  <si>
    <t>177+3 INF</t>
  </si>
  <si>
    <t>174+7 INF</t>
  </si>
  <si>
    <t>MGGP Aero Sp. Z o.o.</t>
  </si>
  <si>
    <t>RZE-TZL</t>
  </si>
  <si>
    <t>SP-FPL</t>
  </si>
  <si>
    <t>Tecnam P2006T</t>
  </si>
  <si>
    <t>General Aviation – Business flight</t>
  </si>
  <si>
    <t>N/A</t>
  </si>
  <si>
    <t>/</t>
  </si>
  <si>
    <t>SLOBODAN STANOJEV</t>
  </si>
  <si>
    <t>LJPZ-TZL-BEG</t>
  </si>
  <si>
    <t>FDCT</t>
  </si>
  <si>
    <t>TARRAGON</t>
  </si>
  <si>
    <t>LJPZ-TZL-BRČKO</t>
  </si>
  <si>
    <t>YUA051</t>
  </si>
  <si>
    <t>I-D594</t>
  </si>
  <si>
    <t>MGGP AERO SP Z.O.O.</t>
  </si>
  <si>
    <t>P2006T</t>
  </si>
  <si>
    <t>SPFPL</t>
  </si>
  <si>
    <t>TZL-LQCG</t>
  </si>
  <si>
    <t>LQCG-TZL</t>
  </si>
  <si>
    <t>HA-LWM</t>
  </si>
  <si>
    <t>TZL-LQCG-TZL</t>
  </si>
  <si>
    <t>155+7 INF</t>
  </si>
  <si>
    <t>166+4 INF</t>
  </si>
  <si>
    <t>173+5 INF</t>
  </si>
  <si>
    <t>164+5 INF</t>
  </si>
  <si>
    <t>TC-FHM</t>
  </si>
  <si>
    <t>164+6 INF</t>
  </si>
  <si>
    <t>Novelico Ltd.</t>
  </si>
  <si>
    <t>TBM 960</t>
  </si>
  <si>
    <t>T7-LCNH</t>
  </si>
  <si>
    <t>CREW ONLY</t>
  </si>
  <si>
    <t>EDWF-TZL-PFO</t>
  </si>
  <si>
    <t>MUJO MUŠIĆ</t>
  </si>
  <si>
    <t>LQGO</t>
  </si>
  <si>
    <t>C182R</t>
  </si>
  <si>
    <t>E7DDB</t>
  </si>
  <si>
    <t>Aeroklub FELIX</t>
  </si>
  <si>
    <t>Cessna 1720F</t>
  </si>
  <si>
    <t>EMI HAVACILIK A.S.</t>
  </si>
  <si>
    <t>TRS-TZL</t>
  </si>
  <si>
    <t>AS350</t>
  </si>
  <si>
    <t>TC-HSK</t>
  </si>
  <si>
    <t>TCHSK</t>
  </si>
  <si>
    <t>9HWDD</t>
  </si>
  <si>
    <t>TZL-LDZD</t>
  </si>
  <si>
    <t>TZL-GRZ</t>
  </si>
  <si>
    <t>TZL-SOF</t>
  </si>
  <si>
    <t>ZAVOD ZA ZAVARIVANJE</t>
  </si>
  <si>
    <t>BEG-TZL-JAHORINA</t>
  </si>
  <si>
    <t>SA342J</t>
  </si>
  <si>
    <t>YU-HES</t>
  </si>
  <si>
    <t>LDZD-TZL-BRCKO</t>
  </si>
  <si>
    <t>9H-WZW</t>
  </si>
  <si>
    <t>186+4 INF</t>
  </si>
  <si>
    <t>180+4 INF</t>
  </si>
  <si>
    <t>20+0 INF</t>
  </si>
  <si>
    <t>180+4INF</t>
  </si>
  <si>
    <t>GRZ-TZL-CILJUGE</t>
  </si>
  <si>
    <t>TC-FBR</t>
  </si>
  <si>
    <t>9H-WBV</t>
  </si>
  <si>
    <t>9H-WZQ</t>
  </si>
  <si>
    <t>180+2INF</t>
  </si>
  <si>
    <t>175+2INF</t>
  </si>
  <si>
    <t>168+3INF</t>
  </si>
  <si>
    <t>158+3INF</t>
  </si>
  <si>
    <t>184+4 INF</t>
  </si>
  <si>
    <t>181+2 INF</t>
  </si>
  <si>
    <t>TAILWIND AIRLINES</t>
  </si>
  <si>
    <t>B737</t>
  </si>
  <si>
    <t>TC-TLD</t>
  </si>
  <si>
    <t>TWI171F</t>
  </si>
  <si>
    <t>TWI172</t>
  </si>
  <si>
    <t>165+4 INF</t>
  </si>
  <si>
    <t>NOVELICO</t>
  </si>
  <si>
    <t>PFO-TZL-TLL</t>
  </si>
  <si>
    <t>9H-WZR</t>
  </si>
  <si>
    <t>TBM960</t>
  </si>
  <si>
    <t>171+1 INF</t>
  </si>
  <si>
    <t>172+4 INF</t>
  </si>
  <si>
    <t>169+3 IN</t>
  </si>
  <si>
    <t>164+4 INF</t>
  </si>
  <si>
    <t>137+4 INF</t>
  </si>
  <si>
    <t>1800+3 INF</t>
  </si>
  <si>
    <t>9H-WBO</t>
  </si>
  <si>
    <t>171+6 INF</t>
  </si>
  <si>
    <t>170+2 INF</t>
  </si>
  <si>
    <t>178+8</t>
  </si>
  <si>
    <t>177+6 INF</t>
  </si>
  <si>
    <t>TC-FBV</t>
  </si>
  <si>
    <t>179+5 INF</t>
  </si>
  <si>
    <t>176+10 INF</t>
  </si>
  <si>
    <t>9H-WZX</t>
  </si>
  <si>
    <t>TC-GMB</t>
  </si>
  <si>
    <t>181+3 INF</t>
  </si>
  <si>
    <t>180+3 INF</t>
  </si>
  <si>
    <t>179+4 INF</t>
  </si>
  <si>
    <t>167+10 INF</t>
  </si>
  <si>
    <t>179+2 INF</t>
  </si>
  <si>
    <t>29.06.204</t>
  </si>
  <si>
    <t>CILJUGE-RAMARIN</t>
  </si>
  <si>
    <t>SF-25</t>
  </si>
  <si>
    <t>E7-ABR</t>
  </si>
  <si>
    <t>FADIL RAMIĆ</t>
  </si>
  <si>
    <t>E7-KES</t>
  </si>
  <si>
    <t>TC-TLE</t>
  </si>
  <si>
    <t>102+2 INF</t>
  </si>
  <si>
    <t>AERO-DIENST GMBH</t>
  </si>
  <si>
    <t>NUE-TZL-DUS</t>
  </si>
  <si>
    <t>LJ60</t>
  </si>
  <si>
    <t>D-CADA</t>
  </si>
  <si>
    <t>ADN57D</t>
  </si>
  <si>
    <t>AERO KLUB FENIX</t>
  </si>
  <si>
    <t>RAMARIN-TZL-LQCG</t>
  </si>
  <si>
    <t>RAMARIN-TZL-LQJL</t>
  </si>
  <si>
    <t>RAMIĆ FADIL</t>
  </si>
  <si>
    <t>HELIKOPTER</t>
  </si>
  <si>
    <t>GA</t>
  </si>
  <si>
    <t>Schweizer 269C</t>
  </si>
  <si>
    <t>sf-25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</si>
</sst>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sz val="10"/>
      <name val="Garamond"/>
      <family val="1"/>
      <charset val="238"/>
    </font>
    <font>
      <b/>
      <sz val="10"/>
      <name val="Garamond"/>
      <family val="1"/>
    </font>
    <font>
      <sz val="10"/>
      <color theme="1"/>
      <name val="Garamond"/>
      <family val="1"/>
      <charset val="238"/>
    </font>
    <font>
      <b/>
      <sz val="10"/>
      <color theme="1"/>
      <name val="Garamond"/>
      <family val="1"/>
      <charset val="238"/>
    </font>
    <font>
      <sz val="10"/>
      <color theme="1"/>
      <name val="Garamond"/>
      <family val="1"/>
    </font>
    <font>
      <sz val="10"/>
      <color theme="1"/>
      <name val="Calibri"/>
      <family val="2"/>
      <scheme val="minor"/>
    </font>
    <font>
      <sz val="10"/>
      <name val="Garamond"/>
      <family val="1"/>
    </font>
    <font>
      <sz val="11"/>
      <color theme="1"/>
      <name val="Garamond"/>
      <family val="1"/>
    </font>
    <font>
      <b/>
      <sz val="10"/>
      <color theme="1"/>
      <name val="Garamond"/>
      <family val="1"/>
    </font>
    <font>
      <sz val="8"/>
      <color theme="1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2" fillId="0" borderId="0" xfId="1" applyFont="1" applyAlignment="1">
      <alignment horizontal="center" vertical="center"/>
    </xf>
    <xf numFmtId="14" fontId="2" fillId="0" borderId="0" xfId="1" applyNumberFormat="1" applyFont="1" applyAlignment="1">
      <alignment horizontal="center" vertical="center"/>
    </xf>
    <xf numFmtId="20" fontId="3" fillId="0" borderId="0" xfId="1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20" fontId="5" fillId="0" borderId="0" xfId="0" applyNumberFormat="1" applyFont="1" applyAlignment="1">
      <alignment horizontal="center" vertical="center"/>
    </xf>
    <xf numFmtId="20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9" fillId="0" borderId="0" xfId="0" applyFont="1"/>
    <xf numFmtId="14" fontId="8" fillId="0" borderId="0" xfId="1" applyNumberFormat="1" applyFont="1" applyAlignment="1">
      <alignment horizontal="center" vertical="center"/>
    </xf>
    <xf numFmtId="3" fontId="8" fillId="0" borderId="0" xfId="1" applyNumberFormat="1" applyFont="1" applyAlignment="1">
      <alignment horizontal="center" vertical="center"/>
    </xf>
    <xf numFmtId="20" fontId="8" fillId="0" borderId="0" xfId="1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20" fontId="10" fillId="0" borderId="0" xfId="0" applyNumberFormat="1" applyFont="1" applyAlignment="1">
      <alignment horizontal="center" vertical="center"/>
    </xf>
    <xf numFmtId="20" fontId="6" fillId="0" borderId="0" xfId="0" applyNumberFormat="1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14" fontId="6" fillId="0" borderId="0" xfId="0" applyNumberFormat="1" applyFont="1" applyAlignment="1">
      <alignment horizontal="center"/>
    </xf>
    <xf numFmtId="3" fontId="6" fillId="0" borderId="0" xfId="0" applyNumberFormat="1" applyFont="1" applyAlignment="1">
      <alignment horizontal="center"/>
    </xf>
    <xf numFmtId="20" fontId="6" fillId="0" borderId="0" xfId="0" applyNumberFormat="1" applyFont="1" applyAlignment="1">
      <alignment horizontal="center"/>
    </xf>
    <xf numFmtId="20" fontId="10" fillId="0" borderId="0" xfId="0" applyNumberFormat="1" applyFont="1" applyAlignment="1">
      <alignment horizontal="center"/>
    </xf>
    <xf numFmtId="0" fontId="8" fillId="0" borderId="0" xfId="1" applyFont="1" applyFill="1" applyAlignment="1">
      <alignment horizontal="center" vertical="center"/>
    </xf>
    <xf numFmtId="0" fontId="2" fillId="0" borderId="0" xfId="1" applyFont="1" applyBorder="1" applyAlignment="1">
      <alignment horizontal="center" vertical="center"/>
    </xf>
    <xf numFmtId="0" fontId="0" fillId="0" borderId="0" xfId="0" applyBorder="1"/>
    <xf numFmtId="0" fontId="8" fillId="0" borderId="0" xfId="1" applyFont="1" applyBorder="1" applyAlignment="1">
      <alignment horizontal="center" vertical="center"/>
    </xf>
    <xf numFmtId="20" fontId="10" fillId="0" borderId="0" xfId="0" applyNumberFormat="1" applyFont="1" applyBorder="1" applyAlignment="1">
      <alignment horizontal="center" vertical="center"/>
    </xf>
    <xf numFmtId="20" fontId="6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20" fontId="6" fillId="0" borderId="0" xfId="0" applyNumberFormat="1" applyFont="1" applyAlignment="1">
      <alignment horizontal="center" vertical="top"/>
    </xf>
    <xf numFmtId="14" fontId="8" fillId="0" borderId="0" xfId="1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49" fontId="6" fillId="0" borderId="0" xfId="0" applyNumberFormat="1" applyFont="1" applyAlignment="1">
      <alignment horizontal="center" vertical="center"/>
    </xf>
    <xf numFmtId="0" fontId="6" fillId="0" borderId="0" xfId="0" applyNumberFormat="1" applyFont="1" applyAlignment="1">
      <alignment horizontal="center" vertical="center"/>
    </xf>
    <xf numFmtId="3" fontId="6" fillId="0" borderId="0" xfId="0" applyNumberFormat="1" applyFont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</cellXfs>
  <cellStyles count="2">
    <cellStyle name="Normal" xfId="0" builtinId="0"/>
    <cellStyle name="Normal 4" xfId="1" xr:uid="{C5E0554B-C6AC-471E-B6F9-33CE1ECB63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"/>
  <sheetViews>
    <sheetView workbookViewId="0">
      <selection activeCell="B10" sqref="B10"/>
    </sheetView>
  </sheetViews>
  <sheetFormatPr defaultRowHeight="15" x14ac:dyDescent="0.25"/>
  <cols>
    <col min="1" max="1" width="11.28515625" bestFit="1" customWidth="1"/>
    <col min="2" max="2" width="24.5703125" customWidth="1"/>
    <col min="3" max="3" width="17.7109375" customWidth="1"/>
    <col min="4" max="4" width="11" bestFit="1" customWidth="1"/>
    <col min="6" max="6" width="19.7109375" customWidth="1"/>
    <col min="7" max="7" width="9.28515625" bestFit="1" customWidth="1"/>
    <col min="9" max="9" width="9.7109375" bestFit="1" customWidth="1"/>
    <col min="10" max="10" width="11.140625" bestFit="1" customWidth="1"/>
    <col min="11" max="11" width="11" bestFit="1" customWidth="1"/>
    <col min="12" max="12" width="11.140625" bestFit="1" customWidth="1"/>
    <col min="13" max="13" width="11" bestFit="1" customWidth="1"/>
    <col min="14" max="14" width="18.42578125" bestFit="1" customWidth="1"/>
    <col min="15" max="15" width="13" customWidth="1"/>
    <col min="16" max="16" width="9.28515625" bestFit="1" customWidth="1"/>
    <col min="17" max="17" width="10.42578125" bestFit="1" customWidth="1"/>
    <col min="18" max="18" width="9.5703125" bestFit="1" customWidth="1"/>
    <col min="19" max="21" width="9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2">
        <v>45444</v>
      </c>
      <c r="B2" s="8" t="s">
        <v>21</v>
      </c>
      <c r="C2" s="10" t="s">
        <v>26</v>
      </c>
      <c r="D2" s="10" t="s">
        <v>27</v>
      </c>
      <c r="E2" s="10" t="s">
        <v>23</v>
      </c>
      <c r="F2" s="10" t="s">
        <v>22</v>
      </c>
      <c r="G2" s="15">
        <v>1600</v>
      </c>
      <c r="H2" s="10" t="s">
        <v>23</v>
      </c>
      <c r="I2" s="10" t="s">
        <v>24</v>
      </c>
      <c r="J2" s="3" t="s">
        <v>25</v>
      </c>
      <c r="K2" s="14" t="s">
        <v>25</v>
      </c>
      <c r="L2" s="3">
        <v>0.41666666666666669</v>
      </c>
      <c r="M2" s="14">
        <v>0.42152777777777778</v>
      </c>
      <c r="N2" s="10">
        <v>0</v>
      </c>
      <c r="O2" s="10">
        <v>2</v>
      </c>
      <c r="P2" s="10" t="s">
        <v>24</v>
      </c>
      <c r="Q2" s="10" t="s">
        <v>24</v>
      </c>
      <c r="R2" s="10">
        <v>0</v>
      </c>
      <c r="S2" s="10">
        <v>0</v>
      </c>
      <c r="T2" s="10">
        <v>0</v>
      </c>
      <c r="U2" s="10">
        <v>0</v>
      </c>
    </row>
    <row r="3" spans="1:21" ht="22.5" x14ac:dyDescent="0.25">
      <c r="A3" s="12">
        <v>45444</v>
      </c>
      <c r="B3" s="34" t="s">
        <v>31</v>
      </c>
      <c r="C3" s="8" t="s">
        <v>30</v>
      </c>
      <c r="D3" s="10" t="s">
        <v>28</v>
      </c>
      <c r="E3" s="8" t="s">
        <v>29</v>
      </c>
      <c r="F3" s="10" t="s">
        <v>32</v>
      </c>
      <c r="G3" s="15">
        <v>8300</v>
      </c>
      <c r="H3" s="8" t="s">
        <v>33</v>
      </c>
      <c r="I3" s="8" t="s">
        <v>33</v>
      </c>
      <c r="J3" s="16">
        <v>0.5625</v>
      </c>
      <c r="K3" s="17">
        <v>0.55763888888888891</v>
      </c>
      <c r="L3" s="16">
        <v>0.70833333333333337</v>
      </c>
      <c r="M3" s="17">
        <v>0.72499999999999998</v>
      </c>
      <c r="N3" s="10">
        <v>0</v>
      </c>
      <c r="O3" s="10">
        <v>1</v>
      </c>
      <c r="P3" s="8" t="s">
        <v>24</v>
      </c>
      <c r="Q3" s="8" t="s">
        <v>24</v>
      </c>
      <c r="R3" s="8">
        <v>0</v>
      </c>
      <c r="S3" s="8">
        <v>0</v>
      </c>
      <c r="T3" s="8">
        <v>0</v>
      </c>
      <c r="U3" s="8">
        <v>0</v>
      </c>
    </row>
    <row r="4" spans="1:21" x14ac:dyDescent="0.25">
      <c r="A4" s="2"/>
      <c r="B4" s="8"/>
      <c r="C4" s="10"/>
      <c r="D4" s="10"/>
      <c r="E4" s="10"/>
      <c r="F4" s="10"/>
      <c r="G4" s="21"/>
      <c r="H4" s="10"/>
      <c r="I4" s="10"/>
      <c r="J4" s="3"/>
      <c r="K4" s="14"/>
      <c r="L4" s="3"/>
      <c r="N4" s="1"/>
      <c r="O4" s="1"/>
      <c r="Q4" s="1"/>
      <c r="R4" s="1"/>
      <c r="S4" s="1"/>
      <c r="T4" s="1"/>
      <c r="U4" s="1"/>
    </row>
    <row r="5" spans="1:21" x14ac:dyDescent="0.25">
      <c r="A5" s="12"/>
      <c r="B5" s="8"/>
      <c r="C5" s="10"/>
      <c r="D5" s="10"/>
      <c r="E5" s="10"/>
      <c r="F5" s="10"/>
      <c r="G5" s="15"/>
      <c r="H5" s="10"/>
      <c r="I5" s="10"/>
      <c r="J5" s="3"/>
      <c r="K5" s="14"/>
      <c r="L5" s="3"/>
      <c r="M5" s="14"/>
      <c r="N5" s="10"/>
      <c r="O5" s="10"/>
      <c r="P5" s="10"/>
      <c r="Q5" s="10"/>
      <c r="R5" s="10"/>
      <c r="S5" s="10"/>
      <c r="T5" s="10"/>
      <c r="U5" s="10"/>
    </row>
    <row r="6" spans="1:21" x14ac:dyDescent="0.25">
      <c r="A6" s="18"/>
      <c r="B6" s="8"/>
      <c r="C6" s="8"/>
      <c r="D6" s="8"/>
      <c r="E6" s="8"/>
      <c r="F6" s="8"/>
      <c r="G6" s="15"/>
      <c r="H6" s="8"/>
      <c r="I6" s="8"/>
      <c r="J6" s="16"/>
      <c r="K6" s="17"/>
      <c r="L6" s="16"/>
      <c r="M6" s="17"/>
      <c r="N6" s="8"/>
      <c r="O6" s="8"/>
      <c r="P6" s="8"/>
      <c r="Q6" s="8"/>
      <c r="R6" s="8"/>
      <c r="S6" s="8"/>
      <c r="T6" s="8"/>
      <c r="U6" s="8"/>
    </row>
    <row r="7" spans="1:21" x14ac:dyDescent="0.25">
      <c r="A7" s="1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1:21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 spans="1:21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F1125-4548-431D-BB71-2EF8BA3C6F31}">
  <dimension ref="A1:V15"/>
  <sheetViews>
    <sheetView workbookViewId="0">
      <selection activeCell="C27" sqref="C27"/>
    </sheetView>
  </sheetViews>
  <sheetFormatPr defaultRowHeight="15" x14ac:dyDescent="0.25"/>
  <cols>
    <col min="1" max="1" width="11.28515625" bestFit="1" customWidth="1"/>
    <col min="2" max="2" width="20.140625" bestFit="1" customWidth="1"/>
    <col min="3" max="3" width="18.5703125" customWidth="1"/>
    <col min="6" max="6" width="25" customWidth="1"/>
    <col min="7" max="7" width="9.28515625" bestFit="1" customWidth="1"/>
    <col min="10" max="10" width="9.28515625" bestFit="1" customWidth="1"/>
    <col min="12" max="12" width="9.28515625" bestFit="1" customWidth="1"/>
    <col min="14" max="14" width="14.7109375" customWidth="1"/>
    <col min="15" max="15" width="15.140625" customWidth="1"/>
    <col min="18" max="21" width="9.2851562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1"/>
    </row>
    <row r="2" spans="1:22" x14ac:dyDescent="0.25">
      <c r="A2" s="12">
        <v>45445</v>
      </c>
      <c r="B2" s="8" t="s">
        <v>34</v>
      </c>
      <c r="C2" s="10" t="s">
        <v>35</v>
      </c>
      <c r="D2" s="10" t="s">
        <v>36</v>
      </c>
      <c r="E2" s="10" t="s">
        <v>37</v>
      </c>
      <c r="F2" s="10" t="s">
        <v>38</v>
      </c>
      <c r="G2" s="15">
        <v>2</v>
      </c>
      <c r="H2" s="10" t="s">
        <v>37</v>
      </c>
      <c r="I2" s="10" t="s">
        <v>37</v>
      </c>
      <c r="J2" s="3">
        <v>0.37847222222222227</v>
      </c>
      <c r="K2" s="14">
        <v>0.38194444444444442</v>
      </c>
      <c r="L2" s="3">
        <v>0.39583333333333331</v>
      </c>
      <c r="M2" s="14">
        <v>0.40277777777777773</v>
      </c>
      <c r="N2" s="10">
        <v>0</v>
      </c>
      <c r="O2" s="10">
        <v>0</v>
      </c>
      <c r="P2" s="10">
        <v>0</v>
      </c>
      <c r="Q2" s="10">
        <v>0</v>
      </c>
      <c r="R2" s="10">
        <v>0</v>
      </c>
      <c r="S2" s="10">
        <v>0</v>
      </c>
      <c r="T2" s="10">
        <v>0</v>
      </c>
      <c r="U2" s="10">
        <v>0</v>
      </c>
    </row>
    <row r="3" spans="1:22" x14ac:dyDescent="0.25">
      <c r="A3" s="2"/>
      <c r="B3" s="8"/>
      <c r="C3" s="10"/>
      <c r="D3" s="10"/>
      <c r="E3" s="10"/>
      <c r="F3" s="10"/>
      <c r="G3" s="21"/>
      <c r="H3" s="10"/>
      <c r="I3" s="10"/>
      <c r="J3" s="3"/>
      <c r="K3" s="14"/>
      <c r="L3" s="3"/>
      <c r="M3" s="14"/>
      <c r="N3" s="1"/>
      <c r="O3" s="1"/>
      <c r="P3" s="1"/>
      <c r="Q3" s="1"/>
      <c r="R3" s="1"/>
      <c r="S3" s="1"/>
      <c r="T3" s="1"/>
      <c r="U3" s="1"/>
      <c r="V3" s="11"/>
    </row>
    <row r="4" spans="1:22" x14ac:dyDescent="0.25">
      <c r="A4" s="2"/>
      <c r="B4" s="8"/>
      <c r="C4" s="10"/>
      <c r="D4" s="10"/>
      <c r="E4" s="10"/>
      <c r="F4" s="10"/>
      <c r="G4" s="13"/>
      <c r="H4" s="10"/>
      <c r="I4" s="10"/>
      <c r="J4" s="3"/>
      <c r="K4" s="14"/>
      <c r="L4" s="3"/>
      <c r="M4" s="14"/>
      <c r="N4" s="10"/>
      <c r="O4" s="10"/>
      <c r="P4" s="10"/>
      <c r="Q4" s="10"/>
      <c r="R4" s="10"/>
      <c r="S4" s="10"/>
      <c r="T4" s="10"/>
      <c r="U4" s="10"/>
      <c r="V4" s="11"/>
    </row>
    <row r="5" spans="1:22" x14ac:dyDescent="0.25">
      <c r="A5" s="18"/>
      <c r="B5" s="8"/>
      <c r="C5" s="8"/>
      <c r="D5" s="8"/>
      <c r="E5" s="8"/>
      <c r="F5" s="8"/>
      <c r="G5" s="8"/>
      <c r="H5" s="8"/>
      <c r="I5" s="8"/>
      <c r="J5" s="16"/>
      <c r="K5" s="17"/>
      <c r="L5" s="16"/>
      <c r="M5" s="17"/>
      <c r="N5" s="8"/>
      <c r="O5" s="8"/>
      <c r="P5" s="8"/>
      <c r="Q5" s="8"/>
      <c r="R5" s="8"/>
      <c r="S5" s="8"/>
      <c r="T5" s="8"/>
      <c r="U5" s="8"/>
      <c r="V5" s="11"/>
    </row>
    <row r="6" spans="1:22" x14ac:dyDescent="0.25">
      <c r="A6" s="18"/>
      <c r="B6" s="8"/>
      <c r="C6" s="8"/>
      <c r="D6" s="8"/>
      <c r="E6" s="8"/>
      <c r="F6" s="8"/>
      <c r="G6" s="15"/>
      <c r="H6" s="8"/>
      <c r="I6" s="8"/>
      <c r="J6" s="16"/>
      <c r="K6" s="17"/>
      <c r="L6" s="16"/>
      <c r="M6" s="17"/>
      <c r="N6" s="8"/>
      <c r="O6" s="8"/>
      <c r="P6" s="8"/>
      <c r="Q6" s="8"/>
      <c r="R6" s="8"/>
      <c r="S6" s="8"/>
      <c r="T6" s="8"/>
      <c r="U6" s="8"/>
      <c r="V6" s="11"/>
    </row>
    <row r="7" spans="1:22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11"/>
    </row>
    <row r="8" spans="1:22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11"/>
    </row>
    <row r="9" spans="1:22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11"/>
    </row>
    <row r="10" spans="1:22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11"/>
    </row>
    <row r="11" spans="1:22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11"/>
    </row>
    <row r="12" spans="1:22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11"/>
    </row>
    <row r="13" spans="1:22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</row>
    <row r="14" spans="1:22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</row>
    <row r="15" spans="1:22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10684-2CA8-4883-98C4-0324176CDC9A}">
  <dimension ref="A1:U8"/>
  <sheetViews>
    <sheetView workbookViewId="0">
      <selection sqref="A1:U6"/>
    </sheetView>
  </sheetViews>
  <sheetFormatPr defaultRowHeight="15" x14ac:dyDescent="0.25"/>
  <cols>
    <col min="1" max="1" width="11.28515625" bestFit="1" customWidth="1"/>
    <col min="2" max="2" width="24.5703125" customWidth="1"/>
    <col min="3" max="3" width="17.7109375" customWidth="1"/>
    <col min="6" max="6" width="19.7109375" customWidth="1"/>
    <col min="7" max="7" width="9.28515625" bestFit="1" customWidth="1"/>
    <col min="9" max="9" width="9.7109375" bestFit="1" customWidth="1"/>
    <col min="10" max="10" width="11.140625" bestFit="1" customWidth="1"/>
    <col min="11" max="11" width="11" bestFit="1" customWidth="1"/>
    <col min="12" max="12" width="11.140625" bestFit="1" customWidth="1"/>
    <col min="13" max="13" width="11" bestFit="1" customWidth="1"/>
    <col min="14" max="14" width="18.42578125" bestFit="1" customWidth="1"/>
    <col min="15" max="15" width="13" customWidth="1"/>
    <col min="16" max="16" width="9.28515625" bestFit="1" customWidth="1"/>
    <col min="17" max="17" width="10.42578125" bestFit="1" customWidth="1"/>
    <col min="18" max="18" width="9.5703125" bestFit="1" customWidth="1"/>
    <col min="19" max="21" width="9.28515625" bestFit="1" customWidth="1"/>
  </cols>
  <sheetData>
    <row r="1" spans="1:2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</row>
    <row r="2" spans="1:21" x14ac:dyDescent="0.25">
      <c r="A2" s="12">
        <v>45446</v>
      </c>
      <c r="B2" s="8" t="s">
        <v>39</v>
      </c>
      <c r="C2" s="10" t="s">
        <v>40</v>
      </c>
      <c r="D2" s="10" t="s">
        <v>41</v>
      </c>
      <c r="E2" s="10" t="s">
        <v>53</v>
      </c>
      <c r="F2" s="10" t="s">
        <v>42</v>
      </c>
      <c r="G2" s="15">
        <v>71500</v>
      </c>
      <c r="H2" s="10" t="s">
        <v>43</v>
      </c>
      <c r="I2" s="10" t="s">
        <v>44</v>
      </c>
      <c r="J2" s="3">
        <v>0.50347222222222221</v>
      </c>
      <c r="K2" s="14">
        <v>0.50069444444444444</v>
      </c>
      <c r="L2" s="3">
        <v>0.52777777777777779</v>
      </c>
      <c r="M2" s="14">
        <v>0.53472222222222221</v>
      </c>
      <c r="N2" s="10" t="s">
        <v>55</v>
      </c>
      <c r="O2" s="10" t="s">
        <v>56</v>
      </c>
      <c r="P2" s="10">
        <v>908</v>
      </c>
      <c r="Q2" s="10">
        <v>789</v>
      </c>
      <c r="R2" s="10">
        <v>0</v>
      </c>
      <c r="S2" s="10">
        <v>0</v>
      </c>
      <c r="T2" s="10">
        <v>0</v>
      </c>
      <c r="U2" s="10">
        <v>0</v>
      </c>
    </row>
    <row r="3" spans="1:21" x14ac:dyDescent="0.25">
      <c r="A3" s="12">
        <v>45446</v>
      </c>
      <c r="B3" s="8" t="s">
        <v>45</v>
      </c>
      <c r="C3" s="8" t="s">
        <v>46</v>
      </c>
      <c r="D3" s="10" t="s">
        <v>41</v>
      </c>
      <c r="E3" s="8" t="s">
        <v>54</v>
      </c>
      <c r="F3" s="10" t="s">
        <v>42</v>
      </c>
      <c r="G3" s="15">
        <v>71500</v>
      </c>
      <c r="H3" s="8" t="s">
        <v>47</v>
      </c>
      <c r="I3" s="8" t="s">
        <v>48</v>
      </c>
      <c r="J3" s="16">
        <v>0.72222222222222221</v>
      </c>
      <c r="K3" s="17">
        <v>0.72499999999999998</v>
      </c>
      <c r="L3" s="16">
        <v>0.74305555555555547</v>
      </c>
      <c r="M3" s="17">
        <v>0.76527777777777783</v>
      </c>
      <c r="N3" s="10" t="s">
        <v>57</v>
      </c>
      <c r="O3" s="10" t="s">
        <v>59</v>
      </c>
      <c r="P3" s="8">
        <v>1291</v>
      </c>
      <c r="Q3" s="8">
        <v>975</v>
      </c>
      <c r="R3" s="8">
        <v>0</v>
      </c>
      <c r="S3" s="8">
        <v>0</v>
      </c>
      <c r="T3" s="8">
        <v>0</v>
      </c>
      <c r="U3" s="8">
        <v>0</v>
      </c>
    </row>
    <row r="4" spans="1:21" x14ac:dyDescent="0.25">
      <c r="A4" s="12">
        <v>45446</v>
      </c>
      <c r="B4" s="8" t="s">
        <v>45</v>
      </c>
      <c r="C4" s="8" t="s">
        <v>49</v>
      </c>
      <c r="D4" s="10" t="s">
        <v>41</v>
      </c>
      <c r="E4" s="8" t="s">
        <v>50</v>
      </c>
      <c r="F4" s="10" t="s">
        <v>42</v>
      </c>
      <c r="G4" s="15">
        <v>71500</v>
      </c>
      <c r="H4" s="8" t="s">
        <v>51</v>
      </c>
      <c r="I4" s="8" t="s">
        <v>52</v>
      </c>
      <c r="J4" s="16">
        <v>0.73958333333333337</v>
      </c>
      <c r="K4" s="17">
        <v>0.73541666666666661</v>
      </c>
      <c r="L4" s="16">
        <v>0.76388888888888884</v>
      </c>
      <c r="M4" s="17">
        <v>0.77569444444444446</v>
      </c>
      <c r="N4" s="10" t="s">
        <v>58</v>
      </c>
      <c r="O4" s="10" t="s">
        <v>60</v>
      </c>
      <c r="P4" s="8">
        <v>534</v>
      </c>
      <c r="Q4" s="8">
        <v>328</v>
      </c>
      <c r="R4" s="8">
        <v>0</v>
      </c>
      <c r="S4" s="8">
        <v>0</v>
      </c>
      <c r="T4" s="8">
        <v>0</v>
      </c>
      <c r="U4" s="8">
        <v>0</v>
      </c>
    </row>
    <row r="5" spans="1:21" x14ac:dyDescent="0.25">
      <c r="A5" s="12"/>
      <c r="B5" s="8"/>
      <c r="C5" s="10"/>
      <c r="D5" s="10"/>
      <c r="E5" s="10"/>
      <c r="F5" s="10"/>
      <c r="G5" s="15"/>
      <c r="H5" s="10"/>
      <c r="I5" s="10"/>
      <c r="J5" s="3"/>
      <c r="K5" s="14"/>
      <c r="L5" s="3"/>
      <c r="M5" s="14"/>
      <c r="N5" s="10"/>
      <c r="O5" s="10"/>
      <c r="P5" s="10"/>
      <c r="Q5" s="10"/>
      <c r="R5" s="10"/>
      <c r="S5" s="10"/>
      <c r="T5" s="10"/>
      <c r="U5" s="10"/>
    </row>
    <row r="6" spans="1:21" x14ac:dyDescent="0.25">
      <c r="A6" s="1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 spans="1:21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1:21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63360-88A8-485A-9D7D-FC0DDD86B719}">
  <dimension ref="A1:U6"/>
  <sheetViews>
    <sheetView workbookViewId="0">
      <selection activeCell="A2" sqref="A2:U2"/>
    </sheetView>
  </sheetViews>
  <sheetFormatPr defaultRowHeight="15" x14ac:dyDescent="0.25"/>
  <cols>
    <col min="2" max="2" width="33.85546875" bestFit="1" customWidth="1"/>
    <col min="3" max="3" width="13.5703125" bestFit="1" customWidth="1"/>
    <col min="6" max="6" width="16.5703125" bestFit="1" customWidth="1"/>
    <col min="8" max="8" width="10.5703125" bestFit="1" customWidth="1"/>
    <col min="14" max="14" width="14.42578125" customWidth="1"/>
    <col min="15" max="15" width="13" customWidth="1"/>
  </cols>
  <sheetData>
    <row r="1" spans="1:2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</row>
    <row r="2" spans="1:21" x14ac:dyDescent="0.25">
      <c r="A2" s="12">
        <v>45447</v>
      </c>
      <c r="B2" s="4" t="s">
        <v>61</v>
      </c>
      <c r="C2" s="4" t="s">
        <v>62</v>
      </c>
      <c r="D2" s="4" t="s">
        <v>41</v>
      </c>
      <c r="E2" s="4" t="s">
        <v>63</v>
      </c>
      <c r="F2" s="1" t="s">
        <v>64</v>
      </c>
      <c r="G2" s="5">
        <v>77000</v>
      </c>
      <c r="H2" s="4" t="s">
        <v>65</v>
      </c>
      <c r="I2" s="4" t="s">
        <v>66</v>
      </c>
      <c r="J2" s="6">
        <v>0.3298611111111111</v>
      </c>
      <c r="K2" s="7">
        <v>0.3527777777777778</v>
      </c>
      <c r="L2" s="6">
        <v>0.37152777777777773</v>
      </c>
      <c r="M2" s="7">
        <v>0.41111111111111115</v>
      </c>
      <c r="N2" s="4">
        <v>0</v>
      </c>
      <c r="O2" s="4" t="s">
        <v>67</v>
      </c>
      <c r="P2" s="4">
        <f>-O6</f>
        <v>0</v>
      </c>
      <c r="Q2" s="4">
        <v>2412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12"/>
      <c r="B3" s="8"/>
      <c r="C3" s="8"/>
      <c r="D3" s="8"/>
      <c r="E3" s="8"/>
      <c r="F3" s="10"/>
      <c r="G3" s="15"/>
      <c r="H3" s="8"/>
      <c r="I3" s="8"/>
      <c r="J3" s="16"/>
      <c r="K3" s="17"/>
      <c r="L3" s="16"/>
      <c r="M3" s="17"/>
      <c r="N3" s="8"/>
      <c r="O3" s="8"/>
      <c r="P3" s="8"/>
      <c r="Q3" s="8"/>
      <c r="R3" s="8"/>
      <c r="S3" s="8"/>
      <c r="T3" s="8"/>
      <c r="U3" s="8"/>
    </row>
    <row r="4" spans="1:21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</row>
    <row r="5" spans="1:21" x14ac:dyDescent="0.25">
      <c r="A5" s="2"/>
      <c r="B5" s="8"/>
      <c r="C5" s="10"/>
      <c r="D5" s="10"/>
      <c r="E5" s="10"/>
      <c r="F5" s="10"/>
      <c r="G5" s="13"/>
      <c r="H5" s="10"/>
      <c r="I5" s="10"/>
      <c r="J5" s="3"/>
      <c r="K5" s="14"/>
      <c r="L5" s="3"/>
      <c r="M5" s="14"/>
      <c r="N5" s="1"/>
      <c r="O5" s="1"/>
      <c r="P5" s="1"/>
      <c r="Q5" s="1"/>
      <c r="R5" s="1"/>
      <c r="S5" s="1"/>
      <c r="T5" s="1"/>
      <c r="U5" s="1"/>
    </row>
    <row r="6" spans="1:21" x14ac:dyDescent="0.25">
      <c r="A6" s="2"/>
      <c r="B6" s="4"/>
      <c r="C6" s="4"/>
      <c r="D6" s="4"/>
      <c r="E6" s="4"/>
      <c r="F6" s="4"/>
      <c r="G6" s="5"/>
      <c r="H6" s="4"/>
      <c r="I6" s="4"/>
      <c r="J6" s="6"/>
      <c r="K6" s="7"/>
      <c r="L6" s="6"/>
      <c r="M6" s="7"/>
      <c r="N6" s="4"/>
      <c r="O6" s="4"/>
      <c r="P6" s="4"/>
      <c r="Q6" s="4"/>
      <c r="R6" s="4"/>
      <c r="S6" s="4"/>
      <c r="T6" s="4"/>
      <c r="U6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DD505-AB33-4402-AD05-88208336B8F5}">
  <dimension ref="A1:V15"/>
  <sheetViews>
    <sheetView workbookViewId="0">
      <selection activeCell="A2" sqref="A2:XFD3"/>
    </sheetView>
  </sheetViews>
  <sheetFormatPr defaultRowHeight="15" x14ac:dyDescent="0.25"/>
  <cols>
    <col min="1" max="1" width="11.28515625" bestFit="1" customWidth="1"/>
    <col min="2" max="2" width="27" customWidth="1"/>
    <col min="3" max="3" width="18.5703125" customWidth="1"/>
    <col min="5" max="5" width="10.7109375" customWidth="1"/>
    <col min="6" max="6" width="21.28515625" customWidth="1"/>
    <col min="7" max="7" width="9.28515625" bestFit="1" customWidth="1"/>
    <col min="10" max="10" width="9.28515625" bestFit="1" customWidth="1"/>
    <col min="12" max="12" width="9.28515625" bestFit="1" customWidth="1"/>
    <col min="14" max="14" width="14.7109375" customWidth="1"/>
    <col min="15" max="15" width="15.140625" customWidth="1"/>
    <col min="18" max="21" width="9.2851562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1"/>
    </row>
    <row r="2" spans="1:22" x14ac:dyDescent="0.25">
      <c r="A2" s="12">
        <v>45448</v>
      </c>
      <c r="B2" s="8" t="s">
        <v>45</v>
      </c>
      <c r="C2" s="8" t="s">
        <v>49</v>
      </c>
      <c r="D2" s="10" t="s">
        <v>41</v>
      </c>
      <c r="E2" s="8" t="s">
        <v>68</v>
      </c>
      <c r="F2" s="10" t="s">
        <v>42</v>
      </c>
      <c r="G2" s="15">
        <v>71500</v>
      </c>
      <c r="H2" s="8" t="s">
        <v>51</v>
      </c>
      <c r="I2" s="8" t="s">
        <v>52</v>
      </c>
      <c r="J2" s="16">
        <v>0.41666666666666669</v>
      </c>
      <c r="K2" s="17">
        <v>0.42152777777777778</v>
      </c>
      <c r="L2" s="16">
        <v>0.44097222222222227</v>
      </c>
      <c r="M2" s="17">
        <v>0.46319444444444446</v>
      </c>
      <c r="N2" s="10" t="s">
        <v>69</v>
      </c>
      <c r="O2" s="10" t="s">
        <v>70</v>
      </c>
      <c r="P2" s="8">
        <v>823</v>
      </c>
      <c r="Q2" s="8">
        <v>787</v>
      </c>
      <c r="R2" s="8">
        <v>0</v>
      </c>
      <c r="S2" s="8">
        <v>0</v>
      </c>
      <c r="T2" s="8">
        <v>0</v>
      </c>
      <c r="U2" s="8">
        <v>0</v>
      </c>
      <c r="V2" s="11"/>
    </row>
    <row r="3" spans="1:22" x14ac:dyDescent="0.25">
      <c r="A3" s="12">
        <v>45448</v>
      </c>
      <c r="B3" s="8" t="s">
        <v>45</v>
      </c>
      <c r="C3" s="8" t="s">
        <v>46</v>
      </c>
      <c r="D3" s="10" t="s">
        <v>41</v>
      </c>
      <c r="E3" s="8" t="s">
        <v>54</v>
      </c>
      <c r="F3" s="10" t="s">
        <v>42</v>
      </c>
      <c r="G3" s="15">
        <v>71500</v>
      </c>
      <c r="H3" s="8" t="s">
        <v>47</v>
      </c>
      <c r="I3" s="8" t="s">
        <v>48</v>
      </c>
      <c r="J3" s="16">
        <v>0.72222222222222221</v>
      </c>
      <c r="K3" s="17">
        <v>0.70972222222222225</v>
      </c>
      <c r="L3" s="16">
        <v>0.74305555555555547</v>
      </c>
      <c r="M3" s="17">
        <v>0.75138888888888899</v>
      </c>
      <c r="N3" s="10" t="s">
        <v>71</v>
      </c>
      <c r="O3" s="10" t="s">
        <v>72</v>
      </c>
      <c r="P3" s="8">
        <v>1215</v>
      </c>
      <c r="Q3" s="8">
        <v>693</v>
      </c>
      <c r="R3" s="8">
        <v>0</v>
      </c>
      <c r="S3" s="8">
        <v>0</v>
      </c>
      <c r="T3" s="8">
        <v>0</v>
      </c>
      <c r="U3" s="8">
        <v>0</v>
      </c>
      <c r="V3" s="11"/>
    </row>
    <row r="4" spans="1:22" x14ac:dyDescent="0.25">
      <c r="A4" s="12"/>
      <c r="B4" s="8"/>
      <c r="C4" s="10"/>
      <c r="D4" s="10"/>
      <c r="E4" s="10"/>
      <c r="F4" s="10"/>
      <c r="G4" s="15"/>
      <c r="H4" s="10"/>
      <c r="I4" s="10"/>
      <c r="J4" s="3"/>
      <c r="K4" s="14"/>
      <c r="L4" s="3"/>
      <c r="M4" s="14"/>
      <c r="N4" s="10"/>
      <c r="O4" s="10"/>
      <c r="P4" s="10"/>
      <c r="Q4" s="10"/>
      <c r="R4" s="10"/>
      <c r="S4" s="10"/>
      <c r="T4" s="10"/>
      <c r="U4" s="10"/>
      <c r="V4" s="11"/>
    </row>
    <row r="5" spans="1:22" x14ac:dyDescent="0.25">
      <c r="A5" s="20"/>
      <c r="B5" s="19"/>
      <c r="C5" s="19"/>
      <c r="D5" s="19"/>
      <c r="E5" s="19"/>
      <c r="F5" s="19"/>
      <c r="G5" s="21"/>
      <c r="H5" s="19"/>
      <c r="I5" s="19"/>
      <c r="J5" s="23"/>
      <c r="K5" s="22"/>
      <c r="L5" s="23"/>
      <c r="M5" s="22"/>
      <c r="N5" s="19"/>
      <c r="O5" s="19"/>
      <c r="P5" s="19"/>
      <c r="Q5" s="19"/>
      <c r="R5" s="19"/>
      <c r="S5" s="19"/>
      <c r="T5" s="19"/>
      <c r="U5" s="19"/>
      <c r="V5" s="11"/>
    </row>
    <row r="6" spans="1:22" x14ac:dyDescent="0.25">
      <c r="A6" s="18"/>
      <c r="B6" s="8"/>
      <c r="C6" s="8"/>
      <c r="D6" s="8"/>
      <c r="E6" s="8"/>
      <c r="F6" s="8"/>
      <c r="G6" s="15"/>
      <c r="H6" s="8"/>
      <c r="I6" s="8"/>
      <c r="J6" s="16"/>
      <c r="K6" s="17"/>
      <c r="L6" s="16"/>
      <c r="M6" s="17"/>
      <c r="N6" s="8"/>
      <c r="O6" s="8"/>
      <c r="P6" s="8"/>
      <c r="Q6" s="8"/>
      <c r="R6" s="8"/>
      <c r="S6" s="8"/>
      <c r="T6" s="8"/>
      <c r="U6" s="8"/>
      <c r="V6" s="11"/>
    </row>
    <row r="7" spans="1:22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11"/>
    </row>
    <row r="8" spans="1:22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11"/>
    </row>
    <row r="9" spans="1:22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11"/>
    </row>
    <row r="10" spans="1:22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11"/>
    </row>
    <row r="11" spans="1:22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11"/>
    </row>
    <row r="12" spans="1:22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11"/>
    </row>
    <row r="13" spans="1:22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</row>
    <row r="14" spans="1:22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</row>
    <row r="15" spans="1:22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</row>
  </sheetData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E12E9-34FA-4285-BC80-7BE70E1A05DA}">
  <dimension ref="A1:U12"/>
  <sheetViews>
    <sheetView workbookViewId="0">
      <selection activeCell="K4" sqref="K4"/>
    </sheetView>
  </sheetViews>
  <sheetFormatPr defaultRowHeight="15" x14ac:dyDescent="0.25"/>
  <cols>
    <col min="1" max="1" width="13" customWidth="1"/>
    <col min="2" max="2" width="24.5703125" customWidth="1"/>
    <col min="3" max="3" width="16.7109375" customWidth="1"/>
    <col min="4" max="4" width="12" bestFit="1" customWidth="1"/>
    <col min="5" max="5" width="10" customWidth="1"/>
    <col min="6" max="6" width="18.140625" customWidth="1"/>
    <col min="7" max="7" width="13.28515625" bestFit="1" customWidth="1"/>
    <col min="10" max="10" width="11" bestFit="1" customWidth="1"/>
    <col min="12" max="12" width="11.28515625" bestFit="1" customWidth="1"/>
    <col min="13" max="13" width="11.140625" bestFit="1" customWidth="1"/>
    <col min="14" max="14" width="14" customWidth="1"/>
    <col min="15" max="15" width="13" customWidth="1"/>
    <col min="17" max="17" width="10.140625" bestFit="1" customWidth="1"/>
    <col min="18" max="21" width="9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2">
        <v>45449</v>
      </c>
      <c r="B2" s="8" t="s">
        <v>73</v>
      </c>
      <c r="C2" s="10" t="s">
        <v>74</v>
      </c>
      <c r="D2" s="10" t="s">
        <v>75</v>
      </c>
      <c r="E2" s="10" t="s">
        <v>76</v>
      </c>
      <c r="F2" s="10" t="s">
        <v>22</v>
      </c>
      <c r="G2" s="15">
        <v>45000</v>
      </c>
      <c r="H2" s="10" t="s">
        <v>77</v>
      </c>
      <c r="I2" s="10" t="s">
        <v>77</v>
      </c>
      <c r="J2" s="3">
        <v>0.37847222222222227</v>
      </c>
      <c r="K2" s="17">
        <v>0.38194444444444442</v>
      </c>
      <c r="L2" s="3">
        <v>0.52083333333333337</v>
      </c>
      <c r="M2" s="14">
        <v>0.51458333333333328</v>
      </c>
      <c r="N2" s="10">
        <v>8</v>
      </c>
      <c r="O2" s="10">
        <v>8</v>
      </c>
      <c r="P2" s="10" t="s">
        <v>24</v>
      </c>
      <c r="Q2" s="10" t="s">
        <v>24</v>
      </c>
      <c r="R2" s="10">
        <v>0</v>
      </c>
      <c r="S2" s="10">
        <v>0</v>
      </c>
      <c r="T2" s="10">
        <v>0</v>
      </c>
      <c r="U2" s="10">
        <v>0</v>
      </c>
    </row>
    <row r="3" spans="1:21" x14ac:dyDescent="0.25">
      <c r="A3" s="12">
        <v>45449</v>
      </c>
      <c r="B3" s="34" t="s">
        <v>81</v>
      </c>
      <c r="C3" s="8" t="s">
        <v>78</v>
      </c>
      <c r="D3" s="10" t="s">
        <v>79</v>
      </c>
      <c r="E3" s="8" t="s">
        <v>80</v>
      </c>
      <c r="F3" s="10" t="s">
        <v>22</v>
      </c>
      <c r="G3" s="15">
        <v>1785</v>
      </c>
      <c r="H3" s="8" t="s">
        <v>80</v>
      </c>
      <c r="I3" s="8" t="s">
        <v>80</v>
      </c>
      <c r="J3" s="16">
        <v>0.45833333333333331</v>
      </c>
      <c r="K3" s="17">
        <v>0.45208333333333334</v>
      </c>
      <c r="L3" s="16">
        <v>0.625</v>
      </c>
      <c r="M3" s="17">
        <v>0.65902777777777777</v>
      </c>
      <c r="N3" s="10" t="s">
        <v>82</v>
      </c>
      <c r="O3" s="10" t="s">
        <v>82</v>
      </c>
      <c r="P3" s="8" t="s">
        <v>24</v>
      </c>
      <c r="Q3" s="8" t="s">
        <v>24</v>
      </c>
      <c r="R3" s="8">
        <v>0</v>
      </c>
      <c r="S3" s="8">
        <v>0</v>
      </c>
      <c r="T3" s="8">
        <v>0</v>
      </c>
      <c r="U3" s="8">
        <v>0</v>
      </c>
    </row>
    <row r="4" spans="1:21" x14ac:dyDescent="0.25">
      <c r="A4" s="12"/>
      <c r="B4" s="8"/>
      <c r="C4" s="10"/>
      <c r="D4" s="10"/>
      <c r="E4" s="10"/>
      <c r="F4" s="10"/>
      <c r="G4" s="15"/>
      <c r="H4" s="10"/>
      <c r="I4" s="10"/>
      <c r="J4" s="3"/>
      <c r="K4" s="14"/>
      <c r="L4" s="3"/>
      <c r="M4" s="14"/>
      <c r="N4" s="10"/>
      <c r="O4" s="10"/>
      <c r="P4" s="10"/>
      <c r="Q4" s="10"/>
      <c r="R4" s="10"/>
      <c r="S4" s="10"/>
      <c r="T4" s="10"/>
      <c r="U4" s="10"/>
    </row>
    <row r="5" spans="1:21" x14ac:dyDescent="0.25">
      <c r="A5" s="2"/>
      <c r="B5" s="4"/>
      <c r="C5" s="4"/>
      <c r="D5" s="4"/>
      <c r="E5" s="4"/>
      <c r="F5" s="4"/>
      <c r="G5" s="5"/>
      <c r="H5" s="4"/>
      <c r="I5" s="4"/>
      <c r="J5" s="6"/>
      <c r="K5" s="7"/>
      <c r="L5" s="6"/>
      <c r="M5" s="7"/>
      <c r="N5" s="4"/>
      <c r="O5" s="4"/>
      <c r="P5" s="4"/>
      <c r="Q5" s="4"/>
      <c r="R5" s="4"/>
      <c r="S5" s="4"/>
      <c r="T5" s="4"/>
      <c r="U5" s="4"/>
    </row>
    <row r="11" spans="1:21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 spans="1:21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43694-EEA9-4235-9950-0D0A028279AA}">
  <dimension ref="A1:V12"/>
  <sheetViews>
    <sheetView workbookViewId="0">
      <selection activeCell="A2" sqref="A2:U4"/>
    </sheetView>
  </sheetViews>
  <sheetFormatPr defaultRowHeight="15" x14ac:dyDescent="0.25"/>
  <cols>
    <col min="1" max="1" width="10.140625" bestFit="1" customWidth="1"/>
    <col min="2" max="2" width="23.28515625" bestFit="1" customWidth="1"/>
    <col min="3" max="3" width="17" customWidth="1"/>
    <col min="6" max="6" width="15.140625" customWidth="1"/>
    <col min="7" max="7" width="9.28515625" bestFit="1" customWidth="1"/>
    <col min="10" max="13" width="9.28515625" bestFit="1" customWidth="1"/>
    <col min="14" max="14" width="12.28515625" customWidth="1"/>
    <col min="15" max="15" width="12.5703125" customWidth="1"/>
    <col min="16" max="21" width="9.28515625" bestFit="1" customWidth="1"/>
  </cols>
  <sheetData>
    <row r="1" spans="1:22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8"/>
    </row>
    <row r="2" spans="1:22" x14ac:dyDescent="0.25">
      <c r="A2" s="12">
        <v>45450</v>
      </c>
      <c r="B2" s="8" t="s">
        <v>39</v>
      </c>
      <c r="C2" s="10" t="s">
        <v>40</v>
      </c>
      <c r="D2" s="10" t="s">
        <v>41</v>
      </c>
      <c r="E2" s="10" t="s">
        <v>83</v>
      </c>
      <c r="F2" s="10" t="s">
        <v>42</v>
      </c>
      <c r="G2" s="15">
        <v>71500</v>
      </c>
      <c r="H2" s="10" t="s">
        <v>43</v>
      </c>
      <c r="I2" s="10" t="s">
        <v>44</v>
      </c>
      <c r="J2" s="3">
        <v>0.50347222222222221</v>
      </c>
      <c r="K2" s="14">
        <v>0.49652777777777773</v>
      </c>
      <c r="L2" s="3">
        <v>0.52777777777777779</v>
      </c>
      <c r="M2" s="14">
        <v>0.53055555555555556</v>
      </c>
      <c r="N2" s="10" t="s">
        <v>96</v>
      </c>
      <c r="O2" s="10" t="s">
        <v>97</v>
      </c>
      <c r="P2" s="10">
        <v>798</v>
      </c>
      <c r="Q2" s="10">
        <v>606</v>
      </c>
      <c r="R2" s="10">
        <v>0</v>
      </c>
      <c r="S2" s="10">
        <v>0</v>
      </c>
      <c r="T2" s="10">
        <v>0</v>
      </c>
      <c r="U2" s="10">
        <v>0</v>
      </c>
      <c r="V2" s="8"/>
    </row>
    <row r="3" spans="1:22" x14ac:dyDescent="0.25">
      <c r="A3" s="12">
        <v>45450</v>
      </c>
      <c r="B3" s="8" t="s">
        <v>45</v>
      </c>
      <c r="C3" s="8" t="s">
        <v>46</v>
      </c>
      <c r="D3" s="10" t="s">
        <v>41</v>
      </c>
      <c r="E3" s="8" t="s">
        <v>84</v>
      </c>
      <c r="F3" s="10" t="s">
        <v>42</v>
      </c>
      <c r="G3" s="15">
        <v>71500</v>
      </c>
      <c r="H3" s="8" t="s">
        <v>47</v>
      </c>
      <c r="I3" s="8" t="s">
        <v>48</v>
      </c>
      <c r="J3" s="16">
        <v>0.72222222222222221</v>
      </c>
      <c r="K3" s="17">
        <v>0.72777777777777775</v>
      </c>
      <c r="L3" s="16">
        <v>0.74305555555555547</v>
      </c>
      <c r="M3" s="17">
        <v>0.7680555555555556</v>
      </c>
      <c r="N3" s="10" t="s">
        <v>101</v>
      </c>
      <c r="O3" s="10" t="s">
        <v>105</v>
      </c>
      <c r="P3" s="8">
        <v>978</v>
      </c>
      <c r="Q3" s="8">
        <v>927</v>
      </c>
      <c r="R3" s="8">
        <v>0</v>
      </c>
      <c r="S3" s="8">
        <v>0</v>
      </c>
      <c r="T3" s="8">
        <v>0</v>
      </c>
      <c r="U3" s="8">
        <v>0</v>
      </c>
      <c r="V3" s="8"/>
    </row>
    <row r="4" spans="1:22" x14ac:dyDescent="0.25">
      <c r="A4" s="12">
        <v>45450</v>
      </c>
      <c r="B4" s="8" t="s">
        <v>45</v>
      </c>
      <c r="C4" s="8" t="s">
        <v>49</v>
      </c>
      <c r="D4" s="10" t="s">
        <v>41</v>
      </c>
      <c r="E4" s="8" t="s">
        <v>85</v>
      </c>
      <c r="F4" s="10" t="s">
        <v>42</v>
      </c>
      <c r="G4" s="15">
        <v>71500</v>
      </c>
      <c r="H4" s="8" t="s">
        <v>51</v>
      </c>
      <c r="I4" s="8" t="s">
        <v>52</v>
      </c>
      <c r="J4" s="16">
        <v>0.73958333333333337</v>
      </c>
      <c r="K4" s="17">
        <v>0.77638888888888891</v>
      </c>
      <c r="L4" s="16">
        <v>0.76388888888888884</v>
      </c>
      <c r="M4" s="17">
        <v>0.80972222222222223</v>
      </c>
      <c r="N4" s="10" t="s">
        <v>104</v>
      </c>
      <c r="O4" s="10" t="s">
        <v>106</v>
      </c>
      <c r="P4" s="8">
        <v>619</v>
      </c>
      <c r="Q4" s="8">
        <v>665</v>
      </c>
      <c r="R4" s="8">
        <v>0</v>
      </c>
      <c r="S4" s="8">
        <v>0</v>
      </c>
      <c r="T4" s="8">
        <v>0</v>
      </c>
      <c r="U4" s="8">
        <v>0</v>
      </c>
      <c r="V4" s="8"/>
    </row>
    <row r="5" spans="1:22" x14ac:dyDescent="0.25">
      <c r="A5" s="12">
        <v>45450</v>
      </c>
      <c r="B5" s="8" t="s">
        <v>61</v>
      </c>
      <c r="C5" s="8" t="s">
        <v>86</v>
      </c>
      <c r="D5" s="8" t="s">
        <v>41</v>
      </c>
      <c r="E5" s="8" t="s">
        <v>87</v>
      </c>
      <c r="F5" s="10" t="s">
        <v>64</v>
      </c>
      <c r="G5" s="15">
        <v>77000</v>
      </c>
      <c r="H5" s="8" t="s">
        <v>65</v>
      </c>
      <c r="I5" s="8" t="s">
        <v>66</v>
      </c>
      <c r="J5" s="16">
        <v>0.3298611111111111</v>
      </c>
      <c r="K5" s="17">
        <v>0.41319444444444442</v>
      </c>
      <c r="L5" s="16">
        <v>0.37152777777777773</v>
      </c>
      <c r="M5" s="17">
        <v>0.38125000000000003</v>
      </c>
      <c r="N5" s="8">
        <v>0</v>
      </c>
      <c r="O5" s="8" t="s">
        <v>88</v>
      </c>
      <c r="P5" s="8">
        <f>-O9</f>
        <v>0</v>
      </c>
      <c r="Q5" s="8">
        <v>2342</v>
      </c>
      <c r="R5" s="8">
        <v>0</v>
      </c>
      <c r="S5" s="8">
        <v>0</v>
      </c>
      <c r="T5" s="8">
        <v>0</v>
      </c>
      <c r="U5" s="8">
        <v>0</v>
      </c>
      <c r="V5" s="8"/>
    </row>
    <row r="6" spans="1:22" s="35" customFormat="1" x14ac:dyDescent="0.25">
      <c r="A6" s="18">
        <v>45450</v>
      </c>
      <c r="B6" s="8" t="s">
        <v>89</v>
      </c>
      <c r="C6" s="8" t="s">
        <v>90</v>
      </c>
      <c r="D6" s="24" t="s">
        <v>91</v>
      </c>
      <c r="E6" s="8" t="s">
        <v>92</v>
      </c>
      <c r="F6" s="24" t="s">
        <v>93</v>
      </c>
      <c r="G6" s="15">
        <v>14000</v>
      </c>
      <c r="H6" s="8" t="s">
        <v>24</v>
      </c>
      <c r="I6" s="8" t="s">
        <v>24</v>
      </c>
      <c r="J6" s="16">
        <v>0.40972222222222227</v>
      </c>
      <c r="K6" s="17">
        <v>0.40763888888888888</v>
      </c>
      <c r="L6" s="16">
        <v>0.48958333333333331</v>
      </c>
      <c r="M6" s="17">
        <v>0.49791666666666662</v>
      </c>
      <c r="N6" s="36" t="s">
        <v>94</v>
      </c>
      <c r="O6" s="17" t="s">
        <v>24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36" t="s">
        <v>95</v>
      </c>
      <c r="V6" s="8"/>
    </row>
    <row r="7" spans="1:22" x14ac:dyDescent="0.25">
      <c r="A7" s="18">
        <v>45450</v>
      </c>
      <c r="B7" s="8" t="s">
        <v>89</v>
      </c>
      <c r="C7" s="8" t="s">
        <v>100</v>
      </c>
      <c r="D7" s="24" t="s">
        <v>98</v>
      </c>
      <c r="E7" s="8" t="s">
        <v>99</v>
      </c>
      <c r="F7" s="24" t="s">
        <v>93</v>
      </c>
      <c r="G7" s="15">
        <v>14000</v>
      </c>
      <c r="H7" s="8" t="s">
        <v>102</v>
      </c>
      <c r="I7" s="8" t="s">
        <v>103</v>
      </c>
      <c r="J7" s="16">
        <v>0.70833333333333337</v>
      </c>
      <c r="K7" s="17">
        <v>0.70000000000000007</v>
      </c>
      <c r="L7" s="16">
        <v>0.77083333333333337</v>
      </c>
      <c r="M7" s="17">
        <v>0.79027777777777775</v>
      </c>
      <c r="N7" s="36" t="s">
        <v>95</v>
      </c>
      <c r="O7" s="17">
        <v>5</v>
      </c>
      <c r="P7" s="8" t="s">
        <v>24</v>
      </c>
      <c r="Q7" s="8" t="s">
        <v>24</v>
      </c>
      <c r="R7" s="8">
        <v>0</v>
      </c>
      <c r="S7" s="8">
        <v>0</v>
      </c>
      <c r="T7" s="8">
        <v>0</v>
      </c>
      <c r="U7" s="36" t="s">
        <v>95</v>
      </c>
      <c r="V7" s="8"/>
    </row>
    <row r="8" spans="1:22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</row>
    <row r="9" spans="1:22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</row>
    <row r="10" spans="1:22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spans="1:22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</row>
    <row r="12" spans="1:22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</row>
  </sheetData>
  <pageMargins left="0.7" right="0.7" top="0.75" bottom="0.75" header="0.3" footer="0.3"/>
  <pageSetup paperSize="9" orientation="portrait" verticalDpi="0" r:id="rId1"/>
  <ignoredErrors>
    <ignoredError sqref="N6:N7 U6:U7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3E4BC-6353-4003-B7C2-BAFBFBBC39CB}">
  <dimension ref="A1:V15"/>
  <sheetViews>
    <sheetView workbookViewId="0">
      <selection activeCell="C2" sqref="C2"/>
    </sheetView>
  </sheetViews>
  <sheetFormatPr defaultRowHeight="15" x14ac:dyDescent="0.25"/>
  <cols>
    <col min="1" max="1" width="11.28515625" bestFit="1" customWidth="1"/>
    <col min="2" max="2" width="20.140625" bestFit="1" customWidth="1"/>
    <col min="3" max="3" width="18.5703125" customWidth="1"/>
    <col min="6" max="6" width="25" customWidth="1"/>
    <col min="7" max="7" width="9.28515625" bestFit="1" customWidth="1"/>
    <col min="10" max="10" width="9.28515625" bestFit="1" customWidth="1"/>
    <col min="12" max="12" width="9.28515625" bestFit="1" customWidth="1"/>
    <col min="14" max="14" width="14.7109375" customWidth="1"/>
    <col min="15" max="15" width="15.140625" customWidth="1"/>
    <col min="18" max="21" width="9.2851562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1"/>
    </row>
    <row r="2" spans="1:22" x14ac:dyDescent="0.25">
      <c r="A2" s="12">
        <v>45451</v>
      </c>
      <c r="B2" s="8" t="s">
        <v>34</v>
      </c>
      <c r="C2" s="10" t="s">
        <v>107</v>
      </c>
      <c r="D2" s="10" t="s">
        <v>36</v>
      </c>
      <c r="E2" s="10" t="s">
        <v>37</v>
      </c>
      <c r="F2" s="10" t="s">
        <v>38</v>
      </c>
      <c r="G2" s="15">
        <v>2</v>
      </c>
      <c r="H2" s="10" t="s">
        <v>37</v>
      </c>
      <c r="I2" s="10" t="s">
        <v>37</v>
      </c>
      <c r="J2" s="3">
        <v>0.5</v>
      </c>
      <c r="K2" s="14">
        <v>0.47500000000000003</v>
      </c>
      <c r="L2" s="3">
        <v>0.52083333333333337</v>
      </c>
      <c r="M2" s="14">
        <v>0.49305555555555558</v>
      </c>
      <c r="N2" s="10">
        <v>0</v>
      </c>
      <c r="O2" s="10">
        <v>0</v>
      </c>
      <c r="P2" s="10">
        <v>0</v>
      </c>
      <c r="Q2" s="10">
        <v>0</v>
      </c>
      <c r="R2" s="10">
        <v>0</v>
      </c>
      <c r="S2" s="10">
        <v>0</v>
      </c>
      <c r="T2" s="10">
        <v>0</v>
      </c>
      <c r="U2" s="10">
        <v>0</v>
      </c>
    </row>
    <row r="3" spans="1:22" x14ac:dyDescent="0.25">
      <c r="A3" s="2"/>
      <c r="B3" s="8"/>
      <c r="C3" s="10"/>
      <c r="D3" s="10"/>
      <c r="E3" s="10"/>
      <c r="F3" s="10"/>
      <c r="G3" s="21"/>
      <c r="H3" s="10"/>
      <c r="I3" s="10"/>
      <c r="J3" s="3"/>
      <c r="K3" s="14"/>
      <c r="L3" s="3"/>
      <c r="M3" s="14"/>
      <c r="N3" s="1"/>
      <c r="O3" s="1"/>
      <c r="P3" s="1"/>
      <c r="Q3" s="1"/>
      <c r="R3" s="1"/>
      <c r="S3" s="1"/>
      <c r="T3" s="1"/>
      <c r="U3" s="1"/>
      <c r="V3" s="11"/>
    </row>
    <row r="4" spans="1:22" x14ac:dyDescent="0.25">
      <c r="A4" s="2"/>
      <c r="B4" s="8"/>
      <c r="C4" s="10"/>
      <c r="D4" s="10"/>
      <c r="E4" s="10"/>
      <c r="F4" s="10"/>
      <c r="G4" s="13"/>
      <c r="H4" s="10"/>
      <c r="I4" s="10"/>
      <c r="J4" s="3"/>
      <c r="K4" s="14"/>
      <c r="L4" s="3"/>
      <c r="M4" s="14"/>
      <c r="N4" s="10"/>
      <c r="O4" s="10"/>
      <c r="P4" s="10"/>
      <c r="Q4" s="10"/>
      <c r="R4" s="10"/>
      <c r="S4" s="10"/>
      <c r="T4" s="10"/>
      <c r="U4" s="10"/>
      <c r="V4" s="11"/>
    </row>
    <row r="5" spans="1:22" x14ac:dyDescent="0.25">
      <c r="A5" s="18"/>
      <c r="B5" s="8"/>
      <c r="C5" s="8"/>
      <c r="D5" s="8"/>
      <c r="E5" s="8"/>
      <c r="F5" s="8"/>
      <c r="G5" s="8"/>
      <c r="H5" s="8"/>
      <c r="I5" s="8"/>
      <c r="J5" s="16"/>
      <c r="K5" s="17"/>
      <c r="L5" s="16"/>
      <c r="M5" s="17"/>
      <c r="N5" s="8"/>
      <c r="O5" s="8"/>
      <c r="P5" s="8"/>
      <c r="Q5" s="8"/>
      <c r="R5" s="8"/>
      <c r="S5" s="8"/>
      <c r="T5" s="8"/>
      <c r="U5" s="8"/>
      <c r="V5" s="11"/>
    </row>
    <row r="6" spans="1:22" x14ac:dyDescent="0.25">
      <c r="A6" s="18"/>
      <c r="B6" s="8"/>
      <c r="C6" s="8"/>
      <c r="D6" s="8"/>
      <c r="E6" s="8"/>
      <c r="F6" s="8"/>
      <c r="G6" s="15"/>
      <c r="H6" s="8"/>
      <c r="I6" s="8"/>
      <c r="J6" s="16"/>
      <c r="K6" s="17"/>
      <c r="L6" s="16"/>
      <c r="M6" s="17"/>
      <c r="N6" s="8"/>
      <c r="O6" s="8"/>
      <c r="P6" s="8"/>
      <c r="Q6" s="8"/>
      <c r="R6" s="8"/>
      <c r="S6" s="8"/>
      <c r="T6" s="8"/>
      <c r="U6" s="8"/>
      <c r="V6" s="11"/>
    </row>
    <row r="7" spans="1:22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11"/>
    </row>
    <row r="8" spans="1:22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11"/>
    </row>
    <row r="9" spans="1:22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11"/>
    </row>
    <row r="10" spans="1:22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11"/>
    </row>
    <row r="11" spans="1:22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11"/>
    </row>
    <row r="12" spans="1:22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11"/>
    </row>
    <row r="13" spans="1:22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</row>
    <row r="14" spans="1:22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</row>
    <row r="15" spans="1:22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5204E-9F35-43D6-A7D0-CCB1C7524503}">
  <dimension ref="A1:V15"/>
  <sheetViews>
    <sheetView workbookViewId="0">
      <selection activeCell="B3" sqref="B3:U3"/>
    </sheetView>
  </sheetViews>
  <sheetFormatPr defaultRowHeight="15" x14ac:dyDescent="0.25"/>
  <cols>
    <col min="1" max="1" width="11.28515625" bestFit="1" customWidth="1"/>
    <col min="2" max="2" width="20.140625" bestFit="1" customWidth="1"/>
    <col min="3" max="3" width="18.5703125" customWidth="1"/>
    <col min="6" max="6" width="22.85546875" customWidth="1"/>
    <col min="7" max="7" width="9.28515625" bestFit="1" customWidth="1"/>
    <col min="10" max="10" width="9.28515625" bestFit="1" customWidth="1"/>
    <col min="12" max="12" width="9.28515625" bestFit="1" customWidth="1"/>
    <col min="14" max="14" width="14.7109375" customWidth="1"/>
    <col min="15" max="15" width="15.140625" customWidth="1"/>
    <col min="18" max="21" width="9.2851562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1"/>
    </row>
    <row r="2" spans="1:22" x14ac:dyDescent="0.25">
      <c r="A2" s="2">
        <v>45452</v>
      </c>
      <c r="B2" s="8" t="s">
        <v>108</v>
      </c>
      <c r="C2" s="8" t="s">
        <v>109</v>
      </c>
      <c r="D2" s="10" t="s">
        <v>118</v>
      </c>
      <c r="E2" s="10" t="s">
        <v>110</v>
      </c>
      <c r="F2" s="10" t="s">
        <v>116</v>
      </c>
      <c r="G2" s="21">
        <v>4.5999999999999996</v>
      </c>
      <c r="H2" s="8" t="s">
        <v>111</v>
      </c>
      <c r="I2" s="8" t="s">
        <v>111</v>
      </c>
      <c r="J2" s="16">
        <v>0.47916666666666669</v>
      </c>
      <c r="K2" s="17">
        <v>0.47916666666666669</v>
      </c>
      <c r="L2" s="16">
        <v>0.5</v>
      </c>
      <c r="M2" s="17">
        <v>0.51736111111111105</v>
      </c>
      <c r="N2" s="1">
        <v>2</v>
      </c>
      <c r="O2" s="37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11"/>
    </row>
    <row r="3" spans="1:22" x14ac:dyDescent="0.25">
      <c r="A3" s="2">
        <v>45452</v>
      </c>
      <c r="B3" s="8" t="s">
        <v>112</v>
      </c>
      <c r="C3" s="10" t="s">
        <v>113</v>
      </c>
      <c r="D3" s="10" t="s">
        <v>114</v>
      </c>
      <c r="E3" s="10" t="s">
        <v>115</v>
      </c>
      <c r="F3" s="10" t="s">
        <v>116</v>
      </c>
      <c r="G3" s="21">
        <v>650</v>
      </c>
      <c r="H3" s="10" t="s">
        <v>117</v>
      </c>
      <c r="I3" s="10" t="s">
        <v>117</v>
      </c>
      <c r="J3" s="3" t="s">
        <v>24</v>
      </c>
      <c r="K3" s="14">
        <v>0.50486111111111109</v>
      </c>
      <c r="L3" s="3" t="s">
        <v>24</v>
      </c>
      <c r="M3" s="14">
        <v>0.52916666666666667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1"/>
    </row>
    <row r="4" spans="1:22" x14ac:dyDescent="0.25">
      <c r="A4" s="2"/>
      <c r="B4" s="8"/>
      <c r="C4" s="10"/>
      <c r="D4" s="10"/>
      <c r="E4" s="10"/>
      <c r="F4" s="10"/>
      <c r="G4" s="13"/>
      <c r="H4" s="10"/>
      <c r="I4" s="10"/>
      <c r="J4" s="3"/>
      <c r="K4" s="14"/>
      <c r="L4" s="3"/>
      <c r="M4" s="14"/>
      <c r="N4" s="10"/>
      <c r="O4" s="10"/>
      <c r="P4" s="10"/>
      <c r="Q4" s="10"/>
      <c r="R4" s="10"/>
      <c r="S4" s="10"/>
      <c r="T4" s="10"/>
      <c r="U4" s="10"/>
      <c r="V4" s="11"/>
    </row>
    <row r="5" spans="1:22" x14ac:dyDescent="0.25">
      <c r="A5" s="18"/>
      <c r="B5" s="8"/>
      <c r="C5" s="8"/>
      <c r="D5" s="8"/>
      <c r="E5" s="8"/>
      <c r="F5" s="8"/>
      <c r="G5" s="8"/>
      <c r="H5" s="8"/>
      <c r="I5" s="8"/>
      <c r="J5" s="16"/>
      <c r="K5" s="17"/>
      <c r="L5" s="16"/>
      <c r="M5" s="17"/>
      <c r="N5" s="8"/>
      <c r="O5" s="8"/>
      <c r="P5" s="8"/>
      <c r="Q5" s="8"/>
      <c r="R5" s="8"/>
      <c r="S5" s="8"/>
      <c r="T5" s="8"/>
      <c r="U5" s="8"/>
      <c r="V5" s="11"/>
    </row>
    <row r="6" spans="1:22" x14ac:dyDescent="0.25">
      <c r="A6" s="18"/>
      <c r="B6" s="8"/>
      <c r="C6" s="8"/>
      <c r="D6" s="8"/>
      <c r="E6" s="8"/>
      <c r="F6" s="8"/>
      <c r="G6" s="15"/>
      <c r="H6" s="8"/>
      <c r="I6" s="8"/>
      <c r="J6" s="16"/>
      <c r="K6" s="17"/>
      <c r="L6" s="16"/>
      <c r="M6" s="17"/>
      <c r="N6" s="8"/>
      <c r="O6" s="8"/>
      <c r="P6" s="8"/>
      <c r="Q6" s="8"/>
      <c r="R6" s="8"/>
      <c r="S6" s="8"/>
      <c r="T6" s="8"/>
      <c r="U6" s="8"/>
      <c r="V6" s="11"/>
    </row>
    <row r="7" spans="1:22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11"/>
    </row>
    <row r="8" spans="1:22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11"/>
    </row>
    <row r="9" spans="1:22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11"/>
    </row>
    <row r="10" spans="1:22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11"/>
    </row>
    <row r="11" spans="1:22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11"/>
    </row>
    <row r="12" spans="1:22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11"/>
    </row>
    <row r="13" spans="1:22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</row>
    <row r="14" spans="1:22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</row>
    <row r="15" spans="1:22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8CE9B-A2DB-4E64-A648-D40D2A91205F}">
  <dimension ref="A1:U12"/>
  <sheetViews>
    <sheetView workbookViewId="0">
      <selection activeCell="G17" sqref="G17"/>
    </sheetView>
  </sheetViews>
  <sheetFormatPr defaultRowHeight="15" x14ac:dyDescent="0.25"/>
  <cols>
    <col min="1" max="1" width="13" customWidth="1"/>
    <col min="2" max="2" width="24.5703125" customWidth="1"/>
    <col min="3" max="3" width="16.7109375" customWidth="1"/>
    <col min="5" max="5" width="10" customWidth="1"/>
    <col min="6" max="6" width="18.140625" customWidth="1"/>
    <col min="7" max="7" width="13.28515625" bestFit="1" customWidth="1"/>
    <col min="10" max="10" width="11" bestFit="1" customWidth="1"/>
    <col min="12" max="12" width="11.28515625" bestFit="1" customWidth="1"/>
    <col min="13" max="13" width="11.140625" bestFit="1" customWidth="1"/>
    <col min="14" max="14" width="14" customWidth="1"/>
    <col min="15" max="15" width="13" customWidth="1"/>
    <col min="17" max="17" width="10.140625" bestFit="1" customWidth="1"/>
    <col min="18" max="21" width="9.42578125" bestFit="1" customWidth="1"/>
  </cols>
  <sheetData>
    <row r="1" spans="1:2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</row>
    <row r="2" spans="1:21" x14ac:dyDescent="0.25">
      <c r="A2" s="12">
        <v>45453</v>
      </c>
      <c r="B2" s="8" t="s">
        <v>39</v>
      </c>
      <c r="C2" s="10" t="s">
        <v>40</v>
      </c>
      <c r="D2" s="10" t="s">
        <v>41</v>
      </c>
      <c r="E2" s="10" t="s">
        <v>83</v>
      </c>
      <c r="F2" s="10" t="s">
        <v>42</v>
      </c>
      <c r="G2" s="15">
        <v>71500</v>
      </c>
      <c r="H2" s="10" t="s">
        <v>43</v>
      </c>
      <c r="I2" s="10" t="s">
        <v>44</v>
      </c>
      <c r="J2" s="3">
        <v>0.50347222222222221</v>
      </c>
      <c r="K2" s="14">
        <v>0.50902777777777775</v>
      </c>
      <c r="L2" s="3">
        <v>0.52777777777777779</v>
      </c>
      <c r="M2" s="14">
        <v>0.58402777777777781</v>
      </c>
      <c r="N2" s="10" t="s">
        <v>121</v>
      </c>
      <c r="O2" s="10" t="s">
        <v>122</v>
      </c>
      <c r="P2" s="10">
        <v>854</v>
      </c>
      <c r="Q2" s="10">
        <v>813</v>
      </c>
      <c r="R2" s="10">
        <v>0</v>
      </c>
      <c r="S2" s="10">
        <v>0</v>
      </c>
      <c r="T2" s="10">
        <v>0</v>
      </c>
      <c r="U2" s="10">
        <v>0</v>
      </c>
    </row>
    <row r="3" spans="1:21" x14ac:dyDescent="0.25">
      <c r="A3" s="12">
        <v>45453</v>
      </c>
      <c r="B3" s="8" t="s">
        <v>45</v>
      </c>
      <c r="C3" s="8" t="s">
        <v>46</v>
      </c>
      <c r="D3" s="10" t="s">
        <v>41</v>
      </c>
      <c r="E3" s="8" t="s">
        <v>85</v>
      </c>
      <c r="F3" s="10" t="s">
        <v>42</v>
      </c>
      <c r="G3" s="15">
        <v>71500</v>
      </c>
      <c r="H3" s="8" t="s">
        <v>47</v>
      </c>
      <c r="I3" s="8" t="s">
        <v>48</v>
      </c>
      <c r="J3" s="16">
        <v>0.72222222222222221</v>
      </c>
      <c r="K3" s="17">
        <v>0.77430555555555547</v>
      </c>
      <c r="L3" s="16">
        <v>0.74305555555555547</v>
      </c>
      <c r="M3" s="17">
        <v>0.81666666666666676</v>
      </c>
      <c r="N3" s="10" t="s">
        <v>123</v>
      </c>
      <c r="O3" s="10" t="s">
        <v>125</v>
      </c>
      <c r="P3" s="8">
        <v>837</v>
      </c>
      <c r="Q3" s="8">
        <v>1529</v>
      </c>
      <c r="R3" s="8">
        <v>0</v>
      </c>
      <c r="S3" s="8">
        <v>0</v>
      </c>
      <c r="T3" s="8">
        <v>0</v>
      </c>
      <c r="U3" s="8">
        <v>0</v>
      </c>
    </row>
    <row r="4" spans="1:21" x14ac:dyDescent="0.25">
      <c r="A4" s="12">
        <v>45453</v>
      </c>
      <c r="B4" s="8" t="s">
        <v>45</v>
      </c>
      <c r="C4" s="8" t="s">
        <v>49</v>
      </c>
      <c r="D4" s="10" t="s">
        <v>41</v>
      </c>
      <c r="E4" s="8" t="s">
        <v>119</v>
      </c>
      <c r="F4" s="10" t="s">
        <v>42</v>
      </c>
      <c r="G4" s="15">
        <v>71500</v>
      </c>
      <c r="H4" s="8" t="s">
        <v>51</v>
      </c>
      <c r="I4" s="8" t="s">
        <v>52</v>
      </c>
      <c r="J4" s="16">
        <v>0.73958333333333337</v>
      </c>
      <c r="K4" s="17">
        <v>0.7402777777777777</v>
      </c>
      <c r="L4" s="16">
        <v>0.76388888888888884</v>
      </c>
      <c r="M4" s="17">
        <v>0.78749999999999998</v>
      </c>
      <c r="N4" s="10" t="s">
        <v>124</v>
      </c>
      <c r="O4" s="10" t="s">
        <v>126</v>
      </c>
      <c r="P4" s="8">
        <v>449</v>
      </c>
      <c r="Q4" s="8">
        <v>720</v>
      </c>
      <c r="R4" s="8">
        <v>0</v>
      </c>
      <c r="S4" s="8">
        <v>0</v>
      </c>
      <c r="T4" s="8">
        <v>0</v>
      </c>
      <c r="U4" s="8">
        <v>0</v>
      </c>
    </row>
    <row r="5" spans="1:21" x14ac:dyDescent="0.25">
      <c r="A5" s="12">
        <v>45453</v>
      </c>
      <c r="B5" s="8" t="s">
        <v>112</v>
      </c>
      <c r="C5" s="10" t="s">
        <v>120</v>
      </c>
      <c r="D5" s="10" t="s">
        <v>114</v>
      </c>
      <c r="E5" s="10" t="s">
        <v>115</v>
      </c>
      <c r="F5" s="10" t="s">
        <v>116</v>
      </c>
      <c r="G5" s="21">
        <v>650</v>
      </c>
      <c r="H5" s="10" t="s">
        <v>117</v>
      </c>
      <c r="I5" s="10" t="s">
        <v>117</v>
      </c>
      <c r="J5" s="3">
        <v>0.3888888888888889</v>
      </c>
      <c r="K5" s="14">
        <v>0.40277777777777773</v>
      </c>
      <c r="L5" s="3">
        <v>0.41666666666666669</v>
      </c>
      <c r="M5" s="14">
        <v>0.41805555555555557</v>
      </c>
      <c r="N5" s="1" t="s">
        <v>24</v>
      </c>
      <c r="O5" s="1" t="s">
        <v>24</v>
      </c>
      <c r="P5" s="1" t="s">
        <v>24</v>
      </c>
      <c r="Q5" s="1" t="s">
        <v>24</v>
      </c>
      <c r="R5" s="1">
        <v>0</v>
      </c>
      <c r="S5" s="1">
        <v>0</v>
      </c>
      <c r="T5" s="1">
        <v>0</v>
      </c>
      <c r="U5" s="1">
        <v>0</v>
      </c>
    </row>
    <row r="6" spans="1:21" x14ac:dyDescent="0.25">
      <c r="A6" s="1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11" spans="1:21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 spans="1:21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3110F-6F8A-4242-9DB7-AD99AE1F5DAA}">
  <dimension ref="A1:U6"/>
  <sheetViews>
    <sheetView workbookViewId="0">
      <selection sqref="A1:XFD2"/>
    </sheetView>
  </sheetViews>
  <sheetFormatPr defaultRowHeight="12.75" x14ac:dyDescent="0.25"/>
  <cols>
    <col min="1" max="1" width="9.140625" style="8"/>
    <col min="2" max="2" width="23.7109375" style="8" bestFit="1" customWidth="1"/>
    <col min="3" max="3" width="17.85546875" style="8" customWidth="1"/>
    <col min="4" max="4" width="12.7109375" style="8" customWidth="1"/>
    <col min="5" max="5" width="11" style="8" customWidth="1"/>
    <col min="6" max="6" width="12.140625" style="8" bestFit="1" customWidth="1"/>
    <col min="7" max="7" width="12.28515625" style="8" customWidth="1"/>
    <col min="8" max="8" width="12" style="8" customWidth="1"/>
    <col min="9" max="9" width="13.5703125" style="8" customWidth="1"/>
    <col min="10" max="10" width="13.28515625" style="8" customWidth="1"/>
    <col min="11" max="13" width="9.140625" style="8"/>
    <col min="14" max="14" width="12.7109375" style="8" customWidth="1"/>
    <col min="15" max="15" width="15" style="8" customWidth="1"/>
    <col min="16" max="16384" width="9.140625" style="8"/>
  </cols>
  <sheetData>
    <row r="1" spans="1:2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</row>
    <row r="2" spans="1:21" customFormat="1" ht="15" x14ac:dyDescent="0.25">
      <c r="A2" s="12">
        <v>45454</v>
      </c>
      <c r="B2" s="8" t="s">
        <v>61</v>
      </c>
      <c r="C2" s="8" t="s">
        <v>62</v>
      </c>
      <c r="D2" s="8" t="s">
        <v>41</v>
      </c>
      <c r="E2" s="8" t="s">
        <v>87</v>
      </c>
      <c r="F2" s="10" t="s">
        <v>64</v>
      </c>
      <c r="G2" s="15">
        <v>77000</v>
      </c>
      <c r="H2" s="8" t="s">
        <v>65</v>
      </c>
      <c r="I2" s="8" t="s">
        <v>66</v>
      </c>
      <c r="J2" s="16">
        <v>0.3298611111111111</v>
      </c>
      <c r="K2" s="17">
        <v>0.32777777777777778</v>
      </c>
      <c r="L2" s="16">
        <v>0.37152777777777773</v>
      </c>
      <c r="M2" s="17">
        <v>0.78819444444444453</v>
      </c>
      <c r="N2" s="8" t="s">
        <v>127</v>
      </c>
      <c r="O2" s="8" t="s">
        <v>128</v>
      </c>
      <c r="P2" s="8">
        <v>1658</v>
      </c>
      <c r="Q2" s="8">
        <v>2114</v>
      </c>
      <c r="R2" s="8">
        <v>0</v>
      </c>
      <c r="S2" s="8">
        <v>0</v>
      </c>
      <c r="T2" s="8">
        <v>0</v>
      </c>
      <c r="U2" s="8">
        <v>0</v>
      </c>
    </row>
    <row r="3" spans="1:21" x14ac:dyDescent="0.2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</row>
    <row r="4" spans="1:2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</row>
    <row r="5" spans="1:21" x14ac:dyDescent="0.2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</row>
    <row r="6" spans="1:21" x14ac:dyDescent="0.2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</row>
  </sheetData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BC9F5-0667-462B-832F-33508E12DD37}">
  <dimension ref="A1:V6"/>
  <sheetViews>
    <sheetView workbookViewId="0">
      <selection activeCell="M6" sqref="M6"/>
    </sheetView>
  </sheetViews>
  <sheetFormatPr defaultRowHeight="15" x14ac:dyDescent="0.25"/>
  <cols>
    <col min="2" max="2" width="24" customWidth="1"/>
    <col min="3" max="3" width="16.140625" customWidth="1"/>
    <col min="6" max="6" width="15.140625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6" width="10.2851562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x14ac:dyDescent="0.25">
      <c r="A2" s="12">
        <v>45455</v>
      </c>
      <c r="B2" s="8" t="s">
        <v>45</v>
      </c>
      <c r="C2" s="8" t="s">
        <v>49</v>
      </c>
      <c r="D2" s="10" t="s">
        <v>41</v>
      </c>
      <c r="E2" s="8" t="s">
        <v>129</v>
      </c>
      <c r="F2" s="10" t="s">
        <v>42</v>
      </c>
      <c r="G2" s="15">
        <v>71500</v>
      </c>
      <c r="H2" s="8" t="s">
        <v>51</v>
      </c>
      <c r="I2" s="8" t="s">
        <v>52</v>
      </c>
      <c r="J2" s="16">
        <v>0.41666666666666669</v>
      </c>
      <c r="K2" s="17">
        <v>0.4236111111111111</v>
      </c>
      <c r="L2" s="16">
        <v>0.44097222222222227</v>
      </c>
      <c r="M2" s="17">
        <v>0.48819444444444443</v>
      </c>
      <c r="N2" s="10" t="s">
        <v>130</v>
      </c>
      <c r="O2" s="10" t="s">
        <v>131</v>
      </c>
      <c r="P2" s="8">
        <v>679</v>
      </c>
      <c r="Q2" s="8">
        <v>463</v>
      </c>
      <c r="R2" s="8">
        <v>0</v>
      </c>
      <c r="S2" s="8">
        <v>0</v>
      </c>
      <c r="T2" s="8">
        <v>0</v>
      </c>
      <c r="U2" s="8">
        <v>0</v>
      </c>
      <c r="V2" s="11"/>
    </row>
    <row r="3" spans="1:22" x14ac:dyDescent="0.25">
      <c r="A3" s="12">
        <v>45455</v>
      </c>
      <c r="B3" s="8" t="s">
        <v>45</v>
      </c>
      <c r="C3" s="8" t="s">
        <v>46</v>
      </c>
      <c r="D3" s="10" t="s">
        <v>41</v>
      </c>
      <c r="E3" s="8" t="s">
        <v>132</v>
      </c>
      <c r="F3" s="10" t="s">
        <v>42</v>
      </c>
      <c r="G3" s="15">
        <v>71500</v>
      </c>
      <c r="H3" s="8" t="s">
        <v>47</v>
      </c>
      <c r="I3" s="8" t="s">
        <v>48</v>
      </c>
      <c r="J3" s="16">
        <v>0.72222222222222221</v>
      </c>
      <c r="K3" s="17">
        <v>0.7715277777777777</v>
      </c>
      <c r="L3" s="16">
        <v>0.74305555555555547</v>
      </c>
      <c r="M3" s="17">
        <v>0.80763888888888891</v>
      </c>
      <c r="N3" s="10" t="s">
        <v>133</v>
      </c>
      <c r="O3" s="10" t="s">
        <v>134</v>
      </c>
      <c r="P3" s="8">
        <v>874</v>
      </c>
      <c r="Q3" s="8">
        <v>970</v>
      </c>
      <c r="R3" s="8">
        <v>0</v>
      </c>
      <c r="S3" s="8">
        <v>0</v>
      </c>
      <c r="T3" s="8">
        <v>0</v>
      </c>
      <c r="U3" s="8">
        <v>0</v>
      </c>
      <c r="V3" s="11"/>
    </row>
    <row r="4" spans="1:22" x14ac:dyDescent="0.25">
      <c r="A4" s="2"/>
      <c r="B4" s="8"/>
      <c r="C4" s="10"/>
      <c r="D4" s="10"/>
      <c r="E4" s="10"/>
      <c r="F4" s="10"/>
      <c r="G4" s="15"/>
      <c r="H4" s="10"/>
      <c r="I4" s="10"/>
      <c r="J4" s="3"/>
      <c r="K4" s="14"/>
      <c r="L4" s="3"/>
      <c r="M4" s="14"/>
      <c r="N4" s="10"/>
      <c r="O4" s="10"/>
      <c r="P4" s="10"/>
      <c r="Q4" s="10"/>
      <c r="R4" s="10"/>
      <c r="S4" s="10"/>
      <c r="T4" s="10"/>
      <c r="U4" s="10"/>
    </row>
    <row r="5" spans="1:22" x14ac:dyDescent="0.25">
      <c r="A5" s="2"/>
      <c r="B5" s="8"/>
      <c r="C5" s="8"/>
      <c r="D5" s="8"/>
      <c r="E5" s="8"/>
      <c r="F5" s="8"/>
      <c r="G5" s="8"/>
      <c r="H5" s="8"/>
      <c r="I5" s="8"/>
      <c r="J5" s="16"/>
      <c r="K5" s="17"/>
      <c r="L5" s="16"/>
      <c r="M5" s="17"/>
      <c r="N5" s="8"/>
      <c r="O5" s="8"/>
      <c r="P5" s="8"/>
      <c r="Q5" s="8"/>
      <c r="R5" s="8"/>
      <c r="S5" s="8"/>
      <c r="T5" s="8"/>
      <c r="U5" s="8"/>
    </row>
    <row r="6" spans="1:22" x14ac:dyDescent="0.25">
      <c r="A6" s="2"/>
      <c r="B6" s="8"/>
      <c r="C6" s="8"/>
      <c r="E6" s="8"/>
      <c r="F6" s="8"/>
      <c r="G6" s="15"/>
      <c r="H6" s="8"/>
      <c r="I6" s="8"/>
      <c r="J6" s="16"/>
      <c r="K6" s="17"/>
      <c r="L6" s="16"/>
      <c r="M6" s="17"/>
      <c r="N6" s="8"/>
      <c r="O6" s="8"/>
      <c r="P6" s="8"/>
      <c r="Q6" s="8"/>
      <c r="R6" s="8"/>
      <c r="S6" s="8"/>
      <c r="T6" s="8"/>
      <c r="U6" s="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96886-28DB-4C1B-9B19-23253B21D823}">
  <dimension ref="A1:U12"/>
  <sheetViews>
    <sheetView workbookViewId="0">
      <selection activeCell="L19" sqref="L19"/>
    </sheetView>
  </sheetViews>
  <sheetFormatPr defaultRowHeight="15" x14ac:dyDescent="0.25"/>
  <cols>
    <col min="1" max="1" width="13.85546875" customWidth="1"/>
    <col min="2" max="2" width="24" customWidth="1"/>
    <col min="3" max="3" width="14.140625" customWidth="1"/>
    <col min="5" max="5" width="10" customWidth="1"/>
    <col min="6" max="6" width="15.7109375" customWidth="1"/>
    <col min="7" max="7" width="13.28515625" bestFit="1" customWidth="1"/>
    <col min="10" max="10" width="14.28515625" customWidth="1"/>
    <col min="11" max="12" width="14" customWidth="1"/>
    <col min="13" max="13" width="12.85546875" customWidth="1"/>
    <col min="14" max="14" width="18.42578125" customWidth="1"/>
    <col min="15" max="15" width="15.7109375" customWidth="1"/>
    <col min="17" max="17" width="10.140625" bestFit="1" customWidth="1"/>
    <col min="18" max="21" width="9.42578125" bestFit="1" customWidth="1"/>
  </cols>
  <sheetData>
    <row r="1" spans="1:2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</row>
    <row r="2" spans="1:21" x14ac:dyDescent="0.25">
      <c r="A2" s="12"/>
      <c r="B2" s="8"/>
      <c r="C2" s="8"/>
      <c r="D2" s="10"/>
      <c r="E2" s="8"/>
      <c r="F2" s="10"/>
      <c r="G2" s="15"/>
      <c r="H2" s="8"/>
      <c r="I2" s="8"/>
      <c r="J2" s="16"/>
      <c r="K2" s="17"/>
      <c r="L2" s="16"/>
      <c r="M2" s="17"/>
      <c r="N2" s="10"/>
      <c r="O2" s="10"/>
      <c r="P2" s="8"/>
      <c r="Q2" s="8"/>
      <c r="R2" s="8"/>
      <c r="S2" s="8"/>
      <c r="T2" s="8"/>
      <c r="U2" s="8"/>
    </row>
    <row r="3" spans="1:21" x14ac:dyDescent="0.25">
      <c r="A3" s="12"/>
      <c r="B3" s="8"/>
      <c r="C3" s="8"/>
      <c r="D3" s="10"/>
      <c r="E3" s="8"/>
      <c r="F3" s="10"/>
      <c r="G3" s="15"/>
      <c r="H3" s="8"/>
      <c r="I3" s="8"/>
      <c r="J3" s="16"/>
      <c r="K3" s="17"/>
      <c r="L3" s="16"/>
      <c r="M3" s="17"/>
      <c r="N3" s="10"/>
      <c r="O3" s="10"/>
      <c r="P3" s="8"/>
      <c r="Q3" s="8"/>
      <c r="R3" s="8"/>
      <c r="S3" s="8"/>
      <c r="T3" s="8"/>
      <c r="U3" s="8"/>
    </row>
    <row r="4" spans="1:21" x14ac:dyDescent="0.25">
      <c r="A4" s="12"/>
      <c r="B4" s="8"/>
      <c r="C4" s="10"/>
      <c r="D4" s="10"/>
      <c r="E4" s="10"/>
      <c r="F4" s="10"/>
      <c r="G4" s="15"/>
      <c r="H4" s="10"/>
      <c r="I4" s="10"/>
      <c r="J4" s="3"/>
      <c r="K4" s="14"/>
      <c r="L4" s="3"/>
      <c r="M4" s="14"/>
      <c r="N4" s="10"/>
      <c r="O4" s="10"/>
      <c r="P4" s="10"/>
      <c r="Q4" s="10"/>
      <c r="R4" s="10"/>
      <c r="S4" s="10"/>
      <c r="T4" s="10"/>
      <c r="U4" s="10"/>
    </row>
    <row r="5" spans="1:21" x14ac:dyDescent="0.25">
      <c r="A5" s="2"/>
      <c r="B5" s="4"/>
      <c r="C5" s="4"/>
      <c r="D5" s="4"/>
      <c r="E5" s="4"/>
      <c r="F5" s="4"/>
      <c r="G5" s="5"/>
      <c r="H5" s="4"/>
      <c r="I5" s="4"/>
      <c r="J5" s="6"/>
      <c r="K5" s="7"/>
      <c r="L5" s="6"/>
      <c r="M5" s="7"/>
      <c r="N5" s="4"/>
      <c r="O5" s="4"/>
      <c r="P5" s="4"/>
      <c r="Q5" s="4"/>
      <c r="R5" s="4"/>
      <c r="S5" s="4"/>
      <c r="T5" s="4"/>
      <c r="U5" s="4"/>
    </row>
    <row r="11" spans="1:21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 spans="1:21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FF4C3-E9C2-4F1E-8006-1019BDEFFB28}">
  <dimension ref="A1:V5"/>
  <sheetViews>
    <sheetView topLeftCell="C1" workbookViewId="0">
      <selection activeCell="B4" sqref="B4:U4"/>
    </sheetView>
  </sheetViews>
  <sheetFormatPr defaultRowHeight="15" x14ac:dyDescent="0.25"/>
  <cols>
    <col min="1" max="1" width="14" customWidth="1"/>
    <col min="2" max="2" width="22.140625" customWidth="1"/>
    <col min="3" max="3" width="16.5703125" customWidth="1"/>
    <col min="4" max="4" width="14" customWidth="1"/>
    <col min="5" max="5" width="18.42578125" customWidth="1"/>
    <col min="6" max="6" width="17.140625" customWidth="1"/>
    <col min="8" max="8" width="13.85546875" customWidth="1"/>
    <col min="9" max="9" width="15.42578125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2" s="26" customFormat="1" x14ac:dyDescent="0.25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5" t="s">
        <v>17</v>
      </c>
      <c r="S1" s="25" t="s">
        <v>18</v>
      </c>
      <c r="T1" s="25" t="s">
        <v>19</v>
      </c>
      <c r="U1" s="25" t="s">
        <v>20</v>
      </c>
    </row>
    <row r="2" spans="1:22" x14ac:dyDescent="0.25">
      <c r="A2" s="12">
        <v>45457</v>
      </c>
      <c r="B2" s="8" t="s">
        <v>61</v>
      </c>
      <c r="C2" s="8" t="s">
        <v>62</v>
      </c>
      <c r="D2" s="8" t="s">
        <v>41</v>
      </c>
      <c r="E2" s="8" t="s">
        <v>135</v>
      </c>
      <c r="F2" s="10" t="s">
        <v>64</v>
      </c>
      <c r="G2" s="15">
        <v>77000</v>
      </c>
      <c r="H2" s="8" t="s">
        <v>65</v>
      </c>
      <c r="I2" s="8" t="s">
        <v>66</v>
      </c>
      <c r="J2" s="16">
        <v>0.3298611111111111</v>
      </c>
      <c r="K2" s="17">
        <v>0.37291666666666662</v>
      </c>
      <c r="L2" s="16">
        <v>0.37152777777777773</v>
      </c>
      <c r="M2" s="17">
        <v>0.41944444444444445</v>
      </c>
      <c r="N2" s="8" t="s">
        <v>138</v>
      </c>
      <c r="O2" s="8" t="s">
        <v>139</v>
      </c>
      <c r="P2" s="8">
        <v>2623</v>
      </c>
      <c r="Q2" s="8">
        <v>2167</v>
      </c>
      <c r="R2" s="8">
        <v>0</v>
      </c>
      <c r="S2" s="8">
        <v>0</v>
      </c>
      <c r="T2" s="8">
        <v>0</v>
      </c>
      <c r="U2" s="8">
        <v>0</v>
      </c>
      <c r="V2" s="8"/>
    </row>
    <row r="3" spans="1:22" s="26" customFormat="1" x14ac:dyDescent="0.25">
      <c r="A3" s="12">
        <v>45457</v>
      </c>
      <c r="B3" s="8" t="s">
        <v>39</v>
      </c>
      <c r="C3" s="10" t="s">
        <v>40</v>
      </c>
      <c r="D3" s="10" t="s">
        <v>41</v>
      </c>
      <c r="E3" s="10" t="s">
        <v>136</v>
      </c>
      <c r="F3" s="10" t="s">
        <v>42</v>
      </c>
      <c r="G3" s="15">
        <v>71500</v>
      </c>
      <c r="H3" s="10" t="s">
        <v>43</v>
      </c>
      <c r="I3" s="10" t="s">
        <v>44</v>
      </c>
      <c r="J3" s="3">
        <v>0.50347222222222221</v>
      </c>
      <c r="K3" s="14">
        <v>0.51388888888888895</v>
      </c>
      <c r="L3" s="3">
        <v>0.52777777777777779</v>
      </c>
      <c r="M3" s="14">
        <v>0.55069444444444449</v>
      </c>
      <c r="N3" s="10" t="s">
        <v>140</v>
      </c>
      <c r="O3" s="10" t="s">
        <v>141</v>
      </c>
      <c r="P3" s="10">
        <v>973</v>
      </c>
      <c r="Q3" s="10">
        <v>757</v>
      </c>
      <c r="R3" s="10">
        <v>0</v>
      </c>
      <c r="S3" s="10">
        <v>0</v>
      </c>
      <c r="T3" s="10">
        <v>0</v>
      </c>
      <c r="U3" s="10">
        <v>0</v>
      </c>
    </row>
    <row r="4" spans="1:22" x14ac:dyDescent="0.25">
      <c r="A4" s="12">
        <v>45457</v>
      </c>
      <c r="B4" s="8" t="s">
        <v>45</v>
      </c>
      <c r="C4" s="8" t="s">
        <v>46</v>
      </c>
      <c r="D4" s="10" t="s">
        <v>41</v>
      </c>
      <c r="E4" s="8" t="s">
        <v>132</v>
      </c>
      <c r="F4" s="10" t="s">
        <v>42</v>
      </c>
      <c r="G4" s="15">
        <v>71500</v>
      </c>
      <c r="H4" s="8" t="s">
        <v>47</v>
      </c>
      <c r="I4" s="8" t="s">
        <v>48</v>
      </c>
      <c r="J4" s="16">
        <v>0.72222222222222221</v>
      </c>
      <c r="K4" s="17">
        <v>0.72222222222222221</v>
      </c>
      <c r="L4" s="16">
        <v>0.74305555555555547</v>
      </c>
      <c r="M4" s="17">
        <v>0.75763888888888886</v>
      </c>
      <c r="N4" s="10" t="s">
        <v>142</v>
      </c>
      <c r="O4" s="10" t="s">
        <v>144</v>
      </c>
      <c r="P4" s="8">
        <v>935</v>
      </c>
      <c r="Q4" s="8">
        <v>1003</v>
      </c>
      <c r="R4" s="8">
        <v>0</v>
      </c>
      <c r="S4" s="8">
        <v>0</v>
      </c>
      <c r="T4" s="8">
        <v>0</v>
      </c>
      <c r="U4" s="8">
        <v>0</v>
      </c>
    </row>
    <row r="5" spans="1:22" x14ac:dyDescent="0.25">
      <c r="A5" s="12">
        <v>45457</v>
      </c>
      <c r="B5" s="8" t="s">
        <v>45</v>
      </c>
      <c r="C5" s="8" t="s">
        <v>49</v>
      </c>
      <c r="D5" s="10" t="s">
        <v>41</v>
      </c>
      <c r="E5" s="8" t="s">
        <v>137</v>
      </c>
      <c r="F5" s="10" t="s">
        <v>42</v>
      </c>
      <c r="G5" s="15">
        <v>71500</v>
      </c>
      <c r="H5" s="8" t="s">
        <v>51</v>
      </c>
      <c r="I5" s="8" t="s">
        <v>52</v>
      </c>
      <c r="J5" s="16">
        <v>0.73958333333333337</v>
      </c>
      <c r="K5" s="17">
        <v>0.75486111111111109</v>
      </c>
      <c r="L5" s="16">
        <v>0.76388888888888884</v>
      </c>
      <c r="M5" s="17">
        <v>0.7909722222222223</v>
      </c>
      <c r="N5" s="10" t="s">
        <v>143</v>
      </c>
      <c r="O5" s="10" t="s">
        <v>145</v>
      </c>
      <c r="P5" s="8">
        <v>733</v>
      </c>
      <c r="Q5" s="8">
        <v>641</v>
      </c>
      <c r="R5" s="8">
        <v>0</v>
      </c>
      <c r="S5" s="8">
        <v>0</v>
      </c>
      <c r="T5" s="8">
        <v>0</v>
      </c>
      <c r="U5" s="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C3B8F-AF41-48BF-A27C-5353208489E1}">
  <dimension ref="A1:U9"/>
  <sheetViews>
    <sheetView workbookViewId="0">
      <selection activeCell="N5" sqref="N5"/>
    </sheetView>
  </sheetViews>
  <sheetFormatPr defaultRowHeight="15" x14ac:dyDescent="0.25"/>
  <cols>
    <col min="1" max="1" width="11.28515625" bestFit="1" customWidth="1"/>
    <col min="2" max="2" width="27.42578125" customWidth="1"/>
    <col min="3" max="3" width="17.7109375" customWidth="1"/>
    <col min="4" max="4" width="12.7109375" bestFit="1" customWidth="1"/>
    <col min="5" max="5" width="10.42578125" bestFit="1" customWidth="1"/>
    <col min="6" max="6" width="25.7109375" bestFit="1" customWidth="1"/>
    <col min="7" max="7" width="9.28515625" bestFit="1" customWidth="1"/>
    <col min="9" max="9" width="9.7109375" bestFit="1" customWidth="1"/>
    <col min="10" max="10" width="11.140625" bestFit="1" customWidth="1"/>
    <col min="11" max="11" width="11" bestFit="1" customWidth="1"/>
    <col min="12" max="12" width="11.140625" bestFit="1" customWidth="1"/>
    <col min="13" max="13" width="11" bestFit="1" customWidth="1"/>
    <col min="14" max="14" width="18.42578125" bestFit="1" customWidth="1"/>
    <col min="15" max="15" width="13" customWidth="1"/>
    <col min="16" max="16" width="9.28515625" bestFit="1" customWidth="1"/>
    <col min="17" max="17" width="10.42578125" bestFit="1" customWidth="1"/>
    <col min="18" max="18" width="9.5703125" bestFit="1" customWidth="1"/>
    <col min="19" max="21" width="9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32">
        <v>45458</v>
      </c>
      <c r="B2" s="33" t="s">
        <v>146</v>
      </c>
      <c r="C2" s="27" t="s">
        <v>147</v>
      </c>
      <c r="D2" s="27" t="s">
        <v>149</v>
      </c>
      <c r="E2" s="27" t="s">
        <v>148</v>
      </c>
      <c r="F2" s="27" t="s">
        <v>150</v>
      </c>
      <c r="G2" s="38">
        <v>1230</v>
      </c>
      <c r="H2" s="27" t="s">
        <v>151</v>
      </c>
      <c r="I2" s="27" t="s">
        <v>151</v>
      </c>
      <c r="J2" s="3">
        <v>0.5</v>
      </c>
      <c r="K2" s="14">
        <v>0.51666666666666672</v>
      </c>
      <c r="L2" s="3" t="s">
        <v>152</v>
      </c>
      <c r="M2" s="14" t="s">
        <v>152</v>
      </c>
      <c r="N2" s="10">
        <v>0</v>
      </c>
      <c r="O2" s="10">
        <v>0</v>
      </c>
      <c r="P2" s="10">
        <v>0</v>
      </c>
      <c r="Q2" s="10">
        <v>0</v>
      </c>
      <c r="R2" s="10">
        <v>0</v>
      </c>
      <c r="S2" s="10">
        <v>0</v>
      </c>
      <c r="T2" s="10">
        <v>0</v>
      </c>
      <c r="U2" s="10">
        <v>0</v>
      </c>
    </row>
    <row r="3" spans="1:21" x14ac:dyDescent="0.25">
      <c r="A3" s="32">
        <v>45458</v>
      </c>
      <c r="B3" s="39" t="s">
        <v>153</v>
      </c>
      <c r="C3" s="40" t="s">
        <v>154</v>
      </c>
      <c r="D3" s="39" t="s">
        <v>155</v>
      </c>
      <c r="E3" s="41" t="s">
        <v>158</v>
      </c>
      <c r="F3" s="27" t="s">
        <v>150</v>
      </c>
      <c r="G3" s="38">
        <v>1</v>
      </c>
      <c r="H3" s="27" t="s">
        <v>151</v>
      </c>
      <c r="I3" s="27" t="s">
        <v>151</v>
      </c>
      <c r="J3" s="16">
        <v>0.72916666666666663</v>
      </c>
      <c r="K3" s="17">
        <v>0.77222222222222225</v>
      </c>
      <c r="L3" s="3">
        <v>0.75</v>
      </c>
      <c r="M3" s="17">
        <v>0.79861111111111116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</row>
    <row r="4" spans="1:21" x14ac:dyDescent="0.25">
      <c r="A4" s="32">
        <v>45458</v>
      </c>
      <c r="B4" s="39" t="s">
        <v>153</v>
      </c>
      <c r="C4" s="40" t="s">
        <v>157</v>
      </c>
      <c r="D4" s="39" t="s">
        <v>156</v>
      </c>
      <c r="E4" s="41" t="s">
        <v>159</v>
      </c>
      <c r="F4" s="27" t="s">
        <v>150</v>
      </c>
      <c r="G4" s="38">
        <v>0.5</v>
      </c>
      <c r="H4" s="27" t="s">
        <v>151</v>
      </c>
      <c r="I4" s="27" t="s">
        <v>151</v>
      </c>
      <c r="J4" s="16">
        <v>0.72916666666666663</v>
      </c>
      <c r="K4" s="17">
        <v>0.77222222222222225</v>
      </c>
      <c r="L4" s="3">
        <v>0.75</v>
      </c>
      <c r="M4" s="31">
        <v>0.80555555555555547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</row>
    <row r="5" spans="1:21" x14ac:dyDescent="0.25">
      <c r="A5" s="32"/>
      <c r="J5" s="28"/>
      <c r="K5" s="29"/>
      <c r="L5" s="28"/>
      <c r="M5" s="29"/>
      <c r="N5" s="27"/>
      <c r="O5" s="27"/>
      <c r="P5" s="33"/>
      <c r="Q5" s="33"/>
      <c r="R5" s="33"/>
      <c r="S5" s="30"/>
      <c r="T5" s="30"/>
      <c r="U5" s="30"/>
    </row>
    <row r="6" spans="1:21" x14ac:dyDescent="0.25">
      <c r="A6" s="20"/>
      <c r="J6" s="3"/>
      <c r="K6" s="14"/>
      <c r="L6" s="3"/>
      <c r="M6" s="14"/>
      <c r="N6" s="10"/>
      <c r="O6" s="10"/>
      <c r="P6" s="10"/>
      <c r="Q6" s="10"/>
      <c r="R6" s="10"/>
      <c r="S6" s="10"/>
      <c r="T6" s="10"/>
      <c r="U6" s="10"/>
    </row>
    <row r="7" spans="1:21" x14ac:dyDescent="0.25">
      <c r="A7" s="20"/>
      <c r="J7" s="17"/>
      <c r="K7" s="17"/>
      <c r="L7" s="17"/>
      <c r="M7" s="17"/>
      <c r="N7" s="8"/>
      <c r="O7" s="8"/>
      <c r="P7" s="8"/>
      <c r="Q7" s="8"/>
      <c r="R7" s="8"/>
      <c r="S7" s="8"/>
      <c r="T7" s="8"/>
      <c r="U7" s="8"/>
    </row>
    <row r="8" spans="1:21" x14ac:dyDescent="0.25">
      <c r="A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 spans="1:21" x14ac:dyDescent="0.25">
      <c r="A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DE393-F48B-4D45-B25D-B9533C31CB1F}">
  <dimension ref="A1:U4"/>
  <sheetViews>
    <sheetView workbookViewId="0">
      <selection activeCell="B2" sqref="B2:U2"/>
    </sheetView>
  </sheetViews>
  <sheetFormatPr defaultRowHeight="15" x14ac:dyDescent="0.25"/>
  <cols>
    <col min="2" max="2" width="27.5703125" customWidth="1"/>
    <col min="3" max="3" width="17" customWidth="1"/>
    <col min="6" max="6" width="17.42578125" customWidth="1"/>
    <col min="14" max="15" width="18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45459</v>
      </c>
      <c r="B2" s="8" t="s">
        <v>160</v>
      </c>
      <c r="C2" s="8" t="s">
        <v>163</v>
      </c>
      <c r="D2" s="10" t="s">
        <v>161</v>
      </c>
      <c r="E2" s="8" t="s">
        <v>148</v>
      </c>
      <c r="F2" s="10" t="s">
        <v>22</v>
      </c>
      <c r="G2" s="21">
        <v>1230</v>
      </c>
      <c r="H2" s="8" t="s">
        <v>24</v>
      </c>
      <c r="I2" s="8" t="s">
        <v>162</v>
      </c>
      <c r="J2" s="16" t="s">
        <v>25</v>
      </c>
      <c r="K2" s="17" t="s">
        <v>24</v>
      </c>
      <c r="L2" s="16">
        <v>0.375</v>
      </c>
      <c r="M2" s="17">
        <v>0.3833333333333333</v>
      </c>
      <c r="N2" s="1" t="s">
        <v>24</v>
      </c>
      <c r="O2" s="1">
        <v>0</v>
      </c>
      <c r="P2" s="4" t="s">
        <v>24</v>
      </c>
      <c r="Q2" s="4">
        <v>0</v>
      </c>
      <c r="R2" s="4" t="s">
        <v>24</v>
      </c>
      <c r="S2" s="4">
        <v>0</v>
      </c>
      <c r="T2" s="4" t="s">
        <v>24</v>
      </c>
      <c r="U2" s="4">
        <v>0</v>
      </c>
    </row>
    <row r="3" spans="1:21" x14ac:dyDescent="0.25">
      <c r="A3" s="2">
        <v>45459</v>
      </c>
      <c r="B3" s="8" t="s">
        <v>160</v>
      </c>
      <c r="C3" s="8" t="s">
        <v>164</v>
      </c>
      <c r="D3" s="10" t="s">
        <v>161</v>
      </c>
      <c r="E3" s="8" t="s">
        <v>148</v>
      </c>
      <c r="F3" s="10" t="s">
        <v>22</v>
      </c>
      <c r="G3" s="21">
        <v>1230</v>
      </c>
      <c r="H3" s="8" t="s">
        <v>162</v>
      </c>
      <c r="I3" s="8" t="s">
        <v>24</v>
      </c>
      <c r="J3" s="16">
        <v>0.65972222222222221</v>
      </c>
      <c r="K3" s="17">
        <v>0.65555555555555556</v>
      </c>
      <c r="L3" s="16" t="s">
        <v>25</v>
      </c>
      <c r="M3" s="17" t="s">
        <v>24</v>
      </c>
      <c r="N3" s="1">
        <v>0</v>
      </c>
      <c r="O3" s="1" t="s">
        <v>24</v>
      </c>
      <c r="P3" s="4">
        <v>0</v>
      </c>
      <c r="Q3" s="4" t="s">
        <v>24</v>
      </c>
      <c r="R3" s="4">
        <v>0</v>
      </c>
      <c r="S3" s="4" t="s">
        <v>24</v>
      </c>
      <c r="T3" s="4">
        <v>0</v>
      </c>
      <c r="U3" s="4" t="s">
        <v>24</v>
      </c>
    </row>
    <row r="4" spans="1:21" x14ac:dyDescent="0.25">
      <c r="A4" s="2"/>
      <c r="B4" s="8"/>
      <c r="C4" s="10"/>
      <c r="D4" s="10"/>
      <c r="E4" s="10"/>
      <c r="F4" s="10"/>
      <c r="G4" s="13"/>
      <c r="H4" s="10"/>
      <c r="I4" s="10"/>
      <c r="J4" s="3"/>
      <c r="K4" s="14"/>
      <c r="L4" s="3"/>
      <c r="M4" s="14"/>
      <c r="N4" s="10"/>
      <c r="O4" s="10"/>
      <c r="P4" s="10"/>
      <c r="Q4" s="10"/>
      <c r="R4" s="10"/>
      <c r="S4" s="10"/>
      <c r="T4" s="10"/>
      <c r="U4" s="10"/>
    </row>
  </sheetData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6D316-3FA7-4C01-98FF-675C4083CAF2}">
  <dimension ref="A1:U5"/>
  <sheetViews>
    <sheetView workbookViewId="0">
      <selection activeCell="C12" sqref="C12"/>
    </sheetView>
  </sheetViews>
  <sheetFormatPr defaultRowHeight="15" x14ac:dyDescent="0.25"/>
  <cols>
    <col min="1" max="1" width="11.42578125" customWidth="1"/>
    <col min="2" max="2" width="31.28515625" customWidth="1"/>
    <col min="3" max="3" width="20" customWidth="1"/>
    <col min="6" max="6" width="19.140625" customWidth="1"/>
    <col min="14" max="14" width="16" customWidth="1"/>
    <col min="15" max="15" width="16.140625" customWidth="1"/>
  </cols>
  <sheetData>
    <row r="1" spans="1:2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</row>
    <row r="2" spans="1:21" x14ac:dyDescent="0.25">
      <c r="A2" s="12">
        <v>45460</v>
      </c>
      <c r="B2" s="8" t="s">
        <v>45</v>
      </c>
      <c r="C2" s="8" t="s">
        <v>49</v>
      </c>
      <c r="D2" s="10" t="s">
        <v>41</v>
      </c>
      <c r="E2" s="8" t="s">
        <v>165</v>
      </c>
      <c r="F2" s="10" t="s">
        <v>42</v>
      </c>
      <c r="G2" s="15">
        <v>71500</v>
      </c>
      <c r="H2" s="8" t="s">
        <v>51</v>
      </c>
      <c r="I2" s="8" t="s">
        <v>52</v>
      </c>
      <c r="J2" s="16">
        <v>0.42708333333333331</v>
      </c>
      <c r="K2" s="17">
        <v>0.41944444444444445</v>
      </c>
      <c r="L2" s="16">
        <v>0.4513888888888889</v>
      </c>
      <c r="M2" s="17">
        <v>0.44930555555555557</v>
      </c>
      <c r="N2" s="10" t="s">
        <v>167</v>
      </c>
      <c r="O2" s="10" t="s">
        <v>168</v>
      </c>
      <c r="P2" s="8">
        <v>500</v>
      </c>
      <c r="Q2" s="8">
        <v>521</v>
      </c>
      <c r="R2" s="8">
        <v>0</v>
      </c>
      <c r="S2" s="8">
        <v>0</v>
      </c>
      <c r="T2" s="8">
        <v>0</v>
      </c>
      <c r="U2" s="8">
        <v>0</v>
      </c>
    </row>
    <row r="3" spans="1:21" x14ac:dyDescent="0.25">
      <c r="A3" s="12">
        <v>45460</v>
      </c>
      <c r="B3" s="8" t="s">
        <v>39</v>
      </c>
      <c r="C3" s="10" t="s">
        <v>40</v>
      </c>
      <c r="D3" s="10" t="s">
        <v>41</v>
      </c>
      <c r="E3" s="10" t="s">
        <v>83</v>
      </c>
      <c r="F3" s="10" t="s">
        <v>42</v>
      </c>
      <c r="G3" s="15">
        <v>71500</v>
      </c>
      <c r="H3" s="10" t="s">
        <v>43</v>
      </c>
      <c r="I3" s="10" t="s">
        <v>44</v>
      </c>
      <c r="J3" s="3">
        <v>0.50347222222222221</v>
      </c>
      <c r="K3" s="14">
        <v>0.4916666666666667</v>
      </c>
      <c r="L3" s="3">
        <v>0.52777777777777779</v>
      </c>
      <c r="M3" s="14">
        <v>0.5395833333333333</v>
      </c>
      <c r="N3" s="10" t="s">
        <v>169</v>
      </c>
      <c r="O3" s="10" t="s">
        <v>170</v>
      </c>
      <c r="P3" s="10">
        <v>1109</v>
      </c>
      <c r="Q3" s="10">
        <v>724</v>
      </c>
      <c r="R3" s="10">
        <v>0</v>
      </c>
      <c r="S3" s="10">
        <v>0</v>
      </c>
      <c r="T3" s="10">
        <v>0</v>
      </c>
      <c r="U3" s="10">
        <v>0</v>
      </c>
    </row>
    <row r="4" spans="1:21" x14ac:dyDescent="0.25">
      <c r="A4" s="12">
        <v>45460</v>
      </c>
      <c r="B4" s="8" t="s">
        <v>160</v>
      </c>
      <c r="C4" s="8" t="s">
        <v>166</v>
      </c>
      <c r="D4" s="10" t="s">
        <v>161</v>
      </c>
      <c r="E4" s="8" t="s">
        <v>148</v>
      </c>
      <c r="F4" s="10" t="s">
        <v>22</v>
      </c>
      <c r="G4" s="21">
        <v>1230</v>
      </c>
      <c r="H4" s="8" t="s">
        <v>162</v>
      </c>
      <c r="I4" s="8" t="s">
        <v>162</v>
      </c>
      <c r="J4" s="16">
        <v>0.625</v>
      </c>
      <c r="K4" s="17">
        <v>0.48541666666666666</v>
      </c>
      <c r="L4" s="16">
        <v>0.375</v>
      </c>
      <c r="M4" s="17">
        <v>0.37847222222222227</v>
      </c>
      <c r="N4" s="1" t="s">
        <v>24</v>
      </c>
      <c r="O4" s="1" t="s">
        <v>24</v>
      </c>
      <c r="P4" s="4" t="s">
        <v>24</v>
      </c>
      <c r="Q4" s="4" t="s">
        <v>24</v>
      </c>
      <c r="R4" s="4">
        <v>0</v>
      </c>
      <c r="S4" s="4">
        <v>0</v>
      </c>
      <c r="T4" s="4">
        <v>0</v>
      </c>
      <c r="U4" s="4">
        <v>0</v>
      </c>
    </row>
    <row r="5" spans="1:21" x14ac:dyDescent="0.25">
      <c r="A5" s="2"/>
      <c r="B5" s="4"/>
      <c r="C5" s="4"/>
      <c r="D5" s="4"/>
      <c r="E5" s="4"/>
      <c r="F5" s="4"/>
      <c r="G5" s="5"/>
      <c r="H5" s="4"/>
      <c r="I5" s="4"/>
      <c r="J5" s="6"/>
      <c r="K5" s="7"/>
      <c r="L5" s="6"/>
      <c r="M5" s="7"/>
      <c r="N5" s="4"/>
      <c r="O5" s="4"/>
      <c r="P5" s="4"/>
      <c r="Q5" s="4"/>
      <c r="R5" s="4"/>
      <c r="S5" s="4"/>
      <c r="T5" s="4"/>
      <c r="U5" s="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7EEFD-C7C0-4A85-881D-4DFC719D8D7C}">
  <dimension ref="A1:U16"/>
  <sheetViews>
    <sheetView workbookViewId="0">
      <selection activeCell="A2" sqref="A2:XFD2"/>
    </sheetView>
  </sheetViews>
  <sheetFormatPr defaultRowHeight="15" x14ac:dyDescent="0.25"/>
  <cols>
    <col min="1" max="1" width="14.7109375" customWidth="1"/>
    <col min="2" max="2" width="34.28515625" customWidth="1"/>
    <col min="3" max="3" width="23.85546875" customWidth="1"/>
    <col min="5" max="5" width="10.85546875" customWidth="1"/>
    <col min="6" max="6" width="21.140625" customWidth="1"/>
    <col min="14" max="14" width="13.28515625" customWidth="1"/>
    <col min="15" max="15" width="12.7109375" customWidth="1"/>
  </cols>
  <sheetData>
    <row r="1" spans="1:21" s="8" customFormat="1" ht="12.75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</row>
    <row r="2" spans="1:21" x14ac:dyDescent="0.25">
      <c r="A2" s="12">
        <v>45461</v>
      </c>
      <c r="B2" s="8" t="s">
        <v>61</v>
      </c>
      <c r="C2" s="8" t="s">
        <v>62</v>
      </c>
      <c r="D2" s="8" t="s">
        <v>41</v>
      </c>
      <c r="E2" s="8" t="s">
        <v>171</v>
      </c>
      <c r="F2" s="10" t="s">
        <v>64</v>
      </c>
      <c r="G2" s="15">
        <v>77000</v>
      </c>
      <c r="H2" s="8" t="s">
        <v>65</v>
      </c>
      <c r="I2" s="8" t="s">
        <v>66</v>
      </c>
      <c r="J2" s="16">
        <v>0.3298611111111111</v>
      </c>
      <c r="K2" s="17">
        <v>0.33194444444444443</v>
      </c>
      <c r="L2" s="16">
        <v>0.37152777777777773</v>
      </c>
      <c r="M2" s="17">
        <v>0.375</v>
      </c>
      <c r="N2" s="8" t="s">
        <v>172</v>
      </c>
      <c r="O2" s="8" t="s">
        <v>139</v>
      </c>
      <c r="P2" s="8">
        <v>2204</v>
      </c>
      <c r="Q2" s="8">
        <v>2328</v>
      </c>
      <c r="R2" s="8">
        <v>0</v>
      </c>
      <c r="S2" s="8">
        <v>0</v>
      </c>
      <c r="T2" s="8">
        <v>0</v>
      </c>
      <c r="U2" s="8">
        <v>0</v>
      </c>
    </row>
    <row r="3" spans="1:21" x14ac:dyDescent="0.25">
      <c r="A3" s="12">
        <v>45461</v>
      </c>
      <c r="B3" s="8" t="s">
        <v>160</v>
      </c>
      <c r="C3" s="8" t="s">
        <v>166</v>
      </c>
      <c r="D3" s="10" t="s">
        <v>161</v>
      </c>
      <c r="E3" s="8" t="s">
        <v>148</v>
      </c>
      <c r="F3" s="10" t="s">
        <v>22</v>
      </c>
      <c r="G3" s="15">
        <v>1230</v>
      </c>
      <c r="H3" s="8" t="s">
        <v>162</v>
      </c>
      <c r="I3" s="8" t="s">
        <v>162</v>
      </c>
      <c r="J3" s="16" t="s">
        <v>25</v>
      </c>
      <c r="K3" s="17" t="s">
        <v>25</v>
      </c>
      <c r="L3" s="16">
        <v>0.375</v>
      </c>
      <c r="M3" s="17">
        <v>0.37847222222222227</v>
      </c>
      <c r="N3" s="10" t="s">
        <v>24</v>
      </c>
      <c r="O3" s="8" t="s">
        <v>176</v>
      </c>
      <c r="P3" s="8" t="s">
        <v>24</v>
      </c>
      <c r="Q3" s="8" t="s">
        <v>24</v>
      </c>
      <c r="R3" s="8">
        <v>0</v>
      </c>
      <c r="S3" s="8">
        <v>0</v>
      </c>
      <c r="T3" s="8">
        <v>0</v>
      </c>
      <c r="U3" s="8">
        <v>0</v>
      </c>
    </row>
    <row r="4" spans="1:21" x14ac:dyDescent="0.25">
      <c r="A4" s="12">
        <v>45461</v>
      </c>
      <c r="B4" s="8" t="s">
        <v>173</v>
      </c>
      <c r="C4" s="8" t="s">
        <v>177</v>
      </c>
      <c r="D4" s="8" t="s">
        <v>174</v>
      </c>
      <c r="E4" s="8" t="s">
        <v>175</v>
      </c>
      <c r="F4" s="10" t="s">
        <v>22</v>
      </c>
      <c r="G4" s="15">
        <v>4</v>
      </c>
      <c r="H4" s="8" t="s">
        <v>175</v>
      </c>
      <c r="I4" s="8" t="s">
        <v>175</v>
      </c>
      <c r="J4" s="16">
        <v>0.4375</v>
      </c>
      <c r="K4" s="17">
        <v>0.4513888888888889</v>
      </c>
      <c r="L4" s="16">
        <v>0.47916666666666669</v>
      </c>
      <c r="M4" s="17">
        <v>0.47916666666666669</v>
      </c>
      <c r="N4" s="8">
        <v>0</v>
      </c>
      <c r="O4" s="8" t="s">
        <v>176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</row>
    <row r="5" spans="1:21" x14ac:dyDescent="0.25">
      <c r="A5" s="12">
        <v>45461</v>
      </c>
      <c r="B5" s="8" t="s">
        <v>178</v>
      </c>
      <c r="C5" s="8" t="s">
        <v>179</v>
      </c>
      <c r="D5" s="8" t="s">
        <v>180</v>
      </c>
      <c r="E5" s="8" t="s">
        <v>181</v>
      </c>
      <c r="F5" s="10" t="s">
        <v>22</v>
      </c>
      <c r="G5" s="15">
        <v>2</v>
      </c>
      <c r="H5" s="8" t="s">
        <v>181</v>
      </c>
      <c r="I5" s="8" t="s">
        <v>181</v>
      </c>
      <c r="J5" s="16">
        <v>0.48958333333333331</v>
      </c>
      <c r="K5" s="17">
        <v>0.52708333333333335</v>
      </c>
      <c r="L5" s="16" t="s">
        <v>25</v>
      </c>
      <c r="M5" s="17" t="s">
        <v>25</v>
      </c>
      <c r="N5" s="8">
        <v>0</v>
      </c>
      <c r="O5" s="8" t="s">
        <v>176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</row>
    <row r="6" spans="1:21" x14ac:dyDescent="0.25">
      <c r="A6" s="18">
        <v>45461</v>
      </c>
      <c r="B6" s="8" t="s">
        <v>182</v>
      </c>
      <c r="C6" s="8" t="s">
        <v>107</v>
      </c>
      <c r="D6" s="8" t="s">
        <v>183</v>
      </c>
      <c r="E6" s="8" t="s">
        <v>37</v>
      </c>
      <c r="F6" s="8" t="s">
        <v>22</v>
      </c>
      <c r="G6" s="15">
        <v>1045</v>
      </c>
      <c r="H6" s="8" t="s">
        <v>37</v>
      </c>
      <c r="I6" s="8" t="s">
        <v>37</v>
      </c>
      <c r="J6" s="16">
        <v>0.53472222222222221</v>
      </c>
      <c r="K6" s="17">
        <v>0.53472222222222221</v>
      </c>
      <c r="L6" s="16">
        <v>0.55555555555555558</v>
      </c>
      <c r="M6" s="17">
        <v>0.58611111111111114</v>
      </c>
      <c r="N6" s="8">
        <v>0</v>
      </c>
      <c r="O6" s="8" t="s">
        <v>176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</row>
    <row r="7" spans="1:21" x14ac:dyDescent="0.25">
      <c r="A7" s="18">
        <v>45461</v>
      </c>
      <c r="B7" s="8" t="s">
        <v>160</v>
      </c>
      <c r="C7" s="8" t="s">
        <v>164</v>
      </c>
      <c r="D7" s="10" t="s">
        <v>161</v>
      </c>
      <c r="E7" s="8" t="s">
        <v>148</v>
      </c>
      <c r="F7" s="10" t="s">
        <v>22</v>
      </c>
      <c r="G7" s="15">
        <v>1230</v>
      </c>
      <c r="H7" s="8" t="s">
        <v>162</v>
      </c>
      <c r="I7" s="8" t="s">
        <v>162</v>
      </c>
      <c r="J7" s="16">
        <v>0.80555555555555547</v>
      </c>
      <c r="K7" s="17">
        <v>0.79166666666666663</v>
      </c>
      <c r="L7" s="16" t="s">
        <v>25</v>
      </c>
      <c r="M7" s="17" t="s">
        <v>25</v>
      </c>
      <c r="N7" s="10" t="s">
        <v>24</v>
      </c>
      <c r="O7" s="8" t="s">
        <v>176</v>
      </c>
      <c r="P7" s="8" t="s">
        <v>24</v>
      </c>
      <c r="Q7" s="8" t="s">
        <v>24</v>
      </c>
      <c r="R7" s="8">
        <v>0</v>
      </c>
      <c r="S7" s="8">
        <v>0</v>
      </c>
      <c r="T7" s="8">
        <v>0</v>
      </c>
      <c r="U7" s="8">
        <v>0</v>
      </c>
    </row>
    <row r="8" spans="1:21" x14ac:dyDescent="0.25">
      <c r="A8" s="18">
        <v>45461</v>
      </c>
      <c r="B8" s="8" t="s">
        <v>184</v>
      </c>
      <c r="C8" s="8" t="s">
        <v>185</v>
      </c>
      <c r="D8" s="8" t="s">
        <v>186</v>
      </c>
      <c r="E8" s="8" t="s">
        <v>187</v>
      </c>
      <c r="F8" s="10" t="s">
        <v>22</v>
      </c>
      <c r="G8" s="15">
        <v>2250</v>
      </c>
      <c r="H8" s="8" t="s">
        <v>188</v>
      </c>
      <c r="I8" s="8" t="s">
        <v>188</v>
      </c>
      <c r="J8" s="17">
        <v>0.72916666666666663</v>
      </c>
      <c r="K8" s="17">
        <v>0.75</v>
      </c>
      <c r="L8" s="8" t="s">
        <v>25</v>
      </c>
      <c r="M8" s="8" t="s">
        <v>25</v>
      </c>
      <c r="N8" s="10" t="s">
        <v>24</v>
      </c>
      <c r="O8" s="8" t="s">
        <v>176</v>
      </c>
      <c r="P8" s="10" t="s">
        <v>24</v>
      </c>
      <c r="Q8" s="10" t="s">
        <v>24</v>
      </c>
      <c r="R8" s="8">
        <v>0</v>
      </c>
      <c r="S8" s="8">
        <v>0</v>
      </c>
      <c r="T8" s="8">
        <v>0</v>
      </c>
      <c r="U8" s="8">
        <v>0</v>
      </c>
    </row>
    <row r="9" spans="1:21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 spans="1:21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 spans="1:21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 spans="1:21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 spans="1:21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 spans="1:21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</row>
    <row r="15" spans="1:21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</row>
    <row r="16" spans="1:21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</row>
  </sheetData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C4FB5-F9E0-404F-8AC7-ABBA30CE53D6}">
  <dimension ref="A1:V9"/>
  <sheetViews>
    <sheetView workbookViewId="0">
      <selection activeCell="B3" sqref="B3:U3"/>
    </sheetView>
  </sheetViews>
  <sheetFormatPr defaultRowHeight="15" x14ac:dyDescent="0.25"/>
  <cols>
    <col min="1" max="1" width="10.42578125" customWidth="1"/>
    <col min="2" max="2" width="28.28515625" customWidth="1"/>
    <col min="3" max="3" width="19.7109375" customWidth="1"/>
    <col min="6" max="6" width="17.7109375" customWidth="1"/>
    <col min="14" max="14" width="12.140625" customWidth="1"/>
    <col min="15" max="15" width="15.4257812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x14ac:dyDescent="0.25">
      <c r="A2" s="12">
        <v>45462</v>
      </c>
      <c r="B2" s="8" t="s">
        <v>45</v>
      </c>
      <c r="C2" s="8" t="s">
        <v>49</v>
      </c>
      <c r="D2" s="10" t="s">
        <v>41</v>
      </c>
      <c r="E2" s="8" t="s">
        <v>189</v>
      </c>
      <c r="F2" s="10" t="s">
        <v>42</v>
      </c>
      <c r="G2" s="15">
        <v>71500</v>
      </c>
      <c r="H2" s="8" t="s">
        <v>51</v>
      </c>
      <c r="I2" s="8" t="s">
        <v>52</v>
      </c>
      <c r="J2" s="16">
        <v>0.41666666666666669</v>
      </c>
      <c r="K2" s="17">
        <v>0.40347222222222223</v>
      </c>
      <c r="L2" s="16">
        <v>0.44097222222222227</v>
      </c>
      <c r="M2" s="17">
        <v>0.44444444444444442</v>
      </c>
      <c r="N2" s="10" t="s">
        <v>170</v>
      </c>
      <c r="O2" s="10" t="s">
        <v>142</v>
      </c>
      <c r="P2" s="8">
        <v>615</v>
      </c>
      <c r="Q2" s="8">
        <v>290</v>
      </c>
      <c r="R2" s="8">
        <v>0</v>
      </c>
      <c r="S2" s="8">
        <v>0</v>
      </c>
      <c r="T2" s="8">
        <v>0</v>
      </c>
      <c r="U2" s="8">
        <v>0</v>
      </c>
      <c r="V2" s="11"/>
    </row>
    <row r="3" spans="1:22" x14ac:dyDescent="0.25">
      <c r="A3" s="12">
        <v>45462</v>
      </c>
      <c r="B3" s="8" t="s">
        <v>178</v>
      </c>
      <c r="C3" s="8" t="s">
        <v>190</v>
      </c>
      <c r="D3" s="8" t="s">
        <v>180</v>
      </c>
      <c r="E3" s="8" t="s">
        <v>181</v>
      </c>
      <c r="F3" s="10" t="s">
        <v>22</v>
      </c>
      <c r="G3" s="15">
        <v>2</v>
      </c>
      <c r="H3" s="8" t="s">
        <v>181</v>
      </c>
      <c r="I3" s="8" t="s">
        <v>181</v>
      </c>
      <c r="J3" s="16" t="s">
        <v>25</v>
      </c>
      <c r="K3" s="16" t="s">
        <v>25</v>
      </c>
      <c r="L3" s="16">
        <v>0.33333333333333331</v>
      </c>
      <c r="M3" s="17">
        <v>0.34166666666666662</v>
      </c>
      <c r="N3" s="8">
        <v>0</v>
      </c>
      <c r="O3" s="8" t="s">
        <v>176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11"/>
    </row>
    <row r="4" spans="1:22" x14ac:dyDescent="0.25">
      <c r="A4" s="12">
        <v>45462</v>
      </c>
      <c r="B4" s="8" t="s">
        <v>160</v>
      </c>
      <c r="C4" s="8" t="s">
        <v>191</v>
      </c>
      <c r="D4" s="10" t="s">
        <v>161</v>
      </c>
      <c r="E4" s="8" t="s">
        <v>148</v>
      </c>
      <c r="F4" s="10" t="s">
        <v>22</v>
      </c>
      <c r="G4" s="15">
        <v>1230</v>
      </c>
      <c r="H4" s="8" t="s">
        <v>162</v>
      </c>
      <c r="I4" s="8" t="s">
        <v>162</v>
      </c>
      <c r="J4" s="16" t="s">
        <v>25</v>
      </c>
      <c r="K4" s="16" t="s">
        <v>25</v>
      </c>
      <c r="L4" s="16">
        <v>0.375</v>
      </c>
      <c r="M4" s="17">
        <v>0.3833333333333333</v>
      </c>
      <c r="N4" s="8">
        <v>0</v>
      </c>
      <c r="O4" s="8" t="s">
        <v>176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</row>
    <row r="5" spans="1:22" x14ac:dyDescent="0.25">
      <c r="A5" s="12">
        <v>45462</v>
      </c>
      <c r="B5" s="8" t="s">
        <v>184</v>
      </c>
      <c r="C5" s="8" t="s">
        <v>192</v>
      </c>
      <c r="D5" s="8" t="s">
        <v>186</v>
      </c>
      <c r="E5" s="8" t="s">
        <v>187</v>
      </c>
      <c r="F5" s="10" t="s">
        <v>22</v>
      </c>
      <c r="G5" s="15">
        <v>2250</v>
      </c>
      <c r="H5" s="8" t="s">
        <v>188</v>
      </c>
      <c r="I5" s="8" t="s">
        <v>188</v>
      </c>
      <c r="J5" s="16" t="s">
        <v>25</v>
      </c>
      <c r="K5" s="16" t="s">
        <v>25</v>
      </c>
      <c r="L5" s="16">
        <v>0.375</v>
      </c>
      <c r="M5" s="17">
        <v>0.38750000000000001</v>
      </c>
      <c r="N5" s="8">
        <v>0</v>
      </c>
      <c r="O5" s="8" t="s">
        <v>176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</row>
    <row r="6" spans="1:22" x14ac:dyDescent="0.25">
      <c r="A6" s="12">
        <v>45462</v>
      </c>
      <c r="B6" s="8" t="s">
        <v>193</v>
      </c>
      <c r="C6" s="8" t="s">
        <v>194</v>
      </c>
      <c r="D6" s="8" t="s">
        <v>195</v>
      </c>
      <c r="E6" s="8" t="s">
        <v>196</v>
      </c>
      <c r="F6" s="10" t="s">
        <v>22</v>
      </c>
      <c r="G6" s="15">
        <v>1900</v>
      </c>
      <c r="H6" s="8" t="s">
        <v>196</v>
      </c>
      <c r="I6" s="8" t="s">
        <v>196</v>
      </c>
      <c r="J6" s="16">
        <v>0.44444444444444442</v>
      </c>
      <c r="K6" s="17">
        <v>0.45</v>
      </c>
      <c r="L6" s="16">
        <v>0.46527777777777773</v>
      </c>
      <c r="M6" s="17">
        <v>0.47013888888888888</v>
      </c>
      <c r="N6" s="10">
        <v>3</v>
      </c>
      <c r="O6" s="10">
        <v>3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</row>
    <row r="7" spans="1:22" x14ac:dyDescent="0.25">
      <c r="A7" s="12">
        <v>45462</v>
      </c>
      <c r="B7" s="8" t="s">
        <v>178</v>
      </c>
      <c r="C7" s="8" t="s">
        <v>197</v>
      </c>
      <c r="D7" s="8" t="s">
        <v>180</v>
      </c>
      <c r="E7" s="8" t="s">
        <v>181</v>
      </c>
      <c r="F7" s="10" t="s">
        <v>22</v>
      </c>
      <c r="G7" s="15">
        <v>2</v>
      </c>
      <c r="H7" s="8" t="s">
        <v>181</v>
      </c>
      <c r="I7" s="8" t="s">
        <v>181</v>
      </c>
      <c r="J7" s="16">
        <v>0.47222222222222227</v>
      </c>
      <c r="K7" s="17">
        <v>0.4861111111111111</v>
      </c>
      <c r="L7" s="16">
        <v>0.48958333333333331</v>
      </c>
      <c r="M7" s="17">
        <v>0.52777777777777779</v>
      </c>
      <c r="N7" s="8">
        <v>0</v>
      </c>
      <c r="O7" s="8" t="s">
        <v>176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</row>
    <row r="8" spans="1:22" x14ac:dyDescent="0.25">
      <c r="A8" s="12">
        <v>45462</v>
      </c>
      <c r="B8" s="8" t="s">
        <v>193</v>
      </c>
      <c r="C8" s="8" t="s">
        <v>194</v>
      </c>
      <c r="D8" s="8" t="s">
        <v>195</v>
      </c>
      <c r="E8" s="8" t="s">
        <v>196</v>
      </c>
      <c r="F8" s="10" t="s">
        <v>22</v>
      </c>
      <c r="G8" s="15">
        <v>1900</v>
      </c>
      <c r="H8" s="8" t="s">
        <v>196</v>
      </c>
      <c r="I8" s="8" t="s">
        <v>196</v>
      </c>
      <c r="J8" s="16">
        <v>0.80555555555555547</v>
      </c>
      <c r="K8" s="17">
        <v>0.82638888888888884</v>
      </c>
      <c r="L8" s="16" t="s">
        <v>25</v>
      </c>
      <c r="M8" s="17" t="s">
        <v>25</v>
      </c>
      <c r="N8" s="10">
        <v>2</v>
      </c>
      <c r="O8" s="10">
        <v>2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</row>
    <row r="9" spans="1:22" x14ac:dyDescent="0.25">
      <c r="A9" s="12">
        <v>45462</v>
      </c>
      <c r="B9" s="8" t="s">
        <v>45</v>
      </c>
      <c r="C9" s="8" t="s">
        <v>46</v>
      </c>
      <c r="D9" s="10" t="s">
        <v>41</v>
      </c>
      <c r="E9" s="8" t="s">
        <v>198</v>
      </c>
      <c r="F9" s="10" t="s">
        <v>42</v>
      </c>
      <c r="G9" s="15">
        <v>71500</v>
      </c>
      <c r="H9" s="8" t="s">
        <v>47</v>
      </c>
      <c r="I9" s="8" t="s">
        <v>48</v>
      </c>
      <c r="J9" s="16">
        <v>0.72222222222222221</v>
      </c>
      <c r="K9" s="17">
        <v>0.73819444444444438</v>
      </c>
      <c r="L9" s="16">
        <v>0.74305555555555547</v>
      </c>
      <c r="M9" s="17">
        <v>0.77708333333333324</v>
      </c>
      <c r="N9" s="10" t="s">
        <v>199</v>
      </c>
      <c r="O9" s="10" t="s">
        <v>200</v>
      </c>
      <c r="P9" s="8">
        <v>1236</v>
      </c>
      <c r="Q9" s="8">
        <v>1066</v>
      </c>
      <c r="R9" s="8">
        <v>0</v>
      </c>
      <c r="S9" s="8">
        <v>0</v>
      </c>
      <c r="T9" s="8">
        <v>0</v>
      </c>
      <c r="U9" s="8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8FC3C-D576-40FF-AB82-61DEBD525A5C}">
  <dimension ref="A1:U12"/>
  <sheetViews>
    <sheetView workbookViewId="0">
      <selection activeCell="A3" sqref="A3:U3"/>
    </sheetView>
  </sheetViews>
  <sheetFormatPr defaultRowHeight="15" x14ac:dyDescent="0.25"/>
  <cols>
    <col min="1" max="1" width="13.85546875" customWidth="1"/>
    <col min="2" max="2" width="24.140625" bestFit="1" customWidth="1"/>
    <col min="3" max="3" width="16.7109375" customWidth="1"/>
    <col min="5" max="5" width="10" customWidth="1"/>
    <col min="6" max="6" width="18.140625" customWidth="1"/>
    <col min="7" max="7" width="13.28515625" bestFit="1" customWidth="1"/>
    <col min="10" max="10" width="11" bestFit="1" customWidth="1"/>
    <col min="12" max="12" width="11.28515625" bestFit="1" customWidth="1"/>
    <col min="13" max="13" width="11.140625" bestFit="1" customWidth="1"/>
    <col min="14" max="14" width="15.85546875" customWidth="1"/>
    <col min="15" max="15" width="15.7109375" customWidth="1"/>
    <col min="17" max="17" width="10.140625" bestFit="1" customWidth="1"/>
    <col min="18" max="21" width="9.42578125" bestFit="1" customWidth="1"/>
  </cols>
  <sheetData>
    <row r="1" spans="1:2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</row>
    <row r="2" spans="1:21" x14ac:dyDescent="0.25">
      <c r="A2" s="12">
        <v>45463</v>
      </c>
      <c r="B2" s="8" t="s">
        <v>61</v>
      </c>
      <c r="C2" s="8" t="s">
        <v>62</v>
      </c>
      <c r="D2" s="8" t="s">
        <v>41</v>
      </c>
      <c r="E2" s="8" t="s">
        <v>171</v>
      </c>
      <c r="F2" s="10" t="s">
        <v>64</v>
      </c>
      <c r="G2" s="15">
        <v>77000</v>
      </c>
      <c r="H2" s="8" t="s">
        <v>65</v>
      </c>
      <c r="I2" s="8" t="s">
        <v>66</v>
      </c>
      <c r="J2" s="16">
        <v>0.3298611111111111</v>
      </c>
      <c r="K2" s="17">
        <v>0.32916666666666666</v>
      </c>
      <c r="L2" s="16">
        <v>0.37152777777777773</v>
      </c>
      <c r="M2" s="17">
        <v>0.37083333333333335</v>
      </c>
      <c r="N2" s="8" t="s">
        <v>201</v>
      </c>
      <c r="O2" s="8" t="s">
        <v>202</v>
      </c>
      <c r="P2" s="8">
        <v>288</v>
      </c>
      <c r="Q2" s="8">
        <v>2148</v>
      </c>
      <c r="R2" s="8">
        <v>0</v>
      </c>
      <c r="S2" s="8">
        <v>0</v>
      </c>
      <c r="T2" s="8">
        <v>0</v>
      </c>
      <c r="U2" s="8">
        <v>0</v>
      </c>
    </row>
    <row r="3" spans="1:21" x14ac:dyDescent="0.25">
      <c r="A3" s="12">
        <v>45463</v>
      </c>
      <c r="B3" s="8" t="s">
        <v>160</v>
      </c>
      <c r="C3" s="8" t="s">
        <v>203</v>
      </c>
      <c r="D3" s="10" t="s">
        <v>161</v>
      </c>
      <c r="E3" s="8" t="s">
        <v>148</v>
      </c>
      <c r="F3" s="10" t="s">
        <v>22</v>
      </c>
      <c r="G3" s="15">
        <v>1230</v>
      </c>
      <c r="H3" s="8" t="s">
        <v>162</v>
      </c>
      <c r="I3" s="8" t="s">
        <v>162</v>
      </c>
      <c r="J3" s="16">
        <v>0.72916666666666663</v>
      </c>
      <c r="K3" s="16">
        <v>0.72430555555555554</v>
      </c>
      <c r="L3" s="16">
        <v>0.73958333333333337</v>
      </c>
      <c r="M3" s="17">
        <v>0.73958333333333337</v>
      </c>
      <c r="N3" s="8">
        <v>0</v>
      </c>
      <c r="O3" s="8" t="s">
        <v>176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</row>
    <row r="4" spans="1:21" x14ac:dyDescent="0.25">
      <c r="A4" s="12"/>
      <c r="B4" s="8"/>
      <c r="C4" s="10"/>
      <c r="D4" s="10"/>
      <c r="E4" s="10"/>
      <c r="F4" s="10"/>
      <c r="G4" s="15"/>
      <c r="H4" s="10"/>
      <c r="I4" s="10"/>
      <c r="J4" s="3"/>
      <c r="K4" s="14"/>
      <c r="L4" s="3"/>
      <c r="M4" s="14"/>
      <c r="N4" s="10"/>
      <c r="O4" s="10"/>
      <c r="P4" s="10"/>
      <c r="Q4" s="10"/>
      <c r="R4" s="10"/>
      <c r="S4" s="10"/>
      <c r="T4" s="10"/>
      <c r="U4" s="10"/>
    </row>
    <row r="5" spans="1:21" x14ac:dyDescent="0.25">
      <c r="A5" s="2"/>
      <c r="B5" s="4"/>
      <c r="C5" s="4"/>
      <c r="D5" s="4"/>
      <c r="E5" s="4"/>
      <c r="F5" s="4"/>
      <c r="G5" s="5"/>
      <c r="H5" s="4"/>
      <c r="I5" s="4"/>
      <c r="J5" s="6"/>
      <c r="K5" s="7"/>
      <c r="L5" s="6"/>
      <c r="M5" s="7"/>
      <c r="N5" s="4"/>
      <c r="O5" s="4"/>
      <c r="P5" s="4"/>
      <c r="Q5" s="4"/>
      <c r="R5" s="4"/>
      <c r="S5" s="4"/>
      <c r="T5" s="4"/>
      <c r="U5" s="4"/>
    </row>
    <row r="11" spans="1:21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 spans="1:21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</sheetData>
  <pageMargins left="0.7" right="0.7" top="0.75" bottom="0.75" header="0.3" footer="0.3"/>
  <pageSetup paperSize="9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9BA9D-2AC7-4D80-98B5-F33B245FC6A4}">
  <dimension ref="A1:V8"/>
  <sheetViews>
    <sheetView workbookViewId="0">
      <selection sqref="A1:U5"/>
    </sheetView>
  </sheetViews>
  <sheetFormatPr defaultRowHeight="15" x14ac:dyDescent="0.25"/>
  <cols>
    <col min="1" max="1" width="9.7109375" customWidth="1"/>
    <col min="2" max="2" width="20.28515625" customWidth="1"/>
    <col min="3" max="3" width="18.5703125" customWidth="1"/>
    <col min="6" max="6" width="14.140625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x14ac:dyDescent="0.25">
      <c r="A2" s="12">
        <v>45464</v>
      </c>
      <c r="B2" s="8" t="s">
        <v>61</v>
      </c>
      <c r="C2" s="8" t="s">
        <v>62</v>
      </c>
      <c r="D2" s="8" t="s">
        <v>41</v>
      </c>
      <c r="E2" s="8" t="s">
        <v>204</v>
      </c>
      <c r="F2" s="10" t="s">
        <v>64</v>
      </c>
      <c r="G2" s="15">
        <v>77000</v>
      </c>
      <c r="H2" s="8" t="s">
        <v>65</v>
      </c>
      <c r="I2" s="8" t="s">
        <v>66</v>
      </c>
      <c r="J2" s="16">
        <v>0.3298611111111111</v>
      </c>
      <c r="K2" s="17">
        <v>0.34375</v>
      </c>
      <c r="L2" s="16">
        <v>0.37152777777777773</v>
      </c>
      <c r="M2" s="17">
        <v>0.3833333333333333</v>
      </c>
      <c r="N2" s="8" t="s">
        <v>96</v>
      </c>
      <c r="O2" s="8" t="s">
        <v>207</v>
      </c>
      <c r="P2" s="8">
        <v>2299</v>
      </c>
      <c r="Q2" s="8">
        <v>2240</v>
      </c>
      <c r="R2" s="8">
        <v>0</v>
      </c>
      <c r="S2" s="8">
        <v>0</v>
      </c>
      <c r="T2" s="8">
        <v>0</v>
      </c>
      <c r="U2" s="8">
        <v>0</v>
      </c>
    </row>
    <row r="3" spans="1:22" x14ac:dyDescent="0.25">
      <c r="A3" s="12">
        <v>45464</v>
      </c>
      <c r="B3" s="8" t="s">
        <v>45</v>
      </c>
      <c r="C3" s="8" t="s">
        <v>49</v>
      </c>
      <c r="D3" s="10" t="s">
        <v>41</v>
      </c>
      <c r="E3" s="8" t="s">
        <v>205</v>
      </c>
      <c r="F3" s="10" t="s">
        <v>42</v>
      </c>
      <c r="G3" s="15">
        <v>71500</v>
      </c>
      <c r="H3" s="8" t="s">
        <v>51</v>
      </c>
      <c r="I3" s="8" t="s">
        <v>52</v>
      </c>
      <c r="J3" s="16">
        <v>0.42708333333333331</v>
      </c>
      <c r="K3" s="17">
        <v>0.42499999999999999</v>
      </c>
      <c r="L3" s="16">
        <v>0.4513888888888889</v>
      </c>
      <c r="M3" s="17">
        <v>0.46666666666666662</v>
      </c>
      <c r="N3" s="10" t="s">
        <v>208</v>
      </c>
      <c r="O3" s="10" t="s">
        <v>202</v>
      </c>
      <c r="P3" s="8">
        <v>509</v>
      </c>
      <c r="Q3" s="8">
        <v>618</v>
      </c>
      <c r="R3" s="8">
        <v>0</v>
      </c>
      <c r="S3" s="8">
        <v>0</v>
      </c>
      <c r="T3" s="8">
        <v>0</v>
      </c>
      <c r="U3" s="8">
        <v>0</v>
      </c>
    </row>
    <row r="4" spans="1:22" x14ac:dyDescent="0.25">
      <c r="A4" s="12">
        <v>45464</v>
      </c>
      <c r="B4" s="8" t="s">
        <v>39</v>
      </c>
      <c r="C4" s="10" t="s">
        <v>40</v>
      </c>
      <c r="D4" s="10" t="s">
        <v>41</v>
      </c>
      <c r="E4" s="10" t="s">
        <v>83</v>
      </c>
      <c r="F4" s="10" t="s">
        <v>42</v>
      </c>
      <c r="G4" s="15">
        <v>71500</v>
      </c>
      <c r="H4" s="10" t="s">
        <v>43</v>
      </c>
      <c r="I4" s="10" t="s">
        <v>44</v>
      </c>
      <c r="J4" s="3">
        <v>0.50347222222222221</v>
      </c>
      <c r="K4" s="14">
        <v>1203</v>
      </c>
      <c r="L4" s="3">
        <v>0.52777777777777779</v>
      </c>
      <c r="M4" s="14">
        <v>0.53402777777777777</v>
      </c>
      <c r="N4" s="10" t="s">
        <v>209</v>
      </c>
      <c r="O4" s="10" t="s">
        <v>210</v>
      </c>
      <c r="P4" s="10">
        <v>617</v>
      </c>
      <c r="Q4" s="10">
        <v>609</v>
      </c>
      <c r="R4" s="10">
        <v>0</v>
      </c>
      <c r="S4" s="10">
        <v>0</v>
      </c>
      <c r="T4" s="10">
        <v>0</v>
      </c>
      <c r="U4" s="10">
        <v>0</v>
      </c>
      <c r="V4" s="8"/>
    </row>
    <row r="5" spans="1:22" x14ac:dyDescent="0.25">
      <c r="A5" s="12">
        <v>45464</v>
      </c>
      <c r="B5" s="8" t="s">
        <v>45</v>
      </c>
      <c r="C5" s="8" t="s">
        <v>46</v>
      </c>
      <c r="D5" s="10" t="s">
        <v>41</v>
      </c>
      <c r="E5" s="8" t="s">
        <v>206</v>
      </c>
      <c r="F5" s="10" t="s">
        <v>42</v>
      </c>
      <c r="G5" s="15">
        <v>71500</v>
      </c>
      <c r="H5" s="8" t="s">
        <v>47</v>
      </c>
      <c r="I5" s="8" t="s">
        <v>48</v>
      </c>
      <c r="J5" s="16">
        <v>0.72222222222222221</v>
      </c>
      <c r="K5" s="17">
        <v>0.72569444444444453</v>
      </c>
      <c r="L5" s="16">
        <v>0.74305555555555547</v>
      </c>
      <c r="M5" s="17">
        <v>0.76250000000000007</v>
      </c>
      <c r="N5" s="10" t="s">
        <v>211</v>
      </c>
      <c r="O5" s="10" t="s">
        <v>212</v>
      </c>
      <c r="P5" s="8">
        <v>1507</v>
      </c>
      <c r="Q5" s="8">
        <v>1399</v>
      </c>
      <c r="R5" s="8">
        <v>0</v>
      </c>
      <c r="S5" s="8">
        <v>0</v>
      </c>
      <c r="T5" s="8">
        <v>0</v>
      </c>
      <c r="U5" s="8">
        <v>0</v>
      </c>
    </row>
    <row r="6" spans="1:22" x14ac:dyDescent="0.25">
      <c r="A6" s="12">
        <v>45464</v>
      </c>
      <c r="B6" s="8" t="s">
        <v>160</v>
      </c>
      <c r="C6" s="8" t="s">
        <v>203</v>
      </c>
      <c r="D6" s="10" t="s">
        <v>161</v>
      </c>
      <c r="E6" s="8" t="s">
        <v>148</v>
      </c>
      <c r="F6" s="10" t="s">
        <v>22</v>
      </c>
      <c r="G6" s="15">
        <v>1230</v>
      </c>
      <c r="H6" s="8" t="s">
        <v>162</v>
      </c>
      <c r="I6" s="8" t="s">
        <v>162</v>
      </c>
      <c r="J6" s="16">
        <v>0.4236111111111111</v>
      </c>
      <c r="K6" s="16">
        <v>0.5</v>
      </c>
      <c r="L6" s="16">
        <v>0.53125</v>
      </c>
      <c r="M6" s="17">
        <v>0.5131944444444444</v>
      </c>
      <c r="N6" s="8">
        <v>0</v>
      </c>
      <c r="O6" s="8" t="s">
        <v>176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/>
    </row>
    <row r="7" spans="1:22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</row>
    <row r="8" spans="1:22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</row>
  </sheetData>
  <pageMargins left="0.7" right="0.7" top="0.75" bottom="0.75" header="0.3" footer="0.3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8E9EB-9872-435F-A2DE-56EE21975F98}">
  <dimension ref="A1:U9"/>
  <sheetViews>
    <sheetView workbookViewId="0">
      <selection activeCell="B2" sqref="B2:U2"/>
    </sheetView>
  </sheetViews>
  <sheetFormatPr defaultRowHeight="15" x14ac:dyDescent="0.25"/>
  <cols>
    <col min="1" max="1" width="11.28515625" bestFit="1" customWidth="1"/>
    <col min="2" max="2" width="24.5703125" customWidth="1"/>
    <col min="3" max="3" width="17.7109375" customWidth="1"/>
    <col min="6" max="6" width="19.7109375" customWidth="1"/>
    <col min="7" max="7" width="9.28515625" bestFit="1" customWidth="1"/>
    <col min="9" max="9" width="9.7109375" bestFit="1" customWidth="1"/>
    <col min="10" max="10" width="11.140625" bestFit="1" customWidth="1"/>
    <col min="11" max="11" width="11" bestFit="1" customWidth="1"/>
    <col min="12" max="12" width="11.140625" bestFit="1" customWidth="1"/>
    <col min="13" max="13" width="11" bestFit="1" customWidth="1"/>
    <col min="14" max="14" width="18.42578125" bestFit="1" customWidth="1"/>
    <col min="15" max="15" width="13" customWidth="1"/>
    <col min="16" max="16" width="9.28515625" bestFit="1" customWidth="1"/>
    <col min="17" max="17" width="10.42578125" bestFit="1" customWidth="1"/>
    <col min="18" max="18" width="9.5703125" bestFit="1" customWidth="1"/>
    <col min="19" max="21" width="9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2">
        <v>45465</v>
      </c>
      <c r="B2" s="8" t="s">
        <v>213</v>
      </c>
      <c r="C2" s="10" t="s">
        <v>62</v>
      </c>
      <c r="D2" s="10" t="s">
        <v>214</v>
      </c>
      <c r="E2" s="10" t="s">
        <v>215</v>
      </c>
      <c r="F2" s="10" t="s">
        <v>64</v>
      </c>
      <c r="G2" s="15">
        <v>66000</v>
      </c>
      <c r="H2" s="10" t="s">
        <v>216</v>
      </c>
      <c r="I2" s="10" t="s">
        <v>217</v>
      </c>
      <c r="J2" s="3">
        <v>0.73263888888888884</v>
      </c>
      <c r="K2" s="14">
        <v>0.79791666666666661</v>
      </c>
      <c r="L2" s="3">
        <v>0.77430555555555547</v>
      </c>
      <c r="M2" s="14">
        <v>0.93125000000000002</v>
      </c>
      <c r="N2" s="10">
        <v>0</v>
      </c>
      <c r="O2" s="10" t="s">
        <v>218</v>
      </c>
      <c r="P2" s="10">
        <v>0</v>
      </c>
      <c r="Q2" s="10">
        <v>1953</v>
      </c>
      <c r="R2" s="10">
        <v>0</v>
      </c>
      <c r="S2" s="10">
        <v>0</v>
      </c>
      <c r="T2" s="10">
        <v>0</v>
      </c>
      <c r="U2" s="10">
        <v>0</v>
      </c>
    </row>
    <row r="3" spans="1:21" x14ac:dyDescent="0.25">
      <c r="A3" s="12"/>
      <c r="B3" s="8"/>
      <c r="C3" s="8"/>
      <c r="D3" s="10"/>
      <c r="E3" s="8"/>
      <c r="F3" s="10"/>
      <c r="G3" s="15"/>
      <c r="H3" s="8"/>
      <c r="I3" s="8"/>
      <c r="J3" s="16"/>
      <c r="K3" s="17"/>
      <c r="L3" s="16"/>
      <c r="M3" s="17"/>
      <c r="N3" s="10"/>
      <c r="O3" s="10"/>
      <c r="P3" s="8"/>
      <c r="Q3" s="8"/>
      <c r="R3" s="8"/>
      <c r="S3" s="8"/>
      <c r="T3" s="8"/>
      <c r="U3" s="8"/>
    </row>
    <row r="4" spans="1:21" x14ac:dyDescent="0.25">
      <c r="A4" s="2"/>
      <c r="B4" s="8"/>
      <c r="C4" s="10"/>
      <c r="D4" s="10"/>
      <c r="E4" s="10"/>
      <c r="F4" s="10"/>
      <c r="G4" s="21"/>
      <c r="H4" s="10"/>
      <c r="I4" s="10"/>
      <c r="J4" s="3"/>
      <c r="K4" s="14"/>
      <c r="L4" s="3"/>
      <c r="N4" s="1"/>
      <c r="O4" s="1"/>
      <c r="Q4" s="1"/>
      <c r="R4" s="1"/>
      <c r="S4" s="1"/>
      <c r="T4" s="1"/>
      <c r="U4" s="1"/>
    </row>
    <row r="5" spans="1:21" x14ac:dyDescent="0.25">
      <c r="A5" s="12"/>
      <c r="B5" s="8"/>
      <c r="C5" s="10"/>
      <c r="D5" s="10"/>
      <c r="E5" s="10"/>
      <c r="F5" s="10"/>
      <c r="G5" s="15"/>
      <c r="H5" s="10"/>
      <c r="I5" s="10"/>
      <c r="J5" s="3"/>
      <c r="K5" s="14"/>
      <c r="L5" s="3"/>
      <c r="M5" s="14"/>
      <c r="N5" s="10"/>
      <c r="O5" s="10"/>
      <c r="P5" s="10"/>
      <c r="Q5" s="10"/>
      <c r="R5" s="10"/>
      <c r="S5" s="10"/>
      <c r="T5" s="10"/>
      <c r="U5" s="10"/>
    </row>
    <row r="6" spans="1:21" x14ac:dyDescent="0.25">
      <c r="A6" s="18"/>
      <c r="B6" s="8"/>
      <c r="C6" s="8"/>
      <c r="D6" s="8"/>
      <c r="E6" s="8"/>
      <c r="F6" s="8"/>
      <c r="G6" s="15"/>
      <c r="H6" s="8"/>
      <c r="I6" s="8"/>
      <c r="J6" s="16"/>
      <c r="K6" s="17"/>
      <c r="L6" s="16"/>
      <c r="M6" s="17"/>
      <c r="N6" s="8"/>
      <c r="O6" s="8"/>
      <c r="P6" s="8"/>
      <c r="Q6" s="8"/>
      <c r="R6" s="8"/>
      <c r="S6" s="8"/>
      <c r="T6" s="8"/>
      <c r="U6" s="8"/>
    </row>
    <row r="7" spans="1:21" x14ac:dyDescent="0.25">
      <c r="A7" s="1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1:21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 spans="1:21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</sheetData>
  <pageMargins left="0.7" right="0.7" top="0.75" bottom="0.75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0973F-710A-4218-892A-F78BF3A52599}">
  <dimension ref="A1:U5"/>
  <sheetViews>
    <sheetView workbookViewId="0">
      <selection activeCell="A2" sqref="A2"/>
    </sheetView>
  </sheetViews>
  <sheetFormatPr defaultRowHeight="15" x14ac:dyDescent="0.25"/>
  <cols>
    <col min="2" max="2" width="28.28515625" customWidth="1"/>
    <col min="3" max="3" width="19.7109375" customWidth="1"/>
    <col min="6" max="6" width="15.140625" customWidth="1"/>
    <col min="14" max="14" width="12.140625" customWidth="1"/>
    <col min="15" max="15" width="15.42578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/>
      <c r="B2" s="8"/>
      <c r="C2" s="8"/>
      <c r="D2" s="10"/>
      <c r="E2" s="8"/>
      <c r="F2" s="10"/>
      <c r="G2" s="21"/>
      <c r="H2" s="8"/>
      <c r="I2" s="8"/>
      <c r="J2" s="16"/>
      <c r="K2" s="17"/>
      <c r="L2" s="16"/>
      <c r="M2" s="17"/>
      <c r="N2" s="1"/>
      <c r="O2" s="17"/>
      <c r="P2" s="4"/>
      <c r="Q2" s="4"/>
      <c r="R2" s="4"/>
      <c r="S2" s="4"/>
      <c r="T2" s="4"/>
      <c r="U2" s="4"/>
    </row>
    <row r="3" spans="1:21" x14ac:dyDescent="0.25">
      <c r="A3" s="2"/>
      <c r="B3" s="8"/>
      <c r="C3" s="10"/>
      <c r="D3" s="10"/>
      <c r="E3" s="10"/>
      <c r="F3" s="10"/>
      <c r="G3" s="21"/>
      <c r="H3" s="10"/>
      <c r="I3" s="10"/>
      <c r="J3" s="3"/>
      <c r="K3" s="14"/>
      <c r="L3" s="3"/>
      <c r="M3" s="14"/>
      <c r="N3" s="1"/>
      <c r="O3" s="1"/>
      <c r="P3" s="1"/>
      <c r="Q3" s="1"/>
      <c r="R3" s="1"/>
      <c r="S3" s="1"/>
      <c r="T3" s="1"/>
      <c r="U3" s="1"/>
    </row>
    <row r="4" spans="1:21" x14ac:dyDescent="0.25">
      <c r="A4" s="12"/>
      <c r="B4" s="8"/>
      <c r="C4" s="10"/>
      <c r="D4" s="10"/>
      <c r="E4" s="10"/>
      <c r="F4" s="10"/>
      <c r="G4" s="13"/>
      <c r="H4" s="10"/>
      <c r="I4" s="10"/>
      <c r="J4" s="3"/>
      <c r="K4" s="14"/>
      <c r="L4" s="3"/>
      <c r="M4" s="14"/>
      <c r="N4" s="10"/>
      <c r="O4" s="10"/>
      <c r="P4" s="10"/>
      <c r="Q4" s="10"/>
      <c r="R4" s="10"/>
      <c r="S4" s="10"/>
      <c r="T4" s="10"/>
      <c r="U4" s="10"/>
    </row>
    <row r="5" spans="1:21" x14ac:dyDescent="0.25">
      <c r="A5" s="18"/>
      <c r="B5" s="8"/>
      <c r="C5" s="8"/>
      <c r="D5" s="8"/>
      <c r="E5" s="8"/>
      <c r="F5" s="8"/>
      <c r="G5" s="8"/>
      <c r="H5" s="8"/>
      <c r="I5" s="8"/>
      <c r="J5" s="16"/>
      <c r="K5" s="17"/>
      <c r="L5" s="16"/>
      <c r="M5" s="17"/>
      <c r="N5" s="8"/>
      <c r="O5" s="8"/>
      <c r="P5" s="8"/>
      <c r="Q5" s="8"/>
      <c r="R5" s="8"/>
      <c r="S5" s="8"/>
      <c r="T5" s="8"/>
      <c r="U5" s="8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47687-E5DD-47E7-8623-4FFAEDB8C4ED}">
  <dimension ref="A1:U5"/>
  <sheetViews>
    <sheetView workbookViewId="0">
      <selection activeCell="A18" sqref="A18"/>
    </sheetView>
  </sheetViews>
  <sheetFormatPr defaultRowHeight="15" x14ac:dyDescent="0.25"/>
  <cols>
    <col min="1" max="1" width="11.42578125" customWidth="1"/>
    <col min="2" max="2" width="31.28515625" customWidth="1"/>
    <col min="3" max="3" width="20" customWidth="1"/>
    <col min="6" max="6" width="19.140625" customWidth="1"/>
    <col min="14" max="14" width="16" customWidth="1"/>
    <col min="15" max="15" width="16.140625" customWidth="1"/>
  </cols>
  <sheetData>
    <row r="1" spans="1:2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</row>
    <row r="2" spans="1:21" x14ac:dyDescent="0.25">
      <c r="A2" s="12">
        <v>45467</v>
      </c>
      <c r="B2" s="8" t="s">
        <v>45</v>
      </c>
      <c r="C2" s="8" t="s">
        <v>49</v>
      </c>
      <c r="D2" s="10" t="s">
        <v>41</v>
      </c>
      <c r="E2" s="8" t="s">
        <v>54</v>
      </c>
      <c r="F2" s="10" t="s">
        <v>42</v>
      </c>
      <c r="G2" s="15">
        <v>71500</v>
      </c>
      <c r="H2" s="8" t="s">
        <v>51</v>
      </c>
      <c r="I2" s="8" t="s">
        <v>52</v>
      </c>
      <c r="J2" s="16">
        <v>0.42708333333333331</v>
      </c>
      <c r="K2" s="17">
        <v>0.40972222222222227</v>
      </c>
      <c r="L2" s="16">
        <v>0.4513888888888889</v>
      </c>
      <c r="M2" s="17">
        <v>0.4548611111111111</v>
      </c>
      <c r="N2" s="10" t="s">
        <v>224</v>
      </c>
      <c r="O2" s="10" t="s">
        <v>223</v>
      </c>
      <c r="P2" s="8">
        <v>844</v>
      </c>
      <c r="Q2" s="8">
        <v>396</v>
      </c>
      <c r="R2" s="8">
        <v>0</v>
      </c>
      <c r="S2" s="8">
        <v>0</v>
      </c>
      <c r="T2" s="8">
        <v>0</v>
      </c>
      <c r="U2" s="8">
        <v>0</v>
      </c>
    </row>
    <row r="3" spans="1:21" x14ac:dyDescent="0.25">
      <c r="A3" s="12">
        <v>45467</v>
      </c>
      <c r="B3" s="8" t="s">
        <v>39</v>
      </c>
      <c r="C3" s="10" t="s">
        <v>40</v>
      </c>
      <c r="D3" s="10" t="s">
        <v>41</v>
      </c>
      <c r="E3" s="10" t="s">
        <v>221</v>
      </c>
      <c r="F3" s="10" t="s">
        <v>42</v>
      </c>
      <c r="G3" s="15">
        <v>71500</v>
      </c>
      <c r="H3" s="10" t="s">
        <v>43</v>
      </c>
      <c r="I3" s="10" t="s">
        <v>44</v>
      </c>
      <c r="J3" s="3">
        <v>0.50347222222222221</v>
      </c>
      <c r="K3" s="14">
        <v>0.50208333333333333</v>
      </c>
      <c r="L3" s="3">
        <v>0.52777777777777779</v>
      </c>
      <c r="M3" s="14">
        <v>0.54166666666666663</v>
      </c>
      <c r="N3" s="10" t="s">
        <v>226</v>
      </c>
      <c r="O3" s="10" t="s">
        <v>225</v>
      </c>
      <c r="P3" s="10">
        <v>937</v>
      </c>
      <c r="Q3" s="10">
        <v>560</v>
      </c>
      <c r="R3" s="10">
        <v>0</v>
      </c>
      <c r="S3" s="10">
        <v>0</v>
      </c>
      <c r="T3" s="10">
        <v>0</v>
      </c>
      <c r="U3" s="10">
        <v>0</v>
      </c>
    </row>
    <row r="4" spans="1:21" x14ac:dyDescent="0.25">
      <c r="A4" s="12">
        <v>45467</v>
      </c>
      <c r="B4" s="8" t="s">
        <v>219</v>
      </c>
      <c r="C4" s="8" t="s">
        <v>220</v>
      </c>
      <c r="D4" s="10" t="s">
        <v>222</v>
      </c>
      <c r="E4" s="8" t="s">
        <v>175</v>
      </c>
      <c r="F4" s="10" t="s">
        <v>22</v>
      </c>
      <c r="G4" s="21">
        <v>4000</v>
      </c>
      <c r="H4" s="8" t="s">
        <v>24</v>
      </c>
      <c r="I4" s="8" t="s">
        <v>24</v>
      </c>
      <c r="J4" s="16">
        <v>0.48958333333333331</v>
      </c>
      <c r="K4" s="17">
        <v>0.50347222222222221</v>
      </c>
      <c r="L4" s="16">
        <v>0.45833333333333331</v>
      </c>
      <c r="M4" s="17">
        <v>0.47500000000000003</v>
      </c>
      <c r="N4" s="1" t="s">
        <v>176</v>
      </c>
      <c r="O4" s="1" t="s">
        <v>176</v>
      </c>
      <c r="P4" s="4" t="s">
        <v>24</v>
      </c>
      <c r="Q4" s="4" t="s">
        <v>24</v>
      </c>
      <c r="R4" s="4">
        <v>0</v>
      </c>
      <c r="S4" s="4">
        <v>0</v>
      </c>
      <c r="T4" s="4">
        <v>0</v>
      </c>
      <c r="U4" s="4">
        <v>0</v>
      </c>
    </row>
    <row r="5" spans="1:21" x14ac:dyDescent="0.25">
      <c r="A5" s="2"/>
      <c r="B5" s="4"/>
      <c r="C5" s="4"/>
      <c r="D5" s="4"/>
      <c r="E5" s="4"/>
      <c r="F5" s="4"/>
      <c r="G5" s="5"/>
      <c r="H5" s="4"/>
      <c r="I5" s="4"/>
      <c r="J5" s="6"/>
      <c r="K5" s="7"/>
      <c r="L5" s="6"/>
      <c r="M5" s="7"/>
      <c r="N5" s="4"/>
      <c r="O5" s="4"/>
      <c r="P5" s="4"/>
      <c r="Q5" s="4"/>
      <c r="R5" s="4"/>
      <c r="S5" s="4"/>
      <c r="T5" s="4"/>
      <c r="U5" s="4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74F01-BC41-45FE-857F-AA9044438824}">
  <dimension ref="A1:U4"/>
  <sheetViews>
    <sheetView workbookViewId="0">
      <selection activeCell="A3" sqref="A3"/>
    </sheetView>
  </sheetViews>
  <sheetFormatPr defaultRowHeight="15" x14ac:dyDescent="0.25"/>
  <cols>
    <col min="2" max="2" width="24.28515625" customWidth="1"/>
    <col min="3" max="3" width="22.140625" customWidth="1"/>
    <col min="6" max="6" width="17" customWidth="1"/>
    <col min="14" max="14" width="14.42578125" customWidth="1"/>
    <col min="15" max="15" width="14.28515625" customWidth="1"/>
  </cols>
  <sheetData>
    <row r="1" spans="1:2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</row>
    <row r="2" spans="1:21" x14ac:dyDescent="0.25">
      <c r="A2" s="12">
        <v>45468</v>
      </c>
      <c r="B2" s="8" t="s">
        <v>61</v>
      </c>
      <c r="C2" s="8" t="s">
        <v>62</v>
      </c>
      <c r="D2" s="8" t="s">
        <v>41</v>
      </c>
      <c r="E2" s="8" t="s">
        <v>171</v>
      </c>
      <c r="F2" s="10" t="s">
        <v>64</v>
      </c>
      <c r="G2" s="15">
        <v>77000</v>
      </c>
      <c r="H2" s="8" t="s">
        <v>65</v>
      </c>
      <c r="I2" s="8" t="s">
        <v>66</v>
      </c>
      <c r="J2" s="16">
        <v>0.3298611111111111</v>
      </c>
      <c r="K2" s="17">
        <v>0.34097222222222223</v>
      </c>
      <c r="L2" s="16">
        <v>0.37152777777777773</v>
      </c>
      <c r="M2" s="17">
        <v>0.37777777777777777</v>
      </c>
      <c r="N2" s="8" t="s">
        <v>227</v>
      </c>
      <c r="O2" s="8" t="s">
        <v>228</v>
      </c>
      <c r="P2" s="8">
        <v>1957</v>
      </c>
      <c r="Q2" s="8">
        <v>2561</v>
      </c>
      <c r="R2" s="8">
        <v>0</v>
      </c>
      <c r="S2" s="8">
        <v>0</v>
      </c>
      <c r="T2" s="8">
        <v>0</v>
      </c>
      <c r="U2" s="8">
        <v>0</v>
      </c>
    </row>
    <row r="3" spans="1:21" x14ac:dyDescent="0.25">
      <c r="A3" s="18"/>
      <c r="B3" s="8"/>
      <c r="C3" s="8"/>
      <c r="D3" s="8"/>
      <c r="E3" s="8"/>
      <c r="F3" s="8"/>
      <c r="G3" s="15"/>
      <c r="H3" s="8"/>
      <c r="I3" s="8"/>
      <c r="J3" s="16"/>
      <c r="K3" s="17"/>
      <c r="L3" s="16"/>
      <c r="M3" s="17"/>
      <c r="N3" s="8"/>
      <c r="O3" s="8"/>
      <c r="P3" s="8"/>
      <c r="Q3" s="8"/>
      <c r="R3" s="8"/>
      <c r="S3" s="8"/>
      <c r="T3" s="8"/>
      <c r="U3" s="8"/>
    </row>
    <row r="4" spans="1:21" x14ac:dyDescent="0.25">
      <c r="A4" s="18"/>
      <c r="B4" s="8"/>
      <c r="C4" s="8"/>
      <c r="D4" s="8"/>
      <c r="E4" s="8"/>
      <c r="F4" s="8"/>
      <c r="G4" s="15"/>
      <c r="H4" s="8"/>
      <c r="I4" s="8"/>
      <c r="J4" s="16"/>
      <c r="K4" s="17"/>
      <c r="L4" s="16"/>
      <c r="M4" s="17"/>
      <c r="N4" s="8"/>
      <c r="O4" s="8"/>
      <c r="P4" s="8"/>
      <c r="Q4" s="8"/>
      <c r="R4" s="8"/>
      <c r="S4" s="8"/>
      <c r="T4" s="8"/>
      <c r="U4" s="8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33B67-6EF9-47BD-B484-56BE1B04A177}">
  <dimension ref="A1:V3"/>
  <sheetViews>
    <sheetView tabSelected="1" workbookViewId="0">
      <selection activeCell="A3" sqref="A3"/>
    </sheetView>
  </sheetViews>
  <sheetFormatPr defaultRowHeight="15" x14ac:dyDescent="0.25"/>
  <cols>
    <col min="1" max="1" width="10.42578125" customWidth="1"/>
    <col min="2" max="2" width="28.28515625" customWidth="1"/>
    <col min="3" max="3" width="19.7109375" customWidth="1"/>
    <col min="6" max="6" width="17.7109375" customWidth="1"/>
    <col min="14" max="14" width="12.140625" customWidth="1"/>
    <col min="15" max="15" width="15.4257812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x14ac:dyDescent="0.25">
      <c r="A2" s="12">
        <v>45469</v>
      </c>
      <c r="B2" s="8" t="s">
        <v>45</v>
      </c>
      <c r="C2" s="8" t="s">
        <v>49</v>
      </c>
      <c r="D2" s="10" t="s">
        <v>41</v>
      </c>
      <c r="E2" s="8" t="s">
        <v>229</v>
      </c>
      <c r="F2" s="10" t="s">
        <v>42</v>
      </c>
      <c r="G2" s="15">
        <v>71500</v>
      </c>
      <c r="H2" s="8" t="s">
        <v>51</v>
      </c>
      <c r="I2" s="8" t="s">
        <v>52</v>
      </c>
      <c r="J2" s="16">
        <v>0.41666666666666669</v>
      </c>
      <c r="K2" s="17">
        <v>0.40833333333333338</v>
      </c>
      <c r="L2" s="16">
        <v>0.44097222222222227</v>
      </c>
      <c r="M2" s="17">
        <v>0.44513888888888892</v>
      </c>
      <c r="N2" s="10" t="s">
        <v>230</v>
      </c>
      <c r="O2" s="10" t="s">
        <v>231</v>
      </c>
      <c r="P2" s="8">
        <v>563</v>
      </c>
      <c r="Q2" s="8">
        <v>516</v>
      </c>
      <c r="R2" s="8">
        <v>0</v>
      </c>
      <c r="S2" s="8">
        <v>0</v>
      </c>
      <c r="T2" s="8">
        <v>0</v>
      </c>
      <c r="U2" s="8">
        <v>0</v>
      </c>
      <c r="V2" s="11"/>
    </row>
    <row r="3" spans="1:22" x14ac:dyDescent="0.25">
      <c r="A3" s="12">
        <v>45469</v>
      </c>
      <c r="B3" s="8" t="s">
        <v>45</v>
      </c>
      <c r="C3" s="8" t="s">
        <v>46</v>
      </c>
      <c r="D3" s="10" t="s">
        <v>41</v>
      </c>
      <c r="E3" s="8" t="s">
        <v>119</v>
      </c>
      <c r="F3" s="10" t="s">
        <v>42</v>
      </c>
      <c r="G3" s="15">
        <v>71500</v>
      </c>
      <c r="H3" s="8" t="s">
        <v>47</v>
      </c>
      <c r="I3" s="8" t="s">
        <v>48</v>
      </c>
      <c r="J3" s="16">
        <v>0.72222222222222221</v>
      </c>
      <c r="K3" s="17">
        <v>0.78819444444444453</v>
      </c>
      <c r="L3" s="16">
        <v>0.74305555555555547</v>
      </c>
      <c r="M3" s="17">
        <v>0.86041666666666661</v>
      </c>
      <c r="N3" s="10" t="s">
        <v>232</v>
      </c>
      <c r="O3" s="10" t="s">
        <v>233</v>
      </c>
      <c r="P3" s="8">
        <v>1569</v>
      </c>
      <c r="Q3" s="8">
        <v>779</v>
      </c>
      <c r="R3" s="8">
        <v>0</v>
      </c>
      <c r="S3" s="8">
        <v>0</v>
      </c>
      <c r="T3" s="8">
        <v>0</v>
      </c>
      <c r="U3" s="8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102BB-F387-4A95-B27C-7D6FF4297E5D}">
  <dimension ref="A1:U11"/>
  <sheetViews>
    <sheetView workbookViewId="0">
      <selection activeCell="L7" sqref="L7"/>
    </sheetView>
  </sheetViews>
  <sheetFormatPr defaultRowHeight="15" x14ac:dyDescent="0.25"/>
  <cols>
    <col min="1" max="1" width="13.85546875" customWidth="1"/>
    <col min="2" max="2" width="24.140625" bestFit="1" customWidth="1"/>
    <col min="3" max="3" width="16.7109375" customWidth="1"/>
    <col min="5" max="5" width="10" customWidth="1"/>
    <col min="6" max="6" width="18.140625" customWidth="1"/>
    <col min="7" max="7" width="13.28515625" bestFit="1" customWidth="1"/>
    <col min="10" max="10" width="11" bestFit="1" customWidth="1"/>
    <col min="12" max="12" width="11.28515625" bestFit="1" customWidth="1"/>
    <col min="13" max="13" width="11.140625" bestFit="1" customWidth="1"/>
    <col min="14" max="14" width="15.85546875" customWidth="1"/>
    <col min="15" max="15" width="15.7109375" customWidth="1"/>
    <col min="17" max="17" width="10.140625" bestFit="1" customWidth="1"/>
    <col min="18" max="21" width="9.42578125" bestFit="1" customWidth="1"/>
  </cols>
  <sheetData>
    <row r="1" spans="1:2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</row>
    <row r="2" spans="1:21" x14ac:dyDescent="0.25">
      <c r="A2" s="12">
        <v>45470</v>
      </c>
      <c r="B2" s="8" t="s">
        <v>61</v>
      </c>
      <c r="C2" s="8" t="s">
        <v>62</v>
      </c>
      <c r="D2" s="8" t="s">
        <v>41</v>
      </c>
      <c r="E2" s="8" t="s">
        <v>234</v>
      </c>
      <c r="F2" s="10" t="s">
        <v>64</v>
      </c>
      <c r="G2" s="15">
        <v>77000</v>
      </c>
      <c r="H2" s="8" t="s">
        <v>65</v>
      </c>
      <c r="I2" s="8" t="s">
        <v>66</v>
      </c>
      <c r="J2" s="16">
        <v>0.3298611111111111</v>
      </c>
      <c r="K2" s="17">
        <v>0.33124999999999999</v>
      </c>
      <c r="L2" s="16">
        <v>0.37152777777777773</v>
      </c>
      <c r="M2" s="17">
        <v>0.37777777777777777</v>
      </c>
      <c r="N2" s="8" t="s">
        <v>235</v>
      </c>
      <c r="O2" s="8" t="s">
        <v>236</v>
      </c>
      <c r="P2" s="8">
        <v>2367</v>
      </c>
      <c r="Q2" s="8">
        <v>2030</v>
      </c>
      <c r="R2" s="8">
        <v>0</v>
      </c>
      <c r="S2" s="8">
        <v>0</v>
      </c>
      <c r="T2" s="8">
        <v>0</v>
      </c>
      <c r="U2" s="8">
        <v>0</v>
      </c>
    </row>
    <row r="3" spans="1:21" x14ac:dyDescent="0.25">
      <c r="A3" s="12"/>
      <c r="B3" s="8"/>
      <c r="C3" s="10"/>
      <c r="D3" s="10"/>
      <c r="E3" s="10"/>
      <c r="F3" s="10"/>
      <c r="G3" s="15"/>
      <c r="H3" s="10"/>
      <c r="I3" s="10"/>
      <c r="J3" s="3"/>
      <c r="K3" s="14"/>
      <c r="L3" s="3"/>
      <c r="M3" s="14"/>
      <c r="N3" s="10"/>
      <c r="O3" s="10"/>
      <c r="P3" s="10"/>
      <c r="Q3" s="10"/>
      <c r="R3" s="10"/>
      <c r="S3" s="10"/>
      <c r="T3" s="10"/>
      <c r="U3" s="10"/>
    </row>
    <row r="4" spans="1:21" x14ac:dyDescent="0.25">
      <c r="A4" s="2"/>
      <c r="B4" s="4"/>
      <c r="C4" s="4"/>
      <c r="D4" s="4"/>
      <c r="E4" s="4"/>
      <c r="F4" s="4"/>
      <c r="G4" s="5"/>
      <c r="H4" s="4"/>
      <c r="I4" s="4"/>
      <c r="J4" s="6"/>
      <c r="K4" s="7"/>
      <c r="L4" s="6"/>
      <c r="M4" s="7"/>
      <c r="N4" s="4"/>
      <c r="O4" s="4"/>
      <c r="P4" s="4"/>
      <c r="Q4" s="4"/>
      <c r="R4" s="4"/>
      <c r="S4" s="4"/>
      <c r="T4" s="4"/>
      <c r="U4" s="4"/>
    </row>
    <row r="10" spans="1:21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 spans="1:21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</sheetData>
  <pageMargins left="0.7" right="0.7" top="0.75" bottom="0.75" header="0.3" footer="0.3"/>
  <pageSetup paperSize="9" orientation="portrait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73ABE-1DFA-4C0E-B4C9-04BF3C3EB055}">
  <dimension ref="A1:U5"/>
  <sheetViews>
    <sheetView workbookViewId="0">
      <selection activeCell="C13" sqref="C13"/>
    </sheetView>
  </sheetViews>
  <sheetFormatPr defaultRowHeight="15" x14ac:dyDescent="0.25"/>
  <cols>
    <col min="2" max="2" width="28.28515625" customWidth="1"/>
    <col min="3" max="3" width="19.7109375" customWidth="1"/>
    <col min="6" max="6" width="15.140625" customWidth="1"/>
    <col min="13" max="13" width="14" customWidth="1"/>
    <col min="14" max="14" width="12.140625" customWidth="1"/>
    <col min="15" max="15" width="15.42578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2">
        <v>45471</v>
      </c>
      <c r="B2" s="8" t="s">
        <v>61</v>
      </c>
      <c r="C2" s="8" t="s">
        <v>62</v>
      </c>
      <c r="D2" s="8" t="s">
        <v>41</v>
      </c>
      <c r="E2" s="8" t="s">
        <v>238</v>
      </c>
      <c r="F2" s="10" t="s">
        <v>64</v>
      </c>
      <c r="G2" s="15">
        <v>77000</v>
      </c>
      <c r="H2" s="8" t="s">
        <v>65</v>
      </c>
      <c r="I2" s="8" t="s">
        <v>66</v>
      </c>
      <c r="J2" s="16">
        <v>0.3298611111111111</v>
      </c>
      <c r="K2" s="17">
        <v>0.38055555555555554</v>
      </c>
      <c r="L2" s="16">
        <v>0.37152777777777773</v>
      </c>
      <c r="M2" s="17">
        <v>0.44166666666666665</v>
      </c>
      <c r="N2" s="8" t="s">
        <v>240</v>
      </c>
      <c r="O2" s="8" t="s">
        <v>241</v>
      </c>
      <c r="P2" s="8">
        <v>2472</v>
      </c>
      <c r="Q2" s="8">
        <v>2167</v>
      </c>
      <c r="R2" s="8">
        <v>0</v>
      </c>
      <c r="S2" s="8">
        <v>0</v>
      </c>
      <c r="T2" s="8">
        <v>0</v>
      </c>
      <c r="U2" s="8">
        <v>0</v>
      </c>
    </row>
    <row r="3" spans="1:21" x14ac:dyDescent="0.25">
      <c r="A3" s="12">
        <v>45471</v>
      </c>
      <c r="B3" s="8" t="s">
        <v>45</v>
      </c>
      <c r="C3" s="8" t="s">
        <v>49</v>
      </c>
      <c r="D3" s="10" t="s">
        <v>41</v>
      </c>
      <c r="E3" s="8" t="s">
        <v>198</v>
      </c>
      <c r="F3" s="10" t="s">
        <v>42</v>
      </c>
      <c r="G3" s="15">
        <v>71500</v>
      </c>
      <c r="H3" s="8" t="s">
        <v>51</v>
      </c>
      <c r="I3" s="8" t="s">
        <v>52</v>
      </c>
      <c r="J3" s="16">
        <v>0.42708333333333331</v>
      </c>
      <c r="K3" s="17">
        <v>0.40833333333333338</v>
      </c>
      <c r="L3" s="16">
        <v>0.4513888888888889</v>
      </c>
      <c r="M3" s="17">
        <v>0.46875</v>
      </c>
      <c r="N3" s="10" t="s">
        <v>239</v>
      </c>
      <c r="O3" s="10" t="s">
        <v>242</v>
      </c>
      <c r="P3" s="8">
        <v>523</v>
      </c>
      <c r="Q3" s="8">
        <v>558</v>
      </c>
      <c r="R3" s="8">
        <v>0</v>
      </c>
      <c r="S3" s="8">
        <v>0</v>
      </c>
      <c r="T3" s="8">
        <v>0</v>
      </c>
      <c r="U3" s="8">
        <v>0</v>
      </c>
    </row>
    <row r="4" spans="1:21" x14ac:dyDescent="0.25">
      <c r="A4" s="12">
        <v>45471</v>
      </c>
      <c r="B4" s="8" t="s">
        <v>39</v>
      </c>
      <c r="C4" s="10" t="s">
        <v>40</v>
      </c>
      <c r="D4" s="10" t="s">
        <v>41</v>
      </c>
      <c r="E4" s="10" t="s">
        <v>237</v>
      </c>
      <c r="F4" s="10" t="s">
        <v>42</v>
      </c>
      <c r="G4" s="15">
        <v>71500</v>
      </c>
      <c r="H4" s="10" t="s">
        <v>43</v>
      </c>
      <c r="I4" s="10" t="s">
        <v>44</v>
      </c>
      <c r="J4" s="3">
        <v>0.50347222222222221</v>
      </c>
      <c r="K4" s="14">
        <v>0.51736111111111105</v>
      </c>
      <c r="L4" s="3">
        <v>0.52777777777777779</v>
      </c>
      <c r="M4" s="14">
        <v>0.55625000000000002</v>
      </c>
      <c r="N4" s="10" t="s">
        <v>243</v>
      </c>
      <c r="O4" s="10" t="s">
        <v>57</v>
      </c>
      <c r="P4" s="10">
        <v>967</v>
      </c>
      <c r="Q4" s="10">
        <v>617</v>
      </c>
      <c r="R4" s="10">
        <v>0</v>
      </c>
      <c r="S4" s="10">
        <v>0</v>
      </c>
      <c r="T4" s="10">
        <v>0</v>
      </c>
      <c r="U4" s="10">
        <v>0</v>
      </c>
    </row>
    <row r="5" spans="1:21" x14ac:dyDescent="0.25">
      <c r="A5" s="12"/>
      <c r="B5" s="8"/>
      <c r="C5" s="8"/>
      <c r="D5" s="10"/>
      <c r="E5" s="8"/>
      <c r="F5" s="10"/>
      <c r="G5" s="15"/>
      <c r="H5" s="8"/>
      <c r="I5" s="8"/>
      <c r="J5" s="16"/>
      <c r="K5" s="17"/>
      <c r="L5" s="16"/>
      <c r="M5" s="17"/>
      <c r="N5" s="10"/>
      <c r="O5" s="10"/>
      <c r="P5" s="8"/>
      <c r="Q5" s="8"/>
      <c r="R5" s="8"/>
      <c r="S5" s="8"/>
      <c r="T5" s="8"/>
      <c r="U5" s="8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13AC3-E068-42E9-A8CB-A23A5A1F7E99}">
  <dimension ref="A1:U12"/>
  <sheetViews>
    <sheetView workbookViewId="0">
      <selection sqref="A1:XFD1"/>
    </sheetView>
  </sheetViews>
  <sheetFormatPr defaultRowHeight="15" x14ac:dyDescent="0.25"/>
  <cols>
    <col min="1" max="1" width="13.85546875" customWidth="1"/>
    <col min="2" max="2" width="25.42578125" customWidth="1"/>
    <col min="3" max="3" width="16.7109375" customWidth="1"/>
    <col min="5" max="5" width="10" customWidth="1"/>
    <col min="6" max="6" width="18.140625" customWidth="1"/>
    <col min="7" max="7" width="13.28515625" bestFit="1" customWidth="1"/>
    <col min="10" max="10" width="11" bestFit="1" customWidth="1"/>
    <col min="12" max="12" width="11.28515625" bestFit="1" customWidth="1"/>
    <col min="13" max="13" width="11.140625" bestFit="1" customWidth="1"/>
    <col min="14" max="14" width="15.85546875" customWidth="1"/>
    <col min="15" max="15" width="15.7109375" customWidth="1"/>
    <col min="17" max="17" width="10.140625" bestFit="1" customWidth="1"/>
    <col min="18" max="21" width="9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2" t="s">
        <v>244</v>
      </c>
      <c r="B2" s="8" t="s">
        <v>178</v>
      </c>
      <c r="C2" s="8" t="s">
        <v>245</v>
      </c>
      <c r="D2" s="8" t="s">
        <v>249</v>
      </c>
      <c r="E2" s="8" t="s">
        <v>249</v>
      </c>
      <c r="F2" s="10" t="s">
        <v>22</v>
      </c>
      <c r="G2" s="15">
        <v>2</v>
      </c>
      <c r="H2" s="8" t="s">
        <v>249</v>
      </c>
      <c r="I2" s="8" t="s">
        <v>249</v>
      </c>
      <c r="J2" s="16">
        <v>0.34027777777777773</v>
      </c>
      <c r="K2" s="16">
        <v>0.3611111111111111</v>
      </c>
      <c r="L2" s="16">
        <v>0.3611111111111111</v>
      </c>
      <c r="M2" s="17">
        <v>0.38541666666666669</v>
      </c>
      <c r="N2" s="8">
        <v>0</v>
      </c>
      <c r="O2" s="8" t="s">
        <v>176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</row>
    <row r="3" spans="1:21" x14ac:dyDescent="0.25">
      <c r="A3" s="12" t="s">
        <v>244</v>
      </c>
      <c r="B3" s="8" t="s">
        <v>248</v>
      </c>
      <c r="C3" s="8" t="s">
        <v>245</v>
      </c>
      <c r="D3" s="10" t="s">
        <v>246</v>
      </c>
      <c r="E3" s="8" t="s">
        <v>247</v>
      </c>
      <c r="F3" s="10" t="s">
        <v>22</v>
      </c>
      <c r="G3" s="15">
        <v>2</v>
      </c>
      <c r="H3" s="8" t="s">
        <v>247</v>
      </c>
      <c r="I3" s="8" t="s">
        <v>247</v>
      </c>
      <c r="J3" s="16">
        <v>0.34027777777777773</v>
      </c>
      <c r="K3" s="17">
        <v>0.3611111111111111</v>
      </c>
      <c r="L3" s="16">
        <v>0.3611111111111111</v>
      </c>
      <c r="M3" s="17">
        <v>0.38541666666666669</v>
      </c>
      <c r="N3" s="10">
        <v>0</v>
      </c>
      <c r="O3" s="8" t="s">
        <v>176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</row>
    <row r="4" spans="1:21" x14ac:dyDescent="0.25">
      <c r="A4" s="2">
        <v>45472</v>
      </c>
      <c r="B4" s="8" t="s">
        <v>213</v>
      </c>
      <c r="C4" s="10" t="s">
        <v>62</v>
      </c>
      <c r="D4" s="10" t="s">
        <v>214</v>
      </c>
      <c r="E4" s="10" t="s">
        <v>250</v>
      </c>
      <c r="F4" s="10" t="s">
        <v>64</v>
      </c>
      <c r="G4" s="15">
        <v>66000</v>
      </c>
      <c r="H4" s="10" t="s">
        <v>216</v>
      </c>
      <c r="I4" s="10" t="s">
        <v>217</v>
      </c>
      <c r="J4" s="3">
        <v>0.73263888888888884</v>
      </c>
      <c r="K4" s="14">
        <v>0.82986111111111116</v>
      </c>
      <c r="L4" s="3">
        <v>0.77430555555555547</v>
      </c>
      <c r="M4" s="14">
        <v>0.87361111111111101</v>
      </c>
      <c r="N4" s="10" t="s">
        <v>226</v>
      </c>
      <c r="O4" s="10" t="s">
        <v>251</v>
      </c>
      <c r="P4" s="10">
        <v>2068</v>
      </c>
      <c r="Q4" s="10">
        <v>1202</v>
      </c>
      <c r="R4" s="10">
        <v>0</v>
      </c>
      <c r="S4" s="10">
        <v>0</v>
      </c>
      <c r="T4" s="10">
        <v>0</v>
      </c>
      <c r="U4" s="10">
        <v>0</v>
      </c>
    </row>
    <row r="5" spans="1:21" x14ac:dyDescent="0.25">
      <c r="A5" s="12"/>
      <c r="B5" s="8"/>
      <c r="C5" s="10"/>
      <c r="D5" s="10"/>
      <c r="E5" s="10"/>
      <c r="F5" s="10"/>
      <c r="G5" s="15"/>
      <c r="H5" s="10"/>
      <c r="I5" s="10"/>
      <c r="J5" s="3"/>
      <c r="K5" s="14"/>
      <c r="L5" s="3"/>
      <c r="M5" s="14"/>
      <c r="N5" s="10"/>
      <c r="O5" s="10"/>
      <c r="P5" s="10"/>
      <c r="Q5" s="10"/>
      <c r="R5" s="10"/>
      <c r="S5" s="10"/>
      <c r="T5" s="10"/>
      <c r="U5" s="10"/>
    </row>
    <row r="11" spans="1:21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 spans="1:21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</sheetData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BD57E-365B-409F-BC01-8357F14962EF}">
  <dimension ref="A1:U4"/>
  <sheetViews>
    <sheetView workbookViewId="0">
      <selection activeCell="N3" sqref="N3"/>
    </sheetView>
  </sheetViews>
  <sheetFormatPr defaultRowHeight="15" x14ac:dyDescent="0.25"/>
  <cols>
    <col min="2" max="2" width="21.85546875" customWidth="1"/>
    <col min="3" max="3" width="16.42578125" customWidth="1"/>
    <col min="4" max="4" width="10.42578125" customWidth="1"/>
    <col min="5" max="5" width="11.140625" customWidth="1"/>
    <col min="6" max="6" width="19.140625" customWidth="1"/>
    <col min="7" max="7" width="10" customWidth="1"/>
    <col min="8" max="8" width="10.28515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45473</v>
      </c>
      <c r="B2" s="8" t="s">
        <v>252</v>
      </c>
      <c r="C2" s="8" t="s">
        <v>253</v>
      </c>
      <c r="D2" s="10" t="s">
        <v>254</v>
      </c>
      <c r="E2" s="8" t="s">
        <v>255</v>
      </c>
      <c r="F2" s="10" t="s">
        <v>32</v>
      </c>
      <c r="G2" s="21">
        <v>10659</v>
      </c>
      <c r="H2" s="8" t="s">
        <v>256</v>
      </c>
      <c r="I2" s="8" t="s">
        <v>256</v>
      </c>
      <c r="J2" s="16">
        <v>0.47569444444444442</v>
      </c>
      <c r="K2" s="17">
        <v>0.47916666666666669</v>
      </c>
      <c r="L2" s="16">
        <v>0.50347222222222221</v>
      </c>
      <c r="M2" s="17">
        <v>0.5083333333333333</v>
      </c>
      <c r="N2" s="1">
        <v>0</v>
      </c>
      <c r="O2" s="1">
        <v>1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2">
        <v>45473</v>
      </c>
      <c r="B3" s="8" t="s">
        <v>257</v>
      </c>
      <c r="C3" s="10" t="s">
        <v>258</v>
      </c>
      <c r="D3" s="10" t="s">
        <v>263</v>
      </c>
      <c r="E3" s="10" t="s">
        <v>249</v>
      </c>
      <c r="F3" s="10" t="s">
        <v>261</v>
      </c>
      <c r="G3" s="21">
        <v>930</v>
      </c>
      <c r="H3" s="10" t="s">
        <v>24</v>
      </c>
      <c r="I3" s="10" t="s">
        <v>24</v>
      </c>
      <c r="J3" s="3">
        <v>0.52083333333333337</v>
      </c>
      <c r="K3" s="14">
        <v>0.53125</v>
      </c>
      <c r="L3" s="3">
        <v>0.53472222222222221</v>
      </c>
      <c r="M3" s="14">
        <v>0.54861111111111105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2">
        <v>45473</v>
      </c>
      <c r="B4" s="8" t="s">
        <v>260</v>
      </c>
      <c r="C4" s="10" t="s">
        <v>259</v>
      </c>
      <c r="D4" s="10" t="s">
        <v>264</v>
      </c>
      <c r="E4" s="10" t="s">
        <v>247</v>
      </c>
      <c r="F4" s="10" t="s">
        <v>262</v>
      </c>
      <c r="G4" s="13">
        <v>540</v>
      </c>
      <c r="H4" s="10" t="s">
        <v>24</v>
      </c>
      <c r="I4" s="10" t="s">
        <v>24</v>
      </c>
      <c r="J4" s="3">
        <v>0.52083333333333337</v>
      </c>
      <c r="K4" s="14">
        <v>0.53333333333333333</v>
      </c>
      <c r="L4" s="3">
        <v>0.54166666666666663</v>
      </c>
      <c r="M4" s="14">
        <v>0.54722222222222217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8F02B-734C-4D20-8048-163E10685917}">
  <dimension ref="A1:U5"/>
  <sheetViews>
    <sheetView workbookViewId="0">
      <selection activeCell="L9" sqref="L9"/>
    </sheetView>
  </sheetViews>
  <sheetFormatPr defaultRowHeight="15" x14ac:dyDescent="0.25"/>
  <cols>
    <col min="2" max="2" width="26" customWidth="1"/>
    <col min="3" max="3" width="20.28515625" customWidth="1"/>
    <col min="5" max="5" width="9.7109375" customWidth="1"/>
    <col min="6" max="6" width="20.5703125" customWidth="1"/>
  </cols>
  <sheetData>
    <row r="1" spans="1:2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20"/>
      <c r="B2" s="19"/>
      <c r="C2" s="19"/>
      <c r="D2" s="19"/>
      <c r="E2" s="19"/>
      <c r="F2" s="19"/>
      <c r="G2" s="21"/>
      <c r="H2" s="19"/>
      <c r="I2" s="19"/>
      <c r="J2" s="23"/>
      <c r="K2" s="22"/>
      <c r="L2" s="23"/>
      <c r="M2" s="22"/>
      <c r="N2" s="19"/>
      <c r="O2" s="19"/>
      <c r="P2" s="19"/>
      <c r="Q2" s="19"/>
      <c r="R2" s="19"/>
      <c r="S2" s="19"/>
      <c r="T2" s="19"/>
      <c r="U2" s="19"/>
    </row>
    <row r="3" spans="1:21" x14ac:dyDescent="0.25">
      <c r="A3" s="20"/>
      <c r="B3" s="19"/>
      <c r="C3" s="19"/>
      <c r="D3" s="19"/>
      <c r="E3" s="19"/>
      <c r="F3" s="19"/>
      <c r="G3" s="21"/>
      <c r="H3" s="19"/>
      <c r="I3" s="19"/>
      <c r="J3" s="23"/>
      <c r="K3" s="22"/>
      <c r="L3" s="23"/>
      <c r="M3" s="22"/>
      <c r="N3" s="19"/>
      <c r="O3" s="19"/>
      <c r="P3" s="19"/>
      <c r="Q3" s="19"/>
      <c r="R3" s="19"/>
      <c r="S3" s="19"/>
      <c r="T3" s="19"/>
      <c r="U3" s="19"/>
    </row>
    <row r="4" spans="1:21" x14ac:dyDescent="0.25">
      <c r="A4" s="20"/>
      <c r="B4" s="19"/>
      <c r="C4" s="19"/>
      <c r="D4" s="19"/>
      <c r="E4" s="19"/>
      <c r="F4" s="19"/>
      <c r="G4" s="21"/>
      <c r="H4" s="19"/>
      <c r="I4" s="19"/>
      <c r="J4" s="23"/>
      <c r="K4" s="22"/>
      <c r="L4" s="23"/>
      <c r="M4" s="22"/>
      <c r="N4" s="22"/>
      <c r="O4" s="22"/>
      <c r="P4" s="22"/>
      <c r="Q4" s="19"/>
      <c r="R4" s="19"/>
      <c r="S4" s="19"/>
      <c r="T4" s="19"/>
      <c r="U4" s="19"/>
    </row>
    <row r="5" spans="1:21" x14ac:dyDescent="0.25">
      <c r="A5" s="20"/>
      <c r="B5" s="19"/>
      <c r="C5" s="19"/>
      <c r="D5" s="19"/>
      <c r="E5" s="19"/>
      <c r="F5" s="19"/>
      <c r="G5" s="19"/>
      <c r="H5" s="19"/>
      <c r="I5" s="19"/>
      <c r="J5" s="23"/>
      <c r="K5" s="22"/>
      <c r="L5" s="23"/>
      <c r="M5" s="22"/>
      <c r="N5" s="19"/>
      <c r="O5" s="19"/>
      <c r="P5" s="19"/>
      <c r="Q5" s="19"/>
      <c r="R5" s="19"/>
      <c r="S5" s="19"/>
      <c r="T5" s="19"/>
      <c r="U5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2024-07-01T09:57:16Z</dcterms:modified>
</cp:coreProperties>
</file>