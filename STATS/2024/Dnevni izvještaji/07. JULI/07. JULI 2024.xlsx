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3F84817A-5542-4EAC-8E0B-BA88CF7C49AC}" xr6:coauthVersionLast="37" xr6:coauthVersionMax="37" xr10:uidLastSave="{00000000-0000-0000-0000-000000000000}"/>
  <bookViews>
    <workbookView xWindow="0" yWindow="0" windowWidth="22260" windowHeight="12645" firstSheet="6" activeTab="30" xr2:uid="{00000000-000D-0000-FFFF-FFFF00000000}"/>
  </bookViews>
  <sheets>
    <sheet name="01" sheetId="1" r:id="rId1"/>
    <sheet name="02" sheetId="2" r:id="rId2"/>
    <sheet name="03" sheetId="3" r:id="rId3"/>
    <sheet name="04" sheetId="4" r:id="rId4"/>
    <sheet name="05" sheetId="5" r:id="rId5"/>
    <sheet name="06" sheetId="6" r:id="rId6"/>
    <sheet name="07" sheetId="7" r:id="rId7"/>
    <sheet name="08" sheetId="8" r:id="rId8"/>
    <sheet name="0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9" r:id="rId18"/>
    <sheet name="19" sheetId="20" r:id="rId19"/>
    <sheet name="20" sheetId="22" r:id="rId20"/>
    <sheet name="21" sheetId="23" r:id="rId21"/>
    <sheet name="22" sheetId="24" r:id="rId22"/>
    <sheet name="23" sheetId="25" r:id="rId23"/>
    <sheet name="24" sheetId="26" r:id="rId24"/>
    <sheet name="25" sheetId="28" r:id="rId25"/>
    <sheet name="26" sheetId="29" r:id="rId26"/>
    <sheet name="27" sheetId="31" r:id="rId27"/>
    <sheet name="28" sheetId="32" r:id="rId28"/>
    <sheet name="29" sheetId="33" r:id="rId29"/>
    <sheet name="30" sheetId="34" r:id="rId30"/>
    <sheet name="31" sheetId="35" r:id="rId3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31" l="1"/>
  <c r="N6" i="29" l="1"/>
</calcChain>
</file>

<file path=xl/sharedStrings.xml><?xml version="1.0" encoding="utf-8"?>
<sst xmlns="http://schemas.openxmlformats.org/spreadsheetml/2006/main" count="1593" uniqueCount="248">
  <si>
    <t>datum</t>
  </si>
  <si>
    <t>kompanija</t>
  </si>
  <si>
    <t>ruta</t>
  </si>
  <si>
    <t>tip a/c</t>
  </si>
  <si>
    <t>reg</t>
  </si>
  <si>
    <t>tip OPER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</si>
  <si>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</si>
  <si>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</si>
  <si>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</si>
  <si>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</si>
  <si>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</si>
  <si>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</si>
  <si>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</si>
  <si>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</si>
  <si>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</si>
  <si>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</si>
  <si>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</si>
  <si>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</si>
  <si>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</si>
  <si>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</si>
  <si>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</si>
  <si>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WIZZAIR HUNGARY LTD</t>
  </si>
  <si>
    <t>MLH-TZL-MLH</t>
  </si>
  <si>
    <t>A320</t>
  </si>
  <si>
    <t>SCHEDULED</t>
  </si>
  <si>
    <t>W64294</t>
  </si>
  <si>
    <t>W64293</t>
  </si>
  <si>
    <t>WIZZAIR MALTA LTD</t>
  </si>
  <si>
    <t>DTM-TZL-DTM</t>
  </si>
  <si>
    <t>W44298</t>
  </si>
  <si>
    <t>W44297</t>
  </si>
  <si>
    <t>FMM-TZL-FMM</t>
  </si>
  <si>
    <t>W44280</t>
  </si>
  <si>
    <t>W44279</t>
  </si>
  <si>
    <t>HA-LYL</t>
  </si>
  <si>
    <t>9H-WZW</t>
  </si>
  <si>
    <t>9H-WBO</t>
  </si>
  <si>
    <t>166+1 INF</t>
  </si>
  <si>
    <t>172+4 INF</t>
  </si>
  <si>
    <t>167+2 INF</t>
  </si>
  <si>
    <t>176+2 INF</t>
  </si>
  <si>
    <t>181+4 INF</t>
  </si>
  <si>
    <t>170+8 INF</t>
  </si>
  <si>
    <t>FREEBIRD AIRLINES</t>
  </si>
  <si>
    <t>AYT-TZL-AYT</t>
  </si>
  <si>
    <t>CHARTER</t>
  </si>
  <si>
    <t>FH821</t>
  </si>
  <si>
    <t>FH822</t>
  </si>
  <si>
    <t>TC-FHM</t>
  </si>
  <si>
    <t>179+3 INF</t>
  </si>
  <si>
    <t>180+1 INF</t>
  </si>
  <si>
    <t>9H-WZV</t>
  </si>
  <si>
    <t>176+6 INF</t>
  </si>
  <si>
    <t>180+5 INF</t>
  </si>
  <si>
    <t>172+3 INF</t>
  </si>
  <si>
    <t>9H-FHB</t>
  </si>
  <si>
    <t>180+10 INF</t>
  </si>
  <si>
    <t>176+4 INF</t>
  </si>
  <si>
    <t>TC-FHK</t>
  </si>
  <si>
    <t>ZAVOD ZA ZAVARIVANJE</t>
  </si>
  <si>
    <t>SA342J</t>
  </si>
  <si>
    <t>YU-HES</t>
  </si>
  <si>
    <t>HELICOPTER</t>
  </si>
  <si>
    <t>180+4 INF</t>
  </si>
  <si>
    <t>BEG-TZL-PALE</t>
  </si>
  <si>
    <t>156+4 INF</t>
  </si>
  <si>
    <t>9H-WBJ</t>
  </si>
  <si>
    <t>9H-WBQ</t>
  </si>
  <si>
    <t>9H-WDD</t>
  </si>
  <si>
    <t>-</t>
  </si>
  <si>
    <t>170+5 INF</t>
  </si>
  <si>
    <t>182+3 INF</t>
  </si>
  <si>
    <t>165+3 INF</t>
  </si>
  <si>
    <t>MGGP Aero Sp.Z.oo</t>
  </si>
  <si>
    <t>RZE-TZL</t>
  </si>
  <si>
    <t>SP-FPL</t>
  </si>
  <si>
    <t>NON-SCHEDULED</t>
  </si>
  <si>
    <t>P2006T</t>
  </si>
  <si>
    <t>180+8 INF</t>
  </si>
  <si>
    <t>RON</t>
  </si>
  <si>
    <t>160+1 INF</t>
  </si>
  <si>
    <t>TAILWIND AIRLINES</t>
  </si>
  <si>
    <t>B737</t>
  </si>
  <si>
    <t>TWI171F</t>
  </si>
  <si>
    <t>TWI172</t>
  </si>
  <si>
    <t>TC-TLA</t>
  </si>
  <si>
    <t>131+2 INF</t>
  </si>
  <si>
    <t>104+4 INF</t>
  </si>
  <si>
    <t>LQCG-TZL</t>
  </si>
  <si>
    <t>TZL-LQCG-TZL</t>
  </si>
  <si>
    <t>9H-WZS</t>
  </si>
  <si>
    <t>FAI</t>
  </si>
  <si>
    <t>TZL-GRZ</t>
  </si>
  <si>
    <t>NUE-TZL-LPI</t>
  </si>
  <si>
    <t>IFA1186</t>
  </si>
  <si>
    <t>D-CFAZ</t>
  </si>
  <si>
    <t>LERRJET 60</t>
  </si>
  <si>
    <t>174+5 INF</t>
  </si>
  <si>
    <t>173+7 INF</t>
  </si>
  <si>
    <t>181+2 INF</t>
  </si>
  <si>
    <t>169+1 INF</t>
  </si>
  <si>
    <t>TC-FHG</t>
  </si>
  <si>
    <t>181+0 INF</t>
  </si>
  <si>
    <t>178+3 INF</t>
  </si>
  <si>
    <t>Franconia air service</t>
  </si>
  <si>
    <t>ADB-TZL-NUE</t>
  </si>
  <si>
    <t>EA50</t>
  </si>
  <si>
    <t>D-IFPM</t>
  </si>
  <si>
    <t>GP</t>
  </si>
  <si>
    <t>GRZ-TZL</t>
  </si>
  <si>
    <t>181+5 INF</t>
  </si>
  <si>
    <t>161+2 INF</t>
  </si>
  <si>
    <t>186+4 INF</t>
  </si>
  <si>
    <t>TC-GMA</t>
  </si>
  <si>
    <t>179+4 INF</t>
  </si>
  <si>
    <t>AERO KLUB FENIX</t>
  </si>
  <si>
    <t>LQCG-TZL-LSZ</t>
  </si>
  <si>
    <t>C172F</t>
  </si>
  <si>
    <t>E7-CAR</t>
  </si>
  <si>
    <t>E7CAR</t>
  </si>
  <si>
    <t>179+6 INF</t>
  </si>
  <si>
    <t>ROP</t>
  </si>
  <si>
    <t>SMATSA</t>
  </si>
  <si>
    <t>OMO-TZ-OMO</t>
  </si>
  <si>
    <t>B350</t>
  </si>
  <si>
    <t>YUBTC</t>
  </si>
  <si>
    <t>TCFBV</t>
  </si>
  <si>
    <t>178+2 INF</t>
  </si>
  <si>
    <t>169+4 INF</t>
  </si>
  <si>
    <t>165+1 INF</t>
  </si>
  <si>
    <t>173+4 INF</t>
  </si>
  <si>
    <t>171+3 INF</t>
  </si>
  <si>
    <t>OMO-TZ-BEG</t>
  </si>
  <si>
    <t>TZL-LQCG</t>
  </si>
  <si>
    <t>169+2 INF</t>
  </si>
  <si>
    <t>LSZ-TZL-LQCG</t>
  </si>
  <si>
    <t>CREW ONLY</t>
  </si>
  <si>
    <t>TC-TLD</t>
  </si>
  <si>
    <t>TZL-TZL</t>
  </si>
  <si>
    <t>105+3 INF</t>
  </si>
  <si>
    <t xml:space="preserve">RAPID AVIATION </t>
  </si>
  <si>
    <t>INI-TZL-BEG</t>
  </si>
  <si>
    <t>C525</t>
  </si>
  <si>
    <t>T7-ACA</t>
  </si>
  <si>
    <t>93+1 INNF</t>
  </si>
  <si>
    <t>5.0</t>
  </si>
  <si>
    <t>B2B PRIVATE</t>
  </si>
  <si>
    <t>BEG-TZL-TREBINJE</t>
  </si>
  <si>
    <t>R66</t>
  </si>
  <si>
    <t>YUHNN</t>
  </si>
  <si>
    <t>LYMAL</t>
  </si>
  <si>
    <t>HALYL</t>
  </si>
  <si>
    <t>172+7 INF</t>
  </si>
  <si>
    <t>170+3 INF</t>
  </si>
  <si>
    <t>179+2 INF</t>
  </si>
  <si>
    <t>180+2 INF</t>
  </si>
  <si>
    <t>9H-WBP</t>
  </si>
  <si>
    <t>9H-WDA</t>
  </si>
  <si>
    <t>171+2 INF</t>
  </si>
  <si>
    <t>184+4 INF</t>
  </si>
  <si>
    <t>169+3 INF</t>
  </si>
  <si>
    <t>TC-GMB</t>
  </si>
  <si>
    <t>JAHORINA-TZL-BEG</t>
  </si>
  <si>
    <t>CANCELLED</t>
  </si>
  <si>
    <t>9H-WZT</t>
  </si>
  <si>
    <t>180+3 INF</t>
  </si>
  <si>
    <t>175+7 INF</t>
  </si>
  <si>
    <t>180+6 INF</t>
  </si>
  <si>
    <t>TZL-CLJ</t>
  </si>
  <si>
    <t>FERRY OUT</t>
  </si>
  <si>
    <t>W4801</t>
  </si>
  <si>
    <t>CNL</t>
  </si>
  <si>
    <t>168+4 INF</t>
  </si>
  <si>
    <t>Novelico Ltd.</t>
  </si>
  <si>
    <t>PFO-TZL-QEJ</t>
  </si>
  <si>
    <t>TBM9600</t>
  </si>
  <si>
    <t>T7LCNH</t>
  </si>
  <si>
    <t>NON SCHEDULED</t>
  </si>
  <si>
    <t>100+2 INF</t>
  </si>
  <si>
    <t>118+4 INF</t>
  </si>
  <si>
    <t>Air adriatic</t>
  </si>
  <si>
    <t>PSA-TZL</t>
  </si>
  <si>
    <t>C56X</t>
  </si>
  <si>
    <t>S5-BBC</t>
  </si>
  <si>
    <t>HA-LWV</t>
  </si>
  <si>
    <t>AIRADRIATIC</t>
  </si>
  <si>
    <t>S5BBC</t>
  </si>
  <si>
    <t>TZL-TIV</t>
  </si>
  <si>
    <t>171+6 INF</t>
  </si>
  <si>
    <t>178+8 INF</t>
  </si>
  <si>
    <t>180+5INF</t>
  </si>
  <si>
    <t>171+5 INF</t>
  </si>
  <si>
    <t>174+3 INF</t>
  </si>
  <si>
    <t>173+2 INF</t>
  </si>
  <si>
    <t>9H-WZU</t>
  </si>
  <si>
    <t>175+5 INF</t>
  </si>
  <si>
    <t>WIN AIR D.O.O.</t>
  </si>
  <si>
    <t>CHQ-TZL-ZAG</t>
  </si>
  <si>
    <t>9A-DWA</t>
  </si>
  <si>
    <t>177+4 INF</t>
  </si>
  <si>
    <t>QEJ-TZL-PFO</t>
  </si>
  <si>
    <t>TC-FHL</t>
  </si>
  <si>
    <t>SWIS AIR AMBULANCE</t>
  </si>
  <si>
    <t>ZRH-TZL-PSR</t>
  </si>
  <si>
    <t>CL605</t>
  </si>
  <si>
    <t>HBJWB</t>
  </si>
  <si>
    <t>SAZ61</t>
  </si>
  <si>
    <t>SAZ62</t>
  </si>
  <si>
    <t>175+6 INF</t>
  </si>
  <si>
    <t>176+8 INF</t>
  </si>
  <si>
    <t>177+6INF</t>
  </si>
  <si>
    <t>LY-GYM</t>
  </si>
  <si>
    <t>LOCAL FLIGHT</t>
  </si>
  <si>
    <t>GA</t>
  </si>
  <si>
    <t>AIR ADRIATIC</t>
  </si>
  <si>
    <t>TIV-TZL</t>
  </si>
  <si>
    <t>560XLS</t>
  </si>
  <si>
    <t>118+5 INF</t>
  </si>
  <si>
    <t>123+1 INF</t>
  </si>
  <si>
    <t>TZL-BER</t>
  </si>
  <si>
    <t>AIRPORT MALI LOŠINJ LTD</t>
  </si>
  <si>
    <t>BE9L</t>
  </si>
  <si>
    <t>9A-LAN</t>
  </si>
  <si>
    <t>ZQW-TZL-OMO</t>
  </si>
  <si>
    <t>9ALAN</t>
  </si>
  <si>
    <t>178+6 INF</t>
  </si>
  <si>
    <t>174+2 INF</t>
  </si>
  <si>
    <t>CREW</t>
  </si>
  <si>
    <t>OMO-TZL-ZQW</t>
  </si>
  <si>
    <t>165+2 INF</t>
  </si>
  <si>
    <t>SWISS AIR AMBULANCE</t>
  </si>
  <si>
    <t>MEDEVAC</t>
  </si>
  <si>
    <t>CL650</t>
  </si>
  <si>
    <t>HB-JWB</t>
  </si>
  <si>
    <t>177+3 INF</t>
  </si>
  <si>
    <t>ZRH-TZL-ZRH</t>
  </si>
  <si>
    <t>LQCG-TZL-RZE</t>
  </si>
  <si>
    <t>HB-JWA</t>
  </si>
  <si>
    <t>SAZ51</t>
  </si>
  <si>
    <t>SAZ52</t>
  </si>
  <si>
    <t>9H-WBV</t>
  </si>
  <si>
    <t>166+5 INF</t>
  </si>
  <si>
    <t>GLOBEAIR AG</t>
  </si>
  <si>
    <t>LNZ-TZL-TAT</t>
  </si>
  <si>
    <t>C510</t>
  </si>
  <si>
    <t>GAC13E/F</t>
  </si>
  <si>
    <t>GAC13E</t>
  </si>
  <si>
    <t>GAC13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</si>
</sst>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Garamond"/>
      <family val="1"/>
    </font>
    <font>
      <sz val="10"/>
      <color theme="1"/>
      <name val="Garamond"/>
      <family val="1"/>
    </font>
    <font>
      <sz val="10"/>
      <name val="Garamond"/>
      <family val="1"/>
    </font>
    <font>
      <b/>
      <sz val="10"/>
      <color theme="1"/>
      <name val="Garamond"/>
      <family val="1"/>
    </font>
    <font>
      <sz val="10"/>
      <name val="Garamond"/>
      <family val="1"/>
      <charset val="238"/>
    </font>
    <font>
      <sz val="10"/>
      <color theme="1"/>
      <name val="Garamond"/>
      <family val="1"/>
      <charset val="238"/>
    </font>
    <font>
      <b/>
      <sz val="10"/>
      <color theme="1"/>
      <name val="Garamond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20" fontId="2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20" fontId="4" fillId="0" borderId="0" xfId="1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6" fillId="0" borderId="0" xfId="1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20" fontId="8" fillId="0" borderId="0" xfId="0" applyNumberFormat="1" applyFont="1" applyAlignment="1">
      <alignment horizontal="center" vertical="center"/>
    </xf>
    <xf numFmtId="20" fontId="7" fillId="0" borderId="0" xfId="0" applyNumberFormat="1" applyFont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20" fontId="0" fillId="0" borderId="0" xfId="0" applyNumberFormat="1"/>
    <xf numFmtId="0" fontId="4" fillId="2" borderId="0" xfId="1" applyFont="1" applyFill="1" applyAlignment="1">
      <alignment horizontal="center" vertical="center"/>
    </xf>
    <xf numFmtId="20" fontId="3" fillId="2" borderId="0" xfId="0" applyNumberFormat="1" applyFont="1" applyFill="1" applyAlignment="1">
      <alignment horizontal="center" vertical="center"/>
    </xf>
    <xf numFmtId="0" fontId="0" fillId="2" borderId="0" xfId="0" applyFill="1"/>
    <xf numFmtId="0" fontId="0" fillId="0" borderId="0" xfId="0" applyAlignment="1"/>
    <xf numFmtId="0" fontId="0" fillId="0" borderId="0" xfId="0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20" fontId="2" fillId="3" borderId="0" xfId="1" applyNumberFormat="1" applyFont="1" applyFill="1" applyAlignment="1">
      <alignment horizontal="center" vertical="center"/>
    </xf>
    <xf numFmtId="20" fontId="4" fillId="3" borderId="0" xfId="1" applyNumberFormat="1" applyFont="1" applyFill="1" applyAlignment="1">
      <alignment horizontal="center" vertical="center"/>
    </xf>
    <xf numFmtId="20" fontId="2" fillId="4" borderId="0" xfId="1" applyNumberFormat="1" applyFont="1" applyFill="1" applyAlignment="1">
      <alignment horizontal="center" vertical="center"/>
    </xf>
    <xf numFmtId="20" fontId="4" fillId="4" borderId="0" xfId="1" applyNumberFormat="1" applyFont="1" applyFill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20" fontId="3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right"/>
    </xf>
  </cellXfs>
  <cellStyles count="2">
    <cellStyle name="Normal" xfId="0" builtinId="0"/>
    <cellStyle name="Normal 4" xfId="1" xr:uid="{C5E0554B-C6AC-471E-B6F9-33CE1ECB63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"/>
  <sheetViews>
    <sheetView workbookViewId="0">
      <selection activeCell="C30" sqref="C30"/>
    </sheetView>
  </sheetViews>
  <sheetFormatPr defaultRowHeight="15" x14ac:dyDescent="0.25"/>
  <cols>
    <col min="1" max="1" width="11.28515625" bestFit="1" customWidth="1"/>
    <col min="2" max="2" width="24.5703125" customWidth="1"/>
    <col min="3" max="3" width="17.7109375" customWidth="1"/>
    <col min="4" max="4" width="11" bestFit="1" customWidth="1"/>
    <col min="6" max="6" width="19.7109375" customWidth="1"/>
    <col min="7" max="7" width="9.28515625" bestFit="1" customWidth="1"/>
    <col min="9" max="9" width="9.7109375" bestFit="1" customWidth="1"/>
    <col min="10" max="10" width="11.140625" bestFit="1" customWidth="1"/>
    <col min="11" max="11" width="11" bestFit="1" customWidth="1"/>
    <col min="12" max="12" width="11.140625" bestFit="1" customWidth="1"/>
    <col min="13" max="13" width="11" bestFit="1" customWidth="1"/>
    <col min="14" max="14" width="18.42578125" bestFit="1" customWidth="1"/>
    <col min="15" max="15" width="13" customWidth="1"/>
    <col min="16" max="16" width="9.28515625" bestFit="1" customWidth="1"/>
    <col min="17" max="17" width="10.42578125" bestFit="1" customWidth="1"/>
    <col min="18" max="18" width="9.5703125" bestFit="1" customWidth="1"/>
    <col min="19" max="21" width="9.28515625" bestFit="1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s="4">
        <v>45474</v>
      </c>
      <c r="B2" s="2" t="s">
        <v>27</v>
      </c>
      <c r="C2" s="2" t="s">
        <v>31</v>
      </c>
      <c r="D2" s="3" t="s">
        <v>23</v>
      </c>
      <c r="E2" s="2" t="s">
        <v>35</v>
      </c>
      <c r="F2" s="3" t="s">
        <v>24</v>
      </c>
      <c r="G2" s="6">
        <v>71500</v>
      </c>
      <c r="H2" s="2" t="s">
        <v>32</v>
      </c>
      <c r="I2" s="2" t="s">
        <v>33</v>
      </c>
      <c r="J2" s="7">
        <v>0.42708333333333331</v>
      </c>
      <c r="K2" s="8">
        <v>0.42083333333333334</v>
      </c>
      <c r="L2" s="7">
        <v>0.4513888888888889</v>
      </c>
      <c r="M2" s="8">
        <v>0.46249999999999997</v>
      </c>
      <c r="N2" s="3" t="s">
        <v>38</v>
      </c>
      <c r="O2" s="3" t="s">
        <v>37</v>
      </c>
      <c r="P2" s="3">
        <v>735</v>
      </c>
      <c r="Q2" s="3">
        <v>464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4">
        <v>45474</v>
      </c>
      <c r="B3" s="2" t="s">
        <v>21</v>
      </c>
      <c r="C3" s="3" t="s">
        <v>22</v>
      </c>
      <c r="D3" s="3" t="s">
        <v>23</v>
      </c>
      <c r="E3" s="3" t="s">
        <v>34</v>
      </c>
      <c r="F3" s="3" t="s">
        <v>24</v>
      </c>
      <c r="G3" s="6">
        <v>71500</v>
      </c>
      <c r="H3" s="3" t="s">
        <v>25</v>
      </c>
      <c r="I3" s="3" t="s">
        <v>26</v>
      </c>
      <c r="J3" s="1">
        <v>0.50347222222222221</v>
      </c>
      <c r="K3" s="5">
        <v>0.51388888888888895</v>
      </c>
      <c r="L3" s="1">
        <v>0.52777777777777779</v>
      </c>
      <c r="M3" s="5">
        <v>0.60625000000000007</v>
      </c>
      <c r="N3" s="3" t="s">
        <v>39</v>
      </c>
      <c r="O3" s="3" t="s">
        <v>40</v>
      </c>
      <c r="P3" s="2">
        <v>829</v>
      </c>
      <c r="Q3" s="2">
        <v>793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4">
        <v>45474</v>
      </c>
      <c r="B4" s="2" t="s">
        <v>27</v>
      </c>
      <c r="C4" s="2" t="s">
        <v>28</v>
      </c>
      <c r="D4" s="3" t="s">
        <v>23</v>
      </c>
      <c r="E4" s="2" t="s">
        <v>36</v>
      </c>
      <c r="F4" s="3" t="s">
        <v>24</v>
      </c>
      <c r="G4" s="6">
        <v>71500</v>
      </c>
      <c r="H4" s="2" t="s">
        <v>29</v>
      </c>
      <c r="I4" s="2" t="s">
        <v>30</v>
      </c>
      <c r="J4" s="7">
        <v>0.72222222222222221</v>
      </c>
      <c r="K4" s="8">
        <v>0.71944444444444444</v>
      </c>
      <c r="L4" s="7">
        <v>0.74305555555555547</v>
      </c>
      <c r="M4" s="8">
        <v>0.75624999999999998</v>
      </c>
      <c r="N4" s="3" t="s">
        <v>41</v>
      </c>
      <c r="O4" s="3" t="s">
        <v>42</v>
      </c>
      <c r="P4" s="2">
        <v>1547</v>
      </c>
      <c r="Q4" s="3">
        <v>830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4"/>
      <c r="B5" s="2"/>
      <c r="C5" s="3"/>
      <c r="D5" s="3"/>
      <c r="E5" s="3"/>
      <c r="F5" s="3"/>
      <c r="G5" s="6"/>
      <c r="H5" s="3"/>
      <c r="I5" s="3"/>
      <c r="J5" s="1"/>
      <c r="K5" s="5"/>
      <c r="L5" s="1"/>
      <c r="M5" s="5"/>
      <c r="N5" s="3"/>
      <c r="O5" s="3"/>
      <c r="P5" s="3"/>
      <c r="Q5" s="3"/>
      <c r="R5" s="3"/>
      <c r="S5" s="3"/>
      <c r="T5" s="3"/>
      <c r="U5" s="3"/>
    </row>
    <row r="6" spans="1:21" x14ac:dyDescent="0.25">
      <c r="A6" s="9"/>
      <c r="B6" s="2"/>
      <c r="C6" s="2"/>
      <c r="D6" s="2"/>
      <c r="E6" s="2"/>
      <c r="F6" s="2"/>
      <c r="G6" s="6"/>
      <c r="H6" s="2"/>
      <c r="I6" s="2"/>
      <c r="J6" s="7"/>
      <c r="K6" s="8"/>
      <c r="L6" s="7"/>
      <c r="M6" s="8"/>
      <c r="N6" s="2"/>
      <c r="O6" s="2"/>
      <c r="P6" s="2"/>
      <c r="Q6" s="2"/>
      <c r="R6" s="2"/>
      <c r="S6" s="2"/>
      <c r="T6" s="2"/>
      <c r="U6" s="2"/>
    </row>
    <row r="7" spans="1:21" x14ac:dyDescent="0.25">
      <c r="A7" s="9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3748B-A8C1-4012-BF4A-629D1A9A7539}">
  <dimension ref="A1:U4"/>
  <sheetViews>
    <sheetView workbookViewId="0">
      <selection sqref="A1:XFD2"/>
    </sheetView>
  </sheetViews>
  <sheetFormatPr defaultRowHeight="15" x14ac:dyDescent="0.25"/>
  <cols>
    <col min="2" max="2" width="19" customWidth="1"/>
    <col min="3" max="3" width="14.85546875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s="4">
        <v>45475</v>
      </c>
      <c r="B2" s="2" t="s">
        <v>43</v>
      </c>
      <c r="C2" s="2" t="s">
        <v>44</v>
      </c>
      <c r="D2" s="3" t="s">
        <v>23</v>
      </c>
      <c r="E2" s="2" t="s">
        <v>48</v>
      </c>
      <c r="F2" s="3" t="s">
        <v>45</v>
      </c>
      <c r="G2" s="6">
        <v>77000</v>
      </c>
      <c r="H2" s="2" t="s">
        <v>46</v>
      </c>
      <c r="I2" s="2" t="s">
        <v>47</v>
      </c>
      <c r="J2" s="7">
        <v>0.3298611111111111</v>
      </c>
      <c r="K2" s="8">
        <v>0.35416666666666669</v>
      </c>
      <c r="L2" s="7">
        <v>0.37152777777777773</v>
      </c>
      <c r="M2" s="8">
        <v>0.40347222222222223</v>
      </c>
      <c r="N2" s="3" t="s">
        <v>49</v>
      </c>
      <c r="O2" s="3" t="s">
        <v>50</v>
      </c>
      <c r="P2" s="3">
        <v>2626</v>
      </c>
      <c r="Q2" s="3">
        <v>2226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4"/>
      <c r="B3" s="2"/>
      <c r="C3" s="3"/>
      <c r="D3" s="3"/>
      <c r="E3" s="3"/>
      <c r="F3" s="3"/>
      <c r="G3" s="6"/>
      <c r="H3" s="3"/>
      <c r="I3" s="3"/>
      <c r="J3" s="1"/>
      <c r="K3" s="5"/>
      <c r="L3" s="1"/>
      <c r="M3" s="5"/>
      <c r="N3" s="3"/>
      <c r="O3" s="3"/>
      <c r="P3" s="2"/>
      <c r="Q3" s="2"/>
      <c r="R3" s="2"/>
      <c r="S3" s="2"/>
      <c r="T3" s="2"/>
      <c r="U3" s="2"/>
    </row>
    <row r="4" spans="1:21" x14ac:dyDescent="0.25">
      <c r="A4" s="4"/>
      <c r="B4" s="2"/>
      <c r="C4" s="2"/>
      <c r="D4" s="3"/>
      <c r="E4" s="2"/>
      <c r="F4" s="3"/>
      <c r="G4" s="6"/>
      <c r="H4" s="2"/>
      <c r="I4" s="2"/>
      <c r="J4" s="7"/>
      <c r="K4" s="8"/>
      <c r="L4" s="7"/>
      <c r="M4" s="8"/>
      <c r="N4" s="3"/>
      <c r="O4" s="3"/>
      <c r="P4" s="2"/>
      <c r="Q4" s="3"/>
      <c r="R4" s="3"/>
      <c r="S4" s="3"/>
      <c r="T4" s="3"/>
      <c r="U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12E55-EAF5-40C6-9E2E-0716E4458C37}">
  <dimension ref="A1:U11"/>
  <sheetViews>
    <sheetView workbookViewId="0">
      <selection activeCell="C36" sqref="C36"/>
    </sheetView>
  </sheetViews>
  <sheetFormatPr defaultRowHeight="15" x14ac:dyDescent="0.25"/>
  <cols>
    <col min="1" max="1" width="11.28515625" bestFit="1" customWidth="1"/>
    <col min="2" max="2" width="24.5703125" customWidth="1"/>
    <col min="3" max="3" width="17.7109375" customWidth="1"/>
    <col min="4" max="4" width="11" bestFit="1" customWidth="1"/>
    <col min="6" max="6" width="19.7109375" customWidth="1"/>
    <col min="7" max="7" width="9.28515625" bestFit="1" customWidth="1"/>
    <col min="9" max="9" width="9.7109375" bestFit="1" customWidth="1"/>
    <col min="10" max="10" width="11.140625" bestFit="1" customWidth="1"/>
    <col min="11" max="11" width="11" bestFit="1" customWidth="1"/>
    <col min="12" max="12" width="11.140625" bestFit="1" customWidth="1"/>
    <col min="13" max="13" width="11" bestFit="1" customWidth="1"/>
    <col min="14" max="14" width="18.42578125" bestFit="1" customWidth="1"/>
    <col min="15" max="15" width="13" customWidth="1"/>
    <col min="16" max="16" width="9.28515625" bestFit="1" customWidth="1"/>
    <col min="17" max="17" width="10.42578125" bestFit="1" customWidth="1"/>
    <col min="18" max="18" width="9.5703125" bestFit="1" customWidth="1"/>
    <col min="19" max="21" width="9.28515625" bestFit="1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s="4">
        <v>45476</v>
      </c>
      <c r="B2" s="2" t="s">
        <v>27</v>
      </c>
      <c r="C2" s="2" t="s">
        <v>31</v>
      </c>
      <c r="D2" s="3" t="s">
        <v>23</v>
      </c>
      <c r="E2" s="2" t="s">
        <v>51</v>
      </c>
      <c r="F2" s="3" t="s">
        <v>24</v>
      </c>
      <c r="G2" s="6">
        <v>71500</v>
      </c>
      <c r="H2" s="2" t="s">
        <v>32</v>
      </c>
      <c r="I2" s="2" t="s">
        <v>33</v>
      </c>
      <c r="J2" s="7">
        <v>0.41666666666666669</v>
      </c>
      <c r="K2" s="8">
        <v>0.41388888888888892</v>
      </c>
      <c r="L2" s="7">
        <v>0.44097222222222227</v>
      </c>
      <c r="M2" s="8">
        <v>0.46666666666666662</v>
      </c>
      <c r="N2" s="3" t="s">
        <v>52</v>
      </c>
      <c r="O2" s="3" t="s">
        <v>40</v>
      </c>
      <c r="P2" s="3">
        <v>647</v>
      </c>
      <c r="Q2" s="3">
        <v>663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4">
        <v>45476</v>
      </c>
      <c r="B3" s="2" t="s">
        <v>27</v>
      </c>
      <c r="C3" s="2" t="s">
        <v>28</v>
      </c>
      <c r="D3" s="3" t="s">
        <v>23</v>
      </c>
      <c r="E3" s="2" t="s">
        <v>36</v>
      </c>
      <c r="F3" s="3" t="s">
        <v>24</v>
      </c>
      <c r="G3" s="6">
        <v>71500</v>
      </c>
      <c r="H3" s="2" t="s">
        <v>29</v>
      </c>
      <c r="I3" s="2" t="s">
        <v>30</v>
      </c>
      <c r="J3" s="7">
        <v>0.72222222222222221</v>
      </c>
      <c r="K3" s="8">
        <v>0.75694444444444453</v>
      </c>
      <c r="L3" s="7">
        <v>0.74305555555555547</v>
      </c>
      <c r="M3" s="8">
        <v>0.79305555555555562</v>
      </c>
      <c r="N3" s="3" t="s">
        <v>53</v>
      </c>
      <c r="O3" s="3" t="s">
        <v>54</v>
      </c>
      <c r="P3" s="2">
        <v>1144</v>
      </c>
      <c r="Q3" s="3">
        <v>799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4"/>
      <c r="B4" s="2"/>
      <c r="C4" s="3"/>
      <c r="D4" s="3"/>
      <c r="E4" s="3"/>
      <c r="F4" s="3"/>
      <c r="G4" s="6"/>
      <c r="H4" s="3"/>
      <c r="I4" s="3"/>
      <c r="J4" s="1"/>
      <c r="K4" s="5"/>
      <c r="L4" s="1"/>
      <c r="M4" s="5"/>
      <c r="N4" s="3"/>
      <c r="O4" s="3"/>
      <c r="P4" s="3"/>
      <c r="Q4" s="3"/>
      <c r="R4" s="3"/>
      <c r="S4" s="3"/>
      <c r="T4" s="3"/>
      <c r="U4" s="3"/>
    </row>
    <row r="5" spans="1:21" x14ac:dyDescent="0.25">
      <c r="A5" s="9"/>
      <c r="B5" s="2"/>
      <c r="C5" s="2"/>
      <c r="D5" s="2"/>
      <c r="E5" s="2"/>
      <c r="F5" s="2"/>
      <c r="G5" s="6"/>
      <c r="H5" s="2"/>
      <c r="I5" s="2"/>
      <c r="J5" s="7"/>
      <c r="K5" s="8"/>
      <c r="L5" s="7"/>
      <c r="M5" s="8"/>
      <c r="N5" s="2"/>
      <c r="O5" s="2"/>
      <c r="P5" s="2"/>
      <c r="Q5" s="2"/>
      <c r="R5" s="2"/>
      <c r="S5" s="2"/>
      <c r="T5" s="2"/>
      <c r="U5" s="2"/>
    </row>
    <row r="6" spans="1:21" x14ac:dyDescent="0.25">
      <c r="A6" s="9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0A378-6149-47F0-B271-C1E203BDFCE3}">
  <dimension ref="A1:U4"/>
  <sheetViews>
    <sheetView workbookViewId="0">
      <selection sqref="A1:XFD2"/>
    </sheetView>
  </sheetViews>
  <sheetFormatPr defaultRowHeight="15" x14ac:dyDescent="0.25"/>
  <cols>
    <col min="2" max="2" width="23.140625" customWidth="1"/>
    <col min="3" max="3" width="19.7109375" customWidth="1"/>
    <col min="5" max="5" width="12.42578125" customWidth="1"/>
    <col min="6" max="6" width="12.5703125" customWidth="1"/>
    <col min="7" max="7" width="17.140625" customWidth="1"/>
    <col min="14" max="14" width="19.5703125" customWidth="1"/>
    <col min="15" max="15" width="16.28515625" customWidth="1"/>
    <col min="16" max="16" width="11.140625" customWidth="1"/>
    <col min="17" max="17" width="12.42578125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s="4">
        <v>45477</v>
      </c>
      <c r="B2" s="2" t="s">
        <v>43</v>
      </c>
      <c r="C2" s="2" t="s">
        <v>44</v>
      </c>
      <c r="D2" s="2" t="s">
        <v>23</v>
      </c>
      <c r="E2" s="2" t="s">
        <v>55</v>
      </c>
      <c r="F2" s="3" t="s">
        <v>45</v>
      </c>
      <c r="G2" s="6">
        <v>77000</v>
      </c>
      <c r="H2" s="2" t="s">
        <v>46</v>
      </c>
      <c r="I2" s="2" t="s">
        <v>47</v>
      </c>
      <c r="J2" s="7">
        <v>0.72569444444444453</v>
      </c>
      <c r="K2" s="8">
        <v>0.81527777777777777</v>
      </c>
      <c r="L2" s="7">
        <v>0.76041666666666663</v>
      </c>
      <c r="M2" s="8">
        <v>0.85625000000000007</v>
      </c>
      <c r="N2" s="2" t="s">
        <v>56</v>
      </c>
      <c r="O2" s="2" t="s">
        <v>57</v>
      </c>
      <c r="P2" s="2">
        <v>2127</v>
      </c>
      <c r="Q2" s="2">
        <v>2256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4"/>
      <c r="B3" s="2"/>
      <c r="C3" s="3"/>
      <c r="D3" s="3"/>
      <c r="E3" s="3"/>
      <c r="F3" s="3"/>
      <c r="G3" s="6"/>
      <c r="H3" s="3"/>
      <c r="I3" s="3"/>
      <c r="J3" s="1"/>
      <c r="K3" s="5"/>
      <c r="L3" s="1"/>
      <c r="M3" s="5"/>
      <c r="N3" s="3"/>
      <c r="O3" s="3"/>
      <c r="P3" s="3"/>
      <c r="Q3" s="3"/>
      <c r="R3" s="3"/>
      <c r="S3" s="3"/>
      <c r="T3" s="3"/>
      <c r="U3" s="3"/>
    </row>
    <row r="4" spans="1:21" x14ac:dyDescent="0.25">
      <c r="A4" s="10"/>
      <c r="B4" s="11"/>
      <c r="C4" s="11"/>
      <c r="D4" s="11"/>
      <c r="E4" s="11"/>
      <c r="F4" s="11"/>
      <c r="G4" s="12"/>
      <c r="H4" s="11"/>
      <c r="I4" s="11"/>
      <c r="J4" s="13"/>
      <c r="K4" s="14"/>
      <c r="L4" s="13"/>
      <c r="M4" s="14"/>
      <c r="N4" s="11"/>
      <c r="O4" s="11"/>
      <c r="P4" s="11"/>
      <c r="Q4" s="11"/>
      <c r="R4" s="11"/>
      <c r="S4" s="11"/>
      <c r="T4" s="11"/>
      <c r="U4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48E56-8189-4C84-B281-80662542ED3F}">
  <dimension ref="A1:U8"/>
  <sheetViews>
    <sheetView workbookViewId="0">
      <selection activeCell="B8" sqref="B8:U8"/>
    </sheetView>
  </sheetViews>
  <sheetFormatPr defaultRowHeight="15" x14ac:dyDescent="0.25"/>
  <cols>
    <col min="2" max="2" width="27.85546875" customWidth="1"/>
    <col min="3" max="3" width="17.42578125" customWidth="1"/>
    <col min="5" max="5" width="11.7109375" customWidth="1"/>
    <col min="6" max="6" width="19.85546875" customWidth="1"/>
    <col min="14" max="14" width="18.28515625" customWidth="1"/>
    <col min="15" max="15" width="16.7109375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s="4">
        <v>45478</v>
      </c>
      <c r="B2" s="2" t="s">
        <v>43</v>
      </c>
      <c r="C2" s="2" t="s">
        <v>44</v>
      </c>
      <c r="D2" s="2" t="s">
        <v>23</v>
      </c>
      <c r="E2" s="2" t="s">
        <v>58</v>
      </c>
      <c r="F2" s="3" t="s">
        <v>45</v>
      </c>
      <c r="G2" s="6">
        <v>77000</v>
      </c>
      <c r="H2" s="2" t="s">
        <v>46</v>
      </c>
      <c r="I2" s="2" t="s">
        <v>47</v>
      </c>
      <c r="J2" s="7">
        <v>0.3298611111111111</v>
      </c>
      <c r="K2" s="8">
        <v>0.33402777777777781</v>
      </c>
      <c r="L2" s="7">
        <v>0.37152777777777773</v>
      </c>
      <c r="M2" s="8">
        <v>0.3756944444444445</v>
      </c>
      <c r="N2" s="2" t="s">
        <v>63</v>
      </c>
      <c r="O2" s="2" t="s">
        <v>65</v>
      </c>
      <c r="P2" s="2">
        <v>2587</v>
      </c>
      <c r="Q2" s="2">
        <v>1963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4">
        <v>45478</v>
      </c>
      <c r="B3" s="2" t="s">
        <v>27</v>
      </c>
      <c r="C3" s="2" t="s">
        <v>31</v>
      </c>
      <c r="D3" s="3" t="s">
        <v>23</v>
      </c>
      <c r="E3" s="2" t="s">
        <v>66</v>
      </c>
      <c r="F3" s="3" t="s">
        <v>24</v>
      </c>
      <c r="G3" s="6">
        <v>71500</v>
      </c>
      <c r="H3" s="2" t="s">
        <v>32</v>
      </c>
      <c r="I3" s="2" t="s">
        <v>33</v>
      </c>
      <c r="J3" s="7">
        <v>0.42708333333333331</v>
      </c>
      <c r="K3" s="8">
        <v>0.41944444444444445</v>
      </c>
      <c r="L3" s="7">
        <v>0.4513888888888889</v>
      </c>
      <c r="M3" s="8">
        <v>0.45763888888888887</v>
      </c>
      <c r="N3" s="3" t="s">
        <v>52</v>
      </c>
      <c r="O3" s="3" t="s">
        <v>70</v>
      </c>
      <c r="P3" s="3">
        <v>875</v>
      </c>
      <c r="Q3" s="3">
        <v>603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4">
        <v>45478</v>
      </c>
      <c r="B4" s="2" t="s">
        <v>21</v>
      </c>
      <c r="C4" s="3" t="s">
        <v>22</v>
      </c>
      <c r="D4" s="3" t="s">
        <v>23</v>
      </c>
      <c r="E4" s="3" t="s">
        <v>67</v>
      </c>
      <c r="F4" s="3" t="s">
        <v>24</v>
      </c>
      <c r="G4" s="6">
        <v>71500</v>
      </c>
      <c r="H4" s="3" t="s">
        <v>25</v>
      </c>
      <c r="I4" s="3" t="s">
        <v>26</v>
      </c>
      <c r="J4" s="1">
        <v>0.50347222222222221</v>
      </c>
      <c r="K4" s="5">
        <v>0.53541666666666665</v>
      </c>
      <c r="L4" s="1">
        <v>0.52777777777777779</v>
      </c>
      <c r="M4" s="5">
        <v>0.57916666666666672</v>
      </c>
      <c r="N4" s="3" t="s">
        <v>71</v>
      </c>
      <c r="O4" s="3" t="s">
        <v>72</v>
      </c>
      <c r="P4" s="2">
        <v>1025</v>
      </c>
      <c r="Q4" s="2">
        <v>793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4">
        <v>45478</v>
      </c>
      <c r="B5" s="2" t="s">
        <v>27</v>
      </c>
      <c r="C5" s="2" t="s">
        <v>28</v>
      </c>
      <c r="D5" s="3" t="s">
        <v>23</v>
      </c>
      <c r="E5" s="2" t="s">
        <v>68</v>
      </c>
      <c r="F5" s="3" t="s">
        <v>24</v>
      </c>
      <c r="G5" s="6">
        <v>71500</v>
      </c>
      <c r="H5" s="2" t="s">
        <v>29</v>
      </c>
      <c r="I5" s="2" t="s">
        <v>30</v>
      </c>
      <c r="J5" s="7">
        <v>0.72222222222222221</v>
      </c>
      <c r="K5" s="8">
        <v>0.75</v>
      </c>
      <c r="L5" s="7">
        <v>0.74305555555555547</v>
      </c>
      <c r="M5" s="18"/>
      <c r="N5" s="3" t="s">
        <v>78</v>
      </c>
      <c r="O5" s="17"/>
      <c r="P5" s="2">
        <v>1288</v>
      </c>
      <c r="Q5" s="17"/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4">
        <v>45478</v>
      </c>
      <c r="B6" s="2" t="s">
        <v>59</v>
      </c>
      <c r="C6" s="2" t="s">
        <v>64</v>
      </c>
      <c r="D6" s="2" t="s">
        <v>60</v>
      </c>
      <c r="E6" s="2" t="s">
        <v>61</v>
      </c>
      <c r="F6" s="3" t="s">
        <v>62</v>
      </c>
      <c r="G6" s="6">
        <v>1900</v>
      </c>
      <c r="H6" s="2" t="s">
        <v>61</v>
      </c>
      <c r="I6" s="2" t="s">
        <v>61</v>
      </c>
      <c r="J6" s="7">
        <v>0.42708333333333331</v>
      </c>
      <c r="K6" s="8">
        <v>0.42708333333333331</v>
      </c>
      <c r="L6" s="7">
        <v>0.4375</v>
      </c>
      <c r="M6" s="8">
        <v>0.44375000000000003</v>
      </c>
      <c r="N6" s="3">
        <v>4</v>
      </c>
      <c r="O6" s="3">
        <v>4</v>
      </c>
      <c r="P6" s="2" t="s">
        <v>69</v>
      </c>
      <c r="Q6" s="2" t="s">
        <v>69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4">
        <v>45478</v>
      </c>
      <c r="B7" s="2" t="s">
        <v>59</v>
      </c>
      <c r="C7" s="2" t="s">
        <v>64</v>
      </c>
      <c r="D7" s="2" t="s">
        <v>60</v>
      </c>
      <c r="E7" s="2" t="s">
        <v>61</v>
      </c>
      <c r="F7" s="3" t="s">
        <v>62</v>
      </c>
      <c r="G7" s="6">
        <v>1900</v>
      </c>
      <c r="H7" s="2" t="s">
        <v>61</v>
      </c>
      <c r="I7" s="2" t="s">
        <v>61</v>
      </c>
      <c r="J7" s="7">
        <v>0.66666666666666663</v>
      </c>
      <c r="K7" s="8">
        <v>0.65972222222222221</v>
      </c>
      <c r="L7" s="7">
        <v>0.6875</v>
      </c>
      <c r="M7" s="8">
        <v>0.68055555555555547</v>
      </c>
      <c r="N7" s="3">
        <v>3</v>
      </c>
      <c r="O7" s="3">
        <v>3</v>
      </c>
      <c r="P7" s="2" t="s">
        <v>69</v>
      </c>
      <c r="Q7" s="2" t="s">
        <v>69</v>
      </c>
      <c r="R7" s="2">
        <v>0</v>
      </c>
      <c r="S7" s="2">
        <v>0</v>
      </c>
      <c r="T7" s="2">
        <v>0</v>
      </c>
      <c r="U7" s="2">
        <v>0</v>
      </c>
    </row>
    <row r="8" spans="1:21" x14ac:dyDescent="0.25">
      <c r="A8" s="4">
        <v>45478</v>
      </c>
      <c r="B8" s="2" t="s">
        <v>73</v>
      </c>
      <c r="C8" s="2" t="s">
        <v>74</v>
      </c>
      <c r="D8" s="15" t="s">
        <v>77</v>
      </c>
      <c r="E8" s="15" t="s">
        <v>75</v>
      </c>
      <c r="F8" s="15" t="s">
        <v>76</v>
      </c>
      <c r="G8" s="6">
        <v>2</v>
      </c>
      <c r="H8" s="15" t="s">
        <v>75</v>
      </c>
      <c r="I8" s="15" t="s">
        <v>75</v>
      </c>
      <c r="J8" s="16">
        <v>0.65972222222222221</v>
      </c>
      <c r="K8" s="16">
        <v>0.65625</v>
      </c>
      <c r="L8" s="19"/>
      <c r="M8" s="19"/>
      <c r="N8" s="3">
        <v>0</v>
      </c>
      <c r="O8" s="19"/>
      <c r="P8" s="2">
        <v>0</v>
      </c>
      <c r="Q8" s="19"/>
      <c r="R8" s="2">
        <v>0</v>
      </c>
      <c r="S8" s="2">
        <v>0</v>
      </c>
      <c r="T8" s="2">
        <v>0</v>
      </c>
      <c r="U8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88161-91A5-49F2-B932-841B45CC7AD6}">
  <dimension ref="A1:U13"/>
  <sheetViews>
    <sheetView workbookViewId="0">
      <selection activeCell="C22" sqref="C22"/>
    </sheetView>
  </sheetViews>
  <sheetFormatPr defaultRowHeight="15" x14ac:dyDescent="0.25"/>
  <cols>
    <col min="1" max="1" width="11.28515625" bestFit="1" customWidth="1"/>
    <col min="2" max="2" width="26.5703125" customWidth="1"/>
    <col min="3" max="3" width="16.28515625" customWidth="1"/>
    <col min="4" max="4" width="12.5703125" customWidth="1"/>
    <col min="5" max="5" width="11.7109375" customWidth="1"/>
    <col min="6" max="6" width="20.28515625" customWidth="1"/>
    <col min="7" max="7" width="9.28515625" bestFit="1" customWidth="1"/>
    <col min="8" max="8" width="14.28515625" customWidth="1"/>
    <col min="9" max="9" width="11.28515625" customWidth="1"/>
    <col min="10" max="10" width="11" bestFit="1" customWidth="1"/>
    <col min="11" max="11" width="10.85546875" bestFit="1" customWidth="1"/>
    <col min="12" max="12" width="11.140625" bestFit="1" customWidth="1"/>
    <col min="13" max="13" width="11" bestFit="1" customWidth="1"/>
    <col min="14" max="14" width="14.42578125" customWidth="1"/>
    <col min="15" max="15" width="15.85546875" customWidth="1"/>
    <col min="16" max="21" width="9.28515625" bestFit="1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s="4">
        <v>45479</v>
      </c>
      <c r="B2" s="2" t="s">
        <v>27</v>
      </c>
      <c r="C2" s="2" t="s">
        <v>28</v>
      </c>
      <c r="D2" s="3" t="s">
        <v>23</v>
      </c>
      <c r="E2" s="2" t="s">
        <v>68</v>
      </c>
      <c r="F2" s="3" t="s">
        <v>24</v>
      </c>
      <c r="G2" s="6">
        <v>71500</v>
      </c>
      <c r="H2" s="2" t="s">
        <v>29</v>
      </c>
      <c r="I2" s="2" t="s">
        <v>30</v>
      </c>
      <c r="J2" s="7" t="s">
        <v>79</v>
      </c>
      <c r="K2" s="8" t="s">
        <v>79</v>
      </c>
      <c r="L2" s="7">
        <v>0.37152777777777773</v>
      </c>
      <c r="M2" s="8">
        <v>0.36805555555555558</v>
      </c>
      <c r="N2" s="3" t="s">
        <v>79</v>
      </c>
      <c r="O2" s="3" t="s">
        <v>80</v>
      </c>
      <c r="P2" s="2" t="s">
        <v>79</v>
      </c>
      <c r="Q2" s="3">
        <v>920</v>
      </c>
      <c r="R2" s="3">
        <v>0</v>
      </c>
      <c r="S2" s="3">
        <v>0</v>
      </c>
      <c r="T2" s="3">
        <v>0</v>
      </c>
      <c r="U2" s="3">
        <v>0</v>
      </c>
    </row>
    <row r="3" spans="1:21" s="20" customFormat="1" x14ac:dyDescent="0.25">
      <c r="A3" s="4">
        <v>45479</v>
      </c>
      <c r="B3" s="2" t="s">
        <v>73</v>
      </c>
      <c r="C3" s="2" t="s">
        <v>74</v>
      </c>
      <c r="D3" s="15" t="s">
        <v>77</v>
      </c>
      <c r="E3" s="15" t="s">
        <v>75</v>
      </c>
      <c r="F3" s="15" t="s">
        <v>76</v>
      </c>
      <c r="G3" s="6">
        <v>1230</v>
      </c>
      <c r="H3" s="15" t="s">
        <v>75</v>
      </c>
      <c r="I3" s="15" t="s">
        <v>75</v>
      </c>
      <c r="J3" s="7" t="s">
        <v>79</v>
      </c>
      <c r="K3" s="8" t="s">
        <v>79</v>
      </c>
      <c r="L3" s="7">
        <v>0.38541666666666669</v>
      </c>
      <c r="M3" s="8">
        <v>0.38541666666666669</v>
      </c>
      <c r="N3" s="2" t="s">
        <v>69</v>
      </c>
      <c r="O3" s="2" t="s">
        <v>69</v>
      </c>
      <c r="P3" s="2" t="s">
        <v>69</v>
      </c>
      <c r="Q3" s="2" t="s">
        <v>69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9">
        <v>45479</v>
      </c>
      <c r="B4" s="2" t="s">
        <v>81</v>
      </c>
      <c r="C4" s="3" t="s">
        <v>44</v>
      </c>
      <c r="D4" s="3" t="s">
        <v>82</v>
      </c>
      <c r="E4" s="3" t="s">
        <v>85</v>
      </c>
      <c r="F4" s="3" t="s">
        <v>45</v>
      </c>
      <c r="G4" s="6">
        <v>66000</v>
      </c>
      <c r="H4" s="3" t="s">
        <v>83</v>
      </c>
      <c r="I4" s="3" t="s">
        <v>84</v>
      </c>
      <c r="J4" s="1">
        <v>0.73263888888888884</v>
      </c>
      <c r="K4" s="5">
        <v>0.85555555555555562</v>
      </c>
      <c r="L4" s="1">
        <v>0.77430555555555547</v>
      </c>
      <c r="M4" s="5">
        <v>0.89166666666666661</v>
      </c>
      <c r="N4" s="3" t="s">
        <v>86</v>
      </c>
      <c r="O4" s="3" t="s">
        <v>87</v>
      </c>
      <c r="P4" s="3">
        <v>3497</v>
      </c>
      <c r="Q4" s="3">
        <v>1187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4">
        <v>45479</v>
      </c>
      <c r="B5" s="2" t="s">
        <v>73</v>
      </c>
      <c r="C5" s="2" t="s">
        <v>88</v>
      </c>
      <c r="D5" s="15" t="s">
        <v>77</v>
      </c>
      <c r="E5" s="15" t="s">
        <v>75</v>
      </c>
      <c r="F5" s="15" t="s">
        <v>76</v>
      </c>
      <c r="G5" s="6">
        <v>1230</v>
      </c>
      <c r="H5" s="15" t="s">
        <v>75</v>
      </c>
      <c r="I5" s="15" t="s">
        <v>75</v>
      </c>
      <c r="J5" s="7">
        <v>0.79166666666666663</v>
      </c>
      <c r="K5" s="8">
        <v>0.7729166666666667</v>
      </c>
      <c r="L5" s="7" t="s">
        <v>79</v>
      </c>
      <c r="M5" s="8" t="s">
        <v>79</v>
      </c>
      <c r="N5" s="2" t="s">
        <v>69</v>
      </c>
      <c r="O5" s="2" t="s">
        <v>69</v>
      </c>
      <c r="P5" s="2" t="s">
        <v>69</v>
      </c>
      <c r="Q5" s="2" t="s">
        <v>69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2AF97-7D4A-421D-97C5-1BDFB03DA79A}">
  <dimension ref="A1:V8"/>
  <sheetViews>
    <sheetView workbookViewId="0">
      <selection activeCell="D18" sqref="D18"/>
    </sheetView>
  </sheetViews>
  <sheetFormatPr defaultRowHeight="15" x14ac:dyDescent="0.25"/>
  <cols>
    <col min="1" max="1" width="10.140625" bestFit="1" customWidth="1"/>
    <col min="2" max="2" width="20.85546875" customWidth="1"/>
    <col min="3" max="3" width="18.140625" customWidth="1"/>
    <col min="6" max="6" width="20" customWidth="1"/>
    <col min="7" max="7" width="9.28515625" bestFit="1" customWidth="1"/>
    <col min="10" max="11" width="9.28515625" bestFit="1" customWidth="1"/>
    <col min="18" max="21" width="9.28515625" bestFit="1" customWidth="1"/>
  </cols>
  <sheetData>
    <row r="1" spans="1:2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21"/>
    </row>
    <row r="2" spans="1:22" x14ac:dyDescent="0.25">
      <c r="A2" s="9">
        <v>45480</v>
      </c>
      <c r="B2" s="2" t="s">
        <v>73</v>
      </c>
      <c r="C2" s="2" t="s">
        <v>89</v>
      </c>
      <c r="D2" s="15" t="s">
        <v>77</v>
      </c>
      <c r="E2" s="15" t="s">
        <v>75</v>
      </c>
      <c r="F2" s="15" t="s">
        <v>76</v>
      </c>
      <c r="G2" s="6">
        <v>1230</v>
      </c>
      <c r="H2" s="15" t="s">
        <v>75</v>
      </c>
      <c r="I2" s="15" t="s">
        <v>75</v>
      </c>
      <c r="J2" s="7">
        <v>0.79166666666666663</v>
      </c>
      <c r="K2" s="8">
        <v>0.77847222222222223</v>
      </c>
      <c r="L2" s="7">
        <v>0.375</v>
      </c>
      <c r="M2" s="8">
        <v>0.38125000000000003</v>
      </c>
      <c r="N2" s="2" t="s">
        <v>69</v>
      </c>
      <c r="O2" s="2" t="s">
        <v>69</v>
      </c>
      <c r="P2" s="2" t="s">
        <v>69</v>
      </c>
      <c r="Q2" s="2" t="s">
        <v>69</v>
      </c>
      <c r="R2" s="2">
        <v>0</v>
      </c>
      <c r="S2" s="2">
        <v>0</v>
      </c>
      <c r="T2" s="2">
        <v>0</v>
      </c>
      <c r="U2" s="2">
        <v>0</v>
      </c>
      <c r="V2" s="21"/>
    </row>
    <row r="3" spans="1:2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1"/>
    </row>
    <row r="4" spans="1:22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1"/>
    </row>
    <row r="5" spans="1:22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1"/>
    </row>
    <row r="6" spans="1:22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1"/>
    </row>
    <row r="7" spans="1:22" x14ac:dyDescent="0.25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</row>
    <row r="8" spans="1:22" x14ac:dyDescent="0.25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8510E-2BB1-4ABD-B577-17ED4DA680E1}">
  <dimension ref="A1:U12"/>
  <sheetViews>
    <sheetView workbookViewId="0">
      <selection activeCell="D16" sqref="D16"/>
    </sheetView>
  </sheetViews>
  <sheetFormatPr defaultRowHeight="15" x14ac:dyDescent="0.25"/>
  <cols>
    <col min="1" max="1" width="11.28515625" bestFit="1" customWidth="1"/>
    <col min="2" max="2" width="24.5703125" customWidth="1"/>
    <col min="3" max="3" width="17.7109375" customWidth="1"/>
    <col min="4" max="4" width="11" bestFit="1" customWidth="1"/>
    <col min="6" max="6" width="19.7109375" customWidth="1"/>
    <col min="7" max="7" width="9.28515625" bestFit="1" customWidth="1"/>
    <col min="9" max="9" width="9.7109375" bestFit="1" customWidth="1"/>
    <col min="10" max="10" width="11.140625" bestFit="1" customWidth="1"/>
    <col min="11" max="11" width="11" bestFit="1" customWidth="1"/>
    <col min="12" max="12" width="11.140625" bestFit="1" customWidth="1"/>
    <col min="13" max="13" width="11" bestFit="1" customWidth="1"/>
    <col min="14" max="14" width="18.42578125" bestFit="1" customWidth="1"/>
    <col min="15" max="15" width="13" customWidth="1"/>
    <col min="16" max="16" width="9.28515625" bestFit="1" customWidth="1"/>
    <col min="17" max="17" width="10.42578125" bestFit="1" customWidth="1"/>
    <col min="18" max="18" width="9.5703125" bestFit="1" customWidth="1"/>
    <col min="19" max="21" width="9.28515625" bestFit="1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s="4">
        <v>45481</v>
      </c>
      <c r="B2" s="2" t="s">
        <v>27</v>
      </c>
      <c r="C2" s="2" t="s">
        <v>31</v>
      </c>
      <c r="D2" s="3" t="s">
        <v>23</v>
      </c>
      <c r="E2" s="2" t="s">
        <v>90</v>
      </c>
      <c r="F2" s="3" t="s">
        <v>24</v>
      </c>
      <c r="G2" s="6">
        <v>71500</v>
      </c>
      <c r="H2" s="2" t="s">
        <v>32</v>
      </c>
      <c r="I2" s="2" t="s">
        <v>33</v>
      </c>
      <c r="J2" s="7">
        <v>0.42708333333333331</v>
      </c>
      <c r="K2" s="8">
        <v>0.41111111111111115</v>
      </c>
      <c r="L2" s="7">
        <v>0.4513888888888889</v>
      </c>
      <c r="M2" s="8">
        <v>0.45277777777777778</v>
      </c>
      <c r="N2" s="3" t="s">
        <v>97</v>
      </c>
      <c r="O2" s="3" t="s">
        <v>98</v>
      </c>
      <c r="P2" s="3">
        <v>1059</v>
      </c>
      <c r="Q2" s="3">
        <v>324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4">
        <v>45481</v>
      </c>
      <c r="B3" s="2" t="s">
        <v>21</v>
      </c>
      <c r="C3" s="3" t="s">
        <v>22</v>
      </c>
      <c r="D3" s="3" t="s">
        <v>23</v>
      </c>
      <c r="E3" s="3" t="s">
        <v>51</v>
      </c>
      <c r="F3" s="3" t="s">
        <v>24</v>
      </c>
      <c r="G3" s="6">
        <v>71500</v>
      </c>
      <c r="H3" s="3" t="s">
        <v>25</v>
      </c>
      <c r="I3" s="3" t="s">
        <v>26</v>
      </c>
      <c r="J3" s="1">
        <v>0.50347222222222221</v>
      </c>
      <c r="K3" s="5">
        <v>0.49305555555555558</v>
      </c>
      <c r="L3" s="1">
        <v>0.52777777777777779</v>
      </c>
      <c r="M3" s="5">
        <v>0.5541666666666667</v>
      </c>
      <c r="N3" s="3" t="s">
        <v>97</v>
      </c>
      <c r="O3" s="3" t="s">
        <v>80</v>
      </c>
      <c r="P3" s="2">
        <v>1088</v>
      </c>
      <c r="Q3" s="2">
        <v>514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4">
        <v>45481</v>
      </c>
      <c r="B4" s="2" t="s">
        <v>27</v>
      </c>
      <c r="C4" s="2" t="s">
        <v>28</v>
      </c>
      <c r="D4" s="3" t="s">
        <v>23</v>
      </c>
      <c r="E4" s="2" t="s">
        <v>35</v>
      </c>
      <c r="F4" s="3" t="s">
        <v>24</v>
      </c>
      <c r="G4" s="6">
        <v>71500</v>
      </c>
      <c r="H4" s="2" t="s">
        <v>29</v>
      </c>
      <c r="I4" s="2" t="s">
        <v>30</v>
      </c>
      <c r="J4" s="7">
        <v>0.72222222222222221</v>
      </c>
      <c r="K4" s="8">
        <v>0.74444444444444446</v>
      </c>
      <c r="L4" s="7">
        <v>0.74305555555555547</v>
      </c>
      <c r="M4" s="8">
        <v>0.79513888888888884</v>
      </c>
      <c r="N4" s="3" t="s">
        <v>99</v>
      </c>
      <c r="O4" s="3" t="s">
        <v>100</v>
      </c>
      <c r="P4" s="2">
        <v>1529</v>
      </c>
      <c r="Q4" s="3">
        <v>702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4">
        <v>45481</v>
      </c>
      <c r="B5" s="2" t="s">
        <v>73</v>
      </c>
      <c r="C5" s="3" t="s">
        <v>92</v>
      </c>
      <c r="D5" s="3" t="s">
        <v>77</v>
      </c>
      <c r="E5" s="3" t="s">
        <v>75</v>
      </c>
      <c r="F5" s="3" t="s">
        <v>76</v>
      </c>
      <c r="G5" s="6">
        <v>2</v>
      </c>
      <c r="H5" s="22"/>
      <c r="I5" s="3" t="s">
        <v>75</v>
      </c>
      <c r="J5" s="23"/>
      <c r="K5" s="24"/>
      <c r="L5" s="1">
        <v>0.41666666666666669</v>
      </c>
      <c r="M5" s="5">
        <v>0.40972222222222227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4">
        <v>45481</v>
      </c>
      <c r="B6" s="2" t="s">
        <v>91</v>
      </c>
      <c r="C6" s="2" t="s">
        <v>93</v>
      </c>
      <c r="D6" s="2" t="s">
        <v>96</v>
      </c>
      <c r="E6" s="2" t="s">
        <v>95</v>
      </c>
      <c r="F6" s="3" t="s">
        <v>76</v>
      </c>
      <c r="G6" s="6">
        <v>11</v>
      </c>
      <c r="H6" s="2" t="s">
        <v>94</v>
      </c>
      <c r="I6" s="2" t="s">
        <v>94</v>
      </c>
      <c r="J6" s="7">
        <v>0.4201388888888889</v>
      </c>
      <c r="K6" s="8">
        <v>0.42569444444444443</v>
      </c>
      <c r="L6" s="7">
        <v>0.52430555555555558</v>
      </c>
      <c r="M6" s="8">
        <v>0.56458333333333333</v>
      </c>
      <c r="N6" s="2">
        <v>0</v>
      </c>
      <c r="O6" s="2">
        <v>2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9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F42AC-3C5E-4316-89C2-1456AE392CDF}">
  <dimension ref="A1:U4"/>
  <sheetViews>
    <sheetView workbookViewId="0">
      <selection activeCell="B17" sqref="B17"/>
    </sheetView>
  </sheetViews>
  <sheetFormatPr defaultRowHeight="15" x14ac:dyDescent="0.25"/>
  <cols>
    <col min="1" max="1" width="12.7109375" customWidth="1"/>
    <col min="2" max="2" width="29.42578125" customWidth="1"/>
    <col min="3" max="3" width="22.85546875" customWidth="1"/>
    <col min="6" max="6" width="21.7109375" customWidth="1"/>
  </cols>
  <sheetData>
    <row r="1" spans="1:21" s="27" customFormat="1" ht="12.7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s="27" customFormat="1" ht="12.75" x14ac:dyDescent="0.2">
      <c r="A2" s="4">
        <v>45482</v>
      </c>
      <c r="B2" s="2" t="s">
        <v>43</v>
      </c>
      <c r="C2" s="2" t="s">
        <v>44</v>
      </c>
      <c r="D2" s="2" t="s">
        <v>23</v>
      </c>
      <c r="E2" s="2" t="s">
        <v>101</v>
      </c>
      <c r="F2" s="3" t="s">
        <v>45</v>
      </c>
      <c r="G2" s="6">
        <v>77000</v>
      </c>
      <c r="H2" s="2" t="s">
        <v>46</v>
      </c>
      <c r="I2" s="2" t="s">
        <v>47</v>
      </c>
      <c r="J2" s="7">
        <v>0.3298611111111111</v>
      </c>
      <c r="K2" s="8">
        <v>0.33333333333333331</v>
      </c>
      <c r="L2" s="7">
        <v>0.37152777777777773</v>
      </c>
      <c r="M2" s="8">
        <v>0.37777777777777777</v>
      </c>
      <c r="N2" s="2" t="s">
        <v>102</v>
      </c>
      <c r="O2" s="8" t="s">
        <v>103</v>
      </c>
      <c r="P2" s="2">
        <v>2386</v>
      </c>
      <c r="Q2" s="2">
        <v>2092</v>
      </c>
      <c r="R2" s="2">
        <v>0</v>
      </c>
      <c r="S2" s="2">
        <v>0</v>
      </c>
      <c r="T2" s="2">
        <v>0</v>
      </c>
      <c r="U2" s="2">
        <v>0</v>
      </c>
    </row>
    <row r="3" spans="1:21" s="28" customFormat="1" ht="12.75" x14ac:dyDescent="0.2">
      <c r="A3" s="4">
        <v>45482</v>
      </c>
      <c r="B3" s="28" t="s">
        <v>104</v>
      </c>
      <c r="C3" s="28" t="s">
        <v>105</v>
      </c>
      <c r="D3" s="28" t="s">
        <v>106</v>
      </c>
      <c r="E3" s="28" t="s">
        <v>107</v>
      </c>
      <c r="F3" s="28" t="s">
        <v>108</v>
      </c>
      <c r="G3" s="28">
        <v>3000</v>
      </c>
      <c r="H3" s="28" t="s">
        <v>69</v>
      </c>
      <c r="I3" s="28" t="s">
        <v>69</v>
      </c>
      <c r="J3" s="29">
        <v>0.6875</v>
      </c>
      <c r="K3" s="29">
        <v>0.7319444444444444</v>
      </c>
      <c r="L3" s="29">
        <v>0.72916666666666663</v>
      </c>
      <c r="M3" s="29">
        <v>0.75277777777777777</v>
      </c>
      <c r="N3" s="28">
        <v>0</v>
      </c>
      <c r="O3" s="28">
        <v>0</v>
      </c>
      <c r="P3" s="28">
        <v>0</v>
      </c>
      <c r="Q3" s="28">
        <v>0</v>
      </c>
      <c r="R3" s="28">
        <v>0</v>
      </c>
      <c r="S3" s="28">
        <v>0</v>
      </c>
      <c r="T3" s="28">
        <v>0</v>
      </c>
      <c r="U3" s="28">
        <v>0</v>
      </c>
    </row>
    <row r="4" spans="1:21" s="28" customFormat="1" ht="12.75" x14ac:dyDescent="0.2">
      <c r="A4" s="4">
        <v>45482</v>
      </c>
      <c r="B4" s="2" t="s">
        <v>73</v>
      </c>
      <c r="C4" s="3" t="s">
        <v>109</v>
      </c>
      <c r="D4" s="3" t="s">
        <v>77</v>
      </c>
      <c r="E4" s="3" t="s">
        <v>75</v>
      </c>
      <c r="F4" s="3" t="s">
        <v>76</v>
      </c>
      <c r="G4" s="6">
        <v>2000</v>
      </c>
      <c r="H4" s="22"/>
      <c r="I4" s="3" t="s">
        <v>75</v>
      </c>
      <c r="J4" s="25">
        <v>0.58333333333333337</v>
      </c>
      <c r="K4" s="26">
        <v>0.59027777777777779</v>
      </c>
      <c r="L4" s="1" t="s">
        <v>79</v>
      </c>
      <c r="M4" s="5" t="s">
        <v>79</v>
      </c>
      <c r="N4" s="28">
        <v>0</v>
      </c>
      <c r="O4" s="28">
        <v>0</v>
      </c>
      <c r="P4" s="28">
        <v>0</v>
      </c>
      <c r="Q4" s="28">
        <v>0</v>
      </c>
      <c r="R4" s="28">
        <v>0</v>
      </c>
      <c r="S4" s="28">
        <v>0</v>
      </c>
      <c r="T4" s="28">
        <v>0</v>
      </c>
      <c r="U4" s="28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87EDC-DC7B-4E91-8BF7-7A6084E7153D}">
  <dimension ref="A1:U6"/>
  <sheetViews>
    <sheetView workbookViewId="0">
      <selection activeCell="C19" sqref="C19"/>
    </sheetView>
  </sheetViews>
  <sheetFormatPr defaultRowHeight="15" x14ac:dyDescent="0.25"/>
  <cols>
    <col min="2" max="2" width="26.5703125" customWidth="1"/>
    <col min="3" max="3" width="21" customWidth="1"/>
    <col min="4" max="4" width="11.85546875" customWidth="1"/>
    <col min="5" max="5" width="18" customWidth="1"/>
    <col min="6" max="6" width="21.85546875" customWidth="1"/>
    <col min="14" max="14" width="16.28515625" customWidth="1"/>
    <col min="15" max="15" width="13.85546875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s="4">
        <v>45483</v>
      </c>
      <c r="B2" s="2" t="s">
        <v>27</v>
      </c>
      <c r="C2" s="2" t="s">
        <v>31</v>
      </c>
      <c r="D2" s="3" t="s">
        <v>23</v>
      </c>
      <c r="E2" s="2" t="s">
        <v>67</v>
      </c>
      <c r="F2" s="3" t="s">
        <v>24</v>
      </c>
      <c r="G2" s="6">
        <v>71500</v>
      </c>
      <c r="H2" s="2" t="s">
        <v>32</v>
      </c>
      <c r="I2" s="2" t="s">
        <v>33</v>
      </c>
      <c r="J2" s="7">
        <v>0.41666666666666669</v>
      </c>
      <c r="K2" s="8">
        <v>0.41180555555555554</v>
      </c>
      <c r="L2" s="7">
        <v>0.44097222222222227</v>
      </c>
      <c r="M2" s="8">
        <v>0.44722222222222219</v>
      </c>
      <c r="N2" s="3" t="s">
        <v>110</v>
      </c>
      <c r="O2" s="3" t="s">
        <v>111</v>
      </c>
      <c r="P2" s="3">
        <v>663</v>
      </c>
      <c r="Q2" s="3">
        <v>364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4">
        <v>45483</v>
      </c>
      <c r="B3" s="2" t="s">
        <v>27</v>
      </c>
      <c r="C3" s="2" t="s">
        <v>28</v>
      </c>
      <c r="D3" s="3" t="s">
        <v>23</v>
      </c>
      <c r="E3" s="2" t="s">
        <v>35</v>
      </c>
      <c r="F3" s="3" t="s">
        <v>24</v>
      </c>
      <c r="G3" s="6">
        <v>71500</v>
      </c>
      <c r="H3" s="2" t="s">
        <v>29</v>
      </c>
      <c r="I3" s="2" t="s">
        <v>30</v>
      </c>
      <c r="J3" s="7">
        <v>0.72222222222222221</v>
      </c>
      <c r="K3" s="8">
        <v>0.7416666666666667</v>
      </c>
      <c r="L3" s="7">
        <v>0.74305555555555547</v>
      </c>
      <c r="M3" s="8">
        <v>0.83124999999999993</v>
      </c>
      <c r="N3" s="3" t="s">
        <v>112</v>
      </c>
      <c r="O3" s="3" t="s">
        <v>111</v>
      </c>
      <c r="P3" s="2">
        <v>1223</v>
      </c>
      <c r="Q3" s="3">
        <v>576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4">
        <v>45483</v>
      </c>
      <c r="B4" s="2" t="s">
        <v>73</v>
      </c>
      <c r="C4" s="2" t="s">
        <v>89</v>
      </c>
      <c r="D4" s="15" t="s">
        <v>77</v>
      </c>
      <c r="E4" s="15" t="s">
        <v>75</v>
      </c>
      <c r="F4" s="15" t="s">
        <v>76</v>
      </c>
      <c r="G4" s="6">
        <v>1230</v>
      </c>
      <c r="H4" s="15" t="s">
        <v>75</v>
      </c>
      <c r="I4" s="15" t="s">
        <v>75</v>
      </c>
      <c r="J4" s="7">
        <v>0.79166666666666663</v>
      </c>
      <c r="K4" s="8">
        <v>0.76388888888888884</v>
      </c>
      <c r="L4" s="7">
        <v>0.375</v>
      </c>
      <c r="M4" s="8">
        <v>0.37361111111111112</v>
      </c>
      <c r="N4" s="2" t="s">
        <v>69</v>
      </c>
      <c r="O4" s="2" t="s">
        <v>69</v>
      </c>
      <c r="P4" s="2" t="s">
        <v>69</v>
      </c>
      <c r="Q4" s="2" t="s">
        <v>69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9"/>
      <c r="B5" s="2"/>
      <c r="C5" s="2"/>
      <c r="D5" s="2"/>
      <c r="E5" s="2"/>
      <c r="F5" s="2"/>
      <c r="G5" s="6"/>
      <c r="H5" s="2"/>
      <c r="I5" s="2"/>
      <c r="J5" s="7"/>
      <c r="K5" s="8"/>
      <c r="L5" s="7"/>
      <c r="M5" s="8"/>
      <c r="N5" s="2"/>
      <c r="O5" s="2"/>
      <c r="P5" s="2"/>
      <c r="Q5" s="2"/>
      <c r="R5" s="2"/>
      <c r="S5" s="2"/>
      <c r="T5" s="2"/>
      <c r="U5" s="2"/>
    </row>
    <row r="6" spans="1:21" x14ac:dyDescent="0.25">
      <c r="A6" s="9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96EE7-670B-4551-B616-F6270D56B1D3}">
  <dimension ref="A1:U12"/>
  <sheetViews>
    <sheetView workbookViewId="0">
      <selection activeCell="C21" sqref="C21"/>
    </sheetView>
  </sheetViews>
  <sheetFormatPr defaultRowHeight="15" x14ac:dyDescent="0.25"/>
  <cols>
    <col min="1" max="1" width="12.85546875" bestFit="1" customWidth="1"/>
    <col min="2" max="2" width="23.5703125" customWidth="1"/>
    <col min="3" max="3" width="16.5703125" customWidth="1"/>
    <col min="5" max="5" width="13.28515625" customWidth="1"/>
    <col min="6" max="6" width="22.5703125" customWidth="1"/>
    <col min="7" max="7" width="9.42578125" bestFit="1" customWidth="1"/>
    <col min="10" max="13" width="9.42578125" bestFit="1" customWidth="1"/>
    <col min="14" max="14" width="15.85546875" customWidth="1"/>
    <col min="15" max="15" width="18.42578125" customWidth="1"/>
    <col min="16" max="16" width="9.42578125" bestFit="1" customWidth="1"/>
    <col min="18" max="21" width="9.42578125" bestFit="1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s="4">
        <v>45484</v>
      </c>
      <c r="B2" s="2" t="s">
        <v>43</v>
      </c>
      <c r="C2" s="2" t="s">
        <v>44</v>
      </c>
      <c r="D2" s="2" t="s">
        <v>23</v>
      </c>
      <c r="E2" s="2" t="s">
        <v>113</v>
      </c>
      <c r="F2" s="3" t="s">
        <v>45</v>
      </c>
      <c r="G2" s="6">
        <v>77000</v>
      </c>
      <c r="H2" s="2" t="s">
        <v>46</v>
      </c>
      <c r="I2" s="2" t="s">
        <v>47</v>
      </c>
      <c r="J2" s="7">
        <v>0.3298611111111111</v>
      </c>
      <c r="K2" s="8">
        <v>0.35555555555555557</v>
      </c>
      <c r="L2" s="7">
        <v>0.37152777777777773</v>
      </c>
      <c r="M2" s="8">
        <v>0.41250000000000003</v>
      </c>
      <c r="N2" s="2" t="s">
        <v>114</v>
      </c>
      <c r="O2" s="8" t="s">
        <v>120</v>
      </c>
      <c r="P2" s="2">
        <v>2402</v>
      </c>
      <c r="Q2" s="2">
        <v>2065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4">
        <v>45484</v>
      </c>
      <c r="B3" s="2" t="s">
        <v>73</v>
      </c>
      <c r="C3" s="2" t="s">
        <v>89</v>
      </c>
      <c r="D3" s="15" t="s">
        <v>77</v>
      </c>
      <c r="E3" s="15" t="s">
        <v>75</v>
      </c>
      <c r="F3" s="15" t="s">
        <v>76</v>
      </c>
      <c r="G3" s="6">
        <v>1230</v>
      </c>
      <c r="H3" s="15" t="s">
        <v>75</v>
      </c>
      <c r="I3" s="15" t="s">
        <v>75</v>
      </c>
      <c r="J3" s="7" t="s">
        <v>121</v>
      </c>
      <c r="K3" s="8" t="s">
        <v>121</v>
      </c>
      <c r="L3" s="7">
        <v>0.375</v>
      </c>
      <c r="M3" s="8">
        <v>0.39583333333333331</v>
      </c>
      <c r="N3" s="2" t="s">
        <v>69</v>
      </c>
      <c r="O3" s="2" t="s">
        <v>69</v>
      </c>
      <c r="P3" s="2" t="s">
        <v>69</v>
      </c>
      <c r="Q3" s="2" t="s">
        <v>69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4">
        <v>45484</v>
      </c>
      <c r="B4" s="2" t="s">
        <v>115</v>
      </c>
      <c r="C4" s="2" t="s">
        <v>116</v>
      </c>
      <c r="D4" s="2" t="s">
        <v>117</v>
      </c>
      <c r="E4" s="2" t="s">
        <v>118</v>
      </c>
      <c r="F4" s="15" t="s">
        <v>76</v>
      </c>
      <c r="G4" s="2">
        <v>1045</v>
      </c>
      <c r="H4" s="2" t="s">
        <v>119</v>
      </c>
      <c r="I4" s="2" t="s">
        <v>119</v>
      </c>
      <c r="J4" s="7">
        <v>0.35416666666666669</v>
      </c>
      <c r="K4" s="8">
        <v>0.3611111111111111</v>
      </c>
      <c r="L4" s="7">
        <v>0.375</v>
      </c>
      <c r="M4" s="8">
        <v>0.38680555555555557</v>
      </c>
      <c r="N4" s="2" t="s">
        <v>69</v>
      </c>
      <c r="O4" s="2" t="s">
        <v>69</v>
      </c>
      <c r="P4" s="2" t="s">
        <v>69</v>
      </c>
      <c r="Q4" s="2" t="s">
        <v>69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4">
        <v>45484</v>
      </c>
      <c r="B5" s="2" t="s">
        <v>122</v>
      </c>
      <c r="C5" s="2" t="s">
        <v>123</v>
      </c>
      <c r="D5" s="2" t="s">
        <v>124</v>
      </c>
      <c r="E5" s="2" t="s">
        <v>125</v>
      </c>
      <c r="F5" s="15" t="s">
        <v>76</v>
      </c>
      <c r="G5" s="2">
        <v>7</v>
      </c>
      <c r="H5" s="2" t="s">
        <v>125</v>
      </c>
      <c r="I5" s="2" t="s">
        <v>125</v>
      </c>
      <c r="J5" s="8">
        <v>0.6875</v>
      </c>
      <c r="K5" s="8">
        <v>0.6875</v>
      </c>
      <c r="L5" s="8">
        <v>0.77083333333333337</v>
      </c>
      <c r="M5" s="8">
        <v>0.77083333333333337</v>
      </c>
      <c r="N5" s="2" t="s">
        <v>69</v>
      </c>
      <c r="O5" s="2" t="s">
        <v>69</v>
      </c>
      <c r="P5" s="2" t="s">
        <v>69</v>
      </c>
      <c r="Q5" s="2" t="s">
        <v>69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DBBF7-8EFC-44EC-9355-4DD83F547111}">
  <dimension ref="A1:U10"/>
  <sheetViews>
    <sheetView workbookViewId="0">
      <selection sqref="A1:XFD1048576"/>
    </sheetView>
  </sheetViews>
  <sheetFormatPr defaultRowHeight="15" x14ac:dyDescent="0.25"/>
  <cols>
    <col min="1" max="1" width="8.140625" bestFit="1" customWidth="1"/>
    <col min="2" max="2" width="25.5703125" customWidth="1"/>
    <col min="3" max="3" width="17" customWidth="1"/>
    <col min="4" max="4" width="8.42578125" customWidth="1"/>
    <col min="5" max="5" width="10.7109375" customWidth="1"/>
    <col min="6" max="6" width="20.42578125" customWidth="1"/>
    <col min="7" max="7" width="10.42578125" bestFit="1" customWidth="1"/>
    <col min="8" max="9" width="11.5703125" bestFit="1" customWidth="1"/>
    <col min="10" max="10" width="13.42578125" bestFit="1" customWidth="1"/>
    <col min="11" max="11" width="13.28515625" bestFit="1" customWidth="1"/>
    <col min="12" max="12" width="13.42578125" bestFit="1" customWidth="1"/>
    <col min="13" max="13" width="13.28515625" bestFit="1" customWidth="1"/>
    <col min="14" max="14" width="17.140625" customWidth="1"/>
    <col min="15" max="15" width="16.28515625" customWidth="1"/>
    <col min="16" max="16" width="11.85546875" bestFit="1" customWidth="1"/>
    <col min="17" max="17" width="12" bestFit="1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9">
        <v>45485</v>
      </c>
      <c r="B2" s="2" t="s">
        <v>43</v>
      </c>
      <c r="C2" s="2" t="s">
        <v>44</v>
      </c>
      <c r="D2" s="2" t="s">
        <v>23</v>
      </c>
      <c r="E2" s="2" t="s">
        <v>126</v>
      </c>
      <c r="F2" s="2" t="s">
        <v>45</v>
      </c>
      <c r="G2" s="6">
        <v>77000</v>
      </c>
      <c r="H2" s="2" t="s">
        <v>46</v>
      </c>
      <c r="I2" s="2" t="s">
        <v>47</v>
      </c>
      <c r="J2" s="7">
        <v>0.3298611111111111</v>
      </c>
      <c r="K2" s="8">
        <v>0.32708333333333334</v>
      </c>
      <c r="L2" s="7">
        <v>0.37152777777777773</v>
      </c>
      <c r="M2" s="8">
        <v>0.375</v>
      </c>
      <c r="N2" s="2" t="s">
        <v>114</v>
      </c>
      <c r="O2" s="2" t="s">
        <v>127</v>
      </c>
      <c r="P2" s="2">
        <v>2435</v>
      </c>
      <c r="Q2" s="2">
        <v>2170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9">
        <v>45485</v>
      </c>
      <c r="B3" s="2" t="s">
        <v>27</v>
      </c>
      <c r="C3" s="2" t="s">
        <v>31</v>
      </c>
      <c r="D3" s="2" t="s">
        <v>23</v>
      </c>
      <c r="E3" s="2" t="s">
        <v>66</v>
      </c>
      <c r="F3" s="2" t="s">
        <v>24</v>
      </c>
      <c r="G3" s="6">
        <v>71500</v>
      </c>
      <c r="H3" s="2" t="s">
        <v>32</v>
      </c>
      <c r="I3" s="2" t="s">
        <v>33</v>
      </c>
      <c r="J3" s="7">
        <v>0.42708333333333331</v>
      </c>
      <c r="K3" s="8">
        <v>0.41875000000000001</v>
      </c>
      <c r="L3" s="7">
        <v>0.4513888888888889</v>
      </c>
      <c r="M3" s="8">
        <v>0.46180555555555558</v>
      </c>
      <c r="N3" s="2" t="s">
        <v>128</v>
      </c>
      <c r="O3" s="2" t="s">
        <v>129</v>
      </c>
      <c r="P3" s="2">
        <v>897</v>
      </c>
      <c r="Q3" s="2">
        <v>663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9">
        <v>45485</v>
      </c>
      <c r="B4" s="2" t="s">
        <v>21</v>
      </c>
      <c r="C4" s="2" t="s">
        <v>22</v>
      </c>
      <c r="D4" s="2" t="s">
        <v>23</v>
      </c>
      <c r="E4" s="2" t="s">
        <v>67</v>
      </c>
      <c r="F4" s="2" t="s">
        <v>24</v>
      </c>
      <c r="G4" s="6">
        <v>71500</v>
      </c>
      <c r="H4" s="2" t="s">
        <v>25</v>
      </c>
      <c r="I4" s="2" t="s">
        <v>26</v>
      </c>
      <c r="J4" s="7">
        <v>0.50347222222222221</v>
      </c>
      <c r="K4" s="8">
        <v>0.5229166666666667</v>
      </c>
      <c r="L4" s="7">
        <v>0.52777777777777779</v>
      </c>
      <c r="M4" s="8">
        <v>0.55486111111111114</v>
      </c>
      <c r="N4" s="2" t="s">
        <v>130</v>
      </c>
      <c r="O4" s="2" t="s">
        <v>131</v>
      </c>
      <c r="P4" s="2">
        <v>1115</v>
      </c>
      <c r="Q4" s="2">
        <v>757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9">
        <v>45485</v>
      </c>
      <c r="B5" s="2" t="s">
        <v>27</v>
      </c>
      <c r="C5" s="2" t="s">
        <v>28</v>
      </c>
      <c r="D5" s="2" t="s">
        <v>23</v>
      </c>
      <c r="E5" s="2" t="s">
        <v>68</v>
      </c>
      <c r="F5" s="2" t="s">
        <v>24</v>
      </c>
      <c r="G5" s="6">
        <v>71500</v>
      </c>
      <c r="H5" s="2" t="s">
        <v>29</v>
      </c>
      <c r="I5" s="2" t="s">
        <v>30</v>
      </c>
      <c r="J5" s="7">
        <v>0.72222222222222221</v>
      </c>
      <c r="K5" s="8">
        <v>0.7680555555555556</v>
      </c>
      <c r="L5" s="7">
        <v>0.74305555555555547</v>
      </c>
      <c r="M5" s="8">
        <v>0.82361111111111107</v>
      </c>
      <c r="N5" s="2" t="s">
        <v>78</v>
      </c>
      <c r="O5" s="2" t="s">
        <v>134</v>
      </c>
      <c r="P5" s="2">
        <v>1063</v>
      </c>
      <c r="Q5" s="2">
        <v>961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4">
        <v>45485</v>
      </c>
      <c r="B6" s="2" t="s">
        <v>122</v>
      </c>
      <c r="C6" s="2" t="s">
        <v>132</v>
      </c>
      <c r="D6" s="2" t="s">
        <v>124</v>
      </c>
      <c r="E6" s="2" t="s">
        <v>125</v>
      </c>
      <c r="F6" s="15" t="s">
        <v>76</v>
      </c>
      <c r="G6" s="2">
        <v>7</v>
      </c>
      <c r="H6" s="2" t="s">
        <v>125</v>
      </c>
      <c r="I6" s="2" t="s">
        <v>125</v>
      </c>
      <c r="J6" s="7">
        <v>0.44444444444444442</v>
      </c>
      <c r="K6" s="8">
        <v>0.4458333333333333</v>
      </c>
      <c r="L6" s="7">
        <v>0.46527777777777773</v>
      </c>
      <c r="M6" s="8">
        <v>0.47847222222222219</v>
      </c>
      <c r="N6" s="2" t="s">
        <v>69</v>
      </c>
      <c r="O6" s="2" t="s">
        <v>69</v>
      </c>
      <c r="P6" s="2" t="s">
        <v>69</v>
      </c>
      <c r="Q6" s="2" t="s">
        <v>69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4">
        <v>45485</v>
      </c>
      <c r="B7" s="2" t="s">
        <v>73</v>
      </c>
      <c r="C7" s="2" t="s">
        <v>133</v>
      </c>
      <c r="D7" s="15" t="s">
        <v>77</v>
      </c>
      <c r="E7" s="15" t="s">
        <v>75</v>
      </c>
      <c r="F7" s="15" t="s">
        <v>76</v>
      </c>
      <c r="G7" s="6">
        <v>1230</v>
      </c>
      <c r="H7" s="15" t="s">
        <v>75</v>
      </c>
      <c r="I7" s="15" t="s">
        <v>75</v>
      </c>
      <c r="J7" s="7" t="s">
        <v>121</v>
      </c>
      <c r="K7" s="8" t="s">
        <v>121</v>
      </c>
      <c r="L7" s="7">
        <v>0.375</v>
      </c>
      <c r="M7" s="8">
        <v>0.40972222222222227</v>
      </c>
      <c r="N7" s="2" t="s">
        <v>69</v>
      </c>
      <c r="O7" s="2" t="s">
        <v>69</v>
      </c>
      <c r="P7" s="2" t="s">
        <v>69</v>
      </c>
      <c r="Q7" s="2" t="s">
        <v>69</v>
      </c>
      <c r="R7" s="2">
        <v>0</v>
      </c>
      <c r="S7" s="2">
        <v>0</v>
      </c>
      <c r="T7" s="2">
        <v>0</v>
      </c>
      <c r="U7" s="2">
        <v>0</v>
      </c>
    </row>
    <row r="8" spans="1:21" x14ac:dyDescent="0.25">
      <c r="A8" s="4">
        <v>45485</v>
      </c>
      <c r="B8" s="2" t="s">
        <v>73</v>
      </c>
      <c r="C8" s="2" t="s">
        <v>88</v>
      </c>
      <c r="D8" s="15" t="s">
        <v>77</v>
      </c>
      <c r="E8" s="15" t="s">
        <v>75</v>
      </c>
      <c r="F8" s="15" t="s">
        <v>76</v>
      </c>
      <c r="G8" s="6">
        <v>1230</v>
      </c>
      <c r="H8" s="15" t="s">
        <v>75</v>
      </c>
      <c r="I8" s="15" t="s">
        <v>75</v>
      </c>
      <c r="J8" s="7">
        <v>0.79166666666666663</v>
      </c>
      <c r="K8" s="8">
        <v>0.78402777777777777</v>
      </c>
      <c r="L8" s="7" t="s">
        <v>121</v>
      </c>
      <c r="M8" s="8" t="s">
        <v>121</v>
      </c>
      <c r="N8" s="2" t="s">
        <v>69</v>
      </c>
      <c r="O8" s="2" t="s">
        <v>69</v>
      </c>
      <c r="P8" s="2" t="s">
        <v>69</v>
      </c>
      <c r="Q8" s="2" t="s">
        <v>69</v>
      </c>
      <c r="R8" s="2">
        <v>0</v>
      </c>
      <c r="S8" s="2">
        <v>0</v>
      </c>
      <c r="T8" s="2">
        <v>0</v>
      </c>
      <c r="U8" s="2">
        <v>0</v>
      </c>
    </row>
    <row r="9" spans="1:2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3CA6-BFAA-4849-8B2A-02680A265081}">
  <dimension ref="A1:U12"/>
  <sheetViews>
    <sheetView workbookViewId="0">
      <selection activeCell="F25" sqref="F25"/>
    </sheetView>
  </sheetViews>
  <sheetFormatPr defaultRowHeight="15" x14ac:dyDescent="0.25"/>
  <cols>
    <col min="1" max="1" width="12.85546875" bestFit="1" customWidth="1"/>
    <col min="2" max="2" width="23.5703125" customWidth="1"/>
    <col min="3" max="3" width="16.5703125" customWidth="1"/>
    <col min="5" max="5" width="13.28515625" customWidth="1"/>
    <col min="6" max="6" width="22.5703125" customWidth="1"/>
    <col min="7" max="7" width="9.42578125" bestFit="1" customWidth="1"/>
    <col min="10" max="13" width="9.42578125" bestFit="1" customWidth="1"/>
    <col min="14" max="14" width="15.85546875" customWidth="1"/>
    <col min="15" max="15" width="18.42578125" customWidth="1"/>
    <col min="16" max="16" width="9.42578125" bestFit="1" customWidth="1"/>
    <col min="18" max="21" width="9.42578125" bestFit="1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s="4">
        <v>45486</v>
      </c>
      <c r="B2" s="2" t="s">
        <v>115</v>
      </c>
      <c r="C2" s="2" t="s">
        <v>135</v>
      </c>
      <c r="D2" s="2" t="s">
        <v>117</v>
      </c>
      <c r="E2" s="2" t="s">
        <v>118</v>
      </c>
      <c r="F2" s="15" t="s">
        <v>76</v>
      </c>
      <c r="G2" s="2">
        <v>1045</v>
      </c>
      <c r="H2" s="2" t="s">
        <v>119</v>
      </c>
      <c r="I2" s="2" t="s">
        <v>119</v>
      </c>
      <c r="J2" s="7">
        <v>0.5</v>
      </c>
      <c r="K2" s="8">
        <v>0.4916666666666667</v>
      </c>
      <c r="L2" s="7">
        <v>0.52083333333333337</v>
      </c>
      <c r="M2" s="8">
        <v>0.50694444444444442</v>
      </c>
      <c r="N2" s="2" t="s">
        <v>136</v>
      </c>
      <c r="O2" s="2" t="s">
        <v>136</v>
      </c>
      <c r="P2" s="2" t="s">
        <v>69</v>
      </c>
      <c r="Q2" s="2" t="s">
        <v>69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4">
        <v>45486</v>
      </c>
      <c r="B3" s="2" t="s">
        <v>81</v>
      </c>
      <c r="C3" s="3" t="s">
        <v>44</v>
      </c>
      <c r="D3" s="3" t="s">
        <v>82</v>
      </c>
      <c r="E3" s="3" t="s">
        <v>137</v>
      </c>
      <c r="F3" s="3" t="s">
        <v>45</v>
      </c>
      <c r="G3" s="6">
        <v>66000</v>
      </c>
      <c r="H3" s="3" t="s">
        <v>83</v>
      </c>
      <c r="I3" s="3" t="s">
        <v>84</v>
      </c>
      <c r="J3" s="1">
        <v>0.73263888888888884</v>
      </c>
      <c r="K3" s="5">
        <v>0.81597222222222221</v>
      </c>
      <c r="L3" s="1">
        <v>0.77430555555555547</v>
      </c>
      <c r="M3" s="5">
        <v>0.87708333333333333</v>
      </c>
      <c r="N3" s="3" t="s">
        <v>139</v>
      </c>
      <c r="O3" s="3" t="s">
        <v>144</v>
      </c>
      <c r="P3" s="3">
        <v>1290</v>
      </c>
      <c r="Q3" s="3">
        <v>1017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4">
        <v>45486</v>
      </c>
      <c r="B4" s="2" t="s">
        <v>73</v>
      </c>
      <c r="C4" s="2" t="s">
        <v>138</v>
      </c>
      <c r="D4" s="15" t="s">
        <v>77</v>
      </c>
      <c r="E4" s="15" t="s">
        <v>75</v>
      </c>
      <c r="F4" s="15" t="s">
        <v>76</v>
      </c>
      <c r="G4" s="6">
        <v>1230</v>
      </c>
      <c r="H4" s="15" t="s">
        <v>75</v>
      </c>
      <c r="I4" s="15" t="s">
        <v>75</v>
      </c>
      <c r="J4" s="7">
        <v>0.67708333333333337</v>
      </c>
      <c r="K4" s="8">
        <v>0.68402777777777779</v>
      </c>
      <c r="L4" s="7" t="s">
        <v>121</v>
      </c>
      <c r="M4" s="8" t="s">
        <v>121</v>
      </c>
      <c r="N4" s="2" t="s">
        <v>69</v>
      </c>
      <c r="O4" s="2" t="s">
        <v>69</v>
      </c>
      <c r="P4" s="2" t="s">
        <v>69</v>
      </c>
      <c r="Q4" s="2" t="s">
        <v>69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4">
        <v>45486</v>
      </c>
      <c r="B5" s="2" t="s">
        <v>140</v>
      </c>
      <c r="C5" s="2" t="s">
        <v>141</v>
      </c>
      <c r="D5" s="2" t="s">
        <v>142</v>
      </c>
      <c r="E5" s="2" t="s">
        <v>142</v>
      </c>
      <c r="F5" s="15" t="s">
        <v>76</v>
      </c>
      <c r="G5" s="2" t="s">
        <v>145</v>
      </c>
      <c r="H5" s="2" t="s">
        <v>143</v>
      </c>
      <c r="I5" s="2" t="s">
        <v>143</v>
      </c>
      <c r="J5" s="8">
        <v>0.88194444444444453</v>
      </c>
      <c r="K5" s="8">
        <v>0.88611111111111107</v>
      </c>
      <c r="L5" s="8">
        <v>0.89583333333333337</v>
      </c>
      <c r="M5" s="8">
        <v>0.91041666666666676</v>
      </c>
      <c r="N5" s="2">
        <v>2</v>
      </c>
      <c r="O5" s="2" t="s">
        <v>136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6DDB8-D4B7-4BEB-9F3A-037EE227F3D4}">
  <dimension ref="A1:U9"/>
  <sheetViews>
    <sheetView workbookViewId="0">
      <selection activeCell="F23" sqref="F23"/>
    </sheetView>
  </sheetViews>
  <sheetFormatPr defaultRowHeight="15" x14ac:dyDescent="0.25"/>
  <cols>
    <col min="1" max="1" width="12.85546875" bestFit="1" customWidth="1"/>
    <col min="2" max="2" width="23.5703125" customWidth="1"/>
    <col min="3" max="3" width="16.5703125" customWidth="1"/>
    <col min="5" max="5" width="13.28515625" customWidth="1"/>
    <col min="6" max="6" width="22.5703125" customWidth="1"/>
    <col min="7" max="7" width="9.42578125" bestFit="1" customWidth="1"/>
    <col min="10" max="13" width="9.42578125" bestFit="1" customWidth="1"/>
    <col min="14" max="14" width="15.85546875" customWidth="1"/>
    <col min="15" max="15" width="18.42578125" customWidth="1"/>
    <col min="16" max="16" width="9.42578125" bestFit="1" customWidth="1"/>
    <col min="18" max="21" width="9.42578125" bestFit="1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s="4">
        <v>45487</v>
      </c>
      <c r="B2" s="2" t="s">
        <v>73</v>
      </c>
      <c r="C2" s="2" t="s">
        <v>138</v>
      </c>
      <c r="D2" s="15" t="s">
        <v>77</v>
      </c>
      <c r="E2" s="15" t="s">
        <v>75</v>
      </c>
      <c r="F2" s="15" t="s">
        <v>76</v>
      </c>
      <c r="G2" s="6">
        <v>1230</v>
      </c>
      <c r="H2" s="15" t="s">
        <v>75</v>
      </c>
      <c r="I2" s="15" t="s">
        <v>75</v>
      </c>
      <c r="J2" s="2" t="s">
        <v>69</v>
      </c>
      <c r="K2" s="2" t="s">
        <v>69</v>
      </c>
      <c r="L2" s="7">
        <v>0.375</v>
      </c>
      <c r="M2" s="8">
        <v>0.375</v>
      </c>
      <c r="N2" s="2" t="s">
        <v>69</v>
      </c>
      <c r="O2" s="2" t="s">
        <v>69</v>
      </c>
      <c r="P2" s="2" t="s">
        <v>69</v>
      </c>
      <c r="Q2" s="2" t="s">
        <v>69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77C38-C872-4E0E-9CD0-DB2A231B22E4}">
  <dimension ref="A1:U11"/>
  <sheetViews>
    <sheetView workbookViewId="0">
      <selection activeCell="H23" sqref="H23"/>
    </sheetView>
  </sheetViews>
  <sheetFormatPr defaultRowHeight="15" x14ac:dyDescent="0.25"/>
  <cols>
    <col min="1" max="1" width="11.28515625" bestFit="1" customWidth="1"/>
    <col min="2" max="2" width="24.5703125" customWidth="1"/>
    <col min="3" max="3" width="17.7109375" customWidth="1"/>
    <col min="4" max="4" width="11" bestFit="1" customWidth="1"/>
    <col min="6" max="6" width="19.7109375" customWidth="1"/>
    <col min="7" max="7" width="9.28515625" bestFit="1" customWidth="1"/>
    <col min="9" max="9" width="9.7109375" bestFit="1" customWidth="1"/>
    <col min="10" max="10" width="11.140625" bestFit="1" customWidth="1"/>
    <col min="11" max="11" width="11" bestFit="1" customWidth="1"/>
    <col min="12" max="12" width="11.140625" bestFit="1" customWidth="1"/>
    <col min="13" max="13" width="11" bestFit="1" customWidth="1"/>
    <col min="14" max="14" width="18.42578125" bestFit="1" customWidth="1"/>
    <col min="15" max="15" width="13" customWidth="1"/>
    <col min="16" max="16" width="9.28515625" bestFit="1" customWidth="1"/>
    <col min="17" max="17" width="10.42578125" bestFit="1" customWidth="1"/>
    <col min="18" max="18" width="9.5703125" bestFit="1" customWidth="1"/>
    <col min="19" max="21" width="9.28515625" bestFit="1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s="4">
        <v>45488</v>
      </c>
      <c r="B2" s="2" t="s">
        <v>27</v>
      </c>
      <c r="C2" s="2" t="s">
        <v>31</v>
      </c>
      <c r="D2" s="3" t="s">
        <v>23</v>
      </c>
      <c r="E2" s="2" t="s">
        <v>150</v>
      </c>
      <c r="F2" s="3" t="s">
        <v>24</v>
      </c>
      <c r="G2" s="6">
        <v>71500</v>
      </c>
      <c r="H2" s="2" t="s">
        <v>32</v>
      </c>
      <c r="I2" s="2" t="s">
        <v>33</v>
      </c>
      <c r="J2" s="7">
        <v>0.42708333333333331</v>
      </c>
      <c r="K2" s="8">
        <v>0.42638888888888887</v>
      </c>
      <c r="L2" s="7">
        <v>0.4513888888888889</v>
      </c>
      <c r="M2" s="8">
        <v>0.45833333333333331</v>
      </c>
      <c r="N2" s="3" t="s">
        <v>63</v>
      </c>
      <c r="O2" s="3" t="s">
        <v>72</v>
      </c>
      <c r="P2" s="3">
        <v>1151</v>
      </c>
      <c r="Q2" s="3">
        <v>576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4">
        <v>45488</v>
      </c>
      <c r="B3" s="2" t="s">
        <v>21</v>
      </c>
      <c r="C3" s="3" t="s">
        <v>22</v>
      </c>
      <c r="D3" s="3" t="s">
        <v>23</v>
      </c>
      <c r="E3" s="3" t="s">
        <v>151</v>
      </c>
      <c r="F3" s="3" t="s">
        <v>24</v>
      </c>
      <c r="G3" s="6">
        <v>71500</v>
      </c>
      <c r="H3" s="3" t="s">
        <v>25</v>
      </c>
      <c r="I3" s="3" t="s">
        <v>26</v>
      </c>
      <c r="J3" s="1">
        <v>0.50347222222222221</v>
      </c>
      <c r="K3" s="5">
        <v>0.5</v>
      </c>
      <c r="L3" s="1">
        <v>0.52777777777777779</v>
      </c>
      <c r="M3" s="5">
        <v>0.5395833333333333</v>
      </c>
      <c r="N3" s="3" t="s">
        <v>152</v>
      </c>
      <c r="O3" s="3" t="s">
        <v>153</v>
      </c>
      <c r="P3" s="2">
        <v>1364</v>
      </c>
      <c r="Q3" s="2">
        <v>688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4">
        <v>45488</v>
      </c>
      <c r="B4" s="2" t="s">
        <v>27</v>
      </c>
      <c r="C4" s="2" t="s">
        <v>28</v>
      </c>
      <c r="D4" s="3" t="s">
        <v>23</v>
      </c>
      <c r="E4" s="2" t="s">
        <v>66</v>
      </c>
      <c r="F4" s="3" t="s">
        <v>24</v>
      </c>
      <c r="G4" s="6">
        <v>71500</v>
      </c>
      <c r="H4" s="2" t="s">
        <v>29</v>
      </c>
      <c r="I4" s="2" t="s">
        <v>30</v>
      </c>
      <c r="J4" s="7">
        <v>0.72222222222222221</v>
      </c>
      <c r="K4" s="8">
        <v>0.72291666666666676</v>
      </c>
      <c r="L4" s="7">
        <v>0.74305555555555547</v>
      </c>
      <c r="M4" s="8">
        <v>0.7583333333333333</v>
      </c>
      <c r="N4" s="3" t="s">
        <v>63</v>
      </c>
      <c r="O4" s="3" t="s">
        <v>57</v>
      </c>
      <c r="P4" s="2">
        <v>1329</v>
      </c>
      <c r="Q4" s="3">
        <v>553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4">
        <v>45488</v>
      </c>
      <c r="B5" s="2" t="s">
        <v>146</v>
      </c>
      <c r="C5" s="3" t="s">
        <v>147</v>
      </c>
      <c r="D5" s="3" t="s">
        <v>148</v>
      </c>
      <c r="E5" s="3" t="s">
        <v>149</v>
      </c>
      <c r="F5" s="3" t="s">
        <v>76</v>
      </c>
      <c r="G5" s="6">
        <v>2</v>
      </c>
      <c r="H5" s="3" t="s">
        <v>149</v>
      </c>
      <c r="I5" s="3" t="s">
        <v>149</v>
      </c>
      <c r="J5" s="8">
        <v>0.36805555555555558</v>
      </c>
      <c r="K5" s="8">
        <v>0.375</v>
      </c>
      <c r="L5" s="1">
        <v>0.38541666666666669</v>
      </c>
      <c r="M5" s="5">
        <v>0.39583333333333331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9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373EA-0F17-4C1B-9A75-456CC838113B}">
  <dimension ref="A1:U2"/>
  <sheetViews>
    <sheetView workbookViewId="0">
      <selection activeCell="H23" sqref="H23"/>
    </sheetView>
  </sheetViews>
  <sheetFormatPr defaultRowHeight="15" x14ac:dyDescent="0.25"/>
  <cols>
    <col min="2" max="2" width="21.7109375" customWidth="1"/>
    <col min="3" max="3" width="16.140625" customWidth="1"/>
    <col min="6" max="6" width="14.57031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9">
        <v>45489</v>
      </c>
      <c r="B2" s="2" t="s">
        <v>43</v>
      </c>
      <c r="C2" s="2" t="s">
        <v>44</v>
      </c>
      <c r="D2" s="2" t="s">
        <v>23</v>
      </c>
      <c r="E2" s="2" t="s">
        <v>101</v>
      </c>
      <c r="F2" s="2" t="s">
        <v>45</v>
      </c>
      <c r="G2" s="6">
        <v>77000</v>
      </c>
      <c r="H2" s="2" t="s">
        <v>46</v>
      </c>
      <c r="I2" s="2" t="s">
        <v>47</v>
      </c>
      <c r="J2" s="7">
        <v>0.3298611111111111</v>
      </c>
      <c r="K2" s="8">
        <v>0.34027777777777773</v>
      </c>
      <c r="L2" s="7">
        <v>0.37152777777777773</v>
      </c>
      <c r="M2" s="8">
        <v>0.3833333333333333</v>
      </c>
      <c r="N2" s="2" t="s">
        <v>154</v>
      </c>
      <c r="O2" s="2" t="s">
        <v>155</v>
      </c>
      <c r="P2" s="2">
        <v>2385</v>
      </c>
      <c r="Q2" s="2">
        <v>2136</v>
      </c>
      <c r="R2" s="2">
        <v>0</v>
      </c>
      <c r="S2" s="2">
        <v>0</v>
      </c>
      <c r="T2" s="2">
        <v>0</v>
      </c>
      <c r="U2" s="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470A4-D443-4224-BE7C-3BD57907BA30}">
  <dimension ref="A1:AD3"/>
  <sheetViews>
    <sheetView workbookViewId="0">
      <selection activeCell="H23" sqref="H23"/>
    </sheetView>
  </sheetViews>
  <sheetFormatPr defaultRowHeight="15" x14ac:dyDescent="0.25"/>
  <cols>
    <col min="2" max="2" width="22.28515625" customWidth="1"/>
    <col min="3" max="3" width="18.28515625" customWidth="1"/>
    <col min="6" max="6" width="15.85546875" customWidth="1"/>
    <col min="13" max="13" width="10.7109375" customWidth="1"/>
    <col min="14" max="14" width="14.140625" customWidth="1"/>
    <col min="15" max="15" width="17.42578125" customWidth="1"/>
  </cols>
  <sheetData>
    <row r="1" spans="1: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30" x14ac:dyDescent="0.25">
      <c r="A2" s="4">
        <v>45490</v>
      </c>
      <c r="B2" s="2" t="s">
        <v>27</v>
      </c>
      <c r="C2" s="2" t="s">
        <v>31</v>
      </c>
      <c r="D2" s="3" t="s">
        <v>23</v>
      </c>
      <c r="E2" s="2" t="s">
        <v>156</v>
      </c>
      <c r="F2" s="3" t="s">
        <v>24</v>
      </c>
      <c r="G2" s="6">
        <v>71500</v>
      </c>
      <c r="H2" s="2" t="s">
        <v>32</v>
      </c>
      <c r="I2" s="2" t="s">
        <v>33</v>
      </c>
      <c r="J2" s="7">
        <v>0.41666666666666669</v>
      </c>
      <c r="K2" s="8">
        <v>0.40138888888888885</v>
      </c>
      <c r="L2" s="7">
        <v>0.44097222222222227</v>
      </c>
      <c r="M2" s="8">
        <v>0.47638888888888892</v>
      </c>
      <c r="N2" s="3" t="s">
        <v>56</v>
      </c>
      <c r="O2" s="3" t="s">
        <v>158</v>
      </c>
      <c r="P2" s="3">
        <v>879</v>
      </c>
      <c r="Q2" s="3">
        <v>529</v>
      </c>
      <c r="R2" s="3">
        <v>0</v>
      </c>
      <c r="S2" s="3">
        <v>0</v>
      </c>
      <c r="T2" s="3">
        <v>0</v>
      </c>
      <c r="U2" s="3">
        <v>0</v>
      </c>
      <c r="V2" s="15"/>
      <c r="W2" s="15"/>
      <c r="X2" s="15"/>
      <c r="Y2" s="15"/>
      <c r="Z2" s="15"/>
      <c r="AA2" s="15"/>
      <c r="AB2" s="15"/>
      <c r="AC2" s="15"/>
      <c r="AD2" s="15"/>
    </row>
    <row r="3" spans="1:30" x14ac:dyDescent="0.25">
      <c r="A3" s="4">
        <v>45490</v>
      </c>
      <c r="B3" s="2" t="s">
        <v>27</v>
      </c>
      <c r="C3" s="2" t="s">
        <v>28</v>
      </c>
      <c r="D3" s="3" t="s">
        <v>23</v>
      </c>
      <c r="E3" s="2" t="s">
        <v>157</v>
      </c>
      <c r="F3" s="3" t="s">
        <v>24</v>
      </c>
      <c r="G3" s="6">
        <v>71500</v>
      </c>
      <c r="H3" s="2" t="s">
        <v>29</v>
      </c>
      <c r="I3" s="2" t="s">
        <v>30</v>
      </c>
      <c r="J3" s="7">
        <v>0.72222222222222221</v>
      </c>
      <c r="K3" s="8">
        <v>0.72083333333333333</v>
      </c>
      <c r="L3" s="7">
        <v>0.74305555555555547</v>
      </c>
      <c r="M3" s="8">
        <v>0.7680555555555556</v>
      </c>
      <c r="N3" s="3" t="s">
        <v>159</v>
      </c>
      <c r="O3" s="3" t="s">
        <v>160</v>
      </c>
      <c r="P3" s="2">
        <v>1460</v>
      </c>
      <c r="Q3" s="3">
        <v>784</v>
      </c>
      <c r="R3" s="3">
        <v>0</v>
      </c>
      <c r="S3" s="3">
        <v>0</v>
      </c>
      <c r="T3" s="3">
        <v>0</v>
      </c>
      <c r="U3" s="3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A9FC1-09D9-4347-A5F4-1F8E54BD0866}">
  <dimension ref="A1:U3"/>
  <sheetViews>
    <sheetView workbookViewId="0">
      <selection activeCell="H22" sqref="H22"/>
    </sheetView>
  </sheetViews>
  <sheetFormatPr defaultRowHeight="15" x14ac:dyDescent="0.25"/>
  <cols>
    <col min="1" max="1" width="7.85546875" bestFit="1" customWidth="1"/>
    <col min="2" max="2" width="24.5703125" customWidth="1"/>
    <col min="3" max="3" width="24.85546875" customWidth="1"/>
    <col min="4" max="4" width="8.42578125" customWidth="1"/>
    <col min="5" max="5" width="12.42578125" customWidth="1"/>
    <col min="6" max="6" width="13.7109375" customWidth="1"/>
    <col min="7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s="4">
        <v>45491</v>
      </c>
      <c r="B2" s="2" t="s">
        <v>43</v>
      </c>
      <c r="C2" s="2" t="s">
        <v>44</v>
      </c>
      <c r="D2" s="2" t="s">
        <v>23</v>
      </c>
      <c r="E2" s="2" t="s">
        <v>161</v>
      </c>
      <c r="F2" s="3" t="s">
        <v>45</v>
      </c>
      <c r="G2" s="6">
        <v>77000</v>
      </c>
      <c r="H2" s="2" t="s">
        <v>46</v>
      </c>
      <c r="I2" s="2" t="s">
        <v>47</v>
      </c>
      <c r="J2" s="7">
        <v>0.3298611111111111</v>
      </c>
      <c r="K2" s="8">
        <v>0.3298611111111111</v>
      </c>
      <c r="L2" s="7">
        <v>0.37152777777777773</v>
      </c>
      <c r="M2" s="8">
        <v>0.37152777777777773</v>
      </c>
      <c r="N2" s="2" t="s">
        <v>120</v>
      </c>
      <c r="O2" s="8" t="s">
        <v>63</v>
      </c>
      <c r="P2" s="2">
        <v>2302</v>
      </c>
      <c r="Q2" s="2">
        <v>2129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4">
        <v>45491</v>
      </c>
      <c r="B3" s="2" t="s">
        <v>59</v>
      </c>
      <c r="C3" s="2" t="s">
        <v>162</v>
      </c>
      <c r="D3" s="2" t="s">
        <v>60</v>
      </c>
      <c r="E3" s="2" t="s">
        <v>61</v>
      </c>
      <c r="F3" s="3" t="s">
        <v>62</v>
      </c>
      <c r="G3" s="6">
        <v>1900</v>
      </c>
      <c r="H3" s="2" t="s">
        <v>61</v>
      </c>
      <c r="I3" s="2" t="s">
        <v>61</v>
      </c>
      <c r="J3" s="7">
        <v>0.72916666666666663</v>
      </c>
      <c r="K3" s="8">
        <v>0.65416666666666667</v>
      </c>
      <c r="L3" s="7">
        <v>0.75</v>
      </c>
      <c r="M3" s="8">
        <v>0.67361111111111116</v>
      </c>
      <c r="N3" s="3">
        <v>2</v>
      </c>
      <c r="O3" s="3">
        <v>2</v>
      </c>
      <c r="P3" s="2" t="s">
        <v>69</v>
      </c>
      <c r="Q3" s="2" t="s">
        <v>69</v>
      </c>
      <c r="R3" s="2">
        <v>0</v>
      </c>
      <c r="S3" s="2">
        <v>0</v>
      </c>
      <c r="T3" s="2">
        <v>0</v>
      </c>
      <c r="U3" s="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E4557-6468-473C-9662-9E18616316B9}">
  <dimension ref="A1:U10"/>
  <sheetViews>
    <sheetView workbookViewId="0">
      <selection activeCell="J25" sqref="J25"/>
    </sheetView>
  </sheetViews>
  <sheetFormatPr defaultRowHeight="15" x14ac:dyDescent="0.25"/>
  <cols>
    <col min="1" max="1" width="8.140625" bestFit="1" customWidth="1"/>
    <col min="2" max="2" width="25.5703125" customWidth="1"/>
    <col min="3" max="3" width="17" customWidth="1"/>
    <col min="4" max="4" width="8.42578125" customWidth="1"/>
    <col min="5" max="5" width="10.7109375" customWidth="1"/>
    <col min="6" max="6" width="20.42578125" customWidth="1"/>
    <col min="7" max="7" width="10.42578125" bestFit="1" customWidth="1"/>
    <col min="8" max="9" width="11.5703125" bestFit="1" customWidth="1"/>
    <col min="10" max="10" width="13.42578125" bestFit="1" customWidth="1"/>
    <col min="11" max="11" width="13.28515625" bestFit="1" customWidth="1"/>
    <col min="12" max="12" width="13.42578125" bestFit="1" customWidth="1"/>
    <col min="13" max="13" width="13.28515625" bestFit="1" customWidth="1"/>
    <col min="14" max="14" width="17.140625" customWidth="1"/>
    <col min="15" max="15" width="16.28515625" customWidth="1"/>
    <col min="16" max="16" width="11.85546875" bestFit="1" customWidth="1"/>
    <col min="17" max="17" width="12" bestFit="1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9">
        <v>45492</v>
      </c>
      <c r="B2" s="2" t="s">
        <v>43</v>
      </c>
      <c r="C2" s="2" t="s">
        <v>44</v>
      </c>
      <c r="D2" s="2" t="s">
        <v>23</v>
      </c>
      <c r="E2" s="2" t="s">
        <v>126</v>
      </c>
      <c r="F2" s="2" t="s">
        <v>45</v>
      </c>
      <c r="G2" s="6">
        <v>77000</v>
      </c>
      <c r="H2" s="2" t="s">
        <v>46</v>
      </c>
      <c r="I2" s="2" t="s">
        <v>47</v>
      </c>
      <c r="J2" s="7">
        <v>0.3298611111111111</v>
      </c>
      <c r="K2" s="8">
        <v>0.33680555555555558</v>
      </c>
      <c r="L2" s="7">
        <v>0.37152777777777773</v>
      </c>
      <c r="M2" s="8">
        <v>0.62569444444444444</v>
      </c>
      <c r="N2" s="2" t="s">
        <v>154</v>
      </c>
      <c r="O2" s="2" t="s">
        <v>166</v>
      </c>
      <c r="P2" s="2">
        <v>2225</v>
      </c>
      <c r="Q2" s="2">
        <v>2064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9">
        <v>45492</v>
      </c>
      <c r="B3" s="2" t="s">
        <v>27</v>
      </c>
      <c r="C3" s="2" t="s">
        <v>31</v>
      </c>
      <c r="D3" s="2" t="s">
        <v>23</v>
      </c>
      <c r="E3" s="2" t="s">
        <v>164</v>
      </c>
      <c r="F3" s="2" t="s">
        <v>24</v>
      </c>
      <c r="G3" s="6">
        <v>71500</v>
      </c>
      <c r="H3" s="2" t="s">
        <v>32</v>
      </c>
      <c r="I3" s="2" t="s">
        <v>33</v>
      </c>
      <c r="J3" s="7">
        <v>0.42708333333333331</v>
      </c>
      <c r="K3" s="8">
        <v>0.54097222222222219</v>
      </c>
      <c r="L3" s="7">
        <v>0.4513888888888889</v>
      </c>
      <c r="M3" s="8" t="s">
        <v>171</v>
      </c>
      <c r="N3" s="2" t="s">
        <v>165</v>
      </c>
      <c r="O3" s="2" t="s">
        <v>163</v>
      </c>
      <c r="P3" s="2">
        <v>793</v>
      </c>
      <c r="Q3" s="2" t="s">
        <v>163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9">
        <v>45492</v>
      </c>
      <c r="B4" s="2" t="s">
        <v>21</v>
      </c>
      <c r="C4" s="2" t="s">
        <v>22</v>
      </c>
      <c r="D4" s="2" t="s">
        <v>23</v>
      </c>
      <c r="E4" s="2" t="s">
        <v>34</v>
      </c>
      <c r="F4" s="2" t="s">
        <v>24</v>
      </c>
      <c r="G4" s="6">
        <v>71500</v>
      </c>
      <c r="H4" s="2" t="s">
        <v>25</v>
      </c>
      <c r="I4" s="2" t="s">
        <v>26</v>
      </c>
      <c r="J4" s="7">
        <v>0.50347222222222221</v>
      </c>
      <c r="K4" s="8">
        <v>0.54305555555555551</v>
      </c>
      <c r="L4" s="7">
        <v>0.52777777777777779</v>
      </c>
      <c r="M4" s="8">
        <v>0.59236111111111112</v>
      </c>
      <c r="N4" s="2" t="s">
        <v>167</v>
      </c>
      <c r="O4" s="2" t="s">
        <v>172</v>
      </c>
      <c r="P4" s="2">
        <v>1178</v>
      </c>
      <c r="Q4" s="2">
        <v>702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9">
        <v>45492</v>
      </c>
      <c r="B5" s="2" t="s">
        <v>27</v>
      </c>
      <c r="C5" s="2" t="s">
        <v>28</v>
      </c>
      <c r="D5" s="2" t="s">
        <v>23</v>
      </c>
      <c r="E5" s="2" t="s">
        <v>156</v>
      </c>
      <c r="F5" s="2" t="s">
        <v>24</v>
      </c>
      <c r="G5" s="6">
        <v>71500</v>
      </c>
      <c r="H5" s="2" t="s">
        <v>29</v>
      </c>
      <c r="I5" s="2" t="s">
        <v>30</v>
      </c>
      <c r="J5" s="7">
        <v>0.72222222222222221</v>
      </c>
      <c r="K5" s="8" t="s">
        <v>171</v>
      </c>
      <c r="L5" s="7">
        <v>0.74305555555555547</v>
      </c>
      <c r="M5" s="8" t="s">
        <v>171</v>
      </c>
      <c r="N5" s="2" t="s">
        <v>171</v>
      </c>
      <c r="O5" s="2" t="s">
        <v>171</v>
      </c>
      <c r="P5" s="2" t="s">
        <v>171</v>
      </c>
      <c r="Q5" s="2" t="s">
        <v>171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9">
        <v>45492</v>
      </c>
      <c r="B6" s="2" t="s">
        <v>27</v>
      </c>
      <c r="C6" s="2" t="s">
        <v>168</v>
      </c>
      <c r="D6" s="2" t="s">
        <v>23</v>
      </c>
      <c r="E6" s="2" t="s">
        <v>164</v>
      </c>
      <c r="F6" s="15" t="s">
        <v>169</v>
      </c>
      <c r="G6" s="6">
        <v>71500</v>
      </c>
      <c r="H6" s="2" t="s">
        <v>69</v>
      </c>
      <c r="I6" s="2" t="s">
        <v>170</v>
      </c>
      <c r="J6" s="7" t="s">
        <v>69</v>
      </c>
      <c r="K6" s="8" t="s">
        <v>69</v>
      </c>
      <c r="L6" s="7">
        <v>0.54166666666666663</v>
      </c>
      <c r="M6" s="8">
        <v>0.58263888888888882</v>
      </c>
      <c r="N6" s="2">
        <v>0</v>
      </c>
      <c r="O6" s="2" t="s">
        <v>136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4"/>
      <c r="B7" s="2"/>
      <c r="C7" s="2"/>
      <c r="D7" s="15"/>
      <c r="E7" s="15"/>
      <c r="F7" s="15"/>
      <c r="G7" s="6"/>
      <c r="H7" s="15"/>
      <c r="I7" s="15"/>
      <c r="J7" s="7"/>
      <c r="K7" s="8"/>
      <c r="L7" s="7"/>
      <c r="M7" s="8"/>
      <c r="N7" s="2"/>
      <c r="O7" s="2"/>
      <c r="P7" s="2"/>
      <c r="Q7" s="2"/>
      <c r="R7" s="2"/>
      <c r="S7" s="2"/>
      <c r="T7" s="2"/>
      <c r="U7" s="2"/>
    </row>
    <row r="8" spans="1:21" x14ac:dyDescent="0.25">
      <c r="A8" s="4"/>
      <c r="B8" s="2"/>
      <c r="C8" s="2"/>
      <c r="D8" s="15"/>
      <c r="E8" s="15"/>
      <c r="F8" s="15"/>
      <c r="G8" s="6"/>
      <c r="H8" s="15"/>
      <c r="I8" s="15"/>
      <c r="J8" s="7"/>
      <c r="K8" s="8"/>
      <c r="L8" s="7"/>
      <c r="M8" s="8"/>
      <c r="N8" s="2"/>
      <c r="O8" s="2"/>
      <c r="P8" s="2"/>
      <c r="Q8" s="2"/>
      <c r="R8" s="2"/>
      <c r="S8" s="2"/>
      <c r="T8" s="2"/>
      <c r="U8" s="2"/>
    </row>
    <row r="9" spans="1:2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</sheetData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B3DE4-68EB-4F3F-9979-5AF3D2ACEBCE}">
  <dimension ref="A1:U5"/>
  <sheetViews>
    <sheetView workbookViewId="0">
      <selection activeCell="A2" sqref="A2:U2"/>
    </sheetView>
  </sheetViews>
  <sheetFormatPr defaultRowHeight="15" x14ac:dyDescent="0.25"/>
  <cols>
    <col min="1" max="1" width="8.140625" bestFit="1" customWidth="1"/>
    <col min="2" max="2" width="25.5703125" customWidth="1"/>
    <col min="3" max="3" width="17" customWidth="1"/>
    <col min="4" max="4" width="8.42578125" customWidth="1"/>
    <col min="5" max="5" width="10.7109375" customWidth="1"/>
    <col min="6" max="6" width="20.42578125" customWidth="1"/>
    <col min="7" max="7" width="10.42578125" bestFit="1" customWidth="1"/>
    <col min="8" max="9" width="11.5703125" bestFit="1" customWidth="1"/>
    <col min="10" max="10" width="13.42578125" bestFit="1" customWidth="1"/>
    <col min="11" max="11" width="13.28515625" bestFit="1" customWidth="1"/>
    <col min="12" max="12" width="13.42578125" bestFit="1" customWidth="1"/>
    <col min="13" max="13" width="13.28515625" bestFit="1" customWidth="1"/>
    <col min="14" max="14" width="17.140625" customWidth="1"/>
    <col min="15" max="15" width="16.28515625" customWidth="1"/>
    <col min="16" max="16" width="11.85546875" bestFit="1" customWidth="1"/>
    <col min="17" max="17" width="12" bestFit="1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4">
        <v>45493</v>
      </c>
      <c r="B2" s="2" t="s">
        <v>173</v>
      </c>
      <c r="C2" s="2" t="s">
        <v>174</v>
      </c>
      <c r="D2" s="15" t="s">
        <v>175</v>
      </c>
      <c r="E2" s="15" t="s">
        <v>176</v>
      </c>
      <c r="F2" s="15" t="s">
        <v>177</v>
      </c>
      <c r="G2" s="6">
        <v>4</v>
      </c>
      <c r="H2" s="15" t="s">
        <v>176</v>
      </c>
      <c r="I2" s="15" t="s">
        <v>176</v>
      </c>
      <c r="J2" s="7">
        <v>0.54166666666666663</v>
      </c>
      <c r="K2" s="8">
        <v>0.5708333333333333</v>
      </c>
      <c r="L2" s="7">
        <v>0.5625</v>
      </c>
      <c r="M2" s="8">
        <v>0.62291666666666667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4">
        <v>45493</v>
      </c>
      <c r="B3" s="2" t="s">
        <v>81</v>
      </c>
      <c r="C3" s="3" t="s">
        <v>44</v>
      </c>
      <c r="D3" s="3" t="s">
        <v>82</v>
      </c>
      <c r="E3" s="3" t="s">
        <v>137</v>
      </c>
      <c r="F3" s="3" t="s">
        <v>45</v>
      </c>
      <c r="G3" s="6">
        <v>66000</v>
      </c>
      <c r="H3" s="3" t="s">
        <v>83</v>
      </c>
      <c r="I3" s="3" t="s">
        <v>84</v>
      </c>
      <c r="J3" s="1">
        <v>0.73263888888888884</v>
      </c>
      <c r="K3" s="5">
        <v>0.86875000000000002</v>
      </c>
      <c r="L3" s="1">
        <v>0.77430555555555547</v>
      </c>
      <c r="M3" s="5">
        <v>0.92361111111111116</v>
      </c>
      <c r="N3" s="3" t="s">
        <v>178</v>
      </c>
      <c r="O3" s="3" t="s">
        <v>179</v>
      </c>
      <c r="P3" s="3">
        <v>1260</v>
      </c>
      <c r="Q3" s="3">
        <v>1296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519EA-98F1-4C52-980F-70CEE7F58505}">
  <dimension ref="A1:U5"/>
  <sheetViews>
    <sheetView workbookViewId="0">
      <selection activeCell="I23" sqref="I23"/>
    </sheetView>
  </sheetViews>
  <sheetFormatPr defaultRowHeight="15" x14ac:dyDescent="0.25"/>
  <cols>
    <col min="1" max="1" width="8.140625" bestFit="1" customWidth="1"/>
    <col min="2" max="2" width="25.5703125" customWidth="1"/>
    <col min="3" max="3" width="17" customWidth="1"/>
    <col min="4" max="4" width="8.42578125" customWidth="1"/>
    <col min="5" max="5" width="10.7109375" customWidth="1"/>
    <col min="6" max="6" width="20.42578125" customWidth="1"/>
    <col min="7" max="7" width="10.42578125" bestFit="1" customWidth="1"/>
    <col min="8" max="9" width="11.5703125" bestFit="1" customWidth="1"/>
    <col min="10" max="10" width="13.42578125" bestFit="1" customWidth="1"/>
    <col min="11" max="11" width="13.28515625" bestFit="1" customWidth="1"/>
    <col min="12" max="12" width="13.42578125" bestFit="1" customWidth="1"/>
    <col min="13" max="13" width="13.28515625" bestFit="1" customWidth="1"/>
    <col min="14" max="14" width="17.140625" customWidth="1"/>
    <col min="15" max="15" width="16.28515625" customWidth="1"/>
    <col min="16" max="16" width="11.85546875" bestFit="1" customWidth="1"/>
    <col min="17" max="17" width="12" bestFit="1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4">
        <v>45494</v>
      </c>
      <c r="B2" s="2" t="s">
        <v>180</v>
      </c>
      <c r="C2" s="2" t="s">
        <v>181</v>
      </c>
      <c r="D2" s="15" t="s">
        <v>182</v>
      </c>
      <c r="E2" s="15" t="s">
        <v>183</v>
      </c>
      <c r="F2" s="15" t="s">
        <v>177</v>
      </c>
      <c r="G2" s="6">
        <v>9163</v>
      </c>
      <c r="H2" s="15" t="s">
        <v>69</v>
      </c>
      <c r="I2" s="15" t="s">
        <v>69</v>
      </c>
      <c r="J2" s="7">
        <v>0.79166666666666663</v>
      </c>
      <c r="K2" s="8">
        <v>0.79999999999999993</v>
      </c>
      <c r="L2" s="7" t="s">
        <v>121</v>
      </c>
      <c r="M2" s="8" t="s">
        <v>121</v>
      </c>
      <c r="N2" s="2" t="s">
        <v>136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4"/>
      <c r="B3" s="2"/>
      <c r="C3" s="3"/>
      <c r="D3" s="3"/>
      <c r="E3" s="3"/>
      <c r="F3" s="3"/>
      <c r="G3" s="6"/>
      <c r="H3" s="3"/>
      <c r="I3" s="3"/>
      <c r="J3" s="1"/>
      <c r="K3" s="5"/>
      <c r="L3" s="1"/>
      <c r="M3" s="5"/>
      <c r="N3" s="3"/>
      <c r="O3" s="3"/>
      <c r="P3" s="3"/>
      <c r="Q3" s="3"/>
      <c r="R3" s="3"/>
      <c r="S3" s="3"/>
      <c r="T3" s="3"/>
      <c r="U3" s="3"/>
    </row>
    <row r="4" spans="1:2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3B3F7-12B4-4218-BFAD-3400C7740CF0}">
  <dimension ref="A1:U5"/>
  <sheetViews>
    <sheetView workbookViewId="0">
      <selection sqref="A1:U3"/>
    </sheetView>
  </sheetViews>
  <sheetFormatPr defaultRowHeight="15" x14ac:dyDescent="0.25"/>
  <cols>
    <col min="2" max="2" width="26" customWidth="1"/>
    <col min="3" max="3" width="15.42578125" customWidth="1"/>
    <col min="6" max="6" width="20.28515625" customWidth="1"/>
    <col min="14" max="14" width="14.42578125" customWidth="1"/>
    <col min="15" max="15" width="15.5703125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s="4">
        <v>45495</v>
      </c>
      <c r="B2" s="2" t="s">
        <v>27</v>
      </c>
      <c r="C2" s="2" t="s">
        <v>31</v>
      </c>
      <c r="D2" s="3" t="s">
        <v>23</v>
      </c>
      <c r="E2" s="2" t="s">
        <v>68</v>
      </c>
      <c r="F2" s="3" t="s">
        <v>24</v>
      </c>
      <c r="G2" s="6">
        <v>71500</v>
      </c>
      <c r="H2" s="2" t="s">
        <v>32</v>
      </c>
      <c r="I2" s="2" t="s">
        <v>33</v>
      </c>
      <c r="J2" s="7">
        <v>0.42708333333333331</v>
      </c>
      <c r="K2" s="8">
        <v>0.43263888888888885</v>
      </c>
      <c r="L2" s="7">
        <v>0.4513888888888889</v>
      </c>
      <c r="M2" s="8">
        <v>0.48541666666666666</v>
      </c>
      <c r="N2" s="3" t="s">
        <v>188</v>
      </c>
      <c r="O2" s="3" t="s">
        <v>189</v>
      </c>
      <c r="P2" s="3">
        <v>1048</v>
      </c>
      <c r="Q2" s="3">
        <v>739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4">
        <v>45495</v>
      </c>
      <c r="B3" s="2" t="s">
        <v>21</v>
      </c>
      <c r="C3" s="3" t="s">
        <v>22</v>
      </c>
      <c r="D3" s="3" t="s">
        <v>23</v>
      </c>
      <c r="E3" s="3" t="s">
        <v>184</v>
      </c>
      <c r="F3" s="3" t="s">
        <v>24</v>
      </c>
      <c r="G3" s="6">
        <v>71500</v>
      </c>
      <c r="H3" s="3" t="s">
        <v>25</v>
      </c>
      <c r="I3" s="3" t="s">
        <v>26</v>
      </c>
      <c r="J3" s="1">
        <v>0.50347222222222221</v>
      </c>
      <c r="K3" s="5">
        <v>0.50416666666666665</v>
      </c>
      <c r="L3" s="1">
        <v>0.52777777777777779</v>
      </c>
      <c r="M3" s="5">
        <v>0.57847222222222217</v>
      </c>
      <c r="N3" s="3" t="s">
        <v>190</v>
      </c>
      <c r="O3" s="3" t="s">
        <v>191</v>
      </c>
      <c r="P3" s="2">
        <v>1339</v>
      </c>
      <c r="Q3" s="2">
        <v>682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4">
        <v>45495</v>
      </c>
      <c r="B4" s="2" t="s">
        <v>185</v>
      </c>
      <c r="C4" s="2" t="s">
        <v>187</v>
      </c>
      <c r="D4" s="15" t="s">
        <v>182</v>
      </c>
      <c r="E4" s="15" t="s">
        <v>183</v>
      </c>
      <c r="F4" s="15" t="s">
        <v>177</v>
      </c>
      <c r="G4" s="6">
        <v>9163</v>
      </c>
      <c r="H4" s="15" t="s">
        <v>121</v>
      </c>
      <c r="I4" s="15" t="s">
        <v>186</v>
      </c>
      <c r="J4" s="7" t="s">
        <v>121</v>
      </c>
      <c r="K4" s="8" t="s">
        <v>121</v>
      </c>
      <c r="L4" s="7">
        <v>0.41666666666666669</v>
      </c>
      <c r="M4" s="8">
        <v>0.4375</v>
      </c>
      <c r="N4" s="2" t="s">
        <v>69</v>
      </c>
      <c r="O4" s="2">
        <v>2</v>
      </c>
      <c r="P4" s="2" t="s">
        <v>69</v>
      </c>
      <c r="Q4" s="2" t="s">
        <v>69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4">
        <v>45495</v>
      </c>
      <c r="B5" s="2" t="s">
        <v>27</v>
      </c>
      <c r="C5" s="2" t="s">
        <v>28</v>
      </c>
      <c r="D5" s="2" t="s">
        <v>23</v>
      </c>
      <c r="E5" s="2" t="s">
        <v>156</v>
      </c>
      <c r="F5" s="2" t="s">
        <v>24</v>
      </c>
      <c r="G5" s="6">
        <v>71500</v>
      </c>
      <c r="H5" s="2" t="s">
        <v>29</v>
      </c>
      <c r="I5" s="2" t="s">
        <v>30</v>
      </c>
      <c r="J5" s="7">
        <v>0.72222222222222221</v>
      </c>
      <c r="K5" s="8">
        <v>0.72777777777777775</v>
      </c>
      <c r="L5" s="7">
        <v>0.74305555555555547</v>
      </c>
      <c r="M5" s="8">
        <v>0.78472222222222221</v>
      </c>
      <c r="N5" s="2" t="s">
        <v>53</v>
      </c>
      <c r="O5" s="2" t="s">
        <v>192</v>
      </c>
      <c r="P5" s="2">
        <v>1511</v>
      </c>
      <c r="Q5" s="2">
        <v>869</v>
      </c>
      <c r="R5" s="2">
        <v>0</v>
      </c>
      <c r="S5" s="2">
        <v>0</v>
      </c>
      <c r="T5" s="2">
        <v>0</v>
      </c>
      <c r="U5" s="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92C97-F906-400E-B941-0BE5D1F030A5}">
  <dimension ref="A1:U2"/>
  <sheetViews>
    <sheetView workbookViewId="0">
      <selection activeCell="F9" sqref="F9"/>
    </sheetView>
  </sheetViews>
  <sheetFormatPr defaultRowHeight="15" x14ac:dyDescent="0.25"/>
  <cols>
    <col min="2" max="2" width="21.5703125" customWidth="1"/>
    <col min="3" max="3" width="14.28515625" customWidth="1"/>
    <col min="6" max="6" width="10.7109375" customWidth="1"/>
    <col min="14" max="14" width="11.140625" customWidth="1"/>
    <col min="15" max="15" width="12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s="4">
        <v>45496</v>
      </c>
      <c r="B2" s="2" t="s">
        <v>43</v>
      </c>
      <c r="C2" s="2" t="s">
        <v>44</v>
      </c>
      <c r="D2" s="2" t="s">
        <v>23</v>
      </c>
      <c r="E2" s="2" t="s">
        <v>101</v>
      </c>
      <c r="F2" s="3" t="s">
        <v>45</v>
      </c>
      <c r="G2" s="6">
        <v>77000</v>
      </c>
      <c r="H2" s="2" t="s">
        <v>46</v>
      </c>
      <c r="I2" s="2" t="s">
        <v>47</v>
      </c>
      <c r="J2" s="7">
        <v>0.3298611111111111</v>
      </c>
      <c r="K2" s="8">
        <v>0.32291666666666669</v>
      </c>
      <c r="L2" s="7">
        <v>0.37152777777777773</v>
      </c>
      <c r="M2" s="8">
        <v>0.3756944444444445</v>
      </c>
      <c r="N2" s="2" t="s">
        <v>193</v>
      </c>
      <c r="O2" s="8" t="s">
        <v>155</v>
      </c>
      <c r="P2" s="2">
        <v>2362</v>
      </c>
      <c r="Q2" s="2">
        <v>2150</v>
      </c>
      <c r="R2" s="2">
        <v>0</v>
      </c>
      <c r="S2" s="2">
        <v>0</v>
      </c>
      <c r="T2" s="2">
        <v>0</v>
      </c>
      <c r="U2" s="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20619-3332-43EA-A912-DE4A537E8367}">
  <dimension ref="A1:V5"/>
  <sheetViews>
    <sheetView workbookViewId="0">
      <selection sqref="A1:XFD3"/>
    </sheetView>
  </sheetViews>
  <sheetFormatPr defaultRowHeight="15" x14ac:dyDescent="0.25"/>
  <cols>
    <col min="2" max="2" width="20.140625" bestFit="1" customWidth="1"/>
    <col min="3" max="3" width="14" bestFit="1" customWidth="1"/>
    <col min="6" max="6" width="17" bestFit="1" customWidth="1"/>
    <col min="14" max="14" width="12" customWidth="1"/>
    <col min="15" max="15" width="11.85546875" customWidth="1"/>
  </cols>
  <sheetData>
    <row r="1" spans="1:2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2" x14ac:dyDescent="0.25">
      <c r="A2" s="4">
        <v>45497</v>
      </c>
      <c r="B2" s="2" t="s">
        <v>27</v>
      </c>
      <c r="C2" s="2" t="s">
        <v>31</v>
      </c>
      <c r="D2" s="3" t="s">
        <v>23</v>
      </c>
      <c r="E2" s="2" t="s">
        <v>194</v>
      </c>
      <c r="F2" s="3" t="s">
        <v>24</v>
      </c>
      <c r="G2" s="6">
        <v>71500</v>
      </c>
      <c r="H2" s="2" t="s">
        <v>32</v>
      </c>
      <c r="I2" s="2" t="s">
        <v>33</v>
      </c>
      <c r="J2" s="7">
        <v>0.41666666666666669</v>
      </c>
      <c r="K2" s="8">
        <v>0.40833333333333338</v>
      </c>
      <c r="L2" s="7">
        <v>0.44097222222222227</v>
      </c>
      <c r="M2" s="8">
        <v>0.47013888888888888</v>
      </c>
      <c r="N2" s="3" t="s">
        <v>195</v>
      </c>
      <c r="O2" s="3" t="s">
        <v>199</v>
      </c>
      <c r="P2" s="3">
        <v>1051</v>
      </c>
      <c r="Q2" s="3">
        <v>694</v>
      </c>
      <c r="R2" s="3">
        <v>0</v>
      </c>
      <c r="S2" s="3">
        <v>0</v>
      </c>
      <c r="T2" s="3">
        <v>0</v>
      </c>
      <c r="U2" s="3">
        <v>0</v>
      </c>
    </row>
    <row r="3" spans="1:22" x14ac:dyDescent="0.25">
      <c r="A3" s="4">
        <v>45497</v>
      </c>
      <c r="B3" s="2" t="s">
        <v>27</v>
      </c>
      <c r="C3" s="2" t="s">
        <v>28</v>
      </c>
      <c r="D3" s="2" t="s">
        <v>23</v>
      </c>
      <c r="E3" s="2" t="s">
        <v>68</v>
      </c>
      <c r="F3" s="2" t="s">
        <v>24</v>
      </c>
      <c r="G3" s="6">
        <v>71500</v>
      </c>
      <c r="H3" s="2" t="s">
        <v>29</v>
      </c>
      <c r="I3" s="2" t="s">
        <v>30</v>
      </c>
      <c r="J3" s="7">
        <v>0.72222222222222221</v>
      </c>
      <c r="K3" s="8">
        <v>0.71944444444444444</v>
      </c>
      <c r="L3" s="7">
        <v>0.74305555555555547</v>
      </c>
      <c r="M3" s="8">
        <v>0.76388888888888884</v>
      </c>
      <c r="N3" s="3" t="s">
        <v>53</v>
      </c>
      <c r="O3" s="2" t="s">
        <v>165</v>
      </c>
      <c r="P3" s="2">
        <v>1357</v>
      </c>
      <c r="Q3" s="2">
        <v>1336</v>
      </c>
      <c r="R3" s="2">
        <v>0</v>
      </c>
      <c r="S3" s="2">
        <v>0</v>
      </c>
      <c r="T3" s="2">
        <v>0</v>
      </c>
      <c r="U3" s="2">
        <v>0</v>
      </c>
    </row>
    <row r="4" spans="1:22" x14ac:dyDescent="0.25">
      <c r="A4" s="4">
        <v>45497</v>
      </c>
      <c r="B4" s="28" t="s">
        <v>196</v>
      </c>
      <c r="C4" t="s">
        <v>197</v>
      </c>
      <c r="D4" s="28" t="s">
        <v>142</v>
      </c>
      <c r="E4" s="2" t="s">
        <v>198</v>
      </c>
      <c r="F4" s="2" t="s">
        <v>24</v>
      </c>
      <c r="G4" s="6">
        <v>4900</v>
      </c>
      <c r="H4" s="2" t="s">
        <v>198</v>
      </c>
      <c r="I4" s="2" t="s">
        <v>198</v>
      </c>
      <c r="J4" s="7">
        <v>0.3888888888888889</v>
      </c>
      <c r="K4" s="8">
        <v>0.45069444444444445</v>
      </c>
      <c r="L4" s="7">
        <v>0.66666666666666663</v>
      </c>
      <c r="M4" s="8">
        <v>0.47222222222222227</v>
      </c>
      <c r="N4" s="3">
        <v>4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/>
    </row>
    <row r="5" spans="1:22" x14ac:dyDescent="0.25">
      <c r="A5" s="4">
        <v>45497</v>
      </c>
      <c r="B5" s="2" t="s">
        <v>173</v>
      </c>
      <c r="C5" s="2" t="s">
        <v>200</v>
      </c>
      <c r="D5" s="15" t="s">
        <v>175</v>
      </c>
      <c r="E5" s="15" t="s">
        <v>176</v>
      </c>
      <c r="F5" s="15" t="s">
        <v>177</v>
      </c>
      <c r="G5" s="6">
        <v>4</v>
      </c>
      <c r="H5" s="15" t="s">
        <v>176</v>
      </c>
      <c r="I5" s="15" t="s">
        <v>176</v>
      </c>
      <c r="J5" s="7">
        <v>0.45833333333333331</v>
      </c>
      <c r="K5" s="8">
        <v>0.46875</v>
      </c>
      <c r="L5" s="7">
        <v>0.47916666666666669</v>
      </c>
      <c r="M5" s="8">
        <v>0.50972222222222219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C7540-359B-4848-B987-48FE63264523}">
  <dimension ref="A1:U8"/>
  <sheetViews>
    <sheetView workbookViewId="0">
      <selection activeCell="D12" sqref="D12"/>
    </sheetView>
  </sheetViews>
  <sheetFormatPr defaultRowHeight="15" x14ac:dyDescent="0.25"/>
  <cols>
    <col min="1" max="1" width="11.5703125" customWidth="1"/>
    <col min="2" max="2" width="22.5703125" customWidth="1"/>
    <col min="3" max="3" width="16.140625" customWidth="1"/>
    <col min="5" max="5" width="12.7109375" customWidth="1"/>
    <col min="6" max="6" width="20.28515625" customWidth="1"/>
    <col min="7" max="7" width="9.42578125" bestFit="1" customWidth="1"/>
    <col min="10" max="13" width="9.42578125" bestFit="1" customWidth="1"/>
    <col min="14" max="14" width="13.42578125" customWidth="1"/>
    <col min="15" max="15" width="14.5703125" customWidth="1"/>
    <col min="16" max="21" width="9.42578125" bestFit="1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s="4">
        <v>45498</v>
      </c>
      <c r="B2" s="2" t="s">
        <v>43</v>
      </c>
      <c r="C2" s="2" t="s">
        <v>44</v>
      </c>
      <c r="D2" s="3" t="s">
        <v>23</v>
      </c>
      <c r="E2" s="2" t="s">
        <v>201</v>
      </c>
      <c r="F2" s="3" t="s">
        <v>45</v>
      </c>
      <c r="G2" s="6">
        <v>77000</v>
      </c>
      <c r="H2" s="2" t="s">
        <v>46</v>
      </c>
      <c r="I2" s="2" t="s">
        <v>47</v>
      </c>
      <c r="J2" s="7">
        <v>0.3298611111111111</v>
      </c>
      <c r="K2" s="8">
        <v>0.33958333333333335</v>
      </c>
      <c r="L2" s="7">
        <v>0.37152777777777773</v>
      </c>
      <c r="M2" s="8">
        <v>0.38680555555555557</v>
      </c>
      <c r="N2" s="3" t="s">
        <v>63</v>
      </c>
      <c r="O2" s="3" t="s">
        <v>155</v>
      </c>
      <c r="P2" s="3">
        <v>2271</v>
      </c>
      <c r="Q2" s="3">
        <v>2066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4">
        <v>45498</v>
      </c>
      <c r="B3" s="2" t="s">
        <v>73</v>
      </c>
      <c r="C3" s="2" t="s">
        <v>74</v>
      </c>
      <c r="D3" s="15" t="s">
        <v>77</v>
      </c>
      <c r="E3" s="15" t="s">
        <v>75</v>
      </c>
      <c r="F3" s="15" t="s">
        <v>76</v>
      </c>
      <c r="G3" s="6">
        <v>2</v>
      </c>
      <c r="H3" s="15" t="s">
        <v>75</v>
      </c>
      <c r="I3" s="15" t="s">
        <v>75</v>
      </c>
      <c r="J3" s="8">
        <v>0.5625</v>
      </c>
      <c r="K3" s="8">
        <v>0.55833333333333335</v>
      </c>
      <c r="L3" s="30"/>
      <c r="M3" s="30"/>
      <c r="N3" s="3">
        <v>0</v>
      </c>
      <c r="O3" s="30"/>
      <c r="P3" s="2">
        <v>0</v>
      </c>
      <c r="Q3" s="30"/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</sheetData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D4730-4B78-4010-9969-562A7319F693}">
  <dimension ref="A1:U10"/>
  <sheetViews>
    <sheetView workbookViewId="0">
      <selection activeCell="B5" sqref="B5:U5"/>
    </sheetView>
  </sheetViews>
  <sheetFormatPr defaultRowHeight="15" x14ac:dyDescent="0.25"/>
  <cols>
    <col min="1" max="1" width="8.140625" bestFit="1" customWidth="1"/>
    <col min="2" max="2" width="25.5703125" customWidth="1"/>
    <col min="3" max="3" width="17" customWidth="1"/>
    <col min="4" max="4" width="8.42578125" customWidth="1"/>
    <col min="5" max="5" width="10.7109375" customWidth="1"/>
    <col min="6" max="6" width="20.42578125" customWidth="1"/>
    <col min="7" max="7" width="10.42578125" bestFit="1" customWidth="1"/>
    <col min="8" max="9" width="11.5703125" bestFit="1" customWidth="1"/>
    <col min="10" max="10" width="13.42578125" bestFit="1" customWidth="1"/>
    <col min="11" max="11" width="13.28515625" bestFit="1" customWidth="1"/>
    <col min="12" max="12" width="13.42578125" bestFit="1" customWidth="1"/>
    <col min="13" max="13" width="13.28515625" bestFit="1" customWidth="1"/>
    <col min="14" max="14" width="17.140625" customWidth="1"/>
    <col min="15" max="15" width="16.28515625" customWidth="1"/>
    <col min="16" max="16" width="11.85546875" bestFit="1" customWidth="1"/>
    <col min="17" max="17" width="12" bestFit="1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9">
        <v>45499</v>
      </c>
      <c r="B2" s="2" t="s">
        <v>43</v>
      </c>
      <c r="C2" s="2" t="s">
        <v>44</v>
      </c>
      <c r="D2" s="2" t="s">
        <v>23</v>
      </c>
      <c r="E2" s="2" t="s">
        <v>126</v>
      </c>
      <c r="F2" s="2" t="s">
        <v>45</v>
      </c>
      <c r="G2" s="6">
        <v>77000</v>
      </c>
      <c r="H2" s="2" t="s">
        <v>46</v>
      </c>
      <c r="I2" s="2" t="s">
        <v>47</v>
      </c>
      <c r="J2" s="7">
        <v>0.3298611111111111</v>
      </c>
      <c r="K2" s="8">
        <v>0.33958333333333335</v>
      </c>
      <c r="L2" s="7">
        <v>0.37152777777777773</v>
      </c>
      <c r="M2" s="8">
        <v>0.3833333333333333</v>
      </c>
      <c r="N2" s="2" t="s">
        <v>208</v>
      </c>
      <c r="O2" s="2" t="s">
        <v>114</v>
      </c>
      <c r="P2" s="2">
        <v>22221</v>
      </c>
      <c r="Q2" s="2">
        <v>2055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9">
        <v>45499</v>
      </c>
      <c r="B3" s="2" t="s">
        <v>27</v>
      </c>
      <c r="C3" s="2" t="s">
        <v>31</v>
      </c>
      <c r="D3" s="2" t="s">
        <v>23</v>
      </c>
      <c r="E3" s="2" t="s">
        <v>90</v>
      </c>
      <c r="F3" s="2" t="s">
        <v>24</v>
      </c>
      <c r="G3" s="6">
        <v>71500</v>
      </c>
      <c r="H3" s="2" t="s">
        <v>32</v>
      </c>
      <c r="I3" s="2" t="s">
        <v>33</v>
      </c>
      <c r="J3" s="7">
        <v>0.42708333333333331</v>
      </c>
      <c r="K3" s="8">
        <v>0.42569444444444443</v>
      </c>
      <c r="L3" s="7">
        <v>0.4513888888888889</v>
      </c>
      <c r="M3" s="8">
        <v>0.50069444444444444</v>
      </c>
      <c r="N3" s="2" t="s">
        <v>167</v>
      </c>
      <c r="O3" s="2" t="s">
        <v>54</v>
      </c>
      <c r="P3" s="2">
        <v>1202</v>
      </c>
      <c r="Q3" s="2">
        <v>1003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9">
        <v>45499</v>
      </c>
      <c r="B4" s="2" t="s">
        <v>21</v>
      </c>
      <c r="C4" s="2" t="s">
        <v>22</v>
      </c>
      <c r="D4" s="2" t="s">
        <v>23</v>
      </c>
      <c r="E4" s="2" t="s">
        <v>151</v>
      </c>
      <c r="F4" s="2" t="s">
        <v>24</v>
      </c>
      <c r="G4" s="6">
        <v>71500</v>
      </c>
      <c r="H4" s="2" t="s">
        <v>25</v>
      </c>
      <c r="I4" s="2" t="s">
        <v>26</v>
      </c>
      <c r="J4" s="7">
        <v>0.50347222222222221</v>
      </c>
      <c r="K4" s="8">
        <v>0.5</v>
      </c>
      <c r="L4" s="7">
        <v>0.52777777777777779</v>
      </c>
      <c r="M4" s="8">
        <v>0.54097222222222219</v>
      </c>
      <c r="N4" s="2" t="s">
        <v>209</v>
      </c>
      <c r="O4" s="2" t="s">
        <v>40</v>
      </c>
      <c r="P4" s="2">
        <v>1304</v>
      </c>
      <c r="Q4" s="2">
        <v>1099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9">
        <v>45499</v>
      </c>
      <c r="B5" s="2" t="s">
        <v>27</v>
      </c>
      <c r="C5" s="2" t="s">
        <v>28</v>
      </c>
      <c r="D5" s="2" t="s">
        <v>23</v>
      </c>
      <c r="E5" s="2" t="s">
        <v>211</v>
      </c>
      <c r="F5" s="2" t="s">
        <v>24</v>
      </c>
      <c r="G5" s="6">
        <v>71500</v>
      </c>
      <c r="H5" s="2" t="s">
        <v>29</v>
      </c>
      <c r="I5" s="2" t="s">
        <v>30</v>
      </c>
      <c r="J5" s="7">
        <v>0.72222222222222221</v>
      </c>
      <c r="K5" s="8">
        <v>0.7270833333333333</v>
      </c>
      <c r="L5" s="7">
        <v>0.74305555555555547</v>
      </c>
      <c r="M5" s="8">
        <v>0.78055555555555556</v>
      </c>
      <c r="N5" s="2" t="s">
        <v>165</v>
      </c>
      <c r="O5" s="2" t="s">
        <v>210</v>
      </c>
      <c r="P5" s="2">
        <v>1373</v>
      </c>
      <c r="Q5" s="2">
        <v>1205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9">
        <v>45499</v>
      </c>
      <c r="B6" s="2" t="s">
        <v>73</v>
      </c>
      <c r="C6" s="2" t="s">
        <v>133</v>
      </c>
      <c r="D6" s="15" t="s">
        <v>77</v>
      </c>
      <c r="E6" s="15" t="s">
        <v>75</v>
      </c>
      <c r="F6" s="15" t="s">
        <v>76</v>
      </c>
      <c r="G6" s="6">
        <v>1230</v>
      </c>
      <c r="H6" s="15" t="s">
        <v>75</v>
      </c>
      <c r="I6" s="15" t="s">
        <v>75</v>
      </c>
      <c r="J6" s="7">
        <v>0.56944444444444442</v>
      </c>
      <c r="K6" s="8">
        <v>0.78472222222222221</v>
      </c>
      <c r="L6" s="7">
        <v>0.375</v>
      </c>
      <c r="M6" s="8">
        <v>0.3888888888888889</v>
      </c>
      <c r="N6" s="2">
        <f>-O10</f>
        <v>0</v>
      </c>
      <c r="O6" s="2" t="s">
        <v>69</v>
      </c>
      <c r="P6" s="2" t="s">
        <v>69</v>
      </c>
      <c r="Q6" s="2" t="s">
        <v>69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9">
        <v>45499</v>
      </c>
      <c r="B7" s="2" t="s">
        <v>202</v>
      </c>
      <c r="C7" s="2" t="s">
        <v>203</v>
      </c>
      <c r="D7" s="2" t="s">
        <v>204</v>
      </c>
      <c r="E7" s="2" t="s">
        <v>205</v>
      </c>
      <c r="F7" s="15" t="s">
        <v>76</v>
      </c>
      <c r="G7" s="2">
        <v>22</v>
      </c>
      <c r="H7" s="2" t="s">
        <v>206</v>
      </c>
      <c r="I7" s="2" t="s">
        <v>207</v>
      </c>
      <c r="J7" s="7">
        <v>0.46527777777777773</v>
      </c>
      <c r="K7" s="8">
        <v>0.46875</v>
      </c>
      <c r="L7" s="7">
        <v>0.5</v>
      </c>
      <c r="M7" s="8">
        <v>0.50347222222222221</v>
      </c>
      <c r="N7" s="2">
        <v>0</v>
      </c>
      <c r="O7" s="2">
        <v>1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</row>
    <row r="9" spans="1:2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9A044-B942-4EC5-82D0-3F5DC6F2A61D}">
  <dimension ref="A1:U5"/>
  <sheetViews>
    <sheetView workbookViewId="0">
      <selection activeCell="G20" sqref="G20"/>
    </sheetView>
  </sheetViews>
  <sheetFormatPr defaultRowHeight="15" x14ac:dyDescent="0.25"/>
  <cols>
    <col min="1" max="1" width="8.140625" bestFit="1" customWidth="1"/>
    <col min="2" max="2" width="25.5703125" customWidth="1"/>
    <col min="3" max="3" width="17" customWidth="1"/>
    <col min="4" max="4" width="8.42578125" customWidth="1"/>
    <col min="5" max="5" width="10.7109375" customWidth="1"/>
    <col min="6" max="6" width="20.42578125" customWidth="1"/>
    <col min="7" max="7" width="10.42578125" bestFit="1" customWidth="1"/>
    <col min="8" max="9" width="11.5703125" bestFit="1" customWidth="1"/>
    <col min="10" max="10" width="13.42578125" bestFit="1" customWidth="1"/>
    <col min="11" max="11" width="13.28515625" bestFit="1" customWidth="1"/>
    <col min="12" max="12" width="13.42578125" bestFit="1" customWidth="1"/>
    <col min="13" max="13" width="13.28515625" bestFit="1" customWidth="1"/>
    <col min="14" max="14" width="17.140625" customWidth="1"/>
    <col min="15" max="15" width="16.28515625" customWidth="1"/>
    <col min="16" max="16" width="11.85546875" bestFit="1" customWidth="1"/>
    <col min="17" max="17" width="12" bestFit="1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4">
        <v>45500</v>
      </c>
      <c r="B2" s="2" t="s">
        <v>73</v>
      </c>
      <c r="C2" s="2" t="s">
        <v>212</v>
      </c>
      <c r="D2" s="15" t="s">
        <v>77</v>
      </c>
      <c r="E2" s="15" t="s">
        <v>75</v>
      </c>
      <c r="F2" s="15" t="s">
        <v>213</v>
      </c>
      <c r="G2" s="6">
        <v>1230</v>
      </c>
      <c r="H2" s="15" t="s">
        <v>75</v>
      </c>
      <c r="I2" s="15" t="s">
        <v>75</v>
      </c>
      <c r="J2" s="7">
        <v>0.54166666666666663</v>
      </c>
      <c r="K2" s="8">
        <v>0.58333333333333337</v>
      </c>
      <c r="L2" s="7">
        <v>0.375</v>
      </c>
      <c r="M2" s="8">
        <v>0.36805555555555558</v>
      </c>
      <c r="N2" s="2">
        <f>-O6</f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4">
        <v>45500</v>
      </c>
      <c r="B3" s="2" t="s">
        <v>81</v>
      </c>
      <c r="C3" s="3" t="s">
        <v>44</v>
      </c>
      <c r="D3" s="3" t="s">
        <v>82</v>
      </c>
      <c r="E3" s="3" t="s">
        <v>137</v>
      </c>
      <c r="F3" s="3" t="s">
        <v>45</v>
      </c>
      <c r="G3" s="6">
        <v>66000</v>
      </c>
      <c r="H3" s="3" t="s">
        <v>83</v>
      </c>
      <c r="I3" s="3" t="s">
        <v>84</v>
      </c>
      <c r="J3" s="1">
        <v>0.73263888888888884</v>
      </c>
      <c r="K3" s="5">
        <v>0.76388888888888884</v>
      </c>
      <c r="L3" s="1">
        <v>0.77430555555555547</v>
      </c>
      <c r="M3" s="5">
        <v>0.81111111111111101</v>
      </c>
      <c r="N3" s="3" t="s">
        <v>217</v>
      </c>
      <c r="O3" s="3" t="s">
        <v>218</v>
      </c>
      <c r="P3" s="3">
        <v>1500</v>
      </c>
      <c r="Q3" s="3">
        <v>1525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9">
        <v>45500</v>
      </c>
      <c r="B4" s="2" t="s">
        <v>214</v>
      </c>
      <c r="C4" s="2" t="s">
        <v>215</v>
      </c>
      <c r="D4" s="2" t="s">
        <v>216</v>
      </c>
      <c r="E4" s="2" t="s">
        <v>186</v>
      </c>
      <c r="F4" s="2" t="s">
        <v>108</v>
      </c>
      <c r="G4" s="2">
        <v>9100</v>
      </c>
      <c r="H4" s="2" t="s">
        <v>69</v>
      </c>
      <c r="I4" s="2" t="s">
        <v>69</v>
      </c>
      <c r="J4" s="7">
        <v>0.84375</v>
      </c>
      <c r="K4" s="2"/>
      <c r="L4" s="2" t="s">
        <v>121</v>
      </c>
      <c r="M4" s="2" t="s">
        <v>121</v>
      </c>
      <c r="N4" s="2">
        <v>2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</sheetData>
  <pageMargins left="0.7" right="0.7" top="0.75" bottom="0.7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3C38F-558F-4677-B940-242D34DC9E14}">
  <dimension ref="A1:U4"/>
  <sheetViews>
    <sheetView workbookViewId="0">
      <selection activeCell="B2" sqref="B2:U2"/>
    </sheetView>
  </sheetViews>
  <sheetFormatPr defaultRowHeight="15" x14ac:dyDescent="0.25"/>
  <cols>
    <col min="2" max="2" width="19.28515625" customWidth="1"/>
    <col min="3" max="3" width="19.1406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4">
        <v>45501</v>
      </c>
      <c r="B2" s="2" t="s">
        <v>73</v>
      </c>
      <c r="C2" s="2" t="s">
        <v>212</v>
      </c>
      <c r="D2" s="15" t="s">
        <v>77</v>
      </c>
      <c r="E2" s="15" t="s">
        <v>75</v>
      </c>
      <c r="F2" s="15" t="s">
        <v>213</v>
      </c>
      <c r="G2" s="6">
        <v>1230</v>
      </c>
      <c r="H2" s="15" t="s">
        <v>75</v>
      </c>
      <c r="I2" s="15" t="s">
        <v>75</v>
      </c>
      <c r="J2" s="7">
        <v>0.54166666666666663</v>
      </c>
      <c r="K2" s="8">
        <v>0.53472222222222221</v>
      </c>
      <c r="L2" s="7">
        <v>0.375</v>
      </c>
      <c r="M2" s="8">
        <v>0.36944444444444446</v>
      </c>
      <c r="N2" s="2" t="s">
        <v>69</v>
      </c>
      <c r="O2" s="2" t="s">
        <v>69</v>
      </c>
      <c r="P2" s="2" t="s">
        <v>69</v>
      </c>
      <c r="Q2" s="2" t="s">
        <v>69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4">
        <v>45501</v>
      </c>
      <c r="B3" s="2" t="s">
        <v>214</v>
      </c>
      <c r="C3" s="2" t="s">
        <v>219</v>
      </c>
      <c r="D3" s="2" t="s">
        <v>216</v>
      </c>
      <c r="E3" s="2" t="s">
        <v>186</v>
      </c>
      <c r="F3" s="2" t="s">
        <v>108</v>
      </c>
      <c r="G3" s="2">
        <v>9100</v>
      </c>
      <c r="H3" s="2" t="s">
        <v>69</v>
      </c>
      <c r="I3" s="2" t="s">
        <v>186</v>
      </c>
      <c r="J3" s="7" t="s">
        <v>121</v>
      </c>
      <c r="K3" s="2" t="s">
        <v>121</v>
      </c>
      <c r="L3" s="7">
        <v>0.33333333333333331</v>
      </c>
      <c r="M3" s="8">
        <v>0.34097222222222223</v>
      </c>
      <c r="N3" s="2" t="s">
        <v>69</v>
      </c>
      <c r="O3" s="2" t="s">
        <v>69</v>
      </c>
      <c r="P3" s="2" t="s">
        <v>69</v>
      </c>
      <c r="Q3" s="2" t="s">
        <v>69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4">
        <v>45501</v>
      </c>
      <c r="B4" s="2" t="s">
        <v>73</v>
      </c>
      <c r="C4" s="2" t="s">
        <v>212</v>
      </c>
      <c r="D4" s="15" t="s">
        <v>77</v>
      </c>
      <c r="E4" s="15" t="s">
        <v>75</v>
      </c>
      <c r="F4" s="15" t="s">
        <v>213</v>
      </c>
      <c r="G4" s="6">
        <v>1230</v>
      </c>
      <c r="H4" s="15" t="s">
        <v>75</v>
      </c>
      <c r="I4" s="15" t="s">
        <v>75</v>
      </c>
      <c r="J4" s="7">
        <v>0.77083333333333337</v>
      </c>
      <c r="K4" s="8">
        <v>0.76250000000000007</v>
      </c>
      <c r="L4" s="7">
        <v>0.60416666666666663</v>
      </c>
      <c r="M4" s="8">
        <v>0.58402777777777781</v>
      </c>
      <c r="N4" s="2" t="s">
        <v>69</v>
      </c>
      <c r="O4" s="2" t="s">
        <v>69</v>
      </c>
      <c r="P4" s="2" t="s">
        <v>69</v>
      </c>
      <c r="Q4" s="2" t="s">
        <v>69</v>
      </c>
      <c r="R4" s="2">
        <v>0</v>
      </c>
      <c r="S4" s="2">
        <v>0</v>
      </c>
      <c r="T4" s="2">
        <v>0</v>
      </c>
      <c r="U4" s="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F7C7E-D08C-49C6-974C-29FDB5FE8500}">
  <dimension ref="A1:U17"/>
  <sheetViews>
    <sheetView workbookViewId="0">
      <selection activeCell="F16" sqref="F16"/>
    </sheetView>
  </sheetViews>
  <sheetFormatPr defaultRowHeight="15" x14ac:dyDescent="0.25"/>
  <cols>
    <col min="1" max="1" width="13.85546875" bestFit="1" customWidth="1"/>
    <col min="2" max="2" width="28" customWidth="1"/>
    <col min="3" max="3" width="16.85546875" customWidth="1"/>
    <col min="5" max="5" width="13.28515625" customWidth="1"/>
    <col min="6" max="6" width="16.140625" customWidth="1"/>
    <col min="7" max="7" width="9.28515625" bestFit="1" customWidth="1"/>
    <col min="10" max="10" width="9.28515625" bestFit="1" customWidth="1"/>
    <col min="12" max="12" width="9.28515625" bestFit="1" customWidth="1"/>
    <col min="18" max="21" width="9.28515625" bestFit="1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s="4">
        <v>45502</v>
      </c>
      <c r="B2" s="2" t="s">
        <v>27</v>
      </c>
      <c r="C2" s="2" t="s">
        <v>31</v>
      </c>
      <c r="D2" s="3" t="s">
        <v>23</v>
      </c>
      <c r="E2" s="2" t="s">
        <v>157</v>
      </c>
      <c r="F2" s="3" t="s">
        <v>24</v>
      </c>
      <c r="G2" s="6">
        <v>71500</v>
      </c>
      <c r="H2" s="2" t="s">
        <v>32</v>
      </c>
      <c r="I2" s="2" t="s">
        <v>33</v>
      </c>
      <c r="J2" s="7">
        <v>0.42708333333333331</v>
      </c>
      <c r="K2" s="8">
        <v>0.41666666666666669</v>
      </c>
      <c r="L2" s="7">
        <v>0.4513888888888889</v>
      </c>
      <c r="M2" s="8">
        <v>0.46111111111111108</v>
      </c>
      <c r="N2" s="3" t="s">
        <v>225</v>
      </c>
      <c r="O2" s="3" t="s">
        <v>199</v>
      </c>
      <c r="P2" s="3">
        <v>1102</v>
      </c>
      <c r="Q2" s="3">
        <v>953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4">
        <v>45502</v>
      </c>
      <c r="B3" s="2" t="s">
        <v>21</v>
      </c>
      <c r="C3" s="3" t="s">
        <v>22</v>
      </c>
      <c r="D3" s="3" t="s">
        <v>23</v>
      </c>
      <c r="E3" s="3" t="s">
        <v>184</v>
      </c>
      <c r="F3" s="3" t="s">
        <v>24</v>
      </c>
      <c r="G3" s="6">
        <v>71500</v>
      </c>
      <c r="H3" s="3" t="s">
        <v>25</v>
      </c>
      <c r="I3" s="3" t="s">
        <v>26</v>
      </c>
      <c r="J3" s="1">
        <v>0.50347222222222221</v>
      </c>
      <c r="K3" s="5">
        <v>0.5</v>
      </c>
      <c r="L3" s="1">
        <v>0.52777777777777779</v>
      </c>
      <c r="M3" s="5">
        <v>0.55138888888888882</v>
      </c>
      <c r="N3" s="3" t="s">
        <v>226</v>
      </c>
      <c r="O3" s="3" t="s">
        <v>172</v>
      </c>
      <c r="P3" s="2">
        <v>1056</v>
      </c>
      <c r="Q3" s="2">
        <v>853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9">
        <v>45502</v>
      </c>
      <c r="B4" s="2" t="s">
        <v>27</v>
      </c>
      <c r="C4" s="2" t="s">
        <v>28</v>
      </c>
      <c r="D4" s="2" t="s">
        <v>23</v>
      </c>
      <c r="E4" s="2" t="s">
        <v>68</v>
      </c>
      <c r="F4" s="2" t="s">
        <v>24</v>
      </c>
      <c r="G4" s="6">
        <v>71500</v>
      </c>
      <c r="H4" s="2" t="s">
        <v>29</v>
      </c>
      <c r="I4" s="2" t="s">
        <v>30</v>
      </c>
      <c r="J4" s="7">
        <v>0.72222222222222221</v>
      </c>
      <c r="K4" s="8">
        <v>0.7597222222222223</v>
      </c>
      <c r="L4" s="7">
        <v>0.74305555555555547</v>
      </c>
      <c r="M4" s="8">
        <v>0.7993055555555556</v>
      </c>
      <c r="N4" s="2" t="s">
        <v>40</v>
      </c>
      <c r="O4" s="2" t="s">
        <v>229</v>
      </c>
      <c r="P4" s="2">
        <v>1127</v>
      </c>
      <c r="Q4" s="2">
        <v>958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9">
        <v>45502</v>
      </c>
      <c r="B5" s="2" t="s">
        <v>73</v>
      </c>
      <c r="C5" s="2" t="s">
        <v>212</v>
      </c>
      <c r="D5" s="15" t="s">
        <v>77</v>
      </c>
      <c r="E5" s="15" t="s">
        <v>75</v>
      </c>
      <c r="F5" s="15" t="s">
        <v>213</v>
      </c>
      <c r="G5" s="6">
        <v>1230</v>
      </c>
      <c r="H5" s="15" t="s">
        <v>75</v>
      </c>
      <c r="I5" s="15" t="s">
        <v>75</v>
      </c>
      <c r="J5" s="7">
        <v>0.54166666666666663</v>
      </c>
      <c r="K5" s="8">
        <v>0.55555555555555558</v>
      </c>
      <c r="L5" s="7">
        <v>0.375</v>
      </c>
      <c r="M5" s="8">
        <v>0.3923611111111111</v>
      </c>
      <c r="N5" s="2" t="s">
        <v>69</v>
      </c>
      <c r="O5" s="2" t="s">
        <v>69</v>
      </c>
      <c r="P5" s="2" t="s">
        <v>69</v>
      </c>
      <c r="Q5" s="2" t="s">
        <v>69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9">
        <v>45502</v>
      </c>
      <c r="B6" s="2" t="s">
        <v>220</v>
      </c>
      <c r="C6" s="2" t="s">
        <v>223</v>
      </c>
      <c r="D6" s="2" t="s">
        <v>221</v>
      </c>
      <c r="E6" s="2" t="s">
        <v>222</v>
      </c>
      <c r="F6" s="2" t="s">
        <v>213</v>
      </c>
      <c r="G6" s="2">
        <v>4670</v>
      </c>
      <c r="H6" s="2" t="s">
        <v>224</v>
      </c>
      <c r="I6" s="2" t="s">
        <v>224</v>
      </c>
      <c r="J6" s="7">
        <v>0.5625</v>
      </c>
      <c r="K6" s="8">
        <v>0.55902777777777779</v>
      </c>
      <c r="L6" s="7">
        <v>0.60416666666666663</v>
      </c>
      <c r="M6" s="8">
        <v>0.59027777777777779</v>
      </c>
      <c r="N6" s="2">
        <v>1</v>
      </c>
      <c r="O6" s="2" t="s">
        <v>227</v>
      </c>
      <c r="P6" s="2" t="s">
        <v>69</v>
      </c>
      <c r="Q6" s="2" t="s">
        <v>69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9">
        <v>45502</v>
      </c>
      <c r="B7" s="2" t="s">
        <v>73</v>
      </c>
      <c r="C7" s="2" t="s">
        <v>212</v>
      </c>
      <c r="D7" s="15" t="s">
        <v>77</v>
      </c>
      <c r="E7" s="15" t="s">
        <v>75</v>
      </c>
      <c r="F7" s="15" t="s">
        <v>213</v>
      </c>
      <c r="G7" s="6">
        <v>1230</v>
      </c>
      <c r="H7" s="15" t="s">
        <v>75</v>
      </c>
      <c r="I7" s="15" t="s">
        <v>75</v>
      </c>
      <c r="J7" s="7">
        <v>0.75</v>
      </c>
      <c r="K7" s="8">
        <v>0.7597222222222223</v>
      </c>
      <c r="L7" s="7">
        <v>0.60416666666666663</v>
      </c>
      <c r="M7" s="8">
        <v>0.59722222222222221</v>
      </c>
      <c r="N7" s="2" t="s">
        <v>69</v>
      </c>
      <c r="O7" s="2" t="s">
        <v>69</v>
      </c>
      <c r="P7" s="2" t="s">
        <v>69</v>
      </c>
      <c r="Q7" s="2" t="s">
        <v>69</v>
      </c>
      <c r="R7" s="2">
        <v>0</v>
      </c>
      <c r="S7" s="2">
        <v>0</v>
      </c>
      <c r="T7" s="2">
        <v>0</v>
      </c>
      <c r="U7" s="2">
        <v>0</v>
      </c>
    </row>
    <row r="8" spans="1:21" x14ac:dyDescent="0.25">
      <c r="A8" s="9">
        <v>45502</v>
      </c>
      <c r="B8" s="2" t="s">
        <v>220</v>
      </c>
      <c r="C8" s="2" t="s">
        <v>228</v>
      </c>
      <c r="D8" s="2" t="s">
        <v>221</v>
      </c>
      <c r="E8" s="2" t="s">
        <v>222</v>
      </c>
      <c r="F8" s="2" t="s">
        <v>213</v>
      </c>
      <c r="G8" s="2">
        <v>4670</v>
      </c>
      <c r="H8" s="2" t="s">
        <v>224</v>
      </c>
      <c r="I8" s="2" t="s">
        <v>224</v>
      </c>
      <c r="J8" s="7">
        <v>0.72916666666666663</v>
      </c>
      <c r="K8" s="8">
        <v>0.73958333333333337</v>
      </c>
      <c r="L8" s="7">
        <v>0.6875</v>
      </c>
      <c r="M8" s="8">
        <v>0.6875</v>
      </c>
      <c r="N8" s="2">
        <v>2</v>
      </c>
      <c r="O8" s="2" t="s">
        <v>227</v>
      </c>
      <c r="P8" s="2" t="s">
        <v>69</v>
      </c>
      <c r="Q8" s="2" t="s">
        <v>69</v>
      </c>
      <c r="R8" s="2">
        <v>0</v>
      </c>
      <c r="S8" s="2">
        <v>0</v>
      </c>
      <c r="T8" s="2">
        <v>0</v>
      </c>
      <c r="U8" s="2">
        <v>0</v>
      </c>
    </row>
    <row r="9" spans="1:2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</sheetData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64E04-D2BE-4C3C-93DF-C71C9AB83BAF}">
  <dimension ref="A1:U15"/>
  <sheetViews>
    <sheetView workbookViewId="0">
      <selection activeCell="M6" sqref="M6"/>
    </sheetView>
  </sheetViews>
  <sheetFormatPr defaultRowHeight="15" x14ac:dyDescent="0.25"/>
  <cols>
    <col min="1" max="1" width="12.140625" customWidth="1"/>
    <col min="2" max="2" width="23.42578125" customWidth="1"/>
    <col min="3" max="3" width="20.28515625" customWidth="1"/>
    <col min="6" max="6" width="10.7109375" customWidth="1"/>
    <col min="7" max="7" width="9.28515625" bestFit="1" customWidth="1"/>
    <col min="10" max="13" width="9.28515625" bestFit="1" customWidth="1"/>
    <col min="14" max="14" width="11.140625" customWidth="1"/>
    <col min="15" max="15" width="12" customWidth="1"/>
    <col min="16" max="21" width="9.28515625" bestFit="1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s="4">
        <v>45503</v>
      </c>
      <c r="B2" s="2" t="s">
        <v>43</v>
      </c>
      <c r="C2" s="2" t="s">
        <v>44</v>
      </c>
      <c r="D2" s="2" t="s">
        <v>23</v>
      </c>
      <c r="E2" s="2" t="s">
        <v>101</v>
      </c>
      <c r="F2" s="3" t="s">
        <v>45</v>
      </c>
      <c r="G2" s="6">
        <v>77000</v>
      </c>
      <c r="H2" s="2" t="s">
        <v>46</v>
      </c>
      <c r="I2" s="2" t="s">
        <v>47</v>
      </c>
      <c r="J2" s="7">
        <v>0.3298611111111111</v>
      </c>
      <c r="K2" s="8">
        <v>0.32291666666666669</v>
      </c>
      <c r="L2" s="7">
        <v>0.37152777777777773</v>
      </c>
      <c r="M2" s="8">
        <v>0.3756944444444445</v>
      </c>
      <c r="N2" s="2" t="s">
        <v>234</v>
      </c>
      <c r="O2" s="8" t="s">
        <v>63</v>
      </c>
      <c r="P2" s="2">
        <v>2288</v>
      </c>
      <c r="Q2" s="2">
        <v>2152</v>
      </c>
      <c r="R2" s="2">
        <v>0</v>
      </c>
      <c r="S2" s="2">
        <v>0</v>
      </c>
      <c r="T2" s="2">
        <v>0</v>
      </c>
      <c r="U2" s="2">
        <v>0</v>
      </c>
    </row>
    <row r="3" spans="1:21" s="28" customFormat="1" ht="12.75" x14ac:dyDescent="0.2">
      <c r="A3" s="9">
        <v>45503</v>
      </c>
      <c r="B3" s="2" t="s">
        <v>230</v>
      </c>
      <c r="C3" s="2" t="s">
        <v>235</v>
      </c>
      <c r="D3" s="2" t="s">
        <v>232</v>
      </c>
      <c r="E3" s="2" t="s">
        <v>233</v>
      </c>
      <c r="F3" s="2" t="s">
        <v>231</v>
      </c>
      <c r="G3" s="2">
        <v>22000</v>
      </c>
      <c r="H3" s="2" t="s">
        <v>206</v>
      </c>
      <c r="I3" s="2" t="s">
        <v>207</v>
      </c>
      <c r="J3" s="7">
        <v>0.42708333333333331</v>
      </c>
      <c r="K3" s="8">
        <v>0.4236111111111111</v>
      </c>
      <c r="L3" s="7">
        <v>0.51041666666666663</v>
      </c>
      <c r="M3" s="8">
        <v>0.54513888888888895</v>
      </c>
      <c r="N3" s="2">
        <v>0</v>
      </c>
      <c r="O3" s="2">
        <v>1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9">
        <v>45503</v>
      </c>
      <c r="B4" s="2" t="s">
        <v>73</v>
      </c>
      <c r="C4" s="2" t="s">
        <v>236</v>
      </c>
      <c r="D4" s="15" t="s">
        <v>77</v>
      </c>
      <c r="E4" s="15" t="s">
        <v>75</v>
      </c>
      <c r="F4" s="15" t="s">
        <v>213</v>
      </c>
      <c r="G4" s="6">
        <v>1230</v>
      </c>
      <c r="H4" s="15" t="s">
        <v>75</v>
      </c>
      <c r="I4" s="15" t="s">
        <v>75</v>
      </c>
      <c r="J4" s="7">
        <v>0.60416666666666663</v>
      </c>
      <c r="K4" s="8">
        <v>0.61527777777777781</v>
      </c>
      <c r="L4" s="7">
        <v>0.64583333333333337</v>
      </c>
      <c r="M4" s="8">
        <v>0.63888888888888895</v>
      </c>
      <c r="N4" s="2" t="s">
        <v>69</v>
      </c>
      <c r="O4" s="2" t="s">
        <v>69</v>
      </c>
      <c r="P4" s="2" t="s">
        <v>69</v>
      </c>
      <c r="Q4" s="2" t="s">
        <v>69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9">
        <v>45503</v>
      </c>
      <c r="B5" s="2" t="s">
        <v>230</v>
      </c>
      <c r="C5" s="2" t="s">
        <v>235</v>
      </c>
      <c r="D5" s="2" t="s">
        <v>232</v>
      </c>
      <c r="E5" s="2" t="s">
        <v>237</v>
      </c>
      <c r="F5" s="2" t="s">
        <v>231</v>
      </c>
      <c r="G5" s="2">
        <v>22000</v>
      </c>
      <c r="H5" s="2" t="s">
        <v>238</v>
      </c>
      <c r="I5" s="2" t="s">
        <v>239</v>
      </c>
      <c r="J5" s="7">
        <v>0.86458333333333337</v>
      </c>
      <c r="K5" s="8">
        <v>0.8534722222222223</v>
      </c>
      <c r="L5" s="7">
        <v>0.89583333333333337</v>
      </c>
      <c r="M5" s="8">
        <v>0.8340277777777777</v>
      </c>
      <c r="N5" s="2">
        <v>0</v>
      </c>
      <c r="O5" s="2">
        <v>2</v>
      </c>
      <c r="P5" s="2" t="s">
        <v>69</v>
      </c>
      <c r="Q5" s="2" t="s">
        <v>69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</sheetData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BD0FF-6D0B-46F4-91B1-C7CF0F4EA03D}">
  <dimension ref="A1:U11"/>
  <sheetViews>
    <sheetView tabSelected="1" workbookViewId="0">
      <selection activeCell="M6" sqref="M6"/>
    </sheetView>
  </sheetViews>
  <sheetFormatPr defaultRowHeight="15" x14ac:dyDescent="0.25"/>
  <cols>
    <col min="1" max="1" width="12.140625" customWidth="1"/>
    <col min="2" max="2" width="23.140625" customWidth="1"/>
    <col min="3" max="3" width="18.140625" customWidth="1"/>
    <col min="5" max="5" width="9.5703125" bestFit="1" customWidth="1"/>
    <col min="6" max="6" width="12.140625" bestFit="1" customWidth="1"/>
    <col min="7" max="7" width="12.42578125" bestFit="1" customWidth="1"/>
    <col min="8" max="9" width="9.85546875" bestFit="1" customWidth="1"/>
    <col min="10" max="10" width="10.28515625" bestFit="1" customWidth="1"/>
    <col min="11" max="11" width="10.42578125" bestFit="1" customWidth="1"/>
    <col min="12" max="12" width="10.28515625" bestFit="1" customWidth="1"/>
    <col min="13" max="13" width="10.42578125" bestFit="1" customWidth="1"/>
    <col min="14" max="15" width="18.5703125" bestFit="1" customWidth="1"/>
    <col min="16" max="21" width="9.28515625" bestFit="1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s="4">
        <v>45504</v>
      </c>
      <c r="B2" s="2" t="s">
        <v>27</v>
      </c>
      <c r="C2" s="2" t="s">
        <v>31</v>
      </c>
      <c r="D2" s="3" t="s">
        <v>23</v>
      </c>
      <c r="E2" s="2" t="s">
        <v>164</v>
      </c>
      <c r="F2" s="3" t="s">
        <v>24</v>
      </c>
      <c r="G2" s="6">
        <v>71500</v>
      </c>
      <c r="H2" s="2" t="s">
        <v>32</v>
      </c>
      <c r="I2" s="2" t="s">
        <v>33</v>
      </c>
      <c r="J2" s="7">
        <v>0.41666666666666669</v>
      </c>
      <c r="K2" s="8">
        <v>0.41388888888888892</v>
      </c>
      <c r="L2" s="7">
        <v>0.44097222222222227</v>
      </c>
      <c r="M2" s="8">
        <v>0.45347222222222222</v>
      </c>
      <c r="N2" s="3" t="s">
        <v>56</v>
      </c>
      <c r="O2" s="3" t="s">
        <v>241</v>
      </c>
      <c r="P2" s="3">
        <v>843</v>
      </c>
      <c r="Q2" s="3">
        <v>606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4">
        <v>45504</v>
      </c>
      <c r="B3" s="2" t="s">
        <v>27</v>
      </c>
      <c r="C3" s="2" t="s">
        <v>28</v>
      </c>
      <c r="D3" s="2" t="s">
        <v>23</v>
      </c>
      <c r="E3" s="2" t="s">
        <v>240</v>
      </c>
      <c r="F3" s="2" t="s">
        <v>24</v>
      </c>
      <c r="G3" s="6">
        <v>71500</v>
      </c>
      <c r="H3" s="2" t="s">
        <v>29</v>
      </c>
      <c r="I3" s="2" t="s">
        <v>30</v>
      </c>
      <c r="J3" s="7">
        <v>0.72222222222222221</v>
      </c>
      <c r="K3" s="8">
        <v>0.74305555555555547</v>
      </c>
      <c r="L3" s="7">
        <v>0.74305555555555547</v>
      </c>
      <c r="M3" s="8">
        <v>0.81944444444444453</v>
      </c>
      <c r="N3" s="3" t="s">
        <v>98</v>
      </c>
      <c r="O3" s="2" t="s">
        <v>57</v>
      </c>
      <c r="P3" s="2">
        <v>1344</v>
      </c>
      <c r="Q3" s="2">
        <v>1165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4">
        <v>45504</v>
      </c>
      <c r="B4" s="2" t="s">
        <v>242</v>
      </c>
      <c r="C4" s="2" t="s">
        <v>243</v>
      </c>
      <c r="D4" s="2" t="s">
        <v>244</v>
      </c>
      <c r="E4" s="2" t="s">
        <v>245</v>
      </c>
      <c r="F4" s="2" t="s">
        <v>108</v>
      </c>
      <c r="G4" s="2">
        <v>3921</v>
      </c>
      <c r="H4" s="2" t="s">
        <v>246</v>
      </c>
      <c r="I4" s="2" t="s">
        <v>247</v>
      </c>
      <c r="J4" s="7">
        <v>0.53263888888888888</v>
      </c>
      <c r="K4" s="8">
        <v>0.52986111111111112</v>
      </c>
      <c r="L4" s="7">
        <v>0.57291666666666663</v>
      </c>
      <c r="M4" s="8">
        <v>0.57847222222222217</v>
      </c>
      <c r="N4" s="3">
        <v>3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1" spans="1:21" x14ac:dyDescent="0.25">
      <c r="H11" s="3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2024-07-31T17:39:42Z</dcterms:modified>
</cp:coreProperties>
</file>