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C159948-0BFE-425F-89A4-B6377EE03676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36" r:id="rId14"/>
    <sheet name="15" sheetId="37" r:id="rId15"/>
    <sheet name="16" sheetId="38" r:id="rId16"/>
    <sheet name="17" sheetId="39" r:id="rId17"/>
    <sheet name="18" sheetId="40" r:id="rId18"/>
    <sheet name="19" sheetId="41" r:id="rId19"/>
    <sheet name="20" sheetId="42" r:id="rId20"/>
    <sheet name="21" sheetId="46" r:id="rId21"/>
    <sheet name="22" sheetId="47" r:id="rId22"/>
    <sheet name="23" sheetId="48" r:id="rId23"/>
    <sheet name="24" sheetId="49" r:id="rId24"/>
    <sheet name="25" sheetId="50" r:id="rId25"/>
    <sheet name="26" sheetId="51" r:id="rId26"/>
    <sheet name="27" sheetId="52" r:id="rId27"/>
    <sheet name="28" sheetId="53" r:id="rId28"/>
    <sheet name="29" sheetId="54" r:id="rId29"/>
    <sheet name="30" sheetId="55" r:id="rId30"/>
    <sheet name="31" sheetId="56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6" l="1"/>
</calcChain>
</file>

<file path=xl/sharedStrings.xml><?xml version="1.0" encoding="utf-8"?>
<sst xmlns="http://schemas.openxmlformats.org/spreadsheetml/2006/main" count="1416" uniqueCount="287">
  <si>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</si>
  <si>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</si>
  <si>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</si>
  <si>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</si>
  <si>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</si>
  <si>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</si>
  <si>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</si>
  <si>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</si>
  <si>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</si>
  <si>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</si>
  <si>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</si>
  <si>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</si>
  <si>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</si>
  <si>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</si>
  <si>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</si>
  <si>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</si>
  <si>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</si>
  <si>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</si>
  <si>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</si>
  <si>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</si>
  <si>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</si>
  <si>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HUNGARY LTD</t>
  </si>
  <si>
    <t>MLH-TZL-MLH</t>
  </si>
  <si>
    <t>A320</t>
  </si>
  <si>
    <t>SCHEDULED</t>
  </si>
  <si>
    <t>W64294</t>
  </si>
  <si>
    <t>W64293</t>
  </si>
  <si>
    <t>WIZZAIR MALTA LTD</t>
  </si>
  <si>
    <t>DTM-TZL-DTM</t>
  </si>
  <si>
    <t>W44298</t>
  </si>
  <si>
    <t>W44297</t>
  </si>
  <si>
    <t>FMM-TZL-FMM</t>
  </si>
  <si>
    <t>W44280</t>
  </si>
  <si>
    <t>W44279</t>
  </si>
  <si>
    <t>FREEBIRD AIRLINES</t>
  </si>
  <si>
    <t>AYT-TZL-AYT</t>
  </si>
  <si>
    <t>CHARTER</t>
  </si>
  <si>
    <t>FH821</t>
  </si>
  <si>
    <t>FH822</t>
  </si>
  <si>
    <t>180+5 INF</t>
  </si>
  <si>
    <t>180+4 INF</t>
  </si>
  <si>
    <t>9H-WBJ</t>
  </si>
  <si>
    <t>-</t>
  </si>
  <si>
    <t>170+5 INF</t>
  </si>
  <si>
    <t>NON-SCHEDULED</t>
  </si>
  <si>
    <t>TAILWIND AIRLINES</t>
  </si>
  <si>
    <t>B737</t>
  </si>
  <si>
    <t>TWI171F</t>
  </si>
  <si>
    <t>TWI172</t>
  </si>
  <si>
    <t>TC-TLA</t>
  </si>
  <si>
    <t>9H-WZS</t>
  </si>
  <si>
    <t>173+7 INF</t>
  </si>
  <si>
    <t>TC-FHG</t>
  </si>
  <si>
    <t>178+3 INF</t>
  </si>
  <si>
    <t>TC-GMA</t>
  </si>
  <si>
    <t>179+4 INF</t>
  </si>
  <si>
    <t>C172F</t>
  </si>
  <si>
    <t>E7-CAR</t>
  </si>
  <si>
    <t>C525</t>
  </si>
  <si>
    <t>180+2 INF</t>
  </si>
  <si>
    <t>9H-WDA</t>
  </si>
  <si>
    <t>180+3 INF</t>
  </si>
  <si>
    <t>9H-WZU</t>
  </si>
  <si>
    <t>177+4 INF</t>
  </si>
  <si>
    <t>BE9L</t>
  </si>
  <si>
    <t>9A-LAN</t>
  </si>
  <si>
    <t>CREW</t>
  </si>
  <si>
    <t>177+3 INF</t>
  </si>
  <si>
    <t>C510</t>
  </si>
  <si>
    <t>GLOBEAIR</t>
  </si>
  <si>
    <t>AERO FENIX</t>
  </si>
  <si>
    <t>BTS-TZL-LNZ</t>
  </si>
  <si>
    <t>CILJUGE-TZL-BTW</t>
  </si>
  <si>
    <t>GAC113E</t>
  </si>
  <si>
    <t>GAC113F</t>
  </si>
  <si>
    <t>TCFHP</t>
  </si>
  <si>
    <t>HA-LYK</t>
  </si>
  <si>
    <t>HA-LYF</t>
  </si>
  <si>
    <t>172+2 INF</t>
  </si>
  <si>
    <t>179+3 INF</t>
  </si>
  <si>
    <t>Airport Mali Losinj Ltd</t>
  </si>
  <si>
    <t>LSZ-TZL-ZAG</t>
  </si>
  <si>
    <t>gp</t>
  </si>
  <si>
    <t>HA-LWR</t>
  </si>
  <si>
    <t>W64280</t>
  </si>
  <si>
    <t>W64279</t>
  </si>
  <si>
    <t>SOF-TZL-FMM</t>
  </si>
  <si>
    <t>9H-WAU</t>
  </si>
  <si>
    <t>W6420</t>
  </si>
  <si>
    <t>FMM-TZL-VAR</t>
  </si>
  <si>
    <t>W6422</t>
  </si>
  <si>
    <t>174+3 INF</t>
  </si>
  <si>
    <t>125+2 INF</t>
  </si>
  <si>
    <t>152+0 INF</t>
  </si>
  <si>
    <t>BWK-TZL-LQCG</t>
  </si>
  <si>
    <t>AERO KLUB FENIX</t>
  </si>
  <si>
    <t>NONSCHEDULED</t>
  </si>
  <si>
    <t>E7CAR</t>
  </si>
  <si>
    <t>AIR EXPLORE</t>
  </si>
  <si>
    <t>BTS-TZL</t>
  </si>
  <si>
    <t>OMEDE</t>
  </si>
  <si>
    <t>AXE387P</t>
  </si>
  <si>
    <t>AXE302</t>
  </si>
  <si>
    <t>RON</t>
  </si>
  <si>
    <t>TZL-SHJ</t>
  </si>
  <si>
    <t>175+3 INF</t>
  </si>
  <si>
    <t>180+7 INF</t>
  </si>
  <si>
    <t>178+1 INF</t>
  </si>
  <si>
    <t>177+2INF</t>
  </si>
  <si>
    <t>TC-FBR</t>
  </si>
  <si>
    <t>HA-LWU</t>
  </si>
  <si>
    <t>179+5 INF</t>
  </si>
  <si>
    <t>165+5 INF</t>
  </si>
  <si>
    <t>160+4 INF</t>
  </si>
  <si>
    <t>165+4 INF</t>
  </si>
  <si>
    <t>166+2 INF</t>
  </si>
  <si>
    <t>OEDZZ</t>
  </si>
  <si>
    <t>SR22</t>
  </si>
  <si>
    <t>GRZ-TZL</t>
  </si>
  <si>
    <t>ROBERT.S</t>
  </si>
  <si>
    <t>173+4INF</t>
  </si>
  <si>
    <t>176+9 INF</t>
  </si>
  <si>
    <t>176+3 INF</t>
  </si>
  <si>
    <t>ALPFLY</t>
  </si>
  <si>
    <t xml:space="preserve">BNX-TZL </t>
  </si>
  <si>
    <t>PA34</t>
  </si>
  <si>
    <t>OE-FAL</t>
  </si>
  <si>
    <t>PRIVATNI LET</t>
  </si>
  <si>
    <t>3+0 INF</t>
  </si>
  <si>
    <t>TCFHG</t>
  </si>
  <si>
    <t xml:space="preserve">LUXEMBOURG AIR AMBULANCES  </t>
  </si>
  <si>
    <t>LUX-TZL-LYS</t>
  </si>
  <si>
    <t>LJ45</t>
  </si>
  <si>
    <t>LX-RSQ</t>
  </si>
  <si>
    <t>LRQ460K</t>
  </si>
  <si>
    <t>180+5INF</t>
  </si>
  <si>
    <t>172+5INF</t>
  </si>
  <si>
    <t>174+8 INF</t>
  </si>
  <si>
    <t>181+4INF</t>
  </si>
  <si>
    <t>173+4 INF</t>
  </si>
  <si>
    <t>ARMIN NESIREN</t>
  </si>
  <si>
    <t>BEG-TZL-LQVI</t>
  </si>
  <si>
    <t>C172M</t>
  </si>
  <si>
    <t>E7AAN</t>
  </si>
  <si>
    <t>RAPID AVIATION</t>
  </si>
  <si>
    <t>BEG-TZL-LNZ</t>
  </si>
  <si>
    <t>T7-ACA</t>
  </si>
  <si>
    <t>T7ACA</t>
  </si>
  <si>
    <t>89+1 INF</t>
  </si>
  <si>
    <t>149+0 INF</t>
  </si>
  <si>
    <t>HA-LWE</t>
  </si>
  <si>
    <t>HA-LYH</t>
  </si>
  <si>
    <t>169+5 INF</t>
  </si>
  <si>
    <t>172+6 INF</t>
  </si>
  <si>
    <t>174+4 INF</t>
  </si>
  <si>
    <t>9H-WZV</t>
  </si>
  <si>
    <t>180+1 INF</t>
  </si>
  <si>
    <t>170+4 INF</t>
  </si>
  <si>
    <t>178+5 INF</t>
  </si>
  <si>
    <t>156+7 INF</t>
  </si>
  <si>
    <t>9H-WBO</t>
  </si>
  <si>
    <t>170+0 INF</t>
  </si>
  <si>
    <t>175+4 INF</t>
  </si>
  <si>
    <t>172+1 INF</t>
  </si>
  <si>
    <t>183+3 INF</t>
  </si>
  <si>
    <t>TC-FHC</t>
  </si>
  <si>
    <t>180+1INF</t>
  </si>
  <si>
    <t>9H-WZX</t>
  </si>
  <si>
    <t>HA-LYT</t>
  </si>
  <si>
    <t>9H-WBV</t>
  </si>
  <si>
    <t>TC-FHK</t>
  </si>
  <si>
    <t>178+4 INF</t>
  </si>
  <si>
    <t>177+2 INF</t>
  </si>
  <si>
    <t>176+2 INF</t>
  </si>
  <si>
    <t>180+07INF</t>
  </si>
  <si>
    <t>179+7 INF</t>
  </si>
  <si>
    <t>170+3 INF</t>
  </si>
  <si>
    <t>HA-LWZ</t>
  </si>
  <si>
    <t>LOAN-TZL-</t>
  </si>
  <si>
    <t>DA 400</t>
  </si>
  <si>
    <t>OE-DRZ</t>
  </si>
  <si>
    <t>167+2 INF</t>
  </si>
  <si>
    <t>R. ZEDTWITZ-LIEBENSTEIN</t>
  </si>
  <si>
    <t>PRIVATE</t>
  </si>
  <si>
    <t>TZL-LOAU</t>
  </si>
  <si>
    <t>94+1 INF</t>
  </si>
  <si>
    <t>130+4 INF</t>
  </si>
  <si>
    <t>RED STAR AVIATION</t>
  </si>
  <si>
    <t>IST-TZL-KRZ</t>
  </si>
  <si>
    <t>TC-RSC</t>
  </si>
  <si>
    <t>MEDEVAC</t>
  </si>
  <si>
    <t>RHH077</t>
  </si>
  <si>
    <t>RH078</t>
  </si>
  <si>
    <t>9H-WZT</t>
  </si>
  <si>
    <t>HA-LWV</t>
  </si>
  <si>
    <t>160+3 INF</t>
  </si>
  <si>
    <t>168+3 INF</t>
  </si>
  <si>
    <t>179+2 INF</t>
  </si>
  <si>
    <t>TC-FHF</t>
  </si>
  <si>
    <t>143+3 INF</t>
  </si>
  <si>
    <t>171+2 INF</t>
  </si>
  <si>
    <t>142+7 INF</t>
  </si>
  <si>
    <t>180+4INF</t>
  </si>
  <si>
    <t>174+10 INF</t>
  </si>
  <si>
    <t>180+6 INF</t>
  </si>
  <si>
    <t>MGGP Aero Sp.Z.oo</t>
  </si>
  <si>
    <t>P2006T</t>
  </si>
  <si>
    <t>SP-FPL</t>
  </si>
  <si>
    <t>GA</t>
  </si>
  <si>
    <t>RZE-TZL-LIVNO</t>
  </si>
  <si>
    <t>175+7 INF</t>
  </si>
  <si>
    <t>HA-LWQ</t>
  </si>
  <si>
    <t>1621+2 INF</t>
  </si>
  <si>
    <t>151+3 INF</t>
  </si>
  <si>
    <t>174+5 INF</t>
  </si>
  <si>
    <t>172+4 INF</t>
  </si>
  <si>
    <t>ZAVOD ZA ZAVARIVANJE</t>
  </si>
  <si>
    <t>BEG-TZL-JAHORINA</t>
  </si>
  <si>
    <t>SA-342J</t>
  </si>
  <si>
    <t>YU-HES</t>
  </si>
  <si>
    <t>HELICOPTER</t>
  </si>
  <si>
    <t>YUHES</t>
  </si>
  <si>
    <t>PEGASUS AIRLINES</t>
  </si>
  <si>
    <t>SAW-TZL-SAW</t>
  </si>
  <si>
    <t>A321</t>
  </si>
  <si>
    <t>TC-RDP</t>
  </si>
  <si>
    <t>PC250</t>
  </si>
  <si>
    <t>PC251</t>
  </si>
  <si>
    <t>221+3 INF</t>
  </si>
  <si>
    <t>173+2 INF</t>
  </si>
  <si>
    <t>171+4 INF</t>
  </si>
  <si>
    <t>177+7 INF</t>
  </si>
  <si>
    <t>TC-TLB</t>
  </si>
  <si>
    <t>LNZ-TZL-BEG</t>
  </si>
  <si>
    <t>132+4 INF</t>
  </si>
  <si>
    <t>57+2 INF</t>
  </si>
  <si>
    <t>ZAG-TZL-LSZ</t>
  </si>
  <si>
    <t>9H-WZW</t>
  </si>
  <si>
    <t>134+4 INF</t>
  </si>
  <si>
    <t>167+4 INF</t>
  </si>
  <si>
    <t>SOS AIR AMBULANCE</t>
  </si>
  <si>
    <t>BE40</t>
  </si>
  <si>
    <t>TCSTA</t>
  </si>
  <si>
    <t>166+3 INF</t>
  </si>
  <si>
    <t>186+3 INF</t>
  </si>
  <si>
    <t>ISL-TZL-ISL</t>
  </si>
  <si>
    <t>TC-FHM</t>
  </si>
  <si>
    <t>LIVNO-TZL-OSI</t>
  </si>
  <si>
    <t>MUJO MUŠIĆ</t>
  </si>
  <si>
    <t>PIONEER 400</t>
  </si>
  <si>
    <t>YU-KES</t>
  </si>
  <si>
    <t>YUKES</t>
  </si>
  <si>
    <t>163+5 INF</t>
  </si>
  <si>
    <t>168+2 IN</t>
  </si>
  <si>
    <t>72+1 INF</t>
  </si>
  <si>
    <t>LYVJ-TZL-LQCG</t>
  </si>
  <si>
    <t>162+5 INF</t>
  </si>
  <si>
    <t>9H-WBP</t>
  </si>
  <si>
    <t>111+2 INF</t>
  </si>
  <si>
    <t>181+2 INF</t>
  </si>
  <si>
    <t>180+9 INF</t>
  </si>
  <si>
    <t>TC-GMB</t>
  </si>
  <si>
    <t>DEL AERO DOO</t>
  </si>
  <si>
    <t>DBV-TZL-LNZ</t>
  </si>
  <si>
    <t>T7BSG</t>
  </si>
  <si>
    <t>GENERALNA</t>
  </si>
  <si>
    <t>123+5 INF</t>
  </si>
  <si>
    <t>179+8 INF</t>
  </si>
  <si>
    <t>149+4 INF</t>
  </si>
  <si>
    <t>160+1 INF</t>
  </si>
  <si>
    <t>171+7 INF</t>
  </si>
  <si>
    <t>177+1INF</t>
  </si>
  <si>
    <t>178+8 INF</t>
  </si>
  <si>
    <t>TC-NBP</t>
  </si>
  <si>
    <t>168+2 INF</t>
  </si>
  <si>
    <t>VLADIMIR STOJKOVIĆ</t>
  </si>
  <si>
    <t>Gornji Zovac-TZL-LYVJ</t>
  </si>
  <si>
    <t>TARR</t>
  </si>
  <si>
    <t>I-D594</t>
  </si>
  <si>
    <t>ID594</t>
  </si>
  <si>
    <t>164+4 INF</t>
  </si>
  <si>
    <t>176+5 INF</t>
  </si>
  <si>
    <t>EUFOR</t>
  </si>
  <si>
    <t>BUTMIR-TZL-BUTMIR</t>
  </si>
  <si>
    <t>EC45</t>
  </si>
  <si>
    <t>HAWK01</t>
  </si>
  <si>
    <t>71+4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</si>
</sst>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Garamond"/>
      <family val="1"/>
    </font>
    <font>
      <sz val="11"/>
      <color theme="1"/>
      <name val="Garamond"/>
      <family val="1"/>
    </font>
    <font>
      <sz val="11"/>
      <color theme="1"/>
      <name val="GaraG"/>
      <charset val="238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20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20" fontId="4" fillId="0" borderId="0" xfId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0" fontId="0" fillId="0" borderId="0" xfId="0" applyNumberFormat="1"/>
    <xf numFmtId="0" fontId="0" fillId="0" borderId="0" xfId="0" applyAlignment="1"/>
    <xf numFmtId="0" fontId="3" fillId="0" borderId="0" xfId="0" applyFont="1"/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10" fillId="0" borderId="0" xfId="0" applyNumberFormat="1" applyFont="1" applyAlignment="1">
      <alignment horizontal="center"/>
    </xf>
    <xf numFmtId="0" fontId="4" fillId="2" borderId="0" xfId="1" applyFont="1" applyFill="1" applyAlignment="1">
      <alignment horizontal="center" vertical="center"/>
    </xf>
    <xf numFmtId="20" fontId="2" fillId="2" borderId="0" xfId="1" applyNumberFormat="1" applyFont="1" applyFill="1" applyAlignment="1">
      <alignment horizontal="center" vertical="center"/>
    </xf>
    <xf numFmtId="20" fontId="4" fillId="2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B2" sqref="B2:Q2"/>
    </sheetView>
  </sheetViews>
  <sheetFormatPr defaultRowHeight="15"/>
  <cols>
    <col min="1" max="1" width="11.5703125" customWidth="1"/>
    <col min="2" max="2" width="22.5703125" customWidth="1"/>
    <col min="3" max="3" width="16.140625" customWidth="1"/>
    <col min="5" max="5" width="12.7109375" customWidth="1"/>
    <col min="6" max="6" width="20.28515625" customWidth="1"/>
    <col min="7" max="7" width="9.42578125" bestFit="1" customWidth="1"/>
    <col min="10" max="13" width="9.42578125" bestFit="1" customWidth="1"/>
    <col min="14" max="14" width="13.42578125" customWidth="1"/>
    <col min="15" max="15" width="14.5703125" customWidth="1"/>
    <col min="16" max="21" width="9.425781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45505</v>
      </c>
      <c r="B2" s="2" t="s">
        <v>34</v>
      </c>
      <c r="C2" s="2" t="s">
        <v>35</v>
      </c>
      <c r="D2" s="3" t="s">
        <v>23</v>
      </c>
      <c r="E2" s="2" t="s">
        <v>54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0.33749999999999997</v>
      </c>
      <c r="L2" s="7">
        <v>0.37152777777777773</v>
      </c>
      <c r="M2" s="8">
        <v>0.38055555555555554</v>
      </c>
      <c r="N2" s="3" t="s">
        <v>59</v>
      </c>
      <c r="O2" s="3" t="s">
        <v>39</v>
      </c>
      <c r="P2" s="3">
        <v>2223</v>
      </c>
      <c r="Q2" s="3">
        <v>1937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45505</v>
      </c>
      <c r="B3" s="2" t="s">
        <v>69</v>
      </c>
      <c r="C3" s="2" t="s">
        <v>71</v>
      </c>
      <c r="D3" s="15" t="s">
        <v>68</v>
      </c>
      <c r="E3" s="15" t="s">
        <v>73</v>
      </c>
      <c r="F3" s="15" t="s">
        <v>44</v>
      </c>
      <c r="G3" s="6">
        <v>4</v>
      </c>
      <c r="H3" s="15" t="s">
        <v>73</v>
      </c>
      <c r="I3" s="15" t="s">
        <v>74</v>
      </c>
      <c r="J3" s="8">
        <v>0.4375</v>
      </c>
      <c r="K3" s="8">
        <v>0.44444444444444442</v>
      </c>
      <c r="L3" s="8">
        <v>0.47916666666666669</v>
      </c>
      <c r="M3" s="8">
        <v>0.5</v>
      </c>
      <c r="N3" s="2">
        <v>0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>
      <c r="A4" s="4">
        <v>45505</v>
      </c>
      <c r="B4" s="2" t="s">
        <v>70</v>
      </c>
      <c r="C4" s="2" t="s">
        <v>72</v>
      </c>
      <c r="D4" s="2" t="s">
        <v>56</v>
      </c>
      <c r="E4" s="2" t="s">
        <v>57</v>
      </c>
      <c r="F4" s="15" t="s">
        <v>44</v>
      </c>
      <c r="G4" s="2">
        <v>2</v>
      </c>
      <c r="H4" s="2" t="s">
        <v>57</v>
      </c>
      <c r="I4" s="2" t="s">
        <v>57</v>
      </c>
      <c r="J4" s="8">
        <v>0.375</v>
      </c>
      <c r="K4" s="8">
        <v>0.38194444444444442</v>
      </c>
      <c r="L4" s="8">
        <v>0.39583333333333331</v>
      </c>
      <c r="M4" s="8">
        <v>0.39027777777777778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748B-A8C1-4012-BF4A-629D1A9A7539}">
  <dimension ref="A1:U6"/>
  <sheetViews>
    <sheetView workbookViewId="0">
      <selection activeCell="A6" sqref="A6:U6"/>
    </sheetView>
  </sheetViews>
  <sheetFormatPr defaultRowHeight="15"/>
  <cols>
    <col min="2" max="2" width="19" customWidth="1"/>
    <col min="3" max="3" width="14.855468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.75" customHeight="1">
      <c r="A2" s="4">
        <v>45506</v>
      </c>
      <c r="B2" s="2" t="s">
        <v>34</v>
      </c>
      <c r="C2" s="2" t="s">
        <v>35</v>
      </c>
      <c r="D2" s="3" t="s">
        <v>23</v>
      </c>
      <c r="E2" s="2" t="s">
        <v>75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0.31736111111111115</v>
      </c>
      <c r="L2" s="7">
        <v>0.37152777777777773</v>
      </c>
      <c r="M2" s="8">
        <v>0.375</v>
      </c>
      <c r="N2" s="3" t="s">
        <v>63</v>
      </c>
      <c r="O2" s="3" t="s">
        <v>40</v>
      </c>
      <c r="P2" s="3">
        <v>2388</v>
      </c>
      <c r="Q2" s="3">
        <v>2121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45506</v>
      </c>
      <c r="B3" s="2" t="s">
        <v>27</v>
      </c>
      <c r="C3" s="3" t="s">
        <v>31</v>
      </c>
      <c r="D3" s="3" t="s">
        <v>23</v>
      </c>
      <c r="E3" s="3" t="s">
        <v>76</v>
      </c>
      <c r="F3" s="3" t="s">
        <v>24</v>
      </c>
      <c r="G3" s="6">
        <v>71500</v>
      </c>
      <c r="H3" s="3" t="s">
        <v>32</v>
      </c>
      <c r="I3" s="3" t="s">
        <v>33</v>
      </c>
      <c r="J3" s="1">
        <v>0.42708333333333331</v>
      </c>
      <c r="K3" s="5">
        <v>0.41041666666666665</v>
      </c>
      <c r="L3" s="1">
        <v>0.4513888888888889</v>
      </c>
      <c r="M3" s="5">
        <v>0.47291666666666665</v>
      </c>
      <c r="N3" s="3" t="s">
        <v>43</v>
      </c>
      <c r="O3" s="3" t="s">
        <v>78</v>
      </c>
      <c r="P3" s="2">
        <v>965</v>
      </c>
      <c r="Q3" s="2">
        <v>1030</v>
      </c>
      <c r="R3" s="2">
        <v>0</v>
      </c>
      <c r="S3" s="2">
        <v>0</v>
      </c>
      <c r="T3" s="2">
        <v>0</v>
      </c>
      <c r="U3" s="2">
        <v>0</v>
      </c>
    </row>
    <row r="4" spans="1:21">
      <c r="A4" s="4">
        <v>45506</v>
      </c>
      <c r="B4" s="2" t="s">
        <v>21</v>
      </c>
      <c r="C4" s="2" t="s">
        <v>22</v>
      </c>
      <c r="D4" s="3" t="s">
        <v>23</v>
      </c>
      <c r="E4" s="2" t="s">
        <v>77</v>
      </c>
      <c r="F4" s="3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0.51666666666666672</v>
      </c>
      <c r="L4" s="7">
        <v>0.52777777777777779</v>
      </c>
      <c r="M4" s="8">
        <v>0.56736111111111109</v>
      </c>
      <c r="N4" s="3" t="s">
        <v>79</v>
      </c>
      <c r="O4" s="3" t="s">
        <v>59</v>
      </c>
      <c r="P4" s="2">
        <v>1183</v>
      </c>
      <c r="Q4" s="3">
        <v>1440</v>
      </c>
      <c r="R4" s="3">
        <v>0</v>
      </c>
      <c r="S4" s="3">
        <v>0</v>
      </c>
      <c r="T4" s="3">
        <v>0</v>
      </c>
      <c r="U4" s="3">
        <v>0</v>
      </c>
    </row>
    <row r="5" spans="1:21">
      <c r="A5" s="4">
        <v>45506</v>
      </c>
      <c r="B5" s="2" t="s">
        <v>27</v>
      </c>
      <c r="C5" s="23" t="s">
        <v>28</v>
      </c>
      <c r="D5" s="23" t="s">
        <v>23</v>
      </c>
      <c r="E5" s="23" t="s">
        <v>41</v>
      </c>
      <c r="F5" s="24" t="s">
        <v>24</v>
      </c>
      <c r="G5" s="25">
        <v>71500</v>
      </c>
      <c r="H5" s="23" t="s">
        <v>29</v>
      </c>
      <c r="I5" s="23" t="s">
        <v>30</v>
      </c>
      <c r="J5" s="22">
        <v>0.72222222222222221</v>
      </c>
      <c r="K5" s="21">
        <v>0.73402777777777783</v>
      </c>
      <c r="L5" s="22">
        <v>0.74305555555555547</v>
      </c>
      <c r="M5" s="16">
        <v>0.80555555555555547</v>
      </c>
      <c r="N5" s="15" t="s">
        <v>55</v>
      </c>
      <c r="O5" s="15" t="s">
        <v>59</v>
      </c>
      <c r="P5" s="27">
        <v>1212</v>
      </c>
      <c r="Q5" s="15">
        <v>1226</v>
      </c>
      <c r="R5" s="23">
        <v>0</v>
      </c>
      <c r="S5" s="23">
        <v>0</v>
      </c>
      <c r="T5" s="23">
        <v>0</v>
      </c>
      <c r="U5" s="23">
        <v>0</v>
      </c>
    </row>
    <row r="6" spans="1:21" s="27" customFormat="1">
      <c r="A6" s="26">
        <v>45506</v>
      </c>
      <c r="B6" s="2" t="s">
        <v>80</v>
      </c>
      <c r="C6" s="27" t="s">
        <v>81</v>
      </c>
      <c r="D6" s="27" t="s">
        <v>64</v>
      </c>
      <c r="E6" s="27" t="s">
        <v>65</v>
      </c>
      <c r="F6" s="27" t="s">
        <v>82</v>
      </c>
      <c r="G6" s="27">
        <v>4670</v>
      </c>
      <c r="H6" s="27" t="s">
        <v>42</v>
      </c>
      <c r="I6" s="27" t="s">
        <v>42</v>
      </c>
      <c r="J6" s="28">
        <v>0.68055555555555547</v>
      </c>
      <c r="K6" s="21">
        <v>0.72986111111111107</v>
      </c>
      <c r="L6" s="28">
        <v>0.70833333333333337</v>
      </c>
      <c r="M6" s="21">
        <v>0.75</v>
      </c>
      <c r="N6" s="27">
        <v>0</v>
      </c>
      <c r="O6" s="27">
        <v>3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2E55-EAF5-40C6-9E2E-0716E4458C37}">
  <dimension ref="A1:U11"/>
  <sheetViews>
    <sheetView workbookViewId="0">
      <selection activeCell="A2" sqref="A2:U3"/>
    </sheetView>
  </sheetViews>
  <sheetFormatPr defaultRowHeight="1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45507</v>
      </c>
      <c r="B2" s="2" t="s">
        <v>21</v>
      </c>
      <c r="C2" s="2" t="s">
        <v>89</v>
      </c>
      <c r="D2" s="3" t="s">
        <v>23</v>
      </c>
      <c r="E2" s="2" t="s">
        <v>83</v>
      </c>
      <c r="F2" s="3" t="s">
        <v>24</v>
      </c>
      <c r="G2" s="6">
        <v>71500</v>
      </c>
      <c r="H2" s="2" t="s">
        <v>84</v>
      </c>
      <c r="I2" s="2" t="s">
        <v>90</v>
      </c>
      <c r="J2" s="7">
        <v>0.44097222222222227</v>
      </c>
      <c r="K2" s="8">
        <v>0.43402777777777773</v>
      </c>
      <c r="L2" s="7">
        <v>0.46527777777777773</v>
      </c>
      <c r="M2" s="8">
        <v>0.6381944444444444</v>
      </c>
      <c r="N2" s="3" t="s">
        <v>53</v>
      </c>
      <c r="O2" s="3">
        <v>0</v>
      </c>
      <c r="P2" s="3">
        <v>667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45507</v>
      </c>
      <c r="B3" s="2" t="s">
        <v>45</v>
      </c>
      <c r="C3" s="3" t="s">
        <v>35</v>
      </c>
      <c r="D3" s="3" t="s">
        <v>46</v>
      </c>
      <c r="E3" s="3" t="s">
        <v>49</v>
      </c>
      <c r="F3" s="3" t="s">
        <v>36</v>
      </c>
      <c r="G3" s="6">
        <v>66000</v>
      </c>
      <c r="H3" s="3" t="s">
        <v>47</v>
      </c>
      <c r="I3" s="3" t="s">
        <v>48</v>
      </c>
      <c r="J3" s="1">
        <v>0.73263888888888884</v>
      </c>
      <c r="K3" s="5">
        <v>0.75694444444444453</v>
      </c>
      <c r="L3" s="1">
        <v>0.77430555555555547</v>
      </c>
      <c r="M3" s="5">
        <v>4.9576388888888889</v>
      </c>
      <c r="N3" s="3" t="s">
        <v>92</v>
      </c>
      <c r="O3" s="3" t="s">
        <v>93</v>
      </c>
      <c r="P3" s="3">
        <v>1682</v>
      </c>
      <c r="Q3" s="3">
        <v>1726</v>
      </c>
      <c r="R3" s="3">
        <v>0</v>
      </c>
      <c r="S3" s="3">
        <v>0</v>
      </c>
      <c r="T3" s="3">
        <v>0</v>
      </c>
      <c r="U3" s="3">
        <v>0</v>
      </c>
    </row>
    <row r="4" spans="1:21">
      <c r="A4" s="4">
        <v>45507</v>
      </c>
      <c r="B4" s="2" t="s">
        <v>21</v>
      </c>
      <c r="C4" s="2" t="s">
        <v>86</v>
      </c>
      <c r="D4" s="3" t="s">
        <v>23</v>
      </c>
      <c r="E4" s="2" t="s">
        <v>87</v>
      </c>
      <c r="F4" s="3" t="s">
        <v>24</v>
      </c>
      <c r="G4" s="6">
        <v>71500</v>
      </c>
      <c r="H4" s="2" t="s">
        <v>88</v>
      </c>
      <c r="I4" s="2" t="s">
        <v>85</v>
      </c>
      <c r="J4" s="7">
        <v>0.55555555555555558</v>
      </c>
      <c r="K4" s="8">
        <v>0.60555555555555551</v>
      </c>
      <c r="L4" s="7">
        <v>0.57638888888888895</v>
      </c>
      <c r="M4" s="8">
        <v>0.68888888888888899</v>
      </c>
      <c r="N4" s="3">
        <v>0</v>
      </c>
      <c r="O4" s="3" t="s">
        <v>91</v>
      </c>
      <c r="P4" s="3">
        <v>0</v>
      </c>
      <c r="Q4" s="3">
        <v>962</v>
      </c>
      <c r="R4" s="3">
        <v>0</v>
      </c>
      <c r="S4" s="3">
        <v>0</v>
      </c>
      <c r="T4" s="3">
        <v>0</v>
      </c>
      <c r="U4" s="3">
        <v>0</v>
      </c>
    </row>
    <row r="5" spans="1:21">
      <c r="A5" s="4"/>
      <c r="B5" s="2"/>
      <c r="C5" s="2"/>
      <c r="D5" s="3"/>
      <c r="E5" s="2"/>
      <c r="F5" s="3"/>
      <c r="G5" s="6"/>
      <c r="H5" s="2"/>
      <c r="I5" s="2"/>
      <c r="J5" s="7"/>
      <c r="K5" s="8"/>
      <c r="L5" s="7"/>
      <c r="M5" s="8"/>
      <c r="N5" s="3"/>
      <c r="O5" s="3"/>
      <c r="P5" s="3"/>
      <c r="Q5" s="3"/>
      <c r="R5" s="3"/>
      <c r="S5" s="3"/>
      <c r="T5" s="3"/>
      <c r="U5" s="3"/>
    </row>
    <row r="6" spans="1:21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378-6149-47F0-B271-C1E203BDFCE3}">
  <dimension ref="A1:U4"/>
  <sheetViews>
    <sheetView workbookViewId="0">
      <selection activeCell="B3" sqref="B3"/>
    </sheetView>
  </sheetViews>
  <sheetFormatPr defaultRowHeight="15"/>
  <cols>
    <col min="2" max="2" width="23.140625" customWidth="1"/>
    <col min="3" max="3" width="19.7109375" customWidth="1"/>
    <col min="5" max="5" width="12.42578125" customWidth="1"/>
    <col min="6" max="6" width="17.28515625" customWidth="1"/>
    <col min="7" max="7" width="17.140625" customWidth="1"/>
    <col min="14" max="14" width="19.5703125" customWidth="1"/>
    <col min="15" max="15" width="16.28515625" customWidth="1"/>
    <col min="16" max="16" width="11.140625" customWidth="1"/>
    <col min="17" max="17" width="12.4257812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45508</v>
      </c>
      <c r="B2" s="2" t="s">
        <v>95</v>
      </c>
      <c r="C2" s="2" t="s">
        <v>94</v>
      </c>
      <c r="D2" s="2" t="s">
        <v>56</v>
      </c>
      <c r="E2" s="2" t="s">
        <v>57</v>
      </c>
      <c r="F2" s="3" t="s">
        <v>96</v>
      </c>
      <c r="G2" s="6">
        <v>1045</v>
      </c>
      <c r="H2" s="2" t="s">
        <v>97</v>
      </c>
      <c r="I2" s="2" t="s">
        <v>97</v>
      </c>
      <c r="J2" s="7">
        <v>0.51388888888888895</v>
      </c>
      <c r="K2" s="8">
        <v>0.50277777777777777</v>
      </c>
      <c r="L2" s="7">
        <v>0.53472222222222221</v>
      </c>
      <c r="M2" s="8">
        <v>0.52013888888888882</v>
      </c>
      <c r="N2" s="2" t="s">
        <v>66</v>
      </c>
      <c r="O2" s="2" t="s">
        <v>66</v>
      </c>
      <c r="P2" s="2" t="s">
        <v>42</v>
      </c>
      <c r="Q2" s="2" t="s">
        <v>42</v>
      </c>
      <c r="R2" s="2">
        <v>0</v>
      </c>
      <c r="S2" s="2">
        <v>0</v>
      </c>
      <c r="T2" s="2">
        <v>0</v>
      </c>
      <c r="U2" s="2">
        <v>0</v>
      </c>
    </row>
    <row r="3" spans="1:21">
      <c r="A3" s="4">
        <v>45508</v>
      </c>
      <c r="B3" s="2" t="s">
        <v>98</v>
      </c>
      <c r="C3" s="3" t="s">
        <v>99</v>
      </c>
      <c r="D3" s="3" t="s">
        <v>46</v>
      </c>
      <c r="E3" s="3" t="s">
        <v>100</v>
      </c>
      <c r="F3" s="3" t="s">
        <v>96</v>
      </c>
      <c r="G3" s="6">
        <v>80</v>
      </c>
      <c r="H3" s="3" t="s">
        <v>101</v>
      </c>
      <c r="I3" s="29"/>
      <c r="J3" s="1">
        <v>0.83333333333333337</v>
      </c>
      <c r="K3" s="5">
        <v>0.83958333333333324</v>
      </c>
      <c r="L3" s="30"/>
      <c r="M3" s="31"/>
      <c r="N3" s="29"/>
      <c r="O3" s="29"/>
      <c r="P3" s="29"/>
      <c r="Q3" s="29"/>
      <c r="R3" s="29"/>
      <c r="S3" s="29"/>
      <c r="T3" s="29"/>
      <c r="U3" s="29"/>
    </row>
    <row r="4" spans="1:21">
      <c r="A4" s="10"/>
      <c r="B4" s="11"/>
      <c r="C4" s="11"/>
      <c r="D4" s="11"/>
      <c r="E4" s="11"/>
      <c r="F4" s="11"/>
      <c r="G4" s="12"/>
      <c r="H4" s="11"/>
      <c r="I4" s="11"/>
      <c r="J4" s="13"/>
      <c r="K4" s="14"/>
      <c r="L4" s="13"/>
      <c r="M4" s="14"/>
      <c r="N4" s="11"/>
      <c r="O4" s="11"/>
      <c r="P4" s="11"/>
      <c r="Q4" s="11"/>
      <c r="R4" s="11"/>
      <c r="S4" s="11"/>
      <c r="T4" s="11"/>
      <c r="U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8E56-8189-4C84-B281-80662542ED3F}">
  <dimension ref="A1:U8"/>
  <sheetViews>
    <sheetView workbookViewId="0">
      <selection activeCell="F2" sqref="F2"/>
    </sheetView>
  </sheetViews>
  <sheetFormatPr defaultRowHeight="15"/>
  <cols>
    <col min="2" max="2" width="27.85546875" customWidth="1"/>
    <col min="3" max="3" width="17.42578125" customWidth="1"/>
    <col min="5" max="5" width="11.7109375" customWidth="1"/>
    <col min="6" max="6" width="19.85546875" customWidth="1"/>
    <col min="14" max="14" width="18.28515625" customWidth="1"/>
    <col min="15" max="15" width="16.71093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45509</v>
      </c>
      <c r="B2" s="2" t="s">
        <v>98</v>
      </c>
      <c r="C2" s="3" t="s">
        <v>104</v>
      </c>
      <c r="D2" s="3" t="s">
        <v>46</v>
      </c>
      <c r="E2" s="3" t="s">
        <v>100</v>
      </c>
      <c r="F2" s="3" t="s">
        <v>96</v>
      </c>
      <c r="G2" s="6">
        <v>80</v>
      </c>
      <c r="H2" s="3" t="s">
        <v>101</v>
      </c>
      <c r="I2" s="3" t="s">
        <v>102</v>
      </c>
      <c r="J2" s="3" t="s">
        <v>103</v>
      </c>
      <c r="K2" s="3" t="s">
        <v>103</v>
      </c>
      <c r="L2" s="1">
        <v>0.4513888888888889</v>
      </c>
      <c r="M2" s="5">
        <v>0.41388888888888892</v>
      </c>
      <c r="N2" s="3">
        <v>0</v>
      </c>
      <c r="O2" s="3">
        <v>0</v>
      </c>
      <c r="P2" s="2">
        <v>0</v>
      </c>
      <c r="Q2" s="2">
        <v>1824</v>
      </c>
      <c r="R2" s="2">
        <v>0</v>
      </c>
      <c r="S2" s="2">
        <v>0</v>
      </c>
      <c r="T2" s="2">
        <v>0</v>
      </c>
      <c r="U2" s="2">
        <v>0</v>
      </c>
    </row>
    <row r="3" spans="1:21">
      <c r="A3" s="4">
        <v>45509</v>
      </c>
      <c r="B3" s="2" t="s">
        <v>27</v>
      </c>
      <c r="C3" s="3" t="s">
        <v>31</v>
      </c>
      <c r="D3" s="3" t="s">
        <v>23</v>
      </c>
      <c r="E3" s="3" t="s">
        <v>76</v>
      </c>
      <c r="F3" s="3" t="s">
        <v>24</v>
      </c>
      <c r="G3" s="6">
        <v>71500</v>
      </c>
      <c r="H3" s="3" t="s">
        <v>32</v>
      </c>
      <c r="I3" s="3" t="s">
        <v>33</v>
      </c>
      <c r="J3" s="1">
        <v>0.42708333333333331</v>
      </c>
      <c r="K3" s="5">
        <v>0.43611111111111112</v>
      </c>
      <c r="L3" s="1">
        <v>0.4513888888888889</v>
      </c>
      <c r="M3" s="5">
        <v>0.46875</v>
      </c>
      <c r="N3" s="3" t="s">
        <v>53</v>
      </c>
      <c r="O3" s="3" t="s">
        <v>105</v>
      </c>
      <c r="P3" s="2">
        <v>970</v>
      </c>
      <c r="Q3" s="2">
        <v>893</v>
      </c>
      <c r="R3" s="2">
        <v>0</v>
      </c>
      <c r="S3" s="2">
        <v>0</v>
      </c>
      <c r="T3" s="2">
        <v>0</v>
      </c>
      <c r="U3" s="2">
        <v>0</v>
      </c>
    </row>
    <row r="4" spans="1:21">
      <c r="A4" s="4">
        <v>45509</v>
      </c>
      <c r="B4" s="2" t="s">
        <v>21</v>
      </c>
      <c r="C4" s="2" t="s">
        <v>22</v>
      </c>
      <c r="D4" s="3" t="s">
        <v>23</v>
      </c>
      <c r="E4" s="2" t="s">
        <v>77</v>
      </c>
      <c r="F4" s="3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0.50138888888888888</v>
      </c>
      <c r="L4" s="7">
        <v>0.52777777777777779</v>
      </c>
      <c r="M4" s="8">
        <v>0.53680555555555554</v>
      </c>
      <c r="N4" s="3" t="s">
        <v>106</v>
      </c>
      <c r="O4" s="3" t="s">
        <v>67</v>
      </c>
      <c r="P4" s="2">
        <v>961</v>
      </c>
      <c r="Q4" s="3">
        <v>1209</v>
      </c>
      <c r="R4" s="3">
        <v>0</v>
      </c>
      <c r="S4" s="3">
        <v>0</v>
      </c>
      <c r="T4" s="3">
        <v>0</v>
      </c>
      <c r="U4" s="3">
        <v>0</v>
      </c>
    </row>
    <row r="5" spans="1:21">
      <c r="A5" s="4">
        <v>45509</v>
      </c>
      <c r="B5" s="2" t="s">
        <v>27</v>
      </c>
      <c r="C5" s="23" t="s">
        <v>28</v>
      </c>
      <c r="D5" s="23" t="s">
        <v>23</v>
      </c>
      <c r="E5" s="23" t="s">
        <v>60</v>
      </c>
      <c r="F5" s="3" t="s">
        <v>24</v>
      </c>
      <c r="G5" s="25">
        <v>71500</v>
      </c>
      <c r="H5" s="23" t="s">
        <v>29</v>
      </c>
      <c r="I5" s="23" t="s">
        <v>30</v>
      </c>
      <c r="J5" s="22">
        <v>0.72222222222222221</v>
      </c>
      <c r="K5" s="21">
        <v>0.77222222222222225</v>
      </c>
      <c r="L5" s="22">
        <v>0.74305555555555547</v>
      </c>
      <c r="M5" s="20">
        <v>0.81666666666666676</v>
      </c>
      <c r="N5" s="15" t="s">
        <v>107</v>
      </c>
      <c r="O5" s="15" t="s">
        <v>108</v>
      </c>
      <c r="P5" s="19">
        <v>1092</v>
      </c>
      <c r="Q5" s="15">
        <v>995</v>
      </c>
      <c r="R5" s="19">
        <v>0</v>
      </c>
      <c r="S5" s="23">
        <v>0</v>
      </c>
      <c r="T5" s="23">
        <v>0</v>
      </c>
      <c r="U5" s="23">
        <v>0</v>
      </c>
    </row>
    <row r="6" spans="1:21">
      <c r="A6" s="4"/>
      <c r="B6" s="2"/>
      <c r="C6" s="2"/>
      <c r="D6" s="2"/>
      <c r="E6" s="2"/>
      <c r="F6" s="3"/>
      <c r="G6" s="6"/>
      <c r="H6" s="2"/>
      <c r="I6" s="2"/>
      <c r="J6" s="7"/>
      <c r="K6" s="8"/>
      <c r="S6" s="2"/>
      <c r="T6" s="2"/>
      <c r="U6" s="2"/>
    </row>
    <row r="7" spans="1:21">
      <c r="A7" s="4"/>
      <c r="B7" s="2"/>
      <c r="C7" s="2"/>
      <c r="D7" s="2"/>
      <c r="E7" s="2"/>
      <c r="F7" s="3"/>
      <c r="G7" s="6"/>
      <c r="H7" s="2"/>
      <c r="I7" s="2"/>
      <c r="J7" s="7"/>
      <c r="K7" s="8"/>
      <c r="S7" s="2"/>
      <c r="T7" s="2"/>
      <c r="U7" s="2"/>
    </row>
    <row r="8" spans="1:21">
      <c r="A8" s="4"/>
      <c r="B8" s="2"/>
      <c r="C8" s="2"/>
      <c r="D8" s="15"/>
      <c r="E8" s="15"/>
      <c r="F8" s="15"/>
      <c r="G8" s="6"/>
      <c r="H8" s="15"/>
      <c r="I8" s="15"/>
      <c r="J8" s="16"/>
      <c r="K8" s="16"/>
      <c r="S8" s="2"/>
      <c r="T8" s="2"/>
      <c r="U8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8161-91A5-49F2-B932-841B45CC7AD6}">
  <dimension ref="A1:U13"/>
  <sheetViews>
    <sheetView workbookViewId="0">
      <selection activeCell="A2" sqref="A2:U3"/>
    </sheetView>
  </sheetViews>
  <sheetFormatPr defaultRowHeight="15"/>
  <cols>
    <col min="1" max="1" width="11.28515625" bestFit="1" customWidth="1"/>
    <col min="2" max="2" width="26.5703125" customWidth="1"/>
    <col min="3" max="3" width="16.28515625" customWidth="1"/>
    <col min="4" max="4" width="12.5703125" customWidth="1"/>
    <col min="5" max="5" width="11.7109375" customWidth="1"/>
    <col min="6" max="6" width="20.28515625" customWidth="1"/>
    <col min="7" max="7" width="9.28515625" bestFit="1" customWidth="1"/>
    <col min="8" max="8" width="14.28515625" customWidth="1"/>
    <col min="9" max="9" width="11.28515625" customWidth="1"/>
    <col min="10" max="10" width="11" bestFit="1" customWidth="1"/>
    <col min="11" max="11" width="10.85546875" bestFit="1" customWidth="1"/>
    <col min="12" max="12" width="11.140625" bestFit="1" customWidth="1"/>
    <col min="13" max="13" width="11" bestFit="1" customWidth="1"/>
    <col min="14" max="14" width="14.42578125" customWidth="1"/>
    <col min="15" max="15" width="15.85546875" customWidth="1"/>
    <col min="16" max="21" width="9.28515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45510</v>
      </c>
      <c r="B2" s="2" t="s">
        <v>34</v>
      </c>
      <c r="C2" s="2" t="s">
        <v>35</v>
      </c>
      <c r="D2" s="3" t="s">
        <v>23</v>
      </c>
      <c r="E2" s="2" t="s">
        <v>109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0.32222222222222224</v>
      </c>
      <c r="L2" s="7">
        <v>0.37152777777777773</v>
      </c>
      <c r="M2" s="8">
        <v>0.38680555555555557</v>
      </c>
      <c r="N2" s="3" t="s">
        <v>111</v>
      </c>
      <c r="O2" s="3" t="s">
        <v>39</v>
      </c>
      <c r="P2" s="3">
        <v>2380</v>
      </c>
      <c r="Q2" s="3">
        <v>2249</v>
      </c>
      <c r="R2" s="3"/>
      <c r="S2" s="3"/>
      <c r="T2" s="3"/>
      <c r="U2" s="3"/>
    </row>
    <row r="3" spans="1:21" s="17" customFormat="1">
      <c r="A3" s="4">
        <v>45510</v>
      </c>
      <c r="B3" s="2" t="s">
        <v>21</v>
      </c>
      <c r="C3" s="2" t="s">
        <v>31</v>
      </c>
      <c r="D3" s="3" t="s">
        <v>23</v>
      </c>
      <c r="E3" s="2" t="s">
        <v>110</v>
      </c>
      <c r="F3" s="3" t="s">
        <v>24</v>
      </c>
      <c r="G3" s="6">
        <v>71500</v>
      </c>
      <c r="H3" s="2" t="s">
        <v>85</v>
      </c>
      <c r="I3" s="2" t="s">
        <v>84</v>
      </c>
      <c r="J3" s="7">
        <v>0.50347222222222221</v>
      </c>
      <c r="K3" s="8">
        <v>0.50138888888888888</v>
      </c>
      <c r="L3" s="7">
        <v>0.52777777777777779</v>
      </c>
      <c r="M3" s="8">
        <v>0.54861111111111105</v>
      </c>
      <c r="N3" s="2" t="s">
        <v>112</v>
      </c>
      <c r="O3" s="2" t="s">
        <v>113</v>
      </c>
      <c r="P3" s="2">
        <v>602</v>
      </c>
      <c r="Q3" s="2">
        <v>253</v>
      </c>
      <c r="R3" s="2"/>
      <c r="S3" s="2"/>
      <c r="T3" s="2"/>
      <c r="U3" s="2"/>
    </row>
    <row r="4" spans="1:21">
      <c r="A4" s="9"/>
      <c r="B4" s="2"/>
      <c r="C4" s="3"/>
      <c r="D4" s="3"/>
      <c r="E4" s="3"/>
      <c r="F4" s="3"/>
      <c r="G4" s="6"/>
      <c r="H4" s="3"/>
      <c r="I4" s="3"/>
      <c r="J4" s="1"/>
      <c r="K4" s="5"/>
      <c r="L4" s="1"/>
      <c r="M4" s="5"/>
      <c r="N4" s="3"/>
      <c r="O4" s="3"/>
      <c r="P4" s="3"/>
      <c r="Q4" s="3"/>
      <c r="R4" s="3"/>
      <c r="S4" s="3"/>
      <c r="T4" s="3"/>
      <c r="U4" s="3"/>
    </row>
    <row r="5" spans="1:21">
      <c r="A5" s="4"/>
      <c r="B5" s="2"/>
      <c r="C5" s="2"/>
      <c r="D5" s="15"/>
      <c r="E5" s="15"/>
      <c r="F5" s="15"/>
      <c r="G5" s="6"/>
      <c r="H5" s="15"/>
      <c r="I5" s="15"/>
      <c r="J5" s="7"/>
      <c r="K5" s="8"/>
      <c r="L5" s="7"/>
      <c r="M5" s="8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AF97-7D4A-421D-97C5-1BDFB03DA79A}">
  <dimension ref="A1:U4"/>
  <sheetViews>
    <sheetView workbookViewId="0">
      <selection activeCell="F13" sqref="F13"/>
    </sheetView>
  </sheetViews>
  <sheetFormatPr defaultRowHeight="15"/>
  <cols>
    <col min="1" max="1" width="15.42578125" style="27" bestFit="1" customWidth="1"/>
    <col min="2" max="2" width="19" style="27" customWidth="1"/>
    <col min="3" max="3" width="14.85546875" style="27" customWidth="1"/>
    <col min="4" max="5" width="9.140625" style="27"/>
    <col min="6" max="6" width="17.28515625" style="27" bestFit="1" customWidth="1"/>
    <col min="7" max="7" width="9.28515625" style="27" bestFit="1" customWidth="1"/>
    <col min="8" max="9" width="9.140625" style="27"/>
    <col min="10" max="11" width="10.42578125" style="27" bestFit="1" customWidth="1"/>
    <col min="12" max="17" width="9.140625" style="27"/>
    <col min="18" max="21" width="9.28515625" style="27" bestFit="1" customWidth="1"/>
    <col min="22" max="16384" width="9.140625" style="27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45511</v>
      </c>
      <c r="B2" s="2" t="s">
        <v>27</v>
      </c>
      <c r="C2" s="3" t="s">
        <v>31</v>
      </c>
      <c r="D2" s="3" t="s">
        <v>23</v>
      </c>
      <c r="E2" s="3" t="s">
        <v>62</v>
      </c>
      <c r="F2" s="3" t="s">
        <v>24</v>
      </c>
      <c r="G2" s="6">
        <v>71500</v>
      </c>
      <c r="H2" s="3" t="s">
        <v>32</v>
      </c>
      <c r="I2" s="3" t="s">
        <v>33</v>
      </c>
      <c r="J2" s="1">
        <v>0.41666666666666669</v>
      </c>
      <c r="K2" s="5">
        <v>0.40069444444444446</v>
      </c>
      <c r="L2" s="1">
        <v>0.44097222222222227</v>
      </c>
      <c r="M2" s="5">
        <v>0.44861111111111113</v>
      </c>
      <c r="N2" s="3" t="s">
        <v>114</v>
      </c>
      <c r="O2" s="3" t="s">
        <v>115</v>
      </c>
      <c r="P2" s="2">
        <v>616</v>
      </c>
      <c r="Q2" s="2">
        <v>1053</v>
      </c>
      <c r="R2" s="2">
        <v>0</v>
      </c>
      <c r="S2" s="2">
        <v>0</v>
      </c>
      <c r="T2" s="2">
        <v>0</v>
      </c>
      <c r="U2" s="2">
        <v>0</v>
      </c>
    </row>
    <row r="3" spans="1:21" s="19" customFormat="1" ht="12.75">
      <c r="A3" s="4">
        <v>45511</v>
      </c>
      <c r="B3" s="19" t="s">
        <v>119</v>
      </c>
      <c r="C3" s="19" t="s">
        <v>118</v>
      </c>
      <c r="D3" s="19" t="s">
        <v>117</v>
      </c>
      <c r="E3" s="19" t="s">
        <v>116</v>
      </c>
      <c r="F3" s="19" t="s">
        <v>44</v>
      </c>
      <c r="G3" s="19">
        <v>2</v>
      </c>
      <c r="H3" s="19" t="s">
        <v>116</v>
      </c>
      <c r="I3" s="32"/>
      <c r="J3" s="20">
        <v>0.45833333333333331</v>
      </c>
      <c r="K3" s="20">
        <v>0.47222222222222227</v>
      </c>
      <c r="L3" s="32"/>
      <c r="M3" s="32"/>
      <c r="N3" s="32"/>
      <c r="O3" s="32"/>
      <c r="P3" s="32"/>
      <c r="Q3" s="32"/>
      <c r="R3" s="2">
        <v>0</v>
      </c>
      <c r="S3" s="2">
        <v>0</v>
      </c>
      <c r="T3" s="2">
        <v>0</v>
      </c>
      <c r="U3" s="2">
        <v>0</v>
      </c>
    </row>
    <row r="4" spans="1:21" customFormat="1">
      <c r="A4" s="4">
        <v>45511</v>
      </c>
      <c r="B4" s="2" t="s">
        <v>27</v>
      </c>
      <c r="C4" s="23" t="s">
        <v>28</v>
      </c>
      <c r="D4" s="23" t="s">
        <v>23</v>
      </c>
      <c r="E4" s="23" t="s">
        <v>50</v>
      </c>
      <c r="F4" s="3" t="s">
        <v>24</v>
      </c>
      <c r="G4" s="25">
        <v>71500</v>
      </c>
      <c r="H4" s="23" t="s">
        <v>29</v>
      </c>
      <c r="I4" s="23" t="s">
        <v>30</v>
      </c>
      <c r="J4" s="22">
        <v>0.72222222222222221</v>
      </c>
      <c r="K4" s="20">
        <v>0.74236111111111114</v>
      </c>
      <c r="L4" s="22">
        <v>0.74305555555555547</v>
      </c>
      <c r="M4" s="20">
        <v>0.77500000000000002</v>
      </c>
      <c r="N4" s="15" t="s">
        <v>121</v>
      </c>
      <c r="O4" s="15" t="s">
        <v>120</v>
      </c>
      <c r="P4" s="19">
        <v>1238</v>
      </c>
      <c r="Q4" s="15">
        <v>950</v>
      </c>
      <c r="R4" s="19">
        <v>0</v>
      </c>
      <c r="S4" s="23">
        <v>0</v>
      </c>
      <c r="T4" s="23">
        <v>0</v>
      </c>
      <c r="U4" s="23"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510E-2BB1-4ABD-B577-17ED4DA680E1}">
  <dimension ref="A1:U12"/>
  <sheetViews>
    <sheetView topLeftCell="B1" workbookViewId="0">
      <selection activeCell="B3" sqref="B3:U3"/>
    </sheetView>
  </sheetViews>
  <sheetFormatPr defaultRowHeight="15"/>
  <cols>
    <col min="1" max="1" width="11.28515625" bestFit="1" customWidth="1"/>
    <col min="2" max="2" width="26.5703125" customWidth="1"/>
    <col min="3" max="3" width="16.28515625" customWidth="1"/>
    <col min="4" max="4" width="12.5703125" customWidth="1"/>
    <col min="5" max="5" width="11.7109375" customWidth="1"/>
    <col min="6" max="6" width="20.28515625" customWidth="1"/>
    <col min="7" max="7" width="9.28515625" bestFit="1" customWidth="1"/>
    <col min="8" max="8" width="14.28515625" customWidth="1"/>
    <col min="9" max="9" width="11.28515625" customWidth="1"/>
    <col min="10" max="10" width="11" bestFit="1" customWidth="1"/>
    <col min="11" max="11" width="10.85546875" bestFit="1" customWidth="1"/>
    <col min="12" max="12" width="11.140625" bestFit="1" customWidth="1"/>
    <col min="13" max="13" width="11" bestFit="1" customWidth="1"/>
    <col min="14" max="14" width="14.42578125" customWidth="1"/>
    <col min="15" max="15" width="15.85546875" customWidth="1"/>
    <col min="16" max="21" width="9.28515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45512</v>
      </c>
      <c r="B2" s="2" t="s">
        <v>34</v>
      </c>
      <c r="C2" s="2" t="s">
        <v>35</v>
      </c>
      <c r="D2" s="3" t="s">
        <v>23</v>
      </c>
      <c r="E2" s="2" t="s">
        <v>52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0.32777777777777778</v>
      </c>
      <c r="L2" s="7">
        <v>0.37152777777777773</v>
      </c>
      <c r="M2" s="8">
        <v>0.375</v>
      </c>
      <c r="N2" s="3" t="s">
        <v>122</v>
      </c>
      <c r="O2" s="3" t="s">
        <v>55</v>
      </c>
      <c r="P2" s="3">
        <v>2090</v>
      </c>
      <c r="Q2" s="3">
        <v>2114</v>
      </c>
      <c r="R2" s="3">
        <v>0</v>
      </c>
      <c r="S2" s="3">
        <v>0</v>
      </c>
      <c r="T2" s="3">
        <v>0</v>
      </c>
      <c r="U2" s="3">
        <v>0</v>
      </c>
    </row>
    <row r="3" spans="1:21">
      <c r="A3" s="9"/>
      <c r="B3" s="2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6">
        <v>2</v>
      </c>
      <c r="H3" s="3" t="s">
        <v>126</v>
      </c>
      <c r="I3" s="3" t="s">
        <v>126</v>
      </c>
      <c r="J3" s="1">
        <v>0.79166666666666663</v>
      </c>
      <c r="K3" s="5">
        <v>0.79166666666666663</v>
      </c>
      <c r="L3" s="1" t="s">
        <v>103</v>
      </c>
      <c r="M3" s="5" t="s">
        <v>103</v>
      </c>
      <c r="N3" s="3" t="s">
        <v>128</v>
      </c>
      <c r="O3" s="3" t="s">
        <v>103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>
      <c r="A4" s="4"/>
      <c r="B4" s="2"/>
      <c r="C4" s="2"/>
      <c r="D4" s="15"/>
      <c r="E4" s="15"/>
      <c r="F4" s="15"/>
      <c r="G4" s="6"/>
      <c r="H4" s="15"/>
      <c r="I4" s="15"/>
      <c r="J4" s="7"/>
      <c r="K4" s="8"/>
      <c r="L4" s="7"/>
      <c r="M4" s="8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42AC-3C5E-4316-89C2-1456AE392CDF}">
  <dimension ref="A1:U7"/>
  <sheetViews>
    <sheetView workbookViewId="0">
      <selection sqref="A1:U3"/>
    </sheetView>
  </sheetViews>
  <sheetFormatPr defaultRowHeight="15"/>
  <cols>
    <col min="1" max="1" width="12.7109375" customWidth="1"/>
    <col min="2" max="2" width="29.42578125" customWidth="1"/>
    <col min="3" max="3" width="22.85546875" customWidth="1"/>
    <col min="6" max="6" width="21.7109375" customWidth="1"/>
  </cols>
  <sheetData>
    <row r="1" spans="1:21" s="18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8" customFormat="1" ht="12.75">
      <c r="A2" s="4">
        <v>45513</v>
      </c>
      <c r="B2" s="2" t="s">
        <v>34</v>
      </c>
      <c r="C2" s="2" t="s">
        <v>35</v>
      </c>
      <c r="D2" s="3" t="s">
        <v>23</v>
      </c>
      <c r="E2" s="2" t="s">
        <v>129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0.33958333333333335</v>
      </c>
      <c r="L2" s="7">
        <v>0.37152777777777773</v>
      </c>
      <c r="M2" s="8">
        <v>0.38819444444444445</v>
      </c>
      <c r="N2" s="3" t="s">
        <v>40</v>
      </c>
      <c r="O2" s="3" t="s">
        <v>135</v>
      </c>
      <c r="P2" s="3">
        <v>2377</v>
      </c>
      <c r="Q2" s="3">
        <v>2170</v>
      </c>
      <c r="R2" s="2">
        <v>0</v>
      </c>
      <c r="S2" s="2">
        <v>0</v>
      </c>
      <c r="T2" s="2">
        <v>0</v>
      </c>
      <c r="U2" s="2">
        <v>0</v>
      </c>
    </row>
    <row r="3" spans="1:21" s="19" customFormat="1" ht="12.75">
      <c r="A3" s="4">
        <v>45513</v>
      </c>
      <c r="B3" s="2" t="s">
        <v>21</v>
      </c>
      <c r="C3" s="2" t="s">
        <v>31</v>
      </c>
      <c r="D3" s="3" t="s">
        <v>23</v>
      </c>
      <c r="E3" s="2" t="s">
        <v>110</v>
      </c>
      <c r="F3" s="3" t="s">
        <v>24</v>
      </c>
      <c r="G3" s="6">
        <v>71500</v>
      </c>
      <c r="H3" s="2" t="s">
        <v>33</v>
      </c>
      <c r="I3" s="2" t="s">
        <v>32</v>
      </c>
      <c r="J3" s="7">
        <v>0.50347222222222221</v>
      </c>
      <c r="K3" s="8">
        <v>0.41319444444444442</v>
      </c>
      <c r="L3" s="7">
        <v>0.52777777777777779</v>
      </c>
      <c r="M3" s="8">
        <v>0.47083333333333338</v>
      </c>
      <c r="N3" s="2" t="s">
        <v>120</v>
      </c>
      <c r="O3" s="2" t="s">
        <v>136</v>
      </c>
      <c r="P3" s="2">
        <v>616</v>
      </c>
      <c r="Q3" s="2">
        <v>1233</v>
      </c>
      <c r="R3" s="19">
        <v>0</v>
      </c>
      <c r="S3" s="19">
        <v>0</v>
      </c>
      <c r="T3" s="19">
        <v>0</v>
      </c>
      <c r="U3" s="19">
        <v>0</v>
      </c>
    </row>
    <row r="4" spans="1:21" s="19" customFormat="1">
      <c r="A4" s="4">
        <v>45513</v>
      </c>
      <c r="B4" s="2" t="s">
        <v>27</v>
      </c>
      <c r="C4" s="23" t="s">
        <v>28</v>
      </c>
      <c r="D4" s="23" t="s">
        <v>23</v>
      </c>
      <c r="E4" s="23" t="s">
        <v>60</v>
      </c>
      <c r="F4" s="3" t="s">
        <v>24</v>
      </c>
      <c r="G4" s="25">
        <v>71500</v>
      </c>
      <c r="H4" s="23" t="s">
        <v>29</v>
      </c>
      <c r="I4" s="23" t="s">
        <v>30</v>
      </c>
      <c r="J4" s="22">
        <v>0.72222222222222221</v>
      </c>
      <c r="K4" s="21">
        <v>0.72083333333333333</v>
      </c>
      <c r="L4" s="22">
        <v>0.74305555555555547</v>
      </c>
      <c r="M4" s="20">
        <v>0.75694444444444453</v>
      </c>
      <c r="N4" s="15" t="s">
        <v>139</v>
      </c>
      <c r="O4" s="15" t="s">
        <v>53</v>
      </c>
      <c r="P4" s="19">
        <v>829</v>
      </c>
      <c r="Q4" s="15">
        <v>1406</v>
      </c>
      <c r="R4" s="19">
        <v>0</v>
      </c>
      <c r="S4" s="23">
        <v>0</v>
      </c>
      <c r="T4" s="23">
        <v>0</v>
      </c>
      <c r="U4" s="23">
        <v>0</v>
      </c>
    </row>
    <row r="5" spans="1:21">
      <c r="A5" s="33">
        <v>45513</v>
      </c>
      <c r="B5" s="2" t="s">
        <v>130</v>
      </c>
      <c r="C5" s="2" t="s">
        <v>131</v>
      </c>
      <c r="D5" s="2" t="s">
        <v>132</v>
      </c>
      <c r="E5" s="2" t="s">
        <v>133</v>
      </c>
      <c r="F5" s="3" t="s">
        <v>96</v>
      </c>
      <c r="G5" s="6">
        <v>9750</v>
      </c>
      <c r="H5" s="34" t="s">
        <v>134</v>
      </c>
      <c r="I5" s="34" t="s">
        <v>134</v>
      </c>
      <c r="J5" s="7">
        <v>0.4548611111111111</v>
      </c>
      <c r="K5" s="8">
        <v>0.44305555555555554</v>
      </c>
      <c r="L5" s="20">
        <v>0.53819444444444442</v>
      </c>
      <c r="M5" s="20">
        <v>0.54861111111111105</v>
      </c>
      <c r="N5" s="19">
        <v>0</v>
      </c>
      <c r="O5" s="19">
        <v>2</v>
      </c>
      <c r="P5" s="19">
        <v>0</v>
      </c>
      <c r="Q5" s="19">
        <v>0</v>
      </c>
      <c r="R5" s="19">
        <v>0</v>
      </c>
      <c r="S5" s="2">
        <v>0</v>
      </c>
      <c r="T5" s="2">
        <v>0</v>
      </c>
      <c r="U5" s="2">
        <v>0</v>
      </c>
    </row>
    <row r="6" spans="1:21">
      <c r="A6" s="33">
        <v>45513</v>
      </c>
      <c r="B6" s="2" t="s">
        <v>21</v>
      </c>
      <c r="C6" s="2" t="s">
        <v>22</v>
      </c>
      <c r="D6" s="3" t="s">
        <v>23</v>
      </c>
      <c r="E6" s="2" t="s">
        <v>77</v>
      </c>
      <c r="F6" s="3" t="s">
        <v>24</v>
      </c>
      <c r="G6" s="6">
        <v>71500</v>
      </c>
      <c r="H6" s="2" t="s">
        <v>25</v>
      </c>
      <c r="I6" s="2" t="s">
        <v>26</v>
      </c>
      <c r="J6" s="7">
        <v>0.50347222222222221</v>
      </c>
      <c r="K6" s="8">
        <v>0.50902777777777775</v>
      </c>
      <c r="L6" s="7">
        <v>0.52777777777777779</v>
      </c>
      <c r="M6" s="8">
        <v>0.57222222222222219</v>
      </c>
      <c r="N6" s="15" t="s">
        <v>137</v>
      </c>
      <c r="O6" s="15" t="s">
        <v>138</v>
      </c>
      <c r="P6" s="19">
        <v>784</v>
      </c>
      <c r="Q6" s="15">
        <v>1227</v>
      </c>
      <c r="R6" s="19">
        <v>0</v>
      </c>
      <c r="S6" s="2">
        <v>0</v>
      </c>
      <c r="T6" s="2">
        <v>0</v>
      </c>
      <c r="U6" s="2">
        <v>0</v>
      </c>
    </row>
    <row r="7" spans="1:21">
      <c r="A7" s="33">
        <v>45513</v>
      </c>
      <c r="B7" s="2" t="s">
        <v>140</v>
      </c>
      <c r="C7" s="2" t="s">
        <v>141</v>
      </c>
      <c r="D7" s="15" t="s">
        <v>142</v>
      </c>
      <c r="E7" s="2" t="s">
        <v>143</v>
      </c>
      <c r="F7" s="3" t="s">
        <v>96</v>
      </c>
      <c r="G7" s="6">
        <v>1</v>
      </c>
      <c r="H7" s="2" t="s">
        <v>143</v>
      </c>
      <c r="I7" s="2" t="s">
        <v>143</v>
      </c>
      <c r="J7" s="7">
        <v>0.61805555555555558</v>
      </c>
      <c r="K7" s="8">
        <v>0.65277777777777779</v>
      </c>
      <c r="L7" s="7">
        <v>0.63541666666666663</v>
      </c>
      <c r="M7" s="8">
        <v>0.68055555555555547</v>
      </c>
      <c r="N7" s="19">
        <v>0</v>
      </c>
      <c r="O7" s="2">
        <v>0</v>
      </c>
      <c r="P7" s="2">
        <v>0</v>
      </c>
      <c r="Q7" s="2">
        <v>0</v>
      </c>
      <c r="R7" s="19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7EDC-DC7B-4E91-8BF7-7A6084E7153D}">
  <dimension ref="A1:U6"/>
  <sheetViews>
    <sheetView workbookViewId="0">
      <selection activeCell="B4" sqref="B4:U4"/>
    </sheetView>
  </sheetViews>
  <sheetFormatPr defaultRowHeight="15"/>
  <cols>
    <col min="2" max="2" width="26.5703125" customWidth="1"/>
    <col min="3" max="3" width="21" customWidth="1"/>
    <col min="4" max="4" width="11.85546875" customWidth="1"/>
    <col min="5" max="5" width="18" customWidth="1"/>
    <col min="6" max="6" width="21.85546875" customWidth="1"/>
    <col min="14" max="14" width="16.28515625" customWidth="1"/>
    <col min="15" max="15" width="13.855468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45514</v>
      </c>
      <c r="B2" s="2" t="s">
        <v>21</v>
      </c>
      <c r="C2" s="2" t="s">
        <v>89</v>
      </c>
      <c r="D2" s="3" t="s">
        <v>23</v>
      </c>
      <c r="E2" s="2" t="s">
        <v>77</v>
      </c>
      <c r="F2" s="3" t="s">
        <v>24</v>
      </c>
      <c r="G2" s="6">
        <v>71500</v>
      </c>
      <c r="H2" s="2" t="s">
        <v>84</v>
      </c>
      <c r="I2" s="2" t="s">
        <v>90</v>
      </c>
      <c r="J2" s="7">
        <v>0.44097222222222227</v>
      </c>
      <c r="K2" s="8">
        <v>0.42430555555555555</v>
      </c>
      <c r="L2" s="7">
        <v>0.46527777777777773</v>
      </c>
      <c r="M2" s="8">
        <v>0.49652777777777773</v>
      </c>
      <c r="N2" s="3" t="s">
        <v>43</v>
      </c>
      <c r="O2" s="3" t="s">
        <v>105</v>
      </c>
      <c r="P2" s="3">
        <v>569</v>
      </c>
      <c r="Q2" s="3">
        <v>1310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45514</v>
      </c>
      <c r="B3" s="2" t="s">
        <v>45</v>
      </c>
      <c r="C3" s="3" t="s">
        <v>35</v>
      </c>
      <c r="D3" s="3" t="s">
        <v>46</v>
      </c>
      <c r="E3" s="3" t="s">
        <v>49</v>
      </c>
      <c r="F3" s="3" t="s">
        <v>36</v>
      </c>
      <c r="G3" s="6">
        <v>66000</v>
      </c>
      <c r="H3" s="3" t="s">
        <v>47</v>
      </c>
      <c r="I3" s="3" t="s">
        <v>48</v>
      </c>
      <c r="J3" s="1">
        <v>0.73263888888888884</v>
      </c>
      <c r="K3" s="5">
        <v>0.85069444444444453</v>
      </c>
      <c r="L3" s="1">
        <v>0.77430555555555547</v>
      </c>
      <c r="M3" s="5">
        <v>0.89236111111111116</v>
      </c>
      <c r="N3" s="3" t="s">
        <v>149</v>
      </c>
      <c r="O3" s="3" t="s">
        <v>148</v>
      </c>
      <c r="P3" s="3">
        <v>1872</v>
      </c>
      <c r="Q3" s="3">
        <v>1020</v>
      </c>
      <c r="R3" s="3">
        <v>0</v>
      </c>
      <c r="S3" s="3">
        <v>0</v>
      </c>
      <c r="T3" s="3">
        <v>0</v>
      </c>
      <c r="U3" s="3">
        <v>0</v>
      </c>
    </row>
    <row r="4" spans="1:21">
      <c r="A4" s="4">
        <v>45514</v>
      </c>
      <c r="B4" s="2" t="s">
        <v>144</v>
      </c>
      <c r="C4" s="2" t="s">
        <v>145</v>
      </c>
      <c r="D4" s="15" t="s">
        <v>58</v>
      </c>
      <c r="E4" s="15" t="s">
        <v>146</v>
      </c>
      <c r="F4" s="15" t="s">
        <v>96</v>
      </c>
      <c r="G4" s="6">
        <v>4900</v>
      </c>
      <c r="H4" s="15" t="s">
        <v>147</v>
      </c>
      <c r="I4" s="15" t="s">
        <v>147</v>
      </c>
      <c r="J4" s="7">
        <v>0.33333333333333331</v>
      </c>
      <c r="K4" s="8">
        <v>0.33055555555555555</v>
      </c>
      <c r="L4" s="7">
        <v>0.375</v>
      </c>
      <c r="M4" s="8">
        <v>0.38472222222222219</v>
      </c>
      <c r="N4" s="2">
        <v>0</v>
      </c>
      <c r="O4" s="2">
        <v>1</v>
      </c>
      <c r="P4" s="2" t="s">
        <v>42</v>
      </c>
      <c r="Q4" s="2" t="s">
        <v>42</v>
      </c>
      <c r="R4" s="2">
        <v>0</v>
      </c>
      <c r="S4" s="2">
        <v>0</v>
      </c>
      <c r="T4" s="2">
        <v>0</v>
      </c>
      <c r="U4" s="2">
        <v>0</v>
      </c>
    </row>
    <row r="5" spans="1:21">
      <c r="A5" s="9"/>
      <c r="B5" s="2"/>
      <c r="C5" s="2"/>
      <c r="D5" s="2"/>
      <c r="E5" s="2"/>
      <c r="F5" s="2"/>
      <c r="G5" s="6"/>
      <c r="H5" s="2"/>
      <c r="I5" s="2"/>
      <c r="J5" s="7"/>
      <c r="K5" s="8"/>
      <c r="L5" s="7"/>
      <c r="M5" s="8"/>
      <c r="N5" s="2"/>
      <c r="O5" s="2"/>
      <c r="P5" s="2"/>
      <c r="Q5" s="2"/>
      <c r="R5" s="2"/>
      <c r="S5" s="2"/>
      <c r="T5" s="2"/>
      <c r="U5" s="2"/>
    </row>
    <row r="6" spans="1:21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6EE7-670B-4551-B616-F6270D56B1D3}">
  <dimension ref="A1:U12"/>
  <sheetViews>
    <sheetView workbookViewId="0">
      <selection activeCell="D30" sqref="D30"/>
    </sheetView>
  </sheetViews>
  <sheetFormatPr defaultRowHeight="15"/>
  <cols>
    <col min="1" max="1" width="12.85546875" bestFit="1" customWidth="1"/>
    <col min="2" max="2" width="23.5703125" customWidth="1"/>
    <col min="3" max="3" width="16.5703125" customWidth="1"/>
    <col min="5" max="5" width="13.28515625" customWidth="1"/>
    <col min="6" max="6" width="22.5703125" customWidth="1"/>
    <col min="7" max="7" width="9.42578125" bestFit="1" customWidth="1"/>
    <col min="10" max="13" width="9.42578125" bestFit="1" customWidth="1"/>
    <col min="14" max="14" width="15.85546875" customWidth="1"/>
    <col min="15" max="15" width="18.42578125" customWidth="1"/>
    <col min="16" max="16" width="9.42578125" bestFit="1" customWidth="1"/>
    <col min="18" max="21" width="9.425781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/>
      <c r="B2" s="2"/>
      <c r="C2" s="2"/>
      <c r="D2" s="2"/>
      <c r="E2" s="2"/>
      <c r="F2" s="3"/>
      <c r="G2" s="6"/>
      <c r="H2" s="2"/>
      <c r="I2" s="2"/>
      <c r="J2" s="7"/>
      <c r="K2" s="8"/>
      <c r="L2" s="7"/>
      <c r="M2" s="8"/>
      <c r="N2" s="2"/>
      <c r="O2" s="8"/>
      <c r="P2" s="2"/>
      <c r="Q2" s="2"/>
      <c r="R2" s="2"/>
      <c r="S2" s="2"/>
      <c r="T2" s="2"/>
      <c r="U2" s="2"/>
    </row>
    <row r="3" spans="1:21">
      <c r="A3" s="4"/>
      <c r="B3" s="2"/>
      <c r="C3" s="2"/>
      <c r="D3" s="15"/>
      <c r="E3" s="15"/>
      <c r="F3" s="15"/>
      <c r="G3" s="6"/>
      <c r="H3" s="15"/>
      <c r="I3" s="15"/>
      <c r="J3" s="7"/>
      <c r="K3" s="8"/>
      <c r="L3" s="7"/>
      <c r="M3" s="8"/>
      <c r="N3" s="2"/>
      <c r="O3" s="2"/>
      <c r="P3" s="2"/>
      <c r="Q3" s="2"/>
      <c r="R3" s="2"/>
      <c r="S3" s="2"/>
      <c r="T3" s="2"/>
      <c r="U3" s="2"/>
    </row>
    <row r="4" spans="1:21">
      <c r="A4" s="4"/>
      <c r="B4" s="2"/>
      <c r="C4" s="2"/>
      <c r="D4" s="2"/>
      <c r="E4" s="2"/>
      <c r="F4" s="15"/>
      <c r="G4" s="2"/>
      <c r="H4" s="2"/>
      <c r="I4" s="2"/>
      <c r="J4" s="7"/>
      <c r="K4" s="8"/>
      <c r="L4" s="7"/>
      <c r="M4" s="8"/>
      <c r="N4" s="2"/>
      <c r="O4" s="2"/>
      <c r="P4" s="2"/>
      <c r="Q4" s="2"/>
      <c r="R4" s="2"/>
      <c r="S4" s="2"/>
      <c r="T4" s="2"/>
      <c r="U4" s="2"/>
    </row>
    <row r="5" spans="1:21">
      <c r="A5" s="4"/>
      <c r="B5" s="2"/>
      <c r="C5" s="2"/>
      <c r="D5" s="2"/>
      <c r="E5" s="2"/>
      <c r="F5" s="15"/>
      <c r="G5" s="2"/>
      <c r="H5" s="2"/>
      <c r="I5" s="2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BF7-8EFC-44EC-9355-4DD83F547111}">
  <dimension ref="A1:U10"/>
  <sheetViews>
    <sheetView topLeftCell="C1" workbookViewId="0">
      <selection sqref="A1:U4"/>
    </sheetView>
  </sheetViews>
  <sheetFormatPr defaultRowHeight="1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9">
        <v>45516</v>
      </c>
      <c r="B2" s="2" t="s">
        <v>27</v>
      </c>
      <c r="C2" s="2" t="s">
        <v>31</v>
      </c>
      <c r="D2" s="2" t="s">
        <v>23</v>
      </c>
      <c r="E2" s="2" t="s">
        <v>150</v>
      </c>
      <c r="F2" s="2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0.42777777777777781</v>
      </c>
      <c r="L2" s="7">
        <v>0.4513888888888889</v>
      </c>
      <c r="M2" s="8">
        <v>0.46388888888888885</v>
      </c>
      <c r="N2" s="2" t="s">
        <v>152</v>
      </c>
      <c r="O2" s="2" t="s">
        <v>156</v>
      </c>
      <c r="P2" s="2">
        <v>924</v>
      </c>
      <c r="Q2" s="2">
        <v>736</v>
      </c>
      <c r="R2" s="2">
        <v>0</v>
      </c>
      <c r="S2" s="2">
        <v>0</v>
      </c>
      <c r="T2" s="2">
        <v>0</v>
      </c>
      <c r="U2" s="2">
        <v>0</v>
      </c>
    </row>
    <row r="3" spans="1:21">
      <c r="A3" s="9">
        <v>45516</v>
      </c>
      <c r="B3" s="2" t="s">
        <v>21</v>
      </c>
      <c r="C3" s="2" t="s">
        <v>22</v>
      </c>
      <c r="D3" s="2" t="s">
        <v>23</v>
      </c>
      <c r="E3" s="2" t="s">
        <v>151</v>
      </c>
      <c r="F3" s="2" t="s">
        <v>24</v>
      </c>
      <c r="G3" s="6">
        <v>71500</v>
      </c>
      <c r="H3" s="2" t="s">
        <v>25</v>
      </c>
      <c r="I3" s="2" t="s">
        <v>26</v>
      </c>
      <c r="J3" s="7">
        <v>0.50347222222222221</v>
      </c>
      <c r="K3" s="8">
        <v>0.50208333333333333</v>
      </c>
      <c r="L3" s="7">
        <v>0.52777777777777779</v>
      </c>
      <c r="M3" s="8">
        <v>0.54652777777777783</v>
      </c>
      <c r="N3" s="2" t="s">
        <v>154</v>
      </c>
      <c r="O3" s="2" t="s">
        <v>153</v>
      </c>
      <c r="P3" s="2">
        <v>833</v>
      </c>
      <c r="Q3" s="2">
        <v>1150</v>
      </c>
      <c r="R3" s="2">
        <v>0</v>
      </c>
      <c r="S3" s="2">
        <v>0</v>
      </c>
      <c r="T3" s="2">
        <v>0</v>
      </c>
      <c r="U3" s="2">
        <v>0</v>
      </c>
    </row>
    <row r="4" spans="1:21">
      <c r="A4" s="9">
        <v>45516</v>
      </c>
      <c r="B4" s="2" t="s">
        <v>27</v>
      </c>
      <c r="C4" s="2" t="s">
        <v>28</v>
      </c>
      <c r="D4" s="2" t="s">
        <v>23</v>
      </c>
      <c r="E4" s="2" t="s">
        <v>155</v>
      </c>
      <c r="F4" s="2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0.73402777777777783</v>
      </c>
      <c r="L4" s="7">
        <v>0.74305555555555547</v>
      </c>
      <c r="M4" s="8">
        <v>0.76527777777777783</v>
      </c>
      <c r="N4" s="2" t="s">
        <v>157</v>
      </c>
      <c r="O4" s="2" t="s">
        <v>158</v>
      </c>
      <c r="P4" s="2">
        <v>1101</v>
      </c>
      <c r="Q4" s="2">
        <v>1310</v>
      </c>
      <c r="R4" s="2">
        <v>0</v>
      </c>
      <c r="S4" s="2">
        <v>0</v>
      </c>
      <c r="T4" s="2">
        <v>0</v>
      </c>
      <c r="U4" s="2">
        <v>0</v>
      </c>
    </row>
    <row r="5" spans="1:21">
      <c r="A5" s="9"/>
      <c r="B5" s="2"/>
      <c r="C5" s="2"/>
      <c r="D5" s="2"/>
      <c r="E5" s="2"/>
      <c r="F5" s="2"/>
      <c r="G5" s="6"/>
      <c r="H5" s="2"/>
      <c r="I5" s="2"/>
      <c r="J5" s="7"/>
      <c r="K5" s="8"/>
      <c r="L5" s="7"/>
      <c r="M5" s="8"/>
      <c r="N5" s="2"/>
      <c r="O5" s="2"/>
      <c r="P5" s="2"/>
      <c r="Q5" s="2"/>
      <c r="R5" s="2"/>
      <c r="S5" s="2"/>
      <c r="T5" s="2"/>
      <c r="U5" s="2"/>
    </row>
    <row r="6" spans="1:21">
      <c r="A6" s="4"/>
      <c r="B6" s="2"/>
      <c r="C6" s="2"/>
      <c r="D6" s="2"/>
      <c r="E6" s="2"/>
      <c r="F6" s="15"/>
      <c r="G6" s="2"/>
      <c r="H6" s="2"/>
      <c r="I6" s="2"/>
      <c r="J6" s="7"/>
      <c r="K6" s="8"/>
      <c r="L6" s="7"/>
      <c r="M6" s="8"/>
      <c r="N6" s="2"/>
      <c r="O6" s="2"/>
      <c r="P6" s="2"/>
      <c r="Q6" s="2"/>
      <c r="R6" s="2"/>
      <c r="S6" s="2"/>
      <c r="T6" s="2"/>
      <c r="U6" s="2"/>
    </row>
    <row r="7" spans="1:21">
      <c r="A7" s="4"/>
      <c r="B7" s="2"/>
      <c r="C7" s="2"/>
      <c r="D7" s="15"/>
      <c r="E7" s="15"/>
      <c r="F7" s="15"/>
      <c r="G7" s="6"/>
      <c r="H7" s="15"/>
      <c r="I7" s="15"/>
      <c r="J7" s="7"/>
      <c r="K7" s="8"/>
      <c r="L7" s="7"/>
      <c r="M7" s="8"/>
      <c r="N7" s="2"/>
      <c r="O7" s="2"/>
      <c r="P7" s="2"/>
      <c r="Q7" s="2"/>
      <c r="R7" s="2"/>
      <c r="S7" s="2"/>
      <c r="T7" s="2"/>
      <c r="U7" s="2"/>
    </row>
    <row r="8" spans="1:21">
      <c r="A8" s="4"/>
      <c r="B8" s="2"/>
      <c r="C8" s="2"/>
      <c r="D8" s="15"/>
      <c r="E8" s="15"/>
      <c r="F8" s="15"/>
      <c r="G8" s="6"/>
      <c r="H8" s="15"/>
      <c r="I8" s="15"/>
      <c r="J8" s="7"/>
      <c r="K8" s="8"/>
      <c r="L8" s="7"/>
      <c r="M8" s="8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3CA6-BFAA-4849-8B2A-02680A265081}">
  <dimension ref="A1:U12"/>
  <sheetViews>
    <sheetView workbookViewId="0">
      <selection activeCell="E33" sqref="E33"/>
    </sheetView>
  </sheetViews>
  <sheetFormatPr defaultRowHeight="15"/>
  <cols>
    <col min="1" max="1" width="12.85546875" bestFit="1" customWidth="1"/>
    <col min="2" max="2" width="23.5703125" customWidth="1"/>
    <col min="3" max="3" width="16.5703125" customWidth="1"/>
    <col min="5" max="5" width="13.28515625" customWidth="1"/>
    <col min="6" max="6" width="22.5703125" customWidth="1"/>
    <col min="7" max="7" width="9.42578125" bestFit="1" customWidth="1"/>
    <col min="10" max="13" width="9.42578125" bestFit="1" customWidth="1"/>
    <col min="14" max="14" width="15.85546875" customWidth="1"/>
    <col min="15" max="15" width="18.42578125" customWidth="1"/>
    <col min="16" max="16" width="9.42578125" bestFit="1" customWidth="1"/>
    <col min="18" max="21" width="9.425781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45517</v>
      </c>
      <c r="B2" s="2" t="s">
        <v>34</v>
      </c>
      <c r="C2" s="2" t="s">
        <v>35</v>
      </c>
      <c r="D2" s="3" t="s">
        <v>23</v>
      </c>
      <c r="E2" s="2" t="s">
        <v>52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0.3298611111111111</v>
      </c>
      <c r="L2" s="7">
        <v>0.37152777777777773</v>
      </c>
      <c r="M2" s="8">
        <v>0.36874999999999997</v>
      </c>
      <c r="N2" s="3" t="s">
        <v>39</v>
      </c>
      <c r="O2" s="3" t="s">
        <v>61</v>
      </c>
      <c r="P2" s="3">
        <v>2506</v>
      </c>
      <c r="Q2" s="3">
        <v>2124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45517</v>
      </c>
      <c r="B3" s="2" t="s">
        <v>21</v>
      </c>
      <c r="C3" s="2" t="s">
        <v>31</v>
      </c>
      <c r="D3" s="3" t="s">
        <v>23</v>
      </c>
      <c r="E3" s="2" t="s">
        <v>110</v>
      </c>
      <c r="F3" s="3" t="s">
        <v>24</v>
      </c>
      <c r="G3" s="6">
        <v>71500</v>
      </c>
      <c r="H3" s="2" t="s">
        <v>85</v>
      </c>
      <c r="I3" s="2" t="s">
        <v>84</v>
      </c>
      <c r="J3" s="7">
        <v>0.44097222222222227</v>
      </c>
      <c r="K3" s="8">
        <v>0.42291666666666666</v>
      </c>
      <c r="L3" s="7">
        <v>0.46527777777777773</v>
      </c>
      <c r="M3" s="8">
        <v>0.48055555555555557</v>
      </c>
      <c r="N3" s="2" t="s">
        <v>159</v>
      </c>
      <c r="O3" s="2" t="s">
        <v>51</v>
      </c>
      <c r="P3" s="2">
        <v>586</v>
      </c>
      <c r="Q3" s="2">
        <v>546</v>
      </c>
      <c r="R3" s="2">
        <v>0</v>
      </c>
      <c r="S3" s="2">
        <v>0</v>
      </c>
      <c r="T3" s="2">
        <v>0</v>
      </c>
      <c r="U3" s="2">
        <v>0</v>
      </c>
    </row>
    <row r="4" spans="1:21">
      <c r="A4" s="4"/>
      <c r="B4" s="2"/>
      <c r="C4" s="2"/>
      <c r="D4" s="3"/>
      <c r="E4" s="2"/>
      <c r="F4" s="3"/>
      <c r="G4" s="6"/>
      <c r="H4" s="2"/>
      <c r="I4" s="2"/>
      <c r="J4" s="7"/>
      <c r="K4" s="8"/>
      <c r="L4" s="7"/>
      <c r="M4" s="8"/>
      <c r="N4" s="2"/>
      <c r="O4" s="2"/>
      <c r="P4" s="2"/>
      <c r="Q4" s="2"/>
      <c r="R4" s="2"/>
      <c r="S4" s="2"/>
      <c r="T4" s="2"/>
      <c r="U4" s="2"/>
    </row>
    <row r="5" spans="1:21">
      <c r="A5" s="4"/>
      <c r="B5" s="2"/>
      <c r="C5" s="2"/>
      <c r="D5" s="2"/>
      <c r="E5" s="2"/>
      <c r="F5" s="15"/>
      <c r="G5" s="2"/>
      <c r="H5" s="2"/>
      <c r="I5" s="2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4A4E-87C4-4E44-817C-4EAF93CA4228}">
  <dimension ref="A1:U3"/>
  <sheetViews>
    <sheetView workbookViewId="0">
      <selection activeCell="F31" sqref="F31"/>
    </sheetView>
  </sheetViews>
  <sheetFormatPr defaultRowHeight="15"/>
  <cols>
    <col min="1" max="1" width="15.42578125" style="35" bestFit="1" customWidth="1"/>
    <col min="2" max="2" width="19" style="35" customWidth="1"/>
    <col min="3" max="3" width="14.85546875" style="35" customWidth="1"/>
    <col min="4" max="5" width="9.140625" style="35"/>
    <col min="6" max="6" width="17.28515625" style="35" bestFit="1" customWidth="1"/>
    <col min="7" max="7" width="9.28515625" style="35" bestFit="1" customWidth="1"/>
    <col min="8" max="9" width="9.140625" style="35"/>
    <col min="10" max="11" width="10.42578125" style="35" bestFit="1" customWidth="1"/>
    <col min="12" max="17" width="9.140625" style="35"/>
    <col min="18" max="21" width="9.28515625" style="35" bestFit="1" customWidth="1"/>
    <col min="22" max="16384" width="9.140625" style="35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45518</v>
      </c>
      <c r="B2" s="2" t="s">
        <v>27</v>
      </c>
      <c r="C2" s="3" t="s">
        <v>31</v>
      </c>
      <c r="D2" s="3" t="s">
        <v>23</v>
      </c>
      <c r="E2" s="3" t="s">
        <v>155</v>
      </c>
      <c r="F2" s="3" t="s">
        <v>24</v>
      </c>
      <c r="G2" s="6">
        <v>71500</v>
      </c>
      <c r="H2" s="3" t="s">
        <v>32</v>
      </c>
      <c r="I2" s="3" t="s">
        <v>33</v>
      </c>
      <c r="J2" s="1">
        <v>0.41666666666666669</v>
      </c>
      <c r="K2" s="5">
        <v>0.41388888888888892</v>
      </c>
      <c r="L2" s="1">
        <v>0.44097222222222227</v>
      </c>
      <c r="M2" s="5">
        <v>0.47500000000000003</v>
      </c>
      <c r="N2" s="3" t="s">
        <v>161</v>
      </c>
      <c r="O2" s="3" t="s">
        <v>162</v>
      </c>
      <c r="P2" s="2">
        <v>435</v>
      </c>
      <c r="Q2" s="2">
        <v>667</v>
      </c>
      <c r="R2" s="2">
        <v>0</v>
      </c>
      <c r="S2" s="2">
        <v>0</v>
      </c>
      <c r="T2" s="2">
        <v>0</v>
      </c>
      <c r="U2" s="2">
        <v>0</v>
      </c>
    </row>
    <row r="3" spans="1:21" s="37" customFormat="1">
      <c r="A3" s="4">
        <v>45518</v>
      </c>
      <c r="B3" s="2" t="s">
        <v>27</v>
      </c>
      <c r="C3" s="19" t="s">
        <v>28</v>
      </c>
      <c r="D3" s="19" t="s">
        <v>23</v>
      </c>
      <c r="E3" s="19" t="s">
        <v>160</v>
      </c>
      <c r="F3" s="3" t="s">
        <v>24</v>
      </c>
      <c r="G3" s="36">
        <v>71500</v>
      </c>
      <c r="H3" s="19" t="s">
        <v>29</v>
      </c>
      <c r="I3" s="19" t="s">
        <v>30</v>
      </c>
      <c r="J3" s="22">
        <v>0.72222222222222221</v>
      </c>
      <c r="K3" s="20">
        <v>0.7909722222222223</v>
      </c>
      <c r="L3" s="22">
        <v>0.74305555555555547</v>
      </c>
      <c r="M3" s="20">
        <v>0.84375</v>
      </c>
      <c r="N3" s="15" t="s">
        <v>163</v>
      </c>
      <c r="O3" s="15" t="s">
        <v>164</v>
      </c>
      <c r="P3" s="19">
        <v>992</v>
      </c>
      <c r="Q3" s="15">
        <v>1306</v>
      </c>
      <c r="R3" s="19">
        <v>0</v>
      </c>
      <c r="S3" s="19">
        <v>0</v>
      </c>
      <c r="T3" s="19">
        <v>0</v>
      </c>
      <c r="U3" s="19"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AA6-9F84-4C64-B7A7-BA3A70351FE8}">
  <dimension ref="A1:U2"/>
  <sheetViews>
    <sheetView workbookViewId="0">
      <selection activeCell="K8" sqref="K8"/>
    </sheetView>
  </sheetViews>
  <sheetFormatPr defaultRowHeight="15"/>
  <cols>
    <col min="2" max="2" width="21.140625" customWidth="1"/>
    <col min="3" max="3" width="16.42578125" customWidth="1"/>
    <col min="6" max="6" width="12.28515625" customWidth="1"/>
    <col min="14" max="14" width="15" customWidth="1"/>
    <col min="15" max="15" width="13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45519</v>
      </c>
      <c r="B2" s="2" t="s">
        <v>34</v>
      </c>
      <c r="C2" s="2" t="s">
        <v>35</v>
      </c>
      <c r="D2" s="3" t="s">
        <v>23</v>
      </c>
      <c r="E2" s="2" t="s">
        <v>165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0.48888888888888887</v>
      </c>
      <c r="L2" s="7">
        <v>0.37152777777777773</v>
      </c>
      <c r="M2" s="8">
        <v>0.52500000000000002</v>
      </c>
      <c r="N2" s="3" t="s">
        <v>39</v>
      </c>
      <c r="O2" s="3" t="s">
        <v>166</v>
      </c>
      <c r="P2" s="3">
        <v>2298</v>
      </c>
      <c r="Q2" s="3">
        <v>1989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83AE-D345-4809-AD09-3EB4AC22502D}">
  <dimension ref="A1:V13"/>
  <sheetViews>
    <sheetView workbookViewId="0">
      <selection activeCell="G33" sqref="G33"/>
    </sheetView>
  </sheetViews>
  <sheetFormatPr defaultRowHeight="15"/>
  <cols>
    <col min="1" max="1" width="11.42578125" bestFit="1" customWidth="1"/>
    <col min="2" max="2" width="23" customWidth="1"/>
    <col min="3" max="3" width="19.42578125" customWidth="1"/>
    <col min="6" max="6" width="14.285156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42578125" customWidth="1"/>
    <col min="16" max="16" width="9.28515625" bestFit="1" customWidth="1"/>
    <col min="18" max="21" width="9.285156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/>
    </row>
    <row r="2" spans="1:22">
      <c r="A2" s="4">
        <v>45520</v>
      </c>
      <c r="B2" s="2" t="s">
        <v>34</v>
      </c>
      <c r="C2" s="2" t="s">
        <v>35</v>
      </c>
      <c r="D2" s="3" t="s">
        <v>23</v>
      </c>
      <c r="E2" s="2" t="s">
        <v>170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0.3298611111111111</v>
      </c>
      <c r="L2" s="7">
        <v>0.37152777777777773</v>
      </c>
      <c r="M2" s="8">
        <v>0.37847222222222227</v>
      </c>
      <c r="N2" s="3" t="s">
        <v>39</v>
      </c>
      <c r="O2" s="3" t="s">
        <v>171</v>
      </c>
      <c r="P2" s="3">
        <v>2372</v>
      </c>
      <c r="Q2" s="3">
        <v>2136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>
      <c r="A3" s="4">
        <v>45520</v>
      </c>
      <c r="B3" s="2" t="s">
        <v>27</v>
      </c>
      <c r="C3" s="2" t="s">
        <v>31</v>
      </c>
      <c r="D3" s="3" t="s">
        <v>23</v>
      </c>
      <c r="E3" s="2" t="s">
        <v>167</v>
      </c>
      <c r="F3" s="3" t="s">
        <v>24</v>
      </c>
      <c r="G3" s="6">
        <v>71500</v>
      </c>
      <c r="H3" s="2" t="s">
        <v>33</v>
      </c>
      <c r="I3" s="2" t="s">
        <v>32</v>
      </c>
      <c r="J3" s="7">
        <v>0.42708333333333331</v>
      </c>
      <c r="K3" s="8">
        <v>0.45694444444444443</v>
      </c>
      <c r="L3" s="7">
        <v>0.4513888888888889</v>
      </c>
      <c r="M3" s="8">
        <v>0.49444444444444446</v>
      </c>
      <c r="N3" s="2" t="s">
        <v>173</v>
      </c>
      <c r="O3" s="2" t="s">
        <v>174</v>
      </c>
      <c r="P3" s="2">
        <v>567</v>
      </c>
      <c r="Q3" s="2">
        <v>1256</v>
      </c>
      <c r="R3" s="2">
        <v>0</v>
      </c>
      <c r="S3" s="2">
        <v>0</v>
      </c>
      <c r="T3" s="2">
        <v>0</v>
      </c>
      <c r="U3" s="2">
        <v>0</v>
      </c>
      <c r="V3" s="2"/>
    </row>
    <row r="4" spans="1:22">
      <c r="A4" s="4">
        <v>45520</v>
      </c>
      <c r="B4" s="2" t="s">
        <v>21</v>
      </c>
      <c r="C4" s="2" t="s">
        <v>22</v>
      </c>
      <c r="D4" s="15" t="s">
        <v>23</v>
      </c>
      <c r="E4" s="2" t="s">
        <v>168</v>
      </c>
      <c r="F4" s="15" t="s">
        <v>24</v>
      </c>
      <c r="G4" s="2">
        <v>71.5</v>
      </c>
      <c r="H4" s="15" t="s">
        <v>25</v>
      </c>
      <c r="I4" s="2" t="s">
        <v>26</v>
      </c>
      <c r="J4" s="7">
        <v>0.50347222222222221</v>
      </c>
      <c r="K4" s="8">
        <v>0.49791666666666662</v>
      </c>
      <c r="L4" s="7">
        <v>0.52777777777777779</v>
      </c>
      <c r="M4" s="8">
        <v>0.58958333333333335</v>
      </c>
      <c r="N4" s="2" t="s">
        <v>172</v>
      </c>
      <c r="O4" s="2" t="s">
        <v>175</v>
      </c>
      <c r="P4" s="2">
        <v>1029</v>
      </c>
      <c r="Q4" s="2">
        <v>1304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>
      <c r="A5" s="4">
        <v>45520</v>
      </c>
      <c r="B5" s="2" t="s">
        <v>27</v>
      </c>
      <c r="C5" s="2" t="s">
        <v>28</v>
      </c>
      <c r="D5" s="15" t="s">
        <v>23</v>
      </c>
      <c r="E5" s="2" t="s">
        <v>169</v>
      </c>
      <c r="F5" s="15" t="s">
        <v>24</v>
      </c>
      <c r="G5" s="2">
        <v>71.5</v>
      </c>
      <c r="H5" s="2" t="s">
        <v>29</v>
      </c>
      <c r="I5" s="2" t="s">
        <v>30</v>
      </c>
      <c r="J5" s="7">
        <v>0.72222222222222221</v>
      </c>
      <c r="K5" s="8">
        <v>0.72777777777777775</v>
      </c>
      <c r="L5" s="7">
        <v>0.74305555555555547</v>
      </c>
      <c r="M5" s="8">
        <v>0.76111111111111107</v>
      </c>
      <c r="N5" s="2" t="s">
        <v>176</v>
      </c>
      <c r="O5" s="2" t="s">
        <v>61</v>
      </c>
      <c r="P5" s="2">
        <v>1173</v>
      </c>
      <c r="Q5" s="2">
        <v>1618</v>
      </c>
      <c r="R5" s="2">
        <v>0</v>
      </c>
      <c r="S5" s="2">
        <v>0</v>
      </c>
      <c r="T5" s="2">
        <v>0</v>
      </c>
      <c r="U5" s="2">
        <v>0</v>
      </c>
      <c r="V5" s="2"/>
    </row>
    <row r="6" spans="1:22">
      <c r="A6" s="4"/>
      <c r="B6" s="2"/>
      <c r="C6" s="2"/>
      <c r="D6" s="15"/>
      <c r="E6" s="2"/>
      <c r="F6" s="1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4"/>
      <c r="B7" s="2"/>
      <c r="C7" s="2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54E1-5A81-4949-86C0-623F060BF2B4}">
  <dimension ref="A1:V23"/>
  <sheetViews>
    <sheetView workbookViewId="0">
      <selection activeCell="F17" sqref="F17"/>
    </sheetView>
  </sheetViews>
  <sheetFormatPr defaultRowHeight="15"/>
  <cols>
    <col min="2" max="2" width="26.42578125" bestFit="1" customWidth="1"/>
    <col min="3" max="3" width="14" bestFit="1" customWidth="1"/>
    <col min="6" max="6" width="16.5703125" bestFit="1" customWidth="1"/>
    <col min="10" max="10" width="11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/>
    </row>
    <row r="2" spans="1:22">
      <c r="A2" s="4">
        <v>45521</v>
      </c>
      <c r="B2" s="2" t="s">
        <v>27</v>
      </c>
      <c r="C2" s="2" t="s">
        <v>31</v>
      </c>
      <c r="D2" s="3" t="s">
        <v>23</v>
      </c>
      <c r="E2" s="2" t="s">
        <v>177</v>
      </c>
      <c r="F2" s="3" t="s">
        <v>24</v>
      </c>
      <c r="G2" s="6">
        <v>71500</v>
      </c>
      <c r="H2" s="2" t="s">
        <v>33</v>
      </c>
      <c r="I2" s="2" t="s">
        <v>32</v>
      </c>
      <c r="J2" s="7">
        <v>0.44097222222222227</v>
      </c>
      <c r="K2" s="8">
        <v>0.47083333333333338</v>
      </c>
      <c r="L2" s="7">
        <v>0.46527777777777773</v>
      </c>
      <c r="M2" s="8">
        <v>0.5131944444444444</v>
      </c>
      <c r="N2" s="2" t="s">
        <v>113</v>
      </c>
      <c r="O2" s="2" t="s">
        <v>181</v>
      </c>
      <c r="P2" s="2">
        <v>400</v>
      </c>
      <c r="Q2" s="2">
        <v>603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>
      <c r="A3" s="4">
        <v>45521</v>
      </c>
      <c r="B3" s="18" t="s">
        <v>182</v>
      </c>
      <c r="C3" s="18" t="s">
        <v>178</v>
      </c>
      <c r="D3" s="19" t="s">
        <v>179</v>
      </c>
      <c r="E3" s="18" t="s">
        <v>180</v>
      </c>
      <c r="F3" s="3" t="s">
        <v>96</v>
      </c>
      <c r="G3" s="18"/>
      <c r="H3" s="18" t="s">
        <v>180</v>
      </c>
      <c r="I3" s="18" t="s">
        <v>180</v>
      </c>
      <c r="J3" s="7">
        <v>0.45833333333333331</v>
      </c>
      <c r="K3" s="8">
        <v>0.4597222222222222</v>
      </c>
      <c r="L3" s="7">
        <v>0.52083333333333337</v>
      </c>
      <c r="M3" s="20">
        <v>0.52430555555555558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38"/>
    </row>
    <row r="4" spans="1:22">
      <c r="A4" s="4">
        <v>45521</v>
      </c>
      <c r="B4" s="2" t="s">
        <v>123</v>
      </c>
      <c r="C4" s="3" t="s">
        <v>184</v>
      </c>
      <c r="D4" s="3" t="s">
        <v>125</v>
      </c>
      <c r="E4" s="3" t="s">
        <v>126</v>
      </c>
      <c r="F4" s="3" t="s">
        <v>183</v>
      </c>
      <c r="G4" s="6">
        <v>2</v>
      </c>
      <c r="H4" s="3" t="s">
        <v>126</v>
      </c>
      <c r="I4" s="3" t="s">
        <v>126</v>
      </c>
      <c r="J4" s="1" t="s">
        <v>103</v>
      </c>
      <c r="K4" s="5" t="s">
        <v>103</v>
      </c>
      <c r="L4" s="1">
        <v>0.54166666666666663</v>
      </c>
      <c r="M4" s="5">
        <v>0.53819444444444442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2">
      <c r="A5" s="4">
        <v>45521</v>
      </c>
      <c r="B5" s="2" t="s">
        <v>45</v>
      </c>
      <c r="C5" s="3" t="s">
        <v>35</v>
      </c>
      <c r="D5" s="3" t="s">
        <v>46</v>
      </c>
      <c r="E5" s="3" t="s">
        <v>49</v>
      </c>
      <c r="F5" s="3" t="s">
        <v>36</v>
      </c>
      <c r="G5" s="6">
        <v>66000</v>
      </c>
      <c r="H5" s="3" t="s">
        <v>47</v>
      </c>
      <c r="I5" s="3" t="s">
        <v>48</v>
      </c>
      <c r="J5" s="1">
        <v>0.73263888888888884</v>
      </c>
      <c r="K5" s="5">
        <v>0.79999999999999993</v>
      </c>
      <c r="L5" s="1">
        <v>0.77430555555555547</v>
      </c>
      <c r="M5" s="5">
        <v>0.82708333333333339</v>
      </c>
      <c r="N5" s="3" t="s">
        <v>185</v>
      </c>
      <c r="O5" s="3" t="s">
        <v>186</v>
      </c>
      <c r="P5" s="3">
        <v>1158</v>
      </c>
      <c r="Q5" s="3">
        <v>1459</v>
      </c>
      <c r="R5" s="3">
        <v>0</v>
      </c>
      <c r="S5" s="3">
        <v>0</v>
      </c>
      <c r="T5" s="3">
        <v>0</v>
      </c>
      <c r="U5" s="3">
        <v>0</v>
      </c>
    </row>
    <row r="23" spans="6:6">
      <c r="F23" s="18"/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9FDE-8FDB-4CFB-A9A3-D945256AAD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0587-D892-49EB-A868-B7D93E5FE1EF}">
  <dimension ref="A1:U11"/>
  <sheetViews>
    <sheetView workbookViewId="0">
      <selection activeCell="F15" sqref="F15"/>
    </sheetView>
  </sheetViews>
  <sheetFormatPr defaultRowHeight="15"/>
  <cols>
    <col min="1" max="1" width="13.85546875" bestFit="1" customWidth="1"/>
    <col min="2" max="2" width="23.140625" customWidth="1"/>
    <col min="3" max="3" width="16.7109375" customWidth="1"/>
    <col min="6" max="6" width="11.7109375" customWidth="1"/>
    <col min="8" max="8" width="9.4257812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9">
        <v>45523</v>
      </c>
      <c r="B2" s="2" t="s">
        <v>187</v>
      </c>
      <c r="C2" s="2" t="s">
        <v>188</v>
      </c>
      <c r="D2" s="2" t="s">
        <v>132</v>
      </c>
      <c r="E2" s="2" t="s">
        <v>189</v>
      </c>
      <c r="F2" s="2" t="s">
        <v>190</v>
      </c>
      <c r="G2" s="2">
        <v>9700</v>
      </c>
      <c r="H2" s="2" t="s">
        <v>191</v>
      </c>
      <c r="I2" s="2" t="s">
        <v>192</v>
      </c>
      <c r="J2" s="7">
        <v>4.1666666666666664E-2</v>
      </c>
      <c r="K2" s="8">
        <v>4.7916666666666663E-2</v>
      </c>
      <c r="L2" s="7">
        <v>0.56944444444444442</v>
      </c>
      <c r="M2" s="8">
        <v>0.59930555555555554</v>
      </c>
      <c r="N2" s="2">
        <v>3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>
      <c r="A3" s="9">
        <v>45523</v>
      </c>
      <c r="B3" s="2" t="s">
        <v>27</v>
      </c>
      <c r="C3" s="2" t="s">
        <v>31</v>
      </c>
      <c r="D3" s="2" t="s">
        <v>23</v>
      </c>
      <c r="E3" s="2" t="s">
        <v>193</v>
      </c>
      <c r="F3" s="2" t="s">
        <v>24</v>
      </c>
      <c r="G3" s="6">
        <v>71500</v>
      </c>
      <c r="H3" s="2" t="s">
        <v>32</v>
      </c>
      <c r="I3" s="2" t="s">
        <v>33</v>
      </c>
      <c r="J3" s="7">
        <v>0.42708333333333331</v>
      </c>
      <c r="K3" s="8">
        <v>0.4201388888888889</v>
      </c>
      <c r="L3" s="7">
        <v>0.4513888888888889</v>
      </c>
      <c r="M3" s="8">
        <v>0.48541666666666666</v>
      </c>
      <c r="N3" s="2" t="s">
        <v>195</v>
      </c>
      <c r="O3" s="2" t="s">
        <v>105</v>
      </c>
      <c r="P3" s="2">
        <v>754</v>
      </c>
      <c r="Q3" s="2">
        <v>642</v>
      </c>
      <c r="R3" s="2">
        <v>0</v>
      </c>
      <c r="S3" s="2">
        <v>0</v>
      </c>
      <c r="T3" s="2">
        <v>0</v>
      </c>
      <c r="U3" s="2">
        <v>0</v>
      </c>
    </row>
    <row r="4" spans="1:21">
      <c r="A4" s="9">
        <v>45523</v>
      </c>
      <c r="B4" s="2" t="s">
        <v>21</v>
      </c>
      <c r="C4" s="2" t="s">
        <v>22</v>
      </c>
      <c r="D4" s="2" t="s">
        <v>23</v>
      </c>
      <c r="E4" s="2" t="s">
        <v>194</v>
      </c>
      <c r="F4" s="2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0.5131944444444444</v>
      </c>
      <c r="L4" s="7">
        <v>0.52777777777777779</v>
      </c>
      <c r="M4" s="8">
        <v>0.57500000000000007</v>
      </c>
      <c r="N4" s="2" t="s">
        <v>196</v>
      </c>
      <c r="O4" s="2" t="s">
        <v>197</v>
      </c>
      <c r="P4" s="2">
        <v>772</v>
      </c>
      <c r="Q4" s="2">
        <v>970</v>
      </c>
      <c r="R4" s="2">
        <v>0</v>
      </c>
      <c r="S4" s="2">
        <v>0</v>
      </c>
      <c r="T4" s="2">
        <v>0</v>
      </c>
      <c r="U4" s="2">
        <v>0</v>
      </c>
    </row>
    <row r="5" spans="1:21">
      <c r="A5" s="9">
        <v>45523</v>
      </c>
      <c r="B5" s="2" t="s">
        <v>27</v>
      </c>
      <c r="C5" s="2" t="s">
        <v>28</v>
      </c>
      <c r="D5" s="2" t="s">
        <v>23</v>
      </c>
      <c r="E5" s="2" t="s">
        <v>155</v>
      </c>
      <c r="F5" s="2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>
        <v>0.72986111111111107</v>
      </c>
      <c r="L5" s="7">
        <v>0.74305555555555547</v>
      </c>
      <c r="M5" s="8">
        <v>0.76458333333333339</v>
      </c>
      <c r="N5" s="2" t="s">
        <v>106</v>
      </c>
      <c r="O5" s="2" t="s">
        <v>59</v>
      </c>
      <c r="P5" s="2">
        <v>921</v>
      </c>
      <c r="Q5" s="2">
        <v>1547</v>
      </c>
      <c r="R5" s="2">
        <v>0</v>
      </c>
      <c r="S5" s="2">
        <v>0</v>
      </c>
      <c r="T5" s="2">
        <v>0</v>
      </c>
      <c r="U5" s="2">
        <v>0</v>
      </c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3CD3-DFF9-4124-B7E1-F258D43D2498}">
  <dimension ref="A1:U3"/>
  <sheetViews>
    <sheetView workbookViewId="0">
      <selection sqref="A1:U8"/>
    </sheetView>
  </sheetViews>
  <sheetFormatPr defaultRowHeight="15"/>
  <cols>
    <col min="2" max="2" width="23.28515625" bestFit="1" customWidth="1"/>
    <col min="3" max="3" width="14" bestFit="1" customWidth="1"/>
    <col min="5" max="5" width="8.28515625" bestFit="1" customWidth="1"/>
    <col min="6" max="6" width="12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45524</v>
      </c>
      <c r="B2" s="2" t="s">
        <v>34</v>
      </c>
      <c r="C2" s="2" t="s">
        <v>35</v>
      </c>
      <c r="D2" s="3" t="s">
        <v>23</v>
      </c>
      <c r="E2" s="2" t="s">
        <v>198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0.33888888888888885</v>
      </c>
      <c r="L2" s="7">
        <v>0.37152777777777773</v>
      </c>
      <c r="M2" s="8">
        <v>0.37916666666666665</v>
      </c>
      <c r="N2" s="3" t="s">
        <v>197</v>
      </c>
      <c r="O2" s="3" t="s">
        <v>106</v>
      </c>
      <c r="P2" s="3">
        <v>2347</v>
      </c>
      <c r="Q2" s="3">
        <v>2249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45524</v>
      </c>
      <c r="B3" s="2" t="s">
        <v>21</v>
      </c>
      <c r="C3" s="2" t="s">
        <v>31</v>
      </c>
      <c r="D3" s="3" t="s">
        <v>23</v>
      </c>
      <c r="E3" s="2" t="s">
        <v>110</v>
      </c>
      <c r="F3" s="3" t="s">
        <v>24</v>
      </c>
      <c r="G3" s="6">
        <v>71500</v>
      </c>
      <c r="H3" s="2" t="s">
        <v>85</v>
      </c>
      <c r="I3" s="2" t="s">
        <v>84</v>
      </c>
      <c r="J3" s="7">
        <v>0.44097222222222227</v>
      </c>
      <c r="K3" s="8">
        <v>0.47013888888888888</v>
      </c>
      <c r="L3" s="7">
        <v>0.46527777777777773</v>
      </c>
      <c r="M3" s="8">
        <v>0.53472222222222221</v>
      </c>
      <c r="N3" s="2" t="s">
        <v>199</v>
      </c>
      <c r="O3" s="2" t="s">
        <v>200</v>
      </c>
      <c r="P3" s="2">
        <v>397</v>
      </c>
      <c r="Q3" s="2">
        <v>510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CD55-A3E8-4F42-AC45-8D14BCE66AEA}">
  <dimension ref="A1:U3"/>
  <sheetViews>
    <sheetView workbookViewId="0">
      <selection sqref="A1:U7"/>
    </sheetView>
  </sheetViews>
  <sheetFormatPr defaultRowHeight="15"/>
  <cols>
    <col min="2" max="2" width="20.85546875" customWidth="1"/>
    <col min="3" max="3" width="18.42578125" customWidth="1"/>
    <col min="6" max="6" width="12.2851562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45525</v>
      </c>
      <c r="B2" s="2" t="s">
        <v>27</v>
      </c>
      <c r="C2" s="3" t="s">
        <v>31</v>
      </c>
      <c r="D2" s="3" t="s">
        <v>23</v>
      </c>
      <c r="E2" s="3" t="s">
        <v>193</v>
      </c>
      <c r="F2" s="3" t="s">
        <v>24</v>
      </c>
      <c r="G2" s="6">
        <v>71500</v>
      </c>
      <c r="H2" s="3" t="s">
        <v>32</v>
      </c>
      <c r="I2" s="3" t="s">
        <v>33</v>
      </c>
      <c r="J2" s="1">
        <v>0.41666666666666669</v>
      </c>
      <c r="K2" s="5">
        <v>0.41041666666666665</v>
      </c>
      <c r="L2" s="1">
        <v>0.44097222222222227</v>
      </c>
      <c r="M2" s="5">
        <v>0.45208333333333334</v>
      </c>
      <c r="N2" s="3" t="s">
        <v>201</v>
      </c>
      <c r="O2" s="3" t="s">
        <v>202</v>
      </c>
      <c r="P2" s="2">
        <v>473</v>
      </c>
      <c r="Q2" s="2">
        <v>850</v>
      </c>
      <c r="R2" s="2">
        <v>0</v>
      </c>
      <c r="S2" s="2">
        <v>0</v>
      </c>
      <c r="T2" s="2">
        <v>0</v>
      </c>
      <c r="U2" s="2">
        <v>0</v>
      </c>
    </row>
    <row r="3" spans="1:21">
      <c r="A3" s="4">
        <v>45525</v>
      </c>
      <c r="B3" s="2" t="s">
        <v>27</v>
      </c>
      <c r="C3" s="19" t="s">
        <v>28</v>
      </c>
      <c r="D3" s="19" t="s">
        <v>23</v>
      </c>
      <c r="E3" s="19" t="s">
        <v>50</v>
      </c>
      <c r="F3" s="3" t="s">
        <v>24</v>
      </c>
      <c r="G3" s="36">
        <v>71500</v>
      </c>
      <c r="H3" s="19" t="s">
        <v>29</v>
      </c>
      <c r="I3" s="19" t="s">
        <v>30</v>
      </c>
      <c r="J3" s="22">
        <v>0.72222222222222221</v>
      </c>
      <c r="K3" s="20">
        <v>0.72777777777777775</v>
      </c>
      <c r="L3" s="22">
        <v>0.74305555555555547</v>
      </c>
      <c r="M3" s="20">
        <v>0.76250000000000007</v>
      </c>
      <c r="N3" s="15" t="s">
        <v>203</v>
      </c>
      <c r="O3" s="15" t="s">
        <v>204</v>
      </c>
      <c r="P3" s="19">
        <v>927</v>
      </c>
      <c r="Q3" s="15">
        <v>1406</v>
      </c>
      <c r="R3" s="19">
        <v>0</v>
      </c>
      <c r="S3" s="19">
        <v>0</v>
      </c>
      <c r="T3" s="19">
        <v>0</v>
      </c>
      <c r="U3" s="1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41D3-566F-4134-A4E9-3FBB1B110388}">
  <dimension ref="A1:U12"/>
  <sheetViews>
    <sheetView workbookViewId="0">
      <selection activeCell="A8" sqref="A8:U15"/>
    </sheetView>
  </sheetViews>
  <sheetFormatPr defaultRowHeight="12.75"/>
  <cols>
    <col min="1" max="1" width="9.140625" style="19"/>
    <col min="2" max="2" width="24.85546875" style="19" bestFit="1" customWidth="1"/>
    <col min="3" max="3" width="15.7109375" style="19" customWidth="1"/>
    <col min="4" max="5" width="9.140625" style="19"/>
    <col min="6" max="6" width="12.5703125" style="19" bestFit="1" customWidth="1"/>
    <col min="7" max="16384" width="9.140625" style="19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45526</v>
      </c>
      <c r="B2" s="2" t="s">
        <v>34</v>
      </c>
      <c r="C2" s="2" t="s">
        <v>35</v>
      </c>
      <c r="D2" s="3" t="s">
        <v>23</v>
      </c>
      <c r="E2" s="2" t="s">
        <v>170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0.33055555555555555</v>
      </c>
      <c r="L2" s="7">
        <v>0.37152777777777773</v>
      </c>
      <c r="M2" s="8">
        <v>0.37777777777777777</v>
      </c>
      <c r="N2" s="3" t="s">
        <v>59</v>
      </c>
      <c r="O2" s="3" t="s">
        <v>210</v>
      </c>
      <c r="P2" s="3">
        <v>2201</v>
      </c>
      <c r="Q2" s="3">
        <v>2072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45526</v>
      </c>
      <c r="B3" s="2" t="s">
        <v>205</v>
      </c>
      <c r="C3" s="2" t="s">
        <v>209</v>
      </c>
      <c r="D3" s="15" t="s">
        <v>206</v>
      </c>
      <c r="E3" s="15" t="s">
        <v>207</v>
      </c>
      <c r="F3" s="15" t="s">
        <v>208</v>
      </c>
      <c r="G3" s="6">
        <v>1230</v>
      </c>
      <c r="H3" s="15" t="s">
        <v>207</v>
      </c>
      <c r="I3" s="15" t="s">
        <v>207</v>
      </c>
      <c r="J3" s="7">
        <v>0.5</v>
      </c>
      <c r="K3" s="8">
        <v>0.50138888888888888</v>
      </c>
      <c r="L3" s="7">
        <v>0.52083333333333337</v>
      </c>
      <c r="M3" s="8">
        <v>0.53194444444444444</v>
      </c>
      <c r="N3" s="2" t="s">
        <v>42</v>
      </c>
      <c r="O3" s="2" t="s">
        <v>42</v>
      </c>
      <c r="P3" s="2" t="s">
        <v>42</v>
      </c>
      <c r="Q3" s="2" t="s">
        <v>42</v>
      </c>
      <c r="R3" s="2">
        <v>0</v>
      </c>
      <c r="S3" s="2">
        <v>0</v>
      </c>
      <c r="T3" s="2">
        <v>0</v>
      </c>
      <c r="U3" s="2">
        <v>0</v>
      </c>
    </row>
    <row r="4" spans="1:21" ht="1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ht="1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ht="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8" spans="1:21">
      <c r="A8" s="4"/>
      <c r="B8" s="2"/>
      <c r="C8" s="2"/>
      <c r="D8" s="3"/>
      <c r="E8" s="2"/>
      <c r="F8" s="3"/>
      <c r="G8" s="6"/>
      <c r="H8" s="2"/>
      <c r="I8" s="2"/>
      <c r="J8" s="7"/>
      <c r="K8" s="8"/>
      <c r="L8" s="7"/>
      <c r="M8" s="8"/>
      <c r="N8" s="3"/>
      <c r="O8" s="3"/>
      <c r="P8" s="3"/>
      <c r="Q8" s="3"/>
      <c r="R8" s="3"/>
      <c r="S8" s="3"/>
      <c r="T8" s="3"/>
      <c r="U8" s="3"/>
    </row>
    <row r="9" spans="1:21">
      <c r="A9" s="4"/>
      <c r="B9" s="2"/>
      <c r="C9" s="2"/>
      <c r="D9" s="15"/>
      <c r="E9" s="15"/>
      <c r="F9" s="15"/>
      <c r="G9" s="6"/>
      <c r="H9" s="15"/>
      <c r="I9" s="15"/>
      <c r="J9" s="7"/>
      <c r="K9" s="8"/>
      <c r="L9" s="7"/>
      <c r="M9" s="8"/>
      <c r="N9" s="2"/>
      <c r="O9" s="2"/>
      <c r="P9" s="2"/>
      <c r="Q9" s="2"/>
      <c r="R9" s="2"/>
      <c r="S9" s="2"/>
      <c r="T9" s="2"/>
      <c r="U9" s="2"/>
    </row>
    <row r="10" spans="1:21" ht="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ht="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ht="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746-6046-4ED5-8330-85ED3A71E191}">
  <dimension ref="A1:V13"/>
  <sheetViews>
    <sheetView workbookViewId="0">
      <selection sqref="A1:XFD5"/>
    </sheetView>
  </sheetViews>
  <sheetFormatPr defaultRowHeight="15"/>
  <cols>
    <col min="1" max="1" width="11.42578125" bestFit="1" customWidth="1"/>
    <col min="2" max="2" width="26.140625" customWidth="1"/>
    <col min="3" max="3" width="19.42578125" customWidth="1"/>
    <col min="6" max="6" width="14.285156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2.7109375" customWidth="1"/>
    <col min="15" max="15" width="13.42578125" customWidth="1"/>
    <col min="16" max="16" width="9.28515625" bestFit="1" customWidth="1"/>
    <col min="18" max="21" width="9.285156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/>
    </row>
    <row r="2" spans="1:22">
      <c r="A2" s="4">
        <v>45527</v>
      </c>
      <c r="B2" s="2" t="s">
        <v>34</v>
      </c>
      <c r="C2" s="2" t="s">
        <v>35</v>
      </c>
      <c r="D2" s="3" t="s">
        <v>23</v>
      </c>
      <c r="E2" s="2" t="s">
        <v>52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0.32361111111111113</v>
      </c>
      <c r="L2" s="7">
        <v>0.37152777777777773</v>
      </c>
      <c r="M2" s="8">
        <v>0.3756944444444445</v>
      </c>
      <c r="N2" s="3" t="s">
        <v>61</v>
      </c>
      <c r="O2" s="3" t="s">
        <v>212</v>
      </c>
      <c r="P2" s="3">
        <v>2237</v>
      </c>
      <c r="Q2" s="3">
        <v>1893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>
      <c r="A3" s="4">
        <v>45527</v>
      </c>
      <c r="B3" s="2" t="s">
        <v>27</v>
      </c>
      <c r="C3" s="2" t="s">
        <v>31</v>
      </c>
      <c r="D3" s="3" t="s">
        <v>23</v>
      </c>
      <c r="E3" s="2" t="s">
        <v>193</v>
      </c>
      <c r="F3" s="3" t="s">
        <v>24</v>
      </c>
      <c r="G3" s="6">
        <v>71500</v>
      </c>
      <c r="H3" s="2" t="s">
        <v>33</v>
      </c>
      <c r="I3" s="2" t="s">
        <v>32</v>
      </c>
      <c r="J3" s="7">
        <v>0.42708333333333331</v>
      </c>
      <c r="K3" s="8">
        <v>0.4201388888888889</v>
      </c>
      <c r="L3" s="7">
        <v>0.4513888888888889</v>
      </c>
      <c r="M3" s="8">
        <v>0.4548611111111111</v>
      </c>
      <c r="N3" s="2" t="s">
        <v>213</v>
      </c>
      <c r="O3" s="2" t="s">
        <v>40</v>
      </c>
      <c r="P3" s="2">
        <v>511</v>
      </c>
      <c r="Q3" s="2">
        <v>630</v>
      </c>
      <c r="R3" s="2">
        <v>0</v>
      </c>
      <c r="S3" s="2">
        <v>0</v>
      </c>
      <c r="T3" s="2">
        <v>0</v>
      </c>
      <c r="U3" s="2">
        <v>0</v>
      </c>
      <c r="V3" s="2"/>
    </row>
    <row r="4" spans="1:22">
      <c r="A4" s="4">
        <v>45527</v>
      </c>
      <c r="B4" s="2" t="s">
        <v>21</v>
      </c>
      <c r="C4" s="2" t="s">
        <v>22</v>
      </c>
      <c r="D4" s="15" t="s">
        <v>23</v>
      </c>
      <c r="E4" s="2" t="s">
        <v>211</v>
      </c>
      <c r="F4" s="15" t="s">
        <v>24</v>
      </c>
      <c r="G4" s="2">
        <v>71.5</v>
      </c>
      <c r="H4" s="15" t="s">
        <v>25</v>
      </c>
      <c r="I4" s="2" t="s">
        <v>26</v>
      </c>
      <c r="J4" s="7">
        <v>0.50347222222222221</v>
      </c>
      <c r="K4" s="8">
        <v>0.49236111111111108</v>
      </c>
      <c r="L4" s="7">
        <v>0.52777777777777779</v>
      </c>
      <c r="M4" s="8">
        <v>0.52847222222222223</v>
      </c>
      <c r="N4" s="2" t="s">
        <v>214</v>
      </c>
      <c r="O4" s="2" t="s">
        <v>215</v>
      </c>
      <c r="P4" s="2">
        <v>869</v>
      </c>
      <c r="Q4" s="2">
        <v>928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>
      <c r="A5" s="4">
        <v>45527</v>
      </c>
      <c r="B5" s="2" t="s">
        <v>27</v>
      </c>
      <c r="C5" s="2" t="s">
        <v>28</v>
      </c>
      <c r="D5" s="15" t="s">
        <v>23</v>
      </c>
      <c r="E5" s="2" t="s">
        <v>62</v>
      </c>
      <c r="F5" s="15" t="s">
        <v>24</v>
      </c>
      <c r="G5" s="2">
        <v>71.5</v>
      </c>
      <c r="H5" s="2" t="s">
        <v>29</v>
      </c>
      <c r="I5" s="2" t="s">
        <v>30</v>
      </c>
      <c r="J5" s="7">
        <v>0.72222222222222221</v>
      </c>
      <c r="K5" s="8">
        <v>0.70972222222222225</v>
      </c>
      <c r="L5" s="7">
        <v>0.74305555555555547</v>
      </c>
      <c r="M5" s="8">
        <v>0.75069444444444444</v>
      </c>
      <c r="N5" s="2" t="s">
        <v>67</v>
      </c>
      <c r="O5" s="2" t="s">
        <v>40</v>
      </c>
      <c r="P5" s="2">
        <v>951</v>
      </c>
      <c r="Q5" s="2">
        <v>1281</v>
      </c>
      <c r="R5" s="2">
        <v>0</v>
      </c>
      <c r="S5" s="2">
        <v>0</v>
      </c>
      <c r="T5" s="2">
        <v>0</v>
      </c>
      <c r="U5" s="2">
        <v>0</v>
      </c>
      <c r="V5" s="2"/>
    </row>
    <row r="6" spans="1:22">
      <c r="A6" s="4">
        <v>45527</v>
      </c>
      <c r="B6" s="2" t="s">
        <v>216</v>
      </c>
      <c r="C6" s="2" t="s">
        <v>217</v>
      </c>
      <c r="D6" s="15" t="s">
        <v>218</v>
      </c>
      <c r="E6" s="2" t="s">
        <v>219</v>
      </c>
      <c r="F6" s="15" t="s">
        <v>220</v>
      </c>
      <c r="G6" s="2">
        <v>1900</v>
      </c>
      <c r="H6" s="2" t="s">
        <v>221</v>
      </c>
      <c r="I6" s="2" t="s">
        <v>221</v>
      </c>
      <c r="J6" s="7">
        <v>0.40277777777777773</v>
      </c>
      <c r="K6" s="8">
        <v>0.38611111111111113</v>
      </c>
      <c r="L6" s="7">
        <v>0.41666666666666669</v>
      </c>
      <c r="M6" s="8">
        <v>0.41736111111111113</v>
      </c>
      <c r="N6" s="2">
        <v>1</v>
      </c>
      <c r="O6" s="2">
        <v>1</v>
      </c>
      <c r="P6" s="2" t="s">
        <v>42</v>
      </c>
      <c r="Q6" s="2" t="s">
        <v>42</v>
      </c>
      <c r="R6" s="2">
        <v>0</v>
      </c>
      <c r="S6" s="2">
        <v>0</v>
      </c>
      <c r="T6" s="2">
        <v>0</v>
      </c>
      <c r="U6" s="2">
        <v>0</v>
      </c>
      <c r="V6" s="2"/>
    </row>
    <row r="7" spans="1:22">
      <c r="A7" s="4"/>
      <c r="B7" s="2"/>
      <c r="C7" s="2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0A8-5BDC-40B0-9556-A9DF68105E4C}">
  <dimension ref="A1:V23"/>
  <sheetViews>
    <sheetView workbookViewId="0">
      <selection activeCell="A3" sqref="A3:XFD3"/>
    </sheetView>
  </sheetViews>
  <sheetFormatPr defaultRowHeight="15"/>
  <cols>
    <col min="1" max="1" width="13.85546875" bestFit="1" customWidth="1"/>
    <col min="2" max="2" width="26.42578125" bestFit="1" customWidth="1"/>
    <col min="3" max="3" width="14" bestFit="1" customWidth="1"/>
    <col min="6" max="6" width="16.5703125" bestFit="1" customWidth="1"/>
    <col min="7" max="7" width="9.85546875" bestFit="1" customWidth="1"/>
    <col min="10" max="10" width="11.28515625" bestFit="1" customWidth="1"/>
    <col min="11" max="11" width="9.42578125" bestFit="1" customWidth="1"/>
    <col min="12" max="12" width="11.28515625" bestFit="1" customWidth="1"/>
    <col min="13" max="13" width="11.140625" bestFit="1" customWidth="1"/>
    <col min="14" max="15" width="18.7109375" bestFit="1" customWidth="1"/>
    <col min="16" max="21" width="9.425781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/>
    </row>
    <row r="2" spans="1:22">
      <c r="A2" s="4">
        <v>45528</v>
      </c>
      <c r="B2" s="2" t="s">
        <v>27</v>
      </c>
      <c r="C2" s="2" t="s">
        <v>31</v>
      </c>
      <c r="D2" s="3" t="s">
        <v>23</v>
      </c>
      <c r="E2" s="2" t="s">
        <v>83</v>
      </c>
      <c r="F2" s="3" t="s">
        <v>24</v>
      </c>
      <c r="G2" s="6">
        <v>71500</v>
      </c>
      <c r="H2" s="2" t="s">
        <v>33</v>
      </c>
      <c r="I2" s="2" t="s">
        <v>32</v>
      </c>
      <c r="J2" s="7">
        <v>0.44097222222222227</v>
      </c>
      <c r="K2" s="8">
        <v>0.4291666666666667</v>
      </c>
      <c r="L2" s="7">
        <v>0.46527777777777773</v>
      </c>
      <c r="M2" s="8">
        <v>0.4777777777777778</v>
      </c>
      <c r="N2" s="2" t="s">
        <v>230</v>
      </c>
      <c r="O2" s="2" t="s">
        <v>231</v>
      </c>
      <c r="P2" s="2">
        <v>487</v>
      </c>
      <c r="Q2" s="2">
        <v>759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>
      <c r="A3" s="4">
        <v>45528</v>
      </c>
      <c r="B3" s="2" t="s">
        <v>45</v>
      </c>
      <c r="C3" s="3" t="s">
        <v>35</v>
      </c>
      <c r="D3" s="3" t="s">
        <v>46</v>
      </c>
      <c r="E3" s="3" t="s">
        <v>232</v>
      </c>
      <c r="F3" s="3" t="s">
        <v>36</v>
      </c>
      <c r="G3" s="6">
        <v>66000</v>
      </c>
      <c r="H3" s="3" t="s">
        <v>47</v>
      </c>
      <c r="I3" s="3" t="s">
        <v>48</v>
      </c>
      <c r="J3" s="1">
        <v>0.73263888888888884</v>
      </c>
      <c r="K3" s="5">
        <v>0.81111111111111101</v>
      </c>
      <c r="L3" s="1">
        <v>0.77430555555555547</v>
      </c>
      <c r="M3" s="5">
        <v>0.84583333333333333</v>
      </c>
      <c r="N3" s="2" t="s">
        <v>234</v>
      </c>
      <c r="O3" s="2" t="s">
        <v>235</v>
      </c>
      <c r="P3" s="2">
        <v>1718</v>
      </c>
      <c r="Q3" s="2">
        <v>667</v>
      </c>
      <c r="R3" s="3">
        <v>0</v>
      </c>
      <c r="S3" s="3">
        <v>0</v>
      </c>
      <c r="T3" s="3">
        <v>0</v>
      </c>
      <c r="U3" s="3">
        <v>0</v>
      </c>
      <c r="V3" s="38"/>
    </row>
    <row r="4" spans="1:22">
      <c r="A4" s="4">
        <v>45528</v>
      </c>
      <c r="B4" s="2" t="s">
        <v>222</v>
      </c>
      <c r="C4" s="3" t="s">
        <v>223</v>
      </c>
      <c r="D4" s="3" t="s">
        <v>224</v>
      </c>
      <c r="E4" s="3" t="s">
        <v>225</v>
      </c>
      <c r="F4" s="3" t="s">
        <v>24</v>
      </c>
      <c r="G4" s="6">
        <v>89000</v>
      </c>
      <c r="H4" s="3" t="s">
        <v>226</v>
      </c>
      <c r="I4" s="3" t="s">
        <v>227</v>
      </c>
      <c r="J4" s="1">
        <v>0.3298611111111111</v>
      </c>
      <c r="K4" s="5">
        <v>0.31458333333333333</v>
      </c>
      <c r="L4" s="1">
        <v>0.36805555555555558</v>
      </c>
      <c r="M4" s="5">
        <v>0.38750000000000001</v>
      </c>
      <c r="N4" s="3" t="s">
        <v>228</v>
      </c>
      <c r="O4" s="3" t="s">
        <v>229</v>
      </c>
      <c r="P4" s="3">
        <v>1689</v>
      </c>
      <c r="Q4" s="3">
        <v>1608</v>
      </c>
      <c r="R4" s="3">
        <v>0</v>
      </c>
      <c r="S4" s="3">
        <v>0</v>
      </c>
      <c r="T4" s="3">
        <v>0</v>
      </c>
      <c r="U4" s="3">
        <v>0</v>
      </c>
    </row>
    <row r="5" spans="1:22">
      <c r="A5" s="4">
        <v>45528</v>
      </c>
      <c r="B5" s="2" t="s">
        <v>144</v>
      </c>
      <c r="C5" s="2" t="s">
        <v>233</v>
      </c>
      <c r="D5" s="15" t="s">
        <v>58</v>
      </c>
      <c r="E5" s="15" t="s">
        <v>146</v>
      </c>
      <c r="F5" s="15" t="s">
        <v>96</v>
      </c>
      <c r="G5" s="6">
        <v>4900</v>
      </c>
      <c r="H5" s="15" t="s">
        <v>147</v>
      </c>
      <c r="I5" s="15" t="s">
        <v>147</v>
      </c>
      <c r="J5" s="7">
        <v>0.79166666666666663</v>
      </c>
      <c r="K5" s="8">
        <v>0.80208333333333337</v>
      </c>
      <c r="L5" s="7">
        <v>0.8125</v>
      </c>
      <c r="M5" s="8">
        <v>0.82152777777777775</v>
      </c>
      <c r="N5" s="2">
        <v>1</v>
      </c>
      <c r="O5" s="2">
        <v>0</v>
      </c>
      <c r="P5" s="2" t="s">
        <v>42</v>
      </c>
      <c r="Q5" s="2" t="s">
        <v>42</v>
      </c>
      <c r="R5" s="2">
        <v>0</v>
      </c>
      <c r="S5" s="2">
        <v>0</v>
      </c>
      <c r="T5" s="2">
        <v>0</v>
      </c>
      <c r="U5" s="2">
        <v>0</v>
      </c>
    </row>
    <row r="6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23" spans="6:6">
      <c r="F23" s="18"/>
    </row>
  </sheetData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8A91-BB83-4F3E-851E-3BC93438B660}">
  <dimension ref="A1:U6"/>
  <sheetViews>
    <sheetView workbookViewId="0">
      <selection activeCell="N4" sqref="N4"/>
    </sheetView>
  </sheetViews>
  <sheetFormatPr defaultRowHeight="15"/>
  <cols>
    <col min="2" max="2" width="19" customWidth="1"/>
    <col min="3" max="3" width="14.855468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27" customFormat="1">
      <c r="A2" s="26">
        <v>45529</v>
      </c>
      <c r="B2" s="2" t="s">
        <v>80</v>
      </c>
      <c r="C2" s="27" t="s">
        <v>236</v>
      </c>
      <c r="D2" s="27" t="s">
        <v>64</v>
      </c>
      <c r="E2" s="27" t="s">
        <v>65</v>
      </c>
      <c r="F2" s="27" t="s">
        <v>82</v>
      </c>
      <c r="G2" s="27">
        <v>4670</v>
      </c>
      <c r="H2" s="27" t="s">
        <v>42</v>
      </c>
      <c r="I2" s="27" t="s">
        <v>42</v>
      </c>
      <c r="J2" s="28">
        <v>0.625</v>
      </c>
      <c r="K2" s="21">
        <v>0.60625000000000007</v>
      </c>
      <c r="L2" s="28">
        <v>0.64583333333333337</v>
      </c>
      <c r="M2" s="21">
        <v>0.62638888888888888</v>
      </c>
      <c r="N2" s="27">
        <v>3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4"/>
      <c r="B3" s="2"/>
      <c r="C3" s="3"/>
      <c r="D3" s="3"/>
      <c r="E3" s="3"/>
      <c r="F3" s="3"/>
      <c r="G3" s="6"/>
      <c r="H3" s="3"/>
      <c r="I3" s="3"/>
      <c r="J3" s="1"/>
      <c r="K3" s="5"/>
      <c r="L3" s="1"/>
      <c r="M3" s="5"/>
      <c r="N3" s="3"/>
      <c r="O3" s="3"/>
      <c r="P3" s="2"/>
      <c r="Q3" s="2"/>
      <c r="R3" s="2"/>
      <c r="S3" s="2"/>
      <c r="T3" s="2"/>
      <c r="U3" s="2"/>
    </row>
    <row r="4" spans="1:21">
      <c r="A4" s="4"/>
      <c r="B4" s="2"/>
      <c r="C4" s="2"/>
      <c r="D4" s="3"/>
      <c r="E4" s="2"/>
      <c r="F4" s="3"/>
      <c r="G4" s="6"/>
      <c r="H4" s="2"/>
      <c r="I4" s="2"/>
      <c r="J4" s="7"/>
      <c r="K4" s="8"/>
      <c r="L4" s="7"/>
      <c r="M4" s="8"/>
      <c r="N4" s="3"/>
      <c r="O4" s="3"/>
      <c r="P4" s="2"/>
      <c r="Q4" s="3"/>
      <c r="R4" s="3"/>
      <c r="S4" s="3"/>
      <c r="T4" s="3"/>
      <c r="U4" s="3"/>
    </row>
    <row r="5" spans="1:21">
      <c r="A5" s="4"/>
      <c r="B5" s="2"/>
      <c r="C5" s="23"/>
      <c r="D5" s="23"/>
      <c r="E5" s="23"/>
      <c r="F5" s="24"/>
      <c r="G5" s="25"/>
      <c r="H5" s="23"/>
      <c r="I5" s="23"/>
      <c r="J5" s="22"/>
      <c r="K5" s="21"/>
      <c r="L5" s="22"/>
      <c r="M5" s="16"/>
      <c r="N5" s="15"/>
      <c r="O5" s="15"/>
      <c r="P5" s="27"/>
      <c r="Q5" s="15"/>
      <c r="R5" s="23"/>
      <c r="S5" s="23"/>
      <c r="T5" s="23"/>
      <c r="U5" s="23"/>
    </row>
    <row r="6" spans="1:21" s="27" customFormat="1">
      <c r="A6" s="26"/>
      <c r="B6" s="2"/>
      <c r="J6" s="28"/>
      <c r="K6" s="21"/>
      <c r="L6" s="28"/>
      <c r="M6" s="21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D86E-51FB-4BAB-9052-04037819B843}">
  <dimension ref="A1:U13"/>
  <sheetViews>
    <sheetView workbookViewId="0">
      <selection activeCell="L9" sqref="L9"/>
    </sheetView>
  </sheetViews>
  <sheetFormatPr defaultRowHeight="15"/>
  <cols>
    <col min="2" max="2" width="23.28515625" bestFit="1" customWidth="1"/>
    <col min="3" max="3" width="14" bestFit="1" customWidth="1"/>
    <col min="6" max="6" width="12.1406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9">
        <v>45530</v>
      </c>
      <c r="B2" s="2" t="s">
        <v>27</v>
      </c>
      <c r="C2" s="2" t="s">
        <v>31</v>
      </c>
      <c r="D2" s="2" t="s">
        <v>23</v>
      </c>
      <c r="E2" s="2" t="s">
        <v>169</v>
      </c>
      <c r="F2" s="2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0.42083333333333334</v>
      </c>
      <c r="L2" s="7">
        <v>0.4513888888888889</v>
      </c>
      <c r="M2" s="8">
        <v>0.45624999999999999</v>
      </c>
      <c r="N2" s="2" t="s">
        <v>238</v>
      </c>
      <c r="O2" s="2" t="s">
        <v>239</v>
      </c>
      <c r="P2" s="2">
        <v>507</v>
      </c>
      <c r="Q2" s="2">
        <v>638</v>
      </c>
      <c r="R2" s="2">
        <v>0</v>
      </c>
      <c r="S2" s="2">
        <v>0</v>
      </c>
      <c r="T2" s="2">
        <v>0</v>
      </c>
      <c r="U2" s="2">
        <v>0</v>
      </c>
    </row>
    <row r="3" spans="1:21">
      <c r="A3" s="9">
        <v>45530</v>
      </c>
      <c r="B3" s="2" t="s">
        <v>21</v>
      </c>
      <c r="C3" s="2" t="s">
        <v>22</v>
      </c>
      <c r="D3" s="2" t="s">
        <v>23</v>
      </c>
      <c r="E3" s="2" t="s">
        <v>177</v>
      </c>
      <c r="F3" s="2" t="s">
        <v>24</v>
      </c>
      <c r="G3" s="6">
        <v>71500</v>
      </c>
      <c r="H3" s="2" t="s">
        <v>25</v>
      </c>
      <c r="I3" s="2" t="s">
        <v>26</v>
      </c>
      <c r="J3" s="7">
        <v>0.50347222222222221</v>
      </c>
      <c r="K3" s="8">
        <v>0.50624999999999998</v>
      </c>
      <c r="L3" s="7">
        <v>0.52777777777777779</v>
      </c>
      <c r="M3" s="8">
        <v>0.54097222222222219</v>
      </c>
      <c r="N3" s="2" t="s">
        <v>186</v>
      </c>
      <c r="O3" s="2" t="s">
        <v>55</v>
      </c>
      <c r="P3" s="2">
        <v>564</v>
      </c>
      <c r="Q3" s="2">
        <v>1001</v>
      </c>
      <c r="R3" s="2">
        <v>0</v>
      </c>
      <c r="S3" s="2">
        <v>0</v>
      </c>
      <c r="T3" s="2">
        <v>0</v>
      </c>
      <c r="U3" s="2">
        <v>0</v>
      </c>
    </row>
    <row r="4" spans="1:21">
      <c r="A4" s="9">
        <v>45530</v>
      </c>
      <c r="B4" s="2" t="s">
        <v>27</v>
      </c>
      <c r="C4" s="2" t="s">
        <v>28</v>
      </c>
      <c r="D4" s="2" t="s">
        <v>23</v>
      </c>
      <c r="E4" s="2" t="s">
        <v>237</v>
      </c>
      <c r="F4" s="2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0.72638888888888886</v>
      </c>
      <c r="L4" s="7">
        <v>0.74305555555555547</v>
      </c>
      <c r="M4" s="8">
        <v>0.7909722222222223</v>
      </c>
      <c r="N4" s="2" t="s">
        <v>243</v>
      </c>
      <c r="O4" s="2" t="s">
        <v>244</v>
      </c>
      <c r="P4" s="2">
        <v>1256</v>
      </c>
      <c r="Q4" s="2">
        <v>833</v>
      </c>
      <c r="R4" s="2">
        <v>0</v>
      </c>
      <c r="S4" s="2">
        <v>0</v>
      </c>
      <c r="T4" s="2">
        <v>0</v>
      </c>
      <c r="U4" s="2">
        <v>0</v>
      </c>
    </row>
    <row r="5" spans="1:21">
      <c r="A5" s="9">
        <v>45530</v>
      </c>
      <c r="B5" s="18" t="s">
        <v>240</v>
      </c>
      <c r="C5" s="2" t="s">
        <v>245</v>
      </c>
      <c r="D5" s="2" t="s">
        <v>241</v>
      </c>
      <c r="E5" s="2" t="s">
        <v>242</v>
      </c>
      <c r="F5" s="2" t="s">
        <v>190</v>
      </c>
      <c r="G5" s="6">
        <v>8000</v>
      </c>
      <c r="H5" s="2" t="s">
        <v>242</v>
      </c>
      <c r="I5" s="2" t="s">
        <v>242</v>
      </c>
      <c r="J5" s="7">
        <v>0.74305555555555547</v>
      </c>
      <c r="K5" s="8">
        <v>0.74652777777777779</v>
      </c>
      <c r="L5" s="7">
        <v>0.77083333333333337</v>
      </c>
      <c r="M5" s="8">
        <v>0.77430555555555547</v>
      </c>
      <c r="N5" s="2">
        <v>0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13" spans="1:21">
      <c r="I13" s="37"/>
    </row>
  </sheetData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4F67-01CA-4209-9FEE-268E8F81CD86}">
  <dimension ref="A1:U13"/>
  <sheetViews>
    <sheetView workbookViewId="0">
      <selection activeCell="M6" sqref="M6"/>
    </sheetView>
  </sheetViews>
  <sheetFormatPr defaultRowHeight="15"/>
  <cols>
    <col min="1" max="1" width="12.7109375" bestFit="1" customWidth="1"/>
    <col min="2" max="2" width="25.7109375" customWidth="1"/>
    <col min="3" max="3" width="19.85546875" customWidth="1"/>
    <col min="4" max="4" width="15.85546875" customWidth="1"/>
    <col min="6" max="6" width="14.855468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45531</v>
      </c>
      <c r="B2" s="2" t="s">
        <v>34</v>
      </c>
      <c r="C2" s="2" t="s">
        <v>35</v>
      </c>
      <c r="D2" s="3" t="s">
        <v>23</v>
      </c>
      <c r="E2" s="2" t="s">
        <v>246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0.3298611111111111</v>
      </c>
      <c r="L2" s="7">
        <v>0.37152777777777773</v>
      </c>
      <c r="M2" s="8">
        <v>0.3756944444444445</v>
      </c>
      <c r="N2" s="3" t="s">
        <v>252</v>
      </c>
      <c r="O2" s="3" t="s">
        <v>253</v>
      </c>
      <c r="P2" s="3">
        <v>2200</v>
      </c>
      <c r="Q2" s="3">
        <v>2111</v>
      </c>
      <c r="R2" s="3">
        <v>0</v>
      </c>
      <c r="S2" s="3">
        <v>0</v>
      </c>
      <c r="T2" s="3">
        <v>0</v>
      </c>
      <c r="U2" s="3">
        <v>0</v>
      </c>
    </row>
    <row r="3" spans="1:21">
      <c r="A3" s="4">
        <v>45531</v>
      </c>
      <c r="B3" s="2" t="s">
        <v>21</v>
      </c>
      <c r="C3" s="2" t="s">
        <v>31</v>
      </c>
      <c r="D3" s="3" t="s">
        <v>23</v>
      </c>
      <c r="E3" s="2" t="s">
        <v>83</v>
      </c>
      <c r="F3" s="3" t="s">
        <v>24</v>
      </c>
      <c r="G3" s="6">
        <v>71500</v>
      </c>
      <c r="H3" s="2" t="s">
        <v>85</v>
      </c>
      <c r="I3" s="2" t="s">
        <v>84</v>
      </c>
      <c r="J3" s="7">
        <v>0.44097222222222227</v>
      </c>
      <c r="K3" s="8">
        <v>0.44444444444444442</v>
      </c>
      <c r="L3" s="7">
        <v>0.46527777777777773</v>
      </c>
      <c r="M3" s="8">
        <v>0.48055555555555557</v>
      </c>
      <c r="N3" s="2" t="s">
        <v>254</v>
      </c>
      <c r="O3" s="2" t="s">
        <v>256</v>
      </c>
      <c r="P3" s="2">
        <v>148</v>
      </c>
      <c r="Q3" s="2">
        <v>556</v>
      </c>
      <c r="R3" s="2">
        <v>0</v>
      </c>
      <c r="S3" s="2">
        <v>0</v>
      </c>
      <c r="T3" s="2">
        <v>0</v>
      </c>
      <c r="U3" s="2">
        <v>0</v>
      </c>
    </row>
    <row r="4" spans="1:21">
      <c r="A4" s="4">
        <v>45531</v>
      </c>
      <c r="B4" s="2" t="s">
        <v>205</v>
      </c>
      <c r="C4" s="2" t="s">
        <v>247</v>
      </c>
      <c r="D4" s="15" t="s">
        <v>206</v>
      </c>
      <c r="E4" s="15" t="s">
        <v>207</v>
      </c>
      <c r="F4" s="15" t="s">
        <v>208</v>
      </c>
      <c r="G4" s="6">
        <v>1230</v>
      </c>
      <c r="H4" s="15" t="s">
        <v>207</v>
      </c>
      <c r="I4" s="15" t="s">
        <v>207</v>
      </c>
      <c r="J4" s="7">
        <v>0.47916666666666669</v>
      </c>
      <c r="K4" s="8">
        <v>0.47361111111111115</v>
      </c>
      <c r="L4" s="7">
        <v>0.48958333333333331</v>
      </c>
      <c r="M4" s="8">
        <v>0.50416666666666665</v>
      </c>
      <c r="N4" s="2" t="s">
        <v>42</v>
      </c>
      <c r="O4" s="2" t="s">
        <v>42</v>
      </c>
      <c r="P4" s="2" t="s">
        <v>42</v>
      </c>
      <c r="Q4" s="2" t="s">
        <v>42</v>
      </c>
      <c r="R4" s="2">
        <v>0</v>
      </c>
      <c r="S4" s="2">
        <v>0</v>
      </c>
      <c r="T4" s="2">
        <v>0</v>
      </c>
      <c r="U4" s="2">
        <v>0</v>
      </c>
    </row>
    <row r="5" spans="1:21">
      <c r="A5" s="4">
        <v>45531</v>
      </c>
      <c r="B5" s="2" t="s">
        <v>248</v>
      </c>
      <c r="C5" s="2" t="s">
        <v>255</v>
      </c>
      <c r="D5" s="15" t="s">
        <v>249</v>
      </c>
      <c r="E5" s="2" t="s">
        <v>250</v>
      </c>
      <c r="F5" s="15" t="s">
        <v>208</v>
      </c>
      <c r="G5" s="6">
        <v>850</v>
      </c>
      <c r="H5" s="2" t="s">
        <v>251</v>
      </c>
      <c r="I5" s="2" t="s">
        <v>251</v>
      </c>
      <c r="J5" s="7">
        <v>0.38194444444444442</v>
      </c>
      <c r="K5" s="8">
        <v>0.39444444444444443</v>
      </c>
      <c r="L5" s="7">
        <v>0.40277777777777773</v>
      </c>
      <c r="M5" s="8">
        <v>0.4548611111111111</v>
      </c>
      <c r="N5" s="2" t="s">
        <v>42</v>
      </c>
      <c r="O5" s="2" t="s">
        <v>42</v>
      </c>
      <c r="P5" s="2" t="s">
        <v>42</v>
      </c>
      <c r="Q5" s="2" t="s">
        <v>42</v>
      </c>
      <c r="R5" s="2">
        <v>0</v>
      </c>
      <c r="S5" s="2">
        <v>0</v>
      </c>
      <c r="T5" s="2">
        <v>0</v>
      </c>
      <c r="U5" s="2">
        <v>0</v>
      </c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5D70-F9A5-4010-BFD1-F8A505DA0B2B}">
  <dimension ref="A1:U3"/>
  <sheetViews>
    <sheetView workbookViewId="0">
      <selection activeCell="M3" sqref="M3"/>
    </sheetView>
  </sheetViews>
  <sheetFormatPr defaultRowHeight="15"/>
  <cols>
    <col min="2" max="2" width="22.7109375" customWidth="1"/>
    <col min="3" max="3" width="17.42578125" customWidth="1"/>
    <col min="6" max="6" width="13.7109375" customWidth="1"/>
    <col min="14" max="15" width="13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45532</v>
      </c>
      <c r="B2" s="2" t="s">
        <v>27</v>
      </c>
      <c r="C2" s="3" t="s">
        <v>31</v>
      </c>
      <c r="D2" s="3" t="s">
        <v>23</v>
      </c>
      <c r="E2" s="3" t="s">
        <v>257</v>
      </c>
      <c r="F2" s="3" t="s">
        <v>24</v>
      </c>
      <c r="G2" s="6">
        <v>71500</v>
      </c>
      <c r="H2" s="3" t="s">
        <v>32</v>
      </c>
      <c r="I2" s="3" t="s">
        <v>33</v>
      </c>
      <c r="J2" s="1">
        <v>0.41666666666666669</v>
      </c>
      <c r="K2" s="5">
        <v>0.41180555555555554</v>
      </c>
      <c r="L2" s="1">
        <v>0.44097222222222227</v>
      </c>
      <c r="M2" s="5">
        <v>0.45277777777777778</v>
      </c>
      <c r="N2" s="3" t="s">
        <v>258</v>
      </c>
      <c r="O2" s="3" t="s">
        <v>259</v>
      </c>
      <c r="P2" s="2">
        <v>278</v>
      </c>
      <c r="Q2" s="2">
        <v>665</v>
      </c>
      <c r="R2" s="2">
        <v>0</v>
      </c>
      <c r="S2" s="2">
        <v>0</v>
      </c>
      <c r="T2" s="2">
        <v>0</v>
      </c>
      <c r="U2" s="2">
        <v>0</v>
      </c>
    </row>
    <row r="3" spans="1:21">
      <c r="A3" s="4">
        <v>45532</v>
      </c>
      <c r="B3" s="2" t="s">
        <v>27</v>
      </c>
      <c r="C3" s="19" t="s">
        <v>28</v>
      </c>
      <c r="D3" s="19" t="s">
        <v>23</v>
      </c>
      <c r="E3" s="19" t="s">
        <v>151</v>
      </c>
      <c r="F3" s="3" t="s">
        <v>24</v>
      </c>
      <c r="G3" s="36">
        <v>71500</v>
      </c>
      <c r="H3" s="19" t="s">
        <v>29</v>
      </c>
      <c r="I3" s="19" t="s">
        <v>30</v>
      </c>
      <c r="J3" s="22">
        <v>0.72222222222222221</v>
      </c>
      <c r="K3" s="20">
        <v>0.71875</v>
      </c>
      <c r="L3" s="22">
        <v>0.74305555555555547</v>
      </c>
      <c r="M3" s="20">
        <v>0.75069444444444444</v>
      </c>
      <c r="N3" s="15" t="s">
        <v>230</v>
      </c>
      <c r="O3" s="15" t="s">
        <v>260</v>
      </c>
      <c r="P3" s="19">
        <v>1027</v>
      </c>
      <c r="Q3" s="15">
        <v>1220</v>
      </c>
      <c r="R3" s="19">
        <v>0</v>
      </c>
      <c r="S3" s="19">
        <v>0</v>
      </c>
      <c r="T3" s="19">
        <v>0</v>
      </c>
      <c r="U3" s="1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390C-84B0-48B6-915F-23336283E676}">
  <dimension ref="A1:U11"/>
  <sheetViews>
    <sheetView workbookViewId="0">
      <selection activeCell="K19" sqref="K19"/>
    </sheetView>
  </sheetViews>
  <sheetFormatPr defaultRowHeight="15"/>
  <cols>
    <col min="2" max="2" width="21" customWidth="1"/>
    <col min="3" max="3" width="19.28515625" customWidth="1"/>
  </cols>
  <sheetData>
    <row r="1" spans="1:21" s="19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9" customFormat="1" ht="12.75">
      <c r="A2" s="4">
        <v>45533</v>
      </c>
      <c r="B2" s="2" t="s">
        <v>34</v>
      </c>
      <c r="C2" s="2" t="s">
        <v>35</v>
      </c>
      <c r="D2" s="3" t="s">
        <v>23</v>
      </c>
      <c r="E2" s="2" t="s">
        <v>261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0.31875000000000003</v>
      </c>
      <c r="L2" s="7">
        <v>0.37152777777777773</v>
      </c>
      <c r="M2" s="8">
        <v>0.37361111111111112</v>
      </c>
      <c r="N2" s="3" t="s">
        <v>267</v>
      </c>
      <c r="O2" s="3" t="s">
        <v>266</v>
      </c>
      <c r="P2" s="3">
        <v>2344</v>
      </c>
      <c r="Q2" s="3">
        <v>1430</v>
      </c>
      <c r="R2" s="3">
        <v>0</v>
      </c>
      <c r="S2" s="3">
        <v>0</v>
      </c>
      <c r="T2" s="3">
        <v>0</v>
      </c>
      <c r="U2" s="3">
        <v>0</v>
      </c>
    </row>
    <row r="3" spans="1:21" s="19" customFormat="1" ht="12.75">
      <c r="A3" s="4">
        <v>45533</v>
      </c>
      <c r="B3" s="2" t="s">
        <v>262</v>
      </c>
      <c r="C3" s="2" t="s">
        <v>263</v>
      </c>
      <c r="D3" s="15" t="s">
        <v>58</v>
      </c>
      <c r="E3" s="15" t="s">
        <v>264</v>
      </c>
      <c r="F3" s="15" t="s">
        <v>265</v>
      </c>
      <c r="G3" s="6">
        <v>5000</v>
      </c>
      <c r="H3" s="15" t="s">
        <v>264</v>
      </c>
      <c r="I3" s="15" t="s">
        <v>264</v>
      </c>
      <c r="J3" s="7">
        <v>0.375</v>
      </c>
      <c r="K3" s="8">
        <v>0.40208333333333335</v>
      </c>
      <c r="L3" s="7">
        <v>0.41666666666666669</v>
      </c>
      <c r="M3" s="8">
        <v>0.42777777777777781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>
      <c r="A4" s="33"/>
      <c r="B4" s="19"/>
      <c r="C4" s="19"/>
      <c r="D4" s="19"/>
      <c r="E4" s="19"/>
      <c r="F4" s="19"/>
      <c r="G4" s="19"/>
      <c r="H4" s="19"/>
      <c r="I4" s="19"/>
      <c r="J4" s="22"/>
      <c r="K4" s="20"/>
      <c r="L4" s="22"/>
      <c r="M4" s="20"/>
      <c r="N4" s="19"/>
      <c r="O4" s="19"/>
      <c r="P4" s="19"/>
      <c r="Q4" s="19"/>
      <c r="R4" s="19"/>
      <c r="S4" s="19"/>
      <c r="T4" s="19"/>
      <c r="U4" s="19"/>
    </row>
    <row r="5" spans="1:2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7" spans="1:21">
      <c r="A7" s="4"/>
      <c r="B7" s="2"/>
      <c r="C7" s="2"/>
      <c r="D7" s="3"/>
      <c r="E7" s="2"/>
      <c r="F7" s="3"/>
      <c r="G7" s="6"/>
      <c r="H7" s="2"/>
      <c r="I7" s="2"/>
      <c r="J7" s="7"/>
      <c r="K7" s="8"/>
      <c r="L7" s="7"/>
      <c r="M7" s="8"/>
      <c r="N7" s="3"/>
      <c r="O7" s="3"/>
      <c r="P7" s="3"/>
      <c r="Q7" s="3"/>
      <c r="R7" s="3"/>
      <c r="S7" s="3"/>
      <c r="T7" s="3"/>
      <c r="U7" s="3"/>
    </row>
    <row r="8" spans="1:21">
      <c r="A8" s="4"/>
      <c r="B8" s="2"/>
      <c r="C8" s="2"/>
      <c r="D8" s="15"/>
      <c r="E8" s="15"/>
      <c r="F8" s="15"/>
      <c r="G8" s="6"/>
      <c r="H8" s="15"/>
      <c r="I8" s="15"/>
      <c r="J8" s="7"/>
      <c r="K8" s="8"/>
      <c r="L8" s="7"/>
      <c r="M8" s="8"/>
      <c r="N8" s="2"/>
      <c r="O8" s="2"/>
      <c r="P8" s="2"/>
      <c r="Q8" s="2"/>
      <c r="R8" s="2"/>
      <c r="S8" s="2"/>
      <c r="T8" s="2"/>
      <c r="U8" s="2"/>
    </row>
    <row r="9" spans="1:21">
      <c r="A9" s="33"/>
      <c r="B9" s="19"/>
      <c r="C9" s="19"/>
      <c r="D9" s="19"/>
      <c r="E9" s="19"/>
      <c r="F9" s="19"/>
      <c r="G9" s="19"/>
      <c r="H9" s="19"/>
      <c r="I9" s="19"/>
      <c r="J9" s="22"/>
      <c r="K9" s="20"/>
      <c r="L9" s="22"/>
      <c r="M9" s="20"/>
      <c r="N9" s="19"/>
      <c r="O9" s="19"/>
      <c r="P9" s="19"/>
      <c r="Q9" s="19"/>
      <c r="R9" s="19"/>
      <c r="S9" s="19"/>
      <c r="T9" s="19"/>
      <c r="U9" s="19"/>
    </row>
    <row r="10" spans="1:2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0FEC-8464-4914-A65A-37CDC3816957}">
  <dimension ref="A1:V5"/>
  <sheetViews>
    <sheetView workbookViewId="0">
      <selection activeCell="Q6" sqref="Q6"/>
    </sheetView>
  </sheetViews>
  <sheetFormatPr defaultRowHeight="15"/>
  <cols>
    <col min="1" max="1" width="7.85546875" bestFit="1" customWidth="1"/>
    <col min="2" max="2" width="23.28515625" bestFit="1" customWidth="1"/>
    <col min="3" max="3" width="14" bestFit="1" customWidth="1"/>
    <col min="6" max="6" width="12.1406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/>
    </row>
    <row r="2" spans="1:22">
      <c r="A2" s="4">
        <v>45534</v>
      </c>
      <c r="B2" s="2" t="s">
        <v>34</v>
      </c>
      <c r="C2" s="2" t="s">
        <v>35</v>
      </c>
      <c r="D2" s="3" t="s">
        <v>23</v>
      </c>
      <c r="E2" s="2" t="s">
        <v>52</v>
      </c>
      <c r="F2" s="3" t="s">
        <v>36</v>
      </c>
      <c r="G2" s="6">
        <v>77000</v>
      </c>
      <c r="H2" s="2" t="s">
        <v>37</v>
      </c>
      <c r="I2" s="2" t="s">
        <v>38</v>
      </c>
      <c r="J2" s="7">
        <v>0.3298611111111111</v>
      </c>
      <c r="K2" s="8">
        <v>0.32916666666666666</v>
      </c>
      <c r="L2" s="7">
        <v>0.37152777777777773</v>
      </c>
      <c r="M2" s="8">
        <v>0.37291666666666662</v>
      </c>
      <c r="N2" s="3" t="s">
        <v>53</v>
      </c>
      <c r="O2" s="3" t="s">
        <v>268</v>
      </c>
      <c r="P2" s="3">
        <v>2270</v>
      </c>
      <c r="Q2" s="3">
        <v>1851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>
      <c r="A3" s="4">
        <v>45534</v>
      </c>
      <c r="B3" s="2" t="s">
        <v>27</v>
      </c>
      <c r="C3" s="2" t="s">
        <v>31</v>
      </c>
      <c r="D3" s="3" t="s">
        <v>23</v>
      </c>
      <c r="E3" s="2" t="s">
        <v>155</v>
      </c>
      <c r="F3" s="3" t="s">
        <v>24</v>
      </c>
      <c r="G3" s="6">
        <v>71500</v>
      </c>
      <c r="H3" s="2" t="s">
        <v>33</v>
      </c>
      <c r="I3" s="2" t="s">
        <v>32</v>
      </c>
      <c r="J3" s="7">
        <v>0.42708333333333331</v>
      </c>
      <c r="K3" s="8">
        <v>0.42222222222222222</v>
      </c>
      <c r="L3" s="7">
        <v>0.4513888888888889</v>
      </c>
      <c r="M3" s="8">
        <v>0.45763888888888887</v>
      </c>
      <c r="N3" s="2" t="s">
        <v>269</v>
      </c>
      <c r="O3" s="2" t="s">
        <v>270</v>
      </c>
      <c r="P3" s="2">
        <v>401</v>
      </c>
      <c r="Q3" s="2">
        <v>829</v>
      </c>
      <c r="R3" s="2">
        <v>0</v>
      </c>
      <c r="S3" s="2">
        <v>0</v>
      </c>
      <c r="T3" s="2">
        <v>0</v>
      </c>
      <c r="U3" s="2">
        <v>0</v>
      </c>
      <c r="V3" s="2"/>
    </row>
    <row r="4" spans="1:22">
      <c r="A4" s="4">
        <v>45534</v>
      </c>
      <c r="B4" s="2" t="s">
        <v>21</v>
      </c>
      <c r="C4" s="2" t="s">
        <v>22</v>
      </c>
      <c r="D4" s="15" t="s">
        <v>23</v>
      </c>
      <c r="E4" s="2" t="s">
        <v>177</v>
      </c>
      <c r="F4" s="15" t="s">
        <v>24</v>
      </c>
      <c r="G4" s="2">
        <v>71.5</v>
      </c>
      <c r="H4" s="15" t="s">
        <v>25</v>
      </c>
      <c r="I4" s="2" t="s">
        <v>26</v>
      </c>
      <c r="J4" s="7">
        <v>0.50347222222222221</v>
      </c>
      <c r="K4" s="8">
        <v>0.50902777777777775</v>
      </c>
      <c r="L4" s="7">
        <v>0.52777777777777779</v>
      </c>
      <c r="M4" s="8">
        <v>0.55763888888888891</v>
      </c>
      <c r="N4" s="2" t="s">
        <v>271</v>
      </c>
      <c r="O4" s="2" t="s">
        <v>39</v>
      </c>
      <c r="P4" s="2">
        <v>764</v>
      </c>
      <c r="Q4" s="2">
        <v>956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>
      <c r="A5" s="4">
        <v>45534</v>
      </c>
      <c r="B5" s="2" t="s">
        <v>27</v>
      </c>
      <c r="C5" s="2" t="s">
        <v>28</v>
      </c>
      <c r="D5" s="15" t="s">
        <v>23</v>
      </c>
      <c r="E5" s="2" t="s">
        <v>41</v>
      </c>
      <c r="F5" s="15" t="s">
        <v>24</v>
      </c>
      <c r="G5" s="2">
        <v>71.5</v>
      </c>
      <c r="H5" s="2" t="s">
        <v>29</v>
      </c>
      <c r="I5" s="2" t="s">
        <v>30</v>
      </c>
      <c r="J5" s="7">
        <v>0.72222222222222221</v>
      </c>
      <c r="K5" s="8">
        <v>0.71805555555555556</v>
      </c>
      <c r="L5" s="7">
        <v>0.74305555555555547</v>
      </c>
      <c r="M5" s="8">
        <v>0.82708333333333339</v>
      </c>
      <c r="N5" s="2" t="s">
        <v>79</v>
      </c>
      <c r="O5" s="2" t="s">
        <v>272</v>
      </c>
      <c r="P5" s="2">
        <v>1133</v>
      </c>
      <c r="Q5" s="2">
        <v>1586</v>
      </c>
      <c r="R5" s="2">
        <v>0</v>
      </c>
      <c r="S5" s="2">
        <v>0</v>
      </c>
      <c r="T5" s="2">
        <v>0</v>
      </c>
      <c r="U5" s="2">
        <v>0</v>
      </c>
      <c r="V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6686-CACB-496D-964E-24FABCE21B22}">
  <dimension ref="A1:U6"/>
  <sheetViews>
    <sheetView tabSelected="1" workbookViewId="0">
      <selection activeCell="Q4" sqref="Q4"/>
    </sheetView>
  </sheetViews>
  <sheetFormatPr defaultRowHeight="12.75"/>
  <cols>
    <col min="1" max="1" width="9.140625" style="19"/>
    <col min="2" max="2" width="22.28515625" style="19" customWidth="1"/>
    <col min="3" max="3" width="19.85546875" style="19" bestFit="1" customWidth="1"/>
    <col min="4" max="5" width="9.140625" style="19"/>
    <col min="6" max="6" width="12.140625" style="19" bestFit="1" customWidth="1"/>
    <col min="7" max="16384" width="9.140625" style="19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>
        <v>45535</v>
      </c>
      <c r="B2" s="2" t="s">
        <v>27</v>
      </c>
      <c r="C2" s="2" t="s">
        <v>31</v>
      </c>
      <c r="D2" s="3" t="s">
        <v>23</v>
      </c>
      <c r="E2" s="2" t="s">
        <v>110</v>
      </c>
      <c r="F2" s="3" t="s">
        <v>24</v>
      </c>
      <c r="G2" s="6">
        <v>71500</v>
      </c>
      <c r="H2" s="2" t="s">
        <v>33</v>
      </c>
      <c r="I2" s="2" t="s">
        <v>32</v>
      </c>
      <c r="J2" s="7">
        <v>0.44097222222222227</v>
      </c>
      <c r="K2" s="8">
        <v>0.43472222222222223</v>
      </c>
      <c r="L2" s="7">
        <v>0.46527777777777773</v>
      </c>
      <c r="M2" s="8">
        <v>0.47152777777777777</v>
      </c>
      <c r="N2" s="2" t="s">
        <v>280</v>
      </c>
      <c r="O2" s="2" t="s">
        <v>281</v>
      </c>
      <c r="P2" s="2">
        <v>581</v>
      </c>
      <c r="Q2" s="2">
        <v>614</v>
      </c>
      <c r="R2" s="2">
        <v>0</v>
      </c>
      <c r="S2" s="2">
        <v>0</v>
      </c>
      <c r="T2" s="2">
        <v>0</v>
      </c>
      <c r="U2" s="2">
        <v>0</v>
      </c>
    </row>
    <row r="3" spans="1:21">
      <c r="A3" s="4">
        <v>45535</v>
      </c>
      <c r="B3" s="2" t="s">
        <v>222</v>
      </c>
      <c r="C3" s="3" t="s">
        <v>223</v>
      </c>
      <c r="D3" s="3" t="s">
        <v>23</v>
      </c>
      <c r="E3" s="3" t="s">
        <v>273</v>
      </c>
      <c r="F3" s="3" t="s">
        <v>24</v>
      </c>
      <c r="G3" s="6">
        <v>75000</v>
      </c>
      <c r="H3" s="3" t="s">
        <v>226</v>
      </c>
      <c r="I3" s="3" t="s">
        <v>227</v>
      </c>
      <c r="J3" s="1">
        <v>0.3298611111111111</v>
      </c>
      <c r="K3" s="5">
        <v>0.33333333333333331</v>
      </c>
      <c r="L3" s="1">
        <v>0.36805555555555558</v>
      </c>
      <c r="M3" s="5">
        <v>0.37638888888888888</v>
      </c>
      <c r="N3" s="3" t="s">
        <v>53</v>
      </c>
      <c r="O3" s="3" t="s">
        <v>274</v>
      </c>
      <c r="P3" s="3">
        <v>1861</v>
      </c>
      <c r="Q3" s="3">
        <v>1548</v>
      </c>
      <c r="R3" s="3">
        <v>0</v>
      </c>
      <c r="S3" s="3">
        <v>0</v>
      </c>
      <c r="T3" s="3">
        <v>0</v>
      </c>
      <c r="U3" s="3">
        <v>0</v>
      </c>
    </row>
    <row r="4" spans="1:21">
      <c r="A4" s="4">
        <v>45535</v>
      </c>
      <c r="B4" s="2" t="s">
        <v>45</v>
      </c>
      <c r="C4" s="3" t="s">
        <v>35</v>
      </c>
      <c r="D4" s="3" t="s">
        <v>46</v>
      </c>
      <c r="E4" s="3" t="s">
        <v>49</v>
      </c>
      <c r="F4" s="3" t="s">
        <v>36</v>
      </c>
      <c r="G4" s="6">
        <v>66000</v>
      </c>
      <c r="H4" s="3" t="s">
        <v>47</v>
      </c>
      <c r="I4" s="3" t="s">
        <v>48</v>
      </c>
      <c r="J4" s="1">
        <v>0.73263888888888884</v>
      </c>
      <c r="K4" s="5">
        <v>0.76527777777777783</v>
      </c>
      <c r="L4" s="1">
        <v>0.77430555555555547</v>
      </c>
      <c r="M4" s="5">
        <v>0.80208333333333337</v>
      </c>
      <c r="N4" s="2" t="s">
        <v>235</v>
      </c>
      <c r="O4" s="2" t="s">
        <v>286</v>
      </c>
      <c r="P4" s="2">
        <v>1567</v>
      </c>
      <c r="Q4" s="2">
        <v>799</v>
      </c>
      <c r="R4" s="3">
        <v>0</v>
      </c>
      <c r="S4" s="3">
        <v>0</v>
      </c>
      <c r="T4" s="3">
        <v>0</v>
      </c>
      <c r="U4" s="3">
        <v>0</v>
      </c>
    </row>
    <row r="5" spans="1:21">
      <c r="A5" s="4">
        <v>45535</v>
      </c>
      <c r="B5" s="2" t="s">
        <v>275</v>
      </c>
      <c r="C5" s="19" t="s">
        <v>276</v>
      </c>
      <c r="D5" s="19" t="s">
        <v>277</v>
      </c>
      <c r="E5" s="19" t="s">
        <v>278</v>
      </c>
      <c r="F5" s="19" t="s">
        <v>183</v>
      </c>
      <c r="G5" s="19">
        <v>600</v>
      </c>
      <c r="H5" s="19" t="s">
        <v>279</v>
      </c>
      <c r="I5" s="19" t="s">
        <v>279</v>
      </c>
      <c r="J5" s="22">
        <v>0.29166666666666669</v>
      </c>
      <c r="K5" s="20">
        <v>0.27777777777777779</v>
      </c>
      <c r="L5" s="22">
        <v>0.3125</v>
      </c>
      <c r="M5" s="20">
        <v>0.2986111111111111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</row>
    <row r="6" spans="1:21">
      <c r="A6" s="4">
        <v>45535</v>
      </c>
      <c r="B6" s="19" t="s">
        <v>282</v>
      </c>
      <c r="C6" s="19" t="s">
        <v>283</v>
      </c>
      <c r="D6" s="19" t="s">
        <v>284</v>
      </c>
      <c r="E6" s="19">
        <v>11</v>
      </c>
      <c r="F6" s="19" t="s">
        <v>220</v>
      </c>
      <c r="G6" s="19">
        <v>3700</v>
      </c>
      <c r="H6" s="19" t="s">
        <v>285</v>
      </c>
      <c r="I6" s="19" t="str">
        <f>H6</f>
        <v>HAWK01</v>
      </c>
      <c r="J6" s="22">
        <v>0.47222222222222227</v>
      </c>
      <c r="K6" s="20">
        <v>0.47013888888888888</v>
      </c>
      <c r="L6" s="22">
        <v>0.47916666666666669</v>
      </c>
      <c r="M6" s="20">
        <v>0.49027777777777781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2024-08-31T17:24:59Z</dcterms:modified>
</cp:coreProperties>
</file>