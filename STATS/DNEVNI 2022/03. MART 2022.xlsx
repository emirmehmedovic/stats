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945" windowWidth="14805" windowHeight="7170" tabRatio="652" firstSheet="9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9" r:id="rId28"/>
    <sheet name="29" sheetId="30" r:id="rId29"/>
    <sheet name="30" sheetId="31" r:id="rId30"/>
    <sheet name="31" sheetId="32" r:id="rId31"/>
  </sheets>
  <calcPr calcId="145621"/>
</workbook>
</file>

<file path=xl/calcChain.xml><?xml version="1.0" encoding="utf-8"?>
<calcChain xmlns="http://schemas.openxmlformats.org/spreadsheetml/2006/main">
  <c r="I4" i="32" l="1"/>
  <c r="G5" i="30" l="1"/>
  <c r="E5" i="30"/>
  <c r="E4" i="30"/>
  <c r="I4" i="24" l="1"/>
  <c r="E3" i="24" l="1"/>
  <c r="G5" i="20" l="1"/>
  <c r="I6" i="20" l="1"/>
  <c r="H6" i="20"/>
  <c r="A4" i="18" l="1"/>
  <c r="I4" i="18"/>
  <c r="H4" i="18"/>
  <c r="M2" i="17" l="1"/>
  <c r="E4" i="12" l="1"/>
  <c r="E3" i="12"/>
</calcChain>
</file>

<file path=xl/sharedStrings.xml><?xml version="1.0" encoding="utf-8"?>
<sst xmlns="http://schemas.openxmlformats.org/spreadsheetml/2006/main" count="1582" uniqueCount="291">
  <si>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</si>
  <si>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</si>
  <si>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</si>
  <si>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</si>
  <si>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</si>
  <si>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</si>
  <si>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</si>
  <si>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</si>
  <si>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</si>
  <si>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</si>
  <si>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</si>
  <si>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</si>
  <si>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</si>
  <si>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</si>
  <si>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</si>
  <si>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</si>
  <si>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</si>
  <si>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</si>
  <si>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</si>
  <si>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</si>
  <si>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</si>
  <si>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</si>
  <si>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TZL-FMM-TZL</t>
  </si>
  <si>
    <t>A320</t>
  </si>
  <si>
    <t>SCHEDULED</t>
  </si>
  <si>
    <t>W64280</t>
  </si>
  <si>
    <t>W64279</t>
  </si>
  <si>
    <t>TZL-MLH-TZL</t>
  </si>
  <si>
    <t>W64294</t>
  </si>
  <si>
    <t>W64293</t>
  </si>
  <si>
    <t>TZL-BER-TZL</t>
  </si>
  <si>
    <t>W64276</t>
  </si>
  <si>
    <t>W64275</t>
  </si>
  <si>
    <t>-</t>
  </si>
  <si>
    <t>HA-LYE</t>
  </si>
  <si>
    <t>167+2 INF</t>
  </si>
  <si>
    <t>160+2 INF</t>
  </si>
  <si>
    <t>HA-LWK</t>
  </si>
  <si>
    <t>SOF-TZL</t>
  </si>
  <si>
    <t>FERRY IN/TFT</t>
  </si>
  <si>
    <t>W6401</t>
  </si>
  <si>
    <t>TZL-BUD</t>
  </si>
  <si>
    <t>FERRY OUT/TFT</t>
  </si>
  <si>
    <t>W6402</t>
  </si>
  <si>
    <t>154+5 INF</t>
  </si>
  <si>
    <t>163+1 INF</t>
  </si>
  <si>
    <t>145+2 INF</t>
  </si>
  <si>
    <t>124+1 INF</t>
  </si>
  <si>
    <t>TZL-DTM-TZL</t>
  </si>
  <si>
    <t>W64297</t>
  </si>
  <si>
    <t>W64298</t>
  </si>
  <si>
    <t>TZL-MMX-TZL</t>
  </si>
  <si>
    <t>HA-LYT</t>
  </si>
  <si>
    <t>W64291</t>
  </si>
  <si>
    <t>W64292</t>
  </si>
  <si>
    <t>BUD-TZL</t>
  </si>
  <si>
    <t>TFT/FERRY IN</t>
  </si>
  <si>
    <t>W6403</t>
  </si>
  <si>
    <t>TFT/FERRY OUT</t>
  </si>
  <si>
    <t>134+0 INF</t>
  </si>
  <si>
    <t>144+4 INF</t>
  </si>
  <si>
    <t>172+2 INF</t>
  </si>
  <si>
    <t>164+3 INF</t>
  </si>
  <si>
    <t>TZL-HHN-TZL</t>
  </si>
  <si>
    <t>W64284</t>
  </si>
  <si>
    <t>W64283</t>
  </si>
  <si>
    <t>152+2 INF</t>
  </si>
  <si>
    <t>MUP REPUBLIKE SRPSKE</t>
  </si>
  <si>
    <t>BIJELJINA-TZL-BIJELJINA</t>
  </si>
  <si>
    <t>E7-SAJ</t>
  </si>
  <si>
    <t>ANST</t>
  </si>
  <si>
    <t>143+5 INF</t>
  </si>
  <si>
    <t>HELICOPTER</t>
  </si>
  <si>
    <t>TZL-CGN-TZL</t>
  </si>
  <si>
    <t>W64300</t>
  </si>
  <si>
    <t>W64299</t>
  </si>
  <si>
    <t>140+0 INF</t>
  </si>
  <si>
    <t>142+3 INF</t>
  </si>
  <si>
    <t>153+1 INF</t>
  </si>
  <si>
    <t>166+3 INF</t>
  </si>
  <si>
    <t>173+3 INF</t>
  </si>
  <si>
    <t>178+3 INF</t>
  </si>
  <si>
    <t>158+3 INF</t>
  </si>
  <si>
    <t>120+3 INF</t>
  </si>
  <si>
    <t>162+3 INF</t>
  </si>
  <si>
    <t>180+4 INF</t>
  </si>
  <si>
    <t>170+5 INF</t>
  </si>
  <si>
    <t>165+2 INF</t>
  </si>
  <si>
    <t>148+INF</t>
  </si>
  <si>
    <t>158+5 INF</t>
  </si>
  <si>
    <t>145+0 INF</t>
  </si>
  <si>
    <t>150+2 INF</t>
  </si>
  <si>
    <t>157+2 INF</t>
  </si>
  <si>
    <t>167+4 INF</t>
  </si>
  <si>
    <t>149+5 INF</t>
  </si>
  <si>
    <t>HA-LYE/HA-LWV</t>
  </si>
  <si>
    <t>154+2 INF</t>
  </si>
  <si>
    <t>156+2 INF</t>
  </si>
  <si>
    <t>162+1 INF</t>
  </si>
  <si>
    <t>135+4 INF</t>
  </si>
  <si>
    <t>HA-LWV</t>
  </si>
  <si>
    <t>155+1 INF</t>
  </si>
  <si>
    <t>170+1 INF</t>
  </si>
  <si>
    <t>135+1 INF</t>
  </si>
  <si>
    <t>171+2 INF</t>
  </si>
  <si>
    <t>149+7 INF</t>
  </si>
  <si>
    <t>153+4 INF</t>
  </si>
  <si>
    <t>149+1 INF</t>
  </si>
  <si>
    <t xml:space="preserve"> 165+3 INF</t>
  </si>
  <si>
    <t>170+7  INF</t>
  </si>
  <si>
    <t xml:space="preserve"> 153+4 INF</t>
  </si>
  <si>
    <t>149+3 INF</t>
  </si>
  <si>
    <t>157+1 INF</t>
  </si>
  <si>
    <t>137+2 INF</t>
  </si>
  <si>
    <t>145+1 INF</t>
  </si>
  <si>
    <t>150+1 INF</t>
  </si>
  <si>
    <t>143+1 INF</t>
  </si>
  <si>
    <t>147+1 INF</t>
  </si>
  <si>
    <t>TZL-CGN-(VIA DTM)-TZL</t>
  </si>
  <si>
    <t>125+2 INF</t>
  </si>
  <si>
    <t>158+4 INF</t>
  </si>
  <si>
    <t>138+3 INF</t>
  </si>
  <si>
    <t>153+9 INF</t>
  </si>
  <si>
    <t>155+3 INF</t>
  </si>
  <si>
    <t>116+3 INF</t>
  </si>
  <si>
    <t>141+6 INF</t>
  </si>
  <si>
    <t>100+1 INF</t>
  </si>
  <si>
    <t>TZL-VIE-TZL</t>
  </si>
  <si>
    <t>W64286</t>
  </si>
  <si>
    <t>W64285</t>
  </si>
  <si>
    <t>HA-LYT/HA-LWU</t>
  </si>
  <si>
    <t>121+3 INF</t>
  </si>
  <si>
    <t>105+1 INF</t>
  </si>
  <si>
    <t>165+0 INF</t>
  </si>
  <si>
    <t>130+9 INF</t>
  </si>
  <si>
    <t>139+2 INF</t>
  </si>
  <si>
    <t>173+0 INF</t>
  </si>
  <si>
    <t>HA-LWU</t>
  </si>
  <si>
    <t>162+10 INF</t>
  </si>
  <si>
    <t>148+4 INF</t>
  </si>
  <si>
    <t>148+0INF</t>
  </si>
  <si>
    <t>135+2INF</t>
  </si>
  <si>
    <t>SR22</t>
  </si>
  <si>
    <t>OK-CZE</t>
  </si>
  <si>
    <t>NON-SCH/GA</t>
  </si>
  <si>
    <t>BRQ-TZL-BRQ</t>
  </si>
  <si>
    <t>AEROMEC</t>
  </si>
  <si>
    <t>162+4INF</t>
  </si>
  <si>
    <t>16ž:50</t>
  </si>
  <si>
    <t>172+1 INF</t>
  </si>
  <si>
    <t>176+6 INF</t>
  </si>
  <si>
    <t>169+3 INF</t>
  </si>
  <si>
    <t>163+3 INF</t>
  </si>
  <si>
    <t>166+6 INF</t>
  </si>
  <si>
    <t>BOJAN MLADENOVIĆ</t>
  </si>
  <si>
    <t>BEG-TZL-BRČKO</t>
  </si>
  <si>
    <t>SA 341</t>
  </si>
  <si>
    <t>YU-HHS</t>
  </si>
  <si>
    <t>142+7 INF</t>
  </si>
  <si>
    <t>BRČKO-TZL-BEG</t>
  </si>
  <si>
    <t>114+5 INF</t>
  </si>
  <si>
    <t>164+1 INF</t>
  </si>
  <si>
    <t>141+0 INF</t>
  </si>
  <si>
    <t>HALWV</t>
  </si>
  <si>
    <t>HALWU</t>
  </si>
  <si>
    <t>135+2 INF</t>
  </si>
  <si>
    <t>122+4 INF</t>
  </si>
  <si>
    <t>158+2 INF</t>
  </si>
  <si>
    <t>156+5 INF</t>
  </si>
  <si>
    <t>159+6 INF</t>
  </si>
  <si>
    <t>169+6 INF</t>
  </si>
  <si>
    <t>128+6 INF</t>
  </si>
  <si>
    <t>TZL-BER</t>
  </si>
  <si>
    <t>133+3 INF</t>
  </si>
  <si>
    <t>BER-TZL</t>
  </si>
  <si>
    <t>142+0 INF</t>
  </si>
  <si>
    <t>123+4INF</t>
  </si>
  <si>
    <t>78+3INF</t>
  </si>
  <si>
    <t>AIR EVOLUTION LTD.</t>
  </si>
  <si>
    <t>SOF-TZL-SOF</t>
  </si>
  <si>
    <t>AS350B3</t>
  </si>
  <si>
    <t>HB-ZLV</t>
  </si>
  <si>
    <t>NON-SCHEDULED</t>
  </si>
  <si>
    <t>83+0 INF</t>
  </si>
  <si>
    <t>128+5 INF</t>
  </si>
  <si>
    <t>89+2 INF</t>
  </si>
  <si>
    <t>165+4 INF</t>
  </si>
  <si>
    <t>HALYT</t>
  </si>
  <si>
    <t>90+0 INF</t>
  </si>
  <si>
    <t>165+1 INF</t>
  </si>
  <si>
    <t>AERO-DIENST</t>
  </si>
  <si>
    <t>NUE-TZL-FKB</t>
  </si>
  <si>
    <t>J328</t>
  </si>
  <si>
    <t>D-BADC</t>
  </si>
  <si>
    <t>MEDEVAC</t>
  </si>
  <si>
    <t>ADN14C</t>
  </si>
  <si>
    <t>142+4 INF</t>
  </si>
  <si>
    <t>ARMIN NESIREN</t>
  </si>
  <si>
    <t>CILJUGE-TZL-BEG</t>
  </si>
  <si>
    <t>C172</t>
  </si>
  <si>
    <t>E7-AAN</t>
  </si>
  <si>
    <t>161+4 INF</t>
  </si>
  <si>
    <t>153+8 INF</t>
  </si>
  <si>
    <t>174+4 INF</t>
  </si>
  <si>
    <t>BUD-TZL-BUD</t>
  </si>
  <si>
    <t>FERRY IN/OUT</t>
  </si>
  <si>
    <t>W6404</t>
  </si>
  <si>
    <t>155+9 INF</t>
  </si>
  <si>
    <t>DIAMOND SKY</t>
  </si>
  <si>
    <t>TLL-TZL</t>
  </si>
  <si>
    <t>C510</t>
  </si>
  <si>
    <t>ES-MCA</t>
  </si>
  <si>
    <t>152+4 INF</t>
  </si>
  <si>
    <t>95+3 INF</t>
  </si>
  <si>
    <t>160+5 INF</t>
  </si>
  <si>
    <t>169+5 INF</t>
  </si>
  <si>
    <t>102+1 INF</t>
  </si>
  <si>
    <t>121+4 INF</t>
  </si>
  <si>
    <t>TZL-MXP-TZL</t>
  </si>
  <si>
    <t>TZL-NUE-TZL</t>
  </si>
  <si>
    <t>W67292</t>
  </si>
  <si>
    <t>W65569</t>
  </si>
  <si>
    <t>W64614</t>
  </si>
  <si>
    <t>W64613</t>
  </si>
  <si>
    <t>126+1 INF</t>
  </si>
  <si>
    <t>101+4 INF</t>
  </si>
  <si>
    <t>39+1 INF</t>
  </si>
  <si>
    <t>79+2 INF</t>
  </si>
  <si>
    <t>TZL-NYO-TZL</t>
  </si>
  <si>
    <t>W64282</t>
  </si>
  <si>
    <t>W64281</t>
  </si>
  <si>
    <t>36+2 INF</t>
  </si>
  <si>
    <t>96+5 INF</t>
  </si>
  <si>
    <t>87+0 INF</t>
  </si>
  <si>
    <t>137+0 INF</t>
  </si>
  <si>
    <t>111+1 INF</t>
  </si>
  <si>
    <t>TZL-GOT-TZL</t>
  </si>
  <si>
    <t>W64296</t>
  </si>
  <si>
    <t>W64295</t>
  </si>
  <si>
    <t>53+1 INF</t>
  </si>
  <si>
    <t>84+1 INF</t>
  </si>
  <si>
    <t>160+6 INF</t>
  </si>
  <si>
    <t>152+1 INF</t>
  </si>
  <si>
    <t>150+3 INF</t>
  </si>
  <si>
    <t>HALWU/LYJ</t>
  </si>
  <si>
    <t>HERRENKNECHT AVIAITON</t>
  </si>
  <si>
    <t>LHA-TZL-LHA</t>
  </si>
  <si>
    <t>E55P</t>
  </si>
  <si>
    <t>DCHMD</t>
  </si>
  <si>
    <t>INT.NON.SCHED.</t>
  </si>
  <si>
    <t>117+1 INF</t>
  </si>
  <si>
    <t>96+1 INF</t>
  </si>
  <si>
    <t>146+1 INF</t>
  </si>
  <si>
    <t>73+0 INF</t>
  </si>
  <si>
    <t>143+10 INF</t>
  </si>
  <si>
    <t>TZL-FKB-TZL</t>
  </si>
  <si>
    <t>HA-LYJ</t>
  </si>
  <si>
    <t>W64618</t>
  </si>
  <si>
    <t>W64617</t>
  </si>
  <si>
    <t>59+0 INF</t>
  </si>
  <si>
    <t>118+0 INF</t>
  </si>
  <si>
    <t>33+0 INF</t>
  </si>
  <si>
    <t>126+2 INF</t>
  </si>
  <si>
    <t>172+3 INF</t>
  </si>
  <si>
    <t>76+2 INF</t>
  </si>
  <si>
    <t>SMATSA BEOGRAD</t>
  </si>
  <si>
    <t>OMO-TZL</t>
  </si>
  <si>
    <t>B350</t>
  </si>
  <si>
    <t>YU-BTC</t>
  </si>
  <si>
    <t>TZL-TLL</t>
  </si>
  <si>
    <t>CREW ONLY</t>
  </si>
  <si>
    <t>98+2 INF</t>
  </si>
  <si>
    <t>145+3 INF</t>
  </si>
  <si>
    <t>CAT AVIATION AG</t>
  </si>
  <si>
    <t>ZRH-TZL</t>
  </si>
  <si>
    <t>F2TH</t>
  </si>
  <si>
    <t>HB-IGO</t>
  </si>
  <si>
    <t>60+1 INF</t>
  </si>
  <si>
    <t>HA-LYT/HA-LYE</t>
  </si>
  <si>
    <t>152+3 INF</t>
  </si>
  <si>
    <t>57+0 INF</t>
  </si>
  <si>
    <t>118+4 INF</t>
  </si>
  <si>
    <t>DTM-TZL-DTM</t>
  </si>
  <si>
    <t>HA-LYY</t>
  </si>
  <si>
    <t>ROP</t>
  </si>
  <si>
    <t>TZL-VIE</t>
  </si>
  <si>
    <t>141+5 INF</t>
  </si>
  <si>
    <t>DIVERTED/FERRY OUT</t>
  </si>
  <si>
    <t>W64638</t>
  </si>
  <si>
    <t>118+3 INF</t>
  </si>
  <si>
    <t>FMM-TZL-SJJ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</si>
</sst>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b/>
      <sz val="10"/>
      <name val="Garamond"/>
      <family val="1"/>
      <charset val="238"/>
    </font>
    <font>
      <sz val="11"/>
      <color theme="1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 vertical="center"/>
    </xf>
    <xf numFmtId="20" fontId="2" fillId="0" borderId="0" xfId="2" applyNumberFormat="1" applyFont="1" applyFill="1" applyAlignment="1">
      <alignment horizontal="center" vertic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center" vertical="center"/>
    </xf>
  </cellXfs>
  <cellStyles count="3">
    <cellStyle name="Normal" xfId="0" builtinId="0"/>
    <cellStyle name="Normal 3 2" xfId="2"/>
    <cellStyle name="Normal 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B29" sqref="B29"/>
    </sheetView>
  </sheetViews>
  <sheetFormatPr defaultRowHeight="15" x14ac:dyDescent="0.25"/>
  <cols>
    <col min="2" max="2" width="21.85546875" bestFit="1" customWidth="1"/>
    <col min="3" max="3" width="12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44621</v>
      </c>
      <c r="B2" s="4" t="s">
        <v>21</v>
      </c>
      <c r="C2" s="4" t="s">
        <v>22</v>
      </c>
      <c r="D2" s="4" t="s">
        <v>23</v>
      </c>
      <c r="E2" s="4" t="s">
        <v>37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0.4916666666666667</v>
      </c>
      <c r="L2" s="6">
        <v>0.35069444444444442</v>
      </c>
      <c r="M2" s="7">
        <v>0.36041666666666666</v>
      </c>
      <c r="N2" s="4" t="s">
        <v>44</v>
      </c>
      <c r="O2" s="4" t="s">
        <v>36</v>
      </c>
      <c r="P2" s="4">
        <v>752</v>
      </c>
      <c r="Q2" s="4">
        <v>670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44621</v>
      </c>
      <c r="B3" s="8" t="s">
        <v>21</v>
      </c>
      <c r="C3" s="8" t="s">
        <v>27</v>
      </c>
      <c r="D3" s="8" t="s">
        <v>23</v>
      </c>
      <c r="E3" s="4" t="s">
        <v>37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0.71527777777777779</v>
      </c>
      <c r="K3" s="11">
        <v>0.7270833333333333</v>
      </c>
      <c r="L3" s="10">
        <v>0.54166666666666663</v>
      </c>
      <c r="M3" s="12">
        <v>0.5395833333333333</v>
      </c>
      <c r="N3" s="4" t="s">
        <v>46</v>
      </c>
      <c r="O3" s="4" t="s">
        <v>45</v>
      </c>
      <c r="P3" s="13">
        <v>910</v>
      </c>
      <c r="Q3" s="13">
        <v>793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44621</v>
      </c>
      <c r="B4" s="4" t="s">
        <v>21</v>
      </c>
      <c r="C4" s="4" t="s">
        <v>30</v>
      </c>
      <c r="D4" s="4" t="s">
        <v>23</v>
      </c>
      <c r="E4" s="4" t="s">
        <v>37</v>
      </c>
      <c r="F4" s="4" t="s">
        <v>24</v>
      </c>
      <c r="G4" s="5">
        <v>70000</v>
      </c>
      <c r="H4" s="4" t="s">
        <v>31</v>
      </c>
      <c r="I4" s="4" t="s">
        <v>32</v>
      </c>
      <c r="J4" s="6">
        <v>0.91666666666666663</v>
      </c>
      <c r="K4" s="7">
        <v>0.93125000000000002</v>
      </c>
      <c r="L4" s="6">
        <v>0.74305555555555547</v>
      </c>
      <c r="M4" s="7">
        <v>0.76736111111111116</v>
      </c>
      <c r="N4" s="4" t="s">
        <v>35</v>
      </c>
      <c r="O4" s="4" t="s">
        <v>47</v>
      </c>
      <c r="P4" s="4">
        <v>805</v>
      </c>
      <c r="Q4" s="4">
        <v>726</v>
      </c>
      <c r="R4" s="4">
        <v>0</v>
      </c>
      <c r="S4" s="4">
        <v>0</v>
      </c>
      <c r="T4" s="4">
        <v>0</v>
      </c>
      <c r="U4" s="4">
        <v>0</v>
      </c>
    </row>
    <row r="5" spans="1:21" s="16" customFormat="1" x14ac:dyDescent="0.25">
      <c r="A5" s="3">
        <v>44621</v>
      </c>
      <c r="B5" s="4" t="s">
        <v>21</v>
      </c>
      <c r="C5" s="15" t="s">
        <v>38</v>
      </c>
      <c r="D5" s="4" t="s">
        <v>23</v>
      </c>
      <c r="E5" s="15" t="s">
        <v>37</v>
      </c>
      <c r="F5" s="15" t="s">
        <v>39</v>
      </c>
      <c r="G5" s="5">
        <v>70000</v>
      </c>
      <c r="H5" s="15" t="s">
        <v>40</v>
      </c>
      <c r="I5" s="15" t="s">
        <v>33</v>
      </c>
      <c r="J5" s="17">
        <v>0.32291666666666669</v>
      </c>
      <c r="K5" s="17">
        <v>0.3125</v>
      </c>
      <c r="L5" s="17" t="s">
        <v>33</v>
      </c>
      <c r="M5" s="17" t="s">
        <v>33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</row>
    <row r="6" spans="1:21" s="16" customFormat="1" x14ac:dyDescent="0.25">
      <c r="A6" s="14">
        <v>44621</v>
      </c>
      <c r="B6" s="4" t="s">
        <v>21</v>
      </c>
      <c r="C6" s="15" t="s">
        <v>41</v>
      </c>
      <c r="D6" s="4" t="s">
        <v>23</v>
      </c>
      <c r="E6" s="15" t="s">
        <v>34</v>
      </c>
      <c r="F6" s="15" t="s">
        <v>42</v>
      </c>
      <c r="G6" s="5">
        <v>70000</v>
      </c>
      <c r="H6" s="15" t="s">
        <v>33</v>
      </c>
      <c r="I6" s="15" t="s">
        <v>43</v>
      </c>
      <c r="J6" s="15" t="s">
        <v>33</v>
      </c>
      <c r="K6" s="15" t="s">
        <v>33</v>
      </c>
      <c r="L6" s="17">
        <v>0.36458333333333331</v>
      </c>
      <c r="M6" s="17">
        <v>0.38125000000000003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C10" sqref="C10"/>
    </sheetView>
  </sheetViews>
  <sheetFormatPr defaultRowHeight="15" x14ac:dyDescent="0.25"/>
  <cols>
    <col min="3" max="3" width="13.5703125" bestFit="1" customWidth="1"/>
    <col min="6" max="6" width="15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18" customFormat="1" x14ac:dyDescent="0.25">
      <c r="A2" s="14">
        <v>44622</v>
      </c>
      <c r="B2" s="4" t="s">
        <v>21</v>
      </c>
      <c r="C2" s="4" t="s">
        <v>48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0.76250000000000007</v>
      </c>
      <c r="L2" s="6">
        <v>0.32291666666666669</v>
      </c>
      <c r="M2" s="7"/>
      <c r="N2" s="4" t="s">
        <v>61</v>
      </c>
      <c r="O2" s="4" t="s">
        <v>59</v>
      </c>
      <c r="P2" s="4">
        <v>1180</v>
      </c>
      <c r="Q2" s="4">
        <v>859</v>
      </c>
      <c r="R2" s="4">
        <v>0</v>
      </c>
      <c r="S2" s="4">
        <v>0</v>
      </c>
      <c r="T2" s="4">
        <v>0</v>
      </c>
      <c r="U2" s="4">
        <v>0</v>
      </c>
    </row>
    <row r="3" spans="1:21" s="15" customFormat="1" ht="12.75" x14ac:dyDescent="0.2">
      <c r="A3" s="14">
        <v>44622</v>
      </c>
      <c r="B3" s="4" t="s">
        <v>21</v>
      </c>
      <c r="C3" s="15" t="s">
        <v>51</v>
      </c>
      <c r="D3" s="4" t="s">
        <v>23</v>
      </c>
      <c r="E3" s="15" t="s">
        <v>34</v>
      </c>
      <c r="F3" s="4" t="s">
        <v>24</v>
      </c>
      <c r="G3" s="5">
        <v>70000</v>
      </c>
      <c r="H3" s="15" t="s">
        <v>54</v>
      </c>
      <c r="I3" s="15" t="s">
        <v>53</v>
      </c>
      <c r="J3" s="19">
        <v>0.91666666666666663</v>
      </c>
      <c r="K3" s="17">
        <v>0.90208333333333324</v>
      </c>
      <c r="L3" s="19">
        <v>0.71180555555555547</v>
      </c>
      <c r="M3" s="17">
        <v>0.7104166666666667</v>
      </c>
      <c r="N3" s="15" t="s">
        <v>62</v>
      </c>
      <c r="O3" s="15" t="s">
        <v>60</v>
      </c>
      <c r="P3" s="15">
        <v>987</v>
      </c>
      <c r="Q3" s="15">
        <v>983</v>
      </c>
      <c r="R3" s="15">
        <v>0</v>
      </c>
      <c r="S3" s="15">
        <v>0</v>
      </c>
      <c r="T3" s="15">
        <v>0</v>
      </c>
      <c r="U3" s="15">
        <v>0</v>
      </c>
    </row>
    <row r="4" spans="1:21" s="15" customFormat="1" ht="12.75" x14ac:dyDescent="0.2">
      <c r="A4" s="14">
        <v>44622</v>
      </c>
      <c r="B4" s="4" t="s">
        <v>21</v>
      </c>
      <c r="C4" s="15" t="s">
        <v>55</v>
      </c>
      <c r="D4" s="4" t="s">
        <v>23</v>
      </c>
      <c r="E4" s="15" t="s">
        <v>52</v>
      </c>
      <c r="F4" s="15" t="s">
        <v>56</v>
      </c>
      <c r="G4" s="5">
        <v>70000</v>
      </c>
      <c r="H4" s="15" t="s">
        <v>57</v>
      </c>
      <c r="I4" s="15" t="s">
        <v>33</v>
      </c>
      <c r="J4" s="19">
        <v>0.52083333333333337</v>
      </c>
      <c r="K4" s="17">
        <v>0.51874999999999993</v>
      </c>
      <c r="L4" s="15" t="s">
        <v>33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</row>
    <row r="5" spans="1:21" s="15" customFormat="1" ht="12.75" x14ac:dyDescent="0.2">
      <c r="A5" s="14">
        <v>44622</v>
      </c>
      <c r="B5" s="4" t="s">
        <v>21</v>
      </c>
      <c r="C5" s="15" t="s">
        <v>55</v>
      </c>
      <c r="D5" s="4" t="s">
        <v>23</v>
      </c>
      <c r="E5" s="15" t="s">
        <v>34</v>
      </c>
      <c r="F5" s="15" t="s">
        <v>56</v>
      </c>
      <c r="G5" s="5">
        <v>70000</v>
      </c>
      <c r="H5" s="15" t="s">
        <v>40</v>
      </c>
      <c r="I5" s="15" t="s">
        <v>33</v>
      </c>
      <c r="J5" s="19">
        <v>0.67361111111111116</v>
      </c>
      <c r="K5" s="17">
        <v>0.67222222222222217</v>
      </c>
      <c r="L5" s="15" t="s">
        <v>33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</row>
    <row r="6" spans="1:21" s="15" customFormat="1" ht="12.75" x14ac:dyDescent="0.2">
      <c r="A6" s="14">
        <v>44622</v>
      </c>
      <c r="B6" s="4" t="s">
        <v>21</v>
      </c>
      <c r="C6" s="15" t="s">
        <v>41</v>
      </c>
      <c r="D6" s="4" t="s">
        <v>23</v>
      </c>
      <c r="E6" s="15" t="s">
        <v>37</v>
      </c>
      <c r="F6" s="15" t="s">
        <v>58</v>
      </c>
      <c r="G6" s="5">
        <v>70000</v>
      </c>
      <c r="H6" s="15" t="s">
        <v>33</v>
      </c>
      <c r="I6" s="15" t="s">
        <v>43</v>
      </c>
      <c r="J6" s="15" t="s">
        <v>33</v>
      </c>
      <c r="K6" s="15" t="s">
        <v>33</v>
      </c>
      <c r="L6" s="19">
        <v>0.89583333333333337</v>
      </c>
      <c r="M6" s="17">
        <v>0.86458333333333337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B26" sqref="B26"/>
    </sheetView>
  </sheetViews>
  <sheetFormatPr defaultRowHeight="15" x14ac:dyDescent="0.25"/>
  <cols>
    <col min="1" max="1" width="9.140625" style="16"/>
    <col min="2" max="2" width="21.85546875" style="16" bestFit="1" customWidth="1"/>
    <col min="3" max="3" width="21" style="16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44623</v>
      </c>
      <c r="B2" s="4" t="s">
        <v>21</v>
      </c>
      <c r="C2" s="4" t="s">
        <v>63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64</v>
      </c>
      <c r="I2" s="4" t="s">
        <v>65</v>
      </c>
      <c r="J2" s="6">
        <v>0.71180555555555547</v>
      </c>
      <c r="K2" s="7">
        <v>0.70416666666666661</v>
      </c>
      <c r="L2" s="6">
        <v>0.52777777777777779</v>
      </c>
      <c r="M2" s="7">
        <v>0.52777777777777779</v>
      </c>
      <c r="N2" s="4" t="s">
        <v>71</v>
      </c>
      <c r="O2" s="4" t="s">
        <v>66</v>
      </c>
      <c r="P2" s="4">
        <v>1026</v>
      </c>
      <c r="Q2" s="4">
        <v>747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44623</v>
      </c>
      <c r="B3" s="15" t="s">
        <v>67</v>
      </c>
      <c r="C3" s="15" t="s">
        <v>68</v>
      </c>
      <c r="D3" s="15" t="s">
        <v>70</v>
      </c>
      <c r="E3" s="15" t="s">
        <v>69</v>
      </c>
      <c r="F3" s="15" t="s">
        <v>72</v>
      </c>
      <c r="G3" s="15">
        <v>4</v>
      </c>
      <c r="H3" s="15" t="s">
        <v>69</v>
      </c>
      <c r="I3" s="15" t="s">
        <v>69</v>
      </c>
      <c r="J3" s="17">
        <v>0.4375</v>
      </c>
      <c r="K3" s="17">
        <v>0.4381944444444445</v>
      </c>
      <c r="L3" s="17">
        <v>0.45833333333333331</v>
      </c>
      <c r="M3" s="17">
        <v>0.46527777777777773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C7" sqref="C7"/>
    </sheetView>
  </sheetViews>
  <sheetFormatPr defaultRowHeight="15" x14ac:dyDescent="0.25"/>
  <cols>
    <col min="1" max="1" width="9.140625" style="16"/>
    <col min="2" max="2" width="15" style="16" customWidth="1"/>
    <col min="3" max="3" width="16.5703125" style="16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44624</v>
      </c>
      <c r="B2" s="4" t="s">
        <v>21</v>
      </c>
      <c r="C2" s="4" t="s">
        <v>48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0.76944444444444438</v>
      </c>
      <c r="L2" s="6">
        <v>0.31944444444444448</v>
      </c>
      <c r="M2" s="7">
        <v>0.34027777777777773</v>
      </c>
      <c r="N2" s="4" t="s">
        <v>79</v>
      </c>
      <c r="O2" s="4" t="s">
        <v>76</v>
      </c>
      <c r="P2" s="4">
        <v>753</v>
      </c>
      <c r="Q2" s="4">
        <v>726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44624</v>
      </c>
      <c r="B3" s="4" t="s">
        <v>21</v>
      </c>
      <c r="C3" s="4" t="s">
        <v>73</v>
      </c>
      <c r="D3" s="4" t="s">
        <v>23</v>
      </c>
      <c r="E3" s="4" t="s">
        <v>34</v>
      </c>
      <c r="F3" s="4" t="s">
        <v>24</v>
      </c>
      <c r="G3" s="5">
        <v>70000</v>
      </c>
      <c r="H3" s="4" t="s">
        <v>74</v>
      </c>
      <c r="I3" s="4" t="s">
        <v>75</v>
      </c>
      <c r="J3" s="6">
        <v>0.52083333333333337</v>
      </c>
      <c r="K3" s="7">
        <v>0.52916666666666667</v>
      </c>
      <c r="L3" s="6">
        <v>0.33333333333333331</v>
      </c>
      <c r="M3" s="7">
        <v>0.34791666666666665</v>
      </c>
      <c r="N3" s="4" t="s">
        <v>78</v>
      </c>
      <c r="O3" s="4" t="s">
        <v>77</v>
      </c>
      <c r="P3" s="4">
        <v>801</v>
      </c>
      <c r="Q3" s="4">
        <v>686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M3" sqref="M3"/>
    </sheetView>
  </sheetViews>
  <sheetFormatPr defaultRowHeight="15" x14ac:dyDescent="0.25"/>
  <cols>
    <col min="2" max="2" width="17" customWidth="1"/>
    <col min="3" max="3" width="12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44625</v>
      </c>
      <c r="B2" s="4" t="s">
        <v>21</v>
      </c>
      <c r="C2" s="4" t="s">
        <v>22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0.49374999999999997</v>
      </c>
      <c r="L2" s="6">
        <v>0.35069444444444442</v>
      </c>
      <c r="M2" s="7">
        <v>0.35416666666666669</v>
      </c>
      <c r="N2" s="4" t="s">
        <v>81</v>
      </c>
      <c r="O2" s="4" t="s">
        <v>80</v>
      </c>
      <c r="P2" s="4">
        <v>979</v>
      </c>
      <c r="Q2" s="4">
        <v>761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44625</v>
      </c>
      <c r="B3" s="8" t="s">
        <v>21</v>
      </c>
      <c r="C3" s="8" t="s">
        <v>27</v>
      </c>
      <c r="D3" s="8" t="s">
        <v>23</v>
      </c>
      <c r="E3" s="4" t="s">
        <v>52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0.71527777777777779</v>
      </c>
      <c r="K3" s="11">
        <v>0.70277777777777783</v>
      </c>
      <c r="L3" s="10">
        <v>0.54166666666666663</v>
      </c>
      <c r="M3" s="12">
        <v>0.53680555555555554</v>
      </c>
      <c r="N3" s="4" t="s">
        <v>84</v>
      </c>
      <c r="O3" s="4" t="s">
        <v>82</v>
      </c>
      <c r="P3" s="13">
        <v>1097</v>
      </c>
      <c r="Q3" s="13">
        <v>918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44625</v>
      </c>
      <c r="B4" s="4" t="s">
        <v>21</v>
      </c>
      <c r="C4" s="4" t="s">
        <v>30</v>
      </c>
      <c r="D4" s="4" t="s">
        <v>23</v>
      </c>
      <c r="E4" s="4" t="s">
        <v>34</v>
      </c>
      <c r="F4" s="4" t="s">
        <v>24</v>
      </c>
      <c r="G4" s="5">
        <v>70000</v>
      </c>
      <c r="H4" s="4" t="s">
        <v>31</v>
      </c>
      <c r="I4" s="4" t="s">
        <v>32</v>
      </c>
      <c r="J4" s="6">
        <v>0.91666666666666663</v>
      </c>
      <c r="K4" s="7">
        <v>0.90902777777777777</v>
      </c>
      <c r="L4" s="6">
        <v>0.74305555555555547</v>
      </c>
      <c r="M4" s="7">
        <v>0.7402777777777777</v>
      </c>
      <c r="N4" s="4" t="s">
        <v>85</v>
      </c>
      <c r="O4" s="4" t="s">
        <v>83</v>
      </c>
      <c r="P4" s="4">
        <v>774</v>
      </c>
      <c r="Q4" s="4">
        <v>798</v>
      </c>
      <c r="R4" s="4">
        <v>0</v>
      </c>
      <c r="S4" s="4">
        <v>0</v>
      </c>
      <c r="T4" s="4">
        <v>0</v>
      </c>
      <c r="U4" s="4">
        <v>0</v>
      </c>
    </row>
    <row r="5" spans="1:21" s="16" customFormat="1" x14ac:dyDescent="0.25">
      <c r="A5" s="3"/>
      <c r="B5" s="4"/>
      <c r="C5" s="15"/>
      <c r="D5" s="4"/>
      <c r="E5" s="15"/>
      <c r="F5" s="15"/>
      <c r="G5" s="5"/>
      <c r="H5" s="15"/>
      <c r="I5" s="15"/>
      <c r="J5" s="17"/>
      <c r="K5" s="17"/>
      <c r="L5" s="17"/>
      <c r="M5" s="17"/>
      <c r="N5" s="15"/>
      <c r="O5" s="15"/>
      <c r="P5" s="15"/>
      <c r="Q5" s="15"/>
      <c r="R5" s="15"/>
      <c r="S5" s="15"/>
      <c r="T5" s="15"/>
      <c r="U5" s="15"/>
    </row>
    <row r="6" spans="1:21" s="16" customFormat="1" x14ac:dyDescent="0.25">
      <c r="A6" s="14"/>
      <c r="B6" s="4"/>
      <c r="C6" s="15"/>
      <c r="D6" s="4"/>
      <c r="E6" s="15"/>
      <c r="F6" s="15"/>
      <c r="G6" s="5"/>
      <c r="H6" s="15"/>
      <c r="I6" s="15"/>
      <c r="J6" s="15"/>
      <c r="K6" s="15"/>
      <c r="L6" s="17"/>
      <c r="M6" s="17"/>
      <c r="N6" s="15"/>
      <c r="O6" s="15"/>
      <c r="P6" s="15"/>
      <c r="Q6" s="15"/>
      <c r="R6" s="15"/>
      <c r="S6" s="15"/>
      <c r="T6" s="15"/>
      <c r="U6" s="15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N3" sqref="N3"/>
    </sheetView>
  </sheetViews>
  <sheetFormatPr defaultRowHeight="15" x14ac:dyDescent="0.25"/>
  <cols>
    <col min="1" max="1" width="9.140625" style="16"/>
    <col min="2" max="2" width="17.5703125" style="16" customWidth="1"/>
    <col min="3" max="3" width="15.42578125" style="16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44626</v>
      </c>
      <c r="B2" s="4" t="s">
        <v>21</v>
      </c>
      <c r="C2" s="4" t="s">
        <v>63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64</v>
      </c>
      <c r="I2" s="4" t="s">
        <v>65</v>
      </c>
      <c r="J2" s="6">
        <v>0.53125</v>
      </c>
      <c r="K2" s="7">
        <v>0.53611111111111109</v>
      </c>
      <c r="L2" s="6">
        <v>0.34722222222222227</v>
      </c>
      <c r="M2" s="7">
        <v>0.36319444444444443</v>
      </c>
      <c r="N2" s="4" t="s">
        <v>87</v>
      </c>
      <c r="O2" s="4" t="s">
        <v>86</v>
      </c>
      <c r="P2" s="4">
        <v>1173</v>
      </c>
      <c r="Q2" s="4">
        <v>553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44626</v>
      </c>
      <c r="B3" s="4" t="s">
        <v>21</v>
      </c>
      <c r="C3" s="4" t="s">
        <v>51</v>
      </c>
      <c r="D3" s="4" t="s">
        <v>23</v>
      </c>
      <c r="E3" s="4" t="s">
        <v>34</v>
      </c>
      <c r="F3" s="4" t="s">
        <v>24</v>
      </c>
      <c r="G3" s="5">
        <v>70000</v>
      </c>
      <c r="H3" s="4" t="s">
        <v>54</v>
      </c>
      <c r="I3" s="4" t="s">
        <v>53</v>
      </c>
      <c r="J3" s="6">
        <v>0.91666666666666663</v>
      </c>
      <c r="K3" s="7">
        <v>0.90833333333333333</v>
      </c>
      <c r="L3" s="6">
        <v>0.71180555555555547</v>
      </c>
      <c r="M3" s="7">
        <v>0.72083333333333333</v>
      </c>
      <c r="N3" s="4" t="s">
        <v>89</v>
      </c>
      <c r="O3" s="4" t="s">
        <v>88</v>
      </c>
      <c r="P3" s="4">
        <v>870</v>
      </c>
      <c r="Q3" s="4">
        <v>810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M6" sqref="M6"/>
    </sheetView>
  </sheetViews>
  <sheetFormatPr defaultRowHeight="15" x14ac:dyDescent="0.25"/>
  <cols>
    <col min="1" max="1" width="9.140625" style="16"/>
    <col min="2" max="2" width="10.28515625" style="16" customWidth="1"/>
    <col min="3" max="3" width="16.42578125" style="16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44627</v>
      </c>
      <c r="B2" s="4" t="s">
        <v>21</v>
      </c>
      <c r="C2" s="4" t="s">
        <v>48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0.78055555555555556</v>
      </c>
      <c r="L2" s="6">
        <v>0.31944444444444448</v>
      </c>
      <c r="M2" s="7">
        <v>0.3520833333333333</v>
      </c>
      <c r="N2" s="4" t="s">
        <v>92</v>
      </c>
      <c r="O2" s="4" t="s">
        <v>90</v>
      </c>
      <c r="P2" s="4">
        <v>808</v>
      </c>
      <c r="Q2" s="4">
        <v>792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44627</v>
      </c>
      <c r="B3" s="4" t="s">
        <v>21</v>
      </c>
      <c r="C3" s="4" t="s">
        <v>73</v>
      </c>
      <c r="D3" s="4" t="s">
        <v>23</v>
      </c>
      <c r="E3" s="4" t="s">
        <v>34</v>
      </c>
      <c r="F3" s="4" t="s">
        <v>24</v>
      </c>
      <c r="G3" s="5">
        <v>70000</v>
      </c>
      <c r="H3" s="4" t="s">
        <v>74</v>
      </c>
      <c r="I3" s="4" t="s">
        <v>75</v>
      </c>
      <c r="J3" s="6">
        <v>0.52083333333333337</v>
      </c>
      <c r="K3" s="7">
        <v>0.54513888888888895</v>
      </c>
      <c r="L3" s="6">
        <v>0.33333333333333331</v>
      </c>
      <c r="M3" s="7">
        <v>0.3666666666666667</v>
      </c>
      <c r="N3" s="4" t="s">
        <v>91</v>
      </c>
      <c r="O3" s="4" t="s">
        <v>36</v>
      </c>
      <c r="P3" s="4">
        <v>881</v>
      </c>
      <c r="Q3" s="4">
        <v>688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13" sqref="C13"/>
    </sheetView>
  </sheetViews>
  <sheetFormatPr defaultRowHeight="15" x14ac:dyDescent="0.25"/>
  <cols>
    <col min="2" max="2" width="13.28515625" customWidth="1"/>
    <col min="3" max="3" width="12.5703125" customWidth="1"/>
    <col min="4" max="4" width="7.28515625" customWidth="1"/>
    <col min="5" max="5" width="16.28515625" bestFit="1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44628</v>
      </c>
      <c r="B2" s="4" t="s">
        <v>21</v>
      </c>
      <c r="C2" s="4" t="s">
        <v>22</v>
      </c>
      <c r="D2" s="4" t="s">
        <v>23</v>
      </c>
      <c r="E2" s="4" t="s">
        <v>34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0.50069444444444444</v>
      </c>
      <c r="L2" s="6">
        <v>0.35069444444444442</v>
      </c>
      <c r="M2" s="7">
        <v>0.36458333333333331</v>
      </c>
      <c r="N2" s="4" t="s">
        <v>94</v>
      </c>
      <c r="O2" s="4" t="s">
        <v>93</v>
      </c>
      <c r="P2" s="4">
        <v>770</v>
      </c>
      <c r="Q2" s="4">
        <v>879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44628</v>
      </c>
      <c r="B3" s="8" t="s">
        <v>21</v>
      </c>
      <c r="C3" s="8" t="s">
        <v>27</v>
      </c>
      <c r="D3" s="8" t="s">
        <v>23</v>
      </c>
      <c r="E3" s="4" t="s">
        <v>95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0.71527777777777779</v>
      </c>
      <c r="K3" s="11">
        <v>0.72222222222222221</v>
      </c>
      <c r="L3" s="10">
        <v>0.54166666666666663</v>
      </c>
      <c r="M3" s="12">
        <v>0.54166666666666663</v>
      </c>
      <c r="N3" s="4" t="s">
        <v>97</v>
      </c>
      <c r="O3" s="4" t="s">
        <v>96</v>
      </c>
      <c r="P3" s="13">
        <v>665</v>
      </c>
      <c r="Q3" s="13">
        <v>797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44628</v>
      </c>
      <c r="B4" s="4" t="s">
        <v>21</v>
      </c>
      <c r="C4" s="4" t="s">
        <v>30</v>
      </c>
      <c r="D4" s="4" t="s">
        <v>23</v>
      </c>
      <c r="E4" s="4" t="s">
        <v>52</v>
      </c>
      <c r="F4" s="4" t="s">
        <v>24</v>
      </c>
      <c r="G4" s="5">
        <v>70000</v>
      </c>
      <c r="H4" s="4" t="s">
        <v>31</v>
      </c>
      <c r="I4" s="4" t="s">
        <v>32</v>
      </c>
      <c r="J4" s="6">
        <v>0.91666666666666663</v>
      </c>
      <c r="K4" s="7">
        <v>0.91875000000000007</v>
      </c>
      <c r="L4" s="6">
        <v>0.74305555555555547</v>
      </c>
      <c r="M4" s="7">
        <v>0.75486111111111109</v>
      </c>
      <c r="N4" s="4" t="s">
        <v>99</v>
      </c>
      <c r="O4" s="4" t="s">
        <v>98</v>
      </c>
      <c r="P4" s="4">
        <v>578</v>
      </c>
      <c r="Q4" s="4">
        <v>618</v>
      </c>
      <c r="R4" s="4">
        <v>0</v>
      </c>
      <c r="S4" s="4">
        <v>0</v>
      </c>
      <c r="T4" s="4">
        <v>0</v>
      </c>
      <c r="U4" s="4">
        <v>0</v>
      </c>
    </row>
    <row r="5" spans="1:21" s="16" customFormat="1" x14ac:dyDescent="0.25">
      <c r="A5" s="3"/>
      <c r="B5" s="4"/>
      <c r="C5" s="15"/>
      <c r="D5" s="4"/>
      <c r="E5" s="15"/>
      <c r="F5" s="15"/>
      <c r="G5" s="5"/>
      <c r="H5" s="15"/>
      <c r="I5" s="15"/>
      <c r="J5" s="17"/>
      <c r="K5" s="17"/>
      <c r="L5" s="17"/>
      <c r="M5" s="17"/>
      <c r="N5" s="15"/>
      <c r="O5" s="15"/>
      <c r="P5" s="15"/>
      <c r="Q5" s="15"/>
      <c r="R5" s="15"/>
      <c r="S5" s="15"/>
      <c r="T5" s="15"/>
      <c r="U5" s="15"/>
    </row>
    <row r="6" spans="1:21" s="16" customFormat="1" x14ac:dyDescent="0.25">
      <c r="A6" s="14"/>
      <c r="B6" s="4"/>
      <c r="C6" s="15"/>
      <c r="D6" s="4"/>
      <c r="E6" s="15"/>
      <c r="F6" s="15"/>
      <c r="G6" s="5"/>
      <c r="H6" s="15"/>
      <c r="I6" s="15"/>
      <c r="J6" s="15"/>
      <c r="K6" s="15"/>
      <c r="L6" s="17"/>
      <c r="M6" s="17"/>
      <c r="N6" s="15"/>
      <c r="O6" s="15"/>
      <c r="P6" s="15"/>
      <c r="Q6" s="15"/>
      <c r="R6" s="15"/>
      <c r="S6" s="15"/>
      <c r="T6" s="15"/>
      <c r="U6" s="15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C3" sqref="C3:U3"/>
    </sheetView>
  </sheetViews>
  <sheetFormatPr defaultRowHeight="15" x14ac:dyDescent="0.25"/>
  <cols>
    <col min="2" max="2" width="10.140625" customWidth="1"/>
    <col min="3" max="3" width="13.42578125" customWidth="1"/>
    <col min="4" max="4" width="8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44629</v>
      </c>
      <c r="B2" s="4" t="s">
        <v>21</v>
      </c>
      <c r="C2" s="4" t="s">
        <v>48</v>
      </c>
      <c r="D2" s="4" t="s">
        <v>23</v>
      </c>
      <c r="E2" s="4" t="s">
        <v>100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0.78888888888888886</v>
      </c>
      <c r="L2" s="6">
        <v>0.32291666666666669</v>
      </c>
      <c r="M2" s="7">
        <v>0.33749999999999997</v>
      </c>
      <c r="N2" s="4" t="s">
        <v>102</v>
      </c>
      <c r="O2" s="4" t="s">
        <v>101</v>
      </c>
      <c r="P2" s="4">
        <v>1095</v>
      </c>
      <c r="Q2" s="4">
        <v>767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44629</v>
      </c>
      <c r="B3" s="4" t="s">
        <v>21</v>
      </c>
      <c r="C3" s="15" t="s">
        <v>51</v>
      </c>
      <c r="D3" s="4" t="s">
        <v>23</v>
      </c>
      <c r="E3" s="15" t="s">
        <v>52</v>
      </c>
      <c r="F3" s="4" t="s">
        <v>24</v>
      </c>
      <c r="G3" s="5">
        <v>70000</v>
      </c>
      <c r="H3" s="15" t="s">
        <v>54</v>
      </c>
      <c r="I3" s="15" t="s">
        <v>53</v>
      </c>
      <c r="J3" s="19">
        <v>0.91666666666666663</v>
      </c>
      <c r="K3" s="17">
        <v>0.93055555555555547</v>
      </c>
      <c r="L3" s="19">
        <v>0.71180555555555547</v>
      </c>
      <c r="M3" s="17">
        <v>0.74097222222222225</v>
      </c>
      <c r="N3" s="15" t="s">
        <v>104</v>
      </c>
      <c r="O3" s="15" t="s">
        <v>103</v>
      </c>
      <c r="P3" s="15">
        <v>991</v>
      </c>
      <c r="Q3" s="15">
        <v>970</v>
      </c>
      <c r="R3" s="15">
        <v>0</v>
      </c>
      <c r="S3" s="15">
        <v>0</v>
      </c>
      <c r="T3" s="15">
        <v>0</v>
      </c>
      <c r="U3" s="1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J2" sqref="J2"/>
    </sheetView>
  </sheetViews>
  <sheetFormatPr defaultRowHeight="15" x14ac:dyDescent="0.25"/>
  <cols>
    <col min="2" max="2" width="10" customWidth="1"/>
    <col min="3" max="3" width="14.140625" customWidth="1"/>
    <col min="4" max="4" width="7.5703125" customWidth="1"/>
    <col min="6" max="6" width="11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44630</v>
      </c>
      <c r="B2" s="4" t="s">
        <v>21</v>
      </c>
      <c r="C2" s="4" t="s">
        <v>63</v>
      </c>
      <c r="D2" s="4" t="s">
        <v>23</v>
      </c>
      <c r="E2" s="4" t="s">
        <v>100</v>
      </c>
      <c r="F2" s="4" t="s">
        <v>24</v>
      </c>
      <c r="G2" s="5">
        <v>70000</v>
      </c>
      <c r="H2" s="4" t="s">
        <v>64</v>
      </c>
      <c r="I2" s="4" t="s">
        <v>65</v>
      </c>
      <c r="J2" s="6">
        <v>0.71180555555555547</v>
      </c>
      <c r="K2" s="7">
        <v>0.6972222222222223</v>
      </c>
      <c r="L2" s="6">
        <v>0.52777777777777779</v>
      </c>
      <c r="M2" s="7">
        <v>0.53125</v>
      </c>
      <c r="N2" s="4" t="s">
        <v>105</v>
      </c>
      <c r="O2" s="4" t="s">
        <v>91</v>
      </c>
      <c r="P2" s="4">
        <v>870</v>
      </c>
      <c r="Q2" s="4">
        <v>789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K4" sqref="K4"/>
    </sheetView>
  </sheetViews>
  <sheetFormatPr defaultRowHeight="15" x14ac:dyDescent="0.25"/>
  <cols>
    <col min="1" max="1" width="9.140625" style="16"/>
    <col min="2" max="2" width="12.5703125" style="16" customWidth="1"/>
    <col min="3" max="3" width="16.5703125" style="16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44631</v>
      </c>
      <c r="B2" s="4" t="s">
        <v>21</v>
      </c>
      <c r="C2" s="4" t="s">
        <v>48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0.7715277777777777</v>
      </c>
      <c r="L2" s="6">
        <v>0.31944444444444448</v>
      </c>
      <c r="M2" s="7">
        <v>0.34722222222222227</v>
      </c>
      <c r="N2" s="4" t="s">
        <v>97</v>
      </c>
      <c r="O2" s="4" t="s">
        <v>106</v>
      </c>
      <c r="P2" s="4">
        <v>712</v>
      </c>
      <c r="Q2" s="4">
        <v>705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44631</v>
      </c>
      <c r="B3" s="4" t="s">
        <v>21</v>
      </c>
      <c r="C3" s="4" t="s">
        <v>73</v>
      </c>
      <c r="D3" s="4" t="s">
        <v>23</v>
      </c>
      <c r="E3" s="4" t="s">
        <v>100</v>
      </c>
      <c r="F3" s="4" t="s">
        <v>24</v>
      </c>
      <c r="G3" s="5">
        <v>70000</v>
      </c>
      <c r="H3" s="4" t="s">
        <v>74</v>
      </c>
      <c r="I3" s="4" t="s">
        <v>75</v>
      </c>
      <c r="J3" s="6">
        <v>0.52083333333333337</v>
      </c>
      <c r="K3" s="7">
        <v>0.52569444444444446</v>
      </c>
      <c r="L3" s="6">
        <v>0.33333333333333331</v>
      </c>
      <c r="M3" s="7">
        <v>0.35138888888888892</v>
      </c>
      <c r="N3" s="4" t="s">
        <v>107</v>
      </c>
      <c r="O3" s="4" t="s">
        <v>91</v>
      </c>
      <c r="P3" s="4">
        <v>664</v>
      </c>
      <c r="Q3" s="4">
        <v>833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3" sqref="C3:M3"/>
    </sheetView>
  </sheetViews>
  <sheetFormatPr defaultRowHeight="15" x14ac:dyDescent="0.25"/>
  <cols>
    <col min="1" max="1" width="10.28515625" customWidth="1"/>
    <col min="2" max="2" width="17" customWidth="1"/>
    <col min="3" max="3" width="12.57031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44632</v>
      </c>
      <c r="B2" s="4" t="s">
        <v>21</v>
      </c>
      <c r="C2" s="4" t="s">
        <v>22</v>
      </c>
      <c r="D2" s="4" t="s">
        <v>23</v>
      </c>
      <c r="E2" s="4" t="s">
        <v>100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0.49583333333333335</v>
      </c>
      <c r="L2" s="6">
        <v>0.35069444444444442</v>
      </c>
      <c r="M2" s="7">
        <v>0.35625000000000001</v>
      </c>
      <c r="N2" s="4" t="s">
        <v>109</v>
      </c>
      <c r="O2" s="4" t="s">
        <v>108</v>
      </c>
      <c r="P2" s="4">
        <v>960</v>
      </c>
      <c r="Q2" s="4">
        <v>819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44632</v>
      </c>
      <c r="B3" s="8" t="s">
        <v>21</v>
      </c>
      <c r="C3" s="8" t="s">
        <v>27</v>
      </c>
      <c r="D3" s="8" t="s">
        <v>23</v>
      </c>
      <c r="E3" s="4" t="str">
        <f>E2</f>
        <v>HA-LWV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0.71527777777777779</v>
      </c>
      <c r="K3" s="11">
        <v>0.70347222222222217</v>
      </c>
      <c r="L3" s="10">
        <v>0.54166666666666663</v>
      </c>
      <c r="M3" s="12">
        <v>0.53402777777777777</v>
      </c>
      <c r="N3" s="4" t="s">
        <v>111</v>
      </c>
      <c r="O3" s="4" t="s">
        <v>110</v>
      </c>
      <c r="P3" s="13">
        <v>1002</v>
      </c>
      <c r="Q3" s="13">
        <v>995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44632</v>
      </c>
      <c r="B4" s="4" t="s">
        <v>21</v>
      </c>
      <c r="C4" s="4" t="s">
        <v>30</v>
      </c>
      <c r="D4" s="4" t="s">
        <v>23</v>
      </c>
      <c r="E4" s="4" t="str">
        <f>E3</f>
        <v>HA-LWV</v>
      </c>
      <c r="F4" s="4" t="s">
        <v>24</v>
      </c>
      <c r="G4" s="5">
        <v>70000</v>
      </c>
      <c r="H4" s="4" t="s">
        <v>31</v>
      </c>
      <c r="I4" s="4" t="s">
        <v>32</v>
      </c>
      <c r="J4" s="6">
        <v>0.91666666666666663</v>
      </c>
      <c r="K4" s="7">
        <v>0.93055555555555547</v>
      </c>
      <c r="L4" s="6">
        <v>0.74305555555555547</v>
      </c>
      <c r="M4" s="7">
        <v>0.77361111111111114</v>
      </c>
      <c r="N4" s="4" t="s">
        <v>113</v>
      </c>
      <c r="O4" s="4" t="s">
        <v>112</v>
      </c>
      <c r="P4" s="4">
        <v>871</v>
      </c>
      <c r="Q4" s="4">
        <v>820</v>
      </c>
      <c r="R4" s="4">
        <v>0</v>
      </c>
      <c r="S4" s="4">
        <v>0</v>
      </c>
      <c r="T4" s="4">
        <v>0</v>
      </c>
      <c r="U4" s="4">
        <v>0</v>
      </c>
    </row>
    <row r="5" spans="1:21" s="16" customFormat="1" x14ac:dyDescent="0.25">
      <c r="A5" s="3"/>
      <c r="B5" s="4"/>
      <c r="C5" s="15"/>
      <c r="D5" s="4"/>
      <c r="E5" s="15"/>
      <c r="F5" s="15"/>
      <c r="G5" s="5"/>
      <c r="H5" s="15"/>
      <c r="I5" s="15"/>
      <c r="J5" s="17"/>
      <c r="K5" s="17"/>
      <c r="L5" s="17"/>
      <c r="M5" s="17"/>
      <c r="N5" s="15"/>
      <c r="O5" s="15"/>
      <c r="P5" s="15"/>
      <c r="Q5" s="15"/>
      <c r="R5" s="15"/>
      <c r="S5" s="15"/>
      <c r="T5" s="15"/>
      <c r="U5" s="15"/>
    </row>
    <row r="6" spans="1:21" s="16" customFormat="1" x14ac:dyDescent="0.25">
      <c r="A6" s="14"/>
      <c r="B6" s="4"/>
      <c r="C6" s="15"/>
      <c r="D6" s="4"/>
      <c r="E6" s="15"/>
      <c r="F6" s="15"/>
      <c r="G6" s="5"/>
      <c r="H6" s="15"/>
      <c r="I6" s="15"/>
      <c r="J6" s="15"/>
      <c r="K6" s="15"/>
      <c r="L6" s="17"/>
      <c r="M6" s="17"/>
      <c r="N6" s="15"/>
      <c r="O6" s="15"/>
      <c r="P6" s="15"/>
      <c r="Q6" s="15"/>
      <c r="R6" s="15"/>
      <c r="S6" s="15"/>
      <c r="T6" s="15"/>
      <c r="U6" s="15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E22" sqref="E22"/>
    </sheetView>
  </sheetViews>
  <sheetFormatPr defaultRowHeight="15" x14ac:dyDescent="0.25"/>
  <cols>
    <col min="1" max="1" width="9.140625" style="16"/>
    <col min="2" max="2" width="17.5703125" style="16" customWidth="1"/>
    <col min="3" max="3" width="15.42578125" style="16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44633</v>
      </c>
      <c r="B2" s="4" t="s">
        <v>21</v>
      </c>
      <c r="C2" s="4" t="s">
        <v>63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64</v>
      </c>
      <c r="I2" s="4" t="s">
        <v>65</v>
      </c>
      <c r="J2" s="6">
        <v>0.53125</v>
      </c>
      <c r="K2" s="7">
        <v>0.53125</v>
      </c>
      <c r="L2" s="6">
        <v>0.34722222222222227</v>
      </c>
      <c r="M2" s="7">
        <v>0.36527777777777781</v>
      </c>
      <c r="N2" s="4" t="s">
        <v>115</v>
      </c>
      <c r="O2" s="4" t="s">
        <v>114</v>
      </c>
      <c r="P2" s="4">
        <v>914</v>
      </c>
      <c r="Q2" s="4">
        <v>887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44633</v>
      </c>
      <c r="B3" s="4" t="s">
        <v>21</v>
      </c>
      <c r="C3" s="4" t="s">
        <v>51</v>
      </c>
      <c r="D3" s="4" t="s">
        <v>23</v>
      </c>
      <c r="E3" s="4" t="s">
        <v>100</v>
      </c>
      <c r="F3" s="4" t="s">
        <v>24</v>
      </c>
      <c r="G3" s="5">
        <v>70000</v>
      </c>
      <c r="H3" s="4" t="s">
        <v>54</v>
      </c>
      <c r="I3" s="4" t="s">
        <v>53</v>
      </c>
      <c r="J3" s="6">
        <v>0.91666666666666663</v>
      </c>
      <c r="K3" s="7">
        <v>0.90277777777777779</v>
      </c>
      <c r="L3" s="6">
        <v>0.71180555555555547</v>
      </c>
      <c r="M3" s="7">
        <v>0.71250000000000002</v>
      </c>
      <c r="N3" s="4" t="s">
        <v>47</v>
      </c>
      <c r="O3" s="4" t="s">
        <v>36</v>
      </c>
      <c r="P3" s="4">
        <v>620</v>
      </c>
      <c r="Q3" s="4">
        <v>1133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E28" sqref="E28"/>
    </sheetView>
  </sheetViews>
  <sheetFormatPr defaultRowHeight="15" x14ac:dyDescent="0.25"/>
  <cols>
    <col min="1" max="1" width="9.140625" style="16"/>
    <col min="2" max="2" width="10.28515625" style="16" customWidth="1"/>
    <col min="3" max="3" width="23.5703125" style="16" bestFit="1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44634</v>
      </c>
      <c r="B2" s="4" t="s">
        <v>21</v>
      </c>
      <c r="C2" s="4" t="s">
        <v>48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0.76597222222222217</v>
      </c>
      <c r="L2" s="6">
        <v>0.31944444444444448</v>
      </c>
      <c r="M2" s="7">
        <v>0.33749999999999997</v>
      </c>
      <c r="N2" s="4" t="s">
        <v>120</v>
      </c>
      <c r="O2" s="4" t="s">
        <v>117</v>
      </c>
      <c r="P2" s="4">
        <v>954</v>
      </c>
      <c r="Q2" s="4">
        <v>784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44634</v>
      </c>
      <c r="B3" s="4" t="s">
        <v>21</v>
      </c>
      <c r="C3" s="4" t="s">
        <v>118</v>
      </c>
      <c r="D3" s="4" t="s">
        <v>23</v>
      </c>
      <c r="E3" s="4" t="s">
        <v>100</v>
      </c>
      <c r="F3" s="4" t="s">
        <v>24</v>
      </c>
      <c r="G3" s="5">
        <v>70000</v>
      </c>
      <c r="H3" s="4" t="s">
        <v>74</v>
      </c>
      <c r="I3" s="4" t="s">
        <v>75</v>
      </c>
      <c r="J3" s="6">
        <v>0.52083333333333337</v>
      </c>
      <c r="K3" s="7">
        <v>0.61319444444444449</v>
      </c>
      <c r="L3" s="6">
        <v>0.33333333333333331</v>
      </c>
      <c r="M3" s="7">
        <v>0.34930555555555554</v>
      </c>
      <c r="N3" s="4" t="s">
        <v>119</v>
      </c>
      <c r="O3" s="4" t="s">
        <v>116</v>
      </c>
      <c r="P3" s="4">
        <v>927</v>
      </c>
      <c r="Q3" s="4">
        <v>650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E17" sqref="E17"/>
    </sheetView>
  </sheetViews>
  <sheetFormatPr defaultRowHeight="15" x14ac:dyDescent="0.25"/>
  <cols>
    <col min="3" max="3" width="13.42578125" customWidth="1"/>
    <col min="6" max="6" width="12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44635</v>
      </c>
      <c r="B2" s="4" t="s">
        <v>21</v>
      </c>
      <c r="C2" s="4" t="s">
        <v>22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0.4826388888888889</v>
      </c>
      <c r="L2" s="6">
        <v>0.35069444444444442</v>
      </c>
      <c r="M2" s="7">
        <v>0.34791666666666665</v>
      </c>
      <c r="N2" s="4" t="s">
        <v>122</v>
      </c>
      <c r="O2" s="4" t="s">
        <v>121</v>
      </c>
      <c r="P2" s="4">
        <v>821</v>
      </c>
      <c r="Q2" s="4">
        <v>751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44635</v>
      </c>
      <c r="B3" s="8" t="s">
        <v>21</v>
      </c>
      <c r="C3" s="8" t="s">
        <v>27</v>
      </c>
      <c r="D3" s="8" t="s">
        <v>23</v>
      </c>
      <c r="E3" s="4" t="s">
        <v>52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0.71527777777777779</v>
      </c>
      <c r="K3" s="11">
        <v>0.70763888888888893</v>
      </c>
      <c r="L3" s="10">
        <v>0.54166666666666663</v>
      </c>
      <c r="M3" s="12">
        <v>0.53611111111111109</v>
      </c>
      <c r="N3" s="4" t="s">
        <v>124</v>
      </c>
      <c r="O3" s="4" t="s">
        <v>123</v>
      </c>
      <c r="P3" s="13">
        <v>612</v>
      </c>
      <c r="Q3" s="13">
        <v>959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44635</v>
      </c>
      <c r="B4" s="4" t="s">
        <v>21</v>
      </c>
      <c r="C4" s="4" t="s">
        <v>30</v>
      </c>
      <c r="D4" s="4" t="s">
        <v>23</v>
      </c>
      <c r="E4" s="4" t="s">
        <v>100</v>
      </c>
      <c r="F4" s="4" t="s">
        <v>24</v>
      </c>
      <c r="G4" s="5">
        <v>70000</v>
      </c>
      <c r="H4" s="4" t="s">
        <v>31</v>
      </c>
      <c r="I4" s="4" t="s">
        <v>32</v>
      </c>
      <c r="J4" s="6">
        <v>0.91666666666666663</v>
      </c>
      <c r="K4" s="7">
        <v>0.91319444444444453</v>
      </c>
      <c r="L4" s="6">
        <v>0.74305555555555547</v>
      </c>
      <c r="M4" s="7">
        <v>0.74513888888888891</v>
      </c>
      <c r="N4" s="4" t="s">
        <v>126</v>
      </c>
      <c r="O4" s="4" t="s">
        <v>125</v>
      </c>
      <c r="P4" s="4">
        <v>480</v>
      </c>
      <c r="Q4" s="4">
        <v>817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/>
      <c r="B5" s="4"/>
      <c r="C5" s="15"/>
      <c r="D5" s="4"/>
      <c r="E5" s="15"/>
      <c r="F5" s="15"/>
      <c r="G5" s="5"/>
      <c r="H5" s="15"/>
      <c r="I5" s="15"/>
      <c r="J5" s="17"/>
      <c r="K5" s="17"/>
      <c r="L5" s="17"/>
      <c r="M5" s="17"/>
      <c r="N5" s="15"/>
      <c r="O5" s="15"/>
      <c r="P5" s="15"/>
      <c r="Q5" s="15"/>
      <c r="R5" s="15"/>
      <c r="S5" s="15"/>
      <c r="T5" s="15"/>
      <c r="U5" s="1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20" sqref="F20"/>
    </sheetView>
  </sheetViews>
  <sheetFormatPr defaultRowHeight="15" x14ac:dyDescent="0.25"/>
  <cols>
    <col min="3" max="3" width="13" customWidth="1"/>
    <col min="4" max="4" width="7.7109375" customWidth="1"/>
    <col min="5" max="5" width="15.28515625" customWidth="1"/>
    <col min="6" max="6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0">
        <v>44636</v>
      </c>
      <c r="B2" s="4" t="s">
        <v>21</v>
      </c>
      <c r="C2" s="4" t="s">
        <v>48</v>
      </c>
      <c r="D2" s="4" t="s">
        <v>23</v>
      </c>
      <c r="E2" s="4" t="s">
        <v>130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0.78263888888888899</v>
      </c>
      <c r="L2" s="6">
        <v>0.32291666666666669</v>
      </c>
      <c r="M2" s="7">
        <v>0.31944444444444448</v>
      </c>
      <c r="N2" s="4" t="s">
        <v>133</v>
      </c>
      <c r="O2" s="4" t="s">
        <v>131</v>
      </c>
      <c r="P2" s="4">
        <v>820</v>
      </c>
      <c r="Q2" s="4">
        <v>672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0">
        <v>44636</v>
      </c>
      <c r="B3" s="4" t="s">
        <v>21</v>
      </c>
      <c r="C3" s="4" t="s">
        <v>127</v>
      </c>
      <c r="D3" s="4" t="s">
        <v>23</v>
      </c>
      <c r="E3" s="4" t="s">
        <v>100</v>
      </c>
      <c r="F3" s="4" t="s">
        <v>24</v>
      </c>
      <c r="G3" s="5">
        <v>70000</v>
      </c>
      <c r="H3" s="4" t="s">
        <v>128</v>
      </c>
      <c r="I3" s="4" t="s">
        <v>129</v>
      </c>
      <c r="J3" s="6">
        <v>0.69097222222222221</v>
      </c>
      <c r="K3" s="7">
        <v>0.68611111111111101</v>
      </c>
      <c r="L3" s="6">
        <v>0.57291666666666663</v>
      </c>
      <c r="M3" s="7">
        <v>0.57500000000000007</v>
      </c>
      <c r="N3" s="4" t="s">
        <v>134</v>
      </c>
      <c r="O3" s="4" t="s">
        <v>132</v>
      </c>
      <c r="P3" s="4">
        <v>567</v>
      </c>
      <c r="Q3" s="4">
        <v>350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20">
        <v>44636</v>
      </c>
      <c r="B4" s="4" t="s">
        <v>21</v>
      </c>
      <c r="C4" s="15" t="s">
        <v>51</v>
      </c>
      <c r="D4" s="4" t="s">
        <v>23</v>
      </c>
      <c r="E4" s="15" t="s">
        <v>100</v>
      </c>
      <c r="F4" s="4" t="s">
        <v>24</v>
      </c>
      <c r="G4" s="5">
        <v>70000</v>
      </c>
      <c r="H4" s="15" t="s">
        <v>54</v>
      </c>
      <c r="I4" s="15" t="s">
        <v>53</v>
      </c>
      <c r="J4" s="19">
        <v>0.91666666666666663</v>
      </c>
      <c r="K4" s="17">
        <v>0.93541666666666667</v>
      </c>
      <c r="L4" s="19">
        <v>0.71180555555555547</v>
      </c>
      <c r="M4" s="17">
        <v>0.72083333333333333</v>
      </c>
      <c r="N4" s="15" t="s">
        <v>136</v>
      </c>
      <c r="O4" s="15" t="s">
        <v>135</v>
      </c>
      <c r="P4" s="15">
        <v>868</v>
      </c>
      <c r="Q4" s="15">
        <v>760</v>
      </c>
      <c r="R4" s="15">
        <v>0</v>
      </c>
      <c r="S4" s="15">
        <v>0</v>
      </c>
      <c r="T4" s="15">
        <v>0</v>
      </c>
      <c r="U4" s="15">
        <v>0</v>
      </c>
    </row>
    <row r="5" spans="1:2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workbookViewId="0">
      <selection activeCell="K3" sqref="K3"/>
    </sheetView>
  </sheetViews>
  <sheetFormatPr defaultRowHeight="15" x14ac:dyDescent="0.25"/>
  <cols>
    <col min="2" max="2" width="10" customWidth="1"/>
    <col min="3" max="3" width="14.140625" customWidth="1"/>
    <col min="4" max="4" width="7.5703125" customWidth="1"/>
    <col min="6" max="6" width="11.28515625" customWidth="1"/>
    <col min="15" max="15" width="10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44637</v>
      </c>
      <c r="B2" s="4" t="s">
        <v>21</v>
      </c>
      <c r="C2" s="4" t="s">
        <v>63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64</v>
      </c>
      <c r="I2" s="4" t="s">
        <v>65</v>
      </c>
      <c r="J2" s="6">
        <v>0.71180555555555547</v>
      </c>
      <c r="K2" s="7">
        <v>0.70138888888888884</v>
      </c>
      <c r="L2" s="6">
        <v>0.52777777777777779</v>
      </c>
      <c r="M2" s="7">
        <f>L2</f>
        <v>0.52777777777777779</v>
      </c>
      <c r="N2" s="4" t="s">
        <v>139</v>
      </c>
      <c r="O2" s="4" t="s">
        <v>138</v>
      </c>
      <c r="P2" s="4">
        <v>777</v>
      </c>
      <c r="Q2" s="4">
        <v>632</v>
      </c>
      <c r="R2" s="4">
        <v>0</v>
      </c>
      <c r="S2" s="4">
        <v>0</v>
      </c>
      <c r="T2" s="4">
        <v>0</v>
      </c>
      <c r="U2" s="4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F4" sqref="F4"/>
    </sheetView>
  </sheetViews>
  <sheetFormatPr defaultRowHeight="15.75" customHeight="1" x14ac:dyDescent="0.2"/>
  <cols>
    <col min="1" max="1" width="9.140625" style="15"/>
    <col min="2" max="2" width="12.5703125" style="15" customWidth="1"/>
    <col min="3" max="3" width="16.5703125" style="15" customWidth="1"/>
    <col min="4" max="4" width="7.28515625" style="15" customWidth="1"/>
    <col min="5" max="5" width="9.140625" style="15"/>
    <col min="6" max="6" width="13.140625" style="15" bestFit="1" customWidth="1"/>
    <col min="7" max="16384" width="9.140625" style="15"/>
  </cols>
  <sheetData>
    <row r="1" spans="1:2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75" customHeight="1" x14ac:dyDescent="0.2">
      <c r="A2" s="14">
        <v>44638</v>
      </c>
      <c r="B2" s="4" t="s">
        <v>21</v>
      </c>
      <c r="C2" s="4" t="s">
        <v>48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0.77083333333333337</v>
      </c>
      <c r="L2" s="6">
        <v>0.31944444444444448</v>
      </c>
      <c r="M2" s="7">
        <v>0.32500000000000001</v>
      </c>
      <c r="N2" s="4" t="s">
        <v>149</v>
      </c>
      <c r="O2" s="4" t="s">
        <v>140</v>
      </c>
      <c r="P2" s="4">
        <v>698</v>
      </c>
      <c r="Q2" s="4">
        <v>786</v>
      </c>
      <c r="R2" s="4">
        <v>0</v>
      </c>
      <c r="S2" s="4">
        <v>0</v>
      </c>
      <c r="T2" s="4">
        <v>0</v>
      </c>
      <c r="U2" s="4">
        <v>0</v>
      </c>
    </row>
    <row r="3" spans="1:21" ht="15.75" customHeight="1" x14ac:dyDescent="0.2">
      <c r="A3" s="14">
        <v>44638</v>
      </c>
      <c r="B3" s="4" t="s">
        <v>21</v>
      </c>
      <c r="C3" s="4" t="s">
        <v>73</v>
      </c>
      <c r="D3" s="4" t="s">
        <v>23</v>
      </c>
      <c r="E3" s="4" t="s">
        <v>100</v>
      </c>
      <c r="F3" s="4" t="s">
        <v>24</v>
      </c>
      <c r="G3" s="5">
        <v>70000</v>
      </c>
      <c r="H3" s="4" t="s">
        <v>74</v>
      </c>
      <c r="I3" s="4" t="s">
        <v>75</v>
      </c>
      <c r="J3" s="6">
        <v>0.52083333333333337</v>
      </c>
      <c r="K3" s="7">
        <v>0.53611111111111109</v>
      </c>
      <c r="L3" s="6">
        <v>0.33333333333333331</v>
      </c>
      <c r="M3" s="7">
        <v>0.33958333333333335</v>
      </c>
      <c r="N3" s="4" t="s">
        <v>147</v>
      </c>
      <c r="O3" s="4" t="s">
        <v>141</v>
      </c>
      <c r="P3" s="4">
        <v>929</v>
      </c>
      <c r="Q3" s="4">
        <v>832</v>
      </c>
      <c r="R3" s="4">
        <v>0</v>
      </c>
      <c r="S3" s="4">
        <v>0</v>
      </c>
      <c r="T3" s="4">
        <v>0</v>
      </c>
      <c r="U3" s="4">
        <v>0</v>
      </c>
    </row>
    <row r="4" spans="1:21" s="4" customFormat="1" ht="15.75" customHeight="1" x14ac:dyDescent="0.25">
      <c r="A4" s="20">
        <f>A3</f>
        <v>44638</v>
      </c>
      <c r="B4" s="4" t="s">
        <v>146</v>
      </c>
      <c r="C4" s="4" t="s">
        <v>145</v>
      </c>
      <c r="D4" s="4" t="s">
        <v>142</v>
      </c>
      <c r="E4" s="4" t="s">
        <v>143</v>
      </c>
      <c r="F4" s="4" t="s">
        <v>144</v>
      </c>
      <c r="G4" s="4">
        <v>1620</v>
      </c>
      <c r="H4" s="4" t="str">
        <f>E4</f>
        <v>OK-CZE</v>
      </c>
      <c r="I4" s="4" t="str">
        <f>E4</f>
        <v>OK-CZE</v>
      </c>
      <c r="J4" s="6">
        <v>0.375</v>
      </c>
      <c r="K4" s="7">
        <v>0.3979166666666667</v>
      </c>
      <c r="L4" s="6">
        <v>0.625</v>
      </c>
      <c r="M4" s="4" t="s">
        <v>148</v>
      </c>
      <c r="N4" s="4">
        <v>2</v>
      </c>
      <c r="O4" s="4">
        <v>2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F17" sqref="F17"/>
    </sheetView>
  </sheetViews>
  <sheetFormatPr defaultRowHeight="15" x14ac:dyDescent="0.25"/>
  <cols>
    <col min="3" max="3" width="13" customWidth="1"/>
    <col min="4" max="4" width="8" customWidth="1"/>
    <col min="6" max="6" width="12.28515625" customWidth="1"/>
    <col min="15" max="15" width="9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44639</v>
      </c>
      <c r="B2" s="4" t="s">
        <v>21</v>
      </c>
      <c r="C2" s="4" t="s">
        <v>22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0.48541666666666666</v>
      </c>
      <c r="L2" s="6">
        <v>0.35069444444444442</v>
      </c>
      <c r="M2" s="7">
        <v>0.35000000000000003</v>
      </c>
      <c r="N2" s="4" t="s">
        <v>150</v>
      </c>
      <c r="O2" s="4" t="s">
        <v>79</v>
      </c>
      <c r="P2" s="4">
        <v>1237</v>
      </c>
      <c r="Q2" s="4">
        <v>1000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44639</v>
      </c>
      <c r="B3" s="8" t="s">
        <v>21</v>
      </c>
      <c r="C3" s="8" t="s">
        <v>27</v>
      </c>
      <c r="D3" s="8" t="s">
        <v>23</v>
      </c>
      <c r="E3" s="4" t="s">
        <v>137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0.71527777777777779</v>
      </c>
      <c r="K3" s="11">
        <v>0.71458333333333324</v>
      </c>
      <c r="L3" s="10">
        <v>0.54166666666666663</v>
      </c>
      <c r="M3" s="12">
        <v>0.53888888888888886</v>
      </c>
      <c r="N3" s="4" t="s">
        <v>151</v>
      </c>
      <c r="O3" s="4" t="s">
        <v>89</v>
      </c>
      <c r="P3" s="13">
        <v>976</v>
      </c>
      <c r="Q3" s="13">
        <v>805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44639</v>
      </c>
      <c r="B4" s="4" t="s">
        <v>21</v>
      </c>
      <c r="C4" s="4" t="s">
        <v>30</v>
      </c>
      <c r="D4" s="4" t="s">
        <v>23</v>
      </c>
      <c r="E4" s="4" t="s">
        <v>137</v>
      </c>
      <c r="F4" s="4" t="s">
        <v>24</v>
      </c>
      <c r="G4" s="5">
        <v>70000</v>
      </c>
      <c r="H4" s="4" t="s">
        <v>31</v>
      </c>
      <c r="I4" s="4" t="s">
        <v>32</v>
      </c>
      <c r="J4" s="6">
        <v>0.91666666666666663</v>
      </c>
      <c r="K4" s="7">
        <v>0.9159722222222223</v>
      </c>
      <c r="L4" s="6">
        <v>0.74305555555555547</v>
      </c>
      <c r="M4" s="7">
        <v>0.75138888888888899</v>
      </c>
      <c r="N4" s="4" t="s">
        <v>152</v>
      </c>
      <c r="O4" s="4" t="s">
        <v>133</v>
      </c>
      <c r="P4" s="4">
        <v>949</v>
      </c>
      <c r="Q4" s="4">
        <v>763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/>
      <c r="B5" s="4"/>
      <c r="C5" s="15"/>
      <c r="D5" s="4"/>
      <c r="E5" s="15"/>
      <c r="F5" s="15"/>
      <c r="G5" s="5"/>
      <c r="H5" s="15"/>
      <c r="I5" s="15"/>
      <c r="J5" s="17"/>
      <c r="K5" s="17"/>
      <c r="L5" s="17"/>
      <c r="M5" s="17"/>
      <c r="N5" s="15"/>
      <c r="O5" s="15"/>
      <c r="P5" s="15"/>
      <c r="Q5" s="15"/>
      <c r="R5" s="15"/>
      <c r="S5" s="15"/>
      <c r="T5" s="15"/>
      <c r="U5" s="15"/>
    </row>
    <row r="6" spans="1:21" x14ac:dyDescent="0.25">
      <c r="A6" s="14"/>
      <c r="B6" s="4"/>
      <c r="C6" s="15"/>
      <c r="D6" s="4"/>
      <c r="E6" s="15"/>
      <c r="F6" s="15"/>
      <c r="G6" s="5"/>
      <c r="H6" s="15"/>
      <c r="I6" s="15"/>
      <c r="J6" s="15"/>
      <c r="K6" s="15"/>
      <c r="L6" s="17"/>
      <c r="M6" s="17"/>
      <c r="N6" s="15"/>
      <c r="O6" s="15"/>
      <c r="P6" s="15"/>
      <c r="Q6" s="15"/>
      <c r="R6" s="15"/>
      <c r="S6" s="15"/>
      <c r="T6" s="15"/>
      <c r="U6" s="15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E12" sqref="E12"/>
    </sheetView>
  </sheetViews>
  <sheetFormatPr defaultRowHeight="15" x14ac:dyDescent="0.25"/>
  <cols>
    <col min="1" max="1" width="10.140625" customWidth="1"/>
    <col min="2" max="2" width="20" customWidth="1"/>
    <col min="3" max="3" width="16.85546875" customWidth="1"/>
    <col min="4" max="4" width="7.5703125" customWidth="1"/>
    <col min="6" max="6" width="13" customWidth="1"/>
    <col min="7" max="7" width="9.28515625" bestFit="1" customWidth="1"/>
    <col min="10" max="10" width="9.28515625" bestFit="1" customWidth="1"/>
    <col min="12" max="13" width="9.28515625" bestFit="1" customWidth="1"/>
    <col min="17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0">
        <v>44640</v>
      </c>
      <c r="B2" s="4" t="s">
        <v>21</v>
      </c>
      <c r="C2" s="4" t="s">
        <v>63</v>
      </c>
      <c r="D2" s="4" t="s">
        <v>23</v>
      </c>
      <c r="E2" s="4" t="s">
        <v>100</v>
      </c>
      <c r="F2" s="4" t="s">
        <v>24</v>
      </c>
      <c r="G2" s="5">
        <v>70000</v>
      </c>
      <c r="H2" s="4" t="s">
        <v>64</v>
      </c>
      <c r="I2" s="4" t="s">
        <v>65</v>
      </c>
      <c r="J2" s="6">
        <v>0.53125</v>
      </c>
      <c r="K2" s="7">
        <v>0.53055555555555556</v>
      </c>
      <c r="L2" s="6">
        <v>0.34722222222222227</v>
      </c>
      <c r="M2" s="7">
        <v>0.34513888888888888</v>
      </c>
      <c r="N2" s="4" t="s">
        <v>150</v>
      </c>
      <c r="O2" s="4" t="s">
        <v>153</v>
      </c>
      <c r="P2" s="4">
        <v>1008</v>
      </c>
      <c r="Q2" s="4">
        <v>876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0">
        <v>44640</v>
      </c>
      <c r="B3" s="4" t="s">
        <v>21</v>
      </c>
      <c r="C3" s="4" t="s">
        <v>127</v>
      </c>
      <c r="D3" s="4" t="s">
        <v>23</v>
      </c>
      <c r="E3" s="4" t="s">
        <v>100</v>
      </c>
      <c r="F3" s="4" t="s">
        <v>24</v>
      </c>
      <c r="G3" s="5">
        <v>70000</v>
      </c>
      <c r="H3" s="4" t="s">
        <v>128</v>
      </c>
      <c r="I3" s="4" t="s">
        <v>129</v>
      </c>
      <c r="J3" s="6">
        <v>0.69097222222222221</v>
      </c>
      <c r="K3" s="7">
        <v>0.68194444444444446</v>
      </c>
      <c r="L3" s="6">
        <v>0.57291666666666663</v>
      </c>
      <c r="M3" s="7">
        <v>0.5708333333333333</v>
      </c>
      <c r="N3" s="4" t="s">
        <v>160</v>
      </c>
      <c r="O3" s="4" t="s">
        <v>158</v>
      </c>
      <c r="P3" s="4">
        <v>441</v>
      </c>
      <c r="Q3" s="4">
        <v>575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20">
        <v>44640</v>
      </c>
      <c r="B4" s="4" t="s">
        <v>21</v>
      </c>
      <c r="C4" s="4" t="s">
        <v>51</v>
      </c>
      <c r="D4" s="4" t="s">
        <v>23</v>
      </c>
      <c r="E4" s="4" t="s">
        <v>137</v>
      </c>
      <c r="F4" s="4" t="s">
        <v>24</v>
      </c>
      <c r="G4" s="5">
        <v>70000</v>
      </c>
      <c r="H4" s="4" t="s">
        <v>54</v>
      </c>
      <c r="I4" s="4" t="s">
        <v>53</v>
      </c>
      <c r="J4" s="6">
        <v>0.91666666666666663</v>
      </c>
      <c r="K4" s="7">
        <v>0.9159722222222223</v>
      </c>
      <c r="L4" s="6">
        <v>0.71180555555555547</v>
      </c>
      <c r="M4" s="7">
        <v>0.7104166666666667</v>
      </c>
      <c r="N4" s="4" t="s">
        <v>162</v>
      </c>
      <c r="O4" s="4" t="s">
        <v>161</v>
      </c>
      <c r="P4" s="4">
        <v>819</v>
      </c>
      <c r="Q4" s="4">
        <v>1029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20">
        <v>44640</v>
      </c>
      <c r="B5" s="4" t="s">
        <v>154</v>
      </c>
      <c r="C5" s="4" t="s">
        <v>155</v>
      </c>
      <c r="D5" s="4" t="s">
        <v>156</v>
      </c>
      <c r="E5" s="4" t="s">
        <v>157</v>
      </c>
      <c r="F5" s="4" t="s">
        <v>72</v>
      </c>
      <c r="G5" s="5">
        <f>G6</f>
        <v>1800</v>
      </c>
      <c r="H5" s="4" t="s">
        <v>33</v>
      </c>
      <c r="I5" s="4" t="s">
        <v>33</v>
      </c>
      <c r="J5" s="6">
        <v>0.39583333333333331</v>
      </c>
      <c r="K5" s="7">
        <v>0.4069444444444445</v>
      </c>
      <c r="L5" s="6">
        <v>0.41666666666666669</v>
      </c>
      <c r="M5" s="7">
        <v>0.42777777777777781</v>
      </c>
      <c r="N5" s="4" t="s">
        <v>33</v>
      </c>
      <c r="O5" s="4" t="s">
        <v>33</v>
      </c>
      <c r="P5" s="4" t="s">
        <v>33</v>
      </c>
      <c r="Q5" s="4" t="s">
        <v>33</v>
      </c>
      <c r="R5" s="4" t="s">
        <v>33</v>
      </c>
      <c r="S5" s="4" t="s">
        <v>33</v>
      </c>
      <c r="T5" s="4" t="s">
        <v>33</v>
      </c>
      <c r="U5" s="4" t="s">
        <v>33</v>
      </c>
    </row>
    <row r="6" spans="1:21" x14ac:dyDescent="0.25">
      <c r="A6" s="20">
        <v>44640</v>
      </c>
      <c r="B6" s="4" t="s">
        <v>154</v>
      </c>
      <c r="C6" s="4" t="s">
        <v>159</v>
      </c>
      <c r="D6" s="4" t="s">
        <v>156</v>
      </c>
      <c r="E6" s="4" t="s">
        <v>157</v>
      </c>
      <c r="F6" s="4" t="s">
        <v>72</v>
      </c>
      <c r="G6" s="5">
        <v>1800</v>
      </c>
      <c r="H6" s="4" t="str">
        <f>E6</f>
        <v>YU-HHS</v>
      </c>
      <c r="I6" s="4" t="str">
        <f>E6</f>
        <v>YU-HHS</v>
      </c>
      <c r="J6" s="6">
        <v>0.71875</v>
      </c>
      <c r="K6" s="7">
        <v>0.63888888888888895</v>
      </c>
      <c r="L6" s="6">
        <v>0.73958333333333337</v>
      </c>
      <c r="M6" s="7">
        <v>0.65625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K4" sqref="K4"/>
    </sheetView>
  </sheetViews>
  <sheetFormatPr defaultRowHeight="15" x14ac:dyDescent="0.25"/>
  <cols>
    <col min="1" max="1" width="9.140625" style="16"/>
    <col min="2" max="2" width="10.28515625" style="16" customWidth="1"/>
    <col min="3" max="3" width="16.7109375" style="16" customWidth="1"/>
    <col min="4" max="4" width="7.28515625" style="16" customWidth="1"/>
    <col min="5" max="5" width="9.140625" style="16"/>
    <col min="6" max="6" width="11.85546875" style="16" customWidth="1"/>
    <col min="7" max="16384" width="9.140625" style="16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44641</v>
      </c>
      <c r="B2" s="4" t="s">
        <v>21</v>
      </c>
      <c r="C2" s="4" t="s">
        <v>48</v>
      </c>
      <c r="D2" s="4" t="s">
        <v>23</v>
      </c>
      <c r="E2" s="4" t="s">
        <v>163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0.76666666666666661</v>
      </c>
      <c r="L2" s="6">
        <v>0.31944444444444448</v>
      </c>
      <c r="M2" s="7">
        <v>0.33194444444444443</v>
      </c>
      <c r="N2" s="4" t="s">
        <v>165</v>
      </c>
      <c r="O2" s="4" t="s">
        <v>167</v>
      </c>
      <c r="P2" s="4">
        <v>1049</v>
      </c>
      <c r="Q2" s="4">
        <v>551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44641</v>
      </c>
      <c r="B3" s="4" t="s">
        <v>21</v>
      </c>
      <c r="C3" s="4" t="s">
        <v>73</v>
      </c>
      <c r="D3" s="4" t="s">
        <v>23</v>
      </c>
      <c r="E3" s="4" t="s">
        <v>164</v>
      </c>
      <c r="F3" s="4" t="s">
        <v>24</v>
      </c>
      <c r="G3" s="5">
        <v>70000</v>
      </c>
      <c r="H3" s="4" t="s">
        <v>74</v>
      </c>
      <c r="I3" s="4" t="s">
        <v>75</v>
      </c>
      <c r="J3" s="6">
        <v>0.52083333333333337</v>
      </c>
      <c r="K3" s="7">
        <v>0.51944444444444449</v>
      </c>
      <c r="L3" s="6">
        <v>0.33333333333333331</v>
      </c>
      <c r="M3" s="7">
        <v>0.34097222222222223</v>
      </c>
      <c r="N3" s="4" t="s">
        <v>166</v>
      </c>
      <c r="O3" s="4" t="s">
        <v>168</v>
      </c>
      <c r="P3" s="4">
        <v>947</v>
      </c>
      <c r="Q3" s="4">
        <v>895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N17" sqref="N17"/>
    </sheetView>
  </sheetViews>
  <sheetFormatPr defaultRowHeight="15" x14ac:dyDescent="0.25"/>
  <cols>
    <col min="3" max="3" width="13.5703125" customWidth="1"/>
    <col min="6" max="6" width="12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44642</v>
      </c>
      <c r="B2" s="4" t="s">
        <v>21</v>
      </c>
      <c r="C2" s="4" t="s">
        <v>22</v>
      </c>
      <c r="D2" s="4" t="s">
        <v>23</v>
      </c>
      <c r="E2" s="4" t="s">
        <v>100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0.49027777777777781</v>
      </c>
      <c r="L2" s="6">
        <v>0.35069444444444442</v>
      </c>
      <c r="M2" s="7">
        <v>0.35069444444444442</v>
      </c>
      <c r="N2" s="4" t="s">
        <v>170</v>
      </c>
      <c r="O2" s="4" t="s">
        <v>169</v>
      </c>
      <c r="P2" s="4">
        <v>1309</v>
      </c>
      <c r="Q2" s="4">
        <v>787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44642</v>
      </c>
      <c r="B3" s="8" t="s">
        <v>21</v>
      </c>
      <c r="C3" s="8" t="s">
        <v>27</v>
      </c>
      <c r="D3" s="8" t="s">
        <v>23</v>
      </c>
      <c r="E3" s="4" t="s">
        <v>100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0.71527777777777779</v>
      </c>
      <c r="K3" s="11">
        <v>0.72013888888888899</v>
      </c>
      <c r="L3" s="10">
        <v>0.54166666666666663</v>
      </c>
      <c r="M3" s="12">
        <v>0.54305555555555551</v>
      </c>
      <c r="N3" s="4" t="s">
        <v>171</v>
      </c>
      <c r="O3" s="4" t="s">
        <v>115</v>
      </c>
      <c r="P3" s="13">
        <v>703</v>
      </c>
      <c r="Q3" s="13">
        <v>573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44642</v>
      </c>
      <c r="B4" s="4" t="s">
        <v>21</v>
      </c>
      <c r="C4" s="4" t="s">
        <v>172</v>
      </c>
      <c r="D4" s="4" t="s">
        <v>23</v>
      </c>
      <c r="E4" s="4" t="s">
        <v>137</v>
      </c>
      <c r="F4" s="4" t="s">
        <v>24</v>
      </c>
      <c r="G4" s="5">
        <v>70000</v>
      </c>
      <c r="H4" s="4" t="s">
        <v>33</v>
      </c>
      <c r="I4" s="4" t="s">
        <v>32</v>
      </c>
      <c r="J4" s="6" t="s">
        <v>33</v>
      </c>
      <c r="K4" s="7" t="s">
        <v>33</v>
      </c>
      <c r="L4" s="6">
        <v>0.74305555555555547</v>
      </c>
      <c r="M4" s="7">
        <v>0.7402777777777777</v>
      </c>
      <c r="N4" s="4" t="s">
        <v>33</v>
      </c>
      <c r="O4" s="4" t="s">
        <v>173</v>
      </c>
      <c r="P4" s="4" t="s">
        <v>33</v>
      </c>
      <c r="Q4" s="4">
        <v>711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/>
      <c r="B5" s="4"/>
      <c r="C5" s="15"/>
      <c r="D5" s="4"/>
      <c r="E5" s="15"/>
      <c r="F5" s="15"/>
      <c r="G5" s="5"/>
      <c r="H5" s="15"/>
      <c r="I5" s="15"/>
      <c r="J5" s="17"/>
      <c r="K5" s="17"/>
      <c r="L5" s="17"/>
      <c r="M5" s="17"/>
      <c r="N5" s="15"/>
      <c r="O5" s="15"/>
      <c r="P5" s="15"/>
      <c r="Q5" s="15"/>
      <c r="R5" s="15"/>
      <c r="S5" s="15"/>
      <c r="T5" s="15"/>
      <c r="U5" s="15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F6" sqref="F6"/>
    </sheetView>
  </sheetViews>
  <sheetFormatPr defaultRowHeight="15" x14ac:dyDescent="0.25"/>
  <cols>
    <col min="2" max="2" width="22" customWidth="1"/>
    <col min="3" max="3" width="13" customWidth="1"/>
    <col min="4" max="4" width="7.7109375" customWidth="1"/>
    <col min="5" max="5" width="11.85546875" customWidth="1"/>
    <col min="6" max="6" width="12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0">
        <v>44643</v>
      </c>
      <c r="B2" s="4" t="s">
        <v>21</v>
      </c>
      <c r="C2" s="4" t="s">
        <v>48</v>
      </c>
      <c r="D2" s="4" t="s">
        <v>23</v>
      </c>
      <c r="E2" s="4" t="s">
        <v>100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0.77083333333333337</v>
      </c>
      <c r="L2" s="6">
        <v>0.32291666666666669</v>
      </c>
      <c r="M2" s="7">
        <v>0.33055555555555555</v>
      </c>
      <c r="N2" s="4" t="s">
        <v>184</v>
      </c>
      <c r="O2" s="4" t="s">
        <v>175</v>
      </c>
      <c r="P2" s="4">
        <v>920</v>
      </c>
      <c r="Q2" s="4">
        <v>692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0">
        <v>44643</v>
      </c>
      <c r="B3" s="4" t="s">
        <v>21</v>
      </c>
      <c r="C3" s="4" t="s">
        <v>127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128</v>
      </c>
      <c r="I3" s="4" t="s">
        <v>129</v>
      </c>
      <c r="J3" s="6">
        <v>0.69097222222222221</v>
      </c>
      <c r="K3" s="7">
        <v>0.72013888888888899</v>
      </c>
      <c r="L3" s="6">
        <v>0.57291666666666663</v>
      </c>
      <c r="M3" s="7">
        <v>0.5708333333333333</v>
      </c>
      <c r="N3" s="4" t="s">
        <v>185</v>
      </c>
      <c r="O3" s="4" t="s">
        <v>177</v>
      </c>
      <c r="P3" s="4">
        <v>393</v>
      </c>
      <c r="Q3" s="4">
        <v>316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20">
        <v>44643</v>
      </c>
      <c r="B4" s="4" t="s">
        <v>21</v>
      </c>
      <c r="C4" s="15" t="s">
        <v>51</v>
      </c>
      <c r="D4" s="4" t="s">
        <v>23</v>
      </c>
      <c r="E4" s="15" t="s">
        <v>137</v>
      </c>
      <c r="F4" s="4" t="s">
        <v>24</v>
      </c>
      <c r="G4" s="5">
        <v>70000</v>
      </c>
      <c r="H4" s="15" t="s">
        <v>54</v>
      </c>
      <c r="I4" s="15" t="s">
        <v>53</v>
      </c>
      <c r="J4" s="19">
        <v>0.91666666666666663</v>
      </c>
      <c r="K4" s="17">
        <v>0.91666666666666663</v>
      </c>
      <c r="L4" s="19">
        <v>0.71180555555555547</v>
      </c>
      <c r="M4" s="17">
        <v>0.70138888888888884</v>
      </c>
      <c r="N4" s="15" t="s">
        <v>186</v>
      </c>
      <c r="O4" s="15" t="s">
        <v>183</v>
      </c>
      <c r="P4" s="15">
        <v>926</v>
      </c>
      <c r="Q4" s="15">
        <v>433</v>
      </c>
      <c r="R4" s="15">
        <v>0</v>
      </c>
      <c r="S4" s="15">
        <v>0</v>
      </c>
      <c r="T4" s="15">
        <v>0</v>
      </c>
      <c r="U4" s="15">
        <v>0</v>
      </c>
    </row>
    <row r="5" spans="1:21" x14ac:dyDescent="0.25">
      <c r="A5" s="20">
        <v>44643</v>
      </c>
      <c r="B5" s="4" t="s">
        <v>21</v>
      </c>
      <c r="C5" s="4" t="s">
        <v>174</v>
      </c>
      <c r="D5" s="4" t="s">
        <v>23</v>
      </c>
      <c r="E5" s="4" t="s">
        <v>137</v>
      </c>
      <c r="F5" s="4" t="s">
        <v>24</v>
      </c>
      <c r="G5" s="5">
        <v>70000</v>
      </c>
      <c r="H5" s="4" t="s">
        <v>31</v>
      </c>
      <c r="I5" s="4" t="s">
        <v>33</v>
      </c>
      <c r="J5" s="6">
        <v>0.4513888888888889</v>
      </c>
      <c r="K5" s="7">
        <v>0.4458333333333333</v>
      </c>
      <c r="L5" s="6" t="s">
        <v>33</v>
      </c>
      <c r="M5" s="7" t="s">
        <v>33</v>
      </c>
      <c r="N5" s="4" t="s">
        <v>176</v>
      </c>
      <c r="O5" s="4" t="s">
        <v>33</v>
      </c>
      <c r="P5" s="4">
        <v>542</v>
      </c>
      <c r="Q5" s="4" t="s">
        <v>33</v>
      </c>
      <c r="R5" s="4">
        <v>0</v>
      </c>
      <c r="S5" s="4" t="s">
        <v>33</v>
      </c>
      <c r="T5" s="4">
        <v>0</v>
      </c>
      <c r="U5" s="4" t="s">
        <v>33</v>
      </c>
    </row>
    <row r="6" spans="1:21" x14ac:dyDescent="0.25">
      <c r="A6" s="20">
        <v>44643</v>
      </c>
      <c r="B6" s="4" t="s">
        <v>178</v>
      </c>
      <c r="C6" s="4" t="s">
        <v>179</v>
      </c>
      <c r="D6" s="4" t="s">
        <v>180</v>
      </c>
      <c r="E6" s="4" t="s">
        <v>181</v>
      </c>
      <c r="F6" s="4" t="s">
        <v>182</v>
      </c>
      <c r="G6" s="4">
        <v>3</v>
      </c>
      <c r="H6" s="4" t="s">
        <v>181</v>
      </c>
      <c r="I6" s="4" t="s">
        <v>181</v>
      </c>
      <c r="J6" s="7">
        <v>0.54166666666666663</v>
      </c>
      <c r="K6" s="7">
        <v>0.55555555555555558</v>
      </c>
      <c r="L6" s="7">
        <v>0.58333333333333337</v>
      </c>
      <c r="M6" s="7">
        <v>0.59861111111111109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workbookViewId="0">
      <selection activeCell="C18" sqref="C18"/>
    </sheetView>
  </sheetViews>
  <sheetFormatPr defaultRowHeight="12.75" x14ac:dyDescent="0.2"/>
  <cols>
    <col min="1" max="1" width="12.7109375" style="15" bestFit="1" customWidth="1"/>
    <col min="2" max="2" width="16.28515625" style="15" customWidth="1"/>
    <col min="3" max="3" width="16.7109375" style="15" customWidth="1"/>
    <col min="4" max="4" width="7.28515625" style="15" customWidth="1"/>
    <col min="5" max="5" width="9.140625" style="15"/>
    <col min="6" max="6" width="11.85546875" style="15" customWidth="1"/>
    <col min="7" max="7" width="9.28515625" style="15" bestFit="1" customWidth="1"/>
    <col min="8" max="9" width="9.140625" style="15"/>
    <col min="10" max="21" width="9.28515625" style="15" bestFit="1" customWidth="1"/>
    <col min="22" max="16384" width="9.140625" style="15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14">
        <v>44644</v>
      </c>
      <c r="B2" s="4" t="s">
        <v>21</v>
      </c>
      <c r="C2" s="4" t="s">
        <v>27</v>
      </c>
      <c r="D2" s="4" t="s">
        <v>23</v>
      </c>
      <c r="E2" s="4" t="s">
        <v>187</v>
      </c>
      <c r="F2" s="4" t="s">
        <v>24</v>
      </c>
      <c r="G2" s="5">
        <v>70000</v>
      </c>
      <c r="H2" s="4" t="s">
        <v>28</v>
      </c>
      <c r="I2" s="4" t="s">
        <v>29</v>
      </c>
      <c r="J2" s="6">
        <v>0.5</v>
      </c>
      <c r="K2" s="7">
        <v>0.48958333333333331</v>
      </c>
      <c r="L2" s="6">
        <v>0.33333333333333331</v>
      </c>
      <c r="M2" s="7">
        <v>0.3298611111111111</v>
      </c>
      <c r="N2" s="4" t="s">
        <v>189</v>
      </c>
      <c r="O2" s="4" t="s">
        <v>188</v>
      </c>
      <c r="P2" s="4">
        <v>644</v>
      </c>
      <c r="Q2" s="4">
        <v>266</v>
      </c>
      <c r="R2" s="4">
        <v>0</v>
      </c>
      <c r="S2" s="4">
        <v>0</v>
      </c>
      <c r="T2" s="4">
        <v>0</v>
      </c>
      <c r="U2" s="4">
        <v>0</v>
      </c>
    </row>
    <row r="3" spans="1:21" x14ac:dyDescent="0.2">
      <c r="A3" s="14">
        <v>44644</v>
      </c>
      <c r="B3" s="4" t="s">
        <v>21</v>
      </c>
      <c r="C3" s="4" t="s">
        <v>63</v>
      </c>
      <c r="D3" s="4" t="s">
        <v>23</v>
      </c>
      <c r="E3" s="4" t="str">
        <f>E2</f>
        <v>HALYT</v>
      </c>
      <c r="F3" s="4" t="s">
        <v>24</v>
      </c>
      <c r="G3" s="5">
        <v>70000</v>
      </c>
      <c r="H3" s="4" t="s">
        <v>64</v>
      </c>
      <c r="I3" s="4" t="s">
        <v>65</v>
      </c>
      <c r="J3" s="6">
        <v>0.71180555555555547</v>
      </c>
      <c r="K3" s="7">
        <v>0.70833333333333337</v>
      </c>
      <c r="L3" s="6">
        <v>0.52777777777777779</v>
      </c>
      <c r="M3" s="7">
        <v>0.53055555555555556</v>
      </c>
      <c r="N3" s="4" t="s">
        <v>151</v>
      </c>
      <c r="O3" s="4" t="s">
        <v>196</v>
      </c>
      <c r="P3" s="4">
        <v>701</v>
      </c>
      <c r="Q3" s="4">
        <v>579</v>
      </c>
      <c r="R3" s="4">
        <v>0</v>
      </c>
      <c r="S3" s="4">
        <v>0</v>
      </c>
      <c r="T3" s="4">
        <v>0</v>
      </c>
      <c r="U3" s="4">
        <v>0</v>
      </c>
    </row>
    <row r="4" spans="1:21" x14ac:dyDescent="0.2">
      <c r="A4" s="14">
        <v>44644</v>
      </c>
      <c r="B4" s="15" t="s">
        <v>190</v>
      </c>
      <c r="C4" s="15" t="s">
        <v>191</v>
      </c>
      <c r="D4" s="15" t="s">
        <v>192</v>
      </c>
      <c r="E4" s="15" t="s">
        <v>193</v>
      </c>
      <c r="F4" s="4" t="s">
        <v>194</v>
      </c>
      <c r="G4" s="4">
        <v>16000</v>
      </c>
      <c r="H4" s="15" t="s">
        <v>195</v>
      </c>
      <c r="I4" s="15" t="str">
        <f>H4</f>
        <v>ADN14C</v>
      </c>
      <c r="J4" s="19">
        <v>0.46875</v>
      </c>
      <c r="K4" s="17">
        <v>0.45902777777777781</v>
      </c>
      <c r="L4" s="19">
        <v>0.49652777777777773</v>
      </c>
      <c r="M4" s="17">
        <v>0.4916666666666667</v>
      </c>
      <c r="N4" s="15">
        <v>0</v>
      </c>
      <c r="O4" s="15">
        <v>1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</row>
    <row r="5" spans="1:21" x14ac:dyDescent="0.2">
      <c r="A5" s="14">
        <v>44644</v>
      </c>
      <c r="B5" s="15" t="s">
        <v>197</v>
      </c>
      <c r="C5" s="15" t="s">
        <v>198</v>
      </c>
      <c r="D5" s="15" t="s">
        <v>199</v>
      </c>
      <c r="E5" s="15" t="s">
        <v>200</v>
      </c>
      <c r="F5" s="15" t="s">
        <v>182</v>
      </c>
      <c r="G5" s="15">
        <v>2</v>
      </c>
      <c r="H5" s="15" t="s">
        <v>200</v>
      </c>
      <c r="I5" s="15" t="s">
        <v>200</v>
      </c>
      <c r="J5" s="17">
        <v>0.625</v>
      </c>
      <c r="K5" s="17">
        <v>0.64027777777777783</v>
      </c>
      <c r="L5" s="17">
        <v>0.64583333333333337</v>
      </c>
      <c r="M5" s="17">
        <v>0.65972222222222221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workbookViewId="0">
      <selection activeCell="K3" sqref="K3"/>
    </sheetView>
  </sheetViews>
  <sheetFormatPr defaultRowHeight="15" x14ac:dyDescent="0.25"/>
  <cols>
    <col min="3" max="3" width="14" customWidth="1"/>
    <col min="4" max="4" width="7.85546875" customWidth="1"/>
    <col min="6" max="6" width="11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4">
        <v>44645</v>
      </c>
      <c r="B2" s="4" t="s">
        <v>21</v>
      </c>
      <c r="C2" s="4" t="s">
        <v>48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50</v>
      </c>
      <c r="I2" s="4" t="s">
        <v>49</v>
      </c>
      <c r="J2" s="6">
        <v>0.77083333333333337</v>
      </c>
      <c r="K2" s="7">
        <v>0.77222222222222225</v>
      </c>
      <c r="L2" s="6">
        <v>0.31944444444444448</v>
      </c>
      <c r="M2" s="7">
        <v>0.32013888888888892</v>
      </c>
      <c r="N2" s="4" t="s">
        <v>203</v>
      </c>
      <c r="O2" s="4" t="s">
        <v>201</v>
      </c>
      <c r="P2" s="4">
        <v>975</v>
      </c>
      <c r="Q2" s="4">
        <v>891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14">
        <v>44645</v>
      </c>
      <c r="B3" s="4" t="s">
        <v>21</v>
      </c>
      <c r="C3" s="4" t="s">
        <v>73</v>
      </c>
      <c r="D3" s="4" t="s">
        <v>23</v>
      </c>
      <c r="E3" s="4" t="s">
        <v>137</v>
      </c>
      <c r="F3" s="4" t="s">
        <v>24</v>
      </c>
      <c r="G3" s="5">
        <v>70000</v>
      </c>
      <c r="H3" s="4" t="s">
        <v>74</v>
      </c>
      <c r="I3" s="4" t="s">
        <v>75</v>
      </c>
      <c r="J3" s="6">
        <v>0.52083333333333337</v>
      </c>
      <c r="K3" s="7">
        <v>0.53333333333333333</v>
      </c>
      <c r="L3" s="6">
        <v>0.33333333333333331</v>
      </c>
      <c r="M3" s="7">
        <v>0.33888888888888885</v>
      </c>
      <c r="N3" s="4" t="s">
        <v>96</v>
      </c>
      <c r="O3" s="4" t="s">
        <v>202</v>
      </c>
      <c r="P3" s="4">
        <v>1149</v>
      </c>
      <c r="Q3" s="4">
        <v>991</v>
      </c>
      <c r="R3" s="4">
        <v>0</v>
      </c>
      <c r="S3" s="4">
        <v>0</v>
      </c>
      <c r="T3" s="4">
        <v>0</v>
      </c>
      <c r="U3" s="4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workbookViewId="0">
      <selection activeCell="F8" sqref="F8"/>
    </sheetView>
  </sheetViews>
  <sheetFormatPr defaultRowHeight="15" x14ac:dyDescent="0.25"/>
  <cols>
    <col min="1" max="1" width="11.5703125" bestFit="1" customWidth="1"/>
    <col min="2" max="2" width="14" customWidth="1"/>
    <col min="3" max="3" width="13.28515625" customWidth="1"/>
    <col min="4" max="4" width="8.140625" customWidth="1"/>
    <col min="6" max="6" width="16.5703125" customWidth="1"/>
    <col min="7" max="7" width="9.28515625" bestFit="1" customWidth="1"/>
    <col min="10" max="10" width="9.28515625" bestFit="1" customWidth="1"/>
    <col min="12" max="12" width="9.28515625" bestFit="1" customWidth="1"/>
    <col min="18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0">
        <v>44646</v>
      </c>
      <c r="B2" s="4" t="s">
        <v>21</v>
      </c>
      <c r="C2" s="4" t="s">
        <v>22</v>
      </c>
      <c r="D2" s="4" t="s">
        <v>23</v>
      </c>
      <c r="E2" s="4" t="s">
        <v>52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</v>
      </c>
      <c r="K2" s="7">
        <v>0.49652777777777773</v>
      </c>
      <c r="L2" s="6">
        <v>0.35069444444444442</v>
      </c>
      <c r="M2" s="7">
        <v>0.35902777777777778</v>
      </c>
      <c r="N2" s="4" t="s">
        <v>85</v>
      </c>
      <c r="O2" s="4" t="s">
        <v>207</v>
      </c>
      <c r="P2" s="4">
        <v>828</v>
      </c>
      <c r="Q2" s="4">
        <v>1143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0">
        <v>44646</v>
      </c>
      <c r="B3" s="8" t="s">
        <v>21</v>
      </c>
      <c r="C3" s="8" t="s">
        <v>27</v>
      </c>
      <c r="D3" s="8" t="s">
        <v>23</v>
      </c>
      <c r="E3" s="4" t="s">
        <v>34</v>
      </c>
      <c r="F3" s="8" t="s">
        <v>24</v>
      </c>
      <c r="G3" s="9">
        <v>70000</v>
      </c>
      <c r="H3" s="8" t="s">
        <v>28</v>
      </c>
      <c r="I3" s="8" t="s">
        <v>29</v>
      </c>
      <c r="J3" s="10">
        <v>0.53125</v>
      </c>
      <c r="K3" s="11">
        <v>0.53333333333333333</v>
      </c>
      <c r="L3" s="10">
        <v>0.3576388888888889</v>
      </c>
      <c r="M3" s="12">
        <v>0.375</v>
      </c>
      <c r="N3" s="4" t="s">
        <v>93</v>
      </c>
      <c r="O3" s="4" t="s">
        <v>62</v>
      </c>
      <c r="P3" s="13">
        <v>962</v>
      </c>
      <c r="Q3" s="13">
        <v>991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20">
        <v>44646</v>
      </c>
      <c r="B4" s="8" t="s">
        <v>21</v>
      </c>
      <c r="C4" s="4" t="s">
        <v>63</v>
      </c>
      <c r="D4" s="4" t="s">
        <v>23</v>
      </c>
      <c r="E4" s="4" t="s">
        <v>52</v>
      </c>
      <c r="F4" s="4" t="s">
        <v>24</v>
      </c>
      <c r="G4" s="5">
        <v>70000</v>
      </c>
      <c r="H4" s="4" t="s">
        <v>64</v>
      </c>
      <c r="I4" s="4" t="s">
        <v>65</v>
      </c>
      <c r="J4" s="6">
        <v>0.71180555555555547</v>
      </c>
      <c r="K4" s="7">
        <v>0.71527777777777779</v>
      </c>
      <c r="L4" s="6">
        <v>0.52777777777777779</v>
      </c>
      <c r="M4" s="7">
        <v>0.54375000000000007</v>
      </c>
      <c r="N4" s="4" t="s">
        <v>215</v>
      </c>
      <c r="O4" s="4" t="s">
        <v>212</v>
      </c>
      <c r="P4" s="4">
        <v>789</v>
      </c>
      <c r="Q4" s="4">
        <v>864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20">
        <v>44646</v>
      </c>
      <c r="B5" s="8" t="s">
        <v>21</v>
      </c>
      <c r="C5" s="4" t="s">
        <v>127</v>
      </c>
      <c r="D5" s="4" t="s">
        <v>23</v>
      </c>
      <c r="E5" s="4" t="s">
        <v>34</v>
      </c>
      <c r="F5" s="4" t="s">
        <v>24</v>
      </c>
      <c r="G5" s="5">
        <v>70000</v>
      </c>
      <c r="H5" s="4" t="s">
        <v>128</v>
      </c>
      <c r="I5" s="4" t="s">
        <v>129</v>
      </c>
      <c r="J5" s="6">
        <v>0.69097222222222221</v>
      </c>
      <c r="K5" s="7">
        <v>0.67708333333333337</v>
      </c>
      <c r="L5" s="6">
        <v>0.57291666666666663</v>
      </c>
      <c r="M5" s="7">
        <v>0.57430555555555551</v>
      </c>
      <c r="N5" s="4" t="s">
        <v>216</v>
      </c>
      <c r="O5" s="4" t="s">
        <v>213</v>
      </c>
      <c r="P5" s="4">
        <v>363</v>
      </c>
      <c r="Q5" s="4">
        <v>527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20">
        <v>44646</v>
      </c>
      <c r="B6" s="8" t="s">
        <v>21</v>
      </c>
      <c r="C6" s="4" t="s">
        <v>30</v>
      </c>
      <c r="D6" s="4" t="s">
        <v>23</v>
      </c>
      <c r="E6" s="4" t="s">
        <v>52</v>
      </c>
      <c r="F6" s="4" t="s">
        <v>24</v>
      </c>
      <c r="G6" s="5">
        <v>70000</v>
      </c>
      <c r="H6" s="4" t="s">
        <v>31</v>
      </c>
      <c r="I6" s="4" t="s">
        <v>32</v>
      </c>
      <c r="J6" s="6">
        <v>0.91666666666666663</v>
      </c>
      <c r="K6" s="7">
        <v>0.92013888888888884</v>
      </c>
      <c r="L6" s="6">
        <v>0.74305555555555547</v>
      </c>
      <c r="M6" s="7">
        <v>0.75486111111111109</v>
      </c>
      <c r="N6" s="4" t="s">
        <v>217</v>
      </c>
      <c r="O6" s="4" t="s">
        <v>214</v>
      </c>
      <c r="P6" s="4">
        <v>550</v>
      </c>
      <c r="Q6" s="4">
        <v>861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20">
        <v>44646</v>
      </c>
      <c r="B7" s="8" t="s">
        <v>21</v>
      </c>
      <c r="C7" s="4" t="s">
        <v>204</v>
      </c>
      <c r="D7" s="4" t="s">
        <v>23</v>
      </c>
      <c r="E7" s="4" t="s">
        <v>34</v>
      </c>
      <c r="F7" s="4" t="s">
        <v>205</v>
      </c>
      <c r="G7" s="5">
        <v>70000</v>
      </c>
      <c r="H7" s="4" t="s">
        <v>40</v>
      </c>
      <c r="I7" s="4" t="s">
        <v>206</v>
      </c>
      <c r="J7" s="6">
        <v>0.33333333333333331</v>
      </c>
      <c r="K7" s="7">
        <v>0.32500000000000001</v>
      </c>
      <c r="L7" s="6">
        <v>0.70833333333333337</v>
      </c>
      <c r="M7" s="7">
        <v>0.72013888888888899</v>
      </c>
      <c r="N7" s="4" t="s">
        <v>33</v>
      </c>
      <c r="O7" s="4" t="s">
        <v>33</v>
      </c>
      <c r="P7" s="4" t="s">
        <v>33</v>
      </c>
      <c r="Q7" s="4" t="s">
        <v>33</v>
      </c>
      <c r="R7" s="4">
        <v>0</v>
      </c>
      <c r="S7" s="4">
        <v>0</v>
      </c>
      <c r="T7" s="4">
        <v>0</v>
      </c>
      <c r="U7" s="4">
        <v>0</v>
      </c>
    </row>
    <row r="8" spans="1:21" x14ac:dyDescent="0.25">
      <c r="A8" s="20">
        <v>44646</v>
      </c>
      <c r="B8" s="4" t="s">
        <v>208</v>
      </c>
      <c r="C8" s="4" t="s">
        <v>209</v>
      </c>
      <c r="D8" s="4" t="s">
        <v>210</v>
      </c>
      <c r="E8" s="4" t="s">
        <v>211</v>
      </c>
      <c r="F8" s="4" t="s">
        <v>182</v>
      </c>
      <c r="G8" s="4">
        <v>4000</v>
      </c>
      <c r="H8" s="4" t="s">
        <v>33</v>
      </c>
      <c r="I8" s="4" t="s">
        <v>33</v>
      </c>
      <c r="J8" s="6">
        <v>0.48958333333333331</v>
      </c>
      <c r="K8" s="7">
        <v>0.48958333333333331</v>
      </c>
      <c r="L8" s="4" t="s">
        <v>33</v>
      </c>
      <c r="M8" s="4" t="s">
        <v>33</v>
      </c>
      <c r="N8" s="4">
        <v>2</v>
      </c>
      <c r="O8" s="4" t="s">
        <v>33</v>
      </c>
      <c r="P8" s="4" t="s">
        <v>33</v>
      </c>
      <c r="Q8" s="4" t="s">
        <v>33</v>
      </c>
      <c r="R8" s="4">
        <v>0</v>
      </c>
      <c r="S8" s="4">
        <v>0</v>
      </c>
      <c r="T8" s="4">
        <v>0</v>
      </c>
      <c r="U8" s="4">
        <v>0</v>
      </c>
    </row>
    <row r="9" spans="1:2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M6" sqref="M6"/>
    </sheetView>
  </sheetViews>
  <sheetFormatPr defaultRowHeight="15" x14ac:dyDescent="0.25"/>
  <cols>
    <col min="1" max="1" width="10.28515625" customWidth="1"/>
    <col min="2" max="2" width="14.5703125" customWidth="1"/>
    <col min="3" max="3" width="13.28515625" customWidth="1"/>
    <col min="4" max="4" width="7.28515625" customWidth="1"/>
    <col min="6" max="6" width="11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44647</v>
      </c>
      <c r="B2" s="4" t="s">
        <v>21</v>
      </c>
      <c r="C2" s="4" t="s">
        <v>51</v>
      </c>
      <c r="D2" s="4" t="s">
        <v>23</v>
      </c>
      <c r="E2" s="4" t="s">
        <v>137</v>
      </c>
      <c r="F2" s="4" t="s">
        <v>24</v>
      </c>
      <c r="G2" s="5">
        <v>70000</v>
      </c>
      <c r="H2" s="4" t="s">
        <v>220</v>
      </c>
      <c r="I2" s="4" t="s">
        <v>53</v>
      </c>
      <c r="J2" s="6">
        <v>0.45833333333333331</v>
      </c>
      <c r="K2" s="7">
        <v>0.4513888888888889</v>
      </c>
      <c r="L2" s="6">
        <v>0.25694444444444448</v>
      </c>
      <c r="M2" s="7">
        <v>0.26458333333333334</v>
      </c>
      <c r="N2" s="4" t="s">
        <v>225</v>
      </c>
      <c r="O2" s="4" t="s">
        <v>224</v>
      </c>
      <c r="P2" s="4">
        <v>617</v>
      </c>
      <c r="Q2" s="4">
        <v>828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3">
        <v>44647</v>
      </c>
      <c r="B3" s="8" t="s">
        <v>21</v>
      </c>
      <c r="C3" s="8" t="s">
        <v>218</v>
      </c>
      <c r="D3" s="8" t="s">
        <v>23</v>
      </c>
      <c r="E3" s="4" t="s">
        <v>52</v>
      </c>
      <c r="F3" s="8" t="s">
        <v>24</v>
      </c>
      <c r="G3" s="9">
        <v>70000</v>
      </c>
      <c r="H3" s="8" t="s">
        <v>221</v>
      </c>
      <c r="I3" s="8" t="s">
        <v>221</v>
      </c>
      <c r="J3" s="10">
        <v>0.61805555555555558</v>
      </c>
      <c r="K3" s="11">
        <v>0.61319444444444449</v>
      </c>
      <c r="L3" s="10">
        <v>0.46527777777777773</v>
      </c>
      <c r="M3" s="12">
        <v>0.46597222222222223</v>
      </c>
      <c r="N3" s="4" t="s">
        <v>231</v>
      </c>
      <c r="O3" s="4" t="s">
        <v>226</v>
      </c>
      <c r="P3" s="13">
        <v>213</v>
      </c>
      <c r="Q3" s="13">
        <v>137</v>
      </c>
      <c r="R3" s="8">
        <v>0</v>
      </c>
      <c r="S3" s="8">
        <v>0</v>
      </c>
      <c r="T3" s="8">
        <v>0</v>
      </c>
      <c r="U3" s="8">
        <v>0</v>
      </c>
    </row>
    <row r="4" spans="1:21" x14ac:dyDescent="0.25">
      <c r="A4" s="3">
        <v>44647</v>
      </c>
      <c r="B4" s="4" t="s">
        <v>21</v>
      </c>
      <c r="C4" s="4" t="s">
        <v>219</v>
      </c>
      <c r="D4" s="4" t="s">
        <v>23</v>
      </c>
      <c r="E4" s="4" t="s">
        <v>137</v>
      </c>
      <c r="F4" s="4" t="s">
        <v>24</v>
      </c>
      <c r="G4" s="5">
        <v>70000</v>
      </c>
      <c r="H4" s="4" t="s">
        <v>222</v>
      </c>
      <c r="I4" s="4" t="s">
        <v>223</v>
      </c>
      <c r="J4" s="6">
        <v>0.64583333333333337</v>
      </c>
      <c r="K4" s="7">
        <v>0.63888888888888895</v>
      </c>
      <c r="L4" s="6">
        <v>0.48958333333333331</v>
      </c>
      <c r="M4" s="7">
        <v>0.48749999999999999</v>
      </c>
      <c r="N4" s="4" t="s">
        <v>232</v>
      </c>
      <c r="O4" s="4" t="s">
        <v>227</v>
      </c>
      <c r="P4" s="4">
        <v>461</v>
      </c>
      <c r="Q4" s="4">
        <v>365</v>
      </c>
      <c r="R4" s="4">
        <v>0</v>
      </c>
      <c r="S4" s="4">
        <v>0</v>
      </c>
      <c r="T4" s="4">
        <v>0</v>
      </c>
      <c r="U4" s="4">
        <v>0</v>
      </c>
    </row>
    <row r="5" spans="1:21" s="16" customFormat="1" x14ac:dyDescent="0.25">
      <c r="A5" s="3">
        <v>44647</v>
      </c>
      <c r="B5" s="4" t="s">
        <v>21</v>
      </c>
      <c r="C5" s="15" t="s">
        <v>228</v>
      </c>
      <c r="D5" s="4" t="s">
        <v>23</v>
      </c>
      <c r="E5" s="15" t="s">
        <v>52</v>
      </c>
      <c r="F5" s="4" t="s">
        <v>24</v>
      </c>
      <c r="G5" s="5">
        <v>70000</v>
      </c>
      <c r="H5" s="15" t="s">
        <v>229</v>
      </c>
      <c r="I5" s="15" t="s">
        <v>230</v>
      </c>
      <c r="J5" s="19">
        <v>0.66666666666666663</v>
      </c>
      <c r="K5" s="17">
        <v>0.66041666666666665</v>
      </c>
      <c r="L5" s="19">
        <v>0.90277777777777779</v>
      </c>
      <c r="M5" s="17">
        <v>0.8847222222222223</v>
      </c>
      <c r="N5" s="15" t="s">
        <v>234</v>
      </c>
      <c r="O5" s="15" t="s">
        <v>233</v>
      </c>
      <c r="P5" s="15">
        <v>820</v>
      </c>
      <c r="Q5" s="15">
        <v>612</v>
      </c>
      <c r="R5" s="15"/>
      <c r="S5" s="15"/>
      <c r="T5" s="15"/>
      <c r="U5" s="15"/>
    </row>
    <row r="6" spans="1:21" s="16" customFormat="1" x14ac:dyDescent="0.25">
      <c r="A6" s="14"/>
      <c r="B6" s="4"/>
      <c r="C6" s="15"/>
      <c r="D6" s="4"/>
      <c r="E6" s="15"/>
      <c r="F6" s="15"/>
      <c r="G6" s="5"/>
      <c r="H6" s="15"/>
      <c r="I6" s="15"/>
      <c r="J6" s="15"/>
      <c r="K6" s="15"/>
      <c r="L6" s="17"/>
      <c r="M6" s="17"/>
      <c r="N6" s="15"/>
      <c r="O6" s="15"/>
      <c r="P6" s="15"/>
      <c r="Q6" s="15"/>
      <c r="R6" s="15"/>
      <c r="S6" s="15"/>
      <c r="T6" s="15"/>
      <c r="U6" s="15"/>
    </row>
    <row r="7" spans="1:2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B1" workbookViewId="0">
      <selection activeCell="O5" sqref="O5"/>
    </sheetView>
  </sheetViews>
  <sheetFormatPr defaultRowHeight="15" x14ac:dyDescent="0.25"/>
  <cols>
    <col min="1" max="1" width="10.28515625" customWidth="1"/>
    <col min="2" max="2" width="26.85546875" bestFit="1" customWidth="1"/>
    <col min="3" max="3" width="15.7109375" customWidth="1"/>
    <col min="4" max="4" width="7.28515625" customWidth="1"/>
    <col min="6" max="6" width="16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44648</v>
      </c>
      <c r="B2" s="4" t="s">
        <v>21</v>
      </c>
      <c r="C2" s="4" t="s">
        <v>30</v>
      </c>
      <c r="D2" s="4" t="s">
        <v>23</v>
      </c>
      <c r="E2" s="4" t="s">
        <v>187</v>
      </c>
      <c r="F2" s="4" t="s">
        <v>24</v>
      </c>
      <c r="G2" s="5">
        <v>70000</v>
      </c>
      <c r="H2" s="4" t="s">
        <v>31</v>
      </c>
      <c r="I2" s="4" t="s">
        <v>32</v>
      </c>
      <c r="J2" s="6">
        <v>0.4375</v>
      </c>
      <c r="K2" s="7">
        <v>0.42569444444444443</v>
      </c>
      <c r="L2" s="6">
        <v>0.25694444444444448</v>
      </c>
      <c r="M2" s="7">
        <v>0.25763888888888892</v>
      </c>
      <c r="N2" s="4" t="s">
        <v>240</v>
      </c>
      <c r="O2" s="4" t="s">
        <v>235</v>
      </c>
      <c r="P2" s="4">
        <v>515</v>
      </c>
      <c r="Q2" s="4">
        <v>542</v>
      </c>
      <c r="R2" s="4">
        <v>0</v>
      </c>
      <c r="S2" s="4">
        <v>0</v>
      </c>
      <c r="T2" s="4">
        <v>0</v>
      </c>
      <c r="U2" s="4">
        <v>0</v>
      </c>
    </row>
    <row r="3" spans="1:21" s="16" customFormat="1" x14ac:dyDescent="0.25">
      <c r="A3" s="3">
        <v>44648</v>
      </c>
      <c r="B3" s="4" t="s">
        <v>21</v>
      </c>
      <c r="C3" s="15" t="s">
        <v>236</v>
      </c>
      <c r="D3" s="4" t="s">
        <v>23</v>
      </c>
      <c r="E3" s="15" t="s">
        <v>164</v>
      </c>
      <c r="F3" s="4" t="s">
        <v>24</v>
      </c>
      <c r="G3" s="5">
        <v>70000</v>
      </c>
      <c r="H3" s="15" t="s">
        <v>237</v>
      </c>
      <c r="I3" s="15" t="s">
        <v>238</v>
      </c>
      <c r="J3" s="19">
        <v>0.51736111111111105</v>
      </c>
      <c r="K3" s="19">
        <v>0.52916666666666667</v>
      </c>
      <c r="L3" s="19">
        <v>0.28472222222222221</v>
      </c>
      <c r="M3" s="17">
        <v>0.28819444444444448</v>
      </c>
      <c r="N3" s="15" t="s">
        <v>242</v>
      </c>
      <c r="O3" s="15" t="s">
        <v>239</v>
      </c>
      <c r="P3" s="15">
        <v>934</v>
      </c>
      <c r="Q3" s="15">
        <v>359</v>
      </c>
      <c r="R3" s="4">
        <v>0</v>
      </c>
      <c r="S3" s="4">
        <v>0</v>
      </c>
      <c r="T3" s="4">
        <v>0</v>
      </c>
      <c r="U3" s="4">
        <v>0</v>
      </c>
    </row>
    <row r="4" spans="1:21" s="16" customFormat="1" x14ac:dyDescent="0.25">
      <c r="A4" s="3">
        <v>44648</v>
      </c>
      <c r="B4" s="4" t="s">
        <v>21</v>
      </c>
      <c r="C4" s="4" t="s">
        <v>22</v>
      </c>
      <c r="D4" s="4" t="s">
        <v>23</v>
      </c>
      <c r="E4" s="4" t="s">
        <v>187</v>
      </c>
      <c r="F4" s="4" t="s">
        <v>24</v>
      </c>
      <c r="G4" s="5">
        <v>70000</v>
      </c>
      <c r="H4" s="4" t="s">
        <v>25</v>
      </c>
      <c r="I4" s="4" t="s">
        <v>26</v>
      </c>
      <c r="J4" s="6">
        <v>0.60763888888888895</v>
      </c>
      <c r="K4" s="7">
        <v>0.6020833333333333</v>
      </c>
      <c r="L4" s="6">
        <v>0.45833333333333331</v>
      </c>
      <c r="M4" s="17">
        <v>0.46249999999999997</v>
      </c>
      <c r="N4" s="15" t="s">
        <v>71</v>
      </c>
      <c r="O4" s="15" t="s">
        <v>241</v>
      </c>
      <c r="P4" s="15">
        <v>731</v>
      </c>
      <c r="Q4" s="15">
        <v>760</v>
      </c>
      <c r="R4" s="4">
        <v>0</v>
      </c>
      <c r="S4" s="4">
        <v>0</v>
      </c>
      <c r="T4" s="4">
        <v>0</v>
      </c>
      <c r="U4" s="4">
        <v>0</v>
      </c>
    </row>
    <row r="5" spans="1:21" x14ac:dyDescent="0.25">
      <c r="A5" s="3">
        <v>44648</v>
      </c>
      <c r="B5" s="4" t="s">
        <v>21</v>
      </c>
      <c r="C5" s="8" t="s">
        <v>27</v>
      </c>
      <c r="D5" s="8" t="s">
        <v>23</v>
      </c>
      <c r="E5" s="15" t="s">
        <v>244</v>
      </c>
      <c r="F5" s="8" t="s">
        <v>24</v>
      </c>
      <c r="G5" s="9">
        <v>70000</v>
      </c>
      <c r="H5" s="8" t="s">
        <v>28</v>
      </c>
      <c r="I5" s="8" t="s">
        <v>29</v>
      </c>
      <c r="J5" s="10">
        <v>0.54861111111111105</v>
      </c>
      <c r="K5" s="11">
        <v>0.56597222222222221</v>
      </c>
      <c r="L5" s="10">
        <v>0.71527777777777779</v>
      </c>
      <c r="M5" s="12">
        <v>0.56597222222222221</v>
      </c>
      <c r="N5" s="15" t="s">
        <v>250</v>
      </c>
      <c r="O5" s="15" t="s">
        <v>243</v>
      </c>
      <c r="P5" s="15">
        <v>509</v>
      </c>
      <c r="Q5" s="15">
        <v>537</v>
      </c>
      <c r="R5" s="4">
        <v>0</v>
      </c>
      <c r="S5" s="4">
        <v>0</v>
      </c>
      <c r="T5" s="4">
        <v>0</v>
      </c>
      <c r="U5" s="4">
        <v>0</v>
      </c>
    </row>
    <row r="6" spans="1:21" s="18" customFormat="1" x14ac:dyDescent="0.25">
      <c r="A6" s="14">
        <v>44648</v>
      </c>
      <c r="B6" s="4" t="s">
        <v>21</v>
      </c>
      <c r="C6" s="15" t="s">
        <v>127</v>
      </c>
      <c r="D6" s="8" t="s">
        <v>23</v>
      </c>
      <c r="E6" s="4" t="s">
        <v>187</v>
      </c>
      <c r="F6" s="4" t="s">
        <v>24</v>
      </c>
      <c r="G6" s="9">
        <v>70000</v>
      </c>
      <c r="H6" s="15" t="s">
        <v>128</v>
      </c>
      <c r="I6" s="15" t="s">
        <v>129</v>
      </c>
      <c r="J6" s="19">
        <v>0.75347222222222221</v>
      </c>
      <c r="K6" s="17">
        <v>0.73888888888888893</v>
      </c>
      <c r="L6" s="19">
        <v>0.63888888888888895</v>
      </c>
      <c r="M6" s="17">
        <v>0.63611111111111118</v>
      </c>
      <c r="N6" s="15" t="s">
        <v>253</v>
      </c>
      <c r="O6" s="15" t="s">
        <v>251</v>
      </c>
      <c r="P6" s="15">
        <v>292</v>
      </c>
      <c r="Q6" s="15">
        <v>409</v>
      </c>
      <c r="R6" s="15">
        <v>0</v>
      </c>
      <c r="S6" s="15">
        <v>0</v>
      </c>
      <c r="T6" s="15">
        <v>0</v>
      </c>
      <c r="U6" s="15">
        <v>0</v>
      </c>
    </row>
    <row r="7" spans="1:21" s="15" customFormat="1" ht="12.75" x14ac:dyDescent="0.2">
      <c r="A7" s="14">
        <v>44648</v>
      </c>
      <c r="B7" s="4" t="s">
        <v>21</v>
      </c>
      <c r="C7" s="15" t="s">
        <v>63</v>
      </c>
      <c r="D7" s="8" t="s">
        <v>23</v>
      </c>
      <c r="E7" s="15" t="s">
        <v>187</v>
      </c>
      <c r="F7" s="4" t="s">
        <v>24</v>
      </c>
      <c r="G7" s="9">
        <v>70000</v>
      </c>
      <c r="H7" s="15" t="s">
        <v>64</v>
      </c>
      <c r="I7" s="15" t="s">
        <v>65</v>
      </c>
      <c r="J7" s="19">
        <v>0.95486111111111116</v>
      </c>
      <c r="K7" s="17">
        <v>0.9506944444444444</v>
      </c>
      <c r="L7" s="19">
        <v>0.77430555555555547</v>
      </c>
      <c r="M7" s="17">
        <v>0.78680555555555554</v>
      </c>
      <c r="N7" s="15" t="s">
        <v>254</v>
      </c>
      <c r="O7" s="15" t="s">
        <v>252</v>
      </c>
      <c r="P7" s="15">
        <v>650</v>
      </c>
      <c r="Q7" s="15">
        <v>657</v>
      </c>
      <c r="R7" s="15">
        <v>0</v>
      </c>
      <c r="S7" s="15">
        <v>0</v>
      </c>
      <c r="T7" s="15">
        <v>0</v>
      </c>
      <c r="U7" s="15">
        <v>0</v>
      </c>
    </row>
    <row r="8" spans="1:21" s="15" customFormat="1" ht="12.75" x14ac:dyDescent="0.2">
      <c r="A8" s="14">
        <v>44648</v>
      </c>
      <c r="B8" s="15" t="s">
        <v>245</v>
      </c>
      <c r="C8" s="15" t="s">
        <v>246</v>
      </c>
      <c r="D8" s="15" t="s">
        <v>247</v>
      </c>
      <c r="E8" s="15" t="s">
        <v>248</v>
      </c>
      <c r="F8" s="15" t="s">
        <v>249</v>
      </c>
      <c r="G8" s="15">
        <v>8150</v>
      </c>
      <c r="H8" s="15" t="s">
        <v>33</v>
      </c>
      <c r="I8" s="15" t="s">
        <v>33</v>
      </c>
      <c r="J8" s="19">
        <v>0.39583333333333331</v>
      </c>
      <c r="K8" s="17">
        <v>0.39583333333333331</v>
      </c>
      <c r="L8" s="19">
        <v>0.66666666666666663</v>
      </c>
      <c r="M8" s="17">
        <v>0.66527777777777775</v>
      </c>
      <c r="N8" s="15">
        <v>4</v>
      </c>
      <c r="O8" s="15">
        <v>4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Views>
    <sheetView workbookViewId="0">
      <selection activeCell="A6" sqref="A6:N6"/>
    </sheetView>
  </sheetViews>
  <sheetFormatPr defaultRowHeight="15" x14ac:dyDescent="0.25"/>
  <cols>
    <col min="1" max="1" width="11.5703125" bestFit="1" customWidth="1"/>
    <col min="2" max="2" width="17.5703125" customWidth="1"/>
    <col min="3" max="3" width="13.5703125" customWidth="1"/>
    <col min="6" max="6" width="17.140625" customWidth="1"/>
    <col min="7" max="7" width="9.42578125" bestFit="1" customWidth="1"/>
    <col min="10" max="13" width="9.42578125" bestFit="1" customWidth="1"/>
    <col min="14" max="14" width="11.7109375" customWidth="1"/>
    <col min="16" max="21" width="9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x14ac:dyDescent="0.25">
      <c r="A2" s="20">
        <v>44649</v>
      </c>
      <c r="B2" s="4" t="s">
        <v>21</v>
      </c>
      <c r="C2" s="4" t="s">
        <v>51</v>
      </c>
      <c r="D2" s="4" t="s">
        <v>23</v>
      </c>
      <c r="E2" s="4" t="s">
        <v>256</v>
      </c>
      <c r="F2" s="4" t="s">
        <v>24</v>
      </c>
      <c r="G2" s="5">
        <v>70000</v>
      </c>
      <c r="H2" s="4" t="s">
        <v>54</v>
      </c>
      <c r="I2" s="4" t="s">
        <v>53</v>
      </c>
      <c r="J2" s="6">
        <v>0.45833333333333331</v>
      </c>
      <c r="K2" s="7">
        <v>0.44236111111111115</v>
      </c>
      <c r="L2" s="6">
        <v>0.25694444444444448</v>
      </c>
      <c r="M2" s="7">
        <v>0.25625000000000003</v>
      </c>
      <c r="N2" s="4" t="s">
        <v>261</v>
      </c>
      <c r="O2" s="4" t="s">
        <v>259</v>
      </c>
      <c r="P2" s="4">
        <v>173</v>
      </c>
      <c r="Q2" s="4">
        <v>261</v>
      </c>
      <c r="R2" s="4">
        <v>0</v>
      </c>
      <c r="S2" s="4">
        <v>0</v>
      </c>
      <c r="T2" s="4">
        <v>0</v>
      </c>
      <c r="U2" s="4">
        <v>0</v>
      </c>
    </row>
    <row r="3" spans="1:22" x14ac:dyDescent="0.25">
      <c r="A3" s="20">
        <v>44649</v>
      </c>
      <c r="B3" s="8" t="s">
        <v>21</v>
      </c>
      <c r="C3" s="8" t="s">
        <v>73</v>
      </c>
      <c r="D3" s="8" t="s">
        <v>23</v>
      </c>
      <c r="E3" s="4" t="s">
        <v>52</v>
      </c>
      <c r="F3" s="8" t="s">
        <v>24</v>
      </c>
      <c r="G3" s="9">
        <v>70000</v>
      </c>
      <c r="H3" s="8" t="s">
        <v>74</v>
      </c>
      <c r="I3" s="8" t="s">
        <v>75</v>
      </c>
      <c r="J3" s="10">
        <v>0.47222222222222227</v>
      </c>
      <c r="K3" s="11">
        <v>0.45555555555555555</v>
      </c>
      <c r="L3" s="10">
        <v>0.28125</v>
      </c>
      <c r="M3" s="12">
        <v>0.27916666666666667</v>
      </c>
      <c r="N3" s="4" t="s">
        <v>262</v>
      </c>
      <c r="O3" s="4" t="s">
        <v>260</v>
      </c>
      <c r="P3" s="13">
        <v>869</v>
      </c>
      <c r="Q3" s="13">
        <v>609</v>
      </c>
      <c r="R3" s="8">
        <v>0</v>
      </c>
      <c r="S3" s="8">
        <v>0</v>
      </c>
      <c r="T3" s="8">
        <v>0</v>
      </c>
      <c r="U3" s="8">
        <v>0</v>
      </c>
    </row>
    <row r="4" spans="1:22" x14ac:dyDescent="0.25">
      <c r="A4" s="20">
        <v>44649</v>
      </c>
      <c r="B4" s="4" t="s">
        <v>21</v>
      </c>
      <c r="C4" s="4" t="s">
        <v>48</v>
      </c>
      <c r="D4" s="4" t="s">
        <v>23</v>
      </c>
      <c r="E4" s="4" t="str">
        <f>E2</f>
        <v>HA-LYJ</v>
      </c>
      <c r="F4" s="4" t="s">
        <v>24</v>
      </c>
      <c r="G4" s="5">
        <v>70000</v>
      </c>
      <c r="H4" s="4" t="s">
        <v>50</v>
      </c>
      <c r="I4" s="4" t="s">
        <v>49</v>
      </c>
      <c r="J4" s="6">
        <v>0.90625</v>
      </c>
      <c r="K4" s="7">
        <v>0.8979166666666667</v>
      </c>
      <c r="L4" s="6">
        <v>0.48958333333333331</v>
      </c>
      <c r="M4" s="7">
        <v>0.49027777777777781</v>
      </c>
      <c r="N4" s="4" t="s">
        <v>103</v>
      </c>
      <c r="O4" s="4" t="s">
        <v>263</v>
      </c>
      <c r="P4" s="4">
        <v>904</v>
      </c>
      <c r="Q4" s="4">
        <v>1103</v>
      </c>
      <c r="R4" s="4">
        <v>0</v>
      </c>
      <c r="S4" s="4">
        <v>0</v>
      </c>
      <c r="T4" s="4">
        <v>0</v>
      </c>
      <c r="U4" s="4">
        <v>0</v>
      </c>
    </row>
    <row r="5" spans="1:22" x14ac:dyDescent="0.25">
      <c r="A5" s="20">
        <v>44649</v>
      </c>
      <c r="B5" s="4" t="s">
        <v>21</v>
      </c>
      <c r="C5" s="4" t="s">
        <v>255</v>
      </c>
      <c r="D5" s="4" t="s">
        <v>23</v>
      </c>
      <c r="E5" s="4" t="str">
        <f>E3</f>
        <v>HA-LYT</v>
      </c>
      <c r="F5" s="4" t="s">
        <v>24</v>
      </c>
      <c r="G5" s="5">
        <f>G4</f>
        <v>70000</v>
      </c>
      <c r="H5" s="4" t="s">
        <v>257</v>
      </c>
      <c r="I5" s="4" t="s">
        <v>258</v>
      </c>
      <c r="J5" s="6">
        <v>0.91319444444444453</v>
      </c>
      <c r="K5" s="7">
        <v>0.91041666666666676</v>
      </c>
      <c r="L5" s="6">
        <v>0.50347222222222221</v>
      </c>
      <c r="M5" s="7">
        <v>0.49374999999999997</v>
      </c>
      <c r="N5" s="4" t="s">
        <v>271</v>
      </c>
      <c r="O5" s="4" t="s">
        <v>264</v>
      </c>
      <c r="P5" s="4">
        <v>460</v>
      </c>
      <c r="Q5" s="4">
        <v>287</v>
      </c>
      <c r="R5" s="4">
        <v>0</v>
      </c>
      <c r="S5" s="4">
        <v>0</v>
      </c>
      <c r="T5" s="4">
        <v>0</v>
      </c>
      <c r="U5" s="4">
        <v>0</v>
      </c>
      <c r="V5" s="15"/>
    </row>
    <row r="6" spans="1:22" x14ac:dyDescent="0.25">
      <c r="A6" s="20">
        <v>44649</v>
      </c>
      <c r="B6" s="4" t="s">
        <v>265</v>
      </c>
      <c r="C6" s="4" t="s">
        <v>266</v>
      </c>
      <c r="D6" s="4" t="s">
        <v>267</v>
      </c>
      <c r="E6" s="4" t="s">
        <v>268</v>
      </c>
      <c r="F6" s="4" t="s">
        <v>182</v>
      </c>
      <c r="G6" s="4">
        <v>6800</v>
      </c>
      <c r="H6" s="4" t="s">
        <v>268</v>
      </c>
      <c r="I6" s="4" t="s">
        <v>33</v>
      </c>
      <c r="J6" s="6">
        <v>0.625</v>
      </c>
      <c r="K6" s="7">
        <v>0.57500000000000007</v>
      </c>
      <c r="L6" s="4" t="s">
        <v>33</v>
      </c>
      <c r="M6" s="4" t="s">
        <v>33</v>
      </c>
      <c r="N6" s="4" t="s">
        <v>270</v>
      </c>
      <c r="O6" s="4" t="s">
        <v>33</v>
      </c>
      <c r="P6" s="4" t="s">
        <v>33</v>
      </c>
      <c r="Q6" s="4" t="s">
        <v>33</v>
      </c>
      <c r="R6" s="4">
        <v>0</v>
      </c>
      <c r="S6" s="4">
        <v>0</v>
      </c>
      <c r="T6" s="4">
        <v>0</v>
      </c>
      <c r="U6" s="4">
        <v>0</v>
      </c>
    </row>
    <row r="7" spans="1:22" x14ac:dyDescent="0.25">
      <c r="A7" s="20">
        <v>44649</v>
      </c>
      <c r="B7" s="4" t="s">
        <v>208</v>
      </c>
      <c r="C7" s="4" t="s">
        <v>269</v>
      </c>
      <c r="D7" s="4" t="s">
        <v>210</v>
      </c>
      <c r="E7" s="4" t="s">
        <v>211</v>
      </c>
      <c r="F7" s="4" t="s">
        <v>182</v>
      </c>
      <c r="G7" s="4">
        <v>3921</v>
      </c>
      <c r="H7" s="4" t="s">
        <v>33</v>
      </c>
      <c r="I7" s="4" t="s">
        <v>33</v>
      </c>
      <c r="J7" s="4" t="s">
        <v>33</v>
      </c>
      <c r="K7" s="4" t="s">
        <v>33</v>
      </c>
      <c r="L7" s="6">
        <v>0.96875</v>
      </c>
      <c r="M7" s="7">
        <v>0.97569444444444453</v>
      </c>
      <c r="N7" s="4" t="s">
        <v>33</v>
      </c>
      <c r="O7" s="4">
        <v>3</v>
      </c>
      <c r="P7" s="4" t="s">
        <v>33</v>
      </c>
      <c r="Q7" s="4" t="s">
        <v>33</v>
      </c>
      <c r="R7" s="4">
        <v>0</v>
      </c>
      <c r="S7" s="4">
        <v>0</v>
      </c>
      <c r="T7" s="4">
        <v>0</v>
      </c>
      <c r="U7" s="4">
        <v>0</v>
      </c>
    </row>
    <row r="8" spans="1:2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2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opLeftCell="C1" workbookViewId="0">
      <selection activeCell="G14" sqref="G14"/>
    </sheetView>
  </sheetViews>
  <sheetFormatPr defaultRowHeight="15" x14ac:dyDescent="0.25"/>
  <cols>
    <col min="2" max="2" width="22" customWidth="1"/>
    <col min="3" max="3" width="13" customWidth="1"/>
    <col min="4" max="4" width="7.7109375" customWidth="1"/>
    <col min="5" max="5" width="15.28515625" customWidth="1"/>
    <col min="6" max="6" width="17" customWidth="1"/>
    <col min="14" max="15" width="11.42578125" customWidth="1"/>
    <col min="16" max="16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0">
        <v>44650</v>
      </c>
      <c r="B2" s="4" t="s">
        <v>21</v>
      </c>
      <c r="C2" s="4" t="s">
        <v>22</v>
      </c>
      <c r="D2" s="4" t="s">
        <v>23</v>
      </c>
      <c r="E2" s="4" t="s">
        <v>256</v>
      </c>
      <c r="F2" s="4" t="s">
        <v>24</v>
      </c>
      <c r="G2" s="5">
        <v>70000</v>
      </c>
      <c r="H2" s="4" t="s">
        <v>25</v>
      </c>
      <c r="I2" s="4" t="s">
        <v>26</v>
      </c>
      <c r="J2" s="6">
        <v>0.59722222222222221</v>
      </c>
      <c r="K2" s="7">
        <v>0.58333333333333337</v>
      </c>
      <c r="L2" s="6">
        <v>0.44791666666666669</v>
      </c>
      <c r="M2" s="7">
        <v>0.44791666666666669</v>
      </c>
      <c r="N2" s="4" t="s">
        <v>279</v>
      </c>
      <c r="O2" s="4" t="s">
        <v>272</v>
      </c>
      <c r="P2" s="4">
        <v>802</v>
      </c>
      <c r="Q2" s="4">
        <v>472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0">
        <v>44650</v>
      </c>
      <c r="B3" s="4" t="s">
        <v>21</v>
      </c>
      <c r="C3" s="4" t="s">
        <v>219</v>
      </c>
      <c r="D3" s="4" t="s">
        <v>23</v>
      </c>
      <c r="E3" s="4" t="s">
        <v>52</v>
      </c>
      <c r="F3" s="4" t="s">
        <v>24</v>
      </c>
      <c r="G3" s="5">
        <v>70000</v>
      </c>
      <c r="H3" s="4" t="s">
        <v>222</v>
      </c>
      <c r="I3" s="4" t="s">
        <v>223</v>
      </c>
      <c r="J3" s="6">
        <v>0.69791666666666663</v>
      </c>
      <c r="K3" s="7">
        <v>0.68055555555555547</v>
      </c>
      <c r="L3" s="6">
        <v>0.54166666666666663</v>
      </c>
      <c r="M3" s="7">
        <v>0.54027777777777775</v>
      </c>
      <c r="N3" s="4" t="s">
        <v>280</v>
      </c>
      <c r="O3" s="4" t="s">
        <v>277</v>
      </c>
      <c r="P3" s="4">
        <v>221</v>
      </c>
      <c r="Q3" s="4">
        <v>256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20">
        <v>44650</v>
      </c>
      <c r="B4" s="4" t="s">
        <v>21</v>
      </c>
      <c r="C4" s="15" t="s">
        <v>27</v>
      </c>
      <c r="D4" s="4" t="s">
        <v>23</v>
      </c>
      <c r="E4" s="15" t="s">
        <v>278</v>
      </c>
      <c r="F4" s="4" t="s">
        <v>24</v>
      </c>
      <c r="G4" s="5">
        <v>70000</v>
      </c>
      <c r="H4" s="15" t="s">
        <v>28</v>
      </c>
      <c r="I4" s="15" t="s">
        <v>29</v>
      </c>
      <c r="J4" s="19">
        <v>0.88888888888888884</v>
      </c>
      <c r="K4" s="17">
        <v>0.89097222222222217</v>
      </c>
      <c r="L4" s="19">
        <v>0.72222222222222221</v>
      </c>
      <c r="M4" s="17">
        <v>0.71527777777777779</v>
      </c>
      <c r="N4" s="15" t="s">
        <v>251</v>
      </c>
      <c r="O4" s="15" t="s">
        <v>281</v>
      </c>
      <c r="P4" s="15">
        <v>529</v>
      </c>
      <c r="Q4" s="15">
        <v>527</v>
      </c>
      <c r="R4" s="15">
        <v>0</v>
      </c>
      <c r="S4" s="15">
        <v>0</v>
      </c>
      <c r="T4" s="15">
        <v>0</v>
      </c>
      <c r="U4" s="15">
        <v>0</v>
      </c>
    </row>
    <row r="5" spans="1:21" x14ac:dyDescent="0.25">
      <c r="A5" s="20">
        <v>44650</v>
      </c>
      <c r="B5" s="4" t="s">
        <v>265</v>
      </c>
      <c r="C5" s="4" t="s">
        <v>266</v>
      </c>
      <c r="D5" s="4" t="s">
        <v>267</v>
      </c>
      <c r="E5" s="4" t="s">
        <v>268</v>
      </c>
      <c r="F5" s="4" t="s">
        <v>182</v>
      </c>
      <c r="G5" s="4">
        <v>6800</v>
      </c>
      <c r="H5" s="4" t="s">
        <v>268</v>
      </c>
      <c r="I5" s="4" t="s">
        <v>33</v>
      </c>
      <c r="J5" s="6" t="s">
        <v>33</v>
      </c>
      <c r="K5" s="7" t="s">
        <v>33</v>
      </c>
      <c r="L5" s="7">
        <v>0.40625</v>
      </c>
      <c r="M5" s="7">
        <v>0.40625</v>
      </c>
      <c r="N5" s="4" t="s">
        <v>33</v>
      </c>
      <c r="O5" s="4" t="s">
        <v>270</v>
      </c>
      <c r="P5" s="4" t="s">
        <v>33</v>
      </c>
      <c r="Q5" s="4" t="s">
        <v>33</v>
      </c>
      <c r="R5" s="4">
        <v>0</v>
      </c>
      <c r="S5" s="4">
        <v>0</v>
      </c>
      <c r="T5" s="4">
        <v>0</v>
      </c>
      <c r="U5" s="4">
        <v>0</v>
      </c>
    </row>
    <row r="6" spans="1:21" x14ac:dyDescent="0.25">
      <c r="A6" s="20">
        <v>44650</v>
      </c>
      <c r="B6" s="4" t="s">
        <v>273</v>
      </c>
      <c r="C6" s="4" t="s">
        <v>274</v>
      </c>
      <c r="D6" s="4" t="s">
        <v>275</v>
      </c>
      <c r="E6" s="4" t="s">
        <v>276</v>
      </c>
      <c r="F6" s="4" t="s">
        <v>182</v>
      </c>
      <c r="G6" s="4">
        <v>20000</v>
      </c>
      <c r="H6" s="4" t="s">
        <v>276</v>
      </c>
      <c r="I6" s="4" t="s">
        <v>33</v>
      </c>
      <c r="J6" s="6">
        <v>0.45833333333333331</v>
      </c>
      <c r="K6" s="7">
        <v>0.45833333333333331</v>
      </c>
      <c r="L6" s="7" t="s">
        <v>33</v>
      </c>
      <c r="M6" s="7" t="s">
        <v>33</v>
      </c>
      <c r="N6" s="4">
        <v>9</v>
      </c>
      <c r="O6" s="4" t="s">
        <v>33</v>
      </c>
      <c r="P6" s="4" t="s">
        <v>33</v>
      </c>
      <c r="Q6" s="4" t="s">
        <v>33</v>
      </c>
      <c r="R6" s="4">
        <v>0</v>
      </c>
      <c r="S6" s="4">
        <v>0</v>
      </c>
      <c r="T6" s="4">
        <v>0</v>
      </c>
      <c r="U6" s="4">
        <v>0</v>
      </c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workbookViewId="0">
      <selection activeCell="M5" sqref="M5"/>
    </sheetView>
  </sheetViews>
  <sheetFormatPr defaultRowHeight="15" x14ac:dyDescent="0.25"/>
  <cols>
    <col min="2" max="2" width="22" customWidth="1"/>
    <col min="3" max="3" width="13" customWidth="1"/>
    <col min="4" max="4" width="7.7109375" customWidth="1"/>
    <col min="5" max="5" width="15.28515625" customWidth="1"/>
    <col min="6" max="6" width="22.28515625" bestFit="1" customWidth="1"/>
    <col min="14" max="15" width="11.42578125" customWidth="1"/>
    <col min="16" max="16" width="8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0">
        <v>44651</v>
      </c>
      <c r="B2" s="4" t="s">
        <v>21</v>
      </c>
      <c r="C2" s="4" t="s">
        <v>282</v>
      </c>
      <c r="D2" s="4" t="s">
        <v>23</v>
      </c>
      <c r="E2" s="4" t="s">
        <v>283</v>
      </c>
      <c r="F2" s="4" t="s">
        <v>24</v>
      </c>
      <c r="G2" s="5">
        <v>70000</v>
      </c>
      <c r="H2" s="4" t="s">
        <v>75</v>
      </c>
      <c r="I2" s="4" t="s">
        <v>49</v>
      </c>
      <c r="J2" s="6">
        <v>0.46527777777777773</v>
      </c>
      <c r="K2" s="7">
        <v>0.45833333333333331</v>
      </c>
      <c r="L2" s="6">
        <v>0.48958333333333331</v>
      </c>
      <c r="M2" s="7">
        <v>0.49374999999999997</v>
      </c>
      <c r="N2" s="4" t="s">
        <v>101</v>
      </c>
      <c r="O2" s="4" t="s">
        <v>286</v>
      </c>
      <c r="P2" s="4">
        <v>914</v>
      </c>
      <c r="Q2" s="4">
        <v>755</v>
      </c>
      <c r="R2" s="4">
        <v>0</v>
      </c>
      <c r="S2" s="4">
        <v>0</v>
      </c>
      <c r="T2" s="4">
        <v>0</v>
      </c>
      <c r="U2" s="4">
        <v>0</v>
      </c>
    </row>
    <row r="3" spans="1:21" x14ac:dyDescent="0.25">
      <c r="A3" s="20">
        <v>44651</v>
      </c>
      <c r="B3" s="4" t="s">
        <v>273</v>
      </c>
      <c r="C3" s="4" t="s">
        <v>285</v>
      </c>
      <c r="D3" s="4" t="s">
        <v>275</v>
      </c>
      <c r="E3" s="4" t="s">
        <v>276</v>
      </c>
      <c r="F3" s="4" t="s">
        <v>182</v>
      </c>
      <c r="G3" s="4">
        <v>20000</v>
      </c>
      <c r="H3" s="4" t="s">
        <v>276</v>
      </c>
      <c r="I3" s="4" t="s">
        <v>33</v>
      </c>
      <c r="J3" s="6" t="s">
        <v>284</v>
      </c>
      <c r="K3" s="7" t="s">
        <v>284</v>
      </c>
      <c r="L3" s="7">
        <v>0.54166666666666663</v>
      </c>
      <c r="M3" s="7">
        <v>0.52569444444444446</v>
      </c>
      <c r="N3" s="4" t="s">
        <v>33</v>
      </c>
      <c r="O3" s="4">
        <v>10</v>
      </c>
      <c r="P3" s="4" t="s">
        <v>33</v>
      </c>
      <c r="Q3" s="4" t="s">
        <v>33</v>
      </c>
      <c r="R3" s="4">
        <v>0</v>
      </c>
      <c r="S3" s="4">
        <v>0</v>
      </c>
      <c r="T3" s="4">
        <v>0</v>
      </c>
      <c r="U3" s="4">
        <v>0</v>
      </c>
    </row>
    <row r="4" spans="1:21" x14ac:dyDescent="0.25">
      <c r="A4" s="20">
        <v>44651</v>
      </c>
      <c r="B4" s="4" t="s">
        <v>21</v>
      </c>
      <c r="C4" s="15" t="s">
        <v>290</v>
      </c>
      <c r="D4" s="4" t="s">
        <v>23</v>
      </c>
      <c r="E4" s="15" t="s">
        <v>52</v>
      </c>
      <c r="F4" s="4" t="s">
        <v>287</v>
      </c>
      <c r="G4" s="5">
        <v>70000</v>
      </c>
      <c r="H4" s="15" t="s">
        <v>288</v>
      </c>
      <c r="I4" s="15" t="str">
        <f>H4</f>
        <v>W64638</v>
      </c>
      <c r="J4" s="19">
        <v>0.70833333333333337</v>
      </c>
      <c r="K4" s="17">
        <v>0.6972222222222223</v>
      </c>
      <c r="L4" s="19">
        <v>0.72916666666666663</v>
      </c>
      <c r="M4" s="17">
        <v>0.78472222222222221</v>
      </c>
      <c r="N4" s="15" t="s">
        <v>289</v>
      </c>
      <c r="O4" s="15" t="s">
        <v>33</v>
      </c>
      <c r="P4" s="15">
        <v>609</v>
      </c>
      <c r="Q4" s="15" t="s">
        <v>33</v>
      </c>
      <c r="R4" s="15">
        <v>0</v>
      </c>
      <c r="S4" s="15" t="s">
        <v>33</v>
      </c>
      <c r="T4" s="15">
        <v>0</v>
      </c>
      <c r="U4" s="15" t="s">
        <v>33</v>
      </c>
    </row>
    <row r="5" spans="1:21" x14ac:dyDescent="0.25">
      <c r="A5" s="20"/>
      <c r="B5" s="4"/>
      <c r="C5" s="4"/>
      <c r="D5" s="4"/>
      <c r="E5" s="4"/>
      <c r="F5" s="4"/>
      <c r="G5" s="4"/>
      <c r="H5" s="4"/>
      <c r="I5" s="4"/>
      <c r="J5" s="6"/>
      <c r="K5" s="7"/>
      <c r="L5" s="7"/>
      <c r="M5" s="7"/>
      <c r="N5" s="4"/>
      <c r="O5" s="4"/>
      <c r="P5" s="4"/>
      <c r="Q5" s="4"/>
      <c r="R5" s="4"/>
      <c r="S5" s="4"/>
      <c r="T5" s="4"/>
      <c r="U5" s="4"/>
    </row>
    <row r="7" spans="1:2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2022-03-31T16:57:00Z</dcterms:modified>
</cp:coreProperties>
</file>