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65" windowWidth="14805" windowHeight="5250" tabRatio="819" firstSheet="3" activeTab="30"/>
  </bookViews>
  <sheets>
    <sheet name="01" sheetId="57" r:id="rId1"/>
    <sheet name="02" sheetId="58" r:id="rId2"/>
    <sheet name="03" sheetId="59" r:id="rId3"/>
    <sheet name="04" sheetId="60" r:id="rId4"/>
    <sheet name="05" sheetId="61" r:id="rId5"/>
    <sheet name="06" sheetId="62" r:id="rId6"/>
    <sheet name="07" sheetId="63" r:id="rId7"/>
    <sheet name="08" sheetId="64" r:id="rId8"/>
    <sheet name="09" sheetId="65" r:id="rId9"/>
    <sheet name="10" sheetId="66" r:id="rId10"/>
    <sheet name="11" sheetId="67" r:id="rId11"/>
    <sheet name="12" sheetId="68" r:id="rId12"/>
    <sheet name="13" sheetId="69" r:id="rId13"/>
    <sheet name="14" sheetId="70" r:id="rId14"/>
    <sheet name="15" sheetId="71" r:id="rId15"/>
    <sheet name="16" sheetId="72" r:id="rId16"/>
    <sheet name="17" sheetId="73" r:id="rId17"/>
    <sheet name="18" sheetId="74" r:id="rId18"/>
    <sheet name="19" sheetId="75" r:id="rId19"/>
    <sheet name="20" sheetId="76" r:id="rId20"/>
    <sheet name="21" sheetId="77" r:id="rId21"/>
    <sheet name="22" sheetId="78" r:id="rId22"/>
    <sheet name="23" sheetId="79" r:id="rId23"/>
    <sheet name="24" sheetId="80" r:id="rId24"/>
    <sheet name="25" sheetId="81" r:id="rId25"/>
    <sheet name="26" sheetId="82" r:id="rId26"/>
    <sheet name="27" sheetId="83" r:id="rId27"/>
    <sheet name="28" sheetId="84" r:id="rId28"/>
    <sheet name="29" sheetId="85" r:id="rId29"/>
    <sheet name="30" sheetId="86" r:id="rId30"/>
    <sheet name="31" sheetId="87" r:id="rId31"/>
  </sheets>
  <calcPr calcId="145621"/>
</workbook>
</file>

<file path=xl/calcChain.xml><?xml version="1.0" encoding="utf-8"?>
<calcChain xmlns="http://schemas.openxmlformats.org/spreadsheetml/2006/main">
  <c r="E5" i="87" l="1"/>
  <c r="E4" i="87"/>
  <c r="K5" i="83" l="1"/>
  <c r="K4" i="83" l="1"/>
  <c r="E5" i="82" l="1"/>
  <c r="E3" i="82"/>
  <c r="M4" i="81" l="1"/>
  <c r="E4" i="81" l="1"/>
  <c r="I8" i="75" l="1"/>
  <c r="H8" i="75"/>
  <c r="I5" i="71" l="1"/>
  <c r="E7" i="70" l="1"/>
  <c r="E6" i="70"/>
  <c r="E5" i="70"/>
  <c r="E4" i="70"/>
  <c r="I5" i="64" l="1"/>
  <c r="I4" i="64"/>
  <c r="H5" i="64"/>
  <c r="H4" i="64"/>
  <c r="F5" i="64"/>
  <c r="D5" i="64"/>
  <c r="C5" i="64"/>
  <c r="B5" i="64"/>
</calcChain>
</file>

<file path=xl/sharedStrings.xml><?xml version="1.0" encoding="utf-8"?>
<sst xmlns="http://schemas.openxmlformats.org/spreadsheetml/2006/main" count="2076" uniqueCount="352">
  <si>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</si>
  <si>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</si>
  <si>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</si>
  <si>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</si>
  <si>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</si>
  <si>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</si>
  <si>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</si>
  <si>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</si>
  <si>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</si>
  <si>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</si>
  <si>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</si>
  <si>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</si>
  <si>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</si>
  <si>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</si>
  <si>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</si>
  <si>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</si>
  <si>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</si>
  <si>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</si>
  <si>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</si>
  <si>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</si>
  <si>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</si>
  <si>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</si>
  <si>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</si>
  <si>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</si>
  <si>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TZL-DTM-TZL</t>
  </si>
  <si>
    <t>W64298</t>
  </si>
  <si>
    <t>W64297</t>
  </si>
  <si>
    <t>HA-LWO</t>
  </si>
  <si>
    <t>HA-LWV</t>
  </si>
  <si>
    <t>TZL-CGN-TZL</t>
  </si>
  <si>
    <t>W64300</t>
  </si>
  <si>
    <t>W64299</t>
  </si>
  <si>
    <t>168+0 INF</t>
  </si>
  <si>
    <t>170+7 INF</t>
  </si>
  <si>
    <t>177+2 INF</t>
  </si>
  <si>
    <t>170+0 INF</t>
  </si>
  <si>
    <t>TZL-MMX-TZL</t>
  </si>
  <si>
    <t>W64292</t>
  </si>
  <si>
    <t>W64291</t>
  </si>
  <si>
    <t>TZL-FDH-TZL</t>
  </si>
  <si>
    <t>W64616</t>
  </si>
  <si>
    <t>W64615</t>
  </si>
  <si>
    <t>TZL-NUE-TZL</t>
  </si>
  <si>
    <t>W64614</t>
  </si>
  <si>
    <t>W64613</t>
  </si>
  <si>
    <t>TZL-NYO-TZL</t>
  </si>
  <si>
    <t>W64282</t>
  </si>
  <si>
    <t>W64281</t>
  </si>
  <si>
    <t>TZL-FKB-TZL</t>
  </si>
  <si>
    <t>W64618</t>
  </si>
  <si>
    <t>W64617</t>
  </si>
  <si>
    <t>168+1 INF</t>
  </si>
  <si>
    <t>150+5 INF</t>
  </si>
  <si>
    <t>155+2 INF</t>
  </si>
  <si>
    <t>171+4 INF</t>
  </si>
  <si>
    <t>107+3 INF</t>
  </si>
  <si>
    <t>148+2 INF</t>
  </si>
  <si>
    <t>151+0 INF</t>
  </si>
  <si>
    <t>147+6 INF</t>
  </si>
  <si>
    <t>168+4 INF</t>
  </si>
  <si>
    <t>89+1 INF</t>
  </si>
  <si>
    <t>TZL-BER-TZL</t>
  </si>
  <si>
    <t>W64276</t>
  </si>
  <si>
    <t>W64275</t>
  </si>
  <si>
    <t>TZL-GOT-TZL</t>
  </si>
  <si>
    <t>W64296</t>
  </si>
  <si>
    <t>W64295</t>
  </si>
  <si>
    <t>TZL-FMM-TZL</t>
  </si>
  <si>
    <t>W64280</t>
  </si>
  <si>
    <t>W64279</t>
  </si>
  <si>
    <t>TZL-VIE-TZL</t>
  </si>
  <si>
    <t>W64286</t>
  </si>
  <si>
    <t>W64285</t>
  </si>
  <si>
    <t>TZL-HHN-TZL</t>
  </si>
  <si>
    <t>W64284</t>
  </si>
  <si>
    <t>W64283</t>
  </si>
  <si>
    <t>TZL-MLH-TZL</t>
  </si>
  <si>
    <t>W64294</t>
  </si>
  <si>
    <t>W64293</t>
  </si>
  <si>
    <t>HALWV</t>
  </si>
  <si>
    <t>HALWO</t>
  </si>
  <si>
    <t>HALWO/HALYM</t>
  </si>
  <si>
    <t>155+4 INF</t>
  </si>
  <si>
    <t>140+1 INF</t>
  </si>
  <si>
    <t>173+4 INF</t>
  </si>
  <si>
    <t>159+1 INF</t>
  </si>
  <si>
    <t>175+2 INF</t>
  </si>
  <si>
    <t>161+2 INF</t>
  </si>
  <si>
    <t>165+1 INF</t>
  </si>
  <si>
    <t>177+5 INF</t>
  </si>
  <si>
    <t>178+6 INF</t>
  </si>
  <si>
    <t>135+5 INF</t>
  </si>
  <si>
    <t>179+5 INF</t>
  </si>
  <si>
    <t>HA-LYM</t>
  </si>
  <si>
    <t>172+4 INF</t>
  </si>
  <si>
    <t>170+2 INF</t>
  </si>
  <si>
    <t>163+3 INF</t>
  </si>
  <si>
    <t>159+5 INF</t>
  </si>
  <si>
    <t>164+3 INF</t>
  </si>
  <si>
    <t>119+4 INF</t>
  </si>
  <si>
    <t>170+1 INF</t>
  </si>
  <si>
    <t>BEG-TZL-NAP</t>
  </si>
  <si>
    <t>HA-LWL</t>
  </si>
  <si>
    <t>FERRY IN/OUT</t>
  </si>
  <si>
    <t>W69005</t>
  </si>
  <si>
    <t>W69006</t>
  </si>
  <si>
    <t>SMATSA Beograd</t>
  </si>
  <si>
    <t>OMO-TZL</t>
  </si>
  <si>
    <t>B350</t>
  </si>
  <si>
    <t>YU-BTC</t>
  </si>
  <si>
    <t>DOMESTIC</t>
  </si>
  <si>
    <t>-</t>
  </si>
  <si>
    <t>ROP</t>
  </si>
  <si>
    <t xml:space="preserve">ROP </t>
  </si>
  <si>
    <t>176+3INF</t>
  </si>
  <si>
    <t>138+1INF</t>
  </si>
  <si>
    <t>130+1INF</t>
  </si>
  <si>
    <t>8+0 INF</t>
  </si>
  <si>
    <t>76+1 INF</t>
  </si>
  <si>
    <t>97+4 INF</t>
  </si>
  <si>
    <t>149+2 INF</t>
  </si>
  <si>
    <t>169+3 INF</t>
  </si>
  <si>
    <t>163+7 INF</t>
  </si>
  <si>
    <t>174+1 INF</t>
  </si>
  <si>
    <t>77+6 INF</t>
  </si>
  <si>
    <t>SMATSA LLC</t>
  </si>
  <si>
    <t>157+5 INF</t>
  </si>
  <si>
    <t>148+5 INF</t>
  </si>
  <si>
    <t>YU-TC</t>
  </si>
  <si>
    <t>169+4 INF</t>
  </si>
  <si>
    <t>TZL-BNX</t>
  </si>
  <si>
    <t>TZL-TZL</t>
  </si>
  <si>
    <t>180+0 INF</t>
  </si>
  <si>
    <t>176+2 INF</t>
  </si>
  <si>
    <t>100+1 INF</t>
  </si>
  <si>
    <t>164+1 INF</t>
  </si>
  <si>
    <t>173+1 INF</t>
  </si>
  <si>
    <t>167+5 INF</t>
  </si>
  <si>
    <t xml:space="preserve"> 164+4 INF</t>
  </si>
  <si>
    <t>171+3 INF</t>
  </si>
  <si>
    <t>151+3 INF</t>
  </si>
  <si>
    <t>158+3 INF</t>
  </si>
  <si>
    <t>168+3 INF</t>
  </si>
  <si>
    <t>HA-LYM/LYF</t>
  </si>
  <si>
    <t>171+2 INF</t>
  </si>
  <si>
    <t>150+2 INF</t>
  </si>
  <si>
    <t>HA-LYF</t>
  </si>
  <si>
    <t>166+4 INF</t>
  </si>
  <si>
    <t>166+2 INF</t>
  </si>
  <si>
    <t>NIKOLA LOVRIC</t>
  </si>
  <si>
    <t>BEG-TZL-AGB</t>
  </si>
  <si>
    <t>PIVI</t>
  </si>
  <si>
    <t>YU-LOA</t>
  </si>
  <si>
    <t>YU-LOB</t>
  </si>
  <si>
    <t>GA PRIVATE</t>
  </si>
  <si>
    <t>YU-HOH</t>
  </si>
  <si>
    <t>SANI ECO VITA DOO</t>
  </si>
  <si>
    <t>FOČA-TZL-BEG</t>
  </si>
  <si>
    <t>SIKORSKI S-76</t>
  </si>
  <si>
    <t>179+1 INF</t>
  </si>
  <si>
    <t>162+9 INF</t>
  </si>
  <si>
    <t>171+0 INF</t>
  </si>
  <si>
    <t>159+4 INF</t>
  </si>
  <si>
    <t>159+2 INF</t>
  </si>
  <si>
    <t>166+1 INF</t>
  </si>
  <si>
    <t>163+2 INF</t>
  </si>
  <si>
    <t>W64300A</t>
  </si>
  <si>
    <t>135+2 INF</t>
  </si>
  <si>
    <t>158+0 INF</t>
  </si>
  <si>
    <t>165+4 INF</t>
  </si>
  <si>
    <t>138+4 INF</t>
  </si>
  <si>
    <t>169+5 INF</t>
  </si>
  <si>
    <t>167+4 INF</t>
  </si>
  <si>
    <t>146+0 INF</t>
  </si>
  <si>
    <t>162+3 INF</t>
  </si>
  <si>
    <t>138+0 INF</t>
  </si>
  <si>
    <t>154+6 INF</t>
  </si>
  <si>
    <t>HA-LWU</t>
  </si>
  <si>
    <t>141+3 INF</t>
  </si>
  <si>
    <t>144+3 INF</t>
  </si>
  <si>
    <t>167+3INF</t>
  </si>
  <si>
    <t>115+9 INF</t>
  </si>
  <si>
    <t>170+4 INF</t>
  </si>
  <si>
    <t>139+2 INF</t>
  </si>
  <si>
    <t>126+2INF</t>
  </si>
  <si>
    <t>157+3 INF</t>
  </si>
  <si>
    <t>120+2 INF</t>
  </si>
  <si>
    <t>133+5 INF</t>
  </si>
  <si>
    <t>152+5 INF</t>
  </si>
  <si>
    <t>180+3 INF</t>
  </si>
  <si>
    <t>109+1 INF</t>
  </si>
  <si>
    <t>179+3 INF</t>
  </si>
  <si>
    <t>110+0 INF</t>
  </si>
  <si>
    <t>172+1 INF</t>
  </si>
  <si>
    <t>130+1 INF</t>
  </si>
  <si>
    <t>171+1 INF</t>
  </si>
  <si>
    <t>158+2 INF</t>
  </si>
  <si>
    <t>150+1 INF</t>
  </si>
  <si>
    <t>152+4 INF</t>
  </si>
  <si>
    <t>180+7 INF</t>
  </si>
  <si>
    <t>174+2 INF</t>
  </si>
  <si>
    <t>156+1 INF</t>
  </si>
  <si>
    <t>144+7 INF</t>
  </si>
  <si>
    <t>169+1 INF</t>
  </si>
  <si>
    <t>169+7 INF</t>
  </si>
  <si>
    <t>AERO DIENST</t>
  </si>
  <si>
    <t>TGD-TZL-CGN</t>
  </si>
  <si>
    <t>J328</t>
  </si>
  <si>
    <t>D-BADC</t>
  </si>
  <si>
    <t>MEDEVAC</t>
  </si>
  <si>
    <t>ADN16C</t>
  </si>
  <si>
    <t>2+0 INF</t>
  </si>
  <si>
    <t>174+3 INF</t>
  </si>
  <si>
    <t>162+1 INF</t>
  </si>
  <si>
    <t>161+5 INF</t>
  </si>
  <si>
    <t>162+7 INF</t>
  </si>
  <si>
    <t>176+1 INF</t>
  </si>
  <si>
    <t>129+2 INF</t>
  </si>
  <si>
    <t>126+3 INF</t>
  </si>
  <si>
    <t>172+2 INF</t>
  </si>
  <si>
    <t>132+1INF</t>
  </si>
  <si>
    <t>151+0INF</t>
  </si>
  <si>
    <t>143+4 INF</t>
  </si>
  <si>
    <t>162+4 INF</t>
  </si>
  <si>
    <t>156+2 INF</t>
  </si>
  <si>
    <t>173+2 INF</t>
  </si>
  <si>
    <t>166+2INF</t>
  </si>
  <si>
    <t>179+3INF</t>
  </si>
  <si>
    <t>140+5INF</t>
  </si>
  <si>
    <t>167+2INF</t>
  </si>
  <si>
    <t>158+4 INF</t>
  </si>
  <si>
    <t>151+6 INF</t>
  </si>
  <si>
    <t>165+5 INF</t>
  </si>
  <si>
    <t>MARKUS KARNER</t>
  </si>
  <si>
    <t>LOAV-TZL-LOAV</t>
  </si>
  <si>
    <t>PA46</t>
  </si>
  <si>
    <t>OE-KAR</t>
  </si>
  <si>
    <t>1+0 INF</t>
  </si>
  <si>
    <t>128+3 INF</t>
  </si>
  <si>
    <t>128+2 INF</t>
  </si>
  <si>
    <t>97+0 INF</t>
  </si>
  <si>
    <t>107+2 INF</t>
  </si>
  <si>
    <t>146+6 INF</t>
  </si>
  <si>
    <t>167+6 INF</t>
  </si>
  <si>
    <t>3+0 INF</t>
  </si>
  <si>
    <t>162+5 INF</t>
  </si>
  <si>
    <t>165+0 INF</t>
  </si>
  <si>
    <t>58+0 INF</t>
  </si>
  <si>
    <t>164+0 INF</t>
  </si>
  <si>
    <t>143+2INF</t>
  </si>
  <si>
    <t>146+1INF</t>
  </si>
  <si>
    <t>MMX-TZL</t>
  </si>
  <si>
    <t>164+5 INF</t>
  </si>
  <si>
    <t>TIA-TZL-TIA</t>
  </si>
  <si>
    <t>A321</t>
  </si>
  <si>
    <t>HA-LXM</t>
  </si>
  <si>
    <t>W6805</t>
  </si>
  <si>
    <t>W6806</t>
  </si>
  <si>
    <t>154+1 INF</t>
  </si>
  <si>
    <t>167+7 INF</t>
  </si>
  <si>
    <t>146+3 INF</t>
  </si>
  <si>
    <t>HA-LWP</t>
  </si>
  <si>
    <t>178+0 INF</t>
  </si>
  <si>
    <t>HA-LWU/LYW</t>
  </si>
  <si>
    <t>175+4 INF</t>
  </si>
  <si>
    <t>180+2 INF</t>
  </si>
  <si>
    <t>167+1 INF</t>
  </si>
  <si>
    <t>147+0 INF</t>
  </si>
  <si>
    <t>157+1INF</t>
  </si>
  <si>
    <t>118+4 INF</t>
  </si>
  <si>
    <t>HA-LYW</t>
  </si>
  <si>
    <t>161+3 INF</t>
  </si>
  <si>
    <t>162+6INF</t>
  </si>
  <si>
    <t>138+3INF</t>
  </si>
  <si>
    <t>157+4INF</t>
  </si>
  <si>
    <t>117+3 INF</t>
  </si>
  <si>
    <t>150+7 INF</t>
  </si>
  <si>
    <t>HA-LWP/LYE</t>
  </si>
  <si>
    <t>139+4 INF</t>
  </si>
  <si>
    <t>176+4 INF</t>
  </si>
  <si>
    <t>HA-LYE</t>
  </si>
  <si>
    <t>150+3 INF</t>
  </si>
  <si>
    <t>156+5 INF</t>
  </si>
  <si>
    <t>133+4 INF</t>
  </si>
  <si>
    <t>VIE-TZL-VIE</t>
  </si>
  <si>
    <t>TZL-CRL</t>
  </si>
  <si>
    <t>HA-LZV</t>
  </si>
  <si>
    <t>INT.NONSCHEDULED</t>
  </si>
  <si>
    <t>W6401</t>
  </si>
  <si>
    <t>SKP-TZL</t>
  </si>
  <si>
    <t>W6402</t>
  </si>
  <si>
    <t xml:space="preserve">AIRLINK LUFTVERKEHRS </t>
  </si>
  <si>
    <t>SZG-TZL</t>
  </si>
  <si>
    <t>SR22</t>
  </si>
  <si>
    <t>N714VU</t>
  </si>
  <si>
    <t>JAR18</t>
  </si>
  <si>
    <t>145+3 INF</t>
  </si>
  <si>
    <t>137+2 INF</t>
  </si>
  <si>
    <t>121+6 INF</t>
  </si>
  <si>
    <t>CREW ONLY</t>
  </si>
  <si>
    <t>169+0 INF</t>
  </si>
  <si>
    <t>68+1 INF</t>
  </si>
  <si>
    <t>163+4 INF</t>
  </si>
  <si>
    <t>136+2 INF</t>
  </si>
  <si>
    <t>TZL-SZG</t>
  </si>
  <si>
    <t>S322</t>
  </si>
  <si>
    <t>N714UV</t>
  </si>
  <si>
    <t>AIRLINK LUFTVERKEHRS GMBH</t>
  </si>
  <si>
    <t>173+3 INF</t>
  </si>
  <si>
    <t>172+0 INF</t>
  </si>
  <si>
    <t>159+0 INF</t>
  </si>
  <si>
    <t>175+1 INF</t>
  </si>
  <si>
    <t>164+ 7 INF</t>
  </si>
  <si>
    <t>HAM-TZL-HAM</t>
  </si>
  <si>
    <t>MMX-TZL-MMX</t>
  </si>
  <si>
    <t>HA-LTD</t>
  </si>
  <si>
    <t>HA-LXC</t>
  </si>
  <si>
    <t>W64382</t>
  </si>
  <si>
    <t>W64381</t>
  </si>
  <si>
    <t>W64358</t>
  </si>
  <si>
    <t>W64357</t>
  </si>
  <si>
    <t>190+6 INF</t>
  </si>
  <si>
    <t>183+0 INF</t>
  </si>
  <si>
    <t>DIVERTED/FERRY OUT</t>
  </si>
  <si>
    <t>176+3 INF</t>
  </si>
  <si>
    <t>147+7 INF</t>
  </si>
  <si>
    <t>158+1 INF</t>
  </si>
  <si>
    <t>166+6 INF</t>
  </si>
  <si>
    <t>160+4 INF</t>
  </si>
  <si>
    <t>HA-LYZ</t>
  </si>
  <si>
    <t>185+2 INF</t>
  </si>
  <si>
    <t>184+3 INF</t>
  </si>
  <si>
    <t>166+0 INF</t>
  </si>
  <si>
    <t>162+2 INF</t>
  </si>
  <si>
    <t>144+0 INF</t>
  </si>
  <si>
    <t>168+2 INF</t>
  </si>
  <si>
    <t>172+3 INF</t>
  </si>
  <si>
    <t>167+3 INF</t>
  </si>
  <si>
    <t>163+0 INF</t>
  </si>
  <si>
    <t>175+0 INF</t>
  </si>
  <si>
    <t>166+3 INF</t>
  </si>
  <si>
    <t>170+3 INF</t>
  </si>
  <si>
    <t>151+1 INF</t>
  </si>
  <si>
    <t>177+3 INF</t>
  </si>
  <si>
    <t>199+3 INF</t>
  </si>
  <si>
    <t>174+6 INF</t>
  </si>
  <si>
    <t>NCE-TZL-BEG</t>
  </si>
  <si>
    <t>EIN-TZL-BEG</t>
  </si>
  <si>
    <t>W64026</t>
  </si>
  <si>
    <t>W64072</t>
  </si>
  <si>
    <t>31.11.2022</t>
  </si>
  <si>
    <t>DIVERTED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</si>
</sst>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/>
    <xf numFmtId="0" fontId="2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horizont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E1" workbookViewId="0">
      <selection activeCell="A3" sqref="A3:U3"/>
    </sheetView>
  </sheetViews>
  <sheetFormatPr defaultRowHeight="15" x14ac:dyDescent="0.25"/>
  <cols>
    <col min="1" max="1" width="10.140625" bestFit="1" customWidth="1"/>
    <col min="2" max="2" width="15.28515625" customWidth="1"/>
    <col min="3" max="3" width="14" customWidth="1"/>
    <col min="6" max="6" width="12.710937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44835</v>
      </c>
      <c r="B2" s="3" t="s">
        <v>21</v>
      </c>
      <c r="C2" s="3" t="s">
        <v>29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0.57916666666666672</v>
      </c>
      <c r="L2" s="4">
        <v>0.28125</v>
      </c>
      <c r="M2" s="5">
        <v>0.29166666666666669</v>
      </c>
      <c r="N2" s="3" t="s">
        <v>34</v>
      </c>
      <c r="O2" s="3" t="s">
        <v>32</v>
      </c>
      <c r="P2" s="3">
        <v>1307</v>
      </c>
      <c r="Q2" s="3">
        <v>887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44835</v>
      </c>
      <c r="B3" s="3" t="s">
        <v>21</v>
      </c>
      <c r="C3" s="3" t="s">
        <v>24</v>
      </c>
      <c r="D3" s="3" t="s">
        <v>22</v>
      </c>
      <c r="E3" s="3" t="s">
        <v>27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0.82986111111111116</v>
      </c>
      <c r="K3" s="5">
        <v>0.95277777777777783</v>
      </c>
      <c r="L3" s="4">
        <v>0.40972222222222227</v>
      </c>
      <c r="M3" s="5">
        <v>0.5</v>
      </c>
      <c r="N3" s="3" t="s">
        <v>35</v>
      </c>
      <c r="O3" s="3" t="s">
        <v>33</v>
      </c>
      <c r="P3" s="3">
        <v>1320</v>
      </c>
      <c r="Q3" s="3">
        <v>1172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x14ac:dyDescent="0.25">
      <c r="A5" s="2"/>
      <c r="B5" s="3"/>
      <c r="C5" s="3"/>
      <c r="D5" s="3"/>
      <c r="E5" s="3"/>
      <c r="F5" s="3"/>
      <c r="G5" s="9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  <row r="6" spans="1:21" s="3" customFormat="1" ht="12.75" x14ac:dyDescent="0.25">
      <c r="A6" s="2"/>
      <c r="G6" s="9"/>
      <c r="J6" s="4"/>
      <c r="K6" s="5"/>
      <c r="L6" s="4"/>
      <c r="M6" s="5"/>
    </row>
    <row r="7" spans="1:21" s="6" customFormat="1" ht="12.75" x14ac:dyDescent="0.2">
      <c r="A7" s="2"/>
      <c r="B7" s="3"/>
      <c r="C7" s="3"/>
      <c r="D7" s="3"/>
      <c r="E7" s="3"/>
      <c r="F7" s="3"/>
      <c r="G7" s="9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opLeftCell="I1" workbookViewId="0">
      <selection activeCell="A6" sqref="A6:U6"/>
    </sheetView>
  </sheetViews>
  <sheetFormatPr defaultRowHeight="15" x14ac:dyDescent="0.25"/>
  <cols>
    <col min="1" max="1" width="14" bestFit="1" customWidth="1"/>
    <col min="3" max="3" width="13.5703125" bestFit="1" customWidth="1"/>
    <col min="6" max="6" width="12.710937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44836</v>
      </c>
      <c r="B2" s="3" t="s">
        <v>21</v>
      </c>
      <c r="C2" s="3" t="s">
        <v>36</v>
      </c>
      <c r="D2" s="3" t="s">
        <v>22</v>
      </c>
      <c r="E2" s="3" t="s">
        <v>27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0.44444444444444442</v>
      </c>
      <c r="L2" s="4">
        <v>0.25694444444444448</v>
      </c>
      <c r="M2" s="5">
        <v>0.25694444444444448</v>
      </c>
      <c r="N2" s="3" t="s">
        <v>53</v>
      </c>
      <c r="O2" s="3" t="s">
        <v>51</v>
      </c>
      <c r="P2" s="3">
        <v>867</v>
      </c>
      <c r="Q2" s="3">
        <v>1180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44836</v>
      </c>
      <c r="B3" s="3" t="s">
        <v>21</v>
      </c>
      <c r="C3" s="3" t="s">
        <v>39</v>
      </c>
      <c r="D3" s="3" t="s">
        <v>22</v>
      </c>
      <c r="E3" s="3" t="s">
        <v>28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0.43055555555555558</v>
      </c>
      <c r="L3" s="4">
        <v>0.28472222222222221</v>
      </c>
      <c r="M3" s="5">
        <v>0.2902777777777778</v>
      </c>
      <c r="N3" s="3" t="s">
        <v>54</v>
      </c>
      <c r="O3" s="3" t="s">
        <v>52</v>
      </c>
      <c r="P3" s="3">
        <v>1046</v>
      </c>
      <c r="Q3" s="3">
        <v>618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44836</v>
      </c>
      <c r="B4" s="3" t="s">
        <v>21</v>
      </c>
      <c r="C4" s="3" t="s">
        <v>48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0.62847222222222221</v>
      </c>
      <c r="K4" s="5">
        <v>0.64652777777777781</v>
      </c>
      <c r="L4" s="4">
        <v>0.45833333333333331</v>
      </c>
      <c r="M4" s="5">
        <v>0.4777777777777778</v>
      </c>
      <c r="N4" s="3" t="s">
        <v>57</v>
      </c>
      <c r="O4" s="3" t="s">
        <v>55</v>
      </c>
      <c r="P4" s="3">
        <v>579</v>
      </c>
      <c r="Q4" s="3">
        <v>676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44836</v>
      </c>
      <c r="B5" s="3" t="s">
        <v>21</v>
      </c>
      <c r="C5" s="3" t="s">
        <v>42</v>
      </c>
      <c r="D5" s="3" t="s">
        <v>22</v>
      </c>
      <c r="E5" s="3" t="s">
        <v>27</v>
      </c>
      <c r="F5" s="3" t="s">
        <v>23</v>
      </c>
      <c r="G5" s="9">
        <v>70000</v>
      </c>
      <c r="H5" s="3" t="s">
        <v>43</v>
      </c>
      <c r="I5" s="3" t="s">
        <v>44</v>
      </c>
      <c r="J5" s="4">
        <v>0.64583333333333337</v>
      </c>
      <c r="K5" s="5">
        <v>0.6958333333333333</v>
      </c>
      <c r="L5" s="4">
        <v>0.48958333333333331</v>
      </c>
      <c r="M5" s="5">
        <v>0.53819444444444442</v>
      </c>
      <c r="N5" s="3" t="s">
        <v>58</v>
      </c>
      <c r="O5" s="3" t="s">
        <v>56</v>
      </c>
      <c r="P5" s="3">
        <v>781</v>
      </c>
      <c r="Q5" s="3">
        <v>626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44836</v>
      </c>
      <c r="B6" s="3" t="s">
        <v>21</v>
      </c>
      <c r="C6" s="3" t="s">
        <v>45</v>
      </c>
      <c r="D6" s="3" t="s">
        <v>22</v>
      </c>
      <c r="E6" s="3" t="s">
        <v>27</v>
      </c>
      <c r="F6" s="3" t="s">
        <v>23</v>
      </c>
      <c r="G6" s="9">
        <v>70000</v>
      </c>
      <c r="H6" s="3" t="s">
        <v>46</v>
      </c>
      <c r="I6" s="3" t="s">
        <v>47</v>
      </c>
      <c r="J6" s="4">
        <v>0.90277777777777779</v>
      </c>
      <c r="K6" s="5">
        <v>0.9375</v>
      </c>
      <c r="L6" s="4">
        <v>0.66666666666666663</v>
      </c>
      <c r="M6" s="5">
        <v>0.72638888888888886</v>
      </c>
      <c r="N6" s="3" t="s">
        <v>60</v>
      </c>
      <c r="O6" s="3" t="s">
        <v>59</v>
      </c>
      <c r="P6" s="3">
        <v>429</v>
      </c>
      <c r="Q6" s="3">
        <v>1232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K8" sqref="K8"/>
    </sheetView>
  </sheetViews>
  <sheetFormatPr defaultRowHeight="15" x14ac:dyDescent="0.25"/>
  <cols>
    <col min="3" max="3" width="13.5703125" customWidth="1"/>
    <col min="14" max="15" width="18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/>
      <c r="W1" s="6"/>
    </row>
    <row r="2" spans="1:23" x14ac:dyDescent="0.25">
      <c r="A2" s="2">
        <v>44837</v>
      </c>
      <c r="B2" s="3" t="s">
        <v>21</v>
      </c>
      <c r="C2" s="3" t="s">
        <v>61</v>
      </c>
      <c r="D2" s="3" t="s">
        <v>22</v>
      </c>
      <c r="E2" s="10" t="s">
        <v>79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0.44375000000000003</v>
      </c>
      <c r="L2" s="4">
        <v>0.25694444444444448</v>
      </c>
      <c r="M2" s="5">
        <v>0.27361111111111108</v>
      </c>
      <c r="N2" s="3" t="s">
        <v>83</v>
      </c>
      <c r="O2" s="3" t="s">
        <v>82</v>
      </c>
      <c r="P2" s="3">
        <v>720</v>
      </c>
      <c r="Q2" s="3">
        <v>695</v>
      </c>
      <c r="R2" s="3">
        <v>0</v>
      </c>
      <c r="S2" s="3">
        <v>0</v>
      </c>
      <c r="T2" s="3">
        <v>0</v>
      </c>
      <c r="U2" s="3">
        <v>0</v>
      </c>
      <c r="V2" s="6"/>
      <c r="W2" s="6"/>
    </row>
    <row r="3" spans="1:23" x14ac:dyDescent="0.25">
      <c r="A3" s="2">
        <v>44837</v>
      </c>
      <c r="B3" s="3" t="s">
        <v>21</v>
      </c>
      <c r="C3" s="3" t="s">
        <v>64</v>
      </c>
      <c r="D3" s="3" t="s">
        <v>22</v>
      </c>
      <c r="E3" s="10" t="s">
        <v>80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0.5131944444444444</v>
      </c>
      <c r="L3" s="4">
        <v>0.28125</v>
      </c>
      <c r="M3" s="5">
        <v>0.29236111111111113</v>
      </c>
      <c r="N3" s="3" t="s">
        <v>85</v>
      </c>
      <c r="O3" s="3" t="s">
        <v>84</v>
      </c>
      <c r="P3" s="3">
        <v>926</v>
      </c>
      <c r="Q3" s="3">
        <v>1728</v>
      </c>
      <c r="R3" s="3">
        <v>0</v>
      </c>
      <c r="S3" s="3">
        <v>0</v>
      </c>
      <c r="T3" s="3">
        <v>0</v>
      </c>
      <c r="U3" s="3">
        <v>0</v>
      </c>
      <c r="V3" s="6"/>
      <c r="W3" s="6"/>
    </row>
    <row r="4" spans="1:23" x14ac:dyDescent="0.25">
      <c r="A4" s="2">
        <v>44837</v>
      </c>
      <c r="B4" s="3" t="s">
        <v>21</v>
      </c>
      <c r="C4" s="3" t="s">
        <v>67</v>
      </c>
      <c r="D4" s="3" t="s">
        <v>22</v>
      </c>
      <c r="E4" s="10" t="s">
        <v>79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0.6333333333333333</v>
      </c>
      <c r="L4" s="4">
        <v>0.46180555555555558</v>
      </c>
      <c r="M4" s="5">
        <v>0.47222222222222227</v>
      </c>
      <c r="N4" s="3" t="s">
        <v>90</v>
      </c>
      <c r="O4" s="3" t="s">
        <v>86</v>
      </c>
      <c r="P4" s="3">
        <v>926</v>
      </c>
      <c r="Q4" s="3">
        <v>563</v>
      </c>
      <c r="R4" s="3">
        <v>0</v>
      </c>
      <c r="S4" s="3">
        <v>0</v>
      </c>
      <c r="T4" s="3">
        <v>0</v>
      </c>
      <c r="U4" s="3">
        <v>0</v>
      </c>
      <c r="V4" s="6"/>
      <c r="W4" s="6"/>
    </row>
    <row r="5" spans="1:23" x14ac:dyDescent="0.25">
      <c r="A5" s="2">
        <v>44837</v>
      </c>
      <c r="B5" s="3" t="s">
        <v>21</v>
      </c>
      <c r="C5" s="6" t="s">
        <v>70</v>
      </c>
      <c r="D5" s="3" t="s">
        <v>22</v>
      </c>
      <c r="E5" s="10" t="s">
        <v>80</v>
      </c>
      <c r="F5" s="1" t="s">
        <v>23</v>
      </c>
      <c r="G5" s="3">
        <v>70000</v>
      </c>
      <c r="H5" s="6" t="s">
        <v>71</v>
      </c>
      <c r="I5" s="6" t="s">
        <v>72</v>
      </c>
      <c r="J5" s="7">
        <v>0.75694444444444453</v>
      </c>
      <c r="K5" s="8">
        <v>0.75694444444444453</v>
      </c>
      <c r="L5" s="7">
        <v>0.64236111111111105</v>
      </c>
      <c r="M5" s="8">
        <v>0.64374999999999993</v>
      </c>
      <c r="N5" s="3" t="s">
        <v>91</v>
      </c>
      <c r="O5" s="3" t="s">
        <v>87</v>
      </c>
      <c r="P5" s="6">
        <v>571</v>
      </c>
      <c r="Q5" s="6">
        <v>371</v>
      </c>
      <c r="R5" s="6">
        <v>0</v>
      </c>
      <c r="S5" s="6">
        <v>0</v>
      </c>
      <c r="T5" s="6">
        <v>0</v>
      </c>
      <c r="U5" s="6">
        <v>0</v>
      </c>
      <c r="V5" s="6"/>
      <c r="W5" s="6"/>
    </row>
    <row r="6" spans="1:23" x14ac:dyDescent="0.25">
      <c r="A6" s="2">
        <v>44837</v>
      </c>
      <c r="B6" s="3" t="s">
        <v>21</v>
      </c>
      <c r="C6" s="6" t="s">
        <v>73</v>
      </c>
      <c r="D6" s="3" t="s">
        <v>22</v>
      </c>
      <c r="E6" s="10" t="s">
        <v>79</v>
      </c>
      <c r="F6" s="1" t="s">
        <v>23</v>
      </c>
      <c r="G6" s="3">
        <v>70000</v>
      </c>
      <c r="H6" s="6" t="s">
        <v>74</v>
      </c>
      <c r="I6" s="6" t="s">
        <v>75</v>
      </c>
      <c r="J6" s="7">
        <v>0.96180555555555547</v>
      </c>
      <c r="K6" s="8">
        <v>0.96458333333333324</v>
      </c>
      <c r="L6" s="7">
        <v>0.77777777777777779</v>
      </c>
      <c r="M6" s="8">
        <v>0.78402777777777777</v>
      </c>
      <c r="N6" s="3" t="s">
        <v>82</v>
      </c>
      <c r="O6" s="3" t="s">
        <v>88</v>
      </c>
      <c r="P6" s="6">
        <v>999</v>
      </c>
      <c r="Q6" s="6">
        <v>572</v>
      </c>
      <c r="R6" s="6">
        <v>0</v>
      </c>
      <c r="S6" s="6">
        <v>0</v>
      </c>
      <c r="T6" s="6">
        <v>0</v>
      </c>
      <c r="U6" s="6">
        <v>0</v>
      </c>
      <c r="V6" s="6"/>
      <c r="W6" s="6"/>
    </row>
    <row r="7" spans="1:23" x14ac:dyDescent="0.25">
      <c r="A7" s="2">
        <v>44837</v>
      </c>
      <c r="B7" s="3" t="s">
        <v>21</v>
      </c>
      <c r="C7" s="6" t="s">
        <v>76</v>
      </c>
      <c r="D7" s="3" t="s">
        <v>22</v>
      </c>
      <c r="E7" s="10" t="s">
        <v>81</v>
      </c>
      <c r="F7" s="1" t="s">
        <v>23</v>
      </c>
      <c r="G7" s="3">
        <v>70000</v>
      </c>
      <c r="H7" s="6" t="s">
        <v>77</v>
      </c>
      <c r="I7" s="6" t="s">
        <v>78</v>
      </c>
      <c r="J7" s="7">
        <v>0.97569444444444453</v>
      </c>
      <c r="K7" s="8">
        <v>0.9784722222222223</v>
      </c>
      <c r="L7" s="7">
        <v>0.77777777777777779</v>
      </c>
      <c r="M7" s="8">
        <v>0.79513888888888884</v>
      </c>
      <c r="N7" s="3" t="s">
        <v>92</v>
      </c>
      <c r="O7" s="3" t="s">
        <v>89</v>
      </c>
      <c r="P7" s="6">
        <v>979</v>
      </c>
      <c r="Q7" s="6">
        <v>911</v>
      </c>
      <c r="R7" s="6">
        <v>0</v>
      </c>
      <c r="S7" s="6">
        <v>0</v>
      </c>
      <c r="T7" s="6">
        <v>0</v>
      </c>
      <c r="U7" s="6">
        <v>0</v>
      </c>
      <c r="V7" s="6"/>
      <c r="W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sqref="A1:U6"/>
    </sheetView>
  </sheetViews>
  <sheetFormatPr defaultRowHeight="15" x14ac:dyDescent="0.25"/>
  <cols>
    <col min="3" max="3" width="16.42578125" customWidth="1"/>
    <col min="6" max="6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44838</v>
      </c>
      <c r="B2" s="3" t="s">
        <v>21</v>
      </c>
      <c r="C2" s="3" t="s">
        <v>29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0.46666666666666662</v>
      </c>
      <c r="L2" s="4">
        <v>0.28125</v>
      </c>
      <c r="M2" s="5">
        <v>0.28611111111111115</v>
      </c>
      <c r="N2" s="3" t="s">
        <v>96</v>
      </c>
      <c r="O2" s="3" t="s">
        <v>94</v>
      </c>
      <c r="P2" s="3">
        <v>948</v>
      </c>
      <c r="Q2" s="3">
        <v>924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44838</v>
      </c>
      <c r="B3" s="3" t="s">
        <v>21</v>
      </c>
      <c r="C3" s="3" t="s">
        <v>24</v>
      </c>
      <c r="D3" s="3" t="s">
        <v>22</v>
      </c>
      <c r="E3" s="3" t="s">
        <v>93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0.82986111111111116</v>
      </c>
      <c r="K3" s="5">
        <v>0.82708333333333339</v>
      </c>
      <c r="L3" s="4">
        <v>0.40972222222222227</v>
      </c>
      <c r="M3" s="5">
        <v>0.40972222222222227</v>
      </c>
      <c r="N3" s="3" t="s">
        <v>98</v>
      </c>
      <c r="O3" s="3" t="s">
        <v>95</v>
      </c>
      <c r="P3" s="3">
        <v>817</v>
      </c>
      <c r="Q3" s="3">
        <v>670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44838</v>
      </c>
      <c r="B4" s="16" t="s">
        <v>21</v>
      </c>
      <c r="C4" s="3" t="s">
        <v>48</v>
      </c>
      <c r="D4" s="17" t="s">
        <v>22</v>
      </c>
      <c r="E4" s="17" t="s">
        <v>28</v>
      </c>
      <c r="F4" s="17" t="s">
        <v>23</v>
      </c>
      <c r="G4" s="9">
        <v>70000</v>
      </c>
      <c r="H4" s="11" t="s">
        <v>49</v>
      </c>
      <c r="I4" t="s">
        <v>50</v>
      </c>
      <c r="J4" s="12">
        <v>0.50347222222222221</v>
      </c>
      <c r="K4" s="13">
        <v>0.89236111111111116</v>
      </c>
      <c r="L4" s="12">
        <v>0.91319444444444453</v>
      </c>
      <c r="M4" s="12">
        <v>0.50624999999999998</v>
      </c>
      <c r="N4" t="s">
        <v>99</v>
      </c>
      <c r="O4" t="s">
        <v>97</v>
      </c>
      <c r="P4">
        <v>569</v>
      </c>
      <c r="Q4" s="11">
        <v>562</v>
      </c>
      <c r="R4" s="11">
        <v>0</v>
      </c>
      <c r="S4" s="11">
        <v>0</v>
      </c>
      <c r="T4" s="11">
        <v>0</v>
      </c>
      <c r="U4" s="11">
        <v>0</v>
      </c>
    </row>
    <row r="5" spans="1:21" x14ac:dyDescent="0.25">
      <c r="G5" s="1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opLeftCell="F1" workbookViewId="0">
      <selection activeCell="F1" sqref="A1:XFD1048576"/>
    </sheetView>
  </sheetViews>
  <sheetFormatPr defaultRowHeight="15" x14ac:dyDescent="0.25"/>
  <cols>
    <col min="1" max="1" width="10.140625" bestFit="1" customWidth="1"/>
    <col min="2" max="2" width="14.42578125" customWidth="1"/>
    <col min="3" max="3" width="13.42578125" bestFit="1" customWidth="1"/>
    <col min="4" max="4" width="8.140625" customWidth="1"/>
    <col min="5" max="5" width="10.28515625" customWidth="1"/>
    <col min="6" max="6" width="13.7109375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4" width="10.85546875" customWidth="1"/>
    <col min="15" max="15" width="12.7109375" customWidth="1"/>
    <col min="16" max="16" width="8.140625" customWidth="1"/>
    <col min="17" max="17" width="7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44839</v>
      </c>
      <c r="B2" s="3" t="s">
        <v>21</v>
      </c>
      <c r="C2" s="3" t="s">
        <v>61</v>
      </c>
      <c r="D2" s="3" t="s">
        <v>22</v>
      </c>
      <c r="E2" s="3" t="s">
        <v>28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0.43055555555555558</v>
      </c>
      <c r="K2" s="5">
        <v>0.42638888888888887</v>
      </c>
      <c r="L2" s="4">
        <v>0.25694444444444448</v>
      </c>
      <c r="M2" s="5">
        <v>0.26180555555555557</v>
      </c>
      <c r="N2" s="3" t="s">
        <v>115</v>
      </c>
      <c r="O2" s="3" t="s">
        <v>100</v>
      </c>
      <c r="P2" s="3">
        <v>602</v>
      </c>
      <c r="Q2" s="3">
        <v>769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44839</v>
      </c>
      <c r="B3" s="3" t="s">
        <v>21</v>
      </c>
      <c r="C3" s="3" t="s">
        <v>67</v>
      </c>
      <c r="D3" s="3" t="s">
        <v>22</v>
      </c>
      <c r="E3" s="3" t="s">
        <v>28</v>
      </c>
      <c r="F3" s="1" t="s">
        <v>23</v>
      </c>
      <c r="G3" s="3">
        <v>70000</v>
      </c>
      <c r="H3" s="3" t="s">
        <v>68</v>
      </c>
      <c r="I3" s="3" t="s">
        <v>69</v>
      </c>
      <c r="J3" s="4">
        <v>0.60069444444444442</v>
      </c>
      <c r="K3" s="5">
        <v>0.59305555555555556</v>
      </c>
      <c r="L3" s="4">
        <v>0.4513888888888889</v>
      </c>
      <c r="M3" s="5">
        <v>0.45624999999999999</v>
      </c>
      <c r="N3" s="3" t="s">
        <v>87</v>
      </c>
      <c r="O3" s="3" t="s">
        <v>114</v>
      </c>
      <c r="P3" s="3">
        <v>594</v>
      </c>
      <c r="Q3" s="3">
        <v>462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44839</v>
      </c>
      <c r="B4" s="3" t="s">
        <v>21</v>
      </c>
      <c r="C4" s="3" t="s">
        <v>42</v>
      </c>
      <c r="D4" s="3" t="s">
        <v>22</v>
      </c>
      <c r="E4" s="3" t="s">
        <v>93</v>
      </c>
      <c r="F4" s="1" t="s">
        <v>23</v>
      </c>
      <c r="G4" s="3">
        <v>70000</v>
      </c>
      <c r="H4" s="3" t="s">
        <v>43</v>
      </c>
      <c r="I4" s="3" t="s">
        <v>44</v>
      </c>
      <c r="J4" s="4">
        <v>0.69791666666666663</v>
      </c>
      <c r="K4" s="5">
        <v>0.68125000000000002</v>
      </c>
      <c r="L4" s="4">
        <v>0.54166666666666663</v>
      </c>
      <c r="M4" s="5">
        <v>0.53749999999999998</v>
      </c>
      <c r="N4" s="3" t="s">
        <v>118</v>
      </c>
      <c r="O4" s="3" t="s">
        <v>116</v>
      </c>
      <c r="P4" s="3">
        <v>237</v>
      </c>
      <c r="Q4" s="3">
        <v>459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44839</v>
      </c>
      <c r="B5" s="3" t="s">
        <v>21</v>
      </c>
      <c r="C5" s="3" t="s">
        <v>70</v>
      </c>
      <c r="D5" s="3" t="s">
        <v>22</v>
      </c>
      <c r="E5" s="3" t="s">
        <v>28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0.74652777777777779</v>
      </c>
      <c r="K5" s="5">
        <v>0.7402777777777777</v>
      </c>
      <c r="L5" s="4">
        <v>0.63194444444444442</v>
      </c>
      <c r="M5" s="5">
        <v>0.63124999999999998</v>
      </c>
      <c r="N5" s="3" t="s">
        <v>119</v>
      </c>
      <c r="O5" s="3" t="s">
        <v>83</v>
      </c>
      <c r="P5" s="3">
        <v>341</v>
      </c>
      <c r="Q5" s="3">
        <v>445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44839</v>
      </c>
      <c r="B6" s="3" t="s">
        <v>21</v>
      </c>
      <c r="C6" s="3" t="s">
        <v>73</v>
      </c>
      <c r="D6" s="3" t="s">
        <v>22</v>
      </c>
      <c r="E6" s="3" t="s">
        <v>93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0.90277777777777779</v>
      </c>
      <c r="K6" s="5">
        <v>0.89236111111111116</v>
      </c>
      <c r="L6" s="4">
        <v>0.71875</v>
      </c>
      <c r="M6" s="5">
        <v>0.71597222222222223</v>
      </c>
      <c r="N6" s="3" t="s">
        <v>122</v>
      </c>
      <c r="O6" s="3" t="s">
        <v>120</v>
      </c>
      <c r="P6" s="3">
        <v>623</v>
      </c>
      <c r="Q6" s="3">
        <v>636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44839</v>
      </c>
      <c r="B7" s="3" t="s">
        <v>21</v>
      </c>
      <c r="C7" s="3" t="s">
        <v>76</v>
      </c>
      <c r="D7" s="3" t="s">
        <v>22</v>
      </c>
      <c r="E7" s="3" t="s">
        <v>28</v>
      </c>
      <c r="F7" s="1" t="s">
        <v>23</v>
      </c>
      <c r="G7" s="3">
        <v>70000</v>
      </c>
      <c r="H7" s="3" t="s">
        <v>77</v>
      </c>
      <c r="I7" s="3" t="s">
        <v>78</v>
      </c>
      <c r="J7" s="4">
        <v>0.9375</v>
      </c>
      <c r="K7" s="5">
        <v>0.93333333333333324</v>
      </c>
      <c r="L7" s="4">
        <v>0.76736111111111116</v>
      </c>
      <c r="M7" s="5">
        <v>0.77083333333333337</v>
      </c>
      <c r="N7" s="3" t="s">
        <v>98</v>
      </c>
      <c r="O7" s="3" t="s">
        <v>121</v>
      </c>
      <c r="P7" s="3">
        <v>618</v>
      </c>
      <c r="Q7" s="3">
        <v>676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44839</v>
      </c>
      <c r="B8" s="3" t="s">
        <v>21</v>
      </c>
      <c r="C8" s="3" t="s">
        <v>101</v>
      </c>
      <c r="D8" s="3" t="s">
        <v>22</v>
      </c>
      <c r="E8" s="3" t="s">
        <v>102</v>
      </c>
      <c r="F8" s="14" t="s">
        <v>103</v>
      </c>
      <c r="G8" s="3">
        <v>70000</v>
      </c>
      <c r="H8" s="3" t="s">
        <v>104</v>
      </c>
      <c r="I8" s="3" t="s">
        <v>105</v>
      </c>
      <c r="J8" s="4">
        <v>0.45833333333333331</v>
      </c>
      <c r="K8" s="5">
        <v>0.48888888888888887</v>
      </c>
      <c r="L8" s="4">
        <v>0.57291666666666663</v>
      </c>
      <c r="M8" s="5">
        <v>0.58124999999999993</v>
      </c>
      <c r="N8" s="3" t="s">
        <v>117</v>
      </c>
      <c r="O8" s="3" t="s">
        <v>117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44839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>
        <v>6800</v>
      </c>
      <c r="H9" s="3" t="s">
        <v>109</v>
      </c>
      <c r="I9" s="3" t="s">
        <v>111</v>
      </c>
      <c r="J9" s="4">
        <v>0.625</v>
      </c>
      <c r="K9" s="5">
        <v>0.60277777777777775</v>
      </c>
      <c r="L9" s="15" t="s">
        <v>112</v>
      </c>
      <c r="M9" s="3" t="s">
        <v>113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E5" sqref="E5"/>
    </sheetView>
  </sheetViews>
  <sheetFormatPr defaultRowHeight="15" x14ac:dyDescent="0.25"/>
  <cols>
    <col min="1" max="1" width="10.140625" bestFit="1" customWidth="1"/>
    <col min="2" max="2" width="12.7109375" customWidth="1"/>
    <col min="3" max="3" width="14.7109375" customWidth="1"/>
    <col min="4" max="4" width="7.28515625" customWidth="1"/>
    <col min="5" max="5" width="11.28515625" customWidth="1"/>
    <col min="6" max="6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44840</v>
      </c>
      <c r="B2" s="3" t="s">
        <v>21</v>
      </c>
      <c r="C2" s="3" t="s">
        <v>36</v>
      </c>
      <c r="D2" s="3" t="s">
        <v>22</v>
      </c>
      <c r="E2" s="3" t="s">
        <v>93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0.46319444444444446</v>
      </c>
      <c r="L2" s="4">
        <v>0.25694444444444448</v>
      </c>
      <c r="M2" s="5">
        <v>0.26597222222222222</v>
      </c>
      <c r="N2" s="3" t="s">
        <v>126</v>
      </c>
      <c r="O2" s="3" t="s">
        <v>123</v>
      </c>
      <c r="P2" s="3">
        <v>823</v>
      </c>
      <c r="Q2" s="3">
        <v>1333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44840</v>
      </c>
      <c r="B3" s="3" t="s">
        <v>21</v>
      </c>
      <c r="C3" s="3" t="s">
        <v>39</v>
      </c>
      <c r="D3" s="3" t="s">
        <v>22</v>
      </c>
      <c r="E3" s="3" t="s">
        <v>28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0.4375</v>
      </c>
      <c r="L3" s="4">
        <v>0.28472222222222221</v>
      </c>
      <c r="M3" s="5">
        <v>0.28125</v>
      </c>
      <c r="N3" s="3" t="s">
        <v>127</v>
      </c>
      <c r="O3" s="3" t="s">
        <v>124</v>
      </c>
      <c r="P3" s="3">
        <v>628</v>
      </c>
      <c r="Q3" s="3">
        <v>364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44840</v>
      </c>
      <c r="B4" s="3" t="s">
        <v>21</v>
      </c>
      <c r="C4" s="3" t="s">
        <v>24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25</v>
      </c>
      <c r="I4" s="3" t="s">
        <v>26</v>
      </c>
      <c r="J4" s="4">
        <v>0.67708333333333337</v>
      </c>
      <c r="K4" s="5">
        <v>0.68194444444444446</v>
      </c>
      <c r="L4" s="4">
        <v>0.48958333333333331</v>
      </c>
      <c r="M4" s="5">
        <v>0.49652777777777773</v>
      </c>
      <c r="N4" s="3" t="s">
        <v>132</v>
      </c>
      <c r="O4" s="3" t="s">
        <v>129</v>
      </c>
      <c r="P4" s="3">
        <v>884</v>
      </c>
      <c r="Q4" s="3">
        <v>983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44840</v>
      </c>
      <c r="B5" s="3" t="s">
        <v>21</v>
      </c>
      <c r="C5" s="3" t="s">
        <v>45</v>
      </c>
      <c r="D5" s="3" t="s">
        <v>22</v>
      </c>
      <c r="E5" s="3" t="s">
        <v>28</v>
      </c>
      <c r="F5" s="3" t="s">
        <v>23</v>
      </c>
      <c r="G5" s="9">
        <v>70000</v>
      </c>
      <c r="H5" s="3" t="s">
        <v>46</v>
      </c>
      <c r="I5" s="3" t="s">
        <v>47</v>
      </c>
      <c r="J5" s="4">
        <v>0.93402777777777779</v>
      </c>
      <c r="K5" s="5">
        <v>0.93055555555555547</v>
      </c>
      <c r="L5" s="4">
        <v>0.69791666666666663</v>
      </c>
      <c r="M5" s="5">
        <v>0.71597222222222223</v>
      </c>
      <c r="N5" s="3" t="s">
        <v>134</v>
      </c>
      <c r="O5" s="3" t="s">
        <v>133</v>
      </c>
      <c r="P5" s="3">
        <v>889</v>
      </c>
      <c r="Q5" s="3">
        <v>432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44840</v>
      </c>
      <c r="B6" s="3" t="s">
        <v>125</v>
      </c>
      <c r="C6" s="3" t="s">
        <v>131</v>
      </c>
      <c r="D6" s="3" t="s">
        <v>108</v>
      </c>
      <c r="E6" s="3" t="s">
        <v>109</v>
      </c>
      <c r="F6" s="3" t="s">
        <v>110</v>
      </c>
      <c r="G6" s="9">
        <v>6800</v>
      </c>
      <c r="H6" s="3" t="s">
        <v>111</v>
      </c>
      <c r="I6" s="3" t="s">
        <v>128</v>
      </c>
      <c r="J6" s="4">
        <v>0.54166666666666663</v>
      </c>
      <c r="K6" s="5">
        <v>0.53611111111111109</v>
      </c>
      <c r="L6" s="4">
        <v>0.375</v>
      </c>
      <c r="M6" s="5">
        <v>0.41319444444444442</v>
      </c>
      <c r="N6" s="3" t="s">
        <v>111</v>
      </c>
      <c r="O6" s="3" t="s">
        <v>111</v>
      </c>
      <c r="P6" s="3" t="s">
        <v>111</v>
      </c>
      <c r="Q6" s="3" t="s">
        <v>111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44840</v>
      </c>
      <c r="B7" s="3" t="s">
        <v>125</v>
      </c>
      <c r="C7" s="3" t="s">
        <v>130</v>
      </c>
      <c r="D7" s="3" t="s">
        <v>108</v>
      </c>
      <c r="E7" s="3" t="s">
        <v>109</v>
      </c>
      <c r="F7" s="3" t="s">
        <v>110</v>
      </c>
      <c r="G7" s="9">
        <v>6800</v>
      </c>
      <c r="H7" s="3" t="s">
        <v>128</v>
      </c>
      <c r="I7" s="3" t="s">
        <v>128</v>
      </c>
      <c r="J7" s="12" t="s">
        <v>111</v>
      </c>
      <c r="K7" s="3" t="s">
        <v>111</v>
      </c>
      <c r="L7" s="4">
        <v>0.58333333333333337</v>
      </c>
      <c r="M7" s="12">
        <v>0.57361111111111118</v>
      </c>
      <c r="N7" s="3" t="s">
        <v>111</v>
      </c>
      <c r="O7" s="3" t="s">
        <v>111</v>
      </c>
      <c r="P7" s="3" t="s">
        <v>111</v>
      </c>
      <c r="Q7" s="3" t="s">
        <v>111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W7"/>
    </sheetView>
  </sheetViews>
  <sheetFormatPr defaultRowHeight="15" x14ac:dyDescent="0.25"/>
  <cols>
    <col min="3" max="3" width="14.7109375" customWidth="1"/>
    <col min="5" max="5" width="9.85546875" customWidth="1"/>
    <col min="6" max="6" width="13.28515625" customWidth="1"/>
    <col min="8" max="9" width="9.7109375" bestFit="1" customWidth="1"/>
    <col min="10" max="10" width="11" bestFit="1" customWidth="1"/>
    <col min="12" max="12" width="11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44841</v>
      </c>
      <c r="B2" s="3" t="s">
        <v>21</v>
      </c>
      <c r="C2" s="3" t="s">
        <v>61</v>
      </c>
      <c r="D2" s="3" t="s">
        <v>22</v>
      </c>
      <c r="E2" s="3" t="s">
        <v>28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0.44097222222222227</v>
      </c>
      <c r="L2" s="4">
        <v>0.25694444444444448</v>
      </c>
      <c r="M2" s="5">
        <v>0.28125</v>
      </c>
      <c r="N2" s="3" t="s">
        <v>137</v>
      </c>
      <c r="O2" s="3" t="s">
        <v>135</v>
      </c>
      <c r="P2" s="3">
        <v>656</v>
      </c>
      <c r="Q2" s="3">
        <v>700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44841</v>
      </c>
      <c r="B3" s="3" t="s">
        <v>21</v>
      </c>
      <c r="C3" s="3" t="s">
        <v>64</v>
      </c>
      <c r="D3" s="3" t="s">
        <v>22</v>
      </c>
      <c r="E3" s="3" t="s">
        <v>93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0.51736111111111105</v>
      </c>
      <c r="L3" s="4">
        <v>0.28125</v>
      </c>
      <c r="M3" s="5">
        <v>0.28611111111111115</v>
      </c>
      <c r="N3" s="3" t="s">
        <v>138</v>
      </c>
      <c r="O3" s="3" t="s">
        <v>136</v>
      </c>
      <c r="P3" s="3">
        <v>740</v>
      </c>
      <c r="Q3" s="3">
        <v>1854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44841</v>
      </c>
      <c r="B4" s="3" t="s">
        <v>21</v>
      </c>
      <c r="C4" s="3" t="s">
        <v>67</v>
      </c>
      <c r="D4" s="3" t="s">
        <v>22</v>
      </c>
      <c r="E4" s="3" t="s">
        <v>28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0.61736111111111114</v>
      </c>
      <c r="L4" s="4">
        <v>0.46180555555555558</v>
      </c>
      <c r="M4" s="5">
        <v>0.47847222222222219</v>
      </c>
      <c r="N4" s="3" t="s">
        <v>139</v>
      </c>
      <c r="O4" s="3" t="s">
        <v>92</v>
      </c>
      <c r="P4" s="3">
        <v>825</v>
      </c>
      <c r="Q4" s="3">
        <v>832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44841</v>
      </c>
      <c r="B5" s="3" t="s">
        <v>21</v>
      </c>
      <c r="C5" s="3" t="s">
        <v>70</v>
      </c>
      <c r="D5" s="3" t="s">
        <v>22</v>
      </c>
      <c r="E5" s="3" t="s">
        <v>93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0.75694444444444453</v>
      </c>
      <c r="K5" s="5">
        <v>0.75</v>
      </c>
      <c r="L5" s="4">
        <v>0.64236111111111105</v>
      </c>
      <c r="M5" s="5">
        <v>0.63402777777777775</v>
      </c>
      <c r="N5" s="3" t="s">
        <v>141</v>
      </c>
      <c r="O5" s="3" t="s">
        <v>140</v>
      </c>
      <c r="P5" s="3">
        <v>425</v>
      </c>
      <c r="Q5" s="3">
        <v>563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44841</v>
      </c>
      <c r="B6" s="3" t="s">
        <v>21</v>
      </c>
      <c r="C6" s="3" t="s">
        <v>73</v>
      </c>
      <c r="D6" s="3" t="s">
        <v>22</v>
      </c>
      <c r="E6" s="3" t="s">
        <v>28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0.96180555555555547</v>
      </c>
      <c r="K6" s="5">
        <v>0.96111111111111114</v>
      </c>
      <c r="L6" s="4">
        <v>0.77777777777777779</v>
      </c>
      <c r="M6" s="5">
        <v>0.78055555555555556</v>
      </c>
      <c r="N6" s="3" t="s">
        <v>145</v>
      </c>
      <c r="O6" s="3" t="s">
        <v>142</v>
      </c>
      <c r="P6" s="3">
        <v>566</v>
      </c>
      <c r="Q6" s="3">
        <v>1038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44841</v>
      </c>
      <c r="B7" s="3" t="s">
        <v>21</v>
      </c>
      <c r="C7" s="3" t="s">
        <v>76</v>
      </c>
      <c r="D7" s="3" t="s">
        <v>22</v>
      </c>
      <c r="E7" s="3" t="s">
        <v>143</v>
      </c>
      <c r="F7" s="3" t="s">
        <v>23</v>
      </c>
      <c r="G7" s="3">
        <v>70000</v>
      </c>
      <c r="H7" s="3" t="s">
        <v>77</v>
      </c>
      <c r="I7" s="3" t="s">
        <v>78</v>
      </c>
      <c r="J7" s="4">
        <v>0.96875</v>
      </c>
      <c r="K7" s="5">
        <v>0.95833333333333337</v>
      </c>
      <c r="L7" s="4">
        <v>0.77777777777777779</v>
      </c>
      <c r="M7" s="5">
        <v>0.78402777777777777</v>
      </c>
      <c r="N7" s="3" t="s">
        <v>144</v>
      </c>
      <c r="O7" s="3" t="s">
        <v>96</v>
      </c>
      <c r="P7" s="6">
        <v>739</v>
      </c>
      <c r="Q7" s="6">
        <v>980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L3" sqref="L3"/>
    </sheetView>
  </sheetViews>
  <sheetFormatPr defaultRowHeight="12.75" x14ac:dyDescent="0.2"/>
  <cols>
    <col min="1" max="1" width="9.140625" style="6"/>
    <col min="2" max="2" width="20.28515625" style="6" customWidth="1"/>
    <col min="3" max="3" width="16.42578125" style="6" customWidth="1"/>
    <col min="4" max="4" width="11.7109375" style="6" customWidth="1"/>
    <col min="5" max="5" width="11.140625" style="6" customWidth="1"/>
    <col min="6" max="6" width="16.140625" style="6" customWidth="1"/>
    <col min="7" max="13" width="9.140625" style="6"/>
    <col min="14" max="14" width="10.5703125" style="6" customWidth="1"/>
    <col min="15" max="15" width="10.85546875" style="6" customWidth="1"/>
    <col min="16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44842</v>
      </c>
      <c r="B2" s="3" t="s">
        <v>21</v>
      </c>
      <c r="C2" s="3" t="s">
        <v>24</v>
      </c>
      <c r="D2" s="3" t="s">
        <v>22</v>
      </c>
      <c r="E2" s="3" t="s">
        <v>146</v>
      </c>
      <c r="F2" s="3" t="s">
        <v>23</v>
      </c>
      <c r="G2" s="9">
        <v>70000</v>
      </c>
      <c r="H2" s="3" t="s">
        <v>25</v>
      </c>
      <c r="I2" s="3" t="s">
        <v>26</v>
      </c>
      <c r="J2" s="4">
        <v>0.91319444444444453</v>
      </c>
      <c r="K2" s="5">
        <v>0.9375</v>
      </c>
      <c r="L2" s="4">
        <v>0.49305555555555558</v>
      </c>
      <c r="M2" s="5">
        <v>0.51527777777777783</v>
      </c>
      <c r="N2" s="3" t="s">
        <v>159</v>
      </c>
      <c r="O2" s="3" t="s">
        <v>148</v>
      </c>
      <c r="P2" s="3">
        <v>817</v>
      </c>
      <c r="Q2" s="3">
        <v>760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44842</v>
      </c>
      <c r="B3" s="6" t="s">
        <v>21</v>
      </c>
      <c r="C3" s="3" t="s">
        <v>48</v>
      </c>
      <c r="D3" s="3" t="s">
        <v>22</v>
      </c>
      <c r="E3" s="3" t="s">
        <v>28</v>
      </c>
      <c r="F3" s="3" t="s">
        <v>23</v>
      </c>
      <c r="G3" s="9">
        <v>70000</v>
      </c>
      <c r="H3" s="6" t="s">
        <v>49</v>
      </c>
      <c r="I3" s="6" t="s">
        <v>50</v>
      </c>
      <c r="J3" s="7">
        <v>0.91319444444444453</v>
      </c>
      <c r="K3" s="8">
        <v>0.89444444444444438</v>
      </c>
      <c r="L3" s="7">
        <v>0.50347222222222221</v>
      </c>
      <c r="M3" s="8">
        <v>0.50902777777777775</v>
      </c>
      <c r="N3" s="6" t="s">
        <v>160</v>
      </c>
      <c r="O3" s="6" t="s">
        <v>147</v>
      </c>
      <c r="P3" s="6">
        <v>758</v>
      </c>
      <c r="Q3" s="6">
        <v>796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2">
        <v>44842</v>
      </c>
      <c r="B4" s="6" t="s">
        <v>149</v>
      </c>
      <c r="C4" s="6" t="s">
        <v>150</v>
      </c>
      <c r="D4" s="6" t="s">
        <v>151</v>
      </c>
      <c r="E4" s="6" t="s">
        <v>152</v>
      </c>
      <c r="F4" s="6" t="s">
        <v>154</v>
      </c>
      <c r="G4" s="6">
        <v>600</v>
      </c>
      <c r="H4" s="6" t="str">
        <f>E4</f>
        <v>YU-LOA</v>
      </c>
      <c r="I4" s="6" t="str">
        <f>H4</f>
        <v>YU-LOA</v>
      </c>
      <c r="J4" s="7">
        <v>0.5</v>
      </c>
      <c r="K4" s="8">
        <v>0.52500000000000002</v>
      </c>
      <c r="L4" s="7">
        <v>0.625</v>
      </c>
      <c r="M4" s="8">
        <v>0.60416666666666663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2">
        <v>44842</v>
      </c>
      <c r="B5" s="6" t="str">
        <f>B4</f>
        <v>NIKOLA LOVRIC</v>
      </c>
      <c r="C5" s="6" t="str">
        <f>C4</f>
        <v>BEG-TZL-AGB</v>
      </c>
      <c r="D5" s="6" t="str">
        <f>D4</f>
        <v>PIVI</v>
      </c>
      <c r="E5" s="6" t="s">
        <v>153</v>
      </c>
      <c r="F5" s="6" t="str">
        <f>F4</f>
        <v>GA PRIVATE</v>
      </c>
      <c r="G5" s="6">
        <v>600</v>
      </c>
      <c r="H5" s="6" t="str">
        <f>E5</f>
        <v>YU-LOB</v>
      </c>
      <c r="I5" s="6" t="str">
        <f>H5</f>
        <v>YU-LOB</v>
      </c>
      <c r="J5" s="7">
        <v>0.5</v>
      </c>
      <c r="K5" s="8">
        <v>0.52500000000000002</v>
      </c>
      <c r="L5" s="7">
        <v>0.625</v>
      </c>
      <c r="M5" s="8">
        <v>0.60416666666666663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2">
        <v>44842</v>
      </c>
      <c r="B6" s="6" t="s">
        <v>156</v>
      </c>
      <c r="C6" s="6" t="s">
        <v>157</v>
      </c>
      <c r="D6" s="6" t="s">
        <v>158</v>
      </c>
      <c r="E6" s="6" t="s">
        <v>155</v>
      </c>
      <c r="F6" s="6" t="s">
        <v>154</v>
      </c>
      <c r="G6" s="6">
        <v>6</v>
      </c>
      <c r="H6" s="6" t="s">
        <v>155</v>
      </c>
      <c r="I6" s="6" t="s">
        <v>155</v>
      </c>
      <c r="J6" s="7">
        <v>0.54166666666666663</v>
      </c>
      <c r="K6" s="8">
        <v>0.55555555555555558</v>
      </c>
      <c r="L6" s="7">
        <v>0.58333333333333337</v>
      </c>
      <c r="M6" s="8">
        <v>0.58402777777777781</v>
      </c>
      <c r="N6" s="6">
        <v>5</v>
      </c>
      <c r="O6" s="6">
        <v>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J16" sqref="J16"/>
    </sheetView>
  </sheetViews>
  <sheetFormatPr defaultRowHeight="15" x14ac:dyDescent="0.25"/>
  <cols>
    <col min="1" max="1" width="14" bestFit="1" customWidth="1"/>
    <col min="3" max="3" width="13.5703125" bestFit="1" customWidth="1"/>
    <col min="6" max="6" width="12.710937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44843</v>
      </c>
      <c r="B2" s="3" t="s">
        <v>21</v>
      </c>
      <c r="C2" s="3" t="s">
        <v>36</v>
      </c>
      <c r="D2" s="3" t="s">
        <v>22</v>
      </c>
      <c r="E2" s="3" t="s">
        <v>146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0.44375000000000003</v>
      </c>
      <c r="L2" s="4">
        <v>0.25694444444444448</v>
      </c>
      <c r="M2" s="5">
        <v>0.25972222222222224</v>
      </c>
      <c r="N2" s="3" t="s">
        <v>164</v>
      </c>
      <c r="O2" s="3" t="s">
        <v>161</v>
      </c>
      <c r="P2" s="3">
        <v>666</v>
      </c>
      <c r="Q2" s="3">
        <v>1427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44843</v>
      </c>
      <c r="B3" s="3" t="s">
        <v>21</v>
      </c>
      <c r="C3" s="3" t="s">
        <v>39</v>
      </c>
      <c r="D3" s="3" t="s">
        <v>22</v>
      </c>
      <c r="E3" s="3" t="s">
        <v>28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0.42291666666666666</v>
      </c>
      <c r="L3" s="4">
        <v>0.28472222222222221</v>
      </c>
      <c r="M3" s="5">
        <v>0.28472222222222221</v>
      </c>
      <c r="N3" s="3" t="s">
        <v>165</v>
      </c>
      <c r="O3" s="3" t="s">
        <v>162</v>
      </c>
      <c r="P3" s="3">
        <v>1281</v>
      </c>
      <c r="Q3" s="3">
        <v>860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44843</v>
      </c>
      <c r="B4" s="3" t="s">
        <v>21</v>
      </c>
      <c r="C4" s="3" t="s">
        <v>29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166</v>
      </c>
      <c r="I4" s="3" t="s">
        <v>31</v>
      </c>
      <c r="J4" s="4">
        <v>0.63888888888888895</v>
      </c>
      <c r="K4" s="5">
        <v>0.77986111111111101</v>
      </c>
      <c r="L4" s="4">
        <v>0.45833333333333331</v>
      </c>
      <c r="M4" s="5">
        <v>0.46527777777777773</v>
      </c>
      <c r="N4" s="3">
        <v>0</v>
      </c>
      <c r="O4" s="3" t="s">
        <v>163</v>
      </c>
      <c r="P4" s="3">
        <v>0</v>
      </c>
      <c r="Q4" s="3">
        <v>993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44843</v>
      </c>
      <c r="B5" s="3" t="s">
        <v>21</v>
      </c>
      <c r="C5" s="3" t="s">
        <v>42</v>
      </c>
      <c r="D5" s="3" t="s">
        <v>22</v>
      </c>
      <c r="E5" s="3" t="s">
        <v>146</v>
      </c>
      <c r="F5" s="3" t="s">
        <v>23</v>
      </c>
      <c r="G5" s="9">
        <v>70000</v>
      </c>
      <c r="H5" s="3" t="s">
        <v>43</v>
      </c>
      <c r="I5" s="3" t="s">
        <v>44</v>
      </c>
      <c r="J5" s="4">
        <v>0.64583333333333337</v>
      </c>
      <c r="K5" s="5">
        <v>0.64722222222222225</v>
      </c>
      <c r="L5" s="4">
        <v>0.48958333333333331</v>
      </c>
      <c r="M5" s="5">
        <v>0.49861111111111112</v>
      </c>
      <c r="N5" s="3" t="s">
        <v>167</v>
      </c>
      <c r="O5" s="3" t="s">
        <v>144</v>
      </c>
      <c r="P5" s="3">
        <v>575</v>
      </c>
      <c r="Q5" s="3">
        <v>653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44843</v>
      </c>
      <c r="B6" s="3" t="s">
        <v>21</v>
      </c>
      <c r="C6" s="3" t="s">
        <v>45</v>
      </c>
      <c r="D6" s="3" t="s">
        <v>22</v>
      </c>
      <c r="E6" s="3" t="s">
        <v>146</v>
      </c>
      <c r="F6" s="3" t="s">
        <v>23</v>
      </c>
      <c r="G6" s="9">
        <v>70000</v>
      </c>
      <c r="H6" s="3" t="s">
        <v>46</v>
      </c>
      <c r="I6" s="3" t="s">
        <v>47</v>
      </c>
      <c r="J6" s="4">
        <v>0.90277777777777779</v>
      </c>
      <c r="K6" s="5">
        <v>0.93680555555555556</v>
      </c>
      <c r="L6" s="4">
        <v>0.66666666666666663</v>
      </c>
      <c r="M6" s="5">
        <v>0.71666666666666667</v>
      </c>
      <c r="N6" s="3" t="s">
        <v>168</v>
      </c>
      <c r="O6" s="3" t="s">
        <v>87</v>
      </c>
      <c r="P6" s="3">
        <v>420</v>
      </c>
      <c r="Q6" s="3">
        <v>1018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30" sqref="I30"/>
    </sheetView>
  </sheetViews>
  <sheetFormatPr defaultRowHeight="15" x14ac:dyDescent="0.25"/>
  <cols>
    <col min="3" max="3" width="14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44844</v>
      </c>
      <c r="B2" s="3" t="s">
        <v>21</v>
      </c>
      <c r="C2" s="3" t="s">
        <v>61</v>
      </c>
      <c r="D2" s="3" t="s">
        <v>22</v>
      </c>
      <c r="E2" s="3" t="s">
        <v>28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0.45347222222222222</v>
      </c>
      <c r="L2" s="4">
        <v>0.25694444444444448</v>
      </c>
      <c r="M2" s="5">
        <v>0.29444444444444445</v>
      </c>
      <c r="N2" s="3" t="s">
        <v>171</v>
      </c>
      <c r="O2" s="3" t="s">
        <v>133</v>
      </c>
      <c r="P2" s="3">
        <v>507</v>
      </c>
      <c r="Q2" s="3">
        <v>909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44844</v>
      </c>
      <c r="B3" s="3" t="s">
        <v>21</v>
      </c>
      <c r="C3" s="3" t="s">
        <v>64</v>
      </c>
      <c r="D3" s="3" t="s">
        <v>22</v>
      </c>
      <c r="E3" s="3" t="s">
        <v>146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0.50763888888888886</v>
      </c>
      <c r="L3" s="4">
        <v>0.28125</v>
      </c>
      <c r="M3" s="5">
        <v>0.28958333333333336</v>
      </c>
      <c r="N3" s="3" t="s">
        <v>170</v>
      </c>
      <c r="O3" s="3" t="s">
        <v>169</v>
      </c>
      <c r="P3" s="3">
        <v>650</v>
      </c>
      <c r="Q3" s="3">
        <v>1340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44844</v>
      </c>
      <c r="B4" s="3" t="s">
        <v>21</v>
      </c>
      <c r="C4" s="3" t="s">
        <v>67</v>
      </c>
      <c r="D4" s="3" t="s">
        <v>22</v>
      </c>
      <c r="E4" s="3" t="s">
        <v>28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0.61805555555555558</v>
      </c>
      <c r="L4" s="4">
        <v>0.46180555555555558</v>
      </c>
      <c r="M4" s="5">
        <v>0.48402777777777778</v>
      </c>
      <c r="N4" s="3" t="s">
        <v>59</v>
      </c>
      <c r="O4" s="3" t="s">
        <v>172</v>
      </c>
      <c r="P4" s="3">
        <v>828</v>
      </c>
      <c r="Q4" s="3">
        <v>998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44844</v>
      </c>
      <c r="B5" s="3" t="s">
        <v>21</v>
      </c>
      <c r="C5" s="3" t="s">
        <v>70</v>
      </c>
      <c r="D5" s="3" t="s">
        <v>22</v>
      </c>
      <c r="E5" s="3" t="s">
        <v>146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0.75694444444444453</v>
      </c>
      <c r="K5" s="5">
        <v>0.74930555555555556</v>
      </c>
      <c r="L5" s="4">
        <v>0.64236111111111105</v>
      </c>
      <c r="M5" s="5">
        <v>0.64097222222222217</v>
      </c>
      <c r="N5" s="3" t="s">
        <v>175</v>
      </c>
      <c r="O5" s="3" t="s">
        <v>173</v>
      </c>
      <c r="P5" s="3">
        <v>482</v>
      </c>
      <c r="Q5" s="3">
        <v>482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44844</v>
      </c>
      <c r="B6" s="3" t="s">
        <v>21</v>
      </c>
      <c r="C6" s="3" t="s">
        <v>73</v>
      </c>
      <c r="D6" s="3" t="s">
        <v>22</v>
      </c>
      <c r="E6" s="3" t="s">
        <v>28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0.96180555555555547</v>
      </c>
      <c r="K6" s="5">
        <v>0.96527777777777779</v>
      </c>
      <c r="L6" s="4">
        <v>0.77777777777777779</v>
      </c>
      <c r="M6" s="5">
        <v>0.78125</v>
      </c>
      <c r="N6" s="3" t="s">
        <v>176</v>
      </c>
      <c r="O6" s="3" t="s">
        <v>174</v>
      </c>
      <c r="P6" s="3">
        <v>727</v>
      </c>
      <c r="Q6" s="3">
        <v>649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44844</v>
      </c>
      <c r="B7" s="3" t="s">
        <v>21</v>
      </c>
      <c r="C7" s="3" t="s">
        <v>76</v>
      </c>
      <c r="D7" s="3" t="s">
        <v>22</v>
      </c>
      <c r="E7" s="3" t="s">
        <v>146</v>
      </c>
      <c r="F7" s="3" t="s">
        <v>23</v>
      </c>
      <c r="G7" s="3">
        <v>70000</v>
      </c>
      <c r="H7" s="3" t="s">
        <v>77</v>
      </c>
      <c r="I7" s="3" t="s">
        <v>78</v>
      </c>
      <c r="J7" s="4">
        <v>0.97569444444444453</v>
      </c>
      <c r="K7" s="5">
        <v>0.9784722222222223</v>
      </c>
      <c r="L7" s="4">
        <v>0.77777777777777779</v>
      </c>
      <c r="M7" s="5">
        <v>0.78541666666666676</v>
      </c>
      <c r="N7" s="3" t="s">
        <v>129</v>
      </c>
      <c r="O7" s="3" t="s">
        <v>100</v>
      </c>
      <c r="P7" s="6">
        <v>778</v>
      </c>
      <c r="Q7" s="6">
        <v>951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W4"/>
    </sheetView>
  </sheetViews>
  <sheetFormatPr defaultRowHeight="15" x14ac:dyDescent="0.25"/>
  <cols>
    <col min="3" max="3" width="12.5703125" customWidth="1"/>
    <col min="6" max="6" width="13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44845</v>
      </c>
      <c r="B2" s="3" t="s">
        <v>21</v>
      </c>
      <c r="C2" s="3" t="s">
        <v>29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0.45763888888888887</v>
      </c>
      <c r="L2" s="4">
        <v>0.28125</v>
      </c>
      <c r="M2" s="5">
        <v>0.27847222222222223</v>
      </c>
      <c r="N2" s="3" t="s">
        <v>179</v>
      </c>
      <c r="O2" s="3" t="s">
        <v>178</v>
      </c>
      <c r="P2" s="3">
        <v>650</v>
      </c>
      <c r="Q2" s="3">
        <v>882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44845</v>
      </c>
      <c r="B3" s="3" t="s">
        <v>21</v>
      </c>
      <c r="C3" s="3" t="s">
        <v>24</v>
      </c>
      <c r="D3" s="3" t="s">
        <v>22</v>
      </c>
      <c r="E3" s="3" t="s">
        <v>177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0.82986111111111116</v>
      </c>
      <c r="K3" s="5">
        <v>0.81736111111111109</v>
      </c>
      <c r="L3" s="4">
        <v>0.40972222222222227</v>
      </c>
      <c r="M3" s="5">
        <v>0.40902777777777777</v>
      </c>
      <c r="N3" s="3" t="s">
        <v>142</v>
      </c>
      <c r="O3" s="3" t="s">
        <v>144</v>
      </c>
      <c r="P3" s="3">
        <v>771</v>
      </c>
      <c r="Q3" s="3">
        <v>856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44845</v>
      </c>
      <c r="B4" s="3" t="s">
        <v>21</v>
      </c>
      <c r="C4" s="3" t="s">
        <v>48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0.91319444444444453</v>
      </c>
      <c r="K4" s="5">
        <v>0.89097222222222217</v>
      </c>
      <c r="L4" s="4">
        <v>0.50347222222222221</v>
      </c>
      <c r="M4" s="5">
        <v>0.50416666666666665</v>
      </c>
      <c r="N4" s="3" t="s">
        <v>181</v>
      </c>
      <c r="O4" s="3" t="s">
        <v>180</v>
      </c>
      <c r="P4" s="3">
        <v>714</v>
      </c>
      <c r="Q4" s="3">
        <v>789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opLeftCell="C1" workbookViewId="0">
      <selection activeCell="N14" sqref="N14"/>
    </sheetView>
  </sheetViews>
  <sheetFormatPr defaultRowHeight="15" x14ac:dyDescent="0.25"/>
  <cols>
    <col min="1" max="1" width="10.140625" bestFit="1" customWidth="1"/>
    <col min="2" max="2" width="14.42578125" customWidth="1"/>
    <col min="3" max="3" width="13.42578125" bestFit="1" customWidth="1"/>
    <col min="4" max="4" width="8.140625" customWidth="1"/>
    <col min="5" max="5" width="10.28515625" customWidth="1"/>
    <col min="6" max="6" width="13.7109375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4" width="10.85546875" customWidth="1"/>
    <col min="15" max="15" width="12.7109375" customWidth="1"/>
    <col min="16" max="16" width="8.140625" customWidth="1"/>
    <col min="17" max="17" width="7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44846</v>
      </c>
      <c r="B2" s="3" t="s">
        <v>21</v>
      </c>
      <c r="C2" s="3" t="s">
        <v>61</v>
      </c>
      <c r="D2" s="3" t="s">
        <v>22</v>
      </c>
      <c r="E2" s="3" t="s">
        <v>177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0.43055555555555558</v>
      </c>
      <c r="K2" s="5">
        <v>0.42430555555555555</v>
      </c>
      <c r="L2" s="4">
        <v>0.25694444444444448</v>
      </c>
      <c r="M2" s="5">
        <v>0.25763888888888892</v>
      </c>
      <c r="N2" s="5" t="s">
        <v>183</v>
      </c>
      <c r="O2" s="3" t="s">
        <v>182</v>
      </c>
      <c r="P2" s="3">
        <v>742</v>
      </c>
      <c r="Q2" s="3">
        <v>765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44846</v>
      </c>
      <c r="B3" s="3" t="s">
        <v>21</v>
      </c>
      <c r="C3" s="3" t="s">
        <v>67</v>
      </c>
      <c r="D3" s="3" t="s">
        <v>22</v>
      </c>
      <c r="E3" s="3" t="s">
        <v>177</v>
      </c>
      <c r="F3" s="1" t="s">
        <v>23</v>
      </c>
      <c r="G3" s="3">
        <v>70000</v>
      </c>
      <c r="H3" s="3" t="s">
        <v>68</v>
      </c>
      <c r="I3" s="3" t="s">
        <v>69</v>
      </c>
      <c r="J3" s="4">
        <v>0.60069444444444442</v>
      </c>
      <c r="K3" s="5">
        <v>0.58472222222222225</v>
      </c>
      <c r="L3" s="4">
        <v>0.4513888888888889</v>
      </c>
      <c r="M3" s="5">
        <v>0.45624999999999999</v>
      </c>
      <c r="N3" s="3" t="s">
        <v>185</v>
      </c>
      <c r="O3" s="3" t="s">
        <v>172</v>
      </c>
      <c r="P3" s="3">
        <v>477</v>
      </c>
      <c r="Q3" s="3">
        <v>583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44846</v>
      </c>
      <c r="B4" s="3" t="s">
        <v>21</v>
      </c>
      <c r="C4" s="3" t="s">
        <v>42</v>
      </c>
      <c r="D4" s="3" t="s">
        <v>22</v>
      </c>
      <c r="E4" s="3" t="s">
        <v>28</v>
      </c>
      <c r="F4" s="1" t="s">
        <v>23</v>
      </c>
      <c r="G4" s="3">
        <v>70000</v>
      </c>
      <c r="H4" s="3" t="s">
        <v>43</v>
      </c>
      <c r="I4" s="3" t="s">
        <v>44</v>
      </c>
      <c r="J4" s="4">
        <v>0.69791666666666663</v>
      </c>
      <c r="K4" s="5">
        <v>0.68194444444444446</v>
      </c>
      <c r="L4" s="4">
        <v>0.54166666666666663</v>
      </c>
      <c r="M4" s="5">
        <v>0.5444444444444444</v>
      </c>
      <c r="N4" s="3" t="s">
        <v>183</v>
      </c>
      <c r="O4" s="3" t="s">
        <v>184</v>
      </c>
      <c r="P4" s="3">
        <v>742</v>
      </c>
      <c r="Q4" s="3">
        <v>551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44846</v>
      </c>
      <c r="B5" s="3" t="s">
        <v>21</v>
      </c>
      <c r="C5" s="3" t="s">
        <v>70</v>
      </c>
      <c r="D5" s="3" t="s">
        <v>22</v>
      </c>
      <c r="E5" s="3" t="s">
        <v>177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0.74652777777777779</v>
      </c>
      <c r="K5" s="5">
        <v>0.75069444444444444</v>
      </c>
      <c r="L5" s="4">
        <v>0.63194444444444442</v>
      </c>
      <c r="M5" s="5">
        <v>0.64652777777777781</v>
      </c>
      <c r="N5" s="3" t="s">
        <v>187</v>
      </c>
      <c r="O5" s="3" t="s">
        <v>186</v>
      </c>
      <c r="P5" s="3">
        <v>485</v>
      </c>
      <c r="Q5" s="3">
        <v>546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44846</v>
      </c>
      <c r="B6" s="3" t="s">
        <v>21</v>
      </c>
      <c r="C6" s="3" t="s">
        <v>73</v>
      </c>
      <c r="D6" s="3" t="s">
        <v>22</v>
      </c>
      <c r="E6" s="3" t="s">
        <v>28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0.90277777777777779</v>
      </c>
      <c r="K6" s="5">
        <v>0.89722222222222225</v>
      </c>
      <c r="L6" s="4">
        <v>0.71875</v>
      </c>
      <c r="M6" s="5">
        <v>0.72986111111111107</v>
      </c>
      <c r="N6" s="3" t="s">
        <v>188</v>
      </c>
      <c r="O6" s="3" t="s">
        <v>182</v>
      </c>
      <c r="P6" s="3">
        <v>837</v>
      </c>
      <c r="Q6" s="3">
        <v>804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44846</v>
      </c>
      <c r="B7" s="3" t="s">
        <v>21</v>
      </c>
      <c r="C7" s="3" t="s">
        <v>76</v>
      </c>
      <c r="D7" s="3" t="s">
        <v>22</v>
      </c>
      <c r="E7" s="3" t="s">
        <v>177</v>
      </c>
      <c r="F7" s="1" t="s">
        <v>23</v>
      </c>
      <c r="G7" s="3">
        <v>70000</v>
      </c>
      <c r="H7" s="3" t="s">
        <v>77</v>
      </c>
      <c r="I7" s="3" t="s">
        <v>78</v>
      </c>
      <c r="J7" s="4">
        <v>0.9375</v>
      </c>
      <c r="K7" s="5">
        <v>0.93263888888888891</v>
      </c>
      <c r="L7" s="4">
        <v>0.76736111111111116</v>
      </c>
      <c r="M7" s="5">
        <v>0.78055555555555556</v>
      </c>
      <c r="N7" s="3" t="s">
        <v>144</v>
      </c>
      <c r="O7" s="3" t="s">
        <v>95</v>
      </c>
      <c r="P7" s="3">
        <v>750</v>
      </c>
      <c r="Q7" s="3">
        <v>686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H9" sqref="H9"/>
    </sheetView>
  </sheetViews>
  <sheetFormatPr defaultRowHeight="15" x14ac:dyDescent="0.25"/>
  <cols>
    <col min="1" max="1" width="10.140625" bestFit="1" customWidth="1"/>
    <col min="2" max="2" width="12.7109375" customWidth="1"/>
    <col min="3" max="3" width="14.7109375" customWidth="1"/>
    <col min="4" max="4" width="7.28515625" customWidth="1"/>
    <col min="5" max="5" width="11.28515625" customWidth="1"/>
    <col min="6" max="6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44847</v>
      </c>
      <c r="B2" s="3" t="s">
        <v>21</v>
      </c>
      <c r="C2" s="3" t="s">
        <v>36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0.44722222222222219</v>
      </c>
      <c r="L2" s="4">
        <v>0.25694444444444448</v>
      </c>
      <c r="M2" s="5">
        <v>0.26041666666666669</v>
      </c>
      <c r="N2" s="3" t="s">
        <v>193</v>
      </c>
      <c r="O2" s="3" t="s">
        <v>189</v>
      </c>
      <c r="P2" s="3">
        <v>672</v>
      </c>
      <c r="Q2" s="3">
        <v>1544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44847</v>
      </c>
      <c r="B3" s="3" t="s">
        <v>21</v>
      </c>
      <c r="C3" s="3" t="s">
        <v>39</v>
      </c>
      <c r="D3" s="3" t="s">
        <v>22</v>
      </c>
      <c r="E3" s="3" t="s">
        <v>177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0.55208333333333337</v>
      </c>
      <c r="L3" s="4">
        <v>0.28472222222222221</v>
      </c>
      <c r="M3" s="5">
        <v>0.41875000000000001</v>
      </c>
      <c r="N3" s="3" t="s">
        <v>192</v>
      </c>
      <c r="O3" s="3" t="s">
        <v>190</v>
      </c>
      <c r="P3" s="3">
        <v>518</v>
      </c>
      <c r="Q3" s="3">
        <v>617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44847</v>
      </c>
      <c r="B4" s="3" t="s">
        <v>21</v>
      </c>
      <c r="C4" s="3" t="s">
        <v>24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25</v>
      </c>
      <c r="I4" s="3" t="s">
        <v>26</v>
      </c>
      <c r="J4" s="4">
        <v>0.67708333333333337</v>
      </c>
      <c r="K4" s="5">
        <v>0.67013888888888884</v>
      </c>
      <c r="L4" s="4">
        <v>0.48958333333333331</v>
      </c>
      <c r="M4" s="5">
        <v>0.4861111111111111</v>
      </c>
      <c r="N4" s="3" t="s">
        <v>163</v>
      </c>
      <c r="O4" s="3" t="s">
        <v>191</v>
      </c>
      <c r="P4" s="3">
        <v>803</v>
      </c>
      <c r="Q4" s="3">
        <v>1223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44847</v>
      </c>
      <c r="B5" s="3" t="s">
        <v>21</v>
      </c>
      <c r="C5" s="3" t="s">
        <v>45</v>
      </c>
      <c r="D5" s="3" t="s">
        <v>22</v>
      </c>
      <c r="E5" s="3" t="s">
        <v>28</v>
      </c>
      <c r="F5" s="3" t="s">
        <v>23</v>
      </c>
      <c r="G5" s="9">
        <v>70000</v>
      </c>
      <c r="H5" s="3" t="s">
        <v>46</v>
      </c>
      <c r="I5" s="3" t="s">
        <v>47</v>
      </c>
      <c r="J5" s="4">
        <v>0.93402777777777779</v>
      </c>
      <c r="K5" s="5">
        <v>0.92083333333333339</v>
      </c>
      <c r="L5" s="4">
        <v>0.69791666666666663</v>
      </c>
      <c r="M5" s="5">
        <v>0.70624999999999993</v>
      </c>
      <c r="N5" s="3" t="s">
        <v>194</v>
      </c>
      <c r="O5" s="3" t="s">
        <v>135</v>
      </c>
      <c r="P5" s="3">
        <v>520</v>
      </c>
      <c r="Q5" s="3">
        <v>1124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/>
      <c r="B6" s="3"/>
      <c r="C6" s="3"/>
      <c r="D6" s="3"/>
      <c r="E6" s="3"/>
      <c r="F6" s="3"/>
      <c r="G6" s="9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/>
      <c r="B7" s="3"/>
      <c r="C7" s="3"/>
      <c r="D7" s="3"/>
      <c r="E7" s="3"/>
      <c r="F7" s="3"/>
      <c r="G7" s="9"/>
      <c r="H7" s="3"/>
      <c r="I7" s="3"/>
      <c r="J7" s="12"/>
      <c r="K7" s="3"/>
      <c r="L7" s="4"/>
      <c r="M7" s="1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P7" sqref="P7"/>
    </sheetView>
  </sheetViews>
  <sheetFormatPr defaultRowHeight="15" x14ac:dyDescent="0.25"/>
  <cols>
    <col min="3" max="3" width="14.7109375" customWidth="1"/>
    <col min="5" max="5" width="9.85546875" customWidth="1"/>
    <col min="6" max="6" width="13.28515625" customWidth="1"/>
    <col min="8" max="9" width="9.7109375" bestFit="1" customWidth="1"/>
    <col min="10" max="10" width="11" bestFit="1" customWidth="1"/>
    <col min="12" max="12" width="11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44848</v>
      </c>
      <c r="B2" s="3" t="s">
        <v>21</v>
      </c>
      <c r="C2" s="3" t="s">
        <v>61</v>
      </c>
      <c r="D2" s="3" t="s">
        <v>22</v>
      </c>
      <c r="E2" s="3" t="s">
        <v>177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0.48541666666666666</v>
      </c>
      <c r="L2" s="4">
        <v>0.25694444444444448</v>
      </c>
      <c r="M2" s="5">
        <v>0.32222222222222224</v>
      </c>
      <c r="N2" s="3" t="s">
        <v>196</v>
      </c>
      <c r="O2" s="3" t="s">
        <v>195</v>
      </c>
      <c r="P2" s="3">
        <v>625</v>
      </c>
      <c r="Q2" s="3">
        <v>674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44848</v>
      </c>
      <c r="B3" s="3" t="s">
        <v>21</v>
      </c>
      <c r="C3" s="3" t="s">
        <v>64</v>
      </c>
      <c r="D3" s="3" t="s">
        <v>22</v>
      </c>
      <c r="E3" s="3" t="s">
        <v>28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0.5395833333333333</v>
      </c>
      <c r="L3" s="4">
        <v>0.28125</v>
      </c>
      <c r="M3" s="5">
        <v>0.32569444444444445</v>
      </c>
      <c r="N3" s="3" t="s">
        <v>197</v>
      </c>
      <c r="O3" s="3" t="s">
        <v>95</v>
      </c>
      <c r="P3" s="3">
        <v>794</v>
      </c>
      <c r="Q3" s="3">
        <v>1337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44848</v>
      </c>
      <c r="B4" s="3" t="s">
        <v>21</v>
      </c>
      <c r="C4" s="3" t="s">
        <v>67</v>
      </c>
      <c r="D4" s="3" t="s">
        <v>22</v>
      </c>
      <c r="E4" s="3" t="str">
        <f>E2</f>
        <v>HA-LWU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0.66319444444444442</v>
      </c>
      <c r="L4" s="4">
        <v>0.46180555555555558</v>
      </c>
      <c r="M4" s="5">
        <v>0.52777777777777779</v>
      </c>
      <c r="N4" s="3" t="s">
        <v>200</v>
      </c>
      <c r="O4" s="3" t="s">
        <v>129</v>
      </c>
      <c r="P4" s="3">
        <v>641</v>
      </c>
      <c r="Q4" s="3">
        <v>703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44848</v>
      </c>
      <c r="B5" s="3" t="s">
        <v>21</v>
      </c>
      <c r="C5" s="3" t="s">
        <v>70</v>
      </c>
      <c r="D5" s="3" t="s">
        <v>22</v>
      </c>
      <c r="E5" s="3" t="str">
        <f>E3</f>
        <v>HA-LWV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0.75694444444444453</v>
      </c>
      <c r="K5" s="5">
        <v>0.74652777777777779</v>
      </c>
      <c r="L5" s="4">
        <v>0.64236111111111105</v>
      </c>
      <c r="M5" s="5">
        <v>0.63958333333333328</v>
      </c>
      <c r="N5" s="3" t="s">
        <v>201</v>
      </c>
      <c r="O5" s="3" t="s">
        <v>141</v>
      </c>
      <c r="P5" s="3">
        <v>469</v>
      </c>
      <c r="Q5" s="3">
        <v>537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44848</v>
      </c>
      <c r="B6" s="3" t="s">
        <v>21</v>
      </c>
      <c r="C6" s="3" t="s">
        <v>73</v>
      </c>
      <c r="D6" s="3" t="s">
        <v>22</v>
      </c>
      <c r="E6" s="3" t="str">
        <f>E4</f>
        <v>HA-LWU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0.96180555555555547</v>
      </c>
      <c r="K6" s="5">
        <v>0.95694444444444438</v>
      </c>
      <c r="L6" s="4">
        <v>0.77777777777777779</v>
      </c>
      <c r="M6" s="5">
        <v>0.78194444444444444</v>
      </c>
      <c r="N6" s="3" t="s">
        <v>141</v>
      </c>
      <c r="O6" s="3" t="s">
        <v>198</v>
      </c>
      <c r="P6" s="3">
        <v>636</v>
      </c>
      <c r="Q6" s="3">
        <v>856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44848</v>
      </c>
      <c r="B7" s="3" t="s">
        <v>21</v>
      </c>
      <c r="C7" s="3" t="s">
        <v>76</v>
      </c>
      <c r="D7" s="3" t="s">
        <v>22</v>
      </c>
      <c r="E7" s="3" t="str">
        <f>E5</f>
        <v>HA-LWV</v>
      </c>
      <c r="F7" s="3" t="s">
        <v>23</v>
      </c>
      <c r="G7" s="3">
        <v>70000</v>
      </c>
      <c r="H7" s="3" t="s">
        <v>77</v>
      </c>
      <c r="I7" s="3" t="s">
        <v>78</v>
      </c>
      <c r="J7" s="4">
        <v>0.96875</v>
      </c>
      <c r="K7" s="5">
        <v>0.96527777777777779</v>
      </c>
      <c r="L7" s="4">
        <v>0.77777777777777779</v>
      </c>
      <c r="M7" s="5">
        <v>0.79305555555555562</v>
      </c>
      <c r="N7" s="3" t="s">
        <v>123</v>
      </c>
      <c r="O7" s="3" t="s">
        <v>199</v>
      </c>
      <c r="P7" s="6">
        <v>965</v>
      </c>
      <c r="Q7" s="6">
        <v>1152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H25" sqref="H25"/>
    </sheetView>
  </sheetViews>
  <sheetFormatPr defaultRowHeight="15" x14ac:dyDescent="0.25"/>
  <cols>
    <col min="2" max="2" width="13.140625" customWidth="1"/>
    <col min="3" max="3" width="13.42578125" customWidth="1"/>
    <col min="6" max="6" width="1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44849</v>
      </c>
      <c r="B2" s="3" t="s">
        <v>21</v>
      </c>
      <c r="C2" s="3" t="s">
        <v>29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0.51388888888888895</v>
      </c>
      <c r="L2" s="4">
        <v>0.28125</v>
      </c>
      <c r="M2" s="5">
        <v>0.33055555555555555</v>
      </c>
      <c r="N2" s="3" t="s">
        <v>164</v>
      </c>
      <c r="O2" s="3" t="s">
        <v>202</v>
      </c>
      <c r="P2" s="3">
        <v>784</v>
      </c>
      <c r="Q2" s="3">
        <v>973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44849</v>
      </c>
      <c r="B3" s="3" t="s">
        <v>21</v>
      </c>
      <c r="C3" s="3" t="s">
        <v>24</v>
      </c>
      <c r="D3" s="3" t="s">
        <v>22</v>
      </c>
      <c r="E3" s="3" t="s">
        <v>177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0.91319444444444453</v>
      </c>
      <c r="K3" s="5">
        <v>0.9291666666666667</v>
      </c>
      <c r="L3" s="4">
        <v>0.49305555555555558</v>
      </c>
      <c r="M3" s="5">
        <v>0.5</v>
      </c>
      <c r="N3" s="3" t="s">
        <v>212</v>
      </c>
      <c r="O3" s="3" t="s">
        <v>203</v>
      </c>
      <c r="P3" s="3">
        <v>763</v>
      </c>
      <c r="Q3" s="3">
        <v>1162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44849</v>
      </c>
      <c r="B4" s="3" t="s">
        <v>21</v>
      </c>
      <c r="C4" s="3" t="s">
        <v>48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0.91319444444444453</v>
      </c>
      <c r="K4" s="5">
        <v>0.93472222222222223</v>
      </c>
      <c r="L4" s="4">
        <v>0.50347222222222221</v>
      </c>
      <c r="M4" s="5">
        <v>0.55277777777777781</v>
      </c>
      <c r="N4" s="3" t="s">
        <v>213</v>
      </c>
      <c r="O4" s="3" t="s">
        <v>204</v>
      </c>
      <c r="P4" s="3">
        <v>938</v>
      </c>
      <c r="Q4" s="3">
        <v>937</v>
      </c>
      <c r="R4" s="3">
        <v>0</v>
      </c>
      <c r="S4" s="3">
        <v>0</v>
      </c>
      <c r="T4" s="3">
        <v>0</v>
      </c>
      <c r="U4" s="3">
        <v>0</v>
      </c>
    </row>
    <row r="5" spans="1:21" s="3" customFormat="1" ht="15" customHeight="1" x14ac:dyDescent="0.25">
      <c r="A5" s="2">
        <v>44849</v>
      </c>
      <c r="B5" s="3" t="s">
        <v>205</v>
      </c>
      <c r="C5" s="3" t="s">
        <v>206</v>
      </c>
      <c r="D5" s="3" t="s">
        <v>207</v>
      </c>
      <c r="E5" s="3" t="s">
        <v>208</v>
      </c>
      <c r="F5" s="3" t="s">
        <v>209</v>
      </c>
      <c r="G5" s="3">
        <v>14390</v>
      </c>
      <c r="H5" s="3" t="s">
        <v>210</v>
      </c>
      <c r="I5" s="3" t="str">
        <f>H5</f>
        <v>ADN16C</v>
      </c>
      <c r="J5" s="4">
        <v>0.59027777777777779</v>
      </c>
      <c r="K5" s="5">
        <v>0.57777777777777783</v>
      </c>
      <c r="L5" s="4">
        <v>0.61805555555555558</v>
      </c>
      <c r="M5" s="5">
        <v>0.59722222222222221</v>
      </c>
      <c r="N5" s="3">
        <v>0</v>
      </c>
      <c r="O5" s="3" t="s">
        <v>211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sqref="A1:XFD1048576"/>
    </sheetView>
  </sheetViews>
  <sheetFormatPr defaultRowHeight="15" x14ac:dyDescent="0.25"/>
  <cols>
    <col min="1" max="1" width="14" bestFit="1" customWidth="1"/>
    <col min="3" max="3" width="13.5703125" bestFit="1" customWidth="1"/>
    <col min="6" max="6" width="12.710937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44850</v>
      </c>
      <c r="B2" s="3" t="s">
        <v>21</v>
      </c>
      <c r="C2" s="3" t="s">
        <v>36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0.4458333333333333</v>
      </c>
      <c r="L2" s="4">
        <v>0.25694444444444448</v>
      </c>
      <c r="M2" s="5">
        <v>0.26041666666666669</v>
      </c>
      <c r="N2" s="3" t="s">
        <v>144</v>
      </c>
      <c r="O2" s="3" t="s">
        <v>193</v>
      </c>
      <c r="P2" s="3">
        <v>860</v>
      </c>
      <c r="Q2" s="3">
        <v>1188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44850</v>
      </c>
      <c r="B3" s="3" t="s">
        <v>21</v>
      </c>
      <c r="C3" s="3" t="s">
        <v>39</v>
      </c>
      <c r="D3" s="3" t="s">
        <v>22</v>
      </c>
      <c r="E3" s="3" t="s">
        <v>177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1016</v>
      </c>
      <c r="L3" s="4">
        <v>0.28472222222222221</v>
      </c>
      <c r="M3" s="5">
        <v>0.2951388888888889</v>
      </c>
      <c r="N3" s="3" t="s">
        <v>57</v>
      </c>
      <c r="O3" s="3" t="s">
        <v>214</v>
      </c>
      <c r="P3" s="3">
        <v>629</v>
      </c>
      <c r="Q3" s="3">
        <v>1201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44850</v>
      </c>
      <c r="B4" s="3" t="s">
        <v>21</v>
      </c>
      <c r="C4" s="3" t="s">
        <v>42</v>
      </c>
      <c r="D4" s="3" t="s">
        <v>22</v>
      </c>
      <c r="E4" s="3" t="s">
        <v>177</v>
      </c>
      <c r="F4" s="3" t="s">
        <v>23</v>
      </c>
      <c r="G4" s="9">
        <v>70000</v>
      </c>
      <c r="H4" s="3" t="s">
        <v>43</v>
      </c>
      <c r="I4" s="3" t="s">
        <v>44</v>
      </c>
      <c r="J4" s="4">
        <v>0.64583333333333337</v>
      </c>
      <c r="K4" s="5">
        <v>0.63611111111111118</v>
      </c>
      <c r="L4" s="4">
        <v>0.48958333333333331</v>
      </c>
      <c r="M4" s="5">
        <v>0.48333333333333334</v>
      </c>
      <c r="N4" s="3" t="s">
        <v>217</v>
      </c>
      <c r="O4" s="3" t="s">
        <v>215</v>
      </c>
      <c r="P4" s="3">
        <v>507</v>
      </c>
      <c r="Q4" s="3">
        <v>656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44850</v>
      </c>
      <c r="B5" s="3" t="s">
        <v>21</v>
      </c>
      <c r="C5" s="3" t="s">
        <v>45</v>
      </c>
      <c r="D5" s="3" t="s">
        <v>22</v>
      </c>
      <c r="E5" s="3" t="s">
        <v>177</v>
      </c>
      <c r="F5" s="3" t="s">
        <v>23</v>
      </c>
      <c r="G5" s="9">
        <v>70000</v>
      </c>
      <c r="H5" s="3" t="s">
        <v>46</v>
      </c>
      <c r="I5" s="3" t="s">
        <v>47</v>
      </c>
      <c r="J5" s="4">
        <v>0.90277777777777779</v>
      </c>
      <c r="K5" s="5">
        <v>0.89097222222222217</v>
      </c>
      <c r="L5" s="4">
        <v>0.66666666666666663</v>
      </c>
      <c r="M5" s="5">
        <v>0.67291666666666661</v>
      </c>
      <c r="N5" s="3" t="s">
        <v>218</v>
      </c>
      <c r="O5" s="3" t="s">
        <v>216</v>
      </c>
      <c r="P5" s="3">
        <v>613</v>
      </c>
      <c r="Q5" s="3">
        <v>1293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/>
      <c r="B6" s="3"/>
      <c r="C6" s="3"/>
      <c r="D6" s="3"/>
      <c r="E6" s="3"/>
      <c r="F6" s="3"/>
      <c r="G6" s="9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sqref="A1:U11"/>
    </sheetView>
  </sheetViews>
  <sheetFormatPr defaultRowHeight="15" x14ac:dyDescent="0.25"/>
  <cols>
    <col min="1" max="1" width="10.42578125" customWidth="1"/>
    <col min="2" max="2" width="12.42578125" customWidth="1"/>
    <col min="3" max="3" width="17.140625" customWidth="1"/>
    <col min="6" max="6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44851</v>
      </c>
      <c r="B2" s="3" t="s">
        <v>21</v>
      </c>
      <c r="C2" s="3" t="s">
        <v>61</v>
      </c>
      <c r="D2" s="3" t="s">
        <v>22</v>
      </c>
      <c r="E2" s="3" t="s">
        <v>177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0.43124999999999997</v>
      </c>
      <c r="L2" s="4">
        <v>0.25694444444444448</v>
      </c>
      <c r="M2" s="5">
        <v>0.26250000000000001</v>
      </c>
      <c r="N2" s="3" t="s">
        <v>221</v>
      </c>
      <c r="O2" s="3" t="s">
        <v>162</v>
      </c>
      <c r="P2" s="3">
        <v>621</v>
      </c>
      <c r="Q2" s="3">
        <v>871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44851</v>
      </c>
      <c r="B3" s="3" t="s">
        <v>21</v>
      </c>
      <c r="C3" s="3" t="s">
        <v>64</v>
      </c>
      <c r="D3" s="3" t="s">
        <v>22</v>
      </c>
      <c r="E3" s="3" t="s">
        <v>28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0.51736111111111105</v>
      </c>
      <c r="L3" s="4">
        <v>0.28125</v>
      </c>
      <c r="M3" s="5">
        <v>0.28055555555555556</v>
      </c>
      <c r="N3" s="3" t="s">
        <v>220</v>
      </c>
      <c r="O3" s="3" t="s">
        <v>219</v>
      </c>
      <c r="P3" s="3">
        <v>419</v>
      </c>
      <c r="Q3" s="3">
        <v>1022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44851</v>
      </c>
      <c r="B4" s="3" t="s">
        <v>21</v>
      </c>
      <c r="C4" s="3" t="s">
        <v>67</v>
      </c>
      <c r="D4" s="3" t="s">
        <v>22</v>
      </c>
      <c r="E4" s="3" t="s">
        <v>177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0.6069444444444444</v>
      </c>
      <c r="L4" s="4">
        <v>0.46180555555555558</v>
      </c>
      <c r="M4" s="5">
        <v>0.4680555555555555</v>
      </c>
      <c r="N4" s="3" t="s">
        <v>223</v>
      </c>
      <c r="O4" s="3" t="s">
        <v>90</v>
      </c>
      <c r="P4" s="3">
        <v>968</v>
      </c>
      <c r="Q4" s="3">
        <v>730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44851</v>
      </c>
      <c r="B5" s="3" t="s">
        <v>21</v>
      </c>
      <c r="C5" s="3" t="s">
        <v>70</v>
      </c>
      <c r="D5" s="3" t="s">
        <v>22</v>
      </c>
      <c r="E5" s="3" t="s">
        <v>28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0.75694444444444453</v>
      </c>
      <c r="K5" s="5">
        <v>0.74722222222222223</v>
      </c>
      <c r="L5" s="4">
        <v>0.64236111111111105</v>
      </c>
      <c r="M5" s="5">
        <v>0.63611111111111118</v>
      </c>
      <c r="N5" s="3" t="s">
        <v>56</v>
      </c>
      <c r="O5" s="3" t="s">
        <v>222</v>
      </c>
      <c r="P5" s="3">
        <v>506</v>
      </c>
      <c r="Q5" s="3">
        <v>447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44851</v>
      </c>
      <c r="B6" s="3" t="s">
        <v>21</v>
      </c>
      <c r="C6" s="3" t="s">
        <v>73</v>
      </c>
      <c r="D6" s="3" t="s">
        <v>22</v>
      </c>
      <c r="E6" s="3" t="s">
        <v>177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0.96180555555555547</v>
      </c>
      <c r="K6" s="5">
        <v>0.95486111111111116</v>
      </c>
      <c r="L6" s="4">
        <v>0.77777777777777779</v>
      </c>
      <c r="M6" s="5">
        <v>0.78194444444444444</v>
      </c>
      <c r="N6" s="3" t="s">
        <v>172</v>
      </c>
      <c r="O6" s="3" t="s">
        <v>224</v>
      </c>
      <c r="P6" s="3">
        <v>552</v>
      </c>
      <c r="Q6" s="3">
        <v>642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44851</v>
      </c>
      <c r="B7" s="3" t="s">
        <v>21</v>
      </c>
      <c r="C7" s="3" t="s">
        <v>76</v>
      </c>
      <c r="D7" s="3" t="s">
        <v>22</v>
      </c>
      <c r="E7" s="3" t="s">
        <v>28</v>
      </c>
      <c r="F7" s="3" t="s">
        <v>23</v>
      </c>
      <c r="G7" s="3">
        <v>70000</v>
      </c>
      <c r="H7" s="3" t="s">
        <v>77</v>
      </c>
      <c r="I7" s="3" t="s">
        <v>78</v>
      </c>
      <c r="J7" s="4">
        <v>0.97569444444444453</v>
      </c>
      <c r="K7" s="5">
        <v>0.96250000000000002</v>
      </c>
      <c r="L7" s="4">
        <v>0.77777777777777779</v>
      </c>
      <c r="M7" s="5">
        <v>0.78472222222222221</v>
      </c>
      <c r="N7" s="3" t="s">
        <v>225</v>
      </c>
      <c r="O7" s="3" t="s">
        <v>219</v>
      </c>
      <c r="P7" s="6">
        <v>842</v>
      </c>
      <c r="Q7" s="6">
        <v>1010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K5" sqref="K5"/>
    </sheetView>
  </sheetViews>
  <sheetFormatPr defaultRowHeight="15" x14ac:dyDescent="0.25"/>
  <cols>
    <col min="3" max="3" width="16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44852</v>
      </c>
      <c r="B2" s="3" t="s">
        <v>21</v>
      </c>
      <c r="C2" s="3" t="s">
        <v>29</v>
      </c>
      <c r="D2" s="3" t="s">
        <v>22</v>
      </c>
      <c r="E2" s="3" t="s">
        <v>28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0.4680555555555555</v>
      </c>
      <c r="L2" s="4">
        <v>0.28125</v>
      </c>
      <c r="M2" s="5">
        <v>0.28611111111111115</v>
      </c>
      <c r="N2" s="3" t="s">
        <v>228</v>
      </c>
      <c r="O2" s="3" t="s">
        <v>226</v>
      </c>
      <c r="P2" s="3">
        <v>584</v>
      </c>
      <c r="Q2" s="3">
        <v>817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44852</v>
      </c>
      <c r="B3" s="3" t="s">
        <v>21</v>
      </c>
      <c r="C3" s="3" t="s">
        <v>24</v>
      </c>
      <c r="D3" s="3" t="s">
        <v>22</v>
      </c>
      <c r="E3" s="3" t="s">
        <v>177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0.82986111111111116</v>
      </c>
      <c r="K3" s="5">
        <v>0.81736111111111109</v>
      </c>
      <c r="L3" s="4">
        <v>0.40972222222222227</v>
      </c>
      <c r="M3" s="5">
        <v>0.40833333333333338</v>
      </c>
      <c r="N3" s="3" t="s">
        <v>230</v>
      </c>
      <c r="O3" s="3" t="s">
        <v>227</v>
      </c>
      <c r="P3" s="3">
        <v>871</v>
      </c>
      <c r="Q3" s="3">
        <v>793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44852</v>
      </c>
      <c r="B4" s="3" t="s">
        <v>21</v>
      </c>
      <c r="C4" s="3" t="s">
        <v>48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0.91319444444444453</v>
      </c>
      <c r="K4" s="5">
        <v>0.88680555555555562</v>
      </c>
      <c r="L4" s="4">
        <v>0.50347222222222221</v>
      </c>
      <c r="M4" s="5">
        <v>0.50138888888888888</v>
      </c>
      <c r="N4" s="3" t="s">
        <v>99</v>
      </c>
      <c r="O4" s="3" t="s">
        <v>229</v>
      </c>
      <c r="P4" s="3">
        <v>515</v>
      </c>
      <c r="Q4" s="3">
        <v>824</v>
      </c>
      <c r="R4" s="3">
        <v>0</v>
      </c>
      <c r="S4" s="3">
        <v>0</v>
      </c>
      <c r="T4" s="3">
        <v>0</v>
      </c>
      <c r="U4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K8" sqref="K8"/>
    </sheetView>
  </sheetViews>
  <sheetFormatPr defaultRowHeight="15" x14ac:dyDescent="0.25"/>
  <cols>
    <col min="1" max="1" width="10.140625" bestFit="1" customWidth="1"/>
    <col min="2" max="2" width="16.85546875" bestFit="1" customWidth="1"/>
    <col min="3" max="3" width="15.7109375" bestFit="1" customWidth="1"/>
    <col min="4" max="4" width="8.140625" customWidth="1"/>
    <col min="5" max="5" width="10.28515625" customWidth="1"/>
    <col min="6" max="6" width="13.7109375" customWidth="1"/>
    <col min="10" max="10" width="11" bestFit="1" customWidth="1"/>
    <col min="11" max="11" width="9.28515625" customWidth="1"/>
    <col min="12" max="12" width="11" bestFit="1" customWidth="1"/>
    <col min="13" max="13" width="10.85546875" bestFit="1" customWidth="1"/>
    <col min="14" max="14" width="10.85546875" customWidth="1"/>
    <col min="15" max="15" width="12.7109375" customWidth="1"/>
    <col min="16" max="16" width="8.140625" customWidth="1"/>
    <col min="17" max="17" width="7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44853</v>
      </c>
      <c r="B2" s="3" t="s">
        <v>21</v>
      </c>
      <c r="C2" s="3" t="s">
        <v>61</v>
      </c>
      <c r="D2" s="3" t="s">
        <v>22</v>
      </c>
      <c r="E2" s="3" t="s">
        <v>177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0.43055555555555558</v>
      </c>
      <c r="K2" s="5">
        <v>0.41597222222222219</v>
      </c>
      <c r="L2" s="4">
        <v>0.25694444444444448</v>
      </c>
      <c r="M2" s="5">
        <v>0.26111111111111113</v>
      </c>
      <c r="N2" s="5" t="s">
        <v>179</v>
      </c>
      <c r="O2" s="3" t="s">
        <v>231</v>
      </c>
      <c r="P2" s="3">
        <v>791</v>
      </c>
      <c r="Q2" s="3">
        <v>692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44853</v>
      </c>
      <c r="B3" s="3" t="s">
        <v>21</v>
      </c>
      <c r="C3" s="3" t="s">
        <v>67</v>
      </c>
      <c r="D3" s="3" t="s">
        <v>22</v>
      </c>
      <c r="E3" s="3" t="s">
        <v>177</v>
      </c>
      <c r="F3" s="1" t="s">
        <v>23</v>
      </c>
      <c r="G3" s="3">
        <v>70000</v>
      </c>
      <c r="H3" s="3" t="s">
        <v>68</v>
      </c>
      <c r="I3" s="3" t="s">
        <v>69</v>
      </c>
      <c r="J3" s="4">
        <v>0.60069444444444442</v>
      </c>
      <c r="K3" s="5">
        <v>0.58194444444444449</v>
      </c>
      <c r="L3" s="4">
        <v>0.4513888888888889</v>
      </c>
      <c r="M3" s="5">
        <v>0.45208333333333334</v>
      </c>
      <c r="N3" s="3" t="s">
        <v>239</v>
      </c>
      <c r="O3" s="3" t="s">
        <v>232</v>
      </c>
      <c r="P3" s="3">
        <v>580</v>
      </c>
      <c r="Q3" s="3">
        <v>703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44853</v>
      </c>
      <c r="B4" s="3" t="s">
        <v>21</v>
      </c>
      <c r="C4" s="3" t="s">
        <v>42</v>
      </c>
      <c r="D4" s="3" t="s">
        <v>22</v>
      </c>
      <c r="E4" s="3" t="s">
        <v>28</v>
      </c>
      <c r="F4" s="1" t="s">
        <v>23</v>
      </c>
      <c r="G4" s="3">
        <v>70000</v>
      </c>
      <c r="H4" s="3" t="s">
        <v>43</v>
      </c>
      <c r="I4" s="3" t="s">
        <v>44</v>
      </c>
      <c r="J4" s="4">
        <v>0.69791666666666663</v>
      </c>
      <c r="K4" s="5">
        <v>0.70138888888888884</v>
      </c>
      <c r="L4" s="4">
        <v>0.54166666666666663</v>
      </c>
      <c r="M4" s="5">
        <v>0.54375000000000007</v>
      </c>
      <c r="N4" s="3" t="s">
        <v>241</v>
      </c>
      <c r="O4" s="3" t="s">
        <v>238</v>
      </c>
      <c r="P4" s="3">
        <v>251</v>
      </c>
      <c r="Q4" s="3">
        <v>438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44853</v>
      </c>
      <c r="B5" s="3" t="s">
        <v>21</v>
      </c>
      <c r="C5" s="3" t="s">
        <v>70</v>
      </c>
      <c r="D5" s="3" t="s">
        <v>22</v>
      </c>
      <c r="E5" s="3" t="s">
        <v>177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0.74652777777777779</v>
      </c>
      <c r="K5" s="5">
        <v>0.73333333333333339</v>
      </c>
      <c r="L5" s="4">
        <v>0.63194444444444442</v>
      </c>
      <c r="M5" s="5">
        <v>0.62986111111111109</v>
      </c>
      <c r="N5" s="3" t="s">
        <v>242</v>
      </c>
      <c r="O5" s="3" t="s">
        <v>240</v>
      </c>
      <c r="P5" s="3">
        <v>469</v>
      </c>
      <c r="Q5" s="3">
        <v>387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44853</v>
      </c>
      <c r="B6" s="3" t="s">
        <v>21</v>
      </c>
      <c r="C6" s="3" t="s">
        <v>73</v>
      </c>
      <c r="D6" s="3" t="s">
        <v>22</v>
      </c>
      <c r="E6" s="3" t="s">
        <v>28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0.90277777777777779</v>
      </c>
      <c r="K6" s="5">
        <v>0.91111111111111109</v>
      </c>
      <c r="L6" s="4">
        <v>0.71875</v>
      </c>
      <c r="M6" s="5">
        <v>0.74444444444444446</v>
      </c>
      <c r="N6" s="3" t="s">
        <v>59</v>
      </c>
      <c r="O6" s="3" t="s">
        <v>243</v>
      </c>
      <c r="P6" s="3">
        <v>726</v>
      </c>
      <c r="Q6" s="3">
        <v>737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44853</v>
      </c>
      <c r="B7" s="3" t="s">
        <v>21</v>
      </c>
      <c r="C7" s="3" t="s">
        <v>76</v>
      </c>
      <c r="D7" s="3" t="s">
        <v>22</v>
      </c>
      <c r="E7" s="3" t="s">
        <v>177</v>
      </c>
      <c r="F7" s="1" t="s">
        <v>23</v>
      </c>
      <c r="G7" s="3">
        <v>70000</v>
      </c>
      <c r="H7" s="3" t="s">
        <v>77</v>
      </c>
      <c r="I7" s="3" t="s">
        <v>78</v>
      </c>
      <c r="J7" s="4">
        <v>0.9375</v>
      </c>
      <c r="K7" s="5">
        <v>0.94166666666666676</v>
      </c>
      <c r="L7" s="4">
        <v>0.76736111111111116</v>
      </c>
      <c r="M7" s="5">
        <v>0.7715277777777777</v>
      </c>
      <c r="N7" s="3" t="s">
        <v>245</v>
      </c>
      <c r="O7" s="3" t="s">
        <v>54</v>
      </c>
      <c r="P7" s="3"/>
      <c r="Q7" s="3">
        <v>839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44853</v>
      </c>
      <c r="B8" s="3" t="s">
        <v>233</v>
      </c>
      <c r="C8" s="3" t="s">
        <v>234</v>
      </c>
      <c r="D8" s="3" t="s">
        <v>235</v>
      </c>
      <c r="E8" s="3" t="s">
        <v>236</v>
      </c>
      <c r="F8" s="3" t="s">
        <v>154</v>
      </c>
      <c r="G8" s="3">
        <v>1962</v>
      </c>
      <c r="H8" s="3" t="str">
        <f>E8</f>
        <v>OE-KAR</v>
      </c>
      <c r="I8" s="3" t="str">
        <f>H8</f>
        <v>OE-KAR</v>
      </c>
      <c r="J8" s="4">
        <v>0.4375</v>
      </c>
      <c r="K8" s="5">
        <v>0.47083333333333338</v>
      </c>
      <c r="L8" s="4">
        <v>0.72916666666666663</v>
      </c>
      <c r="M8" s="5">
        <v>0.7631944444444444</v>
      </c>
      <c r="N8" s="3" t="s">
        <v>237</v>
      </c>
      <c r="O8" s="3" t="s">
        <v>244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B3" sqref="B3:S3"/>
    </sheetView>
  </sheetViews>
  <sheetFormatPr defaultRowHeight="15" x14ac:dyDescent="0.25"/>
  <cols>
    <col min="1" max="1" width="10.140625" bestFit="1" customWidth="1"/>
    <col min="2" max="2" width="12.7109375" customWidth="1"/>
    <col min="3" max="3" width="14.7109375" customWidth="1"/>
    <col min="4" max="4" width="7.28515625" customWidth="1"/>
    <col min="5" max="5" width="11.28515625" customWidth="1"/>
    <col min="6" max="6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44854</v>
      </c>
      <c r="B2" s="3" t="s">
        <v>21</v>
      </c>
      <c r="C2" s="3" t="s">
        <v>36</v>
      </c>
      <c r="D2" s="3" t="s">
        <v>22</v>
      </c>
      <c r="E2" s="3" t="s">
        <v>177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/>
      <c r="L2" s="4">
        <v>0.25694444444444448</v>
      </c>
      <c r="M2" s="5">
        <v>0.36180555555555555</v>
      </c>
      <c r="N2" s="3"/>
      <c r="O2" s="3" t="s">
        <v>225</v>
      </c>
      <c r="P2" s="3"/>
      <c r="Q2" s="3">
        <v>1228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44854</v>
      </c>
      <c r="B3" s="3" t="s">
        <v>21</v>
      </c>
      <c r="C3" s="3" t="s">
        <v>39</v>
      </c>
      <c r="D3" s="3" t="s">
        <v>22</v>
      </c>
      <c r="E3" s="3" t="s">
        <v>28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0.46180555555555558</v>
      </c>
      <c r="L3" s="4">
        <v>0.28472222222222221</v>
      </c>
      <c r="M3" s="5">
        <v>0.32708333333333334</v>
      </c>
      <c r="N3" s="3" t="s">
        <v>247</v>
      </c>
      <c r="O3" s="3" t="s">
        <v>246</v>
      </c>
      <c r="P3" s="3">
        <v>219</v>
      </c>
      <c r="Q3" s="3">
        <v>808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44854</v>
      </c>
      <c r="B4" s="3" t="s">
        <v>21</v>
      </c>
      <c r="C4" s="3" t="s">
        <v>24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25</v>
      </c>
      <c r="I4" s="3" t="s">
        <v>26</v>
      </c>
      <c r="J4" s="4">
        <v>0.67708333333333337</v>
      </c>
      <c r="K4" s="5">
        <v>0.66805555555555562</v>
      </c>
      <c r="L4" s="4">
        <v>0.48958333333333331</v>
      </c>
      <c r="M4" s="5">
        <v>0.49652777777777773</v>
      </c>
      <c r="N4" s="3" t="s">
        <v>248</v>
      </c>
      <c r="O4" s="3" t="s">
        <v>86</v>
      </c>
      <c r="P4" s="3">
        <v>849</v>
      </c>
      <c r="Q4" s="3">
        <v>818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44854</v>
      </c>
      <c r="B5" s="3" t="s">
        <v>21</v>
      </c>
      <c r="C5" s="3" t="s">
        <v>45</v>
      </c>
      <c r="D5" s="3" t="s">
        <v>22</v>
      </c>
      <c r="E5" s="3" t="s">
        <v>28</v>
      </c>
      <c r="F5" s="3" t="s">
        <v>23</v>
      </c>
      <c r="G5" s="9">
        <v>70000</v>
      </c>
      <c r="H5" s="3" t="s">
        <v>46</v>
      </c>
      <c r="I5" s="3" t="s">
        <v>47</v>
      </c>
      <c r="J5" s="4">
        <v>0.93402777777777779</v>
      </c>
      <c r="K5" s="5">
        <v>0.92013888888888884</v>
      </c>
      <c r="L5" s="4">
        <v>0.69791666666666663</v>
      </c>
      <c r="M5" s="5">
        <v>0.70277777777777783</v>
      </c>
      <c r="N5" s="3" t="s">
        <v>250</v>
      </c>
      <c r="O5" s="3" t="s">
        <v>249</v>
      </c>
      <c r="P5" s="3">
        <v>473</v>
      </c>
      <c r="Q5" s="3">
        <v>1059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/>
      <c r="B6" s="3"/>
      <c r="C6" s="3"/>
      <c r="D6" s="3"/>
      <c r="E6" s="3"/>
      <c r="F6" s="3"/>
      <c r="G6" s="9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/>
      <c r="B7" s="3"/>
      <c r="C7" s="3"/>
      <c r="D7" s="3"/>
      <c r="E7" s="3"/>
      <c r="F7" s="3"/>
      <c r="G7" s="9"/>
      <c r="H7" s="3"/>
      <c r="I7" s="3"/>
      <c r="J7" s="12"/>
      <c r="K7" s="3"/>
      <c r="L7" s="4"/>
      <c r="M7" s="1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5" sqref="A5:U7"/>
    </sheetView>
  </sheetViews>
  <sheetFormatPr defaultRowHeight="15" x14ac:dyDescent="0.25"/>
  <cols>
    <col min="1" max="1" width="10.140625" bestFit="1" customWidth="1"/>
    <col min="3" max="3" width="14.7109375" customWidth="1"/>
    <col min="5" max="5" width="9.85546875" customWidth="1"/>
    <col min="6" max="6" width="13.28515625" customWidth="1"/>
    <col min="8" max="9" width="9.7109375" bestFit="1" customWidth="1"/>
    <col min="10" max="10" width="11" bestFit="1" customWidth="1"/>
    <col min="12" max="12" width="11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44855</v>
      </c>
      <c r="B2" s="3" t="s">
        <v>21</v>
      </c>
      <c r="C2" s="3" t="s">
        <v>61</v>
      </c>
      <c r="D2" s="3" t="s">
        <v>22</v>
      </c>
      <c r="E2" s="3" t="s">
        <v>28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0.43958333333333338</v>
      </c>
      <c r="L2" s="4">
        <v>0.25694444444444448</v>
      </c>
      <c r="M2" s="5">
        <v>0.26944444444444443</v>
      </c>
      <c r="N2" s="3" t="s">
        <v>200</v>
      </c>
      <c r="O2" s="3" t="s">
        <v>252</v>
      </c>
      <c r="P2" s="3">
        <v>971</v>
      </c>
      <c r="Q2" s="3">
        <v>718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44855</v>
      </c>
      <c r="B3" s="3" t="s">
        <v>21</v>
      </c>
      <c r="C3" s="3" t="s">
        <v>64</v>
      </c>
      <c r="D3" s="3" t="s">
        <v>22</v>
      </c>
      <c r="E3" s="6" t="s">
        <v>177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0.83194444444444438</v>
      </c>
      <c r="L3" s="4">
        <v>0.28125</v>
      </c>
      <c r="M3" s="5">
        <v>0.61041666666666672</v>
      </c>
      <c r="N3" s="3" t="s">
        <v>258</v>
      </c>
      <c r="O3" s="3" t="s">
        <v>59</v>
      </c>
      <c r="P3" s="3">
        <v>576</v>
      </c>
      <c r="Q3" s="3">
        <v>1206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44855</v>
      </c>
      <c r="B4" s="3" t="s">
        <v>21</v>
      </c>
      <c r="C4" s="3" t="s">
        <v>67</v>
      </c>
      <c r="D4" s="3" t="s">
        <v>22</v>
      </c>
      <c r="E4" s="3" t="s">
        <v>28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0.59930555555555554</v>
      </c>
      <c r="L4" s="4">
        <v>0.46180555555555558</v>
      </c>
      <c r="M4" s="5">
        <v>0.47361111111111115</v>
      </c>
      <c r="N4" s="3" t="s">
        <v>259</v>
      </c>
      <c r="O4" s="3" t="s">
        <v>203</v>
      </c>
      <c r="P4" s="3">
        <v>821</v>
      </c>
      <c r="Q4" s="3">
        <v>1028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44855</v>
      </c>
      <c r="B5" s="3" t="s">
        <v>21</v>
      </c>
      <c r="C5" s="3" t="s">
        <v>70</v>
      </c>
      <c r="D5" s="3" t="s">
        <v>22</v>
      </c>
      <c r="E5" s="3" t="s">
        <v>28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0.75694444444444453</v>
      </c>
      <c r="K5" s="5">
        <v>0.75277777777777777</v>
      </c>
      <c r="L5" s="4">
        <v>0.64236111111111105</v>
      </c>
      <c r="M5" s="5">
        <v>0.64097222222222217</v>
      </c>
      <c r="N5" s="3" t="s">
        <v>96</v>
      </c>
      <c r="O5" s="3" t="s">
        <v>167</v>
      </c>
      <c r="P5" s="3">
        <v>423</v>
      </c>
      <c r="Q5" s="3">
        <v>380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44855</v>
      </c>
      <c r="B6" s="3" t="s">
        <v>21</v>
      </c>
      <c r="C6" s="3" t="s">
        <v>73</v>
      </c>
      <c r="D6" s="3" t="s">
        <v>22</v>
      </c>
      <c r="E6" s="6" t="s">
        <v>177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0.96180555555555547</v>
      </c>
      <c r="K6" s="5">
        <v>2.1527777777777781E-2</v>
      </c>
      <c r="L6" s="4">
        <v>0.77777777777777779</v>
      </c>
      <c r="M6" s="5">
        <v>0.86319444444444438</v>
      </c>
      <c r="N6" s="3" t="s">
        <v>145</v>
      </c>
      <c r="O6" s="3" t="s">
        <v>82</v>
      </c>
      <c r="P6" s="3">
        <v>617</v>
      </c>
      <c r="Q6" s="3">
        <v>861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44855</v>
      </c>
      <c r="B7" s="3" t="s">
        <v>21</v>
      </c>
      <c r="C7" s="3" t="s">
        <v>76</v>
      </c>
      <c r="D7" s="3" t="s">
        <v>22</v>
      </c>
      <c r="E7" s="3" t="s">
        <v>28</v>
      </c>
      <c r="F7" s="3" t="s">
        <v>23</v>
      </c>
      <c r="G7" s="3">
        <v>70000</v>
      </c>
      <c r="H7" s="3" t="s">
        <v>77</v>
      </c>
      <c r="I7" s="3" t="s">
        <v>78</v>
      </c>
      <c r="J7" s="4">
        <v>0.96875</v>
      </c>
      <c r="K7" s="5">
        <v>0.96250000000000002</v>
      </c>
      <c r="L7" s="4">
        <v>0.77777777777777779</v>
      </c>
      <c r="M7" s="5">
        <v>0.78472222222222221</v>
      </c>
      <c r="N7" s="3" t="s">
        <v>195</v>
      </c>
      <c r="O7" s="3" t="s">
        <v>139</v>
      </c>
      <c r="P7" s="6">
        <v>838</v>
      </c>
      <c r="Q7" s="6">
        <v>1088</v>
      </c>
      <c r="R7" s="6">
        <v>0</v>
      </c>
      <c r="S7" s="6">
        <v>0</v>
      </c>
      <c r="T7" s="6">
        <v>0</v>
      </c>
      <c r="U7" s="6">
        <v>0</v>
      </c>
    </row>
    <row r="8" spans="1:21" s="6" customFormat="1" ht="12.75" x14ac:dyDescent="0.2">
      <c r="A8" s="2">
        <v>44855</v>
      </c>
      <c r="B8" s="3" t="s">
        <v>21</v>
      </c>
      <c r="C8" s="3" t="s">
        <v>251</v>
      </c>
      <c r="D8" s="6" t="s">
        <v>22</v>
      </c>
      <c r="E8" s="6" t="s">
        <v>177</v>
      </c>
      <c r="F8" s="3" t="s">
        <v>23</v>
      </c>
      <c r="G8" s="6">
        <v>70000</v>
      </c>
      <c r="H8" s="6" t="s">
        <v>37</v>
      </c>
      <c r="I8" s="6" t="s">
        <v>111</v>
      </c>
      <c r="J8" s="7">
        <v>0.34027777777777773</v>
      </c>
      <c r="K8" s="8">
        <v>0.41111111111111115</v>
      </c>
      <c r="L8" s="6" t="s">
        <v>111</v>
      </c>
      <c r="M8" s="6" t="s">
        <v>111</v>
      </c>
      <c r="N8" s="6" t="s">
        <v>260</v>
      </c>
      <c r="O8" s="6">
        <v>0</v>
      </c>
      <c r="P8" s="6">
        <v>651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s="11" customFormat="1" x14ac:dyDescent="0.25">
      <c r="A9" s="19">
        <v>44855</v>
      </c>
      <c r="B9" s="6" t="s">
        <v>21</v>
      </c>
      <c r="C9" s="6" t="s">
        <v>253</v>
      </c>
      <c r="D9" s="6" t="s">
        <v>254</v>
      </c>
      <c r="E9" s="6" t="s">
        <v>255</v>
      </c>
      <c r="F9" s="6" t="s">
        <v>103</v>
      </c>
      <c r="G9" s="6">
        <v>89000</v>
      </c>
      <c r="H9" s="6" t="s">
        <v>256</v>
      </c>
      <c r="I9" s="6" t="s">
        <v>257</v>
      </c>
      <c r="J9" s="7">
        <v>0.54513888888888895</v>
      </c>
      <c r="K9" s="8">
        <v>0.56180555555555556</v>
      </c>
      <c r="L9" s="7">
        <v>0.56944444444444442</v>
      </c>
      <c r="M9" s="8">
        <v>0.60069444444444442</v>
      </c>
      <c r="N9" s="6">
        <v>0</v>
      </c>
      <c r="O9" s="6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</row>
    <row r="10" spans="1:2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Q31" sqref="Q31"/>
    </sheetView>
  </sheetViews>
  <sheetFormatPr defaultRowHeight="15" x14ac:dyDescent="0.25"/>
  <cols>
    <col min="2" max="2" width="13.140625" customWidth="1"/>
    <col min="3" max="3" width="13.42578125" customWidth="1"/>
    <col min="6" max="6" width="1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44856</v>
      </c>
      <c r="B2" s="3" t="s">
        <v>21</v>
      </c>
      <c r="C2" s="3" t="s">
        <v>29</v>
      </c>
      <c r="D2" s="3" t="s">
        <v>22</v>
      </c>
      <c r="E2" s="3" t="s">
        <v>261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0.46319444444444446</v>
      </c>
      <c r="L2" s="4">
        <v>0.28125</v>
      </c>
      <c r="M2" s="5">
        <v>0.28472222222222221</v>
      </c>
      <c r="N2" s="3" t="s">
        <v>262</v>
      </c>
      <c r="O2" s="3" t="s">
        <v>139</v>
      </c>
      <c r="P2" s="3">
        <v>667</v>
      </c>
      <c r="Q2" s="3">
        <v>744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44856</v>
      </c>
      <c r="B3" s="3" t="s">
        <v>21</v>
      </c>
      <c r="C3" s="3" t="s">
        <v>24</v>
      </c>
      <c r="D3" s="3" t="s">
        <v>22</v>
      </c>
      <c r="E3" s="3" t="s">
        <v>263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0.91319444444444453</v>
      </c>
      <c r="K3" s="5">
        <v>0.99861111111111101</v>
      </c>
      <c r="L3" s="4">
        <v>0.49305555555555558</v>
      </c>
      <c r="M3" s="5">
        <v>0.54236111111111118</v>
      </c>
      <c r="N3" s="3" t="s">
        <v>265</v>
      </c>
      <c r="O3" s="3" t="s">
        <v>216</v>
      </c>
      <c r="P3" s="3">
        <v>1105</v>
      </c>
      <c r="Q3" s="3">
        <v>878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44856</v>
      </c>
      <c r="B4" s="3" t="s">
        <v>21</v>
      </c>
      <c r="C4" s="3" t="s">
        <v>48</v>
      </c>
      <c r="D4" s="3" t="s">
        <v>22</v>
      </c>
      <c r="E4" s="3" t="s">
        <v>261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0.91319444444444453</v>
      </c>
      <c r="K4" s="5">
        <v>0.88611111111111107</v>
      </c>
      <c r="L4" s="4">
        <v>0.50347222222222221</v>
      </c>
      <c r="M4" s="5">
        <v>0.5083333333333333</v>
      </c>
      <c r="N4" s="3" t="s">
        <v>264</v>
      </c>
      <c r="O4" s="3" t="s">
        <v>165</v>
      </c>
      <c r="P4" s="3">
        <v>1067</v>
      </c>
      <c r="Q4" s="3">
        <v>688</v>
      </c>
      <c r="R4" s="3">
        <v>0</v>
      </c>
      <c r="S4" s="3">
        <v>0</v>
      </c>
      <c r="T4" s="3">
        <v>0</v>
      </c>
      <c r="U4" s="3">
        <v>0</v>
      </c>
    </row>
    <row r="5" spans="1:21" s="3" customFormat="1" ht="15" customHeight="1" x14ac:dyDescent="0.25">
      <c r="A5" s="2"/>
      <c r="J5" s="4"/>
      <c r="K5" s="5"/>
      <c r="L5" s="4"/>
      <c r="M5" s="5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opLeftCell="E1" workbookViewId="0">
      <selection activeCell="B5" sqref="B5:U5"/>
    </sheetView>
  </sheetViews>
  <sheetFormatPr defaultRowHeight="15" x14ac:dyDescent="0.25"/>
  <cols>
    <col min="1" max="1" width="11.85546875" customWidth="1"/>
    <col min="3" max="3" width="13.5703125" bestFit="1" customWidth="1"/>
    <col min="6" max="6" width="12.7109375" customWidth="1"/>
    <col min="7" max="7" width="9.42578125" bestFit="1" customWidth="1"/>
    <col min="10" max="13" width="9.42578125" bestFit="1" customWidth="1"/>
    <col min="16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44857</v>
      </c>
      <c r="B2" s="3" t="s">
        <v>21</v>
      </c>
      <c r="C2" s="3" t="s">
        <v>36</v>
      </c>
      <c r="D2" s="3" t="s">
        <v>22</v>
      </c>
      <c r="E2" s="3" t="s">
        <v>261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0.44166666666666665</v>
      </c>
      <c r="L2" s="4">
        <v>0.25694444444444448</v>
      </c>
      <c r="M2" s="5">
        <v>0.25625000000000003</v>
      </c>
      <c r="N2" s="3" t="s">
        <v>178</v>
      </c>
      <c r="O2" s="3" t="s">
        <v>212</v>
      </c>
      <c r="P2" s="3">
        <v>666</v>
      </c>
      <c r="Q2" s="3">
        <v>1178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44857</v>
      </c>
      <c r="B3" s="3" t="s">
        <v>21</v>
      </c>
      <c r="C3" s="3" t="s">
        <v>39</v>
      </c>
      <c r="D3" s="3" t="s">
        <v>22</v>
      </c>
      <c r="E3" s="3" t="s">
        <v>28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0.43402777777777773</v>
      </c>
      <c r="L3" s="4">
        <v>0.28472222222222221</v>
      </c>
      <c r="M3" s="5">
        <v>0.29444444444444445</v>
      </c>
      <c r="N3" s="3" t="s">
        <v>267</v>
      </c>
      <c r="O3" s="3" t="s">
        <v>266</v>
      </c>
      <c r="P3" s="3">
        <v>832</v>
      </c>
      <c r="Q3" s="3">
        <v>890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44857</v>
      </c>
      <c r="B4" s="3" t="s">
        <v>21</v>
      </c>
      <c r="C4" s="3" t="s">
        <v>42</v>
      </c>
      <c r="D4" s="3" t="s">
        <v>22</v>
      </c>
      <c r="E4" s="3" t="s">
        <v>28</v>
      </c>
      <c r="F4" s="3" t="s">
        <v>23</v>
      </c>
      <c r="G4" s="9">
        <v>70000</v>
      </c>
      <c r="H4" s="3" t="s">
        <v>43</v>
      </c>
      <c r="I4" s="3" t="s">
        <v>44</v>
      </c>
      <c r="J4" s="4">
        <v>0.64583333333333337</v>
      </c>
      <c r="K4" s="5">
        <v>0.63194444444444442</v>
      </c>
      <c r="L4" s="4">
        <v>0.48958333333333331</v>
      </c>
      <c r="M4" s="5">
        <v>0.4826388888888889</v>
      </c>
      <c r="N4" s="3" t="s">
        <v>252</v>
      </c>
      <c r="O4" s="3" t="s">
        <v>268</v>
      </c>
      <c r="P4" s="3">
        <v>489</v>
      </c>
      <c r="Q4" s="3">
        <v>485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44857</v>
      </c>
      <c r="B5" s="3" t="s">
        <v>21</v>
      </c>
      <c r="C5" s="3" t="s">
        <v>45</v>
      </c>
      <c r="D5" s="3" t="s">
        <v>22</v>
      </c>
      <c r="E5" s="3" t="s">
        <v>28</v>
      </c>
      <c r="F5" s="3" t="s">
        <v>23</v>
      </c>
      <c r="G5" s="9">
        <v>70000</v>
      </c>
      <c r="H5" s="3" t="s">
        <v>46</v>
      </c>
      <c r="I5" s="3" t="s">
        <v>47</v>
      </c>
      <c r="J5" s="4">
        <v>0.90277777777777779</v>
      </c>
      <c r="K5" s="5">
        <v>0.88680555555555562</v>
      </c>
      <c r="L5" s="4">
        <v>0.66666666666666663</v>
      </c>
      <c r="M5" s="5">
        <v>0.66736111111111107</v>
      </c>
      <c r="N5" s="3" t="s">
        <v>269</v>
      </c>
      <c r="O5" s="3" t="s">
        <v>148</v>
      </c>
      <c r="P5" s="3">
        <v>861</v>
      </c>
      <c r="Q5" s="3">
        <v>1111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/>
      <c r="B6" s="3"/>
      <c r="C6" s="3"/>
      <c r="D6" s="3"/>
      <c r="E6" s="3"/>
      <c r="F6" s="3"/>
      <c r="G6" s="9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7" sqref="L7"/>
    </sheetView>
  </sheetViews>
  <sheetFormatPr defaultRowHeight="15" x14ac:dyDescent="0.25"/>
  <cols>
    <col min="2" max="2" width="11.140625" customWidth="1"/>
    <col min="3" max="3" width="16" customWidth="1"/>
    <col min="6" max="6" width="16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44858</v>
      </c>
      <c r="B2" s="3" t="s">
        <v>21</v>
      </c>
      <c r="C2" s="3" t="s">
        <v>61</v>
      </c>
      <c r="D2" s="3" t="s">
        <v>22</v>
      </c>
      <c r="E2" s="3" t="s">
        <v>261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0.43124999999999997</v>
      </c>
      <c r="L2" s="4">
        <v>0.25694444444444448</v>
      </c>
      <c r="M2" s="5">
        <v>0.26527777777777778</v>
      </c>
      <c r="N2" s="3" t="s">
        <v>272</v>
      </c>
      <c r="O2" s="3" t="s">
        <v>121</v>
      </c>
      <c r="P2" s="3">
        <v>932</v>
      </c>
      <c r="Q2" s="3">
        <v>702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44858</v>
      </c>
      <c r="B3" s="3" t="s">
        <v>21</v>
      </c>
      <c r="C3" s="3" t="s">
        <v>64</v>
      </c>
      <c r="D3" s="3" t="s">
        <v>22</v>
      </c>
      <c r="E3" s="3" t="s">
        <v>270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0.5083333333333333</v>
      </c>
      <c r="L3" s="4">
        <v>0.28125</v>
      </c>
      <c r="M3" s="5">
        <v>0.28611111111111115</v>
      </c>
      <c r="N3" s="3" t="s">
        <v>273</v>
      </c>
      <c r="O3" s="3" t="s">
        <v>271</v>
      </c>
      <c r="P3" s="3">
        <v>575</v>
      </c>
      <c r="Q3" s="3">
        <v>1221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44858</v>
      </c>
      <c r="B4" s="3" t="s">
        <v>21</v>
      </c>
      <c r="C4" s="3" t="s">
        <v>67</v>
      </c>
      <c r="D4" s="3" t="s">
        <v>22</v>
      </c>
      <c r="E4" s="3" t="s">
        <v>261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0.60486111111111118</v>
      </c>
      <c r="L4" s="4">
        <v>0.46180555555555558</v>
      </c>
      <c r="M4" s="5">
        <v>0.46527777777777773</v>
      </c>
      <c r="N4" s="3" t="s">
        <v>274</v>
      </c>
      <c r="O4" s="3" t="s">
        <v>226</v>
      </c>
      <c r="P4" s="3">
        <v>787</v>
      </c>
      <c r="Q4" s="3">
        <v>859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44858</v>
      </c>
      <c r="B5" s="3" t="s">
        <v>21</v>
      </c>
      <c r="C5" s="3" t="s">
        <v>70</v>
      </c>
      <c r="D5" s="3" t="s">
        <v>22</v>
      </c>
      <c r="E5" s="3" t="s">
        <v>261</v>
      </c>
      <c r="F5" s="1" t="s">
        <v>23</v>
      </c>
      <c r="G5" s="3">
        <v>70000</v>
      </c>
      <c r="H5" s="3" t="s">
        <v>71</v>
      </c>
      <c r="I5" s="3" t="s">
        <v>72</v>
      </c>
      <c r="J5" s="4">
        <v>0.75694444444444453</v>
      </c>
      <c r="K5" s="5">
        <v>0.79236111111111107</v>
      </c>
      <c r="L5" s="4">
        <v>0.64236111111111105</v>
      </c>
      <c r="M5" s="5">
        <v>0.68194444444444446</v>
      </c>
      <c r="N5" s="3" t="s">
        <v>276</v>
      </c>
      <c r="O5" s="3" t="s">
        <v>275</v>
      </c>
      <c r="P5" s="3">
        <v>807</v>
      </c>
      <c r="Q5" s="3">
        <v>362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44858</v>
      </c>
      <c r="B6" s="3" t="s">
        <v>21</v>
      </c>
      <c r="C6" s="3" t="s">
        <v>73</v>
      </c>
      <c r="D6" s="3" t="s">
        <v>22</v>
      </c>
      <c r="E6" s="3" t="s">
        <v>270</v>
      </c>
      <c r="F6" s="1" t="s">
        <v>23</v>
      </c>
      <c r="G6" s="3">
        <v>70000</v>
      </c>
      <c r="H6" s="3" t="s">
        <v>74</v>
      </c>
      <c r="I6" s="3" t="s">
        <v>75</v>
      </c>
      <c r="J6" s="4">
        <v>0.96180555555555547</v>
      </c>
      <c r="K6" s="5">
        <v>0.9506944444444444</v>
      </c>
      <c r="L6" s="4">
        <v>0.77777777777777779</v>
      </c>
      <c r="M6" s="5">
        <v>0.78263888888888899</v>
      </c>
      <c r="N6" s="3" t="s">
        <v>278</v>
      </c>
      <c r="O6" s="3" t="s">
        <v>126</v>
      </c>
      <c r="P6" s="3">
        <v>754</v>
      </c>
      <c r="Q6" s="3">
        <v>911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44858</v>
      </c>
      <c r="B7" s="3" t="s">
        <v>21</v>
      </c>
      <c r="C7" s="3" t="s">
        <v>76</v>
      </c>
      <c r="D7" s="3" t="s">
        <v>22</v>
      </c>
      <c r="E7" s="3" t="s">
        <v>277</v>
      </c>
      <c r="F7" s="3" t="s">
        <v>23</v>
      </c>
      <c r="G7" s="3">
        <v>70000</v>
      </c>
      <c r="H7" s="3" t="s">
        <v>77</v>
      </c>
      <c r="I7" s="3" t="s">
        <v>78</v>
      </c>
      <c r="J7" s="4">
        <v>0.97569444444444453</v>
      </c>
      <c r="K7" s="5">
        <v>7.6388888888888886E-3</v>
      </c>
      <c r="L7" s="4">
        <v>0.77777777777777779</v>
      </c>
      <c r="M7" s="5">
        <v>0.8340277777777777</v>
      </c>
      <c r="N7" s="3" t="s">
        <v>279</v>
      </c>
      <c r="O7" s="3" t="s">
        <v>266</v>
      </c>
      <c r="P7" s="6">
        <v>959</v>
      </c>
      <c r="Q7" s="6">
        <v>823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K5" sqref="K5"/>
    </sheetView>
  </sheetViews>
  <sheetFormatPr defaultRowHeight="15" x14ac:dyDescent="0.25"/>
  <cols>
    <col min="3" max="3" width="16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44859</v>
      </c>
      <c r="B2" s="3" t="s">
        <v>21</v>
      </c>
      <c r="C2" s="3" t="s">
        <v>29</v>
      </c>
      <c r="D2" s="3" t="s">
        <v>22</v>
      </c>
      <c r="E2" s="3" t="s">
        <v>280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>
        <v>0.46111111111111108</v>
      </c>
      <c r="L2" s="4">
        <v>0.28125</v>
      </c>
      <c r="M2" s="5">
        <v>0.28194444444444444</v>
      </c>
      <c r="N2" s="3" t="s">
        <v>140</v>
      </c>
      <c r="O2" s="3" t="s">
        <v>281</v>
      </c>
      <c r="P2" s="3">
        <v>820</v>
      </c>
      <c r="Q2" s="3">
        <v>845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44859</v>
      </c>
      <c r="B3" s="3" t="s">
        <v>21</v>
      </c>
      <c r="C3" s="3" t="s">
        <v>24</v>
      </c>
      <c r="D3" s="3" t="s">
        <v>22</v>
      </c>
      <c r="E3" s="3" t="s">
        <v>270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0.82986111111111116</v>
      </c>
      <c r="K3" s="5">
        <v>0.81736111111111109</v>
      </c>
      <c r="L3" s="4">
        <v>0.40972222222222227</v>
      </c>
      <c r="M3" s="5">
        <v>0.40902777777777777</v>
      </c>
      <c r="N3" s="3" t="s">
        <v>282</v>
      </c>
      <c r="O3" s="3" t="s">
        <v>182</v>
      </c>
      <c r="P3" s="3">
        <v>920</v>
      </c>
      <c r="Q3" s="3">
        <v>818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44859</v>
      </c>
      <c r="B4" s="3" t="s">
        <v>21</v>
      </c>
      <c r="C4" s="3" t="s">
        <v>48</v>
      </c>
      <c r="D4" s="3" t="s">
        <v>22</v>
      </c>
      <c r="E4" s="3" t="str">
        <f>E2</f>
        <v>HA-LYE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0.91319444444444453</v>
      </c>
      <c r="K4" s="5">
        <v>0.89097222222222217</v>
      </c>
      <c r="L4" s="4">
        <v>0.50347222222222221</v>
      </c>
      <c r="M4" s="5">
        <f>L4</f>
        <v>0.50347222222222221</v>
      </c>
      <c r="N4" s="3" t="s">
        <v>58</v>
      </c>
      <c r="O4" s="3" t="s">
        <v>122</v>
      </c>
      <c r="P4" s="3">
        <v>1033</v>
      </c>
      <c r="Q4" s="3">
        <v>852</v>
      </c>
      <c r="R4" s="3">
        <v>0</v>
      </c>
      <c r="S4" s="3">
        <v>0</v>
      </c>
      <c r="T4" s="3">
        <v>0</v>
      </c>
      <c r="U4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J18" sqref="J18"/>
    </sheetView>
  </sheetViews>
  <sheetFormatPr defaultRowHeight="15" x14ac:dyDescent="0.25"/>
  <cols>
    <col min="1" max="1" width="12.7109375" bestFit="1" customWidth="1"/>
    <col min="2" max="2" width="23.7109375" customWidth="1"/>
    <col min="3" max="3" width="15.7109375" bestFit="1" customWidth="1"/>
    <col min="4" max="4" width="8.140625" customWidth="1"/>
    <col min="5" max="5" width="10.28515625" customWidth="1"/>
    <col min="6" max="6" width="21.140625" customWidth="1"/>
    <col min="7" max="7" width="9.42578125" bestFit="1" customWidth="1"/>
    <col min="10" max="10" width="11.28515625" bestFit="1" customWidth="1"/>
    <col min="11" max="11" width="9.28515625" customWidth="1"/>
    <col min="12" max="12" width="11.28515625" bestFit="1" customWidth="1"/>
    <col min="13" max="13" width="11.140625" bestFit="1" customWidth="1"/>
    <col min="14" max="14" width="12.28515625" customWidth="1"/>
    <col min="15" max="15" width="12.7109375" customWidth="1"/>
    <col min="16" max="16" width="8.140625" customWidth="1"/>
    <col min="17" max="17" width="7.42578125" customWidth="1"/>
    <col min="18" max="21" width="9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44860</v>
      </c>
      <c r="B2" s="3" t="s">
        <v>21</v>
      </c>
      <c r="C2" s="3" t="s">
        <v>61</v>
      </c>
      <c r="D2" s="3" t="s">
        <v>22</v>
      </c>
      <c r="E2" s="3" t="s">
        <v>280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0.43055555555555558</v>
      </c>
      <c r="K2" s="5">
        <v>0.4236111111111111</v>
      </c>
      <c r="L2" s="4">
        <v>0.25694444444444448</v>
      </c>
      <c r="M2" s="5">
        <v>0.25555555555555559</v>
      </c>
      <c r="N2" s="5" t="s">
        <v>82</v>
      </c>
      <c r="O2" s="3" t="s">
        <v>198</v>
      </c>
      <c r="P2" s="3">
        <v>417</v>
      </c>
      <c r="Q2" s="3">
        <v>785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44860</v>
      </c>
      <c r="B3" s="3" t="s">
        <v>21</v>
      </c>
      <c r="C3" s="3" t="s">
        <v>42</v>
      </c>
      <c r="D3" s="3" t="s">
        <v>22</v>
      </c>
      <c r="E3" s="3" t="str">
        <f>E2</f>
        <v>HA-LYE</v>
      </c>
      <c r="F3" s="1" t="s">
        <v>23</v>
      </c>
      <c r="G3" s="3">
        <v>70000</v>
      </c>
      <c r="H3" s="3" t="s">
        <v>43</v>
      </c>
      <c r="I3" s="3" t="s">
        <v>44</v>
      </c>
      <c r="J3" s="4">
        <v>0.69791666666666663</v>
      </c>
      <c r="K3" s="5">
        <v>0.68958333333333333</v>
      </c>
      <c r="L3" s="4">
        <v>0.54166666666666663</v>
      </c>
      <c r="M3" s="5">
        <v>0.55069444444444449</v>
      </c>
      <c r="N3" s="3" t="s">
        <v>56</v>
      </c>
      <c r="O3" s="3" t="s">
        <v>283</v>
      </c>
      <c r="P3" s="3">
        <v>279</v>
      </c>
      <c r="Q3" s="3">
        <v>429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44860</v>
      </c>
      <c r="B4" s="3" t="s">
        <v>21</v>
      </c>
      <c r="C4" s="3" t="s">
        <v>284</v>
      </c>
      <c r="D4" s="3" t="s">
        <v>254</v>
      </c>
      <c r="E4" s="3" t="s">
        <v>286</v>
      </c>
      <c r="F4" s="1" t="s">
        <v>23</v>
      </c>
      <c r="G4" s="3">
        <v>89000</v>
      </c>
      <c r="H4" s="3" t="s">
        <v>71</v>
      </c>
      <c r="I4" s="3" t="s">
        <v>72</v>
      </c>
      <c r="J4" s="4">
        <v>0.74652777777777779</v>
      </c>
      <c r="K4" s="5">
        <v>0.73958333333333337</v>
      </c>
      <c r="L4" s="4">
        <v>0.63194444444444442</v>
      </c>
      <c r="M4" s="5">
        <v>0.77847222222222223</v>
      </c>
      <c r="N4" s="3" t="s">
        <v>297</v>
      </c>
      <c r="O4" s="3" t="s">
        <v>298</v>
      </c>
      <c r="P4" s="3">
        <v>472</v>
      </c>
      <c r="Q4" s="3">
        <v>448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44860</v>
      </c>
      <c r="B5" s="3" t="s">
        <v>21</v>
      </c>
      <c r="C5" s="3" t="s">
        <v>73</v>
      </c>
      <c r="D5" s="3" t="s">
        <v>22</v>
      </c>
      <c r="E5" s="3" t="str">
        <f>E3</f>
        <v>HA-LYE</v>
      </c>
      <c r="F5" s="1" t="s">
        <v>23</v>
      </c>
      <c r="G5" s="3">
        <v>70000</v>
      </c>
      <c r="H5" s="3" t="s">
        <v>74</v>
      </c>
      <c r="I5" s="3" t="s">
        <v>75</v>
      </c>
      <c r="J5" s="4">
        <v>0.90277777777777779</v>
      </c>
      <c r="K5" s="5">
        <v>0.89166666666666661</v>
      </c>
      <c r="L5" s="4">
        <v>0.71875</v>
      </c>
      <c r="M5" s="5">
        <v>0.72291666666666676</v>
      </c>
      <c r="N5" s="3" t="s">
        <v>171</v>
      </c>
      <c r="O5" s="3" t="s">
        <v>296</v>
      </c>
      <c r="P5" s="3">
        <v>708</v>
      </c>
      <c r="Q5" s="3">
        <v>681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44860</v>
      </c>
      <c r="B6" s="3" t="s">
        <v>21</v>
      </c>
      <c r="C6" s="3" t="s">
        <v>285</v>
      </c>
      <c r="D6" s="3" t="s">
        <v>22</v>
      </c>
      <c r="E6" s="3" t="s">
        <v>270</v>
      </c>
      <c r="F6" s="3" t="s">
        <v>287</v>
      </c>
      <c r="G6" s="3">
        <v>70000</v>
      </c>
      <c r="H6" s="3" t="s">
        <v>111</v>
      </c>
      <c r="I6" s="3" t="s">
        <v>288</v>
      </c>
      <c r="J6" s="4" t="s">
        <v>111</v>
      </c>
      <c r="K6" s="5" t="s">
        <v>111</v>
      </c>
      <c r="L6" s="4">
        <v>0.63194444444444442</v>
      </c>
      <c r="M6" s="5">
        <v>0.63888888888888895</v>
      </c>
      <c r="N6" s="3" t="s">
        <v>111</v>
      </c>
      <c r="O6" s="3" t="s">
        <v>111</v>
      </c>
      <c r="P6" s="3" t="s">
        <v>111</v>
      </c>
      <c r="Q6" s="3" t="s">
        <v>111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44860</v>
      </c>
      <c r="B7" s="3" t="s">
        <v>21</v>
      </c>
      <c r="C7" s="3" t="s">
        <v>289</v>
      </c>
      <c r="D7" s="3" t="s">
        <v>22</v>
      </c>
      <c r="E7" s="3" t="s">
        <v>270</v>
      </c>
      <c r="F7" s="3" t="s">
        <v>287</v>
      </c>
      <c r="G7" s="3">
        <v>70000</v>
      </c>
      <c r="H7" s="3" t="s">
        <v>290</v>
      </c>
      <c r="I7" s="3" t="s">
        <v>111</v>
      </c>
      <c r="J7" s="4">
        <v>0.90972222222222221</v>
      </c>
      <c r="K7" s="5">
        <v>0.90625</v>
      </c>
      <c r="L7" s="3" t="s">
        <v>111</v>
      </c>
      <c r="M7" s="3" t="s">
        <v>111</v>
      </c>
      <c r="N7" s="3" t="s">
        <v>299</v>
      </c>
      <c r="O7" s="3" t="s">
        <v>111</v>
      </c>
      <c r="P7" s="3" t="s">
        <v>111</v>
      </c>
      <c r="Q7" s="3" t="s">
        <v>111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44860</v>
      </c>
      <c r="B8" s="3" t="s">
        <v>291</v>
      </c>
      <c r="C8" s="3" t="s">
        <v>292</v>
      </c>
      <c r="D8" s="3" t="s">
        <v>293</v>
      </c>
      <c r="E8" s="3" t="s">
        <v>294</v>
      </c>
      <c r="F8" s="3" t="s">
        <v>287</v>
      </c>
      <c r="G8" s="3">
        <v>2000</v>
      </c>
      <c r="H8" s="3" t="s">
        <v>295</v>
      </c>
      <c r="I8" s="3" t="s">
        <v>111</v>
      </c>
      <c r="J8" s="4">
        <v>0.69444444444444453</v>
      </c>
      <c r="K8" s="5">
        <v>0.70138888888888884</v>
      </c>
      <c r="L8" s="3" t="s">
        <v>111</v>
      </c>
      <c r="M8" s="3" t="s">
        <v>111</v>
      </c>
      <c r="N8" s="3" t="s">
        <v>111</v>
      </c>
      <c r="O8" s="3" t="s">
        <v>111</v>
      </c>
      <c r="P8" s="3" t="s">
        <v>111</v>
      </c>
      <c r="Q8" s="3" t="s">
        <v>111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6" sqref="K6"/>
    </sheetView>
  </sheetViews>
  <sheetFormatPr defaultRowHeight="15" x14ac:dyDescent="0.25"/>
  <cols>
    <col min="1" max="1" width="10.140625" bestFit="1" customWidth="1"/>
    <col min="2" max="2" width="30.140625" bestFit="1" customWidth="1"/>
    <col min="3" max="3" width="14.7109375" customWidth="1"/>
    <col min="4" max="4" width="7.28515625" customWidth="1"/>
    <col min="5" max="5" width="11.28515625" customWidth="1"/>
    <col min="6" max="6" width="15.2851562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44861</v>
      </c>
      <c r="B2" s="3" t="s">
        <v>21</v>
      </c>
      <c r="C2" s="3" t="s">
        <v>36</v>
      </c>
      <c r="D2" s="3" t="s">
        <v>22</v>
      </c>
      <c r="E2" s="3" t="s">
        <v>270</v>
      </c>
      <c r="F2" s="1" t="s">
        <v>23</v>
      </c>
      <c r="G2" s="9">
        <v>70000</v>
      </c>
      <c r="H2" s="3" t="s">
        <v>37</v>
      </c>
      <c r="I2" s="3" t="s">
        <v>38</v>
      </c>
      <c r="J2" s="4">
        <v>0.45833333333333331</v>
      </c>
      <c r="K2" s="5">
        <v>0.44722222222222219</v>
      </c>
      <c r="L2" s="4">
        <v>0.25694444444444448</v>
      </c>
      <c r="M2" s="5">
        <v>0.25694444444444448</v>
      </c>
      <c r="N2" s="3" t="s">
        <v>231</v>
      </c>
      <c r="O2" s="3" t="s">
        <v>300</v>
      </c>
      <c r="P2" s="3">
        <v>795</v>
      </c>
      <c r="Q2" s="3">
        <v>1148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44861</v>
      </c>
      <c r="B3" s="3" t="s">
        <v>21</v>
      </c>
      <c r="C3" s="3" t="s">
        <v>39</v>
      </c>
      <c r="D3" s="3" t="s">
        <v>22</v>
      </c>
      <c r="E3" s="3" t="s">
        <v>280</v>
      </c>
      <c r="F3" s="3" t="s">
        <v>23</v>
      </c>
      <c r="G3" s="9">
        <v>70000</v>
      </c>
      <c r="H3" s="3" t="s">
        <v>40</v>
      </c>
      <c r="I3" s="3" t="s">
        <v>41</v>
      </c>
      <c r="J3" s="4">
        <v>0.43402777777777773</v>
      </c>
      <c r="K3" s="5">
        <v>0.42083333333333334</v>
      </c>
      <c r="L3" s="4">
        <v>0.28472222222222221</v>
      </c>
      <c r="M3" s="5">
        <v>0.28541666666666665</v>
      </c>
      <c r="N3" s="3" t="s">
        <v>302</v>
      </c>
      <c r="O3" s="3" t="s">
        <v>301</v>
      </c>
      <c r="P3" s="3">
        <v>544</v>
      </c>
      <c r="Q3" s="3">
        <v>241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44861</v>
      </c>
      <c r="B4" s="3" t="s">
        <v>21</v>
      </c>
      <c r="C4" s="3" t="s">
        <v>24</v>
      </c>
      <c r="D4" s="3" t="s">
        <v>22</v>
      </c>
      <c r="E4" s="3" t="s">
        <v>280</v>
      </c>
      <c r="F4" s="3" t="s">
        <v>23</v>
      </c>
      <c r="G4" s="9">
        <v>70000</v>
      </c>
      <c r="H4" s="3" t="s">
        <v>25</v>
      </c>
      <c r="I4" s="3" t="s">
        <v>26</v>
      </c>
      <c r="J4" s="4">
        <v>0.67708333333333337</v>
      </c>
      <c r="K4" s="5">
        <f>J4</f>
        <v>0.67708333333333337</v>
      </c>
      <c r="L4" s="4">
        <v>0.48958333333333331</v>
      </c>
      <c r="M4" s="5">
        <v>0.50347222222222221</v>
      </c>
      <c r="N4" s="3" t="s">
        <v>308</v>
      </c>
      <c r="O4" s="3" t="s">
        <v>100</v>
      </c>
      <c r="P4" s="3">
        <v>978</v>
      </c>
      <c r="Q4" s="3">
        <v>734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44861</v>
      </c>
      <c r="B5" s="3" t="s">
        <v>21</v>
      </c>
      <c r="C5" s="3" t="s">
        <v>45</v>
      </c>
      <c r="D5" s="3" t="s">
        <v>22</v>
      </c>
      <c r="E5" s="3" t="s">
        <v>280</v>
      </c>
      <c r="F5" s="3" t="s">
        <v>23</v>
      </c>
      <c r="G5" s="9">
        <v>70000</v>
      </c>
      <c r="H5" s="3" t="s">
        <v>46</v>
      </c>
      <c r="I5" s="3" t="s">
        <v>47</v>
      </c>
      <c r="J5" s="4">
        <v>0.93402777777777779</v>
      </c>
      <c r="K5" s="5">
        <f>J5</f>
        <v>0.93402777777777779</v>
      </c>
      <c r="L5" s="4">
        <v>0.69791666666666663</v>
      </c>
      <c r="M5" s="5">
        <v>0.71250000000000002</v>
      </c>
      <c r="N5" s="3" t="s">
        <v>132</v>
      </c>
      <c r="O5" s="3" t="s">
        <v>303</v>
      </c>
      <c r="P5" s="3">
        <v>700</v>
      </c>
      <c r="Q5" s="3">
        <v>882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44861</v>
      </c>
      <c r="B6" s="3" t="s">
        <v>307</v>
      </c>
      <c r="C6" s="3" t="s">
        <v>304</v>
      </c>
      <c r="D6" s="3" t="s">
        <v>305</v>
      </c>
      <c r="E6" s="3" t="s">
        <v>306</v>
      </c>
      <c r="F6" s="3" t="s">
        <v>154</v>
      </c>
      <c r="G6" s="9">
        <v>2000</v>
      </c>
      <c r="H6" s="3" t="s">
        <v>111</v>
      </c>
      <c r="I6" s="3" t="s">
        <v>295</v>
      </c>
      <c r="J6" s="4" t="s">
        <v>112</v>
      </c>
      <c r="K6" s="5" t="s">
        <v>111</v>
      </c>
      <c r="L6" s="4">
        <v>0.58333333333333337</v>
      </c>
      <c r="M6" s="5">
        <v>0.58263888888888882</v>
      </c>
      <c r="N6" s="3" t="s">
        <v>111</v>
      </c>
      <c r="O6" s="3">
        <v>0</v>
      </c>
      <c r="P6" s="3" t="s">
        <v>111</v>
      </c>
      <c r="Q6" s="3">
        <v>0</v>
      </c>
      <c r="R6" s="3" t="s">
        <v>111</v>
      </c>
      <c r="S6" s="3">
        <v>0</v>
      </c>
      <c r="T6" s="3" t="s">
        <v>111</v>
      </c>
      <c r="U6" s="3">
        <v>0</v>
      </c>
    </row>
    <row r="7" spans="1:21" x14ac:dyDescent="0.25">
      <c r="A7" s="2"/>
      <c r="B7" s="3"/>
      <c r="C7" s="3"/>
      <c r="D7" s="3"/>
      <c r="E7" s="3"/>
      <c r="F7" s="3"/>
      <c r="G7" s="9"/>
      <c r="H7" s="3"/>
      <c r="I7" s="3"/>
      <c r="J7" s="12"/>
      <c r="K7" s="3"/>
      <c r="L7" s="4"/>
      <c r="M7" s="12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D1" workbookViewId="0">
      <selection activeCell="B4" sqref="B4:T4"/>
    </sheetView>
  </sheetViews>
  <sheetFormatPr defaultRowHeight="15" x14ac:dyDescent="0.25"/>
  <cols>
    <col min="3" max="3" width="15.85546875" customWidth="1"/>
    <col min="5" max="5" width="12" customWidth="1"/>
    <col min="6" max="6" width="22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5">
      <c r="A2" s="2">
        <v>44862</v>
      </c>
      <c r="B2" s="3" t="s">
        <v>21</v>
      </c>
      <c r="C2" s="3" t="s">
        <v>61</v>
      </c>
      <c r="D2" s="3" t="s">
        <v>22</v>
      </c>
      <c r="E2" s="3" t="s">
        <v>270</v>
      </c>
      <c r="F2" s="1" t="s">
        <v>23</v>
      </c>
      <c r="G2" s="3">
        <v>70000</v>
      </c>
      <c r="H2" s="3" t="s">
        <v>62</v>
      </c>
      <c r="I2" s="3" t="s">
        <v>63</v>
      </c>
      <c r="J2" s="4">
        <v>0.44097222222222227</v>
      </c>
      <c r="K2" s="5">
        <v>0.45208333333333334</v>
      </c>
      <c r="L2" s="4">
        <v>0.25694444444444448</v>
      </c>
      <c r="M2" s="5">
        <v>0.29444444444444445</v>
      </c>
      <c r="N2" s="3" t="s">
        <v>311</v>
      </c>
      <c r="O2" s="3" t="s">
        <v>309</v>
      </c>
      <c r="P2" s="3">
        <v>670</v>
      </c>
      <c r="Q2" s="3">
        <v>751</v>
      </c>
      <c r="R2" s="3">
        <v>0</v>
      </c>
      <c r="S2" s="3">
        <v>0</v>
      </c>
      <c r="T2" s="3">
        <v>0</v>
      </c>
    </row>
    <row r="3" spans="1:21" x14ac:dyDescent="0.25">
      <c r="A3" s="2">
        <v>44862</v>
      </c>
      <c r="B3" s="3" t="s">
        <v>21</v>
      </c>
      <c r="C3" s="3" t="s">
        <v>64</v>
      </c>
      <c r="D3" s="3" t="s">
        <v>22</v>
      </c>
      <c r="E3" s="6" t="s">
        <v>280</v>
      </c>
      <c r="F3" s="1" t="s">
        <v>23</v>
      </c>
      <c r="G3" s="3">
        <v>70000</v>
      </c>
      <c r="H3" s="3" t="s">
        <v>65</v>
      </c>
      <c r="I3" s="3" t="s">
        <v>66</v>
      </c>
      <c r="J3" s="4">
        <v>0.51041666666666663</v>
      </c>
      <c r="K3" s="5">
        <v>0.5180555555555556</v>
      </c>
      <c r="L3" s="4">
        <v>0.28125</v>
      </c>
      <c r="M3" s="5">
        <v>0.29652777777777778</v>
      </c>
      <c r="N3" s="3" t="s">
        <v>311</v>
      </c>
      <c r="O3" s="3" t="s">
        <v>310</v>
      </c>
      <c r="P3" s="3">
        <v>901</v>
      </c>
      <c r="Q3" s="3">
        <v>1095</v>
      </c>
      <c r="R3" s="3">
        <v>0</v>
      </c>
      <c r="S3" s="3">
        <v>0</v>
      </c>
      <c r="T3" s="3">
        <v>0</v>
      </c>
    </row>
    <row r="4" spans="1:21" x14ac:dyDescent="0.25">
      <c r="A4" s="2">
        <v>44862</v>
      </c>
      <c r="B4" s="3" t="s">
        <v>21</v>
      </c>
      <c r="C4" s="3" t="s">
        <v>67</v>
      </c>
      <c r="D4" s="3" t="s">
        <v>22</v>
      </c>
      <c r="E4" s="3" t="s">
        <v>270</v>
      </c>
      <c r="F4" s="1" t="s">
        <v>23</v>
      </c>
      <c r="G4" s="3">
        <v>70000</v>
      </c>
      <c r="H4" s="3" t="s">
        <v>68</v>
      </c>
      <c r="I4" s="3" t="s">
        <v>69</v>
      </c>
      <c r="J4" s="4">
        <v>0.61111111111111105</v>
      </c>
      <c r="K4" s="5">
        <v>0.62222222222222223</v>
      </c>
      <c r="L4" s="4">
        <v>0.46180555555555558</v>
      </c>
      <c r="M4" s="5">
        <v>0.4916666666666667</v>
      </c>
      <c r="N4" s="3" t="s">
        <v>324</v>
      </c>
      <c r="O4" s="3" t="s">
        <v>312</v>
      </c>
      <c r="P4" s="3">
        <v>673</v>
      </c>
      <c r="Q4" s="3">
        <v>705</v>
      </c>
      <c r="R4" s="3">
        <v>0</v>
      </c>
      <c r="S4" s="3">
        <v>0</v>
      </c>
      <c r="T4" s="3">
        <v>0</v>
      </c>
    </row>
    <row r="5" spans="1:21" x14ac:dyDescent="0.25">
      <c r="A5" s="2">
        <v>44862</v>
      </c>
      <c r="B5" s="3" t="s">
        <v>21</v>
      </c>
      <c r="C5" s="3" t="s">
        <v>39</v>
      </c>
      <c r="D5" s="3" t="s">
        <v>22</v>
      </c>
      <c r="E5" s="6" t="s">
        <v>280</v>
      </c>
      <c r="F5" s="3" t="s">
        <v>23</v>
      </c>
      <c r="G5" s="9">
        <v>70000</v>
      </c>
      <c r="H5" s="3" t="s">
        <v>40</v>
      </c>
      <c r="I5" s="3" t="s">
        <v>41</v>
      </c>
      <c r="J5" s="4">
        <v>0.75</v>
      </c>
      <c r="K5" s="5">
        <v>0.76388888888888884</v>
      </c>
      <c r="L5" s="4">
        <v>0.60069444444444442</v>
      </c>
      <c r="M5" s="5">
        <v>0.60138888888888886</v>
      </c>
      <c r="N5" s="3" t="s">
        <v>147</v>
      </c>
      <c r="O5" s="3" t="s">
        <v>140</v>
      </c>
      <c r="P5" s="3">
        <v>712</v>
      </c>
      <c r="Q5" s="3">
        <v>675</v>
      </c>
      <c r="R5" s="3">
        <v>0</v>
      </c>
      <c r="S5" s="3">
        <v>0</v>
      </c>
      <c r="T5" s="3">
        <v>0</v>
      </c>
    </row>
    <row r="6" spans="1:21" x14ac:dyDescent="0.25">
      <c r="A6" s="2">
        <v>44862</v>
      </c>
      <c r="B6" s="3" t="s">
        <v>21</v>
      </c>
      <c r="C6" s="3" t="s">
        <v>70</v>
      </c>
      <c r="D6" s="3" t="s">
        <v>22</v>
      </c>
      <c r="E6" s="3" t="s">
        <v>270</v>
      </c>
      <c r="F6" s="1" t="s">
        <v>23</v>
      </c>
      <c r="G6" s="3">
        <v>70000</v>
      </c>
      <c r="H6" s="3" t="s">
        <v>71</v>
      </c>
      <c r="I6" s="3" t="s">
        <v>72</v>
      </c>
      <c r="J6" s="4">
        <v>0.75694444444444453</v>
      </c>
      <c r="K6" s="5">
        <v>0.77500000000000002</v>
      </c>
      <c r="L6" s="4">
        <v>0.64236111111111105</v>
      </c>
      <c r="M6" s="5">
        <v>0.66319444444444442</v>
      </c>
      <c r="N6" s="3" t="s">
        <v>325</v>
      </c>
      <c r="O6" s="3" t="s">
        <v>194</v>
      </c>
      <c r="P6" s="3">
        <v>584</v>
      </c>
      <c r="Q6" s="3">
        <v>248</v>
      </c>
      <c r="R6" s="3">
        <v>0</v>
      </c>
      <c r="S6" s="3">
        <v>0</v>
      </c>
      <c r="T6" s="3">
        <v>0</v>
      </c>
      <c r="U6" s="3"/>
    </row>
    <row r="7" spans="1:21" x14ac:dyDescent="0.25">
      <c r="A7" s="2">
        <v>44862</v>
      </c>
      <c r="B7" s="3" t="s">
        <v>21</v>
      </c>
      <c r="C7" s="3" t="s">
        <v>73</v>
      </c>
      <c r="D7" s="3" t="s">
        <v>22</v>
      </c>
      <c r="E7" s="6" t="s">
        <v>280</v>
      </c>
      <c r="F7" s="1" t="s">
        <v>23</v>
      </c>
      <c r="G7" s="3">
        <v>70000</v>
      </c>
      <c r="H7" s="3" t="s">
        <v>74</v>
      </c>
      <c r="I7" s="3" t="s">
        <v>75</v>
      </c>
      <c r="J7" s="4">
        <v>0.96180555555555547</v>
      </c>
      <c r="K7" s="5">
        <v>0.98958333333333337</v>
      </c>
      <c r="L7" s="4">
        <v>0.77777777777777779</v>
      </c>
      <c r="M7" s="5">
        <v>0.81666666666666676</v>
      </c>
      <c r="N7" s="3" t="s">
        <v>328</v>
      </c>
      <c r="O7" s="3" t="s">
        <v>326</v>
      </c>
      <c r="P7" s="3">
        <v>686</v>
      </c>
      <c r="Q7" s="3">
        <v>640</v>
      </c>
      <c r="R7" s="3">
        <v>0</v>
      </c>
      <c r="S7" s="3">
        <v>0</v>
      </c>
      <c r="T7" s="3">
        <v>0</v>
      </c>
      <c r="U7" s="3"/>
    </row>
    <row r="8" spans="1:21" x14ac:dyDescent="0.25">
      <c r="A8" s="2">
        <v>44862</v>
      </c>
      <c r="B8" s="3" t="s">
        <v>21</v>
      </c>
      <c r="C8" s="3" t="s">
        <v>76</v>
      </c>
      <c r="D8" s="3" t="s">
        <v>22</v>
      </c>
      <c r="E8" s="3" t="s">
        <v>270</v>
      </c>
      <c r="F8" s="3" t="s">
        <v>23</v>
      </c>
      <c r="G8" s="3">
        <v>70000</v>
      </c>
      <c r="H8" s="3" t="s">
        <v>77</v>
      </c>
      <c r="I8" s="3" t="s">
        <v>78</v>
      </c>
      <c r="J8" s="4">
        <v>0.97569444444444453</v>
      </c>
      <c r="K8" s="5">
        <v>0.96875</v>
      </c>
      <c r="L8" s="4">
        <v>0.77777777777777779</v>
      </c>
      <c r="M8" s="5">
        <v>0.80833333333333324</v>
      </c>
      <c r="N8" s="3" t="s">
        <v>265</v>
      </c>
      <c r="O8" s="3" t="s">
        <v>327</v>
      </c>
      <c r="P8" s="6">
        <v>785</v>
      </c>
      <c r="Q8" s="6">
        <v>1160</v>
      </c>
      <c r="R8" s="6">
        <v>0</v>
      </c>
      <c r="S8" s="6">
        <v>0</v>
      </c>
      <c r="T8" s="6">
        <v>0</v>
      </c>
      <c r="U8" s="6"/>
    </row>
    <row r="9" spans="1:21" s="3" customFormat="1" ht="15" customHeight="1" x14ac:dyDescent="0.25">
      <c r="A9" s="2">
        <v>44862</v>
      </c>
      <c r="B9" s="3" t="s">
        <v>21</v>
      </c>
      <c r="C9" s="3" t="s">
        <v>313</v>
      </c>
      <c r="D9" s="3" t="s">
        <v>254</v>
      </c>
      <c r="E9" s="3" t="s">
        <v>315</v>
      </c>
      <c r="F9" s="3" t="s">
        <v>323</v>
      </c>
      <c r="G9" s="3">
        <v>80000</v>
      </c>
      <c r="H9" s="3" t="s">
        <v>317</v>
      </c>
      <c r="I9" s="3" t="s">
        <v>318</v>
      </c>
      <c r="J9" s="3" t="s">
        <v>111</v>
      </c>
      <c r="K9" s="5">
        <v>0.53611111111111109</v>
      </c>
      <c r="L9" s="3" t="s">
        <v>111</v>
      </c>
      <c r="M9" s="5">
        <v>0.5756944444444444</v>
      </c>
      <c r="N9" s="3" t="s">
        <v>321</v>
      </c>
      <c r="O9" s="3">
        <v>0</v>
      </c>
      <c r="P9" s="3">
        <v>743</v>
      </c>
      <c r="Q9" s="3">
        <v>0</v>
      </c>
      <c r="R9" s="3">
        <v>0</v>
      </c>
      <c r="S9" s="3">
        <v>0</v>
      </c>
      <c r="T9" s="3">
        <v>0</v>
      </c>
    </row>
    <row r="10" spans="1:21" s="3" customFormat="1" ht="15" customHeight="1" x14ac:dyDescent="0.25">
      <c r="A10" s="2">
        <v>44862</v>
      </c>
      <c r="B10" s="3" t="s">
        <v>21</v>
      </c>
      <c r="C10" s="3" t="s">
        <v>314</v>
      </c>
      <c r="D10" s="3" t="s">
        <v>254</v>
      </c>
      <c r="E10" s="3" t="s">
        <v>316</v>
      </c>
      <c r="F10" s="3" t="s">
        <v>323</v>
      </c>
      <c r="G10" s="3">
        <v>80000</v>
      </c>
      <c r="H10" s="3" t="s">
        <v>319</v>
      </c>
      <c r="I10" s="3" t="s">
        <v>320</v>
      </c>
      <c r="J10" s="3" t="s">
        <v>111</v>
      </c>
      <c r="K10" s="5">
        <v>0.5395833333333333</v>
      </c>
      <c r="L10" s="3" t="s">
        <v>111</v>
      </c>
      <c r="M10" s="5">
        <v>0.58888888888888891</v>
      </c>
      <c r="N10" s="3" t="s">
        <v>322</v>
      </c>
      <c r="O10" s="3">
        <v>0</v>
      </c>
      <c r="P10" s="3">
        <v>675</v>
      </c>
      <c r="Q10" s="3">
        <v>0</v>
      </c>
      <c r="R10" s="3">
        <v>0</v>
      </c>
      <c r="S10" s="3">
        <v>0</v>
      </c>
      <c r="T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12" sqref="K12"/>
    </sheetView>
  </sheetViews>
  <sheetFormatPr defaultRowHeight="15" x14ac:dyDescent="0.25"/>
  <cols>
    <col min="3" max="3" width="14.2851562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44863</v>
      </c>
      <c r="B2" s="3" t="s">
        <v>21</v>
      </c>
      <c r="C2" s="3" t="s">
        <v>29</v>
      </c>
      <c r="D2" s="3" t="s">
        <v>22</v>
      </c>
      <c r="E2" s="3" t="s">
        <v>280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0.47222222222222227</v>
      </c>
      <c r="K2" s="5" t="s">
        <v>111</v>
      </c>
      <c r="L2" s="4">
        <v>0.28125</v>
      </c>
      <c r="M2" s="5" t="s">
        <v>111</v>
      </c>
      <c r="N2" s="2">
        <v>44864</v>
      </c>
      <c r="O2" s="2">
        <v>44864</v>
      </c>
      <c r="P2" s="2">
        <v>44864</v>
      </c>
      <c r="Q2" s="2">
        <v>44864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44863</v>
      </c>
      <c r="B3" s="3" t="s">
        <v>21</v>
      </c>
      <c r="C3" s="3" t="s">
        <v>24</v>
      </c>
      <c r="D3" s="3" t="s">
        <v>22</v>
      </c>
      <c r="E3" s="3" t="s">
        <v>329</v>
      </c>
      <c r="F3" s="3" t="s">
        <v>23</v>
      </c>
      <c r="G3" s="9">
        <v>70000</v>
      </c>
      <c r="H3" s="3" t="s">
        <v>25</v>
      </c>
      <c r="I3" s="3" t="s">
        <v>26</v>
      </c>
      <c r="J3" s="4">
        <v>0.91319444444444453</v>
      </c>
      <c r="K3" s="5">
        <v>0.9243055555555556</v>
      </c>
      <c r="L3" s="4">
        <v>0.49305555555555558</v>
      </c>
      <c r="M3" s="5">
        <v>0.49861111111111112</v>
      </c>
      <c r="N3" s="3" t="s">
        <v>331</v>
      </c>
      <c r="O3" s="3" t="s">
        <v>330</v>
      </c>
      <c r="P3" s="3">
        <v>613</v>
      </c>
      <c r="Q3" s="3">
        <v>1336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44863</v>
      </c>
      <c r="B4" s="3" t="s">
        <v>21</v>
      </c>
      <c r="C4" s="3" t="s">
        <v>48</v>
      </c>
      <c r="D4" s="3" t="s">
        <v>22</v>
      </c>
      <c r="E4" s="3" t="s">
        <v>280</v>
      </c>
      <c r="F4" s="3" t="s">
        <v>23</v>
      </c>
      <c r="G4" s="9">
        <v>70000</v>
      </c>
      <c r="H4" s="3" t="s">
        <v>49</v>
      </c>
      <c r="I4" s="3" t="s">
        <v>50</v>
      </c>
      <c r="J4" s="4">
        <v>0.91319444444444453</v>
      </c>
      <c r="K4" s="5">
        <v>0.91527777777777775</v>
      </c>
      <c r="L4" s="4">
        <v>0.50347222222222221</v>
      </c>
      <c r="M4" s="5">
        <v>0.50555555555555554</v>
      </c>
      <c r="N4" s="3" t="s">
        <v>332</v>
      </c>
      <c r="O4" s="3" t="s">
        <v>168</v>
      </c>
      <c r="P4" s="3">
        <v>740</v>
      </c>
      <c r="Q4" s="3">
        <v>1009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/>
      <c r="B5" s="3"/>
      <c r="C5" s="3"/>
      <c r="D5" s="3"/>
      <c r="E5" s="3"/>
      <c r="F5" s="3"/>
      <c r="G5" s="3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2" max="2" width="10.85546875" customWidth="1"/>
    <col min="3" max="3" width="14.28515625" customWidth="1"/>
    <col min="6" max="6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44864</v>
      </c>
      <c r="B2" s="3" t="s">
        <v>21</v>
      </c>
      <c r="C2" s="3" t="s">
        <v>29</v>
      </c>
      <c r="D2" s="3" t="s">
        <v>22</v>
      </c>
      <c r="E2" s="3" t="s">
        <v>280</v>
      </c>
      <c r="F2" s="1" t="s">
        <v>23</v>
      </c>
      <c r="G2" s="9">
        <v>70000</v>
      </c>
      <c r="H2" s="3" t="s">
        <v>30</v>
      </c>
      <c r="I2" s="3" t="s">
        <v>31</v>
      </c>
      <c r="J2" s="4">
        <v>0.4909722222222222</v>
      </c>
      <c r="K2" s="5">
        <v>0.52083333333333337</v>
      </c>
      <c r="L2" s="4">
        <v>0.30555555555555552</v>
      </c>
      <c r="M2" s="5">
        <v>0.33749999999999997</v>
      </c>
      <c r="N2" s="2" t="s">
        <v>334</v>
      </c>
      <c r="O2" s="2" t="s">
        <v>121</v>
      </c>
      <c r="P2" s="2">
        <v>610</v>
      </c>
      <c r="Q2" s="6">
        <v>1013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44864</v>
      </c>
      <c r="B3" s="3" t="s">
        <v>21</v>
      </c>
      <c r="C3" s="3" t="s">
        <v>42</v>
      </c>
      <c r="D3" s="3" t="s">
        <v>22</v>
      </c>
      <c r="E3" s="3" t="s">
        <v>329</v>
      </c>
      <c r="F3" s="1" t="s">
        <v>23</v>
      </c>
      <c r="G3" s="9">
        <v>70000</v>
      </c>
      <c r="H3" s="3" t="s">
        <v>43</v>
      </c>
      <c r="I3" s="3" t="s">
        <v>44</v>
      </c>
      <c r="J3" s="4">
        <v>0.4861111111111111</v>
      </c>
      <c r="K3" s="5">
        <v>0.47152777777777777</v>
      </c>
      <c r="L3" s="4">
        <v>0.3298611111111111</v>
      </c>
      <c r="M3" s="5">
        <v>0.33263888888888887</v>
      </c>
      <c r="N3" s="3" t="s">
        <v>165</v>
      </c>
      <c r="O3" s="3" t="s">
        <v>333</v>
      </c>
      <c r="P3" s="3">
        <v>430</v>
      </c>
      <c r="Q3" s="3">
        <v>428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44864</v>
      </c>
      <c r="B4" s="3" t="s">
        <v>21</v>
      </c>
      <c r="C4" s="3" t="s">
        <v>76</v>
      </c>
      <c r="D4" s="3" t="s">
        <v>22</v>
      </c>
      <c r="E4" s="3" t="s">
        <v>329</v>
      </c>
      <c r="F4" s="3" t="s">
        <v>23</v>
      </c>
      <c r="G4" s="9">
        <v>70000</v>
      </c>
      <c r="H4" s="3" t="s">
        <v>77</v>
      </c>
      <c r="I4" s="3" t="s">
        <v>78</v>
      </c>
      <c r="J4" s="4">
        <v>0.67708333333333337</v>
      </c>
      <c r="K4" s="5">
        <v>0.67152777777777783</v>
      </c>
      <c r="L4" s="4">
        <v>0.50694444444444442</v>
      </c>
      <c r="M4" s="5">
        <v>0.51041666666666663</v>
      </c>
      <c r="N4" s="3" t="s">
        <v>336</v>
      </c>
      <c r="O4" s="3" t="s">
        <v>147</v>
      </c>
      <c r="P4" s="6">
        <v>836</v>
      </c>
      <c r="Q4" s="6">
        <v>1186</v>
      </c>
      <c r="R4" s="6">
        <v>0</v>
      </c>
      <c r="S4" s="6">
        <v>0</v>
      </c>
      <c r="T4" s="6">
        <v>0</v>
      </c>
    </row>
    <row r="5" spans="1:21" x14ac:dyDescent="0.25">
      <c r="A5" s="2">
        <v>44864</v>
      </c>
      <c r="B5" s="3" t="s">
        <v>21</v>
      </c>
      <c r="C5" s="3" t="s">
        <v>67</v>
      </c>
      <c r="D5" s="3" t="s">
        <v>22</v>
      </c>
      <c r="E5" s="3" t="s">
        <v>280</v>
      </c>
      <c r="F5" s="1" t="s">
        <v>23</v>
      </c>
      <c r="G5" s="9">
        <v>70000</v>
      </c>
      <c r="H5" s="3" t="s">
        <v>68</v>
      </c>
      <c r="I5" s="3" t="s">
        <v>69</v>
      </c>
      <c r="J5" s="4">
        <v>0.68402777777777779</v>
      </c>
      <c r="K5" s="5">
        <v>0.69166666666666676</v>
      </c>
      <c r="L5" s="4">
        <v>0.52777777777777779</v>
      </c>
      <c r="M5" s="5"/>
      <c r="N5" s="3" t="s">
        <v>337</v>
      </c>
      <c r="O5" s="3" t="s">
        <v>335</v>
      </c>
      <c r="P5" s="3">
        <v>482</v>
      </c>
      <c r="Q5" s="3">
        <v>695</v>
      </c>
      <c r="R5" s="3">
        <v>0</v>
      </c>
      <c r="S5" s="3">
        <v>0</v>
      </c>
      <c r="T5" s="3">
        <v>0</v>
      </c>
    </row>
    <row r="6" spans="1:21" x14ac:dyDescent="0.25">
      <c r="A6" s="2">
        <v>44864</v>
      </c>
      <c r="B6" s="3" t="s">
        <v>21</v>
      </c>
      <c r="C6" s="3" t="s">
        <v>36</v>
      </c>
      <c r="D6" s="3" t="s">
        <v>22</v>
      </c>
      <c r="E6" s="3" t="s">
        <v>280</v>
      </c>
      <c r="F6" s="1" t="s">
        <v>23</v>
      </c>
      <c r="G6" s="9">
        <v>70000</v>
      </c>
      <c r="H6" s="3" t="s">
        <v>37</v>
      </c>
      <c r="I6" s="3" t="s">
        <v>38</v>
      </c>
      <c r="J6" s="4">
        <v>0.91319444444444453</v>
      </c>
      <c r="K6" s="5">
        <v>0.9277777777777777</v>
      </c>
      <c r="L6" s="4">
        <v>0.70486111111111116</v>
      </c>
      <c r="M6" s="5">
        <v>0.73958333333333337</v>
      </c>
      <c r="N6" s="3" t="s">
        <v>338</v>
      </c>
      <c r="O6" s="3" t="s">
        <v>94</v>
      </c>
      <c r="P6" s="3">
        <v>743</v>
      </c>
      <c r="Q6" s="3">
        <v>1410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44864</v>
      </c>
      <c r="B7" s="3" t="s">
        <v>21</v>
      </c>
      <c r="C7" s="3" t="s">
        <v>45</v>
      </c>
      <c r="D7" s="3" t="s">
        <v>22</v>
      </c>
      <c r="E7" s="3" t="s">
        <v>329</v>
      </c>
      <c r="F7" s="3" t="s">
        <v>23</v>
      </c>
      <c r="G7" s="9">
        <v>70000</v>
      </c>
      <c r="H7" s="3" t="s">
        <v>46</v>
      </c>
      <c r="I7" s="3" t="s">
        <v>47</v>
      </c>
      <c r="J7" s="4">
        <v>0.95486111111111116</v>
      </c>
      <c r="K7" s="5">
        <v>0.93263888888888891</v>
      </c>
      <c r="L7" s="4">
        <v>0.71527777777777779</v>
      </c>
      <c r="M7" s="5">
        <v>0.71388888888888891</v>
      </c>
      <c r="N7" s="3" t="s">
        <v>322</v>
      </c>
      <c r="O7" s="3" t="s">
        <v>326</v>
      </c>
      <c r="P7" s="3">
        <v>772</v>
      </c>
      <c r="Q7" s="3">
        <v>1057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F8" sqref="F8"/>
    </sheetView>
  </sheetViews>
  <sheetFormatPr defaultRowHeight="15" x14ac:dyDescent="0.25"/>
  <cols>
    <col min="1" max="1" width="10.140625" bestFit="1" customWidth="1"/>
    <col min="2" max="2" width="11.42578125" customWidth="1"/>
    <col min="3" max="3" width="14.7109375" customWidth="1"/>
    <col min="4" max="4" width="7.28515625" customWidth="1"/>
    <col min="5" max="5" width="11.28515625" customWidth="1"/>
    <col min="6" max="6" width="15.28515625" customWidth="1"/>
    <col min="10" max="15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44865</v>
      </c>
      <c r="B2" s="3" t="s">
        <v>21</v>
      </c>
      <c r="C2" s="3" t="s">
        <v>64</v>
      </c>
      <c r="D2" s="3" t="s">
        <v>22</v>
      </c>
      <c r="E2" s="3" t="s">
        <v>280</v>
      </c>
      <c r="F2" s="1" t="s">
        <v>23</v>
      </c>
      <c r="G2" s="9">
        <v>70000</v>
      </c>
      <c r="H2" s="3" t="s">
        <v>65</v>
      </c>
      <c r="I2" s="3" t="s">
        <v>66</v>
      </c>
      <c r="J2" s="4">
        <v>0.52430555555555558</v>
      </c>
      <c r="K2" s="5">
        <v>0.5083333333333333</v>
      </c>
      <c r="L2" s="4">
        <v>0.27777777777777779</v>
      </c>
      <c r="M2" s="5">
        <v>0.27638888888888885</v>
      </c>
      <c r="N2" s="3" t="s">
        <v>341</v>
      </c>
      <c r="O2" s="3" t="s">
        <v>339</v>
      </c>
      <c r="P2" s="3">
        <v>637</v>
      </c>
      <c r="Q2" s="3">
        <v>1157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44865</v>
      </c>
      <c r="B3" s="3" t="s">
        <v>21</v>
      </c>
      <c r="C3" s="3" t="s">
        <v>29</v>
      </c>
      <c r="D3" s="3" t="s">
        <v>22</v>
      </c>
      <c r="E3" s="3" t="s">
        <v>329</v>
      </c>
      <c r="F3" s="3" t="s">
        <v>23</v>
      </c>
      <c r="G3" s="9">
        <v>70000</v>
      </c>
      <c r="H3" s="3" t="s">
        <v>30</v>
      </c>
      <c r="I3" s="3" t="s">
        <v>31</v>
      </c>
      <c r="J3" s="4">
        <v>0.4826388888888889</v>
      </c>
      <c r="K3" s="5">
        <v>0.5493055555555556</v>
      </c>
      <c r="L3" s="4">
        <v>0.28819444444444448</v>
      </c>
      <c r="M3" s="5">
        <v>0.36249999999999999</v>
      </c>
      <c r="N3" s="3" t="s">
        <v>87</v>
      </c>
      <c r="O3" s="3" t="s">
        <v>340</v>
      </c>
      <c r="P3" s="3">
        <v>756</v>
      </c>
      <c r="Q3" s="3">
        <v>801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44865</v>
      </c>
      <c r="B4" s="3" t="s">
        <v>21</v>
      </c>
      <c r="C4" s="3" t="s">
        <v>67</v>
      </c>
      <c r="D4" s="3" t="s">
        <v>22</v>
      </c>
      <c r="E4" s="3" t="str">
        <f>E2</f>
        <v>HA-LYE</v>
      </c>
      <c r="F4" s="3" t="s">
        <v>23</v>
      </c>
      <c r="G4" s="9">
        <v>70000</v>
      </c>
      <c r="H4" s="3" t="s">
        <v>68</v>
      </c>
      <c r="I4" s="3" t="s">
        <v>69</v>
      </c>
      <c r="J4" s="4">
        <v>0.90277777777777779</v>
      </c>
      <c r="K4" s="5">
        <v>0.83888888888888891</v>
      </c>
      <c r="L4" s="4">
        <v>0.70486111111111116</v>
      </c>
      <c r="M4" s="5">
        <v>0.70277777777777783</v>
      </c>
      <c r="N4" s="3" t="s">
        <v>342</v>
      </c>
      <c r="O4" s="3" t="s">
        <v>89</v>
      </c>
      <c r="P4" s="3">
        <v>692</v>
      </c>
      <c r="Q4" s="3">
        <v>1444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44865</v>
      </c>
      <c r="B5" s="3" t="s">
        <v>21</v>
      </c>
      <c r="C5" s="3" t="s">
        <v>73</v>
      </c>
      <c r="D5" s="3" t="s">
        <v>22</v>
      </c>
      <c r="E5" s="3" t="str">
        <f>E3</f>
        <v>HA-LYZ</v>
      </c>
      <c r="F5" s="3" t="s">
        <v>23</v>
      </c>
      <c r="G5" s="9">
        <v>70000</v>
      </c>
      <c r="H5" s="3" t="s">
        <v>74</v>
      </c>
      <c r="I5" s="3" t="s">
        <v>75</v>
      </c>
      <c r="J5" s="4">
        <v>0.92708333333333337</v>
      </c>
      <c r="K5" s="5">
        <v>0.91527777777777775</v>
      </c>
      <c r="L5" s="4">
        <v>0.74305555555555547</v>
      </c>
      <c r="M5" s="5">
        <v>0.74583333333333324</v>
      </c>
      <c r="N5" s="3" t="s">
        <v>343</v>
      </c>
      <c r="O5" s="3" t="s">
        <v>345</v>
      </c>
      <c r="P5" s="3">
        <v>625</v>
      </c>
      <c r="Q5" s="3">
        <v>755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 t="s">
        <v>350</v>
      </c>
      <c r="B6" s="3" t="s">
        <v>21</v>
      </c>
      <c r="C6" s="3" t="s">
        <v>346</v>
      </c>
      <c r="D6" s="3" t="s">
        <v>254</v>
      </c>
      <c r="E6" s="3" t="s">
        <v>316</v>
      </c>
      <c r="F6" s="3" t="s">
        <v>351</v>
      </c>
      <c r="G6" s="9">
        <v>89000</v>
      </c>
      <c r="H6" s="3" t="s">
        <v>348</v>
      </c>
      <c r="I6" s="3" t="s">
        <v>348</v>
      </c>
      <c r="J6" s="7">
        <v>0.72222222222222221</v>
      </c>
      <c r="K6" s="5">
        <v>0.71736111111111101</v>
      </c>
      <c r="L6" s="4">
        <v>0.79166666666666663</v>
      </c>
      <c r="M6" s="8">
        <v>0.8027777777777777</v>
      </c>
      <c r="N6" s="3" t="s">
        <v>344</v>
      </c>
      <c r="O6" s="3" t="s">
        <v>344</v>
      </c>
      <c r="P6" s="3">
        <v>961</v>
      </c>
      <c r="Q6" s="3">
        <v>961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 t="s">
        <v>350</v>
      </c>
      <c r="B7" s="3" t="s">
        <v>21</v>
      </c>
      <c r="C7" s="3" t="s">
        <v>347</v>
      </c>
      <c r="D7" s="3" t="s">
        <v>254</v>
      </c>
      <c r="E7" s="3" t="s">
        <v>315</v>
      </c>
      <c r="F7" s="3" t="s">
        <v>351</v>
      </c>
      <c r="G7" s="9">
        <v>89000</v>
      </c>
      <c r="H7" s="3" t="s">
        <v>349</v>
      </c>
      <c r="I7" s="3" t="s">
        <v>349</v>
      </c>
      <c r="J7" s="7">
        <v>0.75694444444444453</v>
      </c>
      <c r="K7" s="8">
        <v>0.75694444444444453</v>
      </c>
      <c r="L7" s="7">
        <v>0.79166666666666663</v>
      </c>
      <c r="M7" s="8">
        <v>0.80902777777777779</v>
      </c>
      <c r="N7" s="3" t="s">
        <v>216</v>
      </c>
      <c r="O7" s="3" t="s">
        <v>216</v>
      </c>
      <c r="P7" s="3">
        <v>794</v>
      </c>
      <c r="Q7" s="3">
        <v>794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2022-10-31T20:58:39Z</dcterms:modified>
</cp:coreProperties>
</file>