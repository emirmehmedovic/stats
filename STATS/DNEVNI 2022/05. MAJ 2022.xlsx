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30" yWindow="165" windowWidth="19215" windowHeight="5685" tabRatio="652" firstSheet="10" activeTab="30"/>
  </bookViews>
  <sheets>
    <sheet name="01" sheetId="1" r:id="rId1"/>
    <sheet name="02" sheetId="2" r:id="rId2"/>
    <sheet name="03" sheetId="3" r:id="rId3"/>
    <sheet name="04" sheetId="4" r:id="rId4"/>
    <sheet name="5" sheetId="5" r:id="rId5"/>
    <sheet name="6" sheetId="7" r:id="rId6"/>
    <sheet name="7" sheetId="8" r:id="rId7"/>
    <sheet name="08" sheetId="9" r:id="rId8"/>
    <sheet name="09" sheetId="10" r:id="rId9"/>
    <sheet name="10" sheetId="12" r:id="rId10"/>
    <sheet name="11" sheetId="13" r:id="rId11"/>
    <sheet name="12" sheetId="14" r:id="rId12"/>
    <sheet name="13" sheetId="15" r:id="rId13"/>
    <sheet name="14" sheetId="16" r:id="rId14"/>
    <sheet name="15" sheetId="17" r:id="rId15"/>
    <sheet name="16" sheetId="18" r:id="rId16"/>
    <sheet name="17" sheetId="19" r:id="rId17"/>
    <sheet name="18" sheetId="20" r:id="rId18"/>
    <sheet name="19" sheetId="21" r:id="rId19"/>
    <sheet name="20" sheetId="22" r:id="rId20"/>
    <sheet name="21" sheetId="23" r:id="rId21"/>
    <sheet name="22" sheetId="24" r:id="rId22"/>
    <sheet name="23" sheetId="25" r:id="rId23"/>
    <sheet name="24" sheetId="26" r:id="rId24"/>
    <sheet name="25" sheetId="27" r:id="rId25"/>
    <sheet name="26" sheetId="28" r:id="rId26"/>
    <sheet name="27" sheetId="30" r:id="rId27"/>
    <sheet name="28" sheetId="31" r:id="rId28"/>
    <sheet name="29" sheetId="32" r:id="rId29"/>
    <sheet name="30" sheetId="33" r:id="rId30"/>
    <sheet name="31" sheetId="34" r:id="rId31"/>
  </sheets>
  <calcPr calcId="145621"/>
</workbook>
</file>

<file path=xl/calcChain.xml><?xml version="1.0" encoding="utf-8"?>
<calcChain xmlns="http://schemas.openxmlformats.org/spreadsheetml/2006/main">
  <c r="M5" i="32" l="1"/>
  <c r="H9" i="32" l="1"/>
  <c r="E7" i="32" l="1"/>
  <c r="E6" i="32"/>
  <c r="E5" i="32"/>
  <c r="E4" i="32"/>
  <c r="E3" i="32"/>
  <c r="O4" i="31" l="1"/>
  <c r="I10" i="26" l="1"/>
  <c r="H10" i="26"/>
  <c r="I9" i="26"/>
  <c r="H9" i="26"/>
  <c r="I8" i="26"/>
  <c r="H8" i="26"/>
  <c r="I7" i="26"/>
  <c r="H7" i="26"/>
  <c r="I6" i="26"/>
  <c r="H6" i="26"/>
  <c r="H14" i="25" l="1"/>
  <c r="I13" i="25" l="1"/>
  <c r="H13" i="25"/>
  <c r="I12" i="25" l="1"/>
  <c r="H12" i="25"/>
  <c r="I11" i="25"/>
  <c r="H11" i="25"/>
  <c r="I10" i="25"/>
  <c r="H10" i="25"/>
  <c r="I9" i="25"/>
  <c r="H9" i="25"/>
  <c r="I8" i="25"/>
  <c r="H8" i="25"/>
  <c r="I17" i="24" l="1"/>
  <c r="H17" i="24"/>
  <c r="I16" i="24"/>
  <c r="H16" i="24"/>
  <c r="I15" i="24"/>
  <c r="H15" i="24"/>
  <c r="I14" i="24"/>
  <c r="H14" i="24"/>
  <c r="I13" i="24"/>
  <c r="H13" i="24"/>
  <c r="I12" i="24" l="1"/>
  <c r="H12" i="24"/>
  <c r="H9" i="24" l="1"/>
  <c r="H10" i="24"/>
  <c r="H11" i="24"/>
  <c r="H8" i="24"/>
  <c r="I9" i="24"/>
  <c r="I10" i="24"/>
  <c r="I11" i="24"/>
  <c r="I8" i="24"/>
  <c r="I8" i="21" l="1"/>
  <c r="H8" i="21"/>
  <c r="I6" i="12" l="1"/>
  <c r="H6" i="12"/>
</calcChain>
</file>

<file path=xl/sharedStrings.xml><?xml version="1.0" encoding="utf-8"?>
<sst xmlns="http://schemas.openxmlformats.org/spreadsheetml/2006/main" count="2500" uniqueCount="440">
  <si>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</si>
  <si>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</si>
  <si>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</si>
  <si>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</si>
  <si>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</si>
  <si>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</si>
  <si>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</si>
  <si>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</si>
  <si>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</si>
  <si>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</si>
  <si>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</si>
  <si>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</si>
  <si>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</si>
  <si>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</si>
  <si>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</si>
  <si>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</si>
  <si>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</si>
  <si>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</si>
  <si>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</si>
  <si>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</si>
  <si>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</si>
  <si>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</si>
  <si>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A320</t>
  </si>
  <si>
    <t>SCHEDULED</t>
  </si>
  <si>
    <t>TZL-MMX-TZL</t>
  </si>
  <si>
    <t>W64292</t>
  </si>
  <si>
    <t>W64291</t>
  </si>
  <si>
    <t>TZL-MXP-TZL</t>
  </si>
  <si>
    <t>W65569</t>
  </si>
  <si>
    <t>TZL-NUE-TZL</t>
  </si>
  <si>
    <t>W64614</t>
  </si>
  <si>
    <t>W64613</t>
  </si>
  <si>
    <t>TZL-NYO-TZL</t>
  </si>
  <si>
    <t>W64282</t>
  </si>
  <si>
    <t>W64281</t>
  </si>
  <si>
    <t>W65570</t>
  </si>
  <si>
    <t>TZL-FDH-TZL</t>
  </si>
  <si>
    <t>W64616</t>
  </si>
  <si>
    <t>W64615</t>
  </si>
  <si>
    <t>W64278</t>
  </si>
  <si>
    <t>W64277</t>
  </si>
  <si>
    <t>TZL-BLL-TZL</t>
  </si>
  <si>
    <t>HA-LPN</t>
  </si>
  <si>
    <t>HA-LPT</t>
  </si>
  <si>
    <t>63+1 INF</t>
  </si>
  <si>
    <t>55+4 INF</t>
  </si>
  <si>
    <t>122+3 INF</t>
  </si>
  <si>
    <t>132+5 INF</t>
  </si>
  <si>
    <t>85+2 INF</t>
  </si>
  <si>
    <t>101+3 INF</t>
  </si>
  <si>
    <t>122+1 INF</t>
  </si>
  <si>
    <t>134+3 INF</t>
  </si>
  <si>
    <t>89+1 INF</t>
  </si>
  <si>
    <t>77+0 INF</t>
  </si>
  <si>
    <t>58+0 INF</t>
  </si>
  <si>
    <t>113+3 INF</t>
  </si>
  <si>
    <t>TZL-BER-TZL</t>
  </si>
  <si>
    <t>W64276</t>
  </si>
  <si>
    <t>W64275</t>
  </si>
  <si>
    <t>W64296</t>
  </si>
  <si>
    <t>W64295</t>
  </si>
  <si>
    <t>TZL-FMM-TZL</t>
  </si>
  <si>
    <t>W64280</t>
  </si>
  <si>
    <t>W64279</t>
  </si>
  <si>
    <t>TZL-MLH-TZL</t>
  </si>
  <si>
    <t>W64294</t>
  </si>
  <si>
    <t>W64293</t>
  </si>
  <si>
    <t>TZL-VIE-TZL</t>
  </si>
  <si>
    <t>W64286</t>
  </si>
  <si>
    <t>W64285</t>
  </si>
  <si>
    <t>TZL-HHN-TZL</t>
  </si>
  <si>
    <t>W64284</t>
  </si>
  <si>
    <t>W64283</t>
  </si>
  <si>
    <t>151+6 INF</t>
  </si>
  <si>
    <t>TZL-SJJ-GOT-TZL</t>
  </si>
  <si>
    <t>75+0 INF</t>
  </si>
  <si>
    <t>148+2 INF</t>
  </si>
  <si>
    <t>99+0 INF</t>
  </si>
  <si>
    <t>144+4 INF</t>
  </si>
  <si>
    <t>137+4 INF</t>
  </si>
  <si>
    <t>153+3 INF</t>
  </si>
  <si>
    <t>124+1 INF</t>
  </si>
  <si>
    <t>131+3 INF</t>
  </si>
  <si>
    <t>132+1 INF</t>
  </si>
  <si>
    <t>152+4 INF</t>
  </si>
  <si>
    <t>150+5 INF</t>
  </si>
  <si>
    <t>TZL-DTM-TZL</t>
  </si>
  <si>
    <t>W64298</t>
  </si>
  <si>
    <t>W64297</t>
  </si>
  <si>
    <t>TZL-FKB-TZL</t>
  </si>
  <si>
    <t>W64618</t>
  </si>
  <si>
    <t>W64617</t>
  </si>
  <si>
    <t>HA-LYD</t>
  </si>
  <si>
    <t>BUD-TZL</t>
  </si>
  <si>
    <t>NON-SCHEDULED</t>
  </si>
  <si>
    <t>W64803</t>
  </si>
  <si>
    <t>172+3 INF</t>
  </si>
  <si>
    <t>145+1 INF</t>
  </si>
  <si>
    <t>75+1 INF</t>
  </si>
  <si>
    <t>FLY-COOP</t>
  </si>
  <si>
    <t>BUD-TZL-BUD</t>
  </si>
  <si>
    <t>BE40</t>
  </si>
  <si>
    <t>HA-YFK</t>
  </si>
  <si>
    <t>GP</t>
  </si>
  <si>
    <t>FCA1FK</t>
  </si>
  <si>
    <t>FCA2FK</t>
  </si>
  <si>
    <t>177+4 INF</t>
  </si>
  <si>
    <t>TZL-BUD</t>
  </si>
  <si>
    <t>FERRY OUT</t>
  </si>
  <si>
    <t>W6802</t>
  </si>
  <si>
    <t>124+11 INF</t>
  </si>
  <si>
    <t>144+5 INF</t>
  </si>
  <si>
    <t>135+3 INF</t>
  </si>
  <si>
    <t>137+7 INF</t>
  </si>
  <si>
    <t>118+5 INF</t>
  </si>
  <si>
    <t>137+3 INF</t>
  </si>
  <si>
    <t>EUFOR</t>
  </si>
  <si>
    <t>PC6T</t>
  </si>
  <si>
    <t>MILITARY</t>
  </si>
  <si>
    <t>-</t>
  </si>
  <si>
    <t>CREW ONLY</t>
  </si>
  <si>
    <t>3GEF</t>
  </si>
  <si>
    <t>132+3 INF</t>
  </si>
  <si>
    <t>110+2 INF</t>
  </si>
  <si>
    <t>141+1 INF</t>
  </si>
  <si>
    <t>132+6 INF</t>
  </si>
  <si>
    <t>146+4 INF</t>
  </si>
  <si>
    <t>BUTMIR-TZL-BUTMIR</t>
  </si>
  <si>
    <t>117+4 INF</t>
  </si>
  <si>
    <t>148+3 INF</t>
  </si>
  <si>
    <t>DTM-TZL-DTM</t>
  </si>
  <si>
    <t>HA-LVJ</t>
  </si>
  <si>
    <t>A321</t>
  </si>
  <si>
    <t>90+3  INF</t>
  </si>
  <si>
    <t>118+3  INF</t>
  </si>
  <si>
    <t>81+0 INF</t>
  </si>
  <si>
    <t>97+1 INF</t>
  </si>
  <si>
    <t>163+3 INF</t>
  </si>
  <si>
    <t>68+0  INF</t>
  </si>
  <si>
    <t xml:space="preserve">  175+5 INF</t>
  </si>
  <si>
    <t>96+2  INF</t>
  </si>
  <si>
    <t>91+3 INF</t>
  </si>
  <si>
    <t>101+0 INF</t>
  </si>
  <si>
    <t>TZL-GOT-TZL</t>
  </si>
  <si>
    <t>HA-LYP</t>
  </si>
  <si>
    <t>HA-LYP/LPN</t>
  </si>
  <si>
    <t>FERRY IN/OUT</t>
  </si>
  <si>
    <t>W6401</t>
  </si>
  <si>
    <t>W6402</t>
  </si>
  <si>
    <t>156+4 INF</t>
  </si>
  <si>
    <t>114+5 INF</t>
  </si>
  <si>
    <t>151+4 INF</t>
  </si>
  <si>
    <t>128+1 INF</t>
  </si>
  <si>
    <t>126+2 INF</t>
  </si>
  <si>
    <t>150+3 INF</t>
  </si>
  <si>
    <t>125+2 INF</t>
  </si>
  <si>
    <t>172+2 INF</t>
  </si>
  <si>
    <t>147+6 INF</t>
  </si>
  <si>
    <t>155+4 INF</t>
  </si>
  <si>
    <t>142+4 INF</t>
  </si>
  <si>
    <t>164+5 INF</t>
  </si>
  <si>
    <t>TZL-CGN-TZL</t>
  </si>
  <si>
    <t>W64300</t>
  </si>
  <si>
    <t>W64299</t>
  </si>
  <si>
    <t>160+3 INF</t>
  </si>
  <si>
    <t>134+4 INF</t>
  </si>
  <si>
    <t>167+3 INF</t>
  </si>
  <si>
    <t>143+1 INF</t>
  </si>
  <si>
    <t>104+5 INF</t>
  </si>
  <si>
    <t>151+3 INF</t>
  </si>
  <si>
    <t>HA-LWT</t>
  </si>
  <si>
    <t>HA-LYD/HA-LWT</t>
  </si>
  <si>
    <t>147+2 INF</t>
  </si>
  <si>
    <t>100+2 INF</t>
  </si>
  <si>
    <t>91+2 INF</t>
  </si>
  <si>
    <t>103+0 INF</t>
  </si>
  <si>
    <t>131+1 INF</t>
  </si>
  <si>
    <t>87+1 INF</t>
  </si>
  <si>
    <t>107+3 IF</t>
  </si>
  <si>
    <t>124+4 INF</t>
  </si>
  <si>
    <t>74+1 INF</t>
  </si>
  <si>
    <t>169+0 INF</t>
  </si>
  <si>
    <t>109+0 INF</t>
  </si>
  <si>
    <t>SPARFELL Luftfahrt Gmbh</t>
  </si>
  <si>
    <t>TSR-TZL-TSR</t>
  </si>
  <si>
    <t>C25A</t>
  </si>
  <si>
    <t>OE-FXM</t>
  </si>
  <si>
    <t>INT.NON SCHEDULED</t>
  </si>
  <si>
    <t>LDX10</t>
  </si>
  <si>
    <t>133+2 INF</t>
  </si>
  <si>
    <t>92+2 INF</t>
  </si>
  <si>
    <t>138+4 INF</t>
  </si>
  <si>
    <t>131+5 INF</t>
  </si>
  <si>
    <t>119+3 INF</t>
  </si>
  <si>
    <t>168+3 INF</t>
  </si>
  <si>
    <t>144+1 INF</t>
  </si>
  <si>
    <t>125+3 INF</t>
  </si>
  <si>
    <t>54+0 INF</t>
  </si>
  <si>
    <t>131+2 INF</t>
  </si>
  <si>
    <t>39+0 INF</t>
  </si>
  <si>
    <t>69+1 INF</t>
  </si>
  <si>
    <t>DELIĆ AIR</t>
  </si>
  <si>
    <t>IST-TZL-ZAG</t>
  </si>
  <si>
    <t>C525</t>
  </si>
  <si>
    <t>T7-ACA</t>
  </si>
  <si>
    <t>NON SCH/TECHNICAL</t>
  </si>
  <si>
    <t>162+2 INF</t>
  </si>
  <si>
    <t>108+10 INF</t>
  </si>
  <si>
    <t>102+5INF</t>
  </si>
  <si>
    <t>148+3INF</t>
  </si>
  <si>
    <t>95+5 INF</t>
  </si>
  <si>
    <t>142+6 INF</t>
  </si>
  <si>
    <t>91+4 INF</t>
  </si>
  <si>
    <t>105+2 INF</t>
  </si>
  <si>
    <t>140+4 INF</t>
  </si>
  <si>
    <t>98+2 INF</t>
  </si>
  <si>
    <t>145+7 INF</t>
  </si>
  <si>
    <t>89+2 INF</t>
  </si>
  <si>
    <t>162+6 INF</t>
  </si>
  <si>
    <t>BONAIR HAVACILIK</t>
  </si>
  <si>
    <t>BCN-TZL-IST</t>
  </si>
  <si>
    <t>Cl850</t>
  </si>
  <si>
    <t>TCGHP</t>
  </si>
  <si>
    <t>INT.NONSCHEDULED</t>
  </si>
  <si>
    <t>99+2 INF</t>
  </si>
  <si>
    <t>HA-LYF</t>
  </si>
  <si>
    <t>53+0 INF</t>
  </si>
  <si>
    <t>81+2 INF</t>
  </si>
  <si>
    <t>59+ 1 INF</t>
  </si>
  <si>
    <t>69+2 INF</t>
  </si>
  <si>
    <t>130+4 INF</t>
  </si>
  <si>
    <t>50+0 INF</t>
  </si>
  <si>
    <t>72+1 INF</t>
  </si>
  <si>
    <t>54+1 INF</t>
  </si>
  <si>
    <t>114+3 INF</t>
  </si>
  <si>
    <t>129+1 INF</t>
  </si>
  <si>
    <t>113+4 INF</t>
  </si>
  <si>
    <t>171+4 INF</t>
  </si>
  <si>
    <t>143+5 INF</t>
  </si>
  <si>
    <t>100+1 INF</t>
  </si>
  <si>
    <t>143+4 INF</t>
  </si>
  <si>
    <t>155+5 INF</t>
  </si>
  <si>
    <t>151+2 INF</t>
  </si>
  <si>
    <t>167+6 INF</t>
  </si>
  <si>
    <t>RISFLY TUZLA</t>
  </si>
  <si>
    <t>AVID FLYER</t>
  </si>
  <si>
    <t>S5-NAD</t>
  </si>
  <si>
    <t>TRAINING FLIGHT</t>
  </si>
  <si>
    <t>TZL-BRČKO</t>
  </si>
  <si>
    <t>158+2 INF</t>
  </si>
  <si>
    <t>176+2 INF</t>
  </si>
  <si>
    <t>146+1 INF</t>
  </si>
  <si>
    <t>138+8 INF</t>
  </si>
  <si>
    <t>138+1 INF</t>
  </si>
  <si>
    <t>150+2 INF</t>
  </si>
  <si>
    <t>HALPN</t>
  </si>
  <si>
    <t>HALWT</t>
  </si>
  <si>
    <t>77+2 INF</t>
  </si>
  <si>
    <t>119+2 INF</t>
  </si>
  <si>
    <t>133+6 INF</t>
  </si>
  <si>
    <t>88+1 INF</t>
  </si>
  <si>
    <t>65+1 INF</t>
  </si>
  <si>
    <t>152+2 INF</t>
  </si>
  <si>
    <t>129+3 INF</t>
  </si>
  <si>
    <t>48+0 INF</t>
  </si>
  <si>
    <t>88+3 INF</t>
  </si>
  <si>
    <t>153+4 INF</t>
  </si>
  <si>
    <t>111+0 INF</t>
  </si>
  <si>
    <t>HA-LYA</t>
  </si>
  <si>
    <t>85+0 INF</t>
  </si>
  <si>
    <t>139+3 INF</t>
  </si>
  <si>
    <t>160+7 INF</t>
  </si>
  <si>
    <t>SOS AIR</t>
  </si>
  <si>
    <t>TCSTA</t>
  </si>
  <si>
    <t>143+2 INF</t>
  </si>
  <si>
    <t>137+5 INF</t>
  </si>
  <si>
    <t>147+1 INF</t>
  </si>
  <si>
    <t>160+2 INF</t>
  </si>
  <si>
    <t>156+5 INF</t>
  </si>
  <si>
    <t>104+3 INF</t>
  </si>
  <si>
    <t>IST-TZL-ESB</t>
  </si>
  <si>
    <t>40+2 INF</t>
  </si>
  <si>
    <t>127+3 INF</t>
  </si>
  <si>
    <t>28+0 INF</t>
  </si>
  <si>
    <t>100+5 INF</t>
  </si>
  <si>
    <t>144+3 INF</t>
  </si>
  <si>
    <t>112+4 INF</t>
  </si>
  <si>
    <t>145+3 INF</t>
  </si>
  <si>
    <t>84+0 INF</t>
  </si>
  <si>
    <t>123+4 INF</t>
  </si>
  <si>
    <t>107+0 INF</t>
  </si>
  <si>
    <t>133+10 INF</t>
  </si>
  <si>
    <t>67+1 INF</t>
  </si>
  <si>
    <t>127+6 INF</t>
  </si>
  <si>
    <t>103+7 INF</t>
  </si>
  <si>
    <t>59+2 INF</t>
  </si>
  <si>
    <t>141+5 INF</t>
  </si>
  <si>
    <t>179+3 INF</t>
  </si>
  <si>
    <t>HA-LWP</t>
  </si>
  <si>
    <t>NISA AIR</t>
  </si>
  <si>
    <t>SJJ-TZL-ZAG</t>
  </si>
  <si>
    <t>DA42</t>
  </si>
  <si>
    <t>OK-MGI</t>
  </si>
  <si>
    <t>120+2 INF</t>
  </si>
  <si>
    <t>45+0 INF</t>
  </si>
  <si>
    <t>43+0 INF</t>
  </si>
  <si>
    <t>149+4 INF</t>
  </si>
  <si>
    <t>140+3 INF</t>
  </si>
  <si>
    <t>81+1 INF</t>
  </si>
  <si>
    <t>84+2 INF</t>
  </si>
  <si>
    <t>49+0 INF</t>
  </si>
  <si>
    <t>65+2 INF</t>
  </si>
  <si>
    <t>133+3 INF</t>
  </si>
  <si>
    <t>139+6 INF</t>
  </si>
  <si>
    <t>66+0 INF</t>
  </si>
  <si>
    <t>159+5 INF</t>
  </si>
  <si>
    <t>140+7 INF</t>
  </si>
  <si>
    <t>127+1 INF</t>
  </si>
  <si>
    <t>136+2 INF</t>
  </si>
  <si>
    <t>142+2 INF</t>
  </si>
  <si>
    <t>129+0 INF</t>
  </si>
  <si>
    <t>156+2 INF</t>
  </si>
  <si>
    <t>164+2 INF</t>
  </si>
  <si>
    <t>FLUGBETRIEBS AG</t>
  </si>
  <si>
    <t>INI-TZL-LSZ</t>
  </si>
  <si>
    <t>P28A</t>
  </si>
  <si>
    <t>HBPHG</t>
  </si>
  <si>
    <t>STS AVIJACIJA DOO</t>
  </si>
  <si>
    <t>PRIJEDOR-TZL</t>
  </si>
  <si>
    <t>174+2 INF</t>
  </si>
  <si>
    <t>NONSCHEDULED</t>
  </si>
  <si>
    <t>C182</t>
  </si>
  <si>
    <t>YU-FLY</t>
  </si>
  <si>
    <t>C172</t>
  </si>
  <si>
    <t>YU-DPS</t>
  </si>
  <si>
    <t>YU-DEM</t>
  </si>
  <si>
    <t>YU-DPU</t>
  </si>
  <si>
    <t>YU-DPT</t>
  </si>
  <si>
    <t>146+3 INF</t>
  </si>
  <si>
    <t>124+5 INF</t>
  </si>
  <si>
    <t>180+2 INF</t>
  </si>
  <si>
    <t>HALYA</t>
  </si>
  <si>
    <t>124+3 INF</t>
  </si>
  <si>
    <t>111+1 INF</t>
  </si>
  <si>
    <t>LOCAL FLIGHT</t>
  </si>
  <si>
    <t>84+3 INF</t>
  </si>
  <si>
    <t>115+1 INF</t>
  </si>
  <si>
    <t>134+0 INF</t>
  </si>
  <si>
    <t>83+1 INF</t>
  </si>
  <si>
    <t>105+3 INF</t>
  </si>
  <si>
    <t>132+7 INF</t>
  </si>
  <si>
    <t>92+1 INF</t>
  </si>
  <si>
    <t>139+2 INF</t>
  </si>
  <si>
    <t>119+4 INF</t>
  </si>
  <si>
    <t>136+4 INF</t>
  </si>
  <si>
    <t>137+2 INF</t>
  </si>
  <si>
    <t>36+0 INF</t>
  </si>
  <si>
    <t>115+4 INF</t>
  </si>
  <si>
    <t>43+1 INF</t>
  </si>
  <si>
    <t>123+5 INF</t>
  </si>
  <si>
    <t>100+3 INF</t>
  </si>
  <si>
    <t>127+5 INF</t>
  </si>
  <si>
    <t>152+1 INF</t>
  </si>
  <si>
    <t>107+1 INF</t>
  </si>
  <si>
    <t>159+1INF</t>
  </si>
  <si>
    <t>68+2 INF</t>
  </si>
  <si>
    <t>138+2 INF</t>
  </si>
  <si>
    <t>157+4 INF</t>
  </si>
  <si>
    <t>179+1 INF</t>
  </si>
  <si>
    <t>HA-LYG</t>
  </si>
  <si>
    <t>35+0 INF</t>
  </si>
  <si>
    <t>83+4 INF</t>
  </si>
  <si>
    <t>72+0 INF</t>
  </si>
  <si>
    <t xml:space="preserve">58+1 INF </t>
  </si>
  <si>
    <t>132+2 INF</t>
  </si>
  <si>
    <t>150+0 INF</t>
  </si>
  <si>
    <t>137+1 INF</t>
  </si>
  <si>
    <t>137+0 INF</t>
  </si>
  <si>
    <t>109+1 INF</t>
  </si>
  <si>
    <t>MIRKO ANZEL</t>
  </si>
  <si>
    <t>BEG-TZL-BEG</t>
  </si>
  <si>
    <t>BE-36</t>
  </si>
  <si>
    <t>T7-BEN</t>
  </si>
  <si>
    <t>NON SCHEDULED</t>
  </si>
  <si>
    <t>136+7 INF</t>
  </si>
  <si>
    <t>EXPLED CONSULTING</t>
  </si>
  <si>
    <t>TB20</t>
  </si>
  <si>
    <t>D-EDXX</t>
  </si>
  <si>
    <t>153+2 INF</t>
  </si>
  <si>
    <t>LOAN-TZL-LOAN</t>
  </si>
  <si>
    <t>142+3 INF</t>
  </si>
  <si>
    <t>149+2 INF</t>
  </si>
  <si>
    <t>FMM-TZL-GOT</t>
  </si>
  <si>
    <t>HA-LWL</t>
  </si>
  <si>
    <t>W64624</t>
  </si>
  <si>
    <t>W64625</t>
  </si>
  <si>
    <t>176+4 INF</t>
  </si>
  <si>
    <t>HA-LWX</t>
  </si>
  <si>
    <t>NON-SCH/FERRY IN</t>
  </si>
  <si>
    <t>166+1 INF</t>
  </si>
  <si>
    <t>96+2 INF</t>
  </si>
  <si>
    <t>THRESHOLD VENTURES, INC</t>
  </si>
  <si>
    <t>SNN-TZL</t>
  </si>
  <si>
    <t>GLF4</t>
  </si>
  <si>
    <t>N1TD</t>
  </si>
  <si>
    <t>NON-SCH/GA PRIVATE</t>
  </si>
  <si>
    <t>ROP</t>
  </si>
  <si>
    <t>118+4 INF</t>
  </si>
  <si>
    <t>150+4 INF</t>
  </si>
  <si>
    <t>95+1 INF</t>
  </si>
  <si>
    <t>TZL-KTW</t>
  </si>
  <si>
    <t>W6404</t>
  </si>
  <si>
    <t>NON-SCH/FERRY OUT</t>
  </si>
  <si>
    <t>139+0 INF</t>
  </si>
  <si>
    <t>79+1 INF</t>
  </si>
  <si>
    <t>139+4 INF</t>
  </si>
  <si>
    <t>89+0 INF</t>
  </si>
  <si>
    <t>63+0 INF</t>
  </si>
  <si>
    <t>175+1 INF</t>
  </si>
  <si>
    <t>174+1 INF</t>
  </si>
  <si>
    <t>94+2 INF</t>
  </si>
  <si>
    <t>165+2 INF</t>
  </si>
  <si>
    <t>164+3 INF</t>
  </si>
  <si>
    <t>147+3 INF</t>
  </si>
  <si>
    <t>PAD-TZL-PAD</t>
  </si>
  <si>
    <t>C-525</t>
  </si>
  <si>
    <t>D-ITAN</t>
  </si>
  <si>
    <t>6+0 INF</t>
  </si>
  <si>
    <t>TRANSAVIA AIRLINES</t>
  </si>
  <si>
    <t>126+3 INF</t>
  </si>
  <si>
    <t>29+0 INF</t>
  </si>
  <si>
    <t>126+8 INF</t>
  </si>
  <si>
    <t>133+4 INF</t>
  </si>
  <si>
    <t>FMM-(SJJ)-TZL-GOT</t>
  </si>
  <si>
    <t>HA-LPK</t>
  </si>
  <si>
    <t>W64638</t>
  </si>
  <si>
    <t>170+3 INF</t>
  </si>
  <si>
    <t>DIVERSION/FERRY OUT</t>
  </si>
  <si>
    <t>139+5 INF</t>
  </si>
  <si>
    <t>141+7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</si>
</sst>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b/>
      <sz val="10"/>
      <name val="Garamond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0" fontId="5" fillId="0" borderId="0" xfId="0" applyNumberFormat="1" applyFont="1" applyFill="1" applyAlignment="1">
      <alignment horizontal="center" vertical="center"/>
    </xf>
    <xf numFmtId="20" fontId="2" fillId="0" borderId="0" xfId="2" applyNumberFormat="1" applyFont="1" applyFill="1" applyAlignment="1">
      <alignment horizontal="center" vertical="center"/>
    </xf>
    <xf numFmtId="2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20" fontId="3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14" fontId="0" fillId="0" borderId="0" xfId="0" applyNumberFormat="1"/>
    <xf numFmtId="14" fontId="3" fillId="0" borderId="0" xfId="0" applyNumberFormat="1" applyFont="1"/>
    <xf numFmtId="0" fontId="3" fillId="0" borderId="0" xfId="0" applyFont="1"/>
    <xf numFmtId="3" fontId="3" fillId="0" borderId="0" xfId="0" applyNumberFormat="1" applyFont="1" applyAlignment="1">
      <alignment horizontal="center" vertical="top"/>
    </xf>
    <xf numFmtId="0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top"/>
    </xf>
    <xf numFmtId="14" fontId="2" fillId="0" borderId="0" xfId="1" applyNumberFormat="1" applyFont="1" applyAlignment="1">
      <alignment horizontal="center" vertical="center"/>
    </xf>
    <xf numFmtId="3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center"/>
    </xf>
    <xf numFmtId="20" fontId="5" fillId="0" borderId="0" xfId="1" applyNumberFormat="1" applyFont="1" applyAlignment="1">
      <alignment horizontal="center" vertical="center"/>
    </xf>
    <xf numFmtId="20" fontId="2" fillId="0" borderId="0" xfId="1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3">
    <cellStyle name="Normal" xfId="0" builtinId="0"/>
    <cellStyle name="Normal 3 2" xfId="2"/>
    <cellStyle name="Normal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sqref="A1:U12"/>
    </sheetView>
  </sheetViews>
  <sheetFormatPr defaultRowHeight="15" x14ac:dyDescent="0.25"/>
  <cols>
    <col min="2" max="2" width="12.85546875" customWidth="1"/>
    <col min="3" max="3" width="12.5703125" customWidth="1"/>
    <col min="4" max="4" width="7.28515625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44682</v>
      </c>
      <c r="B2" s="6" t="s">
        <v>21</v>
      </c>
      <c r="C2" s="2" t="s">
        <v>24</v>
      </c>
      <c r="D2" s="2" t="s">
        <v>22</v>
      </c>
      <c r="E2" s="2" t="s">
        <v>42</v>
      </c>
      <c r="F2" s="2" t="s">
        <v>23</v>
      </c>
      <c r="G2" s="2">
        <v>70000</v>
      </c>
      <c r="H2" s="2" t="s">
        <v>25</v>
      </c>
      <c r="I2" s="2" t="s">
        <v>26</v>
      </c>
      <c r="J2" s="4">
        <v>0.45833333333333331</v>
      </c>
      <c r="K2" s="5">
        <v>0.4368055555555555</v>
      </c>
      <c r="L2" s="4">
        <v>0.25694444444444448</v>
      </c>
      <c r="M2" s="5">
        <v>0.24930555555555556</v>
      </c>
      <c r="N2" s="2" t="s">
        <v>45</v>
      </c>
      <c r="O2" s="2" t="s">
        <v>44</v>
      </c>
      <c r="P2" s="2">
        <v>159</v>
      </c>
      <c r="Q2" s="2">
        <v>361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44682</v>
      </c>
      <c r="B3" s="2" t="s">
        <v>21</v>
      </c>
      <c r="C3" s="2" t="s">
        <v>36</v>
      </c>
      <c r="D3" s="2" t="s">
        <v>22</v>
      </c>
      <c r="E3" s="2" t="s">
        <v>43</v>
      </c>
      <c r="F3" s="2" t="s">
        <v>23</v>
      </c>
      <c r="G3" s="2">
        <v>70000</v>
      </c>
      <c r="H3" s="2" t="s">
        <v>37</v>
      </c>
      <c r="I3" s="2" t="s">
        <v>38</v>
      </c>
      <c r="J3" s="4">
        <v>0.44791666666666669</v>
      </c>
      <c r="K3" s="5">
        <v>0.42152777777777778</v>
      </c>
      <c r="L3" s="4">
        <v>0.28472222222222221</v>
      </c>
      <c r="M3" s="5">
        <v>0.28472222222222221</v>
      </c>
      <c r="N3" s="2" t="s">
        <v>47</v>
      </c>
      <c r="O3" s="2" t="s">
        <v>46</v>
      </c>
      <c r="P3" s="2">
        <v>878</v>
      </c>
      <c r="Q3" s="2">
        <v>758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44682</v>
      </c>
      <c r="B4" s="6" t="s">
        <v>21</v>
      </c>
      <c r="C4" s="6" t="s">
        <v>27</v>
      </c>
      <c r="D4" s="6" t="s">
        <v>22</v>
      </c>
      <c r="E4" s="2" t="s">
        <v>43</v>
      </c>
      <c r="F4" s="6" t="s">
        <v>23</v>
      </c>
      <c r="G4" s="14">
        <v>70000</v>
      </c>
      <c r="H4" s="6" t="s">
        <v>28</v>
      </c>
      <c r="I4" s="6" t="s">
        <v>35</v>
      </c>
      <c r="J4" s="7">
        <v>0.61805555555555558</v>
      </c>
      <c r="K4" s="8">
        <v>0.60972222222222217</v>
      </c>
      <c r="L4" s="7">
        <v>0.46527777777777773</v>
      </c>
      <c r="M4" s="9">
        <v>0.4694444444444445</v>
      </c>
      <c r="N4" s="2" t="s">
        <v>53</v>
      </c>
      <c r="O4" s="2" t="s">
        <v>48</v>
      </c>
      <c r="P4" s="10">
        <v>212</v>
      </c>
      <c r="Q4" s="10">
        <v>264</v>
      </c>
      <c r="R4" s="2">
        <v>0</v>
      </c>
      <c r="S4" s="2">
        <v>0</v>
      </c>
      <c r="T4" s="2">
        <v>0</v>
      </c>
      <c r="U4" s="2">
        <v>0</v>
      </c>
    </row>
    <row r="5" spans="1:21" s="11" customFormat="1" x14ac:dyDescent="0.25">
      <c r="A5" s="12">
        <v>44682</v>
      </c>
      <c r="B5" s="2" t="s">
        <v>21</v>
      </c>
      <c r="C5" s="2" t="s">
        <v>29</v>
      </c>
      <c r="D5" s="2" t="s">
        <v>22</v>
      </c>
      <c r="E5" s="2" t="s">
        <v>42</v>
      </c>
      <c r="F5" s="2" t="s">
        <v>23</v>
      </c>
      <c r="G5" s="3">
        <v>70000</v>
      </c>
      <c r="H5" s="2" t="s">
        <v>30</v>
      </c>
      <c r="I5" s="2" t="s">
        <v>31</v>
      </c>
      <c r="J5" s="4">
        <v>0.64583333333333337</v>
      </c>
      <c r="K5" s="5">
        <v>0.63888888888888895</v>
      </c>
      <c r="L5" s="4">
        <v>0.48958333333333331</v>
      </c>
      <c r="M5" s="5">
        <v>0.48333333333333334</v>
      </c>
      <c r="N5" s="2" t="s">
        <v>51</v>
      </c>
      <c r="O5" s="2" t="s">
        <v>49</v>
      </c>
      <c r="P5" s="2">
        <v>549</v>
      </c>
      <c r="Q5" s="2">
        <v>290</v>
      </c>
      <c r="R5" s="2">
        <v>0</v>
      </c>
      <c r="S5" s="2">
        <v>0</v>
      </c>
      <c r="T5" s="2">
        <v>0</v>
      </c>
      <c r="U5" s="2">
        <v>0</v>
      </c>
    </row>
    <row r="6" spans="1:21" s="11" customFormat="1" x14ac:dyDescent="0.25">
      <c r="A6" s="12">
        <v>44682</v>
      </c>
      <c r="B6" s="2" t="s">
        <v>21</v>
      </c>
      <c r="C6" s="2" t="s">
        <v>41</v>
      </c>
      <c r="D6" s="2" t="s">
        <v>22</v>
      </c>
      <c r="E6" s="2" t="s">
        <v>43</v>
      </c>
      <c r="F6" s="2" t="s">
        <v>23</v>
      </c>
      <c r="G6" s="3">
        <v>70000</v>
      </c>
      <c r="H6" s="2" t="s">
        <v>39</v>
      </c>
      <c r="I6" s="2" t="s">
        <v>40</v>
      </c>
      <c r="J6" s="4">
        <v>0.85763888888888884</v>
      </c>
      <c r="K6" s="5">
        <v>0.84791666666666676</v>
      </c>
      <c r="L6" s="4">
        <v>0.63888888888888895</v>
      </c>
      <c r="M6" s="5">
        <v>0.64513888888888882</v>
      </c>
      <c r="N6" s="2" t="s">
        <v>54</v>
      </c>
      <c r="O6" s="2" t="s">
        <v>52</v>
      </c>
      <c r="P6" s="2">
        <v>192</v>
      </c>
      <c r="Q6" s="2">
        <v>334</v>
      </c>
      <c r="R6" s="2">
        <v>0</v>
      </c>
      <c r="S6" s="2">
        <v>0</v>
      </c>
      <c r="T6" s="2">
        <v>0</v>
      </c>
      <c r="U6" s="2">
        <v>0</v>
      </c>
    </row>
    <row r="7" spans="1:21" s="11" customFormat="1" x14ac:dyDescent="0.25">
      <c r="A7" s="12">
        <v>44682</v>
      </c>
      <c r="B7" s="2" t="s">
        <v>21</v>
      </c>
      <c r="C7" s="2" t="s">
        <v>32</v>
      </c>
      <c r="D7" s="2" t="s">
        <v>22</v>
      </c>
      <c r="E7" s="2" t="s">
        <v>42</v>
      </c>
      <c r="F7" s="2" t="s">
        <v>23</v>
      </c>
      <c r="G7" s="3">
        <v>70000</v>
      </c>
      <c r="H7" s="2" t="s">
        <v>33</v>
      </c>
      <c r="I7" s="2" t="s">
        <v>34</v>
      </c>
      <c r="J7" s="4">
        <v>0.90277777777777779</v>
      </c>
      <c r="K7" s="5">
        <v>0.8930555555555556</v>
      </c>
      <c r="L7" s="4">
        <v>0.66666666666666663</v>
      </c>
      <c r="M7" s="5">
        <v>0.66875000000000007</v>
      </c>
      <c r="N7" s="2" t="s">
        <v>55</v>
      </c>
      <c r="O7" s="2" t="s">
        <v>50</v>
      </c>
      <c r="P7" s="2">
        <v>694</v>
      </c>
      <c r="Q7" s="2">
        <v>579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O20" sqref="O20"/>
    </sheetView>
  </sheetViews>
  <sheetFormatPr defaultRowHeight="15" x14ac:dyDescent="0.25"/>
  <cols>
    <col min="3" max="3" width="15" customWidth="1"/>
    <col min="4" max="4" width="7.42578125" customWidth="1"/>
    <col min="6" max="6" width="13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44683</v>
      </c>
      <c r="B2" s="2" t="s">
        <v>21</v>
      </c>
      <c r="C2" s="2" t="s">
        <v>56</v>
      </c>
      <c r="D2" s="2" t="s">
        <v>22</v>
      </c>
      <c r="E2" s="2" t="s">
        <v>42</v>
      </c>
      <c r="F2" s="2" t="s">
        <v>23</v>
      </c>
      <c r="G2" s="3">
        <v>70000</v>
      </c>
      <c r="H2" s="2" t="s">
        <v>57</v>
      </c>
      <c r="I2" s="2" t="s">
        <v>58</v>
      </c>
      <c r="J2" s="4">
        <v>0.4375</v>
      </c>
      <c r="K2" s="5">
        <v>0.43541666666666662</v>
      </c>
      <c r="L2" s="4">
        <v>0.25694444444444448</v>
      </c>
      <c r="M2" s="5">
        <v>0.25694444444444448</v>
      </c>
      <c r="N2" s="2" t="s">
        <v>76</v>
      </c>
      <c r="O2" s="2" t="s">
        <v>73</v>
      </c>
      <c r="P2" s="2">
        <v>879</v>
      </c>
      <c r="Q2" s="2">
        <v>873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44683</v>
      </c>
      <c r="B3" s="2" t="s">
        <v>21</v>
      </c>
      <c r="C3" s="6" t="s">
        <v>74</v>
      </c>
      <c r="D3" s="2" t="s">
        <v>22</v>
      </c>
      <c r="E3" s="2" t="s">
        <v>43</v>
      </c>
      <c r="F3" s="2" t="s">
        <v>23</v>
      </c>
      <c r="G3" s="3">
        <v>70000</v>
      </c>
      <c r="H3" s="6" t="s">
        <v>59</v>
      </c>
      <c r="I3" s="6" t="s">
        <v>60</v>
      </c>
      <c r="J3" s="7">
        <v>0.51388888888888895</v>
      </c>
      <c r="K3" s="8">
        <v>0.54513888888888895</v>
      </c>
      <c r="L3" s="7">
        <v>0.28125</v>
      </c>
      <c r="M3" s="9">
        <v>0.29236111111111113</v>
      </c>
      <c r="N3" s="2" t="s">
        <v>77</v>
      </c>
      <c r="O3" s="2" t="s">
        <v>75</v>
      </c>
      <c r="P3" s="10">
        <v>599</v>
      </c>
      <c r="Q3" s="10">
        <v>340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44683</v>
      </c>
      <c r="B4" s="2" t="s">
        <v>21</v>
      </c>
      <c r="C4" s="2" t="s">
        <v>61</v>
      </c>
      <c r="D4" s="2" t="s">
        <v>22</v>
      </c>
      <c r="E4" s="2" t="s">
        <v>42</v>
      </c>
      <c r="F4" s="2" t="s">
        <v>23</v>
      </c>
      <c r="G4" s="3">
        <v>70000</v>
      </c>
      <c r="H4" s="2" t="s">
        <v>62</v>
      </c>
      <c r="I4" s="2" t="s">
        <v>63</v>
      </c>
      <c r="J4" s="4">
        <v>0.60763888888888895</v>
      </c>
      <c r="K4" s="5">
        <v>0.6020833333333333</v>
      </c>
      <c r="L4" s="4">
        <v>0.45833333333333331</v>
      </c>
      <c r="M4" s="5">
        <v>0.47361111111111115</v>
      </c>
      <c r="N4" s="2" t="s">
        <v>79</v>
      </c>
      <c r="O4" s="2" t="s">
        <v>78</v>
      </c>
      <c r="P4" s="2">
        <v>776</v>
      </c>
      <c r="Q4" s="2">
        <v>572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44683</v>
      </c>
      <c r="B5" s="2" t="s">
        <v>21</v>
      </c>
      <c r="C5" s="2" t="s">
        <v>64</v>
      </c>
      <c r="D5" s="2" t="s">
        <v>22</v>
      </c>
      <c r="E5" s="2" t="s">
        <v>43</v>
      </c>
      <c r="F5" s="2" t="s">
        <v>23</v>
      </c>
      <c r="G5" s="3">
        <v>70000</v>
      </c>
      <c r="H5" s="2" t="s">
        <v>65</v>
      </c>
      <c r="I5" s="2" t="s">
        <v>66</v>
      </c>
      <c r="J5" s="4">
        <v>0.94444444444444453</v>
      </c>
      <c r="K5" s="5">
        <v>0.94861111111111107</v>
      </c>
      <c r="L5" s="4">
        <v>0.54513888888888895</v>
      </c>
      <c r="M5" s="5">
        <v>0.57430555555555551</v>
      </c>
      <c r="N5" s="2" t="s">
        <v>81</v>
      </c>
      <c r="O5" s="2" t="s">
        <v>80</v>
      </c>
      <c r="P5" s="2">
        <v>660</v>
      </c>
      <c r="Q5" s="2">
        <v>778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44683</v>
      </c>
      <c r="B6" s="2" t="s">
        <v>21</v>
      </c>
      <c r="C6" s="2" t="s">
        <v>67</v>
      </c>
      <c r="D6" s="2" t="s">
        <v>22</v>
      </c>
      <c r="E6" s="2" t="s">
        <v>42</v>
      </c>
      <c r="F6" s="2" t="s">
        <v>23</v>
      </c>
      <c r="G6" s="3">
        <v>70000</v>
      </c>
      <c r="H6" s="2" t="s">
        <v>68</v>
      </c>
      <c r="I6" s="2" t="s">
        <v>69</v>
      </c>
      <c r="J6" s="4">
        <v>0.75694444444444453</v>
      </c>
      <c r="K6" s="5">
        <v>0.74791666666666667</v>
      </c>
      <c r="L6" s="4">
        <v>0.63888888888888895</v>
      </c>
      <c r="M6" s="5">
        <v>0.6381944444444444</v>
      </c>
      <c r="N6" s="2" t="s">
        <v>84</v>
      </c>
      <c r="O6" s="2" t="s">
        <v>82</v>
      </c>
      <c r="P6" s="2">
        <v>945</v>
      </c>
      <c r="Q6" s="2">
        <v>377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44683</v>
      </c>
      <c r="B7" s="2" t="s">
        <v>21</v>
      </c>
      <c r="C7" s="2" t="s">
        <v>70</v>
      </c>
      <c r="D7" s="2" t="s">
        <v>22</v>
      </c>
      <c r="E7" s="2" t="s">
        <v>42</v>
      </c>
      <c r="F7" s="2" t="s">
        <v>23</v>
      </c>
      <c r="G7" s="3">
        <v>70000</v>
      </c>
      <c r="H7" s="2" t="s">
        <v>71</v>
      </c>
      <c r="I7" s="2" t="s">
        <v>72</v>
      </c>
      <c r="J7" s="4">
        <v>0.95833333333333337</v>
      </c>
      <c r="K7" s="5">
        <v>0.96597222222222223</v>
      </c>
      <c r="L7" s="4">
        <v>0.77777777777777779</v>
      </c>
      <c r="M7" s="5">
        <v>0.78263888888888899</v>
      </c>
      <c r="N7" s="2" t="s">
        <v>85</v>
      </c>
      <c r="O7" s="2" t="s">
        <v>83</v>
      </c>
      <c r="P7" s="2">
        <v>1079</v>
      </c>
      <c r="Q7" s="2">
        <v>435</v>
      </c>
      <c r="R7" s="2">
        <v>0</v>
      </c>
      <c r="S7" s="2">
        <v>0</v>
      </c>
      <c r="T7" s="2">
        <v>0</v>
      </c>
      <c r="U7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18" sqref="K18"/>
    </sheetView>
  </sheetViews>
  <sheetFormatPr defaultRowHeight="15" x14ac:dyDescent="0.25"/>
  <cols>
    <col min="1" max="1" width="10.140625" style="11" bestFit="1" customWidth="1"/>
    <col min="2" max="2" width="9.140625" style="11"/>
    <col min="3" max="3" width="13.5703125" style="11" bestFit="1" customWidth="1"/>
    <col min="4" max="4" width="8" style="11" customWidth="1"/>
    <col min="5" max="5" width="9.140625" style="11"/>
    <col min="6" max="6" width="13" style="11" customWidth="1"/>
    <col min="7" max="16384" width="9.140625" style="1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44654</v>
      </c>
      <c r="B2" s="2" t="s">
        <v>21</v>
      </c>
      <c r="C2" s="2" t="s">
        <v>24</v>
      </c>
      <c r="D2" s="2" t="s">
        <v>22</v>
      </c>
      <c r="E2" s="2" t="s">
        <v>43</v>
      </c>
      <c r="F2" s="2" t="s">
        <v>23</v>
      </c>
      <c r="G2" s="2">
        <v>70000</v>
      </c>
      <c r="H2" s="2" t="s">
        <v>25</v>
      </c>
      <c r="I2" s="2" t="s">
        <v>26</v>
      </c>
      <c r="J2" s="4">
        <v>0.45833333333333331</v>
      </c>
      <c r="K2" s="5">
        <v>0.43888888888888888</v>
      </c>
      <c r="L2" s="4">
        <v>0.25694444444444448</v>
      </c>
      <c r="M2" s="5">
        <v>0.25486111111111109</v>
      </c>
      <c r="N2" s="2" t="s">
        <v>98</v>
      </c>
      <c r="O2" s="2">
        <v>67</v>
      </c>
      <c r="P2" s="2">
        <v>215</v>
      </c>
      <c r="Q2" s="2">
        <v>328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44654</v>
      </c>
      <c r="B3" s="2" t="s">
        <v>21</v>
      </c>
      <c r="C3" s="2" t="s">
        <v>86</v>
      </c>
      <c r="D3" s="2" t="s">
        <v>22</v>
      </c>
      <c r="E3" s="2" t="s">
        <v>43</v>
      </c>
      <c r="F3" s="2" t="s">
        <v>23</v>
      </c>
      <c r="G3" s="2">
        <v>70000</v>
      </c>
      <c r="H3" s="2" t="s">
        <v>87</v>
      </c>
      <c r="I3" s="2" t="s">
        <v>88</v>
      </c>
      <c r="J3" s="4">
        <v>0.90625</v>
      </c>
      <c r="K3" s="5">
        <v>0.91527777777777775</v>
      </c>
      <c r="L3" s="4">
        <v>0.48958333333333331</v>
      </c>
      <c r="M3" s="5">
        <v>0.49722222222222223</v>
      </c>
      <c r="N3" s="2" t="s">
        <v>106</v>
      </c>
      <c r="O3" s="2" t="s">
        <v>96</v>
      </c>
      <c r="P3" s="2">
        <v>1149</v>
      </c>
      <c r="Q3" s="2">
        <v>1023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44654</v>
      </c>
      <c r="B4" s="2" t="s">
        <v>21</v>
      </c>
      <c r="C4" s="2" t="s">
        <v>89</v>
      </c>
      <c r="D4" s="2" t="s">
        <v>22</v>
      </c>
      <c r="E4" s="2" t="s">
        <v>92</v>
      </c>
      <c r="F4" s="2" t="s">
        <v>23</v>
      </c>
      <c r="G4" s="2">
        <v>70000</v>
      </c>
      <c r="H4" s="2" t="s">
        <v>90</v>
      </c>
      <c r="I4" s="2" t="s">
        <v>91</v>
      </c>
      <c r="J4" s="4">
        <v>0.91319444444444453</v>
      </c>
      <c r="K4" s="5">
        <v>0.95972222222222225</v>
      </c>
      <c r="L4" s="4">
        <v>0.50347222222222221</v>
      </c>
      <c r="M4" s="5">
        <v>0.54722222222222217</v>
      </c>
      <c r="N4" s="2" t="s">
        <v>110</v>
      </c>
      <c r="O4" s="2" t="s">
        <v>97</v>
      </c>
      <c r="P4" s="2">
        <v>879</v>
      </c>
      <c r="Q4" s="2">
        <v>502</v>
      </c>
      <c r="R4" s="2">
        <v>0</v>
      </c>
      <c r="S4" s="2">
        <v>0</v>
      </c>
      <c r="T4" s="2">
        <v>0</v>
      </c>
      <c r="U4" s="2">
        <v>0</v>
      </c>
    </row>
    <row r="5" spans="1:21" s="16" customFormat="1" ht="12.75" x14ac:dyDescent="0.2">
      <c r="A5" s="12">
        <v>44654</v>
      </c>
      <c r="B5" s="2" t="s">
        <v>21</v>
      </c>
      <c r="C5" s="2" t="s">
        <v>93</v>
      </c>
      <c r="D5" s="2" t="s">
        <v>22</v>
      </c>
      <c r="E5" s="2" t="s">
        <v>92</v>
      </c>
      <c r="F5" s="2" t="s">
        <v>94</v>
      </c>
      <c r="G5" s="2">
        <v>70000</v>
      </c>
      <c r="H5" s="2" t="s">
        <v>95</v>
      </c>
      <c r="I5" s="17"/>
      <c r="J5" s="19">
        <v>0.51388888888888895</v>
      </c>
      <c r="K5" s="18">
        <v>0.51458333333333328</v>
      </c>
      <c r="L5" s="17"/>
      <c r="M5" s="17"/>
      <c r="N5" s="17"/>
      <c r="O5" s="17"/>
      <c r="P5" s="17"/>
      <c r="Q5" s="17"/>
      <c r="R5" s="2">
        <v>0</v>
      </c>
      <c r="S5" s="2">
        <v>0</v>
      </c>
      <c r="T5" s="2">
        <v>0</v>
      </c>
      <c r="U5" s="2">
        <v>0</v>
      </c>
    </row>
    <row r="6" spans="1:21" s="16" customFormat="1" ht="12.75" x14ac:dyDescent="0.2">
      <c r="A6" s="15">
        <v>44684</v>
      </c>
      <c r="B6" s="16" t="s">
        <v>99</v>
      </c>
      <c r="C6" s="16" t="s">
        <v>100</v>
      </c>
      <c r="D6" s="16" t="s">
        <v>101</v>
      </c>
      <c r="E6" s="16" t="s">
        <v>102</v>
      </c>
      <c r="F6" s="16" t="s">
        <v>103</v>
      </c>
      <c r="G6" s="16">
        <v>8000</v>
      </c>
      <c r="H6" s="16" t="s">
        <v>104</v>
      </c>
      <c r="I6" s="16" t="s">
        <v>105</v>
      </c>
      <c r="J6" s="19">
        <v>0.65625</v>
      </c>
      <c r="K6" s="18">
        <v>0.65416666666666667</v>
      </c>
      <c r="L6" s="19">
        <v>0.73958333333333337</v>
      </c>
      <c r="M6" s="18">
        <v>0.69444444444444453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</row>
    <row r="7" spans="1:21" s="16" customFormat="1" ht="12.75" x14ac:dyDescent="0.2">
      <c r="A7" s="12">
        <v>44654</v>
      </c>
      <c r="B7" s="2" t="s">
        <v>21</v>
      </c>
      <c r="C7" s="16" t="s">
        <v>107</v>
      </c>
      <c r="D7" s="2" t="s">
        <v>22</v>
      </c>
      <c r="E7" s="2" t="s">
        <v>43</v>
      </c>
      <c r="F7" s="16" t="s">
        <v>108</v>
      </c>
      <c r="G7" s="16">
        <v>70000</v>
      </c>
      <c r="H7" s="17"/>
      <c r="I7" s="16" t="s">
        <v>109</v>
      </c>
      <c r="J7" s="17"/>
      <c r="K7" s="17"/>
      <c r="L7" s="18">
        <v>0.92708333333333337</v>
      </c>
      <c r="M7" s="18">
        <v>0.94791666666666663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I1" workbookViewId="0">
      <selection sqref="A1:U11"/>
    </sheetView>
  </sheetViews>
  <sheetFormatPr defaultRowHeight="15" x14ac:dyDescent="0.25"/>
  <cols>
    <col min="2" max="2" width="10" customWidth="1"/>
    <col min="3" max="3" width="19.42578125" customWidth="1"/>
    <col min="4" max="4" width="7.85546875" customWidth="1"/>
    <col min="6" max="6" width="13.140625" customWidth="1"/>
    <col min="10" max="10" width="10.5703125" customWidth="1"/>
    <col min="14" max="14" width="12.140625" customWidth="1"/>
    <col min="15" max="15" width="12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5">
        <v>44685</v>
      </c>
      <c r="B2" s="16" t="s">
        <v>21</v>
      </c>
      <c r="C2" s="16" t="s">
        <v>56</v>
      </c>
      <c r="D2" s="16" t="s">
        <v>22</v>
      </c>
      <c r="E2" s="16" t="s">
        <v>42</v>
      </c>
      <c r="F2" s="2" t="s">
        <v>23</v>
      </c>
      <c r="G2" s="16">
        <v>70000</v>
      </c>
      <c r="H2" s="16" t="s">
        <v>57</v>
      </c>
      <c r="I2" s="16" t="s">
        <v>58</v>
      </c>
      <c r="J2" s="19">
        <v>0.42708333333333331</v>
      </c>
      <c r="K2" s="18">
        <v>0.41875000000000001</v>
      </c>
      <c r="L2" s="19">
        <v>0.25694444444444448</v>
      </c>
      <c r="M2" s="18">
        <v>0.25694444444444448</v>
      </c>
      <c r="N2" s="16" t="s">
        <v>112</v>
      </c>
      <c r="O2" s="16" t="s">
        <v>111</v>
      </c>
      <c r="P2" s="16">
        <v>708</v>
      </c>
      <c r="Q2" s="16">
        <v>659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5">
        <v>44685</v>
      </c>
      <c r="B3" s="16" t="s">
        <v>21</v>
      </c>
      <c r="C3" s="16" t="s">
        <v>61</v>
      </c>
      <c r="D3" s="16" t="s">
        <v>22</v>
      </c>
      <c r="E3" s="16" t="s">
        <v>42</v>
      </c>
      <c r="F3" s="2" t="s">
        <v>23</v>
      </c>
      <c r="G3" s="16">
        <v>70000</v>
      </c>
      <c r="H3" s="16" t="s">
        <v>62</v>
      </c>
      <c r="I3" s="16" t="s">
        <v>63</v>
      </c>
      <c r="J3" s="19">
        <v>0.59722222222222221</v>
      </c>
      <c r="K3" s="18">
        <v>0.58819444444444446</v>
      </c>
      <c r="L3" s="19">
        <v>0.44791666666666669</v>
      </c>
      <c r="M3" s="18">
        <v>0.45277777777777778</v>
      </c>
      <c r="N3" s="16" t="s">
        <v>115</v>
      </c>
      <c r="O3" s="16" t="s">
        <v>113</v>
      </c>
      <c r="P3" s="16">
        <v>752</v>
      </c>
      <c r="Q3" s="16">
        <v>771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15">
        <v>44685</v>
      </c>
      <c r="B4" s="16" t="s">
        <v>21</v>
      </c>
      <c r="C4" s="16" t="s">
        <v>29</v>
      </c>
      <c r="D4" s="16" t="s">
        <v>22</v>
      </c>
      <c r="E4" s="16" t="s">
        <v>92</v>
      </c>
      <c r="F4" s="2" t="s">
        <v>23</v>
      </c>
      <c r="G4" s="16">
        <v>70000</v>
      </c>
      <c r="H4" s="16" t="s">
        <v>30</v>
      </c>
      <c r="I4" s="16" t="s">
        <v>31</v>
      </c>
      <c r="J4" s="19">
        <v>0.69791666666666663</v>
      </c>
      <c r="K4" s="18">
        <v>0.68819444444444444</v>
      </c>
      <c r="L4" s="19">
        <v>0.54166666666666663</v>
      </c>
      <c r="M4" s="18">
        <v>0.54583333333333328</v>
      </c>
      <c r="N4" s="16" t="s">
        <v>123</v>
      </c>
      <c r="O4" s="16" t="s">
        <v>114</v>
      </c>
      <c r="P4" s="16">
        <v>367</v>
      </c>
      <c r="Q4" s="16">
        <v>436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5">
      <c r="A5" s="15">
        <v>44685</v>
      </c>
      <c r="B5" s="16" t="s">
        <v>21</v>
      </c>
      <c r="C5" s="16" t="s">
        <v>67</v>
      </c>
      <c r="D5" s="16" t="s">
        <v>22</v>
      </c>
      <c r="E5" s="16" t="s">
        <v>42</v>
      </c>
      <c r="F5" s="16" t="s">
        <v>23</v>
      </c>
      <c r="G5" s="16">
        <v>70000</v>
      </c>
      <c r="H5" s="16" t="s">
        <v>68</v>
      </c>
      <c r="I5" s="16" t="s">
        <v>69</v>
      </c>
      <c r="J5" s="19">
        <v>0.74305555555555547</v>
      </c>
      <c r="K5" s="18">
        <v>0.72916666666666663</v>
      </c>
      <c r="L5" s="19">
        <v>0.62847222222222221</v>
      </c>
      <c r="M5" s="18">
        <v>0.61736111111111114</v>
      </c>
      <c r="N5" s="16" t="s">
        <v>124</v>
      </c>
      <c r="O5" s="16" t="s">
        <v>122</v>
      </c>
      <c r="P5" s="16">
        <v>405</v>
      </c>
      <c r="Q5" s="16">
        <v>491</v>
      </c>
      <c r="R5" s="16">
        <v>0</v>
      </c>
      <c r="S5" s="16">
        <v>0</v>
      </c>
      <c r="T5" s="16">
        <v>0</v>
      </c>
      <c r="U5" s="16">
        <v>0</v>
      </c>
    </row>
    <row r="6" spans="1:21" x14ac:dyDescent="0.25">
      <c r="A6" s="15">
        <v>44685</v>
      </c>
      <c r="B6" s="16" t="s">
        <v>21</v>
      </c>
      <c r="C6" s="16" t="s">
        <v>70</v>
      </c>
      <c r="D6" s="16" t="s">
        <v>22</v>
      </c>
      <c r="E6" s="16" t="s">
        <v>92</v>
      </c>
      <c r="F6" s="16" t="s">
        <v>23</v>
      </c>
      <c r="G6" s="16">
        <v>70000</v>
      </c>
      <c r="H6" s="16" t="s">
        <v>71</v>
      </c>
      <c r="I6" s="16" t="s">
        <v>72</v>
      </c>
      <c r="J6" s="19">
        <v>0.89930555555555547</v>
      </c>
      <c r="K6" s="18">
        <v>0.8979166666666667</v>
      </c>
      <c r="L6" s="19">
        <v>0.71875</v>
      </c>
      <c r="M6" s="18">
        <v>0.72222222222222221</v>
      </c>
      <c r="N6" s="16" t="s">
        <v>128</v>
      </c>
      <c r="O6" s="16" t="s">
        <v>125</v>
      </c>
      <c r="P6" s="16">
        <v>463</v>
      </c>
      <c r="Q6" s="16">
        <v>642</v>
      </c>
      <c r="R6" s="16">
        <v>0</v>
      </c>
      <c r="S6" s="16">
        <v>0</v>
      </c>
      <c r="T6" s="16">
        <v>0</v>
      </c>
      <c r="U6" s="16">
        <v>0</v>
      </c>
    </row>
    <row r="7" spans="1:21" x14ac:dyDescent="0.25">
      <c r="A7" s="15">
        <v>44685</v>
      </c>
      <c r="B7" s="16" t="s">
        <v>21</v>
      </c>
      <c r="C7" s="16" t="s">
        <v>64</v>
      </c>
      <c r="D7" s="16" t="s">
        <v>22</v>
      </c>
      <c r="E7" s="16" t="s">
        <v>42</v>
      </c>
      <c r="F7" s="16" t="s">
        <v>23</v>
      </c>
      <c r="G7" s="16">
        <v>70000</v>
      </c>
      <c r="H7" s="16" t="s">
        <v>65</v>
      </c>
      <c r="I7" s="16" t="s">
        <v>66</v>
      </c>
      <c r="J7" s="19">
        <v>0.93055555555555547</v>
      </c>
      <c r="K7" s="18">
        <v>0.91666666666666663</v>
      </c>
      <c r="L7" s="19">
        <v>0.76388888888888884</v>
      </c>
      <c r="M7" s="18">
        <v>0.76388888888888884</v>
      </c>
      <c r="N7" s="16" t="s">
        <v>129</v>
      </c>
      <c r="O7" s="16" t="s">
        <v>126</v>
      </c>
      <c r="P7" s="16">
        <v>585</v>
      </c>
      <c r="Q7" s="16">
        <v>891</v>
      </c>
      <c r="R7" s="16">
        <v>0</v>
      </c>
      <c r="S7" s="16">
        <v>0</v>
      </c>
      <c r="T7" s="16">
        <v>0</v>
      </c>
      <c r="U7" s="16">
        <v>0</v>
      </c>
    </row>
    <row r="8" spans="1:21" x14ac:dyDescent="0.25">
      <c r="A8" s="15">
        <v>44685</v>
      </c>
      <c r="B8" s="2" t="s">
        <v>116</v>
      </c>
      <c r="C8" s="2" t="s">
        <v>127</v>
      </c>
      <c r="D8" s="2" t="s">
        <v>117</v>
      </c>
      <c r="E8" s="2" t="s">
        <v>121</v>
      </c>
      <c r="F8" s="2" t="s">
        <v>118</v>
      </c>
      <c r="G8" s="3">
        <v>2760</v>
      </c>
      <c r="H8" s="2" t="s">
        <v>119</v>
      </c>
      <c r="I8" s="2" t="s">
        <v>119</v>
      </c>
      <c r="J8" s="4">
        <v>0.5625</v>
      </c>
      <c r="K8" s="5">
        <v>0.5625</v>
      </c>
      <c r="L8" s="4">
        <v>0.58333333333333337</v>
      </c>
      <c r="M8" s="5">
        <v>0.59861111111111109</v>
      </c>
      <c r="N8" s="2" t="s">
        <v>120</v>
      </c>
      <c r="O8" s="2" t="s">
        <v>120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sqref="A1:U10"/>
    </sheetView>
  </sheetViews>
  <sheetFormatPr defaultRowHeight="15" x14ac:dyDescent="0.25"/>
  <cols>
    <col min="1" max="1" width="11" customWidth="1"/>
    <col min="2" max="2" width="11.42578125" customWidth="1"/>
    <col min="3" max="3" width="15.85546875" customWidth="1"/>
    <col min="6" max="6" width="18.140625" customWidth="1"/>
    <col min="15" max="15" width="1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44686</v>
      </c>
      <c r="B2" s="2" t="s">
        <v>21</v>
      </c>
      <c r="C2" s="2" t="s">
        <v>24</v>
      </c>
      <c r="D2" s="2" t="s">
        <v>22</v>
      </c>
      <c r="E2" s="2" t="s">
        <v>42</v>
      </c>
      <c r="F2" s="2" t="s">
        <v>23</v>
      </c>
      <c r="G2" s="2">
        <v>70000</v>
      </c>
      <c r="H2" s="2" t="s">
        <v>25</v>
      </c>
      <c r="I2" s="2" t="s">
        <v>26</v>
      </c>
      <c r="J2" s="4">
        <v>0.45833333333333331</v>
      </c>
      <c r="K2" s="5">
        <v>0.44444444444444442</v>
      </c>
      <c r="L2" s="4">
        <v>0.25694444444444448</v>
      </c>
      <c r="M2" s="5">
        <v>0.25625000000000003</v>
      </c>
      <c r="N2" s="2" t="s">
        <v>135</v>
      </c>
      <c r="O2" s="2" t="s">
        <v>133</v>
      </c>
      <c r="P2" s="2">
        <v>400</v>
      </c>
      <c r="Q2" s="2">
        <v>421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44686</v>
      </c>
      <c r="B3" s="2" t="s">
        <v>21</v>
      </c>
      <c r="C3" s="2" t="s">
        <v>36</v>
      </c>
      <c r="D3" s="2" t="s">
        <v>22</v>
      </c>
      <c r="E3" s="2" t="s">
        <v>92</v>
      </c>
      <c r="F3" s="2" t="s">
        <v>23</v>
      </c>
      <c r="G3" s="2">
        <v>70000</v>
      </c>
      <c r="H3" s="2" t="s">
        <v>37</v>
      </c>
      <c r="I3" s="2" t="s">
        <v>38</v>
      </c>
      <c r="J3" s="4">
        <v>0.43402777777777773</v>
      </c>
      <c r="K3" s="5">
        <v>0.41597222222222219</v>
      </c>
      <c r="L3" s="4">
        <v>0.28472222222222221</v>
      </c>
      <c r="M3" s="5">
        <v>0.28611111111111115</v>
      </c>
      <c r="N3" s="2" t="s">
        <v>136</v>
      </c>
      <c r="O3" s="2" t="s">
        <v>134</v>
      </c>
      <c r="P3" s="2">
        <v>290</v>
      </c>
      <c r="Q3" s="2">
        <v>608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44686</v>
      </c>
      <c r="B4" s="2" t="s">
        <v>21</v>
      </c>
      <c r="C4" s="2" t="s">
        <v>130</v>
      </c>
      <c r="D4" s="2" t="s">
        <v>132</v>
      </c>
      <c r="E4" s="2" t="s">
        <v>131</v>
      </c>
      <c r="F4" s="2" t="s">
        <v>23</v>
      </c>
      <c r="G4" s="3">
        <v>70000</v>
      </c>
      <c r="H4" s="2" t="s">
        <v>87</v>
      </c>
      <c r="I4" s="2" t="s">
        <v>88</v>
      </c>
      <c r="J4" s="4">
        <v>0.48958333333333331</v>
      </c>
      <c r="K4" s="5">
        <v>0.46458333333333335</v>
      </c>
      <c r="L4" s="4">
        <v>0.46527777777777773</v>
      </c>
      <c r="M4" s="5">
        <v>0.5</v>
      </c>
      <c r="N4" s="2" t="s">
        <v>137</v>
      </c>
      <c r="O4" s="2" t="s">
        <v>139</v>
      </c>
      <c r="P4" s="2">
        <v>980</v>
      </c>
      <c r="Q4" s="2">
        <v>1067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44686</v>
      </c>
      <c r="B5" s="2" t="s">
        <v>21</v>
      </c>
      <c r="C5" s="2" t="s">
        <v>41</v>
      </c>
      <c r="D5" s="2" t="s">
        <v>22</v>
      </c>
      <c r="E5" s="2" t="s">
        <v>92</v>
      </c>
      <c r="F5" s="2" t="s">
        <v>23</v>
      </c>
      <c r="G5" s="3">
        <v>70000</v>
      </c>
      <c r="H5" s="2" t="s">
        <v>39</v>
      </c>
      <c r="I5" s="2" t="s">
        <v>40</v>
      </c>
      <c r="J5" s="4">
        <v>0.89930555555555547</v>
      </c>
      <c r="K5" s="5">
        <v>0.88958333333333339</v>
      </c>
      <c r="L5" s="4">
        <v>0.47569444444444442</v>
      </c>
      <c r="M5" s="5">
        <v>0.4770833333333333</v>
      </c>
      <c r="N5" s="2" t="s">
        <v>142</v>
      </c>
      <c r="O5" s="2" t="s">
        <v>138</v>
      </c>
      <c r="P5" s="2">
        <v>284</v>
      </c>
      <c r="Q5" s="2">
        <v>328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44686</v>
      </c>
      <c r="B6" s="2" t="s">
        <v>21</v>
      </c>
      <c r="C6" s="6" t="s">
        <v>27</v>
      </c>
      <c r="D6" s="6" t="s">
        <v>22</v>
      </c>
      <c r="E6" s="2" t="s">
        <v>42</v>
      </c>
      <c r="F6" s="6" t="s">
        <v>23</v>
      </c>
      <c r="G6" s="14">
        <v>70000</v>
      </c>
      <c r="H6" s="6" t="s">
        <v>28</v>
      </c>
      <c r="I6" s="6" t="s">
        <v>35</v>
      </c>
      <c r="J6" s="7">
        <v>0.66666666666666663</v>
      </c>
      <c r="K6" s="8">
        <v>0.65416666666666667</v>
      </c>
      <c r="L6" s="7">
        <v>0.51388888888888895</v>
      </c>
      <c r="M6" s="9">
        <v>0.5131944444444444</v>
      </c>
      <c r="N6" s="2" t="s">
        <v>141</v>
      </c>
      <c r="O6" s="2" t="s">
        <v>140</v>
      </c>
      <c r="P6" s="10">
        <v>180</v>
      </c>
      <c r="Q6" s="10">
        <v>417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12">
        <v>44686</v>
      </c>
      <c r="B7" s="2" t="s">
        <v>21</v>
      </c>
      <c r="C7" s="2" t="s">
        <v>32</v>
      </c>
      <c r="D7" s="2" t="s">
        <v>22</v>
      </c>
      <c r="E7" s="2" t="s">
        <v>42</v>
      </c>
      <c r="F7" s="2" t="s">
        <v>23</v>
      </c>
      <c r="G7" s="3">
        <v>70000</v>
      </c>
      <c r="H7" s="2" t="s">
        <v>33</v>
      </c>
      <c r="I7" s="2" t="s">
        <v>34</v>
      </c>
      <c r="J7" s="4">
        <v>0.93055555555555547</v>
      </c>
      <c r="K7" s="5">
        <v>0.91527777777777775</v>
      </c>
      <c r="L7" s="4">
        <v>0.69444444444444453</v>
      </c>
      <c r="M7" s="5">
        <v>0.69027777777777777</v>
      </c>
      <c r="N7" s="2" t="s">
        <v>123</v>
      </c>
      <c r="O7" s="2" t="s">
        <v>82</v>
      </c>
      <c r="P7" s="2">
        <v>557</v>
      </c>
      <c r="Q7" s="2">
        <v>768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A9" sqref="A1:U9"/>
    </sheetView>
  </sheetViews>
  <sheetFormatPr defaultRowHeight="15" x14ac:dyDescent="0.25"/>
  <cols>
    <col min="3" max="3" width="15" customWidth="1"/>
    <col min="4" max="4" width="7.42578125" customWidth="1"/>
    <col min="5" max="5" width="12" bestFit="1" customWidth="1"/>
    <col min="6" max="6" width="13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44687</v>
      </c>
      <c r="B2" s="2" t="s">
        <v>21</v>
      </c>
      <c r="C2" s="2" t="s">
        <v>56</v>
      </c>
      <c r="D2" s="2" t="s">
        <v>22</v>
      </c>
      <c r="E2" s="2" t="s">
        <v>92</v>
      </c>
      <c r="F2" s="2" t="s">
        <v>23</v>
      </c>
      <c r="G2" s="3">
        <v>70000</v>
      </c>
      <c r="H2" s="2" t="s">
        <v>57</v>
      </c>
      <c r="I2" s="2" t="s">
        <v>58</v>
      </c>
      <c r="J2" s="4">
        <v>0.4375</v>
      </c>
      <c r="K2" s="5">
        <v>0.43194444444444446</v>
      </c>
      <c r="L2" s="4">
        <v>0.25694444444444448</v>
      </c>
      <c r="M2" s="5">
        <v>0.26180555555555557</v>
      </c>
      <c r="N2" s="2" t="s">
        <v>151</v>
      </c>
      <c r="O2" s="2" t="s">
        <v>149</v>
      </c>
      <c r="P2" s="2">
        <v>876</v>
      </c>
      <c r="Q2" s="2">
        <v>953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44687</v>
      </c>
      <c r="B3" s="2" t="s">
        <v>21</v>
      </c>
      <c r="C3" s="6" t="s">
        <v>143</v>
      </c>
      <c r="D3" s="2" t="s">
        <v>22</v>
      </c>
      <c r="E3" s="2" t="s">
        <v>42</v>
      </c>
      <c r="F3" s="2" t="s">
        <v>23</v>
      </c>
      <c r="G3" s="3">
        <v>70000</v>
      </c>
      <c r="H3" s="6" t="s">
        <v>59</v>
      </c>
      <c r="I3" s="6" t="s">
        <v>60</v>
      </c>
      <c r="J3" s="7">
        <v>0.51388888888888895</v>
      </c>
      <c r="K3" s="8">
        <v>0.50694444444444442</v>
      </c>
      <c r="L3" s="7">
        <v>0.28125</v>
      </c>
      <c r="M3" s="9">
        <v>0.28680555555555554</v>
      </c>
      <c r="N3" s="2" t="s">
        <v>152</v>
      </c>
      <c r="O3" s="2" t="s">
        <v>150</v>
      </c>
      <c r="P3" s="10">
        <v>499</v>
      </c>
      <c r="Q3" s="10">
        <v>627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44687</v>
      </c>
      <c r="B4" s="2" t="s">
        <v>21</v>
      </c>
      <c r="C4" s="2" t="s">
        <v>61</v>
      </c>
      <c r="D4" s="2" t="s">
        <v>22</v>
      </c>
      <c r="E4" s="2" t="s">
        <v>92</v>
      </c>
      <c r="F4" s="2" t="s">
        <v>23</v>
      </c>
      <c r="G4" s="3">
        <v>70000</v>
      </c>
      <c r="H4" s="2" t="s">
        <v>62</v>
      </c>
      <c r="I4" s="2" t="s">
        <v>63</v>
      </c>
      <c r="J4" s="4">
        <v>0.60763888888888895</v>
      </c>
      <c r="K4" s="5">
        <v>0.60416666666666663</v>
      </c>
      <c r="L4" s="4">
        <v>0.45833333333333331</v>
      </c>
      <c r="M4" s="5">
        <v>0.46736111111111112</v>
      </c>
      <c r="N4" s="2" t="s">
        <v>154</v>
      </c>
      <c r="O4" s="2" t="s">
        <v>153</v>
      </c>
      <c r="P4" s="2">
        <v>560</v>
      </c>
      <c r="Q4" s="2">
        <v>938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44687</v>
      </c>
      <c r="B5" s="2" t="s">
        <v>21</v>
      </c>
      <c r="C5" s="2" t="s">
        <v>67</v>
      </c>
      <c r="D5" s="2" t="s">
        <v>22</v>
      </c>
      <c r="E5" s="2" t="s">
        <v>92</v>
      </c>
      <c r="F5" s="2" t="s">
        <v>23</v>
      </c>
      <c r="G5" s="3">
        <v>70000</v>
      </c>
      <c r="H5" s="2" t="s">
        <v>68</v>
      </c>
      <c r="I5" s="2" t="s">
        <v>69</v>
      </c>
      <c r="J5" s="4">
        <v>0.75347222222222221</v>
      </c>
      <c r="K5" s="5">
        <v>0.75069444444444444</v>
      </c>
      <c r="L5" s="4">
        <v>0.63888888888888895</v>
      </c>
      <c r="M5" s="5">
        <v>0.64583333333333337</v>
      </c>
      <c r="N5" s="2" t="s">
        <v>158</v>
      </c>
      <c r="O5" s="2" t="s">
        <v>155</v>
      </c>
      <c r="P5" s="2">
        <v>636</v>
      </c>
      <c r="Q5" s="2">
        <v>647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44687</v>
      </c>
      <c r="B6" s="2" t="s">
        <v>21</v>
      </c>
      <c r="C6" s="2" t="s">
        <v>70</v>
      </c>
      <c r="D6" s="2" t="s">
        <v>22</v>
      </c>
      <c r="E6" s="2" t="s">
        <v>92</v>
      </c>
      <c r="F6" s="2" t="s">
        <v>23</v>
      </c>
      <c r="G6" s="3">
        <v>70000</v>
      </c>
      <c r="H6" s="2" t="s">
        <v>71</v>
      </c>
      <c r="I6" s="2" t="s">
        <v>72</v>
      </c>
      <c r="J6" s="4">
        <v>0.95486111111111116</v>
      </c>
      <c r="K6" s="5">
        <v>0.96250000000000002</v>
      </c>
      <c r="L6" s="4">
        <v>0.77430555555555547</v>
      </c>
      <c r="M6" s="5">
        <v>0.7895833333333333</v>
      </c>
      <c r="N6" s="2" t="s">
        <v>159</v>
      </c>
      <c r="O6" s="2" t="s">
        <v>156</v>
      </c>
      <c r="P6" s="2">
        <v>704</v>
      </c>
      <c r="Q6" s="2">
        <v>1003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44687</v>
      </c>
      <c r="B7" s="2" t="s">
        <v>21</v>
      </c>
      <c r="C7" s="2" t="s">
        <v>64</v>
      </c>
      <c r="D7" s="2" t="s">
        <v>22</v>
      </c>
      <c r="E7" s="2" t="s">
        <v>144</v>
      </c>
      <c r="F7" s="2" t="s">
        <v>23</v>
      </c>
      <c r="G7" s="3">
        <v>70000</v>
      </c>
      <c r="H7" s="2" t="s">
        <v>65</v>
      </c>
      <c r="I7" s="2" t="s">
        <v>66</v>
      </c>
      <c r="J7" s="4">
        <v>0.94097222222222221</v>
      </c>
      <c r="K7" s="5">
        <v>0.9375</v>
      </c>
      <c r="L7" s="4">
        <v>0.77430555555555547</v>
      </c>
      <c r="M7" s="5">
        <v>0.78541666666666676</v>
      </c>
      <c r="N7" s="2" t="s">
        <v>160</v>
      </c>
      <c r="O7" s="2" t="s">
        <v>157</v>
      </c>
      <c r="P7" s="2">
        <v>876</v>
      </c>
      <c r="Q7" s="2">
        <v>737</v>
      </c>
      <c r="R7" s="2">
        <v>0</v>
      </c>
      <c r="S7" s="2">
        <v>0</v>
      </c>
      <c r="T7" s="2">
        <v>0</v>
      </c>
      <c r="U7" s="2">
        <v>0</v>
      </c>
    </row>
    <row r="8" spans="1:21" s="16" customFormat="1" ht="12.75" x14ac:dyDescent="0.2">
      <c r="A8" s="15">
        <v>44687</v>
      </c>
      <c r="B8" s="2" t="s">
        <v>21</v>
      </c>
      <c r="C8" s="16" t="s">
        <v>100</v>
      </c>
      <c r="D8" s="2" t="s">
        <v>22</v>
      </c>
      <c r="E8" s="16" t="s">
        <v>145</v>
      </c>
      <c r="F8" s="16" t="s">
        <v>146</v>
      </c>
      <c r="G8" s="3">
        <v>70000</v>
      </c>
      <c r="H8" s="16" t="s">
        <v>147</v>
      </c>
      <c r="I8" s="16" t="s">
        <v>148</v>
      </c>
      <c r="J8" s="19">
        <v>0.55208333333333337</v>
      </c>
      <c r="K8" s="18">
        <v>0.59444444444444444</v>
      </c>
      <c r="L8" s="19">
        <v>0.57291666666666663</v>
      </c>
      <c r="M8" s="18">
        <v>0.62638888888888888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</row>
    <row r="12" spans="1:21" x14ac:dyDescent="0.25">
      <c r="A12" s="12"/>
      <c r="B12" s="2"/>
      <c r="C12" s="2"/>
      <c r="D12" s="2"/>
      <c r="E12" s="2"/>
      <c r="F12" s="2"/>
      <c r="G12" s="3"/>
      <c r="H12" s="2"/>
      <c r="I12" s="2"/>
      <c r="J12" s="4"/>
      <c r="K12" s="5"/>
      <c r="L12" s="4"/>
      <c r="M12" s="5"/>
      <c r="N12" s="2"/>
      <c r="O12" s="2"/>
      <c r="P12" s="2"/>
      <c r="Q12" s="2"/>
      <c r="R12" s="2"/>
      <c r="S12" s="2"/>
      <c r="T12" s="2"/>
      <c r="U12" s="2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D1" workbookViewId="0">
      <selection sqref="A1:U7"/>
    </sheetView>
  </sheetViews>
  <sheetFormatPr defaultRowHeight="15" x14ac:dyDescent="0.25"/>
  <cols>
    <col min="1" max="1" width="10.140625" bestFit="1" customWidth="1"/>
    <col min="2" max="2" width="12.140625" customWidth="1"/>
    <col min="3" max="3" width="17.42578125" customWidth="1"/>
    <col min="4" max="4" width="5.7109375" bestFit="1" customWidth="1"/>
    <col min="6" max="6" width="12" customWidth="1"/>
    <col min="7" max="7" width="9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44688</v>
      </c>
      <c r="B2" s="2" t="s">
        <v>21</v>
      </c>
      <c r="C2" s="2" t="s">
        <v>161</v>
      </c>
      <c r="D2" s="2" t="s">
        <v>22</v>
      </c>
      <c r="E2" s="22" t="s">
        <v>92</v>
      </c>
      <c r="F2" s="22" t="s">
        <v>23</v>
      </c>
      <c r="G2" s="23">
        <v>70000</v>
      </c>
      <c r="H2" s="22" t="s">
        <v>162</v>
      </c>
      <c r="I2" s="22" t="s">
        <v>163</v>
      </c>
      <c r="J2" s="19">
        <v>0.47222222222222227</v>
      </c>
      <c r="K2" s="18">
        <v>0.4770833333333333</v>
      </c>
      <c r="L2" s="19">
        <v>0.28125</v>
      </c>
      <c r="M2" s="18">
        <v>0.28888888888888892</v>
      </c>
      <c r="N2" s="22" t="s">
        <v>165</v>
      </c>
      <c r="O2" s="22" t="s">
        <v>164</v>
      </c>
      <c r="P2" s="24">
        <v>1084</v>
      </c>
      <c r="Q2" s="16">
        <v>1078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21">
        <v>44688</v>
      </c>
      <c r="B3" s="2" t="s">
        <v>21</v>
      </c>
      <c r="C3" s="16" t="s">
        <v>86</v>
      </c>
      <c r="D3" s="16" t="s">
        <v>22</v>
      </c>
      <c r="E3" s="22" t="s">
        <v>145</v>
      </c>
      <c r="F3" s="22" t="s">
        <v>23</v>
      </c>
      <c r="G3" s="25">
        <v>70000</v>
      </c>
      <c r="H3" s="22" t="s">
        <v>87</v>
      </c>
      <c r="I3" s="22" t="s">
        <v>88</v>
      </c>
      <c r="J3" s="19">
        <v>0.90625</v>
      </c>
      <c r="K3" s="5">
        <v>0.9291666666666667</v>
      </c>
      <c r="L3" s="4">
        <v>0.48958333333333331</v>
      </c>
      <c r="M3" s="5">
        <v>0.50486111111111109</v>
      </c>
      <c r="N3" s="2" t="s">
        <v>168</v>
      </c>
      <c r="O3" s="2" t="s">
        <v>166</v>
      </c>
      <c r="P3" s="2">
        <v>570</v>
      </c>
      <c r="Q3" s="16">
        <v>1164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21">
        <v>44688</v>
      </c>
      <c r="B4" s="2" t="s">
        <v>21</v>
      </c>
      <c r="C4" s="26" t="s">
        <v>89</v>
      </c>
      <c r="D4" s="16" t="s">
        <v>22</v>
      </c>
      <c r="E4" s="22" t="s">
        <v>92</v>
      </c>
      <c r="F4" s="22" t="s">
        <v>23</v>
      </c>
      <c r="G4" s="25">
        <v>70000</v>
      </c>
      <c r="H4" s="22" t="s">
        <v>90</v>
      </c>
      <c r="I4" s="22" t="s">
        <v>91</v>
      </c>
      <c r="J4" s="19">
        <v>0.91319444444444453</v>
      </c>
      <c r="K4" s="5">
        <v>0.89930555555555547</v>
      </c>
      <c r="L4" s="4">
        <v>0.50347222222222221</v>
      </c>
      <c r="M4" s="5">
        <v>0.5131944444444444</v>
      </c>
      <c r="N4" s="2" t="s">
        <v>169</v>
      </c>
      <c r="O4" s="2" t="s">
        <v>167</v>
      </c>
      <c r="P4" s="2">
        <v>980</v>
      </c>
      <c r="Q4" s="16">
        <v>953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5">
      <c r="B5" s="2"/>
      <c r="D5" s="11"/>
      <c r="Q5" s="11"/>
    </row>
    <row r="6" spans="1:21" x14ac:dyDescent="0.25">
      <c r="B6" s="2"/>
    </row>
    <row r="7" spans="1:21" x14ac:dyDescent="0.25">
      <c r="B7" s="2"/>
    </row>
    <row r="8" spans="1:21" x14ac:dyDescent="0.25">
      <c r="B8" s="2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sqref="A1:XFD1048576"/>
    </sheetView>
  </sheetViews>
  <sheetFormatPr defaultRowHeight="15" x14ac:dyDescent="0.25"/>
  <cols>
    <col min="3" max="3" width="14.28515625" customWidth="1"/>
    <col min="4" max="4" width="7.5703125" customWidth="1"/>
    <col min="5" max="5" width="15.85546875" customWidth="1"/>
    <col min="6" max="6" width="12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44689</v>
      </c>
      <c r="B2" s="6" t="s">
        <v>21</v>
      </c>
      <c r="C2" s="2" t="s">
        <v>24</v>
      </c>
      <c r="D2" s="2" t="s">
        <v>22</v>
      </c>
      <c r="E2" s="2" t="s">
        <v>171</v>
      </c>
      <c r="F2" s="2" t="s">
        <v>23</v>
      </c>
      <c r="G2" s="2">
        <v>70000</v>
      </c>
      <c r="H2" s="2" t="s">
        <v>25</v>
      </c>
      <c r="I2" s="2" t="s">
        <v>26</v>
      </c>
      <c r="J2" s="4">
        <v>0.45833333333333331</v>
      </c>
      <c r="K2" s="5">
        <v>0.45</v>
      </c>
      <c r="L2" s="4">
        <v>0.25694444444444448</v>
      </c>
      <c r="M2" s="5">
        <v>0.25833333333333336</v>
      </c>
      <c r="N2" s="2" t="s">
        <v>174</v>
      </c>
      <c r="O2" s="2" t="s">
        <v>169</v>
      </c>
      <c r="P2" s="2">
        <v>557</v>
      </c>
      <c r="Q2" s="2">
        <v>963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44689</v>
      </c>
      <c r="B3" s="2" t="s">
        <v>21</v>
      </c>
      <c r="C3" s="2" t="s">
        <v>36</v>
      </c>
      <c r="D3" s="2" t="s">
        <v>22</v>
      </c>
      <c r="E3" s="2" t="s">
        <v>42</v>
      </c>
      <c r="F3" s="2" t="s">
        <v>23</v>
      </c>
      <c r="G3" s="2">
        <v>70000</v>
      </c>
      <c r="H3" s="2" t="s">
        <v>37</v>
      </c>
      <c r="I3" s="2" t="s">
        <v>38</v>
      </c>
      <c r="J3" s="4">
        <v>0.43402777777777773</v>
      </c>
      <c r="K3" s="5">
        <v>0.42291666666666666</v>
      </c>
      <c r="L3" s="4">
        <v>0.28472222222222221</v>
      </c>
      <c r="M3" s="5">
        <v>0.28958333333333336</v>
      </c>
      <c r="N3" s="2" t="s">
        <v>173</v>
      </c>
      <c r="O3" s="2" t="s">
        <v>172</v>
      </c>
      <c r="P3" s="2">
        <v>504</v>
      </c>
      <c r="Q3" s="2">
        <v>583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44689</v>
      </c>
      <c r="B4" s="6" t="s">
        <v>21</v>
      </c>
      <c r="C4" s="6" t="s">
        <v>27</v>
      </c>
      <c r="D4" s="6" t="s">
        <v>22</v>
      </c>
      <c r="E4" s="2" t="s">
        <v>42</v>
      </c>
      <c r="F4" s="6" t="s">
        <v>23</v>
      </c>
      <c r="G4" s="14">
        <v>70000</v>
      </c>
      <c r="H4" s="6" t="s">
        <v>28</v>
      </c>
      <c r="I4" s="6" t="s">
        <v>35</v>
      </c>
      <c r="J4" s="7">
        <v>0.61805555555555558</v>
      </c>
      <c r="K4" s="8">
        <v>0.60555555555555551</v>
      </c>
      <c r="L4" s="7">
        <v>0.46527777777777773</v>
      </c>
      <c r="M4" s="9">
        <v>0.46249999999999997</v>
      </c>
      <c r="N4" s="2" t="s">
        <v>177</v>
      </c>
      <c r="O4" s="2" t="s">
        <v>175</v>
      </c>
      <c r="P4" s="10">
        <v>332</v>
      </c>
      <c r="Q4" s="10">
        <v>303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44689</v>
      </c>
      <c r="B5" s="2" t="s">
        <v>21</v>
      </c>
      <c r="C5" s="2" t="s">
        <v>29</v>
      </c>
      <c r="D5" s="2" t="s">
        <v>22</v>
      </c>
      <c r="E5" s="2" t="s">
        <v>170</v>
      </c>
      <c r="F5" s="2" t="s">
        <v>23</v>
      </c>
      <c r="G5" s="3">
        <v>70000</v>
      </c>
      <c r="H5" s="2" t="s">
        <v>30</v>
      </c>
      <c r="I5" s="2" t="s">
        <v>31</v>
      </c>
      <c r="J5" s="4">
        <v>0.64583333333333337</v>
      </c>
      <c r="K5" s="5">
        <v>0.65208333333333335</v>
      </c>
      <c r="L5" s="4">
        <v>0.48958333333333331</v>
      </c>
      <c r="M5" s="5">
        <v>0.48541666666666666</v>
      </c>
      <c r="N5" s="2" t="s">
        <v>178</v>
      </c>
      <c r="O5" s="2" t="s">
        <v>176</v>
      </c>
      <c r="P5" s="2">
        <v>399</v>
      </c>
      <c r="Q5" s="2">
        <v>550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44689</v>
      </c>
      <c r="B6" s="2" t="s">
        <v>21</v>
      </c>
      <c r="C6" s="2" t="s">
        <v>41</v>
      </c>
      <c r="D6" s="2" t="s">
        <v>22</v>
      </c>
      <c r="E6" s="2" t="s">
        <v>42</v>
      </c>
      <c r="F6" s="2" t="s">
        <v>23</v>
      </c>
      <c r="G6" s="3">
        <v>70000</v>
      </c>
      <c r="H6" s="2" t="s">
        <v>39</v>
      </c>
      <c r="I6" s="2" t="s">
        <v>40</v>
      </c>
      <c r="J6" s="4">
        <v>0.85763888888888884</v>
      </c>
      <c r="K6" s="5">
        <v>0.84652777777777777</v>
      </c>
      <c r="L6" s="4">
        <v>0.63888888888888895</v>
      </c>
      <c r="M6" s="5">
        <v>0.64027777777777783</v>
      </c>
      <c r="N6" s="2" t="s">
        <v>180</v>
      </c>
      <c r="O6" s="2" t="s">
        <v>179</v>
      </c>
      <c r="P6" s="2">
        <v>236</v>
      </c>
      <c r="Q6" s="2">
        <v>632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44689</v>
      </c>
      <c r="B7" s="2" t="s">
        <v>21</v>
      </c>
      <c r="C7" s="2" t="s">
        <v>32</v>
      </c>
      <c r="D7" s="2" t="s">
        <v>22</v>
      </c>
      <c r="E7" s="2" t="s">
        <v>170</v>
      </c>
      <c r="F7" s="2" t="s">
        <v>23</v>
      </c>
      <c r="G7" s="3">
        <v>70000</v>
      </c>
      <c r="H7" s="2" t="s">
        <v>33</v>
      </c>
      <c r="I7" s="2" t="s">
        <v>34</v>
      </c>
      <c r="J7" s="4">
        <v>0.90277777777777779</v>
      </c>
      <c r="K7" s="5">
        <v>0.90347222222222223</v>
      </c>
      <c r="L7" s="4">
        <v>0.66666666666666663</v>
      </c>
      <c r="M7" s="5">
        <v>0.68263888888888891</v>
      </c>
      <c r="N7" s="2" t="s">
        <v>123</v>
      </c>
      <c r="O7" s="2" t="s">
        <v>137</v>
      </c>
      <c r="P7" s="2">
        <v>712</v>
      </c>
      <c r="Q7" s="2">
        <v>877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workbookViewId="0">
      <selection sqref="A1:Y8"/>
    </sheetView>
  </sheetViews>
  <sheetFormatPr defaultRowHeight="15" x14ac:dyDescent="0.25"/>
  <cols>
    <col min="1" max="1" width="15.42578125" bestFit="1" customWidth="1"/>
    <col min="2" max="2" width="24.140625" customWidth="1"/>
    <col min="3" max="3" width="14.42578125" customWidth="1"/>
    <col min="4" max="4" width="7.7109375" customWidth="1"/>
    <col min="5" max="5" width="10.7109375" customWidth="1"/>
    <col min="6" max="6" width="20.140625" customWidth="1"/>
    <col min="7" max="7" width="9.85546875" bestFit="1" customWidth="1"/>
    <col min="9" max="9" width="8.5703125" customWidth="1"/>
    <col min="10" max="10" width="7.7109375" customWidth="1"/>
    <col min="12" max="12" width="7.42578125" customWidth="1"/>
    <col min="13" max="13" width="9.28515625" bestFit="1" customWidth="1"/>
    <col min="17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44690</v>
      </c>
      <c r="B2" s="2" t="s">
        <v>21</v>
      </c>
      <c r="C2" s="2" t="s">
        <v>56</v>
      </c>
      <c r="D2" s="2" t="s">
        <v>22</v>
      </c>
      <c r="E2" s="2" t="s">
        <v>170</v>
      </c>
      <c r="F2" s="2" t="s">
        <v>23</v>
      </c>
      <c r="G2" s="3">
        <v>70000</v>
      </c>
      <c r="H2" s="2" t="s">
        <v>57</v>
      </c>
      <c r="I2" s="2" t="s">
        <v>58</v>
      </c>
      <c r="J2" s="4">
        <v>0.4375</v>
      </c>
      <c r="K2" s="5">
        <v>0.42430555555555555</v>
      </c>
      <c r="L2" s="4">
        <v>0.25694444444444448</v>
      </c>
      <c r="M2" s="5">
        <v>0.25694444444444448</v>
      </c>
      <c r="N2" s="2" t="s">
        <v>189</v>
      </c>
      <c r="O2" s="2" t="s">
        <v>181</v>
      </c>
      <c r="P2" s="2">
        <v>910</v>
      </c>
      <c r="Q2" s="2">
        <v>780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44690</v>
      </c>
      <c r="B3" s="2" t="s">
        <v>21</v>
      </c>
      <c r="C3" s="6" t="s">
        <v>143</v>
      </c>
      <c r="D3" s="2" t="s">
        <v>22</v>
      </c>
      <c r="E3" s="2" t="s">
        <v>42</v>
      </c>
      <c r="F3" s="2" t="s">
        <v>23</v>
      </c>
      <c r="G3" s="3">
        <v>70000</v>
      </c>
      <c r="H3" s="6" t="s">
        <v>59</v>
      </c>
      <c r="I3" s="6" t="s">
        <v>60</v>
      </c>
      <c r="J3" s="7">
        <v>0.51388888888888895</v>
      </c>
      <c r="K3" s="8">
        <v>0.49791666666666662</v>
      </c>
      <c r="L3" s="7">
        <v>0.28125</v>
      </c>
      <c r="M3" s="9">
        <v>0.28333333333333333</v>
      </c>
      <c r="N3" s="2" t="s">
        <v>190</v>
      </c>
      <c r="O3" s="2" t="s">
        <v>182</v>
      </c>
      <c r="P3" s="10">
        <v>691</v>
      </c>
      <c r="Q3" s="10">
        <v>618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44690</v>
      </c>
      <c r="B4" s="2" t="s">
        <v>21</v>
      </c>
      <c r="C4" s="2" t="s">
        <v>61</v>
      </c>
      <c r="D4" s="2" t="s">
        <v>22</v>
      </c>
      <c r="E4" s="2" t="s">
        <v>170</v>
      </c>
      <c r="F4" s="2" t="s">
        <v>23</v>
      </c>
      <c r="G4" s="3">
        <v>70000</v>
      </c>
      <c r="H4" s="2" t="s">
        <v>62</v>
      </c>
      <c r="I4" s="2" t="s">
        <v>63</v>
      </c>
      <c r="J4" s="4">
        <v>0.60763888888888895</v>
      </c>
      <c r="K4" s="5">
        <v>0.59652777777777777</v>
      </c>
      <c r="L4" s="4">
        <v>0.45833333333333331</v>
      </c>
      <c r="M4" s="5">
        <v>0.45833333333333331</v>
      </c>
      <c r="N4" s="2" t="s">
        <v>191</v>
      </c>
      <c r="O4" s="2" t="s">
        <v>78</v>
      </c>
      <c r="P4" s="2">
        <v>547</v>
      </c>
      <c r="Q4" s="2">
        <v>687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44690</v>
      </c>
      <c r="B5" s="2" t="s">
        <v>21</v>
      </c>
      <c r="C5" s="2" t="s">
        <v>67</v>
      </c>
      <c r="D5" s="2" t="s">
        <v>22</v>
      </c>
      <c r="E5" s="2" t="s">
        <v>42</v>
      </c>
      <c r="F5" s="2" t="s">
        <v>23</v>
      </c>
      <c r="G5" s="3">
        <v>70000</v>
      </c>
      <c r="H5" s="2" t="s">
        <v>68</v>
      </c>
      <c r="I5" s="2" t="s">
        <v>69</v>
      </c>
      <c r="J5" s="4">
        <v>0.75694444444444453</v>
      </c>
      <c r="K5" s="5">
        <v>0.74513888888888891</v>
      </c>
      <c r="L5" s="4">
        <v>0.63888888888888895</v>
      </c>
      <c r="M5" s="5">
        <v>0.6</v>
      </c>
      <c r="N5" s="2" t="s">
        <v>193</v>
      </c>
      <c r="O5" s="2" t="s">
        <v>192</v>
      </c>
      <c r="P5" s="2">
        <v>491</v>
      </c>
      <c r="Q5" s="2">
        <v>592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44690</v>
      </c>
      <c r="B6" s="2" t="s">
        <v>21</v>
      </c>
      <c r="C6" s="2" t="s">
        <v>64</v>
      </c>
      <c r="D6" s="2" t="s">
        <v>22</v>
      </c>
      <c r="E6" s="2" t="s">
        <v>170</v>
      </c>
      <c r="F6" s="2" t="s">
        <v>23</v>
      </c>
      <c r="G6" s="3">
        <v>70000</v>
      </c>
      <c r="H6" s="2" t="s">
        <v>65</v>
      </c>
      <c r="I6" s="2" t="s">
        <v>66</v>
      </c>
      <c r="J6" s="4">
        <v>0.94097222222222221</v>
      </c>
      <c r="K6" s="5">
        <v>0.93888888888888899</v>
      </c>
      <c r="L6" s="4">
        <v>0.77430555555555547</v>
      </c>
      <c r="M6" s="5">
        <v>0.7895833333333333</v>
      </c>
      <c r="N6" s="2" t="s">
        <v>73</v>
      </c>
      <c r="O6" s="2" t="s">
        <v>194</v>
      </c>
      <c r="P6" s="2">
        <v>759</v>
      </c>
      <c r="Q6" s="2">
        <v>1078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44690</v>
      </c>
      <c r="B7" s="2" t="s">
        <v>21</v>
      </c>
      <c r="C7" s="2" t="s">
        <v>70</v>
      </c>
      <c r="D7" s="2" t="s">
        <v>22</v>
      </c>
      <c r="E7" s="2" t="s">
        <v>42</v>
      </c>
      <c r="F7" s="2" t="s">
        <v>23</v>
      </c>
      <c r="G7" s="3">
        <v>70000</v>
      </c>
      <c r="H7" s="2" t="s">
        <v>71</v>
      </c>
      <c r="I7" s="2" t="s">
        <v>72</v>
      </c>
      <c r="J7" s="4">
        <v>0.95833333333333337</v>
      </c>
      <c r="K7" s="5">
        <v>0.98749999999999993</v>
      </c>
      <c r="L7" s="4">
        <v>0.77777777777777779</v>
      </c>
      <c r="M7" s="5">
        <v>0.78472222222222221</v>
      </c>
      <c r="N7" s="2" t="s">
        <v>196</v>
      </c>
      <c r="O7" s="2" t="s">
        <v>195</v>
      </c>
      <c r="P7" s="2">
        <v>535</v>
      </c>
      <c r="Q7" s="2">
        <v>829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12">
        <v>44690</v>
      </c>
      <c r="B8" s="2" t="s">
        <v>183</v>
      </c>
      <c r="C8" s="2" t="s">
        <v>184</v>
      </c>
      <c r="D8" s="2" t="s">
        <v>185</v>
      </c>
      <c r="E8" s="2" t="s">
        <v>186</v>
      </c>
      <c r="F8" s="2" t="s">
        <v>187</v>
      </c>
      <c r="G8" s="3">
        <v>5670</v>
      </c>
      <c r="H8" s="2" t="s">
        <v>188</v>
      </c>
      <c r="I8" s="2" t="s">
        <v>188</v>
      </c>
      <c r="J8" s="4">
        <v>0.47916666666666669</v>
      </c>
      <c r="K8" s="5">
        <v>0.45</v>
      </c>
      <c r="L8" s="4">
        <v>0.70833333333333337</v>
      </c>
      <c r="M8" s="5">
        <v>0.61736111111111114</v>
      </c>
      <c r="N8" s="2">
        <v>2</v>
      </c>
      <c r="O8" s="2">
        <v>2</v>
      </c>
      <c r="P8" s="2" t="s">
        <v>119</v>
      </c>
      <c r="Q8" s="2" t="s">
        <v>119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12"/>
      <c r="B11" s="2"/>
      <c r="C11" s="2"/>
      <c r="D11" s="2"/>
      <c r="E11" s="2"/>
      <c r="F11" s="2"/>
      <c r="G11" s="3"/>
      <c r="H11" s="2"/>
      <c r="I11" s="2"/>
      <c r="J11" s="4"/>
      <c r="K11" s="5"/>
      <c r="L11" s="4"/>
      <c r="M11" s="5"/>
      <c r="N11" s="2"/>
      <c r="O11" s="2"/>
      <c r="P11" s="2"/>
      <c r="Q11" s="2"/>
      <c r="R11" s="2"/>
      <c r="S11" s="2"/>
      <c r="T11" s="2"/>
      <c r="U11" s="2"/>
    </row>
    <row r="15" spans="1:21" x14ac:dyDescent="0.25">
      <c r="A15" s="12"/>
    </row>
    <row r="16" spans="1:21" x14ac:dyDescent="0.25">
      <c r="A16" s="12"/>
    </row>
    <row r="17" spans="1:1" x14ac:dyDescent="0.25">
      <c r="A17" s="12"/>
    </row>
    <row r="18" spans="1:1" x14ac:dyDescent="0.25">
      <c r="A18" s="12"/>
    </row>
    <row r="19" spans="1:1" x14ac:dyDescent="0.25">
      <c r="A19" s="12"/>
    </row>
    <row r="20" spans="1:1" x14ac:dyDescent="0.25">
      <c r="A20" s="12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A2" sqref="A2:XFD6"/>
    </sheetView>
  </sheetViews>
  <sheetFormatPr defaultRowHeight="12.75" x14ac:dyDescent="0.2"/>
  <cols>
    <col min="1" max="1" width="10.140625" style="16" bestFit="1" customWidth="1"/>
    <col min="2" max="2" width="12.140625" style="16" customWidth="1"/>
    <col min="3" max="3" width="17.42578125" style="16" customWidth="1"/>
    <col min="4" max="4" width="5.7109375" style="16" bestFit="1" customWidth="1"/>
    <col min="5" max="5" width="9.140625" style="16"/>
    <col min="6" max="6" width="21" style="16" bestFit="1" customWidth="1"/>
    <col min="7" max="7" width="9.7109375" style="16" bestFit="1" customWidth="1"/>
    <col min="8" max="14" width="9.140625" style="16"/>
    <col min="15" max="15" width="10.7109375" style="16" customWidth="1"/>
    <col min="16" max="16384" width="9.140625" style="16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7">
        <v>44691</v>
      </c>
      <c r="B2" s="1" t="s">
        <v>21</v>
      </c>
      <c r="C2" s="1" t="s">
        <v>24</v>
      </c>
      <c r="D2" s="1" t="s">
        <v>22</v>
      </c>
      <c r="E2" s="1" t="s">
        <v>170</v>
      </c>
      <c r="F2" s="1" t="s">
        <v>23</v>
      </c>
      <c r="G2" s="28">
        <v>70000</v>
      </c>
      <c r="H2" s="29" t="s">
        <v>25</v>
      </c>
      <c r="I2" s="29" t="s">
        <v>26</v>
      </c>
      <c r="J2" s="30">
        <v>0.45833333333333331</v>
      </c>
      <c r="K2" s="31">
        <v>0.43611111111111112</v>
      </c>
      <c r="L2" s="30">
        <v>0.25694444444444448</v>
      </c>
      <c r="M2" s="31">
        <v>0.25277777777777777</v>
      </c>
      <c r="N2" s="1" t="s">
        <v>199</v>
      </c>
      <c r="O2" s="1" t="s">
        <v>197</v>
      </c>
      <c r="P2" s="1">
        <v>147</v>
      </c>
      <c r="Q2" s="1">
        <v>249</v>
      </c>
      <c r="R2" s="1">
        <v>0</v>
      </c>
      <c r="S2" s="1">
        <v>0</v>
      </c>
      <c r="T2" s="1">
        <v>0</v>
      </c>
      <c r="U2" s="1">
        <v>0</v>
      </c>
    </row>
    <row r="3" spans="1:21" x14ac:dyDescent="0.2">
      <c r="A3" s="15">
        <v>44691</v>
      </c>
      <c r="B3" s="2" t="s">
        <v>21</v>
      </c>
      <c r="C3" s="2" t="s">
        <v>161</v>
      </c>
      <c r="D3" s="2" t="s">
        <v>22</v>
      </c>
      <c r="E3" s="2" t="s">
        <v>42</v>
      </c>
      <c r="F3" s="16" t="s">
        <v>23</v>
      </c>
      <c r="G3" s="23">
        <v>70000</v>
      </c>
      <c r="H3" s="16" t="s">
        <v>162</v>
      </c>
      <c r="I3" s="16" t="s">
        <v>163</v>
      </c>
      <c r="J3" s="19">
        <v>0.47222222222222227</v>
      </c>
      <c r="K3" s="18">
        <v>0.47222222222222227</v>
      </c>
      <c r="L3" s="19">
        <v>0.28125</v>
      </c>
      <c r="M3" s="18">
        <v>0.28402777777777777</v>
      </c>
      <c r="N3" s="2" t="s">
        <v>200</v>
      </c>
      <c r="O3" s="16" t="s">
        <v>198</v>
      </c>
      <c r="P3" s="24">
        <v>372</v>
      </c>
      <c r="Q3" s="16">
        <v>827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">
      <c r="A4" s="15">
        <v>44691</v>
      </c>
      <c r="B4" s="2" t="s">
        <v>21</v>
      </c>
      <c r="C4" s="16" t="s">
        <v>86</v>
      </c>
      <c r="D4" s="16" t="s">
        <v>22</v>
      </c>
      <c r="E4" s="2" t="s">
        <v>170</v>
      </c>
      <c r="F4" s="16" t="s">
        <v>23</v>
      </c>
      <c r="G4" s="25">
        <v>70000</v>
      </c>
      <c r="H4" s="16" t="s">
        <v>87</v>
      </c>
      <c r="I4" s="16" t="s">
        <v>88</v>
      </c>
      <c r="J4" s="19">
        <v>0.90625</v>
      </c>
      <c r="K4" s="5">
        <v>0.8979166666666667</v>
      </c>
      <c r="L4" s="4">
        <v>0.48958333333333331</v>
      </c>
      <c r="M4" s="5">
        <v>0.48541666666666666</v>
      </c>
      <c r="N4" s="2" t="s">
        <v>209</v>
      </c>
      <c r="O4" s="2" t="s">
        <v>206</v>
      </c>
      <c r="P4" s="2">
        <v>798</v>
      </c>
      <c r="Q4" s="16">
        <v>1175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">
      <c r="A5" s="15">
        <v>44691</v>
      </c>
      <c r="B5" s="2" t="s">
        <v>21</v>
      </c>
      <c r="C5" s="26" t="s">
        <v>89</v>
      </c>
      <c r="D5" s="16" t="s">
        <v>22</v>
      </c>
      <c r="E5" s="2" t="s">
        <v>42</v>
      </c>
      <c r="F5" s="16" t="s">
        <v>23</v>
      </c>
      <c r="G5" s="25">
        <v>70000</v>
      </c>
      <c r="H5" s="16" t="s">
        <v>90</v>
      </c>
      <c r="I5" s="16" t="s">
        <v>91</v>
      </c>
      <c r="J5" s="19">
        <v>0.91319444444444453</v>
      </c>
      <c r="K5" s="5">
        <v>0.89097222222222217</v>
      </c>
      <c r="L5" s="4">
        <v>0.50347222222222221</v>
      </c>
      <c r="M5" s="5">
        <v>0.50555555555555554</v>
      </c>
      <c r="N5" s="2" t="s">
        <v>208</v>
      </c>
      <c r="O5" s="2" t="s">
        <v>207</v>
      </c>
      <c r="P5" s="2">
        <v>565</v>
      </c>
      <c r="Q5" s="16">
        <v>786</v>
      </c>
      <c r="R5" s="16">
        <v>0</v>
      </c>
      <c r="S5" s="16">
        <v>0</v>
      </c>
      <c r="T5" s="16">
        <v>0</v>
      </c>
      <c r="U5" s="16">
        <v>0</v>
      </c>
    </row>
    <row r="6" spans="1:21" x14ac:dyDescent="0.2">
      <c r="A6" s="15">
        <v>44691</v>
      </c>
      <c r="B6" s="2" t="s">
        <v>201</v>
      </c>
      <c r="C6" s="16" t="s">
        <v>202</v>
      </c>
      <c r="D6" s="16" t="s">
        <v>203</v>
      </c>
      <c r="E6" s="16" t="s">
        <v>204</v>
      </c>
      <c r="F6" s="16" t="s">
        <v>205</v>
      </c>
      <c r="G6" s="25">
        <v>4600</v>
      </c>
      <c r="H6" s="16" t="str">
        <f>E6</f>
        <v>T7-ACA</v>
      </c>
      <c r="I6" s="16" t="str">
        <f>H6</f>
        <v>T7-ACA</v>
      </c>
      <c r="J6" s="19">
        <v>0.47916666666666669</v>
      </c>
      <c r="K6" s="18">
        <v>0.49652777777777773</v>
      </c>
      <c r="L6" s="19">
        <v>0.52083333333333337</v>
      </c>
      <c r="M6" s="18">
        <v>0.52361111111111114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</row>
    <row r="7" spans="1:21" x14ac:dyDescent="0.2">
      <c r="B7" s="2"/>
    </row>
    <row r="8" spans="1:21" x14ac:dyDescent="0.2">
      <c r="B8" s="2"/>
    </row>
    <row r="9" spans="1:21" x14ac:dyDescent="0.2">
      <c r="B9" s="2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A6" sqref="A6:U6"/>
    </sheetView>
  </sheetViews>
  <sheetFormatPr defaultRowHeight="15" x14ac:dyDescent="0.25"/>
  <cols>
    <col min="2" max="2" width="20.140625" customWidth="1"/>
    <col min="3" max="3" width="14.5703125" customWidth="1"/>
    <col min="4" max="4" width="7.7109375" customWidth="1"/>
    <col min="6" max="6" width="21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5">
        <v>44692</v>
      </c>
      <c r="B2" s="16" t="s">
        <v>21</v>
      </c>
      <c r="C2" s="16" t="s">
        <v>56</v>
      </c>
      <c r="D2" s="16" t="s">
        <v>22</v>
      </c>
      <c r="E2" s="16" t="s">
        <v>170</v>
      </c>
      <c r="F2" s="2" t="s">
        <v>23</v>
      </c>
      <c r="G2" s="16">
        <v>70000</v>
      </c>
      <c r="H2" s="16" t="s">
        <v>57</v>
      </c>
      <c r="I2" s="16" t="s">
        <v>58</v>
      </c>
      <c r="J2" s="19">
        <v>0.42708333333333331</v>
      </c>
      <c r="K2" s="18">
        <v>0.4201388888888889</v>
      </c>
      <c r="L2" s="19">
        <v>0.25694444444444448</v>
      </c>
      <c r="M2" s="18">
        <v>0.25833333333333336</v>
      </c>
      <c r="N2" s="16" t="s">
        <v>210</v>
      </c>
      <c r="O2" s="16" t="s">
        <v>159</v>
      </c>
      <c r="P2" s="16">
        <v>865</v>
      </c>
      <c r="Q2" s="16">
        <v>821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5">
        <v>44692</v>
      </c>
      <c r="B3" s="16" t="s">
        <v>21</v>
      </c>
      <c r="C3" s="16" t="s">
        <v>61</v>
      </c>
      <c r="D3" s="16" t="s">
        <v>22</v>
      </c>
      <c r="E3" s="16" t="s">
        <v>170</v>
      </c>
      <c r="F3" s="2" t="s">
        <v>23</v>
      </c>
      <c r="G3" s="16">
        <v>70000</v>
      </c>
      <c r="H3" s="16" t="s">
        <v>62</v>
      </c>
      <c r="I3" s="16" t="s">
        <v>63</v>
      </c>
      <c r="J3" s="19">
        <v>0.59722222222222221</v>
      </c>
      <c r="K3" s="18">
        <v>0.58124999999999993</v>
      </c>
      <c r="L3" s="19">
        <v>0.44791666666666669</v>
      </c>
      <c r="M3" s="18">
        <v>0.45347222222222222</v>
      </c>
      <c r="N3" s="16" t="s">
        <v>213</v>
      </c>
      <c r="O3" s="16" t="s">
        <v>211</v>
      </c>
      <c r="P3" s="16">
        <v>560</v>
      </c>
      <c r="Q3" s="16">
        <v>806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15">
        <v>44692</v>
      </c>
      <c r="B4" s="16" t="s">
        <v>21</v>
      </c>
      <c r="C4" s="16" t="s">
        <v>29</v>
      </c>
      <c r="D4" s="16" t="s">
        <v>22</v>
      </c>
      <c r="E4" s="16" t="s">
        <v>42</v>
      </c>
      <c r="F4" s="2" t="s">
        <v>23</v>
      </c>
      <c r="G4" s="16">
        <v>70000</v>
      </c>
      <c r="H4" s="16" t="s">
        <v>30</v>
      </c>
      <c r="I4" s="16" t="s">
        <v>31</v>
      </c>
      <c r="J4" s="19">
        <v>0.69791666666666663</v>
      </c>
      <c r="K4" s="18">
        <v>0.69097222222222221</v>
      </c>
      <c r="L4" s="19">
        <v>0.54166666666666663</v>
      </c>
      <c r="M4" s="18">
        <v>0.54027777777777775</v>
      </c>
      <c r="N4" s="16" t="s">
        <v>215</v>
      </c>
      <c r="O4" s="16" t="s">
        <v>212</v>
      </c>
      <c r="P4" s="16">
        <v>382</v>
      </c>
      <c r="Q4" s="16">
        <v>354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5">
      <c r="A5" s="15">
        <v>44692</v>
      </c>
      <c r="B5" s="16" t="s">
        <v>21</v>
      </c>
      <c r="C5" s="16" t="s">
        <v>67</v>
      </c>
      <c r="D5" s="16" t="s">
        <v>22</v>
      </c>
      <c r="E5" s="16" t="s">
        <v>170</v>
      </c>
      <c r="F5" s="16" t="s">
        <v>23</v>
      </c>
      <c r="G5" s="16">
        <v>70000</v>
      </c>
      <c r="H5" s="16" t="s">
        <v>68</v>
      </c>
      <c r="I5" s="16" t="s">
        <v>69</v>
      </c>
      <c r="J5" s="19">
        <v>0.74305555555555547</v>
      </c>
      <c r="K5" s="18">
        <v>0.73472222222222217</v>
      </c>
      <c r="L5" s="19">
        <v>0.62847222222222221</v>
      </c>
      <c r="M5" s="18">
        <v>0.62361111111111112</v>
      </c>
      <c r="N5" s="16" t="s">
        <v>217</v>
      </c>
      <c r="O5" s="16" t="s">
        <v>214</v>
      </c>
      <c r="P5" s="16">
        <v>353</v>
      </c>
      <c r="Q5" s="16">
        <v>659</v>
      </c>
      <c r="R5" s="16">
        <v>0</v>
      </c>
      <c r="S5" s="16">
        <v>0</v>
      </c>
      <c r="T5" s="16">
        <v>0</v>
      </c>
      <c r="U5" s="16">
        <v>0</v>
      </c>
    </row>
    <row r="6" spans="1:21" x14ac:dyDescent="0.25">
      <c r="A6" s="15">
        <v>44692</v>
      </c>
      <c r="B6" s="16" t="s">
        <v>21</v>
      </c>
      <c r="C6" s="16" t="s">
        <v>70</v>
      </c>
      <c r="D6" s="16" t="s">
        <v>22</v>
      </c>
      <c r="E6" s="16" t="s">
        <v>42</v>
      </c>
      <c r="F6" s="16" t="s">
        <v>23</v>
      </c>
      <c r="G6" s="16">
        <v>70000</v>
      </c>
      <c r="H6" s="16" t="s">
        <v>71</v>
      </c>
      <c r="I6" s="16" t="s">
        <v>72</v>
      </c>
      <c r="J6" s="19">
        <v>0.89930555555555547</v>
      </c>
      <c r="K6" s="18">
        <v>0.88402777777777775</v>
      </c>
      <c r="L6" s="19">
        <v>0.71875</v>
      </c>
      <c r="M6" s="18">
        <v>0.72013888888888899</v>
      </c>
      <c r="N6" s="16" t="s">
        <v>224</v>
      </c>
      <c r="O6" s="16" t="s">
        <v>216</v>
      </c>
      <c r="P6" s="16">
        <v>555</v>
      </c>
      <c r="Q6" s="16">
        <v>628</v>
      </c>
      <c r="R6" s="16">
        <v>0</v>
      </c>
      <c r="S6" s="16">
        <v>0</v>
      </c>
      <c r="T6" s="16">
        <v>0</v>
      </c>
      <c r="U6" s="16">
        <v>0</v>
      </c>
    </row>
    <row r="7" spans="1:21" x14ac:dyDescent="0.25">
      <c r="A7" s="15">
        <v>44692</v>
      </c>
      <c r="B7" s="16" t="s">
        <v>21</v>
      </c>
      <c r="C7" s="16" t="s">
        <v>64</v>
      </c>
      <c r="D7" s="16" t="s">
        <v>22</v>
      </c>
      <c r="E7" s="16" t="s">
        <v>170</v>
      </c>
      <c r="F7" s="16" t="s">
        <v>23</v>
      </c>
      <c r="G7" s="16">
        <v>70000</v>
      </c>
      <c r="H7" s="16" t="s">
        <v>65</v>
      </c>
      <c r="I7" s="16" t="s">
        <v>66</v>
      </c>
      <c r="J7" s="19">
        <v>0.93055555555555547</v>
      </c>
      <c r="K7" s="18">
        <v>0.91805555555555562</v>
      </c>
      <c r="L7" s="19">
        <v>0.76388888888888884</v>
      </c>
      <c r="M7" s="18">
        <v>0.76458333333333339</v>
      </c>
      <c r="N7" s="16" t="s">
        <v>78</v>
      </c>
      <c r="O7" s="16" t="s">
        <v>218</v>
      </c>
      <c r="P7" s="16">
        <v>822</v>
      </c>
      <c r="Q7" s="16">
        <v>835</v>
      </c>
      <c r="R7" s="16">
        <v>0</v>
      </c>
      <c r="S7" s="16">
        <v>0</v>
      </c>
      <c r="T7" s="16">
        <v>0</v>
      </c>
      <c r="U7" s="16">
        <v>0</v>
      </c>
    </row>
    <row r="8" spans="1:21" x14ac:dyDescent="0.25">
      <c r="A8" s="15">
        <v>44692</v>
      </c>
      <c r="B8" s="2" t="s">
        <v>219</v>
      </c>
      <c r="C8" s="2" t="s">
        <v>220</v>
      </c>
      <c r="D8" s="2" t="s">
        <v>221</v>
      </c>
      <c r="E8" s="2" t="s">
        <v>222</v>
      </c>
      <c r="F8" s="2" t="s">
        <v>223</v>
      </c>
      <c r="G8" s="3">
        <v>23995</v>
      </c>
      <c r="H8" s="2" t="s">
        <v>222</v>
      </c>
      <c r="I8" s="2" t="s">
        <v>222</v>
      </c>
      <c r="J8" s="4">
        <v>5.2083333333333336E-2</v>
      </c>
      <c r="K8" s="5">
        <v>4.3750000000000004E-2</v>
      </c>
      <c r="L8" s="4">
        <v>7.9861111111111105E-2</v>
      </c>
      <c r="M8" s="5">
        <v>6.458333333333334E-2</v>
      </c>
      <c r="N8" s="2">
        <v>1</v>
      </c>
      <c r="O8" s="2">
        <v>1</v>
      </c>
      <c r="P8" s="2" t="s">
        <v>119</v>
      </c>
      <c r="Q8" s="2" t="s">
        <v>119</v>
      </c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M6" sqref="M6"/>
    </sheetView>
  </sheetViews>
  <sheetFormatPr defaultRowHeight="15" x14ac:dyDescent="0.25"/>
  <cols>
    <col min="2" max="2" width="10.5703125" customWidth="1"/>
    <col min="3" max="3" width="14" customWidth="1"/>
    <col min="4" max="4" width="8.140625" customWidth="1"/>
    <col min="6" max="6" width="12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44693</v>
      </c>
      <c r="B2" s="2" t="s">
        <v>21</v>
      </c>
      <c r="C2" s="2" t="s">
        <v>24</v>
      </c>
      <c r="D2" s="2" t="s">
        <v>22</v>
      </c>
      <c r="E2" s="2" t="s">
        <v>42</v>
      </c>
      <c r="F2" s="2" t="s">
        <v>23</v>
      </c>
      <c r="G2" s="2">
        <v>70000</v>
      </c>
      <c r="H2" s="2" t="s">
        <v>25</v>
      </c>
      <c r="I2" s="2" t="s">
        <v>26</v>
      </c>
      <c r="J2" s="4">
        <v>0.45833333333333331</v>
      </c>
      <c r="K2" s="5">
        <v>0.44097222222222227</v>
      </c>
      <c r="L2" s="4">
        <v>0.25694444444444448</v>
      </c>
      <c r="M2" s="5">
        <v>0.25208333333333333</v>
      </c>
      <c r="N2" s="2" t="s">
        <v>228</v>
      </c>
      <c r="O2" s="2" t="s">
        <v>226</v>
      </c>
      <c r="P2" s="2">
        <v>214</v>
      </c>
      <c r="Q2" s="2">
        <v>132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44693</v>
      </c>
      <c r="B3" s="2" t="s">
        <v>21</v>
      </c>
      <c r="C3" s="2" t="s">
        <v>36</v>
      </c>
      <c r="D3" s="2" t="s">
        <v>22</v>
      </c>
      <c r="E3" s="2" t="s">
        <v>170</v>
      </c>
      <c r="F3" s="2" t="s">
        <v>23</v>
      </c>
      <c r="G3" s="2">
        <v>70000</v>
      </c>
      <c r="H3" s="2" t="s">
        <v>37</v>
      </c>
      <c r="I3" s="2" t="s">
        <v>38</v>
      </c>
      <c r="J3" s="4">
        <v>0.43402777777777773</v>
      </c>
      <c r="K3" s="5">
        <v>0.42638888888888887</v>
      </c>
      <c r="L3" s="4">
        <v>0.28472222222222221</v>
      </c>
      <c r="M3" s="5">
        <v>0.28680555555555554</v>
      </c>
      <c r="N3" s="2" t="s">
        <v>229</v>
      </c>
      <c r="O3" s="2" t="s">
        <v>227</v>
      </c>
      <c r="P3" s="2">
        <v>301</v>
      </c>
      <c r="Q3" s="2">
        <v>319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44693</v>
      </c>
      <c r="B4" s="2" t="s">
        <v>21</v>
      </c>
      <c r="C4" s="2" t="s">
        <v>130</v>
      </c>
      <c r="D4" s="2" t="s">
        <v>22</v>
      </c>
      <c r="E4" s="2" t="s">
        <v>225</v>
      </c>
      <c r="F4" s="2" t="s">
        <v>23</v>
      </c>
      <c r="G4" s="3">
        <v>70000</v>
      </c>
      <c r="H4" s="2" t="s">
        <v>87</v>
      </c>
      <c r="I4" s="2" t="s">
        <v>88</v>
      </c>
      <c r="J4" s="4">
        <v>0.46527777777777773</v>
      </c>
      <c r="K4" s="5">
        <v>0.46736111111111112</v>
      </c>
      <c r="L4" s="4">
        <v>0.48958333333333331</v>
      </c>
      <c r="M4" s="5">
        <v>0.50416666666666665</v>
      </c>
      <c r="N4" s="2" t="s">
        <v>115</v>
      </c>
      <c r="O4" s="2" t="s">
        <v>230</v>
      </c>
      <c r="P4" s="2">
        <v>964</v>
      </c>
      <c r="Q4" s="2">
        <v>619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44693</v>
      </c>
      <c r="B5" s="2" t="s">
        <v>21</v>
      </c>
      <c r="C5" s="2" t="s">
        <v>41</v>
      </c>
      <c r="D5" s="2" t="s">
        <v>22</v>
      </c>
      <c r="E5" s="2" t="s">
        <v>170</v>
      </c>
      <c r="F5" s="2" t="s">
        <v>23</v>
      </c>
      <c r="G5" s="3">
        <v>70000</v>
      </c>
      <c r="H5" s="2" t="s">
        <v>39</v>
      </c>
      <c r="I5" s="2" t="s">
        <v>40</v>
      </c>
      <c r="J5" s="4">
        <v>0.89930555555555547</v>
      </c>
      <c r="K5" s="5">
        <v>0.88680555555555562</v>
      </c>
      <c r="L5" s="4">
        <v>0.47569444444444442</v>
      </c>
      <c r="M5" s="5">
        <v>0.47916666666666669</v>
      </c>
      <c r="N5" s="2" t="s">
        <v>235</v>
      </c>
      <c r="O5" s="2" t="s">
        <v>231</v>
      </c>
      <c r="P5" s="2">
        <v>259</v>
      </c>
      <c r="Q5" s="2">
        <v>129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44693</v>
      </c>
      <c r="B6" s="2" t="s">
        <v>21</v>
      </c>
      <c r="C6" s="6" t="s">
        <v>27</v>
      </c>
      <c r="D6" s="6" t="s">
        <v>22</v>
      </c>
      <c r="E6" s="2" t="s">
        <v>42</v>
      </c>
      <c r="F6" s="6" t="s">
        <v>23</v>
      </c>
      <c r="G6" s="14">
        <v>70000</v>
      </c>
      <c r="H6" s="6" t="s">
        <v>28</v>
      </c>
      <c r="I6" s="6" t="s">
        <v>35</v>
      </c>
      <c r="J6" s="7">
        <v>0.66666666666666663</v>
      </c>
      <c r="K6" s="8">
        <v>0.65277777777777779</v>
      </c>
      <c r="L6" s="7">
        <v>0.51388888888888895</v>
      </c>
      <c r="M6" s="9">
        <v>0.5131944444444444</v>
      </c>
      <c r="N6" s="2" t="s">
        <v>233</v>
      </c>
      <c r="O6" s="2" t="s">
        <v>232</v>
      </c>
      <c r="P6" s="10">
        <v>171</v>
      </c>
      <c r="Q6" s="10">
        <v>150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12">
        <v>44693</v>
      </c>
      <c r="B7" s="2" t="s">
        <v>21</v>
      </c>
      <c r="C7" s="2" t="s">
        <v>32</v>
      </c>
      <c r="D7" s="2" t="s">
        <v>22</v>
      </c>
      <c r="E7" s="2" t="s">
        <v>42</v>
      </c>
      <c r="F7" s="2" t="s">
        <v>23</v>
      </c>
      <c r="G7" s="3">
        <v>70000</v>
      </c>
      <c r="H7" s="2" t="s">
        <v>33</v>
      </c>
      <c r="I7" s="2" t="s">
        <v>34</v>
      </c>
      <c r="J7" s="4">
        <v>0.93055555555555547</v>
      </c>
      <c r="K7" s="5">
        <v>0.90555555555555556</v>
      </c>
      <c r="L7" s="4">
        <v>0.69444444444444453</v>
      </c>
      <c r="M7" s="5">
        <v>0.68888888888888899</v>
      </c>
      <c r="N7" s="2" t="s">
        <v>236</v>
      </c>
      <c r="O7" s="2" t="s">
        <v>234</v>
      </c>
      <c r="P7" s="2">
        <v>782</v>
      </c>
      <c r="Q7" s="2">
        <v>666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2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F27" sqref="F27"/>
    </sheetView>
  </sheetViews>
  <sheetFormatPr defaultRowHeight="15" x14ac:dyDescent="0.25"/>
  <cols>
    <col min="2" max="2" width="13.5703125" bestFit="1" customWidth="1"/>
    <col min="3" max="3" width="13.7109375" customWidth="1"/>
    <col min="4" max="4" width="11.85546875" bestFit="1" customWidth="1"/>
    <col min="6" max="6" width="17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44694</v>
      </c>
      <c r="B2" s="2" t="s">
        <v>21</v>
      </c>
      <c r="C2" s="2" t="s">
        <v>56</v>
      </c>
      <c r="D2" s="2" t="s">
        <v>22</v>
      </c>
      <c r="E2" s="2" t="s">
        <v>170</v>
      </c>
      <c r="F2" s="2" t="s">
        <v>23</v>
      </c>
      <c r="G2" s="3">
        <v>70000</v>
      </c>
      <c r="H2" s="2" t="s">
        <v>57</v>
      </c>
      <c r="I2" s="2" t="s">
        <v>58</v>
      </c>
      <c r="J2" s="4">
        <v>0.4375</v>
      </c>
      <c r="K2" s="5">
        <v>0.42569444444444443</v>
      </c>
      <c r="L2" s="4">
        <v>0.25694444444444448</v>
      </c>
      <c r="M2" s="5">
        <v>0.25833333333333336</v>
      </c>
      <c r="N2" s="2" t="s">
        <v>237</v>
      </c>
      <c r="O2" s="2" t="s">
        <v>124</v>
      </c>
      <c r="P2" s="2">
        <v>699</v>
      </c>
      <c r="Q2" s="2">
        <v>842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44694</v>
      </c>
      <c r="B3" s="2" t="s">
        <v>21</v>
      </c>
      <c r="C3" s="6" t="s">
        <v>143</v>
      </c>
      <c r="D3" s="2" t="s">
        <v>22</v>
      </c>
      <c r="E3" s="2" t="s">
        <v>42</v>
      </c>
      <c r="F3" s="2" t="s">
        <v>23</v>
      </c>
      <c r="G3" s="3">
        <v>70000</v>
      </c>
      <c r="H3" s="6" t="s">
        <v>59</v>
      </c>
      <c r="I3" s="6" t="s">
        <v>60</v>
      </c>
      <c r="J3" s="7">
        <v>0.51388888888888895</v>
      </c>
      <c r="K3" s="8">
        <v>0.51180555555555551</v>
      </c>
      <c r="L3" s="7">
        <v>0.28125</v>
      </c>
      <c r="M3" s="9">
        <v>0.28125</v>
      </c>
      <c r="N3" s="2" t="s">
        <v>239</v>
      </c>
      <c r="O3" s="2" t="s">
        <v>48</v>
      </c>
      <c r="P3" s="10">
        <v>347</v>
      </c>
      <c r="Q3" s="10">
        <v>473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44694</v>
      </c>
      <c r="B4" s="2" t="s">
        <v>21</v>
      </c>
      <c r="C4" s="2" t="s">
        <v>61</v>
      </c>
      <c r="D4" s="2" t="s">
        <v>22</v>
      </c>
      <c r="E4" s="2" t="s">
        <v>170</v>
      </c>
      <c r="F4" s="2" t="s">
        <v>23</v>
      </c>
      <c r="G4" s="3">
        <v>70000</v>
      </c>
      <c r="H4" s="2" t="s">
        <v>62</v>
      </c>
      <c r="I4" s="2" t="s">
        <v>63</v>
      </c>
      <c r="J4" s="4">
        <v>0.60763888888888895</v>
      </c>
      <c r="K4" s="5">
        <v>0.61388888888888882</v>
      </c>
      <c r="L4" s="4">
        <v>0.45833333333333331</v>
      </c>
      <c r="M4" s="5">
        <v>0.46388888888888885</v>
      </c>
      <c r="N4" s="2" t="s">
        <v>240</v>
      </c>
      <c r="O4" s="2" t="s">
        <v>238</v>
      </c>
      <c r="P4" s="2">
        <v>889</v>
      </c>
      <c r="Q4" s="2">
        <v>744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44694</v>
      </c>
      <c r="B5" s="2" t="s">
        <v>21</v>
      </c>
      <c r="C5" s="2" t="s">
        <v>67</v>
      </c>
      <c r="D5" s="2" t="s">
        <v>22</v>
      </c>
      <c r="E5" s="2" t="s">
        <v>42</v>
      </c>
      <c r="F5" s="2" t="s">
        <v>23</v>
      </c>
      <c r="G5" s="3">
        <v>70000</v>
      </c>
      <c r="H5" s="2" t="s">
        <v>68</v>
      </c>
      <c r="I5" s="2" t="s">
        <v>69</v>
      </c>
      <c r="J5" s="4">
        <v>0.75347222222222221</v>
      </c>
      <c r="K5" s="5">
        <v>0.74305555555555547</v>
      </c>
      <c r="L5" s="4">
        <v>0.63888888888888895</v>
      </c>
      <c r="M5" s="5">
        <v>0.63750000000000007</v>
      </c>
      <c r="N5" s="2" t="s">
        <v>242</v>
      </c>
      <c r="O5" s="2" t="s">
        <v>241</v>
      </c>
      <c r="P5" s="2">
        <v>316</v>
      </c>
      <c r="Q5" s="2">
        <v>614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44694</v>
      </c>
      <c r="B6" s="2" t="s">
        <v>21</v>
      </c>
      <c r="C6" s="2" t="s">
        <v>70</v>
      </c>
      <c r="D6" s="2" t="s">
        <v>22</v>
      </c>
      <c r="E6" s="2" t="s">
        <v>42</v>
      </c>
      <c r="F6" s="2" t="s">
        <v>23</v>
      </c>
      <c r="G6" s="3">
        <v>70000</v>
      </c>
      <c r="H6" s="2" t="s">
        <v>65</v>
      </c>
      <c r="I6" s="2" t="s">
        <v>72</v>
      </c>
      <c r="J6" s="4">
        <v>0.94097222222222221</v>
      </c>
      <c r="K6" s="5">
        <v>0.92638888888888893</v>
      </c>
      <c r="L6" s="4">
        <v>0.77430555555555547</v>
      </c>
      <c r="M6" s="5">
        <v>0.78125</v>
      </c>
      <c r="N6" s="2" t="s">
        <v>250</v>
      </c>
      <c r="O6" s="2" t="s">
        <v>112</v>
      </c>
      <c r="P6" s="2">
        <v>602</v>
      </c>
      <c r="Q6" s="2">
        <v>677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44694</v>
      </c>
      <c r="B7" s="2" t="s">
        <v>21</v>
      </c>
      <c r="C7" s="2" t="s">
        <v>64</v>
      </c>
      <c r="D7" s="2" t="s">
        <v>22</v>
      </c>
      <c r="E7" s="2" t="s">
        <v>170</v>
      </c>
      <c r="F7" s="2" t="s">
        <v>23</v>
      </c>
      <c r="G7" s="3">
        <v>70000</v>
      </c>
      <c r="H7" s="2" t="s">
        <v>71</v>
      </c>
      <c r="I7" s="2" t="s">
        <v>66</v>
      </c>
      <c r="J7" s="4">
        <v>0.95833333333333337</v>
      </c>
      <c r="K7" s="5">
        <v>0.99583333333333324</v>
      </c>
      <c r="L7" s="4">
        <v>0.77430555555555547</v>
      </c>
      <c r="M7" s="5">
        <v>0.77847222222222223</v>
      </c>
      <c r="N7" s="2" t="s">
        <v>249</v>
      </c>
      <c r="O7" s="2" t="s">
        <v>243</v>
      </c>
      <c r="P7" s="2">
        <v>580</v>
      </c>
      <c r="Q7" s="2">
        <v>928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12">
        <v>44694</v>
      </c>
      <c r="B8" s="2" t="s">
        <v>244</v>
      </c>
      <c r="C8" s="2" t="s">
        <v>248</v>
      </c>
      <c r="D8" s="2" t="s">
        <v>245</v>
      </c>
      <c r="E8" s="2" t="s">
        <v>246</v>
      </c>
      <c r="F8" s="2" t="s">
        <v>247</v>
      </c>
      <c r="G8" s="3">
        <v>900</v>
      </c>
      <c r="H8" s="2" t="s">
        <v>119</v>
      </c>
      <c r="I8" s="2" t="s">
        <v>246</v>
      </c>
      <c r="J8" s="4" t="s">
        <v>119</v>
      </c>
      <c r="K8" s="5" t="s">
        <v>119</v>
      </c>
      <c r="L8" s="4">
        <v>0.8125</v>
      </c>
      <c r="M8" s="5">
        <v>0.81180555555555556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E1" workbookViewId="0">
      <selection activeCell="K8" sqref="K8"/>
    </sheetView>
  </sheetViews>
  <sheetFormatPr defaultRowHeight="15" x14ac:dyDescent="0.25"/>
  <cols>
    <col min="3" max="3" width="15.42578125" customWidth="1"/>
    <col min="4" max="4" width="8.28515625" customWidth="1"/>
    <col min="6" max="6" width="13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44695</v>
      </c>
      <c r="B2" s="2" t="s">
        <v>21</v>
      </c>
      <c r="C2" s="2" t="s">
        <v>161</v>
      </c>
      <c r="D2" s="2" t="s">
        <v>22</v>
      </c>
      <c r="E2" s="2" t="s">
        <v>170</v>
      </c>
      <c r="F2" s="2" t="s">
        <v>23</v>
      </c>
      <c r="G2" s="3">
        <v>70000</v>
      </c>
      <c r="H2" s="2" t="s">
        <v>162</v>
      </c>
      <c r="I2" s="2" t="s">
        <v>163</v>
      </c>
      <c r="J2" s="4">
        <v>0.47222222222222227</v>
      </c>
      <c r="K2" s="5">
        <v>0.48333333333333334</v>
      </c>
      <c r="L2" s="4">
        <v>0.28125</v>
      </c>
      <c r="M2" s="5">
        <v>0.28472222222222221</v>
      </c>
      <c r="N2" s="2" t="s">
        <v>251</v>
      </c>
      <c r="O2" s="2" t="s">
        <v>112</v>
      </c>
      <c r="P2" s="32">
        <v>750</v>
      </c>
      <c r="Q2" s="2">
        <v>868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44695</v>
      </c>
      <c r="B3" s="2" t="s">
        <v>21</v>
      </c>
      <c r="C3" s="2" t="s">
        <v>86</v>
      </c>
      <c r="D3" s="2" t="s">
        <v>22</v>
      </c>
      <c r="E3" s="2" t="s">
        <v>42</v>
      </c>
      <c r="F3" s="2" t="s">
        <v>23</v>
      </c>
      <c r="G3" s="3">
        <v>70000</v>
      </c>
      <c r="H3" s="2" t="s">
        <v>87</v>
      </c>
      <c r="I3" s="2" t="s">
        <v>88</v>
      </c>
      <c r="J3" s="4">
        <v>0.90625</v>
      </c>
      <c r="K3" s="5">
        <v>0.92638888888888893</v>
      </c>
      <c r="L3" s="4">
        <v>0.48958333333333331</v>
      </c>
      <c r="M3" s="5">
        <v>0.49305555555555558</v>
      </c>
      <c r="N3" s="2" t="s">
        <v>254</v>
      </c>
      <c r="O3" s="2" t="s">
        <v>237</v>
      </c>
      <c r="P3" s="2">
        <v>722</v>
      </c>
      <c r="Q3" s="2">
        <v>1162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44695</v>
      </c>
      <c r="B4" s="2" t="s">
        <v>21</v>
      </c>
      <c r="C4" s="2" t="s">
        <v>89</v>
      </c>
      <c r="D4" s="2" t="s">
        <v>22</v>
      </c>
      <c r="E4" s="2" t="s">
        <v>170</v>
      </c>
      <c r="F4" s="2" t="s">
        <v>23</v>
      </c>
      <c r="G4" s="3">
        <v>70000</v>
      </c>
      <c r="H4" s="2" t="s">
        <v>90</v>
      </c>
      <c r="I4" s="2" t="s">
        <v>91</v>
      </c>
      <c r="J4" s="4">
        <v>0.91319444444444453</v>
      </c>
      <c r="K4" s="5">
        <v>0.90208333333333324</v>
      </c>
      <c r="L4" s="4">
        <v>0.50347222222222221</v>
      </c>
      <c r="M4" s="5">
        <v>0.51111111111111118</v>
      </c>
      <c r="N4" s="2" t="s">
        <v>253</v>
      </c>
      <c r="O4" s="2" t="s">
        <v>252</v>
      </c>
      <c r="P4" s="2">
        <v>860</v>
      </c>
      <c r="Q4" s="2">
        <v>959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3"/>
      <c r="B5" s="2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3"/>
      <c r="B6" s="2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x14ac:dyDescent="0.25">
      <c r="A7" s="13"/>
      <c r="B7" s="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1:2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sqref="A1:XFD7"/>
    </sheetView>
  </sheetViews>
  <sheetFormatPr defaultRowHeight="15" x14ac:dyDescent="0.25"/>
  <cols>
    <col min="3" max="3" width="14.28515625" customWidth="1"/>
    <col min="4" max="4" width="7.5703125" customWidth="1"/>
    <col min="5" max="5" width="15.85546875" customWidth="1"/>
    <col min="6" max="6" width="12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44696</v>
      </c>
      <c r="B2" s="6" t="s">
        <v>21</v>
      </c>
      <c r="C2" s="2" t="s">
        <v>24</v>
      </c>
      <c r="D2" s="2" t="s">
        <v>22</v>
      </c>
      <c r="E2" s="2" t="s">
        <v>255</v>
      </c>
      <c r="F2" s="2" t="s">
        <v>23</v>
      </c>
      <c r="G2" s="2">
        <v>70000</v>
      </c>
      <c r="H2" s="2" t="s">
        <v>25</v>
      </c>
      <c r="I2" s="2" t="s">
        <v>26</v>
      </c>
      <c r="J2" s="4">
        <v>0.45833333333333331</v>
      </c>
      <c r="K2" s="5">
        <v>0.4375</v>
      </c>
      <c r="L2" s="4">
        <v>0.25694444444444448</v>
      </c>
      <c r="M2" s="5">
        <v>0.26041666666666669</v>
      </c>
      <c r="N2" s="2">
        <v>83</v>
      </c>
      <c r="O2" s="2" t="s">
        <v>258</v>
      </c>
      <c r="P2" s="2">
        <v>436</v>
      </c>
      <c r="Q2" s="2">
        <v>605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44696</v>
      </c>
      <c r="B3" s="2" t="s">
        <v>21</v>
      </c>
      <c r="C3" s="2" t="s">
        <v>36</v>
      </c>
      <c r="D3" s="2" t="s">
        <v>22</v>
      </c>
      <c r="E3" s="2" t="s">
        <v>256</v>
      </c>
      <c r="F3" s="2" t="s">
        <v>23</v>
      </c>
      <c r="G3" s="2">
        <v>70000</v>
      </c>
      <c r="H3" s="2" t="s">
        <v>37</v>
      </c>
      <c r="I3" s="2" t="s">
        <v>38</v>
      </c>
      <c r="J3" s="4">
        <v>0.43402777777777773</v>
      </c>
      <c r="K3" s="5">
        <v>0.42083333333333334</v>
      </c>
      <c r="L3" s="4">
        <v>0.28472222222222221</v>
      </c>
      <c r="M3" s="5">
        <v>0.28611111111111115</v>
      </c>
      <c r="N3" s="2" t="s">
        <v>257</v>
      </c>
      <c r="O3" s="2" t="s">
        <v>259</v>
      </c>
      <c r="P3" s="2">
        <v>536</v>
      </c>
      <c r="Q3" s="2">
        <v>712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44696</v>
      </c>
      <c r="B4" s="6" t="s">
        <v>21</v>
      </c>
      <c r="C4" s="6" t="s">
        <v>27</v>
      </c>
      <c r="D4" s="6" t="s">
        <v>22</v>
      </c>
      <c r="E4" s="2" t="s">
        <v>256</v>
      </c>
      <c r="F4" s="6" t="s">
        <v>23</v>
      </c>
      <c r="G4" s="14">
        <v>70000</v>
      </c>
      <c r="H4" s="6" t="s">
        <v>28</v>
      </c>
      <c r="I4" s="6" t="s">
        <v>35</v>
      </c>
      <c r="J4" s="7">
        <v>0.61805555555555558</v>
      </c>
      <c r="K4" s="8">
        <v>0.60763888888888895</v>
      </c>
      <c r="L4" s="7">
        <v>0.46527777777777773</v>
      </c>
      <c r="M4" s="9">
        <v>0.46111111111111108</v>
      </c>
      <c r="N4" s="2" t="s">
        <v>260</v>
      </c>
      <c r="O4" s="2">
        <v>75</v>
      </c>
      <c r="P4" s="10">
        <v>317</v>
      </c>
      <c r="Q4" s="10">
        <v>153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44696</v>
      </c>
      <c r="B5" s="2" t="s">
        <v>21</v>
      </c>
      <c r="C5" s="2" t="s">
        <v>29</v>
      </c>
      <c r="D5" s="2" t="s">
        <v>22</v>
      </c>
      <c r="E5" s="2" t="s">
        <v>255</v>
      </c>
      <c r="F5" s="2" t="s">
        <v>23</v>
      </c>
      <c r="G5" s="3">
        <v>70000</v>
      </c>
      <c r="H5" s="2" t="s">
        <v>30</v>
      </c>
      <c r="I5" s="2" t="s">
        <v>31</v>
      </c>
      <c r="J5" s="4">
        <v>0.64583333333333337</v>
      </c>
      <c r="K5" s="5">
        <v>0.63402777777777775</v>
      </c>
      <c r="L5" s="4">
        <v>0.48958333333333331</v>
      </c>
      <c r="M5" s="5">
        <v>0.48541666666666666</v>
      </c>
      <c r="N5" s="2" t="s">
        <v>261</v>
      </c>
      <c r="O5" s="2" t="s">
        <v>235</v>
      </c>
      <c r="P5" s="2">
        <v>239</v>
      </c>
      <c r="Q5" s="2">
        <v>529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44696</v>
      </c>
      <c r="B6" s="2" t="s">
        <v>21</v>
      </c>
      <c r="C6" s="2" t="s">
        <v>41</v>
      </c>
      <c r="D6" s="2" t="s">
        <v>22</v>
      </c>
      <c r="E6" s="2" t="s">
        <v>256</v>
      </c>
      <c r="F6" s="2" t="s">
        <v>23</v>
      </c>
      <c r="G6" s="3">
        <v>70000</v>
      </c>
      <c r="H6" s="2" t="s">
        <v>39</v>
      </c>
      <c r="I6" s="2" t="s">
        <v>40</v>
      </c>
      <c r="J6" s="4">
        <v>0.85763888888888884</v>
      </c>
      <c r="K6" s="5">
        <v>0.84513888888888899</v>
      </c>
      <c r="L6" s="4">
        <v>0.63888888888888895</v>
      </c>
      <c r="M6" s="5">
        <v>0.6430555555555556</v>
      </c>
      <c r="N6" s="2" t="s">
        <v>264</v>
      </c>
      <c r="O6" s="2" t="s">
        <v>262</v>
      </c>
      <c r="P6" s="2">
        <v>278</v>
      </c>
      <c r="Q6" s="2">
        <v>583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44696</v>
      </c>
      <c r="B7" s="2" t="s">
        <v>21</v>
      </c>
      <c r="C7" s="2" t="s">
        <v>32</v>
      </c>
      <c r="D7" s="2" t="s">
        <v>22</v>
      </c>
      <c r="E7" s="2" t="s">
        <v>255</v>
      </c>
      <c r="F7" s="2" t="s">
        <v>23</v>
      </c>
      <c r="G7" s="3">
        <v>70000</v>
      </c>
      <c r="H7" s="2" t="s">
        <v>33</v>
      </c>
      <c r="I7" s="2" t="s">
        <v>34</v>
      </c>
      <c r="J7" s="4">
        <v>0.90277777777777779</v>
      </c>
      <c r="K7" s="5">
        <v>0.88194444444444453</v>
      </c>
      <c r="L7" s="4">
        <v>0.66666666666666663</v>
      </c>
      <c r="M7" s="5">
        <v>0.67152777777777783</v>
      </c>
      <c r="N7" s="2" t="s">
        <v>265</v>
      </c>
      <c r="O7" s="2" t="s">
        <v>263</v>
      </c>
      <c r="P7" s="2">
        <v>462</v>
      </c>
      <c r="Q7" s="2">
        <v>766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workbookViewId="0">
      <selection activeCell="C9" sqref="C9"/>
    </sheetView>
  </sheetViews>
  <sheetFormatPr defaultRowHeight="15" x14ac:dyDescent="0.25"/>
  <cols>
    <col min="1" max="1" width="13.5703125" customWidth="1"/>
    <col min="2" max="2" width="13.42578125" customWidth="1"/>
    <col min="3" max="3" width="14.42578125" customWidth="1"/>
    <col min="4" max="4" width="7.7109375" customWidth="1"/>
    <col min="5" max="5" width="10.7109375" customWidth="1"/>
    <col min="6" max="6" width="20.140625" customWidth="1"/>
    <col min="7" max="7" width="9.85546875" bestFit="1" customWidth="1"/>
    <col min="9" max="9" width="8.5703125" customWidth="1"/>
    <col min="10" max="10" width="7.7109375" customWidth="1"/>
    <col min="12" max="12" width="7.42578125" customWidth="1"/>
    <col min="13" max="13" width="9.28515625" bestFit="1" customWidth="1"/>
    <col min="17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44697</v>
      </c>
      <c r="B2" s="2" t="s">
        <v>21</v>
      </c>
      <c r="C2" s="2" t="s">
        <v>56</v>
      </c>
      <c r="D2" s="2" t="s">
        <v>22</v>
      </c>
      <c r="E2" s="2" t="s">
        <v>170</v>
      </c>
      <c r="F2" s="2" t="s">
        <v>23</v>
      </c>
      <c r="G2" s="3">
        <v>70000</v>
      </c>
      <c r="H2" s="2" t="s">
        <v>57</v>
      </c>
      <c r="I2" s="2" t="s">
        <v>58</v>
      </c>
      <c r="J2" s="4">
        <v>0.4375</v>
      </c>
      <c r="K2" s="5">
        <v>0.43124999999999997</v>
      </c>
      <c r="L2" s="4">
        <v>0.25694444444444448</v>
      </c>
      <c r="M2" s="5">
        <v>0.25277777777777777</v>
      </c>
      <c r="N2" s="2" t="s">
        <v>270</v>
      </c>
      <c r="O2" s="2" t="s">
        <v>266</v>
      </c>
      <c r="P2" s="2">
        <v>585</v>
      </c>
      <c r="Q2" s="2">
        <v>734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44697</v>
      </c>
      <c r="B3" s="2" t="s">
        <v>21</v>
      </c>
      <c r="C3" s="6" t="s">
        <v>143</v>
      </c>
      <c r="D3" s="2" t="s">
        <v>22</v>
      </c>
      <c r="E3" s="2" t="s">
        <v>42</v>
      </c>
      <c r="F3" s="2" t="s">
        <v>23</v>
      </c>
      <c r="G3" s="3">
        <v>70000</v>
      </c>
      <c r="H3" s="6" t="s">
        <v>59</v>
      </c>
      <c r="I3" s="6" t="s">
        <v>60</v>
      </c>
      <c r="J3" s="7">
        <v>0.51388888888888895</v>
      </c>
      <c r="K3" s="8">
        <v>0.49583333333333335</v>
      </c>
      <c r="L3" s="7">
        <v>0.28125</v>
      </c>
      <c r="M3" s="9">
        <v>0.27083333333333331</v>
      </c>
      <c r="N3" s="2" t="s">
        <v>269</v>
      </c>
      <c r="O3" s="2" t="s">
        <v>267</v>
      </c>
      <c r="P3" s="10">
        <v>446</v>
      </c>
      <c r="Q3" s="10">
        <v>551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44697</v>
      </c>
      <c r="B4" s="2" t="s">
        <v>21</v>
      </c>
      <c r="C4" s="2" t="s">
        <v>61</v>
      </c>
      <c r="D4" s="2" t="s">
        <v>22</v>
      </c>
      <c r="E4" s="2" t="s">
        <v>268</v>
      </c>
      <c r="F4" s="2" t="s">
        <v>23</v>
      </c>
      <c r="G4" s="3">
        <v>70000</v>
      </c>
      <c r="H4" s="2" t="s">
        <v>62</v>
      </c>
      <c r="I4" s="2" t="s">
        <v>63</v>
      </c>
      <c r="J4" s="4">
        <v>0.60763888888888895</v>
      </c>
      <c r="K4" s="5">
        <v>0.59097222222222223</v>
      </c>
      <c r="L4" s="4">
        <v>0.45833333333333331</v>
      </c>
      <c r="M4" s="5">
        <v>0.46527777777777773</v>
      </c>
      <c r="N4" s="2" t="s">
        <v>157</v>
      </c>
      <c r="O4" s="2" t="s">
        <v>271</v>
      </c>
      <c r="P4" s="2">
        <v>530</v>
      </c>
      <c r="Q4" s="2">
        <v>905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44697</v>
      </c>
      <c r="B5" s="2" t="s">
        <v>21</v>
      </c>
      <c r="C5" s="2" t="s">
        <v>67</v>
      </c>
      <c r="D5" s="2" t="s">
        <v>22</v>
      </c>
      <c r="E5" s="2" t="s">
        <v>42</v>
      </c>
      <c r="F5" s="2" t="s">
        <v>23</v>
      </c>
      <c r="G5" s="3">
        <v>70000</v>
      </c>
      <c r="H5" s="2" t="s">
        <v>68</v>
      </c>
      <c r="I5" s="2" t="s">
        <v>69</v>
      </c>
      <c r="J5" s="4">
        <v>0.75694444444444453</v>
      </c>
      <c r="K5" s="5">
        <v>0.74791666666666667</v>
      </c>
      <c r="L5" s="4">
        <v>0.63888888888888895</v>
      </c>
      <c r="M5" s="5">
        <v>0.64097222222222217</v>
      </c>
      <c r="N5" s="2" t="s">
        <v>275</v>
      </c>
      <c r="O5" s="2" t="s">
        <v>274</v>
      </c>
      <c r="P5" s="2">
        <v>522</v>
      </c>
      <c r="Q5" s="2">
        <v>438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44697</v>
      </c>
      <c r="B6" s="2" t="s">
        <v>21</v>
      </c>
      <c r="C6" s="2" t="s">
        <v>64</v>
      </c>
      <c r="D6" s="2" t="s">
        <v>22</v>
      </c>
      <c r="E6" s="2" t="s">
        <v>268</v>
      </c>
      <c r="F6" s="2" t="s">
        <v>23</v>
      </c>
      <c r="G6" s="3">
        <v>70000</v>
      </c>
      <c r="H6" s="2" t="s">
        <v>65</v>
      </c>
      <c r="I6" s="2" t="s">
        <v>66</v>
      </c>
      <c r="J6" s="4">
        <v>0.94097222222222221</v>
      </c>
      <c r="K6" s="5">
        <v>0.92847222222222225</v>
      </c>
      <c r="L6" s="4">
        <v>0.77430555555555547</v>
      </c>
      <c r="M6" s="5">
        <v>0.77986111111111101</v>
      </c>
      <c r="N6" s="2" t="s">
        <v>278</v>
      </c>
      <c r="O6" s="2" t="s">
        <v>276</v>
      </c>
      <c r="P6" s="2">
        <v>870</v>
      </c>
      <c r="Q6" s="2">
        <v>705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44697</v>
      </c>
      <c r="B7" s="2" t="s">
        <v>21</v>
      </c>
      <c r="C7" s="2" t="s">
        <v>70</v>
      </c>
      <c r="D7" s="2" t="s">
        <v>22</v>
      </c>
      <c r="E7" s="2" t="s">
        <v>42</v>
      </c>
      <c r="F7" s="2" t="s">
        <v>23</v>
      </c>
      <c r="G7" s="3">
        <v>70000</v>
      </c>
      <c r="H7" s="2" t="s">
        <v>71</v>
      </c>
      <c r="I7" s="2" t="s">
        <v>72</v>
      </c>
      <c r="J7" s="4">
        <v>0.95833333333333337</v>
      </c>
      <c r="K7" s="5">
        <v>0.9868055555555556</v>
      </c>
      <c r="L7" s="4">
        <v>0.77777777777777779</v>
      </c>
      <c r="M7" s="5">
        <v>0.81736111111111109</v>
      </c>
      <c r="N7" s="2" t="s">
        <v>279</v>
      </c>
      <c r="O7" s="2" t="s">
        <v>277</v>
      </c>
      <c r="P7" s="2">
        <v>495</v>
      </c>
      <c r="Q7" s="2">
        <v>370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12">
        <v>44697</v>
      </c>
      <c r="B8" s="2" t="s">
        <v>272</v>
      </c>
      <c r="C8" s="2" t="s">
        <v>280</v>
      </c>
      <c r="D8" s="2" t="s">
        <v>185</v>
      </c>
      <c r="E8" s="2" t="s">
        <v>273</v>
      </c>
      <c r="F8" s="2" t="s">
        <v>187</v>
      </c>
      <c r="G8" s="3">
        <v>5670</v>
      </c>
      <c r="H8" s="2" t="s">
        <v>273</v>
      </c>
      <c r="I8" s="2" t="s">
        <v>273</v>
      </c>
      <c r="J8" s="4">
        <v>0.56944444444444442</v>
      </c>
      <c r="K8" s="5">
        <v>0.58472222222222225</v>
      </c>
      <c r="L8" s="4">
        <v>0.61111111111111105</v>
      </c>
      <c r="M8" s="5">
        <v>0.6069444444444444</v>
      </c>
      <c r="N8" s="2">
        <v>0</v>
      </c>
      <c r="O8" s="2">
        <v>2</v>
      </c>
      <c r="P8" s="2" t="s">
        <v>119</v>
      </c>
      <c r="Q8" s="2" t="s">
        <v>119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12"/>
      <c r="B11" s="2"/>
      <c r="C11" s="2"/>
      <c r="D11" s="2"/>
      <c r="E11" s="2"/>
      <c r="F11" s="2"/>
      <c r="G11" s="3"/>
      <c r="H11" s="2"/>
      <c r="I11" s="2"/>
      <c r="J11" s="4"/>
      <c r="K11" s="5"/>
      <c r="L11" s="4"/>
      <c r="M11" s="5"/>
      <c r="N11" s="2"/>
      <c r="O11" s="2"/>
      <c r="P11" s="2"/>
      <c r="Q11" s="2"/>
      <c r="R11" s="2"/>
      <c r="S11" s="2"/>
      <c r="T11" s="2"/>
      <c r="U11" s="2"/>
    </row>
    <row r="15" spans="1:21" x14ac:dyDescent="0.25">
      <c r="A15" s="12"/>
    </row>
    <row r="16" spans="1:21" x14ac:dyDescent="0.25">
      <c r="A16" s="12"/>
    </row>
    <row r="17" spans="1:1" x14ac:dyDescent="0.25">
      <c r="A17" s="12"/>
    </row>
    <row r="18" spans="1:1" x14ac:dyDescent="0.25">
      <c r="A18" s="12"/>
    </row>
    <row r="19" spans="1:1" x14ac:dyDescent="0.25">
      <c r="A19" s="12"/>
    </row>
    <row r="20" spans="1:1" x14ac:dyDescent="0.25">
      <c r="A20" s="12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A2" sqref="A2:XFD5"/>
    </sheetView>
  </sheetViews>
  <sheetFormatPr defaultRowHeight="15" x14ac:dyDescent="0.25"/>
  <cols>
    <col min="3" max="3" width="15.85546875" customWidth="1"/>
    <col min="4" max="4" width="6.85546875" customWidth="1"/>
    <col min="6" max="6" width="15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7">
        <v>44698</v>
      </c>
      <c r="B2" s="1" t="s">
        <v>21</v>
      </c>
      <c r="C2" s="1" t="s">
        <v>24</v>
      </c>
      <c r="D2" s="1" t="s">
        <v>22</v>
      </c>
      <c r="E2" s="1" t="s">
        <v>42</v>
      </c>
      <c r="F2" s="1" t="s">
        <v>23</v>
      </c>
      <c r="G2" s="28">
        <v>70000</v>
      </c>
      <c r="H2" s="29" t="s">
        <v>25</v>
      </c>
      <c r="I2" s="29" t="s">
        <v>26</v>
      </c>
      <c r="J2" s="30">
        <v>0.45833333333333331</v>
      </c>
      <c r="K2" s="31">
        <v>0.43888888888888888</v>
      </c>
      <c r="L2" s="30">
        <v>0.25694444444444448</v>
      </c>
      <c r="M2" s="31">
        <v>0.25</v>
      </c>
      <c r="N2" s="1" t="s">
        <v>283</v>
      </c>
      <c r="O2" s="1" t="s">
        <v>281</v>
      </c>
      <c r="P2" s="1">
        <v>147</v>
      </c>
      <c r="Q2" s="1">
        <v>217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7">
        <v>44698</v>
      </c>
      <c r="B3" s="2" t="s">
        <v>21</v>
      </c>
      <c r="C3" s="2" t="s">
        <v>161</v>
      </c>
      <c r="D3" s="2" t="s">
        <v>22</v>
      </c>
      <c r="E3" s="2" t="s">
        <v>268</v>
      </c>
      <c r="F3" s="16" t="s">
        <v>23</v>
      </c>
      <c r="G3" s="23">
        <v>70000</v>
      </c>
      <c r="H3" s="16" t="s">
        <v>162</v>
      </c>
      <c r="I3" s="16" t="s">
        <v>163</v>
      </c>
      <c r="J3" s="19">
        <v>0.47222222222222227</v>
      </c>
      <c r="K3" s="18">
        <v>0.46180555555555558</v>
      </c>
      <c r="L3" s="19">
        <v>0.28125</v>
      </c>
      <c r="M3" s="18">
        <v>0.28194444444444444</v>
      </c>
      <c r="N3" s="2" t="s">
        <v>284</v>
      </c>
      <c r="O3" s="16" t="s">
        <v>282</v>
      </c>
      <c r="P3" s="24">
        <v>789</v>
      </c>
      <c r="Q3" s="16">
        <v>569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27">
        <v>44698</v>
      </c>
      <c r="B4" s="2" t="s">
        <v>21</v>
      </c>
      <c r="C4" s="16" t="s">
        <v>86</v>
      </c>
      <c r="D4" s="16" t="s">
        <v>22</v>
      </c>
      <c r="E4" s="2" t="s">
        <v>42</v>
      </c>
      <c r="F4" s="16" t="s">
        <v>23</v>
      </c>
      <c r="G4" s="25">
        <v>70000</v>
      </c>
      <c r="H4" s="16" t="s">
        <v>87</v>
      </c>
      <c r="I4" s="16" t="s">
        <v>88</v>
      </c>
      <c r="J4" s="19">
        <v>0.90625</v>
      </c>
      <c r="K4" s="5">
        <v>0.90277777777777779</v>
      </c>
      <c r="L4" s="4">
        <v>0.48958333333333331</v>
      </c>
      <c r="M4" s="5">
        <v>0.49305555555555558</v>
      </c>
      <c r="N4" s="2" t="s">
        <v>287</v>
      </c>
      <c r="O4" s="2" t="s">
        <v>285</v>
      </c>
      <c r="P4" s="2">
        <v>731</v>
      </c>
      <c r="Q4" s="16">
        <v>515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5">
      <c r="A5" s="27">
        <v>44698</v>
      </c>
      <c r="B5" s="2" t="s">
        <v>21</v>
      </c>
      <c r="C5" s="26" t="s">
        <v>89</v>
      </c>
      <c r="D5" s="16" t="s">
        <v>22</v>
      </c>
      <c r="E5" s="2" t="s">
        <v>268</v>
      </c>
      <c r="F5" s="16" t="s">
        <v>23</v>
      </c>
      <c r="G5" s="25">
        <v>70000</v>
      </c>
      <c r="H5" s="16" t="s">
        <v>90</v>
      </c>
      <c r="I5" s="16" t="s">
        <v>91</v>
      </c>
      <c r="J5" s="19">
        <v>0.91319444444444453</v>
      </c>
      <c r="K5" s="5">
        <v>0.8965277777777777</v>
      </c>
      <c r="L5" s="4">
        <v>0.50347222222222221</v>
      </c>
      <c r="M5" s="5">
        <v>0.50972222222222219</v>
      </c>
      <c r="N5" s="2" t="s">
        <v>288</v>
      </c>
      <c r="O5" s="2" t="s">
        <v>286</v>
      </c>
      <c r="P5" s="2">
        <v>630</v>
      </c>
      <c r="Q5" s="16">
        <v>479</v>
      </c>
      <c r="R5" s="16">
        <v>0</v>
      </c>
      <c r="S5" s="16">
        <v>0</v>
      </c>
      <c r="T5" s="16">
        <v>0</v>
      </c>
      <c r="U5" s="1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L9" sqref="L9"/>
    </sheetView>
  </sheetViews>
  <sheetFormatPr defaultRowHeight="15" x14ac:dyDescent="0.25"/>
  <cols>
    <col min="3" max="3" width="15" customWidth="1"/>
    <col min="4" max="4" width="7.85546875" customWidth="1"/>
    <col min="5" max="5" width="11.5703125" customWidth="1"/>
    <col min="6" max="6" width="13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5">
        <v>44699</v>
      </c>
      <c r="B2" s="16" t="s">
        <v>21</v>
      </c>
      <c r="C2" s="16" t="s">
        <v>56</v>
      </c>
      <c r="D2" s="16" t="s">
        <v>22</v>
      </c>
      <c r="E2" s="16" t="s">
        <v>42</v>
      </c>
      <c r="F2" s="2" t="s">
        <v>23</v>
      </c>
      <c r="G2" s="16">
        <v>70000</v>
      </c>
      <c r="H2" s="16" t="s">
        <v>57</v>
      </c>
      <c r="I2" s="16" t="s">
        <v>58</v>
      </c>
      <c r="J2" s="19">
        <v>0.42708333333333331</v>
      </c>
      <c r="K2" s="18">
        <v>0.41805555555555557</v>
      </c>
      <c r="L2" s="19">
        <v>0.25694444444444448</v>
      </c>
      <c r="M2" s="18">
        <v>0.26041666666666669</v>
      </c>
      <c r="N2" s="16" t="s">
        <v>290</v>
      </c>
      <c r="O2" s="16" t="s">
        <v>289</v>
      </c>
      <c r="P2" s="16">
        <v>541</v>
      </c>
      <c r="Q2" s="16">
        <v>686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5">
        <v>44699</v>
      </c>
      <c r="B3" s="16" t="s">
        <v>21</v>
      </c>
      <c r="C3" s="16" t="s">
        <v>61</v>
      </c>
      <c r="D3" s="16" t="s">
        <v>22</v>
      </c>
      <c r="E3" s="16" t="s">
        <v>42</v>
      </c>
      <c r="F3" s="2" t="s">
        <v>23</v>
      </c>
      <c r="G3" s="16">
        <v>70000</v>
      </c>
      <c r="H3" s="16" t="s">
        <v>62</v>
      </c>
      <c r="I3" s="16" t="s">
        <v>63</v>
      </c>
      <c r="J3" s="19">
        <v>0.59722222222222221</v>
      </c>
      <c r="K3" s="18">
        <v>0.59027777777777779</v>
      </c>
      <c r="L3" s="19">
        <v>0.44791666666666669</v>
      </c>
      <c r="M3" s="18">
        <v>0.45208333333333334</v>
      </c>
      <c r="N3" s="16" t="s">
        <v>293</v>
      </c>
      <c r="O3" s="16" t="s">
        <v>291</v>
      </c>
      <c r="P3" s="16">
        <v>597</v>
      </c>
      <c r="Q3" s="16">
        <v>700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15">
        <v>44699</v>
      </c>
      <c r="B4" s="16" t="s">
        <v>21</v>
      </c>
      <c r="C4" s="16" t="s">
        <v>29</v>
      </c>
      <c r="D4" s="16" t="s">
        <v>22</v>
      </c>
      <c r="E4" s="16" t="s">
        <v>268</v>
      </c>
      <c r="F4" s="2" t="s">
        <v>23</v>
      </c>
      <c r="G4" s="16">
        <v>70000</v>
      </c>
      <c r="H4" s="16" t="s">
        <v>30</v>
      </c>
      <c r="I4" s="16" t="s">
        <v>31</v>
      </c>
      <c r="J4" s="19">
        <v>0.69791666666666663</v>
      </c>
      <c r="K4" s="18">
        <v>0.69027777777777777</v>
      </c>
      <c r="L4" s="19">
        <v>0.54166666666666663</v>
      </c>
      <c r="M4" s="18">
        <v>0.54166666666666663</v>
      </c>
      <c r="N4" s="16" t="s">
        <v>295</v>
      </c>
      <c r="O4" s="16" t="s">
        <v>292</v>
      </c>
      <c r="P4" s="16">
        <v>151</v>
      </c>
      <c r="Q4" s="16">
        <v>262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5">
      <c r="A5" s="15">
        <v>44699</v>
      </c>
      <c r="B5" s="16" t="s">
        <v>21</v>
      </c>
      <c r="C5" s="16" t="s">
        <v>67</v>
      </c>
      <c r="D5" s="16" t="s">
        <v>22</v>
      </c>
      <c r="E5" s="16" t="s">
        <v>42</v>
      </c>
      <c r="F5" s="16" t="s">
        <v>23</v>
      </c>
      <c r="G5" s="16">
        <v>70000</v>
      </c>
      <c r="H5" s="16" t="s">
        <v>68</v>
      </c>
      <c r="I5" s="16" t="s">
        <v>69</v>
      </c>
      <c r="J5" s="19">
        <v>0.74305555555555547</v>
      </c>
      <c r="K5" s="18">
        <v>0.74583333333333324</v>
      </c>
      <c r="L5" s="19">
        <v>0.62847222222222221</v>
      </c>
      <c r="M5" s="18">
        <v>0.64027777777777783</v>
      </c>
      <c r="N5" s="16" t="s">
        <v>191</v>
      </c>
      <c r="O5" s="16" t="s">
        <v>294</v>
      </c>
      <c r="P5" s="16">
        <v>490</v>
      </c>
      <c r="Q5" s="16">
        <v>396</v>
      </c>
      <c r="R5" s="16">
        <v>0</v>
      </c>
      <c r="S5" s="16">
        <v>0</v>
      </c>
      <c r="T5" s="16">
        <v>0</v>
      </c>
      <c r="U5" s="16">
        <v>0</v>
      </c>
    </row>
    <row r="6" spans="1:21" x14ac:dyDescent="0.25">
      <c r="A6" s="15">
        <v>44699</v>
      </c>
      <c r="B6" s="16" t="s">
        <v>21</v>
      </c>
      <c r="C6" s="16" t="s">
        <v>70</v>
      </c>
      <c r="D6" s="16" t="s">
        <v>22</v>
      </c>
      <c r="E6" s="16" t="s">
        <v>268</v>
      </c>
      <c r="F6" s="16" t="s">
        <v>23</v>
      </c>
      <c r="G6" s="16">
        <v>70000</v>
      </c>
      <c r="H6" s="16" t="s">
        <v>71</v>
      </c>
      <c r="I6" s="16" t="s">
        <v>72</v>
      </c>
      <c r="J6" s="19">
        <v>0.89930555555555547</v>
      </c>
      <c r="K6" s="18">
        <v>0.88888888888888884</v>
      </c>
      <c r="L6" s="19">
        <v>0.71875</v>
      </c>
      <c r="M6" s="18">
        <v>0.72222222222222221</v>
      </c>
      <c r="N6" s="16" t="s">
        <v>296</v>
      </c>
      <c r="O6" s="16" t="s">
        <v>196</v>
      </c>
      <c r="P6" s="16">
        <v>540</v>
      </c>
      <c r="Q6" s="16">
        <v>440</v>
      </c>
      <c r="R6" s="16">
        <v>0</v>
      </c>
      <c r="S6" s="16">
        <v>0</v>
      </c>
      <c r="T6" s="16">
        <v>0</v>
      </c>
      <c r="U6" s="16">
        <v>0</v>
      </c>
    </row>
    <row r="7" spans="1:21" x14ac:dyDescent="0.25">
      <c r="A7" s="15">
        <v>44699</v>
      </c>
      <c r="B7" s="16" t="s">
        <v>21</v>
      </c>
      <c r="C7" s="16" t="s">
        <v>64</v>
      </c>
      <c r="D7" s="16" t="s">
        <v>22</v>
      </c>
      <c r="E7" s="16" t="s">
        <v>42</v>
      </c>
      <c r="F7" s="16" t="s">
        <v>23</v>
      </c>
      <c r="G7" s="16">
        <v>70000</v>
      </c>
      <c r="H7" s="16" t="s">
        <v>65</v>
      </c>
      <c r="I7" s="16" t="s">
        <v>66</v>
      </c>
      <c r="J7" s="19">
        <v>0.93055555555555547</v>
      </c>
      <c r="K7" s="18">
        <v>0.93611111111111101</v>
      </c>
      <c r="L7" s="19">
        <v>0.76388888888888884</v>
      </c>
      <c r="M7" s="18">
        <v>0.77847222222222223</v>
      </c>
      <c r="N7" s="16" t="s">
        <v>297</v>
      </c>
      <c r="O7" s="16" t="s">
        <v>271</v>
      </c>
      <c r="P7" s="16">
        <v>809</v>
      </c>
      <c r="Q7" s="16">
        <v>828</v>
      </c>
      <c r="R7" s="16">
        <v>0</v>
      </c>
      <c r="S7" s="16">
        <v>0</v>
      </c>
      <c r="T7" s="16">
        <v>0</v>
      </c>
      <c r="U7" s="1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P23" sqref="P23"/>
    </sheetView>
  </sheetViews>
  <sheetFormatPr defaultRowHeight="15" x14ac:dyDescent="0.25"/>
  <cols>
    <col min="2" max="2" width="10.5703125" customWidth="1"/>
    <col min="3" max="3" width="14" customWidth="1"/>
    <col min="4" max="4" width="8.140625" customWidth="1"/>
    <col min="6" max="6" width="12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44700</v>
      </c>
      <c r="B2" s="2" t="s">
        <v>21</v>
      </c>
      <c r="C2" s="2" t="s">
        <v>24</v>
      </c>
      <c r="D2" s="2" t="s">
        <v>22</v>
      </c>
      <c r="E2" s="2" t="s">
        <v>268</v>
      </c>
      <c r="F2" s="2" t="s">
        <v>23</v>
      </c>
      <c r="G2" s="2">
        <v>70000</v>
      </c>
      <c r="H2" s="2" t="s">
        <v>25</v>
      </c>
      <c r="I2" s="2" t="s">
        <v>26</v>
      </c>
      <c r="J2" s="4">
        <v>0.45833333333333331</v>
      </c>
      <c r="K2" s="5">
        <v>0.44236111111111115</v>
      </c>
      <c r="L2" s="4">
        <v>0.25694444444444448</v>
      </c>
      <c r="M2" s="5">
        <v>0.26319444444444445</v>
      </c>
      <c r="N2" s="2" t="s">
        <v>303</v>
      </c>
      <c r="O2" s="2" t="s">
        <v>304</v>
      </c>
      <c r="P2" s="2">
        <v>433</v>
      </c>
      <c r="Q2" s="2">
        <v>162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44700</v>
      </c>
      <c r="B3" s="2" t="s">
        <v>21</v>
      </c>
      <c r="C3" s="2" t="s">
        <v>36</v>
      </c>
      <c r="D3" s="2" t="s">
        <v>22</v>
      </c>
      <c r="E3" s="2" t="s">
        <v>42</v>
      </c>
      <c r="F3" s="2" t="s">
        <v>23</v>
      </c>
      <c r="G3" s="2">
        <v>70000</v>
      </c>
      <c r="H3" s="2" t="s">
        <v>37</v>
      </c>
      <c r="I3" s="2" t="s">
        <v>38</v>
      </c>
      <c r="J3" s="4">
        <v>0.43402777777777773</v>
      </c>
      <c r="K3" s="5">
        <v>0.41805555555555557</v>
      </c>
      <c r="L3" s="4">
        <v>0.28472222222222221</v>
      </c>
      <c r="M3" s="5">
        <v>0.27916666666666667</v>
      </c>
      <c r="N3" s="2" t="s">
        <v>303</v>
      </c>
      <c r="O3" s="2" t="s">
        <v>305</v>
      </c>
      <c r="P3" s="2">
        <v>433</v>
      </c>
      <c r="Q3" s="2">
        <v>172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44700</v>
      </c>
      <c r="B4" s="2" t="s">
        <v>21</v>
      </c>
      <c r="C4" s="2" t="s">
        <v>130</v>
      </c>
      <c r="D4" s="2" t="s">
        <v>22</v>
      </c>
      <c r="E4" s="2" t="s">
        <v>298</v>
      </c>
      <c r="F4" s="2" t="s">
        <v>23</v>
      </c>
      <c r="G4" s="3">
        <v>70000</v>
      </c>
      <c r="H4" s="2" t="s">
        <v>87</v>
      </c>
      <c r="I4" s="2" t="s">
        <v>88</v>
      </c>
      <c r="J4" s="4">
        <v>0.46527777777777773</v>
      </c>
      <c r="K4" s="5">
        <v>0.46597222222222223</v>
      </c>
      <c r="L4" s="4">
        <v>0.48958333333333331</v>
      </c>
      <c r="M4" s="5">
        <v>0.53194444444444444</v>
      </c>
      <c r="N4" s="2" t="s">
        <v>306</v>
      </c>
      <c r="O4" s="2" t="s">
        <v>307</v>
      </c>
      <c r="P4" s="2">
        <v>1140</v>
      </c>
      <c r="Q4" s="2">
        <v>773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44700</v>
      </c>
      <c r="B5" s="2" t="s">
        <v>21</v>
      </c>
      <c r="C5" s="2" t="s">
        <v>41</v>
      </c>
      <c r="D5" s="2" t="s">
        <v>22</v>
      </c>
      <c r="E5" s="2" t="s">
        <v>42</v>
      </c>
      <c r="F5" s="2" t="s">
        <v>23</v>
      </c>
      <c r="G5" s="3">
        <v>70000</v>
      </c>
      <c r="H5" s="2" t="s">
        <v>39</v>
      </c>
      <c r="I5" s="2" t="s">
        <v>40</v>
      </c>
      <c r="J5" s="4">
        <v>0.89930555555555547</v>
      </c>
      <c r="K5" s="5">
        <v>0.92013888888888884</v>
      </c>
      <c r="L5" s="4">
        <v>0.47569444444444442</v>
      </c>
      <c r="M5" s="5">
        <v>0.47013888888888888</v>
      </c>
      <c r="N5" s="2" t="s">
        <v>311</v>
      </c>
      <c r="O5" s="2" t="s">
        <v>308</v>
      </c>
      <c r="P5" s="2">
        <v>159</v>
      </c>
      <c r="Q5" s="2">
        <v>333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44700</v>
      </c>
      <c r="B6" s="2" t="s">
        <v>21</v>
      </c>
      <c r="C6" s="6" t="s">
        <v>27</v>
      </c>
      <c r="D6" s="6" t="s">
        <v>22</v>
      </c>
      <c r="E6" s="2" t="s">
        <v>268</v>
      </c>
      <c r="F6" s="6" t="s">
        <v>23</v>
      </c>
      <c r="G6" s="14">
        <v>70000</v>
      </c>
      <c r="H6" s="6" t="s">
        <v>28</v>
      </c>
      <c r="I6" s="6" t="s">
        <v>35</v>
      </c>
      <c r="J6" s="7">
        <v>0.66666666666666663</v>
      </c>
      <c r="K6" s="8">
        <v>0.65625</v>
      </c>
      <c r="L6" s="7">
        <v>0.51388888888888895</v>
      </c>
      <c r="M6" s="9">
        <v>0.51944444444444449</v>
      </c>
      <c r="N6" s="2" t="s">
        <v>310</v>
      </c>
      <c r="O6" s="2" t="s">
        <v>309</v>
      </c>
      <c r="P6" s="10">
        <v>122</v>
      </c>
      <c r="Q6" s="10">
        <v>210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12">
        <v>44700</v>
      </c>
      <c r="B7" s="2" t="s">
        <v>21</v>
      </c>
      <c r="C7" s="2" t="s">
        <v>32</v>
      </c>
      <c r="D7" s="2" t="s">
        <v>22</v>
      </c>
      <c r="E7" s="2" t="s">
        <v>268</v>
      </c>
      <c r="F7" s="2" t="s">
        <v>23</v>
      </c>
      <c r="G7" s="3">
        <v>70000</v>
      </c>
      <c r="H7" s="2" t="s">
        <v>33</v>
      </c>
      <c r="I7" s="2" t="s">
        <v>34</v>
      </c>
      <c r="J7" s="4">
        <v>0.93055555555555547</v>
      </c>
      <c r="K7" s="5">
        <v>0.9243055555555556</v>
      </c>
      <c r="L7" s="4">
        <v>0.69444444444444453</v>
      </c>
      <c r="M7" s="5">
        <v>0.68958333333333333</v>
      </c>
      <c r="N7" s="2" t="s">
        <v>312</v>
      </c>
      <c r="O7" s="2" t="s">
        <v>190</v>
      </c>
      <c r="P7" s="2">
        <v>701</v>
      </c>
      <c r="Q7" s="2">
        <v>416</v>
      </c>
      <c r="R7" s="2">
        <v>0</v>
      </c>
      <c r="S7" s="2">
        <v>0</v>
      </c>
      <c r="T7" s="2">
        <v>0</v>
      </c>
      <c r="U7" s="2">
        <v>0</v>
      </c>
    </row>
    <row r="8" spans="1:21" s="16" customFormat="1" ht="12.75" x14ac:dyDescent="0.2">
      <c r="A8" s="12">
        <v>44700</v>
      </c>
      <c r="B8" s="2" t="s">
        <v>299</v>
      </c>
      <c r="C8" s="2" t="s">
        <v>300</v>
      </c>
      <c r="D8" s="2" t="s">
        <v>301</v>
      </c>
      <c r="E8" s="2" t="s">
        <v>302</v>
      </c>
      <c r="F8" s="2" t="s">
        <v>103</v>
      </c>
      <c r="G8" s="3">
        <v>1785</v>
      </c>
      <c r="H8" s="2" t="str">
        <f>E8</f>
        <v>OK-MGI</v>
      </c>
      <c r="I8" s="2" t="str">
        <f>H8</f>
        <v>OK-MGI</v>
      </c>
      <c r="J8" s="19">
        <v>0.3923611111111111</v>
      </c>
      <c r="K8" s="18">
        <v>0.37847222222222227</v>
      </c>
      <c r="L8" s="19">
        <v>0.66666666666666663</v>
      </c>
      <c r="M8" s="18">
        <v>0.69166666666666676</v>
      </c>
      <c r="N8" s="16">
        <v>2</v>
      </c>
      <c r="O8" s="16">
        <v>2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W7"/>
    </sheetView>
  </sheetViews>
  <sheetFormatPr defaultRowHeight="15" x14ac:dyDescent="0.25"/>
  <cols>
    <col min="2" max="2" width="10" customWidth="1"/>
    <col min="3" max="3" width="16" customWidth="1"/>
    <col min="4" max="4" width="7.7109375" customWidth="1"/>
    <col min="6" max="6" width="14.42578125" customWidth="1"/>
    <col min="13" max="13" width="10.855468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44701</v>
      </c>
      <c r="B2" s="2" t="s">
        <v>21</v>
      </c>
      <c r="C2" s="2" t="s">
        <v>56</v>
      </c>
      <c r="D2" s="2" t="s">
        <v>22</v>
      </c>
      <c r="E2" s="2" t="s">
        <v>42</v>
      </c>
      <c r="F2" s="2" t="s">
        <v>23</v>
      </c>
      <c r="G2" s="3">
        <v>70000</v>
      </c>
      <c r="H2" s="2" t="s">
        <v>57</v>
      </c>
      <c r="I2" s="2" t="s">
        <v>58</v>
      </c>
      <c r="J2" s="4">
        <v>0.4375</v>
      </c>
      <c r="K2" s="5">
        <v>0.43333333333333335</v>
      </c>
      <c r="L2" s="4">
        <v>0.25694444444444448</v>
      </c>
      <c r="M2" s="5">
        <v>0.26111111111111113</v>
      </c>
      <c r="N2" s="2" t="s">
        <v>315</v>
      </c>
      <c r="O2" s="2" t="s">
        <v>313</v>
      </c>
      <c r="P2" s="2">
        <v>715</v>
      </c>
      <c r="Q2" s="2">
        <v>570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44701</v>
      </c>
      <c r="B3" s="2" t="s">
        <v>21</v>
      </c>
      <c r="C3" s="6" t="s">
        <v>143</v>
      </c>
      <c r="D3" s="2" t="s">
        <v>22</v>
      </c>
      <c r="E3" s="2" t="s">
        <v>268</v>
      </c>
      <c r="F3" s="2" t="s">
        <v>23</v>
      </c>
      <c r="G3" s="3">
        <v>70000</v>
      </c>
      <c r="H3" s="6" t="s">
        <v>59</v>
      </c>
      <c r="I3" s="6" t="s">
        <v>60</v>
      </c>
      <c r="J3" s="7">
        <v>0.51388888888888895</v>
      </c>
      <c r="K3" s="8">
        <v>0.50069444444444444</v>
      </c>
      <c r="L3" s="7">
        <v>0.28125</v>
      </c>
      <c r="M3" s="9">
        <v>0.27777777777777779</v>
      </c>
      <c r="N3" s="2" t="s">
        <v>317</v>
      </c>
      <c r="O3" s="2" t="s">
        <v>314</v>
      </c>
      <c r="P3" s="10">
        <v>360</v>
      </c>
      <c r="Q3" s="10">
        <v>236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44701</v>
      </c>
      <c r="B4" s="2" t="s">
        <v>21</v>
      </c>
      <c r="C4" s="2" t="s">
        <v>61</v>
      </c>
      <c r="D4" s="2" t="s">
        <v>22</v>
      </c>
      <c r="E4" s="2" t="s">
        <v>42</v>
      </c>
      <c r="F4" s="2" t="s">
        <v>23</v>
      </c>
      <c r="G4" s="3">
        <v>70000</v>
      </c>
      <c r="H4" s="2" t="s">
        <v>62</v>
      </c>
      <c r="I4" s="2" t="s">
        <v>63</v>
      </c>
      <c r="J4" s="4">
        <v>0.60763888888888895</v>
      </c>
      <c r="K4" s="5">
        <v>0.60069444444444442</v>
      </c>
      <c r="L4" s="4">
        <v>0.45833333333333331</v>
      </c>
      <c r="M4" s="5">
        <v>0.47152777777777777</v>
      </c>
      <c r="N4" s="2" t="s">
        <v>306</v>
      </c>
      <c r="O4" s="2" t="s">
        <v>316</v>
      </c>
      <c r="P4" s="2">
        <v>718</v>
      </c>
      <c r="Q4" s="2">
        <v>480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44701</v>
      </c>
      <c r="B5" s="2" t="s">
        <v>21</v>
      </c>
      <c r="C5" s="2" t="s">
        <v>67</v>
      </c>
      <c r="D5" s="2" t="s">
        <v>22</v>
      </c>
      <c r="E5" s="2" t="s">
        <v>268</v>
      </c>
      <c r="F5" s="2" t="s">
        <v>23</v>
      </c>
      <c r="G5" s="3">
        <v>70000</v>
      </c>
      <c r="H5" s="2" t="s">
        <v>68</v>
      </c>
      <c r="I5" s="2" t="s">
        <v>69</v>
      </c>
      <c r="J5" s="4">
        <v>0.75347222222222221</v>
      </c>
      <c r="K5" s="5">
        <v>0.75208333333333333</v>
      </c>
      <c r="L5" s="4">
        <v>0.63888888888888895</v>
      </c>
      <c r="M5" s="5">
        <v>0.64236111111111105</v>
      </c>
      <c r="N5" s="2" t="s">
        <v>319</v>
      </c>
      <c r="O5" s="2" t="s">
        <v>318</v>
      </c>
      <c r="P5" s="2">
        <v>571</v>
      </c>
      <c r="Q5" s="2">
        <v>417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44701</v>
      </c>
      <c r="B6" s="2" t="s">
        <v>21</v>
      </c>
      <c r="C6" s="2" t="s">
        <v>70</v>
      </c>
      <c r="D6" s="2" t="s">
        <v>22</v>
      </c>
      <c r="E6" s="2" t="s">
        <v>268</v>
      </c>
      <c r="F6" s="2" t="s">
        <v>23</v>
      </c>
      <c r="G6" s="3">
        <v>70000</v>
      </c>
      <c r="H6" s="2" t="s">
        <v>65</v>
      </c>
      <c r="I6" s="2" t="s">
        <v>72</v>
      </c>
      <c r="J6" s="4">
        <v>0.94097222222222221</v>
      </c>
      <c r="K6" s="5">
        <v>2.361111111111111E-2</v>
      </c>
      <c r="L6" s="4">
        <v>0.77430555555555547</v>
      </c>
      <c r="M6" s="5">
        <v>0.85763888888888884</v>
      </c>
      <c r="N6" s="2" t="s">
        <v>322</v>
      </c>
      <c r="O6" s="2" t="s">
        <v>287</v>
      </c>
      <c r="P6" s="2">
        <v>822</v>
      </c>
      <c r="Q6" s="2">
        <v>868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44701</v>
      </c>
      <c r="B7" s="2" t="s">
        <v>21</v>
      </c>
      <c r="C7" s="2" t="s">
        <v>64</v>
      </c>
      <c r="D7" s="2" t="s">
        <v>22</v>
      </c>
      <c r="E7" s="2" t="s">
        <v>42</v>
      </c>
      <c r="F7" s="2" t="s">
        <v>23</v>
      </c>
      <c r="G7" s="3">
        <v>70000</v>
      </c>
      <c r="H7" s="2" t="s">
        <v>71</v>
      </c>
      <c r="I7" s="2" t="s">
        <v>66</v>
      </c>
      <c r="J7" s="4">
        <v>0.95833333333333337</v>
      </c>
      <c r="K7" s="5">
        <v>0.94097222222222221</v>
      </c>
      <c r="L7" s="4">
        <v>0.77430555555555547</v>
      </c>
      <c r="M7" s="5">
        <v>0.78333333333333333</v>
      </c>
      <c r="N7" s="2" t="s">
        <v>321</v>
      </c>
      <c r="O7" s="2" t="s">
        <v>320</v>
      </c>
      <c r="P7" s="2">
        <v>879</v>
      </c>
      <c r="Q7" s="2">
        <v>620</v>
      </c>
      <c r="R7" s="2">
        <v>0</v>
      </c>
      <c r="S7" s="2">
        <v>0</v>
      </c>
      <c r="T7" s="2">
        <v>0</v>
      </c>
      <c r="U7" s="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M27" sqref="M27"/>
    </sheetView>
  </sheetViews>
  <sheetFormatPr defaultRowHeight="15" x14ac:dyDescent="0.25"/>
  <cols>
    <col min="1" max="1" width="12.5703125" customWidth="1"/>
    <col min="2" max="2" width="18.28515625" customWidth="1"/>
    <col min="3" max="3" width="15.42578125" customWidth="1"/>
    <col min="4" max="4" width="8.140625" customWidth="1"/>
    <col min="5" max="5" width="14.42578125" customWidth="1"/>
    <col min="6" max="6" width="22.42578125" customWidth="1"/>
    <col min="7" max="7" width="9.28515625" bestFit="1" customWidth="1"/>
    <col min="10" max="10" width="9.28515625" bestFit="1" customWidth="1"/>
    <col min="12" max="12" width="9.28515625" bestFit="1" customWidth="1"/>
    <col min="17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44702</v>
      </c>
      <c r="B2" s="2" t="s">
        <v>21</v>
      </c>
      <c r="C2" s="2" t="s">
        <v>161</v>
      </c>
      <c r="D2" s="2" t="s">
        <v>22</v>
      </c>
      <c r="E2" s="2" t="s">
        <v>268</v>
      </c>
      <c r="F2" s="2" t="s">
        <v>23</v>
      </c>
      <c r="G2" s="3">
        <v>70000</v>
      </c>
      <c r="H2" s="2" t="s">
        <v>162</v>
      </c>
      <c r="I2" s="2" t="s">
        <v>163</v>
      </c>
      <c r="J2" s="4">
        <v>0.47222222222222227</v>
      </c>
      <c r="K2" s="5">
        <v>0.47361111111111115</v>
      </c>
      <c r="L2" s="4">
        <v>0.28125</v>
      </c>
      <c r="M2" s="5">
        <v>0.29444444444444445</v>
      </c>
      <c r="N2" s="2" t="s">
        <v>329</v>
      </c>
      <c r="O2" s="2" t="s">
        <v>51</v>
      </c>
      <c r="P2" s="32">
        <v>1145</v>
      </c>
      <c r="Q2" s="2">
        <v>770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44702</v>
      </c>
      <c r="B3" s="2" t="s">
        <v>21</v>
      </c>
      <c r="C3" s="2" t="s">
        <v>86</v>
      </c>
      <c r="D3" s="2" t="s">
        <v>22</v>
      </c>
      <c r="E3" s="2" t="s">
        <v>42</v>
      </c>
      <c r="F3" s="2" t="s">
        <v>23</v>
      </c>
      <c r="G3" s="3">
        <v>70000</v>
      </c>
      <c r="H3" s="2" t="s">
        <v>87</v>
      </c>
      <c r="I3" s="2" t="s">
        <v>88</v>
      </c>
      <c r="J3" s="4">
        <v>0.90625</v>
      </c>
      <c r="K3" s="5">
        <v>0.89722222222222225</v>
      </c>
      <c r="L3" s="4">
        <v>0.48958333333333331</v>
      </c>
      <c r="M3" s="5">
        <v>0.49027777777777781</v>
      </c>
      <c r="N3" s="2" t="s">
        <v>340</v>
      </c>
      <c r="O3" s="2" t="s">
        <v>338</v>
      </c>
      <c r="P3" s="2">
        <v>1362</v>
      </c>
      <c r="Q3" s="2">
        <v>770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44702</v>
      </c>
      <c r="B4" s="2" t="s">
        <v>21</v>
      </c>
      <c r="C4" s="2" t="s">
        <v>89</v>
      </c>
      <c r="D4" s="2" t="s">
        <v>22</v>
      </c>
      <c r="E4" s="2" t="s">
        <v>268</v>
      </c>
      <c r="F4" s="2" t="s">
        <v>23</v>
      </c>
      <c r="G4" s="3">
        <v>70000</v>
      </c>
      <c r="H4" s="2" t="s">
        <v>90</v>
      </c>
      <c r="I4" s="2" t="s">
        <v>91</v>
      </c>
      <c r="J4" s="4">
        <v>0.91319444444444453</v>
      </c>
      <c r="K4" s="5">
        <v>0.9</v>
      </c>
      <c r="L4" s="4">
        <v>0.50347222222222221</v>
      </c>
      <c r="M4" s="5">
        <v>0.51250000000000007</v>
      </c>
      <c r="N4" s="2" t="s">
        <v>151</v>
      </c>
      <c r="O4" s="2" t="s">
        <v>339</v>
      </c>
      <c r="P4" s="2">
        <v>1130</v>
      </c>
      <c r="Q4" s="2">
        <v>704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44702</v>
      </c>
      <c r="B5" s="2" t="s">
        <v>323</v>
      </c>
      <c r="C5" s="2" t="s">
        <v>324</v>
      </c>
      <c r="D5" s="2" t="s">
        <v>325</v>
      </c>
      <c r="E5" s="2" t="s">
        <v>326</v>
      </c>
      <c r="F5" s="2" t="s">
        <v>223</v>
      </c>
      <c r="G5" s="2">
        <v>1157</v>
      </c>
      <c r="H5" s="2" t="s">
        <v>119</v>
      </c>
      <c r="I5" s="2" t="s">
        <v>119</v>
      </c>
      <c r="J5" s="4">
        <v>0.47916666666666669</v>
      </c>
      <c r="K5" s="5">
        <v>0.4861111111111111</v>
      </c>
      <c r="L5" s="4">
        <v>0.52083333333333337</v>
      </c>
      <c r="M5" s="5">
        <v>0.52083333333333337</v>
      </c>
      <c r="N5" s="2">
        <v>1</v>
      </c>
      <c r="O5" s="2">
        <v>0</v>
      </c>
      <c r="P5" s="2" t="s">
        <v>119</v>
      </c>
      <c r="Q5" s="2" t="s">
        <v>119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44702</v>
      </c>
      <c r="B6" s="2" t="s">
        <v>327</v>
      </c>
      <c r="C6" s="2" t="s">
        <v>328</v>
      </c>
      <c r="D6" s="2" t="s">
        <v>331</v>
      </c>
      <c r="E6" s="2" t="s">
        <v>332</v>
      </c>
      <c r="F6" s="2" t="s">
        <v>330</v>
      </c>
      <c r="G6" s="2">
        <v>1338</v>
      </c>
      <c r="H6" s="2" t="s">
        <v>119</v>
      </c>
      <c r="I6" s="2" t="s">
        <v>119</v>
      </c>
      <c r="J6" s="4">
        <v>0.45833333333333331</v>
      </c>
      <c r="K6" s="5">
        <v>0.40763888888888888</v>
      </c>
      <c r="L6" s="2" t="s">
        <v>119</v>
      </c>
      <c r="M6" s="2" t="s">
        <v>119</v>
      </c>
      <c r="N6" s="2" t="s">
        <v>119</v>
      </c>
      <c r="O6" s="2" t="s">
        <v>119</v>
      </c>
      <c r="P6" s="2" t="s">
        <v>119</v>
      </c>
      <c r="Q6" s="2" t="s">
        <v>119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44702</v>
      </c>
      <c r="B7" s="2" t="s">
        <v>327</v>
      </c>
      <c r="C7" s="2" t="s">
        <v>328</v>
      </c>
      <c r="D7" s="2" t="s">
        <v>333</v>
      </c>
      <c r="E7" s="2" t="s">
        <v>334</v>
      </c>
      <c r="F7" s="2" t="s">
        <v>330</v>
      </c>
      <c r="G7" s="2">
        <v>1338</v>
      </c>
      <c r="H7" s="2" t="s">
        <v>119</v>
      </c>
      <c r="I7" s="2" t="s">
        <v>119</v>
      </c>
      <c r="J7" s="4">
        <v>0.45833333333333331</v>
      </c>
      <c r="K7" s="5">
        <v>0.4236111111111111</v>
      </c>
      <c r="L7" s="2" t="s">
        <v>119</v>
      </c>
      <c r="M7" s="2" t="s">
        <v>119</v>
      </c>
      <c r="N7" s="2" t="s">
        <v>119</v>
      </c>
      <c r="O7" s="2" t="s">
        <v>119</v>
      </c>
      <c r="P7" s="2" t="s">
        <v>119</v>
      </c>
      <c r="Q7" s="2" t="s">
        <v>119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12">
        <v>44702</v>
      </c>
      <c r="B8" s="2" t="s">
        <v>327</v>
      </c>
      <c r="C8" s="2" t="s">
        <v>328</v>
      </c>
      <c r="D8" s="2" t="s">
        <v>331</v>
      </c>
      <c r="E8" s="2" t="s">
        <v>335</v>
      </c>
      <c r="F8" s="2" t="s">
        <v>330</v>
      </c>
      <c r="G8" s="2">
        <v>1338</v>
      </c>
      <c r="H8" s="2" t="s">
        <v>119</v>
      </c>
      <c r="I8" s="2" t="s">
        <v>119</v>
      </c>
      <c r="J8" s="4">
        <v>0.45833333333333331</v>
      </c>
      <c r="K8" s="5">
        <v>0.4284722222222222</v>
      </c>
      <c r="L8" s="2" t="s">
        <v>119</v>
      </c>
      <c r="M8" s="2" t="s">
        <v>119</v>
      </c>
      <c r="N8" s="2" t="s">
        <v>119</v>
      </c>
      <c r="O8" s="2" t="s">
        <v>119</v>
      </c>
      <c r="P8" s="2" t="s">
        <v>119</v>
      </c>
      <c r="Q8" s="2" t="s">
        <v>119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12">
        <v>44702</v>
      </c>
      <c r="B9" s="2" t="s">
        <v>327</v>
      </c>
      <c r="C9" s="2" t="s">
        <v>328</v>
      </c>
      <c r="D9" s="2" t="s">
        <v>331</v>
      </c>
      <c r="E9" s="2" t="s">
        <v>336</v>
      </c>
      <c r="F9" s="2" t="s">
        <v>330</v>
      </c>
      <c r="G9" s="2">
        <v>1338</v>
      </c>
      <c r="H9" s="2" t="s">
        <v>119</v>
      </c>
      <c r="I9" s="2" t="s">
        <v>119</v>
      </c>
      <c r="J9" s="4">
        <v>0.45833333333333331</v>
      </c>
      <c r="K9" s="5">
        <v>0.42986111111111108</v>
      </c>
      <c r="L9" s="2" t="s">
        <v>119</v>
      </c>
      <c r="M9" s="2" t="s">
        <v>119</v>
      </c>
      <c r="N9" s="2" t="s">
        <v>119</v>
      </c>
      <c r="O9" s="2" t="s">
        <v>119</v>
      </c>
      <c r="P9" s="2" t="s">
        <v>119</v>
      </c>
      <c r="Q9" s="2" t="s">
        <v>119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5">
      <c r="A10" s="12">
        <v>44702</v>
      </c>
      <c r="B10" s="2" t="s">
        <v>327</v>
      </c>
      <c r="C10" s="2" t="s">
        <v>328</v>
      </c>
      <c r="D10" s="2" t="s">
        <v>333</v>
      </c>
      <c r="E10" s="2" t="s">
        <v>337</v>
      </c>
      <c r="F10" s="2" t="s">
        <v>330</v>
      </c>
      <c r="G10" s="2">
        <v>1338</v>
      </c>
      <c r="H10" s="2" t="s">
        <v>119</v>
      </c>
      <c r="I10" s="2" t="s">
        <v>119</v>
      </c>
      <c r="J10" s="4">
        <v>0.45833333333333331</v>
      </c>
      <c r="K10" s="5">
        <v>0.43958333333333338</v>
      </c>
      <c r="L10" s="2" t="s">
        <v>119</v>
      </c>
      <c r="M10" s="2" t="s">
        <v>119</v>
      </c>
      <c r="N10" s="2" t="s">
        <v>119</v>
      </c>
      <c r="O10" s="2" t="s">
        <v>119</v>
      </c>
      <c r="P10" s="2" t="s">
        <v>119</v>
      </c>
      <c r="Q10" s="2" t="s">
        <v>119</v>
      </c>
      <c r="R10" s="2">
        <v>0</v>
      </c>
      <c r="S10" s="2">
        <v>0</v>
      </c>
      <c r="T10" s="2">
        <v>0</v>
      </c>
      <c r="U10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opLeftCell="A4" workbookViewId="0">
      <selection activeCell="J39" sqref="J39"/>
    </sheetView>
  </sheetViews>
  <sheetFormatPr defaultRowHeight="15" x14ac:dyDescent="0.25"/>
  <cols>
    <col min="2" max="2" width="18.42578125" bestFit="1" customWidth="1"/>
    <col min="3" max="3" width="14.28515625" customWidth="1"/>
    <col min="6" max="6" width="16.5703125" bestFit="1" customWidth="1"/>
    <col min="8" max="8" width="10" customWidth="1"/>
    <col min="9" max="9" width="9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44703</v>
      </c>
      <c r="B2" s="6" t="s">
        <v>21</v>
      </c>
      <c r="C2" s="2" t="s">
        <v>24</v>
      </c>
      <c r="D2" s="2" t="s">
        <v>22</v>
      </c>
      <c r="E2" s="2" t="s">
        <v>255</v>
      </c>
      <c r="F2" s="2" t="s">
        <v>23</v>
      </c>
      <c r="G2" s="2">
        <v>70000</v>
      </c>
      <c r="H2" s="2" t="s">
        <v>25</v>
      </c>
      <c r="I2" s="2" t="s">
        <v>26</v>
      </c>
      <c r="J2" s="4">
        <v>0.45833333333333331</v>
      </c>
      <c r="K2" s="5">
        <v>0.44097222222222227</v>
      </c>
      <c r="L2" s="4">
        <v>0.25694444444444448</v>
      </c>
      <c r="M2" s="5">
        <v>0.25416666666666665</v>
      </c>
      <c r="N2" s="2" t="s">
        <v>343</v>
      </c>
      <c r="O2" s="2" t="s">
        <v>82</v>
      </c>
      <c r="P2" s="2">
        <v>792</v>
      </c>
      <c r="Q2" s="2">
        <v>671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44703</v>
      </c>
      <c r="B3" s="2" t="s">
        <v>21</v>
      </c>
      <c r="C3" s="2" t="s">
        <v>36</v>
      </c>
      <c r="D3" s="2" t="s">
        <v>22</v>
      </c>
      <c r="E3" s="2" t="s">
        <v>341</v>
      </c>
      <c r="F3" s="2" t="s">
        <v>23</v>
      </c>
      <c r="G3" s="2">
        <v>70000</v>
      </c>
      <c r="H3" s="2" t="s">
        <v>37</v>
      </c>
      <c r="I3" s="2" t="s">
        <v>38</v>
      </c>
      <c r="J3" s="4">
        <v>0.43402777777777773</v>
      </c>
      <c r="K3" s="5">
        <v>0.41875000000000001</v>
      </c>
      <c r="L3" s="4">
        <v>0.28472222222222221</v>
      </c>
      <c r="M3" s="5">
        <v>0.28402777777777777</v>
      </c>
      <c r="N3" s="2" t="s">
        <v>318</v>
      </c>
      <c r="O3" s="2" t="s">
        <v>277</v>
      </c>
      <c r="P3" s="2">
        <v>612</v>
      </c>
      <c r="Q3" s="2">
        <v>601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44703</v>
      </c>
      <c r="B4" s="6" t="s">
        <v>21</v>
      </c>
      <c r="C4" s="6" t="s">
        <v>27</v>
      </c>
      <c r="D4" s="6" t="s">
        <v>22</v>
      </c>
      <c r="E4" s="2" t="s">
        <v>341</v>
      </c>
      <c r="F4" s="6" t="s">
        <v>23</v>
      </c>
      <c r="G4" s="14">
        <v>70000</v>
      </c>
      <c r="H4" s="6" t="s">
        <v>28</v>
      </c>
      <c r="I4" s="6" t="s">
        <v>35</v>
      </c>
      <c r="J4" s="7">
        <v>0.61805555555555558</v>
      </c>
      <c r="K4" s="8">
        <v>0.60347222222222219</v>
      </c>
      <c r="L4" s="7">
        <v>0.46527777777777773</v>
      </c>
      <c r="M4" s="9">
        <v>0.46458333333333335</v>
      </c>
      <c r="N4" s="2" t="s">
        <v>345</v>
      </c>
      <c r="O4" s="2" t="s">
        <v>142</v>
      </c>
      <c r="P4" s="10">
        <v>219</v>
      </c>
      <c r="Q4" s="10">
        <v>195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44703</v>
      </c>
      <c r="B5" s="2" t="s">
        <v>21</v>
      </c>
      <c r="C5" s="2" t="s">
        <v>29</v>
      </c>
      <c r="D5" s="2" t="s">
        <v>22</v>
      </c>
      <c r="E5" s="2" t="s">
        <v>255</v>
      </c>
      <c r="F5" s="2" t="s">
        <v>23</v>
      </c>
      <c r="G5" s="3">
        <v>70000</v>
      </c>
      <c r="H5" s="2" t="s">
        <v>30</v>
      </c>
      <c r="I5" s="2" t="s">
        <v>31</v>
      </c>
      <c r="J5" s="4">
        <v>0.64583333333333337</v>
      </c>
      <c r="K5" s="5">
        <v>0.63680555555555551</v>
      </c>
      <c r="L5" s="4">
        <v>0.48958333333333331</v>
      </c>
      <c r="M5" s="5">
        <v>0.4861111111111111</v>
      </c>
      <c r="N5" s="2" t="s">
        <v>293</v>
      </c>
      <c r="O5" s="2" t="s">
        <v>342</v>
      </c>
      <c r="P5" s="2">
        <v>513</v>
      </c>
      <c r="Q5" s="2">
        <v>471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44703</v>
      </c>
      <c r="B6" s="2" t="s">
        <v>21</v>
      </c>
      <c r="C6" s="2" t="s">
        <v>41</v>
      </c>
      <c r="D6" s="2" t="s">
        <v>22</v>
      </c>
      <c r="E6" s="2" t="s">
        <v>341</v>
      </c>
      <c r="F6" s="2" t="s">
        <v>23</v>
      </c>
      <c r="G6" s="3">
        <v>70000</v>
      </c>
      <c r="H6" s="2" t="s">
        <v>39</v>
      </c>
      <c r="I6" s="2" t="s">
        <v>40</v>
      </c>
      <c r="J6" s="4">
        <v>0.86805555555555547</v>
      </c>
      <c r="K6" s="5">
        <v>0.85763888888888884</v>
      </c>
      <c r="L6" s="4">
        <v>0.63888888888888895</v>
      </c>
      <c r="M6" s="5">
        <v>0.65</v>
      </c>
      <c r="N6" s="2" t="s">
        <v>348</v>
      </c>
      <c r="O6" s="2" t="s">
        <v>346</v>
      </c>
      <c r="P6" s="2">
        <v>546</v>
      </c>
      <c r="Q6" s="2">
        <v>546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44703</v>
      </c>
      <c r="B7" s="2" t="s">
        <v>21</v>
      </c>
      <c r="C7" s="2" t="s">
        <v>32</v>
      </c>
      <c r="D7" s="2" t="s">
        <v>22</v>
      </c>
      <c r="E7" s="2" t="s">
        <v>255</v>
      </c>
      <c r="F7" s="2" t="s">
        <v>23</v>
      </c>
      <c r="G7" s="3">
        <v>70000</v>
      </c>
      <c r="H7" s="2" t="s">
        <v>33</v>
      </c>
      <c r="I7" s="2" t="s">
        <v>34</v>
      </c>
      <c r="J7" s="4">
        <v>0.90277777777777779</v>
      </c>
      <c r="K7" s="5">
        <v>0.88888888888888884</v>
      </c>
      <c r="L7" s="4">
        <v>0.66666666666666663</v>
      </c>
      <c r="M7" s="5">
        <v>0.67499999999999993</v>
      </c>
      <c r="N7" s="2" t="s">
        <v>349</v>
      </c>
      <c r="O7" s="2" t="s">
        <v>347</v>
      </c>
      <c r="P7" s="2">
        <v>618</v>
      </c>
      <c r="Q7" s="2">
        <v>604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12">
        <v>44703</v>
      </c>
      <c r="B8" s="2" t="s">
        <v>327</v>
      </c>
      <c r="C8" s="2" t="s">
        <v>344</v>
      </c>
      <c r="D8" s="2" t="s">
        <v>331</v>
      </c>
      <c r="E8" s="2" t="s">
        <v>334</v>
      </c>
      <c r="F8" s="2" t="s">
        <v>330</v>
      </c>
      <c r="G8" s="2">
        <v>1338</v>
      </c>
      <c r="H8" s="2" t="str">
        <f>E8</f>
        <v>YU-DPS</v>
      </c>
      <c r="I8" s="2" t="str">
        <f>E8</f>
        <v>YU-DPS</v>
      </c>
      <c r="J8" s="2" t="s">
        <v>119</v>
      </c>
      <c r="K8" s="5">
        <v>0.54513888888888895</v>
      </c>
      <c r="L8" s="2" t="s">
        <v>119</v>
      </c>
      <c r="M8" s="5">
        <v>0.4291666666666667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12">
        <v>44703</v>
      </c>
      <c r="B9" s="2" t="s">
        <v>327</v>
      </c>
      <c r="C9" s="2" t="s">
        <v>344</v>
      </c>
      <c r="D9" s="2" t="s">
        <v>333</v>
      </c>
      <c r="E9" s="2" t="s">
        <v>337</v>
      </c>
      <c r="F9" s="2" t="s">
        <v>330</v>
      </c>
      <c r="G9" s="2">
        <v>1338</v>
      </c>
      <c r="H9" s="2" t="str">
        <f t="shared" ref="H9:H11" si="0">E9</f>
        <v>YU-DPT</v>
      </c>
      <c r="I9" s="2" t="str">
        <f t="shared" ref="I9:I11" si="1">E9</f>
        <v>YU-DPT</v>
      </c>
      <c r="J9" s="2" t="s">
        <v>119</v>
      </c>
      <c r="K9" s="5">
        <v>0.54722222222222217</v>
      </c>
      <c r="L9" s="2" t="s">
        <v>119</v>
      </c>
      <c r="M9" s="5">
        <v>0.42986111111111108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5">
      <c r="A10" s="12">
        <v>44703</v>
      </c>
      <c r="B10" s="2" t="s">
        <v>327</v>
      </c>
      <c r="C10" s="2" t="s">
        <v>344</v>
      </c>
      <c r="D10" s="2" t="s">
        <v>331</v>
      </c>
      <c r="E10" s="2" t="s">
        <v>332</v>
      </c>
      <c r="F10" s="2" t="s">
        <v>330</v>
      </c>
      <c r="G10" s="2">
        <v>1338</v>
      </c>
      <c r="H10" s="2" t="str">
        <f t="shared" si="0"/>
        <v>YU-FLY</v>
      </c>
      <c r="I10" s="2" t="str">
        <f t="shared" si="1"/>
        <v>YU-FLY</v>
      </c>
      <c r="J10" s="2" t="s">
        <v>119</v>
      </c>
      <c r="K10" s="5">
        <v>0.54166666666666663</v>
      </c>
      <c r="L10" s="2" t="s">
        <v>119</v>
      </c>
      <c r="M10" s="5">
        <v>0.43124999999999997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5">
      <c r="A11" s="12">
        <v>44703</v>
      </c>
      <c r="B11" s="2" t="s">
        <v>327</v>
      </c>
      <c r="C11" s="2" t="s">
        <v>344</v>
      </c>
      <c r="D11" s="2" t="s">
        <v>331</v>
      </c>
      <c r="E11" s="2" t="s">
        <v>335</v>
      </c>
      <c r="F11" s="2" t="s">
        <v>330</v>
      </c>
      <c r="G11" s="2">
        <v>1338</v>
      </c>
      <c r="H11" s="2" t="str">
        <f t="shared" si="0"/>
        <v>YU-DEM</v>
      </c>
      <c r="I11" s="2" t="str">
        <f t="shared" si="1"/>
        <v>YU-DEM</v>
      </c>
      <c r="J11" s="2" t="s">
        <v>119</v>
      </c>
      <c r="K11" s="5">
        <v>0.53749999999999998</v>
      </c>
      <c r="L11" s="2" t="s">
        <v>119</v>
      </c>
      <c r="M11" s="5">
        <v>0.43194444444444446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</row>
    <row r="12" spans="1:21" x14ac:dyDescent="0.25">
      <c r="A12" s="12">
        <v>44703</v>
      </c>
      <c r="B12" s="2" t="s">
        <v>327</v>
      </c>
      <c r="C12" s="2" t="s">
        <v>344</v>
      </c>
      <c r="D12" s="2" t="s">
        <v>331</v>
      </c>
      <c r="E12" s="2" t="s">
        <v>336</v>
      </c>
      <c r="F12" s="2" t="s">
        <v>330</v>
      </c>
      <c r="G12" s="2">
        <v>1338</v>
      </c>
      <c r="H12" s="2" t="str">
        <f t="shared" ref="H12" si="2">E12</f>
        <v>YU-DPU</v>
      </c>
      <c r="I12" s="2" t="str">
        <f t="shared" ref="I12" si="3">E12</f>
        <v>YU-DPU</v>
      </c>
      <c r="J12" s="2" t="s">
        <v>119</v>
      </c>
      <c r="K12" s="5">
        <v>0.54583333333333328</v>
      </c>
      <c r="L12" s="2" t="s">
        <v>119</v>
      </c>
      <c r="M12" s="5">
        <v>0.43333333333333335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 spans="1:21" x14ac:dyDescent="0.25">
      <c r="A13" s="12">
        <v>44703</v>
      </c>
      <c r="B13" s="2" t="s">
        <v>327</v>
      </c>
      <c r="C13" s="2" t="s">
        <v>344</v>
      </c>
      <c r="D13" s="2" t="s">
        <v>331</v>
      </c>
      <c r="E13" s="2" t="s">
        <v>334</v>
      </c>
      <c r="F13" s="2" t="s">
        <v>330</v>
      </c>
      <c r="G13" s="2">
        <v>1338</v>
      </c>
      <c r="H13" s="2" t="str">
        <f>E13</f>
        <v>YU-DPS</v>
      </c>
      <c r="I13" s="2" t="str">
        <f>E13</f>
        <v>YU-DPS</v>
      </c>
      <c r="J13" s="2" t="s">
        <v>119</v>
      </c>
      <c r="K13" s="5">
        <v>0.71180555555555547</v>
      </c>
      <c r="L13" s="2" t="s">
        <v>119</v>
      </c>
      <c r="M13" s="5">
        <v>0.5854166666666667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</row>
    <row r="14" spans="1:21" x14ac:dyDescent="0.25">
      <c r="A14" s="12">
        <v>44703</v>
      </c>
      <c r="B14" s="2" t="s">
        <v>327</v>
      </c>
      <c r="C14" s="2" t="s">
        <v>344</v>
      </c>
      <c r="D14" s="2" t="s">
        <v>333</v>
      </c>
      <c r="E14" s="2" t="s">
        <v>337</v>
      </c>
      <c r="F14" s="2" t="s">
        <v>330</v>
      </c>
      <c r="G14" s="2">
        <v>1338</v>
      </c>
      <c r="H14" s="2" t="str">
        <f t="shared" ref="H14:H17" si="4">E14</f>
        <v>YU-DPT</v>
      </c>
      <c r="I14" s="2" t="str">
        <f t="shared" ref="I14:I17" si="5">E14</f>
        <v>YU-DPT</v>
      </c>
      <c r="J14" s="2" t="s">
        <v>119</v>
      </c>
      <c r="K14" s="5">
        <v>0.71527777777777779</v>
      </c>
      <c r="L14" s="2" t="s">
        <v>119</v>
      </c>
      <c r="M14" s="5">
        <v>0.58680555555555558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</row>
    <row r="15" spans="1:21" x14ac:dyDescent="0.25">
      <c r="A15" s="12">
        <v>44703</v>
      </c>
      <c r="B15" s="2" t="s">
        <v>327</v>
      </c>
      <c r="C15" s="2" t="s">
        <v>344</v>
      </c>
      <c r="D15" s="2" t="s">
        <v>331</v>
      </c>
      <c r="E15" s="2" t="s">
        <v>332</v>
      </c>
      <c r="F15" s="2" t="s">
        <v>330</v>
      </c>
      <c r="G15" s="2">
        <v>1338</v>
      </c>
      <c r="H15" s="2" t="str">
        <f t="shared" si="4"/>
        <v>YU-FLY</v>
      </c>
      <c r="I15" s="2" t="str">
        <f t="shared" si="5"/>
        <v>YU-FLY</v>
      </c>
      <c r="J15" s="2" t="s">
        <v>119</v>
      </c>
      <c r="K15" s="5">
        <v>0.71875</v>
      </c>
      <c r="L15" s="2" t="s">
        <v>119</v>
      </c>
      <c r="M15" s="5">
        <v>0.59375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</row>
    <row r="16" spans="1:21" x14ac:dyDescent="0.25">
      <c r="A16" s="12">
        <v>44703</v>
      </c>
      <c r="B16" s="2" t="s">
        <v>327</v>
      </c>
      <c r="C16" s="2" t="s">
        <v>344</v>
      </c>
      <c r="D16" s="2" t="s">
        <v>331</v>
      </c>
      <c r="E16" s="2" t="s">
        <v>335</v>
      </c>
      <c r="F16" s="2" t="s">
        <v>330</v>
      </c>
      <c r="G16" s="2">
        <v>1338</v>
      </c>
      <c r="H16" s="2" t="str">
        <f t="shared" si="4"/>
        <v>YU-DEM</v>
      </c>
      <c r="I16" s="2" t="str">
        <f t="shared" si="5"/>
        <v>YU-DEM</v>
      </c>
      <c r="J16" s="2" t="s">
        <v>119</v>
      </c>
      <c r="K16" s="5">
        <v>0.72013888888888899</v>
      </c>
      <c r="L16" s="2" t="s">
        <v>119</v>
      </c>
      <c r="M16" s="5">
        <v>0.58819444444444446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</row>
    <row r="17" spans="1:21" x14ac:dyDescent="0.25">
      <c r="A17" s="12">
        <v>44703</v>
      </c>
      <c r="B17" s="2" t="s">
        <v>327</v>
      </c>
      <c r="C17" s="2" t="s">
        <v>344</v>
      </c>
      <c r="D17" s="2" t="s">
        <v>331</v>
      </c>
      <c r="E17" s="2" t="s">
        <v>336</v>
      </c>
      <c r="F17" s="2" t="s">
        <v>330</v>
      </c>
      <c r="G17" s="2">
        <v>1338</v>
      </c>
      <c r="H17" s="2" t="str">
        <f t="shared" si="4"/>
        <v>YU-DPU</v>
      </c>
      <c r="I17" s="2" t="str">
        <f t="shared" si="5"/>
        <v>YU-DPU</v>
      </c>
      <c r="J17" s="2" t="s">
        <v>119</v>
      </c>
      <c r="K17" s="5">
        <v>0.72222222222222221</v>
      </c>
      <c r="L17" s="2" t="s">
        <v>119</v>
      </c>
      <c r="M17" s="5">
        <v>0.59513888888888888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workbookViewId="0">
      <selection sqref="A1:V7"/>
    </sheetView>
  </sheetViews>
  <sheetFormatPr defaultRowHeight="15" x14ac:dyDescent="0.25"/>
  <cols>
    <col min="1" max="1" width="8.7109375" bestFit="1" customWidth="1"/>
    <col min="2" max="2" width="18.42578125" bestFit="1" customWidth="1"/>
    <col min="3" max="3" width="14.42578125" customWidth="1"/>
    <col min="4" max="4" width="7.7109375" customWidth="1"/>
    <col min="5" max="5" width="10.7109375" customWidth="1"/>
    <col min="6" max="6" width="20.140625" customWidth="1"/>
    <col min="7" max="7" width="9.85546875" bestFit="1" customWidth="1"/>
    <col min="9" max="9" width="8.5703125" customWidth="1"/>
    <col min="10" max="10" width="7.7109375" customWidth="1"/>
    <col min="12" max="12" width="7.42578125" customWidth="1"/>
    <col min="13" max="13" width="9.28515625" bestFit="1" customWidth="1"/>
    <col min="17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44704</v>
      </c>
      <c r="B2" s="2" t="s">
        <v>21</v>
      </c>
      <c r="C2" s="2" t="s">
        <v>56</v>
      </c>
      <c r="D2" s="2" t="s">
        <v>22</v>
      </c>
      <c r="E2" s="2" t="s">
        <v>268</v>
      </c>
      <c r="F2" s="2" t="s">
        <v>23</v>
      </c>
      <c r="G2" s="3">
        <v>70000</v>
      </c>
      <c r="H2" s="2" t="s">
        <v>57</v>
      </c>
      <c r="I2" s="2" t="s">
        <v>58</v>
      </c>
      <c r="J2" s="4">
        <v>0.4375</v>
      </c>
      <c r="K2" s="5">
        <v>0.44027777777777777</v>
      </c>
      <c r="L2" s="4">
        <v>0.25694444444444448</v>
      </c>
      <c r="M2" s="5">
        <v>0.25833333333333336</v>
      </c>
      <c r="N2" s="2" t="s">
        <v>80</v>
      </c>
      <c r="O2" s="2" t="s">
        <v>350</v>
      </c>
      <c r="P2" s="2">
        <v>915</v>
      </c>
      <c r="Q2" s="2">
        <v>661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44704</v>
      </c>
      <c r="B3" s="2" t="s">
        <v>21</v>
      </c>
      <c r="C3" s="6" t="s">
        <v>143</v>
      </c>
      <c r="D3" s="2" t="s">
        <v>22</v>
      </c>
      <c r="E3" s="2" t="s">
        <v>42</v>
      </c>
      <c r="F3" s="2" t="s">
        <v>23</v>
      </c>
      <c r="G3" s="3">
        <v>70000</v>
      </c>
      <c r="H3" s="6" t="s">
        <v>59</v>
      </c>
      <c r="I3" s="6" t="s">
        <v>60</v>
      </c>
      <c r="J3" s="7">
        <v>0.51388888888888895</v>
      </c>
      <c r="K3" s="8">
        <v>0.50208333333333333</v>
      </c>
      <c r="L3" s="7">
        <v>0.28125</v>
      </c>
      <c r="M3" s="9">
        <v>0.28402777777777777</v>
      </c>
      <c r="N3" s="2" t="s">
        <v>351</v>
      </c>
      <c r="O3" s="2" t="s">
        <v>239</v>
      </c>
      <c r="P3" s="10">
        <v>547</v>
      </c>
      <c r="Q3" s="10">
        <v>439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44704</v>
      </c>
      <c r="B4" s="2" t="s">
        <v>21</v>
      </c>
      <c r="C4" s="2" t="s">
        <v>61</v>
      </c>
      <c r="D4" s="2" t="s">
        <v>22</v>
      </c>
      <c r="E4" s="2" t="s">
        <v>268</v>
      </c>
      <c r="F4" s="2" t="s">
        <v>23</v>
      </c>
      <c r="G4" s="3">
        <v>70000</v>
      </c>
      <c r="H4" s="2" t="s">
        <v>62</v>
      </c>
      <c r="I4" s="2" t="s">
        <v>63</v>
      </c>
      <c r="J4" s="4">
        <v>0.60763888888888895</v>
      </c>
      <c r="K4" s="5">
        <v>0.61388888888888882</v>
      </c>
      <c r="L4" s="4">
        <v>0.45833333333333331</v>
      </c>
      <c r="M4" s="5">
        <v>0.47291666666666665</v>
      </c>
      <c r="N4" s="2" t="s">
        <v>353</v>
      </c>
      <c r="O4" s="2" t="s">
        <v>352</v>
      </c>
      <c r="P4" s="2">
        <v>389</v>
      </c>
      <c r="Q4" s="2">
        <v>323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44704</v>
      </c>
      <c r="B5" s="2" t="s">
        <v>21</v>
      </c>
      <c r="C5" s="2" t="s">
        <v>64</v>
      </c>
      <c r="D5" s="2" t="s">
        <v>22</v>
      </c>
      <c r="E5" s="2" t="s">
        <v>42</v>
      </c>
      <c r="F5" s="2" t="s">
        <v>23</v>
      </c>
      <c r="G5" s="3">
        <v>70000</v>
      </c>
      <c r="H5" s="2" t="s">
        <v>68</v>
      </c>
      <c r="I5" s="2" t="s">
        <v>69</v>
      </c>
      <c r="J5" s="4">
        <v>0.94444444444444453</v>
      </c>
      <c r="K5" s="5">
        <v>0.99722222222222223</v>
      </c>
      <c r="L5" s="4">
        <v>0.54513888888888895</v>
      </c>
      <c r="M5" s="5">
        <v>0.54513888888888895</v>
      </c>
      <c r="N5" s="2" t="s">
        <v>355</v>
      </c>
      <c r="O5" s="2" t="s">
        <v>307</v>
      </c>
      <c r="P5" s="2">
        <v>776</v>
      </c>
      <c r="Q5" s="2">
        <v>916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44704</v>
      </c>
      <c r="B6" s="2" t="s">
        <v>21</v>
      </c>
      <c r="C6" s="2" t="s">
        <v>67</v>
      </c>
      <c r="D6" s="2" t="s">
        <v>22</v>
      </c>
      <c r="E6" s="2" t="s">
        <v>268</v>
      </c>
      <c r="F6" s="2" t="s">
        <v>23</v>
      </c>
      <c r="G6" s="3">
        <v>70000</v>
      </c>
      <c r="H6" s="2" t="s">
        <v>65</v>
      </c>
      <c r="I6" s="2" t="s">
        <v>66</v>
      </c>
      <c r="J6" s="4">
        <v>0.75694444444444453</v>
      </c>
      <c r="K6" s="5">
        <v>0.75069444444444444</v>
      </c>
      <c r="L6" s="4">
        <v>0.64236111111111105</v>
      </c>
      <c r="M6" s="5">
        <v>0.64583333333333337</v>
      </c>
      <c r="N6" s="2" t="s">
        <v>112</v>
      </c>
      <c r="O6" s="2" t="s">
        <v>274</v>
      </c>
      <c r="P6" s="2">
        <v>316</v>
      </c>
      <c r="Q6" s="2">
        <v>461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44704</v>
      </c>
      <c r="B7" s="2" t="s">
        <v>21</v>
      </c>
      <c r="C7" s="2" t="s">
        <v>70</v>
      </c>
      <c r="D7" s="2" t="s">
        <v>22</v>
      </c>
      <c r="E7" s="2" t="s">
        <v>268</v>
      </c>
      <c r="F7" s="2" t="s">
        <v>23</v>
      </c>
      <c r="G7" s="3">
        <v>70000</v>
      </c>
      <c r="H7" s="2" t="s">
        <v>71</v>
      </c>
      <c r="I7" s="2" t="s">
        <v>72</v>
      </c>
      <c r="J7" s="4">
        <v>0.95833333333333337</v>
      </c>
      <c r="K7" s="5">
        <v>0.96527777777777779</v>
      </c>
      <c r="L7" s="4">
        <v>0.77777777777777779</v>
      </c>
      <c r="M7" s="5">
        <v>0.77777777777777779</v>
      </c>
      <c r="N7" s="2" t="s">
        <v>352</v>
      </c>
      <c r="O7" s="2" t="s">
        <v>354</v>
      </c>
      <c r="P7" s="2">
        <v>630</v>
      </c>
      <c r="Q7" s="2">
        <v>495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12">
        <v>44704</v>
      </c>
      <c r="B8" s="2" t="s">
        <v>327</v>
      </c>
      <c r="C8" s="2" t="s">
        <v>344</v>
      </c>
      <c r="D8" s="2" t="s">
        <v>331</v>
      </c>
      <c r="E8" s="2" t="s">
        <v>335</v>
      </c>
      <c r="F8" s="2" t="s">
        <v>330</v>
      </c>
      <c r="G8" s="2">
        <v>1338</v>
      </c>
      <c r="H8" s="2" t="str">
        <f>E8</f>
        <v>YU-DEM</v>
      </c>
      <c r="I8" s="2" t="str">
        <f>E8</f>
        <v>YU-DEM</v>
      </c>
      <c r="J8" s="2" t="s">
        <v>119</v>
      </c>
      <c r="K8" s="5">
        <v>0.52777777777777779</v>
      </c>
      <c r="L8" s="2" t="s">
        <v>119</v>
      </c>
      <c r="M8" s="5">
        <v>0.4291666666666667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12">
        <v>44704</v>
      </c>
      <c r="B9" s="2" t="s">
        <v>327</v>
      </c>
      <c r="C9" s="2" t="s">
        <v>344</v>
      </c>
      <c r="D9" s="2" t="s">
        <v>333</v>
      </c>
      <c r="E9" s="2" t="s">
        <v>334</v>
      </c>
      <c r="F9" s="2" t="s">
        <v>330</v>
      </c>
      <c r="G9" s="2">
        <v>1338</v>
      </c>
      <c r="H9" s="2" t="str">
        <f t="shared" ref="H9:H12" si="0">E9</f>
        <v>YU-DPS</v>
      </c>
      <c r="I9" s="2" t="str">
        <f t="shared" ref="I9:I12" si="1">E9</f>
        <v>YU-DPS</v>
      </c>
      <c r="J9" s="2" t="s">
        <v>119</v>
      </c>
      <c r="K9" s="5">
        <v>0.53333333333333333</v>
      </c>
      <c r="L9" s="2" t="s">
        <v>119</v>
      </c>
      <c r="M9" s="5">
        <v>0.42986111111111108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5">
      <c r="A10" s="12">
        <v>44704</v>
      </c>
      <c r="B10" s="2" t="s">
        <v>327</v>
      </c>
      <c r="C10" s="2" t="s">
        <v>344</v>
      </c>
      <c r="D10" s="2" t="s">
        <v>331</v>
      </c>
      <c r="E10" s="2" t="s">
        <v>337</v>
      </c>
      <c r="F10" s="2" t="s">
        <v>330</v>
      </c>
      <c r="G10" s="2">
        <v>1338</v>
      </c>
      <c r="H10" s="2" t="str">
        <f t="shared" si="0"/>
        <v>YU-DPT</v>
      </c>
      <c r="I10" s="2" t="str">
        <f t="shared" si="1"/>
        <v>YU-DPT</v>
      </c>
      <c r="J10" s="2" t="s">
        <v>119</v>
      </c>
      <c r="K10" s="5">
        <v>0.53055555555555556</v>
      </c>
      <c r="L10" s="2" t="s">
        <v>119</v>
      </c>
      <c r="M10" s="5">
        <v>0.43055555555555558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5">
      <c r="A11" s="12">
        <v>44704</v>
      </c>
      <c r="B11" s="2" t="s">
        <v>327</v>
      </c>
      <c r="C11" s="2" t="s">
        <v>344</v>
      </c>
      <c r="D11" s="2" t="s">
        <v>331</v>
      </c>
      <c r="E11" s="2" t="s">
        <v>336</v>
      </c>
      <c r="F11" s="2" t="s">
        <v>330</v>
      </c>
      <c r="G11" s="2">
        <v>1338</v>
      </c>
      <c r="H11" s="2" t="str">
        <f t="shared" si="0"/>
        <v>YU-DPU</v>
      </c>
      <c r="I11" s="2" t="str">
        <f t="shared" si="1"/>
        <v>YU-DPU</v>
      </c>
      <c r="J11" s="2" t="s">
        <v>119</v>
      </c>
      <c r="K11" s="5">
        <v>0.53055555555555556</v>
      </c>
      <c r="L11" s="2" t="s">
        <v>119</v>
      </c>
      <c r="M11" s="5">
        <v>0.43194444444444446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</row>
    <row r="12" spans="1:21" x14ac:dyDescent="0.25">
      <c r="A12" s="12">
        <v>44704</v>
      </c>
      <c r="B12" s="2" t="s">
        <v>327</v>
      </c>
      <c r="C12" s="2" t="s">
        <v>344</v>
      </c>
      <c r="D12" s="2" t="s">
        <v>331</v>
      </c>
      <c r="E12" s="2" t="s">
        <v>332</v>
      </c>
      <c r="F12" s="2" t="s">
        <v>330</v>
      </c>
      <c r="G12" s="2">
        <v>1338</v>
      </c>
      <c r="H12" s="2" t="str">
        <f t="shared" si="0"/>
        <v>YU-FLY</v>
      </c>
      <c r="I12" s="2" t="str">
        <f t="shared" si="1"/>
        <v>YU-FLY</v>
      </c>
      <c r="J12" s="2" t="s">
        <v>119</v>
      </c>
      <c r="K12" s="5">
        <v>0.44444444444444442</v>
      </c>
      <c r="L12" s="2" t="s">
        <v>119</v>
      </c>
      <c r="M12" s="5">
        <v>0.43263888888888885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 spans="1:21" x14ac:dyDescent="0.25">
      <c r="A13" s="12">
        <v>44704</v>
      </c>
      <c r="B13" s="2" t="s">
        <v>327</v>
      </c>
      <c r="C13" s="2" t="s">
        <v>344</v>
      </c>
      <c r="D13" s="2" t="s">
        <v>331</v>
      </c>
      <c r="E13" s="2" t="s">
        <v>332</v>
      </c>
      <c r="F13" s="2" t="s">
        <v>330</v>
      </c>
      <c r="G13" s="2">
        <v>1338</v>
      </c>
      <c r="H13" s="2" t="str">
        <f t="shared" ref="H13" si="2">E13</f>
        <v>YU-FLY</v>
      </c>
      <c r="I13" s="2" t="str">
        <f t="shared" ref="I13" si="3">E13</f>
        <v>YU-FLY</v>
      </c>
      <c r="J13" s="2" t="s">
        <v>119</v>
      </c>
      <c r="K13" s="5">
        <v>0.59861111111111109</v>
      </c>
      <c r="L13" s="2" t="s">
        <v>119</v>
      </c>
      <c r="M13" s="5">
        <v>0.47916666666666669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</row>
    <row r="14" spans="1:21" x14ac:dyDescent="0.25">
      <c r="A14" s="12">
        <v>44704</v>
      </c>
      <c r="B14" s="2" t="s">
        <v>327</v>
      </c>
      <c r="C14" s="2" t="s">
        <v>344</v>
      </c>
      <c r="D14" s="2" t="s">
        <v>331</v>
      </c>
      <c r="E14" s="2" t="s">
        <v>335</v>
      </c>
      <c r="F14" s="2" t="s">
        <v>330</v>
      </c>
      <c r="G14" s="2">
        <v>1338</v>
      </c>
      <c r="H14" s="2" t="str">
        <f>E14</f>
        <v>YU-DEM</v>
      </c>
      <c r="I14" s="2" t="s">
        <v>337</v>
      </c>
      <c r="J14" s="2" t="s">
        <v>119</v>
      </c>
      <c r="K14" s="5"/>
      <c r="L14" s="2" t="s">
        <v>119</v>
      </c>
      <c r="M14" s="5">
        <v>0.59236111111111112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</row>
    <row r="15" spans="1:21" x14ac:dyDescent="0.25">
      <c r="A15" s="12"/>
    </row>
    <row r="16" spans="1:21" x14ac:dyDescent="0.25">
      <c r="A16" s="12"/>
    </row>
    <row r="17" spans="1:1" x14ac:dyDescent="0.25">
      <c r="A17" s="12"/>
    </row>
    <row r="18" spans="1:1" x14ac:dyDescent="0.25">
      <c r="A18" s="12"/>
    </row>
    <row r="19" spans="1:1" x14ac:dyDescent="0.25">
      <c r="A19" s="12"/>
    </row>
    <row r="20" spans="1:1" x14ac:dyDescent="0.25">
      <c r="A20" s="12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sqref="A1:XFD5"/>
    </sheetView>
  </sheetViews>
  <sheetFormatPr defaultRowHeight="15" x14ac:dyDescent="0.25"/>
  <cols>
    <col min="1" max="1" width="8.7109375" bestFit="1" customWidth="1"/>
    <col min="2" max="2" width="18.42578125" bestFit="1" customWidth="1"/>
    <col min="3" max="3" width="14.85546875" customWidth="1"/>
    <col min="6" max="6" width="12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16" customFormat="1" ht="12.75" x14ac:dyDescent="0.2">
      <c r="A2" s="27">
        <v>44705</v>
      </c>
      <c r="B2" s="1" t="s">
        <v>21</v>
      </c>
      <c r="C2" s="1" t="s">
        <v>24</v>
      </c>
      <c r="D2" s="1" t="s">
        <v>22</v>
      </c>
      <c r="E2" s="1" t="s">
        <v>42</v>
      </c>
      <c r="F2" s="1" t="s">
        <v>23</v>
      </c>
      <c r="G2" s="28">
        <v>70000</v>
      </c>
      <c r="H2" s="29" t="s">
        <v>25</v>
      </c>
      <c r="I2" s="29" t="s">
        <v>26</v>
      </c>
      <c r="J2" s="30">
        <v>0.45833333333333331</v>
      </c>
      <c r="K2" s="31">
        <v>0.45069444444444445</v>
      </c>
      <c r="L2" s="30">
        <v>0.25694444444444448</v>
      </c>
      <c r="M2" s="31">
        <v>0.2638888888888889</v>
      </c>
      <c r="N2" s="1" t="s">
        <v>358</v>
      </c>
      <c r="O2" s="1" t="s">
        <v>356</v>
      </c>
      <c r="P2" s="1">
        <v>232</v>
      </c>
      <c r="Q2" s="1">
        <v>290</v>
      </c>
      <c r="R2" s="1">
        <v>0</v>
      </c>
      <c r="S2" s="1">
        <v>0</v>
      </c>
      <c r="T2" s="1">
        <v>0</v>
      </c>
      <c r="U2" s="1">
        <v>0</v>
      </c>
    </row>
    <row r="3" spans="1:21" s="16" customFormat="1" ht="12.75" x14ac:dyDescent="0.2">
      <c r="A3" s="15">
        <v>44705</v>
      </c>
      <c r="B3" s="2" t="s">
        <v>21</v>
      </c>
      <c r="C3" s="2" t="s">
        <v>161</v>
      </c>
      <c r="D3" s="2" t="s">
        <v>22</v>
      </c>
      <c r="E3" s="2" t="s">
        <v>268</v>
      </c>
      <c r="F3" s="16" t="s">
        <v>23</v>
      </c>
      <c r="G3" s="23">
        <v>70000</v>
      </c>
      <c r="H3" s="16" t="s">
        <v>162</v>
      </c>
      <c r="I3" s="16" t="s">
        <v>163</v>
      </c>
      <c r="J3" s="19">
        <v>0.47222222222222227</v>
      </c>
      <c r="K3" s="18">
        <v>0.48819444444444443</v>
      </c>
      <c r="L3" s="19">
        <v>0.28125</v>
      </c>
      <c r="M3" s="18">
        <v>0.29236111111111113</v>
      </c>
      <c r="N3" s="2" t="s">
        <v>278</v>
      </c>
      <c r="O3" s="16" t="s">
        <v>357</v>
      </c>
      <c r="P3" s="24">
        <v>543</v>
      </c>
      <c r="Q3" s="16">
        <v>617</v>
      </c>
      <c r="R3" s="16">
        <v>0</v>
      </c>
      <c r="S3" s="16">
        <v>0</v>
      </c>
      <c r="T3" s="16">
        <v>0</v>
      </c>
      <c r="U3" s="16">
        <v>0</v>
      </c>
    </row>
    <row r="4" spans="1:21" s="16" customFormat="1" ht="12.75" x14ac:dyDescent="0.2">
      <c r="A4" s="15">
        <v>44705</v>
      </c>
      <c r="B4" s="2" t="s">
        <v>21</v>
      </c>
      <c r="C4" s="16" t="s">
        <v>86</v>
      </c>
      <c r="D4" s="16" t="s">
        <v>22</v>
      </c>
      <c r="E4" s="2" t="s">
        <v>42</v>
      </c>
      <c r="F4" s="16" t="s">
        <v>23</v>
      </c>
      <c r="G4" s="25">
        <v>70000</v>
      </c>
      <c r="H4" s="16" t="s">
        <v>87</v>
      </c>
      <c r="I4" s="16" t="s">
        <v>88</v>
      </c>
      <c r="J4" s="19">
        <v>0.90625</v>
      </c>
      <c r="K4" s="5">
        <v>0.90694444444444444</v>
      </c>
      <c r="L4" s="4">
        <v>0.48958333333333331</v>
      </c>
      <c r="M4" s="5">
        <v>0.49444444444444446</v>
      </c>
      <c r="N4" s="2" t="s">
        <v>296</v>
      </c>
      <c r="O4" s="2" t="s">
        <v>359</v>
      </c>
      <c r="P4" s="2">
        <v>889</v>
      </c>
      <c r="Q4" s="16">
        <v>605</v>
      </c>
      <c r="R4" s="16">
        <v>0</v>
      </c>
      <c r="S4" s="16">
        <v>0</v>
      </c>
      <c r="T4" s="16">
        <v>0</v>
      </c>
      <c r="U4" s="16">
        <v>0</v>
      </c>
    </row>
    <row r="5" spans="1:21" s="16" customFormat="1" ht="12.75" x14ac:dyDescent="0.2">
      <c r="A5" s="15">
        <v>44705</v>
      </c>
      <c r="B5" s="2" t="s">
        <v>21</v>
      </c>
      <c r="C5" s="26" t="s">
        <v>89</v>
      </c>
      <c r="D5" s="16" t="s">
        <v>22</v>
      </c>
      <c r="E5" s="2" t="s">
        <v>268</v>
      </c>
      <c r="F5" s="16" t="s">
        <v>23</v>
      </c>
      <c r="G5" s="25">
        <v>70000</v>
      </c>
      <c r="H5" s="16" t="s">
        <v>90</v>
      </c>
      <c r="I5" s="16" t="s">
        <v>91</v>
      </c>
      <c r="J5" s="19">
        <v>0.91319444444444453</v>
      </c>
      <c r="K5" s="5">
        <v>4.8611111111111112E-3</v>
      </c>
      <c r="L5" s="4">
        <v>0.50347222222222221</v>
      </c>
      <c r="M5" s="5">
        <v>0.57708333333333328</v>
      </c>
      <c r="N5" s="2" t="s">
        <v>361</v>
      </c>
      <c r="O5" s="2" t="s">
        <v>360</v>
      </c>
      <c r="P5" s="2">
        <v>583</v>
      </c>
      <c r="Q5" s="16">
        <v>451</v>
      </c>
      <c r="R5" s="16">
        <v>0</v>
      </c>
      <c r="S5" s="16">
        <v>0</v>
      </c>
      <c r="T5" s="16">
        <v>0</v>
      </c>
      <c r="U5" s="16">
        <v>0</v>
      </c>
    </row>
    <row r="6" spans="1:21" s="16" customFormat="1" ht="12.75" x14ac:dyDescent="0.2">
      <c r="A6" s="15">
        <v>44705</v>
      </c>
      <c r="B6" s="2" t="s">
        <v>327</v>
      </c>
      <c r="C6" s="2" t="s">
        <v>344</v>
      </c>
      <c r="D6" s="2" t="s">
        <v>331</v>
      </c>
      <c r="E6" s="2" t="s">
        <v>335</v>
      </c>
      <c r="F6" s="2" t="s">
        <v>330</v>
      </c>
      <c r="G6" s="2">
        <v>1338</v>
      </c>
      <c r="H6" s="2" t="str">
        <f>E6</f>
        <v>YU-DEM</v>
      </c>
      <c r="I6" s="2" t="str">
        <f>E6</f>
        <v>YU-DEM</v>
      </c>
      <c r="J6" s="2" t="s">
        <v>119</v>
      </c>
      <c r="K6" s="5">
        <v>0.60625000000000007</v>
      </c>
      <c r="L6" s="2" t="s">
        <v>119</v>
      </c>
      <c r="M6" s="5">
        <v>0.50138888888888888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s="16" customFormat="1" ht="12.75" x14ac:dyDescent="0.2">
      <c r="A7" s="15">
        <v>44705</v>
      </c>
      <c r="B7" s="2" t="s">
        <v>327</v>
      </c>
      <c r="C7" s="2" t="s">
        <v>344</v>
      </c>
      <c r="D7" s="2" t="s">
        <v>333</v>
      </c>
      <c r="E7" s="2" t="s">
        <v>334</v>
      </c>
      <c r="F7" s="2" t="s">
        <v>330</v>
      </c>
      <c r="G7" s="2">
        <v>1338</v>
      </c>
      <c r="H7" s="2" t="str">
        <f t="shared" ref="H7:H10" si="0">E7</f>
        <v>YU-DPS</v>
      </c>
      <c r="I7" s="2" t="str">
        <f t="shared" ref="I7:I10" si="1">E7</f>
        <v>YU-DPS</v>
      </c>
      <c r="J7" s="2" t="s">
        <v>119</v>
      </c>
      <c r="K7" s="5">
        <v>0.60833333333333328</v>
      </c>
      <c r="L7" s="2" t="s">
        <v>119</v>
      </c>
      <c r="M7" s="5">
        <v>0.50208333333333333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15">
        <v>44705</v>
      </c>
      <c r="B8" s="2" t="s">
        <v>327</v>
      </c>
      <c r="C8" s="2" t="s">
        <v>344</v>
      </c>
      <c r="D8" s="2" t="s">
        <v>331</v>
      </c>
      <c r="E8" s="2" t="s">
        <v>337</v>
      </c>
      <c r="F8" s="2" t="s">
        <v>330</v>
      </c>
      <c r="G8" s="2">
        <v>1338</v>
      </c>
      <c r="H8" s="2" t="str">
        <f t="shared" si="0"/>
        <v>YU-DPT</v>
      </c>
      <c r="I8" s="2" t="str">
        <f t="shared" si="1"/>
        <v>YU-DPT</v>
      </c>
      <c r="J8" s="2" t="s">
        <v>119</v>
      </c>
      <c r="K8" s="5">
        <v>0.65625</v>
      </c>
      <c r="L8" s="2" t="s">
        <v>119</v>
      </c>
      <c r="M8" s="5">
        <v>0.5541666666666667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15">
        <v>44705</v>
      </c>
      <c r="B9" s="2" t="s">
        <v>327</v>
      </c>
      <c r="C9" s="2" t="s">
        <v>344</v>
      </c>
      <c r="D9" s="2" t="s">
        <v>331</v>
      </c>
      <c r="E9" s="2" t="s">
        <v>336</v>
      </c>
      <c r="F9" s="2" t="s">
        <v>330</v>
      </c>
      <c r="G9" s="2">
        <v>1338</v>
      </c>
      <c r="H9" s="2" t="str">
        <f t="shared" si="0"/>
        <v>YU-DPU</v>
      </c>
      <c r="I9" s="2" t="str">
        <f t="shared" si="1"/>
        <v>YU-DPU</v>
      </c>
      <c r="J9" s="2" t="s">
        <v>119</v>
      </c>
      <c r="K9" s="5">
        <v>0.60902777777777783</v>
      </c>
      <c r="L9" s="2" t="s">
        <v>119</v>
      </c>
      <c r="M9" s="5">
        <v>0.50486111111111109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5">
      <c r="A10" s="15">
        <v>44705</v>
      </c>
      <c r="B10" s="2" t="s">
        <v>327</v>
      </c>
      <c r="C10" s="2" t="s">
        <v>344</v>
      </c>
      <c r="D10" s="2" t="s">
        <v>331</v>
      </c>
      <c r="E10" s="2" t="s">
        <v>332</v>
      </c>
      <c r="F10" s="2" t="s">
        <v>330</v>
      </c>
      <c r="G10" s="2">
        <v>1338</v>
      </c>
      <c r="H10" s="2" t="str">
        <f t="shared" si="0"/>
        <v>YU-FLY</v>
      </c>
      <c r="I10" s="2" t="str">
        <f t="shared" si="1"/>
        <v>YU-FLY</v>
      </c>
      <c r="J10" s="2" t="s">
        <v>119</v>
      </c>
      <c r="K10" s="5">
        <v>0.61041666666666672</v>
      </c>
      <c r="L10" s="2" t="s">
        <v>119</v>
      </c>
      <c r="M10" s="5">
        <v>0.50624999999999998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5">
      <c r="A11" s="15"/>
      <c r="B11" s="2"/>
      <c r="C11" s="2"/>
      <c r="D11" s="2"/>
      <c r="E11" s="2"/>
      <c r="F11" s="2"/>
      <c r="G11" s="2"/>
      <c r="H11" s="2"/>
      <c r="I11" s="2"/>
      <c r="J11" s="2"/>
      <c r="K11" s="5"/>
      <c r="L11" s="2"/>
      <c r="M11" s="5"/>
      <c r="N11" s="2"/>
      <c r="O11" s="2"/>
      <c r="P11" s="2"/>
      <c r="Q11" s="2"/>
      <c r="R11" s="2"/>
      <c r="S11" s="2"/>
      <c r="T11" s="2"/>
      <c r="U11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9" sqref="K9"/>
    </sheetView>
  </sheetViews>
  <sheetFormatPr defaultRowHeight="15" x14ac:dyDescent="0.25"/>
  <cols>
    <col min="3" max="3" width="13.140625" customWidth="1"/>
    <col min="6" max="6" width="12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5">
        <v>44706</v>
      </c>
      <c r="B2" s="16" t="s">
        <v>21</v>
      </c>
      <c r="C2" s="16" t="s">
        <v>56</v>
      </c>
      <c r="D2" s="16" t="s">
        <v>22</v>
      </c>
      <c r="E2" s="16" t="s">
        <v>268</v>
      </c>
      <c r="F2" s="2" t="s">
        <v>23</v>
      </c>
      <c r="G2" s="16">
        <v>70000</v>
      </c>
      <c r="H2" s="16" t="s">
        <v>57</v>
      </c>
      <c r="I2" s="16" t="s">
        <v>58</v>
      </c>
      <c r="J2" s="19">
        <v>0.42708333333333331</v>
      </c>
      <c r="K2" s="18">
        <v>0.4152777777777778</v>
      </c>
      <c r="L2" s="19">
        <v>0.25694444444444448</v>
      </c>
      <c r="M2" s="18">
        <v>0.26319444444444445</v>
      </c>
      <c r="N2" s="16" t="s">
        <v>362</v>
      </c>
      <c r="O2" s="16" t="s">
        <v>239</v>
      </c>
      <c r="P2" s="16">
        <v>582</v>
      </c>
      <c r="Q2" s="16">
        <v>476</v>
      </c>
      <c r="R2" s="16">
        <v>0</v>
      </c>
      <c r="S2" s="16">
        <v>0</v>
      </c>
      <c r="T2" s="16">
        <v>0</v>
      </c>
      <c r="U2" s="16">
        <v>0</v>
      </c>
    </row>
    <row r="3" spans="1:21" x14ac:dyDescent="0.25">
      <c r="A3" s="15">
        <v>44706</v>
      </c>
      <c r="B3" s="16" t="s">
        <v>21</v>
      </c>
      <c r="C3" s="16" t="s">
        <v>61</v>
      </c>
      <c r="D3" s="16" t="s">
        <v>22</v>
      </c>
      <c r="E3" s="16" t="s">
        <v>42</v>
      </c>
      <c r="F3" s="2" t="s">
        <v>23</v>
      </c>
      <c r="G3" s="16">
        <v>70000</v>
      </c>
      <c r="H3" s="16" t="s">
        <v>62</v>
      </c>
      <c r="I3" s="16" t="s">
        <v>63</v>
      </c>
      <c r="J3" s="19">
        <v>0.51388888888888895</v>
      </c>
      <c r="K3" s="18">
        <v>0.5</v>
      </c>
      <c r="L3" s="19">
        <v>0.36458333333333331</v>
      </c>
      <c r="M3" s="18">
        <v>0.3666666666666667</v>
      </c>
      <c r="N3" s="16" t="s">
        <v>111</v>
      </c>
      <c r="O3" s="16" t="s">
        <v>46</v>
      </c>
      <c r="P3" s="16">
        <v>812</v>
      </c>
      <c r="Q3" s="16">
        <v>563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5">
      <c r="A4" s="15">
        <v>44706</v>
      </c>
      <c r="B4" s="16" t="s">
        <v>21</v>
      </c>
      <c r="C4" s="16" t="s">
        <v>67</v>
      </c>
      <c r="D4" s="16" t="s">
        <v>22</v>
      </c>
      <c r="E4" s="16" t="s">
        <v>268</v>
      </c>
      <c r="F4" s="16" t="s">
        <v>23</v>
      </c>
      <c r="G4" s="16">
        <v>70000</v>
      </c>
      <c r="H4" s="16" t="s">
        <v>68</v>
      </c>
      <c r="I4" s="16" t="s">
        <v>69</v>
      </c>
      <c r="J4" s="19">
        <v>0.5625</v>
      </c>
      <c r="K4" s="18">
        <v>0.55277777777777781</v>
      </c>
      <c r="L4" s="19">
        <v>0.44791666666666669</v>
      </c>
      <c r="M4" s="18">
        <v>0.4458333333333333</v>
      </c>
      <c r="N4" s="16" t="s">
        <v>97</v>
      </c>
      <c r="O4" s="16" t="s">
        <v>363</v>
      </c>
      <c r="P4" s="16">
        <v>341</v>
      </c>
      <c r="Q4" s="16">
        <v>450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5">
      <c r="A5" s="15">
        <v>44706</v>
      </c>
      <c r="B5" s="16" t="s">
        <v>21</v>
      </c>
      <c r="C5" s="16" t="s">
        <v>64</v>
      </c>
      <c r="D5" s="16" t="s">
        <v>22</v>
      </c>
      <c r="E5" s="16" t="s">
        <v>42</v>
      </c>
      <c r="F5" s="16" t="s">
        <v>23</v>
      </c>
      <c r="G5" s="16">
        <v>70000</v>
      </c>
      <c r="H5" s="16" t="s">
        <v>65</v>
      </c>
      <c r="I5" s="16" t="s">
        <v>66</v>
      </c>
      <c r="J5" s="19">
        <v>0.94444444444444453</v>
      </c>
      <c r="K5" s="18">
        <v>0.94444444444444453</v>
      </c>
      <c r="L5" s="19">
        <v>0.54513888888888895</v>
      </c>
      <c r="M5" s="18">
        <v>0.5708333333333333</v>
      </c>
      <c r="N5" s="16" t="s">
        <v>367</v>
      </c>
      <c r="O5" s="16" t="s">
        <v>364</v>
      </c>
      <c r="P5" s="16">
        <v>760</v>
      </c>
      <c r="Q5" s="16">
        <v>627</v>
      </c>
      <c r="R5" s="16">
        <v>0</v>
      </c>
      <c r="S5" s="16">
        <v>0</v>
      </c>
      <c r="T5" s="16">
        <v>0</v>
      </c>
      <c r="U5" s="16">
        <v>0</v>
      </c>
    </row>
    <row r="6" spans="1:21" x14ac:dyDescent="0.25">
      <c r="A6" s="15">
        <v>44706</v>
      </c>
      <c r="B6" s="16" t="s">
        <v>21</v>
      </c>
      <c r="C6" s="16" t="s">
        <v>29</v>
      </c>
      <c r="D6" s="16" t="s">
        <v>22</v>
      </c>
      <c r="E6" s="16" t="s">
        <v>268</v>
      </c>
      <c r="F6" s="2" t="s">
        <v>23</v>
      </c>
      <c r="G6" s="16">
        <v>70000</v>
      </c>
      <c r="H6" s="16" t="s">
        <v>30</v>
      </c>
      <c r="I6" s="16" t="s">
        <v>31</v>
      </c>
      <c r="J6" s="19">
        <v>0.75347222222222221</v>
      </c>
      <c r="K6" s="18">
        <v>0.78819444444444453</v>
      </c>
      <c r="L6" s="19">
        <v>0.59722222222222221</v>
      </c>
      <c r="M6" s="18">
        <v>0.59583333333333333</v>
      </c>
      <c r="N6" s="16" t="s">
        <v>366</v>
      </c>
      <c r="O6" s="16" t="s">
        <v>365</v>
      </c>
      <c r="P6" s="16">
        <v>378</v>
      </c>
      <c r="Q6" s="16">
        <v>165</v>
      </c>
      <c r="R6" s="16">
        <v>0</v>
      </c>
      <c r="S6" s="16">
        <v>0</v>
      </c>
      <c r="T6" s="16">
        <v>0</v>
      </c>
      <c r="U6" s="16">
        <v>0</v>
      </c>
    </row>
    <row r="7" spans="1:21" x14ac:dyDescent="0.25">
      <c r="A7" s="15">
        <v>44706</v>
      </c>
      <c r="B7" s="16" t="s">
        <v>21</v>
      </c>
      <c r="C7" s="16" t="s">
        <v>70</v>
      </c>
      <c r="D7" s="16" t="s">
        <v>22</v>
      </c>
      <c r="E7" s="16" t="s">
        <v>268</v>
      </c>
      <c r="F7" s="16" t="s">
        <v>23</v>
      </c>
      <c r="G7" s="16">
        <v>70000</v>
      </c>
      <c r="H7" s="16" t="s">
        <v>71</v>
      </c>
      <c r="I7" s="16" t="s">
        <v>72</v>
      </c>
      <c r="J7" s="19">
        <v>0.95486111111111116</v>
      </c>
      <c r="K7" s="18">
        <v>1.1805555555555555E-2</v>
      </c>
      <c r="L7" s="19">
        <v>0.77430555555555547</v>
      </c>
      <c r="M7" s="18">
        <v>0.83750000000000002</v>
      </c>
      <c r="N7" s="16" t="s">
        <v>368</v>
      </c>
      <c r="O7" s="16" t="s">
        <v>150</v>
      </c>
      <c r="P7" s="16">
        <v>1094</v>
      </c>
      <c r="Q7" s="16">
        <v>506</v>
      </c>
      <c r="R7" s="16">
        <v>0</v>
      </c>
      <c r="S7" s="16">
        <v>0</v>
      </c>
      <c r="T7" s="16">
        <v>0</v>
      </c>
      <c r="U7" s="1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selection activeCell="K7" sqref="K7"/>
    </sheetView>
  </sheetViews>
  <sheetFormatPr defaultRowHeight="15" x14ac:dyDescent="0.25"/>
  <cols>
    <col min="3" max="3" width="15.5703125" customWidth="1"/>
    <col min="4" max="4" width="8.5703125" customWidth="1"/>
    <col min="6" max="6" width="14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44707</v>
      </c>
      <c r="B2" s="2" t="s">
        <v>21</v>
      </c>
      <c r="C2" s="2" t="s">
        <v>24</v>
      </c>
      <c r="D2" s="2" t="s">
        <v>22</v>
      </c>
      <c r="E2" s="2" t="s">
        <v>42</v>
      </c>
      <c r="F2" s="2" t="s">
        <v>23</v>
      </c>
      <c r="G2" s="2">
        <v>70000</v>
      </c>
      <c r="H2" s="2" t="s">
        <v>25</v>
      </c>
      <c r="I2" s="2" t="s">
        <v>26</v>
      </c>
      <c r="J2" s="4">
        <v>0.45833333333333331</v>
      </c>
      <c r="K2" s="5">
        <v>0.44027777777777777</v>
      </c>
      <c r="L2" s="4">
        <v>0.25694444444444448</v>
      </c>
      <c r="M2" s="5">
        <v>0.25347222222222221</v>
      </c>
      <c r="N2" s="2" t="s">
        <v>319</v>
      </c>
      <c r="O2" s="2" t="s">
        <v>370</v>
      </c>
      <c r="P2" s="2">
        <v>455</v>
      </c>
      <c r="Q2" s="2">
        <v>167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44707</v>
      </c>
      <c r="B3" s="2" t="s">
        <v>21</v>
      </c>
      <c r="C3" s="2" t="s">
        <v>36</v>
      </c>
      <c r="D3" s="2" t="s">
        <v>22</v>
      </c>
      <c r="E3" s="2" t="s">
        <v>268</v>
      </c>
      <c r="F3" s="2" t="s">
        <v>23</v>
      </c>
      <c r="G3" s="2">
        <v>70000</v>
      </c>
      <c r="H3" s="2" t="s">
        <v>37</v>
      </c>
      <c r="I3" s="2" t="s">
        <v>38</v>
      </c>
      <c r="J3" s="4">
        <v>0.43402777777777773</v>
      </c>
      <c r="K3" s="5">
        <v>0.4201388888888889</v>
      </c>
      <c r="L3" s="4">
        <v>0.28472222222222221</v>
      </c>
      <c r="M3" s="5">
        <v>0.28333333333333333</v>
      </c>
      <c r="N3" s="2" t="s">
        <v>164</v>
      </c>
      <c r="O3" s="2" t="s">
        <v>371</v>
      </c>
      <c r="P3" s="2">
        <v>538</v>
      </c>
      <c r="Q3" s="2">
        <v>361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44707</v>
      </c>
      <c r="B4" s="2" t="s">
        <v>21</v>
      </c>
      <c r="C4" s="2" t="s">
        <v>41</v>
      </c>
      <c r="D4" s="2" t="s">
        <v>22</v>
      </c>
      <c r="E4" s="2" t="s">
        <v>268</v>
      </c>
      <c r="F4" s="2" t="s">
        <v>23</v>
      </c>
      <c r="G4" s="3">
        <v>70000</v>
      </c>
      <c r="H4" s="2" t="s">
        <v>39</v>
      </c>
      <c r="I4" s="2" t="s">
        <v>40</v>
      </c>
      <c r="J4" s="4">
        <v>0.89930555555555547</v>
      </c>
      <c r="K4" s="5">
        <v>0.8965277777777777</v>
      </c>
      <c r="L4" s="4">
        <v>0.47569444444444442</v>
      </c>
      <c r="M4" s="5">
        <v>0.49236111111111108</v>
      </c>
      <c r="N4" s="2" t="s">
        <v>375</v>
      </c>
      <c r="O4" s="2" t="s">
        <v>372</v>
      </c>
      <c r="P4" s="2">
        <v>397</v>
      </c>
      <c r="Q4" s="2">
        <v>413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44707</v>
      </c>
      <c r="B5" s="2" t="s">
        <v>21</v>
      </c>
      <c r="C5" s="2" t="s">
        <v>130</v>
      </c>
      <c r="D5" s="2" t="s">
        <v>22</v>
      </c>
      <c r="E5" s="2" t="s">
        <v>42</v>
      </c>
      <c r="F5" s="2" t="s">
        <v>23</v>
      </c>
      <c r="G5" s="3">
        <v>70000</v>
      </c>
      <c r="H5" s="2" t="s">
        <v>87</v>
      </c>
      <c r="I5" s="2" t="s">
        <v>88</v>
      </c>
      <c r="J5" s="4">
        <v>0.46527777777777773</v>
      </c>
      <c r="K5" s="5">
        <v>0.47916666666666669</v>
      </c>
      <c r="L5" s="4">
        <v>0.48958333333333331</v>
      </c>
      <c r="M5" s="5">
        <v>0.52916666666666667</v>
      </c>
      <c r="N5" s="2" t="s">
        <v>160</v>
      </c>
      <c r="O5" s="2" t="s">
        <v>366</v>
      </c>
      <c r="P5" s="2">
        <v>681</v>
      </c>
      <c r="Q5" s="2">
        <v>648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44707</v>
      </c>
      <c r="B6" s="2" t="s">
        <v>21</v>
      </c>
      <c r="C6" s="6" t="s">
        <v>27</v>
      </c>
      <c r="D6" s="6" t="s">
        <v>22</v>
      </c>
      <c r="E6" s="2" t="s">
        <v>369</v>
      </c>
      <c r="F6" s="6" t="s">
        <v>23</v>
      </c>
      <c r="G6" s="14">
        <v>70000</v>
      </c>
      <c r="H6" s="6" t="s">
        <v>28</v>
      </c>
      <c r="I6" s="6" t="s">
        <v>35</v>
      </c>
      <c r="J6" s="7">
        <v>0.66666666666666663</v>
      </c>
      <c r="K6" s="8">
        <v>0.67083333333333339</v>
      </c>
      <c r="L6" s="7">
        <v>0.51388888888888895</v>
      </c>
      <c r="M6" s="9">
        <v>0.52152777777777781</v>
      </c>
      <c r="N6" s="2" t="s">
        <v>374</v>
      </c>
      <c r="O6" s="2" t="s">
        <v>373</v>
      </c>
      <c r="P6" s="10">
        <v>294</v>
      </c>
      <c r="Q6" s="10">
        <v>162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12">
        <v>44707</v>
      </c>
      <c r="B7" s="2" t="s">
        <v>21</v>
      </c>
      <c r="C7" s="2" t="s">
        <v>32</v>
      </c>
      <c r="D7" s="2" t="s">
        <v>22</v>
      </c>
      <c r="E7" s="2" t="s">
        <v>369</v>
      </c>
      <c r="F7" s="2" t="s">
        <v>23</v>
      </c>
      <c r="G7" s="3">
        <v>70000</v>
      </c>
      <c r="H7" s="2" t="s">
        <v>33</v>
      </c>
      <c r="I7" s="2" t="s">
        <v>34</v>
      </c>
      <c r="J7" s="4">
        <v>0.93055555555555547</v>
      </c>
      <c r="K7" s="5">
        <v>0.91527777777777775</v>
      </c>
      <c r="L7" s="4">
        <v>0.69444444444444453</v>
      </c>
      <c r="M7" s="5">
        <v>0.69861111111111107</v>
      </c>
      <c r="N7" s="2" t="s">
        <v>376</v>
      </c>
      <c r="O7" s="2" t="s">
        <v>351</v>
      </c>
      <c r="P7" s="2">
        <v>639</v>
      </c>
      <c r="Q7" s="2">
        <v>628</v>
      </c>
      <c r="R7" s="2">
        <v>0</v>
      </c>
      <c r="S7" s="2">
        <v>0</v>
      </c>
      <c r="T7" s="2">
        <v>0</v>
      </c>
      <c r="U7" s="2">
        <v>0</v>
      </c>
    </row>
    <row r="11" spans="1:21" x14ac:dyDescent="0.25">
      <c r="B11" s="2"/>
      <c r="C11" s="2"/>
      <c r="D11" s="2"/>
      <c r="E11" s="2"/>
      <c r="F11" s="2"/>
      <c r="G11" s="3"/>
      <c r="H11" s="2"/>
      <c r="I11" s="2"/>
      <c r="J11" s="4"/>
      <c r="K11" s="5"/>
      <c r="L11" s="4"/>
      <c r="M11" s="5"/>
      <c r="N11" s="2"/>
      <c r="O11" s="2"/>
      <c r="P11" s="2"/>
      <c r="Q11" s="2"/>
      <c r="R11" s="2"/>
      <c r="S11" s="2"/>
      <c r="T11" s="2"/>
      <c r="U11" s="2"/>
    </row>
    <row r="13" spans="1:21" x14ac:dyDescent="0.25">
      <c r="B13" s="2"/>
      <c r="C13" s="2"/>
      <c r="D13" s="2"/>
      <c r="E13" s="2"/>
      <c r="F13" s="2"/>
      <c r="G13" s="3"/>
      <c r="H13" s="2"/>
      <c r="I13" s="2"/>
      <c r="J13" s="4"/>
      <c r="K13" s="5"/>
      <c r="L13" s="4"/>
      <c r="M13" s="5"/>
      <c r="N13" s="2"/>
      <c r="O13" s="2"/>
      <c r="P13" s="2"/>
      <c r="Q13" s="2"/>
      <c r="R13" s="2"/>
      <c r="S13" s="2"/>
      <c r="T13" s="2"/>
      <c r="U13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workbookViewId="0">
      <selection activeCell="K7" sqref="K7"/>
    </sheetView>
  </sheetViews>
  <sheetFormatPr defaultRowHeight="15" x14ac:dyDescent="0.25"/>
  <cols>
    <col min="1" max="1" width="9.85546875" customWidth="1"/>
    <col min="2" max="2" width="22" customWidth="1"/>
    <col min="3" max="3" width="15.5703125" customWidth="1"/>
    <col min="4" max="4" width="7.7109375" customWidth="1"/>
    <col min="6" max="6" width="17.140625" customWidth="1"/>
    <col min="7" max="7" width="8.7109375" customWidth="1"/>
    <col min="10" max="10" width="10" bestFit="1" customWidth="1"/>
    <col min="11" max="11" width="8.140625" customWidth="1"/>
    <col min="12" max="12" width="10" bestFit="1" customWidth="1"/>
    <col min="13" max="13" width="7.85546875" customWidth="1"/>
    <col min="14" max="14" width="10.5703125" customWidth="1"/>
    <col min="15" max="15" width="11.5703125" customWidth="1"/>
    <col min="17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</row>
    <row r="2" spans="1:22" x14ac:dyDescent="0.25">
      <c r="A2" s="12">
        <v>44708</v>
      </c>
      <c r="B2" s="2" t="s">
        <v>21</v>
      </c>
      <c r="C2" s="2" t="s">
        <v>56</v>
      </c>
      <c r="D2" s="2" t="s">
        <v>22</v>
      </c>
      <c r="E2" s="2" t="s">
        <v>268</v>
      </c>
      <c r="F2" s="2" t="s">
        <v>23</v>
      </c>
      <c r="G2" s="3">
        <v>70000</v>
      </c>
      <c r="H2" s="2" t="s">
        <v>57</v>
      </c>
      <c r="I2" s="2" t="s">
        <v>58</v>
      </c>
      <c r="J2" s="4">
        <v>0.4375</v>
      </c>
      <c r="K2" s="5">
        <v>0.4201388888888889</v>
      </c>
      <c r="L2" s="4">
        <v>0.25694444444444448</v>
      </c>
      <c r="M2" s="5">
        <v>0.25555555555555559</v>
      </c>
      <c r="N2" s="2" t="s">
        <v>262</v>
      </c>
      <c r="O2" s="2" t="s">
        <v>377</v>
      </c>
      <c r="P2" s="2">
        <v>933</v>
      </c>
      <c r="Q2" s="2">
        <v>520</v>
      </c>
      <c r="R2" s="2">
        <v>0</v>
      </c>
      <c r="S2" s="2">
        <v>0</v>
      </c>
      <c r="T2" s="2">
        <v>0</v>
      </c>
      <c r="U2" s="2">
        <v>0</v>
      </c>
      <c r="V2" s="2"/>
    </row>
    <row r="3" spans="1:22" x14ac:dyDescent="0.25">
      <c r="A3" s="12">
        <v>44708</v>
      </c>
      <c r="B3" s="2" t="s">
        <v>21</v>
      </c>
      <c r="C3" s="6" t="s">
        <v>143</v>
      </c>
      <c r="D3" s="2" t="s">
        <v>22</v>
      </c>
      <c r="E3" s="2" t="s">
        <v>369</v>
      </c>
      <c r="F3" s="2" t="s">
        <v>23</v>
      </c>
      <c r="G3" s="3">
        <v>70000</v>
      </c>
      <c r="H3" s="6" t="s">
        <v>59</v>
      </c>
      <c r="I3" s="6" t="s">
        <v>60</v>
      </c>
      <c r="J3" s="7">
        <v>0.51388888888888895</v>
      </c>
      <c r="K3" s="8">
        <v>0.49652777777777773</v>
      </c>
      <c r="L3" s="7">
        <v>0.28125</v>
      </c>
      <c r="M3" s="9">
        <v>0.2722222222222222</v>
      </c>
      <c r="N3" s="2" t="s">
        <v>176</v>
      </c>
      <c r="O3" s="2" t="s">
        <v>378</v>
      </c>
      <c r="P3" s="10">
        <v>386</v>
      </c>
      <c r="Q3" s="10">
        <v>599</v>
      </c>
      <c r="R3" s="6">
        <v>0</v>
      </c>
      <c r="S3" s="6">
        <v>0</v>
      </c>
      <c r="T3" s="6">
        <v>0</v>
      </c>
      <c r="U3" s="6">
        <v>0</v>
      </c>
      <c r="V3" s="2"/>
    </row>
    <row r="4" spans="1:22" x14ac:dyDescent="0.25">
      <c r="A4" s="12">
        <v>44708</v>
      </c>
      <c r="B4" s="2" t="s">
        <v>21</v>
      </c>
      <c r="C4" s="2" t="s">
        <v>61</v>
      </c>
      <c r="D4" s="2" t="s">
        <v>22</v>
      </c>
      <c r="E4" s="2" t="s">
        <v>268</v>
      </c>
      <c r="F4" s="2" t="s">
        <v>23</v>
      </c>
      <c r="G4" s="3">
        <v>70000</v>
      </c>
      <c r="H4" s="2" t="s">
        <v>62</v>
      </c>
      <c r="I4" s="2" t="s">
        <v>63</v>
      </c>
      <c r="J4" s="4">
        <v>0.60763888888888895</v>
      </c>
      <c r="K4" s="5">
        <v>0.59652777777777777</v>
      </c>
      <c r="L4" s="4">
        <v>0.45833333333333331</v>
      </c>
      <c r="M4" s="5">
        <v>0.45902777777777781</v>
      </c>
      <c r="N4" s="2" t="s">
        <v>160</v>
      </c>
      <c r="O4" s="2" t="s">
        <v>384</v>
      </c>
      <c r="P4" s="2">
        <v>776</v>
      </c>
      <c r="Q4" s="2">
        <v>700</v>
      </c>
      <c r="R4" s="2">
        <v>0</v>
      </c>
      <c r="S4" s="2">
        <v>0</v>
      </c>
      <c r="T4" s="2">
        <v>0</v>
      </c>
      <c r="U4" s="2">
        <v>0</v>
      </c>
      <c r="V4" s="2"/>
    </row>
    <row r="5" spans="1:22" x14ac:dyDescent="0.25">
      <c r="A5" s="12">
        <v>44708</v>
      </c>
      <c r="B5" s="2" t="s">
        <v>21</v>
      </c>
      <c r="C5" s="2" t="s">
        <v>64</v>
      </c>
      <c r="D5" s="2" t="s">
        <v>22</v>
      </c>
      <c r="E5" s="2" t="s">
        <v>369</v>
      </c>
      <c r="F5" s="2" t="s">
        <v>23</v>
      </c>
      <c r="G5" s="3">
        <v>70000</v>
      </c>
      <c r="H5" s="2" t="s">
        <v>71</v>
      </c>
      <c r="I5" s="2" t="s">
        <v>66</v>
      </c>
      <c r="J5" s="4">
        <v>0.94444444444444453</v>
      </c>
      <c r="K5" s="5">
        <v>0.85763888888888884</v>
      </c>
      <c r="L5" s="4">
        <v>0.54513888888888895</v>
      </c>
      <c r="M5" s="5">
        <v>0.5395833333333333</v>
      </c>
      <c r="N5" s="2" t="s">
        <v>367</v>
      </c>
      <c r="O5" s="2" t="s">
        <v>388</v>
      </c>
      <c r="P5" s="2">
        <v>923</v>
      </c>
      <c r="Q5" s="2">
        <v>844</v>
      </c>
      <c r="R5" s="2">
        <v>0</v>
      </c>
      <c r="S5" s="2">
        <v>0</v>
      </c>
      <c r="T5" s="2">
        <v>0</v>
      </c>
      <c r="U5" s="2">
        <v>0</v>
      </c>
      <c r="V5" s="2"/>
    </row>
    <row r="6" spans="1:22" x14ac:dyDescent="0.25">
      <c r="A6" s="12">
        <v>44708</v>
      </c>
      <c r="B6" s="2" t="s">
        <v>21</v>
      </c>
      <c r="C6" s="2" t="s">
        <v>67</v>
      </c>
      <c r="D6" s="2" t="s">
        <v>22</v>
      </c>
      <c r="E6" s="2" t="s">
        <v>268</v>
      </c>
      <c r="F6" s="2" t="s">
        <v>23</v>
      </c>
      <c r="G6" s="3">
        <v>70000</v>
      </c>
      <c r="H6" s="2" t="s">
        <v>68</v>
      </c>
      <c r="I6" s="2" t="s">
        <v>69</v>
      </c>
      <c r="J6" s="4">
        <v>0.75347222222222221</v>
      </c>
      <c r="K6" s="5">
        <v>0.74583333333333324</v>
      </c>
      <c r="L6" s="4">
        <v>0.63888888888888895</v>
      </c>
      <c r="M6" s="5">
        <v>0.6381944444444444</v>
      </c>
      <c r="N6" s="2" t="s">
        <v>390</v>
      </c>
      <c r="O6" s="2" t="s">
        <v>366</v>
      </c>
      <c r="P6" s="2">
        <v>529</v>
      </c>
      <c r="Q6" s="2">
        <v>553</v>
      </c>
      <c r="R6" s="2">
        <v>0</v>
      </c>
      <c r="S6" s="2">
        <v>0</v>
      </c>
      <c r="T6" s="2">
        <v>0</v>
      </c>
      <c r="U6" s="2">
        <v>0</v>
      </c>
      <c r="V6" s="2"/>
    </row>
    <row r="7" spans="1:22" x14ac:dyDescent="0.25">
      <c r="A7" s="12">
        <v>44708</v>
      </c>
      <c r="B7" s="2" t="s">
        <v>21</v>
      </c>
      <c r="C7" s="2" t="s">
        <v>70</v>
      </c>
      <c r="D7" s="2" t="s">
        <v>22</v>
      </c>
      <c r="E7" s="2" t="s">
        <v>268</v>
      </c>
      <c r="F7" s="2" t="s">
        <v>23</v>
      </c>
      <c r="G7" s="3">
        <v>70000</v>
      </c>
      <c r="H7" s="2" t="s">
        <v>65</v>
      </c>
      <c r="I7" s="2" t="s">
        <v>72</v>
      </c>
      <c r="J7" s="4">
        <v>0.95486111111111116</v>
      </c>
      <c r="K7" s="5">
        <v>0.95624999999999993</v>
      </c>
      <c r="L7" s="4">
        <v>0.77430555555555547</v>
      </c>
      <c r="M7" s="5">
        <v>0.77847222222222223</v>
      </c>
      <c r="N7" s="2" t="s">
        <v>158</v>
      </c>
      <c r="O7" s="2" t="s">
        <v>241</v>
      </c>
      <c r="P7" s="2">
        <v>684</v>
      </c>
      <c r="Q7" s="2">
        <v>1098</v>
      </c>
      <c r="R7" s="2">
        <v>0</v>
      </c>
      <c r="S7" s="2">
        <v>0</v>
      </c>
      <c r="T7" s="2">
        <v>0</v>
      </c>
      <c r="U7" s="2">
        <v>0</v>
      </c>
      <c r="V7" s="2"/>
    </row>
    <row r="8" spans="1:22" x14ac:dyDescent="0.25">
      <c r="A8" s="12">
        <v>44708</v>
      </c>
      <c r="B8" s="2" t="s">
        <v>379</v>
      </c>
      <c r="C8" s="2" t="s">
        <v>380</v>
      </c>
      <c r="D8" s="2" t="s">
        <v>381</v>
      </c>
      <c r="E8" s="2" t="s">
        <v>382</v>
      </c>
      <c r="F8" s="2" t="s">
        <v>383</v>
      </c>
      <c r="G8" s="2">
        <v>1600</v>
      </c>
      <c r="H8" s="2" t="s">
        <v>382</v>
      </c>
      <c r="I8" s="2" t="s">
        <v>382</v>
      </c>
      <c r="J8" s="4">
        <v>0.3125</v>
      </c>
      <c r="K8" s="5">
        <v>0.31041666666666667</v>
      </c>
      <c r="L8" s="4">
        <v>0.33333333333333331</v>
      </c>
      <c r="M8" s="5">
        <v>0.37708333333333338</v>
      </c>
      <c r="N8" s="2" t="s">
        <v>119</v>
      </c>
      <c r="O8" s="2" t="s">
        <v>119</v>
      </c>
      <c r="P8" s="2" t="s">
        <v>119</v>
      </c>
      <c r="Q8" s="2" t="s">
        <v>119</v>
      </c>
      <c r="R8" s="2">
        <v>0</v>
      </c>
      <c r="S8" s="2">
        <v>0</v>
      </c>
      <c r="T8" s="2">
        <v>0</v>
      </c>
      <c r="U8" s="2">
        <v>0</v>
      </c>
      <c r="V8" s="2"/>
    </row>
    <row r="9" spans="1:22" x14ac:dyDescent="0.25">
      <c r="A9" s="12">
        <v>44708</v>
      </c>
      <c r="B9" s="2" t="s">
        <v>385</v>
      </c>
      <c r="C9" s="2" t="s">
        <v>389</v>
      </c>
      <c r="D9" s="2" t="s">
        <v>386</v>
      </c>
      <c r="E9" s="2" t="s">
        <v>387</v>
      </c>
      <c r="F9" s="2" t="s">
        <v>383</v>
      </c>
      <c r="G9" s="2"/>
      <c r="H9" s="2" t="s">
        <v>387</v>
      </c>
      <c r="I9" s="2" t="s">
        <v>387</v>
      </c>
      <c r="J9" s="2" t="s">
        <v>119</v>
      </c>
      <c r="K9" s="5">
        <v>0.46736111111111112</v>
      </c>
      <c r="L9" s="2" t="s">
        <v>119</v>
      </c>
      <c r="M9" s="2"/>
      <c r="N9" s="2">
        <v>2</v>
      </c>
      <c r="O9" s="2">
        <v>2</v>
      </c>
      <c r="P9" s="2" t="s">
        <v>119</v>
      </c>
      <c r="Q9" s="2" t="s">
        <v>119</v>
      </c>
      <c r="R9" s="2">
        <v>0</v>
      </c>
      <c r="S9" s="2">
        <v>0</v>
      </c>
      <c r="T9" s="2">
        <v>0</v>
      </c>
      <c r="U9" s="2">
        <v>0</v>
      </c>
      <c r="V9" s="2"/>
    </row>
    <row r="10" spans="1:2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5">
      <c r="B12" s="2"/>
      <c r="C12" s="2"/>
      <c r="D12" s="2"/>
      <c r="E12" s="2"/>
      <c r="F12" s="2"/>
      <c r="G12" s="3"/>
      <c r="H12" s="2"/>
      <c r="I12" s="2"/>
      <c r="J12" s="4"/>
      <c r="K12" s="5"/>
      <c r="L12" s="4"/>
      <c r="M12" s="5"/>
    </row>
    <row r="16" spans="1:22" x14ac:dyDescent="0.25">
      <c r="B16" s="2"/>
      <c r="C16" s="2"/>
      <c r="D16" s="2"/>
      <c r="E16" s="2"/>
      <c r="F16" s="2"/>
      <c r="G16" s="3"/>
      <c r="H16" s="2"/>
      <c r="I16" s="2"/>
      <c r="J16" s="4"/>
      <c r="K16" s="5"/>
      <c r="L16" s="4"/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K4" sqref="K4"/>
    </sheetView>
  </sheetViews>
  <sheetFormatPr defaultRowHeight="15" x14ac:dyDescent="0.25"/>
  <cols>
    <col min="1" max="1" width="8.7109375" bestFit="1" customWidth="1"/>
    <col min="2" max="2" width="9.140625" bestFit="1" customWidth="1"/>
    <col min="3" max="3" width="13.28515625" bestFit="1" customWidth="1"/>
    <col min="4" max="4" width="8.140625" customWidth="1"/>
    <col min="5" max="5" width="7.85546875" bestFit="1" customWidth="1"/>
    <col min="6" max="6" width="12.140625" bestFit="1" customWidth="1"/>
    <col min="7" max="7" width="9.28515625" bestFit="1" customWidth="1"/>
    <col min="10" max="10" width="9.28515625" bestFit="1" customWidth="1"/>
    <col min="12" max="12" width="9.28515625" bestFit="1" customWidth="1"/>
    <col min="17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44709</v>
      </c>
      <c r="B2" s="2" t="s">
        <v>21</v>
      </c>
      <c r="C2" s="2" t="s">
        <v>161</v>
      </c>
      <c r="D2" s="2" t="s">
        <v>22</v>
      </c>
      <c r="E2" s="2" t="s">
        <v>369</v>
      </c>
      <c r="F2" s="2" t="s">
        <v>23</v>
      </c>
      <c r="G2" s="3">
        <v>70000</v>
      </c>
      <c r="H2" s="2" t="s">
        <v>162</v>
      </c>
      <c r="I2" s="2" t="s">
        <v>163</v>
      </c>
      <c r="J2" s="4">
        <v>0.47222222222222227</v>
      </c>
      <c r="K2" s="5">
        <v>0.50763888888888886</v>
      </c>
      <c r="L2" s="4">
        <v>0.28125</v>
      </c>
      <c r="M2" s="5">
        <v>0.29305555555555557</v>
      </c>
      <c r="N2" s="2" t="s">
        <v>126</v>
      </c>
      <c r="O2" s="2" t="s">
        <v>165</v>
      </c>
      <c r="P2" s="32">
        <v>1181</v>
      </c>
      <c r="Q2" s="2">
        <v>757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44709</v>
      </c>
      <c r="B3" s="2" t="s">
        <v>21</v>
      </c>
      <c r="C3" s="2" t="s">
        <v>86</v>
      </c>
      <c r="D3" s="2" t="s">
        <v>22</v>
      </c>
      <c r="E3" s="2" t="s">
        <v>268</v>
      </c>
      <c r="F3" s="2" t="s">
        <v>23</v>
      </c>
      <c r="G3" s="3">
        <v>70000</v>
      </c>
      <c r="H3" s="2" t="s">
        <v>87</v>
      </c>
      <c r="I3" s="2" t="s">
        <v>88</v>
      </c>
      <c r="J3" s="4">
        <v>0.90625</v>
      </c>
      <c r="K3" s="5">
        <v>0.92013888888888884</v>
      </c>
      <c r="L3" s="4">
        <v>0.48958333333333331</v>
      </c>
      <c r="M3" s="5">
        <v>0.48819444444444443</v>
      </c>
      <c r="N3" s="2" t="s">
        <v>352</v>
      </c>
      <c r="O3" s="2" t="s">
        <v>391</v>
      </c>
      <c r="P3" s="2">
        <v>1159</v>
      </c>
      <c r="Q3" s="2">
        <v>810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2">
        <v>44709</v>
      </c>
      <c r="B4" s="2" t="s">
        <v>21</v>
      </c>
      <c r="C4" s="2" t="s">
        <v>89</v>
      </c>
      <c r="D4" s="2" t="s">
        <v>22</v>
      </c>
      <c r="E4" s="2" t="s">
        <v>369</v>
      </c>
      <c r="F4" s="2" t="s">
        <v>23</v>
      </c>
      <c r="G4" s="3">
        <v>70000</v>
      </c>
      <c r="H4" s="2" t="s">
        <v>90</v>
      </c>
      <c r="I4" s="2" t="s">
        <v>91</v>
      </c>
      <c r="J4" s="4">
        <v>0.91319444444444453</v>
      </c>
      <c r="K4" s="5">
        <v>0.9277777777777777</v>
      </c>
      <c r="L4" s="4">
        <v>0.50347222222222221</v>
      </c>
      <c r="M4" s="5">
        <v>0.54097222222222219</v>
      </c>
      <c r="N4" s="2" t="s">
        <v>159</v>
      </c>
      <c r="O4" s="2" t="str">
        <f>O3</f>
        <v>149+2 INF</v>
      </c>
      <c r="P4" s="2">
        <v>661</v>
      </c>
      <c r="Q4" s="2">
        <v>851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44709</v>
      </c>
      <c r="B5" s="2" t="s">
        <v>21</v>
      </c>
      <c r="C5" s="2" t="s">
        <v>392</v>
      </c>
      <c r="D5" s="2" t="s">
        <v>22</v>
      </c>
      <c r="E5" s="2" t="s">
        <v>393</v>
      </c>
      <c r="F5" s="2" t="s">
        <v>94</v>
      </c>
      <c r="G5" s="3">
        <v>70000</v>
      </c>
      <c r="H5" s="2" t="s">
        <v>394</v>
      </c>
      <c r="I5" s="2" t="s">
        <v>395</v>
      </c>
      <c r="J5" s="4">
        <v>0.70000000000000007</v>
      </c>
      <c r="K5" s="5">
        <v>0.70000000000000007</v>
      </c>
      <c r="L5" s="4">
        <v>0.75</v>
      </c>
      <c r="M5" s="5">
        <v>0.75138888888888899</v>
      </c>
      <c r="N5" s="2" t="s">
        <v>396</v>
      </c>
      <c r="O5" s="2">
        <v>0</v>
      </c>
      <c r="P5" s="2">
        <v>979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/>
      <c r="B6" s="2"/>
      <c r="C6" s="2"/>
      <c r="D6" s="2"/>
      <c r="E6" s="2"/>
      <c r="F6" s="2"/>
      <c r="G6" s="2"/>
      <c r="H6" s="2"/>
      <c r="I6" s="2"/>
      <c r="J6" s="4"/>
      <c r="K6" s="5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12"/>
      <c r="B7" s="2"/>
      <c r="C7" s="2"/>
      <c r="D7" s="2"/>
      <c r="E7" s="2"/>
      <c r="F7" s="2"/>
      <c r="G7" s="2"/>
      <c r="H7" s="2"/>
      <c r="I7" s="2"/>
      <c r="J7" s="4"/>
      <c r="K7" s="5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12"/>
      <c r="B8" s="2"/>
      <c r="C8" s="2"/>
      <c r="D8" s="2"/>
      <c r="E8" s="2"/>
      <c r="F8" s="2"/>
      <c r="G8" s="2"/>
      <c r="H8" s="2"/>
      <c r="I8" s="2"/>
      <c r="J8" s="4"/>
      <c r="K8" s="5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12"/>
      <c r="B9" s="2"/>
      <c r="C9" s="2"/>
      <c r="D9" s="2"/>
      <c r="E9" s="2"/>
      <c r="F9" s="2"/>
      <c r="G9" s="2"/>
      <c r="H9" s="2"/>
      <c r="I9" s="2"/>
      <c r="J9" s="4"/>
      <c r="K9" s="5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12"/>
      <c r="B10" s="2"/>
      <c r="C10" s="2"/>
      <c r="D10" s="2"/>
      <c r="E10" s="2"/>
      <c r="F10" s="2"/>
      <c r="G10" s="2"/>
      <c r="H10" s="2"/>
      <c r="I10" s="2"/>
      <c r="J10" s="4"/>
      <c r="K10" s="5"/>
      <c r="L10" s="2"/>
      <c r="M10" s="2"/>
      <c r="N10" s="2"/>
      <c r="O10" s="2"/>
      <c r="P10" s="2"/>
      <c r="Q10" s="2"/>
      <c r="R10" s="2"/>
      <c r="S10" s="2"/>
      <c r="T10" s="2"/>
      <c r="U10" s="2"/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workbookViewId="0">
      <selection activeCell="F9" sqref="F9"/>
    </sheetView>
  </sheetViews>
  <sheetFormatPr defaultRowHeight="15" x14ac:dyDescent="0.25"/>
  <cols>
    <col min="2" max="2" width="27" bestFit="1" customWidth="1"/>
    <col min="3" max="3" width="14.28515625" customWidth="1"/>
    <col min="6" max="6" width="21.7109375" bestFit="1" customWidth="1"/>
    <col min="8" max="8" width="10" customWidth="1"/>
    <col min="9" max="9" width="9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44710</v>
      </c>
      <c r="B2" s="6" t="s">
        <v>21</v>
      </c>
      <c r="C2" s="2" t="s">
        <v>24</v>
      </c>
      <c r="D2" s="2" t="s">
        <v>22</v>
      </c>
      <c r="E2" s="2" t="s">
        <v>268</v>
      </c>
      <c r="F2" s="2" t="s">
        <v>23</v>
      </c>
      <c r="G2" s="2">
        <v>70000</v>
      </c>
      <c r="H2" s="2" t="s">
        <v>25</v>
      </c>
      <c r="I2" s="2" t="s">
        <v>26</v>
      </c>
      <c r="J2" s="4">
        <v>0.45833333333333331</v>
      </c>
      <c r="K2" s="5">
        <v>0.45347222222222222</v>
      </c>
      <c r="L2" s="4">
        <v>0.25694444444444448</v>
      </c>
      <c r="M2" s="5">
        <v>0.25</v>
      </c>
      <c r="N2" s="2" t="s">
        <v>400</v>
      </c>
      <c r="O2" s="2" t="s">
        <v>399</v>
      </c>
      <c r="P2" s="2">
        <v>473</v>
      </c>
      <c r="Q2" s="2">
        <v>530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44710</v>
      </c>
      <c r="B3" s="2" t="s">
        <v>21</v>
      </c>
      <c r="C3" s="2" t="s">
        <v>36</v>
      </c>
      <c r="D3" s="2" t="s">
        <v>22</v>
      </c>
      <c r="E3" s="2" t="str">
        <f>E8</f>
        <v>HA-LWX</v>
      </c>
      <c r="F3" s="2" t="s">
        <v>23</v>
      </c>
      <c r="G3" s="2">
        <v>70000</v>
      </c>
      <c r="H3" s="2" t="s">
        <v>37</v>
      </c>
      <c r="I3" s="2" t="s">
        <v>38</v>
      </c>
      <c r="J3" s="4">
        <v>0.43402777777777773</v>
      </c>
      <c r="K3" s="5">
        <v>0.51250000000000007</v>
      </c>
      <c r="L3" s="4">
        <v>0.28472222222222221</v>
      </c>
      <c r="M3" s="5">
        <v>0.37083333333333335</v>
      </c>
      <c r="N3" s="2" t="s">
        <v>407</v>
      </c>
      <c r="O3" s="2" t="s">
        <v>329</v>
      </c>
      <c r="P3" s="2">
        <v>655</v>
      </c>
      <c r="Q3" s="2">
        <v>698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44710</v>
      </c>
      <c r="B4" s="6" t="s">
        <v>21</v>
      </c>
      <c r="C4" s="6" t="s">
        <v>27</v>
      </c>
      <c r="D4" s="6" t="s">
        <v>22</v>
      </c>
      <c r="E4" s="2" t="str">
        <f>E3</f>
        <v>HA-LWX</v>
      </c>
      <c r="F4" s="6" t="s">
        <v>23</v>
      </c>
      <c r="G4" s="14">
        <v>70000</v>
      </c>
      <c r="H4" s="6" t="s">
        <v>28</v>
      </c>
      <c r="I4" s="6" t="s">
        <v>35</v>
      </c>
      <c r="J4" s="7">
        <v>0.61805555555555558</v>
      </c>
      <c r="K4" s="8">
        <v>0.69444444444444453</v>
      </c>
      <c r="L4" s="7">
        <v>0.46527777777777773</v>
      </c>
      <c r="M4" s="9">
        <v>0.5444444444444444</v>
      </c>
      <c r="N4" s="2" t="s">
        <v>414</v>
      </c>
      <c r="O4" s="22" t="s">
        <v>408</v>
      </c>
      <c r="P4" s="10">
        <v>223</v>
      </c>
      <c r="Q4" s="10">
        <v>385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44710</v>
      </c>
      <c r="B5" s="2" t="s">
        <v>21</v>
      </c>
      <c r="C5" s="2" t="s">
        <v>29</v>
      </c>
      <c r="D5" s="2" t="s">
        <v>22</v>
      </c>
      <c r="E5" s="2" t="str">
        <f>E2</f>
        <v>HA-LYA</v>
      </c>
      <c r="F5" s="2" t="s">
        <v>23</v>
      </c>
      <c r="G5" s="3">
        <v>70000</v>
      </c>
      <c r="H5" s="2" t="s">
        <v>30</v>
      </c>
      <c r="I5" s="2" t="s">
        <v>31</v>
      </c>
      <c r="J5" s="4">
        <v>0.64583333333333337</v>
      </c>
      <c r="K5" s="5">
        <v>0.64930555555555558</v>
      </c>
      <c r="L5" s="4">
        <v>0.48958333333333331</v>
      </c>
      <c r="M5" s="5">
        <f>L5</f>
        <v>0.48958333333333331</v>
      </c>
      <c r="N5" s="2" t="s">
        <v>409</v>
      </c>
      <c r="O5" s="2" t="s">
        <v>154</v>
      </c>
      <c r="P5" s="2">
        <v>388</v>
      </c>
      <c r="Q5" s="2">
        <v>366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44710</v>
      </c>
      <c r="B6" s="2" t="s">
        <v>21</v>
      </c>
      <c r="C6" s="2" t="s">
        <v>41</v>
      </c>
      <c r="D6" s="2" t="s">
        <v>22</v>
      </c>
      <c r="E6" s="2" t="str">
        <f>E4</f>
        <v>HA-LWX</v>
      </c>
      <c r="F6" s="2" t="s">
        <v>23</v>
      </c>
      <c r="G6" s="3">
        <v>70000</v>
      </c>
      <c r="H6" s="2" t="s">
        <v>39</v>
      </c>
      <c r="I6" s="2" t="s">
        <v>40</v>
      </c>
      <c r="J6" s="4">
        <v>0.85763888888888884</v>
      </c>
      <c r="K6" s="5">
        <v>0.95416666666666661</v>
      </c>
      <c r="L6" s="4">
        <v>0.63888888888888895</v>
      </c>
      <c r="M6" s="5">
        <v>0.7319444444444444</v>
      </c>
      <c r="N6" s="2" t="s">
        <v>417</v>
      </c>
      <c r="O6" s="2" t="s">
        <v>415</v>
      </c>
      <c r="P6" s="2">
        <v>281</v>
      </c>
      <c r="Q6" s="2">
        <v>400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44710</v>
      </c>
      <c r="B7" s="2" t="s">
        <v>21</v>
      </c>
      <c r="C7" s="2" t="s">
        <v>32</v>
      </c>
      <c r="D7" s="2" t="s">
        <v>22</v>
      </c>
      <c r="E7" s="2" t="str">
        <f>E5</f>
        <v>HA-LYA</v>
      </c>
      <c r="F7" s="2" t="s">
        <v>23</v>
      </c>
      <c r="G7" s="3">
        <v>70000</v>
      </c>
      <c r="H7" s="2" t="s">
        <v>33</v>
      </c>
      <c r="I7" s="2" t="s">
        <v>34</v>
      </c>
      <c r="J7" s="4">
        <v>0.90277777777777779</v>
      </c>
      <c r="K7" s="5">
        <v>0.91111111111111109</v>
      </c>
      <c r="L7" s="4">
        <v>0.66666666666666663</v>
      </c>
      <c r="M7" s="5">
        <v>0.6875</v>
      </c>
      <c r="N7" s="2" t="s">
        <v>416</v>
      </c>
      <c r="O7" s="2" t="s">
        <v>413</v>
      </c>
      <c r="P7" s="2">
        <v>600</v>
      </c>
      <c r="Q7" s="2">
        <v>573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12">
        <v>44710</v>
      </c>
      <c r="B8" s="2" t="s">
        <v>21</v>
      </c>
      <c r="C8" s="2" t="s">
        <v>93</v>
      </c>
      <c r="D8" s="2" t="s">
        <v>22</v>
      </c>
      <c r="E8" s="2" t="s">
        <v>397</v>
      </c>
      <c r="F8" s="2" t="s">
        <v>398</v>
      </c>
      <c r="G8" s="3">
        <v>70000</v>
      </c>
      <c r="H8" s="2" t="s">
        <v>147</v>
      </c>
      <c r="I8" s="2" t="s">
        <v>119</v>
      </c>
      <c r="J8" s="4">
        <v>0.29166666666666669</v>
      </c>
      <c r="K8" s="5">
        <v>0.29652777777777778</v>
      </c>
      <c r="L8" s="4" t="s">
        <v>119</v>
      </c>
      <c r="M8" s="5" t="s">
        <v>119</v>
      </c>
      <c r="N8" s="2">
        <v>0</v>
      </c>
      <c r="O8" s="2" t="s">
        <v>119</v>
      </c>
      <c r="P8" s="2">
        <v>0</v>
      </c>
      <c r="Q8" s="2" t="s">
        <v>119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12">
        <v>44710</v>
      </c>
      <c r="B9" s="2" t="s">
        <v>401</v>
      </c>
      <c r="C9" s="2" t="s">
        <v>402</v>
      </c>
      <c r="D9" s="2" t="s">
        <v>403</v>
      </c>
      <c r="E9" s="2" t="s">
        <v>404</v>
      </c>
      <c r="F9" s="2" t="s">
        <v>405</v>
      </c>
      <c r="G9" s="3">
        <v>33200</v>
      </c>
      <c r="H9" s="2" t="str">
        <f>E9</f>
        <v>N1TD</v>
      </c>
      <c r="I9" s="2" t="s">
        <v>119</v>
      </c>
      <c r="J9" s="4">
        <v>0.49305555555555558</v>
      </c>
      <c r="K9" s="5">
        <v>0.53194444444444444</v>
      </c>
      <c r="L9" s="4" t="s">
        <v>406</v>
      </c>
      <c r="M9" s="5" t="s">
        <v>119</v>
      </c>
      <c r="N9" s="2">
        <v>2</v>
      </c>
      <c r="O9" s="2" t="s">
        <v>119</v>
      </c>
      <c r="P9" s="2">
        <v>0</v>
      </c>
      <c r="Q9" s="2" t="s">
        <v>119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5">
      <c r="A10" s="12">
        <v>44710</v>
      </c>
      <c r="B10" s="2" t="s">
        <v>21</v>
      </c>
      <c r="C10" s="2" t="s">
        <v>410</v>
      </c>
      <c r="D10" s="2" t="s">
        <v>22</v>
      </c>
      <c r="E10" s="2" t="s">
        <v>369</v>
      </c>
      <c r="F10" s="2" t="s">
        <v>412</v>
      </c>
      <c r="G10" s="2">
        <v>70000</v>
      </c>
      <c r="H10" s="2" t="s">
        <v>119</v>
      </c>
      <c r="I10" s="2" t="s">
        <v>411</v>
      </c>
      <c r="J10" s="2" t="s">
        <v>119</v>
      </c>
      <c r="K10" s="5" t="s">
        <v>119</v>
      </c>
      <c r="L10" s="4">
        <v>0.58333333333333337</v>
      </c>
      <c r="M10" s="5">
        <v>0.59861111111111109</v>
      </c>
      <c r="N10" s="2" t="s">
        <v>119</v>
      </c>
      <c r="O10" s="2" t="s">
        <v>119</v>
      </c>
      <c r="P10" s="2" t="s">
        <v>119</v>
      </c>
      <c r="Q10" s="2" t="s">
        <v>119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5">
      <c r="A11" s="12"/>
      <c r="B11" s="2"/>
      <c r="C11" s="2"/>
      <c r="D11" s="2"/>
      <c r="E11" s="2"/>
      <c r="F11" s="2"/>
      <c r="G11" s="2"/>
      <c r="H11" s="2"/>
      <c r="I11" s="2"/>
      <c r="J11" s="2"/>
      <c r="K11" s="5"/>
      <c r="L11" s="2"/>
      <c r="M11" s="5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5"/>
      <c r="L12" s="2"/>
      <c r="M12" s="5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12"/>
      <c r="B13" s="2"/>
      <c r="C13" s="2"/>
      <c r="D13" s="2"/>
      <c r="E13" s="2"/>
      <c r="F13" s="2"/>
      <c r="G13" s="2"/>
      <c r="H13" s="2"/>
      <c r="I13" s="2"/>
      <c r="J13" s="2"/>
      <c r="K13" s="5"/>
      <c r="L13" s="2"/>
      <c r="M13" s="5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12"/>
      <c r="B14" s="2"/>
      <c r="C14" s="2"/>
      <c r="D14" s="2"/>
      <c r="E14" s="2"/>
      <c r="F14" s="2"/>
      <c r="G14" s="2"/>
      <c r="H14" s="2"/>
      <c r="I14" s="2"/>
      <c r="J14" s="2"/>
      <c r="K14" s="5"/>
      <c r="L14" s="2"/>
      <c r="M14" s="5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12"/>
      <c r="B15" s="2"/>
      <c r="C15" s="2"/>
      <c r="D15" s="2"/>
      <c r="E15" s="2"/>
      <c r="F15" s="2"/>
      <c r="G15" s="2"/>
      <c r="H15" s="2"/>
      <c r="I15" s="2"/>
      <c r="J15" s="2"/>
      <c r="K15" s="5"/>
      <c r="L15" s="2"/>
      <c r="M15" s="5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12"/>
      <c r="B16" s="2"/>
      <c r="C16" s="2"/>
      <c r="D16" s="2"/>
      <c r="E16" s="2"/>
      <c r="F16" s="2"/>
      <c r="G16" s="2"/>
      <c r="H16" s="2"/>
      <c r="I16" s="2"/>
      <c r="J16" s="2"/>
      <c r="K16" s="5"/>
      <c r="L16" s="2"/>
      <c r="M16" s="5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12"/>
      <c r="B17" s="2"/>
      <c r="C17" s="2"/>
      <c r="D17" s="2"/>
      <c r="E17" s="2"/>
      <c r="F17" s="2"/>
      <c r="G17" s="2"/>
      <c r="H17" s="2"/>
      <c r="I17" s="2"/>
      <c r="J17" s="2"/>
      <c r="K17" s="5"/>
      <c r="L17" s="2"/>
      <c r="M17" s="5"/>
      <c r="N17" s="2"/>
      <c r="O17" s="2"/>
      <c r="P17" s="2"/>
      <c r="Q17" s="2"/>
      <c r="R17" s="2"/>
      <c r="S17" s="2"/>
      <c r="T17" s="2"/>
      <c r="U17" s="2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G1" workbookViewId="0">
      <selection activeCell="U8" sqref="U8"/>
    </sheetView>
  </sheetViews>
  <sheetFormatPr defaultRowHeight="15" x14ac:dyDescent="0.25"/>
  <cols>
    <col min="1" max="1" width="10.140625" bestFit="1" customWidth="1"/>
    <col min="3" max="3" width="13.5703125" customWidth="1"/>
    <col min="6" max="6" width="19.140625" customWidth="1"/>
    <col min="11" max="11" width="10.855468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44711</v>
      </c>
      <c r="B2" s="2" t="s">
        <v>21</v>
      </c>
      <c r="C2" s="2" t="s">
        <v>56</v>
      </c>
      <c r="D2" s="2" t="s">
        <v>22</v>
      </c>
      <c r="E2" s="2" t="s">
        <v>268</v>
      </c>
      <c r="F2" s="2" t="s">
        <v>23</v>
      </c>
      <c r="G2" s="3">
        <v>70000</v>
      </c>
      <c r="H2" s="2" t="s">
        <v>57</v>
      </c>
      <c r="I2" s="2" t="s">
        <v>58</v>
      </c>
      <c r="J2" s="4">
        <v>0.4375</v>
      </c>
      <c r="K2" s="5">
        <v>0.42638888888888887</v>
      </c>
      <c r="L2" s="4">
        <v>0.25694444444444448</v>
      </c>
      <c r="M2" s="5">
        <v>0.26666666666666666</v>
      </c>
      <c r="N2" s="2" t="s">
        <v>355</v>
      </c>
      <c r="O2" s="2" t="s">
        <v>418</v>
      </c>
      <c r="P2" s="2">
        <v>862</v>
      </c>
      <c r="Q2" s="2">
        <v>1000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2">
        <v>44711</v>
      </c>
      <c r="B3" s="2" t="s">
        <v>21</v>
      </c>
      <c r="C3" s="6" t="s">
        <v>143</v>
      </c>
      <c r="D3" s="2" t="s">
        <v>22</v>
      </c>
      <c r="E3" s="2" t="s">
        <v>397</v>
      </c>
      <c r="F3" s="2" t="s">
        <v>23</v>
      </c>
      <c r="G3" s="3">
        <v>70000</v>
      </c>
      <c r="H3" s="6" t="s">
        <v>59</v>
      </c>
      <c r="I3" s="6" t="s">
        <v>60</v>
      </c>
      <c r="J3" s="7">
        <v>0.51388888888888895</v>
      </c>
      <c r="K3" s="8">
        <v>0.51736111111111105</v>
      </c>
      <c r="L3" s="7">
        <v>0.28125</v>
      </c>
      <c r="M3" s="9">
        <v>0.29652777777777778</v>
      </c>
      <c r="N3" s="2" t="s">
        <v>420</v>
      </c>
      <c r="O3" s="2" t="s">
        <v>419</v>
      </c>
      <c r="P3" s="10">
        <v>497</v>
      </c>
      <c r="Q3" s="10">
        <v>632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2">
        <v>44711</v>
      </c>
      <c r="B4" s="2" t="s">
        <v>21</v>
      </c>
      <c r="C4" s="2" t="s">
        <v>61</v>
      </c>
      <c r="D4" s="2" t="s">
        <v>22</v>
      </c>
      <c r="E4" s="2" t="s">
        <v>268</v>
      </c>
      <c r="F4" s="2" t="s">
        <v>23</v>
      </c>
      <c r="G4" s="3">
        <v>70000</v>
      </c>
      <c r="H4" s="2" t="s">
        <v>62</v>
      </c>
      <c r="I4" s="2" t="s">
        <v>63</v>
      </c>
      <c r="J4" s="4">
        <v>0.60763888888888895</v>
      </c>
      <c r="K4" s="5">
        <v>0.6</v>
      </c>
      <c r="L4" s="4">
        <v>0.45833333333333331</v>
      </c>
      <c r="M4" s="5">
        <v>0.47430555555555554</v>
      </c>
      <c r="N4" s="2" t="s">
        <v>192</v>
      </c>
      <c r="O4" s="2" t="s">
        <v>421</v>
      </c>
      <c r="P4" s="2">
        <v>577</v>
      </c>
      <c r="Q4" s="2">
        <v>497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2">
        <v>44711</v>
      </c>
      <c r="B5" s="2" t="s">
        <v>21</v>
      </c>
      <c r="C5" s="2" t="s">
        <v>64</v>
      </c>
      <c r="D5" s="2" t="s">
        <v>22</v>
      </c>
      <c r="E5" s="2" t="s">
        <v>397</v>
      </c>
      <c r="F5" s="2" t="s">
        <v>23</v>
      </c>
      <c r="G5" s="3">
        <v>70000</v>
      </c>
      <c r="H5" s="2" t="s">
        <v>71</v>
      </c>
      <c r="I5" s="2" t="s">
        <v>66</v>
      </c>
      <c r="J5" s="4">
        <v>0.94791666666666663</v>
      </c>
      <c r="K5" s="5">
        <v>0.9590277777777777</v>
      </c>
      <c r="L5" s="4">
        <v>0.54513888888888895</v>
      </c>
      <c r="M5" s="5">
        <v>0.55833333333333335</v>
      </c>
      <c r="N5" s="2" t="s">
        <v>423</v>
      </c>
      <c r="O5" s="2" t="s">
        <v>278</v>
      </c>
      <c r="P5" s="2">
        <v>780</v>
      </c>
      <c r="Q5" s="2">
        <v>958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2">
        <v>44711</v>
      </c>
      <c r="B6" s="2" t="s">
        <v>21</v>
      </c>
      <c r="C6" s="2" t="s">
        <v>67</v>
      </c>
      <c r="D6" s="2" t="s">
        <v>22</v>
      </c>
      <c r="E6" s="2" t="s">
        <v>268</v>
      </c>
      <c r="F6" s="2" t="s">
        <v>23</v>
      </c>
      <c r="G6" s="3">
        <v>70000</v>
      </c>
      <c r="H6" s="2" t="s">
        <v>68</v>
      </c>
      <c r="I6" s="2" t="s">
        <v>69</v>
      </c>
      <c r="J6" s="4">
        <v>0.75694444444444453</v>
      </c>
      <c r="K6" s="5">
        <v>0.74861111111111101</v>
      </c>
      <c r="L6" s="4">
        <v>0.64236111111111105</v>
      </c>
      <c r="M6" s="5">
        <v>0.64166666666666672</v>
      </c>
      <c r="N6" s="2" t="s">
        <v>413</v>
      </c>
      <c r="O6" s="2" t="s">
        <v>159</v>
      </c>
      <c r="P6" s="2">
        <v>579</v>
      </c>
      <c r="Q6" s="2">
        <v>475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2">
        <v>44711</v>
      </c>
      <c r="B7" s="2" t="s">
        <v>21</v>
      </c>
      <c r="C7" s="2" t="s">
        <v>70</v>
      </c>
      <c r="D7" s="2" t="s">
        <v>22</v>
      </c>
      <c r="E7" s="2" t="s">
        <v>268</v>
      </c>
      <c r="F7" s="2" t="s">
        <v>23</v>
      </c>
      <c r="G7" s="3">
        <v>70000</v>
      </c>
      <c r="H7" s="2" t="s">
        <v>65</v>
      </c>
      <c r="I7" s="2" t="s">
        <v>72</v>
      </c>
      <c r="J7" s="4">
        <v>0.94097222222222221</v>
      </c>
      <c r="K7" s="5">
        <v>0.96388888888888891</v>
      </c>
      <c r="L7" s="4">
        <v>0.77430555555555547</v>
      </c>
      <c r="M7" s="5">
        <v>0.78680555555555554</v>
      </c>
      <c r="N7" s="5" t="s">
        <v>193</v>
      </c>
      <c r="O7" s="5" t="s">
        <v>422</v>
      </c>
      <c r="P7" s="2">
        <v>526</v>
      </c>
      <c r="Q7" s="2">
        <v>647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20">
        <v>44711</v>
      </c>
      <c r="B8" s="2" t="s">
        <v>428</v>
      </c>
      <c r="C8" s="2" t="s">
        <v>424</v>
      </c>
      <c r="D8" s="2" t="s">
        <v>425</v>
      </c>
      <c r="E8" s="2" t="s">
        <v>426</v>
      </c>
      <c r="F8" s="2" t="s">
        <v>405</v>
      </c>
      <c r="G8" s="33">
        <v>4600</v>
      </c>
      <c r="H8" s="2" t="s">
        <v>426</v>
      </c>
      <c r="I8" s="2" t="s">
        <v>426</v>
      </c>
      <c r="J8" s="34">
        <v>0.41666666666666669</v>
      </c>
      <c r="K8" s="34">
        <v>0.40972222222222227</v>
      </c>
      <c r="L8" s="34">
        <v>0.58333333333333337</v>
      </c>
      <c r="M8" s="34">
        <v>0.58333333333333337</v>
      </c>
      <c r="N8" s="34" t="s">
        <v>427</v>
      </c>
      <c r="O8" s="34" t="s">
        <v>427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10" spans="1:21" x14ac:dyDescent="0.25">
      <c r="A10" s="12"/>
      <c r="B10" s="2"/>
      <c r="C10" s="2"/>
      <c r="D10" s="2"/>
      <c r="E10" s="2"/>
      <c r="F10" s="2"/>
      <c r="G10" s="3"/>
      <c r="H10" s="2"/>
      <c r="I10" s="2"/>
      <c r="J10" s="4"/>
      <c r="K10" s="5"/>
      <c r="L10" s="4"/>
    </row>
  </sheetData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topLeftCell="F1" workbookViewId="0">
      <selection activeCell="K6" sqref="K6"/>
    </sheetView>
  </sheetViews>
  <sheetFormatPr defaultRowHeight="12.75" x14ac:dyDescent="0.2"/>
  <cols>
    <col min="1" max="1" width="10.140625" style="16" bestFit="1" customWidth="1"/>
    <col min="2" max="2" width="11.5703125" style="16" customWidth="1"/>
    <col min="3" max="3" width="18" style="16" bestFit="1" customWidth="1"/>
    <col min="4" max="5" width="9.140625" style="16"/>
    <col min="6" max="6" width="22.85546875" style="16" bestFit="1" customWidth="1"/>
    <col min="7" max="16384" width="9.140625" style="16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7">
        <v>44712</v>
      </c>
      <c r="B2" s="1" t="s">
        <v>21</v>
      </c>
      <c r="C2" s="1" t="s">
        <v>24</v>
      </c>
      <c r="D2" s="1" t="s">
        <v>22</v>
      </c>
      <c r="E2" s="1" t="s">
        <v>42</v>
      </c>
      <c r="F2" s="1" t="s">
        <v>23</v>
      </c>
      <c r="G2" s="28">
        <v>70000</v>
      </c>
      <c r="H2" s="29" t="s">
        <v>25</v>
      </c>
      <c r="I2" s="29" t="s">
        <v>26</v>
      </c>
      <c r="J2" s="30">
        <v>0.45833333333333331</v>
      </c>
      <c r="K2" s="31">
        <v>0.44791666666666669</v>
      </c>
      <c r="L2" s="30">
        <v>0.25694444444444448</v>
      </c>
      <c r="M2" s="31">
        <v>0.25277777777777777</v>
      </c>
      <c r="N2" s="1" t="s">
        <v>430</v>
      </c>
      <c r="O2" s="1" t="s">
        <v>416</v>
      </c>
      <c r="P2" s="1">
        <v>144</v>
      </c>
      <c r="Q2" s="1">
        <v>353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">
      <c r="A3" s="27">
        <v>44712</v>
      </c>
      <c r="B3" s="2" t="s">
        <v>21</v>
      </c>
      <c r="C3" s="2" t="s">
        <v>161</v>
      </c>
      <c r="D3" s="2" t="s">
        <v>22</v>
      </c>
      <c r="E3" s="2" t="s">
        <v>268</v>
      </c>
      <c r="F3" s="16" t="s">
        <v>23</v>
      </c>
      <c r="G3" s="23">
        <v>70000</v>
      </c>
      <c r="H3" s="16" t="s">
        <v>162</v>
      </c>
      <c r="I3" s="16" t="s">
        <v>163</v>
      </c>
      <c r="J3" s="19">
        <v>0.47222222222222227</v>
      </c>
      <c r="K3" s="18">
        <v>0.48402777777777778</v>
      </c>
      <c r="L3" s="19">
        <v>0.28125</v>
      </c>
      <c r="M3" s="18">
        <v>0.28125</v>
      </c>
      <c r="N3" s="2" t="s">
        <v>431</v>
      </c>
      <c r="O3" s="16" t="s">
        <v>429</v>
      </c>
      <c r="P3" s="24">
        <v>1042</v>
      </c>
      <c r="Q3" s="16">
        <v>472</v>
      </c>
      <c r="R3" s="16">
        <v>0</v>
      </c>
      <c r="S3" s="16">
        <v>0</v>
      </c>
      <c r="T3" s="16">
        <v>0</v>
      </c>
      <c r="U3" s="16">
        <v>0</v>
      </c>
    </row>
    <row r="4" spans="1:21" x14ac:dyDescent="0.2">
      <c r="A4" s="27">
        <v>44712</v>
      </c>
      <c r="B4" s="2" t="s">
        <v>21</v>
      </c>
      <c r="C4" s="16" t="s">
        <v>86</v>
      </c>
      <c r="D4" s="16" t="s">
        <v>22</v>
      </c>
      <c r="E4" s="2" t="s">
        <v>42</v>
      </c>
      <c r="F4" s="16" t="s">
        <v>23</v>
      </c>
      <c r="G4" s="25">
        <v>70000</v>
      </c>
      <c r="H4" s="16" t="s">
        <v>87</v>
      </c>
      <c r="I4" s="16" t="s">
        <v>88</v>
      </c>
      <c r="J4" s="19">
        <v>0.90625</v>
      </c>
      <c r="K4" s="5">
        <v>0.90694444444444444</v>
      </c>
      <c r="L4" s="4">
        <v>0.48958333333333331</v>
      </c>
      <c r="M4" s="5">
        <v>0.49861111111111112</v>
      </c>
      <c r="N4" s="2" t="s">
        <v>438</v>
      </c>
      <c r="O4" s="2" t="s">
        <v>432</v>
      </c>
      <c r="P4" s="2">
        <v>874</v>
      </c>
      <c r="Q4" s="16">
        <v>476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">
      <c r="A5" s="27">
        <v>44712</v>
      </c>
      <c r="B5" s="2" t="s">
        <v>21</v>
      </c>
      <c r="C5" s="26" t="s">
        <v>89</v>
      </c>
      <c r="D5" s="16" t="s">
        <v>22</v>
      </c>
      <c r="E5" s="2" t="s">
        <v>268</v>
      </c>
      <c r="F5" s="16" t="s">
        <v>23</v>
      </c>
      <c r="G5" s="25">
        <v>70000</v>
      </c>
      <c r="H5" s="16" t="s">
        <v>90</v>
      </c>
      <c r="I5" s="16" t="s">
        <v>91</v>
      </c>
      <c r="J5" s="19">
        <v>0.91319444444444453</v>
      </c>
      <c r="K5" s="5">
        <v>0.90972222222222221</v>
      </c>
      <c r="L5" s="4">
        <v>0.50347222222222221</v>
      </c>
      <c r="M5" s="5">
        <v>0.52083333333333337</v>
      </c>
      <c r="N5" s="2" t="s">
        <v>439</v>
      </c>
      <c r="O5" s="2" t="s">
        <v>429</v>
      </c>
      <c r="P5" s="2">
        <v>749</v>
      </c>
      <c r="R5" s="16">
        <v>0</v>
      </c>
      <c r="S5" s="16">
        <v>0</v>
      </c>
      <c r="T5" s="16">
        <v>0</v>
      </c>
      <c r="U5" s="16">
        <v>0</v>
      </c>
    </row>
    <row r="6" spans="1:21" x14ac:dyDescent="0.2">
      <c r="A6" s="15">
        <v>44712</v>
      </c>
      <c r="B6" s="16" t="s">
        <v>21</v>
      </c>
      <c r="C6" s="16" t="s">
        <v>433</v>
      </c>
      <c r="D6" s="16" t="s">
        <v>22</v>
      </c>
      <c r="E6" s="16" t="s">
        <v>434</v>
      </c>
      <c r="F6" s="16" t="s">
        <v>437</v>
      </c>
      <c r="G6" s="16">
        <v>70000</v>
      </c>
      <c r="H6" s="16" t="s">
        <v>435</v>
      </c>
      <c r="I6" s="16" t="s">
        <v>395</v>
      </c>
      <c r="J6" s="19">
        <v>0.74305555555555547</v>
      </c>
      <c r="K6" s="18">
        <v>0.74444444444444446</v>
      </c>
      <c r="L6" s="19">
        <v>0.77083333333333337</v>
      </c>
      <c r="M6" s="18">
        <v>0.79861111111111116</v>
      </c>
      <c r="N6" s="16" t="s">
        <v>436</v>
      </c>
      <c r="O6" s="16">
        <v>0</v>
      </c>
      <c r="P6" s="16">
        <v>761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5</vt:lpstr>
      <vt:lpstr>6</vt:lpstr>
      <vt:lpstr>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2022-06-02T04:57:50Z</dcterms:modified>
</cp:coreProperties>
</file>