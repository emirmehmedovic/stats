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385" windowWidth="14805" windowHeight="5730" tabRatio="819" firstSheet="3" activeTab="29"/>
  </bookViews>
  <sheets>
    <sheet name="01" sheetId="54" r:id="rId1"/>
    <sheet name="02" sheetId="56" r:id="rId2"/>
    <sheet name="03" sheetId="57" r:id="rId3"/>
    <sheet name="04" sheetId="58" r:id="rId4"/>
    <sheet name="05" sheetId="59" r:id="rId5"/>
    <sheet name="06" sheetId="60" r:id="rId6"/>
    <sheet name="07" sheetId="61" r:id="rId7"/>
    <sheet name="08" sheetId="62" r:id="rId8"/>
    <sheet name="09" sheetId="63" r:id="rId9"/>
    <sheet name="10" sheetId="64" r:id="rId10"/>
    <sheet name="11" sheetId="65" r:id="rId11"/>
    <sheet name="12" sheetId="66" r:id="rId12"/>
    <sheet name="13" sheetId="67" r:id="rId13"/>
    <sheet name="14" sheetId="68" r:id="rId14"/>
    <sheet name="15" sheetId="69" r:id="rId15"/>
    <sheet name="16" sheetId="70" r:id="rId16"/>
    <sheet name="17" sheetId="71" r:id="rId17"/>
    <sheet name="18" sheetId="72" r:id="rId18"/>
    <sheet name="19" sheetId="73" r:id="rId19"/>
    <sheet name="20" sheetId="74" r:id="rId20"/>
    <sheet name="21" sheetId="75" r:id="rId21"/>
    <sheet name="22" sheetId="76" r:id="rId22"/>
    <sheet name="23" sheetId="77" r:id="rId23"/>
    <sheet name="24" sheetId="78" r:id="rId24"/>
    <sheet name="25" sheetId="79" r:id="rId25"/>
    <sheet name="26" sheetId="80" r:id="rId26"/>
    <sheet name="27" sheetId="81" r:id="rId27"/>
    <sheet name="28" sheetId="82" r:id="rId28"/>
    <sheet name="29" sheetId="83" r:id="rId29"/>
    <sheet name="30" sheetId="84" r:id="rId30"/>
  </sheets>
  <calcPr calcId="145621"/>
</workbook>
</file>

<file path=xl/calcChain.xml><?xml version="1.0" encoding="utf-8"?>
<calcChain xmlns="http://schemas.openxmlformats.org/spreadsheetml/2006/main">
  <c r="I9" i="82" l="1"/>
  <c r="H6" i="81" l="1"/>
  <c r="H8" i="80" l="1"/>
  <c r="I8" i="80" s="1"/>
  <c r="E5" i="74" l="1"/>
  <c r="I8" i="70" l="1"/>
  <c r="E6" i="68" l="1"/>
  <c r="E8" i="68" s="1"/>
  <c r="E5" i="68"/>
  <c r="E7" i="68" s="1"/>
  <c r="E4" i="68"/>
  <c r="I6" i="67" l="1"/>
  <c r="H6" i="67"/>
  <c r="E5" i="67" l="1"/>
  <c r="I10" i="63" l="1"/>
  <c r="H10" i="63"/>
  <c r="F10" i="63"/>
  <c r="E5" i="62" l="1"/>
  <c r="E4" i="62"/>
  <c r="E6" i="62" s="1"/>
  <c r="I9" i="61" l="1"/>
  <c r="H9" i="61"/>
  <c r="E8" i="61" l="1"/>
  <c r="E7" i="61"/>
  <c r="E5" i="61"/>
  <c r="E4" i="61"/>
  <c r="M8" i="58" l="1"/>
  <c r="K4" i="58" l="1"/>
  <c r="I8" i="58"/>
  <c r="H8" i="58"/>
  <c r="E5" i="58" l="1"/>
  <c r="E4" i="58"/>
  <c r="E6" i="58" s="1"/>
  <c r="E5" i="54" l="1"/>
  <c r="E4" i="54"/>
  <c r="E6" i="54" s="1"/>
</calcChain>
</file>

<file path=xl/sharedStrings.xml><?xml version="1.0" encoding="utf-8"?>
<sst xmlns="http://schemas.openxmlformats.org/spreadsheetml/2006/main" count="2218" uniqueCount="432">
  <si>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</si>
  <si>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</si>
  <si>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</si>
  <si>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</si>
  <si>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</si>
  <si>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</si>
  <si>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</si>
  <si>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</si>
  <si>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</si>
  <si>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</si>
  <si>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</si>
  <si>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</si>
  <si>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</si>
  <si>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</si>
  <si>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</si>
  <si>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</si>
  <si>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</si>
  <si>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</si>
  <si>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</si>
  <si>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</si>
  <si>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</si>
  <si>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</si>
  <si>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TZL-BER-TZL</t>
  </si>
  <si>
    <t>TZL-GOT-TZL</t>
  </si>
  <si>
    <t>TZL-FMM-TZL</t>
  </si>
  <si>
    <t>A320</t>
  </si>
  <si>
    <t>SCHEDULED</t>
  </si>
  <si>
    <t>W64276</t>
  </si>
  <si>
    <t>W64275</t>
  </si>
  <si>
    <t>W64296</t>
  </si>
  <si>
    <t>W64295</t>
  </si>
  <si>
    <t>W64280</t>
  </si>
  <si>
    <t>W64279</t>
  </si>
  <si>
    <t>TZL-VIE-TZL</t>
  </si>
  <si>
    <t>TZL-HHN-TZL</t>
  </si>
  <si>
    <t>TZL-MLH-TZL</t>
  </si>
  <si>
    <t>W64286</t>
  </si>
  <si>
    <t>W64284</t>
  </si>
  <si>
    <t>W64294</t>
  </si>
  <si>
    <t>W64285</t>
  </si>
  <si>
    <t>W64283</t>
  </si>
  <si>
    <t>W64293</t>
  </si>
  <si>
    <t>TZL-DTM-TZL</t>
  </si>
  <si>
    <t>W64298</t>
  </si>
  <si>
    <t>W64297</t>
  </si>
  <si>
    <t>FREEBIRD AIRLINES</t>
  </si>
  <si>
    <t>AYT-TZL-AYT</t>
  </si>
  <si>
    <t>CHARTER</t>
  </si>
  <si>
    <t>FH821</t>
  </si>
  <si>
    <t>FH822</t>
  </si>
  <si>
    <t>HA-LWO</t>
  </si>
  <si>
    <t>166+4 INF</t>
  </si>
  <si>
    <t>TZL-MMX-TZL</t>
  </si>
  <si>
    <t>W64292</t>
  </si>
  <si>
    <t>W64291</t>
  </si>
  <si>
    <t>TZL-FDH-TZL</t>
  </si>
  <si>
    <t>W64616</t>
  </si>
  <si>
    <t>W64615</t>
  </si>
  <si>
    <t>TZL-BLL-TZL</t>
  </si>
  <si>
    <t>W64278</t>
  </si>
  <si>
    <t>W64277</t>
  </si>
  <si>
    <t>TZL-NYO-TZL</t>
  </si>
  <si>
    <t>W64282</t>
  </si>
  <si>
    <t>W64281</t>
  </si>
  <si>
    <t>-</t>
  </si>
  <si>
    <t>INT.NONSCHEDULED</t>
  </si>
  <si>
    <t>HA-LWV</t>
  </si>
  <si>
    <t>HA-LYZ</t>
  </si>
  <si>
    <t>75+0 INF</t>
  </si>
  <si>
    <t>91+0 INF</t>
  </si>
  <si>
    <t>167+05 INF</t>
  </si>
  <si>
    <t>164+04 INF</t>
  </si>
  <si>
    <t>155+2 INF</t>
  </si>
  <si>
    <t>148+4 INF</t>
  </si>
  <si>
    <t>58+2 INF</t>
  </si>
  <si>
    <t>56+1INF</t>
  </si>
  <si>
    <t>73+2 INF</t>
  </si>
  <si>
    <t>97+2INF</t>
  </si>
  <si>
    <t>TC-FHP</t>
  </si>
  <si>
    <t>79+2 INF</t>
  </si>
  <si>
    <t>171+2 INF</t>
  </si>
  <si>
    <t>178+8 INF</t>
  </si>
  <si>
    <t>167+6 INF</t>
  </si>
  <si>
    <t>178+4 INF</t>
  </si>
  <si>
    <t>88+0 INF</t>
  </si>
  <si>
    <t>155+3 INF</t>
  </si>
  <si>
    <t>AIR PRAGUE</t>
  </si>
  <si>
    <t>CGN-TZL</t>
  </si>
  <si>
    <t>E50P</t>
  </si>
  <si>
    <t>OK-VAN</t>
  </si>
  <si>
    <t>PRG426</t>
  </si>
  <si>
    <t>PRG427</t>
  </si>
  <si>
    <t>ROP</t>
  </si>
  <si>
    <t>161+5 INF</t>
  </si>
  <si>
    <t>150+0 INF</t>
  </si>
  <si>
    <t>175+3 INF</t>
  </si>
  <si>
    <t>153+4 INF</t>
  </si>
  <si>
    <t>HA-LWV/LWO</t>
  </si>
  <si>
    <t>158+5 INF</t>
  </si>
  <si>
    <t>160+3 INF</t>
  </si>
  <si>
    <t>TZL-CGN-TZL</t>
  </si>
  <si>
    <t>TZL-FKB-TZL</t>
  </si>
  <si>
    <t>W64300</t>
  </si>
  <si>
    <t>W64299</t>
  </si>
  <si>
    <t>W64617</t>
  </si>
  <si>
    <t>W64618</t>
  </si>
  <si>
    <t>169+2 INF</t>
  </si>
  <si>
    <t>147+3 INF</t>
  </si>
  <si>
    <t>167+3 INF</t>
  </si>
  <si>
    <t>174+8 INF</t>
  </si>
  <si>
    <t>163+5 INF</t>
  </si>
  <si>
    <t>139+2 INF</t>
  </si>
  <si>
    <t>TZL-NUE-TZL</t>
  </si>
  <si>
    <t>W64614</t>
  </si>
  <si>
    <t>W64613</t>
  </si>
  <si>
    <t>153+2 INF</t>
  </si>
  <si>
    <t>169+4 INF</t>
  </si>
  <si>
    <t>83+1 INF</t>
  </si>
  <si>
    <t>102+3 INF</t>
  </si>
  <si>
    <t>TZL-CGN</t>
  </si>
  <si>
    <t>144+6 INF</t>
  </si>
  <si>
    <t>126+3 INF</t>
  </si>
  <si>
    <t>135+1 INF</t>
  </si>
  <si>
    <t>142+1 INF</t>
  </si>
  <si>
    <t>DELIĆ AIR</t>
  </si>
  <si>
    <t>LNZ-TZL-BEG</t>
  </si>
  <si>
    <t>C525</t>
  </si>
  <si>
    <t>T7-BSG</t>
  </si>
  <si>
    <t>GA PRIVATE</t>
  </si>
  <si>
    <t>63+0 INF</t>
  </si>
  <si>
    <t>57+1 INF</t>
  </si>
  <si>
    <t>HALWO</t>
  </si>
  <si>
    <t>HALYZ</t>
  </si>
  <si>
    <t>166+3 INF</t>
  </si>
  <si>
    <t>105+2 INF</t>
  </si>
  <si>
    <t>:</t>
  </si>
  <si>
    <t>145+2 INF</t>
  </si>
  <si>
    <t>54+0 INF</t>
  </si>
  <si>
    <t>158+3 INF</t>
  </si>
  <si>
    <t>HALYZ/LWV</t>
  </si>
  <si>
    <t>144+4 INF</t>
  </si>
  <si>
    <t>155+1 INF</t>
  </si>
  <si>
    <t>97+0 INF</t>
  </si>
  <si>
    <t>181+2 INF</t>
  </si>
  <si>
    <t>FACLON OPERATION</t>
  </si>
  <si>
    <t>FAB-TZL</t>
  </si>
  <si>
    <t>F2TH</t>
  </si>
  <si>
    <t>M-AERO</t>
  </si>
  <si>
    <t>GENERAL PVT</t>
  </si>
  <si>
    <t>CREW ONLY</t>
  </si>
  <si>
    <t>159+5 INF</t>
  </si>
  <si>
    <t>118+2 INF</t>
  </si>
  <si>
    <t>133+0 INF</t>
  </si>
  <si>
    <t>TC-FBO</t>
  </si>
  <si>
    <t>176+5 INF</t>
  </si>
  <si>
    <t>170+12 INF</t>
  </si>
  <si>
    <t>180+11INF</t>
  </si>
  <si>
    <t>171+3INF</t>
  </si>
  <si>
    <t>85+2INF</t>
  </si>
  <si>
    <t>157+5INF</t>
  </si>
  <si>
    <t>118+1 INF</t>
  </si>
  <si>
    <t>TZL-ISL</t>
  </si>
  <si>
    <t>58+1 INF</t>
  </si>
  <si>
    <t>172+6 INF</t>
  </si>
  <si>
    <t>40+0 INF</t>
  </si>
  <si>
    <t>164+9 INF</t>
  </si>
  <si>
    <t>97+3 INF</t>
  </si>
  <si>
    <t>45+0 INF</t>
  </si>
  <si>
    <t>OM-CMJ</t>
  </si>
  <si>
    <t>REGA SWISS AIR AMBULANCE</t>
  </si>
  <si>
    <t>ZRH-TZL-BNX</t>
  </si>
  <si>
    <t>CL650</t>
  </si>
  <si>
    <t>HB-JWB</t>
  </si>
  <si>
    <t>MEDEVAC</t>
  </si>
  <si>
    <t>SAZ61</t>
  </si>
  <si>
    <t>SAZ62</t>
  </si>
  <si>
    <t>1+0 INF</t>
  </si>
  <si>
    <t>68+2 INF</t>
  </si>
  <si>
    <t>137+1 INF</t>
  </si>
  <si>
    <t>ILO S.R.C.</t>
  </si>
  <si>
    <t>DOMESTIC</t>
  </si>
  <si>
    <t>DA40</t>
  </si>
  <si>
    <t>SJJ-TZL-SJJ</t>
  </si>
  <si>
    <t>62+1 INF</t>
  </si>
  <si>
    <t>168+5 INF</t>
  </si>
  <si>
    <t>100+3 INF</t>
  </si>
  <si>
    <t>166+2 INF</t>
  </si>
  <si>
    <t>104+4 INF</t>
  </si>
  <si>
    <t>130+3 INF</t>
  </si>
  <si>
    <t>150+5 INF</t>
  </si>
  <si>
    <t>69+0 INF</t>
  </si>
  <si>
    <t>76+4 INF</t>
  </si>
  <si>
    <t>156+2 INF</t>
  </si>
  <si>
    <t>9H-ASU</t>
  </si>
  <si>
    <t>HYP033</t>
  </si>
  <si>
    <t>04+0 INF</t>
  </si>
  <si>
    <t>HYPERION AVIAT.</t>
  </si>
  <si>
    <t>59+3 INF</t>
  </si>
  <si>
    <t>163+6 INF</t>
  </si>
  <si>
    <t>56+0 INF</t>
  </si>
  <si>
    <t>112+2 INF</t>
  </si>
  <si>
    <t>68+0 INF</t>
  </si>
  <si>
    <t>TC-FHC</t>
  </si>
  <si>
    <t>140+3 INF</t>
  </si>
  <si>
    <t>180+12 INF</t>
  </si>
  <si>
    <t>113+1 INF</t>
  </si>
  <si>
    <t>158+2 INF</t>
  </si>
  <si>
    <t>TZL-ZRH</t>
  </si>
  <si>
    <t>DELIC AIR</t>
  </si>
  <si>
    <t>BUD-TZL-LNZ</t>
  </si>
  <si>
    <t>T7-ACA</t>
  </si>
  <si>
    <t>153+7 INF</t>
  </si>
  <si>
    <t>153+3 INF</t>
  </si>
  <si>
    <t>179+2 INF</t>
  </si>
  <si>
    <t>164+0 INF</t>
  </si>
  <si>
    <t>156+4 INF</t>
  </si>
  <si>
    <t>166+1 INF</t>
  </si>
  <si>
    <t>HA.LWO</t>
  </si>
  <si>
    <t>46+2 INF</t>
  </si>
  <si>
    <t>131+0 INF</t>
  </si>
  <si>
    <t>162+4 INF</t>
  </si>
  <si>
    <t>108+1 INF</t>
  </si>
  <si>
    <t>99+1 INF</t>
  </si>
  <si>
    <t>168+1 INF</t>
  </si>
  <si>
    <t>50+0 INF</t>
  </si>
  <si>
    <t>88+1 INF</t>
  </si>
  <si>
    <t>168+4 INF</t>
  </si>
  <si>
    <t>74+2 INF</t>
  </si>
  <si>
    <t>168+2 INF</t>
  </si>
  <si>
    <t>41+0 INF</t>
  </si>
  <si>
    <t>78+0 INF</t>
  </si>
  <si>
    <t>174+3 INF</t>
  </si>
  <si>
    <t>78+2 INF</t>
  </si>
  <si>
    <t>146+2 INF</t>
  </si>
  <si>
    <t>HA-LWO/HA-LYD</t>
  </si>
  <si>
    <t>68+1 INF</t>
  </si>
  <si>
    <t>164+2 INF</t>
  </si>
  <si>
    <t>120+5 INF</t>
  </si>
  <si>
    <t>158+0 INF</t>
  </si>
  <si>
    <t>HA-LYD</t>
  </si>
  <si>
    <t>156+6 INF</t>
  </si>
  <si>
    <t>180+6 INF</t>
  </si>
  <si>
    <t>173+2 INF</t>
  </si>
  <si>
    <t>157+7 INF</t>
  </si>
  <si>
    <t>94+1 INF</t>
  </si>
  <si>
    <t>154+3 INF</t>
  </si>
  <si>
    <t>TC-FHK</t>
  </si>
  <si>
    <t>BERNHARD TASTLER</t>
  </si>
  <si>
    <t>TIV-TZL-MBX</t>
  </si>
  <si>
    <t>OE-DKK</t>
  </si>
  <si>
    <t>TECHNICAL</t>
  </si>
  <si>
    <t>94+3 INF</t>
  </si>
  <si>
    <t>106+4 INF</t>
  </si>
  <si>
    <t>164+5 INF</t>
  </si>
  <si>
    <t>46+0 INF</t>
  </si>
  <si>
    <t>159+4 INF</t>
  </si>
  <si>
    <t>59+1 INF</t>
  </si>
  <si>
    <t>136+4 INF</t>
  </si>
  <si>
    <t>87+1 INF</t>
  </si>
  <si>
    <t>99+0 INF</t>
  </si>
  <si>
    <t>71+1 INF</t>
  </si>
  <si>
    <t>93+2 INF</t>
  </si>
  <si>
    <t>169+6 INF</t>
  </si>
  <si>
    <t>131+7 INF</t>
  </si>
  <si>
    <t>46+1 INF</t>
  </si>
  <si>
    <t>62+0 INF</t>
  </si>
  <si>
    <t>90+4 INF</t>
  </si>
  <si>
    <t>159+3 INF</t>
  </si>
  <si>
    <t>167+5 INF</t>
  </si>
  <si>
    <t>80+0 INF</t>
  </si>
  <si>
    <t>104+0 INF</t>
  </si>
  <si>
    <t>101+0 INF</t>
  </si>
  <si>
    <t>161+3 INF</t>
  </si>
  <si>
    <t>160+0 INF</t>
  </si>
  <si>
    <t>125+4 INF</t>
  </si>
  <si>
    <t>167+2 INF</t>
  </si>
  <si>
    <t>177+9 INF</t>
  </si>
  <si>
    <t>11+0 INF</t>
  </si>
  <si>
    <t>158+7 INF</t>
  </si>
  <si>
    <t>141+1 INF</t>
  </si>
  <si>
    <t>163+4 INF</t>
  </si>
  <si>
    <t>BLL-TZL-SJJ</t>
  </si>
  <si>
    <t>HA-LWU</t>
  </si>
  <si>
    <t>DIVERTED</t>
  </si>
  <si>
    <t>W64752</t>
  </si>
  <si>
    <t>129+0 INF</t>
  </si>
  <si>
    <t>HALYD</t>
  </si>
  <si>
    <t>HALWV</t>
  </si>
  <si>
    <t>170+6 INF</t>
  </si>
  <si>
    <t>163+3 INF</t>
  </si>
  <si>
    <t>173+5 INF</t>
  </si>
  <si>
    <t>161+6 INF</t>
  </si>
  <si>
    <t>170+5 INF</t>
  </si>
  <si>
    <t>170+3 INF</t>
  </si>
  <si>
    <t>144+3 INF</t>
  </si>
  <si>
    <t>166+5 INF</t>
  </si>
  <si>
    <t>151+3 INF</t>
  </si>
  <si>
    <t>134+3 INF</t>
  </si>
  <si>
    <t>108+4 INF</t>
  </si>
  <si>
    <t>122+3 INF</t>
  </si>
  <si>
    <t>161+1 INF</t>
  </si>
  <si>
    <t>167+0 INF</t>
  </si>
  <si>
    <t>72+1 INF</t>
  </si>
  <si>
    <t>HA-LYD/HA-LWO</t>
  </si>
  <si>
    <t>171+1 INF</t>
  </si>
  <si>
    <t xml:space="preserve"> 169+2 INF</t>
  </si>
  <si>
    <t>174+2 INF</t>
  </si>
  <si>
    <t>147+4 INF</t>
  </si>
  <si>
    <t>155+3INF</t>
  </si>
  <si>
    <t>163+1 INF</t>
  </si>
  <si>
    <t>122+5 INF</t>
  </si>
  <si>
    <t>159+6INF</t>
  </si>
  <si>
    <t>127+4INF</t>
  </si>
  <si>
    <t>164+1 INF</t>
  </si>
  <si>
    <t>169+5 INF</t>
  </si>
  <si>
    <t>180+1 INF</t>
  </si>
  <si>
    <t>15+0 INF</t>
  </si>
  <si>
    <t>125+0 INF</t>
  </si>
  <si>
    <t>117+0 INF</t>
  </si>
  <si>
    <t>PRN-TZL</t>
  </si>
  <si>
    <t>W6803</t>
  </si>
  <si>
    <t>160+2 INF</t>
  </si>
  <si>
    <t>TZL-PRN</t>
  </si>
  <si>
    <t>FERRY OUT</t>
  </si>
  <si>
    <t>FKB-TZL</t>
  </si>
  <si>
    <t>145+4 INF</t>
  </si>
  <si>
    <t>138+3 INF</t>
  </si>
  <si>
    <t>76+2 INF</t>
  </si>
  <si>
    <t>111+4 INF</t>
  </si>
  <si>
    <t>109+5 INF</t>
  </si>
  <si>
    <t>115+3 INF</t>
  </si>
  <si>
    <t>114+2 INF</t>
  </si>
  <si>
    <t>115+1 INF</t>
  </si>
  <si>
    <t>153+5 INF</t>
  </si>
  <si>
    <t>130+2 INF</t>
  </si>
  <si>
    <t>172+4 INF</t>
  </si>
  <si>
    <t>66+0 INF</t>
  </si>
  <si>
    <t>174+ 2 INF</t>
  </si>
  <si>
    <t>95+3 INF</t>
  </si>
  <si>
    <t>158+4 INF</t>
  </si>
  <si>
    <t>128+0 INF</t>
  </si>
  <si>
    <t>150+1 INF</t>
  </si>
  <si>
    <t>162+5 INF</t>
  </si>
  <si>
    <t>157+2 INF</t>
  </si>
  <si>
    <t>148+2 INF</t>
  </si>
  <si>
    <t>HALWV/LYF</t>
  </si>
  <si>
    <t>159+2 INF</t>
  </si>
  <si>
    <t>HA-LYF</t>
  </si>
  <si>
    <t>159+6 INF</t>
  </si>
  <si>
    <t>168+3 INF</t>
  </si>
  <si>
    <t>124+7 INF</t>
  </si>
  <si>
    <t>OTKAZAN</t>
  </si>
  <si>
    <t>HA-LYR</t>
  </si>
  <si>
    <t>FERRY IN</t>
  </si>
  <si>
    <t>W63093</t>
  </si>
  <si>
    <t>162+3 INF</t>
  </si>
  <si>
    <t>169+1 INF</t>
  </si>
  <si>
    <t>101+1 INF</t>
  </si>
  <si>
    <t>148+5 INF</t>
  </si>
  <si>
    <t>TZL-JSI</t>
  </si>
  <si>
    <t>W6411</t>
  </si>
  <si>
    <t>FCO-TZL</t>
  </si>
  <si>
    <t>W6412</t>
  </si>
  <si>
    <t>125+7 INF</t>
  </si>
  <si>
    <t>107+1 INF</t>
  </si>
  <si>
    <t>163+0 INF</t>
  </si>
  <si>
    <t>172+3 INF</t>
  </si>
  <si>
    <t>121+2 INF</t>
  </si>
  <si>
    <t>LJU-TZL-LJU</t>
  </si>
  <si>
    <t>145+1 INF</t>
  </si>
  <si>
    <t>3+0 INF</t>
  </si>
  <si>
    <t>140+4 INF</t>
  </si>
  <si>
    <t>154+8 INF</t>
  </si>
  <si>
    <t>125+3 INF</t>
  </si>
  <si>
    <t>150+3 INF</t>
  </si>
  <si>
    <t>160+1 INF</t>
  </si>
  <si>
    <t>151+2 INF</t>
  </si>
  <si>
    <t>173+3 INF</t>
  </si>
  <si>
    <t>91+4 INF</t>
  </si>
  <si>
    <t>FKB-TZL-BEG</t>
  </si>
  <si>
    <t>A321</t>
  </si>
  <si>
    <t>HA-LXS</t>
  </si>
  <si>
    <t>W64110</t>
  </si>
  <si>
    <t>205+4 INF</t>
  </si>
  <si>
    <t>PHOENIX WERKS.</t>
  </si>
  <si>
    <t>OMO-TZL</t>
  </si>
  <si>
    <t>PC12</t>
  </si>
  <si>
    <t>D-FSWO</t>
  </si>
  <si>
    <t>178+1 INF</t>
  </si>
  <si>
    <t>111+1 INF</t>
  </si>
  <si>
    <t>HALYR</t>
  </si>
  <si>
    <t>162+2 INF</t>
  </si>
  <si>
    <t>150+9 INF</t>
  </si>
  <si>
    <t xml:space="preserve">TIME AIR </t>
  </si>
  <si>
    <t>PRG-TZL-TIV</t>
  </si>
  <si>
    <t>CL30</t>
  </si>
  <si>
    <t>OKRPM</t>
  </si>
  <si>
    <t>NON-SCHEDULED</t>
  </si>
  <si>
    <t>TIE31BM</t>
  </si>
  <si>
    <t>4+0 INF</t>
  </si>
  <si>
    <t>109+2 INF</t>
  </si>
  <si>
    <t>123+2 INF</t>
  </si>
  <si>
    <t>155+7 INF</t>
  </si>
  <si>
    <t>154+0 INF</t>
  </si>
  <si>
    <t>120+2 INF</t>
  </si>
  <si>
    <t>140+1 INF</t>
  </si>
  <si>
    <t>TZL-QEF</t>
  </si>
  <si>
    <t>BUD-TZL-BUD</t>
  </si>
  <si>
    <t>FERRY IN/OUT</t>
  </si>
  <si>
    <t>W6403</t>
  </si>
  <si>
    <t>W6404</t>
  </si>
  <si>
    <t>HA-LYI</t>
  </si>
  <si>
    <t>164+3 INF</t>
  </si>
  <si>
    <t>55+2 INF</t>
  </si>
  <si>
    <t>165+2INF</t>
  </si>
  <si>
    <t>159+5INF</t>
  </si>
  <si>
    <t>FLY COOP</t>
  </si>
  <si>
    <t>BE40</t>
  </si>
  <si>
    <t>HA-YFK</t>
  </si>
  <si>
    <t>GA</t>
  </si>
  <si>
    <t>FCA1FK</t>
  </si>
  <si>
    <t>FCA2FK</t>
  </si>
  <si>
    <t>172+2 INF</t>
  </si>
  <si>
    <t>164+4INF</t>
  </si>
  <si>
    <t>155+2INF</t>
  </si>
  <si>
    <t>166+2INF</t>
  </si>
  <si>
    <t>151+4 INF</t>
  </si>
  <si>
    <t>147+1 INF</t>
  </si>
  <si>
    <t>155+6 INF</t>
  </si>
  <si>
    <t>153+1 INF</t>
  </si>
  <si>
    <t>179+3 INF</t>
  </si>
  <si>
    <t>HA-LYR/HALWV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</si>
</sst>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2" fillId="0" borderId="0" xfId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</cellXfs>
  <cellStyles count="3">
    <cellStyle name="Normal" xfId="0" builtinId="0"/>
    <cellStyle name="Normal 3 2" xfId="2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V5"/>
    </sheetView>
  </sheetViews>
  <sheetFormatPr defaultRowHeight="15" x14ac:dyDescent="0.25"/>
  <cols>
    <col min="1" max="1" width="10.140625" bestFit="1" customWidth="1"/>
    <col min="2" max="2" width="18.85546875" customWidth="1"/>
    <col min="3" max="3" width="14" customWidth="1"/>
    <col min="6" max="6" width="12.7109375" customWidth="1"/>
    <col min="15" max="15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44805</v>
      </c>
      <c r="B2" s="3" t="s">
        <v>21</v>
      </c>
      <c r="C2" s="3" t="s">
        <v>52</v>
      </c>
      <c r="D2" s="3" t="s">
        <v>25</v>
      </c>
      <c r="E2" s="3" t="s">
        <v>66</v>
      </c>
      <c r="F2" s="1" t="s">
        <v>26</v>
      </c>
      <c r="G2" s="3">
        <v>70000</v>
      </c>
      <c r="H2" s="3" t="s">
        <v>53</v>
      </c>
      <c r="I2" s="3" t="s">
        <v>54</v>
      </c>
      <c r="J2" s="4">
        <v>0.45833333333333331</v>
      </c>
      <c r="K2" s="5">
        <v>0.54305555555555551</v>
      </c>
      <c r="L2" s="4">
        <v>0.25694444444444448</v>
      </c>
      <c r="M2" s="5">
        <v>0.35555555555555557</v>
      </c>
      <c r="N2" s="3" t="s">
        <v>72</v>
      </c>
      <c r="O2" s="3" t="s">
        <v>68</v>
      </c>
      <c r="P2" s="3">
        <v>965</v>
      </c>
      <c r="Q2" s="3">
        <v>422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44805</v>
      </c>
      <c r="B3" s="3" t="s">
        <v>21</v>
      </c>
      <c r="C3" s="3" t="s">
        <v>55</v>
      </c>
      <c r="D3" s="3" t="s">
        <v>25</v>
      </c>
      <c r="E3" s="3" t="s">
        <v>67</v>
      </c>
      <c r="F3" s="3" t="s">
        <v>26</v>
      </c>
      <c r="G3" s="10">
        <v>70000</v>
      </c>
      <c r="H3" s="3" t="s">
        <v>56</v>
      </c>
      <c r="I3" s="3" t="s">
        <v>57</v>
      </c>
      <c r="J3" s="4">
        <v>0.43402777777777773</v>
      </c>
      <c r="K3" s="5">
        <v>0.484722222222222</v>
      </c>
      <c r="L3" s="4">
        <v>0.28472222222222221</v>
      </c>
      <c r="M3" s="5">
        <v>0.30902777777777779</v>
      </c>
      <c r="N3" s="3" t="s">
        <v>69</v>
      </c>
      <c r="O3" s="3" t="s">
        <v>70</v>
      </c>
      <c r="P3" s="3">
        <v>388</v>
      </c>
      <c r="Q3" s="3">
        <v>743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44805</v>
      </c>
      <c r="B4" s="3" t="s">
        <v>21</v>
      </c>
      <c r="C4" s="3" t="s">
        <v>42</v>
      </c>
      <c r="D4" s="3" t="s">
        <v>25</v>
      </c>
      <c r="E4" s="3" t="str">
        <f>E3</f>
        <v>HA-LYZ</v>
      </c>
      <c r="F4" s="3" t="s">
        <v>26</v>
      </c>
      <c r="G4" s="10">
        <v>70000</v>
      </c>
      <c r="H4" s="3" t="s">
        <v>43</v>
      </c>
      <c r="I4" s="3" t="s">
        <v>44</v>
      </c>
      <c r="J4" s="4">
        <v>0.67708333333333337</v>
      </c>
      <c r="K4" s="5">
        <v>0.66805555555555562</v>
      </c>
      <c r="L4" s="4">
        <v>0.48958333333333331</v>
      </c>
      <c r="M4" s="5">
        <v>0.49236111111111108</v>
      </c>
      <c r="N4" s="3" t="s">
        <v>73</v>
      </c>
      <c r="O4" s="3" t="s">
        <v>71</v>
      </c>
      <c r="P4" s="3">
        <v>920</v>
      </c>
      <c r="Q4" s="3">
        <v>1019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44805</v>
      </c>
      <c r="B5" s="3" t="s">
        <v>21</v>
      </c>
      <c r="C5" s="3" t="s">
        <v>58</v>
      </c>
      <c r="D5" s="3" t="s">
        <v>25</v>
      </c>
      <c r="E5" s="3" t="str">
        <f>E2</f>
        <v>HA-LWV</v>
      </c>
      <c r="F5" s="3" t="s">
        <v>26</v>
      </c>
      <c r="G5" s="10">
        <v>70000</v>
      </c>
      <c r="H5" s="3" t="s">
        <v>59</v>
      </c>
      <c r="I5" s="3" t="s">
        <v>60</v>
      </c>
      <c r="J5" s="4">
        <v>0.86805555555555547</v>
      </c>
      <c r="K5" s="5">
        <v>0.86805555555555547</v>
      </c>
      <c r="L5" s="4">
        <v>0.64930555555555558</v>
      </c>
      <c r="M5" s="5">
        <v>0.65277777777777779</v>
      </c>
      <c r="N5" s="3" t="s">
        <v>77</v>
      </c>
      <c r="O5" s="3" t="s">
        <v>74</v>
      </c>
      <c r="P5" s="3">
        <v>368</v>
      </c>
      <c r="Q5" s="3">
        <v>357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>
        <v>44805</v>
      </c>
      <c r="B6" s="3" t="s">
        <v>21</v>
      </c>
      <c r="C6" s="3" t="s">
        <v>61</v>
      </c>
      <c r="D6" s="3" t="s">
        <v>25</v>
      </c>
      <c r="E6" s="3" t="str">
        <f>E4</f>
        <v>HA-LYZ</v>
      </c>
      <c r="F6" s="3" t="s">
        <v>26</v>
      </c>
      <c r="G6" s="10">
        <v>70000</v>
      </c>
      <c r="H6" s="3" t="s">
        <v>62</v>
      </c>
      <c r="I6" s="3" t="s">
        <v>63</v>
      </c>
      <c r="J6" s="4">
        <v>0.93402777777777779</v>
      </c>
      <c r="K6" s="5">
        <v>0.9159722222222223</v>
      </c>
      <c r="L6" s="4">
        <v>0.69791666666666663</v>
      </c>
      <c r="M6" s="5">
        <v>0.69652777777777775</v>
      </c>
      <c r="N6" s="3" t="s">
        <v>76</v>
      </c>
      <c r="O6" s="3" t="s">
        <v>75</v>
      </c>
      <c r="P6" s="3">
        <v>290</v>
      </c>
      <c r="Q6" s="3">
        <v>600</v>
      </c>
      <c r="R6" s="3">
        <v>0</v>
      </c>
      <c r="S6" s="3">
        <v>0</v>
      </c>
      <c r="T6" s="3">
        <v>0</v>
      </c>
      <c r="U6" s="3">
        <v>0</v>
      </c>
    </row>
    <row r="7" spans="1:21" s="6" customFormat="1" ht="12.75" x14ac:dyDescent="0.2">
      <c r="A7" s="2"/>
      <c r="B7" s="3"/>
      <c r="C7" s="3"/>
      <c r="D7" s="3"/>
      <c r="E7" s="3"/>
      <c r="F7" s="3"/>
      <c r="G7" s="10"/>
      <c r="H7" s="3"/>
      <c r="J7" s="7"/>
      <c r="K7" s="8"/>
      <c r="L7" s="7"/>
      <c r="M7" s="8"/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B28" sqref="B28"/>
    </sheetView>
  </sheetViews>
  <sheetFormatPr defaultRowHeight="15" x14ac:dyDescent="0.25"/>
  <cols>
    <col min="1" max="1" width="11.28515625" bestFit="1" customWidth="1"/>
    <col min="2" max="2" width="20.140625" customWidth="1"/>
    <col min="3" max="3" width="15" customWidth="1"/>
    <col min="4" max="4" width="7.140625" customWidth="1"/>
    <col min="5" max="5" width="13.140625" customWidth="1"/>
    <col min="6" max="6" width="20.28515625" customWidth="1"/>
    <col min="7" max="7" width="9.28515625" bestFit="1" customWidth="1"/>
    <col min="10" max="10" width="7.7109375" customWidth="1"/>
    <col min="12" max="12" width="6.85546875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44806</v>
      </c>
      <c r="B2" s="3" t="s">
        <v>21</v>
      </c>
      <c r="C2" s="3" t="s">
        <v>22</v>
      </c>
      <c r="D2" s="3" t="s">
        <v>25</v>
      </c>
      <c r="E2" s="3" t="s">
        <v>67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0.43124999999999997</v>
      </c>
      <c r="L2" s="4">
        <v>0.25694444444444448</v>
      </c>
      <c r="M2" s="5">
        <v>0.27430555555555552</v>
      </c>
      <c r="N2" s="3" t="s">
        <v>80</v>
      </c>
      <c r="O2" s="3" t="s">
        <v>51</v>
      </c>
      <c r="P2" s="3">
        <v>735</v>
      </c>
      <c r="Q2" s="3">
        <v>1056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44806</v>
      </c>
      <c r="B3" s="3" t="s">
        <v>21</v>
      </c>
      <c r="C3" s="3" t="s">
        <v>23</v>
      </c>
      <c r="D3" s="3" t="s">
        <v>25</v>
      </c>
      <c r="E3" s="3" t="s">
        <v>66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0.53333333333333333</v>
      </c>
      <c r="L3" s="4">
        <v>0.28125</v>
      </c>
      <c r="M3" s="5">
        <v>0.29652777777777778</v>
      </c>
      <c r="N3" s="3" t="s">
        <v>84</v>
      </c>
      <c r="O3" s="3" t="s">
        <v>79</v>
      </c>
      <c r="P3" s="3">
        <v>278</v>
      </c>
      <c r="Q3" s="3">
        <v>566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44806</v>
      </c>
      <c r="B4" s="3" t="s">
        <v>45</v>
      </c>
      <c r="C4" s="3" t="s">
        <v>46</v>
      </c>
      <c r="D4" s="3" t="s">
        <v>25</v>
      </c>
      <c r="E4" s="3" t="s">
        <v>78</v>
      </c>
      <c r="F4" s="1" t="s">
        <v>47</v>
      </c>
      <c r="G4" s="10">
        <v>77000</v>
      </c>
      <c r="H4" s="3" t="s">
        <v>48</v>
      </c>
      <c r="I4" s="3" t="s">
        <v>49</v>
      </c>
      <c r="J4" s="4">
        <v>0.3298611111111111</v>
      </c>
      <c r="K4" s="5">
        <v>0.33194444444444443</v>
      </c>
      <c r="L4" s="4">
        <v>0.37152777777777773</v>
      </c>
      <c r="M4" s="5">
        <v>0.37708333333333338</v>
      </c>
      <c r="N4" s="3" t="s">
        <v>83</v>
      </c>
      <c r="O4" s="3" t="s">
        <v>81</v>
      </c>
      <c r="P4" s="3">
        <v>2544</v>
      </c>
      <c r="Q4" s="3">
        <v>2288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44806</v>
      </c>
      <c r="B5" s="3" t="s">
        <v>21</v>
      </c>
      <c r="C5" s="3" t="s">
        <v>24</v>
      </c>
      <c r="D5" s="3" t="s">
        <v>25</v>
      </c>
      <c r="E5" s="3" t="s">
        <v>67</v>
      </c>
      <c r="F5" s="1" t="s">
        <v>26</v>
      </c>
      <c r="G5" s="3">
        <v>70000</v>
      </c>
      <c r="H5" s="3" t="s">
        <v>31</v>
      </c>
      <c r="I5" s="3" t="s">
        <v>32</v>
      </c>
      <c r="J5" s="4">
        <v>0.61111111111111105</v>
      </c>
      <c r="K5" s="5">
        <v>0.61111111111111105</v>
      </c>
      <c r="L5" s="4">
        <v>0.46180555555555558</v>
      </c>
      <c r="M5" s="5">
        <v>0.47361111111111115</v>
      </c>
      <c r="N5" s="3" t="s">
        <v>85</v>
      </c>
      <c r="O5" s="3" t="s">
        <v>82</v>
      </c>
      <c r="P5" s="3">
        <v>689</v>
      </c>
      <c r="Q5" s="3">
        <v>1045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44806</v>
      </c>
      <c r="B6" s="3" t="s">
        <v>21</v>
      </c>
      <c r="C6" s="3" t="s">
        <v>33</v>
      </c>
      <c r="D6" s="3" t="s">
        <v>25</v>
      </c>
      <c r="E6" s="3" t="s">
        <v>66</v>
      </c>
      <c r="F6" s="1" t="s">
        <v>26</v>
      </c>
      <c r="G6" s="3">
        <v>70000</v>
      </c>
      <c r="H6" s="3" t="s">
        <v>36</v>
      </c>
      <c r="I6" s="3" t="s">
        <v>39</v>
      </c>
      <c r="J6" s="4">
        <v>0.75694444444444453</v>
      </c>
      <c r="K6" s="5">
        <v>0.76388888888888884</v>
      </c>
      <c r="L6" s="4">
        <v>0.64236111111111105</v>
      </c>
      <c r="M6" s="5">
        <v>0.65138888888888891</v>
      </c>
      <c r="N6" s="3" t="s">
        <v>94</v>
      </c>
      <c r="O6" s="3" t="s">
        <v>93</v>
      </c>
      <c r="P6" s="3">
        <v>424</v>
      </c>
      <c r="Q6" s="3">
        <v>815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44806</v>
      </c>
      <c r="B7" s="3" t="s">
        <v>21</v>
      </c>
      <c r="C7" s="3" t="s">
        <v>34</v>
      </c>
      <c r="D7" s="3" t="s">
        <v>25</v>
      </c>
      <c r="E7" s="3" t="s">
        <v>67</v>
      </c>
      <c r="F7" s="1" t="s">
        <v>26</v>
      </c>
      <c r="G7" s="3">
        <v>70000</v>
      </c>
      <c r="H7" s="3" t="s">
        <v>37</v>
      </c>
      <c r="I7" s="3" t="s">
        <v>40</v>
      </c>
      <c r="J7" s="4">
        <v>0.96180555555555547</v>
      </c>
      <c r="K7" s="5">
        <v>0.95763888888888893</v>
      </c>
      <c r="L7" s="4">
        <v>0.77777777777777779</v>
      </c>
      <c r="M7" s="5">
        <v>0.79027777777777775</v>
      </c>
      <c r="N7" s="3" t="s">
        <v>98</v>
      </c>
      <c r="O7" s="3" t="s">
        <v>95</v>
      </c>
      <c r="P7" s="3">
        <v>634</v>
      </c>
      <c r="Q7" s="3">
        <v>1229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44806</v>
      </c>
      <c r="B8" s="3" t="s">
        <v>21</v>
      </c>
      <c r="C8" s="3" t="s">
        <v>35</v>
      </c>
      <c r="D8" s="3" t="s">
        <v>25</v>
      </c>
      <c r="E8" s="3" t="s">
        <v>97</v>
      </c>
      <c r="F8" s="1" t="s">
        <v>26</v>
      </c>
      <c r="G8" s="3">
        <v>70000</v>
      </c>
      <c r="H8" s="3" t="s">
        <v>38</v>
      </c>
      <c r="I8" s="3" t="s">
        <v>41</v>
      </c>
      <c r="J8" s="4">
        <v>0.97569444444444453</v>
      </c>
      <c r="K8" s="5">
        <v>0.97569444444444453</v>
      </c>
      <c r="L8" s="4">
        <v>0.77777777777777779</v>
      </c>
      <c r="M8" s="5">
        <v>0.80486111111111114</v>
      </c>
      <c r="N8" s="3" t="s">
        <v>99</v>
      </c>
      <c r="O8" s="3" t="s">
        <v>96</v>
      </c>
      <c r="P8" s="3">
        <v>663</v>
      </c>
      <c r="Q8" s="3">
        <v>965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44806</v>
      </c>
      <c r="B9" s="3" t="s">
        <v>86</v>
      </c>
      <c r="C9" s="3" t="s">
        <v>87</v>
      </c>
      <c r="D9" s="3" t="s">
        <v>88</v>
      </c>
      <c r="E9" s="3" t="s">
        <v>89</v>
      </c>
      <c r="F9" s="9" t="s">
        <v>65</v>
      </c>
      <c r="G9" s="3">
        <v>5000</v>
      </c>
      <c r="H9" s="3" t="s">
        <v>90</v>
      </c>
      <c r="I9" s="3" t="s">
        <v>91</v>
      </c>
      <c r="J9" s="4">
        <v>0.66666666666666663</v>
      </c>
      <c r="K9" s="5">
        <v>0.66527777777777775</v>
      </c>
      <c r="L9" s="3" t="s">
        <v>92</v>
      </c>
      <c r="M9" s="3" t="s">
        <v>92</v>
      </c>
      <c r="N9" s="3">
        <v>1</v>
      </c>
      <c r="O9" s="3" t="s">
        <v>64</v>
      </c>
      <c r="P9" s="3" t="s">
        <v>64</v>
      </c>
      <c r="Q9" s="3" t="s">
        <v>64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H13" sqref="H13"/>
    </sheetView>
  </sheetViews>
  <sheetFormatPr defaultRowHeight="15" x14ac:dyDescent="0.25"/>
  <cols>
    <col min="1" max="1" width="10.140625" bestFit="1" customWidth="1"/>
    <col min="2" max="2" width="18.85546875" customWidth="1"/>
    <col min="3" max="3" width="14" customWidth="1"/>
    <col min="6" max="6" width="12.7109375" customWidth="1"/>
    <col min="15" max="15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44807</v>
      </c>
      <c r="B2" s="3" t="s">
        <v>21</v>
      </c>
      <c r="C2" s="3" t="s">
        <v>100</v>
      </c>
      <c r="D2" s="3" t="s">
        <v>25</v>
      </c>
      <c r="E2" s="3" t="s">
        <v>67</v>
      </c>
      <c r="F2" s="1" t="s">
        <v>26</v>
      </c>
      <c r="G2" s="10">
        <v>70000</v>
      </c>
      <c r="H2" s="3" t="s">
        <v>102</v>
      </c>
      <c r="I2" s="3" t="s">
        <v>103</v>
      </c>
      <c r="J2" s="4">
        <v>0.47222222222222227</v>
      </c>
      <c r="K2" s="5"/>
      <c r="L2" s="4">
        <v>0.28125</v>
      </c>
      <c r="M2" s="5">
        <v>0.29583333333333334</v>
      </c>
      <c r="N2" s="3" t="s">
        <v>107</v>
      </c>
      <c r="O2" s="3" t="s">
        <v>106</v>
      </c>
      <c r="P2" s="3">
        <v>731</v>
      </c>
      <c r="Q2" s="3">
        <v>1044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44807</v>
      </c>
      <c r="B3" s="3" t="s">
        <v>21</v>
      </c>
      <c r="C3" s="3" t="s">
        <v>42</v>
      </c>
      <c r="D3" s="3" t="s">
        <v>25</v>
      </c>
      <c r="E3" s="3" t="s">
        <v>50</v>
      </c>
      <c r="F3" s="3" t="s">
        <v>26</v>
      </c>
      <c r="G3" s="10">
        <v>70000</v>
      </c>
      <c r="H3" s="3" t="s">
        <v>43</v>
      </c>
      <c r="I3" s="3" t="s">
        <v>44</v>
      </c>
      <c r="J3" s="4">
        <v>0.82986111111111116</v>
      </c>
      <c r="K3" s="5">
        <v>0.85555555555555562</v>
      </c>
      <c r="L3" s="4">
        <v>0.40972222222222227</v>
      </c>
      <c r="M3" s="5">
        <v>0.4152777777777778</v>
      </c>
      <c r="N3" s="3" t="s">
        <v>110</v>
      </c>
      <c r="O3" s="3" t="s">
        <v>108</v>
      </c>
      <c r="P3" s="3">
        <v>959</v>
      </c>
      <c r="Q3" s="3">
        <v>1150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44807</v>
      </c>
      <c r="B4" s="3" t="s">
        <v>21</v>
      </c>
      <c r="C4" s="3" t="s">
        <v>101</v>
      </c>
      <c r="D4" s="3" t="s">
        <v>25</v>
      </c>
      <c r="E4" s="3" t="s">
        <v>67</v>
      </c>
      <c r="F4" s="3" t="s">
        <v>26</v>
      </c>
      <c r="G4" s="10">
        <v>70000</v>
      </c>
      <c r="H4" s="3" t="s">
        <v>105</v>
      </c>
      <c r="I4" s="3" t="s">
        <v>104</v>
      </c>
      <c r="J4" s="4">
        <v>0.91319444444444453</v>
      </c>
      <c r="K4" s="5">
        <v>0.94027777777777777</v>
      </c>
      <c r="L4" s="4">
        <v>0.50347222222222221</v>
      </c>
      <c r="M4" s="5">
        <v>0.56041666666666667</v>
      </c>
      <c r="N4" s="3" t="s">
        <v>111</v>
      </c>
      <c r="O4" s="3" t="s">
        <v>109</v>
      </c>
      <c r="P4" s="3">
        <v>863</v>
      </c>
      <c r="Q4" s="3">
        <v>872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/>
      <c r="B5" s="3"/>
      <c r="C5" s="3"/>
      <c r="D5" s="3"/>
      <c r="E5" s="3"/>
      <c r="F5" s="3"/>
      <c r="G5" s="10"/>
      <c r="H5" s="3"/>
      <c r="I5" s="3"/>
      <c r="J5" s="4"/>
      <c r="K5" s="5"/>
      <c r="L5" s="4"/>
      <c r="M5" s="5"/>
      <c r="N5" s="3"/>
      <c r="O5" s="3"/>
      <c r="P5" s="3"/>
      <c r="Q5" s="3"/>
      <c r="R5" s="3"/>
      <c r="S5" s="3"/>
      <c r="T5" s="3"/>
      <c r="U5" s="3"/>
    </row>
    <row r="6" spans="1:21" s="3" customFormat="1" ht="12.75" x14ac:dyDescent="0.25">
      <c r="A6" s="2"/>
      <c r="G6" s="10"/>
      <c r="J6" s="4"/>
      <c r="K6" s="5"/>
      <c r="L6" s="4"/>
      <c r="M6" s="5"/>
    </row>
    <row r="7" spans="1:21" s="6" customFormat="1" ht="12.75" x14ac:dyDescent="0.2">
      <c r="A7" s="2"/>
      <c r="B7" s="3"/>
      <c r="C7" s="3"/>
      <c r="D7" s="3"/>
      <c r="E7" s="3"/>
      <c r="F7" s="3"/>
      <c r="G7" s="10"/>
      <c r="H7" s="3"/>
      <c r="J7" s="7"/>
      <c r="K7" s="8"/>
      <c r="L7" s="7"/>
      <c r="M7" s="8"/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topLeftCell="E1" workbookViewId="0">
      <selection activeCell="L22" sqref="L22"/>
    </sheetView>
  </sheetViews>
  <sheetFormatPr defaultRowHeight="15" x14ac:dyDescent="0.25"/>
  <cols>
    <col min="1" max="1" width="8.85546875" customWidth="1"/>
    <col min="2" max="2" width="16.28515625" customWidth="1"/>
    <col min="3" max="3" width="13.140625" customWidth="1"/>
    <col min="6" max="6" width="14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>
        <v>44808</v>
      </c>
      <c r="B2" s="3" t="s">
        <v>21</v>
      </c>
      <c r="C2" s="3" t="s">
        <v>52</v>
      </c>
      <c r="D2" s="3" t="s">
        <v>25</v>
      </c>
      <c r="E2" s="3" t="s">
        <v>50</v>
      </c>
      <c r="F2" s="1" t="s">
        <v>26</v>
      </c>
      <c r="G2" s="3">
        <v>70000</v>
      </c>
      <c r="H2" s="3" t="s">
        <v>53</v>
      </c>
      <c r="I2" s="3" t="s">
        <v>54</v>
      </c>
      <c r="J2" s="4">
        <v>0.45833333333333331</v>
      </c>
      <c r="K2" s="5">
        <v>0.45763888888888887</v>
      </c>
      <c r="L2" s="4">
        <v>0.25694444444444448</v>
      </c>
      <c r="M2" s="5">
        <v>0.27152777777777776</v>
      </c>
      <c r="N2" s="3" t="s">
        <v>117</v>
      </c>
      <c r="O2" s="3" t="s">
        <v>115</v>
      </c>
      <c r="P2" s="3">
        <v>245</v>
      </c>
      <c r="Q2" s="3">
        <v>896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44808</v>
      </c>
      <c r="B3" s="3" t="s">
        <v>21</v>
      </c>
      <c r="C3" s="3" t="s">
        <v>55</v>
      </c>
      <c r="D3" s="3" t="s">
        <v>25</v>
      </c>
      <c r="E3" s="3" t="s">
        <v>67</v>
      </c>
      <c r="F3" s="3" t="s">
        <v>26</v>
      </c>
      <c r="G3" s="10">
        <v>70000</v>
      </c>
      <c r="H3" s="3" t="s">
        <v>56</v>
      </c>
      <c r="I3" s="3" t="s">
        <v>57</v>
      </c>
      <c r="J3" s="4">
        <v>0.43402777777777773</v>
      </c>
      <c r="K3" s="5">
        <v>0.43333333333333335</v>
      </c>
      <c r="L3" s="4">
        <v>0.28472222222222221</v>
      </c>
      <c r="M3" s="5">
        <v>0.29791666666666666</v>
      </c>
      <c r="N3" s="3" t="s">
        <v>118</v>
      </c>
      <c r="O3" s="3" t="s">
        <v>116</v>
      </c>
      <c r="P3" s="3">
        <v>369</v>
      </c>
      <c r="Q3" s="3">
        <v>1015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44808</v>
      </c>
      <c r="B4" s="3" t="s">
        <v>21</v>
      </c>
      <c r="C4" s="3" t="s">
        <v>112</v>
      </c>
      <c r="D4" s="3" t="s">
        <v>25</v>
      </c>
      <c r="E4" s="3" t="str">
        <f>E3</f>
        <v>HA-LYZ</v>
      </c>
      <c r="F4" s="3" t="s">
        <v>26</v>
      </c>
      <c r="G4" s="10">
        <v>70000</v>
      </c>
      <c r="H4" s="3" t="s">
        <v>113</v>
      </c>
      <c r="I4" s="3" t="s">
        <v>114</v>
      </c>
      <c r="J4" s="4">
        <v>0.64583333333333337</v>
      </c>
      <c r="K4" s="5">
        <f>J4</f>
        <v>0.64583333333333337</v>
      </c>
      <c r="L4" s="4">
        <v>0.48958333333333331</v>
      </c>
      <c r="M4" s="5">
        <v>0.5083333333333333</v>
      </c>
      <c r="N4" s="3" t="s">
        <v>121</v>
      </c>
      <c r="O4" s="3" t="s">
        <v>120</v>
      </c>
      <c r="P4" s="3">
        <v>395</v>
      </c>
      <c r="Q4" s="3">
        <v>677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2">
        <v>44808</v>
      </c>
      <c r="B5" s="3" t="s">
        <v>21</v>
      </c>
      <c r="C5" s="3" t="s">
        <v>58</v>
      </c>
      <c r="D5" s="3" t="s">
        <v>25</v>
      </c>
      <c r="E5" s="3" t="str">
        <f>E2</f>
        <v>HA-LWO</v>
      </c>
      <c r="F5" s="3" t="s">
        <v>26</v>
      </c>
      <c r="G5" s="10">
        <v>70000</v>
      </c>
      <c r="H5" s="3" t="s">
        <v>59</v>
      </c>
      <c r="I5" s="3" t="s">
        <v>60</v>
      </c>
      <c r="J5" s="4">
        <v>0.86805555555555547</v>
      </c>
      <c r="K5" s="5">
        <v>0.87083333333333324</v>
      </c>
      <c r="L5" s="4">
        <v>0.64930555555555558</v>
      </c>
      <c r="M5" s="5">
        <v>0.67013888888888884</v>
      </c>
      <c r="N5" s="3" t="s">
        <v>129</v>
      </c>
      <c r="O5" s="3" t="s">
        <v>122</v>
      </c>
      <c r="P5" s="3">
        <v>250</v>
      </c>
      <c r="Q5" s="3">
        <v>626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>
        <v>44808</v>
      </c>
      <c r="B6" s="3" t="s">
        <v>21</v>
      </c>
      <c r="C6" s="3" t="s">
        <v>61</v>
      </c>
      <c r="D6" s="3" t="s">
        <v>25</v>
      </c>
      <c r="E6" s="3" t="str">
        <f>E4</f>
        <v>HA-LYZ</v>
      </c>
      <c r="F6" s="3" t="s">
        <v>26</v>
      </c>
      <c r="G6" s="10">
        <v>70000</v>
      </c>
      <c r="H6" s="3" t="s">
        <v>62</v>
      </c>
      <c r="I6" s="3" t="s">
        <v>63</v>
      </c>
      <c r="J6" s="4">
        <v>0.90277777777777779</v>
      </c>
      <c r="K6" s="5">
        <v>0.8965277777777777</v>
      </c>
      <c r="L6" s="4">
        <v>0.66666666666666663</v>
      </c>
      <c r="M6" s="5">
        <v>0.68402777777777779</v>
      </c>
      <c r="N6" s="3" t="s">
        <v>130</v>
      </c>
      <c r="O6" s="3" t="s">
        <v>123</v>
      </c>
      <c r="P6" s="3">
        <v>350</v>
      </c>
      <c r="Q6" s="3">
        <v>1208</v>
      </c>
      <c r="R6" s="3">
        <v>0</v>
      </c>
      <c r="S6" s="3">
        <v>0</v>
      </c>
      <c r="T6" s="3">
        <v>0</v>
      </c>
      <c r="U6" s="3">
        <v>0</v>
      </c>
      <c r="V6" s="3"/>
    </row>
    <row r="7" spans="1:22" x14ac:dyDescent="0.25">
      <c r="A7" s="2">
        <v>44808</v>
      </c>
      <c r="B7" s="3" t="s">
        <v>86</v>
      </c>
      <c r="C7" s="3" t="s">
        <v>119</v>
      </c>
      <c r="D7" s="3" t="s">
        <v>88</v>
      </c>
      <c r="E7" s="3" t="s">
        <v>89</v>
      </c>
      <c r="F7" s="9" t="s">
        <v>65</v>
      </c>
      <c r="G7" s="3">
        <v>5000</v>
      </c>
      <c r="H7" s="3" t="s">
        <v>90</v>
      </c>
      <c r="I7" s="3" t="s">
        <v>91</v>
      </c>
      <c r="J7" s="4">
        <v>0.66666666666666663</v>
      </c>
      <c r="K7" s="5" t="s">
        <v>92</v>
      </c>
      <c r="L7" s="5">
        <v>0.41666666666666669</v>
      </c>
      <c r="M7" s="5">
        <v>0.43055555555555558</v>
      </c>
      <c r="N7" s="3" t="s">
        <v>64</v>
      </c>
      <c r="O7" s="3">
        <v>2</v>
      </c>
      <c r="P7" s="3" t="s">
        <v>64</v>
      </c>
      <c r="Q7" s="3" t="s">
        <v>64</v>
      </c>
      <c r="R7" s="3">
        <v>0</v>
      </c>
      <c r="S7" s="3">
        <v>0</v>
      </c>
      <c r="T7" s="3">
        <v>0</v>
      </c>
      <c r="U7" s="3">
        <v>0</v>
      </c>
    </row>
    <row r="8" spans="1:22" s="6" customFormat="1" ht="12.75" x14ac:dyDescent="0.2">
      <c r="A8" s="2">
        <v>44808</v>
      </c>
      <c r="B8" s="3" t="s">
        <v>124</v>
      </c>
      <c r="C8" s="3" t="s">
        <v>125</v>
      </c>
      <c r="D8" s="3" t="s">
        <v>126</v>
      </c>
      <c r="E8" s="3" t="s">
        <v>127</v>
      </c>
      <c r="F8" s="3" t="s">
        <v>128</v>
      </c>
      <c r="G8" s="10">
        <v>4600</v>
      </c>
      <c r="H8" s="6" t="str">
        <f>E8</f>
        <v>T7-BSG</v>
      </c>
      <c r="I8" s="6" t="str">
        <f>E8</f>
        <v>T7-BSG</v>
      </c>
      <c r="J8" s="7">
        <v>0.79166666666666663</v>
      </c>
      <c r="K8" s="8">
        <v>0.80069444444444438</v>
      </c>
      <c r="L8" s="7">
        <v>0.8125</v>
      </c>
      <c r="M8" s="8">
        <f>L8</f>
        <v>0.8125</v>
      </c>
      <c r="N8" s="6">
        <v>2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opLeftCell="E1" workbookViewId="0">
      <selection sqref="A1:W7"/>
    </sheetView>
  </sheetViews>
  <sheetFormatPr defaultRowHeight="15" x14ac:dyDescent="0.25"/>
  <cols>
    <col min="2" max="2" width="20.140625" bestFit="1" customWidth="1"/>
    <col min="3" max="3" width="14.28515625" customWidth="1"/>
    <col min="5" max="5" width="12.42578125" bestFit="1" customWidth="1"/>
    <col min="6" max="6" width="12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/>
      <c r="W1" s="6"/>
      <c r="X1" s="6"/>
      <c r="Y1" s="6"/>
    </row>
    <row r="2" spans="1:25" x14ac:dyDescent="0.25">
      <c r="A2" s="2">
        <v>44809</v>
      </c>
      <c r="B2" s="3" t="s">
        <v>21</v>
      </c>
      <c r="C2" s="3" t="s">
        <v>22</v>
      </c>
      <c r="D2" s="3" t="s">
        <v>25</v>
      </c>
      <c r="E2" s="11" t="s">
        <v>131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0.44236111111111115</v>
      </c>
      <c r="L2" s="4">
        <v>0.25694444444444448</v>
      </c>
      <c r="M2" s="5">
        <v>0.26805555555555555</v>
      </c>
      <c r="N2" s="3" t="s">
        <v>136</v>
      </c>
      <c r="O2" s="3" t="s">
        <v>133</v>
      </c>
      <c r="P2" s="3">
        <v>623</v>
      </c>
      <c r="Q2" s="3">
        <v>892</v>
      </c>
      <c r="R2" s="3">
        <v>0</v>
      </c>
      <c r="S2" s="3">
        <v>0</v>
      </c>
      <c r="T2" s="3">
        <v>0</v>
      </c>
      <c r="U2" s="3">
        <v>0</v>
      </c>
      <c r="V2" s="6"/>
      <c r="W2" s="6"/>
      <c r="X2" s="6"/>
      <c r="Y2" s="6"/>
    </row>
    <row r="3" spans="1:25" x14ac:dyDescent="0.25">
      <c r="A3" s="2">
        <v>44809</v>
      </c>
      <c r="B3" s="3" t="s">
        <v>21</v>
      </c>
      <c r="C3" s="3" t="s">
        <v>23</v>
      </c>
      <c r="D3" s="3" t="s">
        <v>25</v>
      </c>
      <c r="E3" s="11" t="s">
        <v>132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0.50208333333333333</v>
      </c>
      <c r="L3" s="4">
        <v>0.28125</v>
      </c>
      <c r="M3" s="5">
        <v>0.29166666666666669</v>
      </c>
      <c r="N3" s="3" t="s">
        <v>137</v>
      </c>
      <c r="O3" s="3" t="s">
        <v>134</v>
      </c>
      <c r="P3" s="3">
        <v>237</v>
      </c>
      <c r="Q3" s="3">
        <v>578</v>
      </c>
      <c r="R3" s="3">
        <v>0</v>
      </c>
      <c r="S3" s="3">
        <v>0</v>
      </c>
      <c r="T3" s="3">
        <v>0</v>
      </c>
      <c r="U3" s="3">
        <v>0</v>
      </c>
      <c r="V3" s="6"/>
      <c r="W3" s="6"/>
      <c r="X3" s="6"/>
      <c r="Y3" s="6"/>
    </row>
    <row r="4" spans="1:25" x14ac:dyDescent="0.25">
      <c r="A4" s="2">
        <v>44809</v>
      </c>
      <c r="B4" s="3" t="s">
        <v>21</v>
      </c>
      <c r="C4" s="3" t="s">
        <v>24</v>
      </c>
      <c r="D4" s="3" t="s">
        <v>25</v>
      </c>
      <c r="E4" s="11" t="s">
        <v>131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0.60277777777777775</v>
      </c>
      <c r="L4" s="4">
        <v>0.46180555555555558</v>
      </c>
      <c r="M4" s="5">
        <v>0.47916666666666669</v>
      </c>
      <c r="N4" s="3" t="s">
        <v>140</v>
      </c>
      <c r="O4" s="3" t="s">
        <v>138</v>
      </c>
      <c r="P4" s="3">
        <v>531</v>
      </c>
      <c r="Q4" s="3">
        <v>843</v>
      </c>
      <c r="R4" s="3">
        <v>0</v>
      </c>
      <c r="S4" s="3">
        <v>0</v>
      </c>
      <c r="T4" s="3">
        <v>0</v>
      </c>
      <c r="U4" s="3">
        <v>0</v>
      </c>
      <c r="V4" s="6"/>
      <c r="W4" s="6"/>
      <c r="X4" s="6"/>
      <c r="Y4" s="6"/>
    </row>
    <row r="5" spans="1:25" x14ac:dyDescent="0.25">
      <c r="A5" s="2">
        <v>44809</v>
      </c>
      <c r="B5" s="3" t="s">
        <v>21</v>
      </c>
      <c r="C5" s="6" t="s">
        <v>33</v>
      </c>
      <c r="D5" s="3" t="s">
        <v>25</v>
      </c>
      <c r="E5" s="11" t="s">
        <v>132</v>
      </c>
      <c r="F5" s="1" t="s">
        <v>26</v>
      </c>
      <c r="G5" s="3">
        <v>70000</v>
      </c>
      <c r="H5" s="6" t="s">
        <v>36</v>
      </c>
      <c r="I5" s="6" t="s">
        <v>39</v>
      </c>
      <c r="J5" s="7">
        <v>0.75694444444444453</v>
      </c>
      <c r="K5" s="8">
        <v>0.75069444444444444</v>
      </c>
      <c r="L5" s="7">
        <v>0.64236111111111105</v>
      </c>
      <c r="M5" s="8">
        <v>0.64374999999999993</v>
      </c>
      <c r="N5" s="3" t="s">
        <v>142</v>
      </c>
      <c r="O5" s="3" t="s">
        <v>141</v>
      </c>
      <c r="P5" s="6">
        <v>379</v>
      </c>
      <c r="Q5" s="6">
        <v>693</v>
      </c>
      <c r="R5" s="6">
        <v>0</v>
      </c>
      <c r="S5" s="6">
        <v>0</v>
      </c>
      <c r="T5" s="6">
        <v>0</v>
      </c>
      <c r="U5" s="6">
        <v>0</v>
      </c>
      <c r="V5" s="6"/>
      <c r="W5" s="6"/>
      <c r="X5" s="6"/>
      <c r="Y5" s="6"/>
    </row>
    <row r="6" spans="1:25" x14ac:dyDescent="0.25">
      <c r="A6" s="2">
        <v>44809</v>
      </c>
      <c r="B6" s="3" t="s">
        <v>21</v>
      </c>
      <c r="C6" s="6" t="s">
        <v>34</v>
      </c>
      <c r="D6" s="3" t="s">
        <v>25</v>
      </c>
      <c r="E6" s="11" t="s">
        <v>131</v>
      </c>
      <c r="F6" s="1" t="s">
        <v>26</v>
      </c>
      <c r="G6" s="3">
        <v>70000</v>
      </c>
      <c r="H6" s="6" t="s">
        <v>37</v>
      </c>
      <c r="I6" s="6" t="s">
        <v>40</v>
      </c>
      <c r="J6" s="7">
        <v>0.96180555555555547</v>
      </c>
      <c r="K6" s="8">
        <v>0.96597222222222223</v>
      </c>
      <c r="L6" s="7">
        <v>0.77777777777777779</v>
      </c>
      <c r="M6" s="8">
        <v>0.79027777777777775</v>
      </c>
      <c r="N6" s="3" t="s">
        <v>151</v>
      </c>
      <c r="O6" s="3" t="s">
        <v>150</v>
      </c>
      <c r="P6" s="6">
        <v>574</v>
      </c>
      <c r="Q6" s="6">
        <v>1086</v>
      </c>
      <c r="R6" s="6">
        <v>0</v>
      </c>
      <c r="S6" s="6">
        <v>0</v>
      </c>
      <c r="T6" s="6">
        <v>0</v>
      </c>
      <c r="U6" s="6">
        <v>0</v>
      </c>
      <c r="V6" s="6"/>
      <c r="W6" s="6"/>
      <c r="X6" s="6"/>
      <c r="Y6" s="6"/>
    </row>
    <row r="7" spans="1:25" x14ac:dyDescent="0.25">
      <c r="A7" s="2">
        <v>44809</v>
      </c>
      <c r="B7" s="3" t="s">
        <v>21</v>
      </c>
      <c r="C7" s="6" t="s">
        <v>35</v>
      </c>
      <c r="D7" s="3" t="s">
        <v>25</v>
      </c>
      <c r="E7" s="11" t="s">
        <v>139</v>
      </c>
      <c r="F7" s="1" t="s">
        <v>26</v>
      </c>
      <c r="G7" s="3">
        <v>70000</v>
      </c>
      <c r="H7" s="6" t="s">
        <v>38</v>
      </c>
      <c r="I7" s="6" t="s">
        <v>41</v>
      </c>
      <c r="J7" s="7">
        <v>0.97569444444444453</v>
      </c>
      <c r="K7" s="8">
        <v>0.96805555555555556</v>
      </c>
      <c r="L7" s="7">
        <v>0.77777777777777779</v>
      </c>
      <c r="M7" s="8">
        <v>0.78333333333333333</v>
      </c>
      <c r="N7" s="3" t="s">
        <v>152</v>
      </c>
      <c r="O7" s="3" t="s">
        <v>143</v>
      </c>
      <c r="P7" s="6">
        <v>378</v>
      </c>
      <c r="Q7" s="6">
        <v>805</v>
      </c>
      <c r="R7" s="6">
        <v>0</v>
      </c>
      <c r="S7" s="6">
        <v>0</v>
      </c>
      <c r="T7" s="6">
        <v>0</v>
      </c>
      <c r="U7" s="6">
        <v>0</v>
      </c>
      <c r="V7" s="6"/>
      <c r="W7" s="6"/>
      <c r="X7" s="6"/>
      <c r="Y7" s="6"/>
    </row>
    <row r="8" spans="1:25" s="6" customFormat="1" ht="12.75" x14ac:dyDescent="0.2">
      <c r="A8" s="2">
        <v>44809</v>
      </c>
      <c r="B8" s="3" t="s">
        <v>144</v>
      </c>
      <c r="C8" s="6" t="s">
        <v>145</v>
      </c>
      <c r="D8" s="3" t="s">
        <v>146</v>
      </c>
      <c r="E8" s="12" t="s">
        <v>147</v>
      </c>
      <c r="F8" s="9" t="s">
        <v>148</v>
      </c>
      <c r="G8" s="3">
        <v>20000</v>
      </c>
      <c r="H8" s="6" t="s">
        <v>64</v>
      </c>
      <c r="I8" s="6" t="s">
        <v>64</v>
      </c>
      <c r="J8" s="7">
        <v>0.75694444444444453</v>
      </c>
      <c r="K8" s="8">
        <v>0.75763888888888886</v>
      </c>
      <c r="L8" s="6" t="s">
        <v>92</v>
      </c>
      <c r="M8" s="6" t="s">
        <v>92</v>
      </c>
      <c r="N8" s="6" t="s">
        <v>149</v>
      </c>
      <c r="O8" s="6" t="s">
        <v>64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1048576" spans="11:11" x14ac:dyDescent="0.25">
      <c r="K1048576" t="s">
        <v>135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F17" sqref="F17"/>
    </sheetView>
  </sheetViews>
  <sheetFormatPr defaultRowHeight="15" x14ac:dyDescent="0.25"/>
  <cols>
    <col min="2" max="2" width="19" customWidth="1"/>
    <col min="3" max="3" width="14.140625" customWidth="1"/>
    <col min="6" max="6" width="14.7109375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44810</v>
      </c>
      <c r="B2" s="3" t="s">
        <v>21</v>
      </c>
      <c r="C2" s="3" t="s">
        <v>100</v>
      </c>
      <c r="D2" s="3" t="s">
        <v>25</v>
      </c>
      <c r="E2" s="3" t="s">
        <v>50</v>
      </c>
      <c r="F2" s="1" t="s">
        <v>26</v>
      </c>
      <c r="G2" s="10">
        <v>70000</v>
      </c>
      <c r="H2" s="3" t="s">
        <v>102</v>
      </c>
      <c r="I2" s="3" t="s">
        <v>103</v>
      </c>
      <c r="J2" s="4">
        <v>0.47222222222222227</v>
      </c>
      <c r="K2" s="5">
        <v>0.46527777777777773</v>
      </c>
      <c r="L2" s="4">
        <v>0.28125</v>
      </c>
      <c r="M2" s="5">
        <v>0.28750000000000003</v>
      </c>
      <c r="N2" s="3" t="s">
        <v>158</v>
      </c>
      <c r="O2" s="3" t="s">
        <v>155</v>
      </c>
      <c r="P2" s="3">
        <v>273</v>
      </c>
      <c r="Q2" s="3">
        <v>992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44810</v>
      </c>
      <c r="B3" s="3" t="s">
        <v>45</v>
      </c>
      <c r="C3" s="3" t="s">
        <v>46</v>
      </c>
      <c r="D3" s="3" t="s">
        <v>25</v>
      </c>
      <c r="E3" s="3" t="s">
        <v>153</v>
      </c>
      <c r="F3" s="1" t="s">
        <v>47</v>
      </c>
      <c r="G3" s="10">
        <v>77000</v>
      </c>
      <c r="H3" s="3" t="s">
        <v>48</v>
      </c>
      <c r="I3" s="3" t="s">
        <v>49</v>
      </c>
      <c r="J3" s="4">
        <v>0.3298611111111111</v>
      </c>
      <c r="K3" s="5">
        <v>0.34375</v>
      </c>
      <c r="L3" s="4">
        <v>0.37152777777777773</v>
      </c>
      <c r="M3" s="5">
        <v>0.3979166666666667</v>
      </c>
      <c r="N3" s="3" t="s">
        <v>154</v>
      </c>
      <c r="O3" s="3" t="s">
        <v>156</v>
      </c>
      <c r="P3" s="3">
        <v>2482</v>
      </c>
      <c r="Q3" s="3">
        <v>2390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44810</v>
      </c>
      <c r="B4" s="3" t="s">
        <v>21</v>
      </c>
      <c r="C4" s="3" t="s">
        <v>42</v>
      </c>
      <c r="D4" s="3" t="s">
        <v>25</v>
      </c>
      <c r="E4" s="3" t="s">
        <v>66</v>
      </c>
      <c r="F4" s="3" t="s">
        <v>26</v>
      </c>
      <c r="G4" s="10">
        <v>70000</v>
      </c>
      <c r="H4" s="3" t="s">
        <v>43</v>
      </c>
      <c r="I4" s="3" t="s">
        <v>44</v>
      </c>
      <c r="J4" s="4">
        <v>0.82986111111111116</v>
      </c>
      <c r="K4" s="5">
        <v>0.84583333333333333</v>
      </c>
      <c r="L4" s="4">
        <v>0.40972222222222227</v>
      </c>
      <c r="M4" s="5">
        <v>0.41597222222222219</v>
      </c>
      <c r="N4" s="3" t="s">
        <v>160</v>
      </c>
      <c r="O4" s="3" t="s">
        <v>157</v>
      </c>
      <c r="P4" s="3">
        <v>517</v>
      </c>
      <c r="Q4" s="3">
        <v>852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44810</v>
      </c>
      <c r="B5" s="3" t="s">
        <v>21</v>
      </c>
      <c r="C5" s="3" t="s">
        <v>101</v>
      </c>
      <c r="D5" s="3" t="s">
        <v>25</v>
      </c>
      <c r="E5" s="3" t="s">
        <v>50</v>
      </c>
      <c r="F5" s="3" t="s">
        <v>26</v>
      </c>
      <c r="G5" s="10">
        <v>70000</v>
      </c>
      <c r="H5" s="3" t="s">
        <v>105</v>
      </c>
      <c r="I5" s="3" t="s">
        <v>104</v>
      </c>
      <c r="J5" s="4">
        <v>0.91319444444444453</v>
      </c>
      <c r="K5" s="5">
        <v>0.90902777777777777</v>
      </c>
      <c r="L5" s="4">
        <v>0.50347222222222221</v>
      </c>
      <c r="M5" s="5">
        <v>0.5083333333333333</v>
      </c>
      <c r="N5" s="3" t="s">
        <v>162</v>
      </c>
      <c r="O5" s="3" t="s">
        <v>159</v>
      </c>
      <c r="P5" s="3">
        <v>345</v>
      </c>
      <c r="Q5" s="3">
        <v>737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44810</v>
      </c>
      <c r="B6" s="3" t="s">
        <v>144</v>
      </c>
      <c r="C6" s="3" t="s">
        <v>161</v>
      </c>
      <c r="D6" s="3" t="s">
        <v>146</v>
      </c>
      <c r="E6" s="3" t="s">
        <v>147</v>
      </c>
      <c r="F6" s="9" t="s">
        <v>148</v>
      </c>
      <c r="G6" s="10">
        <v>20000</v>
      </c>
      <c r="H6" s="3" t="s">
        <v>64</v>
      </c>
      <c r="I6" s="3" t="s">
        <v>64</v>
      </c>
      <c r="J6" s="3" t="s">
        <v>92</v>
      </c>
      <c r="K6" s="3" t="s">
        <v>92</v>
      </c>
      <c r="L6" s="13">
        <v>0.75</v>
      </c>
      <c r="M6" s="13">
        <v>0.79236111111111107</v>
      </c>
      <c r="N6" s="14">
        <v>0</v>
      </c>
      <c r="O6" s="14">
        <v>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E1" workbookViewId="0">
      <selection sqref="A1:V8"/>
    </sheetView>
  </sheetViews>
  <sheetFormatPr defaultRowHeight="15" x14ac:dyDescent="0.25"/>
  <cols>
    <col min="1" max="1" width="11.28515625" bestFit="1" customWidth="1"/>
    <col min="2" max="2" width="27.5703125" bestFit="1" customWidth="1"/>
    <col min="3" max="3" width="15" customWidth="1"/>
    <col min="4" max="4" width="7.140625" customWidth="1"/>
    <col min="5" max="5" width="13.140625" customWidth="1"/>
    <col min="6" max="6" width="13.7109375" customWidth="1"/>
    <col min="7" max="7" width="9.28515625" bestFit="1" customWidth="1"/>
    <col min="10" max="10" width="7.7109375" customWidth="1"/>
    <col min="12" max="12" width="6.85546875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44811</v>
      </c>
      <c r="B2" s="3" t="s">
        <v>21</v>
      </c>
      <c r="C2" s="3" t="s">
        <v>22</v>
      </c>
      <c r="D2" s="3" t="s">
        <v>25</v>
      </c>
      <c r="E2" s="3" t="s">
        <v>66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0.43055555555555558</v>
      </c>
      <c r="K2" s="5">
        <v>0.43958333333333338</v>
      </c>
      <c r="L2" s="4">
        <v>0.25694444444444448</v>
      </c>
      <c r="M2" s="5">
        <v>0.27916666666666667</v>
      </c>
      <c r="N2" s="3" t="s">
        <v>166</v>
      </c>
      <c r="O2" s="3" t="s">
        <v>163</v>
      </c>
      <c r="P2" s="3">
        <v>346</v>
      </c>
      <c r="Q2" s="3">
        <v>923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44811</v>
      </c>
      <c r="B3" s="3" t="s">
        <v>21</v>
      </c>
      <c r="C3" s="3" t="s">
        <v>23</v>
      </c>
      <c r="D3" s="3" t="s">
        <v>25</v>
      </c>
      <c r="E3" s="3" t="s">
        <v>50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0.51388888888888895</v>
      </c>
      <c r="K3" s="5">
        <v>0.50624999999999998</v>
      </c>
      <c r="L3" s="4">
        <v>0.28125</v>
      </c>
      <c r="M3" s="5">
        <v>0.29930555555555555</v>
      </c>
      <c r="N3" s="3" t="s">
        <v>167</v>
      </c>
      <c r="O3" s="3" t="s">
        <v>164</v>
      </c>
      <c r="P3" s="3">
        <v>229</v>
      </c>
      <c r="Q3" s="3">
        <v>246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44811</v>
      </c>
      <c r="B4" s="3" t="s">
        <v>21</v>
      </c>
      <c r="C4" s="3" t="s">
        <v>24</v>
      </c>
      <c r="D4" s="3" t="s">
        <v>25</v>
      </c>
      <c r="E4" s="3" t="str">
        <f>E2</f>
        <v>HA-LWV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0.60069444444444442</v>
      </c>
      <c r="K4" s="5">
        <v>0.62777777777777777</v>
      </c>
      <c r="L4" s="4">
        <v>0.4513888888888889</v>
      </c>
      <c r="M4" s="5">
        <v>0.49305555555555558</v>
      </c>
      <c r="N4" s="3" t="s">
        <v>177</v>
      </c>
      <c r="O4" s="3" t="s">
        <v>165</v>
      </c>
      <c r="P4" s="3">
        <v>241</v>
      </c>
      <c r="Q4" s="3">
        <v>755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44811</v>
      </c>
      <c r="B5" s="3" t="s">
        <v>21</v>
      </c>
      <c r="C5" s="3" t="s">
        <v>112</v>
      </c>
      <c r="D5" s="3" t="s">
        <v>25</v>
      </c>
      <c r="E5" s="3" t="str">
        <f>E3</f>
        <v>HA-LWO</v>
      </c>
      <c r="F5" s="1" t="s">
        <v>26</v>
      </c>
      <c r="G5" s="3">
        <v>70000</v>
      </c>
      <c r="H5" s="3" t="s">
        <v>113</v>
      </c>
      <c r="I5" s="3" t="s">
        <v>114</v>
      </c>
      <c r="J5" s="4">
        <v>0.69791666666666663</v>
      </c>
      <c r="K5" s="5">
        <v>0.68333333333333324</v>
      </c>
      <c r="L5" s="4">
        <v>0.54166666666666663</v>
      </c>
      <c r="M5" s="5">
        <v>0.54791666666666672</v>
      </c>
      <c r="N5" s="3" t="s">
        <v>183</v>
      </c>
      <c r="O5" s="3" t="s">
        <v>96</v>
      </c>
      <c r="P5" s="3">
        <v>50</v>
      </c>
      <c r="Q5" s="3">
        <v>401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44811</v>
      </c>
      <c r="B6" s="3" t="s">
        <v>21</v>
      </c>
      <c r="C6" s="3" t="s">
        <v>33</v>
      </c>
      <c r="D6" s="3" t="s">
        <v>25</v>
      </c>
      <c r="E6" s="3" t="s">
        <v>66</v>
      </c>
      <c r="F6" s="1" t="s">
        <v>26</v>
      </c>
      <c r="G6" s="3">
        <v>70000</v>
      </c>
      <c r="H6" s="3" t="s">
        <v>36</v>
      </c>
      <c r="I6" s="3" t="s">
        <v>39</v>
      </c>
      <c r="J6" s="4">
        <v>0.74652777777777779</v>
      </c>
      <c r="K6" s="5">
        <v>0.77083333333333337</v>
      </c>
      <c r="L6" s="4">
        <v>0.63194444444444442</v>
      </c>
      <c r="M6" s="5">
        <v>0.6694444444444444</v>
      </c>
      <c r="N6" s="3" t="s">
        <v>185</v>
      </c>
      <c r="O6" s="3" t="s">
        <v>178</v>
      </c>
      <c r="P6" s="3">
        <v>307</v>
      </c>
      <c r="Q6" s="3">
        <v>599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44811</v>
      </c>
      <c r="B7" s="3" t="s">
        <v>21</v>
      </c>
      <c r="C7" s="3" t="s">
        <v>34</v>
      </c>
      <c r="D7" s="3" t="s">
        <v>25</v>
      </c>
      <c r="E7" s="3" t="str">
        <f>E5</f>
        <v>HA-LWO</v>
      </c>
      <c r="F7" s="1" t="s">
        <v>26</v>
      </c>
      <c r="G7" s="3">
        <v>70000</v>
      </c>
      <c r="H7" s="3" t="s">
        <v>37</v>
      </c>
      <c r="I7" s="3" t="s">
        <v>40</v>
      </c>
      <c r="J7" s="4">
        <v>0.90277777777777779</v>
      </c>
      <c r="K7" s="5">
        <v>0.92291666666666661</v>
      </c>
      <c r="L7" s="4">
        <v>0.71875</v>
      </c>
      <c r="M7" s="5">
        <v>0.75</v>
      </c>
      <c r="N7" s="3" t="s">
        <v>187</v>
      </c>
      <c r="O7" s="3" t="s">
        <v>184</v>
      </c>
      <c r="P7" s="3">
        <v>452</v>
      </c>
      <c r="Q7" s="3">
        <v>904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44811</v>
      </c>
      <c r="B8" s="3" t="s">
        <v>21</v>
      </c>
      <c r="C8" s="3" t="s">
        <v>35</v>
      </c>
      <c r="D8" s="3" t="s">
        <v>25</v>
      </c>
      <c r="E8" s="3" t="str">
        <f>E6</f>
        <v>HA-LWV</v>
      </c>
      <c r="F8" s="1" t="s">
        <v>26</v>
      </c>
      <c r="G8" s="3">
        <v>70000</v>
      </c>
      <c r="H8" s="3" t="s">
        <v>38</v>
      </c>
      <c r="I8" s="3" t="s">
        <v>41</v>
      </c>
      <c r="J8" s="4">
        <v>0.9375</v>
      </c>
      <c r="K8" s="5">
        <v>2.5694444444444447E-2</v>
      </c>
      <c r="L8" s="4">
        <v>0.76736111111111116</v>
      </c>
      <c r="M8" s="5">
        <v>0.83194444444444438</v>
      </c>
      <c r="N8" s="3" t="s">
        <v>188</v>
      </c>
      <c r="O8" s="3" t="s">
        <v>186</v>
      </c>
      <c r="P8" s="3">
        <v>502</v>
      </c>
      <c r="Q8" s="3">
        <v>641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44811</v>
      </c>
      <c r="B9" s="3" t="s">
        <v>179</v>
      </c>
      <c r="C9" s="3" t="s">
        <v>182</v>
      </c>
      <c r="D9" s="3" t="s">
        <v>181</v>
      </c>
      <c r="E9" s="3" t="s">
        <v>168</v>
      </c>
      <c r="F9" s="9" t="s">
        <v>180</v>
      </c>
      <c r="G9" s="3">
        <v>1200</v>
      </c>
      <c r="H9" s="3" t="str">
        <f>E9</f>
        <v>OM-CMJ</v>
      </c>
      <c r="I9" s="3" t="str">
        <f>H9</f>
        <v>OM-CMJ</v>
      </c>
      <c r="J9" s="4">
        <v>0.4236111111111111</v>
      </c>
      <c r="K9" s="5">
        <v>0.41736111111111113</v>
      </c>
      <c r="L9" s="4">
        <v>0.75</v>
      </c>
      <c r="M9" s="5">
        <v>0.70833333333333337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s="3" customFormat="1" ht="15" customHeight="1" x14ac:dyDescent="0.25">
      <c r="A10" s="2">
        <v>44811</v>
      </c>
      <c r="B10" s="3" t="s">
        <v>169</v>
      </c>
      <c r="C10" s="3" t="s">
        <v>170</v>
      </c>
      <c r="D10" s="3" t="s">
        <v>171</v>
      </c>
      <c r="E10" s="3" t="s">
        <v>172</v>
      </c>
      <c r="F10" s="3" t="s">
        <v>173</v>
      </c>
      <c r="G10" s="3">
        <v>21863</v>
      </c>
      <c r="H10" s="3" t="s">
        <v>174</v>
      </c>
      <c r="I10" s="3" t="s">
        <v>175</v>
      </c>
      <c r="J10" s="4">
        <v>0.42708333333333331</v>
      </c>
      <c r="K10" s="5">
        <v>0.42152777777777778</v>
      </c>
      <c r="L10" s="4">
        <v>0.53125</v>
      </c>
      <c r="M10" s="5">
        <v>0.61458333333333337</v>
      </c>
      <c r="N10" s="3">
        <v>0</v>
      </c>
      <c r="O10" s="3" t="s">
        <v>176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E28" sqref="E28"/>
    </sheetView>
  </sheetViews>
  <sheetFormatPr defaultRowHeight="15" x14ac:dyDescent="0.25"/>
  <cols>
    <col min="1" max="1" width="10.140625" bestFit="1" customWidth="1"/>
    <col min="2" max="2" width="18.85546875" customWidth="1"/>
    <col min="3" max="3" width="14" customWidth="1"/>
    <col min="6" max="6" width="12.7109375" customWidth="1"/>
    <col min="15" max="15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44812</v>
      </c>
      <c r="B2" s="3" t="s">
        <v>21</v>
      </c>
      <c r="C2" s="3" t="s">
        <v>52</v>
      </c>
      <c r="D2" s="3" t="s">
        <v>25</v>
      </c>
      <c r="E2" s="15" t="s">
        <v>50</v>
      </c>
      <c r="F2" s="1" t="s">
        <v>26</v>
      </c>
      <c r="G2" s="3">
        <v>70000</v>
      </c>
      <c r="H2" s="3" t="s">
        <v>53</v>
      </c>
      <c r="I2" s="3" t="s">
        <v>54</v>
      </c>
      <c r="J2" s="4">
        <v>0.45833333333333331</v>
      </c>
      <c r="K2" s="5">
        <v>0.4465277777777778</v>
      </c>
      <c r="L2" s="4">
        <v>0.25694444444444448</v>
      </c>
      <c r="M2" s="5">
        <v>0.26041666666666669</v>
      </c>
      <c r="N2" s="3" t="s">
        <v>190</v>
      </c>
      <c r="O2" s="3" t="s">
        <v>167</v>
      </c>
      <c r="P2" s="3">
        <v>185</v>
      </c>
      <c r="Q2" s="3">
        <v>252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44812</v>
      </c>
      <c r="B3" s="3" t="s">
        <v>21</v>
      </c>
      <c r="C3" s="3" t="s">
        <v>55</v>
      </c>
      <c r="D3" s="3" t="s">
        <v>25</v>
      </c>
      <c r="E3" s="15" t="s">
        <v>66</v>
      </c>
      <c r="F3" s="3" t="s">
        <v>26</v>
      </c>
      <c r="G3" s="10">
        <v>70000</v>
      </c>
      <c r="H3" s="3" t="s">
        <v>56</v>
      </c>
      <c r="I3" s="3" t="s">
        <v>57</v>
      </c>
      <c r="J3" s="4">
        <v>0.43402777777777773</v>
      </c>
      <c r="K3" s="5">
        <v>0.44097222222222227</v>
      </c>
      <c r="L3" s="4">
        <v>0.28472222222222221</v>
      </c>
      <c r="M3" s="5">
        <v>0.30555555555555552</v>
      </c>
      <c r="N3" s="3" t="s">
        <v>191</v>
      </c>
      <c r="O3" s="3" t="s">
        <v>189</v>
      </c>
      <c r="P3" s="3">
        <v>323</v>
      </c>
      <c r="Q3" s="3">
        <v>578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44812</v>
      </c>
      <c r="B4" s="3" t="s">
        <v>21</v>
      </c>
      <c r="C4" s="3" t="s">
        <v>42</v>
      </c>
      <c r="D4" s="3" t="s">
        <v>25</v>
      </c>
      <c r="E4" s="15" t="str">
        <f>E2</f>
        <v>HA-LWO</v>
      </c>
      <c r="F4" s="3" t="s">
        <v>26</v>
      </c>
      <c r="G4" s="10">
        <v>70000</v>
      </c>
      <c r="H4" s="3" t="s">
        <v>43</v>
      </c>
      <c r="I4" s="3" t="s">
        <v>44</v>
      </c>
      <c r="J4" s="4">
        <v>0.67708333333333337</v>
      </c>
      <c r="K4" s="5">
        <v>0.69513888888888886</v>
      </c>
      <c r="L4" s="4">
        <v>0.48958333333333331</v>
      </c>
      <c r="M4" s="5">
        <v>0.52083333333333337</v>
      </c>
      <c r="N4" s="3" t="s">
        <v>198</v>
      </c>
      <c r="O4" s="3" t="s">
        <v>192</v>
      </c>
      <c r="P4" s="3">
        <v>803</v>
      </c>
      <c r="Q4" s="3">
        <v>693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44812</v>
      </c>
      <c r="B5" s="3" t="s">
        <v>21</v>
      </c>
      <c r="C5" s="3" t="s">
        <v>58</v>
      </c>
      <c r="D5" s="3" t="s">
        <v>25</v>
      </c>
      <c r="E5" s="15" t="str">
        <f>E3</f>
        <v>HA-LWV</v>
      </c>
      <c r="F5" s="3" t="s">
        <v>26</v>
      </c>
      <c r="G5" s="10">
        <v>70000</v>
      </c>
      <c r="H5" s="3" t="s">
        <v>59</v>
      </c>
      <c r="I5" s="3" t="s">
        <v>60</v>
      </c>
      <c r="J5" s="4">
        <v>0.86805555555555547</v>
      </c>
      <c r="K5" s="5">
        <v>0.87708333333333333</v>
      </c>
      <c r="L5" s="4">
        <v>0.64930555555555558</v>
      </c>
      <c r="M5" s="5">
        <v>0.65902777777777777</v>
      </c>
      <c r="N5" s="3" t="s">
        <v>200</v>
      </c>
      <c r="O5" s="3" t="s">
        <v>197</v>
      </c>
      <c r="P5" s="3">
        <v>209</v>
      </c>
      <c r="Q5" s="3">
        <v>460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>
        <v>44812</v>
      </c>
      <c r="B6" s="3" t="s">
        <v>21</v>
      </c>
      <c r="C6" s="3" t="s">
        <v>61</v>
      </c>
      <c r="D6" s="3" t="s">
        <v>25</v>
      </c>
      <c r="E6" s="11" t="str">
        <f>E4</f>
        <v>HA-LWO</v>
      </c>
      <c r="F6" s="3" t="s">
        <v>26</v>
      </c>
      <c r="G6" s="10">
        <v>70000</v>
      </c>
      <c r="H6" s="3" t="s">
        <v>62</v>
      </c>
      <c r="I6" s="3" t="s">
        <v>63</v>
      </c>
      <c r="J6" s="4">
        <v>0.93402777777777779</v>
      </c>
      <c r="K6" s="5">
        <v>0.94791666666666663</v>
      </c>
      <c r="L6" s="4">
        <v>0.69791666666666663</v>
      </c>
      <c r="M6" s="5">
        <v>0.73263888888888884</v>
      </c>
      <c r="N6" s="3" t="s">
        <v>201</v>
      </c>
      <c r="O6" s="3" t="s">
        <v>199</v>
      </c>
      <c r="P6" s="3">
        <v>452</v>
      </c>
      <c r="Q6" s="3">
        <v>324</v>
      </c>
      <c r="R6" s="3">
        <v>0</v>
      </c>
      <c r="S6" s="3">
        <v>0</v>
      </c>
      <c r="T6" s="3">
        <v>0</v>
      </c>
      <c r="U6" s="3">
        <v>0</v>
      </c>
    </row>
    <row r="7" spans="1:21" s="6" customFormat="1" ht="12.75" x14ac:dyDescent="0.2">
      <c r="A7" s="2">
        <v>44812</v>
      </c>
      <c r="B7" s="3" t="s">
        <v>196</v>
      </c>
      <c r="C7" s="3" t="s">
        <v>87</v>
      </c>
      <c r="D7" s="3" t="s">
        <v>25</v>
      </c>
      <c r="E7" s="11" t="s">
        <v>193</v>
      </c>
      <c r="F7" s="3" t="s">
        <v>26</v>
      </c>
      <c r="G7" s="10">
        <v>7000</v>
      </c>
      <c r="H7" s="3" t="s">
        <v>194</v>
      </c>
      <c r="I7" s="3" t="s">
        <v>92</v>
      </c>
      <c r="J7" s="4">
        <v>0.5</v>
      </c>
      <c r="K7" s="5">
        <v>0.51874999999999993</v>
      </c>
      <c r="L7" s="4" t="s">
        <v>92</v>
      </c>
      <c r="M7" s="5" t="s">
        <v>92</v>
      </c>
      <c r="N7" s="3" t="s">
        <v>195</v>
      </c>
      <c r="O7" s="3" t="s">
        <v>64</v>
      </c>
      <c r="P7" s="6" t="s">
        <v>64</v>
      </c>
      <c r="Q7" s="6" t="s">
        <v>64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G1" workbookViewId="0">
      <selection activeCell="B10" sqref="B10:U10"/>
    </sheetView>
  </sheetViews>
  <sheetFormatPr defaultRowHeight="15" x14ac:dyDescent="0.25"/>
  <cols>
    <col min="1" max="1" width="11.28515625" bestFit="1" customWidth="1"/>
    <col min="2" max="2" width="20.140625" customWidth="1"/>
    <col min="3" max="3" width="15" customWidth="1"/>
    <col min="4" max="4" width="7.140625" customWidth="1"/>
    <col min="5" max="5" width="13.140625" customWidth="1"/>
    <col min="6" max="6" width="20.28515625" customWidth="1"/>
    <col min="7" max="7" width="9.28515625" bestFit="1" customWidth="1"/>
    <col min="10" max="10" width="7.7109375" customWidth="1"/>
    <col min="12" max="12" width="6.85546875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44813</v>
      </c>
      <c r="B2" s="3" t="s">
        <v>21</v>
      </c>
      <c r="C2" s="3" t="s">
        <v>22</v>
      </c>
      <c r="D2" s="3" t="s">
        <v>25</v>
      </c>
      <c r="E2" s="3" t="s">
        <v>50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0.44097222222222227</v>
      </c>
      <c r="L2" s="4">
        <v>0.25694444444444448</v>
      </c>
      <c r="M2" s="5">
        <v>0.27499999999999997</v>
      </c>
      <c r="N2" s="3" t="s">
        <v>203</v>
      </c>
      <c r="O2" s="3" t="s">
        <v>96</v>
      </c>
      <c r="P2" s="3">
        <v>578</v>
      </c>
      <c r="Q2" s="3">
        <v>810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44813</v>
      </c>
      <c r="B3" s="3" t="s">
        <v>21</v>
      </c>
      <c r="C3" s="3" t="s">
        <v>23</v>
      </c>
      <c r="D3" s="3" t="s">
        <v>25</v>
      </c>
      <c r="E3" s="3" t="s">
        <v>66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0.54027777777777775</v>
      </c>
      <c r="L3" s="4">
        <v>0.28125</v>
      </c>
      <c r="M3" s="5">
        <v>0.31041666666666667</v>
      </c>
      <c r="N3" s="3" t="s">
        <v>205</v>
      </c>
      <c r="O3" s="3" t="s">
        <v>142</v>
      </c>
      <c r="P3" s="3">
        <v>408</v>
      </c>
      <c r="Q3" s="3">
        <v>690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44813</v>
      </c>
      <c r="B4" s="3" t="s">
        <v>45</v>
      </c>
      <c r="C4" s="3" t="s">
        <v>46</v>
      </c>
      <c r="D4" s="3" t="s">
        <v>25</v>
      </c>
      <c r="E4" s="3" t="s">
        <v>202</v>
      </c>
      <c r="F4" s="1" t="s">
        <v>47</v>
      </c>
      <c r="G4" s="10">
        <v>77000</v>
      </c>
      <c r="H4" s="3" t="s">
        <v>48</v>
      </c>
      <c r="I4" s="3" t="s">
        <v>49</v>
      </c>
      <c r="J4" s="4">
        <v>0.3298611111111111</v>
      </c>
      <c r="K4" s="5">
        <v>0.32847222222222222</v>
      </c>
      <c r="L4" s="4">
        <v>0.37152777777777773</v>
      </c>
      <c r="M4" s="5">
        <v>0.38194444444444442</v>
      </c>
      <c r="N4" s="3" t="s">
        <v>204</v>
      </c>
      <c r="O4" s="3" t="s">
        <v>184</v>
      </c>
      <c r="P4" s="3">
        <v>2476</v>
      </c>
      <c r="Q4" s="3">
        <v>2082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44813</v>
      </c>
      <c r="B5" s="3" t="s">
        <v>21</v>
      </c>
      <c r="C5" s="3" t="s">
        <v>24</v>
      </c>
      <c r="D5" s="3" t="s">
        <v>25</v>
      </c>
      <c r="E5" s="3" t="s">
        <v>50</v>
      </c>
      <c r="F5" s="1" t="s">
        <v>26</v>
      </c>
      <c r="G5" s="3">
        <v>70000</v>
      </c>
      <c r="H5" s="3" t="s">
        <v>31</v>
      </c>
      <c r="I5" s="3" t="s">
        <v>32</v>
      </c>
      <c r="J5" s="4">
        <v>0.61111111111111105</v>
      </c>
      <c r="K5" s="5">
        <v>0.6069444444444444</v>
      </c>
      <c r="L5" s="4">
        <v>0.46180555555555558</v>
      </c>
      <c r="M5" s="5">
        <v>0.4694444444444445</v>
      </c>
      <c r="N5" s="3" t="s">
        <v>138</v>
      </c>
      <c r="O5" s="3" t="s">
        <v>206</v>
      </c>
      <c r="P5" s="3">
        <v>330</v>
      </c>
      <c r="Q5" s="3">
        <v>844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44813</v>
      </c>
      <c r="B6" s="3" t="s">
        <v>21</v>
      </c>
      <c r="C6" s="3" t="s">
        <v>33</v>
      </c>
      <c r="D6" s="3" t="s">
        <v>25</v>
      </c>
      <c r="E6" s="3" t="s">
        <v>66</v>
      </c>
      <c r="F6" s="1" t="s">
        <v>26</v>
      </c>
      <c r="G6" s="3">
        <v>70000</v>
      </c>
      <c r="H6" s="3" t="s">
        <v>36</v>
      </c>
      <c r="I6" s="3" t="s">
        <v>39</v>
      </c>
      <c r="J6" s="4">
        <v>0.75694444444444453</v>
      </c>
      <c r="K6" s="5">
        <v>0.76736111111111116</v>
      </c>
      <c r="L6" s="4">
        <v>0.64236111111111105</v>
      </c>
      <c r="M6" s="5">
        <v>0.65625</v>
      </c>
      <c r="N6" s="3" t="s">
        <v>214</v>
      </c>
      <c r="O6" s="3" t="s">
        <v>211</v>
      </c>
      <c r="P6" s="3">
        <v>317</v>
      </c>
      <c r="Q6" s="3">
        <v>385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44813</v>
      </c>
      <c r="B7" s="3" t="s">
        <v>21</v>
      </c>
      <c r="C7" s="3" t="s">
        <v>34</v>
      </c>
      <c r="D7" s="3" t="s">
        <v>25</v>
      </c>
      <c r="E7" s="3" t="s">
        <v>50</v>
      </c>
      <c r="F7" s="1" t="s">
        <v>26</v>
      </c>
      <c r="G7" s="3">
        <v>70000</v>
      </c>
      <c r="H7" s="3" t="s">
        <v>37</v>
      </c>
      <c r="I7" s="3" t="s">
        <v>40</v>
      </c>
      <c r="J7" s="4">
        <v>0.96180555555555547</v>
      </c>
      <c r="K7" s="5">
        <v>0.95763888888888893</v>
      </c>
      <c r="L7" s="4">
        <v>0.77777777777777779</v>
      </c>
      <c r="M7" s="5">
        <v>0.78472222222222221</v>
      </c>
      <c r="N7" s="3" t="s">
        <v>215</v>
      </c>
      <c r="O7" s="3" t="s">
        <v>212</v>
      </c>
      <c r="P7" s="3">
        <v>461</v>
      </c>
      <c r="Q7" s="3">
        <v>977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44813</v>
      </c>
      <c r="B8" s="3" t="s">
        <v>21</v>
      </c>
      <c r="C8" s="3" t="s">
        <v>35</v>
      </c>
      <c r="D8" s="3" t="s">
        <v>25</v>
      </c>
      <c r="E8" s="3" t="s">
        <v>66</v>
      </c>
      <c r="F8" s="1" t="s">
        <v>26</v>
      </c>
      <c r="G8" s="3">
        <v>70000</v>
      </c>
      <c r="H8" s="3" t="s">
        <v>38</v>
      </c>
      <c r="I8" s="3" t="s">
        <v>41</v>
      </c>
      <c r="J8" s="4">
        <v>0.97569444444444453</v>
      </c>
      <c r="K8" s="5">
        <v>0.98263888888888884</v>
      </c>
      <c r="L8" s="4">
        <v>0.77777777777777779</v>
      </c>
      <c r="M8" s="5">
        <v>0.81041666666666667</v>
      </c>
      <c r="N8" s="3" t="s">
        <v>216</v>
      </c>
      <c r="O8" s="3" t="s">
        <v>213</v>
      </c>
      <c r="P8" s="3">
        <v>682</v>
      </c>
      <c r="Q8" s="3">
        <v>1163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44813</v>
      </c>
      <c r="B9" s="3" t="s">
        <v>196</v>
      </c>
      <c r="C9" s="3" t="s">
        <v>207</v>
      </c>
      <c r="D9" s="3" t="s">
        <v>25</v>
      </c>
      <c r="E9" s="11" t="s">
        <v>193</v>
      </c>
      <c r="F9" s="3" t="s">
        <v>128</v>
      </c>
      <c r="G9" s="10">
        <v>7000</v>
      </c>
      <c r="H9" s="3" t="s">
        <v>64</v>
      </c>
      <c r="I9" s="3" t="s">
        <v>194</v>
      </c>
      <c r="J9" s="4" t="s">
        <v>92</v>
      </c>
      <c r="K9" s="5" t="s">
        <v>92</v>
      </c>
      <c r="L9" s="4">
        <v>0.64583333333333337</v>
      </c>
      <c r="M9" s="5">
        <v>0.67569444444444438</v>
      </c>
      <c r="N9" s="3" t="s">
        <v>64</v>
      </c>
      <c r="O9" s="3">
        <v>0</v>
      </c>
      <c r="P9" s="6" t="s">
        <v>64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1" s="3" customFormat="1" ht="12.75" x14ac:dyDescent="0.25">
      <c r="A10" s="2">
        <v>44813</v>
      </c>
      <c r="B10" s="3" t="s">
        <v>208</v>
      </c>
      <c r="C10" s="3" t="s">
        <v>209</v>
      </c>
      <c r="D10" s="3" t="s">
        <v>126</v>
      </c>
      <c r="E10" s="3" t="s">
        <v>210</v>
      </c>
      <c r="F10" s="3" t="str">
        <f>F9</f>
        <v>GA PRIVATE</v>
      </c>
      <c r="G10" s="3">
        <v>4600</v>
      </c>
      <c r="H10" s="3" t="str">
        <f>E10</f>
        <v>T7-ACA</v>
      </c>
      <c r="I10" s="3" t="str">
        <f>H10</f>
        <v>T7-ACA</v>
      </c>
      <c r="J10" s="4">
        <v>0.58333333333333337</v>
      </c>
      <c r="K10" s="5">
        <v>0.59791666666666665</v>
      </c>
      <c r="L10" s="4">
        <v>0.60416666666666663</v>
      </c>
      <c r="M10" s="5">
        <v>0.65277777777777779</v>
      </c>
      <c r="N10" s="3">
        <v>0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F34" sqref="F34"/>
    </sheetView>
  </sheetViews>
  <sheetFormatPr defaultRowHeight="15" x14ac:dyDescent="0.25"/>
  <cols>
    <col min="3" max="3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44814</v>
      </c>
      <c r="B2" s="3" t="s">
        <v>21</v>
      </c>
      <c r="C2" s="3" t="s">
        <v>52</v>
      </c>
      <c r="D2" s="3" t="s">
        <v>25</v>
      </c>
      <c r="E2" s="3" t="s">
        <v>66</v>
      </c>
      <c r="F2" s="1" t="s">
        <v>26</v>
      </c>
      <c r="G2" s="3">
        <v>70000</v>
      </c>
      <c r="H2" s="3" t="s">
        <v>53</v>
      </c>
      <c r="I2" s="3" t="s">
        <v>54</v>
      </c>
      <c r="J2" s="4">
        <v>0.45833333333333331</v>
      </c>
      <c r="K2" s="5">
        <v>0.44236111111111115</v>
      </c>
      <c r="L2" s="4">
        <v>0.25694444444444448</v>
      </c>
      <c r="M2" s="5">
        <v>0.26250000000000001</v>
      </c>
      <c r="N2" s="3" t="s">
        <v>218</v>
      </c>
      <c r="O2" s="3" t="s">
        <v>164</v>
      </c>
      <c r="P2" s="3">
        <v>322</v>
      </c>
      <c r="Q2" s="3">
        <v>209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44814</v>
      </c>
      <c r="B3" s="3" t="s">
        <v>21</v>
      </c>
      <c r="C3" s="3" t="s">
        <v>100</v>
      </c>
      <c r="D3" s="3" t="s">
        <v>25</v>
      </c>
      <c r="E3" s="3" t="s">
        <v>50</v>
      </c>
      <c r="F3" s="3" t="s">
        <v>26</v>
      </c>
      <c r="G3" s="10">
        <v>70000</v>
      </c>
      <c r="H3" s="3" t="s">
        <v>102</v>
      </c>
      <c r="I3" s="3" t="s">
        <v>103</v>
      </c>
      <c r="J3" s="4">
        <v>0.47222222222222227</v>
      </c>
      <c r="K3" s="5">
        <v>0.4694444444444445</v>
      </c>
      <c r="L3" s="4">
        <v>0.28125</v>
      </c>
      <c r="M3" s="5">
        <v>0.28541666666666665</v>
      </c>
      <c r="N3" s="3" t="s">
        <v>219</v>
      </c>
      <c r="O3" s="3" t="s">
        <v>206</v>
      </c>
      <c r="P3" s="3">
        <v>589</v>
      </c>
      <c r="Q3" s="3">
        <v>1177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44814</v>
      </c>
      <c r="B4" s="3" t="s">
        <v>21</v>
      </c>
      <c r="C4" s="3" t="s">
        <v>42</v>
      </c>
      <c r="D4" s="3" t="s">
        <v>25</v>
      </c>
      <c r="E4" s="3" t="s">
        <v>66</v>
      </c>
      <c r="F4" s="3" t="s">
        <v>26</v>
      </c>
      <c r="G4" s="10">
        <v>70000</v>
      </c>
      <c r="H4" s="3" t="s">
        <v>43</v>
      </c>
      <c r="I4" s="3" t="s">
        <v>44</v>
      </c>
      <c r="J4" s="4">
        <v>0.91319444444444453</v>
      </c>
      <c r="K4" s="5">
        <v>0.96111111111111114</v>
      </c>
      <c r="L4" s="4">
        <v>0.49305555555555558</v>
      </c>
      <c r="M4" s="5">
        <v>0.52430555555555558</v>
      </c>
      <c r="N4" s="3" t="s">
        <v>107</v>
      </c>
      <c r="O4" s="3" t="s">
        <v>184</v>
      </c>
      <c r="P4" s="3">
        <v>890</v>
      </c>
      <c r="Q4" s="3">
        <v>1172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44814</v>
      </c>
      <c r="B5" s="3" t="s">
        <v>21</v>
      </c>
      <c r="C5" s="3" t="s">
        <v>101</v>
      </c>
      <c r="D5" s="3" t="s">
        <v>25</v>
      </c>
      <c r="E5" s="3" t="s">
        <v>217</v>
      </c>
      <c r="F5" s="3" t="s">
        <v>26</v>
      </c>
      <c r="G5" s="10">
        <v>70000</v>
      </c>
      <c r="H5" s="3" t="s">
        <v>105</v>
      </c>
      <c r="I5" s="3" t="s">
        <v>104</v>
      </c>
      <c r="J5" s="4">
        <v>0.91319444444444453</v>
      </c>
      <c r="K5" s="5">
        <v>0.90763888888888899</v>
      </c>
      <c r="L5" s="4">
        <v>0.50347222222222221</v>
      </c>
      <c r="M5" s="5">
        <v>0.5131944444444444</v>
      </c>
      <c r="N5" s="3" t="s">
        <v>221</v>
      </c>
      <c r="O5" s="3" t="s">
        <v>220</v>
      </c>
      <c r="P5" s="3">
        <v>518</v>
      </c>
      <c r="Q5" s="3">
        <v>969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H32" sqref="H32"/>
    </sheetView>
  </sheetViews>
  <sheetFormatPr defaultRowHeight="15" x14ac:dyDescent="0.25"/>
  <cols>
    <col min="3" max="3" width="16" customWidth="1"/>
    <col min="6" max="6" width="14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44815</v>
      </c>
      <c r="B2" s="3" t="s">
        <v>21</v>
      </c>
      <c r="C2" s="3" t="s">
        <v>52</v>
      </c>
      <c r="D2" s="3" t="s">
        <v>25</v>
      </c>
      <c r="E2" s="3" t="s">
        <v>50</v>
      </c>
      <c r="F2" s="1" t="s">
        <v>26</v>
      </c>
      <c r="G2" s="10">
        <v>70000</v>
      </c>
      <c r="H2" s="3" t="s">
        <v>53</v>
      </c>
      <c r="I2" s="3" t="s">
        <v>54</v>
      </c>
      <c r="J2" s="4">
        <v>0.45833333333333331</v>
      </c>
      <c r="K2" s="5">
        <v>0.44444444444444442</v>
      </c>
      <c r="L2" s="4">
        <v>0.25694444444444448</v>
      </c>
      <c r="M2" s="5">
        <v>0.26111111111111113</v>
      </c>
      <c r="N2" s="3" t="s">
        <v>224</v>
      </c>
      <c r="O2" s="3" t="s">
        <v>222</v>
      </c>
      <c r="P2" s="3">
        <v>238</v>
      </c>
      <c r="Q2" s="3">
        <v>559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44815</v>
      </c>
      <c r="B3" s="3" t="s">
        <v>21</v>
      </c>
      <c r="C3" s="3" t="s">
        <v>55</v>
      </c>
      <c r="D3" s="3" t="s">
        <v>25</v>
      </c>
      <c r="E3" s="3" t="s">
        <v>66</v>
      </c>
      <c r="F3" s="3" t="s">
        <v>26</v>
      </c>
      <c r="G3" s="10">
        <v>70000</v>
      </c>
      <c r="H3" s="3" t="s">
        <v>56</v>
      </c>
      <c r="I3" s="3" t="s">
        <v>57</v>
      </c>
      <c r="J3" s="4">
        <v>0.43402777777777773</v>
      </c>
      <c r="K3" s="5">
        <v>0.42777777777777781</v>
      </c>
      <c r="L3" s="4">
        <v>0.28472222222222221</v>
      </c>
      <c r="M3" s="5">
        <v>0.29097222222222224</v>
      </c>
      <c r="N3" s="3" t="s">
        <v>225</v>
      </c>
      <c r="O3" s="3" t="s">
        <v>223</v>
      </c>
      <c r="P3" s="3">
        <v>357</v>
      </c>
      <c r="Q3" s="3">
        <v>569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44815</v>
      </c>
      <c r="B4" s="3" t="s">
        <v>21</v>
      </c>
      <c r="C4" s="3" t="s">
        <v>112</v>
      </c>
      <c r="D4" s="3" t="s">
        <v>25</v>
      </c>
      <c r="E4" s="3" t="s">
        <v>66</v>
      </c>
      <c r="F4" s="3" t="s">
        <v>26</v>
      </c>
      <c r="G4" s="10">
        <v>70000</v>
      </c>
      <c r="H4" s="3" t="s">
        <v>113</v>
      </c>
      <c r="I4" s="3" t="s">
        <v>114</v>
      </c>
      <c r="J4" s="4">
        <v>0.64583333333333337</v>
      </c>
      <c r="K4" s="5">
        <v>0.64374999999999993</v>
      </c>
      <c r="L4" s="4">
        <v>0.48958333333333331</v>
      </c>
      <c r="M4" s="5">
        <v>0.50347222222222221</v>
      </c>
      <c r="N4" s="3" t="s">
        <v>227</v>
      </c>
      <c r="O4" s="3" t="s">
        <v>226</v>
      </c>
      <c r="P4" s="3">
        <v>318</v>
      </c>
      <c r="Q4" s="3">
        <v>452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44815</v>
      </c>
      <c r="B5" s="3" t="s">
        <v>21</v>
      </c>
      <c r="C5" s="3" t="s">
        <v>58</v>
      </c>
      <c r="D5" s="3" t="s">
        <v>25</v>
      </c>
      <c r="E5" s="3" t="s">
        <v>50</v>
      </c>
      <c r="F5" s="3" t="s">
        <v>26</v>
      </c>
      <c r="G5" s="10">
        <v>70000</v>
      </c>
      <c r="H5" s="3" t="s">
        <v>59</v>
      </c>
      <c r="I5" s="3" t="s">
        <v>60</v>
      </c>
      <c r="J5" s="4">
        <v>0.86805555555555547</v>
      </c>
      <c r="K5" s="5">
        <v>0.86041666666666661</v>
      </c>
      <c r="L5" s="4">
        <v>0.64930555555555558</v>
      </c>
      <c r="M5" s="5">
        <v>0.65208333333333335</v>
      </c>
      <c r="N5" s="3" t="s">
        <v>229</v>
      </c>
      <c r="O5" s="3" t="s">
        <v>96</v>
      </c>
      <c r="P5" s="3">
        <v>192</v>
      </c>
      <c r="Q5" s="3">
        <v>858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44815</v>
      </c>
      <c r="B6" s="3" t="s">
        <v>21</v>
      </c>
      <c r="C6" s="3" t="s">
        <v>61</v>
      </c>
      <c r="D6" s="3" t="s">
        <v>25</v>
      </c>
      <c r="E6" s="3" t="s">
        <v>66</v>
      </c>
      <c r="F6" s="3" t="s">
        <v>26</v>
      </c>
      <c r="G6" s="10">
        <v>70000</v>
      </c>
      <c r="H6" s="3" t="s">
        <v>62</v>
      </c>
      <c r="I6" s="3" t="s">
        <v>63</v>
      </c>
      <c r="J6" s="4">
        <v>0.90277777777777779</v>
      </c>
      <c r="K6" s="5">
        <v>0.8965277777777777</v>
      </c>
      <c r="L6" s="4">
        <v>0.66666666666666663</v>
      </c>
      <c r="M6" s="5">
        <v>0.68263888888888891</v>
      </c>
      <c r="N6" s="3" t="s">
        <v>230</v>
      </c>
      <c r="O6" s="3" t="s">
        <v>228</v>
      </c>
      <c r="P6" s="3">
        <v>430</v>
      </c>
      <c r="Q6" s="3">
        <v>1121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workbookViewId="0">
      <selection sqref="A1:XFD7"/>
    </sheetView>
  </sheetViews>
  <sheetFormatPr defaultRowHeight="15" x14ac:dyDescent="0.25"/>
  <cols>
    <col min="3" max="3" width="13.42578125" customWidth="1"/>
    <col min="4" max="4" width="8" customWidth="1"/>
    <col min="5" max="5" width="18.28515625" customWidth="1"/>
    <col min="6" max="6" width="12.285156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/>
      <c r="W1" s="6"/>
    </row>
    <row r="2" spans="1:23" x14ac:dyDescent="0.25">
      <c r="A2" s="2">
        <v>44816</v>
      </c>
      <c r="B2" s="3" t="s">
        <v>21</v>
      </c>
      <c r="C2" s="3" t="s">
        <v>22</v>
      </c>
      <c r="D2" s="3" t="s">
        <v>25</v>
      </c>
      <c r="E2" s="11" t="s">
        <v>50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0.42638888888888887</v>
      </c>
      <c r="L2" s="4">
        <v>0.25694444444444448</v>
      </c>
      <c r="M2" s="5">
        <v>0.26111111111111113</v>
      </c>
      <c r="N2" s="3" t="s">
        <v>233</v>
      </c>
      <c r="O2" s="3" t="s">
        <v>231</v>
      </c>
      <c r="P2" s="3">
        <v>492</v>
      </c>
      <c r="Q2" s="3">
        <v>659</v>
      </c>
      <c r="R2" s="3">
        <v>0</v>
      </c>
      <c r="S2" s="3">
        <v>0</v>
      </c>
      <c r="T2" s="3">
        <v>0</v>
      </c>
      <c r="U2" s="3">
        <v>0</v>
      </c>
      <c r="V2" s="6"/>
      <c r="W2" s="6"/>
    </row>
    <row r="3" spans="1:23" x14ac:dyDescent="0.25">
      <c r="A3" s="2">
        <v>44816</v>
      </c>
      <c r="B3" s="3" t="s">
        <v>21</v>
      </c>
      <c r="C3" s="3" t="s">
        <v>23</v>
      </c>
      <c r="D3" s="3" t="s">
        <v>25</v>
      </c>
      <c r="E3" s="11" t="s">
        <v>66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0.51736111111111105</v>
      </c>
      <c r="L3" s="4">
        <v>0.28125</v>
      </c>
      <c r="M3" s="5">
        <v>0.29652777777777778</v>
      </c>
      <c r="N3" s="3" t="s">
        <v>235</v>
      </c>
      <c r="O3" s="3" t="s">
        <v>232</v>
      </c>
      <c r="P3" s="3">
        <v>492</v>
      </c>
      <c r="Q3" s="3">
        <v>289</v>
      </c>
      <c r="R3" s="3">
        <v>0</v>
      </c>
      <c r="S3" s="3">
        <v>0</v>
      </c>
      <c r="T3" s="3">
        <v>0</v>
      </c>
      <c r="U3" s="3">
        <v>0</v>
      </c>
      <c r="V3" s="6"/>
      <c r="W3" s="6"/>
    </row>
    <row r="4" spans="1:23" x14ac:dyDescent="0.25">
      <c r="A4" s="2">
        <v>44816</v>
      </c>
      <c r="B4" s="3" t="s">
        <v>21</v>
      </c>
      <c r="C4" s="3" t="s">
        <v>24</v>
      </c>
      <c r="D4" s="3" t="s">
        <v>25</v>
      </c>
      <c r="E4" s="11" t="s">
        <v>50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0.59444444444444444</v>
      </c>
      <c r="L4" s="4">
        <v>0.46180555555555558</v>
      </c>
      <c r="M4" s="5">
        <v>0.46180555555555558</v>
      </c>
      <c r="N4" s="3" t="s">
        <v>206</v>
      </c>
      <c r="O4" s="3" t="s">
        <v>236</v>
      </c>
      <c r="P4" s="3">
        <v>600</v>
      </c>
      <c r="Q4" s="3">
        <v>383</v>
      </c>
      <c r="R4" s="3">
        <v>0</v>
      </c>
      <c r="S4" s="3">
        <v>0</v>
      </c>
      <c r="T4" s="3">
        <v>0</v>
      </c>
      <c r="U4" s="3">
        <v>0</v>
      </c>
      <c r="V4" s="6"/>
      <c r="W4" s="6"/>
    </row>
    <row r="5" spans="1:23" x14ac:dyDescent="0.25">
      <c r="A5" s="2">
        <v>44816</v>
      </c>
      <c r="B5" s="3" t="s">
        <v>21</v>
      </c>
      <c r="C5" s="6" t="s">
        <v>33</v>
      </c>
      <c r="D5" s="3" t="s">
        <v>25</v>
      </c>
      <c r="E5" s="11" t="s">
        <v>50</v>
      </c>
      <c r="F5" s="1" t="s">
        <v>26</v>
      </c>
      <c r="G5" s="3">
        <v>70000</v>
      </c>
      <c r="H5" s="6" t="s">
        <v>36</v>
      </c>
      <c r="I5" s="6" t="s">
        <v>39</v>
      </c>
      <c r="J5" s="7">
        <v>0.75694444444444453</v>
      </c>
      <c r="K5" s="8">
        <v>0.74791666666666667</v>
      </c>
      <c r="L5" s="7">
        <v>0.64236111111111105</v>
      </c>
      <c r="M5" s="8">
        <v>0.6430555555555556</v>
      </c>
      <c r="N5" s="3" t="s">
        <v>237</v>
      </c>
      <c r="O5" s="3" t="s">
        <v>136</v>
      </c>
      <c r="P5" s="6">
        <v>289</v>
      </c>
      <c r="Q5" s="6">
        <v>501</v>
      </c>
      <c r="R5" s="6">
        <v>0</v>
      </c>
      <c r="S5" s="6">
        <v>0</v>
      </c>
      <c r="T5" s="6">
        <v>0</v>
      </c>
      <c r="U5" s="6">
        <v>0</v>
      </c>
      <c r="V5" s="6"/>
      <c r="W5" s="6"/>
    </row>
    <row r="6" spans="1:23" x14ac:dyDescent="0.25">
      <c r="A6" s="2">
        <v>44816</v>
      </c>
      <c r="B6" s="3" t="s">
        <v>21</v>
      </c>
      <c r="C6" s="6" t="s">
        <v>34</v>
      </c>
      <c r="D6" s="3" t="s">
        <v>25</v>
      </c>
      <c r="E6" s="11" t="s">
        <v>66</v>
      </c>
      <c r="F6" s="1" t="s">
        <v>26</v>
      </c>
      <c r="G6" s="3">
        <v>70000</v>
      </c>
      <c r="H6" s="6" t="s">
        <v>37</v>
      </c>
      <c r="I6" s="6" t="s">
        <v>40</v>
      </c>
      <c r="J6" s="7">
        <v>0.96180555555555547</v>
      </c>
      <c r="K6" s="8">
        <v>0.96875</v>
      </c>
      <c r="L6" s="7">
        <v>0.77777777777777779</v>
      </c>
      <c r="M6" s="8">
        <v>0.7895833333333333</v>
      </c>
      <c r="N6" s="3" t="s">
        <v>160</v>
      </c>
      <c r="O6" s="3" t="s">
        <v>192</v>
      </c>
      <c r="P6" s="6">
        <v>379</v>
      </c>
      <c r="Q6" s="6">
        <v>631</v>
      </c>
      <c r="R6" s="6">
        <v>0</v>
      </c>
      <c r="S6" s="6">
        <v>0</v>
      </c>
      <c r="T6" s="6">
        <v>0</v>
      </c>
      <c r="U6" s="6">
        <v>0</v>
      </c>
      <c r="V6" s="6"/>
      <c r="W6" s="6"/>
    </row>
    <row r="7" spans="1:23" x14ac:dyDescent="0.25">
      <c r="A7" s="2">
        <v>44816</v>
      </c>
      <c r="B7" s="3" t="s">
        <v>21</v>
      </c>
      <c r="C7" s="6" t="s">
        <v>35</v>
      </c>
      <c r="D7" s="3" t="s">
        <v>25</v>
      </c>
      <c r="E7" s="11" t="s">
        <v>234</v>
      </c>
      <c r="F7" s="1" t="s">
        <v>26</v>
      </c>
      <c r="G7" s="3">
        <v>70000</v>
      </c>
      <c r="H7" s="6" t="s">
        <v>38</v>
      </c>
      <c r="I7" s="6" t="s">
        <v>41</v>
      </c>
      <c r="J7" s="7">
        <v>0.97569444444444453</v>
      </c>
      <c r="K7" s="8">
        <v>0.99305555555555547</v>
      </c>
      <c r="L7" s="7">
        <v>0.77777777777777779</v>
      </c>
      <c r="M7" s="8">
        <v>0.79513888888888884</v>
      </c>
      <c r="N7" s="3" t="s">
        <v>122</v>
      </c>
      <c r="O7" s="3" t="s">
        <v>238</v>
      </c>
      <c r="P7" s="6">
        <v>657</v>
      </c>
      <c r="Q7" s="6">
        <v>485</v>
      </c>
      <c r="R7" s="6">
        <v>0</v>
      </c>
      <c r="S7" s="6">
        <v>0</v>
      </c>
      <c r="T7" s="6">
        <v>0</v>
      </c>
      <c r="U7" s="6">
        <v>0</v>
      </c>
      <c r="V7" s="6"/>
      <c r="W7" s="6"/>
    </row>
    <row r="8" spans="1:23" x14ac:dyDescent="0.25">
      <c r="A8" s="2"/>
      <c r="B8" s="3"/>
      <c r="C8" s="3"/>
      <c r="D8" s="3"/>
      <c r="E8" s="3"/>
      <c r="F8" s="1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V5"/>
    </sheetView>
  </sheetViews>
  <sheetFormatPr defaultRowHeight="15" x14ac:dyDescent="0.25"/>
  <cols>
    <col min="2" max="2" width="19" customWidth="1"/>
    <col min="3" max="3" width="14.140625" customWidth="1"/>
    <col min="6" max="6" width="14.7109375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44817</v>
      </c>
      <c r="B2" s="3" t="s">
        <v>21</v>
      </c>
      <c r="C2" s="3" t="s">
        <v>100</v>
      </c>
      <c r="D2" s="3" t="s">
        <v>25</v>
      </c>
      <c r="E2" s="3" t="s">
        <v>239</v>
      </c>
      <c r="F2" s="1" t="s">
        <v>26</v>
      </c>
      <c r="G2" s="10">
        <v>70000</v>
      </c>
      <c r="H2" s="3" t="s">
        <v>102</v>
      </c>
      <c r="I2" s="3" t="s">
        <v>103</v>
      </c>
      <c r="J2" s="4">
        <v>0.47222222222222227</v>
      </c>
      <c r="K2" s="5">
        <v>0.48194444444444445</v>
      </c>
      <c r="L2" s="4">
        <v>0.28125</v>
      </c>
      <c r="M2" s="5">
        <v>0.28541666666666665</v>
      </c>
      <c r="N2" s="3" t="s">
        <v>244</v>
      </c>
      <c r="O2" s="3" t="s">
        <v>240</v>
      </c>
      <c r="P2" s="3">
        <v>493</v>
      </c>
      <c r="Q2" s="3">
        <v>733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44817</v>
      </c>
      <c r="B3" s="3" t="s">
        <v>45</v>
      </c>
      <c r="C3" s="3" t="s">
        <v>46</v>
      </c>
      <c r="D3" s="3" t="s">
        <v>25</v>
      </c>
      <c r="E3" s="3" t="s">
        <v>246</v>
      </c>
      <c r="F3" s="1" t="s">
        <v>47</v>
      </c>
      <c r="G3" s="10">
        <v>77000</v>
      </c>
      <c r="H3" s="3" t="s">
        <v>48</v>
      </c>
      <c r="I3" s="3" t="s">
        <v>49</v>
      </c>
      <c r="J3" s="4">
        <v>0.3298611111111111</v>
      </c>
      <c r="K3" s="5">
        <v>0.33263888888888887</v>
      </c>
      <c r="L3" s="4">
        <v>0.37152777777777773</v>
      </c>
      <c r="M3" s="5">
        <v>0.3833333333333333</v>
      </c>
      <c r="N3" s="3" t="s">
        <v>241</v>
      </c>
      <c r="O3" s="3" t="s">
        <v>242</v>
      </c>
      <c r="P3" s="3">
        <v>2436</v>
      </c>
      <c r="Q3" s="3">
        <v>2255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44817</v>
      </c>
      <c r="B4" s="3" t="s">
        <v>21</v>
      </c>
      <c r="C4" s="3" t="s">
        <v>42</v>
      </c>
      <c r="D4" s="3" t="s">
        <v>25</v>
      </c>
      <c r="E4" s="3" t="s">
        <v>66</v>
      </c>
      <c r="F4" s="3" t="s">
        <v>26</v>
      </c>
      <c r="G4" s="10">
        <v>70000</v>
      </c>
      <c r="H4" s="3" t="s">
        <v>43</v>
      </c>
      <c r="I4" s="3" t="s">
        <v>44</v>
      </c>
      <c r="J4" s="4">
        <v>0.82986111111111116</v>
      </c>
      <c r="K4" s="5">
        <v>0.84513888888888899</v>
      </c>
      <c r="L4" s="4">
        <v>0.40972222222222227</v>
      </c>
      <c r="M4" s="5">
        <v>0.41875000000000001</v>
      </c>
      <c r="N4" s="3" t="s">
        <v>251</v>
      </c>
      <c r="O4" s="3" t="s">
        <v>243</v>
      </c>
      <c r="P4" s="3">
        <v>482</v>
      </c>
      <c r="Q4" s="3">
        <v>714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44817</v>
      </c>
      <c r="B5" s="3" t="s">
        <v>21</v>
      </c>
      <c r="C5" s="3" t="s">
        <v>101</v>
      </c>
      <c r="D5" s="3" t="s">
        <v>25</v>
      </c>
      <c r="E5" s="3" t="str">
        <f>E2</f>
        <v>HA-LYD</v>
      </c>
      <c r="F5" s="3" t="s">
        <v>26</v>
      </c>
      <c r="G5" s="10">
        <v>70000</v>
      </c>
      <c r="H5" s="3" t="s">
        <v>105</v>
      </c>
      <c r="I5" s="3" t="s">
        <v>104</v>
      </c>
      <c r="J5" s="4">
        <v>0.91319444444444453</v>
      </c>
      <c r="K5" s="5">
        <v>0.90069444444444446</v>
      </c>
      <c r="L5" s="4">
        <v>0.50347222222222221</v>
      </c>
      <c r="M5" s="5">
        <v>0.51736111111111105</v>
      </c>
      <c r="N5" s="3" t="s">
        <v>252</v>
      </c>
      <c r="O5" s="3" t="s">
        <v>245</v>
      </c>
      <c r="P5" s="3">
        <v>576</v>
      </c>
      <c r="Q5" s="3">
        <v>713</v>
      </c>
      <c r="R5" s="3">
        <v>0</v>
      </c>
      <c r="S5" s="3">
        <v>0</v>
      </c>
      <c r="T5" s="3">
        <v>0</v>
      </c>
      <c r="U5" s="3">
        <v>0</v>
      </c>
    </row>
    <row r="6" spans="1:21" s="16" customFormat="1" ht="15.75" customHeight="1" x14ac:dyDescent="0.25">
      <c r="A6" s="2">
        <v>44817</v>
      </c>
      <c r="B6" s="3" t="s">
        <v>247</v>
      </c>
      <c r="C6" s="3" t="s">
        <v>248</v>
      </c>
      <c r="D6" s="3" t="s">
        <v>181</v>
      </c>
      <c r="E6" s="3" t="s">
        <v>249</v>
      </c>
      <c r="F6" s="9" t="s">
        <v>250</v>
      </c>
      <c r="G6" s="10">
        <v>1150</v>
      </c>
      <c r="H6" s="3" t="str">
        <f>E6</f>
        <v>OE-DKK</v>
      </c>
      <c r="I6" s="3" t="str">
        <f>H6</f>
        <v>OE-DKK</v>
      </c>
      <c r="J6" s="4">
        <v>0.49305555555555558</v>
      </c>
      <c r="K6" s="5">
        <v>0.4916666666666667</v>
      </c>
      <c r="L6" s="4">
        <v>0.54166666666666663</v>
      </c>
      <c r="M6" s="5">
        <v>0.53472222222222221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I20" sqref="I20"/>
    </sheetView>
  </sheetViews>
  <sheetFormatPr defaultRowHeight="15" x14ac:dyDescent="0.25"/>
  <cols>
    <col min="1" max="1" width="11.28515625" bestFit="1" customWidth="1"/>
    <col min="2" max="2" width="11.85546875" customWidth="1"/>
    <col min="3" max="3" width="15" customWidth="1"/>
    <col min="4" max="4" width="7.140625" customWidth="1"/>
    <col min="5" max="5" width="11.140625" customWidth="1"/>
    <col min="6" max="6" width="13.7109375" customWidth="1"/>
    <col min="7" max="7" width="9.28515625" bestFit="1" customWidth="1"/>
    <col min="10" max="10" width="7.7109375" customWidth="1"/>
    <col min="12" max="12" width="6.85546875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44818</v>
      </c>
      <c r="B2" s="3" t="s">
        <v>21</v>
      </c>
      <c r="C2" s="3" t="s">
        <v>22</v>
      </c>
      <c r="D2" s="3" t="s">
        <v>25</v>
      </c>
      <c r="E2" s="3" t="s">
        <v>239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0.43055555555555558</v>
      </c>
      <c r="K2" s="5">
        <v>0.4381944444444445</v>
      </c>
      <c r="L2" s="4">
        <v>0.25694444444444448</v>
      </c>
      <c r="M2" s="5">
        <v>0.26041666666666669</v>
      </c>
      <c r="N2" s="3" t="s">
        <v>233</v>
      </c>
      <c r="O2" s="3" t="s">
        <v>253</v>
      </c>
      <c r="P2" s="3">
        <v>702</v>
      </c>
      <c r="Q2" s="3">
        <v>786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44818</v>
      </c>
      <c r="B3" s="3" t="s">
        <v>21</v>
      </c>
      <c r="C3" s="3" t="s">
        <v>23</v>
      </c>
      <c r="D3" s="3" t="s">
        <v>25</v>
      </c>
      <c r="E3" s="3" t="s">
        <v>66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0.51388888888888895</v>
      </c>
      <c r="K3" s="5">
        <v>0.50972222222222219</v>
      </c>
      <c r="L3" s="4">
        <v>0.28125</v>
      </c>
      <c r="M3" s="5">
        <v>0.30277777777777776</v>
      </c>
      <c r="N3" s="3" t="s">
        <v>256</v>
      </c>
      <c r="O3" s="3" t="s">
        <v>254</v>
      </c>
      <c r="P3" s="3">
        <v>210</v>
      </c>
      <c r="Q3" s="3">
        <v>198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44818</v>
      </c>
      <c r="B4" s="3" t="s">
        <v>21</v>
      </c>
      <c r="C4" s="3" t="s">
        <v>24</v>
      </c>
      <c r="D4" s="3" t="s">
        <v>25</v>
      </c>
      <c r="E4" s="3" t="str">
        <f>E2</f>
        <v>HA-LYD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0.60069444444444442</v>
      </c>
      <c r="K4" s="5">
        <v>0.6</v>
      </c>
      <c r="L4" s="4">
        <v>0.4513888888888889</v>
      </c>
      <c r="M4" s="5">
        <v>0.47361111111111115</v>
      </c>
      <c r="N4" s="3" t="s">
        <v>258</v>
      </c>
      <c r="O4" s="3" t="s">
        <v>255</v>
      </c>
      <c r="P4" s="3">
        <v>415</v>
      </c>
      <c r="Q4" s="3">
        <v>614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44818</v>
      </c>
      <c r="B5" s="3" t="s">
        <v>21</v>
      </c>
      <c r="C5" s="3" t="s">
        <v>112</v>
      </c>
      <c r="D5" s="3" t="s">
        <v>25</v>
      </c>
      <c r="E5" s="3" t="str">
        <f>E3</f>
        <v>HA-LWV</v>
      </c>
      <c r="F5" s="1" t="s">
        <v>26</v>
      </c>
      <c r="G5" s="3">
        <v>70000</v>
      </c>
      <c r="H5" s="3" t="s">
        <v>113</v>
      </c>
      <c r="I5" s="3" t="s">
        <v>114</v>
      </c>
      <c r="J5" s="4">
        <v>0.69791666666666663</v>
      </c>
      <c r="K5" s="5">
        <v>0.68194444444444446</v>
      </c>
      <c r="L5" s="4">
        <v>0.54166666666666663</v>
      </c>
      <c r="M5" s="5">
        <v>0.54861111111111105</v>
      </c>
      <c r="N5" s="3" t="s">
        <v>260</v>
      </c>
      <c r="O5" s="3" t="s">
        <v>257</v>
      </c>
      <c r="P5" s="3">
        <v>256</v>
      </c>
      <c r="Q5" s="3">
        <v>424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44818</v>
      </c>
      <c r="B6" s="3" t="s">
        <v>21</v>
      </c>
      <c r="C6" s="3" t="s">
        <v>33</v>
      </c>
      <c r="D6" s="3" t="s">
        <v>25</v>
      </c>
      <c r="E6" s="3" t="str">
        <f>E4</f>
        <v>HA-LYD</v>
      </c>
      <c r="F6" s="1" t="s">
        <v>26</v>
      </c>
      <c r="G6" s="3">
        <v>70000</v>
      </c>
      <c r="H6" s="3" t="s">
        <v>36</v>
      </c>
      <c r="I6" s="3" t="s">
        <v>39</v>
      </c>
      <c r="J6" s="4">
        <v>0.74652777777777779</v>
      </c>
      <c r="K6" s="5">
        <v>0.73402777777777783</v>
      </c>
      <c r="L6" s="4">
        <v>0.63194444444444442</v>
      </c>
      <c r="M6" s="5">
        <v>0.63194444444444442</v>
      </c>
      <c r="N6" s="3" t="s">
        <v>261</v>
      </c>
      <c r="O6" s="3" t="s">
        <v>259</v>
      </c>
      <c r="P6" s="3">
        <v>264</v>
      </c>
      <c r="Q6" s="3">
        <v>242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44818</v>
      </c>
      <c r="B7" s="3" t="s">
        <v>21</v>
      </c>
      <c r="C7" s="3" t="s">
        <v>34</v>
      </c>
      <c r="D7" s="3" t="s">
        <v>25</v>
      </c>
      <c r="E7" s="3" t="str">
        <f>E5</f>
        <v>HA-LWV</v>
      </c>
      <c r="F7" s="1" t="s">
        <v>26</v>
      </c>
      <c r="G7" s="3">
        <v>70000</v>
      </c>
      <c r="H7" s="3" t="s">
        <v>37</v>
      </c>
      <c r="I7" s="3" t="s">
        <v>40</v>
      </c>
      <c r="J7" s="4">
        <v>0.90277777777777779</v>
      </c>
      <c r="K7" s="5">
        <v>0.93402777777777779</v>
      </c>
      <c r="L7" s="4">
        <v>0.71875</v>
      </c>
      <c r="M7" s="5">
        <v>0.76666666666666661</v>
      </c>
      <c r="N7" s="3" t="s">
        <v>263</v>
      </c>
      <c r="O7" s="3" t="s">
        <v>262</v>
      </c>
      <c r="P7" s="3">
        <v>659</v>
      </c>
      <c r="Q7" s="3">
        <v>697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44818</v>
      </c>
      <c r="B8" s="3" t="s">
        <v>21</v>
      </c>
      <c r="C8" s="3" t="s">
        <v>35</v>
      </c>
      <c r="D8" s="3" t="s">
        <v>25</v>
      </c>
      <c r="E8" s="3" t="str">
        <f>E6</f>
        <v>HA-LYD</v>
      </c>
      <c r="F8" s="1" t="s">
        <v>26</v>
      </c>
      <c r="G8" s="3">
        <v>70000</v>
      </c>
      <c r="H8" s="3" t="s">
        <v>38</v>
      </c>
      <c r="I8" s="3" t="s">
        <v>41</v>
      </c>
      <c r="J8" s="4">
        <v>0.9375</v>
      </c>
      <c r="K8" s="5">
        <v>0.92638888888888893</v>
      </c>
      <c r="L8" s="4">
        <v>0.76736111111111116</v>
      </c>
      <c r="M8" s="5">
        <v>0.77430555555555547</v>
      </c>
      <c r="N8" s="3" t="s">
        <v>73</v>
      </c>
      <c r="O8" s="3" t="s">
        <v>82</v>
      </c>
      <c r="P8" s="3">
        <v>653</v>
      </c>
      <c r="Q8" s="3">
        <v>832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/>
      <c r="B9" s="3"/>
      <c r="C9" s="3"/>
      <c r="D9" s="3"/>
      <c r="E9" s="3"/>
      <c r="F9" s="9"/>
      <c r="G9" s="3"/>
      <c r="H9" s="3"/>
      <c r="I9" s="3"/>
      <c r="J9" s="4"/>
      <c r="K9" s="5"/>
      <c r="L9" s="4"/>
      <c r="M9" s="5"/>
      <c r="N9" s="3"/>
      <c r="O9" s="3"/>
      <c r="P9" s="3"/>
      <c r="Q9" s="3"/>
      <c r="R9" s="3"/>
      <c r="S9" s="3"/>
      <c r="T9" s="3"/>
      <c r="U9" s="3"/>
    </row>
    <row r="10" spans="1:21" s="3" customFormat="1" ht="15" customHeight="1" x14ac:dyDescent="0.25">
      <c r="A10" s="2"/>
      <c r="J10" s="4"/>
      <c r="K10" s="5"/>
      <c r="L10" s="4"/>
      <c r="M10" s="5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H18" sqref="H18"/>
    </sheetView>
  </sheetViews>
  <sheetFormatPr defaultRowHeight="15" x14ac:dyDescent="0.25"/>
  <cols>
    <col min="1" max="1" width="10.140625" bestFit="1" customWidth="1"/>
    <col min="2" max="2" width="18.85546875" customWidth="1"/>
    <col min="3" max="3" width="14" customWidth="1"/>
    <col min="6" max="6" width="12.7109375" customWidth="1"/>
    <col min="15" max="15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44819</v>
      </c>
      <c r="B2" s="3" t="s">
        <v>21</v>
      </c>
      <c r="C2" s="3" t="s">
        <v>52</v>
      </c>
      <c r="D2" s="3" t="s">
        <v>25</v>
      </c>
      <c r="E2" s="15" t="s">
        <v>66</v>
      </c>
      <c r="F2" s="1" t="s">
        <v>26</v>
      </c>
      <c r="G2" s="3">
        <v>70000</v>
      </c>
      <c r="H2" s="3" t="s">
        <v>53</v>
      </c>
      <c r="I2" s="3" t="s">
        <v>54</v>
      </c>
      <c r="J2" s="4">
        <v>0.45833333333333331</v>
      </c>
      <c r="K2" s="5">
        <v>0.53333333333333333</v>
      </c>
      <c r="L2" s="4">
        <v>0.25694444444444448</v>
      </c>
      <c r="M2" s="5">
        <v>0.34791666666666665</v>
      </c>
      <c r="N2" s="3" t="s">
        <v>265</v>
      </c>
      <c r="O2" s="3" t="s">
        <v>264</v>
      </c>
      <c r="P2" s="3">
        <v>227</v>
      </c>
      <c r="Q2" s="3">
        <v>330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44819</v>
      </c>
      <c r="B3" s="3" t="s">
        <v>21</v>
      </c>
      <c r="C3" s="3" t="s">
        <v>55</v>
      </c>
      <c r="D3" s="3" t="s">
        <v>25</v>
      </c>
      <c r="E3" s="15" t="s">
        <v>239</v>
      </c>
      <c r="F3" s="3" t="s">
        <v>26</v>
      </c>
      <c r="G3" s="10">
        <v>70000</v>
      </c>
      <c r="H3" s="3" t="s">
        <v>56</v>
      </c>
      <c r="I3" s="3" t="s">
        <v>57</v>
      </c>
      <c r="J3" s="4">
        <v>0.43402777777777773</v>
      </c>
      <c r="K3" s="5">
        <v>0.42152777777777778</v>
      </c>
      <c r="L3" s="4">
        <v>0.28472222222222221</v>
      </c>
      <c r="M3" s="5">
        <v>0.2902777777777778</v>
      </c>
      <c r="N3" s="3" t="s">
        <v>258</v>
      </c>
      <c r="O3" s="3" t="s">
        <v>266</v>
      </c>
      <c r="P3" s="3">
        <v>328</v>
      </c>
      <c r="Q3" s="3">
        <v>304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44819</v>
      </c>
      <c r="B4" s="3" t="s">
        <v>21</v>
      </c>
      <c r="C4" s="3" t="s">
        <v>42</v>
      </c>
      <c r="D4" s="3" t="s">
        <v>25</v>
      </c>
      <c r="E4" s="15" t="s">
        <v>239</v>
      </c>
      <c r="F4" s="3" t="s">
        <v>26</v>
      </c>
      <c r="G4" s="10">
        <v>70000</v>
      </c>
      <c r="H4" s="3" t="s">
        <v>43</v>
      </c>
      <c r="I4" s="3" t="s">
        <v>44</v>
      </c>
      <c r="J4" s="4">
        <v>0.67708333333333337</v>
      </c>
      <c r="K4" s="5">
        <v>0.68055555555555547</v>
      </c>
      <c r="L4" s="4">
        <v>0.48958333333333331</v>
      </c>
      <c r="M4" s="5">
        <v>0.49374999999999997</v>
      </c>
      <c r="N4" s="3" t="s">
        <v>268</v>
      </c>
      <c r="O4" s="3" t="s">
        <v>267</v>
      </c>
      <c r="P4" s="3">
        <v>974</v>
      </c>
      <c r="Q4" s="3">
        <v>904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44819</v>
      </c>
      <c r="B5" s="3" t="s">
        <v>21</v>
      </c>
      <c r="C5" s="3" t="s">
        <v>58</v>
      </c>
      <c r="D5" s="3" t="s">
        <v>25</v>
      </c>
      <c r="E5" s="15" t="s">
        <v>66</v>
      </c>
      <c r="F5" s="3" t="s">
        <v>26</v>
      </c>
      <c r="G5" s="10">
        <v>70000</v>
      </c>
      <c r="H5" s="3" t="s">
        <v>59</v>
      </c>
      <c r="I5" s="3" t="s">
        <v>60</v>
      </c>
      <c r="J5" s="4">
        <v>0.86805555555555547</v>
      </c>
      <c r="K5" s="5">
        <v>0.86041666666666661</v>
      </c>
      <c r="L5" s="4">
        <v>0.64930555555555558</v>
      </c>
      <c r="M5" s="5">
        <v>0.65972222222222221</v>
      </c>
      <c r="N5" s="3" t="s">
        <v>270</v>
      </c>
      <c r="O5" s="3" t="s">
        <v>227</v>
      </c>
      <c r="P5" s="3">
        <v>324</v>
      </c>
      <c r="Q5" s="3">
        <v>372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">
      <c r="A6" s="2">
        <v>44819</v>
      </c>
      <c r="B6" s="3" t="s">
        <v>21</v>
      </c>
      <c r="C6" s="3" t="s">
        <v>61</v>
      </c>
      <c r="D6" s="3" t="s">
        <v>25</v>
      </c>
      <c r="E6" s="15" t="s">
        <v>239</v>
      </c>
      <c r="F6" s="3" t="s">
        <v>26</v>
      </c>
      <c r="G6" s="10">
        <v>70000</v>
      </c>
      <c r="H6" s="3" t="s">
        <v>62</v>
      </c>
      <c r="I6" s="3" t="s">
        <v>63</v>
      </c>
      <c r="J6" s="4">
        <v>0.93402777777777779</v>
      </c>
      <c r="K6" s="5">
        <v>0.92569444444444438</v>
      </c>
      <c r="L6" s="4">
        <v>0.69791666666666663</v>
      </c>
      <c r="M6" s="5">
        <v>0.71527777777777779</v>
      </c>
      <c r="N6" s="3" t="s">
        <v>271</v>
      </c>
      <c r="O6" s="3" t="s">
        <v>269</v>
      </c>
      <c r="P6" s="3">
        <v>299</v>
      </c>
      <c r="Q6" s="3">
        <v>584</v>
      </c>
      <c r="R6" s="3">
        <v>0</v>
      </c>
      <c r="S6" s="3">
        <v>0</v>
      </c>
      <c r="T6" s="3">
        <v>0</v>
      </c>
      <c r="U6" s="3">
        <v>0</v>
      </c>
    </row>
    <row r="7" spans="1:21" s="6" customFormat="1" ht="12.75" x14ac:dyDescent="0.2">
      <c r="A7" s="2"/>
      <c r="B7" s="3"/>
      <c r="C7" s="3"/>
      <c r="D7" s="3"/>
      <c r="E7" s="11"/>
      <c r="F7" s="3"/>
      <c r="G7" s="10"/>
      <c r="H7" s="3"/>
      <c r="I7" s="3"/>
      <c r="J7" s="4"/>
      <c r="K7" s="5"/>
      <c r="L7" s="4"/>
      <c r="M7" s="5"/>
      <c r="N7" s="3"/>
      <c r="O7" s="3"/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F35" sqref="F35"/>
    </sheetView>
  </sheetViews>
  <sheetFormatPr defaultRowHeight="15" x14ac:dyDescent="0.25"/>
  <cols>
    <col min="1" max="1" width="11.28515625" bestFit="1" customWidth="1"/>
    <col min="2" max="2" width="20.140625" customWidth="1"/>
    <col min="3" max="3" width="15" customWidth="1"/>
    <col min="4" max="4" width="7.140625" customWidth="1"/>
    <col min="5" max="5" width="13.140625" customWidth="1"/>
    <col min="6" max="6" width="20.28515625" customWidth="1"/>
    <col min="7" max="7" width="9.28515625" bestFit="1" customWidth="1"/>
    <col min="10" max="10" width="7.7109375" customWidth="1"/>
    <col min="12" max="12" width="6.85546875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44820</v>
      </c>
      <c r="B2" s="3" t="s">
        <v>21</v>
      </c>
      <c r="C2" s="3" t="s">
        <v>22</v>
      </c>
      <c r="D2" s="3" t="s">
        <v>25</v>
      </c>
      <c r="E2" s="3" t="s">
        <v>66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0.42986111111111108</v>
      </c>
      <c r="L2" s="4">
        <v>0.25694444444444448</v>
      </c>
      <c r="M2" s="5">
        <v>0.26319444444444445</v>
      </c>
      <c r="N2" s="3" t="s">
        <v>273</v>
      </c>
      <c r="O2" s="3" t="s">
        <v>272</v>
      </c>
      <c r="P2" s="3">
        <v>588</v>
      </c>
      <c r="Q2" s="3">
        <v>892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44820</v>
      </c>
      <c r="B3" s="3" t="s">
        <v>21</v>
      </c>
      <c r="C3" s="3" t="s">
        <v>23</v>
      </c>
      <c r="D3" s="3" t="s">
        <v>25</v>
      </c>
      <c r="E3" s="3" t="s">
        <v>239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0.52986111111111112</v>
      </c>
      <c r="L3" s="4">
        <v>0.28125</v>
      </c>
      <c r="M3" s="5">
        <v>0.30972222222222223</v>
      </c>
      <c r="N3" s="3" t="s">
        <v>275</v>
      </c>
      <c r="O3" s="3" t="s">
        <v>274</v>
      </c>
      <c r="P3" s="3">
        <v>702</v>
      </c>
      <c r="Q3" s="3">
        <v>1260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44820</v>
      </c>
      <c r="B4" s="3" t="s">
        <v>45</v>
      </c>
      <c r="C4" s="3" t="s">
        <v>46</v>
      </c>
      <c r="D4" s="3" t="s">
        <v>25</v>
      </c>
      <c r="E4" s="3" t="s">
        <v>78</v>
      </c>
      <c r="F4" s="1" t="s">
        <v>47</v>
      </c>
      <c r="G4" s="10">
        <v>77000</v>
      </c>
      <c r="H4" s="3" t="s">
        <v>48</v>
      </c>
      <c r="I4" s="3" t="s">
        <v>49</v>
      </c>
      <c r="J4" s="4">
        <v>0.3298611111111111</v>
      </c>
      <c r="K4" s="5">
        <v>0.32916666666666666</v>
      </c>
      <c r="L4" s="4">
        <v>0.37152777777777773</v>
      </c>
      <c r="M4" s="5">
        <v>0.38055555555555554</v>
      </c>
      <c r="N4" s="3" t="s">
        <v>277</v>
      </c>
      <c r="O4" s="3" t="s">
        <v>276</v>
      </c>
      <c r="P4" s="3">
        <v>160</v>
      </c>
      <c r="Q4" s="3">
        <v>2603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44820</v>
      </c>
      <c r="B5" s="3" t="s">
        <v>21</v>
      </c>
      <c r="C5" s="3" t="s">
        <v>24</v>
      </c>
      <c r="D5" s="3" t="s">
        <v>25</v>
      </c>
      <c r="E5" s="3" t="s">
        <v>66</v>
      </c>
      <c r="F5" s="1" t="s">
        <v>26</v>
      </c>
      <c r="G5" s="3">
        <v>70000</v>
      </c>
      <c r="H5" s="3" t="s">
        <v>31</v>
      </c>
      <c r="I5" s="3" t="s">
        <v>32</v>
      </c>
      <c r="J5" s="4">
        <v>0.61111111111111105</v>
      </c>
      <c r="K5" s="5">
        <v>0.61944444444444446</v>
      </c>
      <c r="L5" s="4">
        <v>0.46180555555555558</v>
      </c>
      <c r="M5" s="5">
        <v>0.48680555555555555</v>
      </c>
      <c r="N5" s="3" t="s">
        <v>255</v>
      </c>
      <c r="O5" s="3" t="s">
        <v>278</v>
      </c>
      <c r="P5" s="3">
        <v>624</v>
      </c>
      <c r="Q5" s="3">
        <v>704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44820</v>
      </c>
      <c r="B6" s="3" t="s">
        <v>21</v>
      </c>
      <c r="C6" s="3" t="s">
        <v>33</v>
      </c>
      <c r="D6" s="3" t="s">
        <v>25</v>
      </c>
      <c r="E6" s="3" t="s">
        <v>239</v>
      </c>
      <c r="F6" s="1" t="s">
        <v>26</v>
      </c>
      <c r="G6" s="3">
        <v>70000</v>
      </c>
      <c r="H6" s="3" t="s">
        <v>36</v>
      </c>
      <c r="I6" s="3" t="s">
        <v>39</v>
      </c>
      <c r="J6" s="4">
        <v>0.75694444444444453</v>
      </c>
      <c r="K6" s="5">
        <v>0.7583333333333333</v>
      </c>
      <c r="L6" s="4">
        <v>0.64236111111111105</v>
      </c>
      <c r="M6" s="5">
        <v>0.64930555555555558</v>
      </c>
      <c r="N6" s="3" t="s">
        <v>85</v>
      </c>
      <c r="O6" s="3" t="s">
        <v>279</v>
      </c>
      <c r="P6" s="3">
        <v>268</v>
      </c>
      <c r="Q6" s="3">
        <v>602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44820</v>
      </c>
      <c r="B7" s="3" t="s">
        <v>21</v>
      </c>
      <c r="C7" s="3" t="s">
        <v>34</v>
      </c>
      <c r="D7" s="3" t="s">
        <v>25</v>
      </c>
      <c r="E7" s="3" t="s">
        <v>66</v>
      </c>
      <c r="F7" s="1" t="s">
        <v>26</v>
      </c>
      <c r="G7" s="3">
        <v>70000</v>
      </c>
      <c r="H7" s="3" t="s">
        <v>37</v>
      </c>
      <c r="I7" s="3" t="s">
        <v>40</v>
      </c>
      <c r="J7" s="4">
        <v>0.96180555555555547</v>
      </c>
      <c r="K7" s="5">
        <v>0.9590277777777777</v>
      </c>
      <c r="L7" s="4">
        <v>0.77777777777777779</v>
      </c>
      <c r="M7" s="5">
        <v>0.78819444444444453</v>
      </c>
      <c r="N7" s="3" t="s">
        <v>214</v>
      </c>
      <c r="O7" s="3" t="s">
        <v>280</v>
      </c>
      <c r="P7" s="3">
        <v>510</v>
      </c>
      <c r="Q7" s="3">
        <v>628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44820</v>
      </c>
      <c r="B8" s="3" t="s">
        <v>21</v>
      </c>
      <c r="C8" s="3" t="s">
        <v>281</v>
      </c>
      <c r="D8" s="3" t="s">
        <v>25</v>
      </c>
      <c r="E8" s="3" t="s">
        <v>282</v>
      </c>
      <c r="F8" s="1" t="s">
        <v>283</v>
      </c>
      <c r="G8" s="3">
        <v>70000</v>
      </c>
      <c r="H8" s="3" t="s">
        <v>284</v>
      </c>
      <c r="I8" s="3" t="str">
        <f>H8</f>
        <v>W64752</v>
      </c>
      <c r="J8" s="4">
        <v>0.73611111111111116</v>
      </c>
      <c r="K8" s="5">
        <v>0.7319444444444444</v>
      </c>
      <c r="L8" s="4">
        <v>0.79166666666666663</v>
      </c>
      <c r="M8" s="5">
        <v>0.80694444444444446</v>
      </c>
      <c r="N8" s="3" t="s">
        <v>285</v>
      </c>
      <c r="O8" s="3">
        <v>0</v>
      </c>
      <c r="P8" s="3">
        <v>275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/>
      <c r="B9" s="3"/>
      <c r="C9" s="3"/>
      <c r="D9" s="3"/>
      <c r="E9" s="11"/>
      <c r="F9" s="3"/>
      <c r="G9" s="10"/>
      <c r="H9" s="3"/>
      <c r="I9" s="3"/>
      <c r="J9" s="4"/>
      <c r="K9" s="5"/>
      <c r="L9" s="4"/>
      <c r="M9" s="5"/>
      <c r="N9" s="3"/>
      <c r="O9" s="3"/>
      <c r="P9" s="6"/>
      <c r="Q9" s="6"/>
      <c r="R9" s="6"/>
      <c r="S9" s="6"/>
      <c r="T9" s="6"/>
      <c r="U9" s="6"/>
    </row>
    <row r="10" spans="1:21" s="3" customFormat="1" ht="12.75" x14ac:dyDescent="0.25">
      <c r="A10" s="2"/>
      <c r="J10" s="4"/>
      <c r="K10" s="5"/>
      <c r="L10" s="4"/>
      <c r="M10" s="5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A3" sqref="A3:U5"/>
    </sheetView>
  </sheetViews>
  <sheetFormatPr defaultRowHeight="15" x14ac:dyDescent="0.25"/>
  <cols>
    <col min="3" max="3" width="14.28515625" customWidth="1"/>
    <col min="6" max="6" width="13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44821</v>
      </c>
      <c r="B2" s="3" t="s">
        <v>21</v>
      </c>
      <c r="C2" s="3" t="s">
        <v>52</v>
      </c>
      <c r="D2" s="3" t="s">
        <v>25</v>
      </c>
      <c r="E2" s="3" t="s">
        <v>286</v>
      </c>
      <c r="F2" s="1" t="s">
        <v>26</v>
      </c>
      <c r="G2" s="3">
        <v>70000</v>
      </c>
      <c r="H2" s="3" t="s">
        <v>53</v>
      </c>
      <c r="I2" s="3" t="s">
        <v>54</v>
      </c>
      <c r="J2" s="4">
        <v>0.45833333333333331</v>
      </c>
      <c r="K2" s="5">
        <v>0.4548611111111111</v>
      </c>
      <c r="L2" s="4">
        <v>0.25694444444444448</v>
      </c>
      <c r="M2" s="5">
        <v>0.26458333333333334</v>
      </c>
      <c r="N2" s="3" t="s">
        <v>290</v>
      </c>
      <c r="O2" s="3" t="s">
        <v>288</v>
      </c>
      <c r="P2" s="3">
        <v>853</v>
      </c>
      <c r="Q2" s="3">
        <v>1371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44821</v>
      </c>
      <c r="B3" s="3" t="s">
        <v>21</v>
      </c>
      <c r="C3" s="3" t="s">
        <v>100</v>
      </c>
      <c r="D3" s="3" t="s">
        <v>25</v>
      </c>
      <c r="E3" s="3" t="s">
        <v>287</v>
      </c>
      <c r="F3" s="3" t="s">
        <v>26</v>
      </c>
      <c r="G3" s="10">
        <v>70000</v>
      </c>
      <c r="H3" s="3" t="s">
        <v>102</v>
      </c>
      <c r="I3" s="3" t="s">
        <v>103</v>
      </c>
      <c r="J3" s="4">
        <v>0.47222222222222227</v>
      </c>
      <c r="K3" s="5">
        <v>0.51388888888888895</v>
      </c>
      <c r="L3" s="4">
        <v>0.28125</v>
      </c>
      <c r="M3" s="5">
        <v>0.28750000000000003</v>
      </c>
      <c r="N3" s="3" t="s">
        <v>291</v>
      </c>
      <c r="O3" s="3" t="s">
        <v>289</v>
      </c>
      <c r="P3" s="3">
        <v>788</v>
      </c>
      <c r="Q3" s="3">
        <v>915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44821</v>
      </c>
      <c r="B4" s="3" t="s">
        <v>21</v>
      </c>
      <c r="C4" s="3" t="s">
        <v>42</v>
      </c>
      <c r="D4" s="3" t="s">
        <v>25</v>
      </c>
      <c r="E4" s="3" t="s">
        <v>286</v>
      </c>
      <c r="F4" s="3" t="s">
        <v>26</v>
      </c>
      <c r="G4" s="10">
        <v>70000</v>
      </c>
      <c r="H4" s="3" t="s">
        <v>43</v>
      </c>
      <c r="I4" s="3" t="s">
        <v>44</v>
      </c>
      <c r="J4" s="4">
        <v>0.91319444444444453</v>
      </c>
      <c r="K4" s="5">
        <v>0.93819444444444444</v>
      </c>
      <c r="L4" s="4">
        <v>0.49305555555555558</v>
      </c>
      <c r="M4" s="5">
        <v>0.50208333333333333</v>
      </c>
      <c r="N4" s="3" t="s">
        <v>293</v>
      </c>
      <c r="O4" s="3" t="s">
        <v>236</v>
      </c>
      <c r="P4" s="3">
        <v>693</v>
      </c>
      <c r="Q4" s="3">
        <v>1135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44821</v>
      </c>
      <c r="B5" s="3" t="s">
        <v>21</v>
      </c>
      <c r="C5" s="3" t="s">
        <v>101</v>
      </c>
      <c r="D5" s="3" t="s">
        <v>25</v>
      </c>
      <c r="E5" s="3" t="s">
        <v>287</v>
      </c>
      <c r="F5" s="3" t="s">
        <v>26</v>
      </c>
      <c r="G5" s="10">
        <v>70000</v>
      </c>
      <c r="H5" s="3" t="s">
        <v>105</v>
      </c>
      <c r="I5" s="3" t="s">
        <v>104</v>
      </c>
      <c r="J5" s="4">
        <v>0.91319444444444453</v>
      </c>
      <c r="K5" s="5">
        <v>0.96180555555555547</v>
      </c>
      <c r="L5" s="4">
        <v>0.50347222222222221</v>
      </c>
      <c r="M5" s="5"/>
      <c r="N5" s="3" t="s">
        <v>294</v>
      </c>
      <c r="O5" s="3" t="s">
        <v>292</v>
      </c>
      <c r="P5" s="3">
        <v>823</v>
      </c>
      <c r="Q5" s="3">
        <v>925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H16" sqref="H16"/>
    </sheetView>
  </sheetViews>
  <sheetFormatPr defaultRowHeight="15" x14ac:dyDescent="0.25"/>
  <cols>
    <col min="3" max="3" width="15.85546875" customWidth="1"/>
    <col min="6" max="6" width="14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44822</v>
      </c>
      <c r="B2" s="3" t="s">
        <v>21</v>
      </c>
      <c r="C2" s="3" t="s">
        <v>52</v>
      </c>
      <c r="D2" s="3" t="s">
        <v>25</v>
      </c>
      <c r="E2" s="3" t="s">
        <v>66</v>
      </c>
      <c r="F2" s="1" t="s">
        <v>26</v>
      </c>
      <c r="G2" s="10">
        <v>70000</v>
      </c>
      <c r="H2" s="3" t="s">
        <v>53</v>
      </c>
      <c r="I2" s="3" t="s">
        <v>54</v>
      </c>
      <c r="J2" s="4">
        <v>0.45833333333333331</v>
      </c>
      <c r="K2" s="5">
        <v>0.44027777777777777</v>
      </c>
      <c r="L2" s="4">
        <v>0.25694444444444448</v>
      </c>
      <c r="M2" s="5">
        <v>0.26180555555555557</v>
      </c>
      <c r="N2" s="3" t="s">
        <v>297</v>
      </c>
      <c r="O2" s="3" t="s">
        <v>295</v>
      </c>
      <c r="P2" s="3">
        <v>743</v>
      </c>
      <c r="Q2" s="3">
        <v>1217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44822</v>
      </c>
      <c r="B3" s="3" t="s">
        <v>21</v>
      </c>
      <c r="C3" s="3" t="s">
        <v>55</v>
      </c>
      <c r="D3" s="3" t="s">
        <v>25</v>
      </c>
      <c r="E3" s="3" t="s">
        <v>239</v>
      </c>
      <c r="F3" s="3" t="s">
        <v>26</v>
      </c>
      <c r="G3" s="10">
        <v>70000</v>
      </c>
      <c r="H3" s="3" t="s">
        <v>56</v>
      </c>
      <c r="I3" s="3" t="s">
        <v>57</v>
      </c>
      <c r="J3" s="4">
        <v>0.43402777777777773</v>
      </c>
      <c r="K3" s="5">
        <v>0.41805555555555557</v>
      </c>
      <c r="L3" s="4">
        <v>0.28472222222222221</v>
      </c>
      <c r="M3" s="5">
        <v>0.28750000000000003</v>
      </c>
      <c r="N3" s="3" t="s">
        <v>298</v>
      </c>
      <c r="O3" s="3" t="s">
        <v>296</v>
      </c>
      <c r="P3" s="3">
        <v>615</v>
      </c>
      <c r="Q3" s="3">
        <v>455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44822</v>
      </c>
      <c r="B4" s="3" t="s">
        <v>21</v>
      </c>
      <c r="C4" s="3" t="s">
        <v>112</v>
      </c>
      <c r="D4" s="3" t="s">
        <v>25</v>
      </c>
      <c r="E4" s="3" t="s">
        <v>66</v>
      </c>
      <c r="F4" s="3" t="s">
        <v>26</v>
      </c>
      <c r="G4" s="10">
        <v>70000</v>
      </c>
      <c r="H4" s="3" t="s">
        <v>113</v>
      </c>
      <c r="I4" s="3" t="s">
        <v>114</v>
      </c>
      <c r="J4" s="4">
        <v>0.64583333333333337</v>
      </c>
      <c r="K4" s="5">
        <v>0.71180555555555547</v>
      </c>
      <c r="L4" s="4">
        <v>0.48958333333333331</v>
      </c>
      <c r="M4" s="5">
        <v>0.56597222222222221</v>
      </c>
      <c r="N4" s="3" t="s">
        <v>299</v>
      </c>
      <c r="O4" s="3" t="s">
        <v>255</v>
      </c>
      <c r="P4" s="3">
        <v>445</v>
      </c>
      <c r="Q4" s="3">
        <v>598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44822</v>
      </c>
      <c r="B5" s="3" t="s">
        <v>21</v>
      </c>
      <c r="C5" s="3" t="s">
        <v>58</v>
      </c>
      <c r="D5" s="3" t="s">
        <v>25</v>
      </c>
      <c r="E5" s="3" t="s">
        <v>239</v>
      </c>
      <c r="F5" s="3" t="s">
        <v>26</v>
      </c>
      <c r="G5" s="10">
        <v>70000</v>
      </c>
      <c r="H5" s="3" t="s">
        <v>59</v>
      </c>
      <c r="I5" s="3" t="s">
        <v>60</v>
      </c>
      <c r="J5" s="4">
        <v>0.86805555555555547</v>
      </c>
      <c r="K5" s="5">
        <v>0.85625000000000007</v>
      </c>
      <c r="L5" s="4">
        <v>0.64930555555555558</v>
      </c>
      <c r="M5" s="5">
        <v>0.65</v>
      </c>
      <c r="N5" s="3" t="s">
        <v>189</v>
      </c>
      <c r="O5" s="3" t="s">
        <v>300</v>
      </c>
      <c r="P5" s="3">
        <v>376</v>
      </c>
      <c r="Q5" s="3">
        <v>796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44822</v>
      </c>
      <c r="B6" s="3" t="s">
        <v>21</v>
      </c>
      <c r="C6" s="3" t="s">
        <v>61</v>
      </c>
      <c r="D6" s="3" t="s">
        <v>25</v>
      </c>
      <c r="E6" s="3" t="s">
        <v>66</v>
      </c>
      <c r="F6" s="3" t="s">
        <v>26</v>
      </c>
      <c r="G6" s="10">
        <v>70000</v>
      </c>
      <c r="H6" s="3" t="s">
        <v>62</v>
      </c>
      <c r="I6" s="3" t="s">
        <v>63</v>
      </c>
      <c r="J6" s="4">
        <v>0.90277777777777779</v>
      </c>
      <c r="K6" s="5">
        <v>0.95347222222222217</v>
      </c>
      <c r="L6" s="4">
        <v>0.66666666666666663</v>
      </c>
      <c r="M6" s="5">
        <v>0.74652777777777779</v>
      </c>
      <c r="N6" s="3" t="s">
        <v>302</v>
      </c>
      <c r="O6" s="3" t="s">
        <v>301</v>
      </c>
      <c r="P6" s="3">
        <v>281</v>
      </c>
      <c r="Q6" s="3">
        <v>1305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>
      <selection activeCell="K7" sqref="K7"/>
    </sheetView>
  </sheetViews>
  <sheetFormatPr defaultRowHeight="15" x14ac:dyDescent="0.25"/>
  <cols>
    <col min="2" max="2" width="10.140625" customWidth="1"/>
    <col min="3" max="3" width="13.42578125" bestFit="1" customWidth="1"/>
    <col min="5" max="5" width="16.42578125" customWidth="1"/>
    <col min="6" max="6" width="12.85546875" customWidth="1"/>
    <col min="14" max="14" width="11.42578125" customWidth="1"/>
    <col min="15" max="15" width="10.5703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/>
      <c r="W1" s="6"/>
    </row>
    <row r="2" spans="1:23" x14ac:dyDescent="0.25">
      <c r="A2" s="2">
        <v>44823</v>
      </c>
      <c r="B2" s="3" t="s">
        <v>21</v>
      </c>
      <c r="C2" s="3" t="s">
        <v>22</v>
      </c>
      <c r="D2" s="3" t="s">
        <v>25</v>
      </c>
      <c r="E2" s="11" t="s">
        <v>239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0.42986111111111108</v>
      </c>
      <c r="L2" s="4">
        <v>0.25694444444444448</v>
      </c>
      <c r="M2" s="5">
        <v>0.27013888888888887</v>
      </c>
      <c r="N2" s="3" t="s">
        <v>192</v>
      </c>
      <c r="O2" s="3" t="s">
        <v>305</v>
      </c>
      <c r="P2" s="3">
        <v>674</v>
      </c>
      <c r="Q2" s="3">
        <v>1007</v>
      </c>
      <c r="R2" s="3">
        <v>0</v>
      </c>
      <c r="S2" s="3">
        <v>0</v>
      </c>
      <c r="T2" s="3">
        <v>0</v>
      </c>
      <c r="U2" s="3">
        <v>0</v>
      </c>
      <c r="V2" s="6"/>
      <c r="W2" s="6"/>
    </row>
    <row r="3" spans="1:23" x14ac:dyDescent="0.25">
      <c r="A3" s="2">
        <v>44823</v>
      </c>
      <c r="B3" s="3" t="s">
        <v>21</v>
      </c>
      <c r="C3" s="3" t="s">
        <v>23</v>
      </c>
      <c r="D3" s="3" t="s">
        <v>25</v>
      </c>
      <c r="E3" s="11" t="s">
        <v>66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0.50763888888888886</v>
      </c>
      <c r="L3" s="4">
        <v>0.28125</v>
      </c>
      <c r="M3" s="5">
        <v>0.28611111111111115</v>
      </c>
      <c r="N3" s="3" t="s">
        <v>306</v>
      </c>
      <c r="O3" s="3" t="s">
        <v>304</v>
      </c>
      <c r="P3" s="3">
        <v>884</v>
      </c>
      <c r="Q3" s="3">
        <v>1551</v>
      </c>
      <c r="R3" s="3">
        <v>0</v>
      </c>
      <c r="S3" s="3">
        <v>0</v>
      </c>
      <c r="T3" s="3">
        <v>0</v>
      </c>
      <c r="U3" s="3">
        <v>0</v>
      </c>
      <c r="V3" s="6"/>
      <c r="W3" s="6"/>
    </row>
    <row r="4" spans="1:23" x14ac:dyDescent="0.25">
      <c r="A4" s="2">
        <v>44823</v>
      </c>
      <c r="B4" s="3" t="s">
        <v>21</v>
      </c>
      <c r="C4" s="3" t="s">
        <v>24</v>
      </c>
      <c r="D4" s="3" t="s">
        <v>25</v>
      </c>
      <c r="E4" s="11" t="s">
        <v>239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</v>
      </c>
      <c r="L4" s="4">
        <v>0.46180555555555558</v>
      </c>
      <c r="M4" s="5">
        <v>0.46875</v>
      </c>
      <c r="N4" s="3" t="s">
        <v>307</v>
      </c>
      <c r="O4" s="3" t="s">
        <v>133</v>
      </c>
      <c r="P4" s="3">
        <v>584</v>
      </c>
      <c r="Q4" s="3">
        <v>606</v>
      </c>
      <c r="R4" s="3">
        <v>0</v>
      </c>
      <c r="S4" s="3">
        <v>0</v>
      </c>
      <c r="T4" s="3">
        <v>0</v>
      </c>
      <c r="U4" s="3">
        <v>0</v>
      </c>
      <c r="V4" s="6"/>
      <c r="W4" s="6"/>
    </row>
    <row r="5" spans="1:23" x14ac:dyDescent="0.25">
      <c r="A5" s="2">
        <v>44823</v>
      </c>
      <c r="B5" s="3" t="s">
        <v>21</v>
      </c>
      <c r="C5" s="6" t="s">
        <v>33</v>
      </c>
      <c r="D5" s="3" t="s">
        <v>25</v>
      </c>
      <c r="E5" s="11" t="s">
        <v>239</v>
      </c>
      <c r="F5" s="1" t="s">
        <v>26</v>
      </c>
      <c r="G5" s="3">
        <v>70000</v>
      </c>
      <c r="H5" s="6" t="s">
        <v>36</v>
      </c>
      <c r="I5" s="6" t="s">
        <v>39</v>
      </c>
      <c r="J5" s="7">
        <v>0.75694444444444453</v>
      </c>
      <c r="K5" s="8">
        <v>0.74652777777777779</v>
      </c>
      <c r="L5" s="7">
        <v>0.64236111111111105</v>
      </c>
      <c r="M5" s="8">
        <v>0.64027777777777783</v>
      </c>
      <c r="N5" s="3" t="s">
        <v>72</v>
      </c>
      <c r="O5" s="3" t="s">
        <v>308</v>
      </c>
      <c r="P5" s="6">
        <v>658</v>
      </c>
      <c r="Q5" s="6">
        <v>303</v>
      </c>
      <c r="R5" s="6">
        <v>0</v>
      </c>
      <c r="S5" s="6">
        <v>0</v>
      </c>
      <c r="T5" s="6">
        <v>0</v>
      </c>
      <c r="U5" s="6">
        <v>0</v>
      </c>
      <c r="V5" s="6"/>
      <c r="W5" s="6"/>
    </row>
    <row r="6" spans="1:23" x14ac:dyDescent="0.25">
      <c r="A6" s="2">
        <v>44823</v>
      </c>
      <c r="B6" s="3" t="s">
        <v>21</v>
      </c>
      <c r="C6" s="6" t="s">
        <v>34</v>
      </c>
      <c r="D6" s="3" t="s">
        <v>25</v>
      </c>
      <c r="E6" s="11" t="s">
        <v>66</v>
      </c>
      <c r="F6" s="1" t="s">
        <v>26</v>
      </c>
      <c r="G6" s="3">
        <v>70000</v>
      </c>
      <c r="H6" s="6" t="s">
        <v>37</v>
      </c>
      <c r="I6" s="6" t="s">
        <v>40</v>
      </c>
      <c r="J6" s="7">
        <v>0.96180555555555547</v>
      </c>
      <c r="K6" s="8">
        <v>0.95972222222222225</v>
      </c>
      <c r="L6" s="7">
        <v>0.77777777777777779</v>
      </c>
      <c r="M6" s="8">
        <v>0.77708333333333324</v>
      </c>
      <c r="N6" s="3" t="s">
        <v>312</v>
      </c>
      <c r="O6" s="3" t="s">
        <v>309</v>
      </c>
      <c r="P6" s="6">
        <v>524</v>
      </c>
      <c r="Q6" s="6">
        <v>607</v>
      </c>
      <c r="R6" s="6">
        <v>0</v>
      </c>
      <c r="S6" s="6">
        <v>0</v>
      </c>
      <c r="T6" s="6">
        <v>0</v>
      </c>
      <c r="U6" s="6">
        <v>0</v>
      </c>
      <c r="V6" s="6"/>
      <c r="W6" s="6"/>
    </row>
    <row r="7" spans="1:23" x14ac:dyDescent="0.25">
      <c r="A7" s="2">
        <v>44823</v>
      </c>
      <c r="B7" s="3" t="s">
        <v>21</v>
      </c>
      <c r="C7" s="6" t="s">
        <v>35</v>
      </c>
      <c r="D7" s="3" t="s">
        <v>25</v>
      </c>
      <c r="E7" s="11" t="s">
        <v>303</v>
      </c>
      <c r="F7" s="1" t="s">
        <v>26</v>
      </c>
      <c r="G7" s="3">
        <v>70000</v>
      </c>
      <c r="H7" s="6" t="s">
        <v>38</v>
      </c>
      <c r="I7" s="6" t="s">
        <v>41</v>
      </c>
      <c r="J7" s="7">
        <v>0.97569444444444453</v>
      </c>
      <c r="K7" s="8">
        <v>0.98541666666666661</v>
      </c>
      <c r="L7" s="7">
        <v>0.77777777777777779</v>
      </c>
      <c r="M7" s="8">
        <v>0.78055555555555556</v>
      </c>
      <c r="N7" s="3" t="s">
        <v>311</v>
      </c>
      <c r="O7" s="3" t="s">
        <v>310</v>
      </c>
      <c r="P7" s="6">
        <v>825</v>
      </c>
      <c r="Q7" s="6">
        <v>732</v>
      </c>
      <c r="R7" s="6">
        <v>0</v>
      </c>
      <c r="S7" s="6">
        <v>0</v>
      </c>
      <c r="T7" s="6">
        <v>0</v>
      </c>
      <c r="U7" s="6">
        <v>0</v>
      </c>
      <c r="V7" s="6"/>
      <c r="W7" s="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B1" workbookViewId="0">
      <selection activeCell="H9" sqref="H9"/>
    </sheetView>
  </sheetViews>
  <sheetFormatPr defaultRowHeight="15" x14ac:dyDescent="0.25"/>
  <cols>
    <col min="1" max="1" width="10.140625" bestFit="1" customWidth="1"/>
    <col min="2" max="2" width="19.28515625" bestFit="1" customWidth="1"/>
    <col min="3" max="3" width="13.28515625" bestFit="1" customWidth="1"/>
    <col min="6" max="6" width="20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44824</v>
      </c>
      <c r="B2" s="3" t="s">
        <v>21</v>
      </c>
      <c r="C2" s="3" t="s">
        <v>100</v>
      </c>
      <c r="D2" s="3" t="s">
        <v>25</v>
      </c>
      <c r="E2" s="3" t="s">
        <v>50</v>
      </c>
      <c r="F2" s="1" t="s">
        <v>26</v>
      </c>
      <c r="G2" s="10">
        <v>70000</v>
      </c>
      <c r="H2" s="3" t="s">
        <v>102</v>
      </c>
      <c r="I2" s="3" t="s">
        <v>103</v>
      </c>
      <c r="J2" s="4">
        <v>0.47222222222222227</v>
      </c>
      <c r="K2" s="5">
        <v>0.59027777777777779</v>
      </c>
      <c r="L2" s="4">
        <v>0.28125</v>
      </c>
      <c r="M2" s="5">
        <v>0.3923611111111111</v>
      </c>
      <c r="N2" s="3" t="s">
        <v>317</v>
      </c>
      <c r="O2" s="3" t="s">
        <v>313</v>
      </c>
      <c r="P2" s="3">
        <v>908</v>
      </c>
      <c r="Q2" s="3">
        <v>682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44824</v>
      </c>
      <c r="B3" s="3" t="s">
        <v>45</v>
      </c>
      <c r="C3" s="3" t="s">
        <v>46</v>
      </c>
      <c r="D3" s="3" t="s">
        <v>25</v>
      </c>
      <c r="E3" s="3" t="s">
        <v>153</v>
      </c>
      <c r="F3" s="1" t="s">
        <v>47</v>
      </c>
      <c r="G3" s="10">
        <v>77000</v>
      </c>
      <c r="H3" s="3" t="s">
        <v>48</v>
      </c>
      <c r="I3" s="3" t="s">
        <v>49</v>
      </c>
      <c r="J3" s="4">
        <v>0.3298611111111111</v>
      </c>
      <c r="K3" s="5">
        <v>0.41388888888888892</v>
      </c>
      <c r="L3" s="4">
        <v>0.37152777777777773</v>
      </c>
      <c r="M3" s="5">
        <v>0.45902777777777781</v>
      </c>
      <c r="N3" s="3" t="s">
        <v>315</v>
      </c>
      <c r="O3" s="3" t="s">
        <v>316</v>
      </c>
      <c r="P3" s="3">
        <v>233</v>
      </c>
      <c r="Q3" s="3">
        <v>2595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44824</v>
      </c>
      <c r="B4" s="3" t="s">
        <v>21</v>
      </c>
      <c r="C4" s="3" t="s">
        <v>42</v>
      </c>
      <c r="D4" s="3" t="s">
        <v>25</v>
      </c>
      <c r="E4" s="3" t="s">
        <v>66</v>
      </c>
      <c r="F4" s="3" t="s">
        <v>26</v>
      </c>
      <c r="G4" s="10">
        <v>70000</v>
      </c>
      <c r="H4" s="3" t="s">
        <v>43</v>
      </c>
      <c r="I4" s="3" t="s">
        <v>44</v>
      </c>
      <c r="J4" s="4">
        <v>0.82986111111111116</v>
      </c>
      <c r="K4" s="5">
        <v>0.82916666666666661</v>
      </c>
      <c r="L4" s="4">
        <v>0.40972222222222227</v>
      </c>
      <c r="M4" s="5">
        <v>0.41666666666666669</v>
      </c>
      <c r="N4" s="3" t="s">
        <v>321</v>
      </c>
      <c r="O4" s="3" t="s">
        <v>314</v>
      </c>
      <c r="P4" s="3">
        <v>1055</v>
      </c>
      <c r="Q4" s="3">
        <v>925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44824</v>
      </c>
      <c r="B5" s="3" t="s">
        <v>21</v>
      </c>
      <c r="C5" s="3" t="s">
        <v>101</v>
      </c>
      <c r="D5" s="3" t="s">
        <v>25</v>
      </c>
      <c r="E5" s="3" t="str">
        <f>E2</f>
        <v>HA-LWO</v>
      </c>
      <c r="F5" s="3" t="s">
        <v>26</v>
      </c>
      <c r="G5" s="10">
        <v>70000</v>
      </c>
      <c r="H5" s="3" t="s">
        <v>105</v>
      </c>
      <c r="I5" s="3" t="s">
        <v>104</v>
      </c>
      <c r="J5" s="4">
        <v>0.91319444444444453</v>
      </c>
      <c r="K5" s="2">
        <v>44825</v>
      </c>
      <c r="L5" s="4">
        <v>0.50347222222222221</v>
      </c>
      <c r="M5" s="5">
        <v>0.63611111111111118</v>
      </c>
      <c r="N5" s="2">
        <v>44825</v>
      </c>
      <c r="O5" s="3" t="s">
        <v>318</v>
      </c>
      <c r="P5" s="2">
        <v>44825</v>
      </c>
      <c r="Q5" s="3">
        <v>723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44825</v>
      </c>
      <c r="B6" s="3" t="s">
        <v>21</v>
      </c>
      <c r="C6" s="3" t="s">
        <v>319</v>
      </c>
      <c r="D6" s="3" t="s">
        <v>25</v>
      </c>
      <c r="E6" s="3" t="s">
        <v>50</v>
      </c>
      <c r="F6" s="9" t="s">
        <v>65</v>
      </c>
      <c r="G6" s="10">
        <v>70000</v>
      </c>
      <c r="H6" s="3" t="s">
        <v>320</v>
      </c>
      <c r="I6" s="3" t="s">
        <v>64</v>
      </c>
      <c r="J6" s="4">
        <v>0.91319444444444453</v>
      </c>
      <c r="K6" s="5">
        <v>0.87083333333333324</v>
      </c>
      <c r="L6" s="17" t="s">
        <v>64</v>
      </c>
      <c r="M6" s="17" t="s">
        <v>64</v>
      </c>
      <c r="N6" s="3" t="s">
        <v>64</v>
      </c>
      <c r="O6" s="3" t="s">
        <v>64</v>
      </c>
      <c r="P6" s="17" t="s">
        <v>64</v>
      </c>
      <c r="Q6" s="17" t="s">
        <v>64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sqref="A1:XFD7"/>
    </sheetView>
  </sheetViews>
  <sheetFormatPr defaultRowHeight="15" x14ac:dyDescent="0.25"/>
  <cols>
    <col min="1" max="1" width="11.28515625" bestFit="1" customWidth="1"/>
    <col min="2" max="2" width="11.85546875" customWidth="1"/>
    <col min="3" max="3" width="15" customWidth="1"/>
    <col min="4" max="4" width="7.140625" customWidth="1"/>
    <col min="5" max="5" width="11.140625" customWidth="1"/>
    <col min="6" max="6" width="13.7109375" customWidth="1"/>
    <col min="7" max="7" width="9.28515625" bestFit="1" customWidth="1"/>
    <col min="10" max="10" width="11" bestFit="1" customWidth="1"/>
    <col min="12" max="12" width="11" bestFit="1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44825</v>
      </c>
      <c r="B2" s="3" t="s">
        <v>21</v>
      </c>
      <c r="C2" s="3" t="s">
        <v>22</v>
      </c>
      <c r="D2" s="3" t="s">
        <v>25</v>
      </c>
      <c r="E2" s="3" t="s">
        <v>66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0.43055555555555558</v>
      </c>
      <c r="K2" s="5">
        <v>0.4236111111111111</v>
      </c>
      <c r="L2" s="4">
        <v>0.25694444444444448</v>
      </c>
      <c r="M2" s="5">
        <v>0.25972222222222224</v>
      </c>
      <c r="N2" s="3" t="s">
        <v>325</v>
      </c>
      <c r="O2" s="3" t="s">
        <v>268</v>
      </c>
      <c r="P2" s="3">
        <v>572</v>
      </c>
      <c r="Q2" s="3">
        <v>710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44825</v>
      </c>
      <c r="B3" s="3" t="s">
        <v>21</v>
      </c>
      <c r="C3" s="3" t="s">
        <v>24</v>
      </c>
      <c r="D3" s="3" t="s">
        <v>25</v>
      </c>
      <c r="E3" s="3" t="s">
        <v>66</v>
      </c>
      <c r="F3" s="1" t="s">
        <v>26</v>
      </c>
      <c r="G3" s="3">
        <v>70000</v>
      </c>
      <c r="H3" s="3" t="s">
        <v>31</v>
      </c>
      <c r="I3" s="3" t="s">
        <v>32</v>
      </c>
      <c r="J3" s="4">
        <v>0.60069444444444442</v>
      </c>
      <c r="K3" s="5">
        <v>0.6</v>
      </c>
      <c r="L3" s="4">
        <v>0.4513888888888889</v>
      </c>
      <c r="M3" s="5">
        <v>0.46458333333333335</v>
      </c>
      <c r="N3" s="3" t="s">
        <v>328</v>
      </c>
      <c r="O3" s="3" t="s">
        <v>326</v>
      </c>
      <c r="P3" s="3">
        <v>505</v>
      </c>
      <c r="Q3" s="3">
        <v>660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44825</v>
      </c>
      <c r="B4" s="3" t="s">
        <v>21</v>
      </c>
      <c r="C4" s="3" t="s">
        <v>112</v>
      </c>
      <c r="D4" s="3" t="s">
        <v>25</v>
      </c>
      <c r="E4" s="3" t="s">
        <v>50</v>
      </c>
      <c r="F4" s="1" t="s">
        <v>26</v>
      </c>
      <c r="G4" s="3">
        <v>70000</v>
      </c>
      <c r="H4" s="3" t="s">
        <v>113</v>
      </c>
      <c r="I4" s="3" t="s">
        <v>114</v>
      </c>
      <c r="J4" s="4">
        <v>0.69791666666666663</v>
      </c>
      <c r="K4" s="5">
        <v>0.76874999999999993</v>
      </c>
      <c r="L4" s="4">
        <v>0.54166666666666663</v>
      </c>
      <c r="M4" s="5">
        <v>0.63263888888888886</v>
      </c>
      <c r="N4" s="3" t="s">
        <v>331</v>
      </c>
      <c r="O4" s="3" t="s">
        <v>329</v>
      </c>
      <c r="P4" s="3">
        <v>510</v>
      </c>
      <c r="Q4" s="3">
        <v>379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44825</v>
      </c>
      <c r="B5" s="3" t="s">
        <v>21</v>
      </c>
      <c r="C5" s="3" t="s">
        <v>33</v>
      </c>
      <c r="D5" s="3" t="s">
        <v>25</v>
      </c>
      <c r="E5" s="3" t="s">
        <v>66</v>
      </c>
      <c r="F5" s="1" t="s">
        <v>26</v>
      </c>
      <c r="G5" s="3">
        <v>70000</v>
      </c>
      <c r="H5" s="3" t="s">
        <v>36</v>
      </c>
      <c r="I5" s="3" t="s">
        <v>39</v>
      </c>
      <c r="J5" s="4">
        <v>0.74652777777777779</v>
      </c>
      <c r="K5" s="5">
        <v>0.74097222222222225</v>
      </c>
      <c r="L5" s="4">
        <v>0.63194444444444442</v>
      </c>
      <c r="M5" s="5">
        <v>0.63541666666666663</v>
      </c>
      <c r="N5" s="3" t="s">
        <v>332</v>
      </c>
      <c r="O5" s="3" t="s">
        <v>330</v>
      </c>
      <c r="P5" s="3">
        <v>351</v>
      </c>
      <c r="Q5" s="3">
        <v>467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44825</v>
      </c>
      <c r="B6" s="3" t="s">
        <v>21</v>
      </c>
      <c r="C6" s="3" t="s">
        <v>34</v>
      </c>
      <c r="D6" s="3" t="s">
        <v>25</v>
      </c>
      <c r="E6" s="3" t="s">
        <v>50</v>
      </c>
      <c r="F6" s="1" t="s">
        <v>26</v>
      </c>
      <c r="G6" s="3">
        <v>70000</v>
      </c>
      <c r="H6" s="3" t="s">
        <v>37</v>
      </c>
      <c r="I6" s="3" t="s">
        <v>40</v>
      </c>
      <c r="J6" s="4">
        <v>0.90277777777777779</v>
      </c>
      <c r="K6" s="5">
        <v>0.96319444444444446</v>
      </c>
      <c r="L6" s="4">
        <v>0.71875</v>
      </c>
      <c r="M6" s="5">
        <v>0.80347222222222225</v>
      </c>
      <c r="N6" s="3" t="s">
        <v>334</v>
      </c>
      <c r="O6" s="3" t="s">
        <v>211</v>
      </c>
      <c r="P6" s="3">
        <v>489</v>
      </c>
      <c r="Q6" s="3">
        <v>731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44825</v>
      </c>
      <c r="B7" s="3" t="s">
        <v>21</v>
      </c>
      <c r="C7" s="3" t="s">
        <v>35</v>
      </c>
      <c r="D7" s="3" t="s">
        <v>25</v>
      </c>
      <c r="E7" s="3" t="s">
        <v>66</v>
      </c>
      <c r="F7" s="1" t="s">
        <v>26</v>
      </c>
      <c r="G7" s="3">
        <v>70000</v>
      </c>
      <c r="H7" s="3" t="s">
        <v>38</v>
      </c>
      <c r="I7" s="3" t="s">
        <v>41</v>
      </c>
      <c r="J7" s="4">
        <v>0.9375</v>
      </c>
      <c r="K7" s="5">
        <v>0.94097222222222221</v>
      </c>
      <c r="L7" s="4">
        <v>0.76736111111111116</v>
      </c>
      <c r="M7" s="5">
        <v>0.78055555555555556</v>
      </c>
      <c r="N7" s="3" t="s">
        <v>321</v>
      </c>
      <c r="O7" s="3" t="s">
        <v>333</v>
      </c>
      <c r="P7" s="3">
        <v>668</v>
      </c>
      <c r="Q7" s="3">
        <v>759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44825</v>
      </c>
      <c r="B8" s="3" t="s">
        <v>21</v>
      </c>
      <c r="C8" s="3" t="s">
        <v>322</v>
      </c>
      <c r="D8" s="3" t="s">
        <v>25</v>
      </c>
      <c r="E8" s="3" t="s">
        <v>50</v>
      </c>
      <c r="F8" s="1" t="s">
        <v>323</v>
      </c>
      <c r="G8" s="3">
        <v>70000</v>
      </c>
      <c r="H8" s="3" t="s">
        <v>64</v>
      </c>
      <c r="I8" s="3" t="s">
        <v>320</v>
      </c>
      <c r="J8" s="4" t="s">
        <v>64</v>
      </c>
      <c r="K8" s="5" t="s">
        <v>64</v>
      </c>
      <c r="L8" s="4">
        <v>0.33333333333333331</v>
      </c>
      <c r="M8" s="5">
        <v>0.3347222222222222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44825</v>
      </c>
      <c r="B9" s="3" t="s">
        <v>21</v>
      </c>
      <c r="C9" s="3" t="s">
        <v>324</v>
      </c>
      <c r="D9" s="3" t="s">
        <v>25</v>
      </c>
      <c r="E9" s="3" t="s">
        <v>50</v>
      </c>
      <c r="F9" s="9" t="s">
        <v>26</v>
      </c>
      <c r="G9" s="3">
        <v>70000</v>
      </c>
      <c r="H9" s="3" t="s">
        <v>105</v>
      </c>
      <c r="I9" s="3" t="s">
        <v>64</v>
      </c>
      <c r="J9" s="4">
        <v>0.60763888888888895</v>
      </c>
      <c r="K9" s="5">
        <v>0.59375</v>
      </c>
      <c r="L9" s="4" t="s">
        <v>64</v>
      </c>
      <c r="M9" s="5" t="s">
        <v>64</v>
      </c>
      <c r="N9" s="3" t="s">
        <v>327</v>
      </c>
      <c r="O9" s="3">
        <v>0</v>
      </c>
      <c r="P9" s="3">
        <v>185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s="3" customFormat="1" ht="15" customHeight="1" x14ac:dyDescent="0.25">
      <c r="A10" s="2"/>
      <c r="J10" s="4"/>
      <c r="K10" s="5"/>
      <c r="L10" s="4"/>
      <c r="M10" s="5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activeCell="N31" sqref="N31"/>
    </sheetView>
  </sheetViews>
  <sheetFormatPr defaultRowHeight="15" x14ac:dyDescent="0.25"/>
  <cols>
    <col min="3" max="3" width="13.5703125" bestFit="1" customWidth="1"/>
    <col min="6" max="6" width="12.140625" bestFit="1" customWidth="1"/>
    <col min="14" max="14" width="14.28515625" customWidth="1"/>
    <col min="15" max="15" width="10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>
        <v>44826</v>
      </c>
      <c r="B2" s="3" t="s">
        <v>21</v>
      </c>
      <c r="C2" s="3" t="s">
        <v>52</v>
      </c>
      <c r="D2" s="3" t="s">
        <v>25</v>
      </c>
      <c r="E2" s="15" t="s">
        <v>50</v>
      </c>
      <c r="F2" s="1" t="s">
        <v>26</v>
      </c>
      <c r="G2" s="3">
        <v>70000</v>
      </c>
      <c r="H2" s="3" t="s">
        <v>53</v>
      </c>
      <c r="I2" s="3" t="s">
        <v>54</v>
      </c>
      <c r="J2" s="4">
        <v>0.45833333333333331</v>
      </c>
      <c r="K2" s="5">
        <v>0.45416666666666666</v>
      </c>
      <c r="L2" s="4">
        <v>0.25694444444444448</v>
      </c>
      <c r="M2" s="5">
        <v>0.26944444444444443</v>
      </c>
      <c r="N2" s="3" t="s">
        <v>337</v>
      </c>
      <c r="O2" s="3" t="s">
        <v>335</v>
      </c>
      <c r="P2" s="3">
        <v>710</v>
      </c>
      <c r="Q2" s="3">
        <v>1009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44826</v>
      </c>
      <c r="B3" s="3" t="s">
        <v>21</v>
      </c>
      <c r="C3" s="3" t="s">
        <v>55</v>
      </c>
      <c r="D3" s="3" t="s">
        <v>25</v>
      </c>
      <c r="E3" s="15" t="s">
        <v>66</v>
      </c>
      <c r="F3" s="3" t="s">
        <v>26</v>
      </c>
      <c r="G3" s="10">
        <v>70000</v>
      </c>
      <c r="H3" s="3" t="s">
        <v>56</v>
      </c>
      <c r="I3" s="3" t="s">
        <v>57</v>
      </c>
      <c r="J3" s="4">
        <v>0.43402777777777773</v>
      </c>
      <c r="K3" s="5">
        <v>0.5</v>
      </c>
      <c r="L3" s="4">
        <v>0.28472222222222221</v>
      </c>
      <c r="M3" s="5">
        <v>0.36458333333333331</v>
      </c>
      <c r="N3" s="3" t="s">
        <v>338</v>
      </c>
      <c r="O3" s="3" t="s">
        <v>336</v>
      </c>
      <c r="P3" s="3">
        <v>392</v>
      </c>
      <c r="Q3" s="3">
        <v>275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44826</v>
      </c>
      <c r="B4" s="3" t="s">
        <v>21</v>
      </c>
      <c r="C4" s="3" t="s">
        <v>42</v>
      </c>
      <c r="D4" s="3" t="s">
        <v>25</v>
      </c>
      <c r="E4" s="15" t="s">
        <v>50</v>
      </c>
      <c r="F4" s="3" t="s">
        <v>26</v>
      </c>
      <c r="G4" s="10">
        <v>70000</v>
      </c>
      <c r="H4" s="3" t="s">
        <v>43</v>
      </c>
      <c r="I4" s="3" t="s">
        <v>44</v>
      </c>
      <c r="J4" s="4">
        <v>0.67708333333333337</v>
      </c>
      <c r="K4" s="5">
        <v>0.67291666666666661</v>
      </c>
      <c r="L4" s="4">
        <v>0.48958333333333331</v>
      </c>
      <c r="M4" s="5">
        <v>0.50069444444444444</v>
      </c>
      <c r="N4" s="3" t="s">
        <v>339</v>
      </c>
      <c r="O4" s="3" t="s">
        <v>80</v>
      </c>
      <c r="P4" s="3">
        <v>827</v>
      </c>
      <c r="Q4" s="3">
        <v>1130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2">
        <v>44826</v>
      </c>
      <c r="B5" s="3" t="s">
        <v>21</v>
      </c>
      <c r="C5" s="3" t="s">
        <v>61</v>
      </c>
      <c r="D5" s="3" t="s">
        <v>25</v>
      </c>
      <c r="E5" s="15" t="s">
        <v>50</v>
      </c>
      <c r="F5" s="3" t="s">
        <v>26</v>
      </c>
      <c r="G5" s="10">
        <v>70000</v>
      </c>
      <c r="H5" s="3" t="s">
        <v>62</v>
      </c>
      <c r="I5" s="3" t="s">
        <v>63</v>
      </c>
      <c r="J5" s="4">
        <v>0.93402777777777779</v>
      </c>
      <c r="K5" s="5">
        <v>0.91041666666666676</v>
      </c>
      <c r="L5" s="4">
        <v>0.69791666666666663</v>
      </c>
      <c r="M5" s="5">
        <v>0.70208333333333339</v>
      </c>
      <c r="N5" s="3" t="s">
        <v>341</v>
      </c>
      <c r="O5" s="3" t="s">
        <v>340</v>
      </c>
      <c r="P5" s="3">
        <v>600</v>
      </c>
      <c r="Q5" s="3">
        <v>830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/>
      <c r="B6" s="3"/>
      <c r="C6" s="3"/>
      <c r="D6" s="3"/>
      <c r="E6" s="15"/>
      <c r="F6" s="3"/>
      <c r="G6" s="10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  <c r="V6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XFD1048576"/>
    </sheetView>
  </sheetViews>
  <sheetFormatPr defaultRowHeight="15" x14ac:dyDescent="0.25"/>
  <cols>
    <col min="1" max="1" width="11.28515625" bestFit="1" customWidth="1"/>
    <col min="2" max="2" width="20.140625" customWidth="1"/>
    <col min="3" max="3" width="15" customWidth="1"/>
    <col min="4" max="4" width="7.140625" customWidth="1"/>
    <col min="5" max="5" width="13.140625" customWidth="1"/>
    <col min="6" max="6" width="20.28515625" customWidth="1"/>
    <col min="7" max="7" width="9.28515625" bestFit="1" customWidth="1"/>
    <col min="10" max="10" width="7.7109375" customWidth="1"/>
    <col min="12" max="12" width="6.85546875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44827</v>
      </c>
      <c r="B2" s="3" t="s">
        <v>21</v>
      </c>
      <c r="C2" s="3" t="s">
        <v>22</v>
      </c>
      <c r="D2" s="3" t="s">
        <v>25</v>
      </c>
      <c r="E2" s="3" t="s">
        <v>50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0.62152777777777779</v>
      </c>
      <c r="L2" s="4">
        <v>0.25694444444444448</v>
      </c>
      <c r="M2" s="5">
        <v>0.41805555555555557</v>
      </c>
      <c r="N2" s="3" t="s">
        <v>342</v>
      </c>
      <c r="O2" s="3" t="s">
        <v>314</v>
      </c>
      <c r="P2" s="3">
        <v>635</v>
      </c>
      <c r="Q2" s="3">
        <v>724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44827</v>
      </c>
      <c r="B3" s="3" t="s">
        <v>21</v>
      </c>
      <c r="C3" s="3" t="s">
        <v>23</v>
      </c>
      <c r="D3" s="3" t="s">
        <v>25</v>
      </c>
      <c r="E3" s="3" t="s">
        <v>66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0.63750000000000007</v>
      </c>
      <c r="L3" s="4">
        <v>0.28125</v>
      </c>
      <c r="M3" s="5">
        <v>0.41250000000000003</v>
      </c>
      <c r="N3" s="3" t="s">
        <v>343</v>
      </c>
      <c r="O3" s="3" t="s">
        <v>301</v>
      </c>
      <c r="P3" s="3">
        <v>503</v>
      </c>
      <c r="Q3" s="3">
        <v>1172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44827</v>
      </c>
      <c r="B4" s="3" t="s">
        <v>21</v>
      </c>
      <c r="C4" s="3" t="s">
        <v>24</v>
      </c>
      <c r="D4" s="3" t="s">
        <v>25</v>
      </c>
      <c r="E4" s="3" t="s">
        <v>50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0.7895833333333333</v>
      </c>
      <c r="L4" s="4">
        <v>0.46180555555555558</v>
      </c>
      <c r="M4" s="5">
        <v>0.65555555555555556</v>
      </c>
      <c r="N4" s="3" t="s">
        <v>295</v>
      </c>
      <c r="O4" s="3" t="s">
        <v>255</v>
      </c>
      <c r="P4" s="3">
        <v>539</v>
      </c>
      <c r="Q4" s="3">
        <v>518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44827</v>
      </c>
      <c r="B5" s="3" t="s">
        <v>21</v>
      </c>
      <c r="C5" s="3" t="s">
        <v>33</v>
      </c>
      <c r="D5" s="3" t="s">
        <v>25</v>
      </c>
      <c r="E5" s="3" t="s">
        <v>66</v>
      </c>
      <c r="F5" s="1" t="s">
        <v>26</v>
      </c>
      <c r="G5" s="3">
        <v>70000</v>
      </c>
      <c r="H5" s="3" t="s">
        <v>36</v>
      </c>
      <c r="I5" s="3" t="s">
        <v>39</v>
      </c>
      <c r="J5" s="4">
        <v>0.75694444444444453</v>
      </c>
      <c r="K5" s="5">
        <v>0.78263888888888899</v>
      </c>
      <c r="L5" s="4">
        <v>0.64236111111111105</v>
      </c>
      <c r="M5" s="5">
        <v>0.67222222222222217</v>
      </c>
      <c r="N5" s="3" t="s">
        <v>106</v>
      </c>
      <c r="O5" s="3" t="s">
        <v>344</v>
      </c>
      <c r="P5" s="3">
        <v>459</v>
      </c>
      <c r="Q5" s="3">
        <v>636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44827</v>
      </c>
      <c r="B6" s="3" t="s">
        <v>21</v>
      </c>
      <c r="C6" s="3" t="s">
        <v>34</v>
      </c>
      <c r="D6" s="3" t="s">
        <v>25</v>
      </c>
      <c r="E6" s="3" t="s">
        <v>50</v>
      </c>
      <c r="F6" s="1" t="s">
        <v>26</v>
      </c>
      <c r="G6" s="3">
        <v>70000</v>
      </c>
      <c r="H6" s="3" t="s">
        <v>37</v>
      </c>
      <c r="I6" s="3" t="s">
        <v>40</v>
      </c>
      <c r="J6" s="4">
        <v>0.96180555555555547</v>
      </c>
      <c r="K6" s="5">
        <v>1.8749999999999999E-2</v>
      </c>
      <c r="L6" s="4">
        <v>0.77777777777777779</v>
      </c>
      <c r="M6" s="5">
        <v>0.84097222222222223</v>
      </c>
      <c r="N6" s="3" t="s">
        <v>268</v>
      </c>
      <c r="O6" s="3" t="s">
        <v>96</v>
      </c>
      <c r="P6" s="3">
        <v>562</v>
      </c>
      <c r="Q6" s="3">
        <v>735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44827</v>
      </c>
      <c r="B7" s="3" t="s">
        <v>21</v>
      </c>
      <c r="C7" s="3" t="s">
        <v>35</v>
      </c>
      <c r="D7" s="3" t="s">
        <v>25</v>
      </c>
      <c r="E7" s="11" t="s">
        <v>345</v>
      </c>
      <c r="F7" s="3" t="s">
        <v>26</v>
      </c>
      <c r="G7" s="3">
        <v>70000</v>
      </c>
      <c r="H7" s="3" t="s">
        <v>38</v>
      </c>
      <c r="I7" s="3" t="s">
        <v>41</v>
      </c>
      <c r="J7" s="4">
        <v>0.96875</v>
      </c>
      <c r="K7" s="5">
        <v>0.9784722222222223</v>
      </c>
      <c r="L7" s="4">
        <v>0.77777777777777779</v>
      </c>
      <c r="M7" s="5">
        <v>0.82013888888888886</v>
      </c>
      <c r="N7" s="3" t="s">
        <v>306</v>
      </c>
      <c r="O7" s="3" t="s">
        <v>346</v>
      </c>
      <c r="P7" s="6">
        <v>720</v>
      </c>
      <c r="Q7" s="6">
        <v>1008</v>
      </c>
      <c r="R7" s="6">
        <v>0</v>
      </c>
      <c r="S7" s="6">
        <v>0</v>
      </c>
      <c r="T7" s="6">
        <v>0</v>
      </c>
      <c r="U7" s="6">
        <v>0</v>
      </c>
    </row>
    <row r="8" spans="1:21" s="3" customFormat="1" ht="12.75" x14ac:dyDescent="0.25">
      <c r="A8" s="2"/>
      <c r="J8" s="4"/>
      <c r="K8" s="5"/>
      <c r="L8" s="4"/>
      <c r="M8" s="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5" sqref="K5"/>
    </sheetView>
  </sheetViews>
  <sheetFormatPr defaultRowHeight="15" x14ac:dyDescent="0.25"/>
  <cols>
    <col min="2" max="2" width="11.5703125" customWidth="1"/>
    <col min="3" max="3" width="14.85546875" customWidth="1"/>
    <col min="5" max="5" width="16.42578125" customWidth="1"/>
    <col min="6" max="6" width="14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44828</v>
      </c>
      <c r="B2" s="3" t="s">
        <v>21</v>
      </c>
      <c r="C2" s="3" t="s">
        <v>100</v>
      </c>
      <c r="D2" s="3" t="s">
        <v>25</v>
      </c>
      <c r="E2" s="3" t="s">
        <v>347</v>
      </c>
      <c r="F2" s="3" t="s">
        <v>26</v>
      </c>
      <c r="G2" s="10">
        <v>70000</v>
      </c>
      <c r="H2" s="3" t="s">
        <v>102</v>
      </c>
      <c r="I2" s="3" t="s">
        <v>103</v>
      </c>
      <c r="J2" s="4">
        <v>0.47222222222222227</v>
      </c>
      <c r="K2" s="5">
        <v>0.53055555555555556</v>
      </c>
      <c r="L2" s="4">
        <v>0.28125</v>
      </c>
      <c r="M2" s="5">
        <v>0.32916666666666666</v>
      </c>
      <c r="N2" s="3" t="s">
        <v>289</v>
      </c>
      <c r="O2" s="3" t="s">
        <v>293</v>
      </c>
      <c r="P2" s="3">
        <v>764</v>
      </c>
      <c r="Q2" s="3">
        <v>1198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44828</v>
      </c>
      <c r="B3" s="3" t="s">
        <v>21</v>
      </c>
      <c r="C3" s="3" t="s">
        <v>42</v>
      </c>
      <c r="D3" s="3" t="s">
        <v>25</v>
      </c>
      <c r="E3" s="3" t="s">
        <v>347</v>
      </c>
      <c r="F3" s="3" t="s">
        <v>26</v>
      </c>
      <c r="G3" s="10">
        <v>70000</v>
      </c>
      <c r="H3" s="3" t="s">
        <v>43</v>
      </c>
      <c r="I3" s="3" t="s">
        <v>44</v>
      </c>
      <c r="J3" s="4">
        <v>0.91319444444444453</v>
      </c>
      <c r="K3" s="5" t="s">
        <v>351</v>
      </c>
      <c r="L3" s="4">
        <v>0.49305555555555558</v>
      </c>
      <c r="M3" s="5">
        <v>0.57361111111111118</v>
      </c>
      <c r="N3" s="3">
        <v>0</v>
      </c>
      <c r="O3" s="3" t="s">
        <v>349</v>
      </c>
      <c r="P3" s="3">
        <v>0</v>
      </c>
      <c r="Q3" s="3">
        <v>879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44828</v>
      </c>
      <c r="B4" s="3" t="s">
        <v>21</v>
      </c>
      <c r="C4" s="3" t="s">
        <v>101</v>
      </c>
      <c r="D4" s="3" t="s">
        <v>25</v>
      </c>
      <c r="E4" s="3" t="s">
        <v>50</v>
      </c>
      <c r="F4" s="3" t="s">
        <v>26</v>
      </c>
      <c r="G4" s="10">
        <v>70000</v>
      </c>
      <c r="H4" s="3" t="s">
        <v>105</v>
      </c>
      <c r="I4" s="3" t="s">
        <v>104</v>
      </c>
      <c r="J4" s="4">
        <v>0.91319444444444453</v>
      </c>
      <c r="K4" s="5">
        <v>0.91111111111111109</v>
      </c>
      <c r="L4" s="4">
        <v>0.50347222222222221</v>
      </c>
      <c r="M4" s="5">
        <v>0.5229166666666667</v>
      </c>
      <c r="N4" s="3" t="s">
        <v>350</v>
      </c>
      <c r="O4" s="3" t="s">
        <v>348</v>
      </c>
      <c r="P4" s="3">
        <v>642</v>
      </c>
      <c r="Q4" s="3">
        <v>943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44828</v>
      </c>
      <c r="B5" s="3" t="s">
        <v>21</v>
      </c>
      <c r="C5" s="3" t="s">
        <v>87</v>
      </c>
      <c r="D5" s="3" t="s">
        <v>25</v>
      </c>
      <c r="E5" s="3" t="s">
        <v>352</v>
      </c>
      <c r="F5" s="3" t="s">
        <v>353</v>
      </c>
      <c r="G5" s="18">
        <v>70000</v>
      </c>
      <c r="H5" s="3" t="s">
        <v>354</v>
      </c>
      <c r="I5" s="3" t="s">
        <v>64</v>
      </c>
      <c r="J5" s="13">
        <v>0.99652777777777779</v>
      </c>
      <c r="K5" s="13">
        <v>1.6666666666666666E-2</v>
      </c>
      <c r="L5" s="14" t="s">
        <v>64</v>
      </c>
      <c r="M5" s="14" t="s">
        <v>64</v>
      </c>
      <c r="N5" s="14">
        <v>0</v>
      </c>
      <c r="O5" s="14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F34" sqref="F34"/>
    </sheetView>
  </sheetViews>
  <sheetFormatPr defaultRowHeight="15" x14ac:dyDescent="0.25"/>
  <cols>
    <col min="1" max="1" width="14" bestFit="1" customWidth="1"/>
    <col min="3" max="3" width="15.85546875" customWidth="1"/>
    <col min="6" max="6" width="20.140625" customWidth="1"/>
    <col min="7" max="7" width="9.42578125" bestFit="1" customWidth="1"/>
    <col min="10" max="13" width="9.42578125" bestFit="1" customWidth="1"/>
    <col min="16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44829</v>
      </c>
      <c r="B2" s="3" t="s">
        <v>21</v>
      </c>
      <c r="C2" s="3" t="s">
        <v>52</v>
      </c>
      <c r="D2" s="3" t="s">
        <v>25</v>
      </c>
      <c r="E2" s="3" t="s">
        <v>352</v>
      </c>
      <c r="F2" s="1" t="s">
        <v>26</v>
      </c>
      <c r="G2" s="10">
        <v>70000</v>
      </c>
      <c r="H2" s="3" t="s">
        <v>53</v>
      </c>
      <c r="I2" s="3" t="s">
        <v>54</v>
      </c>
      <c r="J2" s="4">
        <v>0.45833333333333331</v>
      </c>
      <c r="K2" s="5">
        <v>0.4465277777777778</v>
      </c>
      <c r="L2" s="4">
        <v>0.25694444444444448</v>
      </c>
      <c r="M2" s="5">
        <v>0.26041666666666669</v>
      </c>
      <c r="N2" s="3" t="s">
        <v>356</v>
      </c>
      <c r="O2" s="3" t="s">
        <v>95</v>
      </c>
      <c r="P2" s="3">
        <v>1063</v>
      </c>
      <c r="Q2" s="3">
        <v>1146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44829</v>
      </c>
      <c r="B3" s="3" t="s">
        <v>21</v>
      </c>
      <c r="C3" s="3" t="s">
        <v>55</v>
      </c>
      <c r="D3" s="3" t="s">
        <v>25</v>
      </c>
      <c r="E3" s="3" t="s">
        <v>50</v>
      </c>
      <c r="F3" s="3" t="s">
        <v>26</v>
      </c>
      <c r="G3" s="10">
        <v>70000</v>
      </c>
      <c r="H3" s="3" t="s">
        <v>56</v>
      </c>
      <c r="I3" s="3" t="s">
        <v>57</v>
      </c>
      <c r="J3" s="4">
        <v>0.43402777777777773</v>
      </c>
      <c r="K3" s="5">
        <v>0.45694444444444443</v>
      </c>
      <c r="L3" s="4">
        <v>0.28472222222222221</v>
      </c>
      <c r="M3" s="5">
        <v>0.31597222222222221</v>
      </c>
      <c r="N3" s="3" t="s">
        <v>357</v>
      </c>
      <c r="O3" s="3" t="s">
        <v>355</v>
      </c>
      <c r="P3" s="3">
        <v>427</v>
      </c>
      <c r="Q3" s="3">
        <v>740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44829</v>
      </c>
      <c r="B4" s="3" t="s">
        <v>21</v>
      </c>
      <c r="C4" s="3" t="s">
        <v>112</v>
      </c>
      <c r="D4" s="3" t="s">
        <v>25</v>
      </c>
      <c r="E4" s="3" t="s">
        <v>352</v>
      </c>
      <c r="F4" s="3" t="s">
        <v>26</v>
      </c>
      <c r="G4" s="10">
        <v>70000</v>
      </c>
      <c r="H4" s="3" t="s">
        <v>113</v>
      </c>
      <c r="I4" s="3" t="s">
        <v>114</v>
      </c>
      <c r="J4" s="4">
        <v>0.64583333333333337</v>
      </c>
      <c r="K4" s="5">
        <v>0.64236111111111105</v>
      </c>
      <c r="L4" s="4">
        <v>0.48958333333333331</v>
      </c>
      <c r="M4" s="5">
        <v>0.49305555555555558</v>
      </c>
      <c r="N4" s="3" t="s">
        <v>363</v>
      </c>
      <c r="O4" s="3" t="s">
        <v>358</v>
      </c>
      <c r="P4" s="3">
        <v>413</v>
      </c>
      <c r="Q4" s="3">
        <v>702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44829</v>
      </c>
      <c r="B5" s="3" t="s">
        <v>21</v>
      </c>
      <c r="C5" s="3" t="s">
        <v>61</v>
      </c>
      <c r="D5" s="3" t="s">
        <v>25</v>
      </c>
      <c r="E5" s="3" t="s">
        <v>352</v>
      </c>
      <c r="F5" s="3" t="s">
        <v>26</v>
      </c>
      <c r="G5" s="10">
        <v>70000</v>
      </c>
      <c r="H5" s="3" t="s">
        <v>62</v>
      </c>
      <c r="I5" s="3" t="s">
        <v>63</v>
      </c>
      <c r="J5" s="4">
        <v>0.90277777777777779</v>
      </c>
      <c r="K5" s="5">
        <v>0.88888888888888884</v>
      </c>
      <c r="L5" s="4">
        <v>0.66666666666666663</v>
      </c>
      <c r="M5" s="5">
        <v>0.67013888888888884</v>
      </c>
      <c r="N5" s="3" t="s">
        <v>364</v>
      </c>
      <c r="O5" s="3" t="s">
        <v>80</v>
      </c>
      <c r="P5" s="3">
        <v>605</v>
      </c>
      <c r="Q5" s="3">
        <v>1567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44829</v>
      </c>
      <c r="B6" s="3" t="s">
        <v>21</v>
      </c>
      <c r="C6" s="3" t="s">
        <v>359</v>
      </c>
      <c r="D6" s="3" t="s">
        <v>25</v>
      </c>
      <c r="E6" s="3" t="s">
        <v>50</v>
      </c>
      <c r="F6" s="3" t="s">
        <v>65</v>
      </c>
      <c r="G6" s="10">
        <v>70000</v>
      </c>
      <c r="H6" s="3" t="s">
        <v>64</v>
      </c>
      <c r="I6" s="3" t="s">
        <v>360</v>
      </c>
      <c r="J6" s="3" t="s">
        <v>64</v>
      </c>
      <c r="K6" s="3" t="s">
        <v>64</v>
      </c>
      <c r="L6" s="4">
        <v>0.66666666666666663</v>
      </c>
      <c r="M6" s="5">
        <v>0.66319444444444442</v>
      </c>
      <c r="N6" s="3" t="s">
        <v>64</v>
      </c>
      <c r="O6" s="3" t="s">
        <v>64</v>
      </c>
      <c r="P6" s="3" t="s">
        <v>64</v>
      </c>
      <c r="Q6" s="3" t="s">
        <v>64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44829</v>
      </c>
      <c r="B7" s="3" t="s">
        <v>21</v>
      </c>
      <c r="C7" s="3" t="s">
        <v>361</v>
      </c>
      <c r="D7" s="3" t="s">
        <v>25</v>
      </c>
      <c r="E7" s="3" t="s">
        <v>50</v>
      </c>
      <c r="F7" s="3" t="s">
        <v>65</v>
      </c>
      <c r="G7" s="10">
        <v>70000</v>
      </c>
      <c r="H7" s="3" t="s">
        <v>362</v>
      </c>
      <c r="I7" s="3" t="s">
        <v>64</v>
      </c>
      <c r="J7" s="4">
        <v>0.88888888888888884</v>
      </c>
      <c r="K7" s="5">
        <v>0.89583333333333337</v>
      </c>
      <c r="L7" s="3" t="s">
        <v>64</v>
      </c>
      <c r="M7" s="3" t="s">
        <v>64</v>
      </c>
      <c r="N7" s="3" t="s">
        <v>64</v>
      </c>
      <c r="O7" s="3" t="s">
        <v>64</v>
      </c>
      <c r="P7" s="3" t="s">
        <v>64</v>
      </c>
      <c r="Q7" s="3" t="s">
        <v>64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workbookViewId="0">
      <selection activeCell="J15" sqref="J15"/>
    </sheetView>
  </sheetViews>
  <sheetFormatPr defaultRowHeight="15" x14ac:dyDescent="0.25"/>
  <cols>
    <col min="2" max="2" width="10.140625" customWidth="1"/>
    <col min="3" max="3" width="13.42578125" bestFit="1" customWidth="1"/>
    <col min="5" max="5" width="11.28515625" customWidth="1"/>
    <col min="6" max="6" width="12.85546875" customWidth="1"/>
    <col min="14" max="14" width="11.42578125" customWidth="1"/>
    <col min="15" max="15" width="10.5703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/>
      <c r="W1" s="6"/>
    </row>
    <row r="2" spans="1:23" x14ac:dyDescent="0.25">
      <c r="A2" s="2">
        <v>44830</v>
      </c>
      <c r="B2" s="3" t="s">
        <v>21</v>
      </c>
      <c r="C2" s="3" t="s">
        <v>22</v>
      </c>
      <c r="D2" s="3" t="s">
        <v>25</v>
      </c>
      <c r="E2" s="11" t="s">
        <v>50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0.44027777777777777</v>
      </c>
      <c r="L2" s="4">
        <v>0.25694444444444448</v>
      </c>
      <c r="M2" s="5">
        <v>0.26180555555555557</v>
      </c>
      <c r="N2" s="3" t="s">
        <v>367</v>
      </c>
      <c r="O2" s="3" t="s">
        <v>365</v>
      </c>
      <c r="P2" s="3">
        <v>522</v>
      </c>
      <c r="Q2" s="3">
        <v>797</v>
      </c>
      <c r="R2" s="3">
        <v>0</v>
      </c>
      <c r="S2" s="3">
        <v>0</v>
      </c>
      <c r="T2" s="3">
        <v>0</v>
      </c>
      <c r="U2" s="3">
        <v>0</v>
      </c>
      <c r="V2" s="6"/>
      <c r="W2" s="6"/>
    </row>
    <row r="3" spans="1:23" x14ac:dyDescent="0.25">
      <c r="A3" s="2">
        <v>44830</v>
      </c>
      <c r="B3" s="3" t="s">
        <v>21</v>
      </c>
      <c r="C3" s="3" t="s">
        <v>23</v>
      </c>
      <c r="D3" s="3" t="s">
        <v>25</v>
      </c>
      <c r="E3" s="11" t="s">
        <v>352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0.5229166666666667</v>
      </c>
      <c r="L3" s="4">
        <v>0.28125</v>
      </c>
      <c r="M3" s="5">
        <v>0.30555555555555552</v>
      </c>
      <c r="N3" s="3" t="s">
        <v>369</v>
      </c>
      <c r="O3" s="3" t="s">
        <v>366</v>
      </c>
      <c r="P3" s="3">
        <v>777</v>
      </c>
      <c r="Q3" s="3">
        <v>1529</v>
      </c>
      <c r="R3" s="3">
        <v>0</v>
      </c>
      <c r="S3" s="3">
        <v>0</v>
      </c>
      <c r="T3" s="3">
        <v>0</v>
      </c>
      <c r="U3" s="3">
        <v>0</v>
      </c>
      <c r="V3" s="6"/>
      <c r="W3" s="6"/>
    </row>
    <row r="4" spans="1:23" x14ac:dyDescent="0.25">
      <c r="A4" s="2">
        <v>44830</v>
      </c>
      <c r="B4" s="3" t="s">
        <v>21</v>
      </c>
      <c r="C4" s="3" t="s">
        <v>24</v>
      </c>
      <c r="D4" s="3" t="s">
        <v>25</v>
      </c>
      <c r="E4" s="11" t="s">
        <v>50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0.60486111111111118</v>
      </c>
      <c r="L4" s="4">
        <v>0.46180555555555558</v>
      </c>
      <c r="M4" s="5">
        <v>0.47291666666666665</v>
      </c>
      <c r="N4" s="3" t="s">
        <v>371</v>
      </c>
      <c r="O4" s="3" t="s">
        <v>255</v>
      </c>
      <c r="P4" s="3">
        <v>386</v>
      </c>
      <c r="Q4" s="3">
        <v>488</v>
      </c>
      <c r="R4" s="3">
        <v>0</v>
      </c>
      <c r="S4" s="3">
        <v>0</v>
      </c>
      <c r="T4" s="3">
        <v>0</v>
      </c>
      <c r="U4" s="3">
        <v>0</v>
      </c>
      <c r="V4" s="6"/>
      <c r="W4" s="6"/>
    </row>
    <row r="5" spans="1:23" x14ac:dyDescent="0.25">
      <c r="A5" s="2">
        <v>44830</v>
      </c>
      <c r="B5" s="3" t="s">
        <v>21</v>
      </c>
      <c r="C5" s="6" t="s">
        <v>33</v>
      </c>
      <c r="D5" s="3" t="s">
        <v>25</v>
      </c>
      <c r="E5" s="11" t="s">
        <v>352</v>
      </c>
      <c r="F5" s="1" t="s">
        <v>26</v>
      </c>
      <c r="G5" s="3">
        <v>70000</v>
      </c>
      <c r="H5" s="6" t="s">
        <v>36</v>
      </c>
      <c r="I5" s="6" t="s">
        <v>39</v>
      </c>
      <c r="J5" s="7">
        <v>0.75694444444444453</v>
      </c>
      <c r="K5" s="8">
        <v>0.75694444444444453</v>
      </c>
      <c r="L5" s="7">
        <v>0.64236111111111105</v>
      </c>
      <c r="M5" s="8">
        <v>0.64166666666666672</v>
      </c>
      <c r="N5" s="3" t="s">
        <v>373</v>
      </c>
      <c r="O5" s="3" t="s">
        <v>372</v>
      </c>
      <c r="P5" s="6">
        <v>480</v>
      </c>
      <c r="Q5" s="6">
        <v>596</v>
      </c>
      <c r="R5" s="6">
        <v>0</v>
      </c>
      <c r="S5" s="6">
        <v>0</v>
      </c>
      <c r="T5" s="6">
        <v>0</v>
      </c>
      <c r="U5" s="6">
        <v>0</v>
      </c>
      <c r="V5" s="6"/>
      <c r="W5" s="6"/>
    </row>
    <row r="6" spans="1:23" x14ac:dyDescent="0.25">
      <c r="A6" s="2">
        <v>44830</v>
      </c>
      <c r="B6" s="3" t="s">
        <v>21</v>
      </c>
      <c r="C6" s="6" t="s">
        <v>34</v>
      </c>
      <c r="D6" s="3" t="s">
        <v>25</v>
      </c>
      <c r="E6" s="11" t="s">
        <v>50</v>
      </c>
      <c r="F6" s="1" t="s">
        <v>26</v>
      </c>
      <c r="G6" s="3">
        <v>70000</v>
      </c>
      <c r="H6" s="6" t="s">
        <v>37</v>
      </c>
      <c r="I6" s="6" t="s">
        <v>40</v>
      </c>
      <c r="J6" s="7">
        <v>0.96180555555555547</v>
      </c>
      <c r="K6" s="8">
        <v>0.97222222222222221</v>
      </c>
      <c r="L6" s="7">
        <v>0.77777777777777779</v>
      </c>
      <c r="M6" s="8">
        <v>0.78194444444444444</v>
      </c>
      <c r="N6" s="3" t="s">
        <v>189</v>
      </c>
      <c r="O6" s="3" t="s">
        <v>374</v>
      </c>
      <c r="P6" s="6">
        <v>564</v>
      </c>
      <c r="Q6" s="6">
        <v>546</v>
      </c>
      <c r="R6" s="6">
        <v>0</v>
      </c>
      <c r="S6" s="6">
        <v>0</v>
      </c>
      <c r="T6" s="6">
        <v>0</v>
      </c>
      <c r="U6" s="6">
        <v>0</v>
      </c>
      <c r="V6" s="6"/>
      <c r="W6" s="6"/>
    </row>
    <row r="7" spans="1:23" x14ac:dyDescent="0.25">
      <c r="A7" s="2">
        <v>44830</v>
      </c>
      <c r="B7" s="3" t="s">
        <v>21</v>
      </c>
      <c r="C7" s="6" t="s">
        <v>35</v>
      </c>
      <c r="D7" s="3" t="s">
        <v>25</v>
      </c>
      <c r="E7" s="11" t="s">
        <v>352</v>
      </c>
      <c r="F7" s="1" t="s">
        <v>26</v>
      </c>
      <c r="G7" s="3">
        <v>70000</v>
      </c>
      <c r="H7" s="6" t="s">
        <v>38</v>
      </c>
      <c r="I7" s="6" t="s">
        <v>41</v>
      </c>
      <c r="J7" s="7">
        <v>0.97569444444444453</v>
      </c>
      <c r="K7" s="8">
        <v>0.95833333333333337</v>
      </c>
      <c r="L7" s="7">
        <v>0.77777777777777779</v>
      </c>
      <c r="M7" s="8">
        <v>0.7895833333333333</v>
      </c>
      <c r="N7" s="3" t="s">
        <v>242</v>
      </c>
      <c r="O7" s="3" t="s">
        <v>375</v>
      </c>
      <c r="P7" s="6">
        <v>837</v>
      </c>
      <c r="Q7" s="6">
        <v>651</v>
      </c>
      <c r="R7" s="6">
        <v>0</v>
      </c>
      <c r="S7" s="6">
        <v>0</v>
      </c>
      <c r="T7" s="6">
        <v>0</v>
      </c>
      <c r="U7" s="6">
        <v>0</v>
      </c>
      <c r="V7" s="6"/>
      <c r="W7" s="6"/>
    </row>
    <row r="8" spans="1:23" x14ac:dyDescent="0.25">
      <c r="A8" s="2">
        <v>44830</v>
      </c>
      <c r="B8" s="3" t="s">
        <v>208</v>
      </c>
      <c r="C8" s="3" t="s">
        <v>368</v>
      </c>
      <c r="D8" s="3" t="s">
        <v>126</v>
      </c>
      <c r="E8" s="3" t="s">
        <v>210</v>
      </c>
      <c r="F8" s="3" t="s">
        <v>128</v>
      </c>
      <c r="G8" s="3">
        <v>4600</v>
      </c>
      <c r="H8" s="3" t="str">
        <f>E8</f>
        <v>T7-ACA</v>
      </c>
      <c r="I8" s="3" t="str">
        <f>H8</f>
        <v>T7-ACA</v>
      </c>
      <c r="J8" s="4">
        <v>0.4375</v>
      </c>
      <c r="K8" s="5">
        <v>0.44236111111111115</v>
      </c>
      <c r="L8" s="4">
        <v>0.79166666666666663</v>
      </c>
      <c r="M8" s="5">
        <v>0.92638888888888893</v>
      </c>
      <c r="N8" s="3" t="s">
        <v>370</v>
      </c>
      <c r="O8" s="3" t="s">
        <v>370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O23" sqref="O23"/>
    </sheetView>
  </sheetViews>
  <sheetFormatPr defaultRowHeight="15" x14ac:dyDescent="0.25"/>
  <cols>
    <col min="2" max="2" width="17" bestFit="1" customWidth="1"/>
    <col min="3" max="3" width="13.140625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44831</v>
      </c>
      <c r="B2" s="3" t="s">
        <v>21</v>
      </c>
      <c r="C2" s="3" t="s">
        <v>100</v>
      </c>
      <c r="D2" s="3" t="s">
        <v>25</v>
      </c>
      <c r="E2" s="3" t="s">
        <v>352</v>
      </c>
      <c r="F2" s="1" t="s">
        <v>26</v>
      </c>
      <c r="G2" s="10">
        <v>70000</v>
      </c>
      <c r="H2" s="3" t="s">
        <v>102</v>
      </c>
      <c r="I2" s="3" t="s">
        <v>103</v>
      </c>
      <c r="J2" s="4">
        <v>0.47222222222222227</v>
      </c>
      <c r="K2" s="5">
        <v>0.47152777777777777</v>
      </c>
      <c r="L2" s="4">
        <v>0.28125</v>
      </c>
      <c r="M2" s="5">
        <v>0.29722222222222222</v>
      </c>
      <c r="N2" s="3" t="s">
        <v>377</v>
      </c>
      <c r="O2" s="3" t="s">
        <v>138</v>
      </c>
      <c r="P2" s="3">
        <v>929</v>
      </c>
      <c r="Q2" s="3">
        <v>986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44831</v>
      </c>
      <c r="B3" s="3" t="s">
        <v>21</v>
      </c>
      <c r="C3" s="3" t="s">
        <v>42</v>
      </c>
      <c r="D3" s="3" t="s">
        <v>25</v>
      </c>
      <c r="E3" s="3" t="s">
        <v>50</v>
      </c>
      <c r="F3" s="3" t="s">
        <v>26</v>
      </c>
      <c r="G3" s="10">
        <v>70000</v>
      </c>
      <c r="H3" s="3" t="s">
        <v>43</v>
      </c>
      <c r="I3" s="3" t="s">
        <v>44</v>
      </c>
      <c r="J3" s="4">
        <v>0.82986111111111116</v>
      </c>
      <c r="K3" s="5">
        <v>0.83888888888888891</v>
      </c>
      <c r="L3" s="4">
        <v>0.40972222222222227</v>
      </c>
      <c r="M3" s="5">
        <v>0.41250000000000003</v>
      </c>
      <c r="N3" s="3" t="s">
        <v>388</v>
      </c>
      <c r="O3" s="3" t="s">
        <v>376</v>
      </c>
      <c r="P3" s="3">
        <v>930</v>
      </c>
      <c r="Q3" s="3">
        <v>860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44831</v>
      </c>
      <c r="B4" s="3" t="s">
        <v>21</v>
      </c>
      <c r="C4" s="3" t="s">
        <v>101</v>
      </c>
      <c r="D4" s="3" t="s">
        <v>25</v>
      </c>
      <c r="E4" s="3" t="s">
        <v>352</v>
      </c>
      <c r="F4" s="3" t="s">
        <v>26</v>
      </c>
      <c r="G4" s="10">
        <v>70000</v>
      </c>
      <c r="H4" s="3" t="s">
        <v>105</v>
      </c>
      <c r="I4" s="3" t="s">
        <v>104</v>
      </c>
      <c r="J4" s="4">
        <v>0.91319444444444453</v>
      </c>
      <c r="K4" s="5">
        <v>0.92708333333333337</v>
      </c>
      <c r="L4" s="4">
        <v>0.50347222222222221</v>
      </c>
      <c r="M4" s="5">
        <v>0.53472222222222221</v>
      </c>
      <c r="N4" s="3" t="s">
        <v>389</v>
      </c>
      <c r="O4" s="3" t="s">
        <v>378</v>
      </c>
      <c r="P4" s="3">
        <v>519</v>
      </c>
      <c r="Q4" s="3">
        <v>387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44831</v>
      </c>
      <c r="B5" s="3" t="s">
        <v>21</v>
      </c>
      <c r="C5" s="3" t="s">
        <v>379</v>
      </c>
      <c r="D5" s="3" t="s">
        <v>380</v>
      </c>
      <c r="E5" s="3" t="s">
        <v>381</v>
      </c>
      <c r="F5" s="3" t="s">
        <v>283</v>
      </c>
      <c r="G5" s="10">
        <v>83000</v>
      </c>
      <c r="H5" s="3" t="s">
        <v>382</v>
      </c>
      <c r="I5" s="3" t="s">
        <v>320</v>
      </c>
      <c r="J5" s="4">
        <v>0.65972222222222221</v>
      </c>
      <c r="K5" s="5">
        <v>0.65486111111111112</v>
      </c>
      <c r="L5" s="4">
        <v>0.69444444444444453</v>
      </c>
      <c r="M5" s="5">
        <v>0.7104166666666667</v>
      </c>
      <c r="N5" s="3" t="s">
        <v>383</v>
      </c>
      <c r="O5" s="3">
        <v>0</v>
      </c>
      <c r="P5" s="3">
        <v>1347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 s="6" customFormat="1" ht="12.75" x14ac:dyDescent="0.2">
      <c r="A6" s="2">
        <v>44831</v>
      </c>
      <c r="B6" s="3" t="s">
        <v>384</v>
      </c>
      <c r="C6" s="6" t="s">
        <v>385</v>
      </c>
      <c r="D6" s="6" t="s">
        <v>386</v>
      </c>
      <c r="E6" s="6" t="s">
        <v>387</v>
      </c>
      <c r="F6" s="6" t="s">
        <v>128</v>
      </c>
      <c r="G6" s="6">
        <v>4740</v>
      </c>
      <c r="H6" s="6" t="str">
        <f>E6</f>
        <v>D-FSWO</v>
      </c>
      <c r="I6" s="6" t="s">
        <v>64</v>
      </c>
      <c r="J6" s="7">
        <v>0.72916666666666663</v>
      </c>
      <c r="K6" s="8">
        <v>0.67152777777777783</v>
      </c>
      <c r="L6" s="6" t="s">
        <v>64</v>
      </c>
      <c r="M6" s="6" t="s">
        <v>64</v>
      </c>
      <c r="N6" s="6" t="s">
        <v>176</v>
      </c>
      <c r="O6" s="6" t="s">
        <v>64</v>
      </c>
      <c r="P6" s="6">
        <v>0</v>
      </c>
      <c r="Q6" s="6" t="s">
        <v>64</v>
      </c>
      <c r="R6" s="6">
        <v>0</v>
      </c>
      <c r="S6" s="6" t="s">
        <v>64</v>
      </c>
      <c r="T6" s="6">
        <v>0</v>
      </c>
      <c r="U6" s="6" t="s">
        <v>64</v>
      </c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L23" sqref="L23"/>
    </sheetView>
  </sheetViews>
  <sheetFormatPr defaultRowHeight="15" x14ac:dyDescent="0.25"/>
  <cols>
    <col min="1" max="1" width="10.140625" bestFit="1" customWidth="1"/>
    <col min="2" max="2" width="23.140625" customWidth="1"/>
    <col min="3" max="3" width="13.42578125" bestFit="1" customWidth="1"/>
    <col min="4" max="4" width="5.7109375" bestFit="1" customWidth="1"/>
    <col min="6" max="6" width="17.28515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6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44832</v>
      </c>
      <c r="B2" s="3" t="s">
        <v>21</v>
      </c>
      <c r="C2" s="3" t="s">
        <v>22</v>
      </c>
      <c r="D2" s="3" t="s">
        <v>25</v>
      </c>
      <c r="E2" s="3" t="s">
        <v>390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0.43055555555555558</v>
      </c>
      <c r="K2" s="5">
        <v>0.4291666666666667</v>
      </c>
      <c r="L2" s="4">
        <v>0.25694444444444448</v>
      </c>
      <c r="M2" s="5">
        <v>0.26666666666666666</v>
      </c>
      <c r="N2" s="3" t="s">
        <v>391</v>
      </c>
      <c r="O2" s="3" t="s">
        <v>278</v>
      </c>
      <c r="P2" s="3">
        <v>746</v>
      </c>
      <c r="Q2" s="3">
        <v>934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44832</v>
      </c>
      <c r="B3" s="3" t="s">
        <v>21</v>
      </c>
      <c r="C3" s="3" t="s">
        <v>24</v>
      </c>
      <c r="D3" s="3" t="s">
        <v>25</v>
      </c>
      <c r="E3" s="3" t="s">
        <v>390</v>
      </c>
      <c r="F3" s="1" t="s">
        <v>26</v>
      </c>
      <c r="G3" s="3">
        <v>70000</v>
      </c>
      <c r="H3" s="3" t="s">
        <v>31</v>
      </c>
      <c r="I3" s="3" t="s">
        <v>32</v>
      </c>
      <c r="J3" s="4">
        <v>0.60069444444444442</v>
      </c>
      <c r="K3" s="5">
        <v>0.59861111111111109</v>
      </c>
      <c r="L3" s="4">
        <v>0.4513888888888889</v>
      </c>
      <c r="M3" s="5">
        <v>0.46597222222222223</v>
      </c>
      <c r="N3" s="3" t="s">
        <v>374</v>
      </c>
      <c r="O3" s="3" t="s">
        <v>392</v>
      </c>
      <c r="P3" s="3">
        <v>861</v>
      </c>
      <c r="Q3" s="3">
        <v>818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44832</v>
      </c>
      <c r="B4" s="3" t="s">
        <v>21</v>
      </c>
      <c r="C4" s="3" t="s">
        <v>112</v>
      </c>
      <c r="D4" s="3" t="s">
        <v>25</v>
      </c>
      <c r="E4" s="3" t="s">
        <v>50</v>
      </c>
      <c r="F4" s="1" t="s">
        <v>26</v>
      </c>
      <c r="G4" s="3">
        <v>70000</v>
      </c>
      <c r="H4" s="3" t="s">
        <v>113</v>
      </c>
      <c r="I4" s="3" t="s">
        <v>114</v>
      </c>
      <c r="J4" s="4">
        <v>0.69791666666666663</v>
      </c>
      <c r="K4" s="5">
        <v>0.71180555555555547</v>
      </c>
      <c r="L4" s="4">
        <v>0.54166666666666663</v>
      </c>
      <c r="M4" s="5">
        <v>0.56874999999999998</v>
      </c>
      <c r="N4" s="3" t="s">
        <v>404</v>
      </c>
      <c r="O4" s="3" t="s">
        <v>400</v>
      </c>
      <c r="P4" s="3">
        <v>307</v>
      </c>
      <c r="Q4" s="3">
        <v>419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44832</v>
      </c>
      <c r="B5" s="3" t="s">
        <v>21</v>
      </c>
      <c r="C5" s="3" t="s">
        <v>33</v>
      </c>
      <c r="D5" s="3" t="s">
        <v>25</v>
      </c>
      <c r="E5" s="3" t="s">
        <v>390</v>
      </c>
      <c r="F5" s="1" t="s">
        <v>26</v>
      </c>
      <c r="G5" s="3">
        <v>70000</v>
      </c>
      <c r="H5" s="3" t="s">
        <v>36</v>
      </c>
      <c r="I5" s="3" t="s">
        <v>39</v>
      </c>
      <c r="J5" s="4">
        <v>0.74652777777777779</v>
      </c>
      <c r="K5" s="5">
        <v>0.73958333333333337</v>
      </c>
      <c r="L5" s="4">
        <v>0.63194444444444442</v>
      </c>
      <c r="M5" s="5">
        <v>0.63958333333333328</v>
      </c>
      <c r="N5" s="3" t="s">
        <v>405</v>
      </c>
      <c r="O5" s="3" t="s">
        <v>401</v>
      </c>
      <c r="P5" s="3">
        <v>248</v>
      </c>
      <c r="Q5" s="3">
        <v>527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44832</v>
      </c>
      <c r="B6" s="3" t="s">
        <v>21</v>
      </c>
      <c r="C6" s="3" t="s">
        <v>34</v>
      </c>
      <c r="D6" s="3" t="s">
        <v>25</v>
      </c>
      <c r="E6" s="3" t="s">
        <v>50</v>
      </c>
      <c r="F6" s="1" t="s">
        <v>26</v>
      </c>
      <c r="G6" s="3">
        <v>70000</v>
      </c>
      <c r="H6" s="3" t="s">
        <v>37</v>
      </c>
      <c r="I6" s="3" t="s">
        <v>40</v>
      </c>
      <c r="J6" s="4">
        <v>0.90277777777777779</v>
      </c>
      <c r="K6" s="5">
        <v>0.94166666666666676</v>
      </c>
      <c r="L6" s="4">
        <v>0.71875</v>
      </c>
      <c r="M6" s="5">
        <v>0.77222222222222225</v>
      </c>
      <c r="N6" s="3" t="s">
        <v>51</v>
      </c>
      <c r="O6" s="3" t="s">
        <v>402</v>
      </c>
      <c r="P6" s="3">
        <v>570</v>
      </c>
      <c r="Q6" s="3">
        <v>687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44832</v>
      </c>
      <c r="B7" s="3" t="s">
        <v>21</v>
      </c>
      <c r="C7" s="3" t="s">
        <v>35</v>
      </c>
      <c r="D7" s="3" t="s">
        <v>25</v>
      </c>
      <c r="E7" s="3" t="s">
        <v>390</v>
      </c>
      <c r="F7" s="1" t="s">
        <v>26</v>
      </c>
      <c r="G7" s="3">
        <v>70000</v>
      </c>
      <c r="H7" s="3" t="s">
        <v>38</v>
      </c>
      <c r="I7" s="3" t="s">
        <v>41</v>
      </c>
      <c r="J7" s="4">
        <v>0.9375</v>
      </c>
      <c r="K7" s="5">
        <v>0.93472222222222223</v>
      </c>
      <c r="L7" s="4">
        <v>0.76736111111111116</v>
      </c>
      <c r="M7" s="5">
        <v>0.77500000000000002</v>
      </c>
      <c r="N7" s="3" t="s">
        <v>346</v>
      </c>
      <c r="O7" s="3" t="s">
        <v>403</v>
      </c>
      <c r="P7" s="3">
        <v>832</v>
      </c>
      <c r="Q7" s="3">
        <v>657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44832</v>
      </c>
      <c r="B8" s="3" t="s">
        <v>393</v>
      </c>
      <c r="C8" s="3" t="s">
        <v>394</v>
      </c>
      <c r="D8" s="3" t="s">
        <v>395</v>
      </c>
      <c r="E8" s="3" t="s">
        <v>396</v>
      </c>
      <c r="F8" s="9" t="s">
        <v>397</v>
      </c>
      <c r="G8" s="3">
        <v>17.5</v>
      </c>
      <c r="H8" s="3" t="s">
        <v>398</v>
      </c>
      <c r="I8" s="3" t="s">
        <v>398</v>
      </c>
      <c r="J8" s="13">
        <v>0.55902777777777779</v>
      </c>
      <c r="K8" s="13">
        <v>0.52708333333333335</v>
      </c>
      <c r="L8" s="13">
        <v>0.56944444444444442</v>
      </c>
      <c r="M8" s="13">
        <v>0.55138888888888882</v>
      </c>
      <c r="N8" s="14" t="s">
        <v>399</v>
      </c>
      <c r="O8" s="14">
        <v>0</v>
      </c>
      <c r="P8" s="14">
        <v>0</v>
      </c>
      <c r="Q8" s="14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44832</v>
      </c>
      <c r="B9" s="3" t="s">
        <v>384</v>
      </c>
      <c r="C9" s="6" t="s">
        <v>406</v>
      </c>
      <c r="D9" s="6" t="s">
        <v>386</v>
      </c>
      <c r="E9" s="6" t="s">
        <v>387</v>
      </c>
      <c r="F9" s="6" t="s">
        <v>128</v>
      </c>
      <c r="G9" s="6">
        <v>4740</v>
      </c>
      <c r="H9" s="3" t="s">
        <v>64</v>
      </c>
      <c r="I9" s="6" t="str">
        <f>E9</f>
        <v>D-FSWO</v>
      </c>
      <c r="J9" s="7" t="s">
        <v>92</v>
      </c>
      <c r="K9" s="8" t="s">
        <v>64</v>
      </c>
      <c r="L9" s="7">
        <v>0.625</v>
      </c>
      <c r="M9" s="8">
        <v>0.63194444444444442</v>
      </c>
      <c r="N9" s="6" t="s">
        <v>64</v>
      </c>
      <c r="O9" s="6" t="s">
        <v>176</v>
      </c>
      <c r="P9" s="6">
        <v>0</v>
      </c>
      <c r="Q9" s="6" t="s">
        <v>64</v>
      </c>
      <c r="R9" s="6">
        <v>0</v>
      </c>
      <c r="S9" s="6" t="s">
        <v>64</v>
      </c>
      <c r="T9" s="6">
        <v>0</v>
      </c>
      <c r="U9" s="6" t="s">
        <v>64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J18" sqref="J18"/>
    </sheetView>
  </sheetViews>
  <sheetFormatPr defaultRowHeight="15" x14ac:dyDescent="0.25"/>
  <cols>
    <col min="1" max="1" width="11.28515625" bestFit="1" customWidth="1"/>
    <col min="2" max="2" width="12.7109375" customWidth="1"/>
    <col min="3" max="3" width="15.140625" customWidth="1"/>
    <col min="4" max="4" width="8" customWidth="1"/>
    <col min="6" max="6" width="13.85546875" customWidth="1"/>
    <col min="7" max="7" width="9.42578125" bestFit="1" customWidth="1"/>
    <col min="10" max="13" width="9.42578125" bestFit="1" customWidth="1"/>
    <col min="16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44833</v>
      </c>
      <c r="B2" s="3" t="s">
        <v>21</v>
      </c>
      <c r="C2" s="3" t="s">
        <v>52</v>
      </c>
      <c r="D2" s="3" t="s">
        <v>25</v>
      </c>
      <c r="E2" s="11" t="s">
        <v>50</v>
      </c>
      <c r="F2" s="1" t="s">
        <v>26</v>
      </c>
      <c r="G2" s="3">
        <v>70000</v>
      </c>
      <c r="H2" s="3" t="s">
        <v>53</v>
      </c>
      <c r="I2" s="3" t="s">
        <v>54</v>
      </c>
      <c r="J2" s="4">
        <v>0.45833333333333331</v>
      </c>
      <c r="K2" s="5">
        <v>0.44722222222222219</v>
      </c>
      <c r="L2" s="4">
        <v>0.25694444444444448</v>
      </c>
      <c r="M2" s="5">
        <v>0.26041666666666669</v>
      </c>
      <c r="N2" s="3" t="s">
        <v>412</v>
      </c>
      <c r="O2" s="3" t="s">
        <v>293</v>
      </c>
      <c r="P2" s="3">
        <v>845</v>
      </c>
      <c r="Q2" s="3">
        <v>1447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44833</v>
      </c>
      <c r="B3" s="3" t="s">
        <v>21</v>
      </c>
      <c r="C3" s="3" t="s">
        <v>55</v>
      </c>
      <c r="D3" s="3" t="s">
        <v>25</v>
      </c>
      <c r="E3" s="11" t="s">
        <v>411</v>
      </c>
      <c r="F3" s="3" t="s">
        <v>26</v>
      </c>
      <c r="G3" s="10">
        <v>70000</v>
      </c>
      <c r="H3" s="3" t="s">
        <v>56</v>
      </c>
      <c r="I3" s="3" t="s">
        <v>57</v>
      </c>
      <c r="J3" s="4">
        <v>0.43402777777777773</v>
      </c>
      <c r="K3" s="5">
        <v>0.57013888888888886</v>
      </c>
      <c r="L3" s="4">
        <v>0.28472222222222221</v>
      </c>
      <c r="M3" s="5">
        <v>0.43402777777777773</v>
      </c>
      <c r="N3" s="3" t="s">
        <v>415</v>
      </c>
      <c r="O3" s="3" t="s">
        <v>413</v>
      </c>
      <c r="P3" s="3">
        <v>521</v>
      </c>
      <c r="Q3" s="3">
        <v>197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44833</v>
      </c>
      <c r="B4" s="3" t="s">
        <v>21</v>
      </c>
      <c r="C4" s="3" t="s">
        <v>42</v>
      </c>
      <c r="D4" s="3" t="s">
        <v>25</v>
      </c>
      <c r="E4" s="11" t="s">
        <v>50</v>
      </c>
      <c r="F4" s="3" t="s">
        <v>26</v>
      </c>
      <c r="G4" s="10">
        <v>70000</v>
      </c>
      <c r="H4" s="3" t="s">
        <v>43</v>
      </c>
      <c r="I4" s="3" t="s">
        <v>44</v>
      </c>
      <c r="J4" s="4">
        <v>0.67708333333333337</v>
      </c>
      <c r="K4" s="5">
        <v>0.7055555555555556</v>
      </c>
      <c r="L4" s="4">
        <v>0.48958333333333331</v>
      </c>
      <c r="M4" s="5">
        <v>0.51458333333333328</v>
      </c>
      <c r="N4" s="3" t="s">
        <v>422</v>
      </c>
      <c r="O4" s="3" t="s">
        <v>414</v>
      </c>
      <c r="P4" s="3">
        <v>708</v>
      </c>
      <c r="Q4" s="3">
        <v>1101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44833</v>
      </c>
      <c r="B5" s="3" t="s">
        <v>21</v>
      </c>
      <c r="C5" s="3" t="s">
        <v>61</v>
      </c>
      <c r="D5" s="3" t="s">
        <v>25</v>
      </c>
      <c r="E5" s="11" t="s">
        <v>50</v>
      </c>
      <c r="F5" s="3" t="s">
        <v>26</v>
      </c>
      <c r="G5" s="10">
        <v>70000</v>
      </c>
      <c r="H5" s="3" t="s">
        <v>62</v>
      </c>
      <c r="I5" s="3" t="s">
        <v>63</v>
      </c>
      <c r="J5" s="4">
        <v>0.93402777777777779</v>
      </c>
      <c r="K5" s="5">
        <v>0.95347222222222217</v>
      </c>
      <c r="L5" s="4">
        <v>0.69791666666666663</v>
      </c>
      <c r="M5" s="5">
        <v>0.73888888888888893</v>
      </c>
      <c r="N5" s="3" t="s">
        <v>205</v>
      </c>
      <c r="O5" s="3" t="s">
        <v>304</v>
      </c>
      <c r="P5" s="3">
        <v>281</v>
      </c>
      <c r="Q5" s="3">
        <v>1304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44833</v>
      </c>
      <c r="B6" s="3" t="s">
        <v>21</v>
      </c>
      <c r="C6" s="3" t="s">
        <v>407</v>
      </c>
      <c r="D6" s="3" t="s">
        <v>25</v>
      </c>
      <c r="E6" s="11" t="s">
        <v>411</v>
      </c>
      <c r="F6" s="3" t="s">
        <v>408</v>
      </c>
      <c r="G6" s="10">
        <v>70000</v>
      </c>
      <c r="H6" s="3" t="s">
        <v>409</v>
      </c>
      <c r="I6" s="3" t="s">
        <v>410</v>
      </c>
      <c r="J6" s="4">
        <v>0.41666666666666669</v>
      </c>
      <c r="K6" s="5">
        <v>0.40069444444444446</v>
      </c>
      <c r="L6" s="4">
        <v>0.60416666666666663</v>
      </c>
      <c r="M6" s="5">
        <v>0.60833333333333328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44833</v>
      </c>
      <c r="B7" s="3" t="s">
        <v>416</v>
      </c>
      <c r="C7" s="3" t="s">
        <v>407</v>
      </c>
      <c r="D7" s="3" t="s">
        <v>417</v>
      </c>
      <c r="E7" s="3" t="s">
        <v>418</v>
      </c>
      <c r="F7" s="3" t="s">
        <v>419</v>
      </c>
      <c r="G7" s="3">
        <v>7.1580000000000004</v>
      </c>
      <c r="H7" s="3" t="s">
        <v>420</v>
      </c>
      <c r="I7" s="3" t="s">
        <v>421</v>
      </c>
      <c r="J7" s="4">
        <v>0.64236111111111105</v>
      </c>
      <c r="K7" s="5">
        <v>0.65486111111111112</v>
      </c>
      <c r="L7" s="4">
        <v>0.66666666666666663</v>
      </c>
      <c r="M7" s="5">
        <v>0.66875000000000007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selection activeCell="K17" sqref="K17"/>
    </sheetView>
  </sheetViews>
  <sheetFormatPr defaultRowHeight="15" x14ac:dyDescent="0.25"/>
  <cols>
    <col min="1" max="1" width="11.28515625" bestFit="1" customWidth="1"/>
    <col min="2" max="2" width="11.5703125" customWidth="1"/>
    <col min="3" max="3" width="15" customWidth="1"/>
    <col min="4" max="4" width="7.140625" customWidth="1"/>
    <col min="5" max="5" width="11.42578125" customWidth="1"/>
    <col min="6" max="6" width="15.7109375" customWidth="1"/>
    <col min="7" max="7" width="9.28515625" bestFit="1" customWidth="1"/>
    <col min="10" max="10" width="7.7109375" customWidth="1"/>
    <col min="12" max="12" width="6.85546875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44834</v>
      </c>
      <c r="B2" s="3" t="s">
        <v>21</v>
      </c>
      <c r="C2" s="3" t="s">
        <v>22</v>
      </c>
      <c r="D2" s="3" t="s">
        <v>25</v>
      </c>
      <c r="E2" s="3" t="s">
        <v>50</v>
      </c>
      <c r="F2" s="1" t="s">
        <v>26</v>
      </c>
      <c r="G2" s="3">
        <v>70000</v>
      </c>
      <c r="H2" s="3" t="s">
        <v>27</v>
      </c>
      <c r="I2" s="3" t="s">
        <v>28</v>
      </c>
      <c r="J2" s="4">
        <v>0.44097222222222227</v>
      </c>
      <c r="K2" s="5">
        <v>0.42986111111111108</v>
      </c>
      <c r="L2" s="4">
        <v>0.25694444444444448</v>
      </c>
      <c r="M2" s="5">
        <v>0.26805555555555555</v>
      </c>
      <c r="N2" s="3" t="s">
        <v>236</v>
      </c>
      <c r="O2" s="3" t="s">
        <v>96</v>
      </c>
      <c r="P2" s="3">
        <v>546</v>
      </c>
      <c r="Q2" s="3">
        <v>1081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44834</v>
      </c>
      <c r="B3" s="3" t="s">
        <v>21</v>
      </c>
      <c r="C3" s="3" t="s">
        <v>23</v>
      </c>
      <c r="D3" s="3" t="s">
        <v>25</v>
      </c>
      <c r="E3" s="3" t="s">
        <v>352</v>
      </c>
      <c r="F3" s="1" t="s">
        <v>26</v>
      </c>
      <c r="G3" s="3">
        <v>70000</v>
      </c>
      <c r="H3" s="3" t="s">
        <v>29</v>
      </c>
      <c r="I3" s="3" t="s">
        <v>30</v>
      </c>
      <c r="J3" s="4">
        <v>0.51041666666666663</v>
      </c>
      <c r="K3" s="5">
        <v>0.51736111111111105</v>
      </c>
      <c r="L3" s="4">
        <v>0.28125</v>
      </c>
      <c r="M3" s="5">
        <v>0.2951388888888889</v>
      </c>
      <c r="N3" s="3" t="s">
        <v>423</v>
      </c>
      <c r="O3" s="3" t="s">
        <v>321</v>
      </c>
      <c r="P3" s="3">
        <v>958</v>
      </c>
      <c r="Q3" s="3">
        <v>1912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44834</v>
      </c>
      <c r="B4" s="3" t="s">
        <v>21</v>
      </c>
      <c r="C4" s="3" t="s">
        <v>24</v>
      </c>
      <c r="D4" s="3" t="s">
        <v>25</v>
      </c>
      <c r="E4" s="3" t="s">
        <v>50</v>
      </c>
      <c r="F4" s="1" t="s">
        <v>26</v>
      </c>
      <c r="G4" s="3">
        <v>70000</v>
      </c>
      <c r="H4" s="3" t="s">
        <v>31</v>
      </c>
      <c r="I4" s="3" t="s">
        <v>32</v>
      </c>
      <c r="J4" s="4">
        <v>0.61111111111111105</v>
      </c>
      <c r="K4" s="5">
        <v>0.59722222222222221</v>
      </c>
      <c r="L4" s="4">
        <v>0.46180555555555558</v>
      </c>
      <c r="M4" s="5">
        <v>0.46180555555555558</v>
      </c>
      <c r="N4" s="3" t="s">
        <v>425</v>
      </c>
      <c r="O4" s="3" t="s">
        <v>424</v>
      </c>
      <c r="P4" s="3">
        <v>720</v>
      </c>
      <c r="Q4" s="3">
        <v>722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44834</v>
      </c>
      <c r="B5" s="3" t="s">
        <v>21</v>
      </c>
      <c r="C5" s="3" t="s">
        <v>33</v>
      </c>
      <c r="D5" s="3" t="s">
        <v>25</v>
      </c>
      <c r="E5" s="3" t="s">
        <v>352</v>
      </c>
      <c r="F5" s="1" t="s">
        <v>26</v>
      </c>
      <c r="G5" s="3">
        <v>70000</v>
      </c>
      <c r="H5" s="3" t="s">
        <v>36</v>
      </c>
      <c r="I5" s="3" t="s">
        <v>39</v>
      </c>
      <c r="J5" s="4">
        <v>0.75694444444444453</v>
      </c>
      <c r="K5" s="5">
        <v>0.74930555555555556</v>
      </c>
      <c r="L5" s="4">
        <v>0.64236111111111105</v>
      </c>
      <c r="M5" s="5">
        <v>0.64236111111111105</v>
      </c>
      <c r="N5" s="3" t="s">
        <v>427</v>
      </c>
      <c r="O5" s="3" t="s">
        <v>426</v>
      </c>
      <c r="P5" s="3">
        <v>372</v>
      </c>
      <c r="Q5" s="3">
        <v>377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44834</v>
      </c>
      <c r="B6" s="3" t="s">
        <v>21</v>
      </c>
      <c r="C6" s="3" t="s">
        <v>34</v>
      </c>
      <c r="D6" s="3" t="s">
        <v>25</v>
      </c>
      <c r="E6" s="3" t="s">
        <v>50</v>
      </c>
      <c r="F6" s="1" t="s">
        <v>26</v>
      </c>
      <c r="G6" s="3">
        <v>70000</v>
      </c>
      <c r="H6" s="3" t="s">
        <v>37</v>
      </c>
      <c r="I6" s="3" t="s">
        <v>40</v>
      </c>
      <c r="J6" s="4">
        <v>0.96180555555555547</v>
      </c>
      <c r="K6" s="5">
        <v>0.97152777777777777</v>
      </c>
      <c r="L6" s="4">
        <v>0.77777777777777779</v>
      </c>
      <c r="M6" s="5">
        <v>0.80694444444444446</v>
      </c>
      <c r="N6" s="3" t="s">
        <v>313</v>
      </c>
      <c r="O6" s="3" t="s">
        <v>428</v>
      </c>
      <c r="P6" s="3">
        <v>494</v>
      </c>
      <c r="Q6" s="3">
        <v>773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44834</v>
      </c>
      <c r="B7" s="3" t="s">
        <v>21</v>
      </c>
      <c r="C7" s="3" t="s">
        <v>35</v>
      </c>
      <c r="D7" s="3" t="s">
        <v>25</v>
      </c>
      <c r="E7" s="11" t="s">
        <v>431</v>
      </c>
      <c r="F7" s="3" t="s">
        <v>26</v>
      </c>
      <c r="G7" s="3">
        <v>70000</v>
      </c>
      <c r="H7" s="3" t="s">
        <v>38</v>
      </c>
      <c r="I7" s="3" t="s">
        <v>41</v>
      </c>
      <c r="J7" s="4">
        <v>0.96875</v>
      </c>
      <c r="K7" s="5">
        <v>0.96666666666666667</v>
      </c>
      <c r="L7" s="4">
        <v>0.77777777777777779</v>
      </c>
      <c r="M7" s="5">
        <v>0.78819444444444453</v>
      </c>
      <c r="N7" s="3" t="s">
        <v>430</v>
      </c>
      <c r="O7" s="3" t="s">
        <v>429</v>
      </c>
      <c r="P7" s="6">
        <v>969</v>
      </c>
      <c r="Q7" s="6">
        <v>794</v>
      </c>
      <c r="R7" s="6">
        <v>0</v>
      </c>
      <c r="S7" s="6">
        <v>0</v>
      </c>
      <c r="T7" s="6">
        <v>0</v>
      </c>
      <c r="U7" s="6">
        <v>0</v>
      </c>
    </row>
    <row r="8" spans="1:21" s="3" customFormat="1" ht="12.75" x14ac:dyDescent="0.25">
      <c r="A8" s="2"/>
      <c r="J8" s="4"/>
      <c r="K8" s="5"/>
      <c r="L8" s="4"/>
      <c r="M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2022-09-30T21:21:17Z</dcterms:modified>
</cp:coreProperties>
</file>