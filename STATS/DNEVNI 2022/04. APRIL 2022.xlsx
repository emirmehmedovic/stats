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245" windowWidth="14805" windowHeight="6870" tabRatio="652" firstSheet="7" activeTab="29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</sheets>
  <calcPr calcId="145621"/>
</workbook>
</file>

<file path=xl/calcChain.xml><?xml version="1.0" encoding="utf-8"?>
<calcChain xmlns="http://schemas.openxmlformats.org/spreadsheetml/2006/main">
  <c r="H6" i="16" l="1"/>
  <c r="M5" i="11" l="1"/>
</calcChain>
</file>

<file path=xl/sharedStrings.xml><?xml version="1.0" encoding="utf-8"?>
<sst xmlns="http://schemas.openxmlformats.org/spreadsheetml/2006/main" count="2132" uniqueCount="395">
  <si>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</si>
  <si>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</si>
  <si>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</si>
  <si>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</si>
  <si>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</si>
  <si>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</si>
  <si>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</si>
  <si>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</si>
  <si>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</si>
  <si>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</si>
  <si>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</si>
  <si>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</si>
  <si>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</si>
  <si>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</si>
  <si>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</si>
  <si>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</si>
  <si>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</si>
  <si>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</si>
  <si>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</si>
  <si>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</si>
  <si>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</si>
  <si>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</si>
  <si>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TZL-FMM-TZL</t>
  </si>
  <si>
    <t>A320</t>
  </si>
  <si>
    <t>SCHEDULED</t>
  </si>
  <si>
    <t>W64280</t>
  </si>
  <si>
    <t>W64279</t>
  </si>
  <si>
    <t>TZL-MLH-TZL</t>
  </si>
  <si>
    <t>W64294</t>
  </si>
  <si>
    <t>W64293</t>
  </si>
  <si>
    <t>TZL-BER-TZL</t>
  </si>
  <si>
    <t>W64276</t>
  </si>
  <si>
    <t>W64275</t>
  </si>
  <si>
    <t>HA-LYE</t>
  </si>
  <si>
    <t>TZL-HHN-TZL</t>
  </si>
  <si>
    <t>W64284</t>
  </si>
  <si>
    <t>W64283</t>
  </si>
  <si>
    <t>TZL-VIE-TZL</t>
  </si>
  <si>
    <t>W64286</t>
  </si>
  <si>
    <t>W64285</t>
  </si>
  <si>
    <t>TZL-GOT-TZL</t>
  </si>
  <si>
    <t>W64296</t>
  </si>
  <si>
    <t>W64295</t>
  </si>
  <si>
    <t>HA-LYJ</t>
  </si>
  <si>
    <t>133+1INF</t>
  </si>
  <si>
    <t>70+1INF</t>
  </si>
  <si>
    <t>146+1 INF</t>
  </si>
  <si>
    <t>153+1 INF</t>
  </si>
  <si>
    <t>144+2 INF</t>
  </si>
  <si>
    <t>131+2 INF</t>
  </si>
  <si>
    <t>172+4 INF</t>
  </si>
  <si>
    <t>90+5 INF</t>
  </si>
  <si>
    <t>165+2 INF</t>
  </si>
  <si>
    <t>140+7 INF</t>
  </si>
  <si>
    <t>159+5 INF</t>
  </si>
  <si>
    <t>174+2 INF</t>
  </si>
  <si>
    <t>TZL-MMX-TZL</t>
  </si>
  <si>
    <t>TZL-CGN-TZL</t>
  </si>
  <si>
    <t>TZL-DTM-TZL</t>
  </si>
  <si>
    <t>TZL-FKB-TZL</t>
  </si>
  <si>
    <t>W64292</t>
  </si>
  <si>
    <t>W64298</t>
  </si>
  <si>
    <t>W64618</t>
  </si>
  <si>
    <t>W64300</t>
  </si>
  <si>
    <t>W64291</t>
  </si>
  <si>
    <t>W64299</t>
  </si>
  <si>
    <t>W64297</t>
  </si>
  <si>
    <t>W64617</t>
  </si>
  <si>
    <t>86+2 INF</t>
  </si>
  <si>
    <t>132+4 INF</t>
  </si>
  <si>
    <t>70+0  INF</t>
  </si>
  <si>
    <t>165+7 INF</t>
  </si>
  <si>
    <t>162+1 INF</t>
  </si>
  <si>
    <t>80+1 INF</t>
  </si>
  <si>
    <t>180+5 INF</t>
  </si>
  <si>
    <t>135+2 INF</t>
  </si>
  <si>
    <t>TZL-MXP-TZL</t>
  </si>
  <si>
    <t>W65569</t>
  </si>
  <si>
    <t>TZL-NUE-TZL</t>
  </si>
  <si>
    <t>W64614</t>
  </si>
  <si>
    <t>W64613</t>
  </si>
  <si>
    <t>TZL-NYO-TZL</t>
  </si>
  <si>
    <t>W64282</t>
  </si>
  <si>
    <t>W64281</t>
  </si>
  <si>
    <t>W65570</t>
  </si>
  <si>
    <t>42+1 INF</t>
  </si>
  <si>
    <t>104+5 INF</t>
  </si>
  <si>
    <t>32+0 INF</t>
  </si>
  <si>
    <t>90+2 INF</t>
  </si>
  <si>
    <t>132+0 INF</t>
  </si>
  <si>
    <t>130+1 INF</t>
  </si>
  <si>
    <t>117+2 INF</t>
  </si>
  <si>
    <t>144+5 INF</t>
  </si>
  <si>
    <t>119+3 INF</t>
  </si>
  <si>
    <t>122+0 INF</t>
  </si>
  <si>
    <t>159+4 INF</t>
  </si>
  <si>
    <t>EUFOR</t>
  </si>
  <si>
    <t>BUTMIR-TZL-BUTMIR</t>
  </si>
  <si>
    <t>PC6T</t>
  </si>
  <si>
    <t>3GEF</t>
  </si>
  <si>
    <t>MILITARY</t>
  </si>
  <si>
    <t>PORTA06</t>
  </si>
  <si>
    <t>LUXAVIATION GMBH</t>
  </si>
  <si>
    <t>PRN-TZL-DUS</t>
  </si>
  <si>
    <t>GLF4</t>
  </si>
  <si>
    <t>OE-ITC</t>
  </si>
  <si>
    <t>GA BUSINESS</t>
  </si>
  <si>
    <t>LXG14C</t>
  </si>
  <si>
    <t>10+0 INF</t>
  </si>
  <si>
    <t>138+2 INF</t>
  </si>
  <si>
    <t>170+4 INF</t>
  </si>
  <si>
    <t>HA-LYJ/HA-LWU</t>
  </si>
  <si>
    <t>93+5 INF</t>
  </si>
  <si>
    <t>SVPG GMBH</t>
  </si>
  <si>
    <t>SKP-TZL</t>
  </si>
  <si>
    <t>C10T</t>
  </si>
  <si>
    <t>DEMDT</t>
  </si>
  <si>
    <t>NON-SCHEDULED</t>
  </si>
  <si>
    <t>-</t>
  </si>
  <si>
    <t>144+4 ONF</t>
  </si>
  <si>
    <t>89+5 INF</t>
  </si>
  <si>
    <t>148+1 INF</t>
  </si>
  <si>
    <t>156+7 INF</t>
  </si>
  <si>
    <t>HA-LWU</t>
  </si>
  <si>
    <t>41+1 INF</t>
  </si>
  <si>
    <t>64+0 INF</t>
  </si>
  <si>
    <t>82+3 INF</t>
  </si>
  <si>
    <t>148+3 INF</t>
  </si>
  <si>
    <t>95+1 INF</t>
  </si>
  <si>
    <t>47+0 INF</t>
  </si>
  <si>
    <t>TZL-ZQC</t>
  </si>
  <si>
    <t>NCE-TZL-GOT</t>
  </si>
  <si>
    <t>A321</t>
  </si>
  <si>
    <t>HA-LYW</t>
  </si>
  <si>
    <t>W64026</t>
  </si>
  <si>
    <t>W64205A</t>
  </si>
  <si>
    <t>118+0 INF</t>
  </si>
  <si>
    <t xml:space="preserve">CREW </t>
  </si>
  <si>
    <t>160+4 INF</t>
  </si>
  <si>
    <t>63+1 INF</t>
  </si>
  <si>
    <t>101+4 INF</t>
  </si>
  <si>
    <t>39+1 INF</t>
  </si>
  <si>
    <t>147+8 INF</t>
  </si>
  <si>
    <t>HA-LYT</t>
  </si>
  <si>
    <t>68+4 INF</t>
  </si>
  <si>
    <t>175+2 INF</t>
  </si>
  <si>
    <t>54+0 INF</t>
  </si>
  <si>
    <t>HA-LYZ</t>
  </si>
  <si>
    <t>179+3 INF</t>
  </si>
  <si>
    <t>78+3 INF</t>
  </si>
  <si>
    <t>DTM-TZL-DTM</t>
  </si>
  <si>
    <t>93+1 INF</t>
  </si>
  <si>
    <t>116+5 INF</t>
  </si>
  <si>
    <t>171+5 INF</t>
  </si>
  <si>
    <t>142+3 INF</t>
  </si>
  <si>
    <t>168+6 INF</t>
  </si>
  <si>
    <t>102+3 INF</t>
  </si>
  <si>
    <t>84+0 INF</t>
  </si>
  <si>
    <t>172+2 INF</t>
  </si>
  <si>
    <t>161+4 INF</t>
  </si>
  <si>
    <t>151+4 INF</t>
  </si>
  <si>
    <t>173+4 INF</t>
  </si>
  <si>
    <t>HA-LYE/HA-LWV</t>
  </si>
  <si>
    <t>88+1 INF</t>
  </si>
  <si>
    <t>87+2 INF</t>
  </si>
  <si>
    <t>169+2 INF</t>
  </si>
  <si>
    <t>177+2 INF</t>
  </si>
  <si>
    <t>163+1 INF</t>
  </si>
  <si>
    <t>89+1 INF</t>
  </si>
  <si>
    <t>169+0 INF</t>
  </si>
  <si>
    <t>HA-LWV</t>
  </si>
  <si>
    <t>37+3 INF</t>
  </si>
  <si>
    <t>72+1 INF</t>
  </si>
  <si>
    <t>56+4 INF</t>
  </si>
  <si>
    <t>166+3 INF</t>
  </si>
  <si>
    <t>123+1 INF</t>
  </si>
  <si>
    <t>HA-LWU/HA-LYJ</t>
  </si>
  <si>
    <t>79+5 INF</t>
  </si>
  <si>
    <t>65+0 INF</t>
  </si>
  <si>
    <t>122+5 INF</t>
  </si>
  <si>
    <t>126+3 INF</t>
  </si>
  <si>
    <t>127+3 INF</t>
  </si>
  <si>
    <t>64+3 INF</t>
  </si>
  <si>
    <t>178+5 INF</t>
  </si>
  <si>
    <t>164+5 INF</t>
  </si>
  <si>
    <t>93+3 INF</t>
  </si>
  <si>
    <t>167+1 INF</t>
  </si>
  <si>
    <t>35+0 INF</t>
  </si>
  <si>
    <t>64+1 INF</t>
  </si>
  <si>
    <t>160+3 INF</t>
  </si>
  <si>
    <t>56+3 INF</t>
  </si>
  <si>
    <t>107+3 INF</t>
  </si>
  <si>
    <t>165+4 INF</t>
  </si>
  <si>
    <t>171+3INF</t>
  </si>
  <si>
    <t>70+1 INF</t>
  </si>
  <si>
    <t>76+2 INF</t>
  </si>
  <si>
    <t>163+5 INF</t>
  </si>
  <si>
    <t>123+2 INF</t>
  </si>
  <si>
    <t xml:space="preserve"> 108+5 INF</t>
  </si>
  <si>
    <t>70+3 INF</t>
  </si>
  <si>
    <t>172+5 INF</t>
  </si>
  <si>
    <t>TZL-BSL-TZL</t>
  </si>
  <si>
    <t>118+4 INF</t>
  </si>
  <si>
    <t>131+1 INF</t>
  </si>
  <si>
    <t>137+3 INF</t>
  </si>
  <si>
    <t>110+1 INF</t>
  </si>
  <si>
    <t>177+4 INF</t>
  </si>
  <si>
    <t>TZL-FDH-TZL</t>
  </si>
  <si>
    <t>W64616</t>
  </si>
  <si>
    <t>W64615</t>
  </si>
  <si>
    <t>HA-LYO</t>
  </si>
  <si>
    <t>W64278</t>
  </si>
  <si>
    <t>W64277</t>
  </si>
  <si>
    <t>TZL-BLL-TZL</t>
  </si>
  <si>
    <t>46+2 INF</t>
  </si>
  <si>
    <t>48+2 INF</t>
  </si>
  <si>
    <t>161+3 INF</t>
  </si>
  <si>
    <t>157+4 INF</t>
  </si>
  <si>
    <t>175+1 INF</t>
  </si>
  <si>
    <t>77+INF</t>
  </si>
  <si>
    <t>109+1INF</t>
  </si>
  <si>
    <t>48+1 INF</t>
  </si>
  <si>
    <t>121+1 INF</t>
  </si>
  <si>
    <t>116+1 INF</t>
  </si>
  <si>
    <t>144+3 INF</t>
  </si>
  <si>
    <t>170+0 INF</t>
  </si>
  <si>
    <t>121+3 INF</t>
  </si>
  <si>
    <t>130+2 INF</t>
  </si>
  <si>
    <t>175+0 INF</t>
  </si>
  <si>
    <t>162+3 INF</t>
  </si>
  <si>
    <t>165+6INF</t>
  </si>
  <si>
    <t>151+3 INF</t>
  </si>
  <si>
    <t>176+3 INF</t>
  </si>
  <si>
    <t>146+3 INF</t>
  </si>
  <si>
    <t>179+2 INF</t>
  </si>
  <si>
    <t>81+0 INF</t>
  </si>
  <si>
    <t>152+5 INF</t>
  </si>
  <si>
    <t>168+1 INF</t>
  </si>
  <si>
    <t>133+1 INF</t>
  </si>
  <si>
    <t>142+6 INF</t>
  </si>
  <si>
    <t>100+1 INF</t>
  </si>
  <si>
    <t>155+2 INF</t>
  </si>
  <si>
    <t>140+2 INF</t>
  </si>
  <si>
    <t>Thomas Ambiel</t>
  </si>
  <si>
    <t>TIV-TZL</t>
  </si>
  <si>
    <t>COL3</t>
  </si>
  <si>
    <t>N6509Z</t>
  </si>
  <si>
    <t xml:space="preserve">Civilian VFR </t>
  </si>
  <si>
    <t>ROP</t>
  </si>
  <si>
    <t>CREW ONLY</t>
  </si>
  <si>
    <t>149+2 INF</t>
  </si>
  <si>
    <t>153+0 INF</t>
  </si>
  <si>
    <t>160+7 INF</t>
  </si>
  <si>
    <t>147+2 INF</t>
  </si>
  <si>
    <t>126+1 INF</t>
  </si>
  <si>
    <t>55+0 INF</t>
  </si>
  <si>
    <t>158+1 INF</t>
  </si>
  <si>
    <t>80+2 INF</t>
  </si>
  <si>
    <t>79+1 INF</t>
  </si>
  <si>
    <t>114+2 INF</t>
  </si>
  <si>
    <t>147+0 INF</t>
  </si>
  <si>
    <t>113+2 INF</t>
  </si>
  <si>
    <t>109+0 INF</t>
  </si>
  <si>
    <t>159+3 INF</t>
  </si>
  <si>
    <t>95+0 INF</t>
  </si>
  <si>
    <t>153+7 INF</t>
  </si>
  <si>
    <t>166+1 INF</t>
  </si>
  <si>
    <t>170+3 INF</t>
  </si>
  <si>
    <t>166+7 INF</t>
  </si>
  <si>
    <t>112+6 INF</t>
  </si>
  <si>
    <t>128+4 INF</t>
  </si>
  <si>
    <t>138+3 INF</t>
  </si>
  <si>
    <t>178+3 INF</t>
  </si>
  <si>
    <t>160+0 INF</t>
  </si>
  <si>
    <t>156+0 INF</t>
  </si>
  <si>
    <t>31+0 INF</t>
  </si>
  <si>
    <t>153+5 INF</t>
  </si>
  <si>
    <t>92+2 INF</t>
  </si>
  <si>
    <t>HA-LYJ/HA-LPN</t>
  </si>
  <si>
    <t>HA-LPN</t>
  </si>
  <si>
    <t>166+5 INF</t>
  </si>
  <si>
    <t>133+6INF</t>
  </si>
  <si>
    <t>129+5INF</t>
  </si>
  <si>
    <t>TZL-POW</t>
  </si>
  <si>
    <t>136+10 INF</t>
  </si>
  <si>
    <t>68+2 INF</t>
  </si>
  <si>
    <t>111+5 INF</t>
  </si>
  <si>
    <t>110+1 IN</t>
  </si>
  <si>
    <t>148+5 INF</t>
  </si>
  <si>
    <t>HA-LPT/HA-LWV</t>
  </si>
  <si>
    <t>HA-LPT</t>
  </si>
  <si>
    <t>79+4 INF</t>
  </si>
  <si>
    <t>79+2 INF</t>
  </si>
  <si>
    <t>107+1 INF</t>
  </si>
  <si>
    <t>66+1 INF</t>
  </si>
  <si>
    <t>67+0 INF</t>
  </si>
  <si>
    <t>119+2 INF</t>
  </si>
  <si>
    <t>103+3 INF</t>
  </si>
  <si>
    <t>141+3 INF</t>
  </si>
  <si>
    <t>PEGASUS AIRLINES</t>
  </si>
  <si>
    <t>SAW-TZL-SAW</t>
  </si>
  <si>
    <t>A20N</t>
  </si>
  <si>
    <t>TC-NBR</t>
  </si>
  <si>
    <t>NON-SCH/DIVERSION</t>
  </si>
  <si>
    <t>PC291</t>
  </si>
  <si>
    <t>150+3 INF</t>
  </si>
  <si>
    <t>105+2 INF</t>
  </si>
  <si>
    <t>162+4 INF</t>
  </si>
  <si>
    <t>170+5 INF</t>
  </si>
  <si>
    <t>162+5 INF</t>
  </si>
  <si>
    <t>142+4 INF</t>
  </si>
  <si>
    <t>156+3 INF</t>
  </si>
  <si>
    <t>158+3 INF</t>
  </si>
  <si>
    <t>139+2 INF</t>
  </si>
  <si>
    <t>65+1 INF</t>
  </si>
  <si>
    <t>157+1 INF</t>
  </si>
  <si>
    <t>168+2 INF</t>
  </si>
  <si>
    <t>163+3 INF</t>
  </si>
  <si>
    <t>124+6 INF</t>
  </si>
  <si>
    <t>87+0 INF</t>
  </si>
  <si>
    <t>78+2 INF</t>
  </si>
  <si>
    <t>40+0 INF</t>
  </si>
  <si>
    <t>123+1  INF</t>
  </si>
  <si>
    <t>162+0 INF</t>
  </si>
  <si>
    <t>78+1 INF</t>
  </si>
  <si>
    <t>133+0 INF</t>
  </si>
  <si>
    <t>108+2 INF</t>
  </si>
  <si>
    <t>121+0 INF</t>
  </si>
  <si>
    <t>BUTMIR-TZL-BZTMIR</t>
  </si>
  <si>
    <t>3GEE</t>
  </si>
  <si>
    <t>83+2 INF</t>
  </si>
  <si>
    <t>167+5 INF</t>
  </si>
  <si>
    <t>169+5 INF</t>
  </si>
  <si>
    <t>131+8 INF</t>
  </si>
  <si>
    <t>148+4 INF</t>
  </si>
  <si>
    <t>150+2 INF</t>
  </si>
  <si>
    <t>104+3 INF</t>
  </si>
  <si>
    <t>117+4 INF</t>
  </si>
  <si>
    <t>151+6 INF</t>
  </si>
  <si>
    <t>53+0 INF</t>
  </si>
  <si>
    <t>164+6 INF</t>
  </si>
  <si>
    <t>119+0 INF</t>
  </si>
  <si>
    <t>167+4 INF</t>
  </si>
  <si>
    <t>147+5 INF</t>
  </si>
  <si>
    <t>75+3 INF</t>
  </si>
  <si>
    <t>133+6 INF</t>
  </si>
  <si>
    <t>159+9 INF</t>
  </si>
  <si>
    <t>81+3 INF</t>
  </si>
  <si>
    <t>98+4 INF</t>
  </si>
  <si>
    <t>136+3 INF</t>
  </si>
  <si>
    <t>132+6 INF</t>
  </si>
  <si>
    <t>142+2 INF</t>
  </si>
  <si>
    <t>171+4 INF</t>
  </si>
  <si>
    <t>160+9 INF</t>
  </si>
  <si>
    <t>84+4 INF</t>
  </si>
  <si>
    <t xml:space="preserve"> 104+7 INF</t>
  </si>
  <si>
    <t>180+4 INF</t>
  </si>
  <si>
    <t>57+1 INF</t>
  </si>
  <si>
    <t>82+1 INF</t>
  </si>
  <si>
    <t>MIRKO ANZEL</t>
  </si>
  <si>
    <t>BEG-TZL-BEG</t>
  </si>
  <si>
    <t>BE-36</t>
  </si>
  <si>
    <t>T7-BEN</t>
  </si>
  <si>
    <t>NON SCHEDULED</t>
  </si>
  <si>
    <t xml:space="preserve"> 36+1 INF</t>
  </si>
  <si>
    <t>146+2 INF</t>
  </si>
  <si>
    <t>150+6 INF</t>
  </si>
  <si>
    <t>51+ 1 INF</t>
  </si>
  <si>
    <t>107+2 INF</t>
  </si>
  <si>
    <t>AIR BOHEMIA S.R.O.</t>
  </si>
  <si>
    <t>QGY-TZL</t>
  </si>
  <si>
    <t>PAY3</t>
  </si>
  <si>
    <t>OK-TAV</t>
  </si>
  <si>
    <t>MEDEVAC</t>
  </si>
  <si>
    <t>BOH824</t>
  </si>
  <si>
    <t>109+2 INF</t>
  </si>
  <si>
    <t>132+2 INF</t>
  </si>
  <si>
    <t>112+1 INF</t>
  </si>
  <si>
    <t>124+3 INF</t>
  </si>
  <si>
    <t>164+3 INF</t>
  </si>
  <si>
    <t>163+4 INF</t>
  </si>
  <si>
    <t>TZL-STR</t>
  </si>
  <si>
    <t>BOH821</t>
  </si>
  <si>
    <t>169+3 INF</t>
  </si>
  <si>
    <t>176+6 INF</t>
  </si>
  <si>
    <t>143+5INF</t>
  </si>
  <si>
    <t>174+3 INF</t>
  </si>
  <si>
    <t>HALPT</t>
  </si>
  <si>
    <t>HALPN</t>
  </si>
  <si>
    <t>HALTB</t>
  </si>
  <si>
    <t>71+0 INF</t>
  </si>
  <si>
    <t>150+1 INF</t>
  </si>
  <si>
    <t>155+5 INF</t>
  </si>
  <si>
    <t>173+2 INF</t>
  </si>
  <si>
    <t>HHN-TZL-HHN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</si>
</sst>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sz val="11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D12" sqref="D12"/>
    </sheetView>
  </sheetViews>
  <sheetFormatPr defaultRowHeight="15" x14ac:dyDescent="0.25"/>
  <cols>
    <col min="2" max="2" width="12.85546875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44652</v>
      </c>
      <c r="B2" s="2" t="s">
        <v>21</v>
      </c>
      <c r="C2" s="2" t="s">
        <v>30</v>
      </c>
      <c r="D2" s="2" t="s">
        <v>23</v>
      </c>
      <c r="E2" s="2" t="s">
        <v>43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0.43402777777777773</v>
      </c>
      <c r="L2" s="4">
        <v>0.25694444444444448</v>
      </c>
      <c r="M2" s="5">
        <v>0.25555555555555559</v>
      </c>
      <c r="N2" s="2" t="s">
        <v>46</v>
      </c>
      <c r="O2" s="2" t="s">
        <v>44</v>
      </c>
      <c r="P2" s="2">
        <v>760</v>
      </c>
      <c r="Q2" s="2">
        <v>824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44652</v>
      </c>
      <c r="B3" s="2" t="s">
        <v>21</v>
      </c>
      <c r="C3" s="6" t="s">
        <v>40</v>
      </c>
      <c r="D3" s="2" t="s">
        <v>23</v>
      </c>
      <c r="E3" s="2" t="s">
        <v>33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0.52500000000000002</v>
      </c>
      <c r="L3" s="7">
        <v>0.28472222222222221</v>
      </c>
      <c r="M3" s="9">
        <v>0.28125</v>
      </c>
      <c r="N3" s="2" t="s">
        <v>47</v>
      </c>
      <c r="O3" s="2" t="s">
        <v>45</v>
      </c>
      <c r="P3" s="10">
        <v>576</v>
      </c>
      <c r="Q3" s="10">
        <v>188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44652</v>
      </c>
      <c r="B4" s="2" t="s">
        <v>21</v>
      </c>
      <c r="C4" s="2" t="s">
        <v>22</v>
      </c>
      <c r="D4" s="2" t="s">
        <v>23</v>
      </c>
      <c r="E4" s="2" t="s">
        <v>43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0.61388888888888882</v>
      </c>
      <c r="L4" s="4">
        <v>0.45833333333333331</v>
      </c>
      <c r="M4" s="5">
        <v>0.46458333333333335</v>
      </c>
      <c r="N4" s="2" t="s">
        <v>50</v>
      </c>
      <c r="O4" s="2" t="s">
        <v>48</v>
      </c>
      <c r="P4" s="2">
        <v>855</v>
      </c>
      <c r="Q4" s="2">
        <v>690</v>
      </c>
      <c r="R4" s="2">
        <v>0</v>
      </c>
      <c r="S4" s="2">
        <v>0</v>
      </c>
      <c r="T4" s="2">
        <v>0</v>
      </c>
      <c r="U4" s="2">
        <v>0</v>
      </c>
    </row>
    <row r="5" spans="1:21" s="11" customFormat="1" x14ac:dyDescent="0.25">
      <c r="A5" s="12">
        <v>44652</v>
      </c>
      <c r="B5" s="2" t="s">
        <v>21</v>
      </c>
      <c r="C5" s="2" t="s">
        <v>27</v>
      </c>
      <c r="D5" s="2" t="s">
        <v>23</v>
      </c>
      <c r="E5" s="2" t="s">
        <v>33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0.71875</v>
      </c>
      <c r="L5" s="4">
        <v>0.54861111111111105</v>
      </c>
      <c r="M5" s="5">
        <v>0.5541666666666667</v>
      </c>
      <c r="N5" s="2" t="s">
        <v>52</v>
      </c>
      <c r="O5" s="2" t="s">
        <v>49</v>
      </c>
      <c r="P5" s="2">
        <v>741</v>
      </c>
      <c r="Q5" s="2">
        <v>772</v>
      </c>
      <c r="R5" s="2">
        <v>0</v>
      </c>
      <c r="S5" s="2">
        <v>0</v>
      </c>
      <c r="T5" s="2">
        <v>0</v>
      </c>
      <c r="U5" s="2">
        <v>0</v>
      </c>
    </row>
    <row r="6" spans="1:21" s="11" customFormat="1" x14ac:dyDescent="0.25">
      <c r="A6" s="12">
        <v>44652</v>
      </c>
      <c r="B6" s="2" t="s">
        <v>21</v>
      </c>
      <c r="C6" s="2" t="s">
        <v>37</v>
      </c>
      <c r="D6" s="2" t="s">
        <v>23</v>
      </c>
      <c r="E6" s="2" t="s">
        <v>43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0.75763888888888886</v>
      </c>
      <c r="L6" s="4">
        <v>0.63888888888888895</v>
      </c>
      <c r="M6" s="5">
        <v>0.6430555555555556</v>
      </c>
      <c r="N6" s="2" t="s">
        <v>53</v>
      </c>
      <c r="O6" s="2" t="s">
        <v>51</v>
      </c>
      <c r="P6" s="2">
        <v>484</v>
      </c>
      <c r="Q6" s="2">
        <v>491</v>
      </c>
      <c r="R6" s="2">
        <v>0</v>
      </c>
      <c r="S6" s="2">
        <v>0</v>
      </c>
      <c r="T6" s="2">
        <v>0</v>
      </c>
      <c r="U6" s="2">
        <v>0</v>
      </c>
    </row>
    <row r="7" spans="1:21" s="11" customFormat="1" x14ac:dyDescent="0.25">
      <c r="A7" s="12">
        <v>44652</v>
      </c>
      <c r="B7" s="2" t="s">
        <v>21</v>
      </c>
      <c r="C7" s="2" t="s">
        <v>34</v>
      </c>
      <c r="D7" s="2" t="s">
        <v>23</v>
      </c>
      <c r="E7" s="2" t="s">
        <v>43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0.98611111111111116</v>
      </c>
      <c r="L7" s="4">
        <v>0.77430555555555547</v>
      </c>
      <c r="M7" s="5">
        <v>0.79861111111111116</v>
      </c>
      <c r="N7" s="2" t="s">
        <v>55</v>
      </c>
      <c r="O7" s="2" t="s">
        <v>54</v>
      </c>
      <c r="P7" s="2">
        <v>1068</v>
      </c>
      <c r="Q7" s="2">
        <v>859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H28" sqref="H28"/>
    </sheetView>
  </sheetViews>
  <sheetFormatPr defaultRowHeight="15" x14ac:dyDescent="0.25"/>
  <cols>
    <col min="3" max="3" width="13.5703125" customWidth="1"/>
    <col min="6" max="6" width="12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44653</v>
      </c>
      <c r="B2" s="2" t="s">
        <v>21</v>
      </c>
      <c r="C2" s="2" t="s">
        <v>56</v>
      </c>
      <c r="D2" s="2" t="s">
        <v>23</v>
      </c>
      <c r="E2" s="2" t="s">
        <v>33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0.46249999999999997</v>
      </c>
      <c r="L2" s="4">
        <v>0.25694444444444448</v>
      </c>
      <c r="M2" s="5">
        <v>0.25972222222222224</v>
      </c>
      <c r="N2" s="2" t="s">
        <v>70</v>
      </c>
      <c r="O2" s="2" t="s">
        <v>68</v>
      </c>
      <c r="P2" s="2">
        <v>404</v>
      </c>
      <c r="Q2" s="2">
        <v>538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44653</v>
      </c>
      <c r="B3" s="2" t="s">
        <v>21</v>
      </c>
      <c r="C3" s="2" t="s">
        <v>57</v>
      </c>
      <c r="D3" s="2" t="s">
        <v>23</v>
      </c>
      <c r="E3" s="2" t="s">
        <v>43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0.47361111111111115</v>
      </c>
      <c r="L3" s="4">
        <v>0.28125</v>
      </c>
      <c r="M3" s="5">
        <v>0.28541666666666665</v>
      </c>
      <c r="N3" s="2" t="s">
        <v>71</v>
      </c>
      <c r="O3" s="2" t="s">
        <v>69</v>
      </c>
      <c r="P3" s="2">
        <v>1345</v>
      </c>
      <c r="Q3" s="2">
        <v>868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44653</v>
      </c>
      <c r="B4" s="2" t="s">
        <v>21</v>
      </c>
      <c r="C4" s="2" t="s">
        <v>58</v>
      </c>
      <c r="D4" s="2" t="s">
        <v>23</v>
      </c>
      <c r="E4" s="2" t="s">
        <v>33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0.90625</v>
      </c>
      <c r="L4" s="4">
        <v>0.48958333333333331</v>
      </c>
      <c r="M4" s="5">
        <v>0.4993055555555555</v>
      </c>
      <c r="N4" s="2" t="s">
        <v>74</v>
      </c>
      <c r="O4" s="2" t="s">
        <v>72</v>
      </c>
      <c r="P4" s="2">
        <v>1042</v>
      </c>
      <c r="Q4" s="2">
        <v>980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44653</v>
      </c>
      <c r="B5" s="2" t="s">
        <v>21</v>
      </c>
      <c r="C5" s="2" t="s">
        <v>59</v>
      </c>
      <c r="D5" s="2" t="s">
        <v>23</v>
      </c>
      <c r="E5" s="2" t="s">
        <v>43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0.89861111111111114</v>
      </c>
      <c r="L5" s="4">
        <v>0.50347222222222221</v>
      </c>
      <c r="M5" s="5">
        <v>0.51111111111111118</v>
      </c>
      <c r="N5" s="2" t="s">
        <v>75</v>
      </c>
      <c r="O5" s="2" t="s">
        <v>73</v>
      </c>
      <c r="P5" s="2">
        <v>790</v>
      </c>
      <c r="Q5" s="2">
        <v>334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M30" sqref="M30"/>
    </sheetView>
  </sheetViews>
  <sheetFormatPr defaultRowHeight="15" x14ac:dyDescent="0.25"/>
  <cols>
    <col min="1" max="1" width="11.28515625" bestFit="1" customWidth="1"/>
    <col min="3" max="3" width="13.5703125" customWidth="1"/>
    <col min="4" max="4" width="8" customWidth="1"/>
    <col min="6" max="6" width="12.2851562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44654</v>
      </c>
      <c r="B2" s="6" t="s">
        <v>21</v>
      </c>
      <c r="C2" s="6" t="s">
        <v>76</v>
      </c>
      <c r="D2" s="6" t="s">
        <v>23</v>
      </c>
      <c r="E2" s="2" t="s">
        <v>33</v>
      </c>
      <c r="F2" s="6" t="s">
        <v>24</v>
      </c>
      <c r="G2" s="14">
        <v>70000</v>
      </c>
      <c r="H2" s="6" t="s">
        <v>77</v>
      </c>
      <c r="I2" s="6" t="s">
        <v>84</v>
      </c>
      <c r="J2" s="7">
        <v>0.61805555555555558</v>
      </c>
      <c r="K2" s="8">
        <v>0.6166666666666667</v>
      </c>
      <c r="L2" s="7">
        <v>0.46527777777777773</v>
      </c>
      <c r="M2" s="9">
        <v>0.46249999999999997</v>
      </c>
      <c r="N2" s="2" t="s">
        <v>87</v>
      </c>
      <c r="O2" s="2" t="s">
        <v>85</v>
      </c>
      <c r="P2" s="10">
        <v>212</v>
      </c>
      <c r="Q2" s="10">
        <v>174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12">
        <v>44654</v>
      </c>
      <c r="B3" s="2" t="s">
        <v>21</v>
      </c>
      <c r="C3" s="2" t="s">
        <v>78</v>
      </c>
      <c r="D3" s="2" t="s">
        <v>23</v>
      </c>
      <c r="E3" s="2" t="s">
        <v>43</v>
      </c>
      <c r="F3" s="2" t="s">
        <v>24</v>
      </c>
      <c r="G3" s="3">
        <v>70000</v>
      </c>
      <c r="H3" s="2" t="s">
        <v>79</v>
      </c>
      <c r="I3" s="2" t="s">
        <v>80</v>
      </c>
      <c r="J3" s="4">
        <v>0.64583333333333337</v>
      </c>
      <c r="K3" s="5">
        <v>0.63750000000000007</v>
      </c>
      <c r="L3" s="4">
        <v>0.48958333333333331</v>
      </c>
      <c r="M3" s="5">
        <v>0.49305555555555558</v>
      </c>
      <c r="N3" s="2" t="s">
        <v>88</v>
      </c>
      <c r="O3" s="2" t="s">
        <v>86</v>
      </c>
      <c r="P3" s="2">
        <v>421</v>
      </c>
      <c r="Q3" s="2">
        <v>534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44654</v>
      </c>
      <c r="B4" s="2" t="s">
        <v>21</v>
      </c>
      <c r="C4" s="2" t="s">
        <v>81</v>
      </c>
      <c r="D4" s="2" t="s">
        <v>23</v>
      </c>
      <c r="E4" s="2" t="s">
        <v>43</v>
      </c>
      <c r="F4" s="2" t="s">
        <v>24</v>
      </c>
      <c r="G4" s="3">
        <v>70000</v>
      </c>
      <c r="H4" s="2" t="s">
        <v>82</v>
      </c>
      <c r="I4" s="2" t="s">
        <v>83</v>
      </c>
      <c r="J4" s="4">
        <v>0.66666666666666663</v>
      </c>
      <c r="K4" s="5">
        <v>0.8979166666666667</v>
      </c>
      <c r="L4" s="4">
        <v>0.90277777777777779</v>
      </c>
      <c r="M4" s="5">
        <v>0.67013888888888884</v>
      </c>
      <c r="N4" s="2" t="s">
        <v>90</v>
      </c>
      <c r="O4" s="2" t="s">
        <v>89</v>
      </c>
      <c r="P4" s="2">
        <v>720</v>
      </c>
      <c r="Q4" s="2">
        <v>885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5"/>
      <c r="M5" s="5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K19" sqref="K19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9.85546875" bestFit="1" customWidth="1"/>
    <col min="4" max="4" width="7.28515625" customWidth="1"/>
    <col min="6" max="6" width="16.85546875" customWidth="1"/>
    <col min="7" max="7" width="9.28515625" bestFit="1" customWidth="1"/>
    <col min="10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44655</v>
      </c>
      <c r="B2" s="2" t="s">
        <v>21</v>
      </c>
      <c r="C2" s="2" t="s">
        <v>30</v>
      </c>
      <c r="D2" s="2" t="s">
        <v>23</v>
      </c>
      <c r="E2" s="2" t="s">
        <v>33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0.43055555555555558</v>
      </c>
      <c r="L2" s="4">
        <v>0.25694444444444448</v>
      </c>
      <c r="M2" s="5">
        <v>0.26597222222222222</v>
      </c>
      <c r="N2" s="2" t="s">
        <v>92</v>
      </c>
      <c r="O2" s="2" t="s">
        <v>91</v>
      </c>
      <c r="P2" s="2">
        <v>793</v>
      </c>
      <c r="Q2" s="2">
        <v>489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44655</v>
      </c>
      <c r="B3" s="2" t="s">
        <v>21</v>
      </c>
      <c r="C3" s="6" t="s">
        <v>40</v>
      </c>
      <c r="D3" s="2" t="s">
        <v>23</v>
      </c>
      <c r="E3" s="2" t="s">
        <v>43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0.52222222222222225</v>
      </c>
      <c r="L3" s="7">
        <v>0.28472222222222221</v>
      </c>
      <c r="M3" s="9">
        <v>0.29305555555555557</v>
      </c>
      <c r="N3" s="2" t="s">
        <v>93</v>
      </c>
      <c r="O3" s="2" t="s">
        <v>94</v>
      </c>
      <c r="P3" s="10">
        <v>666</v>
      </c>
      <c r="Q3" s="10">
        <v>395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44655</v>
      </c>
      <c r="B4" s="2" t="s">
        <v>21</v>
      </c>
      <c r="C4" s="2" t="s">
        <v>22</v>
      </c>
      <c r="D4" s="2" t="s">
        <v>23</v>
      </c>
      <c r="E4" s="2" t="s">
        <v>33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0.61249999999999993</v>
      </c>
      <c r="L4" s="4">
        <v>0.45833333333333331</v>
      </c>
      <c r="M4" s="5">
        <v>0.46736111111111112</v>
      </c>
      <c r="N4" s="2" t="s">
        <v>110</v>
      </c>
      <c r="O4" s="2" t="s">
        <v>95</v>
      </c>
      <c r="P4" s="2">
        <v>625</v>
      </c>
      <c r="Q4" s="2">
        <v>674</v>
      </c>
      <c r="R4" s="2">
        <v>0</v>
      </c>
      <c r="S4" s="2">
        <v>0</v>
      </c>
      <c r="T4" s="2">
        <v>0</v>
      </c>
      <c r="U4" s="2">
        <v>0</v>
      </c>
    </row>
    <row r="5" spans="1:21" s="11" customFormat="1" x14ac:dyDescent="0.25">
      <c r="A5" s="12">
        <v>44655</v>
      </c>
      <c r="B5" s="2" t="s">
        <v>21</v>
      </c>
      <c r="C5" s="2" t="s">
        <v>27</v>
      </c>
      <c r="D5" s="2" t="s">
        <v>23</v>
      </c>
      <c r="E5" s="2" t="s">
        <v>111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0.71458333333333324</v>
      </c>
      <c r="L5" s="4">
        <v>0.54861111111111105</v>
      </c>
      <c r="M5" s="5">
        <v>0.55486111111111114</v>
      </c>
      <c r="N5" s="2" t="s">
        <v>119</v>
      </c>
      <c r="O5" s="2" t="s">
        <v>109</v>
      </c>
      <c r="P5" s="2">
        <v>972</v>
      </c>
      <c r="Q5" s="2">
        <v>609</v>
      </c>
      <c r="R5" s="2">
        <v>0</v>
      </c>
      <c r="S5" s="2">
        <v>0</v>
      </c>
      <c r="T5" s="2">
        <v>0</v>
      </c>
      <c r="U5" s="2">
        <v>0</v>
      </c>
    </row>
    <row r="6" spans="1:21" s="11" customFormat="1" x14ac:dyDescent="0.25">
      <c r="A6" s="12">
        <v>44655</v>
      </c>
      <c r="B6" s="2" t="s">
        <v>21</v>
      </c>
      <c r="C6" s="2" t="s">
        <v>37</v>
      </c>
      <c r="D6" s="2" t="s">
        <v>23</v>
      </c>
      <c r="E6" s="2" t="s">
        <v>33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0.75694444444444453</v>
      </c>
      <c r="L6" s="4">
        <v>0.63888888888888895</v>
      </c>
      <c r="M6" s="5">
        <v>0.64930555555555558</v>
      </c>
      <c r="N6" s="2" t="s">
        <v>120</v>
      </c>
      <c r="O6" s="2" t="s">
        <v>112</v>
      </c>
      <c r="P6" s="2">
        <v>329</v>
      </c>
      <c r="Q6" s="2">
        <v>279</v>
      </c>
      <c r="R6" s="2">
        <v>0</v>
      </c>
      <c r="S6" s="2">
        <v>0</v>
      </c>
      <c r="T6" s="2">
        <v>0</v>
      </c>
      <c r="U6" s="2">
        <v>0</v>
      </c>
    </row>
    <row r="7" spans="1:21" s="11" customFormat="1" x14ac:dyDescent="0.25">
      <c r="A7" s="12">
        <v>44655</v>
      </c>
      <c r="B7" s="2" t="s">
        <v>21</v>
      </c>
      <c r="C7" s="2" t="s">
        <v>34</v>
      </c>
      <c r="D7" s="2" t="s">
        <v>23</v>
      </c>
      <c r="E7" s="2" t="s">
        <v>33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0.95833333333333337</v>
      </c>
      <c r="L7" s="4">
        <v>0.77430555555555547</v>
      </c>
      <c r="M7" s="5">
        <v>0.78749999999999998</v>
      </c>
      <c r="N7" s="2" t="s">
        <v>122</v>
      </c>
      <c r="O7" s="2" t="s">
        <v>121</v>
      </c>
      <c r="P7" s="2">
        <v>1208</v>
      </c>
      <c r="Q7" s="2">
        <v>405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44655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100</v>
      </c>
      <c r="G8" s="2">
        <v>2760</v>
      </c>
      <c r="H8" s="2" t="s">
        <v>101</v>
      </c>
      <c r="I8" s="2" t="s">
        <v>101</v>
      </c>
      <c r="J8" s="4">
        <v>0.44444444444444442</v>
      </c>
      <c r="K8" s="5">
        <v>0.45763888888888887</v>
      </c>
      <c r="L8" s="4">
        <v>0.52777777777777779</v>
      </c>
      <c r="M8" s="5">
        <v>0.4770833333333333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15" customFormat="1" ht="12.75" x14ac:dyDescent="0.2">
      <c r="A9" s="12">
        <v>44655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>
        <v>33800</v>
      </c>
      <c r="H9" s="2" t="s">
        <v>107</v>
      </c>
      <c r="I9" s="2" t="s">
        <v>107</v>
      </c>
      <c r="J9" s="4">
        <v>0.48958333333333331</v>
      </c>
      <c r="K9" s="5">
        <v>0.52708333333333335</v>
      </c>
      <c r="L9" s="4">
        <v>0.70833333333333337</v>
      </c>
      <c r="M9" s="5">
        <v>0.71250000000000002</v>
      </c>
      <c r="N9" s="2" t="s">
        <v>108</v>
      </c>
      <c r="O9" s="2">
        <v>10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2">
        <v>44655</v>
      </c>
      <c r="B10" s="2" t="s">
        <v>113</v>
      </c>
      <c r="C10" s="2" t="s">
        <v>114</v>
      </c>
      <c r="D10" s="2" t="s">
        <v>115</v>
      </c>
      <c r="E10" s="2" t="s">
        <v>116</v>
      </c>
      <c r="F10" s="2" t="s">
        <v>117</v>
      </c>
      <c r="G10" s="2">
        <v>1814</v>
      </c>
      <c r="H10" s="2" t="s">
        <v>116</v>
      </c>
      <c r="I10" s="2" t="s">
        <v>118</v>
      </c>
      <c r="J10" s="4">
        <v>0.86111111111111116</v>
      </c>
      <c r="K10" s="5">
        <v>0.86458333333333337</v>
      </c>
      <c r="L10" s="2" t="s">
        <v>118</v>
      </c>
      <c r="M10" s="2" t="s">
        <v>118</v>
      </c>
      <c r="N10" s="2">
        <v>4</v>
      </c>
      <c r="O10" s="2" t="s">
        <v>118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I13" sqref="I13"/>
    </sheetView>
  </sheetViews>
  <sheetFormatPr defaultRowHeight="15" x14ac:dyDescent="0.25"/>
  <cols>
    <col min="1" max="1" width="9.85546875" bestFit="1" customWidth="1"/>
    <col min="2" max="2" width="12.42578125" customWidth="1"/>
    <col min="3" max="3" width="13.5703125" customWidth="1"/>
    <col min="6" max="6" width="16.71093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44656</v>
      </c>
      <c r="B2" s="2" t="s">
        <v>21</v>
      </c>
      <c r="C2" s="2" t="s">
        <v>56</v>
      </c>
      <c r="D2" s="2" t="s">
        <v>23</v>
      </c>
      <c r="E2" s="2" t="s">
        <v>123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0.4465277777777778</v>
      </c>
      <c r="L2" s="4">
        <v>0.25694444444444448</v>
      </c>
      <c r="M2" s="5">
        <v>0.25486111111111109</v>
      </c>
      <c r="N2" s="2" t="s">
        <v>126</v>
      </c>
      <c r="O2" s="2" t="s">
        <v>124</v>
      </c>
      <c r="P2" s="2">
        <v>376</v>
      </c>
      <c r="Q2" s="2">
        <v>228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44656</v>
      </c>
      <c r="B3" s="2" t="s">
        <v>21</v>
      </c>
      <c r="C3" s="2" t="s">
        <v>57</v>
      </c>
      <c r="D3" s="2" t="s">
        <v>23</v>
      </c>
      <c r="E3" s="2" t="s">
        <v>33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0.4861111111111111</v>
      </c>
      <c r="L3" s="4">
        <v>0.28125</v>
      </c>
      <c r="M3" s="5">
        <v>0.28819444444444448</v>
      </c>
      <c r="N3" s="2" t="s">
        <v>127</v>
      </c>
      <c r="O3" s="2" t="s">
        <v>125</v>
      </c>
      <c r="P3" s="2">
        <v>1080</v>
      </c>
      <c r="Q3" s="2">
        <v>446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44656</v>
      </c>
      <c r="B4" s="2" t="s">
        <v>21</v>
      </c>
      <c r="C4" s="2" t="s">
        <v>58</v>
      </c>
      <c r="D4" s="2" t="s">
        <v>23</v>
      </c>
      <c r="E4" s="2" t="s">
        <v>123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0.91736111111111107</v>
      </c>
      <c r="L4" s="4">
        <v>0.48958333333333331</v>
      </c>
      <c r="M4" s="5">
        <v>0.49513888888888885</v>
      </c>
      <c r="N4" s="2" t="s">
        <v>138</v>
      </c>
      <c r="O4" s="2" t="s">
        <v>128</v>
      </c>
      <c r="P4" s="2">
        <v>829</v>
      </c>
      <c r="Q4" s="2">
        <v>413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44656</v>
      </c>
      <c r="B5" s="2" t="s">
        <v>21</v>
      </c>
      <c r="C5" s="2" t="s">
        <v>59</v>
      </c>
      <c r="D5" s="2" t="s">
        <v>23</v>
      </c>
      <c r="E5" s="2" t="s">
        <v>33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0.92152777777777783</v>
      </c>
      <c r="L5" s="4">
        <v>0.50347222222222221</v>
      </c>
      <c r="M5" s="5">
        <v>0.52777777777777779</v>
      </c>
      <c r="N5" s="2" t="s">
        <v>139</v>
      </c>
      <c r="O5" s="2" t="s">
        <v>129</v>
      </c>
      <c r="P5" s="2">
        <v>241</v>
      </c>
      <c r="Q5" s="2">
        <v>184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44656</v>
      </c>
      <c r="B6" s="2" t="s">
        <v>113</v>
      </c>
      <c r="C6" s="2" t="s">
        <v>130</v>
      </c>
      <c r="D6" s="2" t="s">
        <v>115</v>
      </c>
      <c r="E6" s="2" t="s">
        <v>116</v>
      </c>
      <c r="F6" s="2" t="s">
        <v>117</v>
      </c>
      <c r="G6" s="2">
        <v>1814</v>
      </c>
      <c r="H6" s="2" t="s">
        <v>118</v>
      </c>
      <c r="I6" s="2" t="s">
        <v>116</v>
      </c>
      <c r="J6" s="2" t="s">
        <v>118</v>
      </c>
      <c r="K6" s="2" t="s">
        <v>118</v>
      </c>
      <c r="L6" s="4">
        <v>0.58333333333333337</v>
      </c>
      <c r="M6" s="5">
        <v>0.58472222222222225</v>
      </c>
      <c r="N6" s="2" t="s">
        <v>118</v>
      </c>
      <c r="O6" s="2">
        <v>4</v>
      </c>
      <c r="P6" s="2" t="s">
        <v>118</v>
      </c>
      <c r="Q6" s="2" t="s">
        <v>118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44656</v>
      </c>
      <c r="B7" s="2" t="s">
        <v>21</v>
      </c>
      <c r="C7" s="2" t="s">
        <v>131</v>
      </c>
      <c r="D7" s="2" t="s">
        <v>132</v>
      </c>
      <c r="E7" s="2" t="s">
        <v>133</v>
      </c>
      <c r="F7" s="2" t="s">
        <v>117</v>
      </c>
      <c r="G7" s="2">
        <v>89000</v>
      </c>
      <c r="H7" s="2" t="s">
        <v>134</v>
      </c>
      <c r="I7" s="2" t="s">
        <v>135</v>
      </c>
      <c r="J7" s="2" t="s">
        <v>118</v>
      </c>
      <c r="K7" s="5">
        <v>0.73888888888888893</v>
      </c>
      <c r="L7" s="4">
        <v>0.77083333333333337</v>
      </c>
      <c r="M7" s="5">
        <v>0.7909722222222223</v>
      </c>
      <c r="N7" s="2" t="s">
        <v>136</v>
      </c>
      <c r="O7" s="2" t="s">
        <v>137</v>
      </c>
      <c r="P7" s="2">
        <v>601</v>
      </c>
      <c r="Q7" s="2" t="s">
        <v>118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/>
      <c r="B8" s="2"/>
      <c r="C8" s="2"/>
      <c r="D8" s="2"/>
      <c r="E8" s="2"/>
      <c r="F8" s="2"/>
      <c r="G8" s="2"/>
      <c r="H8" s="2"/>
      <c r="I8" s="2"/>
      <c r="J8" s="5"/>
      <c r="K8" s="2"/>
      <c r="L8" s="5"/>
      <c r="M8" s="5"/>
      <c r="N8" s="2"/>
      <c r="O8" s="2"/>
      <c r="P8" s="2"/>
      <c r="Q8" s="2"/>
      <c r="R8" s="2"/>
      <c r="S8" s="2"/>
      <c r="T8" s="2"/>
      <c r="U8" s="2"/>
    </row>
    <row r="9" spans="1:21" x14ac:dyDescent="0.25">
      <c r="A9" s="12"/>
      <c r="B9" s="2"/>
      <c r="C9" s="2"/>
      <c r="D9" s="2"/>
      <c r="E9" s="2"/>
      <c r="F9" s="2"/>
      <c r="G9" s="2"/>
      <c r="H9" s="2"/>
      <c r="I9" s="2"/>
      <c r="J9" s="5"/>
      <c r="K9" s="2"/>
      <c r="L9" s="5"/>
      <c r="M9" s="5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B17" sqref="B17"/>
    </sheetView>
  </sheetViews>
  <sheetFormatPr defaultRowHeight="15" x14ac:dyDescent="0.25"/>
  <cols>
    <col min="2" max="2" width="22" customWidth="1"/>
    <col min="3" max="3" width="13" customWidth="1"/>
    <col min="4" max="4" width="7.7109375" customWidth="1"/>
    <col min="5" max="5" width="15.28515625" customWidth="1"/>
    <col min="6" max="6" width="17" customWidth="1"/>
    <col min="14" max="15" width="11.42578125" customWidth="1"/>
    <col min="16" max="1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44657</v>
      </c>
      <c r="B2" s="2" t="s">
        <v>21</v>
      </c>
      <c r="C2" s="2" t="s">
        <v>22</v>
      </c>
      <c r="D2" s="2" t="s">
        <v>23</v>
      </c>
      <c r="E2" s="2" t="s">
        <v>43</v>
      </c>
      <c r="F2" s="2" t="s">
        <v>24</v>
      </c>
      <c r="G2" s="3">
        <v>70000</v>
      </c>
      <c r="H2" s="2" t="s">
        <v>25</v>
      </c>
      <c r="I2" s="2" t="s">
        <v>26</v>
      </c>
      <c r="J2" s="4">
        <v>0.59722222222222221</v>
      </c>
      <c r="K2" s="5">
        <v>0.58194444444444449</v>
      </c>
      <c r="L2" s="4">
        <v>0.44791666666666669</v>
      </c>
      <c r="M2" s="5">
        <v>0.45</v>
      </c>
      <c r="N2" s="2" t="s">
        <v>142</v>
      </c>
      <c r="O2" s="2" t="s">
        <v>140</v>
      </c>
      <c r="P2" s="2">
        <v>880</v>
      </c>
      <c r="Q2" s="2">
        <v>590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44657</v>
      </c>
      <c r="B3" s="2" t="s">
        <v>21</v>
      </c>
      <c r="C3" s="2" t="s">
        <v>78</v>
      </c>
      <c r="D3" s="2" t="s">
        <v>23</v>
      </c>
      <c r="E3" s="2" t="s">
        <v>143</v>
      </c>
      <c r="F3" s="2" t="s">
        <v>24</v>
      </c>
      <c r="G3" s="3">
        <v>70000</v>
      </c>
      <c r="H3" s="2" t="s">
        <v>79</v>
      </c>
      <c r="I3" s="2" t="s">
        <v>80</v>
      </c>
      <c r="J3" s="4">
        <v>0.69791666666666663</v>
      </c>
      <c r="K3" s="5">
        <v>0.68263888888888891</v>
      </c>
      <c r="L3" s="4">
        <v>0.54166666666666663</v>
      </c>
      <c r="M3" s="5">
        <v>0.53819444444444442</v>
      </c>
      <c r="N3" s="2" t="s">
        <v>144</v>
      </c>
      <c r="O3" s="2" t="s">
        <v>141</v>
      </c>
      <c r="P3" s="2">
        <v>186</v>
      </c>
      <c r="Q3" s="2">
        <v>170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44657</v>
      </c>
      <c r="B4" s="2" t="s">
        <v>21</v>
      </c>
      <c r="C4" s="16" t="s">
        <v>27</v>
      </c>
      <c r="D4" s="2" t="s">
        <v>23</v>
      </c>
      <c r="E4" s="16" t="s">
        <v>33</v>
      </c>
      <c r="F4" s="2" t="s">
        <v>24</v>
      </c>
      <c r="G4" s="3">
        <v>70000</v>
      </c>
      <c r="H4" s="16" t="s">
        <v>28</v>
      </c>
      <c r="I4" s="16" t="s">
        <v>29</v>
      </c>
      <c r="J4" s="17">
        <v>0.88888888888888884</v>
      </c>
      <c r="K4" s="18">
        <v>0.88402777777777775</v>
      </c>
      <c r="L4" s="17">
        <v>0.72222222222222221</v>
      </c>
      <c r="M4" s="18">
        <v>0.72916666666666663</v>
      </c>
      <c r="N4" s="16" t="s">
        <v>145</v>
      </c>
      <c r="O4" s="16" t="s">
        <v>146</v>
      </c>
      <c r="P4" s="16">
        <v>987</v>
      </c>
      <c r="Q4" s="16">
        <v>236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2"/>
      <c r="B5" s="2"/>
      <c r="C5" s="2"/>
      <c r="D5" s="2"/>
      <c r="E5" s="2"/>
      <c r="F5" s="2"/>
      <c r="G5" s="3"/>
      <c r="H5" s="2"/>
      <c r="I5" s="2"/>
      <c r="J5" s="4"/>
      <c r="K5" s="5"/>
      <c r="L5" s="5"/>
      <c r="M5" s="5"/>
      <c r="N5" s="2"/>
      <c r="O5" s="2"/>
      <c r="P5" s="2"/>
      <c r="Q5" s="2"/>
      <c r="R5" s="2"/>
      <c r="S5" s="2"/>
      <c r="T5" s="2"/>
      <c r="U5" s="2"/>
    </row>
    <row r="6" spans="1:21" x14ac:dyDescent="0.25">
      <c r="A6" s="12"/>
      <c r="B6" s="2"/>
      <c r="C6" s="2"/>
      <c r="D6" s="2"/>
      <c r="E6" s="2"/>
      <c r="F6" s="2"/>
      <c r="G6" s="2"/>
      <c r="H6" s="2"/>
      <c r="I6" s="2"/>
      <c r="J6" s="4"/>
      <c r="K6" s="5"/>
      <c r="L6" s="5"/>
      <c r="M6" s="5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L36" sqref="L36"/>
    </sheetView>
  </sheetViews>
  <sheetFormatPr defaultRowHeight="15" x14ac:dyDescent="0.25"/>
  <cols>
    <col min="3" max="3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44658</v>
      </c>
      <c r="B2" s="2" t="s">
        <v>21</v>
      </c>
      <c r="C2" s="2" t="s">
        <v>150</v>
      </c>
      <c r="D2" s="2" t="s">
        <v>23</v>
      </c>
      <c r="E2" s="2" t="s">
        <v>147</v>
      </c>
      <c r="F2" s="2" t="s">
        <v>24</v>
      </c>
      <c r="G2" s="3">
        <v>70000</v>
      </c>
      <c r="H2" s="2" t="s">
        <v>61</v>
      </c>
      <c r="I2" s="2" t="s">
        <v>66</v>
      </c>
      <c r="J2" s="4">
        <v>0.46527777777777773</v>
      </c>
      <c r="K2" s="5">
        <v>0.4604166666666667</v>
      </c>
      <c r="L2" s="5">
        <v>0.48958333333333331</v>
      </c>
      <c r="M2" s="5">
        <v>0.5</v>
      </c>
      <c r="N2" s="2" t="s">
        <v>148</v>
      </c>
      <c r="O2" s="2" t="s">
        <v>149</v>
      </c>
      <c r="P2" s="2">
        <v>837</v>
      </c>
      <c r="Q2" s="2">
        <v>442</v>
      </c>
      <c r="R2" s="2">
        <v>0</v>
      </c>
      <c r="S2" s="2">
        <v>0</v>
      </c>
      <c r="T2" s="2">
        <v>0</v>
      </c>
      <c r="U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"/>
    </sheetView>
  </sheetViews>
  <sheetFormatPr defaultRowHeight="15" x14ac:dyDescent="0.25"/>
  <cols>
    <col min="3" max="3" width="14.7109375" customWidth="1"/>
    <col min="6" max="6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44659</v>
      </c>
      <c r="B2" s="2" t="s">
        <v>21</v>
      </c>
      <c r="C2" s="2" t="s">
        <v>30</v>
      </c>
      <c r="D2" s="2" t="s">
        <v>23</v>
      </c>
      <c r="E2" s="2" t="s">
        <v>33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0.43888888888888888</v>
      </c>
      <c r="L2" s="4">
        <v>0.25694444444444448</v>
      </c>
      <c r="M2" s="5">
        <v>0.25555555555555559</v>
      </c>
      <c r="N2" s="2" t="s">
        <v>153</v>
      </c>
      <c r="O2" s="2" t="s">
        <v>151</v>
      </c>
      <c r="P2" s="2">
        <v>808</v>
      </c>
      <c r="Q2" s="2">
        <v>524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44659</v>
      </c>
      <c r="B3" s="2" t="s">
        <v>21</v>
      </c>
      <c r="C3" s="6" t="s">
        <v>40</v>
      </c>
      <c r="D3" s="2" t="s">
        <v>23</v>
      </c>
      <c r="E3" s="2" t="s">
        <v>123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0.53055555555555556</v>
      </c>
      <c r="L3" s="7">
        <v>0.28472222222222221</v>
      </c>
      <c r="M3" s="9">
        <v>0.28958333333333336</v>
      </c>
      <c r="N3" s="2" t="s">
        <v>52</v>
      </c>
      <c r="O3" s="2" t="s">
        <v>152</v>
      </c>
      <c r="P3" s="10">
        <v>800</v>
      </c>
      <c r="Q3" s="10">
        <v>716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44659</v>
      </c>
      <c r="B4" s="2" t="s">
        <v>21</v>
      </c>
      <c r="C4" s="2" t="s">
        <v>22</v>
      </c>
      <c r="D4" s="2" t="s">
        <v>23</v>
      </c>
      <c r="E4" s="2" t="s">
        <v>33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0.61111111111111105</v>
      </c>
      <c r="L4" s="4">
        <v>0.45833333333333331</v>
      </c>
      <c r="M4" s="5">
        <v>0.47152777777777777</v>
      </c>
      <c r="N4" s="2" t="s">
        <v>155</v>
      </c>
      <c r="O4" s="2" t="s">
        <v>154</v>
      </c>
      <c r="P4" s="2">
        <v>835</v>
      </c>
      <c r="Q4" s="2">
        <v>542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44659</v>
      </c>
      <c r="B5" s="2" t="s">
        <v>21</v>
      </c>
      <c r="C5" s="2" t="s">
        <v>27</v>
      </c>
      <c r="D5" s="2" t="s">
        <v>23</v>
      </c>
      <c r="E5" s="2" t="s">
        <v>123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0.75694444444444453</v>
      </c>
      <c r="L5" s="4">
        <v>0.54861111111111105</v>
      </c>
      <c r="M5" s="5">
        <v>0.57777777777777783</v>
      </c>
      <c r="N5" s="2" t="s">
        <v>158</v>
      </c>
      <c r="O5" s="2" t="s">
        <v>156</v>
      </c>
      <c r="P5" s="2">
        <v>924</v>
      </c>
      <c r="Q5" s="2">
        <v>522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44659</v>
      </c>
      <c r="B6" s="2" t="s">
        <v>21</v>
      </c>
      <c r="C6" s="2" t="s">
        <v>37</v>
      </c>
      <c r="D6" s="2" t="s">
        <v>23</v>
      </c>
      <c r="E6" s="2" t="s">
        <v>33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0.76666666666666661</v>
      </c>
      <c r="L6" s="4">
        <v>0.63888888888888895</v>
      </c>
      <c r="M6" s="5">
        <v>0.6430555555555556</v>
      </c>
      <c r="N6" s="2" t="s">
        <v>159</v>
      </c>
      <c r="O6" s="2" t="s">
        <v>157</v>
      </c>
      <c r="P6" s="2">
        <v>959</v>
      </c>
      <c r="Q6" s="2">
        <v>293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44659</v>
      </c>
      <c r="B7" s="2" t="s">
        <v>21</v>
      </c>
      <c r="C7" s="2" t="s">
        <v>34</v>
      </c>
      <c r="D7" s="2" t="s">
        <v>23</v>
      </c>
      <c r="E7" s="2" t="s">
        <v>33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3.472222222222222E-3</v>
      </c>
      <c r="L7" s="4">
        <v>0.77430555555555547</v>
      </c>
      <c r="M7" s="5">
        <v>0.80208333333333337</v>
      </c>
      <c r="N7" s="2" t="s">
        <v>161</v>
      </c>
      <c r="O7" s="2" t="s">
        <v>160</v>
      </c>
      <c r="P7" s="2">
        <v>803</v>
      </c>
      <c r="Q7" s="2">
        <v>875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C2" sqref="C2:U2"/>
    </sheetView>
  </sheetViews>
  <sheetFormatPr defaultRowHeight="15" x14ac:dyDescent="0.25"/>
  <cols>
    <col min="3" max="3" width="13.28515625" customWidth="1"/>
    <col min="4" max="4" width="7.140625" customWidth="1"/>
    <col min="5" max="5" width="11" customWidth="1"/>
    <col min="6" max="6" width="12.5703125" customWidth="1"/>
    <col min="7" max="7" width="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44660</v>
      </c>
      <c r="B2" s="2" t="s">
        <v>21</v>
      </c>
      <c r="C2" s="2" t="s">
        <v>56</v>
      </c>
      <c r="D2" s="2" t="s">
        <v>23</v>
      </c>
      <c r="E2" s="2" t="s">
        <v>33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0.4548611111111111</v>
      </c>
      <c r="L2" s="4">
        <v>0.25694444444444448</v>
      </c>
      <c r="M2" s="5">
        <v>0.25625000000000003</v>
      </c>
      <c r="N2" s="2" t="s">
        <v>165</v>
      </c>
      <c r="O2" s="2" t="s">
        <v>163</v>
      </c>
      <c r="P2" s="2">
        <v>863</v>
      </c>
      <c r="Q2" s="2">
        <v>578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44660</v>
      </c>
      <c r="B3" s="2" t="s">
        <v>21</v>
      </c>
      <c r="C3" s="2" t="s">
        <v>57</v>
      </c>
      <c r="D3" s="2" t="s">
        <v>23</v>
      </c>
      <c r="E3" s="2" t="s">
        <v>123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0.55208333333333337</v>
      </c>
      <c r="L3" s="4">
        <v>0.28125</v>
      </c>
      <c r="M3" s="5">
        <v>0.36458333333333331</v>
      </c>
      <c r="N3" s="2" t="s">
        <v>166</v>
      </c>
      <c r="O3" s="2" t="s">
        <v>164</v>
      </c>
      <c r="P3" s="2">
        <v>1074</v>
      </c>
      <c r="Q3" s="2">
        <v>404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44660</v>
      </c>
      <c r="B4" s="2" t="s">
        <v>21</v>
      </c>
      <c r="C4" s="2" t="s">
        <v>58</v>
      </c>
      <c r="D4" s="2" t="s">
        <v>23</v>
      </c>
      <c r="E4" s="2" t="s">
        <v>162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0.94166666666666676</v>
      </c>
      <c r="L4" s="4">
        <v>0.48958333333333331</v>
      </c>
      <c r="M4" s="5">
        <v>0.50694444444444442</v>
      </c>
      <c r="N4" s="2" t="s">
        <v>165</v>
      </c>
      <c r="O4" s="2" t="s">
        <v>167</v>
      </c>
      <c r="P4" s="2">
        <v>1151</v>
      </c>
      <c r="Q4" s="2">
        <v>876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44660</v>
      </c>
      <c r="B5" s="2" t="s">
        <v>21</v>
      </c>
      <c r="C5" s="2" t="s">
        <v>59</v>
      </c>
      <c r="D5" s="2" t="s">
        <v>23</v>
      </c>
      <c r="E5" s="2" t="s">
        <v>123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0.9506944444444444</v>
      </c>
      <c r="L5" s="4">
        <v>0.50347222222222221</v>
      </c>
      <c r="M5" s="5">
        <v>0.59236111111111112</v>
      </c>
      <c r="N5" s="2" t="s">
        <v>169</v>
      </c>
      <c r="O5" s="2" t="s">
        <v>168</v>
      </c>
      <c r="P5" s="2">
        <v>868</v>
      </c>
      <c r="Q5" s="2">
        <v>533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D1" workbookViewId="0">
      <selection activeCell="B3" sqref="B3:U3"/>
    </sheetView>
  </sheetViews>
  <sheetFormatPr defaultRowHeight="15" x14ac:dyDescent="0.25"/>
  <cols>
    <col min="3" max="3" width="14.28515625" customWidth="1"/>
    <col min="4" max="4" width="6.140625" customWidth="1"/>
    <col min="6" max="6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44661</v>
      </c>
      <c r="B2" s="6" t="s">
        <v>21</v>
      </c>
      <c r="C2" s="6" t="s">
        <v>76</v>
      </c>
      <c r="D2" s="6" t="s">
        <v>23</v>
      </c>
      <c r="E2" s="2" t="s">
        <v>123</v>
      </c>
      <c r="F2" s="6" t="s">
        <v>24</v>
      </c>
      <c r="G2" s="14">
        <v>70000</v>
      </c>
      <c r="H2" s="6" t="s">
        <v>77</v>
      </c>
      <c r="I2" s="6" t="s">
        <v>84</v>
      </c>
      <c r="J2" s="7">
        <v>0.61805555555555558</v>
      </c>
      <c r="K2" s="8">
        <v>0.63124999999999998</v>
      </c>
      <c r="L2" s="7">
        <v>0.46527777777777773</v>
      </c>
      <c r="M2" s="9">
        <v>0.47430555555555554</v>
      </c>
      <c r="N2" s="2" t="s">
        <v>173</v>
      </c>
      <c r="O2" s="2" t="s">
        <v>171</v>
      </c>
      <c r="P2" s="10">
        <v>278</v>
      </c>
      <c r="Q2" s="10">
        <v>246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12">
        <v>44661</v>
      </c>
      <c r="B3" s="2" t="s">
        <v>21</v>
      </c>
      <c r="C3" s="2" t="s">
        <v>78</v>
      </c>
      <c r="D3" s="2" t="s">
        <v>23</v>
      </c>
      <c r="E3" s="2" t="s">
        <v>170</v>
      </c>
      <c r="F3" s="2" t="s">
        <v>24</v>
      </c>
      <c r="G3" s="3">
        <v>70000</v>
      </c>
      <c r="H3" s="2" t="s">
        <v>79</v>
      </c>
      <c r="I3" s="2" t="s">
        <v>80</v>
      </c>
      <c r="J3" s="4">
        <v>0.64583333333333337</v>
      </c>
      <c r="K3" s="5">
        <v>0.66875000000000007</v>
      </c>
      <c r="L3" s="4">
        <v>0.48958333333333331</v>
      </c>
      <c r="M3" s="5">
        <v>0.52638888888888891</v>
      </c>
      <c r="N3" s="2" t="s">
        <v>174</v>
      </c>
      <c r="O3" s="2" t="s">
        <v>172</v>
      </c>
      <c r="P3" s="2">
        <v>473</v>
      </c>
      <c r="Q3" s="2">
        <v>290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44661</v>
      </c>
      <c r="B4" s="2" t="s">
        <v>21</v>
      </c>
      <c r="C4" s="2" t="s">
        <v>81</v>
      </c>
      <c r="D4" s="2" t="s">
        <v>23</v>
      </c>
      <c r="E4" s="2" t="s">
        <v>170</v>
      </c>
      <c r="F4" s="2" t="s">
        <v>24</v>
      </c>
      <c r="G4" s="3">
        <v>70000</v>
      </c>
      <c r="H4" s="2" t="s">
        <v>82</v>
      </c>
      <c r="I4" s="2" t="s">
        <v>83</v>
      </c>
      <c r="J4" s="4">
        <v>0.90277777777777779</v>
      </c>
      <c r="K4" s="5">
        <v>0.92847222222222225</v>
      </c>
      <c r="L4" s="4">
        <v>0.66666666666666663</v>
      </c>
      <c r="M4" s="5">
        <v>0.70347222222222217</v>
      </c>
      <c r="N4" s="2" t="s">
        <v>167</v>
      </c>
      <c r="O4" s="2" t="s">
        <v>175</v>
      </c>
      <c r="P4" s="2">
        <v>843</v>
      </c>
      <c r="Q4" s="2">
        <v>801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5"/>
      <c r="M5" s="5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3" sqref="M3"/>
    </sheetView>
  </sheetViews>
  <sheetFormatPr defaultRowHeight="15" x14ac:dyDescent="0.25"/>
  <cols>
    <col min="3" max="3" width="13.7109375" customWidth="1"/>
    <col min="4" max="4" width="7.85546875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44662</v>
      </c>
      <c r="B2" s="2" t="s">
        <v>21</v>
      </c>
      <c r="C2" s="2" t="s">
        <v>30</v>
      </c>
      <c r="D2" s="2" t="s">
        <v>23</v>
      </c>
      <c r="E2" s="2" t="s">
        <v>170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0.47152777777777777</v>
      </c>
      <c r="L2" s="4">
        <v>0.25694444444444448</v>
      </c>
      <c r="M2" s="5">
        <v>0.30208333333333331</v>
      </c>
      <c r="N2" s="2" t="s">
        <v>54</v>
      </c>
      <c r="O2" s="2" t="s">
        <v>177</v>
      </c>
      <c r="P2" s="2">
        <v>705</v>
      </c>
      <c r="Q2" s="2">
        <v>335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44662</v>
      </c>
      <c r="B3" s="2" t="s">
        <v>21</v>
      </c>
      <c r="C3" s="6" t="s">
        <v>40</v>
      </c>
      <c r="D3" s="2" t="s">
        <v>23</v>
      </c>
      <c r="E3" s="2" t="s">
        <v>123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0.52152777777777781</v>
      </c>
      <c r="L3" s="7">
        <v>0.28472222222222221</v>
      </c>
      <c r="M3" s="9">
        <v>0.29652777777777778</v>
      </c>
      <c r="N3" s="2" t="s">
        <v>180</v>
      </c>
      <c r="O3" s="2" t="s">
        <v>178</v>
      </c>
      <c r="P3" s="10">
        <v>312</v>
      </c>
      <c r="Q3" s="10">
        <v>291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44662</v>
      </c>
      <c r="B4" s="2" t="s">
        <v>21</v>
      </c>
      <c r="C4" s="2" t="s">
        <v>22</v>
      </c>
      <c r="D4" s="2" t="s">
        <v>23</v>
      </c>
      <c r="E4" s="2" t="s">
        <v>170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0.64374999999999993</v>
      </c>
      <c r="L4" s="4">
        <v>0.45833333333333331</v>
      </c>
      <c r="M4" s="5">
        <v>0.5083333333333333</v>
      </c>
      <c r="N4" s="2" t="s">
        <v>153</v>
      </c>
      <c r="O4" s="2" t="s">
        <v>179</v>
      </c>
      <c r="P4" s="2">
        <v>822</v>
      </c>
      <c r="Q4" s="2">
        <v>484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44662</v>
      </c>
      <c r="B5" s="2" t="s">
        <v>21</v>
      </c>
      <c r="C5" s="2" t="s">
        <v>27</v>
      </c>
      <c r="D5" s="2" t="s">
        <v>23</v>
      </c>
      <c r="E5" s="2" t="s">
        <v>176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0.71597222222222223</v>
      </c>
      <c r="L5" s="4">
        <v>0.54861111111111105</v>
      </c>
      <c r="M5" s="5">
        <f>L5</f>
        <v>0.54861111111111105</v>
      </c>
      <c r="N5" s="2" t="s">
        <v>183</v>
      </c>
      <c r="O5" s="2" t="s">
        <v>181</v>
      </c>
      <c r="P5" s="2">
        <v>1114</v>
      </c>
      <c r="Q5" s="2">
        <v>622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44662</v>
      </c>
      <c r="B6" s="2" t="s">
        <v>21</v>
      </c>
      <c r="C6" s="2" t="s">
        <v>37</v>
      </c>
      <c r="D6" s="2" t="s">
        <v>23</v>
      </c>
      <c r="E6" s="2" t="s">
        <v>170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0.7895833333333333</v>
      </c>
      <c r="L6" s="4">
        <v>0.63888888888888895</v>
      </c>
      <c r="M6" s="5">
        <v>0.67847222222222225</v>
      </c>
      <c r="N6" s="2" t="s">
        <v>184</v>
      </c>
      <c r="O6" s="2" t="s">
        <v>182</v>
      </c>
      <c r="P6" s="2">
        <v>587</v>
      </c>
      <c r="Q6" s="2">
        <v>75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44662</v>
      </c>
      <c r="B7" s="2" t="s">
        <v>21</v>
      </c>
      <c r="C7" s="2" t="s">
        <v>34</v>
      </c>
      <c r="D7" s="2" t="s">
        <v>23</v>
      </c>
      <c r="E7" s="2" t="s">
        <v>170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0.9902777777777777</v>
      </c>
      <c r="L7" s="4">
        <v>0.77430555555555547</v>
      </c>
      <c r="M7" s="5">
        <v>0.81736111111111109</v>
      </c>
      <c r="N7" s="2" t="s">
        <v>186</v>
      </c>
      <c r="O7" s="2" t="s">
        <v>185</v>
      </c>
      <c r="P7" s="2">
        <v>731</v>
      </c>
      <c r="Q7" s="2">
        <v>513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140625" customWidth="1"/>
    <col min="4" max="4" width="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44663</v>
      </c>
      <c r="B2" s="2" t="s">
        <v>21</v>
      </c>
      <c r="C2" s="2" t="s">
        <v>56</v>
      </c>
      <c r="D2" s="2" t="s">
        <v>23</v>
      </c>
      <c r="E2" s="2" t="s">
        <v>43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0.46527777777777773</v>
      </c>
      <c r="L2" s="4">
        <v>0.25694444444444448</v>
      </c>
      <c r="M2" s="5">
        <v>0.27083333333333331</v>
      </c>
      <c r="N2" s="2" t="s">
        <v>138</v>
      </c>
      <c r="O2" s="2" t="s">
        <v>187</v>
      </c>
      <c r="P2" s="2">
        <v>572</v>
      </c>
      <c r="Q2" s="2">
        <v>141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44663</v>
      </c>
      <c r="B3" s="2" t="s">
        <v>21</v>
      </c>
      <c r="C3" s="2" t="s">
        <v>57</v>
      </c>
      <c r="D3" s="2" t="s">
        <v>23</v>
      </c>
      <c r="E3" s="2" t="s">
        <v>170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0.4694444444444445</v>
      </c>
      <c r="L3" s="4">
        <v>0.28125</v>
      </c>
      <c r="M3" s="5">
        <v>0.28263888888888888</v>
      </c>
      <c r="N3" s="2" t="s">
        <v>189</v>
      </c>
      <c r="O3" s="2" t="s">
        <v>188</v>
      </c>
      <c r="P3" s="2">
        <v>948</v>
      </c>
      <c r="Q3" s="2">
        <v>331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44663</v>
      </c>
      <c r="B4" s="2" t="s">
        <v>21</v>
      </c>
      <c r="C4" s="2" t="s">
        <v>58</v>
      </c>
      <c r="D4" s="2" t="s">
        <v>23</v>
      </c>
      <c r="E4" s="2" t="s">
        <v>43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0.92569444444444438</v>
      </c>
      <c r="L4" s="4">
        <v>0.48958333333333331</v>
      </c>
      <c r="M4" s="5">
        <v>0.50486111111111109</v>
      </c>
      <c r="N4" s="2" t="s">
        <v>192</v>
      </c>
      <c r="O4" s="2" t="s">
        <v>191</v>
      </c>
      <c r="P4" s="2">
        <v>757</v>
      </c>
      <c r="Q4" s="2">
        <v>452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44663</v>
      </c>
      <c r="B5" s="2" t="s">
        <v>21</v>
      </c>
      <c r="C5" s="2" t="s">
        <v>59</v>
      </c>
      <c r="D5" s="2" t="s">
        <v>23</v>
      </c>
      <c r="E5" s="2" t="s">
        <v>170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0.89861111111111114</v>
      </c>
      <c r="L5" s="4">
        <v>0.50347222222222221</v>
      </c>
      <c r="M5" s="5">
        <v>0.51944444444444449</v>
      </c>
      <c r="N5" s="2" t="s">
        <v>193</v>
      </c>
      <c r="O5" s="2" t="s">
        <v>190</v>
      </c>
      <c r="P5" s="2">
        <v>819</v>
      </c>
      <c r="Q5" s="2">
        <v>302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5"/>
      <c r="N6" s="2"/>
      <c r="O6" s="2"/>
      <c r="P6" s="2"/>
      <c r="Q6" s="2"/>
      <c r="R6" s="2"/>
      <c r="S6" s="2"/>
      <c r="T6" s="2"/>
      <c r="U6" s="2"/>
    </row>
    <row r="7" spans="1:21" x14ac:dyDescent="0.25">
      <c r="A7" s="12"/>
      <c r="B7" s="2"/>
      <c r="C7" s="2"/>
      <c r="D7" s="2"/>
      <c r="E7" s="2"/>
      <c r="F7" s="2"/>
      <c r="G7" s="2"/>
      <c r="H7" s="2"/>
      <c r="I7" s="2"/>
      <c r="J7" s="2"/>
      <c r="K7" s="5"/>
      <c r="L7" s="4"/>
      <c r="M7" s="5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sqref="A1:U10"/>
    </sheetView>
  </sheetViews>
  <sheetFormatPr defaultRowHeight="12.75" x14ac:dyDescent="0.2"/>
  <cols>
    <col min="1" max="1" width="10.140625" style="16" bestFit="1" customWidth="1"/>
    <col min="2" max="2" width="9.140625" style="16"/>
    <col min="3" max="3" width="13.28515625" style="16" bestFit="1" customWidth="1"/>
    <col min="4" max="5" width="9.140625" style="16"/>
    <col min="6" max="6" width="12.140625" style="16" bestFit="1" customWidth="1"/>
    <col min="7" max="16384" width="9.140625" style="1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7" customHeight="1" x14ac:dyDescent="0.2">
      <c r="A2" s="19">
        <v>44664</v>
      </c>
      <c r="B2" s="16" t="s">
        <v>21</v>
      </c>
      <c r="C2" s="16" t="s">
        <v>30</v>
      </c>
      <c r="D2" s="16" t="s">
        <v>23</v>
      </c>
      <c r="E2" s="16" t="s">
        <v>170</v>
      </c>
      <c r="F2" s="2" t="s">
        <v>24</v>
      </c>
      <c r="G2" s="16">
        <v>70000</v>
      </c>
      <c r="H2" s="16" t="s">
        <v>31</v>
      </c>
      <c r="I2" s="16" t="s">
        <v>32</v>
      </c>
      <c r="J2" s="17">
        <v>0.42708333333333331</v>
      </c>
      <c r="K2" s="18">
        <v>0.41944444444444445</v>
      </c>
      <c r="L2" s="17">
        <v>0.25694444444444448</v>
      </c>
      <c r="M2" s="18">
        <v>0.25416666666666665</v>
      </c>
      <c r="N2" s="16" t="s">
        <v>196</v>
      </c>
      <c r="O2" s="16" t="s">
        <v>194</v>
      </c>
      <c r="P2" s="16">
        <v>713</v>
      </c>
      <c r="Q2" s="16">
        <v>331</v>
      </c>
      <c r="R2" s="16">
        <v>0</v>
      </c>
      <c r="S2" s="16">
        <v>0</v>
      </c>
      <c r="T2" s="16">
        <v>0</v>
      </c>
      <c r="U2" s="16">
        <v>0</v>
      </c>
    </row>
    <row r="3" spans="1:21" ht="13.7" customHeight="1" x14ac:dyDescent="0.2">
      <c r="A3" s="19">
        <v>44664</v>
      </c>
      <c r="B3" s="16" t="s">
        <v>21</v>
      </c>
      <c r="C3" s="16" t="s">
        <v>40</v>
      </c>
      <c r="D3" s="16" t="s">
        <v>23</v>
      </c>
      <c r="E3" s="16" t="s">
        <v>43</v>
      </c>
      <c r="F3" s="2" t="s">
        <v>24</v>
      </c>
      <c r="G3" s="16">
        <v>70000</v>
      </c>
      <c r="H3" s="16" t="s">
        <v>41</v>
      </c>
      <c r="I3" s="16" t="s">
        <v>42</v>
      </c>
      <c r="J3" s="17">
        <v>0.51388888888888895</v>
      </c>
      <c r="K3" s="18">
        <v>0.51250000000000007</v>
      </c>
      <c r="L3" s="17">
        <v>0.28125</v>
      </c>
      <c r="M3" s="18">
        <v>0.29791666666666666</v>
      </c>
      <c r="N3" s="16" t="s">
        <v>197</v>
      </c>
      <c r="O3" s="16" t="s">
        <v>195</v>
      </c>
      <c r="P3" s="16">
        <v>535</v>
      </c>
      <c r="Q3" s="16">
        <v>262</v>
      </c>
      <c r="R3" s="16">
        <v>0</v>
      </c>
      <c r="S3" s="16">
        <v>0</v>
      </c>
      <c r="T3" s="16">
        <v>0</v>
      </c>
      <c r="U3" s="16">
        <v>0</v>
      </c>
    </row>
    <row r="4" spans="1:21" ht="13.7" customHeight="1" x14ac:dyDescent="0.2">
      <c r="A4" s="19">
        <v>44664</v>
      </c>
      <c r="B4" s="16" t="s">
        <v>21</v>
      </c>
      <c r="C4" s="16" t="s">
        <v>22</v>
      </c>
      <c r="D4" s="16" t="s">
        <v>23</v>
      </c>
      <c r="E4" s="16" t="s">
        <v>170</v>
      </c>
      <c r="F4" s="2" t="s">
        <v>24</v>
      </c>
      <c r="G4" s="16">
        <v>70000</v>
      </c>
      <c r="H4" s="16" t="s">
        <v>25</v>
      </c>
      <c r="I4" s="16" t="s">
        <v>26</v>
      </c>
      <c r="J4" s="17">
        <v>0.59722222222222221</v>
      </c>
      <c r="K4" s="18">
        <v>0.5805555555555556</v>
      </c>
      <c r="L4" s="17">
        <v>0.44791666666666669</v>
      </c>
      <c r="M4" s="18">
        <v>0.4513888888888889</v>
      </c>
      <c r="N4" s="16" t="s">
        <v>200</v>
      </c>
      <c r="O4" s="16" t="s">
        <v>198</v>
      </c>
      <c r="P4" s="16">
        <v>778</v>
      </c>
      <c r="Q4" s="16">
        <v>446</v>
      </c>
      <c r="R4" s="16">
        <v>0</v>
      </c>
      <c r="S4" s="16">
        <v>0</v>
      </c>
      <c r="T4" s="16">
        <v>0</v>
      </c>
      <c r="U4" s="16">
        <v>0</v>
      </c>
    </row>
    <row r="5" spans="1:21" ht="13.7" customHeight="1" x14ac:dyDescent="0.2">
      <c r="A5" s="19">
        <v>44664</v>
      </c>
      <c r="B5" s="16" t="s">
        <v>21</v>
      </c>
      <c r="C5" s="16" t="s">
        <v>78</v>
      </c>
      <c r="D5" s="16" t="s">
        <v>23</v>
      </c>
      <c r="E5" s="16" t="s">
        <v>43</v>
      </c>
      <c r="F5" s="2" t="s">
        <v>24</v>
      </c>
      <c r="G5" s="16">
        <v>70000</v>
      </c>
      <c r="H5" s="16" t="s">
        <v>79</v>
      </c>
      <c r="I5" s="16" t="s">
        <v>80</v>
      </c>
      <c r="J5" s="17">
        <v>0.69791666666666663</v>
      </c>
      <c r="K5" s="18">
        <v>0.68958333333333333</v>
      </c>
      <c r="L5" s="17">
        <v>0.54166666666666663</v>
      </c>
      <c r="M5" s="18">
        <v>0.5493055555555556</v>
      </c>
      <c r="N5" s="16" t="s">
        <v>95</v>
      </c>
      <c r="O5" s="16" t="s">
        <v>199</v>
      </c>
      <c r="P5" s="16">
        <v>408</v>
      </c>
      <c r="Q5" s="16">
        <v>256</v>
      </c>
      <c r="R5" s="16">
        <v>0</v>
      </c>
      <c r="S5" s="16">
        <v>0</v>
      </c>
      <c r="T5" s="16">
        <v>0</v>
      </c>
      <c r="U5" s="16">
        <v>0</v>
      </c>
    </row>
    <row r="6" spans="1:21" ht="13.7" customHeight="1" x14ac:dyDescent="0.2">
      <c r="A6" s="19">
        <v>44664</v>
      </c>
      <c r="B6" s="16" t="s">
        <v>21</v>
      </c>
      <c r="C6" s="16" t="s">
        <v>37</v>
      </c>
      <c r="D6" s="16" t="s">
        <v>23</v>
      </c>
      <c r="E6" s="16" t="s">
        <v>170</v>
      </c>
      <c r="F6" s="16" t="s">
        <v>24</v>
      </c>
      <c r="G6" s="16">
        <v>70000</v>
      </c>
      <c r="H6" s="16" t="s">
        <v>38</v>
      </c>
      <c r="I6" s="16" t="s">
        <v>39</v>
      </c>
      <c r="J6" s="17">
        <v>0.74305555555555547</v>
      </c>
      <c r="K6" s="18">
        <v>0.73402777777777783</v>
      </c>
      <c r="L6" s="17">
        <v>0.62847222222222221</v>
      </c>
      <c r="M6" s="18">
        <v>0.62777777777777777</v>
      </c>
      <c r="N6" s="16" t="s">
        <v>203</v>
      </c>
      <c r="O6" s="16" t="s">
        <v>202</v>
      </c>
      <c r="P6" s="16">
        <v>481</v>
      </c>
      <c r="Q6" s="16">
        <v>376</v>
      </c>
      <c r="R6" s="16">
        <v>0</v>
      </c>
      <c r="S6" s="16">
        <v>0</v>
      </c>
      <c r="T6" s="16">
        <v>0</v>
      </c>
      <c r="U6" s="16">
        <v>0</v>
      </c>
    </row>
    <row r="7" spans="1:21" ht="13.7" customHeight="1" x14ac:dyDescent="0.2">
      <c r="A7" s="19">
        <v>44664</v>
      </c>
      <c r="B7" s="16" t="s">
        <v>21</v>
      </c>
      <c r="C7" s="16" t="s">
        <v>34</v>
      </c>
      <c r="D7" s="16" t="s">
        <v>23</v>
      </c>
      <c r="E7" s="16" t="s">
        <v>43</v>
      </c>
      <c r="F7" s="16" t="s">
        <v>24</v>
      </c>
      <c r="G7" s="16">
        <v>70000</v>
      </c>
      <c r="H7" s="16" t="s">
        <v>35</v>
      </c>
      <c r="I7" s="16" t="s">
        <v>36</v>
      </c>
      <c r="J7" s="17">
        <v>0.89930555555555547</v>
      </c>
      <c r="K7" s="18">
        <v>0.90069444444444446</v>
      </c>
      <c r="L7" s="17">
        <v>0.71875</v>
      </c>
      <c r="M7" s="18">
        <v>0.73541666666666661</v>
      </c>
      <c r="N7" s="16" t="s">
        <v>192</v>
      </c>
      <c r="O7" s="16" t="s">
        <v>204</v>
      </c>
      <c r="P7" s="16">
        <v>594</v>
      </c>
      <c r="Q7" s="16">
        <v>599</v>
      </c>
      <c r="R7" s="16">
        <v>0</v>
      </c>
      <c r="S7" s="16">
        <v>0</v>
      </c>
      <c r="T7" s="16">
        <v>0</v>
      </c>
      <c r="U7" s="16">
        <v>0</v>
      </c>
    </row>
    <row r="8" spans="1:21" ht="13.7" customHeight="1" x14ac:dyDescent="0.2">
      <c r="A8" s="19">
        <v>44664</v>
      </c>
      <c r="B8" s="16" t="s">
        <v>21</v>
      </c>
      <c r="C8" s="16" t="s">
        <v>201</v>
      </c>
      <c r="D8" s="16" t="s">
        <v>23</v>
      </c>
      <c r="E8" s="16" t="s">
        <v>170</v>
      </c>
      <c r="F8" s="16" t="s">
        <v>24</v>
      </c>
      <c r="G8" s="16">
        <v>70000</v>
      </c>
      <c r="H8" s="16" t="s">
        <v>28</v>
      </c>
      <c r="I8" s="16" t="s">
        <v>29</v>
      </c>
      <c r="J8" s="17">
        <v>0.93055555555555547</v>
      </c>
      <c r="K8" s="18">
        <v>0.94444444444444453</v>
      </c>
      <c r="L8" s="17">
        <v>0.76388888888888884</v>
      </c>
      <c r="M8" s="18">
        <v>0.78819444444444453</v>
      </c>
      <c r="N8" s="16" t="s">
        <v>206</v>
      </c>
      <c r="O8" s="16" t="s">
        <v>205</v>
      </c>
      <c r="P8" s="16">
        <v>988</v>
      </c>
      <c r="Q8" s="16">
        <v>344</v>
      </c>
      <c r="R8" s="16">
        <v>0</v>
      </c>
      <c r="S8" s="16">
        <v>0</v>
      </c>
      <c r="T8" s="16">
        <v>0</v>
      </c>
      <c r="U8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opLeftCell="D1" workbookViewId="0">
      <selection sqref="A1:U8"/>
    </sheetView>
  </sheetViews>
  <sheetFormatPr defaultRowHeight="15" x14ac:dyDescent="0.25"/>
  <cols>
    <col min="3" max="3" width="13.140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44665</v>
      </c>
      <c r="B2" s="2" t="s">
        <v>21</v>
      </c>
      <c r="C2" s="2" t="s">
        <v>56</v>
      </c>
      <c r="D2" s="2" t="s">
        <v>23</v>
      </c>
      <c r="E2" s="2" t="s">
        <v>170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0.44722222222222219</v>
      </c>
      <c r="L2" s="4">
        <v>0.25694444444444448</v>
      </c>
      <c r="M2" s="5">
        <v>0.25555555555555559</v>
      </c>
      <c r="N2" s="2" t="s">
        <v>216</v>
      </c>
      <c r="O2" s="2" t="s">
        <v>215</v>
      </c>
      <c r="P2" s="2">
        <v>792</v>
      </c>
      <c r="Q2" s="2">
        <v>166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44665</v>
      </c>
      <c r="B3" s="2" t="s">
        <v>21</v>
      </c>
      <c r="C3" s="2" t="s">
        <v>207</v>
      </c>
      <c r="D3" s="2" t="s">
        <v>23</v>
      </c>
      <c r="E3" s="2" t="s">
        <v>43</v>
      </c>
      <c r="F3" s="2" t="s">
        <v>24</v>
      </c>
      <c r="G3" s="2">
        <v>70000</v>
      </c>
      <c r="H3" s="2" t="s">
        <v>208</v>
      </c>
      <c r="I3" s="2" t="s">
        <v>209</v>
      </c>
      <c r="J3" s="4">
        <v>0.43402777777777773</v>
      </c>
      <c r="K3" s="5">
        <v>0.42083333333333334</v>
      </c>
      <c r="L3" s="4">
        <v>0.28472222222222221</v>
      </c>
      <c r="M3" s="5">
        <v>0.27847222222222223</v>
      </c>
      <c r="N3" s="2" t="s">
        <v>217</v>
      </c>
      <c r="O3" s="2" t="s">
        <v>214</v>
      </c>
      <c r="P3" s="2">
        <v>626</v>
      </c>
      <c r="Q3" s="2">
        <v>184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44665</v>
      </c>
      <c r="B4" s="2" t="s">
        <v>21</v>
      </c>
      <c r="C4" s="2" t="s">
        <v>150</v>
      </c>
      <c r="D4" s="2" t="s">
        <v>23</v>
      </c>
      <c r="E4" s="2" t="s">
        <v>210</v>
      </c>
      <c r="F4" s="2" t="s">
        <v>24</v>
      </c>
      <c r="G4" s="3">
        <v>70000</v>
      </c>
      <c r="H4" s="2" t="s">
        <v>61</v>
      </c>
      <c r="I4" s="2" t="s">
        <v>66</v>
      </c>
      <c r="J4" s="4">
        <v>0.46527777777777773</v>
      </c>
      <c r="K4" s="5">
        <v>0.46736111111111112</v>
      </c>
      <c r="L4" s="4">
        <v>0.48958333333333331</v>
      </c>
      <c r="M4" s="5">
        <v>0.50138888888888888</v>
      </c>
      <c r="N4" s="2" t="s">
        <v>218</v>
      </c>
      <c r="O4" s="2" t="s">
        <v>220</v>
      </c>
      <c r="P4" s="2">
        <v>779</v>
      </c>
      <c r="Q4" s="2">
        <v>422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44665</v>
      </c>
      <c r="B5" s="2" t="s">
        <v>21</v>
      </c>
      <c r="C5" s="2" t="s">
        <v>213</v>
      </c>
      <c r="D5" s="2" t="s">
        <v>23</v>
      </c>
      <c r="E5" s="2" t="s">
        <v>43</v>
      </c>
      <c r="F5" s="2" t="s">
        <v>24</v>
      </c>
      <c r="G5" s="3">
        <v>70000</v>
      </c>
      <c r="H5" s="2" t="s">
        <v>211</v>
      </c>
      <c r="I5" s="2" t="s">
        <v>212</v>
      </c>
      <c r="J5" s="4">
        <v>0.89930555555555547</v>
      </c>
      <c r="K5" s="5">
        <v>0.89166666666666661</v>
      </c>
      <c r="L5" s="4">
        <v>0.47569444444444442</v>
      </c>
      <c r="M5" s="5">
        <v>0.47500000000000003</v>
      </c>
      <c r="N5" s="2" t="s">
        <v>224</v>
      </c>
      <c r="O5" s="2" t="s">
        <v>219</v>
      </c>
      <c r="P5" s="2">
        <v>500</v>
      </c>
      <c r="Q5" s="2">
        <v>230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44665</v>
      </c>
      <c r="B6" s="2" t="s">
        <v>21</v>
      </c>
      <c r="C6" s="6" t="s">
        <v>76</v>
      </c>
      <c r="D6" s="6" t="s">
        <v>23</v>
      </c>
      <c r="E6" s="2" t="s">
        <v>170</v>
      </c>
      <c r="F6" s="6" t="s">
        <v>24</v>
      </c>
      <c r="G6" s="14">
        <v>70000</v>
      </c>
      <c r="H6" s="6" t="s">
        <v>77</v>
      </c>
      <c r="I6" s="6" t="s">
        <v>84</v>
      </c>
      <c r="J6" s="7">
        <v>0.66666666666666663</v>
      </c>
      <c r="K6" s="8">
        <v>0.66111111111111109</v>
      </c>
      <c r="L6" s="7">
        <v>0.51388888888888895</v>
      </c>
      <c r="M6" s="9">
        <v>0.51250000000000007</v>
      </c>
      <c r="N6" s="2" t="s">
        <v>222</v>
      </c>
      <c r="O6" s="2" t="s">
        <v>221</v>
      </c>
      <c r="P6" s="10">
        <v>315</v>
      </c>
      <c r="Q6" s="10">
        <v>80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44665</v>
      </c>
      <c r="B7" s="2" t="s">
        <v>21</v>
      </c>
      <c r="C7" s="2" t="s">
        <v>81</v>
      </c>
      <c r="D7" s="2" t="s">
        <v>23</v>
      </c>
      <c r="E7" s="2" t="s">
        <v>170</v>
      </c>
      <c r="F7" s="2" t="s">
        <v>24</v>
      </c>
      <c r="G7" s="3">
        <v>70000</v>
      </c>
      <c r="H7" s="2" t="s">
        <v>82</v>
      </c>
      <c r="I7" s="2" t="s">
        <v>83</v>
      </c>
      <c r="J7" s="4">
        <v>0.93055555555555547</v>
      </c>
      <c r="K7" s="5">
        <v>0.9375</v>
      </c>
      <c r="L7" s="4">
        <v>0.69444444444444453</v>
      </c>
      <c r="M7" s="5">
        <v>0.71527777777777779</v>
      </c>
      <c r="N7" s="2" t="s">
        <v>225</v>
      </c>
      <c r="O7" s="2" t="s">
        <v>223</v>
      </c>
      <c r="P7" s="2">
        <v>561</v>
      </c>
      <c r="Q7" s="2">
        <v>668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31" sqref="F31"/>
    </sheetView>
  </sheetViews>
  <sheetFormatPr defaultRowHeight="15" x14ac:dyDescent="0.25"/>
  <cols>
    <col min="3" max="3" width="13.7109375" customWidth="1"/>
    <col min="4" max="4" width="7.5703125" customWidth="1"/>
    <col min="6" max="6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44666</v>
      </c>
      <c r="B2" s="2" t="s">
        <v>21</v>
      </c>
      <c r="C2" s="2" t="s">
        <v>30</v>
      </c>
      <c r="D2" s="2" t="s">
        <v>23</v>
      </c>
      <c r="E2" s="2" t="s">
        <v>43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0.42638888888888887</v>
      </c>
      <c r="L2" s="4">
        <v>0.25694444444444448</v>
      </c>
      <c r="M2" s="5">
        <v>0.26250000000000001</v>
      </c>
      <c r="N2" s="2" t="s">
        <v>228</v>
      </c>
      <c r="O2" s="2" t="s">
        <v>226</v>
      </c>
      <c r="P2" s="2">
        <v>616</v>
      </c>
      <c r="Q2" s="2">
        <v>564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44666</v>
      </c>
      <c r="B3" s="2" t="s">
        <v>21</v>
      </c>
      <c r="C3" s="6" t="s">
        <v>40</v>
      </c>
      <c r="D3" s="2" t="s">
        <v>23</v>
      </c>
      <c r="E3" s="2" t="s">
        <v>170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0.50902777777777775</v>
      </c>
      <c r="L3" s="7">
        <v>0.28472222222222221</v>
      </c>
      <c r="M3" s="9">
        <v>0.29097222222222224</v>
      </c>
      <c r="N3" s="2" t="s">
        <v>229</v>
      </c>
      <c r="O3" s="2" t="s">
        <v>227</v>
      </c>
      <c r="P3" s="10">
        <v>645</v>
      </c>
      <c r="Q3" s="10">
        <v>362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44666</v>
      </c>
      <c r="B4" s="2" t="s">
        <v>21</v>
      </c>
      <c r="C4" s="2" t="s">
        <v>22</v>
      </c>
      <c r="D4" s="2" t="s">
        <v>23</v>
      </c>
      <c r="E4" s="2" t="s">
        <v>43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0.59930555555555554</v>
      </c>
      <c r="L4" s="4">
        <v>0.45833333333333331</v>
      </c>
      <c r="M4" s="5">
        <v>0.4604166666666667</v>
      </c>
      <c r="N4" s="2" t="s">
        <v>232</v>
      </c>
      <c r="O4" s="2" t="s">
        <v>230</v>
      </c>
      <c r="P4" s="2">
        <v>881</v>
      </c>
      <c r="Q4" s="2">
        <v>662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44666</v>
      </c>
      <c r="B5" s="2" t="s">
        <v>21</v>
      </c>
      <c r="C5" s="2" t="s">
        <v>27</v>
      </c>
      <c r="D5" s="2" t="s">
        <v>23</v>
      </c>
      <c r="E5" s="2" t="s">
        <v>170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0.71180555555555547</v>
      </c>
      <c r="L5" s="4">
        <v>0.54861111111111105</v>
      </c>
      <c r="M5" s="5">
        <v>0.55208333333333337</v>
      </c>
      <c r="N5" s="2" t="s">
        <v>148</v>
      </c>
      <c r="O5" s="2" t="s">
        <v>231</v>
      </c>
      <c r="P5" s="2">
        <v>1457</v>
      </c>
      <c r="Q5" s="2">
        <v>1137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44666</v>
      </c>
      <c r="B6" s="2" t="s">
        <v>21</v>
      </c>
      <c r="C6" s="2" t="s">
        <v>37</v>
      </c>
      <c r="D6" s="2" t="s">
        <v>23</v>
      </c>
      <c r="E6" s="2" t="s">
        <v>43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0.7583333333333333</v>
      </c>
      <c r="L6" s="4">
        <v>0.63888888888888895</v>
      </c>
      <c r="M6" s="5">
        <v>0.63680555555555551</v>
      </c>
      <c r="N6" s="2" t="s">
        <v>234</v>
      </c>
      <c r="O6" s="2" t="s">
        <v>233</v>
      </c>
      <c r="P6" s="2">
        <v>423</v>
      </c>
      <c r="Q6" s="2">
        <v>610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44666</v>
      </c>
      <c r="B7" s="2" t="s">
        <v>21</v>
      </c>
      <c r="C7" s="2" t="s">
        <v>58</v>
      </c>
      <c r="D7" s="2" t="s">
        <v>23</v>
      </c>
      <c r="E7" s="2" t="s">
        <v>170</v>
      </c>
      <c r="F7" s="2" t="s">
        <v>24</v>
      </c>
      <c r="G7" s="3">
        <v>70000</v>
      </c>
      <c r="H7" s="2" t="s">
        <v>61</v>
      </c>
      <c r="I7" s="2" t="s">
        <v>66</v>
      </c>
      <c r="J7" s="4">
        <v>0.92708333333333337</v>
      </c>
      <c r="K7" s="5">
        <v>0.91736111111111107</v>
      </c>
      <c r="L7" s="4">
        <v>0.73958333333333337</v>
      </c>
      <c r="M7" s="5">
        <v>0.74513888888888891</v>
      </c>
      <c r="N7" s="2" t="s">
        <v>206</v>
      </c>
      <c r="O7" s="2" t="s">
        <v>235</v>
      </c>
      <c r="P7" s="2">
        <v>630</v>
      </c>
      <c r="Q7" s="2">
        <v>443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44666</v>
      </c>
      <c r="B8" s="2" t="s">
        <v>21</v>
      </c>
      <c r="C8" s="2" t="s">
        <v>34</v>
      </c>
      <c r="D8" s="2" t="s">
        <v>23</v>
      </c>
      <c r="E8" s="2" t="s">
        <v>43</v>
      </c>
      <c r="F8" s="2" t="s">
        <v>24</v>
      </c>
      <c r="G8" s="3">
        <v>70000</v>
      </c>
      <c r="H8" s="2" t="s">
        <v>35</v>
      </c>
      <c r="I8" s="2" t="s">
        <v>36</v>
      </c>
      <c r="J8" s="4">
        <v>0.95486111111111116</v>
      </c>
      <c r="K8" s="5">
        <v>0.97777777777777775</v>
      </c>
      <c r="L8" s="4">
        <v>0.77430555555555547</v>
      </c>
      <c r="M8" s="5">
        <v>0.7895833333333333</v>
      </c>
      <c r="N8" s="2" t="s">
        <v>237</v>
      </c>
      <c r="O8" s="2" t="s">
        <v>236</v>
      </c>
      <c r="P8" s="2">
        <v>570</v>
      </c>
      <c r="Q8" s="2">
        <v>969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23" sqref="M23"/>
    </sheetView>
  </sheetViews>
  <sheetFormatPr defaultRowHeight="14.85" customHeight="1" x14ac:dyDescent="0.2"/>
  <cols>
    <col min="1" max="1" width="8.7109375" style="15" bestFit="1" customWidth="1"/>
    <col min="2" max="2" width="13.140625" style="15" bestFit="1" customWidth="1"/>
    <col min="3" max="3" width="13.5703125" style="15" bestFit="1" customWidth="1"/>
    <col min="4" max="4" width="5.7109375" style="15" bestFit="1" customWidth="1"/>
    <col min="5" max="5" width="8.28515625" style="15" bestFit="1" customWidth="1"/>
    <col min="6" max="6" width="12.140625" style="15" bestFit="1" customWidth="1"/>
    <col min="7" max="9" width="9.7109375" style="15" bestFit="1" customWidth="1"/>
    <col min="10" max="10" width="11" style="15" bestFit="1" customWidth="1"/>
    <col min="11" max="11" width="8.5703125" style="15" customWidth="1"/>
    <col min="12" max="12" width="11" style="15" bestFit="1" customWidth="1"/>
    <col min="13" max="13" width="8.140625" style="15" customWidth="1"/>
    <col min="14" max="14" width="11" style="15" customWidth="1"/>
    <col min="15" max="15" width="10" style="15" customWidth="1"/>
    <col min="16" max="17" width="10.28515625" style="15" bestFit="1" customWidth="1"/>
    <col min="18" max="19" width="9.42578125" style="15" bestFit="1" customWidth="1"/>
    <col min="20" max="21" width="9.7109375" style="15" bestFit="1" customWidth="1"/>
    <col min="22" max="16384" width="9.140625" style="15"/>
  </cols>
  <sheetData>
    <row r="1" spans="1:21" ht="14.8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85" customHeight="1" x14ac:dyDescent="0.2">
      <c r="A2" s="12">
        <v>44667</v>
      </c>
      <c r="B2" s="2" t="s">
        <v>21</v>
      </c>
      <c r="C2" s="2" t="s">
        <v>56</v>
      </c>
      <c r="D2" s="2" t="s">
        <v>23</v>
      </c>
      <c r="E2" s="2" t="s">
        <v>43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0.44236111111111115</v>
      </c>
      <c r="L2" s="4">
        <v>0.25694444444444448</v>
      </c>
      <c r="M2" s="5">
        <v>0.25694444444444448</v>
      </c>
      <c r="N2" s="2" t="s">
        <v>240</v>
      </c>
      <c r="O2" s="2" t="s">
        <v>238</v>
      </c>
      <c r="P2" s="2">
        <v>501</v>
      </c>
      <c r="Q2" s="2">
        <v>609</v>
      </c>
      <c r="R2" s="2">
        <v>0</v>
      </c>
      <c r="S2" s="2">
        <v>0</v>
      </c>
      <c r="T2" s="2">
        <v>0</v>
      </c>
      <c r="U2" s="2">
        <v>0</v>
      </c>
    </row>
    <row r="3" spans="1:21" ht="14.85" customHeight="1" x14ac:dyDescent="0.2">
      <c r="A3" s="12">
        <v>44667</v>
      </c>
      <c r="B3" s="2" t="s">
        <v>21</v>
      </c>
      <c r="C3" s="2" t="s">
        <v>57</v>
      </c>
      <c r="D3" s="2" t="s">
        <v>23</v>
      </c>
      <c r="E3" s="2" t="s">
        <v>170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0.47013888888888888</v>
      </c>
      <c r="L3" s="4">
        <v>0.28125</v>
      </c>
      <c r="M3" s="5">
        <v>0.28194444444444444</v>
      </c>
      <c r="N3" s="2" t="s">
        <v>241</v>
      </c>
      <c r="O3" s="2" t="s">
        <v>239</v>
      </c>
      <c r="P3" s="2">
        <v>942</v>
      </c>
      <c r="Q3" s="2">
        <v>736</v>
      </c>
      <c r="R3" s="2">
        <v>0</v>
      </c>
      <c r="S3" s="2">
        <v>0</v>
      </c>
      <c r="T3" s="2">
        <v>0</v>
      </c>
      <c r="U3" s="2">
        <v>0</v>
      </c>
    </row>
    <row r="4" spans="1:21" ht="14.85" customHeight="1" x14ac:dyDescent="0.2">
      <c r="A4" s="12">
        <v>44667</v>
      </c>
      <c r="B4" s="2" t="s">
        <v>21</v>
      </c>
      <c r="C4" s="2" t="s">
        <v>58</v>
      </c>
      <c r="D4" s="2" t="s">
        <v>23</v>
      </c>
      <c r="E4" s="2" t="s">
        <v>43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0.89513888888888893</v>
      </c>
      <c r="L4" s="4">
        <v>0.48958333333333331</v>
      </c>
      <c r="M4" s="5">
        <v>0.48680555555555555</v>
      </c>
      <c r="N4" s="2" t="s">
        <v>251</v>
      </c>
      <c r="O4" s="2" t="s">
        <v>242</v>
      </c>
      <c r="P4" s="2">
        <v>848</v>
      </c>
      <c r="Q4" s="2">
        <v>726</v>
      </c>
      <c r="R4" s="2">
        <v>0</v>
      </c>
      <c r="S4" s="2">
        <v>0</v>
      </c>
      <c r="T4" s="2">
        <v>0</v>
      </c>
      <c r="U4" s="2">
        <v>0</v>
      </c>
    </row>
    <row r="5" spans="1:21" ht="14.85" customHeight="1" x14ac:dyDescent="0.2">
      <c r="A5" s="12">
        <v>44667</v>
      </c>
      <c r="B5" s="2" t="s">
        <v>21</v>
      </c>
      <c r="C5" s="2" t="s">
        <v>59</v>
      </c>
      <c r="D5" s="2" t="s">
        <v>23</v>
      </c>
      <c r="E5" s="2" t="s">
        <v>170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0.91527777777777775</v>
      </c>
      <c r="L5" s="4">
        <v>0.50347222222222221</v>
      </c>
      <c r="M5" s="5">
        <v>0.5444444444444444</v>
      </c>
      <c r="N5" s="2" t="s">
        <v>252</v>
      </c>
      <c r="O5" s="2" t="s">
        <v>250</v>
      </c>
      <c r="P5" s="2">
        <v>723</v>
      </c>
      <c r="Q5" s="2">
        <v>804</v>
      </c>
      <c r="R5" s="2">
        <v>0</v>
      </c>
      <c r="S5" s="2">
        <v>0</v>
      </c>
      <c r="T5" s="2">
        <v>0</v>
      </c>
      <c r="U5" s="2">
        <v>0</v>
      </c>
    </row>
    <row r="6" spans="1:21" ht="14.85" customHeight="1" x14ac:dyDescent="0.2">
      <c r="A6" s="12">
        <v>44667</v>
      </c>
      <c r="B6" s="15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2">
        <v>16000</v>
      </c>
      <c r="H6" s="2" t="str">
        <f>E6</f>
        <v>N6509Z</v>
      </c>
      <c r="I6" s="2" t="s">
        <v>118</v>
      </c>
      <c r="J6" s="4">
        <v>0.52083333333333337</v>
      </c>
      <c r="K6" s="5">
        <v>0.4916666666666667</v>
      </c>
      <c r="L6" s="20" t="s">
        <v>248</v>
      </c>
      <c r="M6" s="2" t="s">
        <v>248</v>
      </c>
      <c r="N6" s="2" t="s">
        <v>249</v>
      </c>
      <c r="O6" s="2" t="s">
        <v>118</v>
      </c>
      <c r="P6" s="2">
        <v>0</v>
      </c>
      <c r="Q6" s="2" t="s">
        <v>118</v>
      </c>
      <c r="R6" s="2">
        <v>0</v>
      </c>
      <c r="S6" s="2">
        <v>0</v>
      </c>
      <c r="T6" s="2">
        <v>0</v>
      </c>
      <c r="U6" s="2">
        <v>0</v>
      </c>
    </row>
    <row r="7" spans="1:21" ht="14.8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D1" workbookViewId="0">
      <selection sqref="A1:U10"/>
    </sheetView>
  </sheetViews>
  <sheetFormatPr defaultRowHeight="15" x14ac:dyDescent="0.25"/>
  <cols>
    <col min="3" max="3" width="13.140625" customWidth="1"/>
    <col min="4" max="4" width="8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44668</v>
      </c>
      <c r="B2" s="6" t="s">
        <v>21</v>
      </c>
      <c r="C2" s="2" t="s">
        <v>56</v>
      </c>
      <c r="D2" s="2" t="s">
        <v>23</v>
      </c>
      <c r="E2" s="2" t="s">
        <v>170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0.44375000000000003</v>
      </c>
      <c r="L2" s="4">
        <v>0.25694444444444448</v>
      </c>
      <c r="M2" s="5">
        <v>0.26250000000000001</v>
      </c>
      <c r="N2" s="2" t="s">
        <v>255</v>
      </c>
      <c r="O2" s="2" t="s">
        <v>253</v>
      </c>
      <c r="P2" s="2">
        <v>265</v>
      </c>
      <c r="Q2" s="2">
        <v>631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44668</v>
      </c>
      <c r="B3" s="2" t="s">
        <v>21</v>
      </c>
      <c r="C3" s="2" t="s">
        <v>207</v>
      </c>
      <c r="D3" s="2" t="s">
        <v>23</v>
      </c>
      <c r="E3" s="2" t="s">
        <v>43</v>
      </c>
      <c r="F3" s="2" t="s">
        <v>24</v>
      </c>
      <c r="G3" s="2">
        <v>70000</v>
      </c>
      <c r="H3" s="2" t="s">
        <v>208</v>
      </c>
      <c r="I3" s="2" t="s">
        <v>209</v>
      </c>
      <c r="J3" s="4">
        <v>0.44791666666666669</v>
      </c>
      <c r="K3" s="5">
        <v>0.41666666666666669</v>
      </c>
      <c r="L3" s="4">
        <v>0.28472222222222221</v>
      </c>
      <c r="M3" s="5">
        <v>0.28125</v>
      </c>
      <c r="N3" s="2" t="s">
        <v>256</v>
      </c>
      <c r="O3" s="2" t="s">
        <v>254</v>
      </c>
      <c r="P3" s="2">
        <v>825</v>
      </c>
      <c r="Q3" s="2">
        <v>503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44668</v>
      </c>
      <c r="B4" s="6" t="s">
        <v>21</v>
      </c>
      <c r="C4" s="6" t="s">
        <v>76</v>
      </c>
      <c r="D4" s="6" t="s">
        <v>23</v>
      </c>
      <c r="E4" s="2" t="s">
        <v>43</v>
      </c>
      <c r="F4" s="6" t="s">
        <v>24</v>
      </c>
      <c r="G4" s="14">
        <v>70000</v>
      </c>
      <c r="H4" s="6" t="s">
        <v>77</v>
      </c>
      <c r="I4" s="6" t="s">
        <v>84</v>
      </c>
      <c r="J4" s="7">
        <v>0.61805555555555558</v>
      </c>
      <c r="K4" s="8">
        <v>0.61041666666666672</v>
      </c>
      <c r="L4" s="7">
        <v>0.46527777777777773</v>
      </c>
      <c r="M4" s="9">
        <v>0.45902777777777781</v>
      </c>
      <c r="N4" s="2" t="s">
        <v>258</v>
      </c>
      <c r="O4" s="2" t="s">
        <v>257</v>
      </c>
      <c r="P4" s="10">
        <v>175</v>
      </c>
      <c r="Q4" s="10">
        <v>342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12">
        <v>44668</v>
      </c>
      <c r="B5" s="2" t="s">
        <v>21</v>
      </c>
      <c r="C5" s="2" t="s">
        <v>78</v>
      </c>
      <c r="D5" s="2" t="s">
        <v>23</v>
      </c>
      <c r="E5" s="2" t="s">
        <v>170</v>
      </c>
      <c r="F5" s="2" t="s">
        <v>24</v>
      </c>
      <c r="G5" s="3">
        <v>70000</v>
      </c>
      <c r="H5" s="2" t="s">
        <v>79</v>
      </c>
      <c r="I5" s="2" t="s">
        <v>80</v>
      </c>
      <c r="J5" s="4">
        <v>0.64583333333333337</v>
      </c>
      <c r="K5" s="5">
        <v>0.63958333333333328</v>
      </c>
      <c r="L5" s="4">
        <v>0.48958333333333331</v>
      </c>
      <c r="M5" s="5">
        <v>0.48125000000000001</v>
      </c>
      <c r="N5" s="2" t="s">
        <v>259</v>
      </c>
      <c r="O5" s="2" t="s">
        <v>253</v>
      </c>
      <c r="P5" s="2">
        <v>201</v>
      </c>
      <c r="Q5" s="2">
        <v>428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44668</v>
      </c>
      <c r="B6" s="2" t="s">
        <v>21</v>
      </c>
      <c r="C6" s="2" t="s">
        <v>213</v>
      </c>
      <c r="D6" s="2" t="s">
        <v>23</v>
      </c>
      <c r="E6" s="2" t="s">
        <v>43</v>
      </c>
      <c r="F6" s="2" t="s">
        <v>24</v>
      </c>
      <c r="G6" s="3">
        <v>70000</v>
      </c>
      <c r="H6" s="2" t="s">
        <v>211</v>
      </c>
      <c r="I6" s="2" t="s">
        <v>212</v>
      </c>
      <c r="J6" s="4">
        <v>0.85763888888888884</v>
      </c>
      <c r="K6" s="5">
        <v>0.8520833333333333</v>
      </c>
      <c r="L6" s="4">
        <v>0.63888888888888895</v>
      </c>
      <c r="M6" s="5">
        <v>0.65486111111111112</v>
      </c>
      <c r="N6" s="2" t="s">
        <v>261</v>
      </c>
      <c r="O6" s="2" t="s">
        <v>250</v>
      </c>
      <c r="P6" s="2">
        <v>508</v>
      </c>
      <c r="Q6" s="2">
        <v>606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44668</v>
      </c>
      <c r="B7" s="2" t="s">
        <v>21</v>
      </c>
      <c r="C7" s="2" t="s">
        <v>81</v>
      </c>
      <c r="D7" s="2" t="s">
        <v>23</v>
      </c>
      <c r="E7" s="2" t="s">
        <v>170</v>
      </c>
      <c r="F7" s="2" t="s">
        <v>24</v>
      </c>
      <c r="G7" s="3">
        <v>70000</v>
      </c>
      <c r="H7" s="2" t="s">
        <v>82</v>
      </c>
      <c r="I7" s="2" t="s">
        <v>83</v>
      </c>
      <c r="J7" s="4">
        <v>0.90277777777777779</v>
      </c>
      <c r="K7" s="5">
        <v>0.8965277777777777</v>
      </c>
      <c r="L7" s="4">
        <v>0.66666666666666663</v>
      </c>
      <c r="M7" s="5">
        <v>0.68472222222222223</v>
      </c>
      <c r="N7" s="2" t="s">
        <v>262</v>
      </c>
      <c r="O7" s="2" t="s">
        <v>260</v>
      </c>
      <c r="P7" s="2">
        <v>109</v>
      </c>
      <c r="Q7" s="2">
        <v>772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N14" sqref="N14"/>
    </sheetView>
  </sheetViews>
  <sheetFormatPr defaultRowHeight="15" x14ac:dyDescent="0.25"/>
  <cols>
    <col min="1" max="1" width="10.140625" bestFit="1" customWidth="1"/>
    <col min="3" max="3" width="13.7109375" customWidth="1"/>
    <col min="4" max="4" width="7.85546875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44669</v>
      </c>
      <c r="B2" s="2" t="s">
        <v>21</v>
      </c>
      <c r="C2" s="2" t="s">
        <v>30</v>
      </c>
      <c r="D2" s="2" t="s">
        <v>23</v>
      </c>
      <c r="E2" s="2" t="s">
        <v>170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0.42708333333333331</v>
      </c>
      <c r="L2" s="4">
        <v>0.25694444444444448</v>
      </c>
      <c r="M2" s="5">
        <v>0.25694444444444448</v>
      </c>
      <c r="N2" s="2" t="s">
        <v>167</v>
      </c>
      <c r="O2" s="2" t="s">
        <v>52</v>
      </c>
      <c r="P2" s="2">
        <v>590</v>
      </c>
      <c r="Q2" s="2">
        <v>863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44669</v>
      </c>
      <c r="B3" s="2" t="s">
        <v>21</v>
      </c>
      <c r="C3" s="6" t="s">
        <v>40</v>
      </c>
      <c r="D3" s="2" t="s">
        <v>23</v>
      </c>
      <c r="E3" s="2" t="s">
        <v>43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0.52361111111111114</v>
      </c>
      <c r="L3" s="7">
        <v>0.28472222222222221</v>
      </c>
      <c r="M3" s="9">
        <v>0.30208333333333331</v>
      </c>
      <c r="N3" s="2" t="s">
        <v>264</v>
      </c>
      <c r="O3" s="2" t="s">
        <v>263</v>
      </c>
      <c r="P3" s="10">
        <v>422</v>
      </c>
      <c r="Q3" s="10">
        <v>974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44669</v>
      </c>
      <c r="B4" s="2" t="s">
        <v>21</v>
      </c>
      <c r="C4" s="2" t="s">
        <v>22</v>
      </c>
      <c r="D4" s="2" t="s">
        <v>23</v>
      </c>
      <c r="E4" s="2" t="s">
        <v>170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0.59930555555555554</v>
      </c>
      <c r="L4" s="4">
        <v>0.45833333333333331</v>
      </c>
      <c r="M4" s="5">
        <v>0.46388888888888885</v>
      </c>
      <c r="N4" s="2" t="s">
        <v>265</v>
      </c>
      <c r="O4" s="2" t="s">
        <v>272</v>
      </c>
      <c r="P4" s="2">
        <v>660</v>
      </c>
      <c r="Q4" s="2">
        <v>750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44669</v>
      </c>
      <c r="B5" s="2" t="s">
        <v>21</v>
      </c>
      <c r="C5" s="2" t="s">
        <v>27</v>
      </c>
      <c r="D5" s="2" t="s">
        <v>23</v>
      </c>
      <c r="E5" s="2" t="s">
        <v>43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0.73055555555555562</v>
      </c>
      <c r="L5" s="4">
        <v>0.54861111111111105</v>
      </c>
      <c r="M5" s="5">
        <v>0.55972222222222223</v>
      </c>
      <c r="N5" s="2" t="s">
        <v>268</v>
      </c>
      <c r="O5" s="2" t="s">
        <v>266</v>
      </c>
      <c r="P5" s="2">
        <v>867</v>
      </c>
      <c r="Q5" s="2">
        <v>835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44669</v>
      </c>
      <c r="B6" s="2" t="s">
        <v>21</v>
      </c>
      <c r="C6" s="2" t="s">
        <v>37</v>
      </c>
      <c r="D6" s="2" t="s">
        <v>23</v>
      </c>
      <c r="E6" s="2" t="s">
        <v>170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0.73749999999999993</v>
      </c>
      <c r="L6" s="4">
        <v>0.63888888888888895</v>
      </c>
      <c r="M6" s="5">
        <v>0.63541666666666663</v>
      </c>
      <c r="N6" s="2" t="s">
        <v>269</v>
      </c>
      <c r="O6" s="2" t="s">
        <v>267</v>
      </c>
      <c r="P6" s="2">
        <v>429</v>
      </c>
      <c r="Q6" s="2">
        <v>653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44669</v>
      </c>
      <c r="B7" s="2" t="s">
        <v>21</v>
      </c>
      <c r="C7" s="2" t="s">
        <v>58</v>
      </c>
      <c r="D7" s="2" t="s">
        <v>23</v>
      </c>
      <c r="E7" s="2" t="s">
        <v>43</v>
      </c>
      <c r="F7" s="2" t="s">
        <v>24</v>
      </c>
      <c r="G7" s="3">
        <v>70000</v>
      </c>
      <c r="H7" s="2" t="s">
        <v>61</v>
      </c>
      <c r="I7" s="2" t="s">
        <v>66</v>
      </c>
      <c r="J7" s="4">
        <v>0.92708333333333337</v>
      </c>
      <c r="K7" s="5">
        <v>0.93819444444444444</v>
      </c>
      <c r="L7" s="4">
        <v>0.73958333333333337</v>
      </c>
      <c r="M7" s="5">
        <v>0.76666666666666661</v>
      </c>
      <c r="N7" s="2" t="s">
        <v>270</v>
      </c>
      <c r="O7" s="2" t="s">
        <v>158</v>
      </c>
      <c r="P7" s="2">
        <v>783</v>
      </c>
      <c r="Q7" s="2">
        <v>422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44669</v>
      </c>
      <c r="B8" s="2" t="s">
        <v>21</v>
      </c>
      <c r="C8" s="2" t="s">
        <v>34</v>
      </c>
      <c r="D8" s="2" t="s">
        <v>23</v>
      </c>
      <c r="E8" s="2" t="s">
        <v>170</v>
      </c>
      <c r="F8" s="2" t="s">
        <v>24</v>
      </c>
      <c r="G8" s="3">
        <v>70000</v>
      </c>
      <c r="H8" s="2" t="s">
        <v>35</v>
      </c>
      <c r="I8" s="2" t="s">
        <v>36</v>
      </c>
      <c r="J8" s="4">
        <v>0.95486111111111116</v>
      </c>
      <c r="K8" s="5">
        <v>0.9458333333333333</v>
      </c>
      <c r="L8" s="4">
        <v>0.77430555555555547</v>
      </c>
      <c r="M8" s="5">
        <v>0.77500000000000002</v>
      </c>
      <c r="N8" s="2" t="s">
        <v>271</v>
      </c>
      <c r="O8" s="2" t="s">
        <v>225</v>
      </c>
      <c r="P8" s="2">
        <v>487</v>
      </c>
      <c r="Q8" s="2">
        <v>728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N6" sqref="N6"/>
    </sheetView>
  </sheetViews>
  <sheetFormatPr defaultRowHeight="15" x14ac:dyDescent="0.25"/>
  <cols>
    <col min="3" max="3" width="13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44670</v>
      </c>
      <c r="B2" s="2" t="s">
        <v>21</v>
      </c>
      <c r="C2" s="2" t="s">
        <v>56</v>
      </c>
      <c r="D2" s="2" t="s">
        <v>23</v>
      </c>
      <c r="E2" s="2" t="s">
        <v>43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0.4458333333333333</v>
      </c>
      <c r="L2" s="4">
        <v>0.25694444444444448</v>
      </c>
      <c r="M2" s="5">
        <v>0.26805555555555555</v>
      </c>
      <c r="N2" s="2" t="s">
        <v>275</v>
      </c>
      <c r="O2" s="2" t="s">
        <v>273</v>
      </c>
      <c r="P2" s="2">
        <v>180</v>
      </c>
      <c r="Q2" s="2">
        <v>616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44670</v>
      </c>
      <c r="B3" s="2" t="s">
        <v>21</v>
      </c>
      <c r="C3" s="2" t="s">
        <v>57</v>
      </c>
      <c r="D3" s="2" t="s">
        <v>23</v>
      </c>
      <c r="E3" s="2" t="s">
        <v>170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0.49305555555555558</v>
      </c>
      <c r="L3" s="4">
        <v>0.28125</v>
      </c>
      <c r="M3" s="5">
        <v>0.30694444444444441</v>
      </c>
      <c r="N3" s="2" t="s">
        <v>276</v>
      </c>
      <c r="O3" s="2" t="s">
        <v>274</v>
      </c>
      <c r="P3" s="2">
        <v>983</v>
      </c>
      <c r="Q3" s="2">
        <v>642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44670</v>
      </c>
      <c r="B4" s="2" t="s">
        <v>21</v>
      </c>
      <c r="C4" s="2" t="s">
        <v>58</v>
      </c>
      <c r="D4" s="2" t="s">
        <v>23</v>
      </c>
      <c r="E4" s="2" t="s">
        <v>43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0.9291666666666667</v>
      </c>
      <c r="L4" s="4">
        <v>0.48958333333333331</v>
      </c>
      <c r="M4" s="5">
        <v>0.51597222222222217</v>
      </c>
      <c r="N4" s="2" t="s">
        <v>155</v>
      </c>
      <c r="O4" s="2" t="s">
        <v>272</v>
      </c>
      <c r="P4" s="2">
        <v>870</v>
      </c>
      <c r="Q4" s="2">
        <v>629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44670</v>
      </c>
      <c r="B5" s="2" t="s">
        <v>21</v>
      </c>
      <c r="C5" s="2" t="s">
        <v>59</v>
      </c>
      <c r="D5" s="2" t="s">
        <v>23</v>
      </c>
      <c r="E5" s="2" t="s">
        <v>170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0.93194444444444446</v>
      </c>
      <c r="L5" s="4">
        <v>0.50347222222222221</v>
      </c>
      <c r="M5" s="5">
        <v>0.54583333333333328</v>
      </c>
      <c r="N5" s="2" t="s">
        <v>277</v>
      </c>
      <c r="O5" s="2" t="s">
        <v>186</v>
      </c>
      <c r="P5" s="2">
        <v>522</v>
      </c>
      <c r="Q5" s="2">
        <v>273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F12" sqref="F12"/>
    </sheetView>
  </sheetViews>
  <sheetFormatPr defaultRowHeight="15" x14ac:dyDescent="0.25"/>
  <cols>
    <col min="3" max="3" width="14.28515625" customWidth="1"/>
    <col min="4" max="4" width="7.85546875" customWidth="1"/>
    <col min="6" max="6" width="13.42578125" customWidth="1"/>
    <col min="14" max="14" width="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44671</v>
      </c>
      <c r="B2" s="16" t="s">
        <v>21</v>
      </c>
      <c r="C2" s="16" t="s">
        <v>30</v>
      </c>
      <c r="D2" s="16" t="s">
        <v>23</v>
      </c>
      <c r="E2" s="16" t="s">
        <v>43</v>
      </c>
      <c r="F2" s="2" t="s">
        <v>24</v>
      </c>
      <c r="G2" s="16">
        <v>70000</v>
      </c>
      <c r="H2" s="16" t="s">
        <v>31</v>
      </c>
      <c r="I2" s="16" t="s">
        <v>32</v>
      </c>
      <c r="J2" s="17">
        <v>0.42708333333333331</v>
      </c>
      <c r="K2" s="18">
        <v>0.41388888888888892</v>
      </c>
      <c r="L2" s="17">
        <v>0.25694444444444448</v>
      </c>
      <c r="M2" s="18">
        <v>0.25972222222222224</v>
      </c>
      <c r="N2" s="16" t="s">
        <v>241</v>
      </c>
      <c r="O2" s="16" t="s">
        <v>280</v>
      </c>
      <c r="P2" s="16">
        <v>526</v>
      </c>
      <c r="Q2" s="16">
        <v>497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9">
        <v>44671</v>
      </c>
      <c r="B3" s="16" t="s">
        <v>21</v>
      </c>
      <c r="C3" s="16" t="s">
        <v>40</v>
      </c>
      <c r="D3" s="16" t="s">
        <v>23</v>
      </c>
      <c r="E3" s="16" t="s">
        <v>170</v>
      </c>
      <c r="F3" s="2" t="s">
        <v>24</v>
      </c>
      <c r="G3" s="16">
        <v>70000</v>
      </c>
      <c r="H3" s="16" t="s">
        <v>41</v>
      </c>
      <c r="I3" s="16" t="s">
        <v>42</v>
      </c>
      <c r="J3" s="17">
        <v>0.51388888888888895</v>
      </c>
      <c r="K3" s="18">
        <v>0.50486111111111109</v>
      </c>
      <c r="L3" s="17">
        <v>0.28125</v>
      </c>
      <c r="M3" s="18">
        <v>0.29097222222222224</v>
      </c>
      <c r="N3" s="16" t="s">
        <v>258</v>
      </c>
      <c r="O3" s="16" t="s">
        <v>109</v>
      </c>
      <c r="P3" s="16">
        <v>378</v>
      </c>
      <c r="Q3" s="16">
        <v>658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9">
        <v>44671</v>
      </c>
      <c r="B4" s="16" t="s">
        <v>21</v>
      </c>
      <c r="C4" s="16" t="s">
        <v>22</v>
      </c>
      <c r="D4" s="16" t="s">
        <v>23</v>
      </c>
      <c r="E4" s="16" t="s">
        <v>278</v>
      </c>
      <c r="F4" s="2" t="s">
        <v>24</v>
      </c>
      <c r="G4" s="16">
        <v>70000</v>
      </c>
      <c r="H4" s="16" t="s">
        <v>25</v>
      </c>
      <c r="I4" s="16" t="s">
        <v>26</v>
      </c>
      <c r="J4" s="17">
        <v>0.59722222222222221</v>
      </c>
      <c r="K4" s="18">
        <v>0.59027777777777779</v>
      </c>
      <c r="L4" s="17">
        <v>0.44791666666666669</v>
      </c>
      <c r="M4" s="18">
        <v>0.44930555555555557</v>
      </c>
      <c r="N4" s="16" t="s">
        <v>284</v>
      </c>
      <c r="O4" s="16" t="s">
        <v>281</v>
      </c>
      <c r="P4" s="16">
        <v>841</v>
      </c>
      <c r="Q4" s="16">
        <v>597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9">
        <v>44671</v>
      </c>
      <c r="B5" s="16" t="s">
        <v>21</v>
      </c>
      <c r="C5" s="16" t="s">
        <v>78</v>
      </c>
      <c r="D5" s="16" t="s">
        <v>23</v>
      </c>
      <c r="E5" s="16" t="s">
        <v>170</v>
      </c>
      <c r="F5" s="2" t="s">
        <v>24</v>
      </c>
      <c r="G5" s="16">
        <v>70000</v>
      </c>
      <c r="H5" s="16" t="s">
        <v>79</v>
      </c>
      <c r="I5" s="16" t="s">
        <v>80</v>
      </c>
      <c r="J5" s="17">
        <v>0.69791666666666663</v>
      </c>
      <c r="K5" s="18">
        <v>0.68402777777777779</v>
      </c>
      <c r="L5" s="17">
        <v>0.54166666666666663</v>
      </c>
      <c r="M5" s="18">
        <v>0.54791666666666672</v>
      </c>
      <c r="N5" s="16" t="s">
        <v>285</v>
      </c>
      <c r="O5" s="16" t="s">
        <v>282</v>
      </c>
      <c r="P5" s="16">
        <v>192</v>
      </c>
      <c r="Q5" s="16">
        <v>315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9">
        <v>44671</v>
      </c>
      <c r="B6" s="16" t="s">
        <v>21</v>
      </c>
      <c r="C6" s="16" t="s">
        <v>37</v>
      </c>
      <c r="D6" s="16" t="s">
        <v>23</v>
      </c>
      <c r="E6" s="16" t="s">
        <v>279</v>
      </c>
      <c r="F6" s="16" t="s">
        <v>24</v>
      </c>
      <c r="G6" s="16">
        <v>70000</v>
      </c>
      <c r="H6" s="16" t="s">
        <v>38</v>
      </c>
      <c r="I6" s="16" t="s">
        <v>39</v>
      </c>
      <c r="J6" s="17">
        <v>0.74305555555555547</v>
      </c>
      <c r="K6" s="18">
        <v>0.73819444444444438</v>
      </c>
      <c r="L6" s="17">
        <v>0.62847222222222221</v>
      </c>
      <c r="M6" s="18">
        <v>0.62708333333333333</v>
      </c>
      <c r="N6" s="16" t="s">
        <v>286</v>
      </c>
      <c r="O6" s="16" t="s">
        <v>121</v>
      </c>
      <c r="P6" s="16">
        <v>268</v>
      </c>
      <c r="Q6" s="16">
        <v>359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9">
        <v>44671</v>
      </c>
      <c r="B7" s="16" t="s">
        <v>21</v>
      </c>
      <c r="C7" s="16" t="s">
        <v>34</v>
      </c>
      <c r="D7" s="16" t="s">
        <v>23</v>
      </c>
      <c r="E7" s="16" t="s">
        <v>170</v>
      </c>
      <c r="F7" s="16" t="s">
        <v>24</v>
      </c>
      <c r="G7" s="16">
        <v>70000</v>
      </c>
      <c r="H7" s="16" t="s">
        <v>35</v>
      </c>
      <c r="I7" s="16" t="s">
        <v>36</v>
      </c>
      <c r="J7" s="17">
        <v>0.89930555555555547</v>
      </c>
      <c r="K7" s="18">
        <v>0.88888888888888884</v>
      </c>
      <c r="L7" s="17">
        <v>0.71875</v>
      </c>
      <c r="M7" s="18">
        <v>0.72291666666666676</v>
      </c>
      <c r="N7" s="16" t="s">
        <v>287</v>
      </c>
      <c r="O7" s="16" t="s">
        <v>167</v>
      </c>
      <c r="P7" s="16">
        <v>498</v>
      </c>
      <c r="Q7" s="16">
        <v>814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9">
        <v>44671</v>
      </c>
      <c r="B8" s="16" t="s">
        <v>21</v>
      </c>
      <c r="C8" s="16" t="s">
        <v>201</v>
      </c>
      <c r="D8" s="16" t="s">
        <v>23</v>
      </c>
      <c r="E8" s="16" t="s">
        <v>279</v>
      </c>
      <c r="F8" s="16" t="s">
        <v>24</v>
      </c>
      <c r="G8" s="16">
        <v>70000</v>
      </c>
      <c r="H8" s="16" t="s">
        <v>28</v>
      </c>
      <c r="I8" s="16" t="s">
        <v>29</v>
      </c>
      <c r="J8" s="17">
        <v>0.93055555555555547</v>
      </c>
      <c r="K8" s="18">
        <v>0.94513888888888886</v>
      </c>
      <c r="L8" s="17">
        <v>0.76388888888888884</v>
      </c>
      <c r="M8" s="18">
        <v>0.77083333333333337</v>
      </c>
      <c r="N8" s="16" t="s">
        <v>288</v>
      </c>
      <c r="O8" s="16" t="s">
        <v>110</v>
      </c>
      <c r="P8" s="16">
        <v>894</v>
      </c>
      <c r="Q8" s="16">
        <v>1028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19">
        <v>44671</v>
      </c>
      <c r="B9" s="15" t="s">
        <v>243</v>
      </c>
      <c r="C9" s="2" t="s">
        <v>283</v>
      </c>
      <c r="D9" s="2" t="s">
        <v>245</v>
      </c>
      <c r="E9" s="2" t="s">
        <v>246</v>
      </c>
      <c r="F9" s="2" t="s">
        <v>247</v>
      </c>
      <c r="G9" s="2">
        <v>1600</v>
      </c>
      <c r="H9" s="2" t="s">
        <v>118</v>
      </c>
      <c r="I9" s="2" t="s">
        <v>246</v>
      </c>
      <c r="J9" s="4" t="s">
        <v>118</v>
      </c>
      <c r="K9" s="5" t="s">
        <v>118</v>
      </c>
      <c r="L9" s="4">
        <v>0.54166666666666663</v>
      </c>
      <c r="M9" s="2" t="s">
        <v>248</v>
      </c>
      <c r="N9" s="2" t="s">
        <v>118</v>
      </c>
      <c r="O9" s="2">
        <v>1</v>
      </c>
      <c r="P9" s="2" t="s">
        <v>118</v>
      </c>
      <c r="Q9" s="2" t="s">
        <v>118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7"/>
    </sheetView>
  </sheetViews>
  <sheetFormatPr defaultRowHeight="15" x14ac:dyDescent="0.25"/>
  <cols>
    <col min="3" max="3" width="14.85546875" customWidth="1"/>
    <col min="4" max="4" width="8.28515625" customWidth="1"/>
    <col min="6" max="6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44672</v>
      </c>
      <c r="B2" s="2" t="s">
        <v>21</v>
      </c>
      <c r="C2" s="2" t="s">
        <v>56</v>
      </c>
      <c r="D2" s="2" t="s">
        <v>23</v>
      </c>
      <c r="E2" s="2" t="s">
        <v>170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0.44513888888888892</v>
      </c>
      <c r="L2" s="4">
        <v>0.25694444444444448</v>
      </c>
      <c r="M2" s="5">
        <v>0.26319444444444445</v>
      </c>
      <c r="N2" s="2" t="s">
        <v>178</v>
      </c>
      <c r="O2" s="2" t="s">
        <v>291</v>
      </c>
      <c r="P2" s="2">
        <v>273</v>
      </c>
      <c r="Q2" s="2">
        <v>409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44672</v>
      </c>
      <c r="B3" s="2" t="s">
        <v>21</v>
      </c>
      <c r="C3" s="2" t="s">
        <v>207</v>
      </c>
      <c r="D3" s="2" t="s">
        <v>23</v>
      </c>
      <c r="E3" s="2" t="s">
        <v>279</v>
      </c>
      <c r="F3" s="2" t="s">
        <v>24</v>
      </c>
      <c r="G3" s="2">
        <v>70000</v>
      </c>
      <c r="H3" s="2" t="s">
        <v>208</v>
      </c>
      <c r="I3" s="2" t="s">
        <v>209</v>
      </c>
      <c r="J3" s="4">
        <v>0.43402777777777773</v>
      </c>
      <c r="K3" s="5">
        <v>0.42430555555555555</v>
      </c>
      <c r="L3" s="4">
        <v>0.28472222222222221</v>
      </c>
      <c r="M3" s="5">
        <v>0.2902777777777778</v>
      </c>
      <c r="N3" s="2" t="s">
        <v>250</v>
      </c>
      <c r="O3" s="2" t="s">
        <v>250</v>
      </c>
      <c r="P3" s="2">
        <v>479</v>
      </c>
      <c r="Q3" s="2">
        <v>582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44672</v>
      </c>
      <c r="B4" s="2" t="s">
        <v>21</v>
      </c>
      <c r="C4" s="2" t="s">
        <v>150</v>
      </c>
      <c r="D4" s="2" t="s">
        <v>23</v>
      </c>
      <c r="E4" s="2" t="s">
        <v>289</v>
      </c>
      <c r="F4" s="2" t="s">
        <v>24</v>
      </c>
      <c r="G4" s="3">
        <v>70000</v>
      </c>
      <c r="H4" s="2" t="s">
        <v>61</v>
      </c>
      <c r="I4" s="2" t="s">
        <v>66</v>
      </c>
      <c r="J4" s="4">
        <v>0.46527777777777773</v>
      </c>
      <c r="K4" s="5">
        <v>0.4680555555555555</v>
      </c>
      <c r="L4" s="4">
        <v>0.48958333333333331</v>
      </c>
      <c r="M4" s="5">
        <v>0.51597222222222217</v>
      </c>
      <c r="N4" s="2" t="s">
        <v>46</v>
      </c>
      <c r="O4" s="2" t="s">
        <v>266</v>
      </c>
      <c r="P4" s="2">
        <v>991</v>
      </c>
      <c r="Q4" s="2">
        <v>797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44672</v>
      </c>
      <c r="B5" s="2" t="s">
        <v>21</v>
      </c>
      <c r="C5" s="2" t="s">
        <v>213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211</v>
      </c>
      <c r="I5" s="2" t="s">
        <v>212</v>
      </c>
      <c r="J5" s="4">
        <v>0.89930555555555547</v>
      </c>
      <c r="K5" s="5">
        <v>0.89097222222222217</v>
      </c>
      <c r="L5" s="4">
        <v>0.47569444444444442</v>
      </c>
      <c r="M5" s="5">
        <v>0.47916666666666669</v>
      </c>
      <c r="N5" s="2" t="s">
        <v>295</v>
      </c>
      <c r="O5" s="2" t="s">
        <v>292</v>
      </c>
      <c r="P5" s="2">
        <v>225</v>
      </c>
      <c r="Q5" s="2">
        <v>215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44672</v>
      </c>
      <c r="B6" s="2" t="s">
        <v>21</v>
      </c>
      <c r="C6" s="6" t="s">
        <v>76</v>
      </c>
      <c r="D6" s="6" t="s">
        <v>23</v>
      </c>
      <c r="E6" s="2" t="s">
        <v>290</v>
      </c>
      <c r="F6" s="6" t="s">
        <v>24</v>
      </c>
      <c r="G6" s="14">
        <v>70000</v>
      </c>
      <c r="H6" s="6" t="s">
        <v>77</v>
      </c>
      <c r="I6" s="6" t="s">
        <v>84</v>
      </c>
      <c r="J6" s="7">
        <v>0.66666666666666663</v>
      </c>
      <c r="K6" s="8">
        <v>0.66388888888888886</v>
      </c>
      <c r="L6" s="7">
        <v>0.51388888888888895</v>
      </c>
      <c r="M6" s="9">
        <v>0.52013888888888882</v>
      </c>
      <c r="N6" s="2" t="s">
        <v>294</v>
      </c>
      <c r="O6" s="2" t="s">
        <v>293</v>
      </c>
      <c r="P6" s="10">
        <v>168</v>
      </c>
      <c r="Q6" s="10">
        <v>185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44672</v>
      </c>
      <c r="B7" s="2" t="s">
        <v>21</v>
      </c>
      <c r="C7" s="2" t="s">
        <v>81</v>
      </c>
      <c r="D7" s="2" t="s">
        <v>23</v>
      </c>
      <c r="E7" s="2" t="s">
        <v>290</v>
      </c>
      <c r="F7" s="2" t="s">
        <v>24</v>
      </c>
      <c r="G7" s="3">
        <v>70000</v>
      </c>
      <c r="H7" s="2" t="s">
        <v>82</v>
      </c>
      <c r="I7" s="2" t="s">
        <v>83</v>
      </c>
      <c r="J7" s="4">
        <v>0.93055555555555547</v>
      </c>
      <c r="K7" s="5">
        <v>0.92708333333333337</v>
      </c>
      <c r="L7" s="4">
        <v>0.69444444444444453</v>
      </c>
      <c r="M7" s="5">
        <v>0.6972222222222223</v>
      </c>
      <c r="N7" s="2" t="s">
        <v>296</v>
      </c>
      <c r="O7" s="2" t="s">
        <v>251</v>
      </c>
      <c r="P7" s="2">
        <v>516</v>
      </c>
      <c r="Q7" s="2">
        <v>780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8"/>
    </sheetView>
  </sheetViews>
  <sheetFormatPr defaultRowHeight="15" x14ac:dyDescent="0.25"/>
  <cols>
    <col min="1" max="1" width="10.140625" style="21" bestFit="1" customWidth="1"/>
    <col min="2" max="2" width="18.140625" style="21" bestFit="1" customWidth="1"/>
    <col min="3" max="3" width="13.7109375" style="21" customWidth="1"/>
    <col min="4" max="4" width="7.85546875" style="21" customWidth="1"/>
    <col min="5" max="5" width="9.140625" style="21"/>
    <col min="6" max="6" width="21.140625" style="21" bestFit="1" customWidth="1"/>
    <col min="7" max="16384" width="9.140625" style="2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44673</v>
      </c>
      <c r="B2" s="2" t="s">
        <v>21</v>
      </c>
      <c r="C2" s="2" t="s">
        <v>30</v>
      </c>
      <c r="D2" s="2" t="s">
        <v>23</v>
      </c>
      <c r="E2" s="2" t="s">
        <v>290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0.43124999999999997</v>
      </c>
      <c r="L2" s="4">
        <v>0.25694444444444448</v>
      </c>
      <c r="M2" s="5">
        <v>0.26041666666666669</v>
      </c>
      <c r="N2" s="2" t="s">
        <v>298</v>
      </c>
      <c r="O2" s="2" t="s">
        <v>159</v>
      </c>
      <c r="P2" s="2">
        <v>950</v>
      </c>
      <c r="Q2" s="2">
        <v>829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44673</v>
      </c>
      <c r="B3" s="2" t="s">
        <v>21</v>
      </c>
      <c r="C3" s="6" t="s">
        <v>40</v>
      </c>
      <c r="D3" s="2" t="s">
        <v>23</v>
      </c>
      <c r="E3" s="2" t="s">
        <v>279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0.51250000000000007</v>
      </c>
      <c r="L3" s="7">
        <v>0.28472222222222221</v>
      </c>
      <c r="M3" s="9">
        <v>0.28888888888888892</v>
      </c>
      <c r="N3" s="2" t="s">
        <v>306</v>
      </c>
      <c r="O3" s="2" t="s">
        <v>297</v>
      </c>
      <c r="P3" s="10">
        <v>364</v>
      </c>
      <c r="Q3" s="10">
        <v>492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44673</v>
      </c>
      <c r="B4" s="2" t="s">
        <v>21</v>
      </c>
      <c r="C4" s="2" t="s">
        <v>22</v>
      </c>
      <c r="D4" s="2" t="s">
        <v>23</v>
      </c>
      <c r="E4" s="2" t="s">
        <v>290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0.61111111111111105</v>
      </c>
      <c r="L4" s="4">
        <v>0.45833333333333331</v>
      </c>
      <c r="M4" s="5">
        <v>0.4604166666666667</v>
      </c>
      <c r="N4" s="2" t="s">
        <v>252</v>
      </c>
      <c r="O4" s="2" t="s">
        <v>307</v>
      </c>
      <c r="P4" s="2">
        <v>763</v>
      </c>
      <c r="Q4" s="2">
        <v>933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44673</v>
      </c>
      <c r="B5" s="2" t="s">
        <v>21</v>
      </c>
      <c r="C5" s="2" t="s">
        <v>27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0.7055555555555556</v>
      </c>
      <c r="L5" s="4">
        <v>0.54861111111111105</v>
      </c>
      <c r="M5" s="5">
        <v>0.54791666666666672</v>
      </c>
      <c r="N5" s="2" t="s">
        <v>309</v>
      </c>
      <c r="O5" s="2" t="s">
        <v>308</v>
      </c>
      <c r="P5" s="2">
        <v>1188</v>
      </c>
      <c r="Q5" s="2">
        <v>1245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44673</v>
      </c>
      <c r="B6" s="2" t="s">
        <v>21</v>
      </c>
      <c r="C6" s="2" t="s">
        <v>37</v>
      </c>
      <c r="D6" s="2" t="s">
        <v>23</v>
      </c>
      <c r="E6" s="2" t="s">
        <v>290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0.77430555555555547</v>
      </c>
      <c r="L6" s="4">
        <v>0.63888888888888895</v>
      </c>
      <c r="M6" s="5">
        <v>0.65625</v>
      </c>
      <c r="N6" s="2" t="s">
        <v>311</v>
      </c>
      <c r="O6" s="2" t="s">
        <v>310</v>
      </c>
      <c r="P6" s="2">
        <v>332</v>
      </c>
      <c r="Q6" s="2">
        <v>543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44673</v>
      </c>
      <c r="B7" s="2" t="s">
        <v>21</v>
      </c>
      <c r="C7" s="2" t="s">
        <v>34</v>
      </c>
      <c r="D7" s="2" t="s">
        <v>23</v>
      </c>
      <c r="E7" s="2" t="s">
        <v>290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0.98402777777777783</v>
      </c>
      <c r="L7" s="4">
        <v>0.77430555555555547</v>
      </c>
      <c r="M7" s="5">
        <v>0.80902777777777779</v>
      </c>
      <c r="N7" s="2" t="s">
        <v>313</v>
      </c>
      <c r="O7" s="2" t="s">
        <v>312</v>
      </c>
      <c r="P7" s="2">
        <v>667</v>
      </c>
      <c r="Q7" s="2">
        <v>758</v>
      </c>
      <c r="R7" s="2">
        <v>0</v>
      </c>
      <c r="S7" s="2">
        <v>0</v>
      </c>
      <c r="T7" s="2">
        <v>0</v>
      </c>
      <c r="U7" s="2">
        <v>0</v>
      </c>
    </row>
    <row r="8" spans="1:21" s="2" customFormat="1" ht="12.75" x14ac:dyDescent="0.25">
      <c r="A8" s="12">
        <v>44673</v>
      </c>
      <c r="B8" s="2" t="s">
        <v>299</v>
      </c>
      <c r="C8" s="2" t="s">
        <v>300</v>
      </c>
      <c r="D8" s="2" t="s">
        <v>301</v>
      </c>
      <c r="E8" s="2" t="s">
        <v>302</v>
      </c>
      <c r="F8" s="2" t="s">
        <v>303</v>
      </c>
      <c r="G8" s="2">
        <v>75000</v>
      </c>
      <c r="H8" s="2" t="s">
        <v>304</v>
      </c>
      <c r="I8" s="2" t="s">
        <v>304</v>
      </c>
      <c r="J8" s="4">
        <v>0.43055555555555558</v>
      </c>
      <c r="K8" s="5">
        <v>0.44166666666666665</v>
      </c>
      <c r="L8" s="4">
        <v>0.47222222222222227</v>
      </c>
      <c r="M8" s="5">
        <v>0.48680555555555555</v>
      </c>
      <c r="N8" s="2" t="s">
        <v>305</v>
      </c>
      <c r="O8" s="2">
        <v>0</v>
      </c>
      <c r="P8" s="2">
        <v>967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XFD5"/>
    </sheetView>
  </sheetViews>
  <sheetFormatPr defaultRowHeight="15" x14ac:dyDescent="0.25"/>
  <cols>
    <col min="3" max="3" width="15.5703125" customWidth="1"/>
    <col min="4" max="4" width="8.2851562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44674</v>
      </c>
      <c r="B2" s="2" t="s">
        <v>21</v>
      </c>
      <c r="C2" s="2" t="s">
        <v>56</v>
      </c>
      <c r="D2" s="2" t="s">
        <v>23</v>
      </c>
      <c r="E2" s="2" t="s">
        <v>279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0.48402777777777778</v>
      </c>
      <c r="L2" s="4">
        <v>0.25694444444444448</v>
      </c>
      <c r="M2" s="5">
        <v>0.30416666666666664</v>
      </c>
      <c r="N2" s="2" t="s">
        <v>314</v>
      </c>
      <c r="O2" s="2" t="s">
        <v>314</v>
      </c>
      <c r="P2" s="2">
        <v>252</v>
      </c>
      <c r="Q2" s="2">
        <v>542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44674</v>
      </c>
      <c r="B3" s="2" t="s">
        <v>21</v>
      </c>
      <c r="C3" s="2" t="s">
        <v>57</v>
      </c>
      <c r="D3" s="2" t="s">
        <v>23</v>
      </c>
      <c r="E3" s="2" t="s">
        <v>290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0.49513888888888885</v>
      </c>
      <c r="L3" s="4">
        <v>0.28125</v>
      </c>
      <c r="M3" s="5">
        <v>0.31111111111111112</v>
      </c>
      <c r="N3" s="2" t="s">
        <v>315</v>
      </c>
      <c r="O3" s="2" t="s">
        <v>263</v>
      </c>
      <c r="P3" s="2">
        <v>980</v>
      </c>
      <c r="Q3" s="2">
        <v>875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44674</v>
      </c>
      <c r="B4" s="2" t="s">
        <v>21</v>
      </c>
      <c r="C4" s="2" t="s">
        <v>58</v>
      </c>
      <c r="D4" s="2" t="s">
        <v>23</v>
      </c>
      <c r="E4" s="2" t="s">
        <v>279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0.93194444444444446</v>
      </c>
      <c r="L4" s="4">
        <v>0.48958333333333331</v>
      </c>
      <c r="M4" s="5">
        <v>0.52013888888888882</v>
      </c>
      <c r="N4" s="2" t="s">
        <v>317</v>
      </c>
      <c r="O4" s="2" t="s">
        <v>316</v>
      </c>
      <c r="P4" s="2">
        <v>884</v>
      </c>
      <c r="Q4" s="2">
        <v>950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44674</v>
      </c>
      <c r="B5" s="2" t="s">
        <v>21</v>
      </c>
      <c r="C5" s="2" t="s">
        <v>59</v>
      </c>
      <c r="D5" s="2" t="s">
        <v>23</v>
      </c>
      <c r="E5" s="2" t="s">
        <v>290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0.92222222222222217</v>
      </c>
      <c r="L5" s="4">
        <v>0.50347222222222221</v>
      </c>
      <c r="M5" s="5">
        <v>0.52847222222222223</v>
      </c>
      <c r="N5" s="2" t="s">
        <v>318</v>
      </c>
      <c r="O5" s="2" t="s">
        <v>256</v>
      </c>
      <c r="P5" s="2">
        <v>1013</v>
      </c>
      <c r="Q5" s="2">
        <v>893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C8" sqref="C8"/>
    </sheetView>
  </sheetViews>
  <sheetFormatPr defaultRowHeight="15" x14ac:dyDescent="0.25"/>
  <cols>
    <col min="3" max="3" width="14.28515625" customWidth="1"/>
    <col min="4" max="4" width="7.710937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44675</v>
      </c>
      <c r="B2" s="6" t="s">
        <v>21</v>
      </c>
      <c r="C2" s="2" t="s">
        <v>56</v>
      </c>
      <c r="D2" s="2" t="s">
        <v>23</v>
      </c>
      <c r="E2" s="2" t="s">
        <v>279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0.45902777777777781</v>
      </c>
      <c r="L2" s="4">
        <v>0.25694444444444448</v>
      </c>
      <c r="M2" s="5">
        <v>0.27083333333333331</v>
      </c>
      <c r="N2" s="2" t="s">
        <v>321</v>
      </c>
      <c r="O2" s="2" t="s">
        <v>319</v>
      </c>
      <c r="P2" s="2">
        <v>164</v>
      </c>
      <c r="Q2" s="2">
        <v>433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44675</v>
      </c>
      <c r="B3" s="2" t="s">
        <v>21</v>
      </c>
      <c r="C3" s="2" t="s">
        <v>207</v>
      </c>
      <c r="D3" s="2" t="s">
        <v>23</v>
      </c>
      <c r="E3" s="2" t="s">
        <v>290</v>
      </c>
      <c r="F3" s="2" t="s">
        <v>24</v>
      </c>
      <c r="G3" s="2">
        <v>70000</v>
      </c>
      <c r="H3" s="2" t="s">
        <v>208</v>
      </c>
      <c r="I3" s="2" t="s">
        <v>209</v>
      </c>
      <c r="J3" s="4">
        <v>0.44791666666666669</v>
      </c>
      <c r="K3" s="5">
        <v>0.42083333333333334</v>
      </c>
      <c r="L3" s="4">
        <v>0.28472222222222221</v>
      </c>
      <c r="M3" s="5">
        <v>0.28680555555555554</v>
      </c>
      <c r="N3" s="2" t="s">
        <v>320</v>
      </c>
      <c r="O3" s="2" t="s">
        <v>166</v>
      </c>
      <c r="P3" s="2">
        <v>490</v>
      </c>
      <c r="Q3" s="2">
        <v>839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44675</v>
      </c>
      <c r="B4" s="6" t="s">
        <v>21</v>
      </c>
      <c r="C4" s="6" t="s">
        <v>76</v>
      </c>
      <c r="D4" s="6" t="s">
        <v>23</v>
      </c>
      <c r="E4" s="2" t="s">
        <v>290</v>
      </c>
      <c r="F4" s="6" t="s">
        <v>24</v>
      </c>
      <c r="G4" s="14">
        <v>70000</v>
      </c>
      <c r="H4" s="6" t="s">
        <v>77</v>
      </c>
      <c r="I4" s="6" t="s">
        <v>84</v>
      </c>
      <c r="J4" s="7">
        <v>0.61805555555555558</v>
      </c>
      <c r="K4" s="8">
        <v>0.6166666666666667</v>
      </c>
      <c r="L4" s="7">
        <v>0.46527777777777773</v>
      </c>
      <c r="M4" s="9">
        <v>0.46319444444444446</v>
      </c>
      <c r="N4" s="2" t="s">
        <v>324</v>
      </c>
      <c r="O4" s="2" t="s">
        <v>322</v>
      </c>
      <c r="P4" s="10">
        <v>344</v>
      </c>
      <c r="Q4" s="10">
        <v>303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12">
        <v>44675</v>
      </c>
      <c r="B5" s="2" t="s">
        <v>21</v>
      </c>
      <c r="C5" s="2" t="s">
        <v>78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79</v>
      </c>
      <c r="I5" s="2" t="s">
        <v>80</v>
      </c>
      <c r="J5" s="4">
        <v>0.64583333333333337</v>
      </c>
      <c r="K5" s="5">
        <v>0.65069444444444446</v>
      </c>
      <c r="L5" s="4">
        <v>0.48958333333333331</v>
      </c>
      <c r="M5" s="5">
        <v>0.50208333333333333</v>
      </c>
      <c r="N5" s="2" t="s">
        <v>120</v>
      </c>
      <c r="O5" s="2" t="s">
        <v>323</v>
      </c>
      <c r="P5" s="2">
        <v>403</v>
      </c>
      <c r="Q5" s="2">
        <v>460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44675</v>
      </c>
      <c r="B6" s="2" t="s">
        <v>21</v>
      </c>
      <c r="C6" s="2" t="s">
        <v>213</v>
      </c>
      <c r="D6" s="2" t="s">
        <v>23</v>
      </c>
      <c r="E6" s="2" t="s">
        <v>290</v>
      </c>
      <c r="F6" s="2" t="s">
        <v>24</v>
      </c>
      <c r="G6" s="3">
        <v>70000</v>
      </c>
      <c r="H6" s="2" t="s">
        <v>211</v>
      </c>
      <c r="I6" s="2" t="s">
        <v>212</v>
      </c>
      <c r="J6" s="4">
        <v>0.85763888888888884</v>
      </c>
      <c r="K6" s="5">
        <v>0.8618055555555556</v>
      </c>
      <c r="L6" s="4">
        <v>0.63888888888888895</v>
      </c>
      <c r="M6" s="5">
        <v>0.65972222222222221</v>
      </c>
      <c r="N6" s="2" t="s">
        <v>320</v>
      </c>
      <c r="O6" s="2" t="s">
        <v>313</v>
      </c>
      <c r="P6" s="2">
        <v>457</v>
      </c>
      <c r="Q6" s="2">
        <v>745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44675</v>
      </c>
      <c r="B7" s="2" t="s">
        <v>21</v>
      </c>
      <c r="C7" s="2" t="s">
        <v>81</v>
      </c>
      <c r="D7" s="2" t="s">
        <v>23</v>
      </c>
      <c r="E7" s="2" t="s">
        <v>279</v>
      </c>
      <c r="F7" s="2" t="s">
        <v>24</v>
      </c>
      <c r="G7" s="3">
        <v>70000</v>
      </c>
      <c r="H7" s="2" t="s">
        <v>82</v>
      </c>
      <c r="I7" s="2" t="s">
        <v>83</v>
      </c>
      <c r="J7" s="4">
        <v>0.90277777777777779</v>
      </c>
      <c r="K7" s="5">
        <v>0.90069444444444446</v>
      </c>
      <c r="L7" s="4">
        <v>0.66666666666666663</v>
      </c>
      <c r="M7" s="5">
        <v>0.6875</v>
      </c>
      <c r="N7" s="2" t="s">
        <v>326</v>
      </c>
      <c r="O7" s="2" t="s">
        <v>325</v>
      </c>
      <c r="P7" s="2">
        <v>721</v>
      </c>
      <c r="Q7" s="2">
        <v>922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7" sqref="A7:XFD7"/>
    </sheetView>
  </sheetViews>
  <sheetFormatPr defaultRowHeight="15" x14ac:dyDescent="0.25"/>
  <cols>
    <col min="1" max="1" width="10.140625" bestFit="1" customWidth="1"/>
    <col min="3" max="3" width="19.85546875" bestFit="1" customWidth="1"/>
    <col min="4" max="4" width="7.85546875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44676</v>
      </c>
      <c r="B2" s="2" t="s">
        <v>21</v>
      </c>
      <c r="C2" s="2" t="s">
        <v>30</v>
      </c>
      <c r="D2" s="2" t="s">
        <v>23</v>
      </c>
      <c r="E2" s="2" t="s">
        <v>290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0.43888888888888888</v>
      </c>
      <c r="L2" s="4">
        <v>0.25694444444444448</v>
      </c>
      <c r="M2" s="5">
        <v>0.26597222222222222</v>
      </c>
      <c r="N2" s="2" t="s">
        <v>305</v>
      </c>
      <c r="O2" s="2" t="s">
        <v>74</v>
      </c>
      <c r="P2" s="2">
        <v>857</v>
      </c>
      <c r="Q2" s="2">
        <v>877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44676</v>
      </c>
      <c r="B3" s="2" t="s">
        <v>21</v>
      </c>
      <c r="C3" s="6" t="s">
        <v>40</v>
      </c>
      <c r="D3" s="2" t="s">
        <v>23</v>
      </c>
      <c r="E3" s="2" t="s">
        <v>279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0.51180555555555551</v>
      </c>
      <c r="L3" s="7">
        <v>0.28472222222222221</v>
      </c>
      <c r="M3" s="9">
        <v>0.2986111111111111</v>
      </c>
      <c r="N3" s="2" t="s">
        <v>330</v>
      </c>
      <c r="O3" s="2" t="s">
        <v>327</v>
      </c>
      <c r="P3" s="10">
        <v>377</v>
      </c>
      <c r="Q3" s="10">
        <v>536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44676</v>
      </c>
      <c r="B4" s="2" t="s">
        <v>21</v>
      </c>
      <c r="C4" s="2" t="s">
        <v>22</v>
      </c>
      <c r="D4" s="2" t="s">
        <v>23</v>
      </c>
      <c r="E4" s="2" t="s">
        <v>290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0.60277777777777775</v>
      </c>
      <c r="L4" s="4">
        <v>0.45833333333333331</v>
      </c>
      <c r="M4" s="5">
        <v>0.46458333333333335</v>
      </c>
      <c r="N4" s="2" t="s">
        <v>333</v>
      </c>
      <c r="O4" s="2" t="s">
        <v>331</v>
      </c>
      <c r="P4" s="2">
        <v>1060</v>
      </c>
      <c r="Q4" s="2">
        <v>1033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44676</v>
      </c>
      <c r="B5" s="2" t="s">
        <v>21</v>
      </c>
      <c r="C5" s="2" t="s">
        <v>27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0.7006944444444444</v>
      </c>
      <c r="L5" s="4">
        <v>0.54861111111111105</v>
      </c>
      <c r="M5" s="5">
        <v>0.5444444444444444</v>
      </c>
      <c r="N5" s="2" t="s">
        <v>335</v>
      </c>
      <c r="O5" s="2" t="s">
        <v>332</v>
      </c>
      <c r="P5" s="2">
        <v>813</v>
      </c>
      <c r="Q5" s="2">
        <v>1275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44676</v>
      </c>
      <c r="B6" s="2" t="s">
        <v>21</v>
      </c>
      <c r="C6" s="2" t="s">
        <v>37</v>
      </c>
      <c r="D6" s="2" t="s">
        <v>23</v>
      </c>
      <c r="E6" s="2" t="s">
        <v>290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0.74583333333333324</v>
      </c>
      <c r="L6" s="4">
        <v>0.63888888888888895</v>
      </c>
      <c r="M6" s="5">
        <v>0.6381944444444444</v>
      </c>
      <c r="N6" s="2" t="s">
        <v>336</v>
      </c>
      <c r="O6" s="2" t="s">
        <v>334</v>
      </c>
      <c r="P6" s="2">
        <v>347</v>
      </c>
      <c r="Q6" s="2">
        <v>408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44676</v>
      </c>
      <c r="B7" s="2" t="s">
        <v>21</v>
      </c>
      <c r="C7" s="2" t="s">
        <v>34</v>
      </c>
      <c r="D7" s="2" t="s">
        <v>23</v>
      </c>
      <c r="E7" s="2" t="s">
        <v>290</v>
      </c>
      <c r="F7" s="2" t="s">
        <v>24</v>
      </c>
      <c r="G7" s="3">
        <v>70000</v>
      </c>
      <c r="H7" s="2" t="s">
        <v>35</v>
      </c>
      <c r="I7" s="2" t="s">
        <v>36</v>
      </c>
      <c r="J7" s="4">
        <v>0.95486111111111116</v>
      </c>
      <c r="K7" s="5">
        <v>0.94027777777777777</v>
      </c>
      <c r="L7" s="4">
        <v>0.77430555555555547</v>
      </c>
      <c r="M7" s="5">
        <v>0.77361111111111114</v>
      </c>
      <c r="N7" s="2" t="s">
        <v>337</v>
      </c>
      <c r="O7" s="2" t="s">
        <v>288</v>
      </c>
      <c r="P7" s="2">
        <v>722</v>
      </c>
      <c r="Q7" s="2">
        <v>593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44676</v>
      </c>
      <c r="B8" s="2" t="s">
        <v>96</v>
      </c>
      <c r="C8" s="2" t="s">
        <v>328</v>
      </c>
      <c r="D8" s="2" t="s">
        <v>98</v>
      </c>
      <c r="E8" s="2" t="s">
        <v>329</v>
      </c>
      <c r="F8" s="2" t="s">
        <v>100</v>
      </c>
      <c r="G8" s="3">
        <v>2760</v>
      </c>
      <c r="H8" s="2" t="s">
        <v>118</v>
      </c>
      <c r="I8" s="2" t="s">
        <v>118</v>
      </c>
      <c r="J8" s="4">
        <v>0.47916666666666669</v>
      </c>
      <c r="K8" s="5">
        <v>0.48749999999999999</v>
      </c>
      <c r="L8" s="4">
        <v>0.45833333333333331</v>
      </c>
      <c r="M8" s="5">
        <v>0.45069444444444445</v>
      </c>
      <c r="N8" s="2" t="s">
        <v>249</v>
      </c>
      <c r="O8" s="2" t="s">
        <v>249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O6" sqref="O6"/>
    </sheetView>
  </sheetViews>
  <sheetFormatPr defaultRowHeight="15" x14ac:dyDescent="0.25"/>
  <cols>
    <col min="3" max="3" width="13.5703125" bestFit="1" customWidth="1"/>
    <col min="4" max="4" width="8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44677</v>
      </c>
      <c r="B2" s="2" t="s">
        <v>21</v>
      </c>
      <c r="C2" s="2" t="s">
        <v>56</v>
      </c>
      <c r="D2" s="2" t="s">
        <v>23</v>
      </c>
      <c r="E2" s="2" t="s">
        <v>279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0.44791666666666669</v>
      </c>
      <c r="L2" s="4">
        <v>0.25694444444444448</v>
      </c>
      <c r="M2" s="5">
        <v>0.26527777777777778</v>
      </c>
      <c r="N2" s="2" t="s">
        <v>339</v>
      </c>
      <c r="O2" s="2" t="s">
        <v>139</v>
      </c>
      <c r="P2" s="2">
        <v>121</v>
      </c>
      <c r="Q2" s="2">
        <v>238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44677</v>
      </c>
      <c r="B3" s="2" t="s">
        <v>21</v>
      </c>
      <c r="C3" s="2" t="s">
        <v>57</v>
      </c>
      <c r="D3" s="2" t="s">
        <v>23</v>
      </c>
      <c r="E3" s="2" t="s">
        <v>290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0.46527777777777773</v>
      </c>
      <c r="L3" s="4">
        <v>0.28125</v>
      </c>
      <c r="M3" s="5">
        <v>0.28194444444444444</v>
      </c>
      <c r="N3" s="2" t="s">
        <v>298</v>
      </c>
      <c r="O3" s="2" t="s">
        <v>338</v>
      </c>
      <c r="P3" s="2">
        <v>964</v>
      </c>
      <c r="Q3" s="2">
        <v>887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44677</v>
      </c>
      <c r="B4" s="2" t="s">
        <v>21</v>
      </c>
      <c r="C4" s="2" t="s">
        <v>58</v>
      </c>
      <c r="D4" s="2" t="s">
        <v>23</v>
      </c>
      <c r="E4" s="2" t="s">
        <v>279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0.93055555555555547</v>
      </c>
      <c r="L4" s="4">
        <v>0.48958333333333331</v>
      </c>
      <c r="M4" s="5">
        <v>0.50347222222222221</v>
      </c>
      <c r="N4" s="2" t="s">
        <v>340</v>
      </c>
      <c r="O4" s="2" t="s">
        <v>365</v>
      </c>
      <c r="P4" s="2">
        <v>1229</v>
      </c>
      <c r="Q4" s="2">
        <v>667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44677</v>
      </c>
      <c r="B5" s="2" t="s">
        <v>21</v>
      </c>
      <c r="C5" s="2" t="s">
        <v>59</v>
      </c>
      <c r="D5" s="2" t="s">
        <v>23</v>
      </c>
      <c r="E5" s="2" t="s">
        <v>290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0.90208333333333324</v>
      </c>
      <c r="L5" s="4">
        <v>0.50347222222222221</v>
      </c>
      <c r="M5" s="5">
        <v>0.50972222222222219</v>
      </c>
      <c r="N5" s="2" t="s">
        <v>341</v>
      </c>
      <c r="O5" s="2" t="s">
        <v>366</v>
      </c>
      <c r="P5" s="2">
        <v>683</v>
      </c>
      <c r="Q5" s="2">
        <v>751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B1" workbookViewId="0">
      <selection activeCell="O6" sqref="O6"/>
    </sheetView>
  </sheetViews>
  <sheetFormatPr defaultRowHeight="15" x14ac:dyDescent="0.25"/>
  <cols>
    <col min="1" max="1" width="14.28515625" bestFit="1" customWidth="1"/>
    <col min="2" max="2" width="15" customWidth="1"/>
    <col min="3" max="3" width="14.28515625" customWidth="1"/>
    <col min="4" max="4" width="7.85546875" customWidth="1"/>
    <col min="6" max="6" width="17.7109375" customWidth="1"/>
    <col min="14" max="14" width="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44678</v>
      </c>
      <c r="B2" s="16" t="s">
        <v>21</v>
      </c>
      <c r="C2" s="16" t="s">
        <v>30</v>
      </c>
      <c r="D2" s="16" t="s">
        <v>23</v>
      </c>
      <c r="E2" s="16" t="s">
        <v>279</v>
      </c>
      <c r="F2" s="2" t="s">
        <v>24</v>
      </c>
      <c r="G2" s="16">
        <v>70000</v>
      </c>
      <c r="H2" s="16" t="s">
        <v>31</v>
      </c>
      <c r="I2" s="16" t="s">
        <v>32</v>
      </c>
      <c r="J2" s="17">
        <v>0.42708333333333331</v>
      </c>
      <c r="K2" s="18">
        <v>0.42499999999999999</v>
      </c>
      <c r="L2" s="17">
        <v>0.25694444444444448</v>
      </c>
      <c r="M2" s="18">
        <v>0.26111111111111113</v>
      </c>
      <c r="N2" s="16" t="s">
        <v>343</v>
      </c>
      <c r="O2" s="16" t="s">
        <v>342</v>
      </c>
      <c r="P2" s="16">
        <v>819</v>
      </c>
      <c r="Q2" s="16">
        <v>532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9">
        <v>44678</v>
      </c>
      <c r="B3" s="16" t="s">
        <v>21</v>
      </c>
      <c r="C3" s="16" t="s">
        <v>40</v>
      </c>
      <c r="D3" s="16" t="s">
        <v>23</v>
      </c>
      <c r="E3" s="16" t="s">
        <v>290</v>
      </c>
      <c r="F3" s="2" t="s">
        <v>24</v>
      </c>
      <c r="G3" s="16">
        <v>70000</v>
      </c>
      <c r="H3" s="16" t="s">
        <v>41</v>
      </c>
      <c r="I3" s="16" t="s">
        <v>42</v>
      </c>
      <c r="J3" s="17">
        <v>0.51388888888888895</v>
      </c>
      <c r="K3" s="18">
        <v>0.53333333333333333</v>
      </c>
      <c r="L3" s="17">
        <v>0.28125</v>
      </c>
      <c r="M3" s="18">
        <v>0.29236111111111113</v>
      </c>
      <c r="N3" s="16" t="s">
        <v>344</v>
      </c>
      <c r="O3" s="16" t="s">
        <v>73</v>
      </c>
      <c r="P3" s="16">
        <v>232</v>
      </c>
      <c r="Q3" s="16">
        <v>399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9">
        <v>44678</v>
      </c>
      <c r="B4" s="16" t="s">
        <v>21</v>
      </c>
      <c r="C4" s="16" t="s">
        <v>22</v>
      </c>
      <c r="D4" s="16" t="s">
        <v>23</v>
      </c>
      <c r="E4" s="16" t="s">
        <v>279</v>
      </c>
      <c r="F4" s="2" t="s">
        <v>24</v>
      </c>
      <c r="G4" s="16">
        <v>70000</v>
      </c>
      <c r="H4" s="16" t="s">
        <v>25</v>
      </c>
      <c r="I4" s="16" t="s">
        <v>26</v>
      </c>
      <c r="J4" s="17">
        <v>0.59722222222222221</v>
      </c>
      <c r="K4" s="18">
        <v>0.58680555555555558</v>
      </c>
      <c r="L4" s="17">
        <v>0.44791666666666669</v>
      </c>
      <c r="M4" s="18">
        <v>0.45555555555555555</v>
      </c>
      <c r="N4" s="16" t="s">
        <v>346</v>
      </c>
      <c r="O4" s="16" t="s">
        <v>345</v>
      </c>
      <c r="P4" s="16">
        <v>1187</v>
      </c>
      <c r="Q4" s="16">
        <v>571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9">
        <v>44678</v>
      </c>
      <c r="B5" s="16" t="s">
        <v>21</v>
      </c>
      <c r="C5" s="16" t="s">
        <v>78</v>
      </c>
      <c r="D5" s="16" t="s">
        <v>23</v>
      </c>
      <c r="E5" s="16" t="s">
        <v>290</v>
      </c>
      <c r="F5" s="2" t="s">
        <v>24</v>
      </c>
      <c r="G5" s="16">
        <v>70000</v>
      </c>
      <c r="H5" s="16" t="s">
        <v>79</v>
      </c>
      <c r="I5" s="16" t="s">
        <v>80</v>
      </c>
      <c r="J5" s="17">
        <v>0.69791666666666663</v>
      </c>
      <c r="K5" s="18">
        <v>0.70694444444444438</v>
      </c>
      <c r="L5" s="17">
        <v>0.54166666666666663</v>
      </c>
      <c r="M5" s="18">
        <v>0.56388888888888888</v>
      </c>
      <c r="N5" s="16" t="s">
        <v>348</v>
      </c>
      <c r="O5" s="16" t="s">
        <v>347</v>
      </c>
      <c r="P5" s="16">
        <v>652</v>
      </c>
      <c r="Q5" s="16">
        <v>245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9">
        <v>44678</v>
      </c>
      <c r="B6" s="16" t="s">
        <v>21</v>
      </c>
      <c r="C6" s="16" t="s">
        <v>37</v>
      </c>
      <c r="D6" s="16" t="s">
        <v>23</v>
      </c>
      <c r="E6" s="16" t="s">
        <v>279</v>
      </c>
      <c r="F6" s="16" t="s">
        <v>24</v>
      </c>
      <c r="G6" s="16">
        <v>70000</v>
      </c>
      <c r="H6" s="16" t="s">
        <v>38</v>
      </c>
      <c r="I6" s="16" t="s">
        <v>39</v>
      </c>
      <c r="J6" s="17">
        <v>0.74305555555555547</v>
      </c>
      <c r="K6" s="18">
        <v>0.73749999999999993</v>
      </c>
      <c r="L6" s="17">
        <v>0.62847222222222221</v>
      </c>
      <c r="M6" s="18">
        <v>0.62638888888888888</v>
      </c>
      <c r="N6" s="16" t="s">
        <v>350</v>
      </c>
      <c r="O6" s="16" t="s">
        <v>349</v>
      </c>
      <c r="P6" s="16">
        <v>423</v>
      </c>
      <c r="Q6" s="16">
        <v>507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9">
        <v>44678</v>
      </c>
      <c r="B7" s="16" t="s">
        <v>21</v>
      </c>
      <c r="C7" s="16" t="s">
        <v>34</v>
      </c>
      <c r="D7" s="16" t="s">
        <v>23</v>
      </c>
      <c r="E7" s="16" t="s">
        <v>290</v>
      </c>
      <c r="F7" s="16" t="s">
        <v>24</v>
      </c>
      <c r="G7" s="16">
        <v>70000</v>
      </c>
      <c r="H7" s="16" t="s">
        <v>35</v>
      </c>
      <c r="I7" s="16" t="s">
        <v>36</v>
      </c>
      <c r="J7" s="17">
        <v>0.89930555555555547</v>
      </c>
      <c r="K7" s="18">
        <v>0.91875000000000007</v>
      </c>
      <c r="L7" s="17">
        <v>0.71875</v>
      </c>
      <c r="M7" s="18">
        <v>0.75416666666666676</v>
      </c>
      <c r="N7" s="16" t="s">
        <v>353</v>
      </c>
      <c r="O7" s="16" t="s">
        <v>351</v>
      </c>
      <c r="P7" s="16">
        <v>1017</v>
      </c>
      <c r="Q7" s="16">
        <v>576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9">
        <v>44678</v>
      </c>
      <c r="B8" s="16" t="s">
        <v>21</v>
      </c>
      <c r="C8" s="16" t="s">
        <v>27</v>
      </c>
      <c r="D8" s="16" t="s">
        <v>23</v>
      </c>
      <c r="E8" s="16" t="s">
        <v>279</v>
      </c>
      <c r="F8" s="16" t="s">
        <v>24</v>
      </c>
      <c r="G8" s="16">
        <v>70000</v>
      </c>
      <c r="H8" s="16" t="s">
        <v>28</v>
      </c>
      <c r="I8" s="16" t="s">
        <v>29</v>
      </c>
      <c r="J8" s="17">
        <v>0.93055555555555547</v>
      </c>
      <c r="K8" s="18">
        <v>0.93541666666666667</v>
      </c>
      <c r="L8" s="17">
        <v>0.76388888888888884</v>
      </c>
      <c r="M8" s="18">
        <v>0.77916666666666667</v>
      </c>
      <c r="N8" s="16" t="s">
        <v>95</v>
      </c>
      <c r="O8" s="16" t="s">
        <v>352</v>
      </c>
      <c r="P8" s="16">
        <v>979</v>
      </c>
      <c r="Q8" s="16">
        <v>1017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12"/>
      <c r="B9" s="22"/>
      <c r="C9" s="2"/>
      <c r="D9" s="2"/>
      <c r="E9" s="2"/>
      <c r="F9" s="2"/>
      <c r="G9" s="2"/>
      <c r="H9" s="2"/>
      <c r="I9" s="2"/>
      <c r="J9" s="4"/>
      <c r="K9" s="5"/>
      <c r="L9" s="4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B9" sqref="B9"/>
    </sheetView>
  </sheetViews>
  <sheetFormatPr defaultRowHeight="15" x14ac:dyDescent="0.25"/>
  <cols>
    <col min="1" max="1" width="9" customWidth="1"/>
    <col min="2" max="2" width="19.5703125" customWidth="1"/>
    <col min="3" max="3" width="15.7109375" customWidth="1"/>
    <col min="4" max="4" width="6.85546875" customWidth="1"/>
    <col min="5" max="5" width="8.7109375" customWidth="1"/>
    <col min="6" max="6" width="17.140625" customWidth="1"/>
    <col min="8" max="8" width="10.140625" customWidth="1"/>
    <col min="9" max="9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44679</v>
      </c>
      <c r="B2" s="2" t="s">
        <v>21</v>
      </c>
      <c r="C2" s="2" t="s">
        <v>56</v>
      </c>
      <c r="D2" s="2" t="s">
        <v>23</v>
      </c>
      <c r="E2" s="2" t="s">
        <v>290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0.45208333333333334</v>
      </c>
      <c r="L2" s="4">
        <v>0.25694444444444448</v>
      </c>
      <c r="M2" s="5">
        <v>0.27083333333333331</v>
      </c>
      <c r="N2" s="2" t="s">
        <v>354</v>
      </c>
      <c r="O2" s="2" t="s">
        <v>364</v>
      </c>
      <c r="P2" s="2">
        <v>591</v>
      </c>
      <c r="Q2" s="2">
        <v>109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44679</v>
      </c>
      <c r="B3" s="2" t="s">
        <v>21</v>
      </c>
      <c r="C3" s="2" t="s">
        <v>207</v>
      </c>
      <c r="D3" s="2" t="s">
        <v>23</v>
      </c>
      <c r="E3" s="2" t="s">
        <v>279</v>
      </c>
      <c r="F3" s="2" t="s">
        <v>24</v>
      </c>
      <c r="G3" s="2">
        <v>70000</v>
      </c>
      <c r="H3" s="2" t="s">
        <v>208</v>
      </c>
      <c r="I3" s="2" t="s">
        <v>209</v>
      </c>
      <c r="J3" s="4">
        <v>0.43402777777777773</v>
      </c>
      <c r="K3" s="5">
        <v>0.42083333333333334</v>
      </c>
      <c r="L3" s="4">
        <v>0.28472222222222221</v>
      </c>
      <c r="M3" s="5">
        <v>0.28194444444444444</v>
      </c>
      <c r="N3" s="2" t="s">
        <v>355</v>
      </c>
      <c r="O3" s="2" t="s">
        <v>297</v>
      </c>
      <c r="P3" s="2">
        <v>436</v>
      </c>
      <c r="Q3" s="2">
        <v>437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44679</v>
      </c>
      <c r="B4" s="2" t="s">
        <v>21</v>
      </c>
      <c r="C4" s="2" t="s">
        <v>150</v>
      </c>
      <c r="D4" s="2" t="s">
        <v>23</v>
      </c>
      <c r="E4" s="2" t="s">
        <v>147</v>
      </c>
      <c r="F4" s="2" t="s">
        <v>24</v>
      </c>
      <c r="G4" s="3">
        <v>70000</v>
      </c>
      <c r="H4" s="2" t="s">
        <v>61</v>
      </c>
      <c r="I4" s="2" t="s">
        <v>66</v>
      </c>
      <c r="J4" s="4">
        <v>0.46527777777777773</v>
      </c>
      <c r="K4" s="5">
        <v>0.46249999999999997</v>
      </c>
      <c r="L4" s="4">
        <v>0.48958333333333331</v>
      </c>
      <c r="M4" s="5">
        <v>0.4993055555555555</v>
      </c>
      <c r="N4" s="2" t="s">
        <v>356</v>
      </c>
      <c r="O4" s="2" t="s">
        <v>311</v>
      </c>
      <c r="P4" s="2">
        <v>1036</v>
      </c>
      <c r="Q4" s="2">
        <v>721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44679</v>
      </c>
      <c r="B5" s="2" t="s">
        <v>21</v>
      </c>
      <c r="C5" s="2" t="s">
        <v>213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211</v>
      </c>
      <c r="I5" s="2" t="s">
        <v>212</v>
      </c>
      <c r="J5" s="4">
        <v>0.89930555555555547</v>
      </c>
      <c r="K5" s="5">
        <v>0.88750000000000007</v>
      </c>
      <c r="L5" s="4">
        <v>0.47569444444444442</v>
      </c>
      <c r="M5" s="5">
        <v>0.47430555555555554</v>
      </c>
      <c r="N5" s="2" t="s">
        <v>375</v>
      </c>
      <c r="O5" s="2" t="s">
        <v>357</v>
      </c>
      <c r="P5" s="2">
        <v>212</v>
      </c>
      <c r="Q5" s="2">
        <v>229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44679</v>
      </c>
      <c r="B6" s="2" t="s">
        <v>21</v>
      </c>
      <c r="C6" s="6" t="s">
        <v>76</v>
      </c>
      <c r="D6" s="6" t="s">
        <v>23</v>
      </c>
      <c r="E6" s="2" t="s">
        <v>290</v>
      </c>
      <c r="F6" s="6" t="s">
        <v>24</v>
      </c>
      <c r="G6" s="14">
        <v>70000</v>
      </c>
      <c r="H6" s="6" t="s">
        <v>77</v>
      </c>
      <c r="I6" s="6" t="s">
        <v>84</v>
      </c>
      <c r="J6" s="7">
        <v>0.66666666666666663</v>
      </c>
      <c r="K6" s="8">
        <v>0.65555555555555556</v>
      </c>
      <c r="L6" s="7">
        <v>0.51388888888888895</v>
      </c>
      <c r="M6" s="9">
        <v>0.51597222222222217</v>
      </c>
      <c r="N6" s="2" t="s">
        <v>367</v>
      </c>
      <c r="O6" s="2" t="s">
        <v>358</v>
      </c>
      <c r="P6" s="10">
        <v>126</v>
      </c>
      <c r="Q6" s="10">
        <v>244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44679</v>
      </c>
      <c r="B7" s="2" t="s">
        <v>21</v>
      </c>
      <c r="C7" s="2" t="s">
        <v>81</v>
      </c>
      <c r="D7" s="2" t="s">
        <v>23</v>
      </c>
      <c r="E7" s="2" t="s">
        <v>290</v>
      </c>
      <c r="F7" s="2" t="s">
        <v>24</v>
      </c>
      <c r="G7" s="3">
        <v>70000</v>
      </c>
      <c r="H7" s="2" t="s">
        <v>82</v>
      </c>
      <c r="I7" s="2" t="s">
        <v>83</v>
      </c>
      <c r="J7" s="4">
        <v>0.93055555555555547</v>
      </c>
      <c r="K7" s="5">
        <v>0.9472222222222223</v>
      </c>
      <c r="L7" s="4">
        <v>0.69444444444444453</v>
      </c>
      <c r="M7" s="5">
        <v>0.72916666666666663</v>
      </c>
      <c r="N7" s="2" t="s">
        <v>376</v>
      </c>
      <c r="O7" s="2" t="s">
        <v>368</v>
      </c>
      <c r="P7" s="2">
        <v>892</v>
      </c>
      <c r="Q7" s="2">
        <v>454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44679</v>
      </c>
      <c r="B8" s="2" t="s">
        <v>359</v>
      </c>
      <c r="C8" s="2" t="s">
        <v>360</v>
      </c>
      <c r="D8" s="2" t="s">
        <v>361</v>
      </c>
      <c r="E8" s="2" t="s">
        <v>362</v>
      </c>
      <c r="F8" s="2" t="s">
        <v>363</v>
      </c>
      <c r="G8" s="2">
        <v>1600</v>
      </c>
      <c r="H8" s="2" t="s">
        <v>362</v>
      </c>
      <c r="I8" s="2" t="s">
        <v>362</v>
      </c>
      <c r="J8" s="4">
        <v>0.4375</v>
      </c>
      <c r="K8" s="5">
        <v>0.4548611111111111</v>
      </c>
      <c r="L8" s="4">
        <v>0.45833333333333331</v>
      </c>
      <c r="M8" s="5">
        <v>0.51388888888888895</v>
      </c>
      <c r="N8" s="2" t="s">
        <v>118</v>
      </c>
      <c r="O8" s="2" t="s">
        <v>118</v>
      </c>
      <c r="P8" s="2" t="s">
        <v>118</v>
      </c>
      <c r="Q8" s="2" t="s">
        <v>118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2">
        <v>44679</v>
      </c>
      <c r="B9" s="2" t="s">
        <v>369</v>
      </c>
      <c r="C9" s="2" t="s">
        <v>370</v>
      </c>
      <c r="D9" s="2" t="s">
        <v>371</v>
      </c>
      <c r="E9" s="2" t="s">
        <v>372</v>
      </c>
      <c r="F9" s="2" t="s">
        <v>373</v>
      </c>
      <c r="G9" s="2">
        <v>5080</v>
      </c>
      <c r="H9" s="2" t="s">
        <v>374</v>
      </c>
      <c r="I9" s="2" t="s">
        <v>118</v>
      </c>
      <c r="J9" s="4">
        <v>0.8125</v>
      </c>
      <c r="K9" s="5">
        <v>0.81597222222222221</v>
      </c>
      <c r="L9" s="2" t="s">
        <v>118</v>
      </c>
      <c r="M9" s="2" t="s">
        <v>118</v>
      </c>
      <c r="N9" s="2" t="s">
        <v>118</v>
      </c>
      <c r="O9" s="2" t="s">
        <v>118</v>
      </c>
      <c r="P9" s="2" t="s">
        <v>118</v>
      </c>
      <c r="Q9" s="2" t="s">
        <v>118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2" max="2" width="18.85546875" customWidth="1"/>
    <col min="3" max="3" width="12.7109375" customWidth="1"/>
    <col min="4" max="4" width="7.42578125" customWidth="1"/>
    <col min="5" max="5" width="9.5703125" customWidth="1"/>
    <col min="6" max="6" width="13.42578125" customWidth="1"/>
    <col min="14" max="14" width="11.42578125" customWidth="1"/>
    <col min="15" max="15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44680</v>
      </c>
      <c r="B2" s="2" t="s">
        <v>21</v>
      </c>
      <c r="C2" s="2" t="s">
        <v>30</v>
      </c>
      <c r="D2" s="2" t="s">
        <v>23</v>
      </c>
      <c r="E2" s="2" t="s">
        <v>290</v>
      </c>
      <c r="F2" s="2" t="s">
        <v>24</v>
      </c>
      <c r="G2" s="3">
        <v>70000</v>
      </c>
      <c r="H2" s="2" t="s">
        <v>31</v>
      </c>
      <c r="I2" s="2" t="s">
        <v>32</v>
      </c>
      <c r="J2" s="4">
        <v>0.4375</v>
      </c>
      <c r="K2" s="5">
        <v>0.53194444444444444</v>
      </c>
      <c r="L2" s="4">
        <v>0.25694444444444448</v>
      </c>
      <c r="M2" s="5">
        <v>0.36736111111111108</v>
      </c>
      <c r="N2" s="2" t="s">
        <v>148</v>
      </c>
      <c r="O2" s="2" t="s">
        <v>309</v>
      </c>
      <c r="P2" s="2">
        <v>885</v>
      </c>
      <c r="Q2" s="2">
        <v>843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44680</v>
      </c>
      <c r="B3" s="2" t="s">
        <v>21</v>
      </c>
      <c r="C3" s="6" t="s">
        <v>40</v>
      </c>
      <c r="D3" s="2" t="s">
        <v>23</v>
      </c>
      <c r="E3" s="2" t="s">
        <v>279</v>
      </c>
      <c r="F3" s="2" t="s">
        <v>24</v>
      </c>
      <c r="G3" s="3">
        <v>70000</v>
      </c>
      <c r="H3" s="6" t="s">
        <v>41</v>
      </c>
      <c r="I3" s="6" t="s">
        <v>42</v>
      </c>
      <c r="J3" s="7">
        <v>0.51736111111111105</v>
      </c>
      <c r="K3" s="8">
        <v>0.59305555555555556</v>
      </c>
      <c r="L3" s="7">
        <v>0.28472222222222221</v>
      </c>
      <c r="M3" s="9">
        <v>0.37083333333333335</v>
      </c>
      <c r="N3" s="2" t="s">
        <v>378</v>
      </c>
      <c r="O3" s="2" t="s">
        <v>377</v>
      </c>
      <c r="P3" s="10">
        <v>745</v>
      </c>
      <c r="Q3" s="10">
        <v>275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44680</v>
      </c>
      <c r="B4" s="2" t="s">
        <v>21</v>
      </c>
      <c r="C4" s="2" t="s">
        <v>22</v>
      </c>
      <c r="D4" s="2" t="s">
        <v>23</v>
      </c>
      <c r="E4" s="2" t="s">
        <v>290</v>
      </c>
      <c r="F4" s="2" t="s">
        <v>24</v>
      </c>
      <c r="G4" s="3">
        <v>70000</v>
      </c>
      <c r="H4" s="2" t="s">
        <v>25</v>
      </c>
      <c r="I4" s="2" t="s">
        <v>26</v>
      </c>
      <c r="J4" s="4">
        <v>0.60763888888888895</v>
      </c>
      <c r="K4" s="5">
        <v>0.70694444444444438</v>
      </c>
      <c r="L4" s="4">
        <v>0.45833333333333331</v>
      </c>
      <c r="M4" s="5">
        <v>0.56736111111111109</v>
      </c>
      <c r="N4" s="2" t="s">
        <v>383</v>
      </c>
      <c r="O4" s="2" t="s">
        <v>379</v>
      </c>
      <c r="P4" s="2">
        <v>964</v>
      </c>
      <c r="Q4" s="2">
        <v>1063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44680</v>
      </c>
      <c r="B5" s="2" t="s">
        <v>21</v>
      </c>
      <c r="C5" s="2" t="s">
        <v>27</v>
      </c>
      <c r="D5" s="2" t="s">
        <v>23</v>
      </c>
      <c r="E5" s="2" t="s">
        <v>279</v>
      </c>
      <c r="F5" s="2" t="s">
        <v>24</v>
      </c>
      <c r="G5" s="3">
        <v>70000</v>
      </c>
      <c r="H5" s="2" t="s">
        <v>28</v>
      </c>
      <c r="I5" s="2" t="s">
        <v>29</v>
      </c>
      <c r="J5" s="4">
        <v>0.71527777777777779</v>
      </c>
      <c r="K5" s="5">
        <v>0.8125</v>
      </c>
      <c r="L5" s="4">
        <v>0.54861111111111105</v>
      </c>
      <c r="M5" s="5">
        <v>0.65069444444444446</v>
      </c>
      <c r="N5" s="2" t="s">
        <v>384</v>
      </c>
      <c r="O5" s="2" t="s">
        <v>380</v>
      </c>
      <c r="P5" s="2">
        <v>1146</v>
      </c>
      <c r="Q5" s="2">
        <v>1028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44680</v>
      </c>
      <c r="B6" s="2" t="s">
        <v>21</v>
      </c>
      <c r="C6" s="2" t="s">
        <v>37</v>
      </c>
      <c r="D6" s="2" t="s">
        <v>23</v>
      </c>
      <c r="E6" s="2" t="s">
        <v>279</v>
      </c>
      <c r="F6" s="2" t="s">
        <v>24</v>
      </c>
      <c r="G6" s="3">
        <v>70000</v>
      </c>
      <c r="H6" s="2" t="s">
        <v>38</v>
      </c>
      <c r="I6" s="2" t="s">
        <v>39</v>
      </c>
      <c r="J6" s="4">
        <v>0.75347222222222221</v>
      </c>
      <c r="K6" s="5">
        <v>0.95347222222222217</v>
      </c>
      <c r="L6" s="4">
        <v>0.63888888888888895</v>
      </c>
      <c r="M6" s="5">
        <v>0.84166666666666667</v>
      </c>
      <c r="N6" s="2" t="s">
        <v>386</v>
      </c>
      <c r="O6" s="2" t="s">
        <v>385</v>
      </c>
      <c r="P6" s="2">
        <v>745</v>
      </c>
      <c r="Q6" s="2">
        <v>553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44680</v>
      </c>
      <c r="B7" s="2" t="s">
        <v>369</v>
      </c>
      <c r="C7" s="2" t="s">
        <v>381</v>
      </c>
      <c r="D7" s="2" t="s">
        <v>371</v>
      </c>
      <c r="E7" s="2" t="s">
        <v>372</v>
      </c>
      <c r="F7" s="2" t="s">
        <v>373</v>
      </c>
      <c r="G7" s="3">
        <v>5080</v>
      </c>
      <c r="H7" s="2" t="s">
        <v>118</v>
      </c>
      <c r="I7" s="2" t="s">
        <v>382</v>
      </c>
      <c r="J7" s="4" t="s">
        <v>118</v>
      </c>
      <c r="K7" s="5" t="s">
        <v>118</v>
      </c>
      <c r="L7" s="4">
        <v>0.44791666666666669</v>
      </c>
      <c r="M7" s="5">
        <v>0.45763888888888887</v>
      </c>
      <c r="N7" s="2" t="s">
        <v>118</v>
      </c>
      <c r="O7" s="2">
        <v>1</v>
      </c>
      <c r="P7" s="2" t="s">
        <v>118</v>
      </c>
      <c r="Q7" s="2" t="s">
        <v>118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K12" sqref="K12"/>
    </sheetView>
  </sheetViews>
  <sheetFormatPr defaultRowHeight="15" x14ac:dyDescent="0.25"/>
  <cols>
    <col min="3" max="3" width="13.28515625" customWidth="1"/>
    <col min="4" max="4" width="6.28515625" customWidth="1"/>
    <col min="5" max="5" width="7.7109375" customWidth="1"/>
    <col min="6" max="6" width="12.140625" customWidth="1"/>
    <col min="7" max="9" width="9.7109375" bestFit="1" customWidth="1"/>
    <col min="10" max="10" width="11" bestFit="1" customWidth="1"/>
    <col min="11" max="11" width="9.28515625" customWidth="1"/>
    <col min="12" max="13" width="9.42578125" customWidth="1"/>
    <col min="14" max="14" width="15.5703125" customWidth="1"/>
    <col min="15" max="15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44681</v>
      </c>
      <c r="B2" s="2" t="s">
        <v>21</v>
      </c>
      <c r="C2" s="2" t="s">
        <v>56</v>
      </c>
      <c r="D2" s="2" t="s">
        <v>23</v>
      </c>
      <c r="E2" s="2" t="s">
        <v>387</v>
      </c>
      <c r="F2" s="2" t="s">
        <v>24</v>
      </c>
      <c r="G2" s="2">
        <v>70000</v>
      </c>
      <c r="H2" s="2" t="s">
        <v>60</v>
      </c>
      <c r="I2" s="2" t="s">
        <v>64</v>
      </c>
      <c r="J2" s="4">
        <v>0.45833333333333331</v>
      </c>
      <c r="K2" s="5">
        <v>0.4604166666666667</v>
      </c>
      <c r="L2" s="4">
        <v>0.25694444444444448</v>
      </c>
      <c r="M2" s="5">
        <v>0.28125</v>
      </c>
      <c r="N2" s="2" t="s">
        <v>242</v>
      </c>
      <c r="O2" s="2" t="s">
        <v>390</v>
      </c>
      <c r="P2" s="2">
        <v>502</v>
      </c>
      <c r="Q2" s="2">
        <v>234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44681</v>
      </c>
      <c r="B3" s="2" t="s">
        <v>21</v>
      </c>
      <c r="C3" s="2" t="s">
        <v>57</v>
      </c>
      <c r="D3" s="2" t="s">
        <v>23</v>
      </c>
      <c r="E3" s="2" t="s">
        <v>388</v>
      </c>
      <c r="F3" s="2" t="s">
        <v>24</v>
      </c>
      <c r="G3" s="2">
        <v>70000</v>
      </c>
      <c r="H3" s="2" t="s">
        <v>63</v>
      </c>
      <c r="I3" s="2" t="s">
        <v>65</v>
      </c>
      <c r="J3" s="4">
        <v>0.47222222222222227</v>
      </c>
      <c r="K3" s="5">
        <v>0.4694444444444445</v>
      </c>
      <c r="L3" s="4">
        <v>0.28125</v>
      </c>
      <c r="M3" s="5">
        <v>0.28472222222222221</v>
      </c>
      <c r="N3" s="2" t="s">
        <v>393</v>
      </c>
      <c r="O3" s="2" t="s">
        <v>391</v>
      </c>
      <c r="P3" s="2">
        <v>953</v>
      </c>
      <c r="Q3" s="2">
        <v>892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44681</v>
      </c>
      <c r="B4" s="2" t="s">
        <v>21</v>
      </c>
      <c r="C4" s="2" t="s">
        <v>58</v>
      </c>
      <c r="D4" s="2" t="s">
        <v>23</v>
      </c>
      <c r="E4" s="2" t="s">
        <v>279</v>
      </c>
      <c r="F4" s="2" t="s">
        <v>24</v>
      </c>
      <c r="G4" s="2">
        <v>70000</v>
      </c>
      <c r="H4" s="2" t="s">
        <v>61</v>
      </c>
      <c r="I4" s="2" t="s">
        <v>66</v>
      </c>
      <c r="J4" s="4">
        <v>0.90625</v>
      </c>
      <c r="K4" s="5">
        <v>0.92638888888888893</v>
      </c>
      <c r="L4" s="4">
        <v>0.48958333333333331</v>
      </c>
      <c r="M4" s="5">
        <v>0.50138888888888888</v>
      </c>
      <c r="N4" s="2" t="s">
        <v>356</v>
      </c>
      <c r="O4" s="2" t="s">
        <v>386</v>
      </c>
      <c r="P4" s="2">
        <v>1349</v>
      </c>
      <c r="Q4" s="2">
        <v>946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44681</v>
      </c>
      <c r="B5" s="2" t="s">
        <v>21</v>
      </c>
      <c r="C5" s="2" t="s">
        <v>59</v>
      </c>
      <c r="D5" s="2" t="s">
        <v>23</v>
      </c>
      <c r="E5" s="2" t="s">
        <v>290</v>
      </c>
      <c r="F5" s="2" t="s">
        <v>24</v>
      </c>
      <c r="G5" s="2">
        <v>70000</v>
      </c>
      <c r="H5" s="2" t="s">
        <v>62</v>
      </c>
      <c r="I5" s="2" t="s">
        <v>67</v>
      </c>
      <c r="J5" s="4">
        <v>0.91319444444444453</v>
      </c>
      <c r="K5" s="5">
        <v>0.90208333333333324</v>
      </c>
      <c r="L5" s="4">
        <v>0.50347222222222221</v>
      </c>
      <c r="M5" s="5">
        <v>0.5229166666666667</v>
      </c>
      <c r="N5" s="2" t="s">
        <v>384</v>
      </c>
      <c r="O5" s="2" t="s">
        <v>392</v>
      </c>
      <c r="P5" s="2">
        <v>849</v>
      </c>
      <c r="Q5" s="2">
        <v>726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44681</v>
      </c>
      <c r="B6" s="2" t="s">
        <v>21</v>
      </c>
      <c r="C6" s="2" t="s">
        <v>394</v>
      </c>
      <c r="D6" s="2" t="s">
        <v>132</v>
      </c>
      <c r="E6" s="2" t="s">
        <v>389</v>
      </c>
      <c r="F6" s="2" t="s">
        <v>24</v>
      </c>
      <c r="G6" s="3">
        <v>80000</v>
      </c>
      <c r="H6" s="2" t="s">
        <v>35</v>
      </c>
      <c r="I6" s="2" t="s">
        <v>36</v>
      </c>
      <c r="J6" s="4">
        <v>0.40625</v>
      </c>
      <c r="K6" s="5">
        <v>0.54166666666666663</v>
      </c>
      <c r="L6" s="4">
        <v>0.51041666666666663</v>
      </c>
      <c r="M6" s="5">
        <v>0.57916666666666672</v>
      </c>
      <c r="N6" s="2" t="s">
        <v>54</v>
      </c>
      <c r="O6" s="2" t="s">
        <v>181</v>
      </c>
      <c r="P6" s="2">
        <v>870</v>
      </c>
      <c r="Q6" s="2">
        <v>533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2022-04-30T23:15:03Z</dcterms:modified>
</cp:coreProperties>
</file>