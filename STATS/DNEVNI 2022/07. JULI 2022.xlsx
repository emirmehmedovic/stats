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0764A79A-869B-45DD-9438-AE85B92CD7D3}" xr6:coauthVersionLast="37" xr6:coauthVersionMax="37" xr10:uidLastSave="{00000000-0000-0000-0000-000000000000}"/>
  <bookViews>
    <workbookView xWindow="240" yWindow="1185" windowWidth="14805" windowHeight="6930" tabRatio="819" firstSheet="4" activeTab="25" xr2:uid="{00000000-000D-0000-FFFF-FFFF00000000}"/>
  </bookViews>
  <sheets>
    <sheet name="01" sheetId="25" r:id="rId1"/>
    <sheet name="02" sheetId="26" r:id="rId2"/>
    <sheet name="03" sheetId="28" r:id="rId3"/>
    <sheet name="04" sheetId="29" r:id="rId4"/>
    <sheet name="05" sheetId="30" r:id="rId5"/>
    <sheet name="06" sheetId="31" r:id="rId6"/>
    <sheet name="07" sheetId="32" r:id="rId7"/>
    <sheet name="08" sheetId="33" r:id="rId8"/>
    <sheet name="09" sheetId="34" r:id="rId9"/>
    <sheet name="10" sheetId="35" r:id="rId10"/>
    <sheet name="11" sheetId="36" r:id="rId11"/>
    <sheet name="12" sheetId="37" r:id="rId12"/>
    <sheet name="13" sheetId="38" r:id="rId13"/>
    <sheet name="14" sheetId="39" r:id="rId14"/>
    <sheet name="15" sheetId="40" r:id="rId15"/>
    <sheet name="16" sheetId="41" r:id="rId16"/>
    <sheet name="17" sheetId="42" r:id="rId17"/>
    <sheet name="18" sheetId="43" r:id="rId18"/>
    <sheet name="19" sheetId="44" r:id="rId19"/>
    <sheet name="20" sheetId="45" r:id="rId20"/>
    <sheet name="21" sheetId="46" r:id="rId21"/>
    <sheet name="22" sheetId="48" r:id="rId22"/>
    <sheet name="23" sheetId="49" r:id="rId23"/>
    <sheet name="24" sheetId="50" r:id="rId24"/>
    <sheet name="25" sheetId="51" r:id="rId25"/>
    <sheet name="26" sheetId="52" r:id="rId26"/>
    <sheet name="27" sheetId="53" r:id="rId27"/>
    <sheet name="28" sheetId="54" r:id="rId28"/>
    <sheet name="29" sheetId="55" r:id="rId29"/>
    <sheet name="30" sheetId="56" r:id="rId30"/>
    <sheet name="31" sheetId="57" r:id="rId31"/>
  </sheets>
  <calcPr calcId="179021"/>
</workbook>
</file>

<file path=xl/calcChain.xml><?xml version="1.0" encoding="utf-8"?>
<calcChain xmlns="http://schemas.openxmlformats.org/spreadsheetml/2006/main">
  <c r="N8" i="55" l="1"/>
  <c r="P8" i="55" s="1"/>
  <c r="E4" i="54" l="1"/>
  <c r="H8" i="53" l="1"/>
  <c r="E3" i="53" l="1"/>
  <c r="E5" i="53" s="1"/>
  <c r="E7" i="53" s="1"/>
  <c r="H14" i="49" l="1"/>
  <c r="H13" i="49"/>
  <c r="H11" i="49"/>
  <c r="H10" i="49"/>
  <c r="H7" i="49"/>
  <c r="H5" i="49"/>
  <c r="D8" i="49" l="1"/>
  <c r="H8" i="49" s="1"/>
  <c r="D12" i="49"/>
  <c r="H12" i="49" s="1"/>
  <c r="I11" i="49"/>
  <c r="I12" i="49"/>
  <c r="I13" i="49"/>
  <c r="I14" i="49"/>
  <c r="I5" i="49"/>
  <c r="I6" i="49"/>
  <c r="I7" i="49"/>
  <c r="I8" i="49"/>
  <c r="I9" i="49"/>
  <c r="I10" i="49"/>
  <c r="D9" i="49" l="1"/>
  <c r="H9" i="49" s="1"/>
  <c r="D6" i="49"/>
  <c r="H6" i="49" s="1"/>
  <c r="H9" i="46"/>
  <c r="I9" i="46" s="1"/>
  <c r="I8" i="46" l="1"/>
  <c r="H7" i="46" l="1"/>
  <c r="I7" i="46" s="1"/>
  <c r="E4" i="46" l="1"/>
  <c r="E6" i="46" s="1"/>
  <c r="E7" i="31" l="1"/>
  <c r="E2" i="25" l="1"/>
</calcChain>
</file>

<file path=xl/sharedStrings.xml><?xml version="1.0" encoding="utf-8"?>
<sst xmlns="http://schemas.openxmlformats.org/spreadsheetml/2006/main" count="2412" uniqueCount="488">
  <si>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</si>
  <si>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</si>
  <si>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</si>
  <si>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</si>
  <si>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</si>
  <si>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</si>
  <si>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</si>
  <si>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</si>
  <si>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</si>
  <si>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</si>
  <si>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</si>
  <si>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</si>
  <si>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</si>
  <si>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</si>
  <si>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</si>
  <si>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</si>
  <si>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</si>
  <si>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</si>
  <si>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</si>
  <si>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</si>
  <si>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</si>
  <si>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</si>
  <si>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TZL-BER-TZL</t>
  </si>
  <si>
    <t>TZL-GOT-TZL</t>
  </si>
  <si>
    <t>TZL-FMM-TZL</t>
  </si>
  <si>
    <t>A320</t>
  </si>
  <si>
    <t>SCHEDULED</t>
  </si>
  <si>
    <t>W64276</t>
  </si>
  <si>
    <t>W64275</t>
  </si>
  <si>
    <t>W64296</t>
  </si>
  <si>
    <t>W64295</t>
  </si>
  <si>
    <t>W64280</t>
  </si>
  <si>
    <t>W64279</t>
  </si>
  <si>
    <t>FREEBIRD AIRLINES</t>
  </si>
  <si>
    <t>AYT-TZL-AYT</t>
  </si>
  <si>
    <t>TC-FBR</t>
  </si>
  <si>
    <t>CHARTER</t>
  </si>
  <si>
    <t>FH821</t>
  </si>
  <si>
    <t>FH822</t>
  </si>
  <si>
    <t>TZL-VXO-TZL</t>
  </si>
  <si>
    <t>W64611</t>
  </si>
  <si>
    <t>W64612</t>
  </si>
  <si>
    <t>HA-LYQ</t>
  </si>
  <si>
    <t>137+3 INF</t>
  </si>
  <si>
    <t>HA-LYW</t>
  </si>
  <si>
    <t>47+0 INF</t>
  </si>
  <si>
    <t>140+4 INF</t>
  </si>
  <si>
    <t>176+12 INF</t>
  </si>
  <si>
    <t>180+1 INF</t>
  </si>
  <si>
    <t>174+6 INF</t>
  </si>
  <si>
    <t>179+1 INF</t>
  </si>
  <si>
    <t>34+2 INF</t>
  </si>
  <si>
    <t>TZL-VIE-TZL</t>
  </si>
  <si>
    <t>TZL-HHN-TZL</t>
  </si>
  <si>
    <t>TZL-MLH-TZL</t>
  </si>
  <si>
    <t>W64286</t>
  </si>
  <si>
    <t>W64284</t>
  </si>
  <si>
    <t>W64294</t>
  </si>
  <si>
    <t>W64285</t>
  </si>
  <si>
    <t>W64283</t>
  </si>
  <si>
    <t>W64293</t>
  </si>
  <si>
    <t>OTKAZAN</t>
  </si>
  <si>
    <t>TZL-BUD</t>
  </si>
  <si>
    <t>BUD-TZL</t>
  </si>
  <si>
    <t>FERRY OUT</t>
  </si>
  <si>
    <t>FERRY IN</t>
  </si>
  <si>
    <t>HA-LPT</t>
  </si>
  <si>
    <t>-</t>
  </si>
  <si>
    <t>W6402</t>
  </si>
  <si>
    <t>W6401</t>
  </si>
  <si>
    <t>ROP</t>
  </si>
  <si>
    <t>145+2 INF</t>
  </si>
  <si>
    <t>172+2 INF</t>
  </si>
  <si>
    <t>136+2 INF</t>
  </si>
  <si>
    <t>168+2 INF</t>
  </si>
  <si>
    <t>TZL-MMX-TZL</t>
  </si>
  <si>
    <t>TZL-CGN-TZL</t>
  </si>
  <si>
    <t>TZL-DTM-TZL</t>
  </si>
  <si>
    <t>W64292</t>
  </si>
  <si>
    <t>W64300</t>
  </si>
  <si>
    <t>W64298</t>
  </si>
  <si>
    <t>W64291</t>
  </si>
  <si>
    <t>W64299</t>
  </si>
  <si>
    <t>W64297</t>
  </si>
  <si>
    <t>40+0 INF</t>
  </si>
  <si>
    <t>144+4 INF</t>
  </si>
  <si>
    <t>159+3 INF</t>
  </si>
  <si>
    <t>145+0 INF</t>
  </si>
  <si>
    <t>177+4 INF</t>
  </si>
  <si>
    <t>TYROL AIR AMBULANCE</t>
  </si>
  <si>
    <t>FRA-TZL</t>
  </si>
  <si>
    <t>C55B</t>
  </si>
  <si>
    <t>OE-GPS</t>
  </si>
  <si>
    <t>MEDEVAC</t>
  </si>
  <si>
    <t>TYW846S</t>
  </si>
  <si>
    <t>W64616</t>
  </si>
  <si>
    <t>W64615</t>
  </si>
  <si>
    <t>W64614</t>
  </si>
  <si>
    <t>W64613</t>
  </si>
  <si>
    <t>W64282</t>
  </si>
  <si>
    <t>W64281</t>
  </si>
  <si>
    <t>HALPT</t>
  </si>
  <si>
    <t>HALYW</t>
  </si>
  <si>
    <t>TZL-FDH-TZL</t>
  </si>
  <si>
    <t>TZL-NUE-TZL</t>
  </si>
  <si>
    <t>TZL-NYO-TZL</t>
  </si>
  <si>
    <t>TZL-MXP-TZL</t>
  </si>
  <si>
    <t>W65569</t>
  </si>
  <si>
    <t>W65570</t>
  </si>
  <si>
    <t>TZL-BLL-TZL</t>
  </si>
  <si>
    <t>W64278</t>
  </si>
  <si>
    <t>W64277</t>
  </si>
  <si>
    <t>TYROL AIR AMB.</t>
  </si>
  <si>
    <t>TZL-ACH</t>
  </si>
  <si>
    <t>OEGPS</t>
  </si>
  <si>
    <t>TYW847S</t>
  </si>
  <si>
    <t>56+1 INF</t>
  </si>
  <si>
    <t>161+4 INF</t>
  </si>
  <si>
    <t>155+0 INF</t>
  </si>
  <si>
    <t>166+8 INF</t>
  </si>
  <si>
    <t>137+5 INF</t>
  </si>
  <si>
    <t>12+1 INF</t>
  </si>
  <si>
    <t>101+1 INF</t>
  </si>
  <si>
    <t>146+7 INF</t>
  </si>
  <si>
    <t>173+1 INF</t>
  </si>
  <si>
    <t>180+3 INF</t>
  </si>
  <si>
    <t>71+0 INF</t>
  </si>
  <si>
    <t>86+0 INF</t>
  </si>
  <si>
    <t>173+6 INF</t>
  </si>
  <si>
    <t>172+6 INF</t>
  </si>
  <si>
    <t>PC292</t>
  </si>
  <si>
    <t>PC239</t>
  </si>
  <si>
    <t>NON-SCHEDULED</t>
  </si>
  <si>
    <t>TC-NCR</t>
  </si>
  <si>
    <t>IST-TZL-SJJ</t>
  </si>
  <si>
    <t>PEGASUS</t>
  </si>
  <si>
    <t>HA-LPT/LYG</t>
  </si>
  <si>
    <t>HA-LYG</t>
  </si>
  <si>
    <t>127+2 INF</t>
  </si>
  <si>
    <t>48+0 INF</t>
  </si>
  <si>
    <t>140+1 INF</t>
  </si>
  <si>
    <t>163+7 INF</t>
  </si>
  <si>
    <t>177+3 INF</t>
  </si>
  <si>
    <t>26+0 INF</t>
  </si>
  <si>
    <t>143+1 INF</t>
  </si>
  <si>
    <t>122+3 INF</t>
  </si>
  <si>
    <t>143+2 INF</t>
  </si>
  <si>
    <t>156+6 INF</t>
  </si>
  <si>
    <t>145+5 INF</t>
  </si>
  <si>
    <t>178+4 INF</t>
  </si>
  <si>
    <t>TZL-FKB-TZL</t>
  </si>
  <si>
    <t>W64618</t>
  </si>
  <si>
    <t>W64617</t>
  </si>
  <si>
    <t>HALYG</t>
  </si>
  <si>
    <t>TCFHP</t>
  </si>
  <si>
    <t>23+0 INF</t>
  </si>
  <si>
    <t>63+1 INF</t>
  </si>
  <si>
    <t>178+3 INF</t>
  </si>
  <si>
    <t>180+4 INF</t>
  </si>
  <si>
    <t>147+6 INF</t>
  </si>
  <si>
    <t>174+4 INF</t>
  </si>
  <si>
    <t>115+4 INF</t>
  </si>
  <si>
    <t>98+3 INF</t>
  </si>
  <si>
    <t>178+2 INF</t>
  </si>
  <si>
    <t>168+5 INF</t>
  </si>
  <si>
    <t>69+1 INF</t>
  </si>
  <si>
    <t>158+6 INF</t>
  </si>
  <si>
    <t>13+0 INF</t>
  </si>
  <si>
    <t>182+4 INF</t>
  </si>
  <si>
    <t>125+3 INF</t>
  </si>
  <si>
    <t>65+2 INF</t>
  </si>
  <si>
    <t>101+0 INF</t>
  </si>
  <si>
    <t xml:space="preserve">153+5 INF </t>
  </si>
  <si>
    <t>163+6 INF</t>
  </si>
  <si>
    <t>119+3 INF</t>
  </si>
  <si>
    <t xml:space="preserve">159+6 INF </t>
  </si>
  <si>
    <t xml:space="preserve">67+0 INF </t>
  </si>
  <si>
    <t xml:space="preserve">169+6 INF </t>
  </si>
  <si>
    <t xml:space="preserve"> 172+7INF </t>
  </si>
  <si>
    <t>AUH-TZL-AUH</t>
  </si>
  <si>
    <t>A321</t>
  </si>
  <si>
    <t>A6-WZD</t>
  </si>
  <si>
    <t>W67107</t>
  </si>
  <si>
    <t>W67108A</t>
  </si>
  <si>
    <t>173+5 INF</t>
  </si>
  <si>
    <t>37+0 INF</t>
  </si>
  <si>
    <t>143+0 INF</t>
  </si>
  <si>
    <t>182+2 INF</t>
  </si>
  <si>
    <t>35+1 INF</t>
  </si>
  <si>
    <t>INT.NON-SCHEDULED</t>
  </si>
  <si>
    <t>107+2 INF</t>
  </si>
  <si>
    <t>45+1 INF</t>
  </si>
  <si>
    <t>171+4 INF</t>
  </si>
  <si>
    <t>82+1 INF</t>
  </si>
  <si>
    <t>181+1 INF</t>
  </si>
  <si>
    <t>123+2INF</t>
  </si>
  <si>
    <t>70+0INF</t>
  </si>
  <si>
    <t>180+10 INF</t>
  </si>
  <si>
    <t>168+6INF</t>
  </si>
  <si>
    <t>184+2INF</t>
  </si>
  <si>
    <t>131+8INF</t>
  </si>
  <si>
    <t>171+6INF</t>
  </si>
  <si>
    <t>30+0INF</t>
  </si>
  <si>
    <t>173+3 INF</t>
  </si>
  <si>
    <t>158+7 INF</t>
  </si>
  <si>
    <t>111+0 INF</t>
  </si>
  <si>
    <t>128+2 INF</t>
  </si>
  <si>
    <t>118+1 INF</t>
  </si>
  <si>
    <t>155+4 INF</t>
  </si>
  <si>
    <t>176+1 INF</t>
  </si>
  <si>
    <t>125+1 INF</t>
  </si>
  <si>
    <t xml:space="preserve"> 100+0 INF</t>
  </si>
  <si>
    <t>165+1 INF</t>
  </si>
  <si>
    <t>92+3 INF</t>
  </si>
  <si>
    <t>169+2 INF</t>
  </si>
  <si>
    <t>144+5 INF</t>
  </si>
  <si>
    <t>167+4 INF</t>
  </si>
  <si>
    <t xml:space="preserve"> 74+3 INF</t>
  </si>
  <si>
    <t>134+0 INF</t>
  </si>
  <si>
    <t>156+3 INF</t>
  </si>
  <si>
    <t>134+6 INF</t>
  </si>
  <si>
    <t>139+4 INF</t>
  </si>
  <si>
    <t>74+0 INF</t>
  </si>
  <si>
    <t>106+1 INF</t>
  </si>
  <si>
    <t>184+10 INF</t>
  </si>
  <si>
    <t>180+7 INF</t>
  </si>
  <si>
    <t>ANST</t>
  </si>
  <si>
    <t>E7-SAJ</t>
  </si>
  <si>
    <t>HELICOPTER</t>
  </si>
  <si>
    <t>153+3INF</t>
  </si>
  <si>
    <t>68+1 INF</t>
  </si>
  <si>
    <t>151+0 INF</t>
  </si>
  <si>
    <t>171+3 INF</t>
  </si>
  <si>
    <t>183+2 INF</t>
  </si>
  <si>
    <t>49+0 INF</t>
  </si>
  <si>
    <t>150+4 INF</t>
  </si>
  <si>
    <t>H. SERVIS MUP RS</t>
  </si>
  <si>
    <t>BTC-TZL-BTC</t>
  </si>
  <si>
    <t>144+1 INF</t>
  </si>
  <si>
    <t>186+3 INF</t>
  </si>
  <si>
    <t>147+3 INF</t>
  </si>
  <si>
    <t>142+1 INF</t>
  </si>
  <si>
    <t>128+3 INF</t>
  </si>
  <si>
    <t>153+5 INF</t>
  </si>
  <si>
    <t>163+4 INF</t>
  </si>
  <si>
    <t>HA-LYG/LWU</t>
  </si>
  <si>
    <t>AIR PINK</t>
  </si>
  <si>
    <t>SKP-TZL-BJV</t>
  </si>
  <si>
    <t>C56X</t>
  </si>
  <si>
    <t>YU-PMK</t>
  </si>
  <si>
    <t>GP</t>
  </si>
  <si>
    <t>TC-FHP</t>
  </si>
  <si>
    <t>146+4 INF</t>
  </si>
  <si>
    <t>135+3 INF</t>
  </si>
  <si>
    <t>110+3 INF</t>
  </si>
  <si>
    <t>HALWU</t>
  </si>
  <si>
    <t>174+3 INF</t>
  </si>
  <si>
    <t>151+6 INF</t>
  </si>
  <si>
    <t>HA-LWU</t>
  </si>
  <si>
    <t>138+6 INF</t>
  </si>
  <si>
    <t>176+7 INF</t>
  </si>
  <si>
    <t>138+3 INF</t>
  </si>
  <si>
    <t>104+2 INF</t>
  </si>
  <si>
    <t>163+3 INF</t>
  </si>
  <si>
    <t>137+6 INF</t>
  </si>
  <si>
    <t>152+3 INF</t>
  </si>
  <si>
    <t>152+6 INF</t>
  </si>
  <si>
    <t>139+0 INF</t>
  </si>
  <si>
    <t>174+5 INF</t>
  </si>
  <si>
    <t>118+3 INF</t>
  </si>
  <si>
    <t>97+2 INF</t>
  </si>
  <si>
    <t>182+7 INF</t>
  </si>
  <si>
    <t>152+5 INF</t>
  </si>
  <si>
    <t>138+5 INF</t>
  </si>
  <si>
    <t>108+1 INF</t>
  </si>
  <si>
    <t>166+3 INF</t>
  </si>
  <si>
    <t>97+1 INF</t>
  </si>
  <si>
    <t>177+2 INF</t>
  </si>
  <si>
    <t>148+2 INF</t>
  </si>
  <si>
    <t>77+3 INF</t>
  </si>
  <si>
    <t>157+2  INF</t>
  </si>
  <si>
    <t>182+2  INF</t>
  </si>
  <si>
    <t>133+8 INF</t>
  </si>
  <si>
    <t>177+8 INF</t>
  </si>
  <si>
    <t>178+4  INF</t>
  </si>
  <si>
    <t>64+1 INF</t>
  </si>
  <si>
    <t>141+6 INF</t>
  </si>
  <si>
    <t>120+5 INF</t>
  </si>
  <si>
    <t>184+3 INF</t>
  </si>
  <si>
    <t>146+1 INF</t>
  </si>
  <si>
    <t>127+3 INF</t>
  </si>
  <si>
    <t>131+1 INF</t>
  </si>
  <si>
    <t>153+1 INF</t>
  </si>
  <si>
    <t>164+4 INF</t>
  </si>
  <si>
    <t>141+1 INF</t>
  </si>
  <si>
    <t>154+1 INF</t>
  </si>
  <si>
    <t>ZRH-TZL-VCE</t>
  </si>
  <si>
    <t>SAZ71/72</t>
  </si>
  <si>
    <t>CL60</t>
  </si>
  <si>
    <t>SWISS AIR AMB.</t>
  </si>
  <si>
    <t>SAZ72</t>
  </si>
  <si>
    <t>SAZ71</t>
  </si>
  <si>
    <t>128+4 INF</t>
  </si>
  <si>
    <t>171+1 INF</t>
  </si>
  <si>
    <t>154+2 INF</t>
  </si>
  <si>
    <t>145+3 INF</t>
  </si>
  <si>
    <t>134+2 INF</t>
  </si>
  <si>
    <t>139+1 INF</t>
  </si>
  <si>
    <t>171+6 INF</t>
  </si>
  <si>
    <t>123+0 INF</t>
  </si>
  <si>
    <t>143+4 INF</t>
  </si>
  <si>
    <t>175+6 INF</t>
  </si>
  <si>
    <t>163+0 INF</t>
  </si>
  <si>
    <t>168+3 INF</t>
  </si>
  <si>
    <t>115+1 INF</t>
  </si>
  <si>
    <t>181+3 INF</t>
  </si>
  <si>
    <t>149+4 INF</t>
  </si>
  <si>
    <t>151+7 INF</t>
  </si>
  <si>
    <t>129+2 INF</t>
  </si>
  <si>
    <t>175+4 INF</t>
  </si>
  <si>
    <t>136+1 INF</t>
  </si>
  <si>
    <t>143+8 INF</t>
  </si>
  <si>
    <t>146+5 INF</t>
  </si>
  <si>
    <t>180+6 INF</t>
  </si>
  <si>
    <t>154+5 INF</t>
  </si>
  <si>
    <t>122+2 INF</t>
  </si>
  <si>
    <t>HA-LWU/HA-LYG</t>
  </si>
  <si>
    <t>152+1 INF</t>
  </si>
  <si>
    <t>160+7 INF</t>
  </si>
  <si>
    <t>126+2 INF</t>
  </si>
  <si>
    <t>165+4 INF</t>
  </si>
  <si>
    <t>88+1 INF</t>
  </si>
  <si>
    <t>116+3 INF</t>
  </si>
  <si>
    <t>164+7 INF</t>
  </si>
  <si>
    <t>143+3 INF</t>
  </si>
  <si>
    <t>132+5 INF</t>
  </si>
  <si>
    <t>134+5 INF</t>
  </si>
  <si>
    <t>184+8</t>
  </si>
  <si>
    <t>147+2 INF</t>
  </si>
  <si>
    <t>RAPID AVIATION</t>
  </si>
  <si>
    <t>BEG-TZL-LNZ</t>
  </si>
  <si>
    <t>C525</t>
  </si>
  <si>
    <t>T7-ACA</t>
  </si>
  <si>
    <t>GA PRIVATE</t>
  </si>
  <si>
    <t>84+1 INF</t>
  </si>
  <si>
    <t>160+2 INF</t>
  </si>
  <si>
    <t>AERO-DIENST</t>
  </si>
  <si>
    <t>BEG-TZL-SPU</t>
  </si>
  <si>
    <t>D328</t>
  </si>
  <si>
    <t>D-BADC</t>
  </si>
  <si>
    <t>ADN14C</t>
  </si>
  <si>
    <t>LNZ-TZL-BEG</t>
  </si>
  <si>
    <t>175+2 INF</t>
  </si>
  <si>
    <t>142+5 INF</t>
  </si>
  <si>
    <t>111+1 INF</t>
  </si>
  <si>
    <t>164+2 INF</t>
  </si>
  <si>
    <t>HA-LYG/LYE</t>
  </si>
  <si>
    <t>169+4 INF</t>
  </si>
  <si>
    <t>141+3 INF</t>
  </si>
  <si>
    <t>176+4 INF</t>
  </si>
  <si>
    <t>130+4 INF</t>
  </si>
  <si>
    <t>168+6 INF</t>
  </si>
  <si>
    <t>161+2 INF</t>
  </si>
  <si>
    <t>115+2 INF</t>
  </si>
  <si>
    <t>132+0INF</t>
  </si>
  <si>
    <t>151+1INF</t>
  </si>
  <si>
    <t>165+3INF</t>
  </si>
  <si>
    <t>127+3INF</t>
  </si>
  <si>
    <t>180+4INF</t>
  </si>
  <si>
    <t>176+5INF</t>
  </si>
  <si>
    <t>178+6INF</t>
  </si>
  <si>
    <t>146+3 INF</t>
  </si>
  <si>
    <t>152+2 INF</t>
  </si>
  <si>
    <t>JANOS HLATKY</t>
  </si>
  <si>
    <t>MIHALY PROSSZER</t>
  </si>
  <si>
    <t>JAROSI GYORGY</t>
  </si>
  <si>
    <t>KORNEL NEMETH</t>
  </si>
  <si>
    <t>REINHARD HUBMANN</t>
  </si>
  <si>
    <t>JOHANN SATTLER</t>
  </si>
  <si>
    <t>AUTOGYRO KFT</t>
  </si>
  <si>
    <t>VAJDA ROBERT</t>
  </si>
  <si>
    <t>FRANZ NORBERT DERBL</t>
  </si>
  <si>
    <t>TZL-NIŠIĆI</t>
  </si>
  <si>
    <t>CIVILIAN VFR</t>
  </si>
  <si>
    <t>OM-M874</t>
  </si>
  <si>
    <t>KALLITHEA</t>
  </si>
  <si>
    <t>HA-GZP</t>
  </si>
  <si>
    <t>MTO SPORT</t>
  </si>
  <si>
    <t>HA-GYC</t>
  </si>
  <si>
    <t>HA-GYJ</t>
  </si>
  <si>
    <t>STING S4</t>
  </si>
  <si>
    <t>HA-UAL</t>
  </si>
  <si>
    <t>OM-M488</t>
  </si>
  <si>
    <t>VL3</t>
  </si>
  <si>
    <t>F-JVXJ</t>
  </si>
  <si>
    <t>ALPHA TRAINER</t>
  </si>
  <si>
    <t>HA-TAW</t>
  </si>
  <si>
    <t>D-MAPU</t>
  </si>
  <si>
    <t>HA-GYH</t>
  </si>
  <si>
    <t>185+4 INF</t>
  </si>
  <si>
    <t>167+3 INF</t>
  </si>
  <si>
    <t>136+0 INF</t>
  </si>
  <si>
    <t>HALYE</t>
  </si>
  <si>
    <t>121+2 INF</t>
  </si>
  <si>
    <t>HELIMASTER</t>
  </si>
  <si>
    <t>TREBINJE-TZL-BEG</t>
  </si>
  <si>
    <t>AW109</t>
  </si>
  <si>
    <t>YUHRD</t>
  </si>
  <si>
    <t>TECH.FLIGHT</t>
  </si>
  <si>
    <t>N/A</t>
  </si>
  <si>
    <t>172+3 INF</t>
  </si>
  <si>
    <t>165+0 INF</t>
  </si>
  <si>
    <t>165+11 INF</t>
  </si>
  <si>
    <t>161+5 INF</t>
  </si>
  <si>
    <t>149+2 INF</t>
  </si>
  <si>
    <t>154+4 INF</t>
  </si>
  <si>
    <t>163+2 INF</t>
  </si>
  <si>
    <t>152+3INF</t>
  </si>
  <si>
    <t>173+6INF</t>
  </si>
  <si>
    <t>147+1INF</t>
  </si>
  <si>
    <t>158+5INF</t>
  </si>
  <si>
    <t>ADRIATIC AIRWAYS</t>
  </si>
  <si>
    <t>TGD-TZL-GRADAČAC</t>
  </si>
  <si>
    <t>R66</t>
  </si>
  <si>
    <t>159+2INF</t>
  </si>
  <si>
    <t>TZL-TGD</t>
  </si>
  <si>
    <t>152+7 INF</t>
  </si>
  <si>
    <t>HA-LYE</t>
  </si>
  <si>
    <t>168+4 INF</t>
  </si>
  <si>
    <t>TC-FHN</t>
  </si>
  <si>
    <t>175+5 INF</t>
  </si>
  <si>
    <t>AERO DIENST</t>
  </si>
  <si>
    <t>NUE-TZL-DTM</t>
  </si>
  <si>
    <t>LJ60</t>
  </si>
  <si>
    <t>DCURE</t>
  </si>
  <si>
    <t>MEDICAL</t>
  </si>
  <si>
    <t>ADN12E</t>
  </si>
  <si>
    <t>180+5 INF</t>
  </si>
  <si>
    <t>156+1 INF</t>
  </si>
  <si>
    <t>167+9 INF</t>
  </si>
  <si>
    <t>107+6 INF</t>
  </si>
  <si>
    <t>2+0 INF</t>
  </si>
  <si>
    <t>184+7 INF</t>
  </si>
  <si>
    <t>157+5 INF</t>
  </si>
  <si>
    <t>159+6 INF</t>
  </si>
  <si>
    <t>142+8 INF</t>
  </si>
  <si>
    <t>DUŠAN KORC</t>
  </si>
  <si>
    <t>LQPD-TZL</t>
  </si>
  <si>
    <t>TEXAN CLUB</t>
  </si>
  <si>
    <t>S5-PEG</t>
  </si>
  <si>
    <t>94+1 INF</t>
  </si>
  <si>
    <t>140+9 INF</t>
  </si>
  <si>
    <t>124+3 INF</t>
  </si>
  <si>
    <t>157+7 INF</t>
  </si>
  <si>
    <t>120+4 INF</t>
  </si>
  <si>
    <t>171+8 INF</t>
  </si>
  <si>
    <t>98+ 0 INF</t>
  </si>
  <si>
    <t>158+2 INF</t>
  </si>
  <si>
    <t>162+6 INF</t>
  </si>
  <si>
    <t>170+4 INF</t>
  </si>
  <si>
    <t>80+2 INF</t>
  </si>
  <si>
    <t>OTP-TZL-OTP</t>
  </si>
  <si>
    <t>HALWQ</t>
  </si>
  <si>
    <t>FERRY IN/OUT</t>
  </si>
  <si>
    <t>W64801</t>
  </si>
  <si>
    <t>W64802</t>
  </si>
  <si>
    <t>TCFHC</t>
  </si>
  <si>
    <t>176+6 INF</t>
  </si>
  <si>
    <t>178+7 INF</t>
  </si>
  <si>
    <t>135+2 INF</t>
  </si>
  <si>
    <t>170+3 INF</t>
  </si>
  <si>
    <t>167+5 INF</t>
  </si>
  <si>
    <t>165+5 INF</t>
  </si>
  <si>
    <t>99+2 INF</t>
  </si>
  <si>
    <t>RESHEDULED</t>
  </si>
  <si>
    <t>HA-LYW/LPO</t>
  </si>
  <si>
    <t>HA-LPO</t>
  </si>
  <si>
    <t>BUD-TZL-BUD</t>
  </si>
  <si>
    <t>W6803</t>
  </si>
  <si>
    <t>W6804</t>
  </si>
  <si>
    <t>129+0 INF</t>
  </si>
  <si>
    <t>HHN-TZL</t>
  </si>
  <si>
    <t>152+4 INF</t>
  </si>
  <si>
    <t>156+4 INF</t>
  </si>
  <si>
    <t>139+3 INF</t>
  </si>
  <si>
    <t>179+5 INF</t>
  </si>
  <si>
    <t>62+1 INF</t>
  </si>
  <si>
    <t>141+2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</si>
</sst>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/>
    <xf numFmtId="0" fontId="3" fillId="0" borderId="0" xfId="0" applyNumberFormat="1" applyFont="1" applyAlignment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 vertical="center"/>
    </xf>
    <xf numFmtId="20" fontId="0" fillId="0" borderId="0" xfId="0" applyNumberFormat="1"/>
    <xf numFmtId="0" fontId="2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3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opLeftCell="D1" workbookViewId="0">
      <selection sqref="A1:U9"/>
    </sheetView>
  </sheetViews>
  <sheetFormatPr defaultRowHeight="15" x14ac:dyDescent="0.25"/>
  <cols>
    <col min="1" max="1" width="10.140625" bestFit="1" customWidth="1"/>
    <col min="2" max="2" width="19.28515625" bestFit="1" customWidth="1"/>
    <col min="3" max="3" width="14.140625" customWidth="1"/>
  </cols>
  <sheetData>
    <row r="1" spans="1:21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44743</v>
      </c>
      <c r="B2" s="3" t="s">
        <v>21</v>
      </c>
      <c r="C2" s="3" t="s">
        <v>22</v>
      </c>
      <c r="D2" s="3" t="s">
        <v>25</v>
      </c>
      <c r="E2" s="3" t="str">
        <f>E4</f>
        <v>HA-LYQ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0.44791666666666669</v>
      </c>
      <c r="L2" s="4">
        <v>0.25694444444444448</v>
      </c>
      <c r="M2" s="5">
        <v>0.26319444444444445</v>
      </c>
      <c r="N2" s="3" t="s">
        <v>49</v>
      </c>
      <c r="O2" s="3" t="s">
        <v>43</v>
      </c>
      <c r="P2" s="3">
        <v>967</v>
      </c>
      <c r="Q2" s="3">
        <v>717</v>
      </c>
      <c r="R2" s="3">
        <v>0</v>
      </c>
      <c r="S2" s="3">
        <v>0</v>
      </c>
      <c r="T2" s="3">
        <v>0</v>
      </c>
      <c r="U2" s="3">
        <v>0</v>
      </c>
    </row>
    <row r="3" spans="1:21" s="6" customFormat="1" ht="12.75" x14ac:dyDescent="0.2">
      <c r="A3" s="2">
        <v>44743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0.51388888888888895</v>
      </c>
      <c r="L3" s="4">
        <v>0.28125</v>
      </c>
      <c r="M3" s="5">
        <v>0.28750000000000003</v>
      </c>
      <c r="N3" s="3" t="s">
        <v>50</v>
      </c>
      <c r="O3" s="3" t="s">
        <v>45</v>
      </c>
      <c r="P3" s="3">
        <v>1564</v>
      </c>
      <c r="Q3" s="3">
        <v>460</v>
      </c>
      <c r="R3" s="3">
        <v>0</v>
      </c>
      <c r="S3" s="3">
        <v>0</v>
      </c>
      <c r="T3" s="3">
        <v>0</v>
      </c>
      <c r="U3" s="3">
        <v>0</v>
      </c>
    </row>
    <row r="4" spans="1:21" s="6" customFormat="1" ht="12.75" x14ac:dyDescent="0.2">
      <c r="A4" s="2">
        <v>44743</v>
      </c>
      <c r="B4" s="3" t="s">
        <v>21</v>
      </c>
      <c r="C4" s="3" t="s">
        <v>24</v>
      </c>
      <c r="D4" s="3" t="s">
        <v>25</v>
      </c>
      <c r="E4" s="3" t="s">
        <v>42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0.62222222222222223</v>
      </c>
      <c r="L4" s="4">
        <v>0.46180555555555558</v>
      </c>
      <c r="M4" s="5">
        <v>0.48472222222222222</v>
      </c>
      <c r="N4" s="3" t="s">
        <v>71</v>
      </c>
      <c r="O4" s="3" t="s">
        <v>46</v>
      </c>
      <c r="P4" s="3">
        <v>599</v>
      </c>
      <c r="Q4" s="3">
        <v>729</v>
      </c>
      <c r="R4" s="3">
        <v>0</v>
      </c>
      <c r="S4" s="3">
        <v>0</v>
      </c>
      <c r="T4" s="3">
        <v>0</v>
      </c>
      <c r="U4" s="3">
        <v>0</v>
      </c>
    </row>
    <row r="5" spans="1:21" s="6" customFormat="1" ht="12.75" x14ac:dyDescent="0.2">
      <c r="A5" s="2">
        <v>44743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0.75</v>
      </c>
      <c r="L5" s="4">
        <v>0.54166666666666663</v>
      </c>
      <c r="M5" s="5">
        <v>0.55277777777777781</v>
      </c>
      <c r="N5" s="3" t="s">
        <v>72</v>
      </c>
      <c r="O5" s="3" t="s">
        <v>51</v>
      </c>
      <c r="P5" s="3">
        <v>1440</v>
      </c>
      <c r="Q5" s="3">
        <v>326</v>
      </c>
      <c r="R5" s="3">
        <v>0</v>
      </c>
      <c r="S5" s="3">
        <v>0</v>
      </c>
      <c r="T5" s="3">
        <v>0</v>
      </c>
      <c r="U5" s="3">
        <v>0</v>
      </c>
    </row>
    <row r="6" spans="1:21" s="6" customFormat="1" ht="12.75" x14ac:dyDescent="0.2">
      <c r="A6" s="2">
        <v>44743</v>
      </c>
      <c r="B6" s="6" t="s">
        <v>33</v>
      </c>
      <c r="C6" s="6" t="s">
        <v>34</v>
      </c>
      <c r="D6" s="3" t="s">
        <v>25</v>
      </c>
      <c r="E6" s="6" t="s">
        <v>35</v>
      </c>
      <c r="F6" s="6" t="s">
        <v>36</v>
      </c>
      <c r="G6" s="6">
        <v>77000</v>
      </c>
      <c r="H6" s="6" t="s">
        <v>37</v>
      </c>
      <c r="I6" s="6" t="s">
        <v>38</v>
      </c>
      <c r="J6" s="7">
        <v>0.37152777777777773</v>
      </c>
      <c r="K6" s="8">
        <v>0.37361111111111112</v>
      </c>
      <c r="L6" s="7">
        <v>0.3298611111111111</v>
      </c>
      <c r="M6" s="8">
        <v>0.31666666666666665</v>
      </c>
      <c r="N6" s="6" t="s">
        <v>48</v>
      </c>
      <c r="O6" s="6" t="s">
        <v>47</v>
      </c>
      <c r="P6" s="6">
        <v>2244</v>
      </c>
      <c r="Q6" s="6">
        <v>2048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44743</v>
      </c>
      <c r="B7" s="3" t="s">
        <v>21</v>
      </c>
      <c r="C7" s="6" t="s">
        <v>52</v>
      </c>
      <c r="D7" s="3" t="s">
        <v>25</v>
      </c>
      <c r="E7" s="3" t="s">
        <v>42</v>
      </c>
      <c r="F7" s="1" t="s">
        <v>26</v>
      </c>
      <c r="G7" s="3">
        <v>70000</v>
      </c>
      <c r="H7" s="6" t="s">
        <v>55</v>
      </c>
      <c r="I7" s="6" t="s">
        <v>58</v>
      </c>
      <c r="J7" s="7">
        <v>0.75694444444444453</v>
      </c>
      <c r="K7" s="6" t="s">
        <v>61</v>
      </c>
      <c r="L7" s="7">
        <v>0.64236111111111105</v>
      </c>
      <c r="M7" s="6" t="s">
        <v>61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44743</v>
      </c>
      <c r="B8" s="3" t="s">
        <v>21</v>
      </c>
      <c r="C8" s="6" t="s">
        <v>53</v>
      </c>
      <c r="D8" s="3" t="s">
        <v>25</v>
      </c>
      <c r="E8" s="3" t="s">
        <v>44</v>
      </c>
      <c r="F8" s="1" t="s">
        <v>26</v>
      </c>
      <c r="G8" s="3">
        <v>70000</v>
      </c>
      <c r="H8" s="6" t="s">
        <v>56</v>
      </c>
      <c r="I8" s="6" t="s">
        <v>59</v>
      </c>
      <c r="J8" s="7">
        <v>0.96180555555555547</v>
      </c>
      <c r="K8" s="8">
        <v>0.98958333333333337</v>
      </c>
      <c r="L8" s="7">
        <v>0.77777777777777779</v>
      </c>
      <c r="M8" s="8">
        <v>0.82500000000000007</v>
      </c>
      <c r="N8" s="6" t="s">
        <v>74</v>
      </c>
      <c r="O8" s="6" t="s">
        <v>73</v>
      </c>
      <c r="P8" s="6">
        <v>1015</v>
      </c>
      <c r="Q8" s="6">
        <v>476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44743</v>
      </c>
      <c r="B9" s="3" t="s">
        <v>21</v>
      </c>
      <c r="C9" s="6" t="s">
        <v>54</v>
      </c>
      <c r="D9" s="3" t="s">
        <v>25</v>
      </c>
      <c r="E9" s="3" t="s">
        <v>42</v>
      </c>
      <c r="F9" s="1" t="s">
        <v>26</v>
      </c>
      <c r="G9" s="3">
        <v>70000</v>
      </c>
      <c r="H9" s="6" t="s">
        <v>57</v>
      </c>
      <c r="I9" s="6" t="s">
        <v>60</v>
      </c>
      <c r="J9" s="7">
        <v>0.97569444444444453</v>
      </c>
      <c r="K9" s="6" t="s">
        <v>61</v>
      </c>
      <c r="L9" s="7">
        <v>0.77777777777777779</v>
      </c>
      <c r="M9" s="6" t="s">
        <v>61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2">
        <v>44743</v>
      </c>
      <c r="B10" s="3" t="s">
        <v>21</v>
      </c>
      <c r="C10" s="6" t="s">
        <v>62</v>
      </c>
      <c r="D10" s="3" t="s">
        <v>25</v>
      </c>
      <c r="E10" s="6" t="s">
        <v>42</v>
      </c>
      <c r="F10" s="6" t="s">
        <v>64</v>
      </c>
      <c r="G10" s="3">
        <v>70000</v>
      </c>
      <c r="H10" s="6" t="s">
        <v>67</v>
      </c>
      <c r="I10" s="6" t="s">
        <v>69</v>
      </c>
      <c r="J10" s="6" t="s">
        <v>67</v>
      </c>
      <c r="K10" s="8" t="s">
        <v>67</v>
      </c>
      <c r="L10" s="7">
        <v>0.77083333333333337</v>
      </c>
      <c r="M10" s="8">
        <v>0.78333333333333333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2">
        <v>44743</v>
      </c>
      <c r="B11" s="3" t="s">
        <v>21</v>
      </c>
      <c r="C11" s="6" t="s">
        <v>63</v>
      </c>
      <c r="D11" s="3" t="s">
        <v>25</v>
      </c>
      <c r="E11" s="6" t="s">
        <v>66</v>
      </c>
      <c r="F11" s="6" t="s">
        <v>65</v>
      </c>
      <c r="G11" s="3">
        <v>70000</v>
      </c>
      <c r="H11" s="6" t="s">
        <v>68</v>
      </c>
      <c r="I11" s="6" t="s">
        <v>67</v>
      </c>
      <c r="J11" s="7">
        <v>0.875</v>
      </c>
      <c r="K11" s="8">
        <v>0.87708333333333333</v>
      </c>
      <c r="L11" s="6" t="s">
        <v>70</v>
      </c>
      <c r="M11" s="6" t="s">
        <v>70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workbookViewId="0">
      <selection activeCell="K27" sqref="K27"/>
    </sheetView>
  </sheetViews>
  <sheetFormatPr defaultRowHeight="15" x14ac:dyDescent="0.25"/>
  <cols>
    <col min="1" max="1" width="10.140625" bestFit="1" customWidth="1"/>
    <col min="2" max="2" width="19.28515625" bestFit="1" customWidth="1"/>
    <col min="3" max="3" width="14.140625" customWidth="1"/>
  </cols>
  <sheetData>
    <row r="1" spans="1:21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44744</v>
      </c>
      <c r="B2" s="3" t="s">
        <v>21</v>
      </c>
      <c r="C2" s="3" t="s">
        <v>75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0.45833333333333331</v>
      </c>
      <c r="L2" s="4">
        <v>0.25694444444444448</v>
      </c>
      <c r="M2" s="5">
        <v>0.26041666666666669</v>
      </c>
      <c r="N2" s="3" t="s">
        <v>86</v>
      </c>
      <c r="O2" s="3" t="s">
        <v>84</v>
      </c>
      <c r="P2" s="3">
        <v>1470</v>
      </c>
      <c r="Q2" s="3">
        <v>314</v>
      </c>
      <c r="R2" s="3">
        <v>0</v>
      </c>
      <c r="S2" s="3">
        <v>0</v>
      </c>
      <c r="T2" s="3">
        <v>0</v>
      </c>
      <c r="U2" s="3">
        <v>0</v>
      </c>
    </row>
    <row r="3" spans="1:21" s="6" customFormat="1" ht="12.75" x14ac:dyDescent="0.2">
      <c r="A3" s="2">
        <v>44744</v>
      </c>
      <c r="B3" s="3" t="s">
        <v>21</v>
      </c>
      <c r="C3" s="3" t="s">
        <v>76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79</v>
      </c>
      <c r="I3" s="3" t="s">
        <v>82</v>
      </c>
      <c r="J3" s="4">
        <v>0.47222222222222227</v>
      </c>
      <c r="K3" s="5">
        <v>0.49305555555555558</v>
      </c>
      <c r="L3" s="4">
        <v>0.28125</v>
      </c>
      <c r="M3" s="5">
        <v>0.30555555555555552</v>
      </c>
      <c r="N3" s="3" t="s">
        <v>88</v>
      </c>
      <c r="O3" s="3" t="s">
        <v>85</v>
      </c>
      <c r="P3" s="3">
        <v>1321</v>
      </c>
      <c r="Q3" s="3">
        <v>871</v>
      </c>
      <c r="R3" s="3">
        <v>0</v>
      </c>
      <c r="S3" s="3">
        <v>0</v>
      </c>
      <c r="T3" s="3">
        <v>0</v>
      </c>
      <c r="U3" s="3">
        <v>0</v>
      </c>
    </row>
    <row r="4" spans="1:21" s="6" customFormat="1" ht="12.75" x14ac:dyDescent="0.2">
      <c r="A4" s="2">
        <v>44744</v>
      </c>
      <c r="B4" s="3" t="s">
        <v>21</v>
      </c>
      <c r="C4" s="3" t="s">
        <v>77</v>
      </c>
      <c r="D4" s="3" t="s">
        <v>25</v>
      </c>
      <c r="E4" s="3" t="s">
        <v>66</v>
      </c>
      <c r="F4" s="1" t="s">
        <v>26</v>
      </c>
      <c r="G4" s="3">
        <v>70000</v>
      </c>
      <c r="H4" s="3" t="s">
        <v>80</v>
      </c>
      <c r="I4" s="3" t="s">
        <v>83</v>
      </c>
      <c r="J4" s="4">
        <v>0.91319444444444453</v>
      </c>
      <c r="K4" s="5" t="s">
        <v>61</v>
      </c>
      <c r="L4" s="4">
        <v>0.49305555555555558</v>
      </c>
      <c r="M4" s="5">
        <v>0.50555555555555554</v>
      </c>
      <c r="N4" s="5" t="s">
        <v>61</v>
      </c>
      <c r="O4" s="3" t="s">
        <v>87</v>
      </c>
      <c r="P4" s="5" t="s">
        <v>61</v>
      </c>
      <c r="Q4" s="3">
        <v>883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44744</v>
      </c>
      <c r="B5" s="6" t="s">
        <v>89</v>
      </c>
      <c r="C5" s="6" t="s">
        <v>90</v>
      </c>
      <c r="D5" s="6" t="s">
        <v>91</v>
      </c>
      <c r="E5" s="6" t="s">
        <v>92</v>
      </c>
      <c r="F5" s="6" t="s">
        <v>93</v>
      </c>
      <c r="G5" s="6">
        <v>6713</v>
      </c>
      <c r="H5" s="6" t="s">
        <v>94</v>
      </c>
      <c r="I5" s="6" t="s">
        <v>67</v>
      </c>
      <c r="J5" s="7">
        <v>0.72569444444444453</v>
      </c>
      <c r="K5" s="8">
        <v>0.72291666666666676</v>
      </c>
      <c r="L5" s="6" t="s">
        <v>70</v>
      </c>
      <c r="M5" s="6" t="s">
        <v>70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selection activeCell="A8" sqref="A8:Q8"/>
    </sheetView>
  </sheetViews>
  <sheetFormatPr defaultRowHeight="15" x14ac:dyDescent="0.25"/>
  <cols>
    <col min="1" max="1" width="10.140625" bestFit="1" customWidth="1"/>
    <col min="2" max="2" width="17.28515625" customWidth="1"/>
    <col min="3" max="3" width="13" customWidth="1"/>
    <col min="6" max="6" width="13.140625" customWidth="1"/>
    <col min="8" max="9" width="11.7109375" customWidth="1"/>
  </cols>
  <sheetData>
    <row r="1" spans="1:21" s="1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44745</v>
      </c>
      <c r="B2" s="3" t="s">
        <v>21</v>
      </c>
      <c r="C2" s="3" t="s">
        <v>75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78</v>
      </c>
      <c r="I2" s="3" t="s">
        <v>81</v>
      </c>
      <c r="J2" s="5">
        <v>0.45833333333333331</v>
      </c>
      <c r="K2" s="5">
        <v>0.4597222222222222</v>
      </c>
      <c r="L2" s="5">
        <v>0.25694444444444448</v>
      </c>
      <c r="M2" s="5">
        <v>0.27291666666666664</v>
      </c>
      <c r="N2" s="3" t="s">
        <v>118</v>
      </c>
      <c r="O2" s="3" t="s">
        <v>116</v>
      </c>
      <c r="P2" s="3">
        <v>1147</v>
      </c>
      <c r="Q2" s="3">
        <v>320</v>
      </c>
      <c r="R2" s="3">
        <v>0</v>
      </c>
      <c r="S2" s="3">
        <v>0</v>
      </c>
      <c r="T2" s="3">
        <v>0</v>
      </c>
      <c r="U2" s="3">
        <v>0</v>
      </c>
    </row>
    <row r="3" spans="1:21" s="11" customFormat="1" ht="12.75" x14ac:dyDescent="0.2">
      <c r="A3" s="2">
        <v>44745</v>
      </c>
      <c r="B3" s="3" t="s">
        <v>21</v>
      </c>
      <c r="C3" s="6" t="s">
        <v>103</v>
      </c>
      <c r="D3" s="3" t="s">
        <v>25</v>
      </c>
      <c r="E3" s="6" t="s">
        <v>102</v>
      </c>
      <c r="F3" s="3" t="s">
        <v>26</v>
      </c>
      <c r="G3" s="10">
        <v>70000</v>
      </c>
      <c r="H3" s="3" t="s">
        <v>95</v>
      </c>
      <c r="I3" s="6" t="s">
        <v>96</v>
      </c>
      <c r="J3" s="8">
        <v>0.4375</v>
      </c>
      <c r="K3" s="8">
        <v>0.43888888888888888</v>
      </c>
      <c r="L3" s="8">
        <v>0.29166666666666669</v>
      </c>
      <c r="M3" s="8">
        <v>0.28888888888888892</v>
      </c>
      <c r="N3" s="3" t="s">
        <v>119</v>
      </c>
      <c r="O3" s="3" t="s">
        <v>117</v>
      </c>
      <c r="P3" s="6">
        <v>1062</v>
      </c>
      <c r="Q3" s="6">
        <v>403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44745</v>
      </c>
      <c r="B4" s="3" t="s">
        <v>21</v>
      </c>
      <c r="C4" s="3" t="s">
        <v>106</v>
      </c>
      <c r="D4" s="3" t="s">
        <v>25</v>
      </c>
      <c r="E4" s="3" t="s">
        <v>44</v>
      </c>
      <c r="F4" s="1" t="s">
        <v>26</v>
      </c>
      <c r="G4" s="3">
        <v>70000</v>
      </c>
      <c r="H4" s="3" t="s">
        <v>107</v>
      </c>
      <c r="I4" s="3" t="s">
        <v>108</v>
      </c>
      <c r="J4" s="5">
        <v>0.62847222222222221</v>
      </c>
      <c r="K4" s="5">
        <v>0.64166666666666672</v>
      </c>
      <c r="L4" s="5">
        <v>0.47569444444444442</v>
      </c>
      <c r="M4" s="5">
        <v>0.4861111111111111</v>
      </c>
      <c r="N4" s="3" t="s">
        <v>122</v>
      </c>
      <c r="O4" s="3" t="s">
        <v>120</v>
      </c>
      <c r="P4" s="3">
        <v>400</v>
      </c>
      <c r="Q4" s="3">
        <v>594</v>
      </c>
      <c r="R4" s="3">
        <v>0</v>
      </c>
      <c r="S4" s="3">
        <v>0</v>
      </c>
      <c r="T4" s="3">
        <v>0</v>
      </c>
      <c r="U4" s="3">
        <v>0</v>
      </c>
    </row>
    <row r="5" spans="1:21" s="11" customFormat="1" ht="12.75" x14ac:dyDescent="0.2">
      <c r="A5" s="2">
        <v>44745</v>
      </c>
      <c r="B5" s="3" t="s">
        <v>21</v>
      </c>
      <c r="C5" s="6" t="s">
        <v>104</v>
      </c>
      <c r="D5" s="3" t="s">
        <v>25</v>
      </c>
      <c r="E5" s="6" t="s">
        <v>101</v>
      </c>
      <c r="F5" s="3" t="s">
        <v>26</v>
      </c>
      <c r="G5" s="10">
        <v>70000</v>
      </c>
      <c r="H5" s="6" t="s">
        <v>97</v>
      </c>
      <c r="I5" s="6" t="s">
        <v>98</v>
      </c>
      <c r="J5" s="8">
        <v>0.64583333333333337</v>
      </c>
      <c r="K5" s="8">
        <v>0.63888888888888895</v>
      </c>
      <c r="L5" s="8">
        <v>0.48958333333333331</v>
      </c>
      <c r="M5" s="8">
        <v>0.49236111111111108</v>
      </c>
      <c r="N5" s="3" t="s">
        <v>123</v>
      </c>
      <c r="O5" s="3" t="s">
        <v>121</v>
      </c>
      <c r="P5" s="6">
        <v>1070</v>
      </c>
      <c r="Q5" s="6">
        <v>331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2">
        <v>44745</v>
      </c>
      <c r="B6" s="3" t="s">
        <v>21</v>
      </c>
      <c r="C6" s="6" t="s">
        <v>109</v>
      </c>
      <c r="D6" s="3" t="s">
        <v>25</v>
      </c>
      <c r="E6" s="3" t="s">
        <v>44</v>
      </c>
      <c r="F6" s="3" t="s">
        <v>26</v>
      </c>
      <c r="G6" s="10">
        <v>70000</v>
      </c>
      <c r="H6" s="6" t="s">
        <v>110</v>
      </c>
      <c r="I6" s="6" t="s">
        <v>111</v>
      </c>
      <c r="J6" s="8">
        <v>0.86805555555555547</v>
      </c>
      <c r="K6" s="8">
        <v>0.90277777777777779</v>
      </c>
      <c r="L6" s="8">
        <v>0.64930555555555558</v>
      </c>
      <c r="M6" s="8">
        <v>0.68819444444444444</v>
      </c>
      <c r="N6" s="3" t="s">
        <v>124</v>
      </c>
      <c r="O6" s="3" t="s">
        <v>126</v>
      </c>
      <c r="P6" s="6">
        <v>971</v>
      </c>
      <c r="Q6" s="6">
        <v>697</v>
      </c>
      <c r="R6" s="6">
        <v>0</v>
      </c>
      <c r="S6" s="6">
        <v>0</v>
      </c>
      <c r="T6" s="6">
        <v>0</v>
      </c>
      <c r="U6" s="6">
        <v>0</v>
      </c>
    </row>
    <row r="7" spans="1:21" s="11" customFormat="1" ht="12.75" x14ac:dyDescent="0.2">
      <c r="A7" s="2">
        <v>44745</v>
      </c>
      <c r="B7" s="3" t="s">
        <v>21</v>
      </c>
      <c r="C7" s="6" t="s">
        <v>105</v>
      </c>
      <c r="D7" s="6" t="s">
        <v>25</v>
      </c>
      <c r="E7" s="6" t="s">
        <v>101</v>
      </c>
      <c r="F7" s="6" t="s">
        <v>26</v>
      </c>
      <c r="G7" s="10">
        <v>70000</v>
      </c>
      <c r="H7" s="6" t="s">
        <v>99</v>
      </c>
      <c r="I7" s="6" t="s">
        <v>100</v>
      </c>
      <c r="J7" s="8">
        <v>0.90277777777777779</v>
      </c>
      <c r="K7" s="8">
        <v>0.90277777777777779</v>
      </c>
      <c r="L7" s="8">
        <v>0.66666666666666663</v>
      </c>
      <c r="M7" s="8">
        <v>0.67152777777777783</v>
      </c>
      <c r="N7" s="3" t="s">
        <v>125</v>
      </c>
      <c r="O7" s="3" t="s">
        <v>127</v>
      </c>
      <c r="P7" s="6">
        <v>1901</v>
      </c>
      <c r="Q7" s="6">
        <v>408</v>
      </c>
      <c r="R7" s="6">
        <v>0</v>
      </c>
      <c r="S7" s="6">
        <v>0</v>
      </c>
      <c r="T7" s="6">
        <v>0</v>
      </c>
      <c r="U7" s="6">
        <v>0</v>
      </c>
    </row>
    <row r="8" spans="1:21" s="11" customFormat="1" ht="12.75" x14ac:dyDescent="0.2">
      <c r="A8" s="2">
        <v>44745</v>
      </c>
      <c r="B8" s="6" t="s">
        <v>112</v>
      </c>
      <c r="C8" s="6" t="s">
        <v>113</v>
      </c>
      <c r="D8" s="6" t="s">
        <v>91</v>
      </c>
      <c r="E8" s="6" t="s">
        <v>114</v>
      </c>
      <c r="F8" s="6" t="s">
        <v>93</v>
      </c>
      <c r="G8" s="6">
        <v>6713</v>
      </c>
      <c r="H8" s="6" t="s">
        <v>94</v>
      </c>
      <c r="I8" s="6" t="s">
        <v>115</v>
      </c>
      <c r="J8" s="8" t="s">
        <v>70</v>
      </c>
      <c r="K8" s="8"/>
      <c r="L8" s="8">
        <v>0.41666666666666669</v>
      </c>
      <c r="M8" s="8">
        <v>0.36249999999999999</v>
      </c>
      <c r="N8" s="3">
        <v>0</v>
      </c>
      <c r="O8" s="3">
        <v>0</v>
      </c>
      <c r="P8" s="12">
        <v>0</v>
      </c>
      <c r="Q8" s="12">
        <v>0</v>
      </c>
      <c r="R8" s="12">
        <v>0</v>
      </c>
      <c r="S8" s="6">
        <v>0</v>
      </c>
      <c r="T8" s="12">
        <v>0</v>
      </c>
      <c r="U8" s="6">
        <v>0</v>
      </c>
    </row>
    <row r="9" spans="1:21" x14ac:dyDescent="0.25">
      <c r="A9" s="2">
        <v>44745</v>
      </c>
      <c r="B9" s="3" t="s">
        <v>135</v>
      </c>
      <c r="C9" s="6" t="s">
        <v>134</v>
      </c>
      <c r="D9" s="3" t="s">
        <v>25</v>
      </c>
      <c r="E9" s="6" t="s">
        <v>133</v>
      </c>
      <c r="F9" t="s">
        <v>132</v>
      </c>
      <c r="G9" s="10">
        <v>75</v>
      </c>
      <c r="H9" s="6" t="s">
        <v>131</v>
      </c>
      <c r="I9" s="6" t="s">
        <v>130</v>
      </c>
      <c r="J9" s="8">
        <v>0.83333333333333337</v>
      </c>
      <c r="K9" s="8">
        <v>0.83333333333333337</v>
      </c>
      <c r="L9" s="8">
        <v>0.89583333333333337</v>
      </c>
      <c r="M9" s="8">
        <v>0.90277777777777779</v>
      </c>
      <c r="N9" s="3" t="s">
        <v>128</v>
      </c>
      <c r="O9" s="3" t="s">
        <v>129</v>
      </c>
      <c r="P9" s="12">
        <v>2222</v>
      </c>
      <c r="Q9" s="12">
        <v>2222</v>
      </c>
      <c r="R9" s="12">
        <v>0</v>
      </c>
      <c r="S9" s="6">
        <v>0</v>
      </c>
      <c r="T9" s="12">
        <v>0</v>
      </c>
      <c r="U9" s="6">
        <v>0</v>
      </c>
    </row>
    <row r="14" spans="1:21" x14ac:dyDescent="0.25">
      <c r="N14" s="13"/>
    </row>
    <row r="20" spans="8:8" x14ac:dyDescent="0.25">
      <c r="H20" s="1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"/>
  <sheetViews>
    <sheetView workbookViewId="0">
      <selection activeCell="C41" sqref="C41"/>
    </sheetView>
  </sheetViews>
  <sheetFormatPr defaultRowHeight="12.75" x14ac:dyDescent="0.2"/>
  <cols>
    <col min="1" max="1" width="9.140625" style="6"/>
    <col min="2" max="2" width="11.85546875" style="6" customWidth="1"/>
    <col min="3" max="3" width="13.42578125" style="6" customWidth="1"/>
    <col min="4" max="4" width="8.28515625" style="6" customWidth="1"/>
    <col min="5" max="5" width="12.7109375" style="6" customWidth="1"/>
    <col min="6" max="6" width="17.140625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44746</v>
      </c>
      <c r="B2" s="3" t="s">
        <v>21</v>
      </c>
      <c r="C2" s="3" t="s">
        <v>22</v>
      </c>
      <c r="D2" s="3" t="s">
        <v>25</v>
      </c>
      <c r="E2" s="3" t="s">
        <v>136</v>
      </c>
      <c r="F2" s="3" t="s">
        <v>26</v>
      </c>
      <c r="G2" s="10">
        <v>70000</v>
      </c>
      <c r="H2" s="3" t="s">
        <v>27</v>
      </c>
      <c r="I2" s="3" t="s">
        <v>28</v>
      </c>
      <c r="J2" s="4">
        <v>0.44097222222222227</v>
      </c>
      <c r="K2" s="5">
        <v>0.43541666666666662</v>
      </c>
      <c r="L2" s="4">
        <v>0.25694444444444448</v>
      </c>
      <c r="M2" s="5">
        <v>0.26597222222222222</v>
      </c>
      <c r="N2" s="3" t="s">
        <v>141</v>
      </c>
      <c r="O2" s="3" t="s">
        <v>138</v>
      </c>
      <c r="P2" s="3">
        <v>1012</v>
      </c>
      <c r="Q2" s="3">
        <v>562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44746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0.52361111111111114</v>
      </c>
      <c r="L3" s="4">
        <v>0.28125</v>
      </c>
      <c r="M3" s="5">
        <v>0.30833333333333335</v>
      </c>
      <c r="N3" s="3" t="s">
        <v>142</v>
      </c>
      <c r="O3" s="3" t="s">
        <v>139</v>
      </c>
      <c r="P3" s="3">
        <v>1233</v>
      </c>
      <c r="Q3" s="3">
        <v>360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44746</v>
      </c>
      <c r="B4" s="3" t="s">
        <v>21</v>
      </c>
      <c r="C4" s="3" t="s">
        <v>24</v>
      </c>
      <c r="D4" s="3" t="s">
        <v>25</v>
      </c>
      <c r="E4" s="3" t="s">
        <v>137</v>
      </c>
      <c r="F4" s="3" t="s">
        <v>26</v>
      </c>
      <c r="G4" s="10">
        <v>70000</v>
      </c>
      <c r="H4" s="3" t="s">
        <v>31</v>
      </c>
      <c r="I4" s="3" t="s">
        <v>32</v>
      </c>
      <c r="J4" s="4">
        <v>0.61111111111111105</v>
      </c>
      <c r="K4" s="5">
        <v>0.6166666666666667</v>
      </c>
      <c r="L4" s="4">
        <v>0.46180555555555558</v>
      </c>
      <c r="M4" s="5">
        <v>0.47291666666666665</v>
      </c>
      <c r="N4" s="3" t="s">
        <v>147</v>
      </c>
      <c r="O4" s="3" t="s">
        <v>140</v>
      </c>
      <c r="P4" s="3">
        <v>743</v>
      </c>
      <c r="Q4" s="3">
        <v>498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44746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0.7583333333333333</v>
      </c>
      <c r="L5" s="4">
        <v>0.54166666666666663</v>
      </c>
      <c r="M5" s="5">
        <v>0.56388888888888888</v>
      </c>
      <c r="N5" s="3" t="s">
        <v>71</v>
      </c>
      <c r="O5" s="3" t="s">
        <v>143</v>
      </c>
      <c r="P5" s="3">
        <v>1082</v>
      </c>
      <c r="Q5" s="3">
        <v>200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44746</v>
      </c>
      <c r="B6" s="3" t="s">
        <v>21</v>
      </c>
      <c r="C6" s="6" t="s">
        <v>52</v>
      </c>
      <c r="D6" s="3" t="s">
        <v>25</v>
      </c>
      <c r="E6" s="3" t="s">
        <v>137</v>
      </c>
      <c r="F6" s="3" t="s">
        <v>26</v>
      </c>
      <c r="G6" s="10">
        <v>70000</v>
      </c>
      <c r="H6" s="6" t="s">
        <v>55</v>
      </c>
      <c r="I6" s="6" t="s">
        <v>58</v>
      </c>
      <c r="J6" s="7">
        <v>0.75694444444444453</v>
      </c>
      <c r="K6" s="8">
        <v>0.76041666666666663</v>
      </c>
      <c r="L6" s="7">
        <v>0.64236111111111105</v>
      </c>
      <c r="M6" s="8">
        <v>0.65138888888888891</v>
      </c>
      <c r="N6" s="3" t="s">
        <v>148</v>
      </c>
      <c r="O6" s="3" t="s">
        <v>144</v>
      </c>
      <c r="P6" s="6">
        <v>925</v>
      </c>
      <c r="Q6" s="6">
        <v>506</v>
      </c>
      <c r="R6" s="3">
        <v>0</v>
      </c>
      <c r="S6" s="3">
        <v>0</v>
      </c>
      <c r="T6" s="3">
        <v>0</v>
      </c>
      <c r="U6" s="3">
        <v>0</v>
      </c>
    </row>
    <row r="7" spans="1:21" customFormat="1" ht="15" x14ac:dyDescent="0.25">
      <c r="A7" s="2">
        <v>44746</v>
      </c>
      <c r="B7" s="3" t="s">
        <v>21</v>
      </c>
      <c r="C7" s="6" t="s">
        <v>53</v>
      </c>
      <c r="D7" s="3" t="s">
        <v>25</v>
      </c>
      <c r="E7" s="3" t="s">
        <v>44</v>
      </c>
      <c r="F7" s="1" t="s">
        <v>26</v>
      </c>
      <c r="G7" s="3">
        <v>70000</v>
      </c>
      <c r="H7" s="6" t="s">
        <v>56</v>
      </c>
      <c r="I7" s="6" t="s">
        <v>59</v>
      </c>
      <c r="J7" s="7">
        <v>0.96180555555555547</v>
      </c>
      <c r="K7" s="8">
        <v>0.99791666666666667</v>
      </c>
      <c r="L7" s="7">
        <v>0.77777777777777779</v>
      </c>
      <c r="M7" s="8">
        <v>0.80694444444444446</v>
      </c>
      <c r="N7" s="3" t="s">
        <v>88</v>
      </c>
      <c r="O7" s="3" t="s">
        <v>145</v>
      </c>
      <c r="P7" s="6">
        <v>1032</v>
      </c>
      <c r="Q7" s="6">
        <v>378</v>
      </c>
      <c r="R7" s="6">
        <v>0</v>
      </c>
      <c r="S7" s="6">
        <v>0</v>
      </c>
      <c r="T7" s="6">
        <v>0</v>
      </c>
      <c r="U7" s="6">
        <v>0</v>
      </c>
    </row>
    <row r="8" spans="1:21" customFormat="1" ht="15" x14ac:dyDescent="0.25">
      <c r="A8" s="2">
        <v>44746</v>
      </c>
      <c r="B8" s="3" t="s">
        <v>21</v>
      </c>
      <c r="C8" s="6" t="s">
        <v>54</v>
      </c>
      <c r="D8" s="3" t="s">
        <v>25</v>
      </c>
      <c r="E8" s="3" t="s">
        <v>137</v>
      </c>
      <c r="F8" s="1" t="s">
        <v>26</v>
      </c>
      <c r="G8" s="3">
        <v>70000</v>
      </c>
      <c r="H8" s="6" t="s">
        <v>57</v>
      </c>
      <c r="I8" s="6" t="s">
        <v>60</v>
      </c>
      <c r="J8" s="7">
        <v>0.97569444444444453</v>
      </c>
      <c r="K8" s="8">
        <v>0.96319444444444446</v>
      </c>
      <c r="L8" s="7">
        <v>0.77777777777777779</v>
      </c>
      <c r="M8" s="8">
        <v>0.80208333333333337</v>
      </c>
      <c r="N8" s="3" t="s">
        <v>149</v>
      </c>
      <c r="O8" s="3" t="s">
        <v>146</v>
      </c>
      <c r="P8" s="6">
        <v>1337</v>
      </c>
      <c r="Q8" s="6">
        <v>486</v>
      </c>
      <c r="R8" s="6">
        <v>0</v>
      </c>
      <c r="S8" s="6">
        <v>0</v>
      </c>
      <c r="T8" s="6">
        <v>0</v>
      </c>
      <c r="U8" s="6">
        <v>0</v>
      </c>
    </row>
    <row r="9" spans="1:21" ht="12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"/>
  <sheetViews>
    <sheetView workbookViewId="0">
      <selection activeCell="E34" sqref="E34"/>
    </sheetView>
  </sheetViews>
  <sheetFormatPr defaultRowHeight="15" x14ac:dyDescent="0.25"/>
  <cols>
    <col min="3" max="3" width="13.570312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44747</v>
      </c>
      <c r="B2" s="3" t="s">
        <v>21</v>
      </c>
      <c r="C2" s="3" t="s">
        <v>75</v>
      </c>
      <c r="D2" s="3" t="s">
        <v>25</v>
      </c>
      <c r="E2" s="3" t="s">
        <v>153</v>
      </c>
      <c r="F2" s="1" t="s">
        <v>26</v>
      </c>
      <c r="G2" s="3">
        <v>70000</v>
      </c>
      <c r="H2" s="3" t="s">
        <v>78</v>
      </c>
      <c r="I2" s="3" t="s">
        <v>81</v>
      </c>
      <c r="J2" s="5">
        <v>0.45833333333333331</v>
      </c>
      <c r="K2" s="5">
        <v>0.46111111111111108</v>
      </c>
      <c r="L2" s="5">
        <v>0.25694444444444448</v>
      </c>
      <c r="M2" s="5">
        <v>0.2722222222222222</v>
      </c>
      <c r="N2" s="3" t="s">
        <v>159</v>
      </c>
      <c r="O2" s="3" t="s">
        <v>155</v>
      </c>
      <c r="P2" s="3">
        <v>1064</v>
      </c>
      <c r="Q2" s="3">
        <v>80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44747</v>
      </c>
      <c r="B3" s="3" t="s">
        <v>21</v>
      </c>
      <c r="C3" s="3" t="s">
        <v>76</v>
      </c>
      <c r="D3" s="3" t="s">
        <v>25</v>
      </c>
      <c r="E3" s="3" t="s">
        <v>102</v>
      </c>
      <c r="F3" s="3" t="s">
        <v>26</v>
      </c>
      <c r="G3" s="10">
        <v>70000</v>
      </c>
      <c r="H3" s="3" t="s">
        <v>79</v>
      </c>
      <c r="I3" s="3" t="s">
        <v>82</v>
      </c>
      <c r="J3" s="4">
        <v>0.46180555555555558</v>
      </c>
      <c r="K3" s="5">
        <v>0.47361111111111115</v>
      </c>
      <c r="L3" s="4">
        <v>0.27083333333333331</v>
      </c>
      <c r="M3" s="5">
        <v>0.2902777777777778</v>
      </c>
      <c r="N3" s="3" t="s">
        <v>160</v>
      </c>
      <c r="O3" s="3" t="s">
        <v>156</v>
      </c>
      <c r="P3" s="15">
        <v>1253</v>
      </c>
      <c r="Q3" s="3">
        <v>344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44747</v>
      </c>
      <c r="B4" s="3" t="s">
        <v>33</v>
      </c>
      <c r="C4" s="3" t="s">
        <v>34</v>
      </c>
      <c r="D4" s="3" t="s">
        <v>25</v>
      </c>
      <c r="E4" s="3" t="s">
        <v>154</v>
      </c>
      <c r="F4" s="1" t="s">
        <v>36</v>
      </c>
      <c r="G4" s="3">
        <v>77000</v>
      </c>
      <c r="H4" s="3" t="s">
        <v>37</v>
      </c>
      <c r="I4" s="3" t="s">
        <v>38</v>
      </c>
      <c r="J4" s="4">
        <v>0.3298611111111111</v>
      </c>
      <c r="K4" s="5">
        <v>0.31736111111111115</v>
      </c>
      <c r="L4" s="4">
        <v>0.37152777777777773</v>
      </c>
      <c r="M4" s="5">
        <v>0.37222222222222223</v>
      </c>
      <c r="N4" s="3" t="s">
        <v>157</v>
      </c>
      <c r="O4" s="3" t="s">
        <v>158</v>
      </c>
      <c r="P4" s="3">
        <v>2385</v>
      </c>
      <c r="Q4" s="3">
        <v>2267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44747</v>
      </c>
      <c r="B5" s="3" t="s">
        <v>21</v>
      </c>
      <c r="C5" s="3" t="s">
        <v>77</v>
      </c>
      <c r="D5" s="3" t="s">
        <v>25</v>
      </c>
      <c r="E5" s="3" t="s">
        <v>153</v>
      </c>
      <c r="F5" s="3" t="s">
        <v>26</v>
      </c>
      <c r="G5" s="10">
        <v>70000</v>
      </c>
      <c r="H5" s="3" t="s">
        <v>80</v>
      </c>
      <c r="I5" s="3" t="s">
        <v>83</v>
      </c>
      <c r="J5" s="4">
        <v>0.91319444444444453</v>
      </c>
      <c r="K5" s="5">
        <v>0.93958333333333333</v>
      </c>
      <c r="L5" s="4">
        <v>0.49305555555555558</v>
      </c>
      <c r="M5" s="5">
        <v>0.5083333333333333</v>
      </c>
      <c r="N5" s="3" t="s">
        <v>163</v>
      </c>
      <c r="O5" s="3" t="s">
        <v>161</v>
      </c>
      <c r="P5" s="3">
        <v>1438</v>
      </c>
      <c r="Q5" s="3">
        <v>387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44747</v>
      </c>
      <c r="B6" s="3" t="s">
        <v>21</v>
      </c>
      <c r="C6" s="3" t="s">
        <v>150</v>
      </c>
      <c r="D6" s="3" t="s">
        <v>25</v>
      </c>
      <c r="E6" s="3" t="s">
        <v>102</v>
      </c>
      <c r="F6" s="3" t="s">
        <v>26</v>
      </c>
      <c r="G6" s="10">
        <v>70000</v>
      </c>
      <c r="H6" s="3" t="s">
        <v>151</v>
      </c>
      <c r="I6" s="3" t="s">
        <v>152</v>
      </c>
      <c r="J6" s="4">
        <v>0.91319444444444453</v>
      </c>
      <c r="K6" s="5">
        <v>0.99375000000000002</v>
      </c>
      <c r="L6" s="4">
        <v>0.50347222222222221</v>
      </c>
      <c r="M6" s="5">
        <v>0.58611111111111114</v>
      </c>
      <c r="N6" s="3" t="s">
        <v>164</v>
      </c>
      <c r="O6" s="3" t="s">
        <v>162</v>
      </c>
      <c r="P6" s="3">
        <v>1136</v>
      </c>
      <c r="Q6" s="3">
        <v>385</v>
      </c>
      <c r="R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6"/>
  <sheetViews>
    <sheetView topLeftCell="E1" workbookViewId="0">
      <selection activeCell="A4" sqref="A4:U8"/>
    </sheetView>
  </sheetViews>
  <sheetFormatPr defaultRowHeight="12.75" x14ac:dyDescent="0.2"/>
  <cols>
    <col min="1" max="1" width="10.5703125" style="6" customWidth="1"/>
    <col min="2" max="2" width="14.140625" style="6" customWidth="1"/>
    <col min="3" max="3" width="14.28515625" style="6" customWidth="1"/>
    <col min="4" max="5" width="9.140625" style="6"/>
    <col min="6" max="6" width="14.85546875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44748</v>
      </c>
      <c r="B2" s="3" t="s">
        <v>21</v>
      </c>
      <c r="C2" s="3" t="s">
        <v>22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0.43055555555555558</v>
      </c>
      <c r="L2" s="4">
        <v>0.25694444444444448</v>
      </c>
      <c r="M2" s="5">
        <v>0.27291666666666664</v>
      </c>
      <c r="N2" s="3" t="s">
        <v>166</v>
      </c>
      <c r="O2" s="3" t="s">
        <v>165</v>
      </c>
      <c r="P2" s="3">
        <v>899</v>
      </c>
      <c r="Q2" s="3">
        <v>435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44748</v>
      </c>
      <c r="B3" s="3" t="s">
        <v>21</v>
      </c>
      <c r="C3" s="3" t="s">
        <v>23</v>
      </c>
      <c r="D3" s="3" t="s">
        <v>25</v>
      </c>
      <c r="E3" s="6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0.51388888888888895</v>
      </c>
      <c r="K3" s="5">
        <v>0.51250000000000007</v>
      </c>
      <c r="L3" s="4">
        <v>0.28125</v>
      </c>
      <c r="M3" s="5">
        <v>0.29236111111111113</v>
      </c>
      <c r="N3" s="3" t="s">
        <v>168</v>
      </c>
      <c r="O3" s="3" t="s">
        <v>167</v>
      </c>
      <c r="P3" s="3">
        <v>1699</v>
      </c>
      <c r="Q3" s="3">
        <v>139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44748</v>
      </c>
      <c r="B4" s="3" t="s">
        <v>21</v>
      </c>
      <c r="C4" s="3" t="s">
        <v>24</v>
      </c>
      <c r="D4" s="3" t="s">
        <v>25</v>
      </c>
      <c r="E4" s="3" t="s">
        <v>137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0.60069444444444442</v>
      </c>
      <c r="K4" s="5">
        <v>0.62152777777777779</v>
      </c>
      <c r="L4" s="4">
        <v>0.4513888888888889</v>
      </c>
      <c r="M4" s="5">
        <v>0.48888888888888887</v>
      </c>
      <c r="N4" s="3" t="s">
        <v>173</v>
      </c>
      <c r="O4" s="3" t="s">
        <v>169</v>
      </c>
      <c r="P4" s="3">
        <v>864</v>
      </c>
      <c r="Q4" s="3">
        <v>436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44748</v>
      </c>
      <c r="B5" s="3" t="s">
        <v>21</v>
      </c>
      <c r="C5" s="3" t="s">
        <v>104</v>
      </c>
      <c r="D5" s="3" t="s">
        <v>25</v>
      </c>
      <c r="E5" s="6" t="s">
        <v>44</v>
      </c>
      <c r="F5" s="1" t="s">
        <v>26</v>
      </c>
      <c r="G5" s="3">
        <v>70000</v>
      </c>
      <c r="H5" s="3" t="s">
        <v>97</v>
      </c>
      <c r="I5" s="3" t="s">
        <v>98</v>
      </c>
      <c r="J5" s="4">
        <v>0.69791666666666663</v>
      </c>
      <c r="K5" s="5">
        <v>0.71805555555555556</v>
      </c>
      <c r="L5" s="4">
        <v>0.54166666666666663</v>
      </c>
      <c r="M5" s="5">
        <v>0.57777777777777783</v>
      </c>
      <c r="N5" s="3" t="s">
        <v>172</v>
      </c>
      <c r="O5" s="3" t="s">
        <v>170</v>
      </c>
      <c r="P5" s="3">
        <v>462</v>
      </c>
      <c r="Q5" s="3">
        <v>162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44748</v>
      </c>
      <c r="B6" s="3" t="s">
        <v>21</v>
      </c>
      <c r="C6" s="3" t="s">
        <v>52</v>
      </c>
      <c r="D6" s="3" t="s">
        <v>25</v>
      </c>
      <c r="E6" s="3" t="s">
        <v>137</v>
      </c>
      <c r="F6" s="1" t="s">
        <v>26</v>
      </c>
      <c r="G6" s="3">
        <v>70000</v>
      </c>
      <c r="H6" s="3" t="s">
        <v>55</v>
      </c>
      <c r="I6" s="3" t="s">
        <v>58</v>
      </c>
      <c r="J6" s="4">
        <v>0.74652777777777779</v>
      </c>
      <c r="K6" s="5">
        <v>0.77361111111111114</v>
      </c>
      <c r="L6" s="4">
        <v>0.63194444444444442</v>
      </c>
      <c r="M6" s="5">
        <v>0.66180555555555554</v>
      </c>
      <c r="N6" s="3" t="s">
        <v>175</v>
      </c>
      <c r="O6" s="3" t="s">
        <v>171</v>
      </c>
      <c r="P6" s="3">
        <v>635</v>
      </c>
      <c r="Q6" s="3">
        <v>249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2">
        <v>44748</v>
      </c>
      <c r="B7" s="3" t="s">
        <v>21</v>
      </c>
      <c r="C7" s="3" t="s">
        <v>53</v>
      </c>
      <c r="D7" s="3" t="s">
        <v>25</v>
      </c>
      <c r="E7" s="3" t="str">
        <f>E5</f>
        <v>HA-LYW</v>
      </c>
      <c r="F7" s="1" t="s">
        <v>26</v>
      </c>
      <c r="G7" s="3">
        <v>70000</v>
      </c>
      <c r="H7" s="3" t="s">
        <v>56</v>
      </c>
      <c r="I7" s="3" t="s">
        <v>59</v>
      </c>
      <c r="J7" s="4">
        <v>0.90277777777777779</v>
      </c>
      <c r="K7" s="5">
        <v>0.9159722222222223</v>
      </c>
      <c r="L7" s="4">
        <v>0.71875</v>
      </c>
      <c r="M7" s="5">
        <v>0.75486111111111109</v>
      </c>
      <c r="N7" s="3" t="s">
        <v>177</v>
      </c>
      <c r="O7" s="3" t="s">
        <v>174</v>
      </c>
      <c r="P7" s="3">
        <v>771</v>
      </c>
      <c r="Q7" s="3">
        <v>352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44748</v>
      </c>
      <c r="B8" s="3" t="s">
        <v>21</v>
      </c>
      <c r="C8" s="3" t="s">
        <v>54</v>
      </c>
      <c r="D8" s="3" t="s">
        <v>25</v>
      </c>
      <c r="E8" s="3" t="s">
        <v>137</v>
      </c>
      <c r="F8" s="1" t="s">
        <v>26</v>
      </c>
      <c r="G8" s="3">
        <v>70000</v>
      </c>
      <c r="H8" s="3" t="s">
        <v>57</v>
      </c>
      <c r="I8" s="3" t="s">
        <v>60</v>
      </c>
      <c r="J8" s="4">
        <v>0.9375</v>
      </c>
      <c r="K8" s="5">
        <v>0.96250000000000002</v>
      </c>
      <c r="L8" s="4">
        <v>0.76736111111111116</v>
      </c>
      <c r="M8" s="5">
        <v>0.80347222222222225</v>
      </c>
      <c r="N8" s="3" t="s">
        <v>178</v>
      </c>
      <c r="O8" s="3" t="s">
        <v>176</v>
      </c>
      <c r="P8" s="3">
        <v>1360</v>
      </c>
      <c r="Q8" s="3">
        <v>227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"/>
      <c r="J9" s="7"/>
      <c r="K9" s="8"/>
    </row>
    <row r="10" spans="1:21" x14ac:dyDescent="0.2">
      <c r="A10" s="2"/>
      <c r="J10" s="7"/>
      <c r="K10" s="8"/>
      <c r="L10" s="7"/>
      <c r="M10" s="8"/>
    </row>
    <row r="12" spans="1:21" x14ac:dyDescent="0.2">
      <c r="B12" s="3"/>
      <c r="C12" s="3"/>
      <c r="D12" s="3"/>
      <c r="E12" s="3"/>
      <c r="F12" s="1"/>
      <c r="G12" s="3"/>
      <c r="H12" s="3"/>
      <c r="I12" s="3"/>
      <c r="J12" s="4"/>
      <c r="K12" s="5"/>
      <c r="L12" s="4"/>
      <c r="M12" s="5"/>
    </row>
    <row r="13" spans="1:21" x14ac:dyDescent="0.2">
      <c r="B13" s="3"/>
      <c r="C13" s="3"/>
      <c r="D13" s="3"/>
      <c r="E13" s="3"/>
      <c r="F13" s="1"/>
      <c r="G13" s="3"/>
      <c r="H13" s="3"/>
      <c r="I13" s="3"/>
      <c r="J13" s="4"/>
      <c r="K13" s="5"/>
      <c r="L13" s="4"/>
      <c r="M13" s="5"/>
    </row>
    <row r="14" spans="1:21" x14ac:dyDescent="0.2">
      <c r="B14" s="3"/>
      <c r="C14" s="3"/>
      <c r="D14" s="3"/>
      <c r="E14" s="3"/>
      <c r="F14" s="1"/>
      <c r="G14" s="3"/>
      <c r="H14" s="3"/>
      <c r="I14" s="3"/>
      <c r="J14" s="4"/>
      <c r="K14" s="5"/>
      <c r="L14" s="4"/>
      <c r="M14" s="5"/>
    </row>
    <row r="15" spans="1:21" x14ac:dyDescent="0.2">
      <c r="B15" s="3"/>
      <c r="C15" s="3"/>
      <c r="D15" s="3"/>
      <c r="E15" s="3"/>
      <c r="F15" s="1"/>
      <c r="G15" s="3"/>
      <c r="H15" s="3"/>
      <c r="I15" s="3"/>
      <c r="J15" s="4"/>
      <c r="K15" s="5"/>
      <c r="L15" s="4"/>
      <c r="M15" s="5"/>
    </row>
    <row r="16" spans="1:21" x14ac:dyDescent="0.2">
      <c r="B16" s="3"/>
      <c r="C16" s="3"/>
      <c r="D16" s="3"/>
      <c r="E16" s="3"/>
      <c r="F16" s="1"/>
      <c r="G16" s="3"/>
      <c r="H16" s="3"/>
      <c r="I16" s="3"/>
      <c r="J16" s="4"/>
      <c r="K16" s="5"/>
      <c r="L16" s="4"/>
      <c r="M16" s="5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"/>
  <sheetViews>
    <sheetView topLeftCell="G1" workbookViewId="0">
      <selection activeCell="M39" sqref="M39"/>
    </sheetView>
  </sheetViews>
  <sheetFormatPr defaultRowHeight="15" x14ac:dyDescent="0.25"/>
  <cols>
    <col min="1" max="1" width="11.28515625" bestFit="1" customWidth="1"/>
    <col min="3" max="3" width="14.5703125" customWidth="1"/>
    <col min="6" max="6" width="19.7109375" customWidth="1"/>
    <col min="7" max="7" width="9.28515625" bestFit="1" customWidth="1"/>
    <col min="10" max="10" width="9.28515625" bestFit="1" customWidth="1"/>
    <col min="11" max="11" width="11.85546875" customWidth="1"/>
    <col min="12" max="12" width="9.28515625" bestFit="1" customWidth="1"/>
    <col min="13" max="13" width="12.28515625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44749</v>
      </c>
      <c r="B2" s="3" t="s">
        <v>21</v>
      </c>
      <c r="C2" s="3" t="s">
        <v>75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0.45763888888888887</v>
      </c>
      <c r="L2" s="4">
        <v>0.25694444444444448</v>
      </c>
      <c r="M2" s="5">
        <v>0.27361111111111108</v>
      </c>
      <c r="N2" s="3" t="s">
        <v>187</v>
      </c>
      <c r="O2" s="3" t="s">
        <v>185</v>
      </c>
      <c r="P2" s="3">
        <v>1004</v>
      </c>
      <c r="Q2" s="3">
        <v>163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44749</v>
      </c>
      <c r="B3" s="3" t="s">
        <v>21</v>
      </c>
      <c r="C3" s="3" t="s">
        <v>103</v>
      </c>
      <c r="D3" s="3" t="s">
        <v>25</v>
      </c>
      <c r="E3" s="3" t="s">
        <v>102</v>
      </c>
      <c r="F3" s="3" t="s">
        <v>26</v>
      </c>
      <c r="G3" s="10">
        <v>70000</v>
      </c>
      <c r="H3" s="3" t="s">
        <v>95</v>
      </c>
      <c r="I3" s="3" t="s">
        <v>96</v>
      </c>
      <c r="J3" s="4">
        <v>0.43402777777777773</v>
      </c>
      <c r="K3" s="5">
        <v>0.42777777777777781</v>
      </c>
      <c r="L3" s="4">
        <v>0.28472222222222221</v>
      </c>
      <c r="M3" s="5">
        <v>0.29444444444444445</v>
      </c>
      <c r="N3" s="3" t="s">
        <v>186</v>
      </c>
      <c r="O3" s="3" t="s">
        <v>45</v>
      </c>
      <c r="P3" s="3">
        <v>575</v>
      </c>
      <c r="Q3" s="3">
        <v>139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44749</v>
      </c>
      <c r="B4" s="3" t="s">
        <v>21</v>
      </c>
      <c r="C4" s="3" t="s">
        <v>106</v>
      </c>
      <c r="D4" s="3" t="s">
        <v>25</v>
      </c>
      <c r="E4" s="3" t="s">
        <v>44</v>
      </c>
      <c r="F4" s="1" t="s">
        <v>26</v>
      </c>
      <c r="G4" s="3">
        <v>70000</v>
      </c>
      <c r="H4" s="3" t="s">
        <v>107</v>
      </c>
      <c r="I4" s="3" t="s">
        <v>108</v>
      </c>
      <c r="J4" s="4">
        <v>0.62847222222222221</v>
      </c>
      <c r="K4" s="5">
        <v>0.6430555555555556</v>
      </c>
      <c r="L4" s="4">
        <v>0.47569444444444442</v>
      </c>
      <c r="M4" s="5">
        <v>0.48402777777777778</v>
      </c>
      <c r="N4" s="3" t="s">
        <v>190</v>
      </c>
      <c r="O4" s="3" t="s">
        <v>188</v>
      </c>
      <c r="P4" s="3">
        <v>396</v>
      </c>
      <c r="Q4" s="3">
        <v>187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44749</v>
      </c>
      <c r="B5" s="3" t="s">
        <v>21</v>
      </c>
      <c r="C5" s="3" t="s">
        <v>77</v>
      </c>
      <c r="D5" s="3" t="s">
        <v>25</v>
      </c>
      <c r="E5" s="3" t="s">
        <v>153</v>
      </c>
      <c r="F5" s="3" t="s">
        <v>26</v>
      </c>
      <c r="G5" s="10">
        <v>70000</v>
      </c>
      <c r="H5" s="3" t="s">
        <v>80</v>
      </c>
      <c r="I5" s="3" t="s">
        <v>83</v>
      </c>
      <c r="J5" s="4">
        <v>0.67708333333333337</v>
      </c>
      <c r="K5" s="5" t="s">
        <v>61</v>
      </c>
      <c r="L5" s="4">
        <v>0.48958333333333331</v>
      </c>
      <c r="M5" s="5" t="s">
        <v>61</v>
      </c>
      <c r="N5" s="3" t="s">
        <v>67</v>
      </c>
      <c r="O5" s="3" t="s">
        <v>67</v>
      </c>
      <c r="P5" s="3" t="s">
        <v>67</v>
      </c>
      <c r="Q5" s="3" t="s">
        <v>67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44749</v>
      </c>
      <c r="B6" s="3" t="s">
        <v>21</v>
      </c>
      <c r="C6" s="3" t="s">
        <v>109</v>
      </c>
      <c r="D6" s="3" t="s">
        <v>25</v>
      </c>
      <c r="E6" s="3" t="s">
        <v>44</v>
      </c>
      <c r="F6" s="3" t="s">
        <v>26</v>
      </c>
      <c r="G6" s="10">
        <v>70000</v>
      </c>
      <c r="H6" s="3" t="s">
        <v>110</v>
      </c>
      <c r="I6" s="3" t="s">
        <v>111</v>
      </c>
      <c r="J6" s="4">
        <v>0.86805555555555547</v>
      </c>
      <c r="K6" s="5">
        <v>0.90416666666666667</v>
      </c>
      <c r="L6" s="4">
        <v>0.64930555555555558</v>
      </c>
      <c r="M6" s="5">
        <v>0.69305555555555554</v>
      </c>
      <c r="N6" s="3" t="s">
        <v>192</v>
      </c>
      <c r="O6" s="3" t="s">
        <v>191</v>
      </c>
      <c r="P6" s="3">
        <v>840</v>
      </c>
      <c r="Q6" s="3">
        <v>302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44749</v>
      </c>
      <c r="B7" s="3" t="s">
        <v>21</v>
      </c>
      <c r="C7" s="3" t="s">
        <v>105</v>
      </c>
      <c r="D7" s="3" t="s">
        <v>25</v>
      </c>
      <c r="E7" s="3" t="s">
        <v>101</v>
      </c>
      <c r="F7" s="3" t="s">
        <v>26</v>
      </c>
      <c r="G7" s="10">
        <v>70000</v>
      </c>
      <c r="H7" s="3" t="s">
        <v>99</v>
      </c>
      <c r="I7" s="3" t="s">
        <v>100</v>
      </c>
      <c r="J7" s="4">
        <v>0.93402777777777779</v>
      </c>
      <c r="K7" s="5">
        <v>0.94374999999999998</v>
      </c>
      <c r="L7" s="4">
        <v>0.69791666666666663</v>
      </c>
      <c r="M7" s="5">
        <v>0.72152777777777777</v>
      </c>
      <c r="N7" s="3" t="s">
        <v>194</v>
      </c>
      <c r="O7" s="3" t="s">
        <v>193</v>
      </c>
      <c r="P7" s="3">
        <v>1628</v>
      </c>
      <c r="Q7" s="3">
        <v>478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44749</v>
      </c>
      <c r="B8" s="3" t="s">
        <v>21</v>
      </c>
      <c r="C8" s="3" t="s">
        <v>179</v>
      </c>
      <c r="D8" s="3" t="s">
        <v>180</v>
      </c>
      <c r="E8" s="3" t="s">
        <v>181</v>
      </c>
      <c r="F8" s="3" t="s">
        <v>189</v>
      </c>
      <c r="G8" s="3">
        <v>89000</v>
      </c>
      <c r="H8" s="3" t="s">
        <v>182</v>
      </c>
      <c r="I8" s="3" t="s">
        <v>183</v>
      </c>
      <c r="J8" s="4">
        <v>0.14583333333333334</v>
      </c>
      <c r="K8" s="5">
        <v>0.18958333333333333</v>
      </c>
      <c r="L8" s="4">
        <v>0.22916666666666666</v>
      </c>
      <c r="M8" s="5">
        <v>0.2388888888888889</v>
      </c>
      <c r="N8" s="3" t="s">
        <v>184</v>
      </c>
      <c r="O8" s="3">
        <v>0</v>
      </c>
      <c r="P8" s="3">
        <v>3371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"/>
  <sheetViews>
    <sheetView workbookViewId="0">
      <selection activeCell="G6" sqref="G6"/>
    </sheetView>
  </sheetViews>
  <sheetFormatPr defaultRowHeight="15" x14ac:dyDescent="0.25"/>
  <cols>
    <col min="2" max="2" width="18.42578125" customWidth="1"/>
    <col min="3" max="3" width="15" customWidth="1"/>
    <col min="6" max="6" width="12.140625" customWidth="1"/>
    <col min="14" max="14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44750</v>
      </c>
      <c r="B2" s="3" t="s">
        <v>21</v>
      </c>
      <c r="C2" s="3" t="s">
        <v>22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0.45902777777777781</v>
      </c>
      <c r="L2" s="4">
        <v>0.25694444444444448</v>
      </c>
      <c r="M2" s="5">
        <v>0.27708333333333335</v>
      </c>
      <c r="N2" s="3" t="s">
        <v>198</v>
      </c>
      <c r="O2" s="3" t="s">
        <v>195</v>
      </c>
      <c r="P2" s="3">
        <v>1079</v>
      </c>
      <c r="Q2" s="3">
        <v>612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44750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0.52708333333333335</v>
      </c>
      <c r="L3" s="4">
        <v>0.28125</v>
      </c>
      <c r="M3" s="5">
        <v>0.30902777777777779</v>
      </c>
      <c r="N3" s="3" t="s">
        <v>199</v>
      </c>
      <c r="O3" s="3" t="s">
        <v>196</v>
      </c>
      <c r="P3" s="3">
        <v>1806</v>
      </c>
      <c r="Q3" s="3">
        <v>319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44750</v>
      </c>
      <c r="B4" s="3" t="s">
        <v>21</v>
      </c>
      <c r="C4" s="3" t="s">
        <v>24</v>
      </c>
      <c r="D4" s="3" t="s">
        <v>25</v>
      </c>
      <c r="E4" s="3" t="s">
        <v>137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0.65416666666666667</v>
      </c>
      <c r="L4" s="4">
        <v>0.46180555555555558</v>
      </c>
      <c r="M4" s="5">
        <v>0.51666666666666672</v>
      </c>
      <c r="N4" s="3" t="s">
        <v>203</v>
      </c>
      <c r="O4" s="3" t="s">
        <v>200</v>
      </c>
      <c r="P4" s="3">
        <v>670</v>
      </c>
      <c r="Q4" s="3">
        <v>499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44750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0.75624999999999998</v>
      </c>
      <c r="L5" s="4">
        <v>0.54166666666666663</v>
      </c>
      <c r="M5" s="5">
        <v>0.56111111111111112</v>
      </c>
      <c r="N5" s="3" t="s">
        <v>204</v>
      </c>
      <c r="O5" s="3" t="s">
        <v>202</v>
      </c>
      <c r="P5" s="3">
        <v>421</v>
      </c>
      <c r="Q5" s="3">
        <v>192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44750</v>
      </c>
      <c r="B6" s="6" t="s">
        <v>33</v>
      </c>
      <c r="C6" s="6" t="s">
        <v>34</v>
      </c>
      <c r="D6" s="3" t="s">
        <v>25</v>
      </c>
      <c r="E6" s="6" t="s">
        <v>35</v>
      </c>
      <c r="F6" s="6" t="s">
        <v>36</v>
      </c>
      <c r="G6" s="6">
        <v>77000</v>
      </c>
      <c r="H6" s="6" t="s">
        <v>37</v>
      </c>
      <c r="I6" s="6" t="s">
        <v>38</v>
      </c>
      <c r="J6" s="7">
        <v>0.37152777777777773</v>
      </c>
      <c r="K6" s="8">
        <v>0.39027777777777778</v>
      </c>
      <c r="L6" s="7">
        <v>0.3298611111111111</v>
      </c>
      <c r="M6" s="8">
        <v>0.53333333333333333</v>
      </c>
      <c r="N6" s="6" t="s">
        <v>197</v>
      </c>
      <c r="O6" s="8" t="s">
        <v>201</v>
      </c>
      <c r="P6" s="6">
        <v>2254</v>
      </c>
      <c r="Q6" s="6">
        <v>2112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44750</v>
      </c>
      <c r="B7" s="3" t="s">
        <v>21</v>
      </c>
      <c r="C7" s="6" t="s">
        <v>52</v>
      </c>
      <c r="D7" s="3" t="s">
        <v>25</v>
      </c>
      <c r="E7" s="3" t="s">
        <v>137</v>
      </c>
      <c r="F7" s="1" t="s">
        <v>26</v>
      </c>
      <c r="G7" s="3">
        <v>70000</v>
      </c>
      <c r="H7" s="6" t="s">
        <v>55</v>
      </c>
      <c r="I7" s="6" t="s">
        <v>58</v>
      </c>
      <c r="J7" s="7">
        <v>0.75694444444444453</v>
      </c>
      <c r="K7" s="8">
        <v>0.82916666666666661</v>
      </c>
      <c r="L7" s="7">
        <v>0.64236111111111105</v>
      </c>
      <c r="M7" s="8">
        <v>0.72291666666666676</v>
      </c>
      <c r="N7" s="6" t="s">
        <v>208</v>
      </c>
      <c r="O7" s="6" t="s">
        <v>205</v>
      </c>
      <c r="P7" s="6">
        <v>533</v>
      </c>
      <c r="Q7" s="6">
        <v>421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44750</v>
      </c>
      <c r="B8" s="3" t="s">
        <v>21</v>
      </c>
      <c r="C8" s="6" t="s">
        <v>53</v>
      </c>
      <c r="D8" s="3" t="s">
        <v>25</v>
      </c>
      <c r="E8" s="3" t="s">
        <v>44</v>
      </c>
      <c r="F8" s="1" t="s">
        <v>26</v>
      </c>
      <c r="G8" s="3">
        <v>70000</v>
      </c>
      <c r="H8" s="6" t="s">
        <v>56</v>
      </c>
      <c r="I8" s="6" t="s">
        <v>59</v>
      </c>
      <c r="J8" s="7">
        <v>0.96180555555555547</v>
      </c>
      <c r="K8" s="8">
        <v>0.98402777777777783</v>
      </c>
      <c r="L8" s="7">
        <v>0.77777777777777779</v>
      </c>
      <c r="M8" s="8">
        <v>0.79722222222222217</v>
      </c>
      <c r="N8" s="6" t="s">
        <v>48</v>
      </c>
      <c r="O8" s="6" t="s">
        <v>206</v>
      </c>
      <c r="P8" s="6">
        <v>1046</v>
      </c>
      <c r="Q8" s="6">
        <v>602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44750</v>
      </c>
      <c r="B9" s="3" t="s">
        <v>21</v>
      </c>
      <c r="C9" s="6" t="s">
        <v>54</v>
      </c>
      <c r="D9" s="3" t="s">
        <v>25</v>
      </c>
      <c r="E9" s="3" t="s">
        <v>137</v>
      </c>
      <c r="F9" s="1" t="s">
        <v>26</v>
      </c>
      <c r="G9" s="3">
        <v>70000</v>
      </c>
      <c r="H9" s="6" t="s">
        <v>57</v>
      </c>
      <c r="I9" s="6" t="s">
        <v>60</v>
      </c>
      <c r="J9" s="7">
        <v>0.97569444444444453</v>
      </c>
      <c r="K9" s="8">
        <v>4.0972222222222222E-2</v>
      </c>
      <c r="L9" s="7">
        <v>0.77777777777777779</v>
      </c>
      <c r="M9" s="8">
        <v>0.89097222222222217</v>
      </c>
      <c r="N9" s="6" t="s">
        <v>209</v>
      </c>
      <c r="O9" s="6" t="s">
        <v>207</v>
      </c>
      <c r="P9" s="6">
        <v>1286</v>
      </c>
      <c r="Q9" s="6">
        <v>646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5703125" customWidth="1"/>
    <col min="3" max="3" width="14.140625" customWidth="1"/>
    <col min="6" max="6" width="12.28515625" customWidth="1"/>
  </cols>
  <sheetData>
    <row r="1" spans="1:21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44751</v>
      </c>
      <c r="B2" s="3" t="s">
        <v>21</v>
      </c>
      <c r="C2" s="3" t="s">
        <v>75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0.4597222222222222</v>
      </c>
      <c r="L2" s="4">
        <v>0.25694444444444448</v>
      </c>
      <c r="M2" s="5">
        <v>0.27777777777777779</v>
      </c>
      <c r="N2" s="3" t="s">
        <v>72</v>
      </c>
      <c r="O2" s="3" t="s">
        <v>210</v>
      </c>
      <c r="P2" s="3">
        <v>1571</v>
      </c>
      <c r="Q2" s="3">
        <v>1001</v>
      </c>
      <c r="R2" s="3">
        <v>0</v>
      </c>
      <c r="S2" s="3">
        <v>0</v>
      </c>
      <c r="T2" s="3">
        <v>0</v>
      </c>
      <c r="U2" s="3">
        <v>0</v>
      </c>
    </row>
    <row r="3" spans="1:21" s="6" customFormat="1" ht="12.75" x14ac:dyDescent="0.2">
      <c r="A3" s="2">
        <v>44751</v>
      </c>
      <c r="B3" s="3" t="s">
        <v>21</v>
      </c>
      <c r="C3" s="3" t="s">
        <v>76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79</v>
      </c>
      <c r="I3" s="3" t="s">
        <v>82</v>
      </c>
      <c r="J3" s="4">
        <v>0.47222222222222227</v>
      </c>
      <c r="K3" s="5">
        <v>0.47916666666666669</v>
      </c>
      <c r="L3" s="4">
        <v>0.28125</v>
      </c>
      <c r="M3" s="5">
        <v>0.29652777777777778</v>
      </c>
      <c r="N3" s="3" t="s">
        <v>214</v>
      </c>
      <c r="O3" s="3" t="s">
        <v>211</v>
      </c>
      <c r="P3" s="3">
        <v>1071</v>
      </c>
      <c r="Q3" s="3">
        <v>493</v>
      </c>
      <c r="R3" s="3">
        <v>0</v>
      </c>
      <c r="S3" s="3">
        <v>0</v>
      </c>
      <c r="T3" s="3">
        <v>0</v>
      </c>
      <c r="U3" s="3">
        <v>0</v>
      </c>
    </row>
    <row r="4" spans="1:21" s="6" customFormat="1" ht="12.75" x14ac:dyDescent="0.2">
      <c r="A4" s="2">
        <v>44751</v>
      </c>
      <c r="B4" s="3" t="s">
        <v>21</v>
      </c>
      <c r="C4" s="3" t="s">
        <v>77</v>
      </c>
      <c r="D4" s="3" t="s">
        <v>25</v>
      </c>
      <c r="E4" s="3" t="s">
        <v>137</v>
      </c>
      <c r="F4" s="1" t="s">
        <v>26</v>
      </c>
      <c r="G4" s="3">
        <v>70000</v>
      </c>
      <c r="H4" s="3" t="s">
        <v>80</v>
      </c>
      <c r="I4" s="3" t="s">
        <v>83</v>
      </c>
      <c r="J4" s="4">
        <v>0.91319444444444453</v>
      </c>
      <c r="K4" s="5">
        <v>0.93402777777777779</v>
      </c>
      <c r="L4" s="4">
        <v>0.49305555555555558</v>
      </c>
      <c r="M4" s="5">
        <v>0.52083333333333337</v>
      </c>
      <c r="N4" s="3" t="s">
        <v>215</v>
      </c>
      <c r="O4" s="3" t="s">
        <v>212</v>
      </c>
      <c r="P4" s="3">
        <v>872</v>
      </c>
      <c r="Q4" s="3">
        <v>732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44751</v>
      </c>
      <c r="B5" s="3" t="s">
        <v>21</v>
      </c>
      <c r="C5" s="3" t="s">
        <v>150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151</v>
      </c>
      <c r="I5" s="3" t="s">
        <v>152</v>
      </c>
      <c r="J5" s="4">
        <v>0.91319444444444453</v>
      </c>
      <c r="K5" s="5">
        <v>0.90347222222222223</v>
      </c>
      <c r="L5" s="4">
        <v>0.50347222222222221</v>
      </c>
      <c r="M5" s="5">
        <v>0.52361111111111114</v>
      </c>
      <c r="N5" s="3" t="s">
        <v>216</v>
      </c>
      <c r="O5" s="3" t="s">
        <v>213</v>
      </c>
      <c r="P5" s="3">
        <v>1284</v>
      </c>
      <c r="Q5" s="3">
        <v>413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"/>
  <sheetViews>
    <sheetView workbookViewId="0">
      <selection sqref="A1:XFD6"/>
    </sheetView>
  </sheetViews>
  <sheetFormatPr defaultRowHeight="15" x14ac:dyDescent="0.25"/>
  <cols>
    <col min="2" max="2" width="10.85546875" customWidth="1"/>
    <col min="3" max="3" width="13.5703125" bestFit="1" customWidth="1"/>
    <col min="4" max="4" width="5.7109375" bestFit="1" customWidth="1"/>
    <col min="5" max="5" width="8.28515625" bestFit="1" customWidth="1"/>
    <col min="6" max="6" width="11.85546875" customWidth="1"/>
    <col min="14" max="14" width="13" customWidth="1"/>
    <col min="15" max="15" width="14.28515625" customWidth="1"/>
  </cols>
  <sheetData>
    <row r="1" spans="1:21" s="1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44752</v>
      </c>
      <c r="B2" s="3" t="s">
        <v>21</v>
      </c>
      <c r="C2" s="3" t="s">
        <v>75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0.4375</v>
      </c>
      <c r="L2" s="4">
        <v>0.25694444444444448</v>
      </c>
      <c r="M2" s="5">
        <v>0.25833333333333336</v>
      </c>
      <c r="N2" s="3" t="s">
        <v>50</v>
      </c>
      <c r="O2" s="3" t="s">
        <v>217</v>
      </c>
      <c r="P2" s="3">
        <v>1299</v>
      </c>
      <c r="Q2" s="3">
        <v>312</v>
      </c>
      <c r="R2" s="3">
        <v>0</v>
      </c>
      <c r="S2" s="3">
        <v>0</v>
      </c>
      <c r="T2" s="3">
        <v>0</v>
      </c>
      <c r="U2" s="3">
        <v>0</v>
      </c>
    </row>
    <row r="3" spans="1:21" s="11" customFormat="1" ht="12.75" x14ac:dyDescent="0.2">
      <c r="A3" s="2">
        <v>44752</v>
      </c>
      <c r="B3" s="3" t="s">
        <v>21</v>
      </c>
      <c r="C3" s="6" t="s">
        <v>103</v>
      </c>
      <c r="D3" s="3" t="s">
        <v>25</v>
      </c>
      <c r="E3" s="6" t="s">
        <v>44</v>
      </c>
      <c r="F3" s="3" t="s">
        <v>26</v>
      </c>
      <c r="G3" s="10">
        <v>70000</v>
      </c>
      <c r="H3" s="3" t="s">
        <v>95</v>
      </c>
      <c r="I3" s="6" t="s">
        <v>96</v>
      </c>
      <c r="J3" s="7">
        <v>0.43402777777777773</v>
      </c>
      <c r="K3" s="8">
        <v>0.4201388888888889</v>
      </c>
      <c r="L3" s="7">
        <v>0.28472222222222221</v>
      </c>
      <c r="M3" s="8">
        <v>0.28263888888888888</v>
      </c>
      <c r="N3" s="3" t="s">
        <v>219</v>
      </c>
      <c r="O3" s="3" t="s">
        <v>218</v>
      </c>
      <c r="P3" s="6">
        <v>957</v>
      </c>
      <c r="Q3" s="6">
        <v>467</v>
      </c>
      <c r="R3" s="6">
        <v>0</v>
      </c>
      <c r="S3" s="6">
        <v>0</v>
      </c>
      <c r="T3" s="6">
        <v>0</v>
      </c>
      <c r="U3" s="6">
        <v>0</v>
      </c>
    </row>
    <row r="4" spans="1:21" s="11" customFormat="1" ht="12.75" x14ac:dyDescent="0.2">
      <c r="A4" s="2">
        <v>44752</v>
      </c>
      <c r="B4" s="3" t="s">
        <v>21</v>
      </c>
      <c r="C4" s="6" t="s">
        <v>104</v>
      </c>
      <c r="D4" s="3" t="s">
        <v>25</v>
      </c>
      <c r="E4" s="6" t="s">
        <v>137</v>
      </c>
      <c r="F4" s="3" t="s">
        <v>26</v>
      </c>
      <c r="G4" s="10">
        <v>70000</v>
      </c>
      <c r="H4" s="6" t="s">
        <v>97</v>
      </c>
      <c r="I4" s="6" t="s">
        <v>98</v>
      </c>
      <c r="J4" s="7">
        <v>0.64583333333333337</v>
      </c>
      <c r="K4" s="8">
        <v>0.68055555555555547</v>
      </c>
      <c r="L4" s="7">
        <v>0.48958333333333331</v>
      </c>
      <c r="M4" s="8">
        <v>0.53611111111111109</v>
      </c>
      <c r="N4" s="3" t="s">
        <v>221</v>
      </c>
      <c r="O4" s="3" t="s">
        <v>220</v>
      </c>
      <c r="P4" s="6">
        <v>538</v>
      </c>
      <c r="Q4" s="6">
        <v>286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2">
        <v>44752</v>
      </c>
      <c r="B5" s="3" t="s">
        <v>21</v>
      </c>
      <c r="C5" s="6" t="s">
        <v>109</v>
      </c>
      <c r="D5" s="3" t="s">
        <v>25</v>
      </c>
      <c r="E5" s="3" t="s">
        <v>44</v>
      </c>
      <c r="F5" s="3" t="s">
        <v>26</v>
      </c>
      <c r="G5" s="10">
        <v>70000</v>
      </c>
      <c r="H5" s="6" t="s">
        <v>110</v>
      </c>
      <c r="I5" s="6" t="s">
        <v>111</v>
      </c>
      <c r="J5" s="7">
        <v>0.86805555555555547</v>
      </c>
      <c r="K5" s="8">
        <v>0.86249999999999993</v>
      </c>
      <c r="L5" s="7">
        <v>0.64930555555555558</v>
      </c>
      <c r="M5" s="8">
        <v>0.64861111111111114</v>
      </c>
      <c r="N5" s="3" t="s">
        <v>224</v>
      </c>
      <c r="O5" s="3" t="s">
        <v>222</v>
      </c>
      <c r="P5" s="6">
        <v>1626</v>
      </c>
      <c r="Q5" s="6">
        <v>344</v>
      </c>
      <c r="R5" s="6">
        <v>0</v>
      </c>
      <c r="S5" s="6">
        <v>0</v>
      </c>
      <c r="T5" s="6">
        <v>0</v>
      </c>
      <c r="U5" s="6">
        <v>0</v>
      </c>
    </row>
    <row r="6" spans="1:21" s="11" customFormat="1" ht="13.5" customHeight="1" x14ac:dyDescent="0.2">
      <c r="A6" s="2">
        <v>44752</v>
      </c>
      <c r="B6" s="3" t="s">
        <v>21</v>
      </c>
      <c r="C6" s="6" t="s">
        <v>105</v>
      </c>
      <c r="D6" s="6" t="s">
        <v>25</v>
      </c>
      <c r="E6" s="6" t="s">
        <v>137</v>
      </c>
      <c r="F6" s="6" t="s">
        <v>26</v>
      </c>
      <c r="G6" s="10">
        <v>70000</v>
      </c>
      <c r="H6" s="6" t="s">
        <v>99</v>
      </c>
      <c r="I6" s="6" t="s">
        <v>100</v>
      </c>
      <c r="J6" s="7">
        <v>0.90277777777777779</v>
      </c>
      <c r="K6" s="8">
        <v>0.9243055555555556</v>
      </c>
      <c r="L6" s="7">
        <v>0.66666666666666663</v>
      </c>
      <c r="M6" s="8">
        <v>0.71180555555555547</v>
      </c>
      <c r="N6" s="3" t="s">
        <v>225</v>
      </c>
      <c r="O6" s="3" t="s">
        <v>223</v>
      </c>
      <c r="P6" s="6">
        <v>1587</v>
      </c>
      <c r="Q6" s="6">
        <v>985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"/>
  <sheetViews>
    <sheetView workbookViewId="0">
      <selection activeCell="K24" sqref="K24"/>
    </sheetView>
  </sheetViews>
  <sheetFormatPr defaultRowHeight="12.75" x14ac:dyDescent="0.2"/>
  <cols>
    <col min="1" max="1" width="9.140625" style="6"/>
    <col min="2" max="2" width="16.28515625" style="6" bestFit="1" customWidth="1"/>
    <col min="3" max="3" width="13.42578125" style="6" bestFit="1" customWidth="1"/>
    <col min="4" max="4" width="8.28515625" style="6" customWidth="1"/>
    <col min="5" max="5" width="12.7109375" style="6" customWidth="1"/>
    <col min="6" max="6" width="12.5703125" style="6" bestFit="1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44753</v>
      </c>
      <c r="B2" s="3" t="s">
        <v>21</v>
      </c>
      <c r="C2" s="3" t="s">
        <v>22</v>
      </c>
      <c r="D2" s="3" t="s">
        <v>25</v>
      </c>
      <c r="E2" s="3" t="s">
        <v>137</v>
      </c>
      <c r="F2" s="3" t="s">
        <v>26</v>
      </c>
      <c r="G2" s="10">
        <v>70000</v>
      </c>
      <c r="H2" s="3" t="s">
        <v>27</v>
      </c>
      <c r="I2" s="3" t="s">
        <v>28</v>
      </c>
      <c r="J2" s="4">
        <v>0.44097222222222227</v>
      </c>
      <c r="K2" s="5">
        <v>0.4284722222222222</v>
      </c>
      <c r="L2" s="4">
        <v>0.25694444444444448</v>
      </c>
      <c r="M2" s="5">
        <v>0.26666666666666666</v>
      </c>
      <c r="N2" s="3" t="s">
        <v>232</v>
      </c>
      <c r="O2" s="3" t="s">
        <v>229</v>
      </c>
      <c r="P2" s="3">
        <v>991</v>
      </c>
      <c r="Q2" s="3">
        <v>412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44753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10">
        <v>70000</v>
      </c>
      <c r="H3" s="3" t="s">
        <v>29</v>
      </c>
      <c r="I3" s="3" t="s">
        <v>30</v>
      </c>
      <c r="J3" s="4">
        <v>0.51041666666666663</v>
      </c>
      <c r="K3" s="5">
        <v>0.46875</v>
      </c>
      <c r="L3" s="4">
        <v>0.28125</v>
      </c>
      <c r="M3" s="5">
        <v>0.30138888888888887</v>
      </c>
      <c r="N3" s="3" t="s">
        <v>233</v>
      </c>
      <c r="O3" s="3" t="s">
        <v>230</v>
      </c>
      <c r="P3" s="3">
        <v>1889</v>
      </c>
      <c r="Q3" s="3">
        <v>386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44753</v>
      </c>
      <c r="B4" s="3" t="s">
        <v>21</v>
      </c>
      <c r="C4" s="3" t="s">
        <v>24</v>
      </c>
      <c r="D4" s="3" t="s">
        <v>25</v>
      </c>
      <c r="E4" s="3" t="s">
        <v>137</v>
      </c>
      <c r="F4" s="3" t="s">
        <v>26</v>
      </c>
      <c r="G4" s="10">
        <v>70000</v>
      </c>
      <c r="H4" s="3" t="s">
        <v>31</v>
      </c>
      <c r="I4" s="3" t="s">
        <v>32</v>
      </c>
      <c r="J4" s="4">
        <v>0.61111111111111105</v>
      </c>
      <c r="K4" s="5">
        <v>0.60138888888888886</v>
      </c>
      <c r="L4" s="4">
        <v>0.46180555555555558</v>
      </c>
      <c r="M4" s="5">
        <v>0.46666666666666662</v>
      </c>
      <c r="N4" s="3" t="s">
        <v>235</v>
      </c>
      <c r="O4" s="3" t="s">
        <v>231</v>
      </c>
      <c r="P4" s="3">
        <v>879</v>
      </c>
      <c r="Q4" s="3">
        <v>426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44753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10">
        <v>70000</v>
      </c>
      <c r="H5" s="3" t="s">
        <v>41</v>
      </c>
      <c r="I5" s="3" t="s">
        <v>40</v>
      </c>
      <c r="J5" s="4">
        <v>0.75694444444444453</v>
      </c>
      <c r="K5" s="5">
        <v>0.75277777777777777</v>
      </c>
      <c r="L5" s="4">
        <v>0.54166666666666663</v>
      </c>
      <c r="M5" s="5">
        <v>0.55625000000000002</v>
      </c>
      <c r="N5" s="3" t="s">
        <v>239</v>
      </c>
      <c r="O5" s="3" t="s">
        <v>234</v>
      </c>
      <c r="P5" s="3">
        <v>1668</v>
      </c>
      <c r="Q5" s="3">
        <v>272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44753</v>
      </c>
      <c r="B6" s="3" t="s">
        <v>21</v>
      </c>
      <c r="C6" s="6" t="s">
        <v>52</v>
      </c>
      <c r="D6" s="3" t="s">
        <v>25</v>
      </c>
      <c r="E6" s="3" t="s">
        <v>137</v>
      </c>
      <c r="F6" s="3" t="s">
        <v>26</v>
      </c>
      <c r="G6" s="10">
        <v>70000</v>
      </c>
      <c r="H6" s="6" t="s">
        <v>55</v>
      </c>
      <c r="I6" s="6" t="s">
        <v>58</v>
      </c>
      <c r="J6" s="7">
        <v>0.75694444444444453</v>
      </c>
      <c r="K6" s="8">
        <v>0.74791666666666667</v>
      </c>
      <c r="L6" s="7">
        <v>0.64236111111111105</v>
      </c>
      <c r="M6" s="8">
        <v>0.6430555555555556</v>
      </c>
      <c r="N6" s="3" t="s">
        <v>240</v>
      </c>
      <c r="O6" s="3" t="s">
        <v>238</v>
      </c>
      <c r="P6" s="6">
        <v>454</v>
      </c>
      <c r="Q6" s="6">
        <v>394</v>
      </c>
      <c r="R6" s="3">
        <v>0</v>
      </c>
      <c r="S6" s="3">
        <v>0</v>
      </c>
      <c r="T6" s="3">
        <v>0</v>
      </c>
      <c r="U6" s="3">
        <v>0</v>
      </c>
    </row>
    <row r="7" spans="1:21" customFormat="1" ht="15" x14ac:dyDescent="0.25">
      <c r="A7" s="2">
        <v>44753</v>
      </c>
      <c r="B7" s="3" t="s">
        <v>21</v>
      </c>
      <c r="C7" s="6" t="s">
        <v>53</v>
      </c>
      <c r="D7" s="3" t="s">
        <v>25</v>
      </c>
      <c r="E7" s="3" t="s">
        <v>44</v>
      </c>
      <c r="F7" s="1" t="s">
        <v>26</v>
      </c>
      <c r="G7" s="10">
        <v>70000</v>
      </c>
      <c r="H7" s="6" t="s">
        <v>56</v>
      </c>
      <c r="I7" s="6" t="s">
        <v>59</v>
      </c>
      <c r="J7" s="7">
        <v>0.96180555555555547</v>
      </c>
      <c r="K7" s="8">
        <v>0.9819444444444444</v>
      </c>
      <c r="L7" s="7">
        <v>0.77777777777777779</v>
      </c>
      <c r="M7" s="8">
        <v>0.79583333333333339</v>
      </c>
      <c r="N7" s="3" t="s">
        <v>243</v>
      </c>
      <c r="O7" s="3" t="s">
        <v>241</v>
      </c>
      <c r="P7" s="6">
        <v>779</v>
      </c>
      <c r="Q7" s="6">
        <v>300</v>
      </c>
      <c r="R7" s="6">
        <v>0</v>
      </c>
      <c r="S7" s="6">
        <v>0</v>
      </c>
      <c r="T7" s="6">
        <v>0</v>
      </c>
      <c r="U7" s="6">
        <v>0</v>
      </c>
    </row>
    <row r="8" spans="1:21" customFormat="1" ht="15" x14ac:dyDescent="0.25">
      <c r="A8" s="2">
        <v>44753</v>
      </c>
      <c r="B8" s="3" t="s">
        <v>21</v>
      </c>
      <c r="C8" s="6" t="s">
        <v>54</v>
      </c>
      <c r="D8" s="3" t="s">
        <v>25</v>
      </c>
      <c r="E8" s="3" t="s">
        <v>245</v>
      </c>
      <c r="F8" s="1" t="s">
        <v>26</v>
      </c>
      <c r="G8" s="10">
        <v>70000</v>
      </c>
      <c r="H8" s="6" t="s">
        <v>57</v>
      </c>
      <c r="I8" s="6" t="s">
        <v>60</v>
      </c>
      <c r="J8" s="7">
        <v>0.97569444444444453</v>
      </c>
      <c r="K8" s="8">
        <v>0.9916666666666667</v>
      </c>
      <c r="L8" s="7">
        <v>0.77777777777777779</v>
      </c>
      <c r="M8" s="8">
        <v>0.79027777777777775</v>
      </c>
      <c r="N8" s="3" t="s">
        <v>244</v>
      </c>
      <c r="O8" s="3" t="s">
        <v>242</v>
      </c>
      <c r="P8" s="6">
        <v>1062</v>
      </c>
      <c r="Q8" s="6">
        <v>272</v>
      </c>
      <c r="R8" s="6">
        <v>0</v>
      </c>
      <c r="S8" s="6">
        <v>0</v>
      </c>
      <c r="T8" s="6">
        <v>0</v>
      </c>
      <c r="U8" s="6">
        <v>0</v>
      </c>
    </row>
    <row r="9" spans="1:21" ht="12" customHeight="1" x14ac:dyDescent="0.2">
      <c r="A9" s="2">
        <v>44753</v>
      </c>
      <c r="B9" s="6" t="s">
        <v>236</v>
      </c>
      <c r="C9" s="6" t="s">
        <v>237</v>
      </c>
      <c r="D9" s="6" t="s">
        <v>226</v>
      </c>
      <c r="E9" s="6" t="s">
        <v>227</v>
      </c>
      <c r="F9" s="6" t="s">
        <v>228</v>
      </c>
      <c r="G9" s="6">
        <v>3600</v>
      </c>
      <c r="H9" s="6" t="s">
        <v>67</v>
      </c>
      <c r="I9" s="6" t="s">
        <v>67</v>
      </c>
      <c r="J9" s="7">
        <v>0.38194444444444442</v>
      </c>
      <c r="K9" s="8">
        <v>0.38263888888888892</v>
      </c>
      <c r="L9" s="7">
        <v>0.39583333333333331</v>
      </c>
      <c r="M9" s="8">
        <v>0.40277777777777773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"/>
  <sheetViews>
    <sheetView topLeftCell="D1" workbookViewId="0">
      <selection sqref="A1:U5"/>
    </sheetView>
  </sheetViews>
  <sheetFormatPr defaultRowHeight="15" x14ac:dyDescent="0.25"/>
  <cols>
    <col min="2" max="2" width="19.28515625" bestFit="1" customWidth="1"/>
    <col min="3" max="3" width="13.570312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44754</v>
      </c>
      <c r="B2" s="3" t="s">
        <v>21</v>
      </c>
      <c r="C2" s="3" t="s">
        <v>76</v>
      </c>
      <c r="D2" s="3" t="s">
        <v>25</v>
      </c>
      <c r="E2" s="3" t="s">
        <v>102</v>
      </c>
      <c r="F2" s="3" t="s">
        <v>26</v>
      </c>
      <c r="G2" s="10">
        <v>70000</v>
      </c>
      <c r="H2" s="3" t="s">
        <v>79</v>
      </c>
      <c r="I2" s="3" t="s">
        <v>82</v>
      </c>
      <c r="J2" s="4">
        <v>0.46180555555555558</v>
      </c>
      <c r="K2" s="5">
        <v>0.49861111111111112</v>
      </c>
      <c r="L2" s="4">
        <v>0.28125</v>
      </c>
      <c r="M2" s="5">
        <v>0.2902777777777778</v>
      </c>
      <c r="N2" s="3" t="s">
        <v>173</v>
      </c>
      <c r="O2" s="3" t="s">
        <v>252</v>
      </c>
      <c r="P2" s="15">
        <v>1043</v>
      </c>
      <c r="Q2" s="3">
        <v>705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44754</v>
      </c>
      <c r="B3" s="3" t="s">
        <v>33</v>
      </c>
      <c r="C3" s="3" t="s">
        <v>34</v>
      </c>
      <c r="D3" s="3" t="s">
        <v>25</v>
      </c>
      <c r="E3" s="3" t="s">
        <v>251</v>
      </c>
      <c r="F3" s="1" t="s">
        <v>36</v>
      </c>
      <c r="G3" s="10">
        <v>77000</v>
      </c>
      <c r="H3" s="3" t="s">
        <v>37</v>
      </c>
      <c r="I3" s="3" t="s">
        <v>38</v>
      </c>
      <c r="J3" s="4">
        <v>0.3298611111111111</v>
      </c>
      <c r="K3" s="5">
        <v>0.33402777777777781</v>
      </c>
      <c r="L3" s="4">
        <v>0.37152777777777773</v>
      </c>
      <c r="M3" s="5">
        <v>0.3888888888888889</v>
      </c>
      <c r="N3" s="3" t="s">
        <v>225</v>
      </c>
      <c r="O3" s="3" t="s">
        <v>158</v>
      </c>
      <c r="P3" s="3">
        <v>2443</v>
      </c>
      <c r="Q3" s="3">
        <v>2121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44754</v>
      </c>
      <c r="B4" s="3" t="s">
        <v>21</v>
      </c>
      <c r="C4" s="3" t="s">
        <v>77</v>
      </c>
      <c r="D4" s="3" t="s">
        <v>25</v>
      </c>
      <c r="E4" s="3" t="s">
        <v>255</v>
      </c>
      <c r="F4" s="3" t="s">
        <v>26</v>
      </c>
      <c r="G4" s="10">
        <v>70000</v>
      </c>
      <c r="H4" s="3" t="s">
        <v>80</v>
      </c>
      <c r="I4" s="3" t="s">
        <v>83</v>
      </c>
      <c r="J4" s="4">
        <v>0.82986111111111116</v>
      </c>
      <c r="K4" s="5">
        <v>0.8305555555555556</v>
      </c>
      <c r="L4" s="4">
        <v>0.40972222222222227</v>
      </c>
      <c r="M4" s="5">
        <v>0.41666666666666669</v>
      </c>
      <c r="N4" s="3" t="s">
        <v>256</v>
      </c>
      <c r="O4" s="3" t="s">
        <v>253</v>
      </c>
      <c r="P4" s="3">
        <v>1325</v>
      </c>
      <c r="Q4" s="3">
        <v>831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44754</v>
      </c>
      <c r="B5" s="3" t="s">
        <v>21</v>
      </c>
      <c r="C5" s="3" t="s">
        <v>150</v>
      </c>
      <c r="D5" s="3" t="s">
        <v>25</v>
      </c>
      <c r="E5" s="3" t="s">
        <v>102</v>
      </c>
      <c r="F5" s="3" t="s">
        <v>26</v>
      </c>
      <c r="G5" s="10">
        <v>70000</v>
      </c>
      <c r="H5" s="3" t="s">
        <v>151</v>
      </c>
      <c r="I5" s="3" t="s">
        <v>152</v>
      </c>
      <c r="J5" s="4">
        <v>0.91319444444444453</v>
      </c>
      <c r="K5" s="5">
        <v>0.9291666666666667</v>
      </c>
      <c r="L5" s="4">
        <v>0.50347222222222221</v>
      </c>
      <c r="M5" s="5">
        <v>0.54166666666666663</v>
      </c>
      <c r="N5" s="3" t="s">
        <v>257</v>
      </c>
      <c r="O5" s="3" t="s">
        <v>254</v>
      </c>
      <c r="P5" s="3">
        <v>738</v>
      </c>
      <c r="Q5" s="3">
        <v>471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44754</v>
      </c>
      <c r="B6" s="3" t="s">
        <v>246</v>
      </c>
      <c r="C6" s="3" t="s">
        <v>247</v>
      </c>
      <c r="D6" s="3" t="s">
        <v>248</v>
      </c>
      <c r="E6" s="3" t="s">
        <v>249</v>
      </c>
      <c r="F6" s="3" t="s">
        <v>250</v>
      </c>
      <c r="G6" s="10">
        <v>9300</v>
      </c>
      <c r="H6" s="3" t="s">
        <v>67</v>
      </c>
      <c r="I6" s="3" t="s">
        <v>67</v>
      </c>
      <c r="J6" s="4">
        <v>0.48958333333333331</v>
      </c>
      <c r="K6" s="5">
        <v>0.48680555555555555</v>
      </c>
      <c r="L6" s="4">
        <v>0.53125</v>
      </c>
      <c r="M6" s="5">
        <v>0.53194444444444444</v>
      </c>
      <c r="N6" s="3">
        <v>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7"/>
  <sheetViews>
    <sheetView topLeftCell="D1" workbookViewId="0">
      <selection sqref="A1:U8"/>
    </sheetView>
  </sheetViews>
  <sheetFormatPr defaultRowHeight="15" x14ac:dyDescent="0.25"/>
  <cols>
    <col min="3" max="3" width="14.28515625" customWidth="1"/>
    <col min="4" max="4" width="8.14062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44755</v>
      </c>
      <c r="B2" s="3" t="s">
        <v>21</v>
      </c>
      <c r="C2" s="3" t="s">
        <v>22</v>
      </c>
      <c r="D2" s="3" t="s">
        <v>25</v>
      </c>
      <c r="E2" s="3" t="s">
        <v>44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0.43263888888888885</v>
      </c>
      <c r="L2" s="4">
        <v>0.25694444444444448</v>
      </c>
      <c r="M2" s="5">
        <v>0.26666666666666666</v>
      </c>
      <c r="N2" s="3" t="s">
        <v>260</v>
      </c>
      <c r="O2" s="3" t="s">
        <v>259</v>
      </c>
      <c r="P2" s="3">
        <v>1133</v>
      </c>
      <c r="Q2" s="3">
        <v>631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44755</v>
      </c>
      <c r="B3" s="3" t="s">
        <v>21</v>
      </c>
      <c r="C3" s="3" t="s">
        <v>24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0.6069444444444444</v>
      </c>
      <c r="L3" s="4">
        <v>0.4513888888888889</v>
      </c>
      <c r="M3" s="5">
        <v>0.46597222222222223</v>
      </c>
      <c r="N3" s="3" t="s">
        <v>263</v>
      </c>
      <c r="O3" s="3" t="s">
        <v>261</v>
      </c>
      <c r="P3" s="3">
        <v>1232</v>
      </c>
      <c r="Q3" s="3">
        <v>510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44755</v>
      </c>
      <c r="B4" s="3" t="s">
        <v>21</v>
      </c>
      <c r="C4" s="3" t="s">
        <v>104</v>
      </c>
      <c r="D4" s="3" t="s">
        <v>25</v>
      </c>
      <c r="E4" s="6" t="s">
        <v>258</v>
      </c>
      <c r="F4" s="1" t="s">
        <v>26</v>
      </c>
      <c r="G4" s="3">
        <v>70000</v>
      </c>
      <c r="H4" s="3" t="s">
        <v>97</v>
      </c>
      <c r="I4" s="3" t="s">
        <v>98</v>
      </c>
      <c r="J4" s="4">
        <v>0.69791666666666663</v>
      </c>
      <c r="K4" s="5">
        <v>0.68541666666666667</v>
      </c>
      <c r="L4" s="4">
        <v>0.54166666666666663</v>
      </c>
      <c r="M4" s="5">
        <v>0.5444444444444444</v>
      </c>
      <c r="N4" s="3" t="s">
        <v>264</v>
      </c>
      <c r="O4" s="3" t="s">
        <v>262</v>
      </c>
      <c r="P4" s="3">
        <v>480</v>
      </c>
      <c r="Q4" s="3">
        <v>291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44755</v>
      </c>
      <c r="B5" s="3" t="s">
        <v>21</v>
      </c>
      <c r="C5" s="3" t="s">
        <v>52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55</v>
      </c>
      <c r="I5" s="3" t="s">
        <v>58</v>
      </c>
      <c r="J5" s="4">
        <v>0.74652777777777779</v>
      </c>
      <c r="K5" s="5">
        <v>0.74513888888888891</v>
      </c>
      <c r="L5" s="4">
        <v>0.63194444444444442</v>
      </c>
      <c r="M5" s="5">
        <v>0.64166666666666672</v>
      </c>
      <c r="N5" s="3" t="s">
        <v>265</v>
      </c>
      <c r="O5" s="3" t="s">
        <v>221</v>
      </c>
      <c r="P5" s="3">
        <v>668</v>
      </c>
      <c r="Q5" s="3">
        <v>347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44755</v>
      </c>
      <c r="B6" s="3" t="s">
        <v>21</v>
      </c>
      <c r="C6" s="3" t="s">
        <v>53</v>
      </c>
      <c r="D6" s="3" t="s">
        <v>25</v>
      </c>
      <c r="E6" s="3" t="s">
        <v>258</v>
      </c>
      <c r="F6" s="1" t="s">
        <v>26</v>
      </c>
      <c r="G6" s="3">
        <v>70000</v>
      </c>
      <c r="H6" s="3" t="s">
        <v>56</v>
      </c>
      <c r="I6" s="3" t="s">
        <v>59</v>
      </c>
      <c r="J6" s="4">
        <v>0.90277777777777779</v>
      </c>
      <c r="K6" s="5">
        <v>0.88888888888888884</v>
      </c>
      <c r="L6" s="4">
        <v>0.71875</v>
      </c>
      <c r="M6" s="5">
        <v>0.72222222222222221</v>
      </c>
      <c r="N6" s="3" t="s">
        <v>216</v>
      </c>
      <c r="O6" s="3" t="s">
        <v>266</v>
      </c>
      <c r="P6" s="3">
        <v>912</v>
      </c>
      <c r="Q6" s="3">
        <v>775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44755</v>
      </c>
      <c r="B7" s="3" t="s">
        <v>21</v>
      </c>
      <c r="C7" s="3" t="s">
        <v>54</v>
      </c>
      <c r="D7" s="3" t="s">
        <v>25</v>
      </c>
      <c r="E7" s="3" t="s">
        <v>44</v>
      </c>
      <c r="F7" s="1" t="s">
        <v>26</v>
      </c>
      <c r="G7" s="3">
        <v>70000</v>
      </c>
      <c r="H7" s="3" t="s">
        <v>57</v>
      </c>
      <c r="I7" s="3" t="s">
        <v>60</v>
      </c>
      <c r="J7" s="4">
        <v>0.9375</v>
      </c>
      <c r="K7" s="5">
        <v>0.92222222222222217</v>
      </c>
      <c r="L7" s="4">
        <v>0.76736111111111116</v>
      </c>
      <c r="M7" s="5">
        <v>0.77500000000000002</v>
      </c>
      <c r="N7" s="3" t="s">
        <v>268</v>
      </c>
      <c r="O7" s="3" t="s">
        <v>267</v>
      </c>
      <c r="P7" s="3">
        <v>1400</v>
      </c>
      <c r="Q7" s="3">
        <v>440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"/>
  <sheetViews>
    <sheetView workbookViewId="0">
      <selection sqref="A1:XFD1048576"/>
    </sheetView>
  </sheetViews>
  <sheetFormatPr defaultRowHeight="15" x14ac:dyDescent="0.25"/>
  <cols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44756</v>
      </c>
      <c r="B2" s="3" t="s">
        <v>21</v>
      </c>
      <c r="C2" s="3" t="s">
        <v>75</v>
      </c>
      <c r="D2" s="3" t="s">
        <v>25</v>
      </c>
      <c r="E2" s="3" t="s">
        <v>44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0.46319444444444446</v>
      </c>
      <c r="L2" s="4">
        <v>0.25694444444444448</v>
      </c>
      <c r="M2" s="5">
        <v>0.26458333333333334</v>
      </c>
      <c r="N2" s="3" t="s">
        <v>271</v>
      </c>
      <c r="O2" s="3" t="s">
        <v>269</v>
      </c>
      <c r="P2" s="3">
        <v>1380</v>
      </c>
      <c r="Q2" s="3">
        <v>796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44756</v>
      </c>
      <c r="B3" s="3" t="s">
        <v>21</v>
      </c>
      <c r="C3" s="3" t="s">
        <v>103</v>
      </c>
      <c r="D3" s="3" t="s">
        <v>25</v>
      </c>
      <c r="E3" s="3" t="s">
        <v>258</v>
      </c>
      <c r="F3" s="3" t="s">
        <v>26</v>
      </c>
      <c r="G3" s="10">
        <v>70000</v>
      </c>
      <c r="H3" s="3" t="s">
        <v>95</v>
      </c>
      <c r="I3" s="3" t="s">
        <v>96</v>
      </c>
      <c r="J3" s="4">
        <v>0.43402777777777773</v>
      </c>
      <c r="K3" s="5">
        <v>0.43611111111111112</v>
      </c>
      <c r="L3" s="4">
        <v>0.28472222222222221</v>
      </c>
      <c r="M3" s="5">
        <v>0.29166666666666669</v>
      </c>
      <c r="N3" s="3" t="s">
        <v>272</v>
      </c>
      <c r="O3" s="3" t="s">
        <v>270</v>
      </c>
      <c r="P3" s="3">
        <v>1115</v>
      </c>
      <c r="Q3" s="3">
        <v>314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44756</v>
      </c>
      <c r="B4" s="3" t="s">
        <v>21</v>
      </c>
      <c r="C4" s="3" t="s">
        <v>77</v>
      </c>
      <c r="D4" s="3" t="s">
        <v>25</v>
      </c>
      <c r="E4" s="3" t="s">
        <v>258</v>
      </c>
      <c r="F4" s="3" t="s">
        <v>26</v>
      </c>
      <c r="G4" s="10">
        <v>70000</v>
      </c>
      <c r="H4" s="3" t="s">
        <v>80</v>
      </c>
      <c r="I4" s="3" t="s">
        <v>83</v>
      </c>
      <c r="J4" s="4">
        <v>0.67708333333333337</v>
      </c>
      <c r="K4" s="5">
        <v>0.6972222222222223</v>
      </c>
      <c r="L4" s="4">
        <v>0.48958333333333331</v>
      </c>
      <c r="M4" s="5">
        <v>0.52916666666666667</v>
      </c>
      <c r="N4" s="3" t="s">
        <v>275</v>
      </c>
      <c r="O4" s="3" t="s">
        <v>273</v>
      </c>
      <c r="P4" s="3">
        <v>1402</v>
      </c>
      <c r="Q4" s="3">
        <v>979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44756</v>
      </c>
      <c r="B5" s="3" t="s">
        <v>21</v>
      </c>
      <c r="C5" s="3" t="s">
        <v>109</v>
      </c>
      <c r="D5" s="3" t="s">
        <v>25</v>
      </c>
      <c r="E5" s="3" t="s">
        <v>44</v>
      </c>
      <c r="F5" s="3" t="s">
        <v>26</v>
      </c>
      <c r="G5" s="10">
        <v>70000</v>
      </c>
      <c r="H5" s="3" t="s">
        <v>110</v>
      </c>
      <c r="I5" s="3" t="s">
        <v>111</v>
      </c>
      <c r="J5" s="4">
        <v>0.86805555555555547</v>
      </c>
      <c r="K5" s="5">
        <v>0.86805555555555547</v>
      </c>
      <c r="L5" s="4">
        <v>0.64930555555555558</v>
      </c>
      <c r="M5" s="5">
        <v>0.65347222222222223</v>
      </c>
      <c r="N5" s="3" t="s">
        <v>239</v>
      </c>
      <c r="O5" s="3" t="s">
        <v>276</v>
      </c>
      <c r="P5" s="3">
        <v>1039</v>
      </c>
      <c r="Q5" s="3">
        <v>685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44756</v>
      </c>
      <c r="B6" s="3" t="s">
        <v>21</v>
      </c>
      <c r="C6" s="3" t="s">
        <v>105</v>
      </c>
      <c r="D6" s="3" t="s">
        <v>25</v>
      </c>
      <c r="E6" s="3" t="s">
        <v>258</v>
      </c>
      <c r="F6" s="3" t="s">
        <v>26</v>
      </c>
      <c r="G6" s="10">
        <v>70000</v>
      </c>
      <c r="H6" s="3" t="s">
        <v>99</v>
      </c>
      <c r="I6" s="3" t="s">
        <v>100</v>
      </c>
      <c r="J6" s="4">
        <v>0.93402777777777779</v>
      </c>
      <c r="K6" s="5">
        <v>0.9472222222222223</v>
      </c>
      <c r="L6" s="4">
        <v>0.69791666666666663</v>
      </c>
      <c r="M6" s="5">
        <v>0.72986111111111107</v>
      </c>
      <c r="N6" s="3" t="s">
        <v>277</v>
      </c>
      <c r="O6" s="3" t="s">
        <v>274</v>
      </c>
      <c r="P6" s="3">
        <v>1452</v>
      </c>
      <c r="Q6" s="3">
        <v>966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"/>
  <sheetViews>
    <sheetView workbookViewId="0">
      <selection activeCell="G18" sqref="G18"/>
    </sheetView>
  </sheetViews>
  <sheetFormatPr defaultRowHeight="15" x14ac:dyDescent="0.25"/>
  <cols>
    <col min="2" max="2" width="18.42578125" customWidth="1"/>
    <col min="3" max="3" width="15" customWidth="1"/>
    <col min="5" max="5" width="12.85546875" bestFit="1" customWidth="1"/>
    <col min="6" max="6" width="12.140625" customWidth="1"/>
    <col min="11" max="11" width="8.140625" customWidth="1"/>
    <col min="13" max="13" width="7.85546875" customWidth="1"/>
    <col min="14" max="14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44757</v>
      </c>
      <c r="B2" s="3" t="s">
        <v>21</v>
      </c>
      <c r="C2" s="3" t="s">
        <v>22</v>
      </c>
      <c r="D2" s="3" t="s">
        <v>25</v>
      </c>
      <c r="E2" s="3" t="s">
        <v>258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0.44722222222222219</v>
      </c>
      <c r="L2" s="4">
        <v>0.25694444444444448</v>
      </c>
      <c r="M2" s="5">
        <v>0.26527777777777778</v>
      </c>
      <c r="N2" s="3" t="s">
        <v>280</v>
      </c>
      <c r="O2" s="3" t="s">
        <v>278</v>
      </c>
      <c r="P2" s="3">
        <v>1032</v>
      </c>
      <c r="Q2" s="3">
        <v>769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44757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0.5083333333333333</v>
      </c>
      <c r="L3" s="4">
        <v>0.28125</v>
      </c>
      <c r="M3" s="5">
        <v>0.28402777777777777</v>
      </c>
      <c r="N3" s="3" t="s">
        <v>281</v>
      </c>
      <c r="O3" s="3" t="s">
        <v>279</v>
      </c>
      <c r="P3" s="3">
        <v>1501</v>
      </c>
      <c r="Q3" s="3">
        <v>688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44757</v>
      </c>
      <c r="B4" s="3" t="s">
        <v>21</v>
      </c>
      <c r="C4" s="3" t="s">
        <v>24</v>
      </c>
      <c r="D4" s="3" t="s">
        <v>25</v>
      </c>
      <c r="E4" s="3" t="s">
        <v>258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0.61597222222222225</v>
      </c>
      <c r="L4" s="4">
        <v>0.46180555555555558</v>
      </c>
      <c r="M4" s="5">
        <v>0.4861111111111111</v>
      </c>
      <c r="N4" s="3" t="s">
        <v>286</v>
      </c>
      <c r="O4" s="3" t="s">
        <v>282</v>
      </c>
      <c r="P4" s="3">
        <v>773</v>
      </c>
      <c r="Q4" s="3">
        <v>752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44757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0.7715277777777777</v>
      </c>
      <c r="L5" s="4">
        <v>0.54166666666666663</v>
      </c>
      <c r="M5" s="5">
        <v>0.55208333333333337</v>
      </c>
      <c r="N5" s="3" t="s">
        <v>288</v>
      </c>
      <c r="O5" s="3" t="s">
        <v>285</v>
      </c>
      <c r="P5" s="3">
        <v>1833</v>
      </c>
      <c r="Q5" s="3">
        <v>558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44757</v>
      </c>
      <c r="B6" s="6" t="s">
        <v>33</v>
      </c>
      <c r="C6" s="6" t="s">
        <v>34</v>
      </c>
      <c r="D6" s="3" t="s">
        <v>25</v>
      </c>
      <c r="E6" s="6" t="s">
        <v>251</v>
      </c>
      <c r="F6" s="6" t="s">
        <v>36</v>
      </c>
      <c r="G6" s="6">
        <v>77000</v>
      </c>
      <c r="H6" s="6" t="s">
        <v>37</v>
      </c>
      <c r="I6" s="6" t="s">
        <v>38</v>
      </c>
      <c r="J6" s="7">
        <v>0.37152777777777773</v>
      </c>
      <c r="K6" s="8">
        <v>0.33124999999999999</v>
      </c>
      <c r="L6" s="7">
        <v>0.3298611111111111</v>
      </c>
      <c r="M6" s="8">
        <v>0.38194444444444442</v>
      </c>
      <c r="N6" s="3" t="s">
        <v>284</v>
      </c>
      <c r="O6" s="3" t="s">
        <v>283</v>
      </c>
      <c r="P6" s="6">
        <v>2351</v>
      </c>
      <c r="Q6" s="6">
        <v>1924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44757</v>
      </c>
      <c r="B7" s="3" t="s">
        <v>21</v>
      </c>
      <c r="C7" s="6" t="s">
        <v>52</v>
      </c>
      <c r="D7" s="3" t="s">
        <v>25</v>
      </c>
      <c r="E7" s="3" t="s">
        <v>258</v>
      </c>
      <c r="F7" s="1" t="s">
        <v>26</v>
      </c>
      <c r="G7" s="3">
        <v>70000</v>
      </c>
      <c r="H7" s="6" t="s">
        <v>55</v>
      </c>
      <c r="I7" s="6" t="s">
        <v>58</v>
      </c>
      <c r="J7" s="7">
        <v>0.75694444444444453</v>
      </c>
      <c r="K7" s="8">
        <v>0.76111111111111107</v>
      </c>
      <c r="L7" s="7">
        <v>0.64236111111111105</v>
      </c>
      <c r="M7" s="8">
        <v>0.65347222222222223</v>
      </c>
      <c r="N7" s="3" t="s">
        <v>289</v>
      </c>
      <c r="O7" s="3" t="s">
        <v>287</v>
      </c>
      <c r="P7" s="6">
        <v>480</v>
      </c>
      <c r="Q7" s="6">
        <v>516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44757</v>
      </c>
      <c r="B8" s="3" t="s">
        <v>21</v>
      </c>
      <c r="C8" s="6" t="s">
        <v>53</v>
      </c>
      <c r="D8" s="3" t="s">
        <v>25</v>
      </c>
      <c r="E8" s="3" t="s">
        <v>44</v>
      </c>
      <c r="F8" s="1" t="s">
        <v>26</v>
      </c>
      <c r="G8" s="3">
        <v>70000</v>
      </c>
      <c r="H8" s="6" t="s">
        <v>56</v>
      </c>
      <c r="I8" s="6" t="s">
        <v>59</v>
      </c>
      <c r="J8" s="7">
        <v>0.96180555555555547</v>
      </c>
      <c r="K8" s="8">
        <v>0.9902777777777777</v>
      </c>
      <c r="L8" s="7">
        <v>0.77777777777777779</v>
      </c>
      <c r="M8" s="8">
        <v>0.81736111111111109</v>
      </c>
      <c r="N8" s="3" t="s">
        <v>292</v>
      </c>
      <c r="O8" s="3" t="s">
        <v>291</v>
      </c>
      <c r="P8" s="6">
        <v>811</v>
      </c>
      <c r="Q8" s="6">
        <v>702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44757</v>
      </c>
      <c r="B9" s="3" t="s">
        <v>21</v>
      </c>
      <c r="C9" s="6" t="s">
        <v>54</v>
      </c>
      <c r="D9" s="3" t="s">
        <v>25</v>
      </c>
      <c r="E9" s="3" t="s">
        <v>258</v>
      </c>
      <c r="F9" s="1" t="s">
        <v>26</v>
      </c>
      <c r="G9" s="3">
        <v>70000</v>
      </c>
      <c r="H9" s="6" t="s">
        <v>57</v>
      </c>
      <c r="I9" s="6" t="s">
        <v>60</v>
      </c>
      <c r="J9" s="7">
        <v>0.97569444444444453</v>
      </c>
      <c r="K9" s="8">
        <v>0.99513888888888891</v>
      </c>
      <c r="L9" s="7">
        <v>0.77777777777777779</v>
      </c>
      <c r="M9" s="8">
        <v>0.79583333333333339</v>
      </c>
      <c r="N9" s="3" t="s">
        <v>293</v>
      </c>
      <c r="O9" s="3" t="s">
        <v>290</v>
      </c>
      <c r="P9" s="6">
        <v>1424</v>
      </c>
      <c r="Q9" s="6">
        <v>1038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5"/>
  <sheetViews>
    <sheetView workbookViewId="0">
      <selection sqref="A1:R4"/>
    </sheetView>
  </sheetViews>
  <sheetFormatPr defaultRowHeight="15" x14ac:dyDescent="0.25"/>
  <cols>
    <col min="1" max="1" width="10.140625" bestFit="1" customWidth="1"/>
    <col min="2" max="2" width="14.5703125" customWidth="1"/>
    <col min="3" max="3" width="14.140625" customWidth="1"/>
    <col min="6" max="6" width="12.28515625" customWidth="1"/>
  </cols>
  <sheetData>
    <row r="1" spans="1:21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44758</v>
      </c>
      <c r="B2" s="3" t="s">
        <v>21</v>
      </c>
      <c r="C2" s="3" t="s">
        <v>76</v>
      </c>
      <c r="D2" s="3" t="s">
        <v>25</v>
      </c>
      <c r="E2" s="3" t="s">
        <v>258</v>
      </c>
      <c r="F2" s="1" t="s">
        <v>26</v>
      </c>
      <c r="G2" s="3">
        <v>70000</v>
      </c>
      <c r="H2" s="3" t="s">
        <v>79</v>
      </c>
      <c r="I2" s="3" t="s">
        <v>82</v>
      </c>
      <c r="J2" s="4">
        <v>0.47222222222222227</v>
      </c>
      <c r="K2" s="5">
        <v>0.48680555555555555</v>
      </c>
      <c r="L2" s="4">
        <v>0.28125</v>
      </c>
      <c r="M2" s="5">
        <v>0.29236111111111113</v>
      </c>
      <c r="N2" s="3" t="s">
        <v>303</v>
      </c>
      <c r="O2" s="3" t="s">
        <v>294</v>
      </c>
      <c r="P2" s="3">
        <v>1260</v>
      </c>
      <c r="Q2" s="3">
        <v>1193</v>
      </c>
      <c r="R2" s="3">
        <v>0</v>
      </c>
      <c r="S2" s="3">
        <v>0</v>
      </c>
      <c r="T2" s="3">
        <v>0</v>
      </c>
      <c r="U2" s="3">
        <v>0</v>
      </c>
    </row>
    <row r="3" spans="1:21" s="6" customFormat="1" ht="12.75" x14ac:dyDescent="0.2">
      <c r="A3" s="2">
        <v>44758</v>
      </c>
      <c r="B3" s="3" t="s">
        <v>21</v>
      </c>
      <c r="C3" s="3" t="s">
        <v>77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80</v>
      </c>
      <c r="I3" s="3" t="s">
        <v>83</v>
      </c>
      <c r="J3" s="4">
        <v>0.82986111111111116</v>
      </c>
      <c r="K3" s="5">
        <v>0.84930555555555554</v>
      </c>
      <c r="L3" s="4">
        <v>0.40972222222222227</v>
      </c>
      <c r="M3" s="5">
        <v>0.41388888888888892</v>
      </c>
      <c r="N3" s="3" t="s">
        <v>214</v>
      </c>
      <c r="O3" s="3" t="s">
        <v>295</v>
      </c>
      <c r="P3" s="3">
        <v>1365</v>
      </c>
      <c r="Q3" s="3">
        <v>1139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44758</v>
      </c>
      <c r="B4" s="3" t="s">
        <v>21</v>
      </c>
      <c r="C4" s="3" t="s">
        <v>150</v>
      </c>
      <c r="D4" s="3" t="s">
        <v>25</v>
      </c>
      <c r="E4" s="3" t="s">
        <v>258</v>
      </c>
      <c r="F4" s="1" t="s">
        <v>26</v>
      </c>
      <c r="G4" s="3">
        <v>70000</v>
      </c>
      <c r="H4" s="3" t="s">
        <v>151</v>
      </c>
      <c r="I4" s="3" t="s">
        <v>152</v>
      </c>
      <c r="J4" s="4">
        <v>0.91319444444444453</v>
      </c>
      <c r="K4" s="5">
        <v>0.92986111111111114</v>
      </c>
      <c r="L4" s="4">
        <v>0.50347222222222221</v>
      </c>
      <c r="M4" s="5">
        <v>0.53263888888888888</v>
      </c>
      <c r="N4" s="3" t="s">
        <v>304</v>
      </c>
      <c r="O4" s="3" t="s">
        <v>302</v>
      </c>
      <c r="P4" s="3">
        <v>961</v>
      </c>
      <c r="Q4" s="3">
        <v>821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2">
        <v>44758</v>
      </c>
      <c r="B5" s="6" t="s">
        <v>299</v>
      </c>
      <c r="C5" s="6" t="s">
        <v>296</v>
      </c>
      <c r="D5" s="6" t="s">
        <v>298</v>
      </c>
      <c r="E5" s="6" t="s">
        <v>297</v>
      </c>
      <c r="F5" s="6" t="s">
        <v>93</v>
      </c>
      <c r="G5" s="6">
        <v>22000</v>
      </c>
      <c r="H5" s="6" t="s">
        <v>301</v>
      </c>
      <c r="I5" s="6" t="s">
        <v>300</v>
      </c>
      <c r="J5" s="7">
        <v>0.46875</v>
      </c>
      <c r="K5" s="8">
        <v>0.45694444444444443</v>
      </c>
      <c r="L5" s="7">
        <v>0.50347222222222221</v>
      </c>
      <c r="M5" s="8">
        <v>0.48888888888888887</v>
      </c>
      <c r="N5" s="3">
        <v>0</v>
      </c>
      <c r="O5" s="3">
        <v>2</v>
      </c>
      <c r="P5" s="12">
        <v>0</v>
      </c>
      <c r="Q5" s="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"/>
  <sheetViews>
    <sheetView workbookViewId="0">
      <selection activeCell="B5" sqref="B5:L6"/>
    </sheetView>
  </sheetViews>
  <sheetFormatPr defaultRowHeight="15" x14ac:dyDescent="0.25"/>
  <cols>
    <col min="3" max="3" width="13.5703125" bestFit="1" customWidth="1"/>
    <col min="6" max="6" width="12.140625" bestFit="1" customWidth="1"/>
  </cols>
  <sheetData>
    <row r="1" spans="1:21" s="1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44759</v>
      </c>
      <c r="B2" s="3" t="s">
        <v>21</v>
      </c>
      <c r="C2" s="3" t="s">
        <v>75</v>
      </c>
      <c r="D2" s="3" t="s">
        <v>25</v>
      </c>
      <c r="E2" s="3" t="s">
        <v>255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0.44722222222222219</v>
      </c>
      <c r="L2" s="4">
        <v>0.25694444444444448</v>
      </c>
      <c r="M2" s="5">
        <v>0.26180555555555557</v>
      </c>
      <c r="N2" s="3" t="s">
        <v>308</v>
      </c>
      <c r="O2" s="3" t="s">
        <v>305</v>
      </c>
      <c r="P2" s="3">
        <v>1840</v>
      </c>
      <c r="Q2" s="3">
        <v>1134</v>
      </c>
      <c r="R2" s="3">
        <v>0</v>
      </c>
      <c r="S2" s="3">
        <v>0</v>
      </c>
      <c r="T2" s="3">
        <v>0</v>
      </c>
      <c r="U2" s="3">
        <v>0</v>
      </c>
    </row>
    <row r="3" spans="1:21" s="11" customFormat="1" ht="12.75" x14ac:dyDescent="0.2">
      <c r="A3" s="2">
        <v>44759</v>
      </c>
      <c r="B3" s="3" t="s">
        <v>21</v>
      </c>
      <c r="C3" s="6" t="s">
        <v>103</v>
      </c>
      <c r="D3" s="3" t="s">
        <v>25</v>
      </c>
      <c r="E3" s="6" t="s">
        <v>44</v>
      </c>
      <c r="F3" s="3" t="s">
        <v>26</v>
      </c>
      <c r="G3" s="10">
        <v>70000</v>
      </c>
      <c r="H3" s="3" t="s">
        <v>95</v>
      </c>
      <c r="I3" s="6" t="s">
        <v>96</v>
      </c>
      <c r="J3" s="7">
        <v>0.43402777777777773</v>
      </c>
      <c r="K3" s="8">
        <v>0.44236111111111115</v>
      </c>
      <c r="L3" s="7">
        <v>0.28472222222222221</v>
      </c>
      <c r="M3" s="8">
        <v>0.30624999999999997</v>
      </c>
      <c r="N3" s="3" t="s">
        <v>270</v>
      </c>
      <c r="O3" s="3" t="s">
        <v>306</v>
      </c>
      <c r="P3" s="6">
        <v>314</v>
      </c>
      <c r="Q3" s="6">
        <v>627</v>
      </c>
      <c r="R3" s="6">
        <v>0</v>
      </c>
      <c r="S3" s="6">
        <v>0</v>
      </c>
      <c r="T3" s="6">
        <v>0</v>
      </c>
      <c r="U3" s="6">
        <v>0</v>
      </c>
    </row>
    <row r="4" spans="1:21" s="11" customFormat="1" ht="12.75" x14ac:dyDescent="0.2">
      <c r="A4" s="2">
        <v>44759</v>
      </c>
      <c r="B4" s="3" t="s">
        <v>21</v>
      </c>
      <c r="C4" s="6" t="s">
        <v>104</v>
      </c>
      <c r="D4" s="3" t="s">
        <v>25</v>
      </c>
      <c r="E4" s="6" t="s">
        <v>255</v>
      </c>
      <c r="F4" s="3" t="s">
        <v>26</v>
      </c>
      <c r="G4" s="10">
        <v>70000</v>
      </c>
      <c r="H4" s="6" t="s">
        <v>97</v>
      </c>
      <c r="I4" s="6" t="s">
        <v>98</v>
      </c>
      <c r="J4" s="7">
        <v>0.64583333333333337</v>
      </c>
      <c r="K4" s="8">
        <v>0.64097222222222217</v>
      </c>
      <c r="L4" s="7">
        <v>0.48958333333333331</v>
      </c>
      <c r="M4" s="8">
        <v>0.49513888888888885</v>
      </c>
      <c r="N4" s="3" t="s">
        <v>310</v>
      </c>
      <c r="O4" s="3" t="s">
        <v>307</v>
      </c>
      <c r="P4" s="6">
        <v>656</v>
      </c>
      <c r="Q4" s="6">
        <v>528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2">
        <v>44759</v>
      </c>
      <c r="B5" s="3" t="s">
        <v>21</v>
      </c>
      <c r="C5" s="6" t="s">
        <v>109</v>
      </c>
      <c r="D5" s="3" t="s">
        <v>25</v>
      </c>
      <c r="E5" s="3" t="s">
        <v>102</v>
      </c>
      <c r="F5" s="3" t="s">
        <v>26</v>
      </c>
      <c r="G5" s="10">
        <v>70000</v>
      </c>
      <c r="H5" s="6" t="s">
        <v>110</v>
      </c>
      <c r="I5" s="6" t="s">
        <v>111</v>
      </c>
      <c r="J5" s="7">
        <v>0.86805555555555547</v>
      </c>
      <c r="K5" s="8">
        <v>0.86736111111111114</v>
      </c>
      <c r="L5" s="7">
        <v>0.64930555555555558</v>
      </c>
      <c r="M5" s="8">
        <v>0.64722222222222225</v>
      </c>
      <c r="N5" s="3" t="s">
        <v>311</v>
      </c>
      <c r="O5" s="3" t="s">
        <v>309</v>
      </c>
      <c r="P5" s="6">
        <v>1033</v>
      </c>
      <c r="Q5" s="6">
        <v>557</v>
      </c>
      <c r="R5" s="6">
        <v>0</v>
      </c>
      <c r="S5" s="6">
        <v>0</v>
      </c>
      <c r="T5" s="6">
        <v>0</v>
      </c>
      <c r="U5" s="6">
        <v>0</v>
      </c>
    </row>
    <row r="6" spans="1:21" s="11" customFormat="1" ht="13.5" customHeight="1" x14ac:dyDescent="0.2">
      <c r="A6" s="2">
        <v>44759</v>
      </c>
      <c r="B6" s="3" t="s">
        <v>21</v>
      </c>
      <c r="C6" s="6" t="s">
        <v>105</v>
      </c>
      <c r="D6" s="6" t="s">
        <v>25</v>
      </c>
      <c r="E6" s="6" t="s">
        <v>255</v>
      </c>
      <c r="F6" s="6" t="s">
        <v>26</v>
      </c>
      <c r="G6" s="10">
        <v>70000</v>
      </c>
      <c r="H6" s="6" t="s">
        <v>99</v>
      </c>
      <c r="I6" s="6" t="s">
        <v>100</v>
      </c>
      <c r="J6" s="7">
        <v>0.90277777777777779</v>
      </c>
      <c r="K6" s="8">
        <v>0.89444444444444438</v>
      </c>
      <c r="L6" s="7">
        <v>0.66666666666666663</v>
      </c>
      <c r="M6" s="8">
        <v>0.6777777777777777</v>
      </c>
      <c r="N6" s="3" t="s">
        <v>312</v>
      </c>
      <c r="O6" s="3" t="s">
        <v>269</v>
      </c>
      <c r="P6" s="6">
        <v>1732</v>
      </c>
      <c r="Q6" s="6">
        <v>1086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"/>
  <sheetViews>
    <sheetView workbookViewId="0">
      <selection activeCell="I36" sqref="I36"/>
    </sheetView>
  </sheetViews>
  <sheetFormatPr defaultRowHeight="15" x14ac:dyDescent="0.25"/>
  <cols>
    <col min="3" max="3" width="13.4257812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44760</v>
      </c>
      <c r="B2" s="3" t="s">
        <v>21</v>
      </c>
      <c r="C2" s="3" t="s">
        <v>22</v>
      </c>
      <c r="D2" s="3" t="s">
        <v>25</v>
      </c>
      <c r="E2" s="3" t="s">
        <v>258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0.50486111111111109</v>
      </c>
      <c r="L2" s="4">
        <v>0.25694444444444448</v>
      </c>
      <c r="M2" s="5">
        <v>0.31805555555555554</v>
      </c>
      <c r="N2" s="3" t="s">
        <v>128</v>
      </c>
      <c r="O2" s="3" t="s">
        <v>313</v>
      </c>
      <c r="P2" s="3">
        <v>995</v>
      </c>
      <c r="Q2" s="3">
        <v>879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44760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0.51874999999999993</v>
      </c>
      <c r="L3" s="4">
        <v>0.28125</v>
      </c>
      <c r="M3" s="5">
        <v>0.29791666666666666</v>
      </c>
      <c r="N3" s="3" t="s">
        <v>315</v>
      </c>
      <c r="O3" s="3" t="s">
        <v>314</v>
      </c>
      <c r="P3" s="3">
        <v>1670</v>
      </c>
      <c r="Q3" s="3">
        <v>1073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44760</v>
      </c>
      <c r="B4" s="3" t="s">
        <v>21</v>
      </c>
      <c r="C4" s="3" t="s">
        <v>24</v>
      </c>
      <c r="D4" s="3" t="s">
        <v>25</v>
      </c>
      <c r="E4" s="3" t="s">
        <v>258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0.68055555555555547</v>
      </c>
      <c r="L4" s="4">
        <v>0.46180555555555558</v>
      </c>
      <c r="M4" s="5">
        <v>0.54791666666666672</v>
      </c>
      <c r="N4" s="3" t="s">
        <v>317</v>
      </c>
      <c r="O4" s="3" t="s">
        <v>316</v>
      </c>
      <c r="P4" s="3">
        <v>839</v>
      </c>
      <c r="Q4" s="3">
        <v>478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44760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0.78402777777777777</v>
      </c>
      <c r="L5" s="4">
        <v>0.54166666666666663</v>
      </c>
      <c r="M5" s="5">
        <v>0.57916666666666672</v>
      </c>
      <c r="N5" s="3" t="s">
        <v>319</v>
      </c>
      <c r="O5" s="3" t="s">
        <v>122</v>
      </c>
      <c r="P5" s="3">
        <v>1439</v>
      </c>
      <c r="Q5" s="3">
        <v>776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44760</v>
      </c>
      <c r="B6" s="3" t="s">
        <v>21</v>
      </c>
      <c r="C6" s="6" t="s">
        <v>52</v>
      </c>
      <c r="D6" s="3" t="s">
        <v>25</v>
      </c>
      <c r="E6" s="3" t="s">
        <v>258</v>
      </c>
      <c r="F6" s="1" t="s">
        <v>26</v>
      </c>
      <c r="G6" s="3">
        <v>70000</v>
      </c>
      <c r="H6" s="6" t="s">
        <v>55</v>
      </c>
      <c r="I6" s="6" t="s">
        <v>58</v>
      </c>
      <c r="J6" s="7">
        <v>0.75694444444444453</v>
      </c>
      <c r="K6" s="8">
        <v>0.82847222222222217</v>
      </c>
      <c r="L6" s="7">
        <v>0.64236111111111105</v>
      </c>
      <c r="M6" s="8">
        <v>0.72013888888888899</v>
      </c>
      <c r="N6" s="3" t="s">
        <v>321</v>
      </c>
      <c r="O6" s="3" t="s">
        <v>261</v>
      </c>
      <c r="P6" s="6">
        <v>628</v>
      </c>
      <c r="Q6" s="6">
        <v>268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44760</v>
      </c>
      <c r="B7" s="3" t="s">
        <v>21</v>
      </c>
      <c r="C7" s="6" t="s">
        <v>53</v>
      </c>
      <c r="D7" s="3" t="s">
        <v>25</v>
      </c>
      <c r="E7" s="3" t="s">
        <v>44</v>
      </c>
      <c r="F7" s="1" t="s">
        <v>26</v>
      </c>
      <c r="G7" s="3">
        <v>70000</v>
      </c>
      <c r="H7" s="6" t="s">
        <v>56</v>
      </c>
      <c r="I7" s="6" t="s">
        <v>59</v>
      </c>
      <c r="J7" s="7">
        <v>0.96180555555555547</v>
      </c>
      <c r="K7" s="8">
        <v>0.99444444444444446</v>
      </c>
      <c r="L7" s="7">
        <v>0.77777777777777779</v>
      </c>
      <c r="M7" s="8">
        <v>0.8222222222222223</v>
      </c>
      <c r="N7" s="3" t="s">
        <v>322</v>
      </c>
      <c r="O7" s="3" t="s">
        <v>318</v>
      </c>
      <c r="P7" s="6">
        <v>973</v>
      </c>
      <c r="Q7" s="6">
        <v>628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44760</v>
      </c>
      <c r="B8" s="3" t="s">
        <v>21</v>
      </c>
      <c r="C8" s="6" t="s">
        <v>54</v>
      </c>
      <c r="D8" s="3" t="s">
        <v>25</v>
      </c>
      <c r="E8" s="3" t="s">
        <v>258</v>
      </c>
      <c r="F8" s="1" t="s">
        <v>26</v>
      </c>
      <c r="G8" s="3">
        <v>70000</v>
      </c>
      <c r="H8" s="6" t="s">
        <v>57</v>
      </c>
      <c r="I8" s="6" t="s">
        <v>60</v>
      </c>
      <c r="J8" s="7">
        <v>0.97569444444444453</v>
      </c>
      <c r="K8" s="8">
        <v>2.7777777777777776E-2</v>
      </c>
      <c r="L8" s="7">
        <v>0.77777777777777779</v>
      </c>
      <c r="M8" s="8">
        <v>0.87013888888888891</v>
      </c>
      <c r="N8" s="3" t="s">
        <v>74</v>
      </c>
      <c r="O8" s="3" t="s">
        <v>320</v>
      </c>
      <c r="P8" s="6">
        <v>1084</v>
      </c>
      <c r="Q8" s="6">
        <v>727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5"/>
  <sheetViews>
    <sheetView topLeftCell="E1" workbookViewId="0">
      <selection activeCell="L21" sqref="L21"/>
    </sheetView>
  </sheetViews>
  <sheetFormatPr defaultRowHeight="15" x14ac:dyDescent="0.25"/>
  <cols>
    <col min="2" max="2" width="20.140625" customWidth="1"/>
    <col min="3" max="3" width="15.5703125" customWidth="1"/>
    <col min="6" max="6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44761</v>
      </c>
      <c r="B2" s="3" t="s">
        <v>21</v>
      </c>
      <c r="C2" s="3" t="s">
        <v>76</v>
      </c>
      <c r="D2" s="3" t="s">
        <v>25</v>
      </c>
      <c r="E2" s="3" t="s">
        <v>44</v>
      </c>
      <c r="F2" s="3" t="s">
        <v>26</v>
      </c>
      <c r="G2" s="10">
        <v>70000</v>
      </c>
      <c r="H2" s="3" t="s">
        <v>79</v>
      </c>
      <c r="I2" s="3" t="s">
        <v>82</v>
      </c>
      <c r="J2" s="4">
        <v>0.46180555555555558</v>
      </c>
      <c r="K2" s="5">
        <v>0.52152777777777781</v>
      </c>
      <c r="L2" s="4">
        <v>0.28125</v>
      </c>
      <c r="M2" s="5">
        <v>0.30277777777777776</v>
      </c>
      <c r="N2" s="3" t="s">
        <v>324</v>
      </c>
      <c r="O2" s="3" t="s">
        <v>310</v>
      </c>
      <c r="P2" s="15">
        <v>1196</v>
      </c>
      <c r="Q2" s="3">
        <v>707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44761</v>
      </c>
      <c r="B3" s="3" t="s">
        <v>33</v>
      </c>
      <c r="C3" s="3" t="s">
        <v>34</v>
      </c>
      <c r="D3" s="3" t="s">
        <v>25</v>
      </c>
      <c r="E3" s="3" t="s">
        <v>35</v>
      </c>
      <c r="F3" s="1" t="s">
        <v>36</v>
      </c>
      <c r="G3" s="10">
        <v>77000</v>
      </c>
      <c r="H3" s="3" t="s">
        <v>37</v>
      </c>
      <c r="I3" s="3" t="s">
        <v>38</v>
      </c>
      <c r="J3" s="4">
        <v>0.3298611111111111</v>
      </c>
      <c r="K3" s="5">
        <v>0.32500000000000001</v>
      </c>
      <c r="L3" s="4">
        <v>0.37152777777777773</v>
      </c>
      <c r="M3" s="5">
        <v>0.42083333333333334</v>
      </c>
      <c r="N3" s="3" t="s">
        <v>323</v>
      </c>
      <c r="O3" s="3" t="s">
        <v>163</v>
      </c>
      <c r="P3" s="3">
        <v>2428</v>
      </c>
      <c r="Q3" s="3">
        <v>2011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44761</v>
      </c>
      <c r="B4" s="3" t="s">
        <v>21</v>
      </c>
      <c r="C4" s="3" t="s">
        <v>77</v>
      </c>
      <c r="D4" s="3" t="s">
        <v>25</v>
      </c>
      <c r="E4" s="3" t="s">
        <v>326</v>
      </c>
      <c r="F4" s="3" t="s">
        <v>26</v>
      </c>
      <c r="G4" s="10">
        <v>70000</v>
      </c>
      <c r="H4" s="3" t="s">
        <v>80</v>
      </c>
      <c r="I4" s="3" t="s">
        <v>83</v>
      </c>
      <c r="J4" s="4">
        <v>0.82986111111111116</v>
      </c>
      <c r="K4" s="5">
        <v>0.85069444444444453</v>
      </c>
      <c r="L4" s="4">
        <v>0.40972222222222227</v>
      </c>
      <c r="M4" s="5">
        <v>0.41736111111111113</v>
      </c>
      <c r="N4" s="3" t="s">
        <v>157</v>
      </c>
      <c r="O4" s="3" t="s">
        <v>303</v>
      </c>
      <c r="P4" s="3">
        <v>1152</v>
      </c>
      <c r="Q4" s="3">
        <v>624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44761</v>
      </c>
      <c r="B5" s="3" t="s">
        <v>21</v>
      </c>
      <c r="C5" s="3" t="s">
        <v>150</v>
      </c>
      <c r="D5" s="3" t="s">
        <v>25</v>
      </c>
      <c r="E5" s="3" t="s">
        <v>44</v>
      </c>
      <c r="F5" s="3" t="s">
        <v>26</v>
      </c>
      <c r="G5" s="10">
        <v>70000</v>
      </c>
      <c r="H5" s="3" t="s">
        <v>151</v>
      </c>
      <c r="I5" s="3" t="s">
        <v>152</v>
      </c>
      <c r="J5" s="4">
        <v>0.91319444444444453</v>
      </c>
      <c r="K5" s="5">
        <v>0.96250000000000002</v>
      </c>
      <c r="L5" s="4">
        <v>0.50347222222222221</v>
      </c>
      <c r="M5" s="5">
        <v>0.57152777777777775</v>
      </c>
      <c r="N5" s="3" t="s">
        <v>330</v>
      </c>
      <c r="O5" s="3" t="s">
        <v>325</v>
      </c>
      <c r="P5" s="3">
        <v>880</v>
      </c>
      <c r="Q5" s="3">
        <v>474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7"/>
  <sheetViews>
    <sheetView workbookViewId="0">
      <selection activeCell="K7" sqref="K7"/>
    </sheetView>
  </sheetViews>
  <sheetFormatPr defaultRowHeight="15" x14ac:dyDescent="0.25"/>
  <cols>
    <col min="3" max="3" width="14.140625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44762</v>
      </c>
      <c r="B2" s="3" t="s">
        <v>21</v>
      </c>
      <c r="C2" s="3" t="s">
        <v>22</v>
      </c>
      <c r="D2" s="3" t="s">
        <v>25</v>
      </c>
      <c r="E2" s="3" t="s">
        <v>44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0.4381944444444445</v>
      </c>
      <c r="L2" s="4">
        <v>0.25694444444444448</v>
      </c>
      <c r="M2" s="5">
        <v>0.2673611111111111</v>
      </c>
      <c r="N2" s="3" t="s">
        <v>328</v>
      </c>
      <c r="O2" s="3" t="s">
        <v>327</v>
      </c>
      <c r="P2" s="3">
        <v>921</v>
      </c>
      <c r="Q2" s="3">
        <v>565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44762</v>
      </c>
      <c r="B3" s="3" t="s">
        <v>21</v>
      </c>
      <c r="C3" s="3" t="s">
        <v>24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0.6118055555555556</v>
      </c>
      <c r="L3" s="4">
        <v>0.4513888888888889</v>
      </c>
      <c r="M3" s="5">
        <v>0.47222222222222227</v>
      </c>
      <c r="N3" s="3" t="s">
        <v>333</v>
      </c>
      <c r="O3" s="3" t="s">
        <v>329</v>
      </c>
      <c r="P3" s="3">
        <v>859</v>
      </c>
      <c r="Q3" s="3">
        <v>498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44762</v>
      </c>
      <c r="B4" s="3" t="s">
        <v>21</v>
      </c>
      <c r="C4" s="3" t="s">
        <v>104</v>
      </c>
      <c r="D4" s="3" t="s">
        <v>25</v>
      </c>
      <c r="E4" s="6" t="s">
        <v>137</v>
      </c>
      <c r="F4" s="1" t="s">
        <v>26</v>
      </c>
      <c r="G4" s="3">
        <v>70000</v>
      </c>
      <c r="H4" s="3" t="s">
        <v>97</v>
      </c>
      <c r="I4" s="3" t="s">
        <v>98</v>
      </c>
      <c r="J4" s="4">
        <v>0.69791666666666663</v>
      </c>
      <c r="K4" s="5">
        <v>0.71527777777777779</v>
      </c>
      <c r="L4" s="4">
        <v>0.54166666666666663</v>
      </c>
      <c r="M4" s="5">
        <v>0.5805555555555556</v>
      </c>
      <c r="N4" s="3" t="s">
        <v>334</v>
      </c>
      <c r="O4" s="3" t="s">
        <v>331</v>
      </c>
      <c r="P4" s="3">
        <v>349</v>
      </c>
      <c r="Q4" s="3">
        <v>195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44762</v>
      </c>
      <c r="B5" s="3" t="s">
        <v>21</v>
      </c>
      <c r="C5" s="3" t="s">
        <v>52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55</v>
      </c>
      <c r="I5" s="3" t="s">
        <v>58</v>
      </c>
      <c r="J5" s="4">
        <v>0.74652777777777779</v>
      </c>
      <c r="K5" s="5">
        <v>0.75902777777777775</v>
      </c>
      <c r="L5" s="4">
        <v>0.63194444444444442</v>
      </c>
      <c r="M5" s="5">
        <v>0.65</v>
      </c>
      <c r="N5" s="3" t="s">
        <v>335</v>
      </c>
      <c r="O5" s="3" t="s">
        <v>332</v>
      </c>
      <c r="P5" s="3">
        <v>543</v>
      </c>
      <c r="Q5" s="3">
        <v>529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44762</v>
      </c>
      <c r="B6" s="3" t="s">
        <v>21</v>
      </c>
      <c r="C6" s="3" t="s">
        <v>53</v>
      </c>
      <c r="D6" s="3" t="s">
        <v>25</v>
      </c>
      <c r="E6" s="3" t="s">
        <v>137</v>
      </c>
      <c r="F6" s="1" t="s">
        <v>26</v>
      </c>
      <c r="G6" s="3">
        <v>70000</v>
      </c>
      <c r="H6" s="3" t="s">
        <v>56</v>
      </c>
      <c r="I6" s="3" t="s">
        <v>59</v>
      </c>
      <c r="J6" s="4">
        <v>0.90277777777777779</v>
      </c>
      <c r="K6" s="5">
        <v>0.96180555555555547</v>
      </c>
      <c r="L6" s="4">
        <v>0.71875</v>
      </c>
      <c r="M6" s="5">
        <v>0.76180555555555562</v>
      </c>
      <c r="N6" s="3" t="s">
        <v>319</v>
      </c>
      <c r="O6" s="3" t="s">
        <v>87</v>
      </c>
      <c r="P6" s="3">
        <v>1069</v>
      </c>
      <c r="Q6" s="3">
        <v>656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44762</v>
      </c>
      <c r="B7" s="3" t="s">
        <v>21</v>
      </c>
      <c r="C7" s="3" t="s">
        <v>54</v>
      </c>
      <c r="D7" s="3" t="s">
        <v>25</v>
      </c>
      <c r="E7" s="3" t="s">
        <v>44</v>
      </c>
      <c r="F7" s="1" t="s">
        <v>26</v>
      </c>
      <c r="G7" s="3">
        <v>70000</v>
      </c>
      <c r="H7" s="3" t="s">
        <v>57</v>
      </c>
      <c r="I7" s="3" t="s">
        <v>60</v>
      </c>
      <c r="J7" s="4">
        <v>0.9375</v>
      </c>
      <c r="K7" s="5">
        <v>0.96875</v>
      </c>
      <c r="L7" s="4">
        <v>0.76736111111111116</v>
      </c>
      <c r="M7" s="5">
        <v>0.80208333333333337</v>
      </c>
      <c r="N7" s="3" t="s">
        <v>337</v>
      </c>
      <c r="O7" s="3" t="s">
        <v>336</v>
      </c>
      <c r="P7" s="3">
        <v>1329</v>
      </c>
      <c r="Q7" s="3">
        <v>694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"/>
  <sheetViews>
    <sheetView topLeftCell="B1" workbookViewId="0">
      <selection activeCell="N2" sqref="N2:O2"/>
    </sheetView>
  </sheetViews>
  <sheetFormatPr defaultRowHeight="15" x14ac:dyDescent="0.25"/>
  <cols>
    <col min="1" max="1" width="10.140625" bestFit="1" customWidth="1"/>
    <col min="2" max="2" width="16.42578125" bestFit="1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44763</v>
      </c>
      <c r="B2" s="3" t="s">
        <v>21</v>
      </c>
      <c r="C2" s="3" t="s">
        <v>75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0.4458333333333333</v>
      </c>
      <c r="L2" s="4">
        <v>0.25694444444444448</v>
      </c>
      <c r="M2" s="5">
        <v>0.26041666666666669</v>
      </c>
      <c r="N2" s="3" t="s">
        <v>244</v>
      </c>
      <c r="O2" s="3" t="s">
        <v>338</v>
      </c>
      <c r="P2" s="3">
        <v>1255</v>
      </c>
      <c r="Q2" s="3">
        <v>1269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44763</v>
      </c>
      <c r="B3" s="3" t="s">
        <v>21</v>
      </c>
      <c r="C3" s="3" t="s">
        <v>103</v>
      </c>
      <c r="D3" s="3" t="s">
        <v>25</v>
      </c>
      <c r="E3" s="3" t="s">
        <v>44</v>
      </c>
      <c r="F3" s="3" t="s">
        <v>26</v>
      </c>
      <c r="G3" s="10">
        <v>70000</v>
      </c>
      <c r="H3" s="3" t="s">
        <v>95</v>
      </c>
      <c r="I3" s="3" t="s">
        <v>96</v>
      </c>
      <c r="J3" s="4">
        <v>0.43402777777777773</v>
      </c>
      <c r="K3" s="5">
        <v>0.62916666666666665</v>
      </c>
      <c r="L3" s="4">
        <v>0.28472222222222221</v>
      </c>
      <c r="M3" s="5">
        <v>0.49236111111111108</v>
      </c>
      <c r="N3" s="5" t="s">
        <v>117</v>
      </c>
      <c r="O3" s="3" t="s">
        <v>344</v>
      </c>
      <c r="P3" s="3">
        <v>881</v>
      </c>
      <c r="Q3" s="3">
        <v>531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44763</v>
      </c>
      <c r="B4" s="3" t="s">
        <v>21</v>
      </c>
      <c r="C4" s="3" t="s">
        <v>77</v>
      </c>
      <c r="D4" s="3" t="s">
        <v>25</v>
      </c>
      <c r="E4" s="3" t="str">
        <f>E2</f>
        <v>HA-LYG</v>
      </c>
      <c r="F4" s="3" t="s">
        <v>26</v>
      </c>
      <c r="G4" s="10">
        <v>70000</v>
      </c>
      <c r="H4" s="3" t="s">
        <v>80</v>
      </c>
      <c r="I4" s="3" t="s">
        <v>83</v>
      </c>
      <c r="J4" s="4">
        <v>0.67708333333333337</v>
      </c>
      <c r="K4" s="5">
        <v>0.70972222222222225</v>
      </c>
      <c r="L4" s="4">
        <v>0.48958333333333331</v>
      </c>
      <c r="M4" s="5">
        <v>0.49861111111111112</v>
      </c>
      <c r="N4" s="3" t="s">
        <v>352</v>
      </c>
      <c r="O4" s="3" t="s">
        <v>345</v>
      </c>
      <c r="P4" s="3">
        <v>1297</v>
      </c>
      <c r="Q4" s="3">
        <v>889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44763</v>
      </c>
      <c r="B5" s="3" t="s">
        <v>21</v>
      </c>
      <c r="C5" s="3" t="s">
        <v>109</v>
      </c>
      <c r="D5" s="3" t="s">
        <v>25</v>
      </c>
      <c r="E5" s="3" t="s">
        <v>44</v>
      </c>
      <c r="F5" s="3" t="s">
        <v>26</v>
      </c>
      <c r="G5" s="10">
        <v>70000</v>
      </c>
      <c r="H5" s="3" t="s">
        <v>110</v>
      </c>
      <c r="I5" s="3" t="s">
        <v>111</v>
      </c>
      <c r="J5" s="4">
        <v>0.86805555555555547</v>
      </c>
      <c r="K5" s="5">
        <v>0.8666666666666667</v>
      </c>
      <c r="L5" s="4">
        <v>0.64930555555555558</v>
      </c>
      <c r="M5" s="5">
        <v>0.66736111111111107</v>
      </c>
      <c r="N5" s="3" t="s">
        <v>275</v>
      </c>
      <c r="O5" s="3" t="s">
        <v>353</v>
      </c>
      <c r="P5" s="3">
        <v>600</v>
      </c>
      <c r="Q5" s="3">
        <v>703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44763</v>
      </c>
      <c r="B6" s="3" t="s">
        <v>21</v>
      </c>
      <c r="C6" s="3" t="s">
        <v>105</v>
      </c>
      <c r="D6" s="3" t="s">
        <v>25</v>
      </c>
      <c r="E6" s="3" t="str">
        <f>E4</f>
        <v>HA-LYG</v>
      </c>
      <c r="F6" s="3" t="s">
        <v>26</v>
      </c>
      <c r="G6" s="10">
        <v>70000</v>
      </c>
      <c r="H6" s="3" t="s">
        <v>99</v>
      </c>
      <c r="I6" s="3" t="s">
        <v>100</v>
      </c>
      <c r="J6" s="4">
        <v>0.93402777777777779</v>
      </c>
      <c r="K6" s="5">
        <v>0.9590277777777777</v>
      </c>
      <c r="L6" s="4">
        <v>0.69791666666666663</v>
      </c>
      <c r="M6" s="5">
        <v>0.74305555555555547</v>
      </c>
      <c r="N6" s="3" t="s">
        <v>355</v>
      </c>
      <c r="O6" s="3" t="s">
        <v>354</v>
      </c>
      <c r="P6" s="3">
        <v>1219</v>
      </c>
      <c r="Q6" s="3">
        <v>1009</v>
      </c>
      <c r="R6" s="3">
        <v>0</v>
      </c>
      <c r="S6" s="3">
        <v>0</v>
      </c>
      <c r="T6" s="3">
        <v>0</v>
      </c>
      <c r="U6" s="3">
        <v>0</v>
      </c>
    </row>
    <row r="7" spans="1:21" s="3" customFormat="1" ht="12.75" x14ac:dyDescent="0.25">
      <c r="A7" s="2">
        <v>44763</v>
      </c>
      <c r="B7" s="3" t="s">
        <v>339</v>
      </c>
      <c r="C7" s="3" t="s">
        <v>340</v>
      </c>
      <c r="D7" s="3" t="s">
        <v>341</v>
      </c>
      <c r="E7" s="3" t="s">
        <v>342</v>
      </c>
      <c r="F7" s="3" t="s">
        <v>343</v>
      </c>
      <c r="G7" s="3">
        <v>4900</v>
      </c>
      <c r="H7" s="3" t="str">
        <f>E7</f>
        <v>T7-ACA</v>
      </c>
      <c r="I7" s="3" t="str">
        <f>H7</f>
        <v>T7-ACA</v>
      </c>
      <c r="J7" s="4">
        <v>0.34722222222222227</v>
      </c>
      <c r="K7" s="5">
        <v>0.36805555555555558</v>
      </c>
      <c r="L7" s="4">
        <v>0.36458333333333331</v>
      </c>
      <c r="M7" s="5">
        <v>0.37916666666666665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>
        <v>44763</v>
      </c>
      <c r="B8" s="3" t="s">
        <v>346</v>
      </c>
      <c r="C8" s="3" t="s">
        <v>347</v>
      </c>
      <c r="D8" s="3" t="s">
        <v>348</v>
      </c>
      <c r="E8" s="3" t="s">
        <v>349</v>
      </c>
      <c r="F8" s="3" t="s">
        <v>93</v>
      </c>
      <c r="G8" s="10">
        <v>16000</v>
      </c>
      <c r="H8" s="3" t="s">
        <v>350</v>
      </c>
      <c r="I8" s="6" t="str">
        <f>H8</f>
        <v>ADN14C</v>
      </c>
      <c r="J8" s="7">
        <v>0.51041666666666663</v>
      </c>
      <c r="K8" s="8">
        <v>0.51250000000000007</v>
      </c>
      <c r="L8" s="7">
        <v>0.53819444444444442</v>
      </c>
      <c r="M8" s="8">
        <v>0.54375000000000007</v>
      </c>
      <c r="N8" s="6">
        <v>1</v>
      </c>
      <c r="O8" s="6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44763</v>
      </c>
      <c r="B9" s="3" t="s">
        <v>339</v>
      </c>
      <c r="C9" s="3" t="s">
        <v>351</v>
      </c>
      <c r="D9" s="3" t="s">
        <v>341</v>
      </c>
      <c r="E9" s="3" t="s">
        <v>342</v>
      </c>
      <c r="F9" s="3" t="s">
        <v>343</v>
      </c>
      <c r="G9" s="3">
        <v>4900</v>
      </c>
      <c r="H9" s="3" t="str">
        <f>E9</f>
        <v>T7-ACA</v>
      </c>
      <c r="I9" s="3" t="str">
        <f>H9</f>
        <v>T7-ACA</v>
      </c>
      <c r="J9" s="4">
        <v>0.625</v>
      </c>
      <c r="K9" s="5">
        <v>0.63124999999999998</v>
      </c>
      <c r="L9" s="4">
        <v>0.64583333333333337</v>
      </c>
      <c r="M9" s="5">
        <v>0.64722222222222225</v>
      </c>
      <c r="N9" s="3">
        <v>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"/>
  <sheetViews>
    <sheetView topLeftCell="C1" workbookViewId="0">
      <selection activeCell="C1" sqref="A1:XFD9"/>
    </sheetView>
  </sheetViews>
  <sheetFormatPr defaultRowHeight="15" x14ac:dyDescent="0.25"/>
  <cols>
    <col min="2" max="2" width="18.42578125" customWidth="1"/>
    <col min="3" max="3" width="15" customWidth="1"/>
    <col min="5" max="5" width="12.85546875" bestFit="1" customWidth="1"/>
    <col min="6" max="6" width="12.140625" customWidth="1"/>
    <col min="11" max="11" width="8.140625" customWidth="1"/>
    <col min="13" max="13" width="8.85546875" customWidth="1"/>
    <col min="14" max="14" width="10.140625" customWidth="1"/>
    <col min="15" max="15" width="8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44764</v>
      </c>
      <c r="B2" s="3" t="s">
        <v>21</v>
      </c>
      <c r="C2" s="3" t="s">
        <v>22</v>
      </c>
      <c r="D2" s="3" t="s">
        <v>25</v>
      </c>
      <c r="E2" s="3" t="s">
        <v>137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0.44375000000000003</v>
      </c>
      <c r="L2" s="4">
        <v>0.25694444444444448</v>
      </c>
      <c r="M2" s="5">
        <v>0.2673611111111111</v>
      </c>
      <c r="N2" s="3" t="s">
        <v>361</v>
      </c>
      <c r="O2" s="3" t="s">
        <v>357</v>
      </c>
      <c r="P2" s="3">
        <v>879</v>
      </c>
      <c r="Q2" s="3">
        <v>827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44764</v>
      </c>
      <c r="B3" s="3" t="s">
        <v>21</v>
      </c>
      <c r="C3" s="3" t="s">
        <v>23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0.51944444444444449</v>
      </c>
      <c r="L3" s="4">
        <v>0.28125</v>
      </c>
      <c r="M3" s="5">
        <v>0.30555555555555552</v>
      </c>
      <c r="N3" s="3" t="s">
        <v>362</v>
      </c>
      <c r="O3" s="3" t="s">
        <v>358</v>
      </c>
      <c r="P3" s="3">
        <v>1394</v>
      </c>
      <c r="Q3" s="3">
        <v>1267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44764</v>
      </c>
      <c r="B4" s="3" t="s">
        <v>21</v>
      </c>
      <c r="C4" s="3" t="s">
        <v>24</v>
      </c>
      <c r="D4" s="3" t="s">
        <v>25</v>
      </c>
      <c r="E4" s="3" t="s">
        <v>137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0.61597222222222225</v>
      </c>
      <c r="L4" s="4">
        <v>0.46180555555555558</v>
      </c>
      <c r="M4" s="5">
        <v>0.48055555555555557</v>
      </c>
      <c r="N4" s="3" t="s">
        <v>141</v>
      </c>
      <c r="O4" s="3" t="s">
        <v>360</v>
      </c>
      <c r="P4" s="3">
        <v>1103</v>
      </c>
      <c r="Q4" s="3">
        <v>851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44764</v>
      </c>
      <c r="B5" s="3" t="s">
        <v>21</v>
      </c>
      <c r="C5" s="3" t="s">
        <v>39</v>
      </c>
      <c r="D5" s="3" t="s">
        <v>25</v>
      </c>
      <c r="E5" s="3" t="s">
        <v>44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0.75138888888888899</v>
      </c>
      <c r="L5" s="4">
        <v>0.54166666666666663</v>
      </c>
      <c r="M5" s="5">
        <v>0.55833333333333335</v>
      </c>
      <c r="N5" s="3" t="s">
        <v>366</v>
      </c>
      <c r="O5" s="3" t="s">
        <v>363</v>
      </c>
      <c r="P5" s="3">
        <v>1542</v>
      </c>
      <c r="Q5" s="3">
        <v>1077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44764</v>
      </c>
      <c r="B6" s="6" t="s">
        <v>33</v>
      </c>
      <c r="C6" s="6" t="s">
        <v>34</v>
      </c>
      <c r="D6" s="3" t="s">
        <v>25</v>
      </c>
      <c r="E6" s="6" t="s">
        <v>251</v>
      </c>
      <c r="F6" s="6" t="s">
        <v>36</v>
      </c>
      <c r="G6" s="6">
        <v>77000</v>
      </c>
      <c r="H6" s="6" t="s">
        <v>37</v>
      </c>
      <c r="I6" s="6" t="s">
        <v>38</v>
      </c>
      <c r="J6" s="7">
        <v>0.37152777777777773</v>
      </c>
      <c r="K6" s="8">
        <v>0.36874999999999997</v>
      </c>
      <c r="L6" s="7">
        <v>0.3298611111111111</v>
      </c>
      <c r="M6" s="8">
        <v>0.32083333333333336</v>
      </c>
      <c r="N6" s="3" t="s">
        <v>359</v>
      </c>
      <c r="O6" s="3" t="s">
        <v>125</v>
      </c>
      <c r="P6" s="6">
        <v>2104</v>
      </c>
      <c r="Q6" s="6">
        <v>2044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44764</v>
      </c>
      <c r="B7" s="3" t="s">
        <v>21</v>
      </c>
      <c r="C7" s="6" t="s">
        <v>52</v>
      </c>
      <c r="D7" s="3" t="s">
        <v>25</v>
      </c>
      <c r="E7" s="3" t="s">
        <v>137</v>
      </c>
      <c r="F7" s="1" t="s">
        <v>26</v>
      </c>
      <c r="G7" s="3">
        <v>70000</v>
      </c>
      <c r="H7" s="6" t="s">
        <v>55</v>
      </c>
      <c r="I7" s="6" t="s">
        <v>58</v>
      </c>
      <c r="J7" s="7">
        <v>0.75694444444444453</v>
      </c>
      <c r="K7" s="8">
        <v>0.75694444444444453</v>
      </c>
      <c r="L7" s="7">
        <v>0.64236111111111105</v>
      </c>
      <c r="M7" s="8">
        <v>0.65</v>
      </c>
      <c r="N7" s="3" t="s">
        <v>365</v>
      </c>
      <c r="O7" s="3" t="s">
        <v>364</v>
      </c>
      <c r="P7" s="6">
        <v>533</v>
      </c>
      <c r="Q7" s="6">
        <v>351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44764</v>
      </c>
      <c r="B8" s="3" t="s">
        <v>21</v>
      </c>
      <c r="C8" s="6" t="s">
        <v>53</v>
      </c>
      <c r="D8" s="3" t="s">
        <v>25</v>
      </c>
      <c r="E8" s="3" t="s">
        <v>44</v>
      </c>
      <c r="F8" s="1" t="s">
        <v>26</v>
      </c>
      <c r="G8" s="3">
        <v>70000</v>
      </c>
      <c r="H8" s="6" t="s">
        <v>56</v>
      </c>
      <c r="I8" s="6" t="s">
        <v>59</v>
      </c>
      <c r="J8" s="7">
        <v>0.96180555555555547</v>
      </c>
      <c r="K8" s="8">
        <v>0.97916666666666663</v>
      </c>
      <c r="L8" s="7">
        <v>0.77777777777777779</v>
      </c>
      <c r="M8" s="8">
        <v>0.81041666666666667</v>
      </c>
      <c r="N8" s="3" t="s">
        <v>369</v>
      </c>
      <c r="O8" s="3" t="s">
        <v>367</v>
      </c>
      <c r="P8" s="6">
        <v>1426</v>
      </c>
      <c r="Q8" s="6">
        <v>575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44764</v>
      </c>
      <c r="B9" s="3" t="s">
        <v>21</v>
      </c>
      <c r="C9" s="6" t="s">
        <v>54</v>
      </c>
      <c r="D9" s="3" t="s">
        <v>25</v>
      </c>
      <c r="E9" s="3" t="s">
        <v>356</v>
      </c>
      <c r="F9" s="1" t="s">
        <v>26</v>
      </c>
      <c r="G9" s="3">
        <v>70000</v>
      </c>
      <c r="H9" s="6" t="s">
        <v>57</v>
      </c>
      <c r="I9" s="6" t="s">
        <v>60</v>
      </c>
      <c r="J9" s="7">
        <v>0.97569444444444453</v>
      </c>
      <c r="K9" s="8">
        <v>2.9861111111111113E-2</v>
      </c>
      <c r="L9" s="7">
        <v>0.77777777777777779</v>
      </c>
      <c r="M9" s="8">
        <v>0.84166666666666667</v>
      </c>
      <c r="N9" s="3" t="s">
        <v>370</v>
      </c>
      <c r="O9" s="3" t="s">
        <v>368</v>
      </c>
      <c r="P9" s="6">
        <v>1626</v>
      </c>
      <c r="Q9" s="6">
        <v>1496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4"/>
  <sheetViews>
    <sheetView topLeftCell="E1" workbookViewId="0">
      <selection sqref="A1:U4"/>
    </sheetView>
  </sheetViews>
  <sheetFormatPr defaultRowHeight="15" x14ac:dyDescent="0.25"/>
  <cols>
    <col min="2" max="2" width="26.7109375" bestFit="1" customWidth="1"/>
    <col min="3" max="3" width="14.140625" customWidth="1"/>
    <col min="4" max="4" width="15.7109375" bestFit="1" customWidth="1"/>
    <col min="6" max="6" width="16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44765</v>
      </c>
      <c r="B2" s="3" t="s">
        <v>21</v>
      </c>
      <c r="C2" s="3" t="s">
        <v>76</v>
      </c>
      <c r="D2" s="3" t="s">
        <v>25</v>
      </c>
      <c r="E2" s="3" t="s">
        <v>258</v>
      </c>
      <c r="F2" s="1" t="s">
        <v>26</v>
      </c>
      <c r="G2" s="3">
        <v>70000</v>
      </c>
      <c r="H2" s="3" t="s">
        <v>79</v>
      </c>
      <c r="I2" s="3" t="s">
        <v>82</v>
      </c>
      <c r="J2" s="4">
        <v>0.47222222222222227</v>
      </c>
      <c r="K2" s="5">
        <v>0.54791666666666672</v>
      </c>
      <c r="L2" s="4">
        <v>0.28125</v>
      </c>
      <c r="M2" s="5">
        <v>0.29236111111111113</v>
      </c>
      <c r="N2" s="3" t="s">
        <v>401</v>
      </c>
      <c r="O2" s="3" t="s">
        <v>371</v>
      </c>
      <c r="P2" s="3">
        <v>936</v>
      </c>
      <c r="Q2" s="3">
        <v>914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44765</v>
      </c>
      <c r="B3" s="3" t="s">
        <v>21</v>
      </c>
      <c r="C3" s="3" t="s">
        <v>77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80</v>
      </c>
      <c r="I3" s="3" t="s">
        <v>83</v>
      </c>
      <c r="J3" s="4">
        <v>0.82986111111111116</v>
      </c>
      <c r="K3" s="5">
        <v>0.89236111111111116</v>
      </c>
      <c r="L3" s="4">
        <v>0.40972222222222227</v>
      </c>
      <c r="M3" s="5">
        <v>0.42986111111111108</v>
      </c>
      <c r="N3" s="3" t="s">
        <v>399</v>
      </c>
      <c r="O3" s="3" t="s">
        <v>372</v>
      </c>
      <c r="P3" s="3">
        <v>1400</v>
      </c>
      <c r="Q3" s="3">
        <v>1111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44765</v>
      </c>
      <c r="B4" s="3" t="s">
        <v>21</v>
      </c>
      <c r="C4" s="3" t="s">
        <v>150</v>
      </c>
      <c r="D4" s="3" t="s">
        <v>25</v>
      </c>
      <c r="E4" s="3" t="s">
        <v>258</v>
      </c>
      <c r="F4" s="1" t="s">
        <v>26</v>
      </c>
      <c r="G4" s="3">
        <v>70000</v>
      </c>
      <c r="H4" s="3" t="s">
        <v>151</v>
      </c>
      <c r="I4" s="3" t="s">
        <v>152</v>
      </c>
      <c r="J4" s="4">
        <v>0.91319444444444453</v>
      </c>
      <c r="K4" s="5">
        <v>0.97083333333333333</v>
      </c>
      <c r="L4" s="4">
        <v>0.50347222222222221</v>
      </c>
      <c r="M4" s="5">
        <v>0.58124999999999993</v>
      </c>
      <c r="N4" s="3" t="s">
        <v>400</v>
      </c>
      <c r="O4" s="3" t="s">
        <v>363</v>
      </c>
      <c r="P4" s="3">
        <v>831</v>
      </c>
      <c r="Q4" s="3">
        <v>603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2">
        <v>44765</v>
      </c>
      <c r="B5" s="16" t="s">
        <v>373</v>
      </c>
      <c r="C5" s="6" t="s">
        <v>382</v>
      </c>
      <c r="D5" s="6" t="s">
        <v>395</v>
      </c>
      <c r="E5" s="6" t="s">
        <v>396</v>
      </c>
      <c r="F5" s="6" t="s">
        <v>383</v>
      </c>
      <c r="G5" s="6">
        <v>450</v>
      </c>
      <c r="H5" s="6" t="str">
        <f t="shared" ref="H5:I14" si="0">D5</f>
        <v>ALPHA TRAINER</v>
      </c>
      <c r="I5" s="6" t="str">
        <f t="shared" si="0"/>
        <v>HA-TAW</v>
      </c>
      <c r="J5" s="7">
        <v>0.47916666666666669</v>
      </c>
      <c r="K5" s="8">
        <v>0.49027777777777781</v>
      </c>
      <c r="L5" s="7">
        <v>0.54166666666666663</v>
      </c>
      <c r="M5" s="8">
        <v>0.60416666666666663</v>
      </c>
      <c r="N5" s="3">
        <v>0</v>
      </c>
      <c r="O5" s="3">
        <v>0</v>
      </c>
      <c r="P5" s="12">
        <v>0</v>
      </c>
      <c r="Q5" s="12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2">
        <v>44765</v>
      </c>
      <c r="B6" s="16" t="s">
        <v>374</v>
      </c>
      <c r="C6" s="6" t="s">
        <v>382</v>
      </c>
      <c r="D6" s="6" t="str">
        <f>D12</f>
        <v>MTO SPORT</v>
      </c>
      <c r="E6" s="6" t="s">
        <v>398</v>
      </c>
      <c r="F6" s="6" t="s">
        <v>383</v>
      </c>
      <c r="G6" s="6">
        <v>450</v>
      </c>
      <c r="H6" s="6" t="str">
        <f t="shared" si="0"/>
        <v>MTO SPORT</v>
      </c>
      <c r="I6" s="6" t="str">
        <f t="shared" si="0"/>
        <v>HA-GYH</v>
      </c>
      <c r="J6" s="7">
        <v>0.47916666666666669</v>
      </c>
      <c r="K6" s="8">
        <v>0.51597222222222217</v>
      </c>
      <c r="L6" s="7">
        <v>0.54166666666666663</v>
      </c>
      <c r="M6" s="8">
        <v>0.60277777777777775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44765</v>
      </c>
      <c r="B7" s="16" t="s">
        <v>375</v>
      </c>
      <c r="C7" s="6" t="s">
        <v>382</v>
      </c>
      <c r="D7" s="6" t="s">
        <v>385</v>
      </c>
      <c r="E7" s="6" t="s">
        <v>386</v>
      </c>
      <c r="F7" s="6" t="s">
        <v>383</v>
      </c>
      <c r="G7" s="6">
        <v>500</v>
      </c>
      <c r="H7" s="6" t="str">
        <f t="shared" si="0"/>
        <v>KALLITHEA</v>
      </c>
      <c r="I7" s="6" t="str">
        <f t="shared" si="0"/>
        <v>HA-GZP</v>
      </c>
      <c r="J7" s="7">
        <v>0.47916666666666669</v>
      </c>
      <c r="K7" s="8">
        <v>0.4916666666666667</v>
      </c>
      <c r="L7" s="7">
        <v>0.54166666666666696</v>
      </c>
      <c r="M7" s="8">
        <v>0.60069444444444442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44765</v>
      </c>
      <c r="B8" s="16" t="s">
        <v>376</v>
      </c>
      <c r="C8" s="6" t="s">
        <v>382</v>
      </c>
      <c r="D8" s="6" t="str">
        <f>D7</f>
        <v>KALLITHEA</v>
      </c>
      <c r="E8" s="6" t="s">
        <v>392</v>
      </c>
      <c r="F8" s="6" t="s">
        <v>383</v>
      </c>
      <c r="G8" s="6">
        <v>500</v>
      </c>
      <c r="H8" s="6" t="str">
        <f t="shared" si="0"/>
        <v>KALLITHEA</v>
      </c>
      <c r="I8" s="6" t="str">
        <f t="shared" si="0"/>
        <v>OM-M488</v>
      </c>
      <c r="J8" s="7">
        <v>0.47916666666666669</v>
      </c>
      <c r="K8" s="8">
        <v>0.51250000000000007</v>
      </c>
      <c r="L8" s="7">
        <v>0.54166666666666696</v>
      </c>
      <c r="M8" s="8">
        <v>0.6020833333333333</v>
      </c>
      <c r="N8" s="3">
        <v>0</v>
      </c>
      <c r="O8" s="3">
        <v>0</v>
      </c>
      <c r="P8" s="12">
        <v>0</v>
      </c>
      <c r="Q8" s="12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44765</v>
      </c>
      <c r="B9" s="16" t="s">
        <v>377</v>
      </c>
      <c r="C9" s="6" t="s">
        <v>382</v>
      </c>
      <c r="D9" s="6" t="str">
        <f>D12</f>
        <v>MTO SPORT</v>
      </c>
      <c r="E9" s="6" t="s">
        <v>397</v>
      </c>
      <c r="F9" s="6" t="s">
        <v>383</v>
      </c>
      <c r="G9" s="6">
        <v>450</v>
      </c>
      <c r="H9" s="6" t="str">
        <f t="shared" si="0"/>
        <v>MTO SPORT</v>
      </c>
      <c r="I9" s="6" t="str">
        <f t="shared" si="0"/>
        <v>D-MAPU</v>
      </c>
      <c r="J9" s="7">
        <v>0.47916666666666669</v>
      </c>
      <c r="K9" s="8">
        <v>0.51944444444444449</v>
      </c>
      <c r="L9" s="7">
        <v>0.54166666666666696</v>
      </c>
      <c r="M9" s="8">
        <v>0.60347222222222219</v>
      </c>
      <c r="N9" s="3">
        <v>0</v>
      </c>
      <c r="O9" s="3">
        <v>0</v>
      </c>
      <c r="P9" s="12">
        <v>0</v>
      </c>
      <c r="Q9" s="12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2">
        <v>44765</v>
      </c>
      <c r="B10" s="16" t="s">
        <v>376</v>
      </c>
      <c r="C10" s="6" t="s">
        <v>382</v>
      </c>
      <c r="D10" s="6" t="s">
        <v>385</v>
      </c>
      <c r="E10" s="6" t="s">
        <v>384</v>
      </c>
      <c r="F10" s="6" t="s">
        <v>383</v>
      </c>
      <c r="G10" s="6">
        <v>500</v>
      </c>
      <c r="H10" s="6" t="str">
        <f>D10</f>
        <v>KALLITHEA</v>
      </c>
      <c r="I10" s="6" t="str">
        <f>E10</f>
        <v>OM-M874</v>
      </c>
      <c r="J10" s="7">
        <v>0.47916666666666669</v>
      </c>
      <c r="K10" s="8">
        <v>0.51736111111111105</v>
      </c>
      <c r="L10" s="7">
        <v>0.54166666666666696</v>
      </c>
      <c r="M10" s="8">
        <v>0.60069444444444442</v>
      </c>
      <c r="N10" s="3">
        <v>0</v>
      </c>
      <c r="O10" s="3">
        <v>0</v>
      </c>
      <c r="P10" s="12">
        <v>0</v>
      </c>
      <c r="Q10" s="12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2">
        <v>44765</v>
      </c>
      <c r="B11" s="16" t="s">
        <v>378</v>
      </c>
      <c r="C11" s="6" t="s">
        <v>382</v>
      </c>
      <c r="D11" s="6" t="s">
        <v>393</v>
      </c>
      <c r="E11" s="6" t="s">
        <v>394</v>
      </c>
      <c r="F11" s="6" t="s">
        <v>383</v>
      </c>
      <c r="G11" s="6">
        <v>600</v>
      </c>
      <c r="H11" s="6" t="str">
        <f t="shared" si="0"/>
        <v>VL3</v>
      </c>
      <c r="I11" s="6" t="str">
        <f t="shared" si="0"/>
        <v>F-JVXJ</v>
      </c>
      <c r="J11" s="7">
        <v>0.47916666666666669</v>
      </c>
      <c r="K11" s="8">
        <v>0.49305555555555558</v>
      </c>
      <c r="L11" s="7">
        <v>0.54166666666666696</v>
      </c>
      <c r="M11" s="8">
        <v>0.60416666666666663</v>
      </c>
      <c r="N11" s="3">
        <v>0</v>
      </c>
      <c r="O11" s="3">
        <v>0</v>
      </c>
      <c r="P11" s="12">
        <v>0</v>
      </c>
      <c r="Q11" s="12">
        <v>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5">
      <c r="A12" s="2">
        <v>44765</v>
      </c>
      <c r="B12" s="16" t="s">
        <v>379</v>
      </c>
      <c r="C12" s="6" t="s">
        <v>382</v>
      </c>
      <c r="D12" s="6" t="str">
        <f>D14</f>
        <v>MTO SPORT</v>
      </c>
      <c r="E12" s="6" t="s">
        <v>389</v>
      </c>
      <c r="F12" s="6" t="s">
        <v>383</v>
      </c>
      <c r="G12" s="6">
        <v>450</v>
      </c>
      <c r="H12" s="6" t="str">
        <f t="shared" si="0"/>
        <v>MTO SPORT</v>
      </c>
      <c r="I12" s="6" t="str">
        <f t="shared" si="0"/>
        <v>HA-GYJ</v>
      </c>
      <c r="J12" s="7">
        <v>0.47916666666666669</v>
      </c>
      <c r="K12" s="8">
        <v>0.5131944444444444</v>
      </c>
      <c r="L12" s="7">
        <v>0.54166666666666696</v>
      </c>
      <c r="M12" s="8">
        <v>0.6020833333333333</v>
      </c>
      <c r="N12" s="3">
        <v>0</v>
      </c>
      <c r="O12" s="3">
        <v>0</v>
      </c>
      <c r="P12" s="12">
        <v>0</v>
      </c>
      <c r="Q12" s="12">
        <v>0</v>
      </c>
      <c r="R12" s="6">
        <v>0</v>
      </c>
      <c r="S12" s="6">
        <v>0</v>
      </c>
      <c r="T12" s="6">
        <v>0</v>
      </c>
      <c r="U12" s="6">
        <v>0</v>
      </c>
    </row>
    <row r="13" spans="1:21" x14ac:dyDescent="0.25">
      <c r="A13" s="2">
        <v>44765</v>
      </c>
      <c r="B13" s="17" t="s">
        <v>380</v>
      </c>
      <c r="C13" s="6" t="s">
        <v>382</v>
      </c>
      <c r="D13" s="6" t="s">
        <v>390</v>
      </c>
      <c r="E13" s="6" t="s">
        <v>391</v>
      </c>
      <c r="F13" s="6" t="s">
        <v>383</v>
      </c>
      <c r="G13" s="6">
        <v>450</v>
      </c>
      <c r="H13" s="6" t="str">
        <f t="shared" si="0"/>
        <v>STING S4</v>
      </c>
      <c r="I13" s="6" t="str">
        <f t="shared" si="0"/>
        <v>HA-UAL</v>
      </c>
      <c r="J13" s="7">
        <v>0.47916666666666669</v>
      </c>
      <c r="K13" s="8">
        <v>0.51388888888888895</v>
      </c>
      <c r="L13" s="7">
        <v>0.54166666666666696</v>
      </c>
      <c r="M13" s="8">
        <v>0.60277777777777775</v>
      </c>
      <c r="N13" s="3">
        <v>0</v>
      </c>
      <c r="O13" s="3">
        <v>0</v>
      </c>
      <c r="P13" s="12">
        <v>0</v>
      </c>
      <c r="Q13" s="12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2">
        <v>44765</v>
      </c>
      <c r="B14" s="16" t="s">
        <v>381</v>
      </c>
      <c r="C14" s="6" t="s">
        <v>382</v>
      </c>
      <c r="D14" s="6" t="s">
        <v>387</v>
      </c>
      <c r="E14" s="6" t="s">
        <v>388</v>
      </c>
      <c r="F14" s="6" t="s">
        <v>383</v>
      </c>
      <c r="G14" s="6">
        <v>450</v>
      </c>
      <c r="H14" s="6" t="str">
        <f t="shared" si="0"/>
        <v>MTO SPORT</v>
      </c>
      <c r="I14" s="6" t="str">
        <f t="shared" si="0"/>
        <v>HA-GYC</v>
      </c>
      <c r="J14" s="7">
        <v>0.47916666666666669</v>
      </c>
      <c r="K14" s="8">
        <v>0.51527777777777783</v>
      </c>
      <c r="L14" s="7">
        <v>0.54166666666666696</v>
      </c>
      <c r="M14" s="8">
        <v>0.60138888888888886</v>
      </c>
      <c r="N14" s="3">
        <v>0</v>
      </c>
      <c r="O14" s="3">
        <v>0</v>
      </c>
      <c r="P14" s="12">
        <v>0</v>
      </c>
      <c r="Q14" s="12">
        <v>0</v>
      </c>
      <c r="R14" s="6">
        <v>0</v>
      </c>
      <c r="S14" s="6">
        <v>0</v>
      </c>
      <c r="T14" s="6">
        <v>0</v>
      </c>
      <c r="U14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7"/>
  <sheetViews>
    <sheetView workbookViewId="0">
      <selection sqref="A1:XFD1048576"/>
    </sheetView>
  </sheetViews>
  <sheetFormatPr defaultRowHeight="12.75" x14ac:dyDescent="0.2"/>
  <cols>
    <col min="1" max="1" width="9.140625" style="6"/>
    <col min="2" max="2" width="12.28515625" style="6" customWidth="1"/>
    <col min="3" max="3" width="18.28515625" style="6" customWidth="1"/>
    <col min="4" max="5" width="9.140625" style="6"/>
    <col min="6" max="6" width="12.5703125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44766</v>
      </c>
      <c r="B2" s="3" t="s">
        <v>21</v>
      </c>
      <c r="C2" s="3" t="s">
        <v>75</v>
      </c>
      <c r="D2" s="3" t="s">
        <v>25</v>
      </c>
      <c r="E2" s="3" t="s">
        <v>402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0.48055555555555557</v>
      </c>
      <c r="L2" s="4">
        <v>0.25694444444444448</v>
      </c>
      <c r="M2" s="5">
        <v>0.3</v>
      </c>
      <c r="N2" s="3" t="s">
        <v>410</v>
      </c>
      <c r="O2" s="3" t="s">
        <v>303</v>
      </c>
      <c r="P2" s="3">
        <v>1333</v>
      </c>
      <c r="Q2" s="3">
        <v>1555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44766</v>
      </c>
      <c r="B3" s="3" t="s">
        <v>21</v>
      </c>
      <c r="C3" s="6" t="s">
        <v>103</v>
      </c>
      <c r="D3" s="3" t="s">
        <v>25</v>
      </c>
      <c r="E3" s="6" t="s">
        <v>44</v>
      </c>
      <c r="F3" s="3" t="s">
        <v>26</v>
      </c>
      <c r="G3" s="10">
        <v>70000</v>
      </c>
      <c r="H3" s="3" t="s">
        <v>95</v>
      </c>
      <c r="I3" s="6" t="s">
        <v>96</v>
      </c>
      <c r="J3" s="7">
        <v>0.43402777777777773</v>
      </c>
      <c r="K3" s="8">
        <v>0.43958333333333338</v>
      </c>
      <c r="L3" s="7">
        <v>0.28472222222222221</v>
      </c>
      <c r="M3" s="8">
        <v>0.30208333333333331</v>
      </c>
      <c r="N3" s="3" t="s">
        <v>117</v>
      </c>
      <c r="O3" s="3" t="s">
        <v>403</v>
      </c>
      <c r="P3" s="6">
        <v>1450</v>
      </c>
      <c r="Q3" s="6">
        <v>793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2">
        <v>44766</v>
      </c>
      <c r="B4" s="3" t="s">
        <v>21</v>
      </c>
      <c r="C4" s="6" t="s">
        <v>104</v>
      </c>
      <c r="D4" s="3" t="s">
        <v>25</v>
      </c>
      <c r="E4" s="3" t="s">
        <v>402</v>
      </c>
      <c r="F4" s="3" t="s">
        <v>26</v>
      </c>
      <c r="G4" s="10">
        <v>70000</v>
      </c>
      <c r="H4" s="6" t="s">
        <v>97</v>
      </c>
      <c r="I4" s="6" t="s">
        <v>98</v>
      </c>
      <c r="J4" s="7">
        <v>0.64583333333333337</v>
      </c>
      <c r="K4" s="8">
        <v>0.73541666666666661</v>
      </c>
      <c r="L4" s="7">
        <v>0.48958333333333331</v>
      </c>
      <c r="M4" s="8">
        <v>0.57986111111111105</v>
      </c>
      <c r="N4" s="3" t="s">
        <v>413</v>
      </c>
      <c r="O4" s="3" t="s">
        <v>287</v>
      </c>
      <c r="P4" s="6">
        <v>941</v>
      </c>
      <c r="Q4" s="6">
        <v>446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2">
        <v>44766</v>
      </c>
      <c r="B5" s="3" t="s">
        <v>21</v>
      </c>
      <c r="C5" s="6" t="s">
        <v>109</v>
      </c>
      <c r="D5" s="3" t="s">
        <v>25</v>
      </c>
      <c r="E5" s="3" t="s">
        <v>102</v>
      </c>
      <c r="F5" s="3" t="s">
        <v>26</v>
      </c>
      <c r="G5" s="10">
        <v>70000</v>
      </c>
      <c r="H5" s="6" t="s">
        <v>110</v>
      </c>
      <c r="I5" s="6" t="s">
        <v>111</v>
      </c>
      <c r="J5" s="7">
        <v>0.86805555555555547</v>
      </c>
      <c r="K5" s="8">
        <v>0.98958333333333337</v>
      </c>
      <c r="L5" s="7">
        <v>0.64930555555555558</v>
      </c>
      <c r="M5" s="8">
        <v>0.77986111111111101</v>
      </c>
      <c r="N5" s="6" t="s">
        <v>414</v>
      </c>
      <c r="O5" s="6" t="s">
        <v>412</v>
      </c>
      <c r="P5" s="6">
        <v>938</v>
      </c>
      <c r="Q5" s="6">
        <v>1206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44766</v>
      </c>
      <c r="B6" s="3" t="s">
        <v>21</v>
      </c>
      <c r="C6" s="6" t="s">
        <v>105</v>
      </c>
      <c r="D6" s="6" t="s">
        <v>25</v>
      </c>
      <c r="E6" s="3" t="s">
        <v>402</v>
      </c>
      <c r="F6" s="6" t="s">
        <v>26</v>
      </c>
      <c r="G6" s="10">
        <v>70000</v>
      </c>
      <c r="H6" s="6" t="s">
        <v>99</v>
      </c>
      <c r="I6" s="6" t="s">
        <v>100</v>
      </c>
      <c r="J6" s="7">
        <v>0.90277777777777779</v>
      </c>
      <c r="K6" s="8">
        <v>0.88888888888888884</v>
      </c>
      <c r="L6" s="7">
        <v>0.66666666666666663</v>
      </c>
      <c r="M6" s="8">
        <v>0.67013888888888884</v>
      </c>
      <c r="N6" s="6" t="s">
        <v>415</v>
      </c>
      <c r="O6" s="6" t="s">
        <v>411</v>
      </c>
      <c r="P6" s="6">
        <v>1398</v>
      </c>
      <c r="Q6" s="6">
        <v>1467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44766</v>
      </c>
      <c r="B7" s="3" t="s">
        <v>404</v>
      </c>
      <c r="C7" s="6" t="s">
        <v>405</v>
      </c>
      <c r="D7" s="3" t="s">
        <v>406</v>
      </c>
      <c r="E7" s="3" t="s">
        <v>407</v>
      </c>
      <c r="F7" s="3" t="s">
        <v>408</v>
      </c>
      <c r="G7" s="10">
        <v>4000</v>
      </c>
      <c r="H7" s="6" t="s">
        <v>409</v>
      </c>
      <c r="I7" s="6" t="s">
        <v>409</v>
      </c>
      <c r="J7" s="8">
        <v>0.45833333333333331</v>
      </c>
      <c r="K7" s="8">
        <v>0.45624999999999999</v>
      </c>
      <c r="L7" s="8">
        <v>0.47916666666666669</v>
      </c>
      <c r="M7" s="8">
        <v>0.47638888888888892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10"/>
  <sheetViews>
    <sheetView topLeftCell="D1" workbookViewId="0">
      <selection activeCell="R1" sqref="R1:U1"/>
    </sheetView>
  </sheetViews>
  <sheetFormatPr defaultRowHeight="15" x14ac:dyDescent="0.25"/>
  <cols>
    <col min="1" max="1" width="10.140625" bestFit="1" customWidth="1"/>
    <col min="2" max="2" width="20" customWidth="1"/>
    <col min="3" max="3" width="13.42578125" bestFit="1" customWidth="1"/>
    <col min="6" max="6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44767</v>
      </c>
      <c r="B2" s="3" t="s">
        <v>21</v>
      </c>
      <c r="C2" s="3" t="s">
        <v>22</v>
      </c>
      <c r="D2" s="3" t="s">
        <v>25</v>
      </c>
      <c r="E2" s="3" t="s">
        <v>102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0.43263888888888885</v>
      </c>
      <c r="L2" s="4">
        <v>0.25694444444444448</v>
      </c>
      <c r="M2" s="5">
        <v>0.27569444444444446</v>
      </c>
      <c r="N2" s="3" t="s">
        <v>418</v>
      </c>
      <c r="O2" s="3" t="s">
        <v>164</v>
      </c>
      <c r="P2" s="3">
        <v>1025</v>
      </c>
      <c r="Q2" s="3">
        <v>709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44767</v>
      </c>
      <c r="B3" s="3" t="s">
        <v>21</v>
      </c>
      <c r="C3" s="3" t="s">
        <v>23</v>
      </c>
      <c r="D3" s="3" t="s">
        <v>25</v>
      </c>
      <c r="E3" s="3" t="s">
        <v>402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0.50486111111111109</v>
      </c>
      <c r="L3" s="4">
        <v>0.28125</v>
      </c>
      <c r="M3" s="5">
        <v>0.28958333333333336</v>
      </c>
      <c r="N3" s="3" t="s">
        <v>419</v>
      </c>
      <c r="O3" s="3" t="s">
        <v>416</v>
      </c>
      <c r="P3" s="3">
        <v>1070</v>
      </c>
      <c r="Q3" s="3">
        <v>1388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44767</v>
      </c>
      <c r="B4" s="3" t="s">
        <v>21</v>
      </c>
      <c r="C4" s="3" t="s">
        <v>24</v>
      </c>
      <c r="D4" s="3" t="s">
        <v>25</v>
      </c>
      <c r="E4" s="3" t="s">
        <v>102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0.59930555555555554</v>
      </c>
      <c r="L4" s="4">
        <v>0.46180555555555558</v>
      </c>
      <c r="M4" s="5">
        <v>0.4680555555555555</v>
      </c>
      <c r="N4" s="3" t="s">
        <v>424</v>
      </c>
      <c r="O4" s="3" t="s">
        <v>417</v>
      </c>
      <c r="P4" s="3">
        <v>1015</v>
      </c>
      <c r="Q4" s="3">
        <v>470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44767</v>
      </c>
      <c r="B5" s="3" t="s">
        <v>21</v>
      </c>
      <c r="C5" s="3" t="s">
        <v>39</v>
      </c>
      <c r="D5" s="3" t="s">
        <v>25</v>
      </c>
      <c r="E5" s="3" t="s">
        <v>402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0.76180555555555562</v>
      </c>
      <c r="L5" s="4">
        <v>0.54166666666666663</v>
      </c>
      <c r="M5" s="5">
        <v>0.55694444444444446</v>
      </c>
      <c r="N5" s="3" t="s">
        <v>292</v>
      </c>
      <c r="O5" s="3" t="s">
        <v>420</v>
      </c>
      <c r="P5" s="3">
        <v>1119</v>
      </c>
      <c r="Q5" s="3">
        <v>1358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44767</v>
      </c>
      <c r="B6" s="3" t="s">
        <v>21</v>
      </c>
      <c r="C6" s="6" t="s">
        <v>52</v>
      </c>
      <c r="D6" s="3" t="s">
        <v>25</v>
      </c>
      <c r="E6" s="3" t="s">
        <v>102</v>
      </c>
      <c r="F6" s="1" t="s">
        <v>26</v>
      </c>
      <c r="G6" s="3">
        <v>70000</v>
      </c>
      <c r="H6" s="6" t="s">
        <v>55</v>
      </c>
      <c r="I6" s="6" t="s">
        <v>58</v>
      </c>
      <c r="J6" s="7">
        <v>0.75694444444444453</v>
      </c>
      <c r="K6" s="8">
        <v>0.75763888888888886</v>
      </c>
      <c r="L6" s="7">
        <v>0.64236111111111105</v>
      </c>
      <c r="M6" s="8">
        <v>0.64097222222222217</v>
      </c>
      <c r="N6" s="3" t="s">
        <v>426</v>
      </c>
      <c r="O6" s="3" t="s">
        <v>221</v>
      </c>
      <c r="P6" s="6">
        <v>1007</v>
      </c>
      <c r="Q6" s="6">
        <v>772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44767</v>
      </c>
      <c r="B7" s="3" t="s">
        <v>21</v>
      </c>
      <c r="C7" s="6" t="s">
        <v>53</v>
      </c>
      <c r="D7" s="3" t="s">
        <v>25</v>
      </c>
      <c r="E7" s="3" t="s">
        <v>427</v>
      </c>
      <c r="F7" s="1" t="s">
        <v>26</v>
      </c>
      <c r="G7" s="3">
        <v>70000</v>
      </c>
      <c r="H7" s="6" t="s">
        <v>56</v>
      </c>
      <c r="I7" s="6" t="s">
        <v>59</v>
      </c>
      <c r="J7" s="7">
        <v>0.96180555555555547</v>
      </c>
      <c r="K7" s="8">
        <v>1.5277777777777777E-2</v>
      </c>
      <c r="L7" s="7">
        <v>0.77777777777777779</v>
      </c>
      <c r="M7" s="8">
        <v>0.82152777777777775</v>
      </c>
      <c r="N7" s="3" t="s">
        <v>428</v>
      </c>
      <c r="O7" s="3" t="s">
        <v>73</v>
      </c>
      <c r="P7" s="6">
        <v>648</v>
      </c>
      <c r="Q7" s="6">
        <v>617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44767</v>
      </c>
      <c r="B8" s="3" t="s">
        <v>21</v>
      </c>
      <c r="C8" s="6" t="s">
        <v>54</v>
      </c>
      <c r="D8" s="3" t="s">
        <v>25</v>
      </c>
      <c r="E8" s="3" t="s">
        <v>44</v>
      </c>
      <c r="F8" s="1" t="s">
        <v>26</v>
      </c>
      <c r="G8" s="3">
        <v>70000</v>
      </c>
      <c r="H8" s="6" t="s">
        <v>57</v>
      </c>
      <c r="I8" s="6" t="s">
        <v>60</v>
      </c>
      <c r="J8" s="7">
        <v>0.97569444444444453</v>
      </c>
      <c r="K8" s="8">
        <v>0.97083333333333333</v>
      </c>
      <c r="L8" s="7">
        <v>0.77777777777777779</v>
      </c>
      <c r="M8" s="8">
        <v>0.80069444444444438</v>
      </c>
      <c r="N8" s="3" t="s">
        <v>263</v>
      </c>
      <c r="O8" s="3" t="s">
        <v>118</v>
      </c>
      <c r="P8" s="6">
        <v>1128</v>
      </c>
      <c r="Q8" s="6">
        <v>704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44767</v>
      </c>
      <c r="B9" s="3" t="s">
        <v>421</v>
      </c>
      <c r="C9" s="6" t="s">
        <v>422</v>
      </c>
      <c r="D9" s="3" t="s">
        <v>423</v>
      </c>
      <c r="E9" s="3" t="s">
        <v>67</v>
      </c>
      <c r="F9" s="19" t="s">
        <v>132</v>
      </c>
      <c r="G9" s="3">
        <v>1300</v>
      </c>
      <c r="J9" s="18">
        <v>0.5</v>
      </c>
      <c r="K9" s="18">
        <v>0.5131944444444444</v>
      </c>
      <c r="L9" s="18">
        <v>0.58333333333333337</v>
      </c>
      <c r="M9" s="18">
        <v>0.57013888888888886</v>
      </c>
      <c r="N9">
        <v>1</v>
      </c>
      <c r="O9">
        <v>1</v>
      </c>
    </row>
    <row r="10" spans="1:21" x14ac:dyDescent="0.25">
      <c r="A10" s="2">
        <v>44767</v>
      </c>
      <c r="B10" s="3" t="s">
        <v>421</v>
      </c>
      <c r="C10" s="6" t="s">
        <v>425</v>
      </c>
      <c r="D10" s="3" t="s">
        <v>423</v>
      </c>
      <c r="E10" s="3" t="s">
        <v>67</v>
      </c>
      <c r="F10" s="19" t="s">
        <v>132</v>
      </c>
      <c r="G10" s="3">
        <v>1300</v>
      </c>
      <c r="H10" s="6" t="s">
        <v>409</v>
      </c>
      <c r="I10" s="6" t="s">
        <v>409</v>
      </c>
      <c r="J10" s="18">
        <v>0.625</v>
      </c>
      <c r="K10" s="18">
        <v>0.63750000000000007</v>
      </c>
      <c r="L10" s="18">
        <v>0.66666666666666663</v>
      </c>
      <c r="M10" s="18">
        <v>0.66736111111111107</v>
      </c>
      <c r="N10">
        <v>1</v>
      </c>
      <c r="O10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9"/>
  <sheetViews>
    <sheetView tabSelected="1" workbookViewId="0">
      <selection activeCell="E12" sqref="E12"/>
    </sheetView>
  </sheetViews>
  <sheetFormatPr defaultRowHeight="15" x14ac:dyDescent="0.25"/>
  <cols>
    <col min="1" max="1" width="11" bestFit="1" customWidth="1"/>
    <col min="2" max="2" width="19" customWidth="1"/>
    <col min="3" max="3" width="13.42578125" customWidth="1"/>
    <col min="5" max="6" width="12" customWidth="1"/>
    <col min="7" max="7" width="9.42578125" bestFit="1" customWidth="1"/>
    <col min="10" max="10" width="9.42578125" bestFit="1" customWidth="1"/>
    <col min="12" max="12" width="9.42578125" bestFit="1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A2" s="2">
        <v>44768</v>
      </c>
      <c r="B2" s="3" t="s">
        <v>21</v>
      </c>
      <c r="C2" s="3" t="s">
        <v>76</v>
      </c>
      <c r="D2" s="3" t="s">
        <v>25</v>
      </c>
      <c r="E2" s="3" t="s">
        <v>427</v>
      </c>
      <c r="F2" s="1" t="s">
        <v>26</v>
      </c>
      <c r="G2" s="3">
        <v>70000</v>
      </c>
      <c r="H2" s="3" t="s">
        <v>79</v>
      </c>
      <c r="I2" s="3" t="s">
        <v>82</v>
      </c>
      <c r="J2" s="4">
        <v>0.47222222222222227</v>
      </c>
      <c r="K2" s="5">
        <v>0.47638888888888892</v>
      </c>
      <c r="L2" s="4">
        <v>0.28125</v>
      </c>
      <c r="M2" s="5">
        <v>0.30277777777777776</v>
      </c>
      <c r="N2" s="3" t="s">
        <v>439</v>
      </c>
      <c r="O2" s="3" t="s">
        <v>144</v>
      </c>
      <c r="P2" s="3">
        <v>1331</v>
      </c>
      <c r="Q2" s="3">
        <v>987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44768</v>
      </c>
      <c r="B3" s="3" t="s">
        <v>21</v>
      </c>
      <c r="C3" s="3" t="s">
        <v>77</v>
      </c>
      <c r="D3" s="3" t="s">
        <v>25</v>
      </c>
      <c r="E3" s="3" t="s">
        <v>44</v>
      </c>
      <c r="F3" s="1" t="s">
        <v>26</v>
      </c>
      <c r="G3" s="3">
        <v>70000</v>
      </c>
      <c r="H3" s="3" t="s">
        <v>80</v>
      </c>
      <c r="I3" s="3" t="s">
        <v>83</v>
      </c>
      <c r="J3" s="4">
        <v>0.82986111111111116</v>
      </c>
      <c r="K3" s="5">
        <v>0.83958333333333324</v>
      </c>
      <c r="L3" s="4">
        <v>0.40972222222222227</v>
      </c>
      <c r="M3" s="5">
        <v>0.42430555555555555</v>
      </c>
      <c r="N3" s="3" t="s">
        <v>442</v>
      </c>
      <c r="O3" s="3" t="s">
        <v>438</v>
      </c>
      <c r="P3" s="3">
        <v>1385</v>
      </c>
      <c r="Q3" s="3">
        <v>952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44768</v>
      </c>
      <c r="B4" s="3" t="s">
        <v>21</v>
      </c>
      <c r="C4" s="3" t="s">
        <v>150</v>
      </c>
      <c r="D4" s="3" t="s">
        <v>25</v>
      </c>
      <c r="E4" s="3" t="s">
        <v>427</v>
      </c>
      <c r="F4" s="1" t="s">
        <v>26</v>
      </c>
      <c r="G4" s="3">
        <v>70000</v>
      </c>
      <c r="H4" s="3" t="s">
        <v>151</v>
      </c>
      <c r="I4" s="3" t="s">
        <v>152</v>
      </c>
      <c r="J4" s="4">
        <v>0.91319444444444453</v>
      </c>
      <c r="K4" s="5">
        <v>0.92013888888888884</v>
      </c>
      <c r="L4" s="4">
        <v>0.50347222222222221</v>
      </c>
      <c r="M4" s="5">
        <v>0.52916666666666667</v>
      </c>
      <c r="N4" s="3" t="s">
        <v>443</v>
      </c>
      <c r="O4" s="3" t="s">
        <v>440</v>
      </c>
      <c r="P4" s="3">
        <v>937</v>
      </c>
      <c r="Q4" s="3">
        <v>528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44768</v>
      </c>
      <c r="B5" s="3" t="s">
        <v>33</v>
      </c>
      <c r="C5" s="3" t="s">
        <v>34</v>
      </c>
      <c r="D5" s="3" t="s">
        <v>25</v>
      </c>
      <c r="E5" s="3" t="s">
        <v>429</v>
      </c>
      <c r="F5" s="1" t="s">
        <v>36</v>
      </c>
      <c r="G5" s="10">
        <v>77000</v>
      </c>
      <c r="H5" s="3" t="s">
        <v>37</v>
      </c>
      <c r="I5" s="3" t="s">
        <v>38</v>
      </c>
      <c r="J5" s="4">
        <v>0.3298611111111111</v>
      </c>
      <c r="K5" s="5">
        <v>0.32916666666666666</v>
      </c>
      <c r="L5" s="4">
        <v>0.37152777777777773</v>
      </c>
      <c r="M5" s="5">
        <v>0.37361111111111112</v>
      </c>
      <c r="N5" s="3" t="s">
        <v>430</v>
      </c>
      <c r="O5" s="3" t="s">
        <v>437</v>
      </c>
      <c r="P5" s="3">
        <v>2097</v>
      </c>
      <c r="Q5" s="3">
        <v>2091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44768</v>
      </c>
      <c r="B6" s="3" t="s">
        <v>431</v>
      </c>
      <c r="C6" s="3" t="s">
        <v>432</v>
      </c>
      <c r="D6" s="3" t="s">
        <v>433</v>
      </c>
      <c r="E6" s="3" t="s">
        <v>434</v>
      </c>
      <c r="F6" s="19" t="s">
        <v>435</v>
      </c>
      <c r="G6" s="3">
        <v>11000</v>
      </c>
      <c r="H6" s="3" t="s">
        <v>436</v>
      </c>
      <c r="I6" s="3" t="s">
        <v>436</v>
      </c>
      <c r="J6" s="4">
        <v>0.52083333333333337</v>
      </c>
      <c r="K6" s="5">
        <v>0.54166666666666663</v>
      </c>
      <c r="L6" s="4">
        <v>0.58333333333333337</v>
      </c>
      <c r="M6" s="5">
        <v>0.63472222222222219</v>
      </c>
      <c r="N6" s="3">
        <v>0</v>
      </c>
      <c r="O6" s="3" t="s">
        <v>441</v>
      </c>
      <c r="P6" s="3" t="s">
        <v>67</v>
      </c>
      <c r="Q6" s="3" t="s">
        <v>67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8"/>
  <sheetViews>
    <sheetView workbookViewId="0">
      <selection activeCell="B8" sqref="B8:U8"/>
    </sheetView>
  </sheetViews>
  <sheetFormatPr defaultRowHeight="15" x14ac:dyDescent="0.25"/>
  <cols>
    <col min="2" max="2" width="12.85546875" bestFit="1" customWidth="1"/>
    <col min="3" max="3" width="14.140625" customWidth="1"/>
    <col min="4" max="4" width="12.42578125" bestFit="1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44769</v>
      </c>
      <c r="B2" s="3" t="s">
        <v>21</v>
      </c>
      <c r="C2" s="3" t="s">
        <v>22</v>
      </c>
      <c r="D2" s="3" t="s">
        <v>25</v>
      </c>
      <c r="E2" s="3" t="s">
        <v>427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0.42777777777777781</v>
      </c>
      <c r="L2" s="4">
        <v>0.25694444444444448</v>
      </c>
      <c r="M2" s="5">
        <v>0.26180555555555557</v>
      </c>
      <c r="N2" s="3" t="s">
        <v>358</v>
      </c>
      <c r="O2" s="3" t="s">
        <v>444</v>
      </c>
      <c r="P2" s="3">
        <v>591</v>
      </c>
      <c r="Q2" s="3">
        <v>822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44769</v>
      </c>
      <c r="B3" s="3" t="s">
        <v>21</v>
      </c>
      <c r="C3" s="3" t="s">
        <v>24</v>
      </c>
      <c r="D3" s="3" t="s">
        <v>25</v>
      </c>
      <c r="E3" s="3" t="str">
        <f>E2</f>
        <v>HA-LYE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0.60069444444444442</v>
      </c>
      <c r="L3" s="4">
        <v>0.4513888888888889</v>
      </c>
      <c r="M3" s="5">
        <v>0.47013888888888888</v>
      </c>
      <c r="N3" s="3" t="s">
        <v>451</v>
      </c>
      <c r="O3" s="3" t="s">
        <v>445</v>
      </c>
      <c r="P3" s="3">
        <v>731</v>
      </c>
      <c r="Q3" s="3">
        <v>960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44769</v>
      </c>
      <c r="B4" s="3" t="s">
        <v>21</v>
      </c>
      <c r="C4" s="3" t="s">
        <v>104</v>
      </c>
      <c r="D4" s="3" t="s">
        <v>25</v>
      </c>
      <c r="E4" s="6" t="s">
        <v>137</v>
      </c>
      <c r="F4" s="1" t="s">
        <v>26</v>
      </c>
      <c r="G4" s="3">
        <v>70000</v>
      </c>
      <c r="H4" s="3" t="s">
        <v>97</v>
      </c>
      <c r="I4" s="3" t="s">
        <v>98</v>
      </c>
      <c r="J4" s="4">
        <v>0.69791666666666663</v>
      </c>
      <c r="K4" s="5">
        <v>0.71180555555555547</v>
      </c>
      <c r="L4" s="4">
        <v>0.54166666666666663</v>
      </c>
      <c r="M4" s="5">
        <v>0.5708333333333333</v>
      </c>
      <c r="N4" s="3" t="s">
        <v>147</v>
      </c>
      <c r="O4" s="3" t="s">
        <v>450</v>
      </c>
      <c r="P4" s="3">
        <v>621</v>
      </c>
      <c r="Q4" s="3">
        <v>256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44769</v>
      </c>
      <c r="B5" s="3" t="s">
        <v>21</v>
      </c>
      <c r="C5" s="3" t="s">
        <v>52</v>
      </c>
      <c r="D5" s="3" t="s">
        <v>25</v>
      </c>
      <c r="E5" s="3" t="str">
        <f>E3</f>
        <v>HA-LYE</v>
      </c>
      <c r="F5" s="1" t="s">
        <v>26</v>
      </c>
      <c r="G5" s="3">
        <v>70000</v>
      </c>
      <c r="H5" s="3" t="s">
        <v>55</v>
      </c>
      <c r="I5" s="3" t="s">
        <v>58</v>
      </c>
      <c r="J5" s="4">
        <v>0.74652777777777779</v>
      </c>
      <c r="K5" s="5">
        <v>0.74444444444444446</v>
      </c>
      <c r="L5" s="4">
        <v>0.63194444444444442</v>
      </c>
      <c r="M5" s="5">
        <v>0.63541666666666663</v>
      </c>
      <c r="N5" s="3" t="s">
        <v>453</v>
      </c>
      <c r="O5" s="3" t="s">
        <v>452</v>
      </c>
      <c r="P5" s="3">
        <v>650</v>
      </c>
      <c r="Q5" s="3">
        <v>419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44769</v>
      </c>
      <c r="B6" s="3" t="s">
        <v>21</v>
      </c>
      <c r="C6" s="3" t="s">
        <v>53</v>
      </c>
      <c r="D6" s="3" t="s">
        <v>25</v>
      </c>
      <c r="E6" s="3" t="s">
        <v>137</v>
      </c>
      <c r="F6" s="1" t="s">
        <v>26</v>
      </c>
      <c r="G6" s="3">
        <v>70000</v>
      </c>
      <c r="H6" s="3" t="s">
        <v>56</v>
      </c>
      <c r="I6" s="3" t="s">
        <v>59</v>
      </c>
      <c r="J6" s="4">
        <v>0.90277777777777779</v>
      </c>
      <c r="K6" s="5">
        <v>0.91527777777777775</v>
      </c>
      <c r="L6" s="4">
        <v>0.71875</v>
      </c>
      <c r="M6" s="5">
        <v>0.74722222222222223</v>
      </c>
      <c r="N6" s="3" t="s">
        <v>444</v>
      </c>
      <c r="O6" s="3" t="s">
        <v>454</v>
      </c>
      <c r="P6" s="3">
        <v>1434</v>
      </c>
      <c r="Q6" s="3">
        <v>474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44769</v>
      </c>
      <c r="B7" s="3" t="s">
        <v>21</v>
      </c>
      <c r="C7" s="3" t="s">
        <v>54</v>
      </c>
      <c r="D7" s="3" t="s">
        <v>25</v>
      </c>
      <c r="E7" s="3" t="str">
        <f>E5</f>
        <v>HA-LYE</v>
      </c>
      <c r="F7" s="1" t="s">
        <v>26</v>
      </c>
      <c r="G7" s="3">
        <v>70000</v>
      </c>
      <c r="H7" s="3" t="s">
        <v>57</v>
      </c>
      <c r="I7" s="3" t="s">
        <v>60</v>
      </c>
      <c r="J7" s="4">
        <v>0.9375</v>
      </c>
      <c r="K7" s="5">
        <v>0.9555555555555556</v>
      </c>
      <c r="L7" s="4">
        <v>0.76736111111111116</v>
      </c>
      <c r="M7" s="5">
        <v>0.79375000000000007</v>
      </c>
      <c r="N7" s="3" t="s">
        <v>455</v>
      </c>
      <c r="O7" s="3" t="s">
        <v>358</v>
      </c>
      <c r="P7" s="3">
        <v>1499</v>
      </c>
      <c r="Q7" s="3">
        <v>625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>
        <v>44769</v>
      </c>
      <c r="B8" s="3" t="s">
        <v>446</v>
      </c>
      <c r="C8" s="6" t="s">
        <v>447</v>
      </c>
      <c r="D8" s="6" t="s">
        <v>448</v>
      </c>
      <c r="E8" s="6" t="s">
        <v>449</v>
      </c>
      <c r="F8" s="6" t="s">
        <v>343</v>
      </c>
      <c r="G8" s="6">
        <v>473</v>
      </c>
      <c r="H8" s="6" t="str">
        <f>E8</f>
        <v>S5-PEG</v>
      </c>
      <c r="I8" s="6" t="s">
        <v>67</v>
      </c>
      <c r="J8" s="7">
        <v>0.5</v>
      </c>
      <c r="K8" s="8">
        <v>0.50277777777777777</v>
      </c>
      <c r="L8" s="20" t="s">
        <v>70</v>
      </c>
      <c r="M8" s="6" t="s">
        <v>67</v>
      </c>
      <c r="N8" s="6">
        <v>0</v>
      </c>
      <c r="O8" s="6" t="s">
        <v>67</v>
      </c>
      <c r="P8" s="6">
        <v>0</v>
      </c>
      <c r="Q8" s="6" t="s">
        <v>67</v>
      </c>
      <c r="R8" s="6">
        <v>0</v>
      </c>
      <c r="S8" s="6" t="s">
        <v>67</v>
      </c>
      <c r="T8" s="6">
        <v>0</v>
      </c>
      <c r="U8" s="6" t="s">
        <v>67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8"/>
  <sheetViews>
    <sheetView workbookViewId="0">
      <selection activeCell="P15" sqref="P15"/>
    </sheetView>
  </sheetViews>
  <sheetFormatPr defaultRowHeight="15" x14ac:dyDescent="0.25"/>
  <cols>
    <col min="1" max="1" width="10.140625" bestFit="1" customWidth="1"/>
    <col min="2" max="2" width="16.42578125" bestFit="1" customWidth="1"/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44770</v>
      </c>
      <c r="B2" s="3" t="s">
        <v>21</v>
      </c>
      <c r="C2" s="3" t="s">
        <v>75</v>
      </c>
      <c r="D2" s="3" t="s">
        <v>25</v>
      </c>
      <c r="E2" s="3" t="s">
        <v>427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0.45208333333333334</v>
      </c>
      <c r="L2" s="4">
        <v>0.25694444444444448</v>
      </c>
      <c r="M2" s="5">
        <v>0.27083333333333331</v>
      </c>
      <c r="N2" s="3" t="s">
        <v>428</v>
      </c>
      <c r="O2" s="3" t="s">
        <v>303</v>
      </c>
      <c r="P2" s="3">
        <v>1151</v>
      </c>
      <c r="Q2" s="3">
        <v>2053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44770</v>
      </c>
      <c r="B3" s="3" t="s">
        <v>21</v>
      </c>
      <c r="C3" s="3" t="s">
        <v>103</v>
      </c>
      <c r="D3" s="3" t="s">
        <v>25</v>
      </c>
      <c r="E3" s="3" t="s">
        <v>44</v>
      </c>
      <c r="F3" s="3" t="s">
        <v>26</v>
      </c>
      <c r="G3" s="10">
        <v>70000</v>
      </c>
      <c r="H3" s="3" t="s">
        <v>95</v>
      </c>
      <c r="I3" s="3" t="s">
        <v>96</v>
      </c>
      <c r="J3" s="4">
        <v>0.43402777777777773</v>
      </c>
      <c r="K3" s="5">
        <v>0.42569444444444443</v>
      </c>
      <c r="L3" s="4">
        <v>0.28472222222222221</v>
      </c>
      <c r="M3" s="5">
        <v>0.2951388888888889</v>
      </c>
      <c r="N3" s="3" t="s">
        <v>457</v>
      </c>
      <c r="O3" s="3" t="s">
        <v>456</v>
      </c>
      <c r="P3" s="3">
        <v>1026</v>
      </c>
      <c r="Q3" s="3">
        <v>501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44770</v>
      </c>
      <c r="B4" s="3" t="s">
        <v>21</v>
      </c>
      <c r="C4" s="3" t="s">
        <v>77</v>
      </c>
      <c r="D4" s="3" t="s">
        <v>25</v>
      </c>
      <c r="E4" s="3" t="str">
        <f>E2</f>
        <v>HA-LYE</v>
      </c>
      <c r="F4" s="3" t="s">
        <v>26</v>
      </c>
      <c r="G4" s="10">
        <v>70000</v>
      </c>
      <c r="H4" s="3" t="s">
        <v>80</v>
      </c>
      <c r="I4" s="3" t="s">
        <v>83</v>
      </c>
      <c r="J4" s="4">
        <v>0.67708333333333337</v>
      </c>
      <c r="K4" s="5">
        <v>0.68680555555555556</v>
      </c>
      <c r="L4" s="4">
        <v>0.48958333333333331</v>
      </c>
      <c r="M4" s="5">
        <v>0.50694444444444442</v>
      </c>
      <c r="N4" s="3" t="s">
        <v>459</v>
      </c>
      <c r="O4" s="3" t="s">
        <v>117</v>
      </c>
      <c r="P4" s="3">
        <v>891</v>
      </c>
      <c r="Q4" s="3">
        <v>1101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44770</v>
      </c>
      <c r="B5" s="3" t="s">
        <v>21</v>
      </c>
      <c r="C5" s="3" t="s">
        <v>109</v>
      </c>
      <c r="D5" s="3" t="s">
        <v>25</v>
      </c>
      <c r="E5" s="3" t="s">
        <v>44</v>
      </c>
      <c r="F5" s="3" t="s">
        <v>26</v>
      </c>
      <c r="G5" s="10">
        <v>70000</v>
      </c>
      <c r="H5" s="3" t="s">
        <v>110</v>
      </c>
      <c r="I5" s="3" t="s">
        <v>111</v>
      </c>
      <c r="J5" s="4">
        <v>0.86805555555555547</v>
      </c>
      <c r="K5" s="5">
        <v>0.8569444444444444</v>
      </c>
      <c r="L5" s="4">
        <v>0.64930555555555558</v>
      </c>
      <c r="M5" s="5">
        <v>0.65</v>
      </c>
      <c r="N5" s="3" t="s">
        <v>460</v>
      </c>
      <c r="O5" s="3" t="s">
        <v>458</v>
      </c>
      <c r="P5" s="3">
        <v>526</v>
      </c>
      <c r="Q5" s="3">
        <v>1391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/>
      <c r="J6" s="4"/>
      <c r="K6" s="5"/>
      <c r="L6" s="4"/>
      <c r="M6" s="5"/>
    </row>
    <row r="7" spans="1:21" s="6" customFormat="1" ht="12.75" x14ac:dyDescent="0.2">
      <c r="A7" s="2"/>
      <c r="B7" s="3"/>
      <c r="C7" s="3"/>
      <c r="D7" s="3"/>
      <c r="E7" s="3"/>
      <c r="F7" s="3"/>
      <c r="G7" s="10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2"/>
  <sheetViews>
    <sheetView topLeftCell="F1" workbookViewId="0">
      <selection activeCell="B8" sqref="B8:U8"/>
    </sheetView>
  </sheetViews>
  <sheetFormatPr defaultRowHeight="12.75" x14ac:dyDescent="0.2"/>
  <cols>
    <col min="1" max="1" width="9.140625" style="6"/>
    <col min="2" max="2" width="18.85546875" style="6" customWidth="1"/>
    <col min="3" max="3" width="15.85546875" style="6" customWidth="1"/>
    <col min="4" max="4" width="14.7109375" style="6" customWidth="1"/>
    <col min="5" max="5" width="10.140625" style="6" customWidth="1"/>
    <col min="6" max="6" width="15.140625" style="6" customWidth="1"/>
    <col min="7" max="10" width="9.140625" style="6"/>
    <col min="11" max="11" width="13.5703125" style="6" bestFit="1" customWidth="1"/>
    <col min="12" max="13" width="9.140625" style="6"/>
    <col min="14" max="14" width="18.42578125" style="6" bestFit="1" customWidth="1"/>
    <col min="15" max="15" width="10" style="6" customWidth="1"/>
    <col min="16" max="16" width="13.5703125" style="6" bestFit="1" customWidth="1"/>
    <col min="1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44771</v>
      </c>
      <c r="B2" s="3" t="s">
        <v>21</v>
      </c>
      <c r="C2" s="3" t="s">
        <v>22</v>
      </c>
      <c r="D2" s="3" t="s">
        <v>25</v>
      </c>
      <c r="E2" s="3" t="s">
        <v>44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0.45902777777777781</v>
      </c>
      <c r="L2" s="4">
        <v>0.25694444444444448</v>
      </c>
      <c r="M2" s="5">
        <v>0.27499999999999997</v>
      </c>
      <c r="N2" s="3" t="s">
        <v>468</v>
      </c>
      <c r="O2" s="3" t="s">
        <v>129</v>
      </c>
      <c r="P2" s="3">
        <v>880</v>
      </c>
      <c r="Q2" s="3">
        <v>1004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44771</v>
      </c>
      <c r="B3" s="3" t="s">
        <v>21</v>
      </c>
      <c r="C3" s="3" t="s">
        <v>23</v>
      </c>
      <c r="D3" s="3" t="s">
        <v>25</v>
      </c>
      <c r="E3" s="3" t="s">
        <v>427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0.52847222222222223</v>
      </c>
      <c r="L3" s="4">
        <v>0.28125</v>
      </c>
      <c r="M3" s="5">
        <v>0.31180555555555556</v>
      </c>
      <c r="N3" s="3" t="s">
        <v>400</v>
      </c>
      <c r="O3" s="3" t="s">
        <v>467</v>
      </c>
      <c r="P3" s="3">
        <v>1203</v>
      </c>
      <c r="Q3" s="3">
        <v>1847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44771</v>
      </c>
      <c r="B4" s="3" t="s">
        <v>21</v>
      </c>
      <c r="C4" s="3" t="s">
        <v>24</v>
      </c>
      <c r="D4" s="3" t="s">
        <v>25</v>
      </c>
      <c r="E4" s="3" t="s">
        <v>44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0.65625</v>
      </c>
      <c r="L4" s="4">
        <v>0.46180555555555558</v>
      </c>
      <c r="M4" s="5">
        <v>0.52222222222222225</v>
      </c>
      <c r="N4" s="3" t="s">
        <v>472</v>
      </c>
      <c r="O4" s="3" t="s">
        <v>469</v>
      </c>
      <c r="P4" s="3">
        <v>998</v>
      </c>
      <c r="Q4" s="3">
        <v>922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44771</v>
      </c>
      <c r="B5" s="3" t="s">
        <v>21</v>
      </c>
      <c r="C5" s="3" t="s">
        <v>39</v>
      </c>
      <c r="D5" s="3" t="s">
        <v>25</v>
      </c>
      <c r="E5" s="3" t="s">
        <v>427</v>
      </c>
      <c r="F5" s="1" t="s">
        <v>26</v>
      </c>
      <c r="G5" s="3">
        <v>70000</v>
      </c>
      <c r="H5" s="3" t="s">
        <v>41</v>
      </c>
      <c r="I5" s="3" t="s">
        <v>40</v>
      </c>
      <c r="J5" s="4">
        <v>0.75694444444444453</v>
      </c>
      <c r="K5" s="5">
        <v>0.77430555555555547</v>
      </c>
      <c r="L5" s="4">
        <v>0.54166666666666663</v>
      </c>
      <c r="M5" s="5">
        <v>0.5708333333333333</v>
      </c>
      <c r="N5" s="3" t="s">
        <v>473</v>
      </c>
      <c r="O5" s="3" t="s">
        <v>142</v>
      </c>
      <c r="P5" s="3">
        <v>579</v>
      </c>
      <c r="Q5" s="3">
        <v>1512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44771</v>
      </c>
      <c r="B6" s="6" t="s">
        <v>33</v>
      </c>
      <c r="C6" s="6" t="s">
        <v>34</v>
      </c>
      <c r="D6" s="3" t="s">
        <v>25</v>
      </c>
      <c r="E6" s="6" t="s">
        <v>466</v>
      </c>
      <c r="F6" s="6" t="s">
        <v>36</v>
      </c>
      <c r="G6" s="6">
        <v>77000</v>
      </c>
      <c r="H6" s="6" t="s">
        <v>37</v>
      </c>
      <c r="I6" s="6" t="s">
        <v>38</v>
      </c>
      <c r="J6" s="7">
        <v>0.37152777777777773</v>
      </c>
      <c r="K6" s="8">
        <v>0.3979166666666667</v>
      </c>
      <c r="L6" s="7">
        <v>0.3298611111111111</v>
      </c>
      <c r="M6" s="8">
        <v>0.33055555555555555</v>
      </c>
      <c r="N6" s="3" t="s">
        <v>125</v>
      </c>
      <c r="O6" s="3" t="s">
        <v>158</v>
      </c>
      <c r="P6" s="6">
        <v>2323</v>
      </c>
      <c r="Q6" s="6">
        <v>2073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44771</v>
      </c>
      <c r="B7" s="3" t="s">
        <v>21</v>
      </c>
      <c r="C7" s="6" t="s">
        <v>52</v>
      </c>
      <c r="D7" s="3" t="s">
        <v>25</v>
      </c>
      <c r="E7" s="3" t="s">
        <v>44</v>
      </c>
      <c r="F7" s="1" t="s">
        <v>26</v>
      </c>
      <c r="G7" s="3">
        <v>70000</v>
      </c>
      <c r="H7" s="6" t="s">
        <v>55</v>
      </c>
      <c r="I7" s="6" t="s">
        <v>58</v>
      </c>
      <c r="J7" s="7">
        <v>0.75694444444444453</v>
      </c>
      <c r="K7" s="8">
        <v>0.81874999999999998</v>
      </c>
      <c r="L7" s="7">
        <v>0.64236111111111105</v>
      </c>
      <c r="M7" s="8">
        <v>0.68958333333333333</v>
      </c>
      <c r="N7" s="3" t="s">
        <v>372</v>
      </c>
      <c r="O7" s="3" t="s">
        <v>290</v>
      </c>
      <c r="P7" s="6">
        <v>341</v>
      </c>
      <c r="Q7" s="6">
        <v>629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A8" s="2">
        <v>44771</v>
      </c>
      <c r="B8" s="3" t="s">
        <v>21</v>
      </c>
      <c r="C8" s="6" t="s">
        <v>53</v>
      </c>
      <c r="D8" s="3" t="s">
        <v>25</v>
      </c>
      <c r="E8" s="3" t="s">
        <v>427</v>
      </c>
      <c r="F8" s="1" t="s">
        <v>26</v>
      </c>
      <c r="G8" s="3">
        <v>70000</v>
      </c>
      <c r="H8" s="6" t="s">
        <v>56</v>
      </c>
      <c r="I8" s="6" t="s">
        <v>59</v>
      </c>
      <c r="J8" s="7">
        <v>0.96180555555555547</v>
      </c>
      <c r="K8" s="8" t="s">
        <v>474</v>
      </c>
      <c r="L8" s="7">
        <v>0.77777777777777779</v>
      </c>
      <c r="M8" s="8">
        <v>0.81319444444444444</v>
      </c>
      <c r="N8" s="5" t="str">
        <f>K8</f>
        <v>RESHEDULED</v>
      </c>
      <c r="O8" s="3" t="s">
        <v>210</v>
      </c>
      <c r="P8" s="8" t="str">
        <f>N8</f>
        <v>RESHEDULED</v>
      </c>
      <c r="Q8" s="6">
        <v>694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2">
        <v>44771</v>
      </c>
      <c r="B9" s="3" t="s">
        <v>21</v>
      </c>
      <c r="C9" s="6" t="s">
        <v>54</v>
      </c>
      <c r="D9" s="3" t="s">
        <v>25</v>
      </c>
      <c r="E9" s="3" t="s">
        <v>44</v>
      </c>
      <c r="F9" s="1" t="s">
        <v>26</v>
      </c>
      <c r="G9" s="3">
        <v>70000</v>
      </c>
      <c r="H9" s="6" t="s">
        <v>57</v>
      </c>
      <c r="I9" s="6" t="s">
        <v>60</v>
      </c>
      <c r="J9" s="7">
        <v>0.97569444444444453</v>
      </c>
      <c r="K9" s="8">
        <v>1.6666666666666666E-2</v>
      </c>
      <c r="L9" s="7">
        <v>0.77777777777777779</v>
      </c>
      <c r="M9" s="8">
        <v>0.85833333333333339</v>
      </c>
      <c r="N9" s="3" t="s">
        <v>125</v>
      </c>
      <c r="O9" s="3" t="s">
        <v>471</v>
      </c>
      <c r="P9" s="6">
        <v>1526</v>
      </c>
      <c r="Q9" s="6">
        <v>1393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">
      <c r="A10" s="2">
        <v>44771</v>
      </c>
      <c r="B10" s="3" t="s">
        <v>21</v>
      </c>
      <c r="C10" s="6" t="s">
        <v>105</v>
      </c>
      <c r="D10" s="3" t="s">
        <v>25</v>
      </c>
      <c r="E10" s="3" t="s">
        <v>462</v>
      </c>
      <c r="F10" s="1" t="s">
        <v>26</v>
      </c>
      <c r="G10" s="3">
        <v>70000</v>
      </c>
      <c r="H10" s="6" t="s">
        <v>99</v>
      </c>
      <c r="I10" s="6" t="s">
        <v>100</v>
      </c>
      <c r="J10" s="4">
        <v>0.80555555555555547</v>
      </c>
      <c r="K10" s="8">
        <v>0.93055555555555547</v>
      </c>
      <c r="L10" s="4">
        <v>0.57638888888888895</v>
      </c>
      <c r="M10" s="8">
        <v>0.61875000000000002</v>
      </c>
      <c r="N10" s="6" t="s">
        <v>46</v>
      </c>
      <c r="O10" s="6" t="s">
        <v>470</v>
      </c>
      <c r="P10" s="6">
        <v>0</v>
      </c>
      <c r="Q10" s="6">
        <v>1704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">
      <c r="A11" s="2">
        <v>44771</v>
      </c>
      <c r="B11" s="3" t="s">
        <v>21</v>
      </c>
      <c r="C11" s="6" t="s">
        <v>461</v>
      </c>
      <c r="D11" s="3" t="s">
        <v>25</v>
      </c>
      <c r="E11" s="3" t="s">
        <v>462</v>
      </c>
      <c r="F11" s="19" t="s">
        <v>463</v>
      </c>
      <c r="G11" s="3">
        <v>70000</v>
      </c>
      <c r="H11" s="6" t="s">
        <v>464</v>
      </c>
      <c r="I11" s="6" t="s">
        <v>465</v>
      </c>
      <c r="J11" s="4">
        <v>0.55347222222222225</v>
      </c>
      <c r="K11" s="8">
        <v>0.58472222222222225</v>
      </c>
      <c r="L11" s="4">
        <v>0.83333333333333337</v>
      </c>
      <c r="M11" s="8">
        <v>0.98333333333333339</v>
      </c>
      <c r="N11" s="3" t="s">
        <v>67</v>
      </c>
      <c r="O11" s="3" t="s">
        <v>67</v>
      </c>
      <c r="P11" s="3" t="s">
        <v>67</v>
      </c>
      <c r="Q11" s="3" t="s">
        <v>67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">
      <c r="A12" s="2"/>
      <c r="B12" s="3"/>
      <c r="D12" s="3"/>
      <c r="J12" s="7"/>
      <c r="K12" s="8"/>
      <c r="L12" s="7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"/>
  <sheetViews>
    <sheetView workbookViewId="0">
      <selection activeCell="L14" sqref="L14"/>
    </sheetView>
  </sheetViews>
  <sheetFormatPr defaultRowHeight="15" x14ac:dyDescent="0.25"/>
  <cols>
    <col min="1" max="1" width="10" customWidth="1"/>
    <col min="3" max="3" width="15.7109375" customWidth="1"/>
    <col min="6" max="6" width="13.71093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44772</v>
      </c>
      <c r="B2" s="3" t="s">
        <v>21</v>
      </c>
      <c r="C2" s="3" t="s">
        <v>76</v>
      </c>
      <c r="D2" s="3" t="s">
        <v>25</v>
      </c>
      <c r="E2" s="3" t="s">
        <v>475</v>
      </c>
      <c r="F2" s="1" t="s">
        <v>26</v>
      </c>
      <c r="G2" s="3">
        <v>70000</v>
      </c>
      <c r="H2" s="3" t="s">
        <v>79</v>
      </c>
      <c r="I2" s="3" t="s">
        <v>82</v>
      </c>
      <c r="J2" s="4">
        <v>0.47222222222222227</v>
      </c>
      <c r="K2" s="5">
        <v>0.51388888888888895</v>
      </c>
      <c r="L2" s="4">
        <v>0.28125</v>
      </c>
      <c r="M2" s="5">
        <v>0.30069444444444443</v>
      </c>
      <c r="N2" s="3" t="s">
        <v>295</v>
      </c>
      <c r="O2" s="3" t="s">
        <v>457</v>
      </c>
      <c r="P2" s="3">
        <v>1022</v>
      </c>
      <c r="Q2" s="3">
        <v>883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44772</v>
      </c>
      <c r="B3" s="3" t="s">
        <v>21</v>
      </c>
      <c r="C3" s="3" t="s">
        <v>77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80</v>
      </c>
      <c r="I3" s="3" t="s">
        <v>83</v>
      </c>
      <c r="J3" s="4">
        <v>0.82986111111111116</v>
      </c>
      <c r="K3" s="5">
        <v>0.86736111111111114</v>
      </c>
      <c r="L3" s="4">
        <v>0.40972222222222227</v>
      </c>
      <c r="M3" s="5">
        <v>0.41805555555555557</v>
      </c>
      <c r="N3" s="3" t="s">
        <v>72</v>
      </c>
      <c r="O3" s="3" t="s">
        <v>457</v>
      </c>
      <c r="P3" s="3">
        <v>1240</v>
      </c>
      <c r="Q3" s="3">
        <v>1310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44772</v>
      </c>
      <c r="B4" s="3" t="s">
        <v>21</v>
      </c>
      <c r="C4" s="3" t="s">
        <v>150</v>
      </c>
      <c r="D4" s="3" t="s">
        <v>25</v>
      </c>
      <c r="E4" s="3" t="s">
        <v>476</v>
      </c>
      <c r="F4" s="1" t="s">
        <v>26</v>
      </c>
      <c r="G4" s="3">
        <v>70000</v>
      </c>
      <c r="H4" s="3" t="s">
        <v>151</v>
      </c>
      <c r="I4" s="3" t="s">
        <v>152</v>
      </c>
      <c r="J4" s="4">
        <v>0.91319444444444453</v>
      </c>
      <c r="K4" s="5">
        <v>0.96250000000000002</v>
      </c>
      <c r="L4" s="4">
        <v>0.50347222222222221</v>
      </c>
      <c r="M4" s="5">
        <v>0.55138888888888882</v>
      </c>
      <c r="N4" s="3" t="s">
        <v>483</v>
      </c>
      <c r="O4" s="3" t="s">
        <v>480</v>
      </c>
      <c r="P4" s="3">
        <v>1229</v>
      </c>
      <c r="Q4" s="3">
        <v>806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44772</v>
      </c>
      <c r="B5" s="3" t="s">
        <v>21</v>
      </c>
      <c r="C5" s="3" t="s">
        <v>477</v>
      </c>
      <c r="D5" s="3" t="s">
        <v>25</v>
      </c>
      <c r="E5" s="3" t="s">
        <v>66</v>
      </c>
      <c r="F5" s="3" t="s">
        <v>463</v>
      </c>
      <c r="G5" s="3">
        <v>70000</v>
      </c>
      <c r="H5" s="3" t="s">
        <v>478</v>
      </c>
      <c r="I5" s="3" t="s">
        <v>479</v>
      </c>
      <c r="J5" s="4">
        <v>0.38541666666666669</v>
      </c>
      <c r="K5" s="5">
        <v>0.38263888888888892</v>
      </c>
      <c r="L5" s="4">
        <v>0.85416666666666663</v>
      </c>
      <c r="M5" s="5">
        <v>0.89930555555555547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44772</v>
      </c>
      <c r="B6" s="3" t="s">
        <v>21</v>
      </c>
      <c r="C6" s="6" t="s">
        <v>481</v>
      </c>
      <c r="D6" s="3" t="s">
        <v>25</v>
      </c>
      <c r="E6" s="3" t="s">
        <v>427</v>
      </c>
      <c r="F6" s="1" t="s">
        <v>26</v>
      </c>
      <c r="G6" s="3">
        <v>70000</v>
      </c>
      <c r="H6" s="6" t="s">
        <v>56</v>
      </c>
      <c r="I6" s="6" t="s">
        <v>67</v>
      </c>
      <c r="J6" s="7">
        <v>0.70486111111111116</v>
      </c>
      <c r="K6" s="8">
        <v>0.70000000000000007</v>
      </c>
      <c r="L6" s="7" t="s">
        <v>67</v>
      </c>
      <c r="M6" s="8" t="s">
        <v>67</v>
      </c>
      <c r="N6" s="5" t="s">
        <v>482</v>
      </c>
      <c r="O6" s="3" t="s">
        <v>67</v>
      </c>
      <c r="P6" s="12">
        <v>957</v>
      </c>
      <c r="Q6" s="6" t="s">
        <v>67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"/>
  <sheetViews>
    <sheetView workbookViewId="0">
      <selection activeCell="L16" sqref="L16"/>
    </sheetView>
  </sheetViews>
  <sheetFormatPr defaultRowHeight="12.75" x14ac:dyDescent="0.2"/>
  <cols>
    <col min="1" max="1" width="9.140625" style="6"/>
    <col min="2" max="2" width="12.28515625" style="6" customWidth="1"/>
    <col min="3" max="3" width="18.28515625" style="6" customWidth="1"/>
    <col min="4" max="5" width="9.140625" style="6"/>
    <col min="6" max="6" width="12.5703125" style="6" customWidth="1"/>
    <col min="7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44773</v>
      </c>
      <c r="B2" s="3" t="s">
        <v>21</v>
      </c>
      <c r="C2" s="3" t="s">
        <v>75</v>
      </c>
      <c r="D2" s="3" t="s">
        <v>25</v>
      </c>
      <c r="E2" s="3" t="s">
        <v>427</v>
      </c>
      <c r="F2" s="1" t="s">
        <v>26</v>
      </c>
      <c r="G2" s="3">
        <v>70000</v>
      </c>
      <c r="H2" s="3" t="s">
        <v>78</v>
      </c>
      <c r="I2" s="3" t="s">
        <v>81</v>
      </c>
      <c r="J2" s="4">
        <v>0.45833333333333331</v>
      </c>
      <c r="K2" s="5">
        <v>0.42222222222222222</v>
      </c>
      <c r="L2" s="4">
        <v>0.25694444444444448</v>
      </c>
      <c r="M2" s="5">
        <v>0.27083333333333331</v>
      </c>
      <c r="N2" s="3" t="s">
        <v>372</v>
      </c>
      <c r="O2" s="3" t="s">
        <v>277</v>
      </c>
      <c r="P2" s="3">
        <v>1229</v>
      </c>
      <c r="Q2" s="3">
        <v>1693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44773</v>
      </c>
      <c r="B3" s="3" t="s">
        <v>21</v>
      </c>
      <c r="C3" s="6" t="s">
        <v>103</v>
      </c>
      <c r="D3" s="3" t="s">
        <v>25</v>
      </c>
      <c r="E3" s="6" t="s">
        <v>476</v>
      </c>
      <c r="F3" s="3" t="s">
        <v>26</v>
      </c>
      <c r="G3" s="10">
        <v>70000</v>
      </c>
      <c r="H3" s="3" t="s">
        <v>95</v>
      </c>
      <c r="I3" s="6" t="s">
        <v>96</v>
      </c>
      <c r="J3" s="7">
        <v>0.43402777777777773</v>
      </c>
      <c r="K3" s="8">
        <v>0.45416666666666666</v>
      </c>
      <c r="L3" s="7">
        <v>0.28472222222222221</v>
      </c>
      <c r="M3" s="8">
        <v>0.29097222222222224</v>
      </c>
      <c r="N3" s="3" t="s">
        <v>413</v>
      </c>
      <c r="O3" s="3" t="s">
        <v>306</v>
      </c>
      <c r="P3" s="6">
        <v>1158</v>
      </c>
      <c r="Q3" s="6">
        <v>788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2">
        <v>44773</v>
      </c>
      <c r="B4" s="3" t="s">
        <v>21</v>
      </c>
      <c r="C4" s="6" t="s">
        <v>104</v>
      </c>
      <c r="D4" s="3" t="s">
        <v>25</v>
      </c>
      <c r="E4" s="3" t="s">
        <v>476</v>
      </c>
      <c r="F4" s="3" t="s">
        <v>26</v>
      </c>
      <c r="G4" s="10">
        <v>70000</v>
      </c>
      <c r="H4" s="6" t="s">
        <v>97</v>
      </c>
      <c r="I4" s="6" t="s">
        <v>98</v>
      </c>
      <c r="J4" s="7">
        <v>0.64583333333333337</v>
      </c>
      <c r="K4" s="8">
        <v>0.63750000000000007</v>
      </c>
      <c r="L4" s="7">
        <v>0.48958333333333331</v>
      </c>
      <c r="M4" s="8">
        <v>0.49236111111111108</v>
      </c>
      <c r="N4" s="3" t="s">
        <v>355</v>
      </c>
      <c r="O4" s="3" t="s">
        <v>484</v>
      </c>
      <c r="P4" s="6">
        <v>734</v>
      </c>
      <c r="Q4" s="6">
        <v>471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2">
        <v>44773</v>
      </c>
      <c r="B5" s="3" t="s">
        <v>21</v>
      </c>
      <c r="C5" s="6" t="s">
        <v>109</v>
      </c>
      <c r="D5" s="3" t="s">
        <v>25</v>
      </c>
      <c r="E5" s="3" t="s">
        <v>427</v>
      </c>
      <c r="F5" s="3" t="s">
        <v>26</v>
      </c>
      <c r="G5" s="10">
        <v>70000</v>
      </c>
      <c r="H5" s="6" t="s">
        <v>110</v>
      </c>
      <c r="I5" s="6" t="s">
        <v>111</v>
      </c>
      <c r="J5" s="7">
        <v>0.86805555555555547</v>
      </c>
      <c r="K5" s="8">
        <v>0.85416666666666663</v>
      </c>
      <c r="L5" s="7">
        <v>0.64930555555555558</v>
      </c>
      <c r="M5" s="8">
        <v>0.65277777777777779</v>
      </c>
      <c r="N5" s="6" t="s">
        <v>486</v>
      </c>
      <c r="O5" s="6" t="s">
        <v>359</v>
      </c>
      <c r="P5" s="6">
        <v>288</v>
      </c>
      <c r="Q5" s="6">
        <v>1597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44773</v>
      </c>
      <c r="B6" s="3" t="s">
        <v>21</v>
      </c>
      <c r="C6" s="6" t="s">
        <v>105</v>
      </c>
      <c r="D6" s="6" t="s">
        <v>25</v>
      </c>
      <c r="E6" s="3" t="s">
        <v>476</v>
      </c>
      <c r="F6" s="6" t="s">
        <v>26</v>
      </c>
      <c r="G6" s="10">
        <v>70000</v>
      </c>
      <c r="H6" s="6" t="s">
        <v>99</v>
      </c>
      <c r="I6" s="6" t="s">
        <v>100</v>
      </c>
      <c r="J6" s="7">
        <v>0.90277777777777779</v>
      </c>
      <c r="K6" s="8">
        <v>0.89513888888888893</v>
      </c>
      <c r="L6" s="7">
        <v>0.66666666666666663</v>
      </c>
      <c r="M6" s="8">
        <v>0.67847222222222225</v>
      </c>
      <c r="N6" s="6" t="s">
        <v>487</v>
      </c>
      <c r="O6" s="6" t="s">
        <v>485</v>
      </c>
      <c r="P6" s="6">
        <v>1247</v>
      </c>
      <c r="Q6" s="6">
        <v>1587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2024-06-04T04:45:05Z</dcterms:modified>
</cp:coreProperties>
</file>