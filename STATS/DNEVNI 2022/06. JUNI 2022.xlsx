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 firstSheet="11" activeTab="19"/>
  </bookViews>
  <sheets>
    <sheet name="01" sheetId="1" r:id="rId1"/>
    <sheet name="02" sheetId="2" r:id="rId2"/>
    <sheet name="03" sheetId="4" r:id="rId3"/>
    <sheet name="04" sheetId="5" r:id="rId4"/>
    <sheet name="5" sheetId="6" r:id="rId5"/>
    <sheet name="06" sheetId="7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30" r:id="rId28"/>
    <sheet name="29" sheetId="31" r:id="rId29"/>
    <sheet name="30" sheetId="32" r:id="rId30"/>
  </sheets>
  <calcPr calcId="145621"/>
</workbook>
</file>

<file path=xl/calcChain.xml><?xml version="1.0" encoding="utf-8"?>
<calcChain xmlns="http://schemas.openxmlformats.org/spreadsheetml/2006/main">
  <c r="E7" i="31" l="1"/>
  <c r="H5" i="28" l="1"/>
  <c r="I5" i="28" s="1"/>
  <c r="E3" i="28" l="1"/>
  <c r="E4" i="28" s="1"/>
  <c r="H7" i="25" l="1"/>
  <c r="I7" i="25" s="1"/>
  <c r="G9" i="24" l="1"/>
  <c r="E9" i="24"/>
  <c r="I8" i="24" l="1"/>
  <c r="H8" i="24"/>
  <c r="E4" i="25" l="1"/>
  <c r="E5" i="25" s="1"/>
  <c r="E5" i="24" l="1"/>
  <c r="E8" i="23" l="1"/>
  <c r="E7" i="23"/>
  <c r="M5" i="22" l="1"/>
  <c r="E6" i="22" l="1"/>
  <c r="I12" i="18" l="1"/>
  <c r="I11" i="18"/>
  <c r="H12" i="18"/>
  <c r="H11" i="18"/>
  <c r="G12" i="18"/>
  <c r="E12" i="18"/>
  <c r="D12" i="18"/>
  <c r="B12" i="18"/>
  <c r="E4" i="17" l="1"/>
  <c r="E3" i="17"/>
  <c r="E5" i="16" l="1"/>
  <c r="A5" i="16"/>
  <c r="E3" i="16"/>
  <c r="E4" i="16" s="1"/>
  <c r="A3" i="16"/>
  <c r="A4" i="16" s="1"/>
  <c r="I6" i="15" l="1"/>
  <c r="H6" i="15"/>
  <c r="I5" i="15"/>
  <c r="H5" i="15"/>
  <c r="I8" i="14" l="1"/>
  <c r="H8" i="14"/>
  <c r="I7" i="14"/>
  <c r="H7" i="14"/>
  <c r="K2" i="11" l="1"/>
  <c r="I8" i="10" l="1"/>
  <c r="H8" i="10"/>
  <c r="E7" i="10" l="1"/>
  <c r="E6" i="10"/>
  <c r="E5" i="10"/>
  <c r="E4" i="10"/>
  <c r="M2" i="4" l="1"/>
  <c r="E7" i="4" l="1"/>
  <c r="E6" i="4"/>
  <c r="E5" i="4"/>
</calcChain>
</file>

<file path=xl/sharedStrings.xml><?xml version="1.0" encoding="utf-8"?>
<sst xmlns="http://schemas.openxmlformats.org/spreadsheetml/2006/main" count="2226" uniqueCount="426">
  <si>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</si>
  <si>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</si>
  <si>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</si>
  <si>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</si>
  <si>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</si>
  <si>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</si>
  <si>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</si>
  <si>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</si>
  <si>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</si>
  <si>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</si>
  <si>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</si>
  <si>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</si>
  <si>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</si>
  <si>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</si>
  <si>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</si>
  <si>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</si>
  <si>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</si>
  <si>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</si>
  <si>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</si>
  <si>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</si>
  <si>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</si>
  <si>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</si>
  <si>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TZL-BER-TZL</t>
  </si>
  <si>
    <t>TZL-GOT-TZL</t>
  </si>
  <si>
    <t>TZL-FMM-TZL</t>
  </si>
  <si>
    <t>TZL-NUE-TZL</t>
  </si>
  <si>
    <t>TZL-VIE-TZL</t>
  </si>
  <si>
    <t>TZL-HHN-TZL</t>
  </si>
  <si>
    <t>TZL-MLH-TZL</t>
  </si>
  <si>
    <t>A320</t>
  </si>
  <si>
    <t>HA-LYA</t>
  </si>
  <si>
    <t>HA-LYJ</t>
  </si>
  <si>
    <t>HA-LWX</t>
  </si>
  <si>
    <t>SCHEDULED</t>
  </si>
  <si>
    <t>W64276</t>
  </si>
  <si>
    <t>W64275</t>
  </si>
  <si>
    <t>W64296</t>
  </si>
  <si>
    <t>W64295</t>
  </si>
  <si>
    <t>W64280</t>
  </si>
  <si>
    <t>W64279</t>
  </si>
  <si>
    <t>FERRY IN/OUT</t>
  </si>
  <si>
    <t>W64614</t>
  </si>
  <si>
    <t>W64613</t>
  </si>
  <si>
    <t>W64286</t>
  </si>
  <si>
    <t>W64285</t>
  </si>
  <si>
    <t>W64284</t>
  </si>
  <si>
    <t>W64283</t>
  </si>
  <si>
    <t>W64294</t>
  </si>
  <si>
    <t>W64293</t>
  </si>
  <si>
    <t>W6802</t>
  </si>
  <si>
    <t>W6803</t>
  </si>
  <si>
    <t>141+2 INF</t>
  </si>
  <si>
    <t>-</t>
  </si>
  <si>
    <t>172+1 INF</t>
  </si>
  <si>
    <t>167+0 INF</t>
  </si>
  <si>
    <t>144+8 INF</t>
  </si>
  <si>
    <t>65+1 INF</t>
  </si>
  <si>
    <t>62+2 INF</t>
  </si>
  <si>
    <t>BUD-TZL-BUD</t>
  </si>
  <si>
    <t>149+2 INF</t>
  </si>
  <si>
    <t>138+2 INF</t>
  </si>
  <si>
    <t>100+2 INF</t>
  </si>
  <si>
    <t>117+2 INF</t>
  </si>
  <si>
    <t>131+6 INF</t>
  </si>
  <si>
    <t>158+2 INF</t>
  </si>
  <si>
    <t>142+9 INF</t>
  </si>
  <si>
    <t>155+3 INF</t>
  </si>
  <si>
    <t>TZL-MMX-TZL</t>
  </si>
  <si>
    <t>TZL-DTM-TZL</t>
  </si>
  <si>
    <t>TZL-FDH-TZL</t>
  </si>
  <si>
    <t>TZL-MXP-TZL</t>
  </si>
  <si>
    <t>TZL-BLL-TZL</t>
  </si>
  <si>
    <t>TZL-NYO-TZL</t>
  </si>
  <si>
    <t>W64292</t>
  </si>
  <si>
    <t>W64291</t>
  </si>
  <si>
    <t>W64298</t>
  </si>
  <si>
    <t>W64297</t>
  </si>
  <si>
    <t>W64616</t>
  </si>
  <si>
    <t>W64615</t>
  </si>
  <si>
    <t>W65569</t>
  </si>
  <si>
    <t>W65570</t>
  </si>
  <si>
    <t>W64278</t>
  </si>
  <si>
    <t>W64277</t>
  </si>
  <si>
    <t>W64282</t>
  </si>
  <si>
    <t>W64281</t>
  </si>
  <si>
    <t>41+0 INF</t>
  </si>
  <si>
    <t>133+1 INF</t>
  </si>
  <si>
    <t>TRESHOLD VENTURES INC</t>
  </si>
  <si>
    <t>GLF4</t>
  </si>
  <si>
    <t>N1TD</t>
  </si>
  <si>
    <t>NON-SCH/GA PRIVATE</t>
  </si>
  <si>
    <t>60+1 INF</t>
  </si>
  <si>
    <t>163+7 INF</t>
  </si>
  <si>
    <t>KOMPANIJA TAKOVO</t>
  </si>
  <si>
    <t>BEG-TZL-TREBINJE</t>
  </si>
  <si>
    <t>R66</t>
  </si>
  <si>
    <t>HELICOPTER</t>
  </si>
  <si>
    <t>YU-HSW</t>
  </si>
  <si>
    <t>66+1 INF</t>
  </si>
  <si>
    <t>42+0 INF</t>
  </si>
  <si>
    <t>146+3 INF</t>
  </si>
  <si>
    <t>133+2 INF</t>
  </si>
  <si>
    <t>46+0 INF</t>
  </si>
  <si>
    <t>102+1 INF</t>
  </si>
  <si>
    <t>114+2 INF</t>
  </si>
  <si>
    <t>123+1 INF</t>
  </si>
  <si>
    <t>TZL-SIR</t>
  </si>
  <si>
    <t>HA-LPL</t>
  </si>
  <si>
    <t>158+3 INF</t>
  </si>
  <si>
    <t>171+2 INF</t>
  </si>
  <si>
    <t>138+4 INF</t>
  </si>
  <si>
    <t>72+0 INF</t>
  </si>
  <si>
    <t>165+1 INF</t>
  </si>
  <si>
    <t>146+4 INF</t>
  </si>
  <si>
    <t>147+5 INF</t>
  </si>
  <si>
    <t>145+4 INF</t>
  </si>
  <si>
    <t>124+7 INF</t>
  </si>
  <si>
    <t>165+4 INF</t>
  </si>
  <si>
    <t>Aeroklub FENIX Živinice</t>
  </si>
  <si>
    <t>LQCG-TZL</t>
  </si>
  <si>
    <t xml:space="preserve">C172 P </t>
  </si>
  <si>
    <t>E7-SAF</t>
  </si>
  <si>
    <t>NONSCHEDULED</t>
  </si>
  <si>
    <t>E7SAF</t>
  </si>
  <si>
    <t>ROP</t>
  </si>
  <si>
    <t>155+4 INF</t>
  </si>
  <si>
    <t>175+3 INF</t>
  </si>
  <si>
    <t>CGN-TZL</t>
  </si>
  <si>
    <t>HA-LWV</t>
  </si>
  <si>
    <t>INT.NONSCHEDULED</t>
  </si>
  <si>
    <t>W64754</t>
  </si>
  <si>
    <t>171+0 INF</t>
  </si>
  <si>
    <t>TZL-CGN-TZL</t>
  </si>
  <si>
    <t>W64300</t>
  </si>
  <si>
    <t>W64299</t>
  </si>
  <si>
    <t>TZL-FKB-TZL</t>
  </si>
  <si>
    <t>W64618</t>
  </si>
  <si>
    <t>W64617</t>
  </si>
  <si>
    <t>39+4 INF</t>
  </si>
  <si>
    <t>W94621</t>
  </si>
  <si>
    <t>HA-LPK</t>
  </si>
  <si>
    <t>A321</t>
  </si>
  <si>
    <t>SJJ-TZL-LTN</t>
  </si>
  <si>
    <t xml:space="preserve">TECHICAL </t>
  </si>
  <si>
    <t>111+1 INF</t>
  </si>
  <si>
    <t>TZL-SJJ</t>
  </si>
  <si>
    <t xml:space="preserve">TECHNICAL </t>
  </si>
  <si>
    <t>W6801</t>
  </si>
  <si>
    <t>130+1 INF</t>
  </si>
  <si>
    <t>161+1 INF</t>
  </si>
  <si>
    <t>155+5 INF</t>
  </si>
  <si>
    <t>127+7 INF</t>
  </si>
  <si>
    <t>DOMESTIC</t>
  </si>
  <si>
    <t>165+3 INF</t>
  </si>
  <si>
    <t>176+4 INF</t>
  </si>
  <si>
    <t>73+1 INF</t>
  </si>
  <si>
    <t>122+3 INF</t>
  </si>
  <si>
    <t>150+2 INF</t>
  </si>
  <si>
    <t>74+1 INF</t>
  </si>
  <si>
    <t>119+1 INF</t>
  </si>
  <si>
    <t>95+1 INF</t>
  </si>
  <si>
    <t>123+3 INF</t>
  </si>
  <si>
    <t>124+2 INF</t>
  </si>
  <si>
    <t>48+1 INF</t>
  </si>
  <si>
    <t>135+1 INF</t>
  </si>
  <si>
    <t>55+0 INF</t>
  </si>
  <si>
    <t>159+4 INF</t>
  </si>
  <si>
    <t>164+4 INF</t>
  </si>
  <si>
    <t>89+1 INF</t>
  </si>
  <si>
    <t>159+5 INF</t>
  </si>
  <si>
    <t>145+3 INF</t>
  </si>
  <si>
    <t>156+5 INF</t>
  </si>
  <si>
    <t>151+1 INF</t>
  </si>
  <si>
    <t>168+4 INF</t>
  </si>
  <si>
    <t>148+3 INF</t>
  </si>
  <si>
    <t>143+3 INF</t>
  </si>
  <si>
    <t>67+0 INF</t>
  </si>
  <si>
    <t>141+3 INF</t>
  </si>
  <si>
    <t>52+2 INF</t>
  </si>
  <si>
    <t>109+4 INF</t>
  </si>
  <si>
    <t>140+2 INF</t>
  </si>
  <si>
    <t>133+5 INF</t>
  </si>
  <si>
    <t>159+2 INF</t>
  </si>
  <si>
    <t>136+4 INF</t>
  </si>
  <si>
    <t>152+1 INF</t>
  </si>
  <si>
    <t>58+0 INF</t>
  </si>
  <si>
    <t>138+1 INF</t>
  </si>
  <si>
    <t>88+2 INF</t>
  </si>
  <si>
    <t>151+5 INF</t>
  </si>
  <si>
    <t>128+4 INF</t>
  </si>
  <si>
    <t>78+2 INF</t>
  </si>
  <si>
    <t>116+4 INF</t>
  </si>
  <si>
    <t>135+2 INF</t>
  </si>
  <si>
    <t>124+5 INF</t>
  </si>
  <si>
    <t>132+5 INF</t>
  </si>
  <si>
    <t>145+5 INF</t>
  </si>
  <si>
    <t>157+2 INF</t>
  </si>
  <si>
    <t>57+0 INF</t>
  </si>
  <si>
    <t>103+1 INF</t>
  </si>
  <si>
    <t>STS AVIJACIJA</t>
  </si>
  <si>
    <t>LOCAL FLIGHT</t>
  </si>
  <si>
    <t>C172</t>
  </si>
  <si>
    <t>YU-FLY</t>
  </si>
  <si>
    <t>NON SCHEDULED</t>
  </si>
  <si>
    <t>59+1 INF</t>
  </si>
  <si>
    <t>127+2 INF</t>
  </si>
  <si>
    <t>66+0 INF</t>
  </si>
  <si>
    <t>139+4 INF</t>
  </si>
  <si>
    <t>86+2 INF</t>
  </si>
  <si>
    <t>163+2 INF</t>
  </si>
  <si>
    <t>134+0 INF</t>
  </si>
  <si>
    <t>57 + 0 INF</t>
  </si>
  <si>
    <t>77+0 INF</t>
  </si>
  <si>
    <t>FREEBIRD AIRLINES</t>
  </si>
  <si>
    <t>AYT-TZL-AYT</t>
  </si>
  <si>
    <t>TC-FBR</t>
  </si>
  <si>
    <t>CHARTER</t>
  </si>
  <si>
    <t>FH821</t>
  </si>
  <si>
    <t>FH822</t>
  </si>
  <si>
    <t>149+4 INF</t>
  </si>
  <si>
    <t>180+6 INF</t>
  </si>
  <si>
    <t>159+3 INF</t>
  </si>
  <si>
    <t>142+3 INF</t>
  </si>
  <si>
    <t>73+2 INF</t>
  </si>
  <si>
    <t>156+2 INF</t>
  </si>
  <si>
    <t>135+4 INF</t>
  </si>
  <si>
    <t>134+2 INF</t>
  </si>
  <si>
    <t>131+2 INF</t>
  </si>
  <si>
    <t>147+4 INF</t>
  </si>
  <si>
    <t>126+3 INF</t>
  </si>
  <si>
    <t>166+0 INF</t>
  </si>
  <si>
    <t>43+2 INF</t>
  </si>
  <si>
    <t>145+8 INF</t>
  </si>
  <si>
    <t>164+2 INF</t>
  </si>
  <si>
    <t>141+ 2 INF</t>
  </si>
  <si>
    <t>133+4 INF</t>
  </si>
  <si>
    <t>168+2 INF</t>
  </si>
  <si>
    <t>138+5 INF</t>
  </si>
  <si>
    <t>84+0 INF</t>
  </si>
  <si>
    <t>129+4 INF</t>
  </si>
  <si>
    <t>157+6 INF</t>
  </si>
  <si>
    <t>140+3 INF</t>
  </si>
  <si>
    <t>71+2 INF</t>
  </si>
  <si>
    <t>139+2 INF</t>
  </si>
  <si>
    <t>108+1 INF</t>
  </si>
  <si>
    <t>111+2 INF</t>
  </si>
  <si>
    <t>62+0 INF</t>
  </si>
  <si>
    <t>80+1 INF</t>
  </si>
  <si>
    <t>158+1 INF</t>
  </si>
  <si>
    <t>HA-LPT</t>
  </si>
  <si>
    <t>HA-LWT</t>
  </si>
  <si>
    <t>177+2 INF</t>
  </si>
  <si>
    <t>153+1 INF</t>
  </si>
  <si>
    <t>TZL-OTP</t>
  </si>
  <si>
    <t>W6405</t>
  </si>
  <si>
    <t>FERRY OUT</t>
  </si>
  <si>
    <t>STS AVIJACIJA DOO</t>
  </si>
  <si>
    <t>YU-DPS</t>
  </si>
  <si>
    <t>C182</t>
  </si>
  <si>
    <t>YU-DPT</t>
  </si>
  <si>
    <t>135+7 INF</t>
  </si>
  <si>
    <t>131+5 INF</t>
  </si>
  <si>
    <t>148+2 INF</t>
  </si>
  <si>
    <t>164+5 INF</t>
  </si>
  <si>
    <t>151+6 INF</t>
  </si>
  <si>
    <t>180+7 INF</t>
  </si>
  <si>
    <t>156+3 INF</t>
  </si>
  <si>
    <t>144+2 INF</t>
  </si>
  <si>
    <t>166+3 INF</t>
  </si>
  <si>
    <t>166+2 INF</t>
  </si>
  <si>
    <t>153+5 INF</t>
  </si>
  <si>
    <t>148+4 INF</t>
  </si>
  <si>
    <t>127+6 INF</t>
  </si>
  <si>
    <t>154+2 INF</t>
  </si>
  <si>
    <t>146+1 INF</t>
  </si>
  <si>
    <t>151+0 INF</t>
  </si>
  <si>
    <t>137+2 INF</t>
  </si>
  <si>
    <t>63+0 INF</t>
  </si>
  <si>
    <t>81+0 INF</t>
  </si>
  <si>
    <t>OTP-TZL</t>
  </si>
  <si>
    <t>TFT/FERRY IN</t>
  </si>
  <si>
    <t>TZL-VXO-TZL</t>
  </si>
  <si>
    <t>W64611</t>
  </si>
  <si>
    <t>W64612</t>
  </si>
  <si>
    <t>161+0 INF</t>
  </si>
  <si>
    <t>127+5 INF</t>
  </si>
  <si>
    <t>153+3 INF</t>
  </si>
  <si>
    <t>84+1 INF</t>
  </si>
  <si>
    <t>180+4 INF</t>
  </si>
  <si>
    <t>164+0 INF</t>
  </si>
  <si>
    <t>OTKAZANJ</t>
  </si>
  <si>
    <t>OTKAZAN</t>
  </si>
  <si>
    <t>164+7 INF</t>
  </si>
  <si>
    <t>145+2 INF</t>
  </si>
  <si>
    <t>AK FENIX</t>
  </si>
  <si>
    <t>SJJ-TZL-BEG</t>
  </si>
  <si>
    <t>BEG-TZL-LQCG</t>
  </si>
  <si>
    <t>TECHNICAL</t>
  </si>
  <si>
    <t>60+2 INF</t>
  </si>
  <si>
    <t>170+0 INF</t>
  </si>
  <si>
    <t>154+5 INF</t>
  </si>
  <si>
    <t>157+1 INF</t>
  </si>
  <si>
    <t>152+4 INF</t>
  </si>
  <si>
    <t>162+1 INF</t>
  </si>
  <si>
    <t>113+1 INF</t>
  </si>
  <si>
    <t>HALWT</t>
  </si>
  <si>
    <t>HALYA</t>
  </si>
  <si>
    <t>165+2 INF</t>
  </si>
  <si>
    <t>86+1 INF</t>
  </si>
  <si>
    <t>131+1 INF</t>
  </si>
  <si>
    <t>118+1 INF</t>
  </si>
  <si>
    <t>60+:3 INF</t>
  </si>
  <si>
    <t>120+1 INF</t>
  </si>
  <si>
    <t>91+1 INF</t>
  </si>
  <si>
    <t>113+2 INF</t>
  </si>
  <si>
    <t>149+0 INF</t>
  </si>
  <si>
    <t>MUJO MUSIC</t>
  </si>
  <si>
    <t>CILJUGE-TZL-BEG</t>
  </si>
  <si>
    <t>150+4 INF</t>
  </si>
  <si>
    <t>145+1 INF</t>
  </si>
  <si>
    <t>164+1 INF</t>
  </si>
  <si>
    <t>43+1 INF</t>
  </si>
  <si>
    <t>123+0 INF</t>
  </si>
  <si>
    <t>178+2 INF</t>
  </si>
  <si>
    <t>132+1 INF</t>
  </si>
  <si>
    <t>132+2 INF</t>
  </si>
  <si>
    <t>120+4 INF</t>
  </si>
  <si>
    <t>141+4 INF</t>
  </si>
  <si>
    <t>25+0 INF</t>
  </si>
  <si>
    <t>TC-FBO</t>
  </si>
  <si>
    <t>174+8 INF</t>
  </si>
  <si>
    <t>179+5 INF</t>
  </si>
  <si>
    <t>152+6 INF</t>
  </si>
  <si>
    <t>145+0 INF</t>
  </si>
  <si>
    <t>172+2 INF</t>
  </si>
  <si>
    <t>105+4 INF</t>
  </si>
  <si>
    <t>117+1 INF</t>
  </si>
  <si>
    <t>44+0 INF</t>
  </si>
  <si>
    <t>149+3 INF</t>
  </si>
  <si>
    <t>146+6 INF</t>
  </si>
  <si>
    <t>144+0 INF</t>
  </si>
  <si>
    <t>141+6 INF</t>
  </si>
  <si>
    <t>112+7 INF</t>
  </si>
  <si>
    <t>125+5 INF</t>
  </si>
  <si>
    <t>162+6 INF</t>
  </si>
  <si>
    <t>139+3 INF</t>
  </si>
  <si>
    <t>97+5 INF</t>
  </si>
  <si>
    <t>167+7 INF</t>
  </si>
  <si>
    <t>71+1 INF</t>
  </si>
  <si>
    <t>120+2 INF</t>
  </si>
  <si>
    <t>82+1 INF</t>
  </si>
  <si>
    <t>143+2 INF</t>
  </si>
  <si>
    <t>HA-LYQ</t>
  </si>
  <si>
    <t>61+1 INF</t>
  </si>
  <si>
    <t>52+0 INF</t>
  </si>
  <si>
    <t>137+3 INF</t>
  </si>
  <si>
    <t>168+1 INF</t>
  </si>
  <si>
    <t>ARMIN NESIREN</t>
  </si>
  <si>
    <t>LQVI-TZL</t>
  </si>
  <si>
    <t>C172M</t>
  </si>
  <si>
    <t>E7-AAN</t>
  </si>
  <si>
    <t>TRAINING FLIGHT</t>
  </si>
  <si>
    <t>TZL-BUD</t>
  </si>
  <si>
    <t>HA-LWT/LYQ</t>
  </si>
  <si>
    <t>TC-FBV</t>
  </si>
  <si>
    <t>179+1 INF</t>
  </si>
  <si>
    <t>TZL-LQVI</t>
  </si>
  <si>
    <t>129+2 INF</t>
  </si>
  <si>
    <t>147+3 INF</t>
  </si>
  <si>
    <t>150+3 INF</t>
  </si>
  <si>
    <t>147+1 INF</t>
  </si>
  <si>
    <t>146+2 INF</t>
  </si>
  <si>
    <t>171+3 INF</t>
  </si>
  <si>
    <t>176+1 INF</t>
  </si>
  <si>
    <t>147+6 INF</t>
  </si>
  <si>
    <t>VAZDUHOPLOVNI SERVIS RS</t>
  </si>
  <si>
    <t>BEG-TZL-BNX</t>
  </si>
  <si>
    <t>C25C</t>
  </si>
  <si>
    <t>E7-GPS</t>
  </si>
  <si>
    <t>GENERAL PVT</t>
  </si>
  <si>
    <t>HALYQ</t>
  </si>
  <si>
    <t>115+3 INF</t>
  </si>
  <si>
    <t>94+4 INF</t>
  </si>
  <si>
    <t>91+0 INF</t>
  </si>
  <si>
    <t>BNX-TZL-BEG</t>
  </si>
  <si>
    <t>172+8 INF</t>
  </si>
  <si>
    <t>HELIKOPTERSKA JEDINICA MUP RS</t>
  </si>
  <si>
    <t>ZVORNIK-TZL-ZVORNIK</t>
  </si>
  <si>
    <t>ANST</t>
  </si>
  <si>
    <t>E7-SAJ</t>
  </si>
  <si>
    <t>HELICOPTER/TECHNICAL</t>
  </si>
  <si>
    <t>168+3 INF</t>
  </si>
  <si>
    <t>154+3 INF</t>
  </si>
  <si>
    <t>152+3 INF</t>
  </si>
  <si>
    <t>179+6 INF</t>
  </si>
  <si>
    <t>178+4 INF</t>
  </si>
  <si>
    <t>177+4 INF</t>
  </si>
  <si>
    <t>158+4 INF</t>
  </si>
  <si>
    <t>171+5 INF</t>
  </si>
  <si>
    <t>BUD-TZL</t>
  </si>
  <si>
    <t>HA-LYW</t>
  </si>
  <si>
    <t>FERRY IN</t>
  </si>
  <si>
    <t>105+1 INF</t>
  </si>
  <si>
    <t>70+0 INF</t>
  </si>
  <si>
    <t>GOLDECK-FLUG GESELLSCHAFT</t>
  </si>
  <si>
    <t>KLU-TZL-LOAN</t>
  </si>
  <si>
    <t>PC12</t>
  </si>
  <si>
    <t>OE-EPM</t>
  </si>
  <si>
    <t>154+6 INF</t>
  </si>
  <si>
    <t>174+3 INF</t>
  </si>
  <si>
    <t>154+4 INF</t>
  </si>
  <si>
    <t>77+2 INF</t>
  </si>
  <si>
    <t>159+8 INF</t>
  </si>
  <si>
    <t>115+1 INF</t>
  </si>
  <si>
    <t>123+5 INF</t>
  </si>
  <si>
    <t>175+5 INF</t>
  </si>
  <si>
    <t>116+1 INF</t>
  </si>
  <si>
    <t>140+6 INF</t>
  </si>
  <si>
    <t>58+1 INF</t>
  </si>
  <si>
    <t>163+4 INF</t>
  </si>
  <si>
    <t>125+4 INF</t>
  </si>
  <si>
    <t>67+1 INF</t>
  </si>
  <si>
    <t>52+1 INF</t>
  </si>
  <si>
    <t>76+2 INF</t>
  </si>
  <si>
    <t>172+7 INF</t>
  </si>
  <si>
    <t>42+1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</si>
</sst>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name val="Garamond"/>
      <family val="1"/>
      <charset val="238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20" fontId="5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20" fontId="6" fillId="0" borderId="0" xfId="0" applyNumberFormat="1" applyFont="1" applyFill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2" fillId="0" borderId="0" xfId="1" applyNumberFormat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7" fillId="0" borderId="0" xfId="0" applyFont="1"/>
    <xf numFmtId="0" fontId="3" fillId="0" borderId="0" xfId="0" applyNumberFormat="1" applyFont="1" applyAlignment="1">
      <alignment horizont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E1" workbookViewId="0">
      <selection sqref="A1:U8"/>
    </sheetView>
  </sheetViews>
  <sheetFormatPr defaultRowHeight="15" x14ac:dyDescent="0.25"/>
  <cols>
    <col min="1" max="1" width="10.140625" bestFit="1" customWidth="1"/>
    <col min="2" max="2" width="9.7109375" customWidth="1"/>
    <col min="3" max="3" width="14.28515625" customWidth="1"/>
    <col min="6" max="6" width="13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44713</v>
      </c>
      <c r="B2" s="3" t="s">
        <v>21</v>
      </c>
      <c r="C2" s="3" t="s">
        <v>22</v>
      </c>
      <c r="D2" s="3" t="s">
        <v>29</v>
      </c>
      <c r="E2" s="3" t="s">
        <v>30</v>
      </c>
      <c r="F2" s="1" t="s">
        <v>33</v>
      </c>
      <c r="G2" s="3">
        <v>70000</v>
      </c>
      <c r="H2" s="3" t="s">
        <v>34</v>
      </c>
      <c r="I2" s="3" t="s">
        <v>35</v>
      </c>
      <c r="J2" s="4">
        <v>0.43055555555555558</v>
      </c>
      <c r="K2" s="5">
        <v>0.4604166666666667</v>
      </c>
      <c r="L2" s="4">
        <v>0.25694444444444448</v>
      </c>
      <c r="M2" s="5">
        <v>0.25347222222222221</v>
      </c>
      <c r="N2" s="3" t="s">
        <v>54</v>
      </c>
      <c r="O2" s="3" t="s">
        <v>51</v>
      </c>
      <c r="P2" s="3">
        <v>716</v>
      </c>
      <c r="Q2" s="3">
        <v>508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44713</v>
      </c>
      <c r="B3" s="3" t="s">
        <v>21</v>
      </c>
      <c r="C3" s="3" t="s">
        <v>23</v>
      </c>
      <c r="D3" s="3" t="s">
        <v>29</v>
      </c>
      <c r="E3" s="3" t="s">
        <v>31</v>
      </c>
      <c r="F3" s="1" t="s">
        <v>33</v>
      </c>
      <c r="G3" s="3">
        <v>70000</v>
      </c>
      <c r="H3" s="3" t="s">
        <v>36</v>
      </c>
      <c r="I3" s="3" t="s">
        <v>37</v>
      </c>
      <c r="J3" s="4">
        <v>0.51388888888888895</v>
      </c>
      <c r="K3" s="5">
        <v>0.60277777777777775</v>
      </c>
      <c r="L3" s="4">
        <v>0.28125</v>
      </c>
      <c r="M3" s="5">
        <v>0.38958333333333334</v>
      </c>
      <c r="N3" s="3" t="s">
        <v>57</v>
      </c>
      <c r="O3" s="3" t="s">
        <v>53</v>
      </c>
      <c r="P3" s="3">
        <v>278</v>
      </c>
      <c r="Q3" s="3">
        <v>1029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44713</v>
      </c>
      <c r="B4" s="3" t="s">
        <v>21</v>
      </c>
      <c r="C4" s="3" t="s">
        <v>24</v>
      </c>
      <c r="D4" s="3" t="s">
        <v>29</v>
      </c>
      <c r="E4" s="3" t="s">
        <v>30</v>
      </c>
      <c r="F4" s="1" t="s">
        <v>33</v>
      </c>
      <c r="G4" s="3">
        <v>70000</v>
      </c>
      <c r="H4" s="3" t="s">
        <v>38</v>
      </c>
      <c r="I4" s="3" t="s">
        <v>39</v>
      </c>
      <c r="J4" s="4">
        <v>0.60069444444444442</v>
      </c>
      <c r="K4" s="5">
        <v>0.6333333333333333</v>
      </c>
      <c r="L4" s="4">
        <v>0.4513888888888889</v>
      </c>
      <c r="M4" s="5">
        <v>0.49652777777777773</v>
      </c>
      <c r="N4" s="3" t="s">
        <v>60</v>
      </c>
      <c r="O4" s="3" t="s">
        <v>55</v>
      </c>
      <c r="P4" s="3">
        <v>654</v>
      </c>
      <c r="Q4" s="3">
        <v>698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44713</v>
      </c>
      <c r="B5" s="3" t="s">
        <v>21</v>
      </c>
      <c r="C5" s="3" t="s">
        <v>25</v>
      </c>
      <c r="D5" s="3" t="s">
        <v>29</v>
      </c>
      <c r="E5" s="3" t="s">
        <v>32</v>
      </c>
      <c r="F5" s="1" t="s">
        <v>33</v>
      </c>
      <c r="G5" s="3">
        <v>70000</v>
      </c>
      <c r="H5" s="3" t="s">
        <v>41</v>
      </c>
      <c r="I5" s="3" t="s">
        <v>42</v>
      </c>
      <c r="J5" s="4">
        <v>0.69791666666666663</v>
      </c>
      <c r="K5" s="5">
        <v>0.69444444444444453</v>
      </c>
      <c r="L5" s="4">
        <v>0.54166666666666663</v>
      </c>
      <c r="M5" s="5">
        <v>0.53819444444444442</v>
      </c>
      <c r="N5" s="3" t="s">
        <v>61</v>
      </c>
      <c r="O5" s="3" t="s">
        <v>56</v>
      </c>
      <c r="P5" s="3">
        <v>298</v>
      </c>
      <c r="Q5" s="3">
        <v>242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44713</v>
      </c>
      <c r="B6" s="3" t="s">
        <v>21</v>
      </c>
      <c r="C6" s="3" t="s">
        <v>26</v>
      </c>
      <c r="D6" s="3" t="s">
        <v>29</v>
      </c>
      <c r="E6" s="3" t="s">
        <v>30</v>
      </c>
      <c r="F6" s="1" t="s">
        <v>33</v>
      </c>
      <c r="G6" s="3">
        <v>70000</v>
      </c>
      <c r="H6" s="3" t="s">
        <v>43</v>
      </c>
      <c r="I6" s="3" t="s">
        <v>44</v>
      </c>
      <c r="J6" s="4">
        <v>0.74652777777777779</v>
      </c>
      <c r="K6" s="5">
        <v>0.7993055555555556</v>
      </c>
      <c r="L6" s="4">
        <v>0.63194444444444442</v>
      </c>
      <c r="M6" s="5">
        <v>0.69513888888888886</v>
      </c>
      <c r="N6" s="3" t="s">
        <v>59</v>
      </c>
      <c r="O6" s="3" t="s">
        <v>62</v>
      </c>
      <c r="P6" s="3">
        <v>700</v>
      </c>
      <c r="Q6" s="3">
        <v>253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44713</v>
      </c>
      <c r="B7" s="3" t="s">
        <v>21</v>
      </c>
      <c r="C7" s="3" t="s">
        <v>27</v>
      </c>
      <c r="D7" s="3" t="s">
        <v>29</v>
      </c>
      <c r="E7" s="3" t="s">
        <v>32</v>
      </c>
      <c r="F7" s="1" t="s">
        <v>33</v>
      </c>
      <c r="G7" s="3">
        <v>70000</v>
      </c>
      <c r="H7" s="3" t="s">
        <v>45</v>
      </c>
      <c r="I7" s="3" t="s">
        <v>46</v>
      </c>
      <c r="J7" s="4">
        <v>0.90277777777777779</v>
      </c>
      <c r="K7" s="5">
        <v>0.98402777777777783</v>
      </c>
      <c r="L7" s="4">
        <v>0.71875</v>
      </c>
      <c r="M7" s="5">
        <v>0.75624999999999998</v>
      </c>
      <c r="N7" s="3" t="s">
        <v>65</v>
      </c>
      <c r="O7" s="3" t="s">
        <v>63</v>
      </c>
      <c r="P7" s="3">
        <v>728</v>
      </c>
      <c r="Q7" s="3">
        <v>603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44713</v>
      </c>
      <c r="B8" s="3" t="s">
        <v>21</v>
      </c>
      <c r="C8" s="3" t="s">
        <v>28</v>
      </c>
      <c r="D8" s="3" t="s">
        <v>29</v>
      </c>
      <c r="E8" s="3" t="s">
        <v>30</v>
      </c>
      <c r="F8" s="1" t="s">
        <v>33</v>
      </c>
      <c r="G8" s="3">
        <v>70000</v>
      </c>
      <c r="H8" s="3" t="s">
        <v>47</v>
      </c>
      <c r="I8" s="3" t="s">
        <v>48</v>
      </c>
      <c r="J8" s="4">
        <v>0.9375</v>
      </c>
      <c r="K8" s="5">
        <v>0.94166666666666676</v>
      </c>
      <c r="L8" s="4">
        <v>0.76736111111111116</v>
      </c>
      <c r="M8" s="5">
        <v>0.82986111111111116</v>
      </c>
      <c r="N8" s="3" t="s">
        <v>66</v>
      </c>
      <c r="O8" s="3" t="s">
        <v>64</v>
      </c>
      <c r="P8" s="3">
        <v>633</v>
      </c>
      <c r="Q8" s="3">
        <v>666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44713</v>
      </c>
      <c r="B9" s="3" t="s">
        <v>21</v>
      </c>
      <c r="C9" s="3" t="s">
        <v>58</v>
      </c>
      <c r="D9" s="3" t="s">
        <v>29</v>
      </c>
      <c r="E9" s="3" t="s">
        <v>31</v>
      </c>
      <c r="F9" s="3" t="s">
        <v>40</v>
      </c>
      <c r="G9" s="3">
        <v>70000</v>
      </c>
      <c r="H9" s="3" t="s">
        <v>49</v>
      </c>
      <c r="I9" s="3" t="s">
        <v>50</v>
      </c>
      <c r="J9" s="4">
        <v>0.35416666666666669</v>
      </c>
      <c r="K9" s="5">
        <v>0.35416666666666669</v>
      </c>
      <c r="L9" s="4">
        <v>0.625</v>
      </c>
      <c r="M9" s="5">
        <v>0.62638888888888888</v>
      </c>
      <c r="N9" s="3" t="s">
        <v>52</v>
      </c>
      <c r="O9" s="3" t="s">
        <v>52</v>
      </c>
      <c r="P9" s="3" t="s">
        <v>52</v>
      </c>
      <c r="Q9" s="3" t="s">
        <v>52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O6" sqref="O6"/>
    </sheetView>
  </sheetViews>
  <sheetFormatPr defaultRowHeight="15" x14ac:dyDescent="0.25"/>
  <cols>
    <col min="2" max="2" width="25.140625" customWidth="1"/>
    <col min="3" max="3" width="19.28515625" customWidth="1"/>
    <col min="6" max="6" width="2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44714</v>
      </c>
      <c r="B2" s="3" t="s">
        <v>21</v>
      </c>
      <c r="C2" s="3" t="s">
        <v>67</v>
      </c>
      <c r="D2" s="3" t="s">
        <v>29</v>
      </c>
      <c r="E2" s="3" t="s">
        <v>32</v>
      </c>
      <c r="F2" s="1" t="s">
        <v>33</v>
      </c>
      <c r="G2" s="3">
        <v>70000</v>
      </c>
      <c r="H2" s="3" t="s">
        <v>73</v>
      </c>
      <c r="I2" s="3" t="s">
        <v>74</v>
      </c>
      <c r="J2" s="4">
        <v>0.45833333333333331</v>
      </c>
      <c r="K2" s="5">
        <v>0.44444444444444442</v>
      </c>
      <c r="L2" s="4">
        <v>0.25694444444444448</v>
      </c>
      <c r="M2" s="5">
        <v>0.25347222222222221</v>
      </c>
      <c r="N2" s="3" t="s">
        <v>91</v>
      </c>
      <c r="O2" s="3" t="s">
        <v>85</v>
      </c>
      <c r="P2" s="3">
        <v>309</v>
      </c>
      <c r="Q2" s="3">
        <v>151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44714</v>
      </c>
      <c r="B3" s="3" t="s">
        <v>21</v>
      </c>
      <c r="C3" s="3" t="s">
        <v>68</v>
      </c>
      <c r="D3" s="3" t="s">
        <v>29</v>
      </c>
      <c r="E3" s="3" t="s">
        <v>30</v>
      </c>
      <c r="F3" s="1" t="s">
        <v>33</v>
      </c>
      <c r="G3" s="3">
        <v>70000</v>
      </c>
      <c r="H3" s="3" t="s">
        <v>75</v>
      </c>
      <c r="I3" s="3" t="s">
        <v>76</v>
      </c>
      <c r="J3" s="4">
        <v>0.46875</v>
      </c>
      <c r="K3" s="5">
        <v>0.48680555555555555</v>
      </c>
      <c r="L3" s="4">
        <v>0.28125</v>
      </c>
      <c r="M3" s="5">
        <v>0.28194444444444444</v>
      </c>
      <c r="N3" s="3" t="s">
        <v>92</v>
      </c>
      <c r="O3" s="3" t="s">
        <v>86</v>
      </c>
      <c r="P3" s="3">
        <v>1005</v>
      </c>
      <c r="Q3" s="3">
        <v>787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44714</v>
      </c>
      <c r="B4" s="3" t="s">
        <v>21</v>
      </c>
      <c r="C4" s="3" t="s">
        <v>69</v>
      </c>
      <c r="D4" s="3" t="s">
        <v>29</v>
      </c>
      <c r="E4" s="3" t="s">
        <v>32</v>
      </c>
      <c r="F4" s="1" t="s">
        <v>33</v>
      </c>
      <c r="G4" s="3">
        <v>70000</v>
      </c>
      <c r="H4" s="3" t="s">
        <v>77</v>
      </c>
      <c r="I4" s="3" t="s">
        <v>78</v>
      </c>
      <c r="J4" s="4">
        <v>0.65277777777777779</v>
      </c>
      <c r="K4" s="5">
        <v>0.64444444444444449</v>
      </c>
      <c r="L4" s="4">
        <v>0.50347222222222221</v>
      </c>
      <c r="M4" s="5">
        <v>0.50694444444444442</v>
      </c>
      <c r="N4" s="3" t="s">
        <v>100</v>
      </c>
      <c r="O4" s="3" t="s">
        <v>98</v>
      </c>
      <c r="P4" s="3">
        <v>612</v>
      </c>
      <c r="Q4" s="3">
        <v>271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44714</v>
      </c>
      <c r="B5" s="3" t="s">
        <v>21</v>
      </c>
      <c r="C5" s="3" t="s">
        <v>70</v>
      </c>
      <c r="D5" s="3" t="s">
        <v>29</v>
      </c>
      <c r="E5" s="3" t="s">
        <v>30</v>
      </c>
      <c r="F5" s="1" t="s">
        <v>33</v>
      </c>
      <c r="G5" s="3">
        <v>70000</v>
      </c>
      <c r="H5" s="3" t="s">
        <v>79</v>
      </c>
      <c r="I5" s="3" t="s">
        <v>80</v>
      </c>
      <c r="J5" s="4">
        <v>0.67013888888888884</v>
      </c>
      <c r="K5" s="5">
        <v>0.71805555555555556</v>
      </c>
      <c r="L5" s="4">
        <v>0.51736111111111105</v>
      </c>
      <c r="M5" s="5">
        <v>0.54166666666666663</v>
      </c>
      <c r="N5" s="3" t="s">
        <v>101</v>
      </c>
      <c r="O5" s="3" t="s">
        <v>99</v>
      </c>
      <c r="P5" s="3">
        <v>265</v>
      </c>
      <c r="Q5" s="3">
        <v>148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44714</v>
      </c>
      <c r="B6" s="3" t="s">
        <v>21</v>
      </c>
      <c r="C6" s="3" t="s">
        <v>71</v>
      </c>
      <c r="D6" s="3" t="s">
        <v>29</v>
      </c>
      <c r="E6" s="3" t="s">
        <v>32</v>
      </c>
      <c r="F6" s="1" t="s">
        <v>33</v>
      </c>
      <c r="G6" s="3">
        <v>70000</v>
      </c>
      <c r="H6" s="3" t="s">
        <v>81</v>
      </c>
      <c r="I6" s="3" t="s">
        <v>82</v>
      </c>
      <c r="J6" s="4">
        <v>0.89930555555555547</v>
      </c>
      <c r="K6" s="5">
        <v>0.89930555555555547</v>
      </c>
      <c r="L6" s="4">
        <v>0.68055555555555547</v>
      </c>
      <c r="M6" s="5">
        <v>0.69652777777777775</v>
      </c>
      <c r="N6" s="3" t="s">
        <v>103</v>
      </c>
      <c r="O6" s="3" t="s">
        <v>102</v>
      </c>
      <c r="P6" s="3">
        <v>363</v>
      </c>
      <c r="Q6" s="3">
        <v>125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44714</v>
      </c>
      <c r="B7" s="3" t="s">
        <v>21</v>
      </c>
      <c r="C7" s="3" t="s">
        <v>72</v>
      </c>
      <c r="D7" s="3" t="s">
        <v>29</v>
      </c>
      <c r="E7" s="3" t="s">
        <v>30</v>
      </c>
      <c r="F7" s="1" t="s">
        <v>33</v>
      </c>
      <c r="G7" s="3">
        <v>70000</v>
      </c>
      <c r="H7" s="3" t="s">
        <v>83</v>
      </c>
      <c r="I7" s="3" t="s">
        <v>84</v>
      </c>
      <c r="J7" s="4">
        <v>0.93402777777777779</v>
      </c>
      <c r="K7" s="5">
        <v>0.97499999999999998</v>
      </c>
      <c r="L7" s="4">
        <v>0.69791666666666663</v>
      </c>
      <c r="M7" s="5">
        <v>0.76388888888888884</v>
      </c>
      <c r="N7" s="3" t="s">
        <v>105</v>
      </c>
      <c r="O7" s="3" t="s">
        <v>104</v>
      </c>
      <c r="P7" s="3">
        <v>485</v>
      </c>
      <c r="Q7" s="3">
        <v>573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44714</v>
      </c>
      <c r="B8" s="3" t="s">
        <v>87</v>
      </c>
      <c r="C8" s="3" t="s">
        <v>106</v>
      </c>
      <c r="D8" s="3" t="s">
        <v>88</v>
      </c>
      <c r="E8" s="3" t="s">
        <v>89</v>
      </c>
      <c r="F8" s="3" t="s">
        <v>90</v>
      </c>
      <c r="G8" s="6">
        <v>33200</v>
      </c>
      <c r="H8" s="3" t="s">
        <v>52</v>
      </c>
      <c r="I8" s="3" t="s">
        <v>89</v>
      </c>
      <c r="J8" s="5" t="s">
        <v>52</v>
      </c>
      <c r="K8" s="3" t="s">
        <v>52</v>
      </c>
      <c r="L8" s="4">
        <v>0.4548611111111111</v>
      </c>
      <c r="M8" s="5">
        <v>0.47222222222222227</v>
      </c>
      <c r="N8" s="3" t="s">
        <v>52</v>
      </c>
      <c r="O8" s="3">
        <v>2</v>
      </c>
      <c r="P8" s="3" t="s">
        <v>52</v>
      </c>
      <c r="Q8" s="3" t="s">
        <v>52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44714</v>
      </c>
      <c r="B9" s="3" t="s">
        <v>93</v>
      </c>
      <c r="C9" s="3" t="s">
        <v>94</v>
      </c>
      <c r="D9" s="3" t="s">
        <v>95</v>
      </c>
      <c r="E9" s="3" t="s">
        <v>97</v>
      </c>
      <c r="F9" s="3" t="s">
        <v>96</v>
      </c>
      <c r="G9" s="3">
        <v>1250</v>
      </c>
      <c r="H9" s="3" t="s">
        <v>52</v>
      </c>
      <c r="I9" s="3" t="s">
        <v>52</v>
      </c>
      <c r="J9" s="4">
        <v>0.5</v>
      </c>
      <c r="K9" s="5">
        <v>0.5083333333333333</v>
      </c>
      <c r="L9" s="4">
        <v>0.51041666666666663</v>
      </c>
      <c r="M9" s="5">
        <v>0.52500000000000002</v>
      </c>
      <c r="N9" s="3" t="s">
        <v>52</v>
      </c>
      <c r="O9" s="3" t="s">
        <v>52</v>
      </c>
      <c r="P9" s="3" t="s">
        <v>52</v>
      </c>
      <c r="Q9" s="3" t="s">
        <v>52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B8" sqref="B8:U8"/>
    </sheetView>
  </sheetViews>
  <sheetFormatPr defaultRowHeight="15" x14ac:dyDescent="0.25"/>
  <cols>
    <col min="1" max="1" width="10.140625" bestFit="1" customWidth="1"/>
    <col min="2" max="2" width="20.7109375" customWidth="1"/>
    <col min="3" max="3" width="14.28515625" customWidth="1"/>
    <col min="6" max="6" width="2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44715</v>
      </c>
      <c r="B2" s="3" t="s">
        <v>21</v>
      </c>
      <c r="C2" s="3" t="s">
        <v>22</v>
      </c>
      <c r="D2" s="3" t="s">
        <v>29</v>
      </c>
      <c r="E2" s="3" t="s">
        <v>32</v>
      </c>
      <c r="F2" s="1" t="s">
        <v>33</v>
      </c>
      <c r="G2" s="3">
        <v>70000</v>
      </c>
      <c r="H2" s="3" t="s">
        <v>34</v>
      </c>
      <c r="I2" s="3" t="s">
        <v>35</v>
      </c>
      <c r="J2" s="4">
        <v>0.44097222222222227</v>
      </c>
      <c r="K2" s="5">
        <v>0.4291666666666667</v>
      </c>
      <c r="L2" s="4">
        <v>0.25694444444444448</v>
      </c>
      <c r="M2" s="5">
        <f>L2</f>
        <v>0.25694444444444448</v>
      </c>
      <c r="N2" s="3" t="s">
        <v>109</v>
      </c>
      <c r="O2" s="3" t="s">
        <v>108</v>
      </c>
      <c r="P2" s="3">
        <v>633</v>
      </c>
      <c r="Q2" s="3">
        <v>831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44715</v>
      </c>
      <c r="B3" s="3" t="s">
        <v>21</v>
      </c>
      <c r="C3" s="3" t="s">
        <v>24</v>
      </c>
      <c r="D3" s="3" t="s">
        <v>29</v>
      </c>
      <c r="E3" s="3" t="s">
        <v>107</v>
      </c>
      <c r="F3" s="1" t="s">
        <v>33</v>
      </c>
      <c r="G3" s="3">
        <v>70000</v>
      </c>
      <c r="H3" s="3" t="s">
        <v>38</v>
      </c>
      <c r="I3" s="3" t="s">
        <v>39</v>
      </c>
      <c r="J3" s="4">
        <v>0.61111111111111105</v>
      </c>
      <c r="K3" s="5">
        <v>0.61111111111111105</v>
      </c>
      <c r="L3" s="4">
        <v>0.46180555555555558</v>
      </c>
      <c r="M3" s="5">
        <v>0.47916666666666669</v>
      </c>
      <c r="N3" s="3" t="s">
        <v>112</v>
      </c>
      <c r="O3" s="3" t="s">
        <v>110</v>
      </c>
      <c r="P3" s="3">
        <v>950</v>
      </c>
      <c r="Q3" s="3">
        <v>615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44715</v>
      </c>
      <c r="B4" s="3" t="s">
        <v>21</v>
      </c>
      <c r="C4" s="3" t="s">
        <v>23</v>
      </c>
      <c r="D4" s="3" t="s">
        <v>29</v>
      </c>
      <c r="E4" s="3" t="s">
        <v>30</v>
      </c>
      <c r="F4" s="1" t="s">
        <v>33</v>
      </c>
      <c r="G4" s="3">
        <v>70000</v>
      </c>
      <c r="H4" s="3" t="s">
        <v>36</v>
      </c>
      <c r="I4" s="3" t="s">
        <v>37</v>
      </c>
      <c r="J4" s="4">
        <v>0.72916666666666663</v>
      </c>
      <c r="K4" s="5">
        <v>0.71944444444444444</v>
      </c>
      <c r="L4" s="4">
        <v>0.5</v>
      </c>
      <c r="M4" s="5">
        <v>0.50694444444444442</v>
      </c>
      <c r="N4" s="3" t="s">
        <v>114</v>
      </c>
      <c r="O4" s="3" t="s">
        <v>111</v>
      </c>
      <c r="P4" s="3">
        <v>854</v>
      </c>
      <c r="Q4" s="3">
        <v>285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44715</v>
      </c>
      <c r="B5" s="3" t="s">
        <v>21</v>
      </c>
      <c r="C5" s="3" t="s">
        <v>26</v>
      </c>
      <c r="D5" s="3" t="s">
        <v>29</v>
      </c>
      <c r="E5" s="3" t="str">
        <f>E3</f>
        <v>HA-LPL</v>
      </c>
      <c r="F5" s="1" t="s">
        <v>33</v>
      </c>
      <c r="G5" s="3">
        <v>70000</v>
      </c>
      <c r="H5" s="3" t="s">
        <v>43</v>
      </c>
      <c r="I5" s="3" t="s">
        <v>44</v>
      </c>
      <c r="J5" s="4">
        <v>0.75694444444444453</v>
      </c>
      <c r="K5" s="5">
        <v>0.76041666666666663</v>
      </c>
      <c r="L5" s="4">
        <v>0.64236111111111105</v>
      </c>
      <c r="M5" s="5">
        <v>0.64097222222222217</v>
      </c>
      <c r="N5" s="3" t="s">
        <v>115</v>
      </c>
      <c r="O5" s="3" t="s">
        <v>113</v>
      </c>
      <c r="P5" s="3">
        <v>403</v>
      </c>
      <c r="Q5" s="3">
        <v>533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44715</v>
      </c>
      <c r="B6" s="3" t="s">
        <v>21</v>
      </c>
      <c r="C6" s="3" t="s">
        <v>27</v>
      </c>
      <c r="D6" s="3" t="s">
        <v>29</v>
      </c>
      <c r="E6" s="3" t="str">
        <f>E4</f>
        <v>HA-LYA</v>
      </c>
      <c r="F6" s="1" t="s">
        <v>33</v>
      </c>
      <c r="G6" s="3">
        <v>70000</v>
      </c>
      <c r="H6" s="3" t="s">
        <v>45</v>
      </c>
      <c r="I6" s="3" t="s">
        <v>46</v>
      </c>
      <c r="J6" s="4">
        <v>0.94097222222222221</v>
      </c>
      <c r="K6" s="5">
        <v>0.97986111111111107</v>
      </c>
      <c r="L6" s="4">
        <v>0.75694444444444453</v>
      </c>
      <c r="M6" s="5">
        <v>0.80625000000000002</v>
      </c>
      <c r="N6" s="3" t="s">
        <v>126</v>
      </c>
      <c r="O6" s="3" t="s">
        <v>116</v>
      </c>
      <c r="P6" s="3">
        <v>1145</v>
      </c>
      <c r="Q6" s="3">
        <v>540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44715</v>
      </c>
      <c r="B7" s="3" t="s">
        <v>21</v>
      </c>
      <c r="C7" s="3" t="s">
        <v>28</v>
      </c>
      <c r="D7" s="3" t="s">
        <v>29</v>
      </c>
      <c r="E7" s="3" t="str">
        <f>E5</f>
        <v>HA-LPL</v>
      </c>
      <c r="F7" s="1" t="s">
        <v>33</v>
      </c>
      <c r="G7" s="3">
        <v>70000</v>
      </c>
      <c r="H7" s="3" t="s">
        <v>47</v>
      </c>
      <c r="I7" s="3" t="s">
        <v>48</v>
      </c>
      <c r="J7" s="4">
        <v>0.97569444444444453</v>
      </c>
      <c r="K7" s="5">
        <v>0.9604166666666667</v>
      </c>
      <c r="L7" s="4">
        <v>0.77777777777777779</v>
      </c>
      <c r="M7" s="5">
        <v>0.78888888888888886</v>
      </c>
      <c r="N7" s="3" t="s">
        <v>125</v>
      </c>
      <c r="O7" s="3" t="s">
        <v>117</v>
      </c>
      <c r="P7" s="3">
        <v>592</v>
      </c>
      <c r="Q7" s="3">
        <v>730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44715</v>
      </c>
      <c r="B8" s="3" t="s">
        <v>118</v>
      </c>
      <c r="C8" s="3" t="s">
        <v>119</v>
      </c>
      <c r="D8" s="3" t="s">
        <v>120</v>
      </c>
      <c r="E8" s="3" t="s">
        <v>121</v>
      </c>
      <c r="F8" s="1" t="s">
        <v>122</v>
      </c>
      <c r="G8" s="3">
        <v>1088</v>
      </c>
      <c r="H8" s="3" t="s">
        <v>123</v>
      </c>
      <c r="I8" s="3" t="s">
        <v>52</v>
      </c>
      <c r="J8" s="4">
        <v>0.89583333333333337</v>
      </c>
      <c r="K8" s="5">
        <v>0.92986111111111114</v>
      </c>
      <c r="L8" s="4" t="s">
        <v>124</v>
      </c>
      <c r="M8" s="5" t="s">
        <v>52</v>
      </c>
      <c r="N8" s="3" t="s">
        <v>52</v>
      </c>
      <c r="O8" s="3" t="s">
        <v>52</v>
      </c>
      <c r="P8" s="3" t="s">
        <v>52</v>
      </c>
      <c r="Q8" s="3" t="s">
        <v>52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44715</v>
      </c>
      <c r="B9" s="3" t="s">
        <v>21</v>
      </c>
      <c r="C9" s="3" t="s">
        <v>127</v>
      </c>
      <c r="D9" s="3" t="s">
        <v>29</v>
      </c>
      <c r="E9" s="3" t="s">
        <v>128</v>
      </c>
      <c r="F9" s="3" t="s">
        <v>129</v>
      </c>
      <c r="G9" s="3">
        <v>70000</v>
      </c>
      <c r="H9" s="3" t="s">
        <v>130</v>
      </c>
      <c r="I9" s="3" t="s">
        <v>52</v>
      </c>
      <c r="J9" s="4">
        <v>4.1666666666666664E-2</v>
      </c>
      <c r="K9" s="5">
        <v>3.1944444444444449E-2</v>
      </c>
      <c r="L9" s="4" t="s">
        <v>52</v>
      </c>
      <c r="M9" s="5" t="s">
        <v>52</v>
      </c>
      <c r="N9" s="3" t="s">
        <v>131</v>
      </c>
      <c r="O9" s="3" t="s">
        <v>52</v>
      </c>
      <c r="P9" s="3">
        <v>553</v>
      </c>
      <c r="Q9" s="3" t="s">
        <v>52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H32" sqref="H32"/>
    </sheetView>
  </sheetViews>
  <sheetFormatPr defaultRowHeight="15" x14ac:dyDescent="0.25"/>
  <cols>
    <col min="1" max="1" width="10.7109375" customWidth="1"/>
    <col min="2" max="2" width="21" customWidth="1"/>
    <col min="3" max="3" width="16.5703125" customWidth="1"/>
    <col min="5" max="5" width="10.140625" customWidth="1"/>
    <col min="6" max="6" width="15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44716</v>
      </c>
      <c r="B2" s="3" t="s">
        <v>21</v>
      </c>
      <c r="C2" s="3" t="s">
        <v>67</v>
      </c>
      <c r="D2" s="3" t="s">
        <v>29</v>
      </c>
      <c r="E2" s="3" t="s">
        <v>107</v>
      </c>
      <c r="F2" s="3" t="s">
        <v>33</v>
      </c>
      <c r="G2" s="6">
        <v>70000</v>
      </c>
      <c r="H2" s="3" t="s">
        <v>74</v>
      </c>
      <c r="I2" s="3" t="s">
        <v>73</v>
      </c>
      <c r="J2" s="4">
        <v>0.45833333333333331</v>
      </c>
      <c r="K2" s="5">
        <v>0.45277777777777778</v>
      </c>
      <c r="L2" s="4">
        <v>0.25694444444444448</v>
      </c>
      <c r="M2" s="5">
        <v>0.25486111111111109</v>
      </c>
      <c r="N2" s="3" t="s">
        <v>148</v>
      </c>
      <c r="O2" s="3" t="s">
        <v>138</v>
      </c>
      <c r="P2" s="7">
        <v>773</v>
      </c>
      <c r="Q2" s="3">
        <v>167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44716</v>
      </c>
      <c r="B3" s="3" t="s">
        <v>21</v>
      </c>
      <c r="C3" s="3" t="s">
        <v>142</v>
      </c>
      <c r="D3" s="3" t="s">
        <v>141</v>
      </c>
      <c r="E3" s="3" t="s">
        <v>140</v>
      </c>
      <c r="F3" s="3" t="s">
        <v>143</v>
      </c>
      <c r="G3" s="6">
        <v>70000</v>
      </c>
      <c r="H3" s="3" t="s">
        <v>139</v>
      </c>
      <c r="I3" s="3" t="s">
        <v>139</v>
      </c>
      <c r="J3" s="4">
        <v>0.2951388888888889</v>
      </c>
      <c r="K3" s="5">
        <v>0.29236111111111113</v>
      </c>
      <c r="L3" s="4">
        <v>0.31597222222222221</v>
      </c>
      <c r="M3" s="5">
        <v>0.35555555555555557</v>
      </c>
      <c r="N3" s="3">
        <v>0</v>
      </c>
      <c r="O3" s="3">
        <v>0</v>
      </c>
      <c r="P3" s="7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44716</v>
      </c>
      <c r="B4" s="3" t="s">
        <v>21</v>
      </c>
      <c r="C4" s="3" t="s">
        <v>132</v>
      </c>
      <c r="D4" s="3" t="s">
        <v>29</v>
      </c>
      <c r="E4" s="3" t="s">
        <v>30</v>
      </c>
      <c r="F4" s="3" t="s">
        <v>33</v>
      </c>
      <c r="G4" s="6">
        <v>70000</v>
      </c>
      <c r="H4" s="3" t="s">
        <v>133</v>
      </c>
      <c r="I4" s="3" t="s">
        <v>134</v>
      </c>
      <c r="J4" s="4">
        <v>0.47222222222222227</v>
      </c>
      <c r="K4" s="5">
        <v>0.48819444444444443</v>
      </c>
      <c r="L4" s="4">
        <v>0.28125</v>
      </c>
      <c r="M4" s="5">
        <v>0.30694444444444441</v>
      </c>
      <c r="N4" s="3" t="s">
        <v>149</v>
      </c>
      <c r="O4" s="3" t="s">
        <v>144</v>
      </c>
      <c r="P4" s="7">
        <v>906</v>
      </c>
      <c r="Q4" s="3">
        <v>797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44716</v>
      </c>
      <c r="B5" s="3" t="s">
        <v>21</v>
      </c>
      <c r="C5" s="3" t="s">
        <v>68</v>
      </c>
      <c r="D5" s="3" t="s">
        <v>29</v>
      </c>
      <c r="E5" s="3" t="s">
        <v>107</v>
      </c>
      <c r="F5" s="3" t="s">
        <v>33</v>
      </c>
      <c r="G5" s="6">
        <v>70000</v>
      </c>
      <c r="H5" s="3" t="s">
        <v>75</v>
      </c>
      <c r="I5" s="3" t="s">
        <v>76</v>
      </c>
      <c r="J5" s="4">
        <v>0.91319444444444453</v>
      </c>
      <c r="K5" s="5">
        <v>0.97569444444444453</v>
      </c>
      <c r="L5" s="4">
        <v>0.49305555555555558</v>
      </c>
      <c r="M5" s="5">
        <v>0.49861111111111112</v>
      </c>
      <c r="N5" s="3" t="s">
        <v>154</v>
      </c>
      <c r="O5" s="3" t="s">
        <v>150</v>
      </c>
      <c r="P5" s="3">
        <v>955</v>
      </c>
      <c r="Q5" s="3">
        <v>1231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44716</v>
      </c>
      <c r="B6" s="3" t="s">
        <v>21</v>
      </c>
      <c r="C6" s="3" t="s">
        <v>135</v>
      </c>
      <c r="D6" s="3" t="s">
        <v>29</v>
      </c>
      <c r="E6" s="3" t="s">
        <v>30</v>
      </c>
      <c r="F6" s="3" t="s">
        <v>33</v>
      </c>
      <c r="G6" s="6">
        <v>70000</v>
      </c>
      <c r="H6" s="3" t="s">
        <v>136</v>
      </c>
      <c r="I6" s="3" t="s">
        <v>137</v>
      </c>
      <c r="J6" s="4">
        <v>0.91319444444444453</v>
      </c>
      <c r="K6" s="5">
        <v>0.92847222222222225</v>
      </c>
      <c r="L6" s="4">
        <v>0.50347222222222221</v>
      </c>
      <c r="M6" s="5">
        <v>0.52986111111111112</v>
      </c>
      <c r="N6" s="3" t="s">
        <v>153</v>
      </c>
      <c r="O6" s="3" t="s">
        <v>151</v>
      </c>
      <c r="P6" s="3">
        <v>847</v>
      </c>
      <c r="Q6" s="3">
        <v>767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44716</v>
      </c>
      <c r="B7" s="3" t="s">
        <v>21</v>
      </c>
      <c r="C7" s="3" t="s">
        <v>145</v>
      </c>
      <c r="D7" s="3" t="s">
        <v>29</v>
      </c>
      <c r="E7" s="3" t="s">
        <v>128</v>
      </c>
      <c r="F7" s="3" t="s">
        <v>146</v>
      </c>
      <c r="G7" s="6">
        <v>70000</v>
      </c>
      <c r="H7" s="3" t="s">
        <v>52</v>
      </c>
      <c r="I7" s="3" t="s">
        <v>147</v>
      </c>
      <c r="J7" s="4" t="s">
        <v>52</v>
      </c>
      <c r="K7" s="5" t="s">
        <v>52</v>
      </c>
      <c r="L7" s="4">
        <v>0.49305555555555558</v>
      </c>
      <c r="M7" s="5">
        <v>0.54583333333333328</v>
      </c>
      <c r="N7" s="3">
        <v>0</v>
      </c>
      <c r="O7" s="3">
        <v>0</v>
      </c>
      <c r="P7" s="7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44716</v>
      </c>
      <c r="B8" s="3" t="s">
        <v>118</v>
      </c>
      <c r="C8" s="3" t="s">
        <v>119</v>
      </c>
      <c r="D8" s="3" t="s">
        <v>120</v>
      </c>
      <c r="E8" s="3" t="s">
        <v>121</v>
      </c>
      <c r="F8" s="1" t="s">
        <v>152</v>
      </c>
      <c r="G8" s="3">
        <v>1088</v>
      </c>
      <c r="H8" s="3" t="s">
        <v>52</v>
      </c>
      <c r="I8" s="3" t="s">
        <v>123</v>
      </c>
      <c r="J8" s="4" t="s">
        <v>52</v>
      </c>
      <c r="K8" s="5" t="s">
        <v>52</v>
      </c>
      <c r="L8" s="4">
        <v>0.63194444444444442</v>
      </c>
      <c r="M8" s="5">
        <v>0.65625</v>
      </c>
      <c r="N8" s="3" t="s">
        <v>52</v>
      </c>
      <c r="O8" s="3" t="s">
        <v>52</v>
      </c>
      <c r="P8" s="3" t="s">
        <v>52</v>
      </c>
      <c r="Q8" s="3" t="s">
        <v>52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opLeftCell="B1" workbookViewId="0">
      <selection activeCell="N19" sqref="N19"/>
    </sheetView>
  </sheetViews>
  <sheetFormatPr defaultRowHeight="15" x14ac:dyDescent="0.25"/>
  <cols>
    <col min="1" max="1" width="10.140625" bestFit="1" customWidth="1"/>
    <col min="3" max="3" width="12.42578125" customWidth="1"/>
    <col min="6" max="6" width="13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8">
        <v>44717</v>
      </c>
      <c r="B2" s="3" t="s">
        <v>21</v>
      </c>
      <c r="C2" s="9" t="s">
        <v>67</v>
      </c>
      <c r="D2" s="3" t="s">
        <v>29</v>
      </c>
      <c r="E2" s="3" t="s">
        <v>107</v>
      </c>
      <c r="F2" s="3" t="s">
        <v>33</v>
      </c>
      <c r="G2" s="6">
        <v>70000</v>
      </c>
      <c r="H2" s="3" t="s">
        <v>73</v>
      </c>
      <c r="I2" s="3" t="s">
        <v>74</v>
      </c>
      <c r="J2" s="13">
        <v>0.45833333333333331</v>
      </c>
      <c r="K2" s="10">
        <v>0.4513888888888889</v>
      </c>
      <c r="L2" s="13">
        <v>0.25694444444444448</v>
      </c>
      <c r="M2" s="10">
        <v>0.26458333333333334</v>
      </c>
      <c r="N2" s="9" t="s">
        <v>158</v>
      </c>
      <c r="O2" s="9" t="s">
        <v>155</v>
      </c>
      <c r="P2" s="9">
        <v>382</v>
      </c>
      <c r="Q2" s="9">
        <v>215</v>
      </c>
      <c r="R2" s="9">
        <v>0</v>
      </c>
      <c r="S2" s="9">
        <v>0</v>
      </c>
      <c r="T2" s="9">
        <v>0</v>
      </c>
      <c r="U2" s="9">
        <v>0</v>
      </c>
    </row>
    <row r="3" spans="1:21" x14ac:dyDescent="0.25">
      <c r="A3" s="8">
        <v>44717</v>
      </c>
      <c r="B3" s="3" t="s">
        <v>21</v>
      </c>
      <c r="C3" s="9" t="s">
        <v>69</v>
      </c>
      <c r="D3" s="3" t="s">
        <v>29</v>
      </c>
      <c r="E3" s="9" t="s">
        <v>30</v>
      </c>
      <c r="F3" s="3" t="s">
        <v>33</v>
      </c>
      <c r="G3" s="6">
        <v>70000</v>
      </c>
      <c r="H3" s="3" t="s">
        <v>77</v>
      </c>
      <c r="I3" s="11" t="s">
        <v>78</v>
      </c>
      <c r="J3" s="13">
        <v>0.43402777777777773</v>
      </c>
      <c r="K3" s="10">
        <v>0.42569444444444443</v>
      </c>
      <c r="L3" s="13">
        <v>0.28472222222222221</v>
      </c>
      <c r="M3" s="10">
        <v>0.28819444444444448</v>
      </c>
      <c r="N3" s="9" t="s">
        <v>157</v>
      </c>
      <c r="O3" s="9" t="s">
        <v>156</v>
      </c>
      <c r="P3" s="9">
        <v>561</v>
      </c>
      <c r="Q3" s="9">
        <v>598</v>
      </c>
      <c r="R3" s="9">
        <v>0</v>
      </c>
      <c r="S3" s="9">
        <v>0</v>
      </c>
      <c r="T3" s="9">
        <v>0</v>
      </c>
      <c r="U3" s="9">
        <v>0</v>
      </c>
    </row>
    <row r="4" spans="1:21" x14ac:dyDescent="0.25">
      <c r="A4" s="8">
        <v>44717</v>
      </c>
      <c r="B4" s="3" t="s">
        <v>21</v>
      </c>
      <c r="C4" s="9" t="s">
        <v>70</v>
      </c>
      <c r="D4" s="3" t="s">
        <v>29</v>
      </c>
      <c r="E4" s="9" t="s">
        <v>30</v>
      </c>
      <c r="F4" s="3" t="s">
        <v>33</v>
      </c>
      <c r="G4" s="6">
        <v>70000</v>
      </c>
      <c r="H4" s="11" t="s">
        <v>79</v>
      </c>
      <c r="I4" s="11" t="s">
        <v>80</v>
      </c>
      <c r="J4" s="13">
        <v>0.62847222222222221</v>
      </c>
      <c r="K4" s="10">
        <v>0.6166666666666667</v>
      </c>
      <c r="L4" s="13">
        <v>0.47569444444444442</v>
      </c>
      <c r="M4" s="10">
        <v>0.47430555555555554</v>
      </c>
      <c r="N4" s="9" t="s">
        <v>163</v>
      </c>
      <c r="O4" s="9" t="s">
        <v>148</v>
      </c>
      <c r="P4" s="9">
        <v>191</v>
      </c>
      <c r="Q4" s="9">
        <v>257</v>
      </c>
      <c r="R4" s="9">
        <v>0</v>
      </c>
      <c r="S4" s="9">
        <v>0</v>
      </c>
      <c r="T4" s="9">
        <v>0</v>
      </c>
      <c r="U4" s="9">
        <v>0</v>
      </c>
    </row>
    <row r="5" spans="1:21" x14ac:dyDescent="0.25">
      <c r="A5" s="8">
        <v>44717</v>
      </c>
      <c r="B5" s="3" t="s">
        <v>21</v>
      </c>
      <c r="C5" s="9" t="s">
        <v>25</v>
      </c>
      <c r="D5" s="3" t="s">
        <v>29</v>
      </c>
      <c r="E5" s="9" t="s">
        <v>107</v>
      </c>
      <c r="F5" s="3" t="s">
        <v>33</v>
      </c>
      <c r="G5" s="6">
        <v>70000</v>
      </c>
      <c r="H5" s="11" t="s">
        <v>41</v>
      </c>
      <c r="I5" s="11" t="s">
        <v>42</v>
      </c>
      <c r="J5" s="13">
        <v>0.64583333333333337</v>
      </c>
      <c r="K5" s="10">
        <v>0.63958333333333328</v>
      </c>
      <c r="L5" s="13">
        <v>0.48958333333333331</v>
      </c>
      <c r="M5" s="10">
        <v>0.5</v>
      </c>
      <c r="N5" s="9" t="s">
        <v>164</v>
      </c>
      <c r="O5" s="9" t="s">
        <v>159</v>
      </c>
      <c r="P5" s="9">
        <v>630</v>
      </c>
      <c r="Q5" s="9">
        <v>311</v>
      </c>
      <c r="R5" s="9">
        <v>0</v>
      </c>
      <c r="S5" s="9">
        <v>0</v>
      </c>
      <c r="T5" s="9">
        <v>0</v>
      </c>
      <c r="U5" s="9">
        <v>0</v>
      </c>
    </row>
    <row r="6" spans="1:21" x14ac:dyDescent="0.25">
      <c r="A6" s="8">
        <v>44717</v>
      </c>
      <c r="B6" s="3" t="s">
        <v>21</v>
      </c>
      <c r="C6" s="9" t="s">
        <v>71</v>
      </c>
      <c r="D6" s="3" t="s">
        <v>29</v>
      </c>
      <c r="E6" s="9" t="s">
        <v>30</v>
      </c>
      <c r="F6" s="3" t="s">
        <v>33</v>
      </c>
      <c r="G6" s="6">
        <v>70000</v>
      </c>
      <c r="H6" s="11" t="s">
        <v>81</v>
      </c>
      <c r="I6" s="11" t="s">
        <v>82</v>
      </c>
      <c r="J6" s="13">
        <v>0.86805555555555547</v>
      </c>
      <c r="K6" s="10">
        <v>0.85625000000000007</v>
      </c>
      <c r="L6" s="13">
        <v>0.64930555555555558</v>
      </c>
      <c r="M6" s="10">
        <v>0.65277777777777779</v>
      </c>
      <c r="N6" s="9" t="s">
        <v>165</v>
      </c>
      <c r="O6" s="9" t="s">
        <v>160</v>
      </c>
      <c r="P6" s="9">
        <v>312</v>
      </c>
      <c r="Q6" s="9">
        <v>327</v>
      </c>
      <c r="R6" s="9">
        <v>0</v>
      </c>
      <c r="S6" s="9">
        <v>0</v>
      </c>
      <c r="T6" s="9">
        <v>0</v>
      </c>
      <c r="U6" s="9">
        <v>0</v>
      </c>
    </row>
    <row r="7" spans="1:21" x14ac:dyDescent="0.25">
      <c r="A7" s="8">
        <v>44717</v>
      </c>
      <c r="B7" s="3" t="s">
        <v>21</v>
      </c>
      <c r="C7" s="9" t="s">
        <v>72</v>
      </c>
      <c r="D7" s="3" t="s">
        <v>29</v>
      </c>
      <c r="E7" s="9" t="s">
        <v>107</v>
      </c>
      <c r="F7" s="3" t="s">
        <v>33</v>
      </c>
      <c r="G7" s="6">
        <v>70000</v>
      </c>
      <c r="H7" s="11" t="s">
        <v>83</v>
      </c>
      <c r="I7" s="11" t="s">
        <v>84</v>
      </c>
      <c r="J7" s="13">
        <v>0.90277777777777779</v>
      </c>
      <c r="K7" s="10">
        <v>0.90694444444444444</v>
      </c>
      <c r="L7" s="13">
        <v>0.66666666666666663</v>
      </c>
      <c r="M7" s="10">
        <v>0.67361111111111116</v>
      </c>
      <c r="N7" s="9" t="s">
        <v>162</v>
      </c>
      <c r="O7" s="9" t="s">
        <v>161</v>
      </c>
      <c r="P7" s="9">
        <v>765</v>
      </c>
      <c r="Q7" s="9">
        <v>686</v>
      </c>
      <c r="R7" s="9">
        <v>0</v>
      </c>
      <c r="S7" s="9">
        <v>0</v>
      </c>
      <c r="T7" s="9">
        <v>0</v>
      </c>
      <c r="U7" s="9">
        <v>0</v>
      </c>
    </row>
    <row r="21" spans="8:8" x14ac:dyDescent="0.25">
      <c r="H21" s="12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B2" sqref="B2:I5"/>
    </sheetView>
  </sheetViews>
  <sheetFormatPr defaultRowHeight="15" x14ac:dyDescent="0.25"/>
  <cols>
    <col min="1" max="1" width="10.140625" bestFit="1" customWidth="1"/>
    <col min="3" max="3" width="13.5703125" customWidth="1"/>
    <col min="6" max="6" width="19.140625" customWidth="1"/>
    <col min="11" max="11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44718</v>
      </c>
      <c r="B2" s="3" t="s">
        <v>21</v>
      </c>
      <c r="C2" s="3" t="s">
        <v>22</v>
      </c>
      <c r="D2" s="3" t="s">
        <v>29</v>
      </c>
      <c r="E2" s="3" t="s">
        <v>30</v>
      </c>
      <c r="F2" s="3" t="s">
        <v>33</v>
      </c>
      <c r="G2" s="6">
        <v>70000</v>
      </c>
      <c r="H2" s="3" t="s">
        <v>34</v>
      </c>
      <c r="I2" s="3" t="s">
        <v>35</v>
      </c>
      <c r="J2" s="4">
        <v>0.44097222222222227</v>
      </c>
      <c r="K2" s="5">
        <v>0.43472222222222223</v>
      </c>
      <c r="L2" s="4">
        <v>0.25694444444444448</v>
      </c>
      <c r="M2" s="5">
        <v>0.25972222222222224</v>
      </c>
      <c r="N2" s="3" t="s">
        <v>167</v>
      </c>
      <c r="O2" s="3" t="s">
        <v>166</v>
      </c>
      <c r="P2" s="3">
        <v>737</v>
      </c>
      <c r="Q2" s="3">
        <v>622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44718</v>
      </c>
      <c r="B3" s="3" t="s">
        <v>21</v>
      </c>
      <c r="C3" s="14" t="s">
        <v>23</v>
      </c>
      <c r="D3" s="3" t="s">
        <v>29</v>
      </c>
      <c r="E3" s="3" t="s">
        <v>107</v>
      </c>
      <c r="F3" s="3" t="s">
        <v>33</v>
      </c>
      <c r="G3" s="6">
        <v>70000</v>
      </c>
      <c r="H3" s="14" t="s">
        <v>36</v>
      </c>
      <c r="I3" s="14" t="s">
        <v>37</v>
      </c>
      <c r="J3" s="15">
        <v>0.51041666666666663</v>
      </c>
      <c r="K3" s="16"/>
      <c r="L3" s="15">
        <v>0.28125</v>
      </c>
      <c r="M3" s="17">
        <v>0.28125</v>
      </c>
      <c r="N3" s="3" t="s">
        <v>168</v>
      </c>
      <c r="O3" s="3" t="s">
        <v>105</v>
      </c>
      <c r="P3" s="18">
        <v>583</v>
      </c>
      <c r="Q3" s="18">
        <v>339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">
        <v>44718</v>
      </c>
      <c r="B4" s="3" t="s">
        <v>21</v>
      </c>
      <c r="C4" s="3" t="s">
        <v>24</v>
      </c>
      <c r="D4" s="3" t="s">
        <v>29</v>
      </c>
      <c r="E4" s="3" t="s">
        <v>30</v>
      </c>
      <c r="F4" s="3" t="s">
        <v>33</v>
      </c>
      <c r="G4" s="6">
        <v>70000</v>
      </c>
      <c r="H4" s="3" t="s">
        <v>38</v>
      </c>
      <c r="I4" s="3" t="s">
        <v>39</v>
      </c>
      <c r="J4" s="4">
        <v>0.61111111111111105</v>
      </c>
      <c r="K4" s="5">
        <v>0.60277777777777775</v>
      </c>
      <c r="L4" s="4">
        <v>0.46180555555555558</v>
      </c>
      <c r="M4" s="5">
        <v>0.4694444444444445</v>
      </c>
      <c r="N4" s="3" t="s">
        <v>171</v>
      </c>
      <c r="O4" s="3" t="s">
        <v>169</v>
      </c>
      <c r="P4" s="3">
        <v>853</v>
      </c>
      <c r="Q4" s="3">
        <v>713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44718</v>
      </c>
      <c r="B5" s="3" t="s">
        <v>21</v>
      </c>
      <c r="C5" s="3" t="s">
        <v>27</v>
      </c>
      <c r="D5" s="3" t="s">
        <v>29</v>
      </c>
      <c r="E5" s="3" t="s">
        <v>107</v>
      </c>
      <c r="F5" s="3" t="s">
        <v>33</v>
      </c>
      <c r="G5" s="6">
        <v>70000</v>
      </c>
      <c r="H5" s="3" t="s">
        <v>47</v>
      </c>
      <c r="I5" s="3" t="s">
        <v>46</v>
      </c>
      <c r="J5" s="4">
        <v>0.72222222222222221</v>
      </c>
      <c r="K5" s="5">
        <v>0.73055555555555562</v>
      </c>
      <c r="L5" s="4">
        <v>0.53819444444444442</v>
      </c>
      <c r="M5" s="5">
        <v>0.54999999999999993</v>
      </c>
      <c r="N5" s="5" t="s">
        <v>115</v>
      </c>
      <c r="O5" s="5" t="s">
        <v>170</v>
      </c>
      <c r="P5" s="3">
        <v>657</v>
      </c>
      <c r="Q5" s="3">
        <v>506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44718</v>
      </c>
      <c r="B6" s="3" t="s">
        <v>21</v>
      </c>
      <c r="C6" s="3" t="s">
        <v>26</v>
      </c>
      <c r="D6" s="3" t="s">
        <v>29</v>
      </c>
      <c r="E6" s="3" t="s">
        <v>30</v>
      </c>
      <c r="F6" s="3" t="s">
        <v>33</v>
      </c>
      <c r="G6" s="6">
        <v>70000</v>
      </c>
      <c r="H6" s="3" t="s">
        <v>43</v>
      </c>
      <c r="I6" s="3" t="s">
        <v>44</v>
      </c>
      <c r="J6" s="4">
        <v>0.75694444444444453</v>
      </c>
      <c r="K6" s="5">
        <v>0.76180555555555562</v>
      </c>
      <c r="L6" s="4">
        <v>0.64236111111111105</v>
      </c>
      <c r="M6" s="5">
        <v>0.64374999999999993</v>
      </c>
      <c r="N6" s="3" t="s">
        <v>174</v>
      </c>
      <c r="O6" s="3" t="s">
        <v>172</v>
      </c>
      <c r="P6" s="3">
        <v>672</v>
      </c>
      <c r="Q6" s="3">
        <v>362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44718</v>
      </c>
      <c r="B7" s="3" t="s">
        <v>21</v>
      </c>
      <c r="C7" s="3" t="s">
        <v>28</v>
      </c>
      <c r="D7" s="3" t="s">
        <v>29</v>
      </c>
      <c r="E7" s="3" t="s">
        <v>30</v>
      </c>
      <c r="F7" s="3" t="s">
        <v>33</v>
      </c>
      <c r="G7" s="6">
        <v>70000</v>
      </c>
      <c r="H7" s="3" t="s">
        <v>45</v>
      </c>
      <c r="I7" s="3" t="s">
        <v>48</v>
      </c>
      <c r="J7" s="4">
        <v>0.97569444444444453</v>
      </c>
      <c r="K7" s="5">
        <v>0.96388888888888891</v>
      </c>
      <c r="L7" s="4">
        <v>0.77777777777777779</v>
      </c>
      <c r="M7" s="5">
        <v>0.7909722222222223</v>
      </c>
      <c r="N7" s="3" t="s">
        <v>175</v>
      </c>
      <c r="O7" s="3" t="s">
        <v>173</v>
      </c>
      <c r="P7" s="3">
        <v>681</v>
      </c>
      <c r="Q7" s="3">
        <v>723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8"/>
      <c r="B8" s="3"/>
      <c r="C8" s="3"/>
      <c r="D8" s="3"/>
      <c r="E8" s="3"/>
      <c r="F8" s="3"/>
      <c r="G8" s="19"/>
      <c r="H8" s="3"/>
      <c r="I8" s="3"/>
      <c r="J8" s="10"/>
      <c r="K8" s="10"/>
      <c r="L8" s="10"/>
      <c r="M8" s="10"/>
      <c r="N8" s="10"/>
      <c r="O8" s="10"/>
      <c r="P8" s="3"/>
      <c r="Q8" s="3"/>
      <c r="R8" s="3"/>
      <c r="S8" s="3"/>
      <c r="T8" s="3"/>
      <c r="U8" s="3"/>
    </row>
    <row r="10" spans="1:21" x14ac:dyDescent="0.25">
      <c r="A10" s="2"/>
      <c r="B10" s="3"/>
      <c r="C10" s="3"/>
      <c r="D10" s="3"/>
      <c r="E10" s="3"/>
      <c r="F10" s="3"/>
      <c r="G10" s="6"/>
      <c r="H10" s="3"/>
      <c r="I10" s="3"/>
      <c r="J10" s="4"/>
      <c r="K10" s="5"/>
      <c r="L10" s="4"/>
    </row>
    <row r="13" spans="1:21" x14ac:dyDescent="0.25">
      <c r="A13" s="2"/>
      <c r="B13" s="3"/>
      <c r="C13" s="3"/>
      <c r="D13" s="3"/>
      <c r="E13" s="3"/>
      <c r="F13" s="3"/>
      <c r="G13" s="6"/>
      <c r="H13" s="3"/>
      <c r="I13" s="3"/>
      <c r="J13" s="4"/>
      <c r="K13" s="5"/>
      <c r="L13" s="4"/>
      <c r="M13" s="5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K1" workbookViewId="0">
      <selection activeCell="B4" sqref="B4:U4"/>
    </sheetView>
  </sheetViews>
  <sheetFormatPr defaultRowHeight="15" x14ac:dyDescent="0.25"/>
  <cols>
    <col min="3" max="3" width="14.5703125" customWidth="1"/>
    <col min="4" max="4" width="7.28515625" customWidth="1"/>
    <col min="6" max="6" width="13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44719</v>
      </c>
      <c r="B2" s="3" t="s">
        <v>21</v>
      </c>
      <c r="C2" s="3" t="s">
        <v>67</v>
      </c>
      <c r="D2" s="3" t="s">
        <v>29</v>
      </c>
      <c r="E2" s="3" t="s">
        <v>30</v>
      </c>
      <c r="F2" s="3" t="s">
        <v>33</v>
      </c>
      <c r="G2" s="6">
        <v>70000</v>
      </c>
      <c r="H2" s="3" t="s">
        <v>74</v>
      </c>
      <c r="I2" s="3" t="s">
        <v>73</v>
      </c>
      <c r="J2" s="4">
        <v>0.45833333333333331</v>
      </c>
      <c r="K2" s="5">
        <v>0.4548611111111111</v>
      </c>
      <c r="L2" s="4">
        <v>0.25694444444444448</v>
      </c>
      <c r="M2" s="5">
        <v>0.25416666666666665</v>
      </c>
      <c r="N2" s="3" t="s">
        <v>178</v>
      </c>
      <c r="O2" s="3" t="s">
        <v>176</v>
      </c>
      <c r="P2" s="7">
        <v>278</v>
      </c>
      <c r="Q2" s="3">
        <v>183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44719</v>
      </c>
      <c r="B3" s="3" t="s">
        <v>21</v>
      </c>
      <c r="C3" s="3" t="s">
        <v>132</v>
      </c>
      <c r="D3" s="3" t="s">
        <v>29</v>
      </c>
      <c r="E3" s="3" t="s">
        <v>107</v>
      </c>
      <c r="F3" s="3" t="s">
        <v>33</v>
      </c>
      <c r="G3" s="6">
        <v>70000</v>
      </c>
      <c r="H3" s="3" t="s">
        <v>133</v>
      </c>
      <c r="I3" s="3" t="s">
        <v>134</v>
      </c>
      <c r="J3" s="4">
        <v>0.47222222222222227</v>
      </c>
      <c r="K3" s="5">
        <v>0.47222222222222227</v>
      </c>
      <c r="L3" s="4">
        <v>0.28125</v>
      </c>
      <c r="M3" s="5">
        <v>0.28194444444444444</v>
      </c>
      <c r="N3" s="3" t="s">
        <v>179</v>
      </c>
      <c r="O3" s="3" t="s">
        <v>177</v>
      </c>
      <c r="P3" s="7">
        <v>955</v>
      </c>
      <c r="Q3" s="3">
        <v>427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44719</v>
      </c>
      <c r="B4" s="3" t="s">
        <v>21</v>
      </c>
      <c r="C4" s="3" t="s">
        <v>68</v>
      </c>
      <c r="D4" s="3" t="s">
        <v>29</v>
      </c>
      <c r="E4" s="3" t="s">
        <v>30</v>
      </c>
      <c r="F4" s="3" t="s">
        <v>33</v>
      </c>
      <c r="G4" s="6">
        <v>70000</v>
      </c>
      <c r="H4" s="3" t="s">
        <v>75</v>
      </c>
      <c r="I4" s="3" t="s">
        <v>76</v>
      </c>
      <c r="J4" s="4">
        <v>0.91319444444444453</v>
      </c>
      <c r="K4" s="5">
        <v>0.93472222222222223</v>
      </c>
      <c r="L4" s="4">
        <v>0.49305555555555558</v>
      </c>
      <c r="M4" s="5">
        <v>0.49374999999999997</v>
      </c>
      <c r="N4" s="3" t="s">
        <v>182</v>
      </c>
      <c r="O4" s="3" t="s">
        <v>180</v>
      </c>
      <c r="P4" s="3">
        <v>1028</v>
      </c>
      <c r="Q4" s="3">
        <v>560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44719</v>
      </c>
      <c r="B5" s="3" t="s">
        <v>21</v>
      </c>
      <c r="C5" s="3" t="s">
        <v>135</v>
      </c>
      <c r="D5" s="3" t="s">
        <v>29</v>
      </c>
      <c r="E5" s="3" t="s">
        <v>107</v>
      </c>
      <c r="F5" s="3" t="s">
        <v>33</v>
      </c>
      <c r="G5" s="6">
        <v>70000</v>
      </c>
      <c r="H5" s="3" t="s">
        <v>136</v>
      </c>
      <c r="I5" s="3" t="s">
        <v>137</v>
      </c>
      <c r="J5" s="4">
        <v>0.91319444444444453</v>
      </c>
      <c r="K5" s="5">
        <v>0.91666666666666663</v>
      </c>
      <c r="L5" s="4">
        <v>0.50347222222222221</v>
      </c>
      <c r="M5" s="5">
        <v>0.52500000000000002</v>
      </c>
      <c r="N5" s="3" t="s">
        <v>183</v>
      </c>
      <c r="O5" s="3" t="s">
        <v>181</v>
      </c>
      <c r="P5" s="3">
        <v>693</v>
      </c>
      <c r="Q5" s="3">
        <v>694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J7" sqref="J7"/>
    </sheetView>
  </sheetViews>
  <sheetFormatPr defaultRowHeight="15" x14ac:dyDescent="0.25"/>
  <cols>
    <col min="3" max="3" width="13.140625" customWidth="1"/>
    <col min="6" max="6" width="13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44720</v>
      </c>
      <c r="B2" s="3" t="s">
        <v>21</v>
      </c>
      <c r="C2" s="3" t="s">
        <v>22</v>
      </c>
      <c r="D2" s="3" t="s">
        <v>29</v>
      </c>
      <c r="E2" s="3" t="s">
        <v>30</v>
      </c>
      <c r="F2" s="1" t="s">
        <v>33</v>
      </c>
      <c r="G2" s="3">
        <v>70000</v>
      </c>
      <c r="H2" s="3" t="s">
        <v>34</v>
      </c>
      <c r="I2" s="3" t="s">
        <v>35</v>
      </c>
      <c r="J2" s="4">
        <v>0.43055555555555558</v>
      </c>
      <c r="K2" s="5">
        <v>0.41666666666666669</v>
      </c>
      <c r="L2" s="4">
        <v>0.25694444444444448</v>
      </c>
      <c r="M2" s="5">
        <v>0.25694444444444448</v>
      </c>
      <c r="N2" s="3" t="s">
        <v>186</v>
      </c>
      <c r="O2" s="3" t="s">
        <v>184</v>
      </c>
      <c r="P2" s="3">
        <v>549</v>
      </c>
      <c r="Q2" s="3">
        <v>444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44720</v>
      </c>
      <c r="B3" s="3" t="s">
        <v>21</v>
      </c>
      <c r="C3" s="3" t="s">
        <v>23</v>
      </c>
      <c r="D3" s="3" t="s">
        <v>29</v>
      </c>
      <c r="E3" s="3" t="s">
        <v>107</v>
      </c>
      <c r="F3" s="1" t="s">
        <v>33</v>
      </c>
      <c r="G3" s="3">
        <v>70000</v>
      </c>
      <c r="H3" s="3" t="s">
        <v>36</v>
      </c>
      <c r="I3" s="3" t="s">
        <v>37</v>
      </c>
      <c r="J3" s="4">
        <v>0.51388888888888895</v>
      </c>
      <c r="K3" s="5">
        <v>0.52430555555555558</v>
      </c>
      <c r="L3" s="4">
        <v>0.28125</v>
      </c>
      <c r="M3" s="5">
        <v>0.30972222222222223</v>
      </c>
      <c r="N3" s="3" t="s">
        <v>187</v>
      </c>
      <c r="O3" s="3" t="s">
        <v>185</v>
      </c>
      <c r="P3" s="3">
        <v>437</v>
      </c>
      <c r="Q3" s="3">
        <v>223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44720</v>
      </c>
      <c r="B4" s="3" t="s">
        <v>21</v>
      </c>
      <c r="C4" s="3" t="s">
        <v>24</v>
      </c>
      <c r="D4" s="3" t="s">
        <v>29</v>
      </c>
      <c r="E4" s="3" t="s">
        <v>30</v>
      </c>
      <c r="F4" s="1" t="s">
        <v>33</v>
      </c>
      <c r="G4" s="3">
        <v>70000</v>
      </c>
      <c r="H4" s="3" t="s">
        <v>38</v>
      </c>
      <c r="I4" s="3" t="s">
        <v>39</v>
      </c>
      <c r="J4" s="4">
        <v>0.60069444444444442</v>
      </c>
      <c r="K4" s="5">
        <v>0.58472222222222225</v>
      </c>
      <c r="L4" s="4">
        <v>0.4513888888888889</v>
      </c>
      <c r="M4" s="5">
        <v>0.45</v>
      </c>
      <c r="N4" s="3" t="s">
        <v>189</v>
      </c>
      <c r="O4" s="3" t="s">
        <v>188</v>
      </c>
      <c r="P4" s="3">
        <v>611</v>
      </c>
      <c r="Q4" s="3">
        <v>817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44720</v>
      </c>
      <c r="B5" s="3" t="s">
        <v>21</v>
      </c>
      <c r="C5" s="3" t="s">
        <v>25</v>
      </c>
      <c r="D5" s="3" t="s">
        <v>29</v>
      </c>
      <c r="E5" s="3" t="s">
        <v>107</v>
      </c>
      <c r="F5" s="1" t="s">
        <v>33</v>
      </c>
      <c r="G5" s="3">
        <v>70000</v>
      </c>
      <c r="H5" s="3" t="s">
        <v>41</v>
      </c>
      <c r="I5" s="3" t="s">
        <v>42</v>
      </c>
      <c r="J5" s="4">
        <v>0.69791666666666663</v>
      </c>
      <c r="K5" s="5">
        <v>0.70486111111111116</v>
      </c>
      <c r="L5" s="4">
        <v>0.54166666666666663</v>
      </c>
      <c r="M5" s="5">
        <v>0.5625</v>
      </c>
      <c r="N5" s="3" t="s">
        <v>192</v>
      </c>
      <c r="O5" s="3" t="s">
        <v>190</v>
      </c>
      <c r="P5" s="3">
        <v>549</v>
      </c>
      <c r="Q5" s="3">
        <v>200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44720</v>
      </c>
      <c r="B6" s="3" t="s">
        <v>21</v>
      </c>
      <c r="C6" s="3" t="s">
        <v>26</v>
      </c>
      <c r="D6" s="3" t="s">
        <v>29</v>
      </c>
      <c r="E6" s="3" t="s">
        <v>30</v>
      </c>
      <c r="F6" s="1" t="s">
        <v>33</v>
      </c>
      <c r="G6" s="3">
        <v>70000</v>
      </c>
      <c r="H6" s="3" t="s">
        <v>43</v>
      </c>
      <c r="I6" s="3" t="s">
        <v>44</v>
      </c>
      <c r="J6" s="4">
        <v>0.74652777777777779</v>
      </c>
      <c r="K6" s="5">
        <v>0.7402777777777777</v>
      </c>
      <c r="L6" s="4">
        <v>0.63194444444444442</v>
      </c>
      <c r="M6" s="5">
        <v>0.62569444444444444</v>
      </c>
      <c r="N6" s="3" t="s">
        <v>193</v>
      </c>
      <c r="O6" s="3" t="s">
        <v>191</v>
      </c>
      <c r="P6" s="3">
        <v>491</v>
      </c>
      <c r="Q6" s="3">
        <v>572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44720</v>
      </c>
      <c r="B7" s="3" t="s">
        <v>21</v>
      </c>
      <c r="C7" s="3" t="s">
        <v>27</v>
      </c>
      <c r="D7" s="3" t="s">
        <v>29</v>
      </c>
      <c r="E7" s="3" t="s">
        <v>107</v>
      </c>
      <c r="F7" s="1" t="s">
        <v>33</v>
      </c>
      <c r="G7" s="3">
        <v>70000</v>
      </c>
      <c r="H7" s="3" t="s">
        <v>45</v>
      </c>
      <c r="I7" s="3" t="s">
        <v>46</v>
      </c>
      <c r="J7" s="4">
        <v>0.90277777777777779</v>
      </c>
      <c r="K7" s="5">
        <v>0.93541666666666667</v>
      </c>
      <c r="L7" s="4">
        <v>0.71875</v>
      </c>
      <c r="M7" s="5">
        <v>0.76111111111111107</v>
      </c>
      <c r="N7" s="3" t="s">
        <v>195</v>
      </c>
      <c r="O7" s="3" t="s">
        <v>194</v>
      </c>
      <c r="P7" s="3">
        <v>920</v>
      </c>
      <c r="Q7" s="3">
        <v>537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44720</v>
      </c>
      <c r="B8" s="3" t="s">
        <v>21</v>
      </c>
      <c r="C8" s="3" t="s">
        <v>28</v>
      </c>
      <c r="D8" s="3" t="s">
        <v>29</v>
      </c>
      <c r="E8" s="3" t="s">
        <v>30</v>
      </c>
      <c r="F8" s="1" t="s">
        <v>33</v>
      </c>
      <c r="G8" s="3">
        <v>70000</v>
      </c>
      <c r="H8" s="3" t="s">
        <v>47</v>
      </c>
      <c r="I8" s="3" t="s">
        <v>48</v>
      </c>
      <c r="J8" s="4">
        <v>0.9375</v>
      </c>
      <c r="K8" s="5">
        <v>0.92499999999999993</v>
      </c>
      <c r="L8" s="4">
        <v>0.76736111111111116</v>
      </c>
      <c r="M8" s="5">
        <v>0.77222222222222225</v>
      </c>
      <c r="N8" s="3" t="s">
        <v>196</v>
      </c>
      <c r="O8" s="3" t="s">
        <v>100</v>
      </c>
      <c r="P8" s="3">
        <v>764</v>
      </c>
      <c r="Q8" s="3">
        <v>438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sqref="A1:X5"/>
    </sheetView>
  </sheetViews>
  <sheetFormatPr defaultRowHeight="15" x14ac:dyDescent="0.25"/>
  <cols>
    <col min="2" max="2" width="16.28515625" customWidth="1"/>
    <col min="3" max="3" width="13.5703125" bestFit="1" customWidth="1"/>
    <col min="6" max="6" width="2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44721</v>
      </c>
      <c r="B2" s="3" t="s">
        <v>21</v>
      </c>
      <c r="C2" s="3" t="s">
        <v>67</v>
      </c>
      <c r="D2" s="3" t="s">
        <v>29</v>
      </c>
      <c r="E2" s="3" t="s">
        <v>30</v>
      </c>
      <c r="F2" s="1" t="s">
        <v>33</v>
      </c>
      <c r="G2" s="3">
        <v>70000</v>
      </c>
      <c r="H2" s="3" t="s">
        <v>73</v>
      </c>
      <c r="I2" s="3" t="s">
        <v>74</v>
      </c>
      <c r="J2" s="4">
        <v>0.45833333333333331</v>
      </c>
      <c r="K2" s="5">
        <v>0.45416666666666666</v>
      </c>
      <c r="L2" s="4">
        <v>0.25694444444444448</v>
      </c>
      <c r="M2" s="5">
        <v>0.26111111111111113</v>
      </c>
      <c r="N2" s="3" t="s">
        <v>204</v>
      </c>
      <c r="O2" s="3" t="s">
        <v>197</v>
      </c>
      <c r="P2" s="3">
        <v>193</v>
      </c>
      <c r="Q2" s="3">
        <v>111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44721</v>
      </c>
      <c r="B3" s="3" t="s">
        <v>21</v>
      </c>
      <c r="C3" s="3" t="s">
        <v>69</v>
      </c>
      <c r="D3" s="3" t="s">
        <v>29</v>
      </c>
      <c r="E3" s="3" t="s">
        <v>107</v>
      </c>
      <c r="F3" s="1" t="s">
        <v>33</v>
      </c>
      <c r="G3" s="3">
        <v>70000</v>
      </c>
      <c r="H3" s="3" t="s">
        <v>77</v>
      </c>
      <c r="I3" s="3" t="s">
        <v>78</v>
      </c>
      <c r="J3" s="4">
        <v>0.43402777777777773</v>
      </c>
      <c r="K3" s="5">
        <v>0.41875000000000001</v>
      </c>
      <c r="L3" s="4">
        <v>0.28472222222222221</v>
      </c>
      <c r="M3" s="5">
        <v>0.28541666666666665</v>
      </c>
      <c r="N3" s="3" t="s">
        <v>205</v>
      </c>
      <c r="O3" s="3" t="s">
        <v>198</v>
      </c>
      <c r="P3" s="3">
        <v>326</v>
      </c>
      <c r="Q3" s="3">
        <v>452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44721</v>
      </c>
      <c r="B4" s="3" t="s">
        <v>21</v>
      </c>
      <c r="C4" s="3" t="s">
        <v>70</v>
      </c>
      <c r="D4" s="3" t="s">
        <v>29</v>
      </c>
      <c r="E4" s="3" t="str">
        <f>E3</f>
        <v>HA-LPL</v>
      </c>
      <c r="F4" s="1" t="s">
        <v>33</v>
      </c>
      <c r="G4" s="3">
        <v>70000</v>
      </c>
      <c r="H4" s="3" t="s">
        <v>79</v>
      </c>
      <c r="I4" s="3" t="s">
        <v>80</v>
      </c>
      <c r="J4" s="4">
        <v>0.62847222222222221</v>
      </c>
      <c r="K4" s="5">
        <v>0.66388888888888886</v>
      </c>
      <c r="L4" s="4">
        <v>0.47569444444444442</v>
      </c>
      <c r="M4" s="5">
        <v>0.49583333333333335</v>
      </c>
      <c r="N4" s="3" t="s">
        <v>57</v>
      </c>
      <c r="O4" s="3" t="s">
        <v>206</v>
      </c>
      <c r="P4" s="3">
        <v>143</v>
      </c>
      <c r="Q4" s="3">
        <v>210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44721</v>
      </c>
      <c r="B5" s="3" t="s">
        <v>21</v>
      </c>
      <c r="C5" s="3" t="s">
        <v>68</v>
      </c>
      <c r="D5" s="3" t="s">
        <v>29</v>
      </c>
      <c r="E5" s="3" t="str">
        <f>E2</f>
        <v>HA-LYA</v>
      </c>
      <c r="F5" s="1" t="s">
        <v>33</v>
      </c>
      <c r="G5" s="3">
        <v>70000</v>
      </c>
      <c r="H5" s="3" t="s">
        <v>75</v>
      </c>
      <c r="I5" s="3" t="s">
        <v>76</v>
      </c>
      <c r="J5" s="4">
        <v>0.67708333333333337</v>
      </c>
      <c r="K5" s="5">
        <v>0.67361111111111116</v>
      </c>
      <c r="L5" s="4">
        <v>0.48958333333333331</v>
      </c>
      <c r="M5" s="5">
        <v>0.49374999999999997</v>
      </c>
      <c r="N5" s="3" t="s">
        <v>209</v>
      </c>
      <c r="O5" s="3" t="s">
        <v>207</v>
      </c>
      <c r="P5" s="3">
        <v>1344</v>
      </c>
      <c r="Q5" s="3">
        <v>823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44721</v>
      </c>
      <c r="B6" s="3" t="s">
        <v>21</v>
      </c>
      <c r="C6" s="3" t="s">
        <v>71</v>
      </c>
      <c r="D6" s="3" t="s">
        <v>29</v>
      </c>
      <c r="E6" s="3" t="str">
        <f>E4</f>
        <v>HA-LPL</v>
      </c>
      <c r="F6" s="1" t="s">
        <v>33</v>
      </c>
      <c r="G6" s="3">
        <v>70000</v>
      </c>
      <c r="H6" s="3" t="s">
        <v>81</v>
      </c>
      <c r="I6" s="3" t="s">
        <v>82</v>
      </c>
      <c r="J6" s="4">
        <v>0.86805555555555547</v>
      </c>
      <c r="K6" s="5">
        <v>0.91111111111111109</v>
      </c>
      <c r="L6" s="4">
        <v>0.64930555555555558</v>
      </c>
      <c r="M6" s="5">
        <v>0.7104166666666667</v>
      </c>
      <c r="N6" s="3" t="s">
        <v>212</v>
      </c>
      <c r="O6" s="3" t="s">
        <v>211</v>
      </c>
      <c r="P6" s="3">
        <v>272</v>
      </c>
      <c r="Q6" s="3">
        <v>108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44721</v>
      </c>
      <c r="B7" s="3" t="s">
        <v>21</v>
      </c>
      <c r="C7" s="3" t="s">
        <v>72</v>
      </c>
      <c r="D7" s="3" t="s">
        <v>29</v>
      </c>
      <c r="E7" s="3" t="str">
        <f>E5</f>
        <v>HA-LYA</v>
      </c>
      <c r="F7" s="1" t="s">
        <v>33</v>
      </c>
      <c r="G7" s="3">
        <v>70000</v>
      </c>
      <c r="H7" s="3" t="s">
        <v>83</v>
      </c>
      <c r="I7" s="3" t="s">
        <v>84</v>
      </c>
      <c r="J7" s="4">
        <v>0.93402777777777779</v>
      </c>
      <c r="K7" s="5">
        <v>0.92499999999999993</v>
      </c>
      <c r="L7" s="4">
        <v>0.69791666666666663</v>
      </c>
      <c r="M7" s="5">
        <v>0.71319444444444446</v>
      </c>
      <c r="N7" s="3" t="s">
        <v>210</v>
      </c>
      <c r="O7" s="3" t="s">
        <v>208</v>
      </c>
      <c r="P7" s="3">
        <v>702</v>
      </c>
      <c r="Q7" s="3">
        <v>425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44721</v>
      </c>
      <c r="B8" s="3" t="s">
        <v>199</v>
      </c>
      <c r="C8" s="3" t="s">
        <v>200</v>
      </c>
      <c r="D8" s="3" t="s">
        <v>201</v>
      </c>
      <c r="E8" s="3" t="s">
        <v>202</v>
      </c>
      <c r="F8" s="3" t="s">
        <v>203</v>
      </c>
      <c r="G8" s="6">
        <v>1388</v>
      </c>
      <c r="H8" s="3" t="str">
        <f>E8</f>
        <v>YU-FLY</v>
      </c>
      <c r="I8" s="3" t="str">
        <f>H8</f>
        <v>YU-FLY</v>
      </c>
      <c r="J8" s="5" t="s">
        <v>52</v>
      </c>
      <c r="K8" s="5">
        <v>0.46597222222222223</v>
      </c>
      <c r="L8" s="4" t="s">
        <v>52</v>
      </c>
      <c r="M8" s="5">
        <v>0.4368055555555555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/>
      <c r="B9" s="3"/>
      <c r="C9" s="3"/>
      <c r="D9" s="3"/>
      <c r="E9" s="3"/>
      <c r="F9" s="3"/>
      <c r="G9" s="3"/>
      <c r="H9" s="3"/>
      <c r="I9" s="3"/>
      <c r="J9" s="4"/>
      <c r="K9" s="5"/>
      <c r="L9" s="4"/>
      <c r="M9" s="5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J27" sqref="J27"/>
    </sheetView>
  </sheetViews>
  <sheetFormatPr defaultRowHeight="15" x14ac:dyDescent="0.25"/>
  <cols>
    <col min="1" max="1" width="10.140625" bestFit="1" customWidth="1"/>
    <col min="2" max="2" width="19.85546875" customWidth="1"/>
    <col min="3" max="3" width="14.28515625" customWidth="1"/>
    <col min="6" max="6" width="14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44722</v>
      </c>
      <c r="B2" s="3" t="s">
        <v>21</v>
      </c>
      <c r="C2" s="3" t="s">
        <v>22</v>
      </c>
      <c r="D2" s="3" t="s">
        <v>29</v>
      </c>
      <c r="E2" s="3" t="s">
        <v>30</v>
      </c>
      <c r="F2" s="1" t="s">
        <v>33</v>
      </c>
      <c r="G2" s="3">
        <v>70000</v>
      </c>
      <c r="H2" s="3" t="s">
        <v>34</v>
      </c>
      <c r="I2" s="3" t="s">
        <v>35</v>
      </c>
      <c r="J2" s="4">
        <v>0.44097222222222227</v>
      </c>
      <c r="K2" s="5">
        <f>J2</f>
        <v>0.44097222222222227</v>
      </c>
      <c r="L2" s="4">
        <v>0.25694444444444448</v>
      </c>
      <c r="M2" s="5">
        <v>0.26041666666666669</v>
      </c>
      <c r="N2" s="3" t="s">
        <v>221</v>
      </c>
      <c r="O2" s="3" t="s">
        <v>219</v>
      </c>
      <c r="P2" s="3">
        <v>584</v>
      </c>
      <c r="Q2" s="3">
        <v>801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44722</v>
      </c>
      <c r="B3" s="3" t="s">
        <v>213</v>
      </c>
      <c r="C3" s="3" t="s">
        <v>214</v>
      </c>
      <c r="D3" s="3" t="s">
        <v>29</v>
      </c>
      <c r="E3" s="3" t="s">
        <v>215</v>
      </c>
      <c r="F3" s="1" t="s">
        <v>216</v>
      </c>
      <c r="G3" s="3">
        <v>77000</v>
      </c>
      <c r="H3" s="3" t="s">
        <v>217</v>
      </c>
      <c r="I3" s="3" t="s">
        <v>218</v>
      </c>
      <c r="J3" s="4">
        <v>0.3298611111111111</v>
      </c>
      <c r="K3" s="5">
        <v>0.33194444444444443</v>
      </c>
      <c r="L3" s="4">
        <v>0.37152777777777773</v>
      </c>
      <c r="M3" s="5">
        <v>0.37291666666666662</v>
      </c>
      <c r="N3" s="3">
        <v>0</v>
      </c>
      <c r="O3" s="3" t="s">
        <v>220</v>
      </c>
      <c r="P3" s="3">
        <v>0</v>
      </c>
      <c r="Q3" s="3">
        <v>2349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44722</v>
      </c>
      <c r="B4" s="3" t="s">
        <v>21</v>
      </c>
      <c r="C4" s="3" t="s">
        <v>24</v>
      </c>
      <c r="D4" s="3" t="s">
        <v>29</v>
      </c>
      <c r="E4" s="3" t="s">
        <v>30</v>
      </c>
      <c r="F4" s="1" t="s">
        <v>33</v>
      </c>
      <c r="G4" s="3">
        <v>70000</v>
      </c>
      <c r="H4" s="3" t="s">
        <v>38</v>
      </c>
      <c r="I4" s="3" t="s">
        <v>39</v>
      </c>
      <c r="J4" s="4">
        <v>0.61111111111111105</v>
      </c>
      <c r="K4" s="5">
        <v>0.63611111111111118</v>
      </c>
      <c r="L4" s="4">
        <v>0.46180555555555558</v>
      </c>
      <c r="M4" s="5">
        <v>0.47500000000000003</v>
      </c>
      <c r="N4" s="3" t="s">
        <v>224</v>
      </c>
      <c r="O4" s="3" t="s">
        <v>222</v>
      </c>
      <c r="P4" s="3">
        <v>666</v>
      </c>
      <c r="Q4" s="3">
        <v>749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44722</v>
      </c>
      <c r="B5" s="3" t="s">
        <v>21</v>
      </c>
      <c r="C5" s="3" t="s">
        <v>23</v>
      </c>
      <c r="D5" s="3" t="s">
        <v>29</v>
      </c>
      <c r="E5" s="3" t="s">
        <v>107</v>
      </c>
      <c r="F5" s="1" t="s">
        <v>33</v>
      </c>
      <c r="G5" s="3">
        <v>70000</v>
      </c>
      <c r="H5" s="3" t="s">
        <v>36</v>
      </c>
      <c r="I5" s="3" t="s">
        <v>37</v>
      </c>
      <c r="J5" s="4">
        <v>0.72916666666666663</v>
      </c>
      <c r="K5" s="5">
        <v>0.7270833333333333</v>
      </c>
      <c r="L5" s="4">
        <v>0.5</v>
      </c>
      <c r="M5" s="5">
        <v>0.50347222222222221</v>
      </c>
      <c r="N5" s="3" t="s">
        <v>225</v>
      </c>
      <c r="O5" s="3" t="s">
        <v>223</v>
      </c>
      <c r="P5" s="3">
        <v>873</v>
      </c>
      <c r="Q5" s="3">
        <v>211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44722</v>
      </c>
      <c r="B6" s="3" t="s">
        <v>21</v>
      </c>
      <c r="C6" s="3" t="s">
        <v>26</v>
      </c>
      <c r="D6" s="3" t="s">
        <v>29</v>
      </c>
      <c r="E6" s="3" t="s">
        <v>30</v>
      </c>
      <c r="F6" s="1" t="s">
        <v>33</v>
      </c>
      <c r="G6" s="3">
        <v>70000</v>
      </c>
      <c r="H6" s="3" t="s">
        <v>43</v>
      </c>
      <c r="I6" s="3" t="s">
        <v>44</v>
      </c>
      <c r="J6" s="4">
        <v>0.75694444444444453</v>
      </c>
      <c r="K6" s="5">
        <v>0.82847222222222217</v>
      </c>
      <c r="L6" s="4">
        <v>0.64236111111111105</v>
      </c>
      <c r="M6" s="5">
        <v>0.70972222222222225</v>
      </c>
      <c r="N6" s="3" t="s">
        <v>51</v>
      </c>
      <c r="O6" s="3" t="s">
        <v>226</v>
      </c>
      <c r="P6" s="3">
        <v>441</v>
      </c>
      <c r="Q6" s="3">
        <v>523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44722</v>
      </c>
      <c r="B7" s="3" t="s">
        <v>21</v>
      </c>
      <c r="C7" s="3" t="s">
        <v>27</v>
      </c>
      <c r="D7" s="3" t="s">
        <v>29</v>
      </c>
      <c r="E7" s="3" t="s">
        <v>107</v>
      </c>
      <c r="F7" s="1" t="s">
        <v>33</v>
      </c>
      <c r="G7" s="3">
        <v>70000</v>
      </c>
      <c r="H7" s="3" t="s">
        <v>45</v>
      </c>
      <c r="I7" s="3" t="s">
        <v>46</v>
      </c>
      <c r="J7" s="4">
        <v>0.94097222222222221</v>
      </c>
      <c r="K7" s="5">
        <v>0.9590277777777777</v>
      </c>
      <c r="L7" s="4">
        <v>0.75694444444444453</v>
      </c>
      <c r="M7" s="5">
        <v>0.79375000000000007</v>
      </c>
      <c r="N7" s="3" t="s">
        <v>229</v>
      </c>
      <c r="O7" s="3" t="s">
        <v>227</v>
      </c>
      <c r="P7" s="3">
        <v>671</v>
      </c>
      <c r="Q7" s="3">
        <v>488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44722</v>
      </c>
      <c r="B8" s="3" t="s">
        <v>21</v>
      </c>
      <c r="C8" s="3" t="s">
        <v>28</v>
      </c>
      <c r="D8" s="3" t="s">
        <v>29</v>
      </c>
      <c r="E8" s="3" t="s">
        <v>30</v>
      </c>
      <c r="F8" s="1" t="s">
        <v>33</v>
      </c>
      <c r="G8" s="3">
        <v>70000</v>
      </c>
      <c r="H8" s="3" t="s">
        <v>47</v>
      </c>
      <c r="I8" s="3" t="s">
        <v>48</v>
      </c>
      <c r="J8" s="4">
        <v>0.97569444444444453</v>
      </c>
      <c r="K8" s="5">
        <v>1.1805555555555555E-2</v>
      </c>
      <c r="L8" s="4">
        <v>0.77777777777777779</v>
      </c>
      <c r="M8" s="5">
        <v>0.86319444444444438</v>
      </c>
      <c r="N8" s="3" t="s">
        <v>230</v>
      </c>
      <c r="O8" s="3" t="s">
        <v>228</v>
      </c>
      <c r="P8" s="3">
        <v>786</v>
      </c>
      <c r="Q8" s="3">
        <v>929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/>
      <c r="B9" s="3"/>
      <c r="C9" s="3"/>
      <c r="D9" s="3"/>
      <c r="E9" s="3"/>
      <c r="F9" s="1"/>
      <c r="G9" s="3"/>
      <c r="H9" s="3"/>
      <c r="I9" s="3"/>
      <c r="J9" s="4"/>
      <c r="K9" s="5"/>
      <c r="L9" s="4"/>
      <c r="M9" s="5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2"/>
      <c r="B10" s="3"/>
      <c r="C10" s="3"/>
      <c r="D10" s="3"/>
      <c r="E10" s="3"/>
      <c r="F10" s="3"/>
      <c r="G10" s="3"/>
      <c r="H10" s="3"/>
      <c r="I10" s="3"/>
      <c r="J10" s="4"/>
      <c r="K10" s="5"/>
      <c r="L10" s="4"/>
      <c r="M10" s="5"/>
      <c r="N10" s="3"/>
      <c r="O10" s="3"/>
      <c r="P10" s="3"/>
      <c r="Q10" s="3"/>
      <c r="R10" s="3"/>
      <c r="S10" s="3"/>
      <c r="T10" s="3"/>
      <c r="U10" s="3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R5"/>
    </sheetView>
  </sheetViews>
  <sheetFormatPr defaultRowHeight="15" x14ac:dyDescent="0.25"/>
  <cols>
    <col min="2" max="2" width="12.7109375" customWidth="1"/>
    <col min="3" max="3" width="13.7109375" customWidth="1"/>
    <col min="6" max="6" width="13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44723</v>
      </c>
      <c r="B2" s="3" t="s">
        <v>21</v>
      </c>
      <c r="C2" s="3" t="s">
        <v>67</v>
      </c>
      <c r="D2" s="3" t="s">
        <v>29</v>
      </c>
      <c r="E2" s="3" t="s">
        <v>107</v>
      </c>
      <c r="F2" s="3" t="s">
        <v>33</v>
      </c>
      <c r="G2" s="6">
        <v>70000</v>
      </c>
      <c r="H2" s="3" t="s">
        <v>73</v>
      </c>
      <c r="I2" s="3" t="s">
        <v>74</v>
      </c>
      <c r="J2" s="4">
        <v>0.45833333333333331</v>
      </c>
      <c r="K2" s="5">
        <v>0.45069444444444445</v>
      </c>
      <c r="L2" s="4">
        <v>0.25694444444444448</v>
      </c>
      <c r="M2" s="5">
        <v>0.25763888888888892</v>
      </c>
      <c r="N2" s="3" t="s">
        <v>100</v>
      </c>
      <c r="O2" s="3" t="s">
        <v>231</v>
      </c>
      <c r="P2" s="7">
        <v>668</v>
      </c>
      <c r="Q2" s="3">
        <v>207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44723</v>
      </c>
      <c r="B3" s="3" t="s">
        <v>21</v>
      </c>
      <c r="C3" s="3" t="s">
        <v>132</v>
      </c>
      <c r="D3" s="3" t="s">
        <v>29</v>
      </c>
      <c r="E3" s="3" t="s">
        <v>30</v>
      </c>
      <c r="F3" s="3" t="s">
        <v>33</v>
      </c>
      <c r="G3" s="6">
        <v>70000</v>
      </c>
      <c r="H3" s="3" t="s">
        <v>133</v>
      </c>
      <c r="I3" s="3" t="s">
        <v>134</v>
      </c>
      <c r="J3" s="4">
        <v>0.47222222222222227</v>
      </c>
      <c r="K3" s="5">
        <v>0.48125000000000001</v>
      </c>
      <c r="L3" s="4">
        <v>0.28125</v>
      </c>
      <c r="M3" s="5">
        <v>0.29444444444444445</v>
      </c>
      <c r="N3" s="3" t="s">
        <v>233</v>
      </c>
      <c r="O3" s="3" t="s">
        <v>232</v>
      </c>
      <c r="P3" s="7">
        <v>970</v>
      </c>
      <c r="Q3" s="3">
        <v>764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44723</v>
      </c>
      <c r="B4" s="3" t="s">
        <v>21</v>
      </c>
      <c r="C4" s="3" t="s">
        <v>68</v>
      </c>
      <c r="D4" s="3" t="s">
        <v>29</v>
      </c>
      <c r="E4" s="3" t="s">
        <v>107</v>
      </c>
      <c r="F4" s="3" t="s">
        <v>33</v>
      </c>
      <c r="G4" s="6">
        <v>70000</v>
      </c>
      <c r="H4" s="3" t="s">
        <v>75</v>
      </c>
      <c r="I4" s="3" t="s">
        <v>76</v>
      </c>
      <c r="J4" s="4">
        <v>0.91319444444444453</v>
      </c>
      <c r="K4" s="5">
        <v>0.92708333333333337</v>
      </c>
      <c r="L4" s="4">
        <v>0.49305555555555558</v>
      </c>
      <c r="M4" s="5">
        <v>0.5</v>
      </c>
      <c r="N4" s="3" t="s">
        <v>236</v>
      </c>
      <c r="O4" s="3" t="s">
        <v>234</v>
      </c>
      <c r="P4" s="3">
        <v>1184</v>
      </c>
      <c r="Q4" s="3">
        <v>813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44723</v>
      </c>
      <c r="B5" s="3" t="s">
        <v>21</v>
      </c>
      <c r="C5" s="3" t="s">
        <v>135</v>
      </c>
      <c r="D5" s="3" t="s">
        <v>29</v>
      </c>
      <c r="E5" s="3" t="s">
        <v>30</v>
      </c>
      <c r="F5" s="3" t="s">
        <v>33</v>
      </c>
      <c r="G5" s="6">
        <v>70000</v>
      </c>
      <c r="H5" s="3" t="s">
        <v>136</v>
      </c>
      <c r="I5" s="3" t="s">
        <v>137</v>
      </c>
      <c r="J5" s="4">
        <v>0.91319444444444453</v>
      </c>
      <c r="K5" s="5">
        <v>0.92986111111111114</v>
      </c>
      <c r="L5" s="4">
        <v>0.50347222222222221</v>
      </c>
      <c r="M5" s="5">
        <v>0.53472222222222221</v>
      </c>
      <c r="N5" s="3" t="s">
        <v>237</v>
      </c>
      <c r="O5" s="3" t="s">
        <v>235</v>
      </c>
      <c r="P5" s="3">
        <v>712</v>
      </c>
      <c r="Q5" s="3">
        <v>545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3" max="3" width="14.42578125" bestFit="1" customWidth="1"/>
    <col min="6" max="6" width="13.140625" customWidth="1"/>
  </cols>
  <sheetData>
    <row r="1" spans="1:21" s="20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0" customFormat="1" ht="12.75" x14ac:dyDescent="0.2">
      <c r="A2" s="21">
        <v>44724</v>
      </c>
      <c r="B2" s="3" t="s">
        <v>21</v>
      </c>
      <c r="C2" s="22" t="s">
        <v>67</v>
      </c>
      <c r="D2" s="3" t="s">
        <v>29</v>
      </c>
      <c r="E2" s="11" t="s">
        <v>30</v>
      </c>
      <c r="F2" s="3" t="s">
        <v>33</v>
      </c>
      <c r="G2" s="6">
        <v>70000</v>
      </c>
      <c r="H2" s="3" t="s">
        <v>73</v>
      </c>
      <c r="I2" s="3" t="s">
        <v>74</v>
      </c>
      <c r="J2" s="23">
        <v>0.45833333333333331</v>
      </c>
      <c r="K2" s="24">
        <v>0.44930555555555557</v>
      </c>
      <c r="L2" s="23">
        <v>0.25694444444444448</v>
      </c>
      <c r="M2" s="24">
        <v>0.25625000000000003</v>
      </c>
      <c r="N2" s="11" t="s">
        <v>240</v>
      </c>
      <c r="O2" s="11" t="s">
        <v>238</v>
      </c>
      <c r="P2" s="11">
        <v>896</v>
      </c>
      <c r="Q2" s="11">
        <v>309</v>
      </c>
      <c r="R2" s="11">
        <v>0</v>
      </c>
      <c r="S2" s="11">
        <v>0</v>
      </c>
      <c r="T2" s="11">
        <v>0</v>
      </c>
      <c r="U2" s="11">
        <v>0</v>
      </c>
    </row>
    <row r="3" spans="1:21" s="20" customFormat="1" ht="12.75" x14ac:dyDescent="0.2">
      <c r="A3" s="21">
        <v>44724</v>
      </c>
      <c r="B3" s="3" t="s">
        <v>21</v>
      </c>
      <c r="C3" s="22" t="s">
        <v>69</v>
      </c>
      <c r="D3" s="3" t="s">
        <v>29</v>
      </c>
      <c r="E3" s="11" t="s">
        <v>107</v>
      </c>
      <c r="F3" s="3" t="s">
        <v>33</v>
      </c>
      <c r="G3" s="6">
        <v>70000</v>
      </c>
      <c r="H3" s="3" t="s">
        <v>77</v>
      </c>
      <c r="I3" s="11" t="s">
        <v>78</v>
      </c>
      <c r="J3" s="23">
        <v>0.43402777777777773</v>
      </c>
      <c r="K3" s="24">
        <v>0.42638888888888887</v>
      </c>
      <c r="L3" s="23">
        <v>0.28472222222222221</v>
      </c>
      <c r="M3" s="24">
        <v>0.27916666666666667</v>
      </c>
      <c r="N3" s="11" t="s">
        <v>241</v>
      </c>
      <c r="O3" s="11" t="s">
        <v>239</v>
      </c>
      <c r="P3" s="11">
        <v>667</v>
      </c>
      <c r="Q3" s="11">
        <v>476</v>
      </c>
      <c r="R3" s="11">
        <v>0</v>
      </c>
      <c r="S3" s="11">
        <v>0</v>
      </c>
      <c r="T3" s="11">
        <v>0</v>
      </c>
      <c r="U3" s="11">
        <v>0</v>
      </c>
    </row>
    <row r="4" spans="1:21" s="20" customFormat="1" ht="12.75" x14ac:dyDescent="0.2">
      <c r="A4" s="21">
        <v>44724</v>
      </c>
      <c r="B4" s="3" t="s">
        <v>21</v>
      </c>
      <c r="C4" s="22" t="s">
        <v>70</v>
      </c>
      <c r="D4" s="3" t="s">
        <v>29</v>
      </c>
      <c r="E4" s="11" t="s">
        <v>107</v>
      </c>
      <c r="F4" s="3" t="s">
        <v>33</v>
      </c>
      <c r="G4" s="6">
        <v>70000</v>
      </c>
      <c r="H4" s="11" t="s">
        <v>79</v>
      </c>
      <c r="I4" s="11" t="s">
        <v>80</v>
      </c>
      <c r="J4" s="23">
        <v>0.62847222222222221</v>
      </c>
      <c r="K4" s="24">
        <v>0.63263888888888886</v>
      </c>
      <c r="L4" s="23">
        <v>0.47569444444444442</v>
      </c>
      <c r="M4" s="24">
        <v>0.48333333333333334</v>
      </c>
      <c r="N4" s="11" t="s">
        <v>246</v>
      </c>
      <c r="O4" s="11" t="s">
        <v>242</v>
      </c>
      <c r="P4" s="11">
        <v>288</v>
      </c>
      <c r="Q4" s="11">
        <v>323</v>
      </c>
      <c r="R4" s="11">
        <v>0</v>
      </c>
      <c r="S4" s="11">
        <v>0</v>
      </c>
      <c r="T4" s="11">
        <v>0</v>
      </c>
      <c r="U4" s="11">
        <v>0</v>
      </c>
    </row>
    <row r="5" spans="1:21" s="20" customFormat="1" ht="12.75" x14ac:dyDescent="0.2">
      <c r="A5" s="21">
        <v>44724</v>
      </c>
      <c r="B5" s="3" t="s">
        <v>21</v>
      </c>
      <c r="C5" s="22" t="s">
        <v>25</v>
      </c>
      <c r="D5" s="3" t="s">
        <v>29</v>
      </c>
      <c r="E5" s="11" t="s">
        <v>30</v>
      </c>
      <c r="F5" s="3" t="s">
        <v>33</v>
      </c>
      <c r="G5" s="6">
        <v>70000</v>
      </c>
      <c r="H5" s="11" t="s">
        <v>41</v>
      </c>
      <c r="I5" s="11" t="s">
        <v>42</v>
      </c>
      <c r="J5" s="23">
        <v>0.64583333333333337</v>
      </c>
      <c r="K5" s="24">
        <v>0.64166666666666672</v>
      </c>
      <c r="L5" s="23">
        <v>0.48958333333333331</v>
      </c>
      <c r="M5" s="24">
        <v>0.49374999999999997</v>
      </c>
      <c r="N5" s="11" t="s">
        <v>192</v>
      </c>
      <c r="O5" s="11" t="s">
        <v>243</v>
      </c>
      <c r="P5" s="11">
        <v>425</v>
      </c>
      <c r="Q5" s="11">
        <v>313</v>
      </c>
      <c r="R5" s="11">
        <v>0</v>
      </c>
      <c r="S5" s="11">
        <v>0</v>
      </c>
      <c r="T5" s="11">
        <v>0</v>
      </c>
      <c r="U5" s="11">
        <v>0</v>
      </c>
    </row>
    <row r="6" spans="1:21" s="20" customFormat="1" ht="12.75" x14ac:dyDescent="0.2">
      <c r="A6" s="21">
        <v>44724</v>
      </c>
      <c r="B6" s="3" t="s">
        <v>21</v>
      </c>
      <c r="C6" s="22" t="s">
        <v>71</v>
      </c>
      <c r="D6" s="3" t="s">
        <v>29</v>
      </c>
      <c r="E6" s="11" t="s">
        <v>107</v>
      </c>
      <c r="F6" s="3" t="s">
        <v>33</v>
      </c>
      <c r="G6" s="6">
        <v>70000</v>
      </c>
      <c r="H6" s="11" t="s">
        <v>81</v>
      </c>
      <c r="I6" s="11" t="s">
        <v>82</v>
      </c>
      <c r="J6" s="23">
        <v>0.86805555555555547</v>
      </c>
      <c r="K6" s="24">
        <v>0.87361111111111101</v>
      </c>
      <c r="L6" s="23">
        <v>0.64930555555555558</v>
      </c>
      <c r="M6" s="24">
        <v>0.67013888888888884</v>
      </c>
      <c r="N6" s="11" t="s">
        <v>247</v>
      </c>
      <c r="O6" s="11" t="s">
        <v>244</v>
      </c>
      <c r="P6" s="11">
        <v>399</v>
      </c>
      <c r="Q6" s="11">
        <v>355</v>
      </c>
      <c r="R6" s="11">
        <v>0</v>
      </c>
      <c r="S6" s="11">
        <v>0</v>
      </c>
      <c r="T6" s="11">
        <v>0</v>
      </c>
      <c r="U6" s="11">
        <v>0</v>
      </c>
    </row>
    <row r="7" spans="1:21" s="20" customFormat="1" ht="12.75" x14ac:dyDescent="0.2">
      <c r="A7" s="21">
        <v>44724</v>
      </c>
      <c r="B7" s="3" t="s">
        <v>21</v>
      </c>
      <c r="C7" s="22" t="s">
        <v>72</v>
      </c>
      <c r="D7" s="3" t="s">
        <v>29</v>
      </c>
      <c r="E7" s="11" t="s">
        <v>30</v>
      </c>
      <c r="F7" s="3" t="s">
        <v>33</v>
      </c>
      <c r="G7" s="6">
        <v>70000</v>
      </c>
      <c r="H7" s="11" t="s">
        <v>83</v>
      </c>
      <c r="I7" s="11" t="s">
        <v>84</v>
      </c>
      <c r="J7" s="23">
        <v>0.90277777777777779</v>
      </c>
      <c r="K7" s="24">
        <v>0.88888888888888884</v>
      </c>
      <c r="L7" s="23">
        <v>0.66666666666666663</v>
      </c>
      <c r="M7" s="24">
        <v>0.67499999999999993</v>
      </c>
      <c r="N7" s="11" t="s">
        <v>248</v>
      </c>
      <c r="O7" s="11" t="s">
        <v>245</v>
      </c>
      <c r="P7" s="11">
        <v>985</v>
      </c>
      <c r="Q7" s="11">
        <v>583</v>
      </c>
      <c r="R7" s="11">
        <v>0</v>
      </c>
      <c r="S7" s="11">
        <v>0</v>
      </c>
      <c r="T7" s="11">
        <v>0</v>
      </c>
      <c r="U7" s="11">
        <v>0</v>
      </c>
    </row>
    <row r="21" spans="8:8" x14ac:dyDescent="0.25">
      <c r="H21" s="12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15" sqref="C15"/>
    </sheetView>
  </sheetViews>
  <sheetFormatPr defaultRowHeight="15" x14ac:dyDescent="0.25"/>
  <cols>
    <col min="2" max="2" width="20" customWidth="1"/>
    <col min="3" max="3" width="14.28515625" customWidth="1"/>
    <col min="4" max="4" width="8.28515625" customWidth="1"/>
    <col min="6" max="6" width="17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44725</v>
      </c>
      <c r="B2" s="3" t="s">
        <v>21</v>
      </c>
      <c r="C2" s="3" t="s">
        <v>22</v>
      </c>
      <c r="D2" s="3" t="s">
        <v>29</v>
      </c>
      <c r="E2" s="3" t="s">
        <v>249</v>
      </c>
      <c r="F2" s="3" t="s">
        <v>33</v>
      </c>
      <c r="G2" s="6">
        <v>70000</v>
      </c>
      <c r="H2" s="3" t="s">
        <v>34</v>
      </c>
      <c r="I2" s="3" t="s">
        <v>35</v>
      </c>
      <c r="J2" s="4">
        <v>0.4375</v>
      </c>
      <c r="K2" s="5">
        <v>0.42986111111111108</v>
      </c>
      <c r="L2" s="4">
        <v>0.25694444444444448</v>
      </c>
      <c r="M2" s="5">
        <v>0.25208333333333333</v>
      </c>
      <c r="N2" s="3" t="s">
        <v>196</v>
      </c>
      <c r="O2" s="3" t="s">
        <v>251</v>
      </c>
      <c r="P2" s="3">
        <v>943</v>
      </c>
      <c r="Q2" s="3">
        <v>738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44725</v>
      </c>
      <c r="B3" s="3" t="s">
        <v>21</v>
      </c>
      <c r="C3" s="3" t="s">
        <v>24</v>
      </c>
      <c r="D3" s="3" t="s">
        <v>29</v>
      </c>
      <c r="E3" s="3" t="s">
        <v>250</v>
      </c>
      <c r="F3" s="3" t="s">
        <v>33</v>
      </c>
      <c r="G3" s="6">
        <v>70000</v>
      </c>
      <c r="H3" s="3" t="s">
        <v>38</v>
      </c>
      <c r="I3" s="3" t="s">
        <v>39</v>
      </c>
      <c r="J3" s="4">
        <v>0.60763888888888895</v>
      </c>
      <c r="K3" s="5">
        <v>0.60347222222222219</v>
      </c>
      <c r="L3" s="4">
        <v>0.45833333333333331</v>
      </c>
      <c r="M3" s="5">
        <v>0.46458333333333335</v>
      </c>
      <c r="N3" s="3" t="s">
        <v>221</v>
      </c>
      <c r="O3" s="3" t="s">
        <v>252</v>
      </c>
      <c r="P3" s="3">
        <v>742</v>
      </c>
      <c r="Q3" s="3">
        <v>562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44725</v>
      </c>
      <c r="B4" s="3" t="s">
        <v>21</v>
      </c>
      <c r="C4" s="3" t="s">
        <v>26</v>
      </c>
      <c r="D4" s="3" t="s">
        <v>29</v>
      </c>
      <c r="E4" s="3" t="s">
        <v>250</v>
      </c>
      <c r="F4" s="3" t="s">
        <v>33</v>
      </c>
      <c r="G4" s="6">
        <v>70000</v>
      </c>
      <c r="H4" s="3" t="s">
        <v>43</v>
      </c>
      <c r="I4" s="3" t="s">
        <v>44</v>
      </c>
      <c r="J4" s="4">
        <v>0.75694444444444453</v>
      </c>
      <c r="K4" s="5">
        <v>0.74791666666666667</v>
      </c>
      <c r="L4" s="4">
        <v>0.64236111111111105</v>
      </c>
      <c r="M4" s="5">
        <v>0.63888888888888895</v>
      </c>
      <c r="N4" s="3" t="s">
        <v>261</v>
      </c>
      <c r="O4" s="3" t="s">
        <v>260</v>
      </c>
      <c r="P4" s="3">
        <v>486</v>
      </c>
      <c r="Q4" s="3">
        <v>536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44725</v>
      </c>
      <c r="B5" s="3" t="s">
        <v>21</v>
      </c>
      <c r="C5" s="3" t="s">
        <v>28</v>
      </c>
      <c r="D5" s="3" t="s">
        <v>29</v>
      </c>
      <c r="E5" s="3" t="s">
        <v>250</v>
      </c>
      <c r="F5" s="3" t="s">
        <v>33</v>
      </c>
      <c r="G5" s="6">
        <v>70000</v>
      </c>
      <c r="H5" s="3" t="s">
        <v>45</v>
      </c>
      <c r="I5" s="3" t="s">
        <v>48</v>
      </c>
      <c r="J5" s="4">
        <v>0.97569444444444453</v>
      </c>
      <c r="K5" s="5">
        <v>0.96597222222222223</v>
      </c>
      <c r="L5" s="4">
        <v>0.77777777777777779</v>
      </c>
      <c r="M5" s="5">
        <v>0.77916666666666667</v>
      </c>
      <c r="N5" s="3" t="s">
        <v>263</v>
      </c>
      <c r="O5" s="3" t="s">
        <v>262</v>
      </c>
      <c r="P5" s="3">
        <v>693</v>
      </c>
      <c r="Q5" s="3">
        <v>587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44725</v>
      </c>
      <c r="B6" s="3" t="s">
        <v>21</v>
      </c>
      <c r="C6" s="3" t="s">
        <v>253</v>
      </c>
      <c r="D6" s="3" t="s">
        <v>29</v>
      </c>
      <c r="E6" s="3" t="s">
        <v>30</v>
      </c>
      <c r="F6" s="3" t="s">
        <v>255</v>
      </c>
      <c r="G6" s="6">
        <v>70000</v>
      </c>
      <c r="H6" s="3" t="s">
        <v>52</v>
      </c>
      <c r="I6" s="3" t="s">
        <v>254</v>
      </c>
      <c r="J6" s="3" t="s">
        <v>52</v>
      </c>
      <c r="K6" s="3" t="s">
        <v>52</v>
      </c>
      <c r="L6" s="4">
        <v>0.49305555555555558</v>
      </c>
      <c r="M6" s="5">
        <v>0.5</v>
      </c>
      <c r="N6" s="3" t="s">
        <v>52</v>
      </c>
      <c r="O6" s="3" t="s">
        <v>52</v>
      </c>
      <c r="P6" s="3" t="s">
        <v>52</v>
      </c>
      <c r="Q6" s="3" t="s">
        <v>52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44725</v>
      </c>
      <c r="B7" s="3" t="s">
        <v>256</v>
      </c>
      <c r="C7" s="3" t="s">
        <v>200</v>
      </c>
      <c r="D7" s="3" t="s">
        <v>201</v>
      </c>
      <c r="E7" s="3" t="s">
        <v>257</v>
      </c>
      <c r="F7" s="3" t="s">
        <v>200</v>
      </c>
      <c r="G7" s="3">
        <v>1338</v>
      </c>
      <c r="H7" s="3" t="str">
        <f t="shared" ref="H7:H8" si="0">E7</f>
        <v>YU-DPS</v>
      </c>
      <c r="I7" s="3" t="str">
        <f t="shared" ref="I7:I8" si="1">E7</f>
        <v>YU-DPS</v>
      </c>
      <c r="J7" s="3" t="s">
        <v>52</v>
      </c>
      <c r="K7" s="5">
        <v>0.46875</v>
      </c>
      <c r="L7" s="3" t="s">
        <v>52</v>
      </c>
      <c r="M7" s="5">
        <v>0.35416666666666669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44725</v>
      </c>
      <c r="B8" s="3" t="s">
        <v>256</v>
      </c>
      <c r="C8" s="3" t="s">
        <v>200</v>
      </c>
      <c r="D8" s="3" t="s">
        <v>258</v>
      </c>
      <c r="E8" s="3" t="s">
        <v>259</v>
      </c>
      <c r="F8" s="3" t="s">
        <v>200</v>
      </c>
      <c r="G8" s="3">
        <v>1338</v>
      </c>
      <c r="H8" s="3" t="str">
        <f t="shared" si="0"/>
        <v>YU-DPT</v>
      </c>
      <c r="I8" s="3" t="str">
        <f t="shared" si="1"/>
        <v>YU-DPT</v>
      </c>
      <c r="J8" s="3" t="s">
        <v>52</v>
      </c>
      <c r="K8" s="5">
        <v>0.47222222222222227</v>
      </c>
      <c r="L8" s="3" t="s">
        <v>52</v>
      </c>
      <c r="M8" s="5">
        <v>0.3576388888888889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I12" sqref="I12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4" max="4" width="7.7109375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44726</v>
      </c>
      <c r="B2" s="3" t="s">
        <v>21</v>
      </c>
      <c r="C2" s="3" t="s">
        <v>132</v>
      </c>
      <c r="D2" s="3" t="s">
        <v>29</v>
      </c>
      <c r="E2" s="3" t="s">
        <v>250</v>
      </c>
      <c r="F2" s="3" t="s">
        <v>33</v>
      </c>
      <c r="G2" s="6">
        <v>70000</v>
      </c>
      <c r="H2" s="3" t="s">
        <v>133</v>
      </c>
      <c r="I2" s="3" t="s">
        <v>134</v>
      </c>
      <c r="J2" s="4">
        <v>0.46180555555555558</v>
      </c>
      <c r="K2" s="5">
        <v>0.4548611111111111</v>
      </c>
      <c r="L2" s="4">
        <v>0.27083333333333331</v>
      </c>
      <c r="M2" s="5">
        <v>0.2722222222222222</v>
      </c>
      <c r="N2" s="3" t="s">
        <v>266</v>
      </c>
      <c r="O2" s="3" t="s">
        <v>264</v>
      </c>
      <c r="P2" s="7">
        <v>1340</v>
      </c>
      <c r="Q2" s="3">
        <v>709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44726</v>
      </c>
      <c r="B3" s="3" t="s">
        <v>213</v>
      </c>
      <c r="C3" s="3" t="s">
        <v>214</v>
      </c>
      <c r="D3" s="3" t="s">
        <v>29</v>
      </c>
      <c r="E3" s="3" t="s">
        <v>215</v>
      </c>
      <c r="F3" s="1" t="s">
        <v>216</v>
      </c>
      <c r="G3" s="3">
        <v>77000</v>
      </c>
      <c r="H3" s="3" t="s">
        <v>217</v>
      </c>
      <c r="I3" s="3" t="s">
        <v>218</v>
      </c>
      <c r="J3" s="4">
        <v>0.3298611111111111</v>
      </c>
      <c r="K3" s="5">
        <v>0.31388888888888888</v>
      </c>
      <c r="L3" s="4">
        <v>0.37152777777777773</v>
      </c>
      <c r="M3" s="5">
        <v>0.37083333333333335</v>
      </c>
      <c r="N3" s="3">
        <v>0</v>
      </c>
      <c r="O3" s="3" t="s">
        <v>265</v>
      </c>
      <c r="P3" s="3">
        <v>0</v>
      </c>
      <c r="Q3" s="3">
        <v>2151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44726</v>
      </c>
      <c r="B4" s="3" t="s">
        <v>21</v>
      </c>
      <c r="C4" s="3" t="s">
        <v>68</v>
      </c>
      <c r="D4" s="3" t="s">
        <v>29</v>
      </c>
      <c r="E4" s="3" t="s">
        <v>250</v>
      </c>
      <c r="F4" s="3" t="s">
        <v>33</v>
      </c>
      <c r="G4" s="6">
        <v>70000</v>
      </c>
      <c r="H4" s="3" t="s">
        <v>75</v>
      </c>
      <c r="I4" s="3" t="s">
        <v>76</v>
      </c>
      <c r="J4" s="4">
        <v>0.91319444444444453</v>
      </c>
      <c r="K4" s="5">
        <v>0.92013888888888884</v>
      </c>
      <c r="L4" s="4">
        <v>0.49305555555555558</v>
      </c>
      <c r="M4" s="5">
        <v>0.49722222222222223</v>
      </c>
      <c r="N4" s="3" t="s">
        <v>268</v>
      </c>
      <c r="O4" s="3" t="s">
        <v>267</v>
      </c>
      <c r="P4" s="3">
        <v>998</v>
      </c>
      <c r="Q4" s="3">
        <v>714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44726</v>
      </c>
      <c r="B5" s="3" t="s">
        <v>256</v>
      </c>
      <c r="C5" s="3" t="s">
        <v>200</v>
      </c>
      <c r="D5" s="3" t="s">
        <v>201</v>
      </c>
      <c r="E5" s="3" t="s">
        <v>257</v>
      </c>
      <c r="F5" s="3" t="s">
        <v>200</v>
      </c>
      <c r="G5" s="3">
        <v>1338</v>
      </c>
      <c r="H5" s="3" t="str">
        <f t="shared" ref="H5:H6" si="0">E5</f>
        <v>YU-DPS</v>
      </c>
      <c r="I5" s="3" t="str">
        <f t="shared" ref="I5:I6" si="1">E5</f>
        <v>YU-DPS</v>
      </c>
      <c r="J5" s="3" t="s">
        <v>52</v>
      </c>
      <c r="K5" s="5">
        <v>0.63472222222222219</v>
      </c>
      <c r="L5" s="3" t="s">
        <v>52</v>
      </c>
      <c r="M5" s="5">
        <v>0.39861111111111108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44726</v>
      </c>
      <c r="B6" s="3" t="s">
        <v>256</v>
      </c>
      <c r="C6" s="3" t="s">
        <v>200</v>
      </c>
      <c r="D6" s="3" t="s">
        <v>258</v>
      </c>
      <c r="E6" s="3" t="s">
        <v>259</v>
      </c>
      <c r="F6" s="3" t="s">
        <v>200</v>
      </c>
      <c r="G6" s="3">
        <v>1338</v>
      </c>
      <c r="H6" s="3" t="str">
        <f t="shared" si="0"/>
        <v>YU-DPT</v>
      </c>
      <c r="I6" s="3" t="str">
        <f t="shared" si="1"/>
        <v>YU-DPT</v>
      </c>
      <c r="J6" s="3" t="s">
        <v>52</v>
      </c>
      <c r="K6" s="5">
        <v>0.63263888888888886</v>
      </c>
      <c r="L6" s="3" t="s">
        <v>52</v>
      </c>
      <c r="M6" s="5">
        <v>0.39583333333333331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44726</v>
      </c>
      <c r="B7" s="3" t="s">
        <v>256</v>
      </c>
      <c r="C7" s="3" t="s">
        <v>200</v>
      </c>
      <c r="D7" s="3" t="s">
        <v>258</v>
      </c>
      <c r="E7" s="3" t="s">
        <v>202</v>
      </c>
      <c r="F7" s="3" t="s">
        <v>200</v>
      </c>
      <c r="G7" s="3">
        <v>1338</v>
      </c>
      <c r="H7" s="3" t="s">
        <v>202</v>
      </c>
      <c r="I7" s="3" t="s">
        <v>202</v>
      </c>
      <c r="J7" s="3" t="s">
        <v>52</v>
      </c>
      <c r="K7" s="5">
        <v>0.63750000000000007</v>
      </c>
      <c r="L7" s="3" t="s">
        <v>52</v>
      </c>
      <c r="M7" s="5">
        <v>0.41805555555555557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2" sqref="A2:AF5"/>
    </sheetView>
  </sheetViews>
  <sheetFormatPr defaultRowHeight="15" x14ac:dyDescent="0.25"/>
  <cols>
    <col min="3" max="3" width="13.140625" customWidth="1"/>
    <col min="6" max="6" width="13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44727</v>
      </c>
      <c r="B2" s="3" t="s">
        <v>21</v>
      </c>
      <c r="C2" s="3" t="s">
        <v>22</v>
      </c>
      <c r="D2" s="3" t="s">
        <v>29</v>
      </c>
      <c r="E2" s="3" t="s">
        <v>250</v>
      </c>
      <c r="F2" s="1" t="s">
        <v>33</v>
      </c>
      <c r="G2" s="3">
        <v>70000</v>
      </c>
      <c r="H2" s="3" t="s">
        <v>34</v>
      </c>
      <c r="I2" s="3" t="s">
        <v>35</v>
      </c>
      <c r="J2" s="4">
        <v>0.43055555555555558</v>
      </c>
      <c r="K2" s="5">
        <v>0.45347222222222222</v>
      </c>
      <c r="L2" s="4">
        <v>0.25694444444444448</v>
      </c>
      <c r="M2" s="5">
        <v>0.26666666666666666</v>
      </c>
      <c r="N2" s="3" t="s">
        <v>270</v>
      </c>
      <c r="O2" s="3" t="s">
        <v>269</v>
      </c>
      <c r="P2" s="3">
        <v>758</v>
      </c>
      <c r="Q2" s="3">
        <v>513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f>A2</f>
        <v>44727</v>
      </c>
      <c r="B3" s="3" t="s">
        <v>21</v>
      </c>
      <c r="C3" s="3" t="s">
        <v>24</v>
      </c>
      <c r="D3" s="3" t="s">
        <v>29</v>
      </c>
      <c r="E3" s="3" t="str">
        <f>E2</f>
        <v>HA-LWT</v>
      </c>
      <c r="F3" s="1" t="s">
        <v>33</v>
      </c>
      <c r="G3" s="3">
        <v>70000</v>
      </c>
      <c r="H3" s="3" t="s">
        <v>38</v>
      </c>
      <c r="I3" s="3" t="s">
        <v>39</v>
      </c>
      <c r="J3" s="4">
        <v>0.60069444444444442</v>
      </c>
      <c r="K3" s="5">
        <v>0.61249999999999993</v>
      </c>
      <c r="L3" s="4">
        <v>0.4513888888888889</v>
      </c>
      <c r="M3" s="5">
        <v>0.48819444444444443</v>
      </c>
      <c r="N3" s="3" t="s">
        <v>271</v>
      </c>
      <c r="O3" s="3" t="s">
        <v>226</v>
      </c>
      <c r="P3" s="3">
        <v>445</v>
      </c>
      <c r="Q3" s="3">
        <v>608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A3</f>
        <v>44727</v>
      </c>
      <c r="B4" s="3" t="s">
        <v>21</v>
      </c>
      <c r="C4" s="3" t="s">
        <v>26</v>
      </c>
      <c r="D4" s="3" t="s">
        <v>29</v>
      </c>
      <c r="E4" s="3" t="str">
        <f>E3</f>
        <v>HA-LWT</v>
      </c>
      <c r="F4" s="1" t="s">
        <v>33</v>
      </c>
      <c r="G4" s="3">
        <v>70000</v>
      </c>
      <c r="H4" s="3" t="s">
        <v>43</v>
      </c>
      <c r="I4" s="3" t="s">
        <v>44</v>
      </c>
      <c r="J4" s="4">
        <v>0.74652777777777779</v>
      </c>
      <c r="K4" s="5">
        <v>0.75694444444444453</v>
      </c>
      <c r="L4" s="4">
        <v>0.63194444444444442</v>
      </c>
      <c r="M4" s="5">
        <v>0.64513888888888882</v>
      </c>
      <c r="N4" s="3" t="s">
        <v>274</v>
      </c>
      <c r="O4" s="3" t="s">
        <v>272</v>
      </c>
      <c r="P4" s="3">
        <v>421</v>
      </c>
      <c r="Q4" s="3">
        <v>366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f>A4</f>
        <v>44727</v>
      </c>
      <c r="B5" s="3" t="s">
        <v>21</v>
      </c>
      <c r="C5" s="3" t="s">
        <v>28</v>
      </c>
      <c r="D5" s="3" t="s">
        <v>29</v>
      </c>
      <c r="E5" s="3" t="str">
        <f>E4</f>
        <v>HA-LWT</v>
      </c>
      <c r="F5" s="1" t="s">
        <v>33</v>
      </c>
      <c r="G5" s="3">
        <v>70000</v>
      </c>
      <c r="H5" s="3" t="s">
        <v>47</v>
      </c>
      <c r="I5" s="3" t="s">
        <v>48</v>
      </c>
      <c r="J5" s="4">
        <v>0.9375</v>
      </c>
      <c r="K5" s="5">
        <v>0.94444444444444453</v>
      </c>
      <c r="L5" s="4">
        <v>0.76736111111111116</v>
      </c>
      <c r="M5" s="5">
        <v>0.79513888888888884</v>
      </c>
      <c r="N5" s="3" t="s">
        <v>275</v>
      </c>
      <c r="O5" s="3" t="s">
        <v>273</v>
      </c>
      <c r="P5" s="3">
        <v>646</v>
      </c>
      <c r="Q5" s="3">
        <v>585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sqref="A1:W1"/>
    </sheetView>
  </sheetViews>
  <sheetFormatPr defaultRowHeight="15" x14ac:dyDescent="0.25"/>
  <cols>
    <col min="2" max="2" width="12" customWidth="1"/>
    <col min="3" max="3" width="13.5703125" bestFit="1" customWidth="1"/>
    <col min="6" max="6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44728</v>
      </c>
      <c r="B2" s="3" t="s">
        <v>21</v>
      </c>
      <c r="C2" s="3" t="s">
        <v>69</v>
      </c>
      <c r="D2" s="3" t="s">
        <v>29</v>
      </c>
      <c r="E2" s="3" t="s">
        <v>250</v>
      </c>
      <c r="F2" s="1" t="s">
        <v>33</v>
      </c>
      <c r="G2" s="3">
        <v>70000</v>
      </c>
      <c r="H2" s="3" t="s">
        <v>77</v>
      </c>
      <c r="I2" s="3" t="s">
        <v>78</v>
      </c>
      <c r="J2" s="4">
        <v>0.43402777777777773</v>
      </c>
      <c r="K2" s="5">
        <v>0.41875000000000001</v>
      </c>
      <c r="L2" s="4">
        <v>0.28472222222222221</v>
      </c>
      <c r="M2" s="5">
        <v>0.27777777777777779</v>
      </c>
      <c r="N2" s="3" t="s">
        <v>186</v>
      </c>
      <c r="O2" s="3" t="s">
        <v>227</v>
      </c>
      <c r="P2" s="3">
        <v>255</v>
      </c>
      <c r="Q2" s="3">
        <v>471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44728</v>
      </c>
      <c r="B3" s="3" t="s">
        <v>21</v>
      </c>
      <c r="C3" s="3" t="s">
        <v>68</v>
      </c>
      <c r="D3" s="3" t="s">
        <v>29</v>
      </c>
      <c r="E3" s="3" t="str">
        <f>E2</f>
        <v>HA-LWT</v>
      </c>
      <c r="F3" s="1" t="s">
        <v>33</v>
      </c>
      <c r="G3" s="3">
        <v>70000</v>
      </c>
      <c r="H3" s="3" t="s">
        <v>75</v>
      </c>
      <c r="I3" s="3" t="s">
        <v>76</v>
      </c>
      <c r="J3" s="4">
        <v>0.64236111111111105</v>
      </c>
      <c r="K3" s="5">
        <v>0.63888888888888895</v>
      </c>
      <c r="L3" s="4">
        <v>0.4548611111111111</v>
      </c>
      <c r="M3" s="5">
        <v>0.45555555555555555</v>
      </c>
      <c r="N3" s="3" t="s">
        <v>276</v>
      </c>
      <c r="O3" s="3" t="s">
        <v>115</v>
      </c>
      <c r="P3" s="3">
        <v>930</v>
      </c>
      <c r="Q3" s="3">
        <v>759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44728</v>
      </c>
      <c r="B4" s="3" t="s">
        <v>21</v>
      </c>
      <c r="C4" s="3" t="s">
        <v>71</v>
      </c>
      <c r="D4" s="3" t="s">
        <v>29</v>
      </c>
      <c r="E4" s="3" t="str">
        <f>E3</f>
        <v>HA-LWT</v>
      </c>
      <c r="F4" s="1" t="s">
        <v>33</v>
      </c>
      <c r="G4" s="3">
        <v>70000</v>
      </c>
      <c r="H4" s="3" t="s">
        <v>81</v>
      </c>
      <c r="I4" s="3" t="s">
        <v>82</v>
      </c>
      <c r="J4" s="4">
        <v>0.86805555555555547</v>
      </c>
      <c r="K4" s="5">
        <v>0.88194444444444453</v>
      </c>
      <c r="L4" s="4">
        <v>0.67361111111111116</v>
      </c>
      <c r="M4" s="5">
        <v>0.67708333333333337</v>
      </c>
      <c r="N4" s="3" t="s">
        <v>278</v>
      </c>
      <c r="O4" s="3" t="s">
        <v>277</v>
      </c>
      <c r="P4" s="3">
        <v>241</v>
      </c>
      <c r="Q4" s="3">
        <v>141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/>
      <c r="B5" s="3"/>
      <c r="C5" s="3"/>
      <c r="D5" s="3"/>
      <c r="E5" s="3"/>
      <c r="F5" s="1"/>
      <c r="G5" s="3"/>
      <c r="H5" s="3"/>
      <c r="I5" s="3"/>
      <c r="J5" s="4"/>
      <c r="K5" s="5"/>
      <c r="L5" s="4"/>
      <c r="M5" s="5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/>
      <c r="B6" s="3"/>
      <c r="C6" s="3"/>
      <c r="D6" s="3"/>
      <c r="E6" s="3"/>
      <c r="F6" s="3"/>
      <c r="G6" s="3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opLeftCell="D1" workbookViewId="0">
      <selection activeCell="K9" sqref="K9"/>
    </sheetView>
  </sheetViews>
  <sheetFormatPr defaultRowHeight="12.75" x14ac:dyDescent="0.2"/>
  <cols>
    <col min="1" max="1" width="10.140625" style="11" bestFit="1" customWidth="1"/>
    <col min="2" max="2" width="19.85546875" style="11" customWidth="1"/>
    <col min="3" max="3" width="14.28515625" style="11" customWidth="1"/>
    <col min="4" max="5" width="9.140625" style="11"/>
    <col min="6" max="6" width="14.85546875" style="11" customWidth="1"/>
    <col min="7" max="16384" width="9.140625" style="1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44729</v>
      </c>
      <c r="B2" s="3" t="s">
        <v>21</v>
      </c>
      <c r="C2" s="3" t="s">
        <v>22</v>
      </c>
      <c r="D2" s="3" t="s">
        <v>29</v>
      </c>
      <c r="E2" s="3" t="s">
        <v>250</v>
      </c>
      <c r="F2" s="1" t="s">
        <v>33</v>
      </c>
      <c r="G2" s="3">
        <v>70000</v>
      </c>
      <c r="H2" s="3" t="s">
        <v>34</v>
      </c>
      <c r="I2" s="3" t="s">
        <v>35</v>
      </c>
      <c r="J2" s="4">
        <v>0.4375</v>
      </c>
      <c r="K2" s="5">
        <v>0.43402777777777773</v>
      </c>
      <c r="L2" s="4">
        <v>0.25694444444444448</v>
      </c>
      <c r="M2" s="5">
        <v>0.27569444444444446</v>
      </c>
      <c r="N2" s="3" t="s">
        <v>289</v>
      </c>
      <c r="O2" s="3" t="s">
        <v>284</v>
      </c>
      <c r="P2" s="3">
        <v>938</v>
      </c>
      <c r="Q2" s="3">
        <v>489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44729</v>
      </c>
      <c r="B3" s="3" t="s">
        <v>213</v>
      </c>
      <c r="C3" s="3" t="s">
        <v>214</v>
      </c>
      <c r="D3" s="3" t="s">
        <v>29</v>
      </c>
      <c r="E3" s="3" t="s">
        <v>215</v>
      </c>
      <c r="F3" s="1" t="s">
        <v>216</v>
      </c>
      <c r="G3" s="3">
        <v>77000</v>
      </c>
      <c r="H3" s="3" t="s">
        <v>217</v>
      </c>
      <c r="I3" s="3" t="s">
        <v>218</v>
      </c>
      <c r="J3" s="4">
        <v>0.3298611111111111</v>
      </c>
      <c r="K3" s="5">
        <v>0.33263888888888887</v>
      </c>
      <c r="L3" s="4">
        <v>0.37152777777777773</v>
      </c>
      <c r="M3" s="5">
        <v>0.40416666666666662</v>
      </c>
      <c r="N3" s="3" t="s">
        <v>285</v>
      </c>
      <c r="O3" s="3" t="s">
        <v>288</v>
      </c>
      <c r="P3" s="3">
        <v>1711</v>
      </c>
      <c r="Q3" s="3">
        <v>2127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44729</v>
      </c>
      <c r="B4" s="3" t="s">
        <v>21</v>
      </c>
      <c r="C4" s="3" t="s">
        <v>23</v>
      </c>
      <c r="D4" s="3" t="s">
        <v>29</v>
      </c>
      <c r="E4" s="3" t="s">
        <v>30</v>
      </c>
      <c r="F4" s="1" t="s">
        <v>33</v>
      </c>
      <c r="G4" s="3">
        <v>70000</v>
      </c>
      <c r="H4" s="3" t="s">
        <v>36</v>
      </c>
      <c r="I4" s="3" t="s">
        <v>37</v>
      </c>
      <c r="J4" s="4">
        <v>0.51041666666666663</v>
      </c>
      <c r="K4" s="5">
        <v>0.5</v>
      </c>
      <c r="L4" s="4">
        <v>0.28125</v>
      </c>
      <c r="M4" s="5">
        <v>0.28472222222222221</v>
      </c>
      <c r="N4" s="3" t="s">
        <v>286</v>
      </c>
      <c r="O4" s="3" t="s">
        <v>287</v>
      </c>
      <c r="P4" s="3">
        <v>1244</v>
      </c>
      <c r="Q4" s="3">
        <v>457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44729</v>
      </c>
      <c r="B5" s="3" t="s">
        <v>21</v>
      </c>
      <c r="C5" s="3" t="s">
        <v>24</v>
      </c>
      <c r="D5" s="3" t="s">
        <v>29</v>
      </c>
      <c r="E5" s="3" t="s">
        <v>250</v>
      </c>
      <c r="F5" s="1" t="s">
        <v>33</v>
      </c>
      <c r="G5" s="3">
        <v>70000</v>
      </c>
      <c r="H5" s="3" t="s">
        <v>38</v>
      </c>
      <c r="I5" s="3" t="s">
        <v>39</v>
      </c>
      <c r="J5" s="4">
        <v>0.60763888888888895</v>
      </c>
      <c r="K5" s="5">
        <v>0.61388888888888882</v>
      </c>
      <c r="L5" s="4">
        <v>0.45833333333333331</v>
      </c>
      <c r="M5" s="5">
        <v>0.47430555555555554</v>
      </c>
      <c r="N5" s="3" t="s">
        <v>180</v>
      </c>
      <c r="O5" s="3" t="s">
        <v>154</v>
      </c>
      <c r="P5" s="3">
        <v>696</v>
      </c>
      <c r="Q5" s="3">
        <v>1143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44729</v>
      </c>
      <c r="B6" s="3" t="s">
        <v>21</v>
      </c>
      <c r="C6" s="3" t="s">
        <v>281</v>
      </c>
      <c r="D6" s="3" t="s">
        <v>29</v>
      </c>
      <c r="E6" s="3" t="s">
        <v>30</v>
      </c>
      <c r="F6" s="1" t="s">
        <v>33</v>
      </c>
      <c r="G6" s="3">
        <v>70000</v>
      </c>
      <c r="H6" s="3" t="s">
        <v>283</v>
      </c>
      <c r="I6" s="3" t="s">
        <v>282</v>
      </c>
      <c r="J6" s="4">
        <v>0.75694444444444453</v>
      </c>
      <c r="K6" s="5" t="s">
        <v>290</v>
      </c>
      <c r="L6" s="4">
        <v>0.54166666666666663</v>
      </c>
      <c r="M6" s="5" t="s">
        <v>291</v>
      </c>
      <c r="N6" s="3"/>
      <c r="O6" s="3"/>
      <c r="P6" s="3"/>
      <c r="Q6" s="3"/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2">
        <v>44729</v>
      </c>
      <c r="B7" s="3" t="s">
        <v>21</v>
      </c>
      <c r="C7" s="3" t="s">
        <v>26</v>
      </c>
      <c r="D7" s="3" t="s">
        <v>29</v>
      </c>
      <c r="E7" s="3" t="s">
        <v>250</v>
      </c>
      <c r="F7" s="1" t="s">
        <v>33</v>
      </c>
      <c r="G7" s="3">
        <v>70000</v>
      </c>
      <c r="H7" s="3" t="s">
        <v>43</v>
      </c>
      <c r="I7" s="3" t="s">
        <v>44</v>
      </c>
      <c r="J7" s="4">
        <v>0.75694444444444453</v>
      </c>
      <c r="K7" s="5">
        <v>0.76944444444444438</v>
      </c>
      <c r="L7" s="4">
        <v>0.64236111111111105</v>
      </c>
      <c r="M7" s="5">
        <v>0.65138888888888891</v>
      </c>
      <c r="N7" s="3" t="s">
        <v>293</v>
      </c>
      <c r="O7" s="3" t="s">
        <v>183</v>
      </c>
      <c r="P7" s="3">
        <v>287</v>
      </c>
      <c r="Q7" s="3">
        <v>524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44729</v>
      </c>
      <c r="B8" s="3" t="s">
        <v>21</v>
      </c>
      <c r="C8" s="3" t="s">
        <v>27</v>
      </c>
      <c r="D8" s="3" t="s">
        <v>29</v>
      </c>
      <c r="E8" s="3" t="s">
        <v>250</v>
      </c>
      <c r="F8" s="1" t="s">
        <v>33</v>
      </c>
      <c r="G8" s="3">
        <v>70000</v>
      </c>
      <c r="H8" s="3" t="s">
        <v>45</v>
      </c>
      <c r="I8" s="3" t="s">
        <v>46</v>
      </c>
      <c r="J8" s="4">
        <v>0.96180555555555547</v>
      </c>
      <c r="K8" s="5">
        <v>0.9819444444444444</v>
      </c>
      <c r="L8" s="4">
        <v>0.77777777777777779</v>
      </c>
      <c r="M8" s="5">
        <v>0.80069444444444438</v>
      </c>
      <c r="N8" s="3" t="s">
        <v>192</v>
      </c>
      <c r="O8" s="3" t="s">
        <v>292</v>
      </c>
      <c r="P8" s="3">
        <v>489</v>
      </c>
      <c r="Q8" s="3">
        <v>801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2">
        <v>44729</v>
      </c>
      <c r="B9" s="3" t="s">
        <v>21</v>
      </c>
      <c r="C9" s="3" t="s">
        <v>28</v>
      </c>
      <c r="D9" s="3" t="s">
        <v>29</v>
      </c>
      <c r="E9" s="3" t="s">
        <v>30</v>
      </c>
      <c r="F9" s="1" t="s">
        <v>33</v>
      </c>
      <c r="G9" s="3">
        <v>70000</v>
      </c>
      <c r="H9" s="3" t="s">
        <v>47</v>
      </c>
      <c r="I9" s="3" t="s">
        <v>48</v>
      </c>
      <c r="J9" s="4">
        <v>0.97569444444444453</v>
      </c>
      <c r="K9" s="5" t="s">
        <v>290</v>
      </c>
      <c r="L9" s="4">
        <v>0.77777777777777779</v>
      </c>
      <c r="M9" s="5" t="s">
        <v>291</v>
      </c>
      <c r="N9" s="3"/>
      <c r="O9" s="3"/>
      <c r="P9" s="3"/>
      <c r="Q9" s="3"/>
      <c r="R9" s="3">
        <v>0</v>
      </c>
      <c r="S9" s="3">
        <v>0</v>
      </c>
      <c r="T9" s="3">
        <v>0</v>
      </c>
      <c r="U9" s="3">
        <v>0</v>
      </c>
    </row>
    <row r="10" spans="1:21" x14ac:dyDescent="0.2">
      <c r="A10" s="2">
        <v>44729</v>
      </c>
      <c r="B10" s="3" t="s">
        <v>21</v>
      </c>
      <c r="C10" s="3" t="s">
        <v>279</v>
      </c>
      <c r="D10" s="3" t="s">
        <v>29</v>
      </c>
      <c r="E10" s="3" t="s">
        <v>30</v>
      </c>
      <c r="F10" s="3" t="s">
        <v>280</v>
      </c>
      <c r="G10" s="3">
        <v>70000</v>
      </c>
      <c r="H10" s="3" t="s">
        <v>147</v>
      </c>
      <c r="I10" s="3" t="s">
        <v>52</v>
      </c>
      <c r="J10" s="4">
        <v>0.25</v>
      </c>
      <c r="K10" s="5">
        <v>0.24236111111111111</v>
      </c>
      <c r="L10" s="4" t="s">
        <v>52</v>
      </c>
      <c r="M10" s="5" t="s">
        <v>52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x14ac:dyDescent="0.2">
      <c r="A11" s="2">
        <v>44729</v>
      </c>
      <c r="B11" s="3" t="s">
        <v>294</v>
      </c>
      <c r="C11" s="11" t="s">
        <v>295</v>
      </c>
      <c r="D11" s="11" t="s">
        <v>201</v>
      </c>
      <c r="E11" s="11" t="s">
        <v>121</v>
      </c>
      <c r="F11" s="11" t="s">
        <v>297</v>
      </c>
      <c r="G11" s="11">
        <v>1089</v>
      </c>
      <c r="H11" s="11" t="str">
        <f>E11</f>
        <v>E7-SAF</v>
      </c>
      <c r="I11" s="11" t="str">
        <f>H11</f>
        <v>E7-SAF</v>
      </c>
      <c r="K11" s="24">
        <v>0.73472222222222217</v>
      </c>
      <c r="M11" s="24">
        <v>0.77777777777777779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</row>
    <row r="12" spans="1:21" x14ac:dyDescent="0.2">
      <c r="A12" s="2">
        <v>44729</v>
      </c>
      <c r="B12" s="11" t="str">
        <f>B11</f>
        <v>AK FENIX</v>
      </c>
      <c r="C12" s="11" t="s">
        <v>296</v>
      </c>
      <c r="D12" s="11" t="str">
        <f>D11</f>
        <v>C172</v>
      </c>
      <c r="E12" s="11" t="str">
        <f>E11</f>
        <v>E7-SAF</v>
      </c>
      <c r="F12" s="11" t="s">
        <v>297</v>
      </c>
      <c r="G12" s="11">
        <f>G11</f>
        <v>1089</v>
      </c>
      <c r="H12" s="11" t="str">
        <f>E12</f>
        <v>E7-SAF</v>
      </c>
      <c r="I12" s="11" t="str">
        <f>H12</f>
        <v>E7-SAF</v>
      </c>
      <c r="J12" s="23">
        <v>0.80902777777777779</v>
      </c>
      <c r="K12" s="24">
        <v>0.86388888888888893</v>
      </c>
      <c r="L12" s="23">
        <v>0.82638888888888884</v>
      </c>
      <c r="M12" s="24">
        <v>0.87152777777777779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</row>
    <row r="16" spans="1:21" x14ac:dyDescent="0.2">
      <c r="B16" s="3"/>
      <c r="C16" s="3"/>
      <c r="D16" s="3"/>
      <c r="E16" s="3"/>
      <c r="F16" s="1"/>
      <c r="G16" s="3"/>
      <c r="H16" s="3"/>
      <c r="I16" s="3"/>
      <c r="J16" s="4"/>
      <c r="K16" s="5"/>
      <c r="L16" s="4"/>
      <c r="M16" s="5"/>
    </row>
    <row r="17" spans="2:13" x14ac:dyDescent="0.2">
      <c r="B17" s="3"/>
      <c r="C17" s="3"/>
      <c r="D17" s="3"/>
      <c r="E17" s="3"/>
      <c r="F17" s="1"/>
      <c r="G17" s="3"/>
      <c r="H17" s="3"/>
      <c r="I17" s="3"/>
      <c r="J17" s="4"/>
      <c r="K17" s="5"/>
      <c r="L17" s="4"/>
      <c r="M17" s="5"/>
    </row>
    <row r="18" spans="2:13" x14ac:dyDescent="0.2">
      <c r="B18" s="3"/>
      <c r="C18" s="3"/>
      <c r="D18" s="3"/>
      <c r="E18" s="3"/>
      <c r="F18" s="1"/>
      <c r="G18" s="3"/>
      <c r="H18" s="3"/>
      <c r="I18" s="3"/>
      <c r="J18" s="4"/>
      <c r="K18" s="5"/>
      <c r="L18" s="4"/>
      <c r="M18" s="5"/>
    </row>
    <row r="19" spans="2:13" x14ac:dyDescent="0.2">
      <c r="B19" s="3"/>
      <c r="C19" s="3"/>
      <c r="D19" s="3"/>
      <c r="E19" s="3"/>
      <c r="F19" s="1"/>
      <c r="G19" s="3"/>
      <c r="H19" s="3"/>
      <c r="I19" s="3"/>
      <c r="J19" s="4"/>
      <c r="K19" s="5"/>
      <c r="L19" s="4"/>
      <c r="M19" s="5"/>
    </row>
    <row r="20" spans="2:13" x14ac:dyDescent="0.2">
      <c r="B20" s="3"/>
      <c r="C20" s="3"/>
      <c r="D20" s="3"/>
      <c r="E20" s="3"/>
      <c r="F20" s="1"/>
      <c r="G20" s="3"/>
      <c r="H20" s="3"/>
      <c r="I20" s="3"/>
      <c r="J20" s="4"/>
      <c r="K20" s="5"/>
      <c r="L20" s="4"/>
      <c r="M20" s="5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sqref="A1:XFD1048576"/>
    </sheetView>
  </sheetViews>
  <sheetFormatPr defaultRowHeight="15" x14ac:dyDescent="0.25"/>
  <cols>
    <col min="3" max="3" width="17" customWidth="1"/>
    <col min="6" max="6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44730</v>
      </c>
      <c r="B2" s="3" t="s">
        <v>21</v>
      </c>
      <c r="C2" s="3" t="s">
        <v>67</v>
      </c>
      <c r="D2" s="3" t="s">
        <v>29</v>
      </c>
      <c r="E2" s="3" t="s">
        <v>250</v>
      </c>
      <c r="F2" s="3" t="s">
        <v>33</v>
      </c>
      <c r="G2" s="6">
        <v>70000</v>
      </c>
      <c r="H2" s="3" t="s">
        <v>73</v>
      </c>
      <c r="I2" s="3" t="s">
        <v>74</v>
      </c>
      <c r="J2" s="4">
        <v>0.45833333333333331</v>
      </c>
      <c r="K2" s="5">
        <v>0.4513888888888889</v>
      </c>
      <c r="L2" s="4">
        <v>0.25694444444444448</v>
      </c>
      <c r="M2" s="5">
        <v>0.26180555555555557</v>
      </c>
      <c r="N2" s="3">
        <v>1063</v>
      </c>
      <c r="O2" s="3" t="s">
        <v>298</v>
      </c>
      <c r="P2" s="7" t="s">
        <v>299</v>
      </c>
      <c r="Q2" s="3">
        <v>307</v>
      </c>
      <c r="R2" s="3">
        <v>0</v>
      </c>
    </row>
    <row r="3" spans="1:18" x14ac:dyDescent="0.25">
      <c r="A3" s="2">
        <v>44730</v>
      </c>
      <c r="B3" s="3" t="s">
        <v>21</v>
      </c>
      <c r="C3" s="3" t="s">
        <v>132</v>
      </c>
      <c r="D3" s="3" t="s">
        <v>29</v>
      </c>
      <c r="E3" s="3" t="s">
        <v>30</v>
      </c>
      <c r="F3" s="3" t="s">
        <v>33</v>
      </c>
      <c r="G3" s="6">
        <v>70000</v>
      </c>
      <c r="H3" s="3" t="s">
        <v>133</v>
      </c>
      <c r="I3" s="3" t="s">
        <v>134</v>
      </c>
      <c r="J3" s="4">
        <v>0.47222222222222227</v>
      </c>
      <c r="K3" s="5">
        <v>0.52777777777777779</v>
      </c>
      <c r="L3" s="4">
        <v>0.28125</v>
      </c>
      <c r="M3" s="5">
        <v>0.2986111111111111</v>
      </c>
      <c r="N3" s="3">
        <v>1005</v>
      </c>
      <c r="O3" s="3" t="s">
        <v>184</v>
      </c>
      <c r="P3" s="7" t="s">
        <v>300</v>
      </c>
      <c r="Q3" s="3">
        <v>907</v>
      </c>
      <c r="R3" s="3">
        <v>0</v>
      </c>
    </row>
    <row r="4" spans="1:18" x14ac:dyDescent="0.25">
      <c r="A4" s="2">
        <v>44730</v>
      </c>
      <c r="B4" s="3" t="s">
        <v>21</v>
      </c>
      <c r="C4" s="3" t="s">
        <v>68</v>
      </c>
      <c r="D4" s="3" t="s">
        <v>29</v>
      </c>
      <c r="E4" s="3" t="s">
        <v>250</v>
      </c>
      <c r="F4" s="3" t="s">
        <v>33</v>
      </c>
      <c r="G4" s="6">
        <v>70000</v>
      </c>
      <c r="H4" s="3" t="s">
        <v>75</v>
      </c>
      <c r="I4" s="3" t="s">
        <v>76</v>
      </c>
      <c r="J4" s="4">
        <v>0.91319444444444453</v>
      </c>
      <c r="K4" s="5">
        <v>0.95416666666666661</v>
      </c>
      <c r="L4" s="4">
        <v>0.49305555555555558</v>
      </c>
      <c r="M4" s="5">
        <v>0.49791666666666662</v>
      </c>
      <c r="N4" s="3" t="s">
        <v>303</v>
      </c>
      <c r="O4" s="3" t="s">
        <v>301</v>
      </c>
      <c r="P4" s="3">
        <v>1156</v>
      </c>
      <c r="Q4" s="3">
        <v>993</v>
      </c>
      <c r="R4" s="3">
        <v>0</v>
      </c>
    </row>
    <row r="5" spans="1:18" x14ac:dyDescent="0.25">
      <c r="A5" s="2">
        <v>44730</v>
      </c>
      <c r="B5" s="3" t="s">
        <v>21</v>
      </c>
      <c r="C5" s="3" t="s">
        <v>135</v>
      </c>
      <c r="D5" s="3" t="s">
        <v>29</v>
      </c>
      <c r="E5" s="3" t="s">
        <v>30</v>
      </c>
      <c r="F5" s="3" t="s">
        <v>33</v>
      </c>
      <c r="G5" s="6">
        <v>70000</v>
      </c>
      <c r="H5" s="3" t="s">
        <v>136</v>
      </c>
      <c r="I5" s="3" t="s">
        <v>137</v>
      </c>
      <c r="J5" s="4">
        <v>0.91319444444444453</v>
      </c>
      <c r="K5" s="5">
        <v>0.94861111111111107</v>
      </c>
      <c r="L5" s="4">
        <v>0.50347222222222221</v>
      </c>
      <c r="M5" s="5">
        <v>0.56458333333333333</v>
      </c>
      <c r="N5" s="3" t="s">
        <v>304</v>
      </c>
      <c r="O5" s="3" t="s">
        <v>302</v>
      </c>
      <c r="P5" s="3">
        <v>677</v>
      </c>
      <c r="Q5" s="3">
        <v>911</v>
      </c>
      <c r="R5" s="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3" max="3" width="14.42578125" bestFit="1" customWidth="1"/>
    <col min="6" max="6" width="13.140625" customWidth="1"/>
  </cols>
  <sheetData>
    <row r="1" spans="1:21" s="20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0" customFormat="1" ht="12.75" x14ac:dyDescent="0.2">
      <c r="A2" s="21">
        <v>44731</v>
      </c>
      <c r="B2" s="3" t="s">
        <v>21</v>
      </c>
      <c r="C2" s="22" t="s">
        <v>67</v>
      </c>
      <c r="D2" s="3" t="s">
        <v>29</v>
      </c>
      <c r="E2" s="11" t="s">
        <v>305</v>
      </c>
      <c r="F2" s="3" t="s">
        <v>33</v>
      </c>
      <c r="G2" s="6">
        <v>70000</v>
      </c>
      <c r="H2" s="3" t="s">
        <v>73</v>
      </c>
      <c r="I2" s="3" t="s">
        <v>74</v>
      </c>
      <c r="J2" s="23">
        <v>0.45833333333333331</v>
      </c>
      <c r="K2" s="24">
        <v>0.46180555555555558</v>
      </c>
      <c r="L2" s="23">
        <v>0.25694444444444448</v>
      </c>
      <c r="M2" s="24">
        <v>0.26805555555555555</v>
      </c>
      <c r="N2" s="11" t="s">
        <v>309</v>
      </c>
      <c r="O2" s="11">
        <v>40</v>
      </c>
      <c r="P2" s="11">
        <v>745</v>
      </c>
      <c r="Q2" s="11">
        <v>137</v>
      </c>
      <c r="R2" s="11">
        <v>0</v>
      </c>
      <c r="S2" s="11">
        <v>0</v>
      </c>
      <c r="T2" s="11">
        <v>0</v>
      </c>
      <c r="U2" s="11">
        <v>0</v>
      </c>
    </row>
    <row r="3" spans="1:21" s="20" customFormat="1" ht="12.75" x14ac:dyDescent="0.2">
      <c r="A3" s="21">
        <v>44731</v>
      </c>
      <c r="B3" s="3" t="s">
        <v>21</v>
      </c>
      <c r="C3" s="22" t="s">
        <v>69</v>
      </c>
      <c r="D3" s="3" t="s">
        <v>29</v>
      </c>
      <c r="E3" s="11" t="s">
        <v>306</v>
      </c>
      <c r="F3" s="3" t="s">
        <v>33</v>
      </c>
      <c r="G3" s="6">
        <v>70000</v>
      </c>
      <c r="H3" s="3" t="s">
        <v>77</v>
      </c>
      <c r="I3" s="11" t="s">
        <v>78</v>
      </c>
      <c r="J3" s="23">
        <v>0.43402777777777773</v>
      </c>
      <c r="K3" s="24">
        <v>0.43194444444444446</v>
      </c>
      <c r="L3" s="23">
        <v>0.28472222222222221</v>
      </c>
      <c r="M3" s="24">
        <v>0.28263888888888888</v>
      </c>
      <c r="N3" s="11" t="s">
        <v>310</v>
      </c>
      <c r="O3" s="11" t="s">
        <v>307</v>
      </c>
      <c r="P3" s="11">
        <v>491</v>
      </c>
      <c r="Q3" s="11">
        <v>607</v>
      </c>
      <c r="R3" s="11">
        <v>0</v>
      </c>
      <c r="S3" s="11">
        <v>0</v>
      </c>
      <c r="T3" s="11">
        <v>0</v>
      </c>
      <c r="U3" s="11">
        <v>0</v>
      </c>
    </row>
    <row r="4" spans="1:21" s="20" customFormat="1" ht="12.75" x14ac:dyDescent="0.2">
      <c r="A4" s="21">
        <v>44731</v>
      </c>
      <c r="B4" s="3" t="s">
        <v>21</v>
      </c>
      <c r="C4" s="22" t="s">
        <v>70</v>
      </c>
      <c r="D4" s="3" t="s">
        <v>29</v>
      </c>
      <c r="E4" s="11" t="s">
        <v>306</v>
      </c>
      <c r="F4" s="3" t="s">
        <v>33</v>
      </c>
      <c r="G4" s="6">
        <v>70000</v>
      </c>
      <c r="H4" s="11" t="s">
        <v>79</v>
      </c>
      <c r="I4" s="11" t="s">
        <v>80</v>
      </c>
      <c r="J4" s="23">
        <v>0.62847222222222221</v>
      </c>
      <c r="K4" s="24">
        <v>0.65694444444444444</v>
      </c>
      <c r="L4" s="23">
        <v>0.47569444444444442</v>
      </c>
      <c r="M4" s="24">
        <v>0.49236111111111108</v>
      </c>
      <c r="N4" s="11" t="s">
        <v>311</v>
      </c>
      <c r="O4" s="11" t="s">
        <v>308</v>
      </c>
      <c r="P4" s="11">
        <v>169</v>
      </c>
      <c r="Q4" s="11">
        <v>99</v>
      </c>
      <c r="R4" s="11">
        <v>0</v>
      </c>
      <c r="S4" s="11">
        <v>0</v>
      </c>
      <c r="T4" s="11">
        <v>0</v>
      </c>
      <c r="U4" s="11">
        <v>0</v>
      </c>
    </row>
    <row r="5" spans="1:21" s="20" customFormat="1" ht="12.75" x14ac:dyDescent="0.2">
      <c r="A5" s="21">
        <v>44731</v>
      </c>
      <c r="B5" s="3" t="s">
        <v>21</v>
      </c>
      <c r="C5" s="22" t="s">
        <v>25</v>
      </c>
      <c r="D5" s="3" t="s">
        <v>29</v>
      </c>
      <c r="E5" s="11" t="s">
        <v>305</v>
      </c>
      <c r="F5" s="3" t="s">
        <v>33</v>
      </c>
      <c r="G5" s="6">
        <v>70000</v>
      </c>
      <c r="H5" s="11" t="s">
        <v>41</v>
      </c>
      <c r="I5" s="11" t="s">
        <v>42</v>
      </c>
      <c r="J5" s="23">
        <v>0.64583333333333337</v>
      </c>
      <c r="K5" s="24">
        <v>0.6972222222222223</v>
      </c>
      <c r="L5" s="23">
        <v>0.48958333333333331</v>
      </c>
      <c r="M5" s="24">
        <v>0.54722222222222217</v>
      </c>
      <c r="N5" s="11" t="s">
        <v>312</v>
      </c>
      <c r="O5" s="11" t="s">
        <v>100</v>
      </c>
      <c r="P5" s="11">
        <v>576</v>
      </c>
      <c r="Q5" s="11">
        <v>444</v>
      </c>
      <c r="R5" s="11">
        <v>0</v>
      </c>
      <c r="S5" s="11">
        <v>0</v>
      </c>
      <c r="T5" s="11">
        <v>0</v>
      </c>
      <c r="U5" s="11">
        <v>0</v>
      </c>
    </row>
    <row r="6" spans="1:21" s="20" customFormat="1" ht="12.75" x14ac:dyDescent="0.2">
      <c r="A6" s="21">
        <v>44731</v>
      </c>
      <c r="B6" s="3" t="s">
        <v>21</v>
      </c>
      <c r="C6" s="22" t="s">
        <v>71</v>
      </c>
      <c r="D6" s="3" t="s">
        <v>29</v>
      </c>
      <c r="E6" s="11" t="s">
        <v>30</v>
      </c>
      <c r="F6" s="3" t="s">
        <v>33</v>
      </c>
      <c r="G6" s="6">
        <v>70000</v>
      </c>
      <c r="H6" s="11" t="s">
        <v>81</v>
      </c>
      <c r="I6" s="11" t="s">
        <v>82</v>
      </c>
      <c r="J6" s="23">
        <v>0.86805555555555547</v>
      </c>
      <c r="K6" s="24">
        <v>0.90138888888888891</v>
      </c>
      <c r="L6" s="23">
        <v>0.64930555555555558</v>
      </c>
      <c r="M6" s="24">
        <v>0.68472222222222223</v>
      </c>
      <c r="N6" s="11" t="s">
        <v>314</v>
      </c>
      <c r="O6" s="11" t="s">
        <v>313</v>
      </c>
      <c r="P6" s="11">
        <v>576</v>
      </c>
      <c r="Q6" s="11">
        <v>391</v>
      </c>
      <c r="R6" s="11">
        <v>0</v>
      </c>
      <c r="S6" s="11">
        <v>0</v>
      </c>
      <c r="T6" s="11">
        <v>0</v>
      </c>
      <c r="U6" s="11">
        <v>0</v>
      </c>
    </row>
    <row r="7" spans="1:21" s="20" customFormat="1" ht="12.75" x14ac:dyDescent="0.2">
      <c r="A7" s="21">
        <v>44731</v>
      </c>
      <c r="B7" s="3" t="s">
        <v>21</v>
      </c>
      <c r="C7" s="22" t="s">
        <v>72</v>
      </c>
      <c r="D7" s="3" t="s">
        <v>29</v>
      </c>
      <c r="E7" s="11" t="s">
        <v>250</v>
      </c>
      <c r="F7" s="3" t="s">
        <v>33</v>
      </c>
      <c r="G7" s="6">
        <v>70000</v>
      </c>
      <c r="H7" s="11" t="s">
        <v>83</v>
      </c>
      <c r="I7" s="11" t="s">
        <v>84</v>
      </c>
      <c r="J7" s="23">
        <v>0.90277777777777779</v>
      </c>
      <c r="K7" s="24">
        <v>0.9506944444444444</v>
      </c>
      <c r="L7" s="23">
        <v>0.66666666666666663</v>
      </c>
      <c r="M7" s="24">
        <v>0.72569444444444453</v>
      </c>
      <c r="N7" s="11" t="s">
        <v>315</v>
      </c>
      <c r="O7" s="11" t="s">
        <v>56</v>
      </c>
      <c r="P7" s="11">
        <v>1445</v>
      </c>
      <c r="Q7" s="11">
        <v>297</v>
      </c>
      <c r="R7" s="11">
        <v>0</v>
      </c>
      <c r="S7" s="11">
        <v>0</v>
      </c>
      <c r="T7" s="11">
        <v>0</v>
      </c>
      <c r="U7" s="11">
        <v>0</v>
      </c>
    </row>
    <row r="21" spans="8:8" x14ac:dyDescent="0.25">
      <c r="H21" s="1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workbookViewId="0">
      <selection activeCell="M16" sqref="M16"/>
    </sheetView>
  </sheetViews>
  <sheetFormatPr defaultRowHeight="12.75" x14ac:dyDescent="0.2"/>
  <cols>
    <col min="1" max="1" width="9.140625" style="11"/>
    <col min="2" max="2" width="20" style="11" customWidth="1"/>
    <col min="3" max="3" width="14.28515625" style="11" customWidth="1"/>
    <col min="4" max="4" width="8.28515625" style="11" customWidth="1"/>
    <col min="5" max="5" width="9.140625" style="11"/>
    <col min="6" max="6" width="17" style="11" customWidth="1"/>
    <col min="7" max="16384" width="9.140625" style="1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44732</v>
      </c>
      <c r="B2" s="3" t="s">
        <v>21</v>
      </c>
      <c r="C2" s="3" t="s">
        <v>22</v>
      </c>
      <c r="D2" s="3" t="s">
        <v>29</v>
      </c>
      <c r="E2" s="3" t="s">
        <v>30</v>
      </c>
      <c r="F2" s="3" t="s">
        <v>33</v>
      </c>
      <c r="G2" s="6">
        <v>70000</v>
      </c>
      <c r="H2" s="3" t="s">
        <v>34</v>
      </c>
      <c r="I2" s="3" t="s">
        <v>35</v>
      </c>
      <c r="J2" s="4">
        <v>0.4375</v>
      </c>
      <c r="K2" s="5">
        <v>0.47569444444444442</v>
      </c>
      <c r="L2" s="4">
        <v>0.25694444444444448</v>
      </c>
      <c r="M2" s="5">
        <v>0.27152777777777776</v>
      </c>
      <c r="N2" s="3" t="s">
        <v>318</v>
      </c>
      <c r="O2" s="3" t="s">
        <v>320</v>
      </c>
      <c r="P2" s="3">
        <v>622</v>
      </c>
      <c r="Q2" s="3">
        <v>400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44732</v>
      </c>
      <c r="B3" s="3" t="s">
        <v>21</v>
      </c>
      <c r="C3" s="14" t="s">
        <v>23</v>
      </c>
      <c r="D3" s="3" t="s">
        <v>29</v>
      </c>
      <c r="E3" s="3" t="s">
        <v>305</v>
      </c>
      <c r="F3" s="3" t="s">
        <v>33</v>
      </c>
      <c r="G3" s="6">
        <v>70000</v>
      </c>
      <c r="H3" s="14" t="s">
        <v>36</v>
      </c>
      <c r="I3" s="14" t="s">
        <v>37</v>
      </c>
      <c r="J3" s="4">
        <v>0.51041666666666663</v>
      </c>
      <c r="K3" s="5">
        <v>0.5</v>
      </c>
      <c r="L3" s="4">
        <v>0.28125</v>
      </c>
      <c r="M3" s="5">
        <v>0.30555555555555552</v>
      </c>
      <c r="N3" s="3" t="s">
        <v>319</v>
      </c>
      <c r="O3" s="3" t="s">
        <v>321</v>
      </c>
      <c r="P3" s="3">
        <v>999</v>
      </c>
      <c r="Q3" s="3">
        <v>131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44732</v>
      </c>
      <c r="B4" s="3" t="s">
        <v>21</v>
      </c>
      <c r="C4" s="3" t="s">
        <v>24</v>
      </c>
      <c r="D4" s="3" t="s">
        <v>29</v>
      </c>
      <c r="E4" s="3" t="s">
        <v>30</v>
      </c>
      <c r="F4" s="3" t="s">
        <v>33</v>
      </c>
      <c r="G4" s="6">
        <v>70000</v>
      </c>
      <c r="H4" s="3" t="s">
        <v>38</v>
      </c>
      <c r="I4" s="3" t="s">
        <v>39</v>
      </c>
      <c r="J4" s="4">
        <v>0.60763888888888895</v>
      </c>
      <c r="K4" s="5">
        <v>0.65694444444444444</v>
      </c>
      <c r="L4" s="4">
        <v>0.45833333333333331</v>
      </c>
      <c r="M4" s="5">
        <v>0.51736111111111105</v>
      </c>
      <c r="N4" s="3" t="s">
        <v>322</v>
      </c>
      <c r="O4" s="3" t="s">
        <v>108</v>
      </c>
      <c r="P4" s="3">
        <v>508</v>
      </c>
      <c r="Q4" s="3">
        <v>508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44732</v>
      </c>
      <c r="B5" s="3" t="s">
        <v>21</v>
      </c>
      <c r="C5" s="3" t="s">
        <v>281</v>
      </c>
      <c r="D5" s="3" t="s">
        <v>29</v>
      </c>
      <c r="E5" s="3" t="s">
        <v>250</v>
      </c>
      <c r="F5" s="3" t="s">
        <v>33</v>
      </c>
      <c r="G5" s="6">
        <v>70000</v>
      </c>
      <c r="H5" s="3" t="s">
        <v>283</v>
      </c>
      <c r="I5" s="3" t="s">
        <v>282</v>
      </c>
      <c r="J5" s="4">
        <v>0.75694444444444453</v>
      </c>
      <c r="K5" s="5">
        <v>0.74444444444444446</v>
      </c>
      <c r="L5" s="4">
        <v>0.54166666666666663</v>
      </c>
      <c r="M5" s="5">
        <v>0.53819444444444442</v>
      </c>
      <c r="N5" s="3" t="s">
        <v>323</v>
      </c>
      <c r="O5" s="3" t="s">
        <v>425</v>
      </c>
      <c r="P5" s="3">
        <v>1868</v>
      </c>
      <c r="Q5" s="3">
        <v>286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44732</v>
      </c>
      <c r="B6" s="3" t="s">
        <v>316</v>
      </c>
      <c r="C6" s="3" t="s">
        <v>317</v>
      </c>
      <c r="D6" s="11" t="s">
        <v>201</v>
      </c>
      <c r="E6" s="3" t="s">
        <v>123</v>
      </c>
      <c r="F6" s="3" t="s">
        <v>203</v>
      </c>
      <c r="G6" s="6">
        <v>1</v>
      </c>
      <c r="H6" s="3" t="s">
        <v>123</v>
      </c>
      <c r="I6" s="3" t="s">
        <v>123</v>
      </c>
      <c r="J6" s="23">
        <v>0.3125</v>
      </c>
      <c r="K6" s="24">
        <v>0.3215277777777778</v>
      </c>
      <c r="L6" s="23">
        <v>0.33333333333333331</v>
      </c>
      <c r="M6" s="24">
        <v>0.33680555555555558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2">
        <v>44732</v>
      </c>
      <c r="B7" s="3" t="s">
        <v>21</v>
      </c>
      <c r="C7" s="11" t="s">
        <v>26</v>
      </c>
      <c r="D7" s="3" t="s">
        <v>29</v>
      </c>
      <c r="E7" s="11" t="s">
        <v>30</v>
      </c>
      <c r="F7" s="3" t="s">
        <v>33</v>
      </c>
      <c r="G7" s="6">
        <v>70000</v>
      </c>
      <c r="H7" s="11" t="s">
        <v>43</v>
      </c>
      <c r="I7" s="11" t="s">
        <v>44</v>
      </c>
      <c r="J7" s="23">
        <v>0.75694444444444453</v>
      </c>
      <c r="K7" s="24">
        <v>0.7944444444444444</v>
      </c>
      <c r="L7" s="23">
        <v>0.64236111111111105</v>
      </c>
      <c r="M7" s="24">
        <v>0.69374999999999998</v>
      </c>
      <c r="N7" s="11" t="s">
        <v>325</v>
      </c>
      <c r="O7" s="11" t="s">
        <v>324</v>
      </c>
      <c r="P7" s="11">
        <v>492</v>
      </c>
      <c r="Q7" s="11">
        <v>625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44732</v>
      </c>
      <c r="B8" s="3" t="s">
        <v>21</v>
      </c>
      <c r="C8" s="11" t="s">
        <v>27</v>
      </c>
      <c r="D8" s="3" t="s">
        <v>29</v>
      </c>
      <c r="E8" s="11" t="s">
        <v>30</v>
      </c>
      <c r="F8" s="3" t="s">
        <v>33</v>
      </c>
      <c r="G8" s="6">
        <v>70000</v>
      </c>
      <c r="H8" s="11" t="s">
        <v>45</v>
      </c>
      <c r="I8" s="11" t="s">
        <v>46</v>
      </c>
      <c r="J8" s="23">
        <v>0.96180555555555547</v>
      </c>
      <c r="K8" s="24">
        <v>2.0833333333333332E-2</v>
      </c>
      <c r="L8" s="23">
        <v>0.77777777777777779</v>
      </c>
      <c r="M8" s="24">
        <v>0.8534722222222223</v>
      </c>
      <c r="N8" s="11" t="s">
        <v>326</v>
      </c>
      <c r="O8" s="11" t="s">
        <v>222</v>
      </c>
      <c r="P8" s="11">
        <v>522</v>
      </c>
      <c r="Q8" s="11">
        <v>391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2">
        <v>44732</v>
      </c>
      <c r="B9" s="3" t="s">
        <v>21</v>
      </c>
      <c r="C9" s="11" t="s">
        <v>28</v>
      </c>
      <c r="D9" s="3" t="s">
        <v>29</v>
      </c>
      <c r="E9" s="3" t="s">
        <v>305</v>
      </c>
      <c r="F9" s="3" t="s">
        <v>33</v>
      </c>
      <c r="G9" s="6">
        <v>70000</v>
      </c>
      <c r="H9" s="11" t="s">
        <v>47</v>
      </c>
      <c r="I9" s="11" t="s">
        <v>48</v>
      </c>
      <c r="J9" s="23">
        <v>0.97569444444444453</v>
      </c>
      <c r="K9" s="24">
        <v>0.97499999999999998</v>
      </c>
      <c r="L9" s="23">
        <v>0.77777777777777779</v>
      </c>
      <c r="M9" s="24">
        <v>0.8208333333333333</v>
      </c>
      <c r="N9" s="11" t="s">
        <v>100</v>
      </c>
      <c r="O9" s="11" t="s">
        <v>327</v>
      </c>
      <c r="P9" s="11">
        <v>596</v>
      </c>
      <c r="Q9" s="11">
        <v>753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XFD6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4" max="4" width="7.7109375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5">
        <v>44733</v>
      </c>
      <c r="B2" s="3" t="s">
        <v>21</v>
      </c>
      <c r="C2" s="3" t="s">
        <v>67</v>
      </c>
      <c r="D2" s="3" t="s">
        <v>29</v>
      </c>
      <c r="E2" s="3" t="s">
        <v>250</v>
      </c>
      <c r="F2" s="3" t="s">
        <v>33</v>
      </c>
      <c r="G2" s="6">
        <v>70000</v>
      </c>
      <c r="H2" s="3" t="s">
        <v>73</v>
      </c>
      <c r="I2" s="3" t="s">
        <v>74</v>
      </c>
      <c r="J2" s="4">
        <v>0.45833333333333331</v>
      </c>
      <c r="K2" s="5">
        <v>0.4465277777777778</v>
      </c>
      <c r="L2" s="4">
        <v>0.25694444444444448</v>
      </c>
      <c r="M2" s="5">
        <v>0.26041666666666669</v>
      </c>
      <c r="N2" s="3" t="s">
        <v>334</v>
      </c>
      <c r="O2" s="3" t="s">
        <v>328</v>
      </c>
      <c r="P2" s="7">
        <v>1139</v>
      </c>
      <c r="Q2" s="3">
        <v>82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44733</v>
      </c>
      <c r="B3" s="3" t="s">
        <v>21</v>
      </c>
      <c r="C3" s="3" t="s">
        <v>132</v>
      </c>
      <c r="D3" s="3" t="s">
        <v>29</v>
      </c>
      <c r="E3" s="3" t="s">
        <v>30</v>
      </c>
      <c r="F3" s="3" t="s">
        <v>33</v>
      </c>
      <c r="G3" s="6">
        <v>70000</v>
      </c>
      <c r="H3" s="3" t="s">
        <v>133</v>
      </c>
      <c r="I3" s="3" t="s">
        <v>134</v>
      </c>
      <c r="J3" s="4">
        <v>0.47222222222222227</v>
      </c>
      <c r="K3" s="5">
        <v>0.47638888888888892</v>
      </c>
      <c r="L3" s="4">
        <v>0.28125</v>
      </c>
      <c r="M3" s="5">
        <v>0.28611111111111115</v>
      </c>
      <c r="N3" s="3" t="s">
        <v>332</v>
      </c>
      <c r="O3" s="3" t="s">
        <v>113</v>
      </c>
      <c r="P3" s="7">
        <v>785</v>
      </c>
      <c r="Q3" s="3">
        <v>429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5">
        <v>44733</v>
      </c>
      <c r="B4" s="3" t="s">
        <v>213</v>
      </c>
      <c r="C4" s="3" t="s">
        <v>214</v>
      </c>
      <c r="D4" s="3" t="s">
        <v>29</v>
      </c>
      <c r="E4" s="3" t="s">
        <v>329</v>
      </c>
      <c r="F4" s="1" t="s">
        <v>216</v>
      </c>
      <c r="G4" s="3">
        <v>77000</v>
      </c>
      <c r="H4" s="3" t="s">
        <v>217</v>
      </c>
      <c r="I4" s="3" t="s">
        <v>218</v>
      </c>
      <c r="J4" s="4">
        <v>0.3298611111111111</v>
      </c>
      <c r="K4" s="5">
        <v>0.32083333333333336</v>
      </c>
      <c r="L4" s="4">
        <v>0.37152777777777773</v>
      </c>
      <c r="M4" s="5">
        <v>0.37013888888888885</v>
      </c>
      <c r="N4" s="3" t="s">
        <v>330</v>
      </c>
      <c r="O4" s="3" t="s">
        <v>331</v>
      </c>
      <c r="P4" s="3">
        <v>2281</v>
      </c>
      <c r="Q4" s="3">
        <v>2168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44733</v>
      </c>
      <c r="B5" s="3" t="s">
        <v>21</v>
      </c>
      <c r="C5" s="3" t="s">
        <v>68</v>
      </c>
      <c r="D5" s="3" t="s">
        <v>29</v>
      </c>
      <c r="E5" s="3" t="s">
        <v>250</v>
      </c>
      <c r="F5" s="3" t="s">
        <v>33</v>
      </c>
      <c r="G5" s="6">
        <v>70000</v>
      </c>
      <c r="H5" s="3" t="s">
        <v>75</v>
      </c>
      <c r="I5" s="3" t="s">
        <v>76</v>
      </c>
      <c r="J5" s="4">
        <v>0.91319444444444453</v>
      </c>
      <c r="K5" s="5">
        <v>0.91388888888888886</v>
      </c>
      <c r="L5" s="4">
        <v>0.49305555555555558</v>
      </c>
      <c r="M5" s="5">
        <f>L5</f>
        <v>0.49305555555555558</v>
      </c>
      <c r="N5" s="3" t="s">
        <v>320</v>
      </c>
      <c r="O5" s="3" t="s">
        <v>333</v>
      </c>
      <c r="P5" s="3">
        <v>1204</v>
      </c>
      <c r="Q5" s="3">
        <v>566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5">
        <v>44733</v>
      </c>
      <c r="B6" s="3" t="s">
        <v>21</v>
      </c>
      <c r="C6" s="3" t="s">
        <v>135</v>
      </c>
      <c r="D6" s="3" t="s">
        <v>29</v>
      </c>
      <c r="E6" s="3" t="str">
        <f>E3</f>
        <v>HA-LYA</v>
      </c>
      <c r="F6" s="3" t="s">
        <v>33</v>
      </c>
      <c r="G6" s="6">
        <v>70000</v>
      </c>
      <c r="H6" s="3" t="s">
        <v>136</v>
      </c>
      <c r="I6" s="3" t="s">
        <v>137</v>
      </c>
      <c r="J6" s="4">
        <v>0.91319444444444453</v>
      </c>
      <c r="K6" s="5">
        <v>0.91111111111111109</v>
      </c>
      <c r="L6" s="4">
        <v>0.50347222222222221</v>
      </c>
      <c r="M6" s="5">
        <v>0.51180555555555551</v>
      </c>
      <c r="N6" s="3" t="s">
        <v>335</v>
      </c>
      <c r="O6" s="3" t="s">
        <v>110</v>
      </c>
      <c r="P6" s="7">
        <v>599</v>
      </c>
      <c r="Q6" s="3">
        <v>703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5"/>
      <c r="N7" s="3"/>
      <c r="O7" s="3"/>
      <c r="P7" s="3"/>
      <c r="Q7" s="3"/>
      <c r="R7" s="3"/>
      <c r="S7" s="3"/>
      <c r="T7" s="3"/>
      <c r="U7" s="3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5"/>
      <c r="N8" s="3"/>
      <c r="O8" s="3"/>
      <c r="P8" s="3"/>
      <c r="Q8" s="3"/>
      <c r="R8" s="3"/>
      <c r="S8" s="3"/>
      <c r="T8" s="3"/>
      <c r="U8" s="3"/>
    </row>
    <row r="9" spans="1:21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5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M24" sqref="M24"/>
    </sheetView>
  </sheetViews>
  <sheetFormatPr defaultRowHeight="12.75" x14ac:dyDescent="0.2"/>
  <cols>
    <col min="1" max="1" width="10.140625" style="11" bestFit="1" customWidth="1"/>
    <col min="2" max="2" width="19.85546875" style="11" customWidth="1"/>
    <col min="3" max="3" width="14.28515625" style="11" customWidth="1"/>
    <col min="4" max="5" width="9.140625" style="11"/>
    <col min="6" max="6" width="14.85546875" style="11" customWidth="1"/>
    <col min="7" max="16384" width="9.140625" style="1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44734</v>
      </c>
      <c r="B2" s="3" t="s">
        <v>21</v>
      </c>
      <c r="C2" s="3" t="s">
        <v>22</v>
      </c>
      <c r="D2" s="3" t="s">
        <v>29</v>
      </c>
      <c r="E2" s="3" t="s">
        <v>250</v>
      </c>
      <c r="F2" s="1" t="s">
        <v>33</v>
      </c>
      <c r="G2" s="3">
        <v>70000</v>
      </c>
      <c r="H2" s="3" t="s">
        <v>34</v>
      </c>
      <c r="I2" s="3" t="s">
        <v>35</v>
      </c>
      <c r="J2" s="4">
        <v>0.43055555555555558</v>
      </c>
      <c r="K2" s="5">
        <v>0.43402777777777773</v>
      </c>
      <c r="L2" s="4">
        <v>0.25694444444444448</v>
      </c>
      <c r="M2" s="5">
        <v>0.26111111111111113</v>
      </c>
      <c r="N2" s="3" t="s">
        <v>339</v>
      </c>
      <c r="O2" s="3" t="s">
        <v>336</v>
      </c>
      <c r="P2" s="3">
        <v>671</v>
      </c>
      <c r="Q2" s="3">
        <v>484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44734</v>
      </c>
      <c r="B3" s="3" t="s">
        <v>21</v>
      </c>
      <c r="C3" s="3" t="s">
        <v>23</v>
      </c>
      <c r="D3" s="3" t="s">
        <v>29</v>
      </c>
      <c r="E3" s="3" t="s">
        <v>30</v>
      </c>
      <c r="F3" s="1" t="s">
        <v>33</v>
      </c>
      <c r="G3" s="3">
        <v>70000</v>
      </c>
      <c r="H3" s="3" t="s">
        <v>36</v>
      </c>
      <c r="I3" s="3" t="s">
        <v>37</v>
      </c>
      <c r="J3" s="4">
        <v>0.51388888888888895</v>
      </c>
      <c r="K3" s="5">
        <v>0.49652777777777773</v>
      </c>
      <c r="L3" s="4">
        <v>0.28125</v>
      </c>
      <c r="M3" s="5">
        <v>0.28333333333333333</v>
      </c>
      <c r="N3" s="3" t="s">
        <v>340</v>
      </c>
      <c r="O3" s="3" t="s">
        <v>337</v>
      </c>
      <c r="P3" s="3">
        <v>810</v>
      </c>
      <c r="Q3" s="3">
        <v>297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44734</v>
      </c>
      <c r="B4" s="3" t="s">
        <v>21</v>
      </c>
      <c r="C4" s="3" t="s">
        <v>24</v>
      </c>
      <c r="D4" s="3" t="s">
        <v>29</v>
      </c>
      <c r="E4" s="3" t="s">
        <v>250</v>
      </c>
      <c r="F4" s="1" t="s">
        <v>33</v>
      </c>
      <c r="G4" s="3">
        <v>70000</v>
      </c>
      <c r="H4" s="3" t="s">
        <v>38</v>
      </c>
      <c r="I4" s="3" t="s">
        <v>39</v>
      </c>
      <c r="J4" s="4">
        <v>0.60069444444444442</v>
      </c>
      <c r="K4" s="5">
        <v>0.59305555555555556</v>
      </c>
      <c r="L4" s="4">
        <v>0.4513888888888889</v>
      </c>
      <c r="M4" s="5">
        <v>0.46249999999999997</v>
      </c>
      <c r="N4" s="3" t="s">
        <v>342</v>
      </c>
      <c r="O4" s="3" t="s">
        <v>338</v>
      </c>
      <c r="P4" s="3">
        <v>489</v>
      </c>
      <c r="Q4" s="3">
        <v>808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44734</v>
      </c>
      <c r="B5" s="3" t="s">
        <v>21</v>
      </c>
      <c r="C5" s="3" t="s">
        <v>25</v>
      </c>
      <c r="D5" s="3" t="s">
        <v>29</v>
      </c>
      <c r="E5" s="3" t="s">
        <v>30</v>
      </c>
      <c r="F5" s="1" t="s">
        <v>33</v>
      </c>
      <c r="G5" s="3">
        <v>70000</v>
      </c>
      <c r="H5" s="3" t="s">
        <v>41</v>
      </c>
      <c r="I5" s="3" t="s">
        <v>42</v>
      </c>
      <c r="J5" s="4">
        <v>0.69791666666666663</v>
      </c>
      <c r="K5" s="5">
        <v>0.6875</v>
      </c>
      <c r="L5" s="4">
        <v>0.54166666666666663</v>
      </c>
      <c r="M5" s="5">
        <v>0.5541666666666667</v>
      </c>
      <c r="N5" s="3" t="s">
        <v>346</v>
      </c>
      <c r="O5" s="3" t="s">
        <v>341</v>
      </c>
      <c r="P5" s="3">
        <v>225</v>
      </c>
      <c r="Q5" s="3">
        <v>380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44734</v>
      </c>
      <c r="B6" s="3" t="s">
        <v>21</v>
      </c>
      <c r="C6" s="3" t="s">
        <v>26</v>
      </c>
      <c r="D6" s="3" t="s">
        <v>29</v>
      </c>
      <c r="E6" s="3" t="s">
        <v>250</v>
      </c>
      <c r="F6" s="1" t="s">
        <v>33</v>
      </c>
      <c r="G6" s="3">
        <v>70000</v>
      </c>
      <c r="H6" s="3" t="s">
        <v>43</v>
      </c>
      <c r="I6" s="3" t="s">
        <v>44</v>
      </c>
      <c r="J6" s="4">
        <v>0.74652777777777779</v>
      </c>
      <c r="K6" s="5">
        <v>0.73958333333333337</v>
      </c>
      <c r="L6" s="4">
        <v>0.63194444444444442</v>
      </c>
      <c r="M6" s="5">
        <v>0.62847222222222221</v>
      </c>
      <c r="N6" s="3" t="s">
        <v>183</v>
      </c>
      <c r="O6" s="3" t="s">
        <v>343</v>
      </c>
      <c r="P6" s="3">
        <v>628</v>
      </c>
      <c r="Q6" s="3">
        <v>387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2">
        <v>44734</v>
      </c>
      <c r="B7" s="3" t="s">
        <v>21</v>
      </c>
      <c r="C7" s="3" t="s">
        <v>27</v>
      </c>
      <c r="D7" s="3" t="s">
        <v>29</v>
      </c>
      <c r="E7" s="3" t="str">
        <f>E5</f>
        <v>HA-LYA</v>
      </c>
      <c r="F7" s="1" t="s">
        <v>33</v>
      </c>
      <c r="G7" s="3">
        <v>70000</v>
      </c>
      <c r="H7" s="3" t="s">
        <v>45</v>
      </c>
      <c r="I7" s="3" t="s">
        <v>46</v>
      </c>
      <c r="J7" s="4">
        <v>0.90277777777777779</v>
      </c>
      <c r="K7" s="5">
        <v>0.96388888888888891</v>
      </c>
      <c r="L7" s="4">
        <v>0.71875</v>
      </c>
      <c r="M7" s="5">
        <v>0.77500000000000002</v>
      </c>
      <c r="N7" s="3" t="s">
        <v>347</v>
      </c>
      <c r="O7" s="3" t="s">
        <v>344</v>
      </c>
      <c r="P7" s="3">
        <v>1154</v>
      </c>
      <c r="Q7" s="3">
        <v>816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44734</v>
      </c>
      <c r="B8" s="3" t="s">
        <v>21</v>
      </c>
      <c r="C8" s="3" t="s">
        <v>28</v>
      </c>
      <c r="D8" s="3" t="s">
        <v>29</v>
      </c>
      <c r="E8" s="3" t="str">
        <f>E6</f>
        <v>HA-LWT</v>
      </c>
      <c r="F8" s="1" t="s">
        <v>33</v>
      </c>
      <c r="G8" s="3">
        <v>70000</v>
      </c>
      <c r="H8" s="3" t="s">
        <v>47</v>
      </c>
      <c r="I8" s="3" t="s">
        <v>48</v>
      </c>
      <c r="J8" s="4">
        <v>0.9375</v>
      </c>
      <c r="K8" s="5">
        <v>0.94444444444444453</v>
      </c>
      <c r="L8" s="4">
        <v>0.76736111111111116</v>
      </c>
      <c r="M8" s="5">
        <v>0.79513888888888884</v>
      </c>
      <c r="N8" s="3" t="s">
        <v>156</v>
      </c>
      <c r="O8" s="3" t="s">
        <v>345</v>
      </c>
      <c r="P8" s="3">
        <v>475</v>
      </c>
      <c r="Q8" s="3">
        <v>613</v>
      </c>
      <c r="R8" s="3">
        <v>0</v>
      </c>
      <c r="S8" s="3">
        <v>0</v>
      </c>
      <c r="T8" s="3">
        <v>0</v>
      </c>
      <c r="U8" s="3">
        <v>0</v>
      </c>
    </row>
    <row r="12" spans="1:21" x14ac:dyDescent="0.2">
      <c r="B12" s="3"/>
      <c r="C12" s="3"/>
      <c r="D12" s="3"/>
      <c r="E12" s="3"/>
      <c r="F12" s="1"/>
      <c r="G12" s="3"/>
      <c r="H12" s="3"/>
      <c r="I12" s="3"/>
      <c r="J12" s="4"/>
      <c r="K12" s="5"/>
      <c r="L12" s="4"/>
      <c r="M12" s="5"/>
    </row>
    <row r="13" spans="1:21" x14ac:dyDescent="0.2">
      <c r="B13" s="3"/>
      <c r="C13" s="3"/>
      <c r="D13" s="3"/>
      <c r="E13" s="3"/>
      <c r="F13" s="1"/>
      <c r="G13" s="3"/>
      <c r="H13" s="3"/>
      <c r="I13" s="3"/>
      <c r="J13" s="4"/>
      <c r="K13" s="5"/>
      <c r="L13" s="4"/>
      <c r="M13" s="5"/>
    </row>
    <row r="14" spans="1:21" x14ac:dyDescent="0.2">
      <c r="B14" s="3"/>
      <c r="C14" s="3"/>
      <c r="D14" s="3"/>
      <c r="E14" s="3"/>
      <c r="F14" s="1"/>
      <c r="G14" s="3"/>
      <c r="H14" s="3"/>
      <c r="I14" s="3"/>
      <c r="J14" s="4"/>
      <c r="K14" s="5"/>
      <c r="L14" s="4"/>
      <c r="M14" s="5"/>
    </row>
    <row r="15" spans="1:21" x14ac:dyDescent="0.2">
      <c r="B15" s="3"/>
      <c r="C15" s="3"/>
      <c r="D15" s="3"/>
      <c r="E15" s="3"/>
      <c r="F15" s="1"/>
      <c r="G15" s="3"/>
      <c r="H15" s="3"/>
      <c r="I15" s="3"/>
      <c r="J15" s="4"/>
      <c r="K15" s="5"/>
      <c r="L15" s="4"/>
      <c r="M15" s="5"/>
    </row>
    <row r="16" spans="1:21" x14ac:dyDescent="0.2">
      <c r="B16" s="3"/>
      <c r="C16" s="3"/>
      <c r="D16" s="3"/>
      <c r="E16" s="3"/>
      <c r="F16" s="1"/>
      <c r="G16" s="3"/>
      <c r="H16" s="3"/>
      <c r="I16" s="3"/>
      <c r="J16" s="4"/>
      <c r="K16" s="5"/>
      <c r="L16" s="4"/>
      <c r="M16" s="5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7"/>
    </sheetView>
  </sheetViews>
  <sheetFormatPr defaultRowHeight="15" x14ac:dyDescent="0.25"/>
  <cols>
    <col min="2" max="2" width="15.85546875" bestFit="1" customWidth="1"/>
    <col min="3" max="3" width="13.140625" customWidth="1"/>
    <col min="6" max="6" width="17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44735</v>
      </c>
      <c r="B2" s="3" t="s">
        <v>21</v>
      </c>
      <c r="C2" s="3" t="s">
        <v>67</v>
      </c>
      <c r="D2" s="3" t="s">
        <v>29</v>
      </c>
      <c r="E2" s="3" t="s">
        <v>250</v>
      </c>
      <c r="F2" s="1" t="s">
        <v>33</v>
      </c>
      <c r="G2" s="3">
        <v>70000</v>
      </c>
      <c r="H2" s="3" t="s">
        <v>73</v>
      </c>
      <c r="I2" s="3" t="s">
        <v>74</v>
      </c>
      <c r="J2" s="4">
        <v>0.45833333333333331</v>
      </c>
      <c r="K2" s="5">
        <v>0.4680555555555555</v>
      </c>
      <c r="L2" s="4">
        <v>0.25694444444444448</v>
      </c>
      <c r="M2" s="5">
        <v>0.25277777777777777</v>
      </c>
      <c r="N2" s="3" t="s">
        <v>172</v>
      </c>
      <c r="O2" s="3" t="s">
        <v>348</v>
      </c>
      <c r="P2" s="3">
        <v>1236</v>
      </c>
      <c r="Q2" s="3">
        <v>290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44735</v>
      </c>
      <c r="B3" s="3" t="s">
        <v>21</v>
      </c>
      <c r="C3" s="3" t="s">
        <v>69</v>
      </c>
      <c r="D3" s="3" t="s">
        <v>29</v>
      </c>
      <c r="E3" s="3" t="s">
        <v>30</v>
      </c>
      <c r="F3" s="1" t="s">
        <v>33</v>
      </c>
      <c r="G3" s="3">
        <v>70000</v>
      </c>
      <c r="H3" s="3" t="s">
        <v>77</v>
      </c>
      <c r="I3" s="3" t="s">
        <v>78</v>
      </c>
      <c r="J3" s="4">
        <v>0.43402777777777773</v>
      </c>
      <c r="K3" s="5">
        <v>0.43263888888888885</v>
      </c>
      <c r="L3" s="4">
        <v>0.28472222222222221</v>
      </c>
      <c r="M3" s="5">
        <v>0.2986111111111111</v>
      </c>
      <c r="N3" s="3" t="s">
        <v>350</v>
      </c>
      <c r="O3" s="3" t="s">
        <v>349</v>
      </c>
      <c r="P3" s="3">
        <v>274</v>
      </c>
      <c r="Q3" s="3">
        <v>213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44735</v>
      </c>
      <c r="B4" s="3" t="s">
        <v>21</v>
      </c>
      <c r="C4" s="3" t="s">
        <v>70</v>
      </c>
      <c r="D4" s="3" t="s">
        <v>29</v>
      </c>
      <c r="E4" s="3" t="s">
        <v>30</v>
      </c>
      <c r="F4" s="1" t="s">
        <v>33</v>
      </c>
      <c r="G4" s="3">
        <v>70000</v>
      </c>
      <c r="H4" s="3" t="s">
        <v>79</v>
      </c>
      <c r="I4" s="3" t="s">
        <v>80</v>
      </c>
      <c r="J4" s="4">
        <v>0.62847222222222221</v>
      </c>
      <c r="K4" s="5">
        <v>0.65208333333333335</v>
      </c>
      <c r="L4" s="4">
        <v>0.47569444444444442</v>
      </c>
      <c r="M4" s="5">
        <v>0.47638888888888892</v>
      </c>
      <c r="N4" s="3" t="s">
        <v>354</v>
      </c>
      <c r="O4" s="3" t="s">
        <v>321</v>
      </c>
      <c r="P4" s="3">
        <v>108</v>
      </c>
      <c r="Q4" s="3">
        <v>269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44735</v>
      </c>
      <c r="B5" s="3" t="s">
        <v>21</v>
      </c>
      <c r="C5" s="3" t="s">
        <v>68</v>
      </c>
      <c r="D5" s="3" t="s">
        <v>29</v>
      </c>
      <c r="E5" s="3" t="str">
        <f>E2</f>
        <v>HA-LWT</v>
      </c>
      <c r="F5" s="1" t="s">
        <v>33</v>
      </c>
      <c r="G5" s="3">
        <v>70000</v>
      </c>
      <c r="H5" s="3" t="s">
        <v>75</v>
      </c>
      <c r="I5" s="3" t="s">
        <v>76</v>
      </c>
      <c r="J5" s="4">
        <v>0.67708333333333337</v>
      </c>
      <c r="K5" s="5">
        <v>0.67847222222222225</v>
      </c>
      <c r="L5" s="4">
        <v>0.48958333333333331</v>
      </c>
      <c r="M5" s="5">
        <v>0.50277777777777777</v>
      </c>
      <c r="N5" s="3" t="s">
        <v>303</v>
      </c>
      <c r="O5" s="3" t="s">
        <v>351</v>
      </c>
      <c r="P5" s="3">
        <v>1167</v>
      </c>
      <c r="Q5" s="3">
        <v>938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44735</v>
      </c>
      <c r="B6" s="3" t="s">
        <v>21</v>
      </c>
      <c r="C6" s="11" t="s">
        <v>71</v>
      </c>
      <c r="D6" s="3" t="s">
        <v>29</v>
      </c>
      <c r="E6" s="11" t="s">
        <v>30</v>
      </c>
      <c r="F6" s="3" t="s">
        <v>33</v>
      </c>
      <c r="G6" s="6">
        <v>70000</v>
      </c>
      <c r="H6" s="11" t="s">
        <v>81</v>
      </c>
      <c r="I6" s="11" t="s">
        <v>82</v>
      </c>
      <c r="J6" s="23">
        <v>0.86805555555555547</v>
      </c>
      <c r="K6" s="24">
        <v>0.88611111111111107</v>
      </c>
      <c r="L6" s="23">
        <v>0.64930555555555558</v>
      </c>
      <c r="M6" s="24">
        <v>0.68680555555555556</v>
      </c>
      <c r="N6" s="11" t="s">
        <v>355</v>
      </c>
      <c r="O6" s="11" t="s">
        <v>102</v>
      </c>
      <c r="P6" s="11">
        <v>835</v>
      </c>
      <c r="Q6" s="11">
        <v>175</v>
      </c>
      <c r="R6" s="11">
        <v>0</v>
      </c>
      <c r="S6" s="11">
        <v>0</v>
      </c>
      <c r="T6" s="11">
        <v>0</v>
      </c>
      <c r="U6" s="11">
        <v>0</v>
      </c>
    </row>
    <row r="7" spans="1:21" x14ac:dyDescent="0.25">
      <c r="A7" s="2">
        <v>44735</v>
      </c>
      <c r="B7" s="3" t="s">
        <v>21</v>
      </c>
      <c r="C7" s="11" t="s">
        <v>72</v>
      </c>
      <c r="D7" s="3" t="s">
        <v>29</v>
      </c>
      <c r="E7" s="11" t="s">
        <v>250</v>
      </c>
      <c r="F7" s="3" t="s">
        <v>33</v>
      </c>
      <c r="G7" s="6">
        <v>70000</v>
      </c>
      <c r="H7" s="11" t="s">
        <v>83</v>
      </c>
      <c r="I7" s="11" t="s">
        <v>84</v>
      </c>
      <c r="J7" s="23">
        <v>0.93402777777777779</v>
      </c>
      <c r="K7" s="24">
        <v>0.92569444444444438</v>
      </c>
      <c r="L7" s="23">
        <v>0.69791666666666663</v>
      </c>
      <c r="M7" s="24">
        <v>0.71319444444444446</v>
      </c>
      <c r="N7" s="11" t="s">
        <v>356</v>
      </c>
      <c r="O7" s="11" t="s">
        <v>353</v>
      </c>
      <c r="P7" s="11">
        <v>1240</v>
      </c>
      <c r="Q7" s="11">
        <v>259</v>
      </c>
      <c r="R7" s="11">
        <v>0</v>
      </c>
      <c r="S7" s="11">
        <v>0</v>
      </c>
      <c r="T7" s="11">
        <v>0</v>
      </c>
      <c r="U7" s="11">
        <v>0</v>
      </c>
    </row>
    <row r="8" spans="1:21" x14ac:dyDescent="0.25">
      <c r="A8" s="2">
        <v>44735</v>
      </c>
      <c r="B8" s="3" t="s">
        <v>357</v>
      </c>
      <c r="C8" s="3" t="s">
        <v>358</v>
      </c>
      <c r="D8" s="3" t="s">
        <v>359</v>
      </c>
      <c r="E8" s="3" t="s">
        <v>360</v>
      </c>
      <c r="F8" s="26" t="s">
        <v>361</v>
      </c>
      <c r="G8" s="3">
        <v>1043</v>
      </c>
      <c r="H8" s="3" t="str">
        <f>E8</f>
        <v>E7-AAN</v>
      </c>
      <c r="I8" s="3" t="str">
        <f>H8</f>
        <v>E7-AAN</v>
      </c>
      <c r="J8" s="4">
        <v>0.88541666666666663</v>
      </c>
      <c r="K8" s="5">
        <v>0.89722222222222225</v>
      </c>
      <c r="L8" s="3" t="s">
        <v>124</v>
      </c>
      <c r="M8" s="3" t="s">
        <v>124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s="11" customFormat="1" ht="12.75" x14ac:dyDescent="0.2">
      <c r="A9" s="2">
        <v>44735</v>
      </c>
      <c r="B9" s="3" t="s">
        <v>21</v>
      </c>
      <c r="C9" s="11" t="s">
        <v>362</v>
      </c>
      <c r="D9" s="11" t="s">
        <v>29</v>
      </c>
      <c r="E9" s="11" t="str">
        <f>E6</f>
        <v>HA-LYA</v>
      </c>
      <c r="F9" s="11" t="s">
        <v>255</v>
      </c>
      <c r="G9" s="27">
        <f>G7</f>
        <v>70000</v>
      </c>
      <c r="H9" s="11" t="s">
        <v>52</v>
      </c>
      <c r="I9" s="11" t="s">
        <v>49</v>
      </c>
      <c r="J9" s="11" t="s">
        <v>52</v>
      </c>
      <c r="K9" s="11" t="s">
        <v>52</v>
      </c>
      <c r="L9" s="23">
        <v>0.95486111111111116</v>
      </c>
      <c r="M9" s="24">
        <v>0.96319444444444446</v>
      </c>
      <c r="N9" s="11" t="s">
        <v>52</v>
      </c>
      <c r="O9" s="11">
        <v>0</v>
      </c>
      <c r="P9" s="11" t="s">
        <v>52</v>
      </c>
      <c r="Q9" s="11">
        <v>0</v>
      </c>
      <c r="R9" s="11" t="s">
        <v>52</v>
      </c>
      <c r="S9" s="11">
        <v>0</v>
      </c>
      <c r="T9" s="11" t="s">
        <v>52</v>
      </c>
      <c r="U9" s="1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B1" workbookViewId="0">
      <selection activeCell="K6" sqref="K6"/>
    </sheetView>
  </sheetViews>
  <sheetFormatPr defaultRowHeight="15" x14ac:dyDescent="0.25"/>
  <cols>
    <col min="1" max="1" width="10.140625" bestFit="1" customWidth="1"/>
    <col min="2" max="2" width="19.28515625" bestFit="1" customWidth="1"/>
    <col min="3" max="3" width="14.140625" customWidth="1"/>
  </cols>
  <sheetData>
    <row r="1" spans="1:21" s="11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1" customFormat="1" ht="12.75" x14ac:dyDescent="0.2">
      <c r="A2" s="2">
        <v>44736</v>
      </c>
      <c r="B2" s="3" t="s">
        <v>21</v>
      </c>
      <c r="C2" s="3" t="s">
        <v>22</v>
      </c>
      <c r="D2" s="3" t="s">
        <v>29</v>
      </c>
      <c r="E2" s="3" t="s">
        <v>363</v>
      </c>
      <c r="F2" s="1" t="s">
        <v>33</v>
      </c>
      <c r="G2" s="3">
        <v>70000</v>
      </c>
      <c r="H2" s="3" t="s">
        <v>34</v>
      </c>
      <c r="I2" s="3" t="s">
        <v>35</v>
      </c>
      <c r="J2" s="4">
        <v>0.4375</v>
      </c>
      <c r="K2" s="5">
        <v>0.44444444444444442</v>
      </c>
      <c r="L2" s="4">
        <v>0.25694444444444448</v>
      </c>
      <c r="M2" s="5">
        <v>0.28125</v>
      </c>
      <c r="N2" s="3" t="s">
        <v>248</v>
      </c>
      <c r="O2" s="3" t="s">
        <v>314</v>
      </c>
      <c r="P2" s="3">
        <v>710</v>
      </c>
      <c r="Q2" s="3">
        <v>465</v>
      </c>
      <c r="R2" s="3">
        <v>0</v>
      </c>
      <c r="S2" s="3">
        <v>0</v>
      </c>
      <c r="T2" s="3">
        <v>0</v>
      </c>
      <c r="U2" s="3">
        <v>0</v>
      </c>
    </row>
    <row r="3" spans="1:21" s="11" customFormat="1" ht="12.75" x14ac:dyDescent="0.2">
      <c r="A3" s="2">
        <v>44736</v>
      </c>
      <c r="B3" s="3" t="s">
        <v>21</v>
      </c>
      <c r="C3" s="3" t="s">
        <v>24</v>
      </c>
      <c r="D3" s="3" t="s">
        <v>29</v>
      </c>
      <c r="E3" s="3" t="s">
        <v>352</v>
      </c>
      <c r="F3" s="1" t="s">
        <v>33</v>
      </c>
      <c r="G3" s="3">
        <v>70000</v>
      </c>
      <c r="H3" s="3" t="s">
        <v>38</v>
      </c>
      <c r="I3" s="3" t="s">
        <v>39</v>
      </c>
      <c r="J3" s="4">
        <v>0.60763888888888895</v>
      </c>
      <c r="K3" s="5">
        <v>0.6069444444444444</v>
      </c>
      <c r="L3" s="4">
        <v>0.45833333333333331</v>
      </c>
      <c r="M3" s="5">
        <v>0.4777777777777778</v>
      </c>
      <c r="N3" s="3" t="s">
        <v>369</v>
      </c>
      <c r="O3" s="3" t="s">
        <v>262</v>
      </c>
      <c r="P3" s="3">
        <v>530</v>
      </c>
      <c r="Q3" s="3">
        <v>598</v>
      </c>
      <c r="R3" s="3">
        <v>0</v>
      </c>
      <c r="S3" s="3">
        <v>0</v>
      </c>
      <c r="T3" s="3">
        <v>0</v>
      </c>
      <c r="U3" s="3">
        <v>0</v>
      </c>
    </row>
    <row r="4" spans="1:21" s="11" customFormat="1" ht="12.75" x14ac:dyDescent="0.2">
      <c r="A4" s="2">
        <v>44736</v>
      </c>
      <c r="B4" s="3" t="s">
        <v>21</v>
      </c>
      <c r="C4" s="3" t="s">
        <v>26</v>
      </c>
      <c r="D4" s="3" t="s">
        <v>29</v>
      </c>
      <c r="E4" s="3" t="str">
        <f>E3</f>
        <v>HA-LYQ</v>
      </c>
      <c r="F4" s="1" t="s">
        <v>33</v>
      </c>
      <c r="G4" s="3">
        <v>70000</v>
      </c>
      <c r="H4" s="3" t="s">
        <v>43</v>
      </c>
      <c r="I4" s="3" t="s">
        <v>44</v>
      </c>
      <c r="J4" s="4">
        <v>0.75694444444444453</v>
      </c>
      <c r="K4" s="5">
        <v>0.7583333333333333</v>
      </c>
      <c r="L4" s="4">
        <v>0.64236111111111105</v>
      </c>
      <c r="M4" s="5">
        <v>0.64444444444444449</v>
      </c>
      <c r="N4" s="3" t="s">
        <v>370</v>
      </c>
      <c r="O4" s="3" t="s">
        <v>367</v>
      </c>
      <c r="P4" s="3">
        <v>248</v>
      </c>
      <c r="Q4" s="3">
        <v>378</v>
      </c>
      <c r="R4" s="3">
        <v>0</v>
      </c>
      <c r="S4" s="3">
        <v>0</v>
      </c>
      <c r="T4" s="3">
        <v>0</v>
      </c>
      <c r="U4" s="3">
        <v>0</v>
      </c>
    </row>
    <row r="5" spans="1:21" s="11" customFormat="1" ht="12.75" x14ac:dyDescent="0.2">
      <c r="A5" s="2">
        <v>44736</v>
      </c>
      <c r="B5" s="3" t="s">
        <v>21</v>
      </c>
      <c r="C5" s="3" t="s">
        <v>28</v>
      </c>
      <c r="D5" s="3" t="s">
        <v>29</v>
      </c>
      <c r="E5" s="3" t="str">
        <f>E4</f>
        <v>HA-LYQ</v>
      </c>
      <c r="F5" s="1" t="s">
        <v>33</v>
      </c>
      <c r="G5" s="3">
        <v>70000</v>
      </c>
      <c r="H5" s="3" t="s">
        <v>47</v>
      </c>
      <c r="I5" s="3" t="s">
        <v>48</v>
      </c>
      <c r="J5" s="4">
        <v>0.97569444444444453</v>
      </c>
      <c r="K5" s="5">
        <v>0.95486111111111116</v>
      </c>
      <c r="L5" s="4">
        <v>0.77777777777777779</v>
      </c>
      <c r="M5" s="5">
        <v>0.79791666666666661</v>
      </c>
      <c r="N5" s="3" t="s">
        <v>371</v>
      </c>
      <c r="O5" s="3" t="s">
        <v>368</v>
      </c>
      <c r="P5" s="3">
        <v>517</v>
      </c>
      <c r="Q5" s="3">
        <v>465</v>
      </c>
      <c r="R5" s="3">
        <v>0</v>
      </c>
      <c r="S5" s="3">
        <v>0</v>
      </c>
      <c r="T5" s="3">
        <v>0</v>
      </c>
      <c r="U5" s="3">
        <v>0</v>
      </c>
    </row>
    <row r="6" spans="1:21" s="11" customFormat="1" ht="12.75" x14ac:dyDescent="0.2">
      <c r="A6" s="28">
        <v>44736</v>
      </c>
      <c r="B6" s="11" t="s">
        <v>213</v>
      </c>
      <c r="C6" s="11" t="s">
        <v>214</v>
      </c>
      <c r="D6" s="3" t="s">
        <v>29</v>
      </c>
      <c r="E6" s="11" t="s">
        <v>364</v>
      </c>
      <c r="F6" s="11" t="s">
        <v>216</v>
      </c>
      <c r="G6" s="11">
        <v>77000</v>
      </c>
      <c r="H6" s="11" t="s">
        <v>217</v>
      </c>
      <c r="I6" s="11" t="s">
        <v>218</v>
      </c>
      <c r="J6" s="23">
        <v>0.3298611111111111</v>
      </c>
      <c r="K6" s="24">
        <v>0.35069444444444442</v>
      </c>
      <c r="L6" s="23">
        <v>0.37152777777777773</v>
      </c>
      <c r="M6" s="24">
        <v>0.3979166666666667</v>
      </c>
      <c r="N6" s="11" t="s">
        <v>323</v>
      </c>
      <c r="O6" s="11" t="s">
        <v>365</v>
      </c>
      <c r="P6" s="11">
        <v>2180</v>
      </c>
      <c r="Q6" s="11">
        <v>2026</v>
      </c>
      <c r="R6" s="11">
        <v>0</v>
      </c>
      <c r="S6" s="11">
        <v>0</v>
      </c>
      <c r="T6" s="11">
        <v>0</v>
      </c>
      <c r="U6" s="11">
        <v>0</v>
      </c>
    </row>
    <row r="7" spans="1:21" x14ac:dyDescent="0.25">
      <c r="A7" s="2">
        <v>44736</v>
      </c>
      <c r="B7" s="3" t="s">
        <v>357</v>
      </c>
      <c r="C7" s="3" t="s">
        <v>366</v>
      </c>
      <c r="D7" s="3" t="s">
        <v>359</v>
      </c>
      <c r="E7" s="3" t="s">
        <v>360</v>
      </c>
      <c r="F7" s="26" t="s">
        <v>361</v>
      </c>
      <c r="G7" s="3">
        <v>1043</v>
      </c>
      <c r="H7" s="3" t="str">
        <f>E7</f>
        <v>E7-AAN</v>
      </c>
      <c r="I7" s="3" t="str">
        <f>H7</f>
        <v>E7-AAN</v>
      </c>
      <c r="J7" s="4" t="s">
        <v>124</v>
      </c>
      <c r="K7" s="5" t="s">
        <v>124</v>
      </c>
      <c r="L7" s="5">
        <v>0.375</v>
      </c>
      <c r="M7" s="5">
        <v>0.40972222222222227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H33" sqref="H33"/>
    </sheetView>
  </sheetViews>
  <sheetFormatPr defaultRowHeight="15" x14ac:dyDescent="0.25"/>
  <cols>
    <col min="2" max="2" width="26.140625" bestFit="1" customWidth="1"/>
    <col min="3" max="3" width="17" customWidth="1"/>
    <col min="6" max="6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44737</v>
      </c>
      <c r="B2" s="3" t="s">
        <v>21</v>
      </c>
      <c r="C2" s="3" t="s">
        <v>132</v>
      </c>
      <c r="D2" s="3" t="s">
        <v>29</v>
      </c>
      <c r="E2" s="3" t="s">
        <v>352</v>
      </c>
      <c r="F2" s="3" t="s">
        <v>33</v>
      </c>
      <c r="G2" s="6">
        <v>70000</v>
      </c>
      <c r="H2" s="3" t="s">
        <v>133</v>
      </c>
      <c r="I2" s="3" t="s">
        <v>134</v>
      </c>
      <c r="J2" s="4">
        <v>0.47222222222222227</v>
      </c>
      <c r="K2" s="5">
        <v>0.48888888888888887</v>
      </c>
      <c r="L2" s="4">
        <v>0.28125</v>
      </c>
      <c r="M2" s="5">
        <v>0.30069444444444443</v>
      </c>
      <c r="N2" s="3" t="s">
        <v>373</v>
      </c>
      <c r="O2" s="3" t="s">
        <v>372</v>
      </c>
      <c r="P2" s="7">
        <v>1459</v>
      </c>
      <c r="Q2" s="3">
        <v>997</v>
      </c>
      <c r="R2" s="3">
        <v>0</v>
      </c>
    </row>
    <row r="3" spans="1:18" x14ac:dyDescent="0.25">
      <c r="A3" s="2">
        <v>44737</v>
      </c>
      <c r="B3" s="3" t="s">
        <v>21</v>
      </c>
      <c r="C3" s="3" t="s">
        <v>135</v>
      </c>
      <c r="D3" s="3" t="s">
        <v>29</v>
      </c>
      <c r="E3" s="3" t="s">
        <v>352</v>
      </c>
      <c r="F3" s="3" t="s">
        <v>33</v>
      </c>
      <c r="G3" s="6">
        <v>70000</v>
      </c>
      <c r="H3" s="3" t="s">
        <v>136</v>
      </c>
      <c r="I3" s="3" t="s">
        <v>137</v>
      </c>
      <c r="J3" s="4">
        <v>0.91319444444444453</v>
      </c>
      <c r="K3" s="5">
        <v>0.92361111111111116</v>
      </c>
      <c r="L3" s="4">
        <v>0.50347222222222221</v>
      </c>
      <c r="M3" s="5">
        <v>0.53055555555555556</v>
      </c>
      <c r="N3" s="3" t="s">
        <v>374</v>
      </c>
      <c r="O3" s="3" t="s">
        <v>188</v>
      </c>
      <c r="P3" s="3">
        <v>806</v>
      </c>
      <c r="Q3" s="3">
        <v>680</v>
      </c>
      <c r="R3" s="3">
        <v>0</v>
      </c>
    </row>
    <row r="4" spans="1:18" s="9" customFormat="1" x14ac:dyDescent="0.25">
      <c r="A4" s="2">
        <v>44737</v>
      </c>
      <c r="B4" s="9" t="s">
        <v>375</v>
      </c>
      <c r="C4" s="9" t="s">
        <v>376</v>
      </c>
      <c r="D4" s="9" t="s">
        <v>377</v>
      </c>
      <c r="E4" s="9" t="s">
        <v>378</v>
      </c>
      <c r="F4" s="9" t="s">
        <v>379</v>
      </c>
      <c r="G4" s="9">
        <v>7600</v>
      </c>
      <c r="H4" s="9" t="s">
        <v>52</v>
      </c>
      <c r="I4" s="9" t="s">
        <v>52</v>
      </c>
      <c r="J4" s="13">
        <v>0.63888888888888895</v>
      </c>
      <c r="K4" s="10">
        <v>0.65277777777777779</v>
      </c>
      <c r="L4" s="13">
        <v>0.65625</v>
      </c>
      <c r="M4" s="10">
        <v>0.6645833333333333</v>
      </c>
      <c r="N4" s="29">
        <v>6</v>
      </c>
      <c r="O4" s="29">
        <v>0</v>
      </c>
      <c r="P4" s="29">
        <v>0</v>
      </c>
      <c r="Q4" s="29">
        <v>0</v>
      </c>
      <c r="R4" s="2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opLeftCell="D1" workbookViewId="0">
      <selection activeCell="K4" sqref="K4"/>
    </sheetView>
  </sheetViews>
  <sheetFormatPr defaultRowHeight="15" x14ac:dyDescent="0.25"/>
  <cols>
    <col min="1" max="1" width="10.140625" bestFit="1" customWidth="1"/>
    <col min="2" max="2" width="17.28515625" customWidth="1"/>
    <col min="3" max="3" width="14.42578125" bestFit="1" customWidth="1"/>
    <col min="6" max="6" width="13.140625" customWidth="1"/>
  </cols>
  <sheetData>
    <row r="1" spans="1:21" s="20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0" customFormat="1" ht="12.75" x14ac:dyDescent="0.2">
      <c r="A2" s="21">
        <v>44738</v>
      </c>
      <c r="B2" s="3" t="s">
        <v>21</v>
      </c>
      <c r="C2" s="22" t="s">
        <v>69</v>
      </c>
      <c r="D2" s="3" t="s">
        <v>29</v>
      </c>
      <c r="E2" s="11" t="s">
        <v>380</v>
      </c>
      <c r="F2" s="3" t="s">
        <v>33</v>
      </c>
      <c r="G2" s="6">
        <v>70000</v>
      </c>
      <c r="H2" s="3" t="s">
        <v>77</v>
      </c>
      <c r="I2" s="11" t="s">
        <v>78</v>
      </c>
      <c r="J2" s="23">
        <v>0.43402777777777773</v>
      </c>
      <c r="K2" s="24">
        <v>0.4201388888888889</v>
      </c>
      <c r="L2" s="23">
        <v>0.28472222222222221</v>
      </c>
      <c r="M2" s="24">
        <v>0.28680555555555554</v>
      </c>
      <c r="N2" s="11" t="s">
        <v>381</v>
      </c>
      <c r="O2" s="11" t="s">
        <v>224</v>
      </c>
      <c r="P2" s="11">
        <v>703</v>
      </c>
      <c r="Q2" s="11">
        <v>526</v>
      </c>
      <c r="R2" s="11">
        <v>0</v>
      </c>
      <c r="S2" s="11">
        <v>0</v>
      </c>
      <c r="T2" s="11">
        <v>0</v>
      </c>
      <c r="U2" s="11">
        <v>0</v>
      </c>
    </row>
    <row r="3" spans="1:21" s="20" customFormat="1" ht="12.75" x14ac:dyDescent="0.2">
      <c r="A3" s="21">
        <v>44738</v>
      </c>
      <c r="B3" s="3" t="s">
        <v>21</v>
      </c>
      <c r="C3" s="22" t="s">
        <v>25</v>
      </c>
      <c r="D3" s="3" t="s">
        <v>29</v>
      </c>
      <c r="E3" s="11" t="s">
        <v>380</v>
      </c>
      <c r="F3" s="3" t="s">
        <v>33</v>
      </c>
      <c r="G3" s="6">
        <v>70000</v>
      </c>
      <c r="H3" s="11" t="s">
        <v>41</v>
      </c>
      <c r="I3" s="11" t="s">
        <v>42</v>
      </c>
      <c r="J3" s="23">
        <v>0.64583333333333337</v>
      </c>
      <c r="K3" s="24">
        <v>0.63541666666666663</v>
      </c>
      <c r="L3" s="23">
        <v>0.48958333333333331</v>
      </c>
      <c r="M3" s="24">
        <v>0.49583333333333335</v>
      </c>
      <c r="N3" s="11" t="s">
        <v>382</v>
      </c>
      <c r="O3" s="11" t="s">
        <v>318</v>
      </c>
      <c r="P3" s="11">
        <v>335</v>
      </c>
      <c r="Q3" s="11">
        <v>468</v>
      </c>
      <c r="R3" s="11">
        <v>0</v>
      </c>
      <c r="S3" s="11">
        <v>0</v>
      </c>
      <c r="T3" s="11">
        <v>0</v>
      </c>
      <c r="U3" s="11">
        <v>0</v>
      </c>
    </row>
    <row r="4" spans="1:21" s="20" customFormat="1" ht="12.75" x14ac:dyDescent="0.2">
      <c r="A4" s="21">
        <v>44738</v>
      </c>
      <c r="B4" s="3" t="s">
        <v>21</v>
      </c>
      <c r="C4" s="22" t="s">
        <v>72</v>
      </c>
      <c r="D4" s="11" t="s">
        <v>29</v>
      </c>
      <c r="E4" s="11" t="s">
        <v>380</v>
      </c>
      <c r="F4" s="11" t="s">
        <v>33</v>
      </c>
      <c r="G4" s="6">
        <v>70000</v>
      </c>
      <c r="H4" s="11" t="s">
        <v>83</v>
      </c>
      <c r="I4" s="11" t="s">
        <v>84</v>
      </c>
      <c r="J4" s="24">
        <v>0.90277777777777779</v>
      </c>
      <c r="K4" s="24">
        <v>0.88541666666666663</v>
      </c>
      <c r="L4" s="24">
        <v>0.66666666666666663</v>
      </c>
      <c r="M4" s="24">
        <v>0.6694444444444444</v>
      </c>
      <c r="N4" s="20" t="s">
        <v>166</v>
      </c>
      <c r="O4" s="20" t="s">
        <v>383</v>
      </c>
      <c r="P4" s="11">
        <v>558</v>
      </c>
      <c r="Q4" s="11">
        <v>587</v>
      </c>
      <c r="R4" s="11">
        <v>0</v>
      </c>
      <c r="S4" s="11">
        <v>0</v>
      </c>
      <c r="T4" s="11">
        <v>0</v>
      </c>
      <c r="U4" s="11">
        <v>0</v>
      </c>
    </row>
    <row r="5" spans="1:21" s="20" customFormat="1" ht="12.75" x14ac:dyDescent="0.2">
      <c r="A5" s="21">
        <v>44738</v>
      </c>
      <c r="B5" s="11" t="s">
        <v>375</v>
      </c>
      <c r="C5" s="22" t="s">
        <v>384</v>
      </c>
      <c r="D5" s="11" t="s">
        <v>377</v>
      </c>
      <c r="E5" s="11" t="s">
        <v>378</v>
      </c>
      <c r="F5" s="11" t="s">
        <v>379</v>
      </c>
      <c r="G5" s="11">
        <v>7600</v>
      </c>
      <c r="H5" s="11" t="s">
        <v>52</v>
      </c>
      <c r="I5" s="11" t="s">
        <v>52</v>
      </c>
      <c r="J5" s="23">
        <v>0.63888888888888895</v>
      </c>
      <c r="K5" s="24">
        <v>0.67569444444444438</v>
      </c>
      <c r="L5" s="23">
        <v>0.66666666666666663</v>
      </c>
      <c r="M5" s="24">
        <v>0.69097222222222221</v>
      </c>
      <c r="N5" s="31">
        <v>0</v>
      </c>
      <c r="O5" s="31">
        <v>6</v>
      </c>
      <c r="P5" s="31">
        <v>0</v>
      </c>
      <c r="Q5" s="31">
        <v>0</v>
      </c>
      <c r="R5" s="31">
        <v>0</v>
      </c>
      <c r="S5" s="20">
        <v>0</v>
      </c>
      <c r="T5" s="31">
        <v>0</v>
      </c>
      <c r="U5" s="20">
        <v>0</v>
      </c>
    </row>
    <row r="11" spans="1:21" x14ac:dyDescent="0.25">
      <c r="N11" s="30"/>
    </row>
    <row r="17" spans="8:8" x14ac:dyDescent="0.25">
      <c r="H17" s="12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N4" sqref="N4"/>
    </sheetView>
  </sheetViews>
  <sheetFormatPr defaultRowHeight="12.75" x14ac:dyDescent="0.2"/>
  <cols>
    <col min="1" max="1" width="9.140625" style="11"/>
    <col min="2" max="2" width="33" style="11" bestFit="1" customWidth="1"/>
    <col min="3" max="3" width="23.42578125" style="11" bestFit="1" customWidth="1"/>
    <col min="4" max="4" width="8.28515625" style="11" customWidth="1"/>
    <col min="5" max="5" width="9.140625" style="11"/>
    <col min="6" max="6" width="24.5703125" style="11" bestFit="1" customWidth="1"/>
    <col min="7" max="16384" width="9.140625" style="1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44739</v>
      </c>
      <c r="B2" s="3" t="s">
        <v>21</v>
      </c>
      <c r="C2" s="3" t="s">
        <v>22</v>
      </c>
      <c r="D2" s="3" t="s">
        <v>29</v>
      </c>
      <c r="E2" s="3" t="s">
        <v>352</v>
      </c>
      <c r="F2" s="3" t="s">
        <v>33</v>
      </c>
      <c r="G2" s="6">
        <v>70000</v>
      </c>
      <c r="H2" s="3" t="s">
        <v>34</v>
      </c>
      <c r="I2" s="3" t="s">
        <v>35</v>
      </c>
      <c r="J2" s="4">
        <v>0.4375</v>
      </c>
      <c r="K2" s="5">
        <v>0.4513888888888889</v>
      </c>
      <c r="L2" s="4">
        <v>0.25694444444444448</v>
      </c>
      <c r="M2" s="5">
        <v>0.25972222222222224</v>
      </c>
      <c r="N2" s="3" t="s">
        <v>385</v>
      </c>
      <c r="O2" s="3" t="s">
        <v>243</v>
      </c>
      <c r="P2" s="3">
        <v>919</v>
      </c>
      <c r="Q2" s="3">
        <v>631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44739</v>
      </c>
      <c r="B3" s="3" t="s">
        <v>21</v>
      </c>
      <c r="C3" s="3" t="s">
        <v>24</v>
      </c>
      <c r="D3" s="3" t="s">
        <v>29</v>
      </c>
      <c r="E3" s="3" t="str">
        <f>E2</f>
        <v>HA-LYQ</v>
      </c>
      <c r="F3" s="3" t="s">
        <v>33</v>
      </c>
      <c r="G3" s="6">
        <v>70000</v>
      </c>
      <c r="H3" s="3" t="s">
        <v>38</v>
      </c>
      <c r="I3" s="3" t="s">
        <v>39</v>
      </c>
      <c r="J3" s="4">
        <v>0.60763888888888895</v>
      </c>
      <c r="K3" s="5">
        <v>0.62708333333333333</v>
      </c>
      <c r="L3" s="4">
        <v>0.45833333333333331</v>
      </c>
      <c r="M3" s="5">
        <v>0.4861111111111111</v>
      </c>
      <c r="N3" s="3" t="s">
        <v>392</v>
      </c>
      <c r="O3" s="3" t="s">
        <v>391</v>
      </c>
      <c r="P3" s="3">
        <v>593</v>
      </c>
      <c r="Q3" s="3">
        <v>712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44739</v>
      </c>
      <c r="B4" s="3" t="s">
        <v>21</v>
      </c>
      <c r="C4" s="11" t="s">
        <v>26</v>
      </c>
      <c r="D4" s="3" t="s">
        <v>29</v>
      </c>
      <c r="E4" s="3" t="str">
        <f>E3</f>
        <v>HA-LYQ</v>
      </c>
      <c r="F4" s="3" t="s">
        <v>33</v>
      </c>
      <c r="G4" s="6">
        <v>70000</v>
      </c>
      <c r="H4" s="11" t="s">
        <v>43</v>
      </c>
      <c r="I4" s="11" t="s">
        <v>44</v>
      </c>
      <c r="J4" s="23">
        <v>0.75694444444444453</v>
      </c>
      <c r="K4" s="24">
        <v>0.79861111111111116</v>
      </c>
      <c r="L4" s="23">
        <v>0.64236111111111105</v>
      </c>
      <c r="M4" s="24">
        <v>0.66180555555555554</v>
      </c>
      <c r="N4" s="11" t="s">
        <v>393</v>
      </c>
      <c r="O4" s="11" t="s">
        <v>392</v>
      </c>
      <c r="P4" s="11">
        <v>531</v>
      </c>
      <c r="Q4" s="11">
        <v>593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8">
        <v>44739</v>
      </c>
      <c r="B5" s="11" t="s">
        <v>386</v>
      </c>
      <c r="C5" s="11" t="s">
        <v>387</v>
      </c>
      <c r="D5" s="11" t="s">
        <v>388</v>
      </c>
      <c r="E5" s="11" t="s">
        <v>389</v>
      </c>
      <c r="F5" s="11" t="s">
        <v>390</v>
      </c>
      <c r="G5" s="11">
        <v>3600</v>
      </c>
      <c r="H5" s="11" t="str">
        <f>E5</f>
        <v>E7-SAJ</v>
      </c>
      <c r="I5" s="11" t="str">
        <f>H5</f>
        <v>E7-SAJ</v>
      </c>
      <c r="J5" s="23">
        <v>0.41666666666666669</v>
      </c>
      <c r="K5" s="24">
        <v>0.43055555555555558</v>
      </c>
      <c r="L5" s="23">
        <v>0.44444444444444442</v>
      </c>
      <c r="M5" s="24">
        <v>0.45277777777777778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P4" sqref="P4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4" max="4" width="7.7109375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44740</v>
      </c>
      <c r="B2" s="3" t="s">
        <v>21</v>
      </c>
      <c r="C2" s="3" t="s">
        <v>132</v>
      </c>
      <c r="D2" s="3" t="s">
        <v>29</v>
      </c>
      <c r="E2" s="3" t="s">
        <v>352</v>
      </c>
      <c r="F2" s="3" t="s">
        <v>33</v>
      </c>
      <c r="G2" s="6">
        <v>70000</v>
      </c>
      <c r="H2" s="3" t="s">
        <v>133</v>
      </c>
      <c r="I2" s="3" t="s">
        <v>134</v>
      </c>
      <c r="J2" s="4">
        <v>0.46180555555555558</v>
      </c>
      <c r="K2" s="5">
        <v>0.46458333333333335</v>
      </c>
      <c r="L2" s="4">
        <v>0.27083333333333331</v>
      </c>
      <c r="M2" s="5">
        <v>0.28750000000000003</v>
      </c>
      <c r="N2" s="3" t="s">
        <v>396</v>
      </c>
      <c r="O2" s="3" t="s">
        <v>351</v>
      </c>
      <c r="P2" s="7">
        <v>1086</v>
      </c>
      <c r="Q2" s="3">
        <v>720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5">
        <v>44740</v>
      </c>
      <c r="B3" s="3" t="s">
        <v>213</v>
      </c>
      <c r="C3" s="3" t="s">
        <v>214</v>
      </c>
      <c r="D3" s="3" t="s">
        <v>29</v>
      </c>
      <c r="E3" s="3" t="s">
        <v>215</v>
      </c>
      <c r="F3" s="1" t="s">
        <v>216</v>
      </c>
      <c r="G3" s="3">
        <v>77000</v>
      </c>
      <c r="H3" s="3" t="s">
        <v>217</v>
      </c>
      <c r="I3" s="3" t="s">
        <v>218</v>
      </c>
      <c r="J3" s="4">
        <v>0.3298611111111111</v>
      </c>
      <c r="K3" s="5">
        <v>0.33124999999999999</v>
      </c>
      <c r="L3" s="4">
        <v>0.37152777777777773</v>
      </c>
      <c r="M3" s="5">
        <v>0.3840277777777778</v>
      </c>
      <c r="N3" s="3" t="s">
        <v>394</v>
      </c>
      <c r="O3" s="3" t="s">
        <v>395</v>
      </c>
      <c r="P3" s="3">
        <v>2525</v>
      </c>
      <c r="Q3" s="3">
        <v>2073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44740</v>
      </c>
      <c r="B4" s="3" t="s">
        <v>21</v>
      </c>
      <c r="C4" s="3" t="s">
        <v>68</v>
      </c>
      <c r="D4" s="3" t="s">
        <v>29</v>
      </c>
      <c r="E4" s="3" t="s">
        <v>352</v>
      </c>
      <c r="F4" s="3" t="s">
        <v>33</v>
      </c>
      <c r="G4" s="6">
        <v>70000</v>
      </c>
      <c r="H4" s="3" t="s">
        <v>75</v>
      </c>
      <c r="I4" s="3" t="s">
        <v>76</v>
      </c>
      <c r="J4" s="4">
        <v>0.91319444444444453</v>
      </c>
      <c r="K4" s="5">
        <v>0.99513888888888891</v>
      </c>
      <c r="L4" s="4">
        <v>0.49305555555555558</v>
      </c>
      <c r="M4" s="5">
        <v>0.50208333333333333</v>
      </c>
      <c r="N4" s="3" t="s">
        <v>398</v>
      </c>
      <c r="O4" s="3" t="s">
        <v>397</v>
      </c>
      <c r="P4" s="3">
        <v>1417</v>
      </c>
      <c r="Q4" s="3">
        <v>965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5"/>
      <c r="L5" s="3"/>
      <c r="M5" s="5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5"/>
      <c r="L6" s="3"/>
      <c r="M6" s="5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5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opLeftCell="C1" workbookViewId="0">
      <selection activeCell="K9" sqref="K9"/>
    </sheetView>
  </sheetViews>
  <sheetFormatPr defaultRowHeight="12.75" x14ac:dyDescent="0.2"/>
  <cols>
    <col min="1" max="1" width="10.140625" style="11" bestFit="1" customWidth="1"/>
    <col min="2" max="2" width="30.28515625" style="11" bestFit="1" customWidth="1"/>
    <col min="3" max="3" width="14.28515625" style="11" customWidth="1"/>
    <col min="4" max="5" width="9.140625" style="11"/>
    <col min="6" max="6" width="14.85546875" style="11" customWidth="1"/>
    <col min="7" max="16384" width="9.140625" style="1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44741</v>
      </c>
      <c r="B2" s="3" t="s">
        <v>21</v>
      </c>
      <c r="C2" s="3" t="s">
        <v>22</v>
      </c>
      <c r="D2" s="3" t="s">
        <v>29</v>
      </c>
      <c r="E2" s="3" t="s">
        <v>352</v>
      </c>
      <c r="F2" s="1" t="s">
        <v>33</v>
      </c>
      <c r="G2" s="3">
        <v>70000</v>
      </c>
      <c r="H2" s="3" t="s">
        <v>34</v>
      </c>
      <c r="I2" s="3" t="s">
        <v>35</v>
      </c>
      <c r="J2" s="4">
        <v>0.43055555555555558</v>
      </c>
      <c r="K2" s="5">
        <v>0.43333333333333335</v>
      </c>
      <c r="L2" s="4">
        <v>0.25694444444444448</v>
      </c>
      <c r="M2" s="5">
        <v>0.26180555555555557</v>
      </c>
      <c r="N2" s="3" t="s">
        <v>408</v>
      </c>
      <c r="O2" s="3" t="s">
        <v>402</v>
      </c>
      <c r="P2" s="3">
        <v>945</v>
      </c>
      <c r="Q2" s="3">
        <v>564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44741</v>
      </c>
      <c r="B3" s="3" t="s">
        <v>21</v>
      </c>
      <c r="C3" s="3" t="s">
        <v>23</v>
      </c>
      <c r="D3" s="3" t="s">
        <v>29</v>
      </c>
      <c r="E3" s="11" t="s">
        <v>400</v>
      </c>
      <c r="F3" s="1" t="s">
        <v>33</v>
      </c>
      <c r="G3" s="3">
        <v>70000</v>
      </c>
      <c r="H3" s="3" t="s">
        <v>36</v>
      </c>
      <c r="I3" s="3" t="s">
        <v>37</v>
      </c>
      <c r="J3" s="4">
        <v>0.51388888888888895</v>
      </c>
      <c r="K3" s="5">
        <v>0.51597222222222217</v>
      </c>
      <c r="L3" s="4">
        <v>0.28125</v>
      </c>
      <c r="M3" s="5">
        <v>0.29722222222222222</v>
      </c>
      <c r="N3" s="3" t="s">
        <v>409</v>
      </c>
      <c r="O3" s="3" t="s">
        <v>403</v>
      </c>
      <c r="P3" s="3">
        <v>1297</v>
      </c>
      <c r="Q3" s="3">
        <v>627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44741</v>
      </c>
      <c r="B4" s="3" t="s">
        <v>21</v>
      </c>
      <c r="C4" s="3" t="s">
        <v>24</v>
      </c>
      <c r="D4" s="3" t="s">
        <v>29</v>
      </c>
      <c r="E4" s="3" t="s">
        <v>352</v>
      </c>
      <c r="F4" s="1" t="s">
        <v>33</v>
      </c>
      <c r="G4" s="3">
        <v>70000</v>
      </c>
      <c r="H4" s="3" t="s">
        <v>38</v>
      </c>
      <c r="I4" s="3" t="s">
        <v>39</v>
      </c>
      <c r="J4" s="4">
        <v>0.60069444444444442</v>
      </c>
      <c r="K4" s="5">
        <v>0.61944444444444446</v>
      </c>
      <c r="L4" s="4">
        <v>0.4513888888888889</v>
      </c>
      <c r="M4" s="5">
        <v>0.47638888888888892</v>
      </c>
      <c r="N4" s="3" t="s">
        <v>412</v>
      </c>
      <c r="O4" s="3" t="s">
        <v>410</v>
      </c>
      <c r="P4" s="3">
        <v>774</v>
      </c>
      <c r="Q4" s="3">
        <v>697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44741</v>
      </c>
      <c r="B5" s="3" t="s">
        <v>21</v>
      </c>
      <c r="C5" s="3" t="s">
        <v>25</v>
      </c>
      <c r="D5" s="3" t="s">
        <v>29</v>
      </c>
      <c r="E5" s="11" t="s">
        <v>400</v>
      </c>
      <c r="F5" s="1" t="s">
        <v>33</v>
      </c>
      <c r="G5" s="3">
        <v>70000</v>
      </c>
      <c r="H5" s="3" t="s">
        <v>41</v>
      </c>
      <c r="I5" s="3" t="s">
        <v>42</v>
      </c>
      <c r="J5" s="4">
        <v>0.69791666666666663</v>
      </c>
      <c r="K5" s="5">
        <v>0.69027777777777777</v>
      </c>
      <c r="L5" s="4">
        <v>0.54166666666666663</v>
      </c>
      <c r="M5" s="5">
        <v>0.5493055555555556</v>
      </c>
      <c r="N5" s="3" t="s">
        <v>416</v>
      </c>
      <c r="O5" s="3" t="s">
        <v>411</v>
      </c>
      <c r="P5" s="3">
        <v>374</v>
      </c>
      <c r="Q5" s="3">
        <v>304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44741</v>
      </c>
      <c r="B6" s="3" t="s">
        <v>21</v>
      </c>
      <c r="C6" s="3" t="s">
        <v>26</v>
      </c>
      <c r="D6" s="3" t="s">
        <v>29</v>
      </c>
      <c r="E6" s="3" t="s">
        <v>352</v>
      </c>
      <c r="F6" s="1" t="s">
        <v>33</v>
      </c>
      <c r="G6" s="3">
        <v>70000</v>
      </c>
      <c r="H6" s="3" t="s">
        <v>43</v>
      </c>
      <c r="I6" s="3" t="s">
        <v>44</v>
      </c>
      <c r="J6" s="4">
        <v>0.74652777777777779</v>
      </c>
      <c r="K6" s="5">
        <v>0.78263888888888899</v>
      </c>
      <c r="L6" s="4">
        <v>0.63194444444444442</v>
      </c>
      <c r="M6" s="5">
        <v>0.65833333333333333</v>
      </c>
      <c r="N6" s="3" t="s">
        <v>417</v>
      </c>
      <c r="O6" s="3" t="s">
        <v>413</v>
      </c>
      <c r="P6" s="3">
        <v>659</v>
      </c>
      <c r="Q6" s="3">
        <v>298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2">
        <v>44741</v>
      </c>
      <c r="B7" s="3" t="s">
        <v>21</v>
      </c>
      <c r="C7" s="3" t="s">
        <v>27</v>
      </c>
      <c r="D7" s="3" t="s">
        <v>29</v>
      </c>
      <c r="E7" s="3" t="str">
        <f>E5</f>
        <v>HA-LYW</v>
      </c>
      <c r="F7" s="1" t="s">
        <v>33</v>
      </c>
      <c r="G7" s="3">
        <v>70000</v>
      </c>
      <c r="H7" s="3" t="s">
        <v>45</v>
      </c>
      <c r="I7" s="3" t="s">
        <v>46</v>
      </c>
      <c r="J7" s="4">
        <v>0.90277777777777779</v>
      </c>
      <c r="K7" s="5">
        <v>0.90972222222222221</v>
      </c>
      <c r="L7" s="4">
        <v>0.71875</v>
      </c>
      <c r="M7" s="5">
        <v>0.73472222222222217</v>
      </c>
      <c r="N7" s="3" t="s">
        <v>318</v>
      </c>
      <c r="O7" s="3" t="s">
        <v>414</v>
      </c>
      <c r="P7" s="3">
        <v>691</v>
      </c>
      <c r="Q7" s="3">
        <v>501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44741</v>
      </c>
      <c r="B8" s="3" t="s">
        <v>21</v>
      </c>
      <c r="C8" s="3" t="s">
        <v>28</v>
      </c>
      <c r="D8" s="3" t="s">
        <v>29</v>
      </c>
      <c r="E8" s="3" t="s">
        <v>352</v>
      </c>
      <c r="F8" s="1" t="s">
        <v>33</v>
      </c>
      <c r="G8" s="3">
        <v>70000</v>
      </c>
      <c r="H8" s="3" t="s">
        <v>47</v>
      </c>
      <c r="I8" s="3" t="s">
        <v>48</v>
      </c>
      <c r="J8" s="4">
        <v>0.9375</v>
      </c>
      <c r="K8" s="5">
        <v>0.97430555555555554</v>
      </c>
      <c r="L8" s="4">
        <v>0.76736111111111116</v>
      </c>
      <c r="M8" s="5">
        <v>0.81805555555555554</v>
      </c>
      <c r="N8" s="3" t="s">
        <v>415</v>
      </c>
      <c r="O8" s="3" t="s">
        <v>248</v>
      </c>
      <c r="P8" s="3">
        <v>1127</v>
      </c>
      <c r="Q8" s="3">
        <v>769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2">
        <v>44741</v>
      </c>
      <c r="B9" s="11" t="s">
        <v>21</v>
      </c>
      <c r="C9" s="11" t="s">
        <v>399</v>
      </c>
      <c r="D9" s="11" t="s">
        <v>29</v>
      </c>
      <c r="E9" s="11" t="s">
        <v>400</v>
      </c>
      <c r="F9" s="11" t="s">
        <v>401</v>
      </c>
      <c r="G9" s="11">
        <v>70000</v>
      </c>
      <c r="H9" s="11" t="s">
        <v>147</v>
      </c>
      <c r="I9" s="11" t="s">
        <v>52</v>
      </c>
      <c r="J9" s="23">
        <v>0.25</v>
      </c>
      <c r="K9" s="24">
        <v>0.24513888888888888</v>
      </c>
      <c r="L9" s="11" t="s">
        <v>52</v>
      </c>
      <c r="M9" s="11" t="s">
        <v>52</v>
      </c>
      <c r="N9" s="11" t="s">
        <v>52</v>
      </c>
      <c r="O9" s="11" t="s">
        <v>52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</row>
    <row r="10" spans="1:21" x14ac:dyDescent="0.2">
      <c r="A10" s="2">
        <v>44741</v>
      </c>
      <c r="B10" s="11" t="s">
        <v>404</v>
      </c>
      <c r="C10" s="11" t="s">
        <v>405</v>
      </c>
      <c r="D10" s="11" t="s">
        <v>406</v>
      </c>
      <c r="E10" s="11" t="s">
        <v>407</v>
      </c>
      <c r="F10" s="11" t="s">
        <v>379</v>
      </c>
      <c r="G10" s="11">
        <v>4740</v>
      </c>
      <c r="H10" s="11" t="s">
        <v>52</v>
      </c>
      <c r="I10" s="11" t="s">
        <v>52</v>
      </c>
      <c r="J10" s="23">
        <v>0.51041666666666663</v>
      </c>
      <c r="K10" s="24">
        <v>0.52500000000000002</v>
      </c>
      <c r="L10" s="23">
        <v>0.72916666666666663</v>
      </c>
      <c r="M10" s="24">
        <v>0.76597222222222217</v>
      </c>
      <c r="N10" s="11">
        <v>5</v>
      </c>
      <c r="O10" s="11">
        <v>5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</row>
    <row r="12" spans="1:21" x14ac:dyDescent="0.2">
      <c r="B12" s="3"/>
      <c r="C12" s="3"/>
      <c r="D12" s="3"/>
      <c r="E12" s="3"/>
      <c r="F12" s="1"/>
      <c r="G12" s="3"/>
      <c r="H12" s="3"/>
      <c r="I12" s="3"/>
      <c r="J12" s="4"/>
      <c r="K12" s="5"/>
      <c r="L12" s="4"/>
      <c r="M12" s="5"/>
    </row>
    <row r="13" spans="1:21" x14ac:dyDescent="0.2">
      <c r="B13" s="3"/>
      <c r="C13" s="3"/>
      <c r="D13" s="3"/>
      <c r="E13" s="3"/>
      <c r="F13" s="1"/>
      <c r="G13" s="3"/>
      <c r="H13" s="3"/>
      <c r="I13" s="3"/>
      <c r="J13" s="4"/>
      <c r="K13" s="5"/>
      <c r="L13" s="4"/>
      <c r="M13" s="5"/>
    </row>
    <row r="14" spans="1:21" x14ac:dyDescent="0.2">
      <c r="B14" s="3"/>
      <c r="C14" s="3"/>
      <c r="D14" s="3"/>
      <c r="E14" s="3"/>
      <c r="F14" s="1"/>
      <c r="G14" s="3"/>
      <c r="H14" s="3"/>
      <c r="I14" s="3"/>
      <c r="J14" s="4"/>
      <c r="K14" s="5"/>
      <c r="L14" s="4"/>
      <c r="M14" s="5"/>
    </row>
    <row r="15" spans="1:21" x14ac:dyDescent="0.2">
      <c r="B15" s="3"/>
      <c r="C15" s="3"/>
      <c r="D15" s="3"/>
      <c r="E15" s="3"/>
      <c r="F15" s="1"/>
      <c r="G15" s="3"/>
      <c r="H15" s="3"/>
      <c r="I15" s="3"/>
      <c r="J15" s="4"/>
      <c r="K15" s="5"/>
      <c r="L15" s="4"/>
      <c r="M15" s="5"/>
    </row>
    <row r="16" spans="1:21" x14ac:dyDescent="0.2">
      <c r="B16" s="3"/>
      <c r="C16" s="3"/>
      <c r="D16" s="3"/>
      <c r="E16" s="3"/>
      <c r="F16" s="1"/>
      <c r="G16" s="3"/>
      <c r="H16" s="3"/>
      <c r="I16" s="3"/>
      <c r="J16" s="4"/>
      <c r="K16" s="5"/>
      <c r="L16" s="4"/>
      <c r="M16" s="5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M10" sqref="M10"/>
    </sheetView>
  </sheetViews>
  <sheetFormatPr defaultRowHeight="15" x14ac:dyDescent="0.25"/>
  <cols>
    <col min="3" max="3" width="13.5703125" bestFit="1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44742</v>
      </c>
      <c r="B2" s="3" t="s">
        <v>21</v>
      </c>
      <c r="C2" s="3" t="s">
        <v>67</v>
      </c>
      <c r="D2" s="3" t="s">
        <v>29</v>
      </c>
      <c r="E2" s="3" t="s">
        <v>352</v>
      </c>
      <c r="F2" s="1" t="s">
        <v>33</v>
      </c>
      <c r="G2" s="3">
        <v>70000</v>
      </c>
      <c r="H2" s="3" t="s">
        <v>73</v>
      </c>
      <c r="I2" s="3" t="s">
        <v>74</v>
      </c>
      <c r="J2" s="4">
        <v>0.45833333333333331</v>
      </c>
      <c r="K2" s="5">
        <v>0.4694444444444445</v>
      </c>
      <c r="L2" s="4">
        <v>0.25694444444444448</v>
      </c>
      <c r="M2" s="5">
        <v>0.28333333333333333</v>
      </c>
      <c r="N2" s="3" t="s">
        <v>419</v>
      </c>
      <c r="O2" s="3" t="s">
        <v>418</v>
      </c>
      <c r="P2" s="3">
        <v>1386</v>
      </c>
      <c r="Q2" s="3">
        <v>388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44742</v>
      </c>
      <c r="B3" s="3" t="s">
        <v>21</v>
      </c>
      <c r="C3" s="3" t="s">
        <v>69</v>
      </c>
      <c r="D3" s="3" t="s">
        <v>29</v>
      </c>
      <c r="E3" s="3" t="s">
        <v>400</v>
      </c>
      <c r="F3" s="1" t="s">
        <v>33</v>
      </c>
      <c r="G3" s="3">
        <v>70000</v>
      </c>
      <c r="H3" s="3" t="s">
        <v>77</v>
      </c>
      <c r="I3" s="3" t="s">
        <v>78</v>
      </c>
      <c r="J3" s="4">
        <v>0.43402777777777773</v>
      </c>
      <c r="K3" s="5">
        <v>0.43472222222222223</v>
      </c>
      <c r="L3" s="4">
        <v>0.28472222222222221</v>
      </c>
      <c r="M3" s="5">
        <v>0.30069444444444443</v>
      </c>
      <c r="N3" s="3" t="s">
        <v>420</v>
      </c>
      <c r="O3" s="3" t="s">
        <v>204</v>
      </c>
      <c r="P3" s="3">
        <v>551</v>
      </c>
      <c r="Q3" s="3">
        <v>279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44742</v>
      </c>
      <c r="B4" s="3" t="s">
        <v>21</v>
      </c>
      <c r="C4" s="3" t="s">
        <v>70</v>
      </c>
      <c r="D4" s="3" t="s">
        <v>29</v>
      </c>
      <c r="E4" s="3" t="s">
        <v>400</v>
      </c>
      <c r="F4" s="1" t="s">
        <v>33</v>
      </c>
      <c r="G4" s="3">
        <v>70000</v>
      </c>
      <c r="H4" s="3" t="s">
        <v>79</v>
      </c>
      <c r="I4" s="3" t="s">
        <v>80</v>
      </c>
      <c r="J4" s="4">
        <v>0.62847222222222221</v>
      </c>
      <c r="K4" s="5">
        <v>0.72361111111111109</v>
      </c>
      <c r="L4" s="4">
        <v>0.47569444444444442</v>
      </c>
      <c r="M4" s="5">
        <v>0.55208333333333337</v>
      </c>
      <c r="N4" s="3" t="s">
        <v>423</v>
      </c>
      <c r="O4" s="3" t="s">
        <v>421</v>
      </c>
      <c r="P4" s="3">
        <v>326</v>
      </c>
      <c r="Q4" s="3">
        <v>190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44742</v>
      </c>
      <c r="B5" s="3" t="s">
        <v>21</v>
      </c>
      <c r="C5" s="3" t="s">
        <v>68</v>
      </c>
      <c r="D5" s="3" t="s">
        <v>29</v>
      </c>
      <c r="E5" s="3" t="s">
        <v>352</v>
      </c>
      <c r="F5" s="1" t="s">
        <v>33</v>
      </c>
      <c r="G5" s="3">
        <v>70000</v>
      </c>
      <c r="H5" s="3" t="s">
        <v>75</v>
      </c>
      <c r="I5" s="3" t="s">
        <v>76</v>
      </c>
      <c r="J5" s="4">
        <v>0.67708333333333337</v>
      </c>
      <c r="K5" s="5">
        <v>0.69652777777777775</v>
      </c>
      <c r="L5" s="4">
        <v>0.48958333333333331</v>
      </c>
      <c r="M5" s="5">
        <v>0.50972222222222219</v>
      </c>
      <c r="N5" s="3" t="s">
        <v>424</v>
      </c>
      <c r="O5" s="3" t="s">
        <v>159</v>
      </c>
      <c r="P5" s="3">
        <v>1144</v>
      </c>
      <c r="Q5" s="3">
        <v>555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44742</v>
      </c>
      <c r="B6" s="3" t="s">
        <v>21</v>
      </c>
      <c r="C6" s="11" t="s">
        <v>71</v>
      </c>
      <c r="D6" s="3" t="s">
        <v>29</v>
      </c>
      <c r="E6" s="3" t="s">
        <v>400</v>
      </c>
      <c r="F6" s="3" t="s">
        <v>33</v>
      </c>
      <c r="G6" s="6">
        <v>70000</v>
      </c>
      <c r="H6" s="11" t="s">
        <v>81</v>
      </c>
      <c r="I6" s="11" t="s">
        <v>82</v>
      </c>
      <c r="J6" s="23">
        <v>0.86805555555555547</v>
      </c>
      <c r="K6" s="24">
        <v>2.4999999999999998E-2</v>
      </c>
      <c r="L6" s="23">
        <v>0.64930555555555558</v>
      </c>
      <c r="M6" s="24">
        <v>0.82152777777777775</v>
      </c>
      <c r="N6" s="3" t="s">
        <v>397</v>
      </c>
      <c r="O6" s="11" t="s">
        <v>102</v>
      </c>
      <c r="P6" s="11">
        <v>830</v>
      </c>
      <c r="Q6" s="11">
        <v>165</v>
      </c>
      <c r="R6" s="11">
        <v>0</v>
      </c>
      <c r="S6" s="11">
        <v>0</v>
      </c>
      <c r="T6" s="11">
        <v>0</v>
      </c>
      <c r="U6" s="11">
        <v>0</v>
      </c>
    </row>
    <row r="7" spans="1:21" x14ac:dyDescent="0.25">
      <c r="A7" s="2">
        <v>44742</v>
      </c>
      <c r="B7" s="3" t="s">
        <v>21</v>
      </c>
      <c r="C7" s="11" t="s">
        <v>72</v>
      </c>
      <c r="D7" s="3" t="s">
        <v>29</v>
      </c>
      <c r="E7" s="3" t="s">
        <v>352</v>
      </c>
      <c r="F7" s="3" t="s">
        <v>33</v>
      </c>
      <c r="G7" s="6">
        <v>70000</v>
      </c>
      <c r="H7" s="11" t="s">
        <v>83</v>
      </c>
      <c r="I7" s="11" t="s">
        <v>84</v>
      </c>
      <c r="J7" s="23">
        <v>0.93402777777777779</v>
      </c>
      <c r="K7" s="24">
        <v>0.9555555555555556</v>
      </c>
      <c r="L7" s="23">
        <v>0.69791666666666663</v>
      </c>
      <c r="M7" s="24">
        <v>0.73333333333333339</v>
      </c>
      <c r="N7" s="3" t="s">
        <v>167</v>
      </c>
      <c r="O7" s="11" t="s">
        <v>422</v>
      </c>
      <c r="P7" s="11">
        <v>1167</v>
      </c>
      <c r="Q7" s="11">
        <v>437</v>
      </c>
      <c r="R7" s="11">
        <v>0</v>
      </c>
      <c r="S7" s="11">
        <v>0</v>
      </c>
      <c r="T7" s="11">
        <v>0</v>
      </c>
      <c r="U7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2022-08-01T13:26:01Z</dcterms:modified>
</cp:coreProperties>
</file>