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3885" windowWidth="14805" windowHeight="4230" tabRatio="819" firstSheet="1" activeTab="28"/>
  </bookViews>
  <sheets>
    <sheet name="01" sheetId="57" r:id="rId1"/>
    <sheet name="02" sheetId="58" r:id="rId2"/>
    <sheet name="03" sheetId="59" r:id="rId3"/>
    <sheet name="04" sheetId="60" r:id="rId4"/>
    <sheet name="05" sheetId="61" r:id="rId5"/>
    <sheet name="06" sheetId="62" r:id="rId6"/>
    <sheet name="08" sheetId="64" r:id="rId7"/>
    <sheet name="09" sheetId="65" r:id="rId8"/>
    <sheet name="10" sheetId="66" r:id="rId9"/>
    <sheet name="11" sheetId="67" r:id="rId10"/>
    <sheet name="12" sheetId="68" r:id="rId11"/>
    <sheet name="13" sheetId="69" r:id="rId12"/>
    <sheet name="14" sheetId="63" r:id="rId13"/>
    <sheet name="15" sheetId="70" r:id="rId14"/>
    <sheet name="16" sheetId="71" r:id="rId15"/>
    <sheet name="17" sheetId="72" r:id="rId16"/>
    <sheet name="18" sheetId="74" r:id="rId17"/>
    <sheet name="19" sheetId="73" r:id="rId18"/>
    <sheet name="20" sheetId="75" r:id="rId19"/>
    <sheet name="21" sheetId="76" r:id="rId20"/>
    <sheet name="22" sheetId="77" r:id="rId21"/>
    <sheet name="23" sheetId="78" r:id="rId22"/>
    <sheet name="24" sheetId="79" r:id="rId23"/>
    <sheet name="25" sheetId="80" r:id="rId24"/>
    <sheet name="26" sheetId="81" r:id="rId25"/>
    <sheet name="27" sheetId="82" r:id="rId26"/>
    <sheet name="28" sheetId="83" r:id="rId27"/>
    <sheet name="29" sheetId="84" r:id="rId28"/>
    <sheet name="30" sheetId="85" r:id="rId29"/>
  </sheets>
  <calcPr calcId="145621"/>
</workbook>
</file>

<file path=xl/calcChain.xml><?xml version="1.0" encoding="utf-8"?>
<calcChain xmlns="http://schemas.openxmlformats.org/spreadsheetml/2006/main">
  <c r="M2" i="83" l="1"/>
  <c r="E7" i="80" l="1"/>
  <c r="E3" i="78" l="1"/>
  <c r="E5" i="74" l="1"/>
  <c r="E4" i="74"/>
  <c r="E7" i="74" s="1"/>
  <c r="E7" i="67" l="1"/>
  <c r="E5" i="67"/>
  <c r="E4" i="67"/>
  <c r="E4" i="61" l="1"/>
  <c r="E5" i="61"/>
  <c r="E7" i="60" l="1"/>
  <c r="E6" i="60"/>
  <c r="E5" i="57" l="1"/>
</calcChain>
</file>

<file path=xl/sharedStrings.xml><?xml version="1.0" encoding="utf-8"?>
<sst xmlns="http://schemas.openxmlformats.org/spreadsheetml/2006/main" count="2286" uniqueCount="464">
  <si>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</si>
  <si>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</si>
  <si>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</si>
  <si>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</si>
  <si>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</si>
  <si>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</si>
  <si>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</si>
  <si>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</si>
  <si>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</si>
  <si>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</si>
  <si>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</si>
  <si>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</si>
  <si>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</si>
  <si>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</si>
  <si>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</si>
  <si>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</si>
  <si>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</si>
  <si>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</si>
  <si>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</si>
  <si>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</si>
  <si>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</si>
  <si>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</si>
  <si>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</si>
  <si>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</si>
  <si>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TZL-DTM-TZL</t>
  </si>
  <si>
    <t>W64298</t>
  </si>
  <si>
    <t>W64297</t>
  </si>
  <si>
    <t>TZL-FDH-TZL</t>
  </si>
  <si>
    <t>W64616</t>
  </si>
  <si>
    <t>W64615</t>
  </si>
  <si>
    <t>TZL-BER-TZL</t>
  </si>
  <si>
    <t>W64276</t>
  </si>
  <si>
    <t>W64275</t>
  </si>
  <si>
    <t>HA-LYE</t>
  </si>
  <si>
    <t>VIE-TZL-VIE</t>
  </si>
  <si>
    <t>HA-LYZ</t>
  </si>
  <si>
    <t>TZL-EIN-TZL</t>
  </si>
  <si>
    <t>HA-LPN</t>
  </si>
  <si>
    <t>RYANAIR</t>
  </si>
  <si>
    <t>W64290</t>
  </si>
  <si>
    <t>W64289</t>
  </si>
  <si>
    <t>9H-LOI</t>
  </si>
  <si>
    <t>FR9933</t>
  </si>
  <si>
    <t>FR9934</t>
  </si>
  <si>
    <t>168+0 INF</t>
  </si>
  <si>
    <t>173+2 INF</t>
  </si>
  <si>
    <t>178+0 INF</t>
  </si>
  <si>
    <t>162+1 INF</t>
  </si>
  <si>
    <t>169+5 INF</t>
  </si>
  <si>
    <t>175+5 INF</t>
  </si>
  <si>
    <t>155+3 INF</t>
  </si>
  <si>
    <t>139+2 IINF</t>
  </si>
  <si>
    <t>163+3 INF</t>
  </si>
  <si>
    <t>168+3 INF</t>
  </si>
  <si>
    <t>TZL-MLH-TZL</t>
  </si>
  <si>
    <t>W64294</t>
  </si>
  <si>
    <t>W64293</t>
  </si>
  <si>
    <t>W64281</t>
  </si>
  <si>
    <t>W64282</t>
  </si>
  <si>
    <t>W64279</t>
  </si>
  <si>
    <t>W64280</t>
  </si>
  <si>
    <t>ARN-TZL-ARN</t>
  </si>
  <si>
    <t>9HVUR</t>
  </si>
  <si>
    <t>FR9777</t>
  </si>
  <si>
    <t>FR9776</t>
  </si>
  <si>
    <t>173+1 INF</t>
  </si>
  <si>
    <t>TZL-NYO-TZL</t>
  </si>
  <si>
    <t>TZL-FMM-TZL</t>
  </si>
  <si>
    <t>130+4 INF</t>
  </si>
  <si>
    <t>156+0 INF</t>
  </si>
  <si>
    <t>179+1 INF</t>
  </si>
  <si>
    <t>101+2 INF</t>
  </si>
  <si>
    <t>138+3 INF</t>
  </si>
  <si>
    <t>145+2 INF</t>
  </si>
  <si>
    <t>139+4 INF</t>
  </si>
  <si>
    <t>TZL-NUE-TZL</t>
  </si>
  <si>
    <t>TZL-MMX-TZL</t>
  </si>
  <si>
    <t>TZL-BSL-TZL</t>
  </si>
  <si>
    <t xml:space="preserve">RYANAIR </t>
  </si>
  <si>
    <t>B737/800</t>
  </si>
  <si>
    <t>VIE-TZL(VIA ZAG)-VIE</t>
  </si>
  <si>
    <t>HALPN</t>
  </si>
  <si>
    <t>HALYZ</t>
  </si>
  <si>
    <t>9H-QEH</t>
  </si>
  <si>
    <t>W64613</t>
  </si>
  <si>
    <t>W64614</t>
  </si>
  <si>
    <t>W64291</t>
  </si>
  <si>
    <t>W64292</t>
  </si>
  <si>
    <t>FR49B</t>
  </si>
  <si>
    <t>EUROSYSTEMS</t>
  </si>
  <si>
    <t>C25B</t>
  </si>
  <si>
    <t>OEGPM</t>
  </si>
  <si>
    <t>GP</t>
  </si>
  <si>
    <t>N/A</t>
  </si>
  <si>
    <t>165+2 INF</t>
  </si>
  <si>
    <t>165+6 INF</t>
  </si>
  <si>
    <t>160+1 INF</t>
  </si>
  <si>
    <t>171+0 INF</t>
  </si>
  <si>
    <t>95+1 INF</t>
  </si>
  <si>
    <t>166+2 INF</t>
  </si>
  <si>
    <t>169+2 INF</t>
  </si>
  <si>
    <t>165+7 INF</t>
  </si>
  <si>
    <t>148+1 INF</t>
  </si>
  <si>
    <t>140+0 INF</t>
  </si>
  <si>
    <t>YU-HOG</t>
  </si>
  <si>
    <t>SANI ECO VITA</t>
  </si>
  <si>
    <t>BEG-TZL-BEG</t>
  </si>
  <si>
    <t>S76</t>
  </si>
  <si>
    <t>YUHOG</t>
  </si>
  <si>
    <t>HELICOPTER</t>
  </si>
  <si>
    <t>TZL-GOT-TZL</t>
  </si>
  <si>
    <t>TZL-CGN-TZL</t>
  </si>
  <si>
    <t>TZL-FKB-TZL</t>
  </si>
  <si>
    <t>W64296</t>
  </si>
  <si>
    <t>W46300</t>
  </si>
  <si>
    <t>W64618</t>
  </si>
  <si>
    <t>W64295</t>
  </si>
  <si>
    <t>W64299</t>
  </si>
  <si>
    <t>W64617</t>
  </si>
  <si>
    <t>W64285</t>
  </si>
  <si>
    <t>TZL-VIE-TZL</t>
  </si>
  <si>
    <t>9H-QDQ</t>
  </si>
  <si>
    <t>TZL-HHN-TZL</t>
  </si>
  <si>
    <t>FMM-TZL-FMM</t>
  </si>
  <si>
    <t>B738</t>
  </si>
  <si>
    <t>W64284</t>
  </si>
  <si>
    <t>W64283</t>
  </si>
  <si>
    <t>FR9774</t>
  </si>
  <si>
    <t>FR9775</t>
  </si>
  <si>
    <t>177+3 INF</t>
  </si>
  <si>
    <t>159+2 INF</t>
  </si>
  <si>
    <t>161+2 INF</t>
  </si>
  <si>
    <t>169+1 INF</t>
  </si>
  <si>
    <t>130+5 INF</t>
  </si>
  <si>
    <t>122+4 INF</t>
  </si>
  <si>
    <t>90+1 INF</t>
  </si>
  <si>
    <t>164+0 INF</t>
  </si>
  <si>
    <t>178+8 INF</t>
  </si>
  <si>
    <t>121+4 INF</t>
  </si>
  <si>
    <t>144+2 INF</t>
  </si>
  <si>
    <t>PEGASUS AIRLINES</t>
  </si>
  <si>
    <t>A320N</t>
  </si>
  <si>
    <t>TC-NCR</t>
  </si>
  <si>
    <t>INT.NON-SCH</t>
  </si>
  <si>
    <t>PC291</t>
  </si>
  <si>
    <t>170+3 INF</t>
  </si>
  <si>
    <t>161+6 INF</t>
  </si>
  <si>
    <t>162+3 INF</t>
  </si>
  <si>
    <t>SAW-TZL-SAW</t>
  </si>
  <si>
    <t>180+4 INF</t>
  </si>
  <si>
    <t>160+3 INF</t>
  </si>
  <si>
    <t>9H-IBJ</t>
  </si>
  <si>
    <t>173+3 INF</t>
  </si>
  <si>
    <t>REDSTAR AVIATION</t>
  </si>
  <si>
    <t>ZAG-TZL-ISL</t>
  </si>
  <si>
    <t>LJ45</t>
  </si>
  <si>
    <t>TC-RSD</t>
  </si>
  <si>
    <t>MEDEVAC</t>
  </si>
  <si>
    <t>RHH025</t>
  </si>
  <si>
    <t>RHH026</t>
  </si>
  <si>
    <t>170+5 INF</t>
  </si>
  <si>
    <t>173+4 INF</t>
  </si>
  <si>
    <t>144+5 INF</t>
  </si>
  <si>
    <t>155+0 INF</t>
  </si>
  <si>
    <t>141+1 INF</t>
  </si>
  <si>
    <t>172+5 INF</t>
  </si>
  <si>
    <t>140+2 INF</t>
  </si>
  <si>
    <t>129+1 INF</t>
  </si>
  <si>
    <t>HA-LYH</t>
  </si>
  <si>
    <t>160+7 INF</t>
  </si>
  <si>
    <t>66+1 INF</t>
  </si>
  <si>
    <t>187+3 INF</t>
  </si>
  <si>
    <t>98+2 INF</t>
  </si>
  <si>
    <t>136+5 INF</t>
  </si>
  <si>
    <t>158+5 INF</t>
  </si>
  <si>
    <t>169+4 INF</t>
  </si>
  <si>
    <t>146+1 INF</t>
  </si>
  <si>
    <t>152+2 INF</t>
  </si>
  <si>
    <t>173+0 INF</t>
  </si>
  <si>
    <t>162+2 INF</t>
  </si>
  <si>
    <t>115+0 INF</t>
  </si>
  <si>
    <t>HALPN/HALYB</t>
  </si>
  <si>
    <t>HALYH</t>
  </si>
  <si>
    <t>HALYB</t>
  </si>
  <si>
    <t>9HIHH</t>
  </si>
  <si>
    <t>172+3 INF</t>
  </si>
  <si>
    <t>170+1 INF</t>
  </si>
  <si>
    <t>138+1 INF</t>
  </si>
  <si>
    <t>MUP RS</t>
  </si>
  <si>
    <t>LQBZ-TZL-LQBZ</t>
  </si>
  <si>
    <t>E7-MUP</t>
  </si>
  <si>
    <t>ANST</t>
  </si>
  <si>
    <t>128+4 INF</t>
  </si>
  <si>
    <t>114+4 INF</t>
  </si>
  <si>
    <t>157+2 INF</t>
  </si>
  <si>
    <t xml:space="preserve"> 52+1 INF</t>
  </si>
  <si>
    <t>147+2 INF</t>
  </si>
  <si>
    <t>146+0 INF</t>
  </si>
  <si>
    <t>169+8 INF</t>
  </si>
  <si>
    <t>170+ 5 INF</t>
  </si>
  <si>
    <t>138+2 INF</t>
  </si>
  <si>
    <t>71+ 0 INF</t>
  </si>
  <si>
    <t>134+2 INF</t>
  </si>
  <si>
    <t>165+1 INF</t>
  </si>
  <si>
    <t>161+5 INF</t>
  </si>
  <si>
    <t>77+0 INF</t>
  </si>
  <si>
    <t>111+4 INF</t>
  </si>
  <si>
    <t>HA-LPN/HA-LWL</t>
  </si>
  <si>
    <t>HA-LWL</t>
  </si>
  <si>
    <t>177+0 INF</t>
  </si>
  <si>
    <t>9H-QBK</t>
  </si>
  <si>
    <t>138+4 INF</t>
  </si>
  <si>
    <t>138+ 2 INF</t>
  </si>
  <si>
    <t>160+6 INF</t>
  </si>
  <si>
    <t>114+2 INF</t>
  </si>
  <si>
    <t>143+3 INF</t>
  </si>
  <si>
    <t>148+4 INF</t>
  </si>
  <si>
    <t>157+3 INF</t>
  </si>
  <si>
    <t>163+2 INF</t>
  </si>
  <si>
    <t>153+0 INF</t>
  </si>
  <si>
    <t>144+0 INF</t>
  </si>
  <si>
    <t>111+1 INF</t>
  </si>
  <si>
    <t>9HQBG</t>
  </si>
  <si>
    <t>BEG-TZL-TJENTISTE</t>
  </si>
  <si>
    <t>S-76</t>
  </si>
  <si>
    <t>GEN.AVI</t>
  </si>
  <si>
    <t>4+0 INF</t>
  </si>
  <si>
    <t>98+1 INF</t>
  </si>
  <si>
    <t>153+2 INF</t>
  </si>
  <si>
    <t>162+8 INF</t>
  </si>
  <si>
    <t>173+5 INF</t>
  </si>
  <si>
    <t>180+7 INF</t>
  </si>
  <si>
    <t>175+2 INF</t>
  </si>
  <si>
    <t>131+2 INF</t>
  </si>
  <si>
    <t>168+5 INF</t>
  </si>
  <si>
    <t xml:space="preserve"> 165+4 INF</t>
  </si>
  <si>
    <t>159+1 INF</t>
  </si>
  <si>
    <t>9H-LMG</t>
  </si>
  <si>
    <t>154+2 INF</t>
  </si>
  <si>
    <t>97+3 INF</t>
  </si>
  <si>
    <t>154+3 INF</t>
  </si>
  <si>
    <t>155+2 INF</t>
  </si>
  <si>
    <t>171+3 INF</t>
  </si>
  <si>
    <t>153+3 INF</t>
  </si>
  <si>
    <t>163+6 INF</t>
  </si>
  <si>
    <t>99+1 INF</t>
  </si>
  <si>
    <t xml:space="preserve"> 136+2 INF</t>
  </si>
  <si>
    <t>9HVUK</t>
  </si>
  <si>
    <t>137+2 INF</t>
  </si>
  <si>
    <t>170+2 INF</t>
  </si>
  <si>
    <t>139+2 INF</t>
  </si>
  <si>
    <t>163+4 INF</t>
  </si>
  <si>
    <t>107+3 INF</t>
  </si>
  <si>
    <t>54+0 INF</t>
  </si>
  <si>
    <t>9H-QBG</t>
  </si>
  <si>
    <t>B737-800</t>
  </si>
  <si>
    <t>HA-LYG</t>
  </si>
  <si>
    <t>BUD-TZL-BUD</t>
  </si>
  <si>
    <t>FERRY IN/OUT</t>
  </si>
  <si>
    <t>W6802</t>
  </si>
  <si>
    <t>W6803</t>
  </si>
  <si>
    <t>177+ 3 INF</t>
  </si>
  <si>
    <t>147+4 INF</t>
  </si>
  <si>
    <t>113+0 INF</t>
  </si>
  <si>
    <t>140+4 INF</t>
  </si>
  <si>
    <t>102+3 INF</t>
  </si>
  <si>
    <t>159+8 INF</t>
  </si>
  <si>
    <t>88+3 INF</t>
  </si>
  <si>
    <t xml:space="preserve"> 170+6 INF</t>
  </si>
  <si>
    <t>DIV  TO BEG</t>
  </si>
  <si>
    <t>BEG-TZL</t>
  </si>
  <si>
    <t xml:space="preserve">HA-LYH </t>
  </si>
  <si>
    <t>TIA-TZL-TIA</t>
  </si>
  <si>
    <t>-</t>
  </si>
  <si>
    <t>W6804</t>
  </si>
  <si>
    <t>170+4 INF</t>
  </si>
  <si>
    <t>82+1 INF</t>
  </si>
  <si>
    <t>9H-LOR</t>
  </si>
  <si>
    <t>164+1INF</t>
  </si>
  <si>
    <t>148+5 INF</t>
  </si>
  <si>
    <t>137+4 INF</t>
  </si>
  <si>
    <t xml:space="preserve"> 175+2 INF</t>
  </si>
  <si>
    <t>153+ 1 INF</t>
  </si>
  <si>
    <t>DIV TO BEG</t>
  </si>
  <si>
    <t>B737</t>
  </si>
  <si>
    <t>9H-VUK</t>
  </si>
  <si>
    <t>163+1 INF</t>
  </si>
  <si>
    <t>63+3 INF</t>
  </si>
  <si>
    <t>91+1 INF</t>
  </si>
  <si>
    <t>167+4 INF</t>
  </si>
  <si>
    <t>SVPG</t>
  </si>
  <si>
    <t>TZL-PRN</t>
  </si>
  <si>
    <t>C10T</t>
  </si>
  <si>
    <t>D-EMDT</t>
  </si>
  <si>
    <t>GA PRIVATE</t>
  </si>
  <si>
    <t>ROP</t>
  </si>
  <si>
    <t>2+0 INF</t>
  </si>
  <si>
    <t>ROBERT LAHNSTEINER</t>
  </si>
  <si>
    <t>LNZ-TZL</t>
  </si>
  <si>
    <t>DA42</t>
  </si>
  <si>
    <t>OE-FAR</t>
  </si>
  <si>
    <t>GEN.PVT.</t>
  </si>
  <si>
    <t>64+0 INF</t>
  </si>
  <si>
    <t>161+8 INF</t>
  </si>
  <si>
    <t>123+3 INF</t>
  </si>
  <si>
    <t>111+0 INF</t>
  </si>
  <si>
    <t>172+1 INF</t>
  </si>
  <si>
    <t>9H-QDS</t>
  </si>
  <si>
    <t>150+3 INF</t>
  </si>
  <si>
    <t>140+3 INF</t>
  </si>
  <si>
    <t>TZL-LNZ</t>
  </si>
  <si>
    <t>126+4 INF</t>
  </si>
  <si>
    <t>121+0 INF</t>
  </si>
  <si>
    <t>143+4 INF</t>
  </si>
  <si>
    <t>F-HLRS</t>
  </si>
  <si>
    <t>3+0 INF</t>
  </si>
  <si>
    <t>142+1 INF</t>
  </si>
  <si>
    <t>LUXWING LTD</t>
  </si>
  <si>
    <t>LJU-TZL</t>
  </si>
  <si>
    <t>PHENOM 300</t>
  </si>
  <si>
    <t>177+2 INF</t>
  </si>
  <si>
    <t>175+3 INF</t>
  </si>
  <si>
    <t>162+ 1 INF</t>
  </si>
  <si>
    <t>166+1 INF</t>
  </si>
  <si>
    <t>164+4 INF</t>
  </si>
  <si>
    <t>142+8 INF</t>
  </si>
  <si>
    <t>111+2 INF</t>
  </si>
  <si>
    <t>146+4 INF</t>
  </si>
  <si>
    <t>131+1 INF</t>
  </si>
  <si>
    <t>167+6 INF</t>
  </si>
  <si>
    <t>157+0 INF</t>
  </si>
  <si>
    <t>LUXWING</t>
  </si>
  <si>
    <t>TZL-LFBH</t>
  </si>
  <si>
    <t>PHENOM 30</t>
  </si>
  <si>
    <t>CF</t>
  </si>
  <si>
    <t>133+1 INF</t>
  </si>
  <si>
    <t>160+5 INF</t>
  </si>
  <si>
    <t>156+3 INF</t>
  </si>
  <si>
    <t>149+1 INF</t>
  </si>
  <si>
    <t>140+6 INF</t>
  </si>
  <si>
    <t>154+1 INF</t>
  </si>
  <si>
    <t>9H-LOM</t>
  </si>
  <si>
    <t>149+3 INF</t>
  </si>
  <si>
    <t>152+1 INF</t>
  </si>
  <si>
    <t xml:space="preserve"> 177+4 INF</t>
  </si>
  <si>
    <t>159+1  INF</t>
  </si>
  <si>
    <t>160+2 INF</t>
  </si>
  <si>
    <t>9HVUO</t>
  </si>
  <si>
    <t>HA-LPL</t>
  </si>
  <si>
    <t>170+0 INF</t>
  </si>
  <si>
    <t>71+0 INF</t>
  </si>
  <si>
    <t>129+3 INF</t>
  </si>
  <si>
    <t>128+3 INF</t>
  </si>
  <si>
    <t>174+1 INF</t>
  </si>
  <si>
    <t>151+1 INF</t>
  </si>
  <si>
    <t>172+2 INF</t>
  </si>
  <si>
    <t>132+4 INF</t>
  </si>
  <si>
    <t>137+3 INF</t>
  </si>
  <si>
    <t>153+1 INF</t>
  </si>
  <si>
    <t>135+3 INF</t>
  </si>
  <si>
    <t>142+3 INF</t>
  </si>
  <si>
    <t>124+4 INF</t>
  </si>
  <si>
    <t>88+1 INF</t>
  </si>
  <si>
    <t>147+1 INF</t>
  </si>
  <si>
    <t>174+2 INF</t>
  </si>
  <si>
    <t>141+2 INF</t>
  </si>
  <si>
    <t>179+5 INF</t>
  </si>
  <si>
    <t>167+1 INF</t>
  </si>
  <si>
    <t>127+3 INF</t>
  </si>
  <si>
    <t>9H-LON</t>
  </si>
  <si>
    <t>120+1 INF</t>
  </si>
  <si>
    <t>74+4 INF</t>
  </si>
  <si>
    <t>149+4 INF</t>
  </si>
  <si>
    <t>KTW-TZL-BUD</t>
  </si>
  <si>
    <t>FLY-COOP LTD</t>
  </si>
  <si>
    <t>BE40</t>
  </si>
  <si>
    <t>FCA4FK</t>
  </si>
  <si>
    <t>FCA3FK</t>
  </si>
  <si>
    <t>HA-YFK</t>
  </si>
  <si>
    <t>168+2 INF</t>
  </si>
  <si>
    <t>B38M</t>
  </si>
  <si>
    <t>9H-VUM</t>
  </si>
  <si>
    <t>78+0 INF</t>
  </si>
  <si>
    <t>82+2 INF</t>
  </si>
  <si>
    <t>104+2 INF</t>
  </si>
  <si>
    <t>151+4 INF</t>
  </si>
  <si>
    <t>74+1 INF</t>
  </si>
  <si>
    <t>9H-QAF</t>
  </si>
  <si>
    <t>180+0 INF</t>
  </si>
  <si>
    <t>96+3 INF</t>
  </si>
  <si>
    <t>THEOPHIL SERVICES GMBH &amp; CO KG</t>
  </si>
  <si>
    <t>QEW-TZL-QEW</t>
  </si>
  <si>
    <t>PC12</t>
  </si>
  <si>
    <t>OE-EFL</t>
  </si>
  <si>
    <t>INTNON.SCHEDULED</t>
  </si>
  <si>
    <t>OEEFL</t>
  </si>
  <si>
    <t>SVP GMBH</t>
  </si>
  <si>
    <t>TIV-ZQC</t>
  </si>
  <si>
    <t>GA</t>
  </si>
  <si>
    <t>131+7 INF</t>
  </si>
  <si>
    <t>177+1 INF</t>
  </si>
  <si>
    <t>154+0 INF</t>
  </si>
  <si>
    <t>HA-LYT</t>
  </si>
  <si>
    <t>SOF-TZL-SOF</t>
  </si>
  <si>
    <t>W6801</t>
  </si>
  <si>
    <t>171+4 INF</t>
  </si>
  <si>
    <t>115+4 INF</t>
  </si>
  <si>
    <t>167+8 INF</t>
  </si>
  <si>
    <t>ICAR AIR</t>
  </si>
  <si>
    <t>ZAG-(SJJ)-TZL</t>
  </si>
  <si>
    <t>L410</t>
  </si>
  <si>
    <t>E7-MEL</t>
  </si>
  <si>
    <t>DIVERTED</t>
  </si>
  <si>
    <t>RAC9002</t>
  </si>
  <si>
    <t>RAC9004</t>
  </si>
  <si>
    <t>LZ-CCS</t>
  </si>
  <si>
    <t>134+3 INF</t>
  </si>
  <si>
    <t>114+0 INF</t>
  </si>
  <si>
    <t>155+1 INF</t>
  </si>
  <si>
    <t>137+0 INF</t>
  </si>
  <si>
    <t>147+0 INF</t>
  </si>
  <si>
    <t>166+4 INF</t>
  </si>
  <si>
    <t>TZL-SJJ</t>
  </si>
  <si>
    <t>E7MEL</t>
  </si>
  <si>
    <t>LZCCS</t>
  </si>
  <si>
    <t>TECHNICAL FLIGHT</t>
  </si>
  <si>
    <t>RON</t>
  </si>
  <si>
    <t>172+4 INF</t>
  </si>
  <si>
    <t>174+3 INF</t>
  </si>
  <si>
    <t>117+5 INF</t>
  </si>
  <si>
    <t>148+2 INF</t>
  </si>
  <si>
    <t>9H-LMT</t>
  </si>
  <si>
    <t>167+5 INF</t>
  </si>
  <si>
    <t>150+0 INF</t>
  </si>
  <si>
    <t>102+0 INF</t>
  </si>
  <si>
    <t>81+2 INF</t>
  </si>
  <si>
    <t>156+2 INF</t>
  </si>
  <si>
    <t>146+3 INF</t>
  </si>
  <si>
    <t>158+4 INF</t>
  </si>
  <si>
    <t>159+0 INF</t>
  </si>
  <si>
    <t>161+3 INF</t>
  </si>
  <si>
    <t xml:space="preserve">157+2 INF  </t>
  </si>
  <si>
    <t>84+1 INF</t>
  </si>
  <si>
    <t>158+2 INF</t>
  </si>
  <si>
    <t>167+3 INF</t>
  </si>
  <si>
    <t>131+3 INF</t>
  </si>
  <si>
    <t>9H-QAJ</t>
  </si>
  <si>
    <t>116+2 INF</t>
  </si>
  <si>
    <t>135+1 INF</t>
  </si>
  <si>
    <t>161+1 INF</t>
  </si>
  <si>
    <t>152+3 INF</t>
  </si>
  <si>
    <t>170+8 INF</t>
  </si>
  <si>
    <t>9H-LOW</t>
  </si>
  <si>
    <t>TECHNICAL</t>
  </si>
  <si>
    <t>89+3 INF</t>
  </si>
  <si>
    <t>68+1 INF</t>
  </si>
  <si>
    <t>151+5 INF</t>
  </si>
  <si>
    <t>115+1 INF</t>
  </si>
  <si>
    <t>9H-VUG</t>
  </si>
  <si>
    <t>76+0 INF</t>
  </si>
  <si>
    <t>60+2 INF</t>
  </si>
  <si>
    <t>53+0 INF</t>
  </si>
  <si>
    <t>97+2 INF</t>
  </si>
  <si>
    <t>151+6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</si>
</sst>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4" fontId="0" fillId="0" borderId="0" xfId="0" applyNumberFormat="1"/>
    <xf numFmtId="3" fontId="3" fillId="0" borderId="0" xfId="0" applyNumberFormat="1" applyFont="1" applyAlignment="1">
      <alignment horizont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G28" sqref="G28"/>
    </sheetView>
  </sheetViews>
  <sheetFormatPr defaultRowHeight="15" x14ac:dyDescent="0.25"/>
  <cols>
    <col min="1" max="1" width="10.140625" bestFit="1" customWidth="1"/>
    <col min="2" max="2" width="15.28515625" customWidth="1"/>
    <col min="3" max="3" width="14" customWidth="1"/>
    <col min="6" max="6" width="12.7109375" customWidth="1"/>
    <col min="14" max="14" width="9.570312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44866</v>
      </c>
      <c r="B2" s="3" t="s">
        <v>21</v>
      </c>
      <c r="C2" s="3" t="s">
        <v>24</v>
      </c>
      <c r="D2" s="3" t="s">
        <v>22</v>
      </c>
      <c r="E2" s="3" t="s">
        <v>33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0.4826388888888889</v>
      </c>
      <c r="L2" s="4">
        <v>0.27777777777777779</v>
      </c>
      <c r="M2" s="5">
        <v>0.28819444444444448</v>
      </c>
      <c r="N2" s="3" t="s">
        <v>45</v>
      </c>
      <c r="O2" s="3" t="s">
        <v>44</v>
      </c>
      <c r="P2" s="3">
        <v>805</v>
      </c>
      <c r="Q2" s="3">
        <v>812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44866</v>
      </c>
      <c r="B3" s="3" t="s">
        <v>21</v>
      </c>
      <c r="C3" s="3" t="s">
        <v>36</v>
      </c>
      <c r="D3" s="3" t="s">
        <v>22</v>
      </c>
      <c r="E3" s="3" t="s">
        <v>35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0.50347222222222221</v>
      </c>
      <c r="L3" s="4">
        <v>0.30555555555555552</v>
      </c>
      <c r="M3" s="5">
        <v>0.31041666666666667</v>
      </c>
      <c r="N3" s="3" t="s">
        <v>47</v>
      </c>
      <c r="O3" s="3" t="s">
        <v>46</v>
      </c>
      <c r="P3" s="3">
        <v>1098</v>
      </c>
      <c r="Q3" s="3">
        <v>727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44866</v>
      </c>
      <c r="B4" s="3" t="s">
        <v>21</v>
      </c>
      <c r="C4" s="3" t="s">
        <v>27</v>
      </c>
      <c r="D4" s="3" t="s">
        <v>22</v>
      </c>
      <c r="E4" s="3" t="s">
        <v>37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0.68472222222222223</v>
      </c>
      <c r="L4" s="4">
        <v>0.52430555555555558</v>
      </c>
      <c r="M4" s="5">
        <v>0.53125</v>
      </c>
      <c r="N4" s="3" t="s">
        <v>50</v>
      </c>
      <c r="O4" s="3" t="s">
        <v>48</v>
      </c>
      <c r="P4" s="3">
        <v>458</v>
      </c>
      <c r="Q4" s="3">
        <v>645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44866</v>
      </c>
      <c r="B5" s="3" t="s">
        <v>21</v>
      </c>
      <c r="C5" s="3" t="s">
        <v>30</v>
      </c>
      <c r="D5" s="3" t="s">
        <v>22</v>
      </c>
      <c r="E5" s="3" t="str">
        <f>E3</f>
        <v>HA-LYZ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0.71527777777777779</v>
      </c>
      <c r="L5" s="4">
        <v>0.54166666666666663</v>
      </c>
      <c r="M5" s="5">
        <v>0.55625000000000002</v>
      </c>
      <c r="N5" s="3" t="s">
        <v>53</v>
      </c>
      <c r="O5" s="3" t="s">
        <v>49</v>
      </c>
      <c r="P5" s="3">
        <v>958</v>
      </c>
      <c r="Q5" s="3">
        <v>1019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44866</v>
      </c>
      <c r="B6" s="3" t="s">
        <v>38</v>
      </c>
      <c r="C6" s="3" t="s">
        <v>34</v>
      </c>
      <c r="D6" s="3" t="s">
        <v>22</v>
      </c>
      <c r="E6" s="3" t="s">
        <v>41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0.6875</v>
      </c>
      <c r="K6" s="5">
        <v>0.67291666666666661</v>
      </c>
      <c r="L6" s="4">
        <v>0.70486111111111116</v>
      </c>
      <c r="M6" s="5">
        <v>0.7090277777777777</v>
      </c>
      <c r="N6" s="3" t="s">
        <v>51</v>
      </c>
      <c r="O6" s="3" t="s">
        <v>52</v>
      </c>
      <c r="P6" s="3">
        <v>143</v>
      </c>
      <c r="Q6" s="3">
        <v>364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2"/>
      <c r="B7" s="3"/>
      <c r="C7" s="3"/>
      <c r="D7" s="3"/>
      <c r="E7" s="3"/>
      <c r="F7" s="3"/>
      <c r="G7" s="9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I25" sqref="I25"/>
    </sheetView>
  </sheetViews>
  <sheetFormatPr defaultRowHeight="15" x14ac:dyDescent="0.25"/>
  <cols>
    <col min="3" max="3" width="13.42578125" bestFit="1" customWidth="1"/>
    <col min="6" max="6" width="12.140625" bestFit="1" customWidth="1"/>
    <col min="8" max="9" width="9.7109375" bestFit="1" customWidth="1"/>
    <col min="14" max="14" width="10.7109375" customWidth="1"/>
    <col min="15" max="15" width="11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44867</v>
      </c>
      <c r="B2" s="3" t="s">
        <v>21</v>
      </c>
      <c r="C2" s="3" t="s">
        <v>54</v>
      </c>
      <c r="D2" s="3" t="s">
        <v>22</v>
      </c>
      <c r="E2" s="3" t="s">
        <v>35</v>
      </c>
      <c r="F2" s="1" t="s">
        <v>23</v>
      </c>
      <c r="G2" s="9">
        <v>70000</v>
      </c>
      <c r="H2" s="3" t="s">
        <v>55</v>
      </c>
      <c r="I2" s="3" t="s">
        <v>56</v>
      </c>
      <c r="J2" s="4">
        <v>0.51041666666666663</v>
      </c>
      <c r="K2" s="5">
        <v>0.50138888888888888</v>
      </c>
      <c r="L2" s="4">
        <v>0.34027777777777773</v>
      </c>
      <c r="M2" s="5">
        <v>0.34027777777777773</v>
      </c>
      <c r="N2" s="3" t="s">
        <v>68</v>
      </c>
      <c r="O2" s="3" t="s">
        <v>65</v>
      </c>
      <c r="P2" s="3">
        <v>646</v>
      </c>
      <c r="Q2" s="3">
        <v>635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44867</v>
      </c>
      <c r="B3" s="3" t="s">
        <v>21</v>
      </c>
      <c r="C3" s="3" t="s">
        <v>66</v>
      </c>
      <c r="D3" s="3" t="s">
        <v>22</v>
      </c>
      <c r="E3" s="3" t="s">
        <v>37</v>
      </c>
      <c r="F3" s="3" t="s">
        <v>23</v>
      </c>
      <c r="G3" s="9">
        <v>70000</v>
      </c>
      <c r="H3" s="3" t="s">
        <v>58</v>
      </c>
      <c r="I3" s="3" t="s">
        <v>57</v>
      </c>
      <c r="J3" s="4">
        <v>0.92013888888888884</v>
      </c>
      <c r="K3" s="5">
        <v>0.90277777777777779</v>
      </c>
      <c r="L3" s="4">
        <v>0.68055555555555547</v>
      </c>
      <c r="M3" s="5">
        <v>0.68680555555555556</v>
      </c>
      <c r="N3" s="3" t="s">
        <v>73</v>
      </c>
      <c r="O3" s="3" t="s">
        <v>69</v>
      </c>
      <c r="P3" s="3">
        <v>480</v>
      </c>
      <c r="Q3" s="3">
        <v>1040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44867</v>
      </c>
      <c r="B4" s="3" t="s">
        <v>21</v>
      </c>
      <c r="C4" s="3" t="s">
        <v>67</v>
      </c>
      <c r="D4" s="3" t="s">
        <v>22</v>
      </c>
      <c r="E4" s="3" t="s">
        <v>35</v>
      </c>
      <c r="F4" s="3" t="s">
        <v>23</v>
      </c>
      <c r="G4" s="9">
        <v>70000</v>
      </c>
      <c r="H4" s="3" t="s">
        <v>60</v>
      </c>
      <c r="I4" s="3" t="s">
        <v>59</v>
      </c>
      <c r="J4" s="4">
        <v>0.86111111111111116</v>
      </c>
      <c r="K4" s="5">
        <v>0.85625000000000007</v>
      </c>
      <c r="L4" s="4">
        <v>0.70486111111111116</v>
      </c>
      <c r="M4" s="5">
        <v>0.72777777777777775</v>
      </c>
      <c r="N4" s="3" t="s">
        <v>74</v>
      </c>
      <c r="O4" s="3" t="s">
        <v>70</v>
      </c>
      <c r="P4" s="3">
        <v>530</v>
      </c>
      <c r="Q4" s="3">
        <v>570</v>
      </c>
      <c r="R4" s="3">
        <v>0</v>
      </c>
      <c r="S4" s="3">
        <v>0</v>
      </c>
      <c r="T4" s="3">
        <v>0</v>
      </c>
      <c r="U4" s="3">
        <v>0</v>
      </c>
    </row>
    <row r="5" spans="1:21" s="3" customFormat="1" ht="12.75" x14ac:dyDescent="0.25">
      <c r="A5" s="2">
        <v>44867</v>
      </c>
      <c r="B5" s="3" t="s">
        <v>38</v>
      </c>
      <c r="C5" s="3" t="s">
        <v>61</v>
      </c>
      <c r="D5" s="3" t="s">
        <v>22</v>
      </c>
      <c r="E5" s="3" t="s">
        <v>62</v>
      </c>
      <c r="F5" s="3" t="s">
        <v>23</v>
      </c>
      <c r="G5" s="9">
        <v>70000</v>
      </c>
      <c r="H5" s="3" t="s">
        <v>64</v>
      </c>
      <c r="I5" s="3" t="s">
        <v>63</v>
      </c>
      <c r="J5" s="4">
        <v>0.38541666666666669</v>
      </c>
      <c r="K5" s="5">
        <v>0.39097222222222222</v>
      </c>
      <c r="L5" s="4">
        <v>0.40277777777777773</v>
      </c>
      <c r="M5" s="5">
        <v>0.43263888888888885</v>
      </c>
      <c r="N5" s="3" t="s">
        <v>72</v>
      </c>
      <c r="O5" s="3" t="s">
        <v>71</v>
      </c>
      <c r="P5" s="3">
        <v>416</v>
      </c>
      <c r="Q5" s="3">
        <v>312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/>
      <c r="G6" s="9"/>
      <c r="J6" s="4"/>
      <c r="K6" s="5"/>
      <c r="L6" s="4"/>
      <c r="M6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C7" sqref="C7"/>
    </sheetView>
  </sheetViews>
  <sheetFormatPr defaultRowHeight="15" x14ac:dyDescent="0.25"/>
  <cols>
    <col min="1" max="1" width="10.140625" bestFit="1" customWidth="1"/>
    <col min="2" max="2" width="14.140625" bestFit="1" customWidth="1"/>
    <col min="3" max="3" width="13.5703125" bestFit="1" customWidth="1"/>
    <col min="6" max="6" width="12.140625" bestFit="1" customWidth="1"/>
    <col min="10" max="10" width="11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44868</v>
      </c>
      <c r="B2" s="3" t="s">
        <v>21</v>
      </c>
      <c r="C2" s="3" t="s">
        <v>24</v>
      </c>
      <c r="D2" s="3" t="s">
        <v>22</v>
      </c>
      <c r="E2" s="3" t="s">
        <v>81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0.50416666666666665</v>
      </c>
      <c r="L2" s="4">
        <v>0.27777777777777779</v>
      </c>
      <c r="M2" s="5">
        <v>0.50416666666666665</v>
      </c>
      <c r="N2" s="3" t="s">
        <v>97</v>
      </c>
      <c r="O2" s="3" t="s">
        <v>94</v>
      </c>
      <c r="P2" s="3">
        <v>754</v>
      </c>
      <c r="Q2" s="3">
        <v>631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44868</v>
      </c>
      <c r="B3" s="3" t="s">
        <v>21</v>
      </c>
      <c r="C3" s="3" t="s">
        <v>75</v>
      </c>
      <c r="D3" s="3" t="s">
        <v>22</v>
      </c>
      <c r="E3" s="3" t="s">
        <v>82</v>
      </c>
      <c r="F3" s="3" t="s">
        <v>23</v>
      </c>
      <c r="G3" s="9">
        <v>70000</v>
      </c>
      <c r="H3" s="3" t="s">
        <v>85</v>
      </c>
      <c r="I3" s="3" t="s">
        <v>84</v>
      </c>
      <c r="J3" s="4">
        <v>0.4861111111111111</v>
      </c>
      <c r="K3" s="5">
        <v>0.4777777777777778</v>
      </c>
      <c r="L3" s="4">
        <v>0.3298611111111111</v>
      </c>
      <c r="M3" s="5">
        <v>0.4777777777777778</v>
      </c>
      <c r="N3" s="3" t="s">
        <v>98</v>
      </c>
      <c r="O3" s="3" t="s">
        <v>95</v>
      </c>
      <c r="P3" s="3">
        <v>259</v>
      </c>
      <c r="Q3" s="3">
        <v>393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44868</v>
      </c>
      <c r="B4" s="3" t="s">
        <v>21</v>
      </c>
      <c r="C4" s="3" t="s">
        <v>67</v>
      </c>
      <c r="D4" s="3" t="s">
        <v>22</v>
      </c>
      <c r="E4" s="3" t="s">
        <v>82</v>
      </c>
      <c r="F4" s="3" t="s">
        <v>23</v>
      </c>
      <c r="G4" s="9">
        <v>70000</v>
      </c>
      <c r="H4" s="3" t="s">
        <v>60</v>
      </c>
      <c r="I4" s="3" t="s">
        <v>59</v>
      </c>
      <c r="J4" s="4">
        <v>0.66666666666666663</v>
      </c>
      <c r="K4" s="5">
        <v>0.64861111111111114</v>
      </c>
      <c r="L4" s="4">
        <v>0.51041666666666663</v>
      </c>
      <c r="M4" s="5">
        <v>0.50972222222222219</v>
      </c>
      <c r="N4" s="3" t="s">
        <v>74</v>
      </c>
      <c r="O4" s="3" t="s">
        <v>101</v>
      </c>
      <c r="P4" s="3">
        <v>754</v>
      </c>
      <c r="Q4" s="3">
        <v>631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44868</v>
      </c>
      <c r="B5" s="3" t="s">
        <v>21</v>
      </c>
      <c r="C5" s="3" t="s">
        <v>76</v>
      </c>
      <c r="D5" s="3" t="s">
        <v>22</v>
      </c>
      <c r="E5" s="3" t="s">
        <v>81</v>
      </c>
      <c r="F5" s="3" t="s">
        <v>23</v>
      </c>
      <c r="G5" s="9">
        <v>70000</v>
      </c>
      <c r="H5" s="3" t="s">
        <v>87</v>
      </c>
      <c r="I5" s="3" t="s">
        <v>86</v>
      </c>
      <c r="J5" s="4">
        <v>0.91319444444444453</v>
      </c>
      <c r="K5" s="5">
        <v>0.95138888888888884</v>
      </c>
      <c r="L5" s="4">
        <v>0.70486111111111116</v>
      </c>
      <c r="M5" s="5">
        <v>0.7583333333333333</v>
      </c>
      <c r="N5" s="3" t="s">
        <v>103</v>
      </c>
      <c r="O5" s="3" t="s">
        <v>99</v>
      </c>
      <c r="P5" s="3">
        <v>659</v>
      </c>
      <c r="Q5" s="3">
        <v>1048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44868</v>
      </c>
      <c r="B6" s="3" t="s">
        <v>21</v>
      </c>
      <c r="C6" s="3" t="s">
        <v>77</v>
      </c>
      <c r="D6" s="3" t="s">
        <v>22</v>
      </c>
      <c r="E6" s="3" t="s">
        <v>82</v>
      </c>
      <c r="F6" s="3" t="s">
        <v>23</v>
      </c>
      <c r="G6" s="9">
        <v>70000</v>
      </c>
      <c r="H6" s="3" t="s">
        <v>55</v>
      </c>
      <c r="I6" s="3" t="s">
        <v>56</v>
      </c>
      <c r="J6" s="4">
        <v>0.88888888888888884</v>
      </c>
      <c r="K6" s="5">
        <v>0.88888888888888884</v>
      </c>
      <c r="L6" s="4">
        <v>0.71875</v>
      </c>
      <c r="M6" s="5">
        <v>0.73263888888888884</v>
      </c>
      <c r="N6" s="3" t="s">
        <v>102</v>
      </c>
      <c r="O6" s="3" t="s">
        <v>100</v>
      </c>
      <c r="P6" s="3">
        <v>572</v>
      </c>
      <c r="Q6" s="3">
        <v>873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44868</v>
      </c>
      <c r="B7" s="3" t="s">
        <v>78</v>
      </c>
      <c r="C7" s="3" t="s">
        <v>80</v>
      </c>
      <c r="D7" s="3" t="s">
        <v>79</v>
      </c>
      <c r="E7" s="6" t="s">
        <v>83</v>
      </c>
      <c r="F7" s="3" t="s">
        <v>23</v>
      </c>
      <c r="G7" s="10">
        <v>80000</v>
      </c>
      <c r="H7" s="3" t="s">
        <v>88</v>
      </c>
      <c r="I7" s="3" t="s">
        <v>43</v>
      </c>
      <c r="J7" s="8">
        <v>0.30208333333333331</v>
      </c>
      <c r="K7" s="8">
        <v>0.40277777777777773</v>
      </c>
      <c r="L7" s="8">
        <v>0.31944444444444448</v>
      </c>
      <c r="M7" s="8">
        <v>0.4375</v>
      </c>
      <c r="N7" s="12">
        <v>0</v>
      </c>
      <c r="O7" s="11" t="s">
        <v>96</v>
      </c>
      <c r="P7" s="6">
        <v>0</v>
      </c>
      <c r="Q7" s="6">
        <v>247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44868</v>
      </c>
      <c r="B8" s="3" t="s">
        <v>89</v>
      </c>
      <c r="C8" s="3" t="s">
        <v>34</v>
      </c>
      <c r="D8" s="3" t="s">
        <v>90</v>
      </c>
      <c r="E8" s="3" t="s">
        <v>91</v>
      </c>
      <c r="F8" s="3" t="s">
        <v>92</v>
      </c>
      <c r="G8" s="9">
        <v>7000</v>
      </c>
      <c r="H8" s="3" t="s">
        <v>93</v>
      </c>
      <c r="I8" s="3" t="s">
        <v>93</v>
      </c>
      <c r="J8" s="8">
        <v>0.375</v>
      </c>
      <c r="K8" s="8">
        <v>0.44097222222222227</v>
      </c>
      <c r="L8" s="8">
        <v>0.75</v>
      </c>
      <c r="M8" s="8">
        <v>0.75694444444444453</v>
      </c>
      <c r="N8" s="12">
        <v>6</v>
      </c>
      <c r="O8" s="12">
        <v>6</v>
      </c>
      <c r="P8" s="6">
        <v>0</v>
      </c>
      <c r="Q8" s="6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44868</v>
      </c>
      <c r="B9" s="3" t="s">
        <v>105</v>
      </c>
      <c r="C9" s="3" t="s">
        <v>106</v>
      </c>
      <c r="D9" s="3" t="s">
        <v>107</v>
      </c>
      <c r="E9" s="3" t="s">
        <v>104</v>
      </c>
      <c r="F9" s="3" t="s">
        <v>109</v>
      </c>
      <c r="G9" s="9">
        <v>6000</v>
      </c>
      <c r="H9" s="3" t="s">
        <v>108</v>
      </c>
      <c r="I9" s="3" t="s">
        <v>108</v>
      </c>
      <c r="J9" s="4">
        <v>0.60416666666666663</v>
      </c>
      <c r="K9" s="5">
        <v>0.62847222222222221</v>
      </c>
      <c r="L9" s="4">
        <v>0.625</v>
      </c>
      <c r="M9" s="5">
        <v>0.71180555555555547</v>
      </c>
      <c r="N9" s="3">
        <v>3</v>
      </c>
      <c r="O9" s="3">
        <v>3</v>
      </c>
      <c r="P9" s="6">
        <v>0</v>
      </c>
      <c r="Q9" s="6">
        <v>0</v>
      </c>
      <c r="R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B8" sqref="B8:I8"/>
    </sheetView>
  </sheetViews>
  <sheetFormatPr defaultRowHeight="12.75" x14ac:dyDescent="0.2"/>
  <cols>
    <col min="1" max="1" width="10.140625" style="6" bestFit="1" customWidth="1"/>
    <col min="2" max="2" width="18.140625" style="6" bestFit="1" customWidth="1"/>
    <col min="3" max="3" width="14" style="6" customWidth="1"/>
    <col min="4" max="5" width="9.140625" style="6"/>
    <col min="6" max="6" width="12.7109375" style="6" customWidth="1"/>
    <col min="7" max="13" width="9.140625" style="6"/>
    <col min="14" max="14" width="9.5703125" style="6" customWidth="1"/>
    <col min="15" max="15" width="10.42578125" style="6" customWidth="1"/>
    <col min="16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44869</v>
      </c>
      <c r="B2" s="3" t="s">
        <v>21</v>
      </c>
      <c r="C2" s="3" t="s">
        <v>110</v>
      </c>
      <c r="D2" s="3" t="s">
        <v>22</v>
      </c>
      <c r="E2" s="3" t="s">
        <v>35</v>
      </c>
      <c r="F2" s="1" t="s">
        <v>23</v>
      </c>
      <c r="G2" s="9">
        <v>70000</v>
      </c>
      <c r="H2" s="3" t="s">
        <v>113</v>
      </c>
      <c r="I2" s="5" t="s">
        <v>116</v>
      </c>
      <c r="J2" s="7">
        <v>0.52430555555555558</v>
      </c>
      <c r="K2" s="5">
        <v>0.52361111111111114</v>
      </c>
      <c r="L2" s="4">
        <v>0.27777777777777779</v>
      </c>
      <c r="M2" s="5">
        <v>0.28125</v>
      </c>
      <c r="N2" s="3" t="s">
        <v>130</v>
      </c>
      <c r="O2" s="3" t="s">
        <v>129</v>
      </c>
      <c r="P2" s="3">
        <v>854</v>
      </c>
      <c r="Q2" s="3">
        <v>1197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44869</v>
      </c>
      <c r="B3" s="3" t="s">
        <v>21</v>
      </c>
      <c r="C3" s="3" t="s">
        <v>111</v>
      </c>
      <c r="D3" s="3" t="s">
        <v>22</v>
      </c>
      <c r="E3" s="3" t="s">
        <v>37</v>
      </c>
      <c r="F3" s="3" t="s">
        <v>23</v>
      </c>
      <c r="G3" s="9">
        <v>70000</v>
      </c>
      <c r="H3" s="3" t="s">
        <v>114</v>
      </c>
      <c r="I3" s="5" t="s">
        <v>117</v>
      </c>
      <c r="J3" s="7">
        <v>0.4826388888888889</v>
      </c>
      <c r="K3" s="5">
        <v>0.51458333333333328</v>
      </c>
      <c r="L3" s="4">
        <v>0.28819444444444448</v>
      </c>
      <c r="M3" s="5">
        <v>0.28888888888888892</v>
      </c>
      <c r="N3" s="3" t="s">
        <v>131</v>
      </c>
      <c r="O3" s="3" t="s">
        <v>50</v>
      </c>
      <c r="P3" s="3">
        <v>1053</v>
      </c>
      <c r="Q3" s="3">
        <v>851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44869</v>
      </c>
      <c r="B4" s="3" t="s">
        <v>21</v>
      </c>
      <c r="C4" s="3" t="s">
        <v>112</v>
      </c>
      <c r="D4" s="3" t="s">
        <v>22</v>
      </c>
      <c r="E4" s="3" t="s">
        <v>37</v>
      </c>
      <c r="F4" s="3" t="s">
        <v>23</v>
      </c>
      <c r="G4" s="9">
        <v>70000</v>
      </c>
      <c r="H4" s="3" t="s">
        <v>115</v>
      </c>
      <c r="I4" s="5" t="s">
        <v>118</v>
      </c>
      <c r="J4" s="7">
        <v>0.68055555555555547</v>
      </c>
      <c r="K4" s="5">
        <v>0.70694444444444438</v>
      </c>
      <c r="L4" s="4">
        <v>0.50694444444444442</v>
      </c>
      <c r="M4" s="5">
        <v>0.55347222222222225</v>
      </c>
      <c r="N4" s="3" t="s">
        <v>133</v>
      </c>
      <c r="O4" s="3" t="s">
        <v>132</v>
      </c>
      <c r="P4" s="3">
        <v>844</v>
      </c>
      <c r="Q4" s="3">
        <v>855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44869</v>
      </c>
      <c r="B5" s="3" t="s">
        <v>21</v>
      </c>
      <c r="C5" s="3" t="s">
        <v>120</v>
      </c>
      <c r="D5" s="3" t="s">
        <v>22</v>
      </c>
      <c r="E5" s="3" t="s">
        <v>35</v>
      </c>
      <c r="F5" s="3" t="s">
        <v>23</v>
      </c>
      <c r="G5" s="9">
        <v>70000</v>
      </c>
      <c r="H5" s="3" t="s">
        <v>113</v>
      </c>
      <c r="I5" s="5" t="s">
        <v>119</v>
      </c>
      <c r="J5" s="7">
        <v>0.66666666666666663</v>
      </c>
      <c r="K5" s="5">
        <v>0.66666666666666663</v>
      </c>
      <c r="L5" s="4">
        <v>0.54513888888888895</v>
      </c>
      <c r="M5" s="5">
        <v>0.55902777777777779</v>
      </c>
      <c r="N5" s="3" t="s">
        <v>135</v>
      </c>
      <c r="O5" s="3" t="s">
        <v>134</v>
      </c>
      <c r="P5" s="3">
        <v>419</v>
      </c>
      <c r="Q5" s="3">
        <v>579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44869</v>
      </c>
      <c r="B6" s="3" t="s">
        <v>21</v>
      </c>
      <c r="C6" s="3" t="s">
        <v>67</v>
      </c>
      <c r="D6" s="3" t="s">
        <v>22</v>
      </c>
      <c r="E6" s="3" t="str">
        <f>E4</f>
        <v>HA-LPN</v>
      </c>
      <c r="F6" s="3" t="s">
        <v>23</v>
      </c>
      <c r="G6" s="9">
        <v>70000</v>
      </c>
      <c r="H6" s="3" t="s">
        <v>60</v>
      </c>
      <c r="I6" s="6" t="s">
        <v>59</v>
      </c>
      <c r="J6" s="7">
        <v>0.86111111111111116</v>
      </c>
      <c r="K6" s="8">
        <v>0.88888888888888884</v>
      </c>
      <c r="L6" s="7">
        <v>0.70486111111111116</v>
      </c>
      <c r="M6" s="8">
        <v>0.7597222222222223</v>
      </c>
      <c r="N6" s="6" t="s">
        <v>146</v>
      </c>
      <c r="O6" s="6" t="s">
        <v>136</v>
      </c>
      <c r="P6" s="6">
        <v>724</v>
      </c>
      <c r="Q6" s="6">
        <v>748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44869</v>
      </c>
      <c r="B7" s="3" t="s">
        <v>21</v>
      </c>
      <c r="C7" s="3" t="s">
        <v>122</v>
      </c>
      <c r="D7" s="3" t="s">
        <v>22</v>
      </c>
      <c r="E7" s="3" t="str">
        <f>E5</f>
        <v>HA-LYZ</v>
      </c>
      <c r="F7" s="3" t="s">
        <v>23</v>
      </c>
      <c r="G7" s="3">
        <v>70000</v>
      </c>
      <c r="H7" s="3" t="s">
        <v>125</v>
      </c>
      <c r="I7" s="3" t="s">
        <v>126</v>
      </c>
      <c r="J7" s="4">
        <v>0.92708333333333337</v>
      </c>
      <c r="K7" s="5">
        <v>0.92013888888888884</v>
      </c>
      <c r="L7" s="4">
        <v>0.74305555555555547</v>
      </c>
      <c r="M7" s="5">
        <v>0.75</v>
      </c>
      <c r="N7" s="3" t="s">
        <v>147</v>
      </c>
      <c r="O7" s="3" t="s">
        <v>137</v>
      </c>
      <c r="P7" s="3">
        <v>597</v>
      </c>
      <c r="Q7" s="3">
        <v>766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44869</v>
      </c>
      <c r="B8" s="6" t="s">
        <v>38</v>
      </c>
      <c r="C8" s="6" t="s">
        <v>123</v>
      </c>
      <c r="D8" s="6" t="s">
        <v>124</v>
      </c>
      <c r="E8" s="6" t="s">
        <v>121</v>
      </c>
      <c r="F8" s="6" t="s">
        <v>23</v>
      </c>
      <c r="G8" s="6">
        <v>80000</v>
      </c>
      <c r="H8" s="6" t="s">
        <v>127</v>
      </c>
      <c r="I8" s="6" t="s">
        <v>128</v>
      </c>
      <c r="J8" s="7">
        <v>0.77777777777777779</v>
      </c>
      <c r="K8" s="8">
        <v>0.76041666666666663</v>
      </c>
      <c r="L8" s="7">
        <v>0.80208333333333337</v>
      </c>
      <c r="M8" s="8">
        <v>0.79999999999999993</v>
      </c>
      <c r="N8" s="6" t="s">
        <v>138</v>
      </c>
      <c r="O8" s="6" t="s">
        <v>139</v>
      </c>
      <c r="P8" s="6">
        <v>364</v>
      </c>
      <c r="Q8" s="6">
        <v>299</v>
      </c>
      <c r="R8" s="6">
        <v>0</v>
      </c>
      <c r="S8" s="6">
        <v>0</v>
      </c>
      <c r="T8" s="6">
        <v>0</v>
      </c>
      <c r="U8" s="6">
        <v>0</v>
      </c>
    </row>
    <row r="9" spans="1:21" x14ac:dyDescent="0.2">
      <c r="A9" s="13">
        <v>44869</v>
      </c>
      <c r="B9" s="6" t="s">
        <v>140</v>
      </c>
      <c r="C9" s="6" t="s">
        <v>148</v>
      </c>
      <c r="D9" s="6" t="s">
        <v>141</v>
      </c>
      <c r="E9" s="6" t="s">
        <v>142</v>
      </c>
      <c r="F9" s="6" t="s">
        <v>143</v>
      </c>
      <c r="G9" s="6">
        <v>75000</v>
      </c>
      <c r="H9" s="6" t="s">
        <v>144</v>
      </c>
      <c r="I9" s="6" t="s">
        <v>144</v>
      </c>
      <c r="J9" s="7">
        <v>0.65625</v>
      </c>
      <c r="K9" s="8">
        <v>0.6645833333333333</v>
      </c>
      <c r="L9" s="7">
        <v>0.69444444444444453</v>
      </c>
      <c r="M9" s="8">
        <v>0.71388888888888891</v>
      </c>
      <c r="N9" s="6" t="s">
        <v>145</v>
      </c>
      <c r="O9" s="6">
        <v>0</v>
      </c>
      <c r="P9" s="6">
        <v>894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B1" workbookViewId="0">
      <selection activeCell="C37" sqref="C37"/>
    </sheetView>
  </sheetViews>
  <sheetFormatPr defaultRowHeight="15" x14ac:dyDescent="0.25"/>
  <cols>
    <col min="1" max="1" width="10.140625" bestFit="1" customWidth="1"/>
    <col min="2" max="2" width="19.28515625" bestFit="1" customWidth="1"/>
    <col min="3" max="3" width="14" customWidth="1"/>
    <col min="6" max="6" width="12.7109375" customWidth="1"/>
    <col min="14" max="14" width="9.5703125" customWidth="1"/>
    <col min="15" max="15" width="10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44870</v>
      </c>
      <c r="B2" s="3" t="s">
        <v>21</v>
      </c>
      <c r="C2" s="3" t="s">
        <v>24</v>
      </c>
      <c r="D2" s="3" t="s">
        <v>22</v>
      </c>
      <c r="E2" s="3" t="s">
        <v>35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0.51944444444444449</v>
      </c>
      <c r="L2" s="4">
        <v>0.27777777777777779</v>
      </c>
      <c r="M2" s="5">
        <v>0.28125</v>
      </c>
      <c r="N2" s="3" t="s">
        <v>152</v>
      </c>
      <c r="O2" s="3" t="s">
        <v>149</v>
      </c>
      <c r="P2" s="3">
        <v>1068</v>
      </c>
      <c r="Q2" s="3">
        <v>1172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44870</v>
      </c>
      <c r="B3" s="3" t="s">
        <v>21</v>
      </c>
      <c r="C3" s="3" t="s">
        <v>36</v>
      </c>
      <c r="D3" s="3" t="s">
        <v>22</v>
      </c>
      <c r="E3" s="3" t="s">
        <v>37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0.5083333333333333</v>
      </c>
      <c r="L3" s="4">
        <v>0.30555555555555552</v>
      </c>
      <c r="M3" s="5">
        <v>0.31111111111111112</v>
      </c>
      <c r="N3" s="3" t="s">
        <v>94</v>
      </c>
      <c r="O3" s="3" t="s">
        <v>150</v>
      </c>
      <c r="P3" s="3">
        <v>657</v>
      </c>
      <c r="Q3" s="3">
        <v>975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44870</v>
      </c>
      <c r="B4" s="3" t="s">
        <v>21</v>
      </c>
      <c r="C4" s="3" t="s">
        <v>27</v>
      </c>
      <c r="D4" s="3" t="s">
        <v>22</v>
      </c>
      <c r="E4" s="3" t="str">
        <f>E2</f>
        <v>HA-LYZ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0.71458333333333324</v>
      </c>
      <c r="L4" s="4">
        <v>0.52430555555555558</v>
      </c>
      <c r="M4" s="5">
        <v>0.5625</v>
      </c>
      <c r="N4" s="3" t="s">
        <v>162</v>
      </c>
      <c r="O4" s="3" t="s">
        <v>161</v>
      </c>
      <c r="P4" s="3">
        <v>661</v>
      </c>
      <c r="Q4" s="3">
        <v>954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44870</v>
      </c>
      <c r="B5" s="3" t="s">
        <v>21</v>
      </c>
      <c r="C5" s="3" t="s">
        <v>30</v>
      </c>
      <c r="D5" s="3" t="s">
        <v>22</v>
      </c>
      <c r="E5" s="3" t="str">
        <f>E3</f>
        <v>HA-LPN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0.71736111111111101</v>
      </c>
      <c r="L5" s="4">
        <v>0.54166666666666663</v>
      </c>
      <c r="M5" s="5">
        <v>0.55208333333333337</v>
      </c>
      <c r="N5" s="3" t="s">
        <v>166</v>
      </c>
      <c r="O5" s="3" t="s">
        <v>160</v>
      </c>
      <c r="P5" s="3">
        <v>599</v>
      </c>
      <c r="Q5" s="3">
        <v>911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44870</v>
      </c>
      <c r="B6" s="3" t="s">
        <v>38</v>
      </c>
      <c r="C6" s="3" t="s">
        <v>34</v>
      </c>
      <c r="D6" s="3" t="s">
        <v>22</v>
      </c>
      <c r="E6" s="3" t="s">
        <v>151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0.67361111111111116</v>
      </c>
      <c r="K6" s="5">
        <v>0.66041666666666665</v>
      </c>
      <c r="L6" s="4">
        <v>0.69097222222222221</v>
      </c>
      <c r="M6" s="5">
        <v>0.6972222222222223</v>
      </c>
      <c r="N6" s="3" t="s">
        <v>164</v>
      </c>
      <c r="O6" s="3" t="s">
        <v>163</v>
      </c>
      <c r="P6" s="3">
        <v>169</v>
      </c>
      <c r="Q6" s="3">
        <v>234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2">
        <v>44870</v>
      </c>
      <c r="B7" s="3" t="s">
        <v>153</v>
      </c>
      <c r="C7" s="3" t="s">
        <v>154</v>
      </c>
      <c r="D7" s="3" t="s">
        <v>155</v>
      </c>
      <c r="E7" s="3" t="s">
        <v>156</v>
      </c>
      <c r="F7" s="3" t="s">
        <v>157</v>
      </c>
      <c r="G7" s="9">
        <v>9700</v>
      </c>
      <c r="H7" s="3" t="s">
        <v>158</v>
      </c>
      <c r="I7" s="6" t="s">
        <v>159</v>
      </c>
      <c r="J7" s="7">
        <v>0.4375</v>
      </c>
      <c r="K7" s="8">
        <v>0.50416666666666665</v>
      </c>
      <c r="L7" s="7">
        <v>0.54166666666666663</v>
      </c>
      <c r="M7" s="8">
        <v>0.59930555555555554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2">
        <v>44870</v>
      </c>
      <c r="B8" s="3" t="s">
        <v>21</v>
      </c>
      <c r="C8" s="3" t="s">
        <v>54</v>
      </c>
      <c r="D8" s="3" t="s">
        <v>22</v>
      </c>
      <c r="E8" s="3" t="s">
        <v>35</v>
      </c>
      <c r="F8" s="1" t="s">
        <v>23</v>
      </c>
      <c r="G8" s="9">
        <v>70000</v>
      </c>
      <c r="H8" s="3" t="s">
        <v>55</v>
      </c>
      <c r="I8" s="3" t="s">
        <v>56</v>
      </c>
      <c r="J8" s="4">
        <v>0.88888888888888884</v>
      </c>
      <c r="K8" s="5">
        <v>0.90763888888888899</v>
      </c>
      <c r="L8" s="4">
        <v>0.71875</v>
      </c>
      <c r="M8" s="5">
        <v>0.75138888888888899</v>
      </c>
      <c r="N8" s="3" t="s">
        <v>167</v>
      </c>
      <c r="O8" s="3" t="s">
        <v>165</v>
      </c>
      <c r="P8" s="3">
        <v>621</v>
      </c>
      <c r="Q8" s="3">
        <v>821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4" sqref="A4:XFD4"/>
    </sheetView>
  </sheetViews>
  <sheetFormatPr defaultRowHeight="15" x14ac:dyDescent="0.25"/>
  <cols>
    <col min="3" max="3" width="13.5703125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44840</v>
      </c>
      <c r="B2" s="3" t="s">
        <v>21</v>
      </c>
      <c r="C2" s="3" t="s">
        <v>24</v>
      </c>
      <c r="D2" s="3" t="s">
        <v>22</v>
      </c>
      <c r="E2" s="3" t="s">
        <v>37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0.48402777777777778</v>
      </c>
      <c r="L2" s="4">
        <v>0.27777777777777779</v>
      </c>
      <c r="M2" s="5">
        <v>0.28263888888888888</v>
      </c>
      <c r="N2" s="2" t="s">
        <v>172</v>
      </c>
      <c r="O2" s="2" t="s">
        <v>169</v>
      </c>
      <c r="P2" s="3">
        <v>571</v>
      </c>
      <c r="Q2" s="6">
        <v>604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44840</v>
      </c>
      <c r="B3" s="3" t="s">
        <v>21</v>
      </c>
      <c r="C3" s="3" t="s">
        <v>75</v>
      </c>
      <c r="D3" s="3" t="s">
        <v>22</v>
      </c>
      <c r="E3" s="3" t="s">
        <v>35</v>
      </c>
      <c r="F3" s="1" t="s">
        <v>23</v>
      </c>
      <c r="G3" s="9">
        <v>70000</v>
      </c>
      <c r="H3" s="3" t="s">
        <v>85</v>
      </c>
      <c r="I3" s="3" t="s">
        <v>84</v>
      </c>
      <c r="J3" s="4">
        <v>0.4861111111111111</v>
      </c>
      <c r="K3" s="5">
        <v>0.47986111111111113</v>
      </c>
      <c r="L3" s="4">
        <v>0.3298611111111111</v>
      </c>
      <c r="M3" s="5">
        <v>0.33194444444444443</v>
      </c>
      <c r="N3" s="2" t="s">
        <v>173</v>
      </c>
      <c r="O3" s="2" t="s">
        <v>70</v>
      </c>
      <c r="P3" s="3">
        <v>518</v>
      </c>
      <c r="Q3" s="3">
        <v>379</v>
      </c>
      <c r="R3" s="3">
        <v>0</v>
      </c>
      <c r="S3" s="3">
        <v>0</v>
      </c>
      <c r="T3" s="3">
        <v>0</v>
      </c>
      <c r="U3" s="3">
        <v>0</v>
      </c>
    </row>
    <row r="4" spans="1:21" s="3" customFormat="1" ht="12.75" x14ac:dyDescent="0.25">
      <c r="A4" s="2">
        <v>44840</v>
      </c>
      <c r="B4" s="14" t="s">
        <v>38</v>
      </c>
      <c r="C4" s="3" t="s">
        <v>61</v>
      </c>
      <c r="D4" s="3" t="s">
        <v>22</v>
      </c>
      <c r="E4" s="3" t="s">
        <v>62</v>
      </c>
      <c r="F4" s="3" t="s">
        <v>23</v>
      </c>
      <c r="G4" s="9">
        <v>70000</v>
      </c>
      <c r="H4" s="3" t="s">
        <v>64</v>
      </c>
      <c r="I4" s="3" t="s">
        <v>63</v>
      </c>
      <c r="J4" s="4">
        <v>0.37847222222222227</v>
      </c>
      <c r="K4" s="5">
        <v>0.35833333333333334</v>
      </c>
      <c r="L4" s="4">
        <v>0.39583333333333331</v>
      </c>
      <c r="M4" s="5">
        <v>0.40138888888888885</v>
      </c>
      <c r="N4" s="2" t="s">
        <v>170</v>
      </c>
      <c r="O4" s="2" t="s">
        <v>171</v>
      </c>
      <c r="P4" s="3">
        <v>104</v>
      </c>
      <c r="Q4" s="3">
        <v>715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44840</v>
      </c>
      <c r="B5" s="3" t="s">
        <v>21</v>
      </c>
      <c r="C5" s="3" t="s">
        <v>54</v>
      </c>
      <c r="D5" s="3" t="s">
        <v>22</v>
      </c>
      <c r="E5" s="3" t="s">
        <v>35</v>
      </c>
      <c r="F5" s="3" t="s">
        <v>23</v>
      </c>
      <c r="G5" s="9">
        <v>70000</v>
      </c>
      <c r="H5" s="3" t="s">
        <v>55</v>
      </c>
      <c r="I5" s="3" t="s">
        <v>56</v>
      </c>
      <c r="J5" s="4">
        <v>0.67708333333333337</v>
      </c>
      <c r="K5" s="5">
        <v>0.72638888888888886</v>
      </c>
      <c r="L5" s="4">
        <v>0.50694444444444442</v>
      </c>
      <c r="M5" s="5">
        <v>0.52083333333333337</v>
      </c>
      <c r="N5" s="2" t="s">
        <v>176</v>
      </c>
      <c r="O5" s="2" t="s">
        <v>174</v>
      </c>
      <c r="P5" s="6">
        <v>661</v>
      </c>
      <c r="Q5" s="6">
        <v>1038</v>
      </c>
      <c r="R5" s="6">
        <v>0</v>
      </c>
      <c r="S5" s="6">
        <v>0</v>
      </c>
      <c r="T5" s="6">
        <v>0</v>
      </c>
      <c r="U5" s="3">
        <v>0</v>
      </c>
    </row>
    <row r="6" spans="1:21" x14ac:dyDescent="0.25">
      <c r="A6" s="2">
        <v>44840</v>
      </c>
      <c r="B6" s="3" t="s">
        <v>21</v>
      </c>
      <c r="C6" s="3" t="s">
        <v>67</v>
      </c>
      <c r="D6" s="3" t="s">
        <v>22</v>
      </c>
      <c r="E6" s="3" t="s">
        <v>37</v>
      </c>
      <c r="F6" s="1" t="s">
        <v>23</v>
      </c>
      <c r="G6" s="9">
        <v>70000</v>
      </c>
      <c r="H6" s="3" t="s">
        <v>60</v>
      </c>
      <c r="I6" s="3" t="s">
        <v>59</v>
      </c>
      <c r="J6" s="4">
        <v>0.68402777777777779</v>
      </c>
      <c r="K6" s="5">
        <v>0.6875</v>
      </c>
      <c r="L6" s="4">
        <v>0.52777777777777779</v>
      </c>
      <c r="M6" s="5">
        <v>0.53472222222222221</v>
      </c>
      <c r="N6" s="2" t="s">
        <v>177</v>
      </c>
      <c r="O6" s="2" t="s">
        <v>175</v>
      </c>
      <c r="P6" s="3">
        <v>728</v>
      </c>
      <c r="Q6" s="3">
        <v>687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44840</v>
      </c>
      <c r="B7" s="3" t="s">
        <v>21</v>
      </c>
      <c r="C7" s="3" t="s">
        <v>76</v>
      </c>
      <c r="D7" s="3" t="s">
        <v>22</v>
      </c>
      <c r="E7" s="3" t="s">
        <v>37</v>
      </c>
      <c r="F7" s="1" t="s">
        <v>23</v>
      </c>
      <c r="G7" s="9">
        <v>70000</v>
      </c>
      <c r="H7" s="3" t="s">
        <v>87</v>
      </c>
      <c r="I7" s="3" t="s">
        <v>86</v>
      </c>
      <c r="J7" s="4">
        <v>0.91319444444444453</v>
      </c>
      <c r="K7" s="5">
        <v>0.91527777777777775</v>
      </c>
      <c r="L7" s="4">
        <v>0.70486111111111116</v>
      </c>
      <c r="M7" s="5">
        <v>0.72291666666666676</v>
      </c>
      <c r="N7" s="2" t="s">
        <v>179</v>
      </c>
      <c r="O7" s="2" t="s">
        <v>100</v>
      </c>
      <c r="P7" s="3">
        <v>782</v>
      </c>
      <c r="Q7" s="3">
        <v>1366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44840</v>
      </c>
      <c r="B8" s="3" t="s">
        <v>21</v>
      </c>
      <c r="C8" s="3" t="s">
        <v>66</v>
      </c>
      <c r="D8" s="3" t="s">
        <v>22</v>
      </c>
      <c r="E8" s="3" t="s">
        <v>168</v>
      </c>
      <c r="F8" s="3" t="s">
        <v>23</v>
      </c>
      <c r="G8" s="9">
        <v>70000</v>
      </c>
      <c r="H8" s="3" t="s">
        <v>58</v>
      </c>
      <c r="I8" s="3" t="s">
        <v>57</v>
      </c>
      <c r="J8" s="4">
        <v>0.95486111111111116</v>
      </c>
      <c r="K8" s="5">
        <v>0.9819444444444444</v>
      </c>
      <c r="L8" s="4">
        <v>0.71527777777777779</v>
      </c>
      <c r="M8" s="5">
        <v>0.76388888888888884</v>
      </c>
      <c r="N8" s="2" t="s">
        <v>180</v>
      </c>
      <c r="O8" s="2" t="s">
        <v>178</v>
      </c>
      <c r="P8" s="3">
        <v>665</v>
      </c>
      <c r="Q8" s="3">
        <v>1074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C39" sqref="AC39:AC41"/>
    </sheetView>
  </sheetViews>
  <sheetFormatPr defaultRowHeight="15" x14ac:dyDescent="0.25"/>
  <cols>
    <col min="1" max="1" width="10.140625" bestFit="1" customWidth="1"/>
    <col min="3" max="3" width="15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44873</v>
      </c>
      <c r="B2" s="3" t="s">
        <v>21</v>
      </c>
      <c r="C2" s="3" t="s">
        <v>24</v>
      </c>
      <c r="D2" s="3" t="s">
        <v>22</v>
      </c>
      <c r="E2" s="3" t="s">
        <v>181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0.51527777777777783</v>
      </c>
      <c r="L2" s="4">
        <v>0.27777777777777779</v>
      </c>
      <c r="M2" s="5">
        <v>0.33958333333333335</v>
      </c>
      <c r="N2" s="3" t="s">
        <v>187</v>
      </c>
      <c r="O2" s="3" t="s">
        <v>185</v>
      </c>
      <c r="P2" s="3">
        <v>698</v>
      </c>
      <c r="Q2" s="3">
        <v>1029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44873</v>
      </c>
      <c r="B3" s="3" t="s">
        <v>21</v>
      </c>
      <c r="C3" s="3" t="s">
        <v>36</v>
      </c>
      <c r="D3" s="3" t="s">
        <v>22</v>
      </c>
      <c r="E3" s="3" t="s">
        <v>182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0.59375</v>
      </c>
      <c r="L3" s="4">
        <v>0.30555555555555552</v>
      </c>
      <c r="M3" s="5">
        <v>0.40416666666666662</v>
      </c>
      <c r="N3" s="3" t="s">
        <v>193</v>
      </c>
      <c r="O3" s="3" t="s">
        <v>186</v>
      </c>
      <c r="P3" s="3">
        <v>378</v>
      </c>
      <c r="Q3" s="3">
        <v>796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44873</v>
      </c>
      <c r="B4" s="3" t="s">
        <v>21</v>
      </c>
      <c r="C4" s="3" t="s">
        <v>27</v>
      </c>
      <c r="D4" s="3" t="s">
        <v>22</v>
      </c>
      <c r="E4" s="3" t="s">
        <v>183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0.69027777777777777</v>
      </c>
      <c r="L4" s="4">
        <v>0.52430555555555558</v>
      </c>
      <c r="M4" s="5">
        <v>0.54861111111111105</v>
      </c>
      <c r="N4" s="3" t="s">
        <v>195</v>
      </c>
      <c r="O4" s="3" t="s">
        <v>192</v>
      </c>
      <c r="P4" s="3">
        <v>160</v>
      </c>
      <c r="Q4" s="3">
        <v>646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44873</v>
      </c>
      <c r="B5" s="3" t="s">
        <v>21</v>
      </c>
      <c r="C5" s="3" t="s">
        <v>30</v>
      </c>
      <c r="D5" s="3" t="s">
        <v>22</v>
      </c>
      <c r="E5" s="3" t="s">
        <v>182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0.79236111111111107</v>
      </c>
      <c r="L5" s="4">
        <v>0.54166666666666663</v>
      </c>
      <c r="M5" s="5">
        <v>0.62916666666666665</v>
      </c>
      <c r="N5" s="3" t="s">
        <v>198</v>
      </c>
      <c r="O5" s="3" t="s">
        <v>194</v>
      </c>
      <c r="P5" s="3">
        <v>470</v>
      </c>
      <c r="Q5" s="3">
        <v>753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44873</v>
      </c>
      <c r="B6" s="3" t="s">
        <v>38</v>
      </c>
      <c r="C6" s="3" t="s">
        <v>34</v>
      </c>
      <c r="D6" s="3" t="s">
        <v>22</v>
      </c>
      <c r="E6" s="3" t="s">
        <v>184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0.6875</v>
      </c>
      <c r="K6" s="5">
        <v>0.6743055555555556</v>
      </c>
      <c r="L6" s="4">
        <v>0.70486111111111116</v>
      </c>
      <c r="M6" s="5">
        <v>0.70972222222222225</v>
      </c>
      <c r="N6" s="3" t="s">
        <v>196</v>
      </c>
      <c r="O6" s="3" t="s">
        <v>197</v>
      </c>
      <c r="P6" s="3">
        <v>273</v>
      </c>
      <c r="Q6" s="3">
        <v>182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13">
        <v>44873</v>
      </c>
      <c r="B7" s="3" t="s">
        <v>188</v>
      </c>
      <c r="C7" s="3" t="s">
        <v>189</v>
      </c>
      <c r="D7" s="6" t="s">
        <v>191</v>
      </c>
      <c r="E7" s="3" t="s">
        <v>190</v>
      </c>
      <c r="F7" s="3" t="s">
        <v>109</v>
      </c>
      <c r="G7" s="9">
        <v>4</v>
      </c>
      <c r="H7" s="3" t="s">
        <v>190</v>
      </c>
      <c r="I7" s="3" t="s">
        <v>190</v>
      </c>
      <c r="J7" s="8">
        <v>0.47222222222222227</v>
      </c>
      <c r="K7" s="8">
        <v>0.48541666666666666</v>
      </c>
      <c r="L7" s="8">
        <v>0.5</v>
      </c>
      <c r="M7" s="8">
        <v>0.51041666666666663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15">
        <v>0</v>
      </c>
      <c r="U7" s="1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sqref="A1:R1"/>
    </sheetView>
  </sheetViews>
  <sheetFormatPr defaultRowHeight="15" x14ac:dyDescent="0.25"/>
  <cols>
    <col min="3" max="3" width="15.42578125" customWidth="1"/>
    <col min="6" max="6" width="11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44874</v>
      </c>
      <c r="B2" s="3" t="s">
        <v>21</v>
      </c>
      <c r="C2" s="3" t="s">
        <v>54</v>
      </c>
      <c r="D2" s="3" t="s">
        <v>22</v>
      </c>
      <c r="E2" s="3" t="s">
        <v>37</v>
      </c>
      <c r="F2" s="1" t="s">
        <v>23</v>
      </c>
      <c r="G2" s="9">
        <v>70000</v>
      </c>
      <c r="H2" s="3" t="s">
        <v>55</v>
      </c>
      <c r="I2" s="3" t="s">
        <v>56</v>
      </c>
      <c r="J2" s="4">
        <v>0.51041666666666663</v>
      </c>
      <c r="K2" s="5">
        <v>0.51250000000000007</v>
      </c>
      <c r="L2" s="4">
        <v>0.34027777777777773</v>
      </c>
      <c r="M2" s="5">
        <v>0.3611111111111111</v>
      </c>
      <c r="N2" s="3" t="s">
        <v>200</v>
      </c>
      <c r="O2" s="3" t="s">
        <v>199</v>
      </c>
      <c r="P2" s="3">
        <v>650</v>
      </c>
      <c r="Q2" s="3">
        <v>710</v>
      </c>
      <c r="R2" s="3">
        <v>0</v>
      </c>
    </row>
    <row r="3" spans="1:18" x14ac:dyDescent="0.25">
      <c r="A3" s="2">
        <v>44874</v>
      </c>
      <c r="B3" s="3" t="s">
        <v>21</v>
      </c>
      <c r="C3" s="3" t="s">
        <v>66</v>
      </c>
      <c r="D3" s="3" t="s">
        <v>22</v>
      </c>
      <c r="E3" s="3" t="s">
        <v>37</v>
      </c>
      <c r="F3" s="3" t="s">
        <v>23</v>
      </c>
      <c r="G3" s="9">
        <v>70000</v>
      </c>
      <c r="H3" s="3" t="s">
        <v>58</v>
      </c>
      <c r="I3" s="3" t="s">
        <v>57</v>
      </c>
      <c r="J3" s="4">
        <v>0.92013888888888884</v>
      </c>
      <c r="K3" s="5">
        <v>0.92013888888888884</v>
      </c>
      <c r="L3" s="4">
        <v>0.68055555555555547</v>
      </c>
      <c r="M3" s="5">
        <v>0.69166666666666676</v>
      </c>
      <c r="N3" s="3" t="s">
        <v>205</v>
      </c>
      <c r="O3" s="3" t="s">
        <v>203</v>
      </c>
      <c r="P3" s="3">
        <v>182</v>
      </c>
      <c r="Q3" s="3">
        <v>870</v>
      </c>
      <c r="R3" s="3">
        <v>0</v>
      </c>
    </row>
    <row r="4" spans="1:18" x14ac:dyDescent="0.25">
      <c r="A4" s="2">
        <v>44874</v>
      </c>
      <c r="B4" s="3" t="s">
        <v>21</v>
      </c>
      <c r="C4" s="3" t="s">
        <v>67</v>
      </c>
      <c r="D4" s="3" t="s">
        <v>22</v>
      </c>
      <c r="E4" s="3" t="s">
        <v>168</v>
      </c>
      <c r="F4" s="3" t="s">
        <v>23</v>
      </c>
      <c r="G4" s="9">
        <v>70000</v>
      </c>
      <c r="H4" s="3" t="s">
        <v>60</v>
      </c>
      <c r="I4" s="3" t="s">
        <v>59</v>
      </c>
      <c r="J4" s="4">
        <v>0.86111111111111116</v>
      </c>
      <c r="K4" s="5">
        <v>0.84166666666666667</v>
      </c>
      <c r="L4" s="4">
        <v>0.70486111111111116</v>
      </c>
      <c r="M4" s="5">
        <v>0.7055555555555556</v>
      </c>
      <c r="N4" s="3" t="s">
        <v>206</v>
      </c>
      <c r="O4" s="3" t="s">
        <v>204</v>
      </c>
      <c r="P4" s="3">
        <v>628</v>
      </c>
      <c r="Q4" s="3">
        <v>771</v>
      </c>
      <c r="R4" s="3">
        <v>0</v>
      </c>
    </row>
    <row r="5" spans="1:18" x14ac:dyDescent="0.25">
      <c r="A5" s="2">
        <v>44874</v>
      </c>
      <c r="B5" s="3" t="s">
        <v>38</v>
      </c>
      <c r="C5" s="3" t="s">
        <v>61</v>
      </c>
      <c r="D5" s="3" t="s">
        <v>22</v>
      </c>
      <c r="E5" s="3" t="s">
        <v>62</v>
      </c>
      <c r="F5" s="3" t="s">
        <v>23</v>
      </c>
      <c r="G5" s="9">
        <v>70000</v>
      </c>
      <c r="H5" s="3" t="s">
        <v>64</v>
      </c>
      <c r="I5" s="3" t="s">
        <v>63</v>
      </c>
      <c r="J5" s="4">
        <v>0.38541666666666669</v>
      </c>
      <c r="K5" s="5">
        <v>0.51944444444444449</v>
      </c>
      <c r="L5" s="4">
        <v>0.40277777777777773</v>
      </c>
      <c r="M5" s="5">
        <v>0.55625000000000002</v>
      </c>
      <c r="N5" s="3" t="s">
        <v>201</v>
      </c>
      <c r="O5" s="3" t="s">
        <v>202</v>
      </c>
      <c r="P5" s="3">
        <v>208</v>
      </c>
      <c r="Q5" s="3">
        <v>442</v>
      </c>
      <c r="R5" s="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sqref="A1:U1"/>
    </sheetView>
  </sheetViews>
  <sheetFormatPr defaultRowHeight="15" x14ac:dyDescent="0.25"/>
  <cols>
    <col min="1" max="1" width="14.28515625" bestFit="1" customWidth="1"/>
    <col min="3" max="3" width="22.42578125" customWidth="1"/>
    <col min="5" max="5" width="14.140625" customWidth="1"/>
    <col min="6" max="6" width="18.2851562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44875</v>
      </c>
      <c r="B2" s="3" t="s">
        <v>21</v>
      </c>
      <c r="C2" s="3" t="s">
        <v>24</v>
      </c>
      <c r="D2" s="3" t="s">
        <v>22</v>
      </c>
      <c r="E2" s="3" t="s">
        <v>207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0.47152777777777777</v>
      </c>
      <c r="L2" s="4">
        <v>0.27777777777777779</v>
      </c>
      <c r="M2" s="5">
        <v>0.27847222222222223</v>
      </c>
      <c r="N2" s="3" t="s">
        <v>213</v>
      </c>
      <c r="O2" s="3" t="s">
        <v>209</v>
      </c>
      <c r="P2" s="3">
        <v>986</v>
      </c>
      <c r="Q2" s="3">
        <v>738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44875</v>
      </c>
      <c r="B3" s="3" t="s">
        <v>78</v>
      </c>
      <c r="C3" s="3" t="s">
        <v>34</v>
      </c>
      <c r="D3" s="3" t="s">
        <v>124</v>
      </c>
      <c r="E3" s="3" t="s">
        <v>210</v>
      </c>
      <c r="F3" s="3" t="s">
        <v>23</v>
      </c>
      <c r="G3" s="9">
        <v>80000</v>
      </c>
      <c r="H3" s="3" t="s">
        <v>42</v>
      </c>
      <c r="I3" s="3" t="s">
        <v>43</v>
      </c>
      <c r="J3" s="4">
        <v>0.30208333333333331</v>
      </c>
      <c r="K3" s="5">
        <v>0.2902777777777778</v>
      </c>
      <c r="L3" s="4">
        <v>0.31944444444444448</v>
      </c>
      <c r="M3" s="5">
        <v>0.33402777777777781</v>
      </c>
      <c r="N3" s="16" t="s">
        <v>172</v>
      </c>
      <c r="O3" s="3" t="s">
        <v>212</v>
      </c>
      <c r="P3" s="3">
        <v>104</v>
      </c>
      <c r="Q3" s="3">
        <v>169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44875</v>
      </c>
      <c r="B4" s="3" t="s">
        <v>21</v>
      </c>
      <c r="C4" s="3" t="s">
        <v>75</v>
      </c>
      <c r="D4" s="3" t="s">
        <v>22</v>
      </c>
      <c r="E4" s="3" t="s">
        <v>168</v>
      </c>
      <c r="F4" s="3" t="s">
        <v>23</v>
      </c>
      <c r="G4" s="9">
        <v>70000</v>
      </c>
      <c r="H4" s="3" t="s">
        <v>85</v>
      </c>
      <c r="I4" s="3" t="s">
        <v>84</v>
      </c>
      <c r="J4" s="4">
        <v>0.4861111111111111</v>
      </c>
      <c r="K4" s="5">
        <v>0.49722222222222223</v>
      </c>
      <c r="L4" s="4">
        <v>0.3298611111111111</v>
      </c>
      <c r="M4" s="5">
        <v>0.35000000000000003</v>
      </c>
      <c r="N4" s="3" t="s">
        <v>214</v>
      </c>
      <c r="O4" s="3" t="s">
        <v>211</v>
      </c>
      <c r="P4" s="3">
        <v>327</v>
      </c>
      <c r="Q4" s="3">
        <v>332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44875</v>
      </c>
      <c r="B5" s="3" t="s">
        <v>21</v>
      </c>
      <c r="C5" s="3" t="s">
        <v>67</v>
      </c>
      <c r="D5" s="3" t="s">
        <v>22</v>
      </c>
      <c r="E5" s="3" t="s">
        <v>168</v>
      </c>
      <c r="F5" s="3" t="s">
        <v>23</v>
      </c>
      <c r="G5" s="9">
        <v>70000</v>
      </c>
      <c r="H5" s="3" t="s">
        <v>60</v>
      </c>
      <c r="I5" s="3" t="s">
        <v>59</v>
      </c>
      <c r="J5" s="4">
        <v>0.66666666666666663</v>
      </c>
      <c r="K5" s="5">
        <v>0.67708333333333337</v>
      </c>
      <c r="L5" s="4">
        <v>0.51041666666666663</v>
      </c>
      <c r="M5" s="5">
        <v>0.53194444444444444</v>
      </c>
      <c r="N5" s="3" t="s">
        <v>216</v>
      </c>
      <c r="O5" s="3" t="s">
        <v>215</v>
      </c>
      <c r="P5" s="3">
        <v>534</v>
      </c>
      <c r="Q5" s="3">
        <v>434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44875</v>
      </c>
      <c r="B6" s="3" t="s">
        <v>21</v>
      </c>
      <c r="C6" s="3" t="s">
        <v>76</v>
      </c>
      <c r="D6" s="3" t="s">
        <v>22</v>
      </c>
      <c r="E6" s="3" t="s">
        <v>208</v>
      </c>
      <c r="F6" s="3" t="s">
        <v>23</v>
      </c>
      <c r="G6" s="9">
        <v>70000</v>
      </c>
      <c r="H6" s="3" t="s">
        <v>87</v>
      </c>
      <c r="I6" s="3" t="s">
        <v>86</v>
      </c>
      <c r="J6" s="4">
        <v>0.91319444444444453</v>
      </c>
      <c r="K6" s="5">
        <v>0.90486111111111101</v>
      </c>
      <c r="L6" s="4">
        <v>0.70486111111111116</v>
      </c>
      <c r="M6" s="5">
        <v>0.71111111111111114</v>
      </c>
      <c r="N6" s="3" t="s">
        <v>217</v>
      </c>
      <c r="O6" s="3" t="s">
        <v>45</v>
      </c>
      <c r="P6" s="3">
        <v>584</v>
      </c>
      <c r="Q6" s="3">
        <v>1134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44875</v>
      </c>
      <c r="B7" s="3" t="s">
        <v>21</v>
      </c>
      <c r="C7" s="3" t="s">
        <v>54</v>
      </c>
      <c r="D7" s="3" t="s">
        <v>22</v>
      </c>
      <c r="E7" s="3" t="s">
        <v>168</v>
      </c>
      <c r="F7" s="3" t="s">
        <v>23</v>
      </c>
      <c r="G7" s="9">
        <v>70000</v>
      </c>
      <c r="H7" s="3" t="s">
        <v>55</v>
      </c>
      <c r="I7" s="3" t="s">
        <v>56</v>
      </c>
      <c r="J7" s="4">
        <v>0.88888888888888884</v>
      </c>
      <c r="K7" s="5">
        <v>0.8930555555555556</v>
      </c>
      <c r="L7" s="4">
        <v>0.71875</v>
      </c>
      <c r="M7" s="5">
        <v>0.72638888888888886</v>
      </c>
      <c r="N7" s="3" t="s">
        <v>194</v>
      </c>
      <c r="O7" s="3" t="s">
        <v>53</v>
      </c>
      <c r="P7" s="3">
        <v>439</v>
      </c>
      <c r="Q7" s="3">
        <v>655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3"/>
      <c r="L8" s="4"/>
      <c r="M8" s="3"/>
      <c r="N8" s="3"/>
      <c r="O8" s="3"/>
      <c r="P8" s="3"/>
      <c r="Q8" s="3"/>
      <c r="R8" s="3"/>
      <c r="S8" s="3"/>
      <c r="T8" s="3"/>
      <c r="U8" s="3"/>
    </row>
    <row r="9" spans="1:2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I41" sqref="I41"/>
    </sheetView>
  </sheetViews>
  <sheetFormatPr defaultRowHeight="12.75" x14ac:dyDescent="0.2"/>
  <cols>
    <col min="1" max="1" width="10.140625" style="6" bestFit="1" customWidth="1"/>
    <col min="2" max="2" width="18.140625" style="6" bestFit="1" customWidth="1"/>
    <col min="3" max="3" width="14" style="6" customWidth="1"/>
    <col min="4" max="5" width="9.140625" style="6"/>
    <col min="6" max="6" width="12.7109375" style="6" customWidth="1"/>
    <col min="7" max="13" width="9.140625" style="6"/>
    <col min="14" max="14" width="9.5703125" style="6" customWidth="1"/>
    <col min="15" max="15" width="10.42578125" style="6" customWidth="1"/>
    <col min="16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44876</v>
      </c>
      <c r="B2" s="3" t="s">
        <v>21</v>
      </c>
      <c r="C2" s="3" t="s">
        <v>110</v>
      </c>
      <c r="D2" s="3" t="s">
        <v>22</v>
      </c>
      <c r="E2" s="3" t="s">
        <v>168</v>
      </c>
      <c r="F2" s="1" t="s">
        <v>23</v>
      </c>
      <c r="G2" s="9">
        <v>70000</v>
      </c>
      <c r="H2" s="3" t="s">
        <v>113</v>
      </c>
      <c r="I2" s="5" t="s">
        <v>116</v>
      </c>
      <c r="J2" s="7">
        <v>0.52430555555555558</v>
      </c>
      <c r="K2" s="5">
        <v>0.52916666666666667</v>
      </c>
      <c r="L2" s="4">
        <v>0.27777777777777779</v>
      </c>
      <c r="M2" s="5">
        <v>0.30902777777777779</v>
      </c>
      <c r="N2" s="3" t="s">
        <v>220</v>
      </c>
      <c r="O2" s="3" t="s">
        <v>218</v>
      </c>
      <c r="P2" s="3">
        <v>662</v>
      </c>
      <c r="Q2" s="3">
        <v>1281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44876</v>
      </c>
      <c r="B3" s="3" t="s">
        <v>21</v>
      </c>
      <c r="C3" s="3" t="s">
        <v>111</v>
      </c>
      <c r="D3" s="3" t="s">
        <v>22</v>
      </c>
      <c r="E3" s="3" t="s">
        <v>208</v>
      </c>
      <c r="F3" s="3" t="s">
        <v>23</v>
      </c>
      <c r="G3" s="9">
        <v>70000</v>
      </c>
      <c r="H3" s="3" t="s">
        <v>114</v>
      </c>
      <c r="I3" s="5" t="s">
        <v>117</v>
      </c>
      <c r="J3" s="7">
        <v>0.4826388888888889</v>
      </c>
      <c r="K3" s="5">
        <v>0.49652777777777773</v>
      </c>
      <c r="L3" s="4">
        <v>0.28819444444444448</v>
      </c>
      <c r="M3" s="5">
        <v>0.31597222222222221</v>
      </c>
      <c r="N3" s="3" t="s">
        <v>219</v>
      </c>
      <c r="O3" s="3" t="s">
        <v>136</v>
      </c>
      <c r="P3" s="3">
        <v>779</v>
      </c>
      <c r="Q3" s="3">
        <v>658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44876</v>
      </c>
      <c r="B4" s="3" t="s">
        <v>21</v>
      </c>
      <c r="C4" s="3" t="s">
        <v>112</v>
      </c>
      <c r="D4" s="3" t="s">
        <v>22</v>
      </c>
      <c r="E4" s="3" t="str">
        <f>E3</f>
        <v>HA-LWL</v>
      </c>
      <c r="F4" s="3" t="s">
        <v>23</v>
      </c>
      <c r="G4" s="9">
        <v>70000</v>
      </c>
      <c r="H4" s="3" t="s">
        <v>115</v>
      </c>
      <c r="I4" s="5" t="s">
        <v>118</v>
      </c>
      <c r="J4" s="7">
        <v>0.68055555555555547</v>
      </c>
      <c r="K4" s="5">
        <v>0.68819444444444444</v>
      </c>
      <c r="L4" s="4">
        <v>0.50694444444444442</v>
      </c>
      <c r="M4" s="5">
        <v>0.53055555555555556</v>
      </c>
      <c r="N4" s="3" t="s">
        <v>72</v>
      </c>
      <c r="O4" s="3" t="s">
        <v>73</v>
      </c>
      <c r="P4" s="3">
        <v>634</v>
      </c>
      <c r="Q4" s="3">
        <v>737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44876</v>
      </c>
      <c r="B5" s="3" t="s">
        <v>21</v>
      </c>
      <c r="C5" s="3" t="s">
        <v>120</v>
      </c>
      <c r="D5" s="3" t="s">
        <v>22</v>
      </c>
      <c r="E5" s="3" t="str">
        <f>E2</f>
        <v>HA-LYH</v>
      </c>
      <c r="F5" s="3" t="s">
        <v>23</v>
      </c>
      <c r="G5" s="9">
        <v>70000</v>
      </c>
      <c r="H5" s="3" t="s">
        <v>113</v>
      </c>
      <c r="I5" s="5" t="s">
        <v>119</v>
      </c>
      <c r="J5" s="7">
        <v>0.66666666666666663</v>
      </c>
      <c r="K5" s="5">
        <v>0.6777777777777777</v>
      </c>
      <c r="L5" s="4">
        <v>0.54513888888888895</v>
      </c>
      <c r="M5" s="5">
        <v>0.57013888888888886</v>
      </c>
      <c r="N5" s="3" t="s">
        <v>227</v>
      </c>
      <c r="O5" s="3" t="s">
        <v>221</v>
      </c>
      <c r="P5" s="3">
        <v>634</v>
      </c>
      <c r="Q5" s="3">
        <v>524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2">
        <v>44876</v>
      </c>
      <c r="B6" s="3" t="s">
        <v>21</v>
      </c>
      <c r="C6" s="3" t="s">
        <v>67</v>
      </c>
      <c r="D6" s="3" t="s">
        <v>22</v>
      </c>
      <c r="E6" s="3" t="s">
        <v>168</v>
      </c>
      <c r="F6" s="3" t="s">
        <v>23</v>
      </c>
      <c r="G6" s="9">
        <v>70000</v>
      </c>
      <c r="H6" s="3" t="s">
        <v>60</v>
      </c>
      <c r="I6" s="6" t="s">
        <v>59</v>
      </c>
      <c r="J6" s="7">
        <v>0.86111111111111116</v>
      </c>
      <c r="K6" s="8">
        <v>0.84861111111111109</v>
      </c>
      <c r="L6" s="7">
        <v>0.70486111111111116</v>
      </c>
      <c r="M6" s="8">
        <v>0.71111111111111114</v>
      </c>
      <c r="N6" s="6" t="s">
        <v>203</v>
      </c>
      <c r="O6" s="6" t="s">
        <v>229</v>
      </c>
      <c r="P6" s="6">
        <v>376</v>
      </c>
      <c r="Q6" s="6">
        <v>566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44876</v>
      </c>
      <c r="B7" s="3" t="s">
        <v>21</v>
      </c>
      <c r="C7" s="3" t="s">
        <v>122</v>
      </c>
      <c r="D7" s="3" t="s">
        <v>22</v>
      </c>
      <c r="E7" s="3" t="str">
        <f>E4</f>
        <v>HA-LWL</v>
      </c>
      <c r="F7" s="3" t="s">
        <v>23</v>
      </c>
      <c r="G7" s="3">
        <v>70000</v>
      </c>
      <c r="H7" s="3" t="s">
        <v>125</v>
      </c>
      <c r="I7" s="3" t="s">
        <v>126</v>
      </c>
      <c r="J7" s="4">
        <v>0.92708333333333337</v>
      </c>
      <c r="K7" s="5">
        <v>0.92569444444444438</v>
      </c>
      <c r="L7" s="4">
        <v>0.74305555555555547</v>
      </c>
      <c r="M7" s="5">
        <v>0.74722222222222223</v>
      </c>
      <c r="N7" s="3" t="s">
        <v>45</v>
      </c>
      <c r="O7" s="3" t="s">
        <v>230</v>
      </c>
      <c r="P7" s="3">
        <v>728</v>
      </c>
      <c r="Q7" s="3">
        <v>629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44876</v>
      </c>
      <c r="B8" s="6" t="s">
        <v>38</v>
      </c>
      <c r="C8" s="6" t="s">
        <v>123</v>
      </c>
      <c r="D8" s="6" t="s">
        <v>124</v>
      </c>
      <c r="E8" s="6" t="s">
        <v>222</v>
      </c>
      <c r="F8" s="6" t="s">
        <v>23</v>
      </c>
      <c r="G8" s="6">
        <v>80000</v>
      </c>
      <c r="H8" s="6" t="s">
        <v>127</v>
      </c>
      <c r="I8" s="6" t="s">
        <v>128</v>
      </c>
      <c r="J8" s="7">
        <v>0.77777777777777779</v>
      </c>
      <c r="K8" s="8">
        <v>0.76041666666666663</v>
      </c>
      <c r="L8" s="7">
        <v>0.80208333333333337</v>
      </c>
      <c r="M8" s="8">
        <v>0.80347222222222225</v>
      </c>
      <c r="N8" s="6" t="s">
        <v>228</v>
      </c>
      <c r="O8" s="6" t="s">
        <v>150</v>
      </c>
      <c r="P8" s="6">
        <v>221</v>
      </c>
      <c r="Q8" s="6">
        <v>525</v>
      </c>
      <c r="R8" s="6">
        <v>0</v>
      </c>
      <c r="S8" s="6">
        <v>0</v>
      </c>
      <c r="T8" s="6">
        <v>0</v>
      </c>
      <c r="U8" s="6">
        <v>0</v>
      </c>
    </row>
    <row r="9" spans="1:21" x14ac:dyDescent="0.2">
      <c r="A9" s="2">
        <v>44876</v>
      </c>
      <c r="B9" s="6" t="s">
        <v>105</v>
      </c>
      <c r="C9" s="6" t="s">
        <v>223</v>
      </c>
      <c r="D9" s="6" t="s">
        <v>224</v>
      </c>
      <c r="E9" s="6" t="s">
        <v>104</v>
      </c>
      <c r="F9" s="6" t="s">
        <v>225</v>
      </c>
      <c r="G9" s="6">
        <v>6</v>
      </c>
      <c r="H9" s="6" t="s">
        <v>104</v>
      </c>
      <c r="I9" s="6" t="s">
        <v>104</v>
      </c>
      <c r="J9" s="7">
        <v>0.60416666666666663</v>
      </c>
      <c r="K9" s="8">
        <v>0.60555555555555551</v>
      </c>
      <c r="L9" s="7">
        <v>0.625</v>
      </c>
      <c r="M9" s="8">
        <v>0.625</v>
      </c>
      <c r="N9" s="6" t="s">
        <v>226</v>
      </c>
      <c r="O9" s="6" t="s">
        <v>226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</sheetData>
  <pageMargins left="0.7" right="0.7" top="0.75" bottom="0.75" header="0.3" footer="0.3"/>
  <pageSetup paperSize="9" orientation="portrait" verticalDpi="0" r:id="rId1"/>
  <ignoredErrors>
    <ignoredError sqref="E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F35" sqref="F35"/>
    </sheetView>
  </sheetViews>
  <sheetFormatPr defaultRowHeight="15" x14ac:dyDescent="0.25"/>
  <cols>
    <col min="3" max="3" width="13.28515625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44877</v>
      </c>
      <c r="B2" s="3" t="s">
        <v>21</v>
      </c>
      <c r="C2" s="3" t="s">
        <v>24</v>
      </c>
      <c r="D2" s="3" t="s">
        <v>22</v>
      </c>
      <c r="E2" s="3" t="s">
        <v>168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0.4861111111111111</v>
      </c>
      <c r="L2" s="4">
        <v>0.27777777777777779</v>
      </c>
      <c r="M2" s="5">
        <v>0.28541666666666665</v>
      </c>
      <c r="N2" s="3" t="s">
        <v>235</v>
      </c>
      <c r="O2" s="3" t="s">
        <v>231</v>
      </c>
      <c r="P2" s="3">
        <v>980</v>
      </c>
      <c r="Q2" s="3">
        <v>1092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44877</v>
      </c>
      <c r="B3" s="3" t="s">
        <v>21</v>
      </c>
      <c r="C3" s="3" t="s">
        <v>36</v>
      </c>
      <c r="D3" s="3" t="s">
        <v>22</v>
      </c>
      <c r="E3" s="3" t="s">
        <v>208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0.50555555555555554</v>
      </c>
      <c r="L3" s="4">
        <v>0.30555555555555552</v>
      </c>
      <c r="M3" s="5">
        <v>0.30902777777777779</v>
      </c>
      <c r="N3" s="3" t="s">
        <v>236</v>
      </c>
      <c r="O3" s="3" t="s">
        <v>232</v>
      </c>
      <c r="P3" s="3">
        <v>677</v>
      </c>
      <c r="Q3" s="3">
        <v>1050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44877</v>
      </c>
      <c r="B4" s="3" t="s">
        <v>21</v>
      </c>
      <c r="C4" s="3" t="s">
        <v>27</v>
      </c>
      <c r="D4" s="3" t="s">
        <v>22</v>
      </c>
      <c r="E4" s="3" t="s">
        <v>168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0.70624999999999993</v>
      </c>
      <c r="L4" s="4">
        <v>0.52430555555555558</v>
      </c>
      <c r="M4" s="5">
        <v>0.52986111111111112</v>
      </c>
      <c r="N4" s="3" t="s">
        <v>239</v>
      </c>
      <c r="O4" s="3" t="s">
        <v>233</v>
      </c>
      <c r="P4" s="3">
        <v>375</v>
      </c>
      <c r="Q4" s="3">
        <v>829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44877</v>
      </c>
      <c r="B5" s="3" t="s">
        <v>21</v>
      </c>
      <c r="C5" s="3" t="s">
        <v>30</v>
      </c>
      <c r="D5" s="3" t="s">
        <v>22</v>
      </c>
      <c r="E5" s="3" t="s">
        <v>208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0.71111111111111114</v>
      </c>
      <c r="L5" s="4">
        <v>0.54166666666666663</v>
      </c>
      <c r="M5" s="5">
        <v>0.54513888888888895</v>
      </c>
      <c r="N5" s="3" t="s">
        <v>240</v>
      </c>
      <c r="O5" s="3" t="s">
        <v>234</v>
      </c>
      <c r="P5" s="3">
        <v>615</v>
      </c>
      <c r="Q5" s="3">
        <v>712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44877</v>
      </c>
      <c r="B6" s="3" t="s">
        <v>38</v>
      </c>
      <c r="C6" s="3" t="s">
        <v>34</v>
      </c>
      <c r="D6" s="3" t="s">
        <v>22</v>
      </c>
      <c r="E6" s="3" t="s">
        <v>237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0.67361111111111116</v>
      </c>
      <c r="K6" s="5">
        <v>0.66111111111111109</v>
      </c>
      <c r="L6" s="4">
        <v>0.69097222222222221</v>
      </c>
      <c r="M6" s="5">
        <v>0.70138888888888884</v>
      </c>
      <c r="N6" s="3" t="s">
        <v>238</v>
      </c>
      <c r="O6" s="3" t="s">
        <v>241</v>
      </c>
      <c r="P6" s="3">
        <v>153</v>
      </c>
      <c r="Q6" s="3">
        <v>312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44877</v>
      </c>
      <c r="B7" s="3" t="s">
        <v>21</v>
      </c>
      <c r="C7" s="3" t="s">
        <v>54</v>
      </c>
      <c r="D7" s="3" t="s">
        <v>22</v>
      </c>
      <c r="E7" s="3" t="s">
        <v>168</v>
      </c>
      <c r="F7" s="1" t="s">
        <v>23</v>
      </c>
      <c r="G7" s="9">
        <v>70000</v>
      </c>
      <c r="H7" s="3" t="s">
        <v>55</v>
      </c>
      <c r="I7" s="3" t="s">
        <v>56</v>
      </c>
      <c r="J7" s="4">
        <v>0.88888888888888884</v>
      </c>
      <c r="K7" s="5">
        <v>0.89513888888888893</v>
      </c>
      <c r="L7" s="4">
        <v>0.71875</v>
      </c>
      <c r="M7" s="5">
        <v>0.74097222222222225</v>
      </c>
      <c r="N7" s="3" t="s">
        <v>243</v>
      </c>
      <c r="O7" s="3" t="s">
        <v>242</v>
      </c>
      <c r="P7" s="3">
        <v>596</v>
      </c>
      <c r="Q7" s="3">
        <v>857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D4" sqref="D4"/>
    </sheetView>
  </sheetViews>
  <sheetFormatPr defaultRowHeight="15" x14ac:dyDescent="0.25"/>
  <cols>
    <col min="3" max="3" width="13.5703125" bestFit="1" customWidth="1"/>
    <col min="6" max="6" width="12.140625" bestFit="1" customWidth="1"/>
    <col min="14" max="14" width="11.42578125" customWidth="1"/>
    <col min="15" max="15" width="15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44847</v>
      </c>
      <c r="B2" s="3" t="s">
        <v>21</v>
      </c>
      <c r="C2" s="3" t="s">
        <v>24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0.48958333333333331</v>
      </c>
      <c r="L2" s="4">
        <v>0.27777777777777779</v>
      </c>
      <c r="M2" s="5">
        <v>0.30763888888888891</v>
      </c>
      <c r="N2" s="2" t="s">
        <v>245</v>
      </c>
      <c r="O2" s="2" t="s">
        <v>175</v>
      </c>
      <c r="P2" s="3">
        <v>549</v>
      </c>
      <c r="Q2" s="6">
        <v>764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44840</v>
      </c>
      <c r="B3" s="3" t="s">
        <v>21</v>
      </c>
      <c r="C3" s="3" t="s">
        <v>75</v>
      </c>
      <c r="D3" s="3" t="s">
        <v>22</v>
      </c>
      <c r="E3" s="3" t="s">
        <v>168</v>
      </c>
      <c r="F3" s="1" t="s">
        <v>23</v>
      </c>
      <c r="G3" s="9">
        <v>70000</v>
      </c>
      <c r="H3" s="3" t="s">
        <v>85</v>
      </c>
      <c r="I3" s="3" t="s">
        <v>84</v>
      </c>
      <c r="J3" s="4">
        <v>0.4861111111111111</v>
      </c>
      <c r="K3" s="5">
        <v>0.49374999999999997</v>
      </c>
      <c r="L3" s="4">
        <v>0.3298611111111111</v>
      </c>
      <c r="M3" s="5">
        <v>0.33749999999999997</v>
      </c>
      <c r="N3" s="2" t="s">
        <v>246</v>
      </c>
      <c r="O3" s="2" t="s">
        <v>244</v>
      </c>
      <c r="P3" s="3">
        <v>421</v>
      </c>
      <c r="Q3" s="3">
        <v>606</v>
      </c>
      <c r="R3" s="3">
        <v>0</v>
      </c>
      <c r="S3" s="3">
        <v>0</v>
      </c>
      <c r="T3" s="3">
        <v>0</v>
      </c>
      <c r="U3" s="3">
        <v>0</v>
      </c>
    </row>
    <row r="4" spans="1:21" s="3" customFormat="1" ht="12.75" x14ac:dyDescent="0.2">
      <c r="A4" s="2">
        <v>44840</v>
      </c>
      <c r="B4" s="14" t="s">
        <v>38</v>
      </c>
      <c r="C4" s="3" t="s">
        <v>61</v>
      </c>
      <c r="D4" s="3" t="s">
        <v>22</v>
      </c>
      <c r="E4" s="3" t="s">
        <v>247</v>
      </c>
      <c r="F4" s="3" t="s">
        <v>23</v>
      </c>
      <c r="G4" s="9">
        <v>70000</v>
      </c>
      <c r="H4" s="3" t="s">
        <v>64</v>
      </c>
      <c r="I4" s="3" t="s">
        <v>63</v>
      </c>
      <c r="J4" s="4">
        <v>0.37847222222222227</v>
      </c>
      <c r="K4" s="5">
        <v>0.50208333333333333</v>
      </c>
      <c r="L4" s="4">
        <v>0.39583333333333331</v>
      </c>
      <c r="M4" s="5">
        <v>0.53263888888888888</v>
      </c>
      <c r="N4" s="6">
        <v>0</v>
      </c>
      <c r="O4" s="2" t="s">
        <v>248</v>
      </c>
      <c r="P4" s="3">
        <v>0</v>
      </c>
      <c r="Q4" s="3">
        <v>502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44840</v>
      </c>
      <c r="B5" s="3" t="s">
        <v>21</v>
      </c>
      <c r="C5" s="3" t="s">
        <v>54</v>
      </c>
      <c r="D5" s="3" t="s">
        <v>22</v>
      </c>
      <c r="E5" s="3" t="s">
        <v>168</v>
      </c>
      <c r="F5" s="3" t="s">
        <v>23</v>
      </c>
      <c r="G5" s="9">
        <v>70000</v>
      </c>
      <c r="H5" s="3" t="s">
        <v>55</v>
      </c>
      <c r="I5" s="3" t="s">
        <v>56</v>
      </c>
      <c r="J5" s="4">
        <v>0.67708333333333337</v>
      </c>
      <c r="K5" s="5">
        <v>0.69027777777777777</v>
      </c>
      <c r="L5" s="4">
        <v>0.50694444444444442</v>
      </c>
      <c r="M5" s="5">
        <v>0.53611111111111109</v>
      </c>
      <c r="N5" s="2" t="s">
        <v>250</v>
      </c>
      <c r="O5" s="2" t="s">
        <v>94</v>
      </c>
      <c r="P5" s="6">
        <v>824</v>
      </c>
      <c r="Q5" s="6">
        <v>684</v>
      </c>
      <c r="R5" s="6">
        <v>0</v>
      </c>
      <c r="S5" s="6">
        <v>0</v>
      </c>
      <c r="T5" s="6">
        <v>0</v>
      </c>
      <c r="U5" s="3">
        <v>0</v>
      </c>
    </row>
    <row r="6" spans="1:21" x14ac:dyDescent="0.25">
      <c r="A6" s="2">
        <v>44840</v>
      </c>
      <c r="B6" s="3" t="s">
        <v>21</v>
      </c>
      <c r="C6" s="3" t="s">
        <v>67</v>
      </c>
      <c r="D6" s="3" t="s">
        <v>22</v>
      </c>
      <c r="E6" s="3" t="s">
        <v>208</v>
      </c>
      <c r="F6" s="1" t="s">
        <v>23</v>
      </c>
      <c r="G6" s="9">
        <v>70000</v>
      </c>
      <c r="H6" s="3" t="s">
        <v>60</v>
      </c>
      <c r="I6" s="3" t="s">
        <v>59</v>
      </c>
      <c r="J6" s="4">
        <v>0.68402777777777779</v>
      </c>
      <c r="K6" s="5">
        <v>0.68125000000000002</v>
      </c>
      <c r="L6" s="4">
        <v>0.52777777777777779</v>
      </c>
      <c r="M6" s="5">
        <v>0.54513888888888895</v>
      </c>
      <c r="N6" s="2" t="s">
        <v>251</v>
      </c>
      <c r="O6" s="2" t="s">
        <v>249</v>
      </c>
      <c r="P6" s="3">
        <v>851</v>
      </c>
      <c r="Q6" s="3">
        <v>542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44840</v>
      </c>
      <c r="B7" s="3" t="s">
        <v>21</v>
      </c>
      <c r="C7" s="3" t="s">
        <v>76</v>
      </c>
      <c r="D7" s="3" t="s">
        <v>22</v>
      </c>
      <c r="E7" s="3" t="s">
        <v>208</v>
      </c>
      <c r="F7" s="1" t="s">
        <v>23</v>
      </c>
      <c r="G7" s="9">
        <v>70000</v>
      </c>
      <c r="H7" s="3" t="s">
        <v>87</v>
      </c>
      <c r="I7" s="3" t="s">
        <v>86</v>
      </c>
      <c r="J7" s="4">
        <v>0.91319444444444453</v>
      </c>
      <c r="K7" s="5">
        <v>0.90208333333333324</v>
      </c>
      <c r="L7" s="4">
        <v>0.70486111111111116</v>
      </c>
      <c r="M7" s="5">
        <v>0.71805555555555556</v>
      </c>
      <c r="N7" s="2" t="s">
        <v>252</v>
      </c>
      <c r="O7" s="2" t="s">
        <v>145</v>
      </c>
      <c r="P7" s="3">
        <v>557</v>
      </c>
      <c r="Q7" s="3">
        <v>741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44840</v>
      </c>
      <c r="B8" s="3" t="s">
        <v>21</v>
      </c>
      <c r="C8" s="3" t="s">
        <v>66</v>
      </c>
      <c r="D8" s="3" t="s">
        <v>22</v>
      </c>
      <c r="E8" s="3" t="s">
        <v>168</v>
      </c>
      <c r="F8" s="3" t="s">
        <v>23</v>
      </c>
      <c r="G8" s="9">
        <v>70000</v>
      </c>
      <c r="H8" s="3" t="s">
        <v>58</v>
      </c>
      <c r="I8" s="3" t="s">
        <v>57</v>
      </c>
      <c r="J8" s="4">
        <v>0.95486111111111116</v>
      </c>
      <c r="K8" s="5">
        <v>0.93888888888888899</v>
      </c>
      <c r="L8" s="4">
        <v>0.71527777777777779</v>
      </c>
      <c r="M8" s="5">
        <v>0.72777777777777775</v>
      </c>
      <c r="N8" s="2" t="s">
        <v>253</v>
      </c>
      <c r="O8" s="2" t="s">
        <v>164</v>
      </c>
      <c r="P8" s="3">
        <v>372</v>
      </c>
      <c r="Q8" s="3">
        <v>781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43" sqref="F43"/>
    </sheetView>
  </sheetViews>
  <sheetFormatPr defaultRowHeight="12.75" x14ac:dyDescent="0.2"/>
  <cols>
    <col min="1" max="1" width="12.7109375" style="6" customWidth="1"/>
    <col min="2" max="2" width="11.140625" style="6" customWidth="1"/>
    <col min="3" max="3" width="14.5703125" style="6" customWidth="1"/>
    <col min="4" max="5" width="9.140625" style="6"/>
    <col min="6" max="6" width="12.7109375" style="6" customWidth="1"/>
    <col min="7" max="7" width="9.140625" style="6"/>
    <col min="8" max="8" width="9.85546875" style="6" customWidth="1"/>
    <col min="9" max="9" width="11.28515625" style="6" customWidth="1"/>
    <col min="10" max="10" width="9.140625" style="6"/>
    <col min="11" max="11" width="11.7109375" style="6" bestFit="1" customWidth="1"/>
    <col min="12" max="13" width="9.140625" style="6"/>
    <col min="14" max="14" width="9.5703125" style="6" customWidth="1"/>
    <col min="15" max="15" width="10.42578125" style="6" customWidth="1"/>
    <col min="16" max="16384" width="9.140625" style="6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44879</v>
      </c>
      <c r="B2" s="3" t="s">
        <v>21</v>
      </c>
      <c r="C2" s="3" t="s">
        <v>110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113</v>
      </c>
      <c r="I2" s="5" t="s">
        <v>116</v>
      </c>
      <c r="J2" s="7">
        <v>0.52430555555555558</v>
      </c>
      <c r="K2" s="5">
        <v>0.63124999999999998</v>
      </c>
      <c r="L2" s="4">
        <v>0.27777777777777779</v>
      </c>
      <c r="M2" s="5">
        <v>0.40972222222222227</v>
      </c>
      <c r="N2" s="3" t="s">
        <v>263</v>
      </c>
      <c r="O2" s="3" t="s">
        <v>249</v>
      </c>
      <c r="P2" s="3">
        <v>476</v>
      </c>
      <c r="Q2" s="3">
        <v>981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">
      <c r="A3" s="2">
        <v>44879</v>
      </c>
      <c r="B3" s="3" t="s">
        <v>21</v>
      </c>
      <c r="C3" s="3" t="s">
        <v>111</v>
      </c>
      <c r="D3" s="3" t="s">
        <v>22</v>
      </c>
      <c r="E3" s="3" t="s">
        <v>168</v>
      </c>
      <c r="F3" s="3" t="s">
        <v>23</v>
      </c>
      <c r="G3" s="9">
        <v>70000</v>
      </c>
      <c r="H3" s="3" t="s">
        <v>114</v>
      </c>
      <c r="I3" s="5" t="s">
        <v>117</v>
      </c>
      <c r="J3" s="7">
        <v>0.4826388888888889</v>
      </c>
      <c r="K3" s="5">
        <v>0.58958333333333335</v>
      </c>
      <c r="L3" s="4">
        <v>0.28819444444444448</v>
      </c>
      <c r="M3" s="5">
        <v>0.40833333333333338</v>
      </c>
      <c r="N3" s="3" t="s">
        <v>264</v>
      </c>
      <c r="O3" s="3" t="s">
        <v>261</v>
      </c>
      <c r="P3" s="3">
        <v>815</v>
      </c>
      <c r="Q3" s="3">
        <v>928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">
      <c r="A4" s="2">
        <v>44879</v>
      </c>
      <c r="B4" s="3" t="s">
        <v>21</v>
      </c>
      <c r="C4" s="3" t="s">
        <v>112</v>
      </c>
      <c r="D4" s="3" t="s">
        <v>22</v>
      </c>
      <c r="E4" s="3" t="s">
        <v>256</v>
      </c>
      <c r="F4" s="3" t="s">
        <v>23</v>
      </c>
      <c r="G4" s="9">
        <v>70000</v>
      </c>
      <c r="H4" s="3" t="s">
        <v>115</v>
      </c>
      <c r="I4" s="5" t="s">
        <v>118</v>
      </c>
      <c r="J4" s="7">
        <v>0.68055555555555547</v>
      </c>
      <c r="K4" s="5">
        <v>0.70486111111111116</v>
      </c>
      <c r="L4" s="4">
        <v>0.50694444444444442</v>
      </c>
      <c r="M4" s="5">
        <v>0.55972222222222223</v>
      </c>
      <c r="N4" s="3" t="s">
        <v>267</v>
      </c>
      <c r="O4" s="3" t="s">
        <v>262</v>
      </c>
      <c r="P4" s="3">
        <v>569</v>
      </c>
      <c r="Q4" s="3">
        <v>735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2">
        <v>44879</v>
      </c>
      <c r="B5" s="6" t="s">
        <v>38</v>
      </c>
      <c r="C5" s="6" t="s">
        <v>123</v>
      </c>
      <c r="D5" s="6" t="s">
        <v>255</v>
      </c>
      <c r="E5" s="6" t="s">
        <v>254</v>
      </c>
      <c r="F5" s="6" t="s">
        <v>23</v>
      </c>
      <c r="G5" s="6">
        <v>80000</v>
      </c>
      <c r="H5" s="6" t="s">
        <v>127</v>
      </c>
      <c r="I5" s="6" t="s">
        <v>128</v>
      </c>
      <c r="J5" s="7">
        <v>0.67013888888888884</v>
      </c>
      <c r="K5" s="8">
        <v>0.65416666666666667</v>
      </c>
      <c r="L5" s="7">
        <v>0.69444444444444453</v>
      </c>
      <c r="M5" s="8">
        <v>0.70138888888888884</v>
      </c>
      <c r="N5" s="3" t="s">
        <v>265</v>
      </c>
      <c r="O5" s="3" t="s">
        <v>194</v>
      </c>
      <c r="P5" s="6">
        <v>338</v>
      </c>
      <c r="Q5" s="6">
        <v>221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2">
        <v>44879</v>
      </c>
      <c r="B6" s="3" t="s">
        <v>21</v>
      </c>
      <c r="C6" s="3" t="s">
        <v>67</v>
      </c>
      <c r="D6" s="3" t="s">
        <v>22</v>
      </c>
      <c r="E6" s="3" t="s">
        <v>208</v>
      </c>
      <c r="F6" s="3" t="s">
        <v>23</v>
      </c>
      <c r="G6" s="9">
        <v>70000</v>
      </c>
      <c r="H6" s="3" t="s">
        <v>60</v>
      </c>
      <c r="I6" s="6" t="s">
        <v>59</v>
      </c>
      <c r="J6" s="7">
        <v>0.86111111111111116</v>
      </c>
      <c r="K6" s="8">
        <v>0.8534722222222223</v>
      </c>
      <c r="L6" s="7">
        <v>0.70486111111111116</v>
      </c>
      <c r="M6" s="8">
        <v>0.72152777777777777</v>
      </c>
      <c r="N6" s="3" t="s">
        <v>96</v>
      </c>
      <c r="O6" s="3" t="s">
        <v>266</v>
      </c>
      <c r="P6" s="6">
        <v>500</v>
      </c>
      <c r="Q6" s="6">
        <v>629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2">
        <v>44879</v>
      </c>
      <c r="B7" s="3" t="s">
        <v>21</v>
      </c>
      <c r="C7" s="3" t="s">
        <v>122</v>
      </c>
      <c r="D7" s="3" t="s">
        <v>22</v>
      </c>
      <c r="E7" s="3" t="s">
        <v>168</v>
      </c>
      <c r="F7" s="3" t="s">
        <v>23</v>
      </c>
      <c r="G7" s="3">
        <v>70000</v>
      </c>
      <c r="H7" s="3" t="s">
        <v>125</v>
      </c>
      <c r="I7" s="3" t="s">
        <v>126</v>
      </c>
      <c r="J7" s="4">
        <v>0.92708333333333337</v>
      </c>
      <c r="K7" s="5" t="s">
        <v>269</v>
      </c>
      <c r="L7" s="4">
        <v>0.74305555555555547</v>
      </c>
      <c r="M7" s="5">
        <v>0.76111111111111107</v>
      </c>
      <c r="N7" s="3"/>
      <c r="O7" s="3" t="s">
        <v>268</v>
      </c>
      <c r="P7" s="3"/>
      <c r="Q7" s="3">
        <v>830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2">
        <v>44879</v>
      </c>
      <c r="B8" s="3" t="s">
        <v>21</v>
      </c>
      <c r="C8" s="6" t="s">
        <v>257</v>
      </c>
      <c r="D8" s="6" t="s">
        <v>22</v>
      </c>
      <c r="E8" s="6" t="s">
        <v>256</v>
      </c>
      <c r="F8" s="6" t="s">
        <v>258</v>
      </c>
      <c r="G8" s="6">
        <v>70000</v>
      </c>
      <c r="H8" s="6" t="s">
        <v>259</v>
      </c>
      <c r="I8" s="6" t="s">
        <v>260</v>
      </c>
      <c r="J8" s="7">
        <v>0.52083333333333337</v>
      </c>
      <c r="K8" s="8">
        <v>0.48749999999999999</v>
      </c>
      <c r="L8" s="7">
        <v>0.77777777777777779</v>
      </c>
      <c r="M8" s="8">
        <v>0.73541666666666661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 x14ac:dyDescent="0.2">
      <c r="A9" s="13"/>
      <c r="J9" s="7"/>
      <c r="K9" s="8"/>
      <c r="L9" s="7"/>
      <c r="M9" s="8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A7" sqref="A7:R7"/>
    </sheetView>
  </sheetViews>
  <sheetFormatPr defaultRowHeight="15" x14ac:dyDescent="0.25"/>
  <cols>
    <col min="2" max="2" width="10.42578125" customWidth="1"/>
    <col min="3" max="3" width="13.7109375" customWidth="1"/>
    <col min="6" max="6" width="12.140625" bestFit="1" customWidth="1"/>
    <col min="11" max="11" width="11.42578125" customWidth="1"/>
    <col min="14" max="14" width="13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44880</v>
      </c>
      <c r="B2" s="3" t="s">
        <v>21</v>
      </c>
      <c r="C2" s="3" t="s">
        <v>24</v>
      </c>
      <c r="D2" s="3" t="s">
        <v>22</v>
      </c>
      <c r="E2" s="3" t="s">
        <v>37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0.76041666666666663</v>
      </c>
      <c r="K2" s="5" t="s">
        <v>283</v>
      </c>
      <c r="L2" s="4">
        <v>0.56944444444444442</v>
      </c>
      <c r="M2" s="5">
        <v>0.58750000000000002</v>
      </c>
      <c r="N2" s="3">
        <v>0</v>
      </c>
      <c r="O2" s="3" t="s">
        <v>232</v>
      </c>
      <c r="P2" s="3">
        <v>0</v>
      </c>
      <c r="Q2" s="3">
        <v>817</v>
      </c>
      <c r="R2" s="3">
        <v>0</v>
      </c>
      <c r="S2" s="3">
        <v>0</v>
      </c>
    </row>
    <row r="3" spans="1:19" x14ac:dyDescent="0.25">
      <c r="A3" s="2">
        <v>44880</v>
      </c>
      <c r="B3" s="3" t="s">
        <v>21</v>
      </c>
      <c r="C3" s="3" t="s">
        <v>36</v>
      </c>
      <c r="D3" s="3" t="s">
        <v>22</v>
      </c>
      <c r="E3" s="3" t="s">
        <v>208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0.57361111111111118</v>
      </c>
      <c r="L3" s="4">
        <v>0.30555555555555552</v>
      </c>
      <c r="M3" s="5">
        <v>0.38055555555555554</v>
      </c>
      <c r="N3" s="3" t="s">
        <v>282</v>
      </c>
      <c r="O3" s="3" t="s">
        <v>281</v>
      </c>
      <c r="P3" s="3">
        <v>735</v>
      </c>
      <c r="Q3" s="3">
        <v>653</v>
      </c>
      <c r="R3" s="3">
        <v>0</v>
      </c>
      <c r="S3" s="3">
        <v>0</v>
      </c>
    </row>
    <row r="4" spans="1:19" x14ac:dyDescent="0.25">
      <c r="A4" s="2">
        <v>44880</v>
      </c>
      <c r="B4" s="3" t="s">
        <v>21</v>
      </c>
      <c r="C4" s="3" t="s">
        <v>27</v>
      </c>
      <c r="D4" s="3" t="s">
        <v>22</v>
      </c>
      <c r="E4" s="3" t="s">
        <v>168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 t="s">
        <v>283</v>
      </c>
      <c r="L4" s="4">
        <v>0.52430555555555558</v>
      </c>
      <c r="M4" s="5">
        <v>0.60972222222222217</v>
      </c>
      <c r="N4" s="3">
        <v>0</v>
      </c>
      <c r="O4" s="3" t="s">
        <v>276</v>
      </c>
      <c r="P4" s="3">
        <v>0</v>
      </c>
      <c r="Q4" s="3">
        <v>337</v>
      </c>
      <c r="R4" s="3">
        <v>0</v>
      </c>
      <c r="S4" s="3">
        <v>0</v>
      </c>
    </row>
    <row r="5" spans="1:19" x14ac:dyDescent="0.25">
      <c r="A5" s="2">
        <v>44880</v>
      </c>
      <c r="B5" s="3" t="s">
        <v>21</v>
      </c>
      <c r="C5" s="3" t="s">
        <v>30</v>
      </c>
      <c r="D5" s="3" t="s">
        <v>22</v>
      </c>
      <c r="E5" s="3" t="s">
        <v>208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0.72430555555555554</v>
      </c>
      <c r="L5" s="4">
        <v>0.54166666666666663</v>
      </c>
      <c r="M5" s="5">
        <v>0.55555555555555558</v>
      </c>
      <c r="N5" s="3" t="s">
        <v>280</v>
      </c>
      <c r="O5" s="3" t="s">
        <v>275</v>
      </c>
      <c r="P5" s="3">
        <v>361</v>
      </c>
      <c r="Q5" s="3">
        <v>633</v>
      </c>
      <c r="R5" s="3">
        <v>0</v>
      </c>
      <c r="S5" s="3">
        <v>0</v>
      </c>
    </row>
    <row r="6" spans="1:19" x14ac:dyDescent="0.25">
      <c r="A6" s="2">
        <v>44880</v>
      </c>
      <c r="B6" s="3" t="s">
        <v>21</v>
      </c>
      <c r="C6" s="3" t="s">
        <v>270</v>
      </c>
      <c r="D6" s="3" t="s">
        <v>22</v>
      </c>
      <c r="E6" s="3" t="s">
        <v>271</v>
      </c>
      <c r="F6" s="3" t="s">
        <v>23</v>
      </c>
      <c r="G6" s="9">
        <v>70000</v>
      </c>
      <c r="H6" s="3" t="s">
        <v>259</v>
      </c>
      <c r="I6" s="3" t="s">
        <v>273</v>
      </c>
      <c r="J6" s="4">
        <v>0.41666666666666669</v>
      </c>
      <c r="K6" s="5">
        <v>0.50138888888888888</v>
      </c>
      <c r="L6" s="4">
        <v>0.44791666666666669</v>
      </c>
      <c r="M6" s="17" t="s">
        <v>273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</row>
    <row r="7" spans="1:19" x14ac:dyDescent="0.25">
      <c r="A7" s="2">
        <v>44880</v>
      </c>
      <c r="B7" s="3" t="s">
        <v>21</v>
      </c>
      <c r="C7" s="3" t="s">
        <v>272</v>
      </c>
      <c r="D7" s="3" t="s">
        <v>22</v>
      </c>
      <c r="E7" s="3" t="s">
        <v>37</v>
      </c>
      <c r="F7" s="3" t="s">
        <v>23</v>
      </c>
      <c r="G7" s="9">
        <v>70000</v>
      </c>
      <c r="H7" s="3" t="s">
        <v>260</v>
      </c>
      <c r="I7" s="3" t="s">
        <v>274</v>
      </c>
      <c r="J7" s="4">
        <v>0.54861111111111105</v>
      </c>
      <c r="K7" s="5">
        <v>0.55208333333333337</v>
      </c>
      <c r="L7" s="4">
        <v>0.78125</v>
      </c>
      <c r="M7" s="17" t="s">
        <v>273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s="3" customFormat="1" ht="12.75" x14ac:dyDescent="0.25">
      <c r="A8" s="2">
        <v>44880</v>
      </c>
      <c r="B8" s="3" t="s">
        <v>38</v>
      </c>
      <c r="C8" s="3" t="s">
        <v>34</v>
      </c>
      <c r="D8" s="3" t="s">
        <v>22</v>
      </c>
      <c r="E8" s="3" t="s">
        <v>277</v>
      </c>
      <c r="F8" s="3" t="s">
        <v>23</v>
      </c>
      <c r="G8" s="9">
        <v>70000</v>
      </c>
      <c r="H8" s="3" t="s">
        <v>42</v>
      </c>
      <c r="I8" s="3" t="s">
        <v>43</v>
      </c>
      <c r="J8" s="4">
        <v>0.6875</v>
      </c>
      <c r="K8" s="5">
        <v>0.68125000000000002</v>
      </c>
      <c r="L8" s="4">
        <v>0.70486111111111116</v>
      </c>
      <c r="M8" s="5">
        <v>0.72777777777777775</v>
      </c>
      <c r="N8" s="3" t="s">
        <v>278</v>
      </c>
      <c r="O8" s="3" t="s">
        <v>279</v>
      </c>
      <c r="P8" s="3">
        <v>260</v>
      </c>
      <c r="Q8" s="3">
        <v>377</v>
      </c>
      <c r="R8" s="3">
        <v>0</v>
      </c>
      <c r="S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A5" sqref="A5:XFD5"/>
    </sheetView>
  </sheetViews>
  <sheetFormatPr defaultRowHeight="15" x14ac:dyDescent="0.25"/>
  <cols>
    <col min="1" max="1" width="11" bestFit="1" customWidth="1"/>
    <col min="2" max="2" width="22.140625" bestFit="1" customWidth="1"/>
    <col min="3" max="3" width="12.8554687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44881</v>
      </c>
      <c r="B2" s="3" t="s">
        <v>21</v>
      </c>
      <c r="C2" s="3" t="s">
        <v>54</v>
      </c>
      <c r="D2" s="3" t="s">
        <v>22</v>
      </c>
      <c r="E2" s="3" t="s">
        <v>168</v>
      </c>
      <c r="F2" s="1" t="s">
        <v>23</v>
      </c>
      <c r="G2" s="9">
        <v>70000</v>
      </c>
      <c r="H2" s="3" t="s">
        <v>55</v>
      </c>
      <c r="I2" s="3" t="s">
        <v>56</v>
      </c>
      <c r="J2" s="4">
        <v>0.51041666666666663</v>
      </c>
      <c r="K2" s="5">
        <v>0.49374999999999997</v>
      </c>
      <c r="L2" s="4">
        <v>0.34027777777777773</v>
      </c>
      <c r="M2" s="5">
        <v>0.34027777777777773</v>
      </c>
      <c r="N2" s="3" t="s">
        <v>289</v>
      </c>
      <c r="O2" s="3" t="s">
        <v>286</v>
      </c>
      <c r="P2" s="3">
        <v>826</v>
      </c>
      <c r="Q2" s="3">
        <v>645</v>
      </c>
      <c r="R2" s="3">
        <v>0</v>
      </c>
      <c r="S2" s="3">
        <v>0</v>
      </c>
      <c r="T2" s="3">
        <v>0</v>
      </c>
      <c r="U2" s="3">
        <v>0</v>
      </c>
      <c r="V2" s="3"/>
    </row>
    <row r="3" spans="1:22" x14ac:dyDescent="0.25">
      <c r="A3" s="2">
        <v>44881</v>
      </c>
      <c r="B3" s="3" t="s">
        <v>21</v>
      </c>
      <c r="C3" s="3" t="s">
        <v>66</v>
      </c>
      <c r="D3" s="3" t="s">
        <v>22</v>
      </c>
      <c r="E3" s="3" t="s">
        <v>168</v>
      </c>
      <c r="F3" s="3" t="s">
        <v>23</v>
      </c>
      <c r="G3" s="9">
        <v>70000</v>
      </c>
      <c r="H3" s="3" t="s">
        <v>58</v>
      </c>
      <c r="I3" s="3" t="s">
        <v>57</v>
      </c>
      <c r="J3" s="4">
        <v>0.92013888888888884</v>
      </c>
      <c r="K3" s="5">
        <v>0.8979166666666667</v>
      </c>
      <c r="L3" s="4">
        <v>0.68055555555555547</v>
      </c>
      <c r="M3" s="5">
        <v>0.68125000000000002</v>
      </c>
      <c r="N3" s="3" t="s">
        <v>305</v>
      </c>
      <c r="O3" s="3" t="s">
        <v>302</v>
      </c>
      <c r="P3" s="3">
        <v>473</v>
      </c>
      <c r="Q3" s="3">
        <v>344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44881</v>
      </c>
      <c r="B4" s="3" t="s">
        <v>21</v>
      </c>
      <c r="C4" s="3" t="s">
        <v>67</v>
      </c>
      <c r="D4" s="3" t="s">
        <v>22</v>
      </c>
      <c r="E4" s="3" t="s">
        <v>208</v>
      </c>
      <c r="F4" s="3" t="s">
        <v>23</v>
      </c>
      <c r="G4" s="9">
        <v>70000</v>
      </c>
      <c r="H4" s="3" t="s">
        <v>60</v>
      </c>
      <c r="I4" s="3" t="s">
        <v>59</v>
      </c>
      <c r="J4" s="4">
        <v>0.86111111111111116</v>
      </c>
      <c r="K4" s="5">
        <v>0.8354166666666667</v>
      </c>
      <c r="L4" s="4">
        <v>0.70486111111111116</v>
      </c>
      <c r="M4" s="5">
        <v>0.7006944444444444</v>
      </c>
      <c r="N4" s="3" t="s">
        <v>304</v>
      </c>
      <c r="O4" s="3" t="s">
        <v>303</v>
      </c>
      <c r="P4" s="3">
        <v>551</v>
      </c>
      <c r="Q4" s="3">
        <v>678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44881</v>
      </c>
      <c r="B5" s="3" t="s">
        <v>38</v>
      </c>
      <c r="C5" s="3" t="s">
        <v>61</v>
      </c>
      <c r="D5" s="3" t="s">
        <v>284</v>
      </c>
      <c r="E5" s="3" t="s">
        <v>285</v>
      </c>
      <c r="F5" s="3" t="s">
        <v>23</v>
      </c>
      <c r="G5" s="9">
        <v>80000</v>
      </c>
      <c r="H5" s="3" t="s">
        <v>64</v>
      </c>
      <c r="I5" s="3" t="s">
        <v>63</v>
      </c>
      <c r="J5" s="4">
        <v>0.38541666666666669</v>
      </c>
      <c r="K5" s="5">
        <v>0.36249999999999999</v>
      </c>
      <c r="L5" s="4">
        <v>0.40277777777777773</v>
      </c>
      <c r="M5" s="5">
        <v>0.41597222222222219</v>
      </c>
      <c r="N5" s="3" t="s">
        <v>287</v>
      </c>
      <c r="O5" s="3" t="s">
        <v>288</v>
      </c>
      <c r="P5" s="3">
        <v>208</v>
      </c>
      <c r="Q5" s="3">
        <v>201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44881</v>
      </c>
      <c r="B6" s="3" t="s">
        <v>290</v>
      </c>
      <c r="C6" s="3" t="s">
        <v>291</v>
      </c>
      <c r="D6" s="3" t="s">
        <v>292</v>
      </c>
      <c r="E6" s="3" t="s">
        <v>293</v>
      </c>
      <c r="F6" s="3" t="s">
        <v>294</v>
      </c>
      <c r="G6" s="3">
        <v>1814</v>
      </c>
      <c r="H6" s="3" t="s">
        <v>273</v>
      </c>
      <c r="I6" s="3" t="s">
        <v>273</v>
      </c>
      <c r="J6" s="3" t="s">
        <v>295</v>
      </c>
      <c r="K6" s="3" t="s">
        <v>273</v>
      </c>
      <c r="L6" s="4">
        <v>0.52083333333333337</v>
      </c>
      <c r="M6" s="5">
        <v>0.48819444444444443</v>
      </c>
      <c r="N6" s="3">
        <v>0</v>
      </c>
      <c r="O6" s="3" t="s">
        <v>296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44881</v>
      </c>
      <c r="B7" s="3" t="s">
        <v>297</v>
      </c>
      <c r="C7" s="3" t="s">
        <v>298</v>
      </c>
      <c r="D7" s="3" t="s">
        <v>299</v>
      </c>
      <c r="E7" s="3" t="s">
        <v>300</v>
      </c>
      <c r="F7" s="3" t="s">
        <v>301</v>
      </c>
      <c r="G7" s="3">
        <v>1999</v>
      </c>
      <c r="H7" s="3" t="s">
        <v>273</v>
      </c>
      <c r="I7" s="3" t="s">
        <v>273</v>
      </c>
      <c r="J7" s="4">
        <v>0.625</v>
      </c>
      <c r="K7" s="5">
        <v>0.62222222222222223</v>
      </c>
      <c r="L7" s="3" t="s">
        <v>295</v>
      </c>
      <c r="M7" s="3" t="s">
        <v>295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6" spans="1:22" x14ac:dyDescent="0.25">
      <c r="A16" s="2"/>
      <c r="B16" s="3"/>
      <c r="C16" s="3"/>
      <c r="D16" s="3"/>
      <c r="E16" s="3"/>
      <c r="F16" s="1"/>
      <c r="G16" s="9"/>
      <c r="H16" s="3"/>
      <c r="I16" s="3"/>
      <c r="J16" s="4"/>
      <c r="K16" s="5"/>
      <c r="L16" s="4"/>
      <c r="M16" s="5"/>
      <c r="N16" s="3"/>
      <c r="O16" s="3"/>
      <c r="P16" s="3"/>
      <c r="Q16" s="3"/>
      <c r="R16" s="3"/>
    </row>
    <row r="17" spans="1:18" x14ac:dyDescent="0.25">
      <c r="A17" s="2"/>
      <c r="B17" s="3"/>
      <c r="C17" s="3"/>
      <c r="D17" s="3"/>
      <c r="E17" s="3"/>
      <c r="F17" s="3"/>
      <c r="G17" s="9"/>
      <c r="H17" s="3"/>
      <c r="I17" s="3"/>
      <c r="J17" s="4"/>
      <c r="K17" s="5"/>
      <c r="L17" s="4"/>
      <c r="M17" s="5"/>
      <c r="N17" s="3"/>
      <c r="O17" s="3"/>
      <c r="P17" s="3"/>
      <c r="Q17" s="3"/>
      <c r="R17" s="3"/>
    </row>
    <row r="18" spans="1:18" x14ac:dyDescent="0.25">
      <c r="A18" s="2"/>
      <c r="B18" s="3"/>
      <c r="C18" s="3"/>
      <c r="D18" s="3"/>
      <c r="E18" s="3"/>
      <c r="F18" s="3"/>
      <c r="G18" s="9"/>
      <c r="H18" s="3"/>
      <c r="I18" s="3"/>
      <c r="J18" s="4"/>
      <c r="K18" s="5"/>
      <c r="L18" s="4"/>
      <c r="M18" s="5"/>
      <c r="N18" s="3"/>
      <c r="O18" s="3"/>
      <c r="P18" s="3"/>
      <c r="Q18" s="3"/>
      <c r="R18" s="3"/>
    </row>
    <row r="19" spans="1:18" x14ac:dyDescent="0.25">
      <c r="A19" s="2"/>
      <c r="B19" s="3"/>
      <c r="C19" s="3"/>
      <c r="D19" s="3"/>
      <c r="E19" s="3"/>
      <c r="F19" s="3"/>
      <c r="G19" s="9"/>
      <c r="H19" s="3"/>
      <c r="I19" s="3"/>
      <c r="J19" s="4"/>
      <c r="K19" s="5"/>
      <c r="L19" s="4"/>
      <c r="M19" s="5"/>
      <c r="N19" s="3"/>
      <c r="O19" s="3"/>
      <c r="P19" s="3"/>
      <c r="Q19" s="3"/>
      <c r="R19" s="3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E24" sqref="E24"/>
    </sheetView>
  </sheetViews>
  <sheetFormatPr defaultRowHeight="15" x14ac:dyDescent="0.25"/>
  <cols>
    <col min="1" max="1" width="12.7109375" customWidth="1"/>
    <col min="2" max="2" width="23" customWidth="1"/>
    <col min="3" max="3" width="19.5703125" customWidth="1"/>
    <col min="4" max="4" width="12.140625" bestFit="1" customWidth="1"/>
    <col min="5" max="5" width="14.140625" customWidth="1"/>
    <col min="6" max="6" width="18.2851562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44882</v>
      </c>
      <c r="B2" s="3" t="s">
        <v>21</v>
      </c>
      <c r="C2" s="3" t="s">
        <v>24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0.49791666666666662</v>
      </c>
      <c r="L2" s="4">
        <v>0.27777777777777779</v>
      </c>
      <c r="M2" s="5">
        <v>0.31041666666666667</v>
      </c>
      <c r="N2" s="3" t="s">
        <v>275</v>
      </c>
      <c r="O2" s="3" t="s">
        <v>306</v>
      </c>
      <c r="P2" s="3">
        <v>856</v>
      </c>
      <c r="Q2" s="3">
        <v>673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44882</v>
      </c>
      <c r="B3" s="3" t="s">
        <v>78</v>
      </c>
      <c r="C3" s="3" t="s">
        <v>34</v>
      </c>
      <c r="D3" s="3" t="s">
        <v>284</v>
      </c>
      <c r="E3" s="3" t="s">
        <v>307</v>
      </c>
      <c r="F3" s="3" t="s">
        <v>23</v>
      </c>
      <c r="G3" s="9">
        <v>80000</v>
      </c>
      <c r="H3" s="3" t="s">
        <v>42</v>
      </c>
      <c r="I3" s="3" t="s">
        <v>43</v>
      </c>
      <c r="J3" s="4">
        <v>0.30208333333333331</v>
      </c>
      <c r="K3" s="5">
        <v>0.2986111111111111</v>
      </c>
      <c r="L3" s="4">
        <v>0.31944444444444448</v>
      </c>
      <c r="M3" s="5">
        <v>0.35625000000000001</v>
      </c>
      <c r="N3" s="16" t="s">
        <v>312</v>
      </c>
      <c r="O3" s="3" t="s">
        <v>308</v>
      </c>
      <c r="P3" s="3">
        <v>56</v>
      </c>
      <c r="Q3" s="3">
        <v>104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44882</v>
      </c>
      <c r="B4" s="3" t="s">
        <v>21</v>
      </c>
      <c r="C4" s="3" t="s">
        <v>75</v>
      </c>
      <c r="D4" s="3" t="s">
        <v>22</v>
      </c>
      <c r="E4" s="3" t="s">
        <v>168</v>
      </c>
      <c r="F4" s="3" t="s">
        <v>23</v>
      </c>
      <c r="G4" s="9">
        <v>70000</v>
      </c>
      <c r="H4" s="3" t="s">
        <v>85</v>
      </c>
      <c r="I4" s="3" t="s">
        <v>84</v>
      </c>
      <c r="J4" s="4">
        <v>0.4861111111111111</v>
      </c>
      <c r="K4" s="5">
        <v>0.49513888888888885</v>
      </c>
      <c r="L4" s="4">
        <v>0.3298611111111111</v>
      </c>
      <c r="M4" s="5">
        <v>0.34861111111111115</v>
      </c>
      <c r="N4" s="3" t="s">
        <v>311</v>
      </c>
      <c r="O4" s="3" t="s">
        <v>309</v>
      </c>
      <c r="P4" s="3">
        <v>180</v>
      </c>
      <c r="Q4" s="3">
        <v>424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44882</v>
      </c>
      <c r="B5" s="3" t="s">
        <v>21</v>
      </c>
      <c r="C5" s="3" t="s">
        <v>67</v>
      </c>
      <c r="D5" s="3" t="s">
        <v>22</v>
      </c>
      <c r="E5" s="3" t="s">
        <v>168</v>
      </c>
      <c r="F5" s="3" t="s">
        <v>23</v>
      </c>
      <c r="G5" s="9">
        <v>70000</v>
      </c>
      <c r="H5" s="3" t="s">
        <v>60</v>
      </c>
      <c r="I5" s="3" t="s">
        <v>59</v>
      </c>
      <c r="J5" s="4">
        <v>0.66666666666666663</v>
      </c>
      <c r="K5" s="5">
        <v>0.66736111111111107</v>
      </c>
      <c r="L5" s="4">
        <v>0.51041666666666663</v>
      </c>
      <c r="M5" s="5">
        <v>0.52777777777777779</v>
      </c>
      <c r="N5" s="3" t="s">
        <v>316</v>
      </c>
      <c r="O5" s="3" t="s">
        <v>313</v>
      </c>
      <c r="P5" s="3">
        <v>512</v>
      </c>
      <c r="Q5" s="3">
        <v>533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44882</v>
      </c>
      <c r="B6" s="3" t="s">
        <v>21</v>
      </c>
      <c r="C6" s="3" t="s">
        <v>76</v>
      </c>
      <c r="D6" s="3" t="s">
        <v>22</v>
      </c>
      <c r="E6" s="3" t="s">
        <v>208</v>
      </c>
      <c r="F6" s="3" t="s">
        <v>23</v>
      </c>
      <c r="G6" s="9">
        <v>70000</v>
      </c>
      <c r="H6" s="3" t="s">
        <v>87</v>
      </c>
      <c r="I6" s="3" t="s">
        <v>86</v>
      </c>
      <c r="J6" s="4">
        <v>0.91319444444444453</v>
      </c>
      <c r="K6" s="5">
        <v>0.91111111111111109</v>
      </c>
      <c r="L6" s="4">
        <v>0.70486111111111116</v>
      </c>
      <c r="M6" s="5">
        <v>0.72013888888888899</v>
      </c>
      <c r="N6" s="3" t="s">
        <v>322</v>
      </c>
      <c r="O6" s="3" t="s">
        <v>320</v>
      </c>
      <c r="P6" s="3">
        <v>446</v>
      </c>
      <c r="Q6" s="3">
        <v>1057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44882</v>
      </c>
      <c r="B7" s="3" t="s">
        <v>21</v>
      </c>
      <c r="C7" s="3" t="s">
        <v>54</v>
      </c>
      <c r="D7" s="3" t="s">
        <v>22</v>
      </c>
      <c r="E7" s="3" t="s">
        <v>168</v>
      </c>
      <c r="F7" s="3" t="s">
        <v>23</v>
      </c>
      <c r="G7" s="9">
        <v>70000</v>
      </c>
      <c r="H7" s="3" t="s">
        <v>55</v>
      </c>
      <c r="I7" s="3" t="s">
        <v>56</v>
      </c>
      <c r="J7" s="4">
        <v>0.88888888888888884</v>
      </c>
      <c r="K7" s="5">
        <v>0.88055555555555554</v>
      </c>
      <c r="L7" s="4">
        <v>0.71875</v>
      </c>
      <c r="M7" s="5">
        <v>0.7270833333333333</v>
      </c>
      <c r="N7" s="3" t="s">
        <v>53</v>
      </c>
      <c r="O7" s="3" t="s">
        <v>321</v>
      </c>
      <c r="P7" s="3">
        <v>707</v>
      </c>
      <c r="Q7" s="3">
        <v>667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">
        <v>44882</v>
      </c>
      <c r="B8" s="3" t="s">
        <v>297</v>
      </c>
      <c r="C8" s="3" t="s">
        <v>310</v>
      </c>
      <c r="D8" s="3" t="s">
        <v>299</v>
      </c>
      <c r="E8" s="3" t="s">
        <v>300</v>
      </c>
      <c r="F8" s="3" t="s">
        <v>301</v>
      </c>
      <c r="G8" s="3">
        <v>1999</v>
      </c>
      <c r="H8" s="3" t="s">
        <v>273</v>
      </c>
      <c r="I8" s="3" t="s">
        <v>273</v>
      </c>
      <c r="J8" s="4" t="s">
        <v>273</v>
      </c>
      <c r="K8" s="5" t="s">
        <v>273</v>
      </c>
      <c r="L8" s="4">
        <v>0.70833333333333337</v>
      </c>
      <c r="M8" s="5">
        <v>0.52777777777777779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2">
        <v>44882</v>
      </c>
      <c r="B9" s="3" t="s">
        <v>317</v>
      </c>
      <c r="C9" s="3" t="s">
        <v>318</v>
      </c>
      <c r="D9" s="3" t="s">
        <v>319</v>
      </c>
      <c r="E9" s="3" t="s">
        <v>314</v>
      </c>
      <c r="F9" s="3" t="s">
        <v>301</v>
      </c>
      <c r="G9" s="3">
        <v>8340</v>
      </c>
      <c r="H9" s="18" t="s">
        <v>295</v>
      </c>
      <c r="I9" s="18" t="s">
        <v>295</v>
      </c>
      <c r="J9" s="4">
        <v>0.54861111111111105</v>
      </c>
      <c r="K9" s="5">
        <v>0.54305555555555551</v>
      </c>
      <c r="L9" s="3" t="s">
        <v>273</v>
      </c>
      <c r="M9" s="3" t="s">
        <v>273</v>
      </c>
      <c r="N9" s="3" t="s">
        <v>315</v>
      </c>
      <c r="O9" s="3" t="s">
        <v>273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sqref="A1:XFD8"/>
    </sheetView>
  </sheetViews>
  <sheetFormatPr defaultRowHeight="15" x14ac:dyDescent="0.25"/>
  <cols>
    <col min="1" max="1" width="10.140625" bestFit="1" customWidth="1"/>
    <col min="3" max="3" width="14" bestFit="1" customWidth="1"/>
    <col min="4" max="4" width="10.140625" customWidth="1"/>
    <col min="6" max="6" width="12.140625" bestFit="1" customWidth="1"/>
  </cols>
  <sheetData>
    <row r="1" spans="1:21" s="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6" customFormat="1" ht="12.75" x14ac:dyDescent="0.2">
      <c r="A2" s="2">
        <v>44883</v>
      </c>
      <c r="B2" s="3" t="s">
        <v>21</v>
      </c>
      <c r="C2" s="3" t="s">
        <v>110</v>
      </c>
      <c r="D2" s="3" t="s">
        <v>22</v>
      </c>
      <c r="E2" s="3" t="s">
        <v>168</v>
      </c>
      <c r="F2" s="1" t="s">
        <v>23</v>
      </c>
      <c r="G2" s="9">
        <v>70000</v>
      </c>
      <c r="H2" s="3" t="s">
        <v>113</v>
      </c>
      <c r="I2" s="5" t="s">
        <v>116</v>
      </c>
      <c r="J2" s="7">
        <v>0.52430555555555558</v>
      </c>
      <c r="K2" s="5">
        <v>0.49236111111111108</v>
      </c>
      <c r="L2" s="4">
        <v>0.27777777777777779</v>
      </c>
      <c r="M2" s="5">
        <v>0.28472222222222221</v>
      </c>
      <c r="N2" s="3" t="s">
        <v>240</v>
      </c>
      <c r="O2" s="3" t="s">
        <v>323</v>
      </c>
      <c r="P2" s="3">
        <v>703</v>
      </c>
      <c r="Q2" s="3">
        <v>877</v>
      </c>
      <c r="R2" s="3">
        <v>0</v>
      </c>
      <c r="S2" s="3">
        <v>0</v>
      </c>
      <c r="T2" s="3">
        <v>0</v>
      </c>
      <c r="U2" s="3">
        <v>0</v>
      </c>
    </row>
    <row r="3" spans="1:21" s="6" customFormat="1" ht="12.75" x14ac:dyDescent="0.2">
      <c r="A3" s="2">
        <v>44883</v>
      </c>
      <c r="B3" s="3" t="s">
        <v>21</v>
      </c>
      <c r="C3" s="3" t="s">
        <v>111</v>
      </c>
      <c r="D3" s="3" t="s">
        <v>22</v>
      </c>
      <c r="E3" s="3" t="s">
        <v>208</v>
      </c>
      <c r="F3" s="3" t="s">
        <v>23</v>
      </c>
      <c r="G3" s="9">
        <v>70000</v>
      </c>
      <c r="H3" s="3" t="s">
        <v>114</v>
      </c>
      <c r="I3" s="5" t="s">
        <v>117</v>
      </c>
      <c r="J3" s="7">
        <v>0.4826388888888889</v>
      </c>
      <c r="K3" s="5">
        <v>0.51458333333333328</v>
      </c>
      <c r="L3" s="4">
        <v>0.28819444444444448</v>
      </c>
      <c r="M3" s="5">
        <v>0.30138888888888887</v>
      </c>
      <c r="N3" s="3" t="s">
        <v>242</v>
      </c>
      <c r="O3" s="3" t="s">
        <v>324</v>
      </c>
      <c r="P3" s="3">
        <v>624</v>
      </c>
      <c r="Q3" s="3">
        <v>899</v>
      </c>
      <c r="R3" s="3">
        <v>0</v>
      </c>
      <c r="S3" s="3">
        <v>0</v>
      </c>
      <c r="T3" s="3">
        <v>0</v>
      </c>
      <c r="U3" s="3">
        <v>0</v>
      </c>
    </row>
    <row r="4" spans="1:21" s="6" customFormat="1" ht="12.75" x14ac:dyDescent="0.2">
      <c r="A4" s="2">
        <v>44883</v>
      </c>
      <c r="B4" s="3" t="s">
        <v>21</v>
      </c>
      <c r="C4" s="3" t="s">
        <v>112</v>
      </c>
      <c r="D4" s="3" t="s">
        <v>22</v>
      </c>
      <c r="E4" s="3" t="str">
        <f>E3</f>
        <v>HA-LWL</v>
      </c>
      <c r="F4" s="3" t="s">
        <v>23</v>
      </c>
      <c r="G4" s="9">
        <v>70000</v>
      </c>
      <c r="H4" s="3" t="s">
        <v>115</v>
      </c>
      <c r="I4" s="5" t="s">
        <v>118</v>
      </c>
      <c r="J4" s="7">
        <v>0.68055555555555547</v>
      </c>
      <c r="K4" s="5">
        <v>0.69236111111111109</v>
      </c>
      <c r="L4" s="4">
        <v>0.50694444444444442</v>
      </c>
      <c r="M4" s="5">
        <v>0.53541666666666665</v>
      </c>
      <c r="N4" s="3" t="s">
        <v>327</v>
      </c>
      <c r="O4" s="3" t="s">
        <v>325</v>
      </c>
      <c r="P4" s="3">
        <v>651</v>
      </c>
      <c r="Q4" s="3">
        <v>694</v>
      </c>
      <c r="R4" s="3">
        <v>0</v>
      </c>
      <c r="S4" s="3">
        <v>0</v>
      </c>
      <c r="T4" s="3">
        <v>0</v>
      </c>
      <c r="U4" s="3">
        <v>0</v>
      </c>
    </row>
    <row r="5" spans="1:21" s="6" customFormat="1" ht="12.75" x14ac:dyDescent="0.2">
      <c r="A5" s="2">
        <v>44883</v>
      </c>
      <c r="B5" s="3" t="s">
        <v>21</v>
      </c>
      <c r="C5" s="3" t="s">
        <v>120</v>
      </c>
      <c r="D5" s="3" t="s">
        <v>22</v>
      </c>
      <c r="E5" s="3" t="str">
        <f>E2</f>
        <v>HA-LYH</v>
      </c>
      <c r="F5" s="3" t="s">
        <v>23</v>
      </c>
      <c r="G5" s="9">
        <v>70000</v>
      </c>
      <c r="H5" s="3" t="s">
        <v>113</v>
      </c>
      <c r="I5" s="5" t="s">
        <v>119</v>
      </c>
      <c r="J5" s="7">
        <v>0.66666666666666663</v>
      </c>
      <c r="K5" s="5">
        <v>0.65694444444444444</v>
      </c>
      <c r="L5" s="4">
        <v>0.54513888888888895</v>
      </c>
      <c r="M5" s="5">
        <v>0.55555555555555558</v>
      </c>
      <c r="N5" s="3" t="s">
        <v>328</v>
      </c>
      <c r="O5" s="3" t="s">
        <v>326</v>
      </c>
      <c r="P5" s="3">
        <v>283</v>
      </c>
      <c r="Q5" s="3">
        <v>422</v>
      </c>
      <c r="R5" s="3">
        <v>0</v>
      </c>
      <c r="S5" s="3">
        <v>0</v>
      </c>
      <c r="T5" s="3">
        <v>0</v>
      </c>
      <c r="U5" s="3">
        <v>0</v>
      </c>
    </row>
    <row r="6" spans="1:21" s="6" customFormat="1" ht="12.75" x14ac:dyDescent="0.2">
      <c r="A6" s="2">
        <v>44883</v>
      </c>
      <c r="B6" s="3" t="s">
        <v>21</v>
      </c>
      <c r="C6" s="3" t="s">
        <v>67</v>
      </c>
      <c r="D6" s="3" t="s">
        <v>22</v>
      </c>
      <c r="E6" s="3" t="s">
        <v>168</v>
      </c>
      <c r="F6" s="3" t="s">
        <v>23</v>
      </c>
      <c r="G6" s="9">
        <v>70000</v>
      </c>
      <c r="H6" s="3" t="s">
        <v>60</v>
      </c>
      <c r="I6" s="6" t="s">
        <v>59</v>
      </c>
      <c r="J6" s="7">
        <v>0.86111111111111116</v>
      </c>
      <c r="K6" s="8">
        <v>0.84305555555555556</v>
      </c>
      <c r="L6" s="7">
        <v>0.70486111111111116</v>
      </c>
      <c r="M6" s="8">
        <v>0.70138888888888884</v>
      </c>
      <c r="N6" s="3" t="s">
        <v>336</v>
      </c>
      <c r="O6" s="3" t="s">
        <v>52</v>
      </c>
      <c r="P6" s="6">
        <v>413</v>
      </c>
      <c r="Q6" s="6">
        <v>630</v>
      </c>
      <c r="R6" s="6">
        <v>0</v>
      </c>
      <c r="S6" s="6">
        <v>0</v>
      </c>
      <c r="T6" s="6">
        <v>0</v>
      </c>
      <c r="U6" s="6">
        <v>0</v>
      </c>
    </row>
    <row r="7" spans="1:21" s="6" customFormat="1" ht="12.75" x14ac:dyDescent="0.2">
      <c r="A7" s="2">
        <v>44883</v>
      </c>
      <c r="B7" s="3" t="s">
        <v>21</v>
      </c>
      <c r="C7" s="3" t="s">
        <v>122</v>
      </c>
      <c r="D7" s="3" t="s">
        <v>22</v>
      </c>
      <c r="E7" s="3" t="str">
        <f>E4</f>
        <v>HA-LWL</v>
      </c>
      <c r="F7" s="3" t="s">
        <v>23</v>
      </c>
      <c r="G7" s="3">
        <v>70000</v>
      </c>
      <c r="H7" s="3" t="s">
        <v>125</v>
      </c>
      <c r="I7" s="3" t="s">
        <v>126</v>
      </c>
      <c r="J7" s="4">
        <v>0.92708333333333337</v>
      </c>
      <c r="K7" s="5">
        <v>0.92152777777777783</v>
      </c>
      <c r="L7" s="4">
        <v>0.74305555555555547</v>
      </c>
      <c r="M7" s="5">
        <v>0.74652777777777779</v>
      </c>
      <c r="N7" s="3" t="s">
        <v>337</v>
      </c>
      <c r="O7" s="3" t="s">
        <v>329</v>
      </c>
      <c r="P7" s="3">
        <v>609</v>
      </c>
      <c r="Q7" s="3">
        <v>741</v>
      </c>
      <c r="R7" s="3">
        <v>0</v>
      </c>
      <c r="S7" s="3">
        <v>0</v>
      </c>
      <c r="T7" s="3">
        <v>0</v>
      </c>
      <c r="U7" s="3">
        <v>0</v>
      </c>
    </row>
    <row r="8" spans="1:21" s="6" customFormat="1" ht="12.75" x14ac:dyDescent="0.2">
      <c r="A8" s="2">
        <v>44883</v>
      </c>
      <c r="B8" s="6" t="s">
        <v>38</v>
      </c>
      <c r="C8" s="6" t="s">
        <v>123</v>
      </c>
      <c r="D8" s="6" t="s">
        <v>124</v>
      </c>
      <c r="E8" s="6" t="s">
        <v>254</v>
      </c>
      <c r="F8" s="6" t="s">
        <v>23</v>
      </c>
      <c r="G8" s="6">
        <v>80000</v>
      </c>
      <c r="H8" s="6" t="s">
        <v>127</v>
      </c>
      <c r="I8" s="6" t="s">
        <v>128</v>
      </c>
      <c r="J8" s="7">
        <v>0.77777777777777779</v>
      </c>
      <c r="K8" s="8">
        <v>0.75694444444444453</v>
      </c>
      <c r="L8" s="7">
        <v>0.80208333333333337</v>
      </c>
      <c r="M8" s="8">
        <v>0.79375000000000007</v>
      </c>
      <c r="N8" s="3" t="s">
        <v>330</v>
      </c>
      <c r="O8" s="3" t="s">
        <v>335</v>
      </c>
      <c r="P8" s="6">
        <v>247</v>
      </c>
      <c r="Q8" s="6">
        <v>299</v>
      </c>
      <c r="R8" s="6">
        <v>0</v>
      </c>
      <c r="S8" s="6">
        <v>0</v>
      </c>
      <c r="T8" s="6">
        <v>0</v>
      </c>
      <c r="U8" s="6">
        <v>0</v>
      </c>
    </row>
    <row r="9" spans="1:21" x14ac:dyDescent="0.25">
      <c r="A9" s="19">
        <v>44883</v>
      </c>
      <c r="B9" s="3" t="s">
        <v>331</v>
      </c>
      <c r="C9" s="3" t="s">
        <v>332</v>
      </c>
      <c r="D9" s="3" t="s">
        <v>333</v>
      </c>
      <c r="E9" s="3" t="s">
        <v>314</v>
      </c>
      <c r="F9" s="3" t="s">
        <v>334</v>
      </c>
      <c r="G9" s="9">
        <v>8340</v>
      </c>
      <c r="H9" s="3" t="s">
        <v>273</v>
      </c>
      <c r="I9" s="3" t="s">
        <v>273</v>
      </c>
      <c r="J9" s="3" t="s">
        <v>273</v>
      </c>
      <c r="K9" s="3" t="s">
        <v>273</v>
      </c>
      <c r="L9" s="17">
        <v>0.66666666666666663</v>
      </c>
      <c r="M9" s="17">
        <v>0.68194444444444446</v>
      </c>
      <c r="N9" s="3" t="s">
        <v>273</v>
      </c>
      <c r="O9" s="3" t="s">
        <v>315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7"/>
    </sheetView>
  </sheetViews>
  <sheetFormatPr defaultRowHeight="15" x14ac:dyDescent="0.25"/>
  <cols>
    <col min="3" max="3" width="13.28515625" bestFit="1" customWidth="1"/>
    <col min="6" max="6" width="12.140625" bestFit="1" customWidth="1"/>
    <col min="14" max="14" width="10.28515625" customWidth="1"/>
    <col min="15" max="15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44884</v>
      </c>
      <c r="B2" s="3" t="s">
        <v>21</v>
      </c>
      <c r="C2" s="3" t="s">
        <v>24</v>
      </c>
      <c r="D2" s="3" t="s">
        <v>22</v>
      </c>
      <c r="E2" s="3" t="s">
        <v>168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0.47152777777777777</v>
      </c>
      <c r="L2" s="4">
        <v>0.27777777777777779</v>
      </c>
      <c r="M2" s="5">
        <v>0.28819444444444448</v>
      </c>
      <c r="N2" s="3" t="s">
        <v>175</v>
      </c>
      <c r="O2" s="3" t="s">
        <v>149</v>
      </c>
      <c r="P2" s="3">
        <v>1111</v>
      </c>
      <c r="Q2" s="3">
        <v>749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44884</v>
      </c>
      <c r="B3" s="3" t="s">
        <v>21</v>
      </c>
      <c r="C3" s="3" t="s">
        <v>36</v>
      </c>
      <c r="D3" s="3" t="s">
        <v>22</v>
      </c>
      <c r="E3" s="3" t="s">
        <v>208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0.51388888888888895</v>
      </c>
      <c r="L3" s="4">
        <v>0.30555555555555552</v>
      </c>
      <c r="M3" s="5">
        <v>0.31875000000000003</v>
      </c>
      <c r="N3" s="3" t="s">
        <v>338</v>
      </c>
      <c r="O3" s="3" t="s">
        <v>132</v>
      </c>
      <c r="P3" s="3">
        <v>555</v>
      </c>
      <c r="Q3" s="3">
        <v>696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44884</v>
      </c>
      <c r="B4" s="3" t="s">
        <v>21</v>
      </c>
      <c r="C4" s="3" t="s">
        <v>27</v>
      </c>
      <c r="D4" s="3" t="s">
        <v>22</v>
      </c>
      <c r="E4" s="3" t="s">
        <v>168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0.6875</v>
      </c>
      <c r="L4" s="4">
        <v>0.52430555555555558</v>
      </c>
      <c r="M4" s="5">
        <v>0.52361111111111114</v>
      </c>
      <c r="N4" s="3" t="s">
        <v>342</v>
      </c>
      <c r="O4" s="3" t="s">
        <v>339</v>
      </c>
      <c r="P4" s="3">
        <v>530</v>
      </c>
      <c r="Q4" s="3">
        <v>1017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44884</v>
      </c>
      <c r="B5" s="3" t="s">
        <v>21</v>
      </c>
      <c r="C5" s="3" t="s">
        <v>30</v>
      </c>
      <c r="D5" s="3" t="s">
        <v>22</v>
      </c>
      <c r="E5" s="3" t="s">
        <v>208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0.71319444444444446</v>
      </c>
      <c r="L5" s="4">
        <v>0.54166666666666663</v>
      </c>
      <c r="M5" s="5">
        <v>0.54861111111111105</v>
      </c>
      <c r="N5" s="3" t="s">
        <v>345</v>
      </c>
      <c r="O5" s="3" t="s">
        <v>244</v>
      </c>
      <c r="P5" s="3">
        <v>698</v>
      </c>
      <c r="Q5" s="3">
        <v>842</v>
      </c>
      <c r="R5" s="3">
        <v>0</v>
      </c>
      <c r="S5" s="3">
        <v>0</v>
      </c>
      <c r="T5" s="3">
        <v>0</v>
      </c>
      <c r="U5" s="3">
        <v>0</v>
      </c>
    </row>
    <row r="6" spans="1:21" s="3" customFormat="1" ht="12.75" x14ac:dyDescent="0.25">
      <c r="A6" s="2">
        <v>44884</v>
      </c>
      <c r="B6" s="3" t="s">
        <v>38</v>
      </c>
      <c r="C6" s="3" t="s">
        <v>34</v>
      </c>
      <c r="D6" s="3" t="s">
        <v>22</v>
      </c>
      <c r="E6" s="3" t="s">
        <v>341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0.88888888888888884</v>
      </c>
      <c r="K6" s="5">
        <v>0.67152777777777783</v>
      </c>
      <c r="L6" s="4">
        <v>0.67708333333333337</v>
      </c>
      <c r="M6" s="5">
        <v>0.70416666666666661</v>
      </c>
      <c r="N6" s="3" t="s">
        <v>340</v>
      </c>
      <c r="O6" s="3" t="s">
        <v>343</v>
      </c>
      <c r="P6" s="3">
        <v>325</v>
      </c>
      <c r="Q6" s="3">
        <v>208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44884</v>
      </c>
      <c r="B7" s="3" t="s">
        <v>21</v>
      </c>
      <c r="C7" s="3" t="s">
        <v>54</v>
      </c>
      <c r="D7" s="3" t="s">
        <v>22</v>
      </c>
      <c r="E7" s="3" t="s">
        <v>168</v>
      </c>
      <c r="F7" s="1" t="s">
        <v>23</v>
      </c>
      <c r="G7" s="9">
        <v>70000</v>
      </c>
      <c r="H7" s="3" t="s">
        <v>55</v>
      </c>
      <c r="I7" s="3" t="s">
        <v>56</v>
      </c>
      <c r="J7" s="4">
        <v>0.88888888888888884</v>
      </c>
      <c r="K7" s="5">
        <v>0.87569444444444444</v>
      </c>
      <c r="L7" s="4">
        <v>0.71875</v>
      </c>
      <c r="M7" s="5">
        <v>0.7270833333333333</v>
      </c>
      <c r="N7" s="3" t="s">
        <v>346</v>
      </c>
      <c r="O7" s="3" t="s">
        <v>344</v>
      </c>
      <c r="P7" s="3">
        <v>753</v>
      </c>
      <c r="Q7" s="3">
        <v>684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H19" sqref="H19"/>
    </sheetView>
  </sheetViews>
  <sheetFormatPr defaultRowHeight="15" x14ac:dyDescent="0.25"/>
  <cols>
    <col min="1" max="1" width="12.7109375" customWidth="1"/>
    <col min="2" max="2" width="11.140625" customWidth="1"/>
    <col min="3" max="3" width="15.5703125" customWidth="1"/>
    <col min="6" max="6" width="11.8554687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44885</v>
      </c>
      <c r="B2" s="3" t="s">
        <v>21</v>
      </c>
      <c r="C2" s="3" t="s">
        <v>24</v>
      </c>
      <c r="D2" s="3" t="s">
        <v>22</v>
      </c>
      <c r="E2" s="3" t="s">
        <v>168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0.48958333333333331</v>
      </c>
      <c r="L2" s="4">
        <v>0.27777777777777779</v>
      </c>
      <c r="M2" s="5">
        <v>0.27916666666666667</v>
      </c>
      <c r="N2" s="2" t="s">
        <v>217</v>
      </c>
      <c r="O2" s="2" t="s">
        <v>349</v>
      </c>
      <c r="P2" s="3">
        <v>791</v>
      </c>
      <c r="Q2" s="3">
        <v>690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44885</v>
      </c>
      <c r="B3" s="3" t="s">
        <v>21</v>
      </c>
      <c r="C3" s="3" t="s">
        <v>75</v>
      </c>
      <c r="D3" s="3" t="s">
        <v>22</v>
      </c>
      <c r="E3" s="3" t="s">
        <v>208</v>
      </c>
      <c r="F3" s="1" t="s">
        <v>23</v>
      </c>
      <c r="G3" s="9">
        <v>70000</v>
      </c>
      <c r="H3" s="3" t="s">
        <v>85</v>
      </c>
      <c r="I3" s="3" t="s">
        <v>84</v>
      </c>
      <c r="J3" s="4">
        <v>0.4861111111111111</v>
      </c>
      <c r="K3" s="5">
        <v>0.48402777777777778</v>
      </c>
      <c r="L3" s="4">
        <v>0.3298611111111111</v>
      </c>
      <c r="M3" s="5">
        <v>0.32847222222222222</v>
      </c>
      <c r="N3" s="2" t="s">
        <v>352</v>
      </c>
      <c r="O3" s="2" t="s">
        <v>131</v>
      </c>
      <c r="P3" s="3">
        <v>343</v>
      </c>
      <c r="Q3" s="3">
        <v>407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44885</v>
      </c>
      <c r="B4" s="14" t="s">
        <v>38</v>
      </c>
      <c r="C4" s="3" t="s">
        <v>61</v>
      </c>
      <c r="D4" s="3" t="s">
        <v>380</v>
      </c>
      <c r="E4" s="3" t="s">
        <v>347</v>
      </c>
      <c r="F4" s="3" t="s">
        <v>23</v>
      </c>
      <c r="G4" s="9">
        <v>80000</v>
      </c>
      <c r="H4" s="3" t="s">
        <v>64</v>
      </c>
      <c r="I4" s="3" t="s">
        <v>63</v>
      </c>
      <c r="J4" s="4">
        <v>0.37847222222222227</v>
      </c>
      <c r="K4" s="5">
        <v>0.36944444444444446</v>
      </c>
      <c r="L4" s="4">
        <v>0.39930555555555558</v>
      </c>
      <c r="M4" s="5">
        <v>0.41944444444444445</v>
      </c>
      <c r="N4" s="3" t="s">
        <v>350</v>
      </c>
      <c r="O4" s="2" t="s">
        <v>351</v>
      </c>
      <c r="P4" s="3">
        <v>195</v>
      </c>
      <c r="Q4" s="3">
        <v>585</v>
      </c>
      <c r="R4" s="3">
        <v>0</v>
      </c>
      <c r="S4" s="3">
        <v>0</v>
      </c>
      <c r="T4" s="3">
        <v>0</v>
      </c>
      <c r="U4" s="3">
        <v>0</v>
      </c>
      <c r="V4" s="3"/>
    </row>
    <row r="5" spans="1:22" x14ac:dyDescent="0.25">
      <c r="A5" s="2">
        <v>44885</v>
      </c>
      <c r="B5" s="3" t="s">
        <v>21</v>
      </c>
      <c r="C5" s="3" t="s">
        <v>54</v>
      </c>
      <c r="D5" s="3" t="s">
        <v>22</v>
      </c>
      <c r="E5" s="3" t="s">
        <v>208</v>
      </c>
      <c r="F5" s="3" t="s">
        <v>23</v>
      </c>
      <c r="G5" s="9">
        <v>70000</v>
      </c>
      <c r="H5" s="3" t="s">
        <v>55</v>
      </c>
      <c r="I5" s="3" t="s">
        <v>56</v>
      </c>
      <c r="J5" s="4">
        <v>0.67708333333333337</v>
      </c>
      <c r="K5" s="5">
        <v>0.67222222222222217</v>
      </c>
      <c r="L5" s="4">
        <v>0.50694444444444442</v>
      </c>
      <c r="M5" s="5">
        <v>0.51666666666666672</v>
      </c>
      <c r="N5" s="2" t="s">
        <v>354</v>
      </c>
      <c r="O5" s="2" t="s">
        <v>353</v>
      </c>
      <c r="P5" s="3">
        <v>578</v>
      </c>
      <c r="Q5" s="3">
        <v>709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44885</v>
      </c>
      <c r="B6" s="3" t="s">
        <v>21</v>
      </c>
      <c r="C6" s="3" t="s">
        <v>67</v>
      </c>
      <c r="D6" s="3" t="s">
        <v>22</v>
      </c>
      <c r="E6" s="3" t="s">
        <v>348</v>
      </c>
      <c r="F6" s="1" t="s">
        <v>23</v>
      </c>
      <c r="G6" s="9">
        <v>70000</v>
      </c>
      <c r="H6" s="3" t="s">
        <v>60</v>
      </c>
      <c r="I6" s="3" t="s">
        <v>59</v>
      </c>
      <c r="J6" s="4">
        <v>0.68402777777777779</v>
      </c>
      <c r="K6" s="5">
        <v>0.66388888888888886</v>
      </c>
      <c r="L6" s="4">
        <v>0.52777777777777779</v>
      </c>
      <c r="M6" s="5">
        <v>0.52777777777777779</v>
      </c>
      <c r="N6" s="2" t="s">
        <v>324</v>
      </c>
      <c r="O6" s="2" t="s">
        <v>194</v>
      </c>
      <c r="P6" s="3">
        <v>769</v>
      </c>
      <c r="Q6" s="3">
        <v>609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44885</v>
      </c>
      <c r="B7" s="3" t="s">
        <v>21</v>
      </c>
      <c r="C7" s="3" t="s">
        <v>76</v>
      </c>
      <c r="D7" s="3" t="s">
        <v>22</v>
      </c>
      <c r="E7" s="3" t="s">
        <v>348</v>
      </c>
      <c r="F7" s="1" t="s">
        <v>23</v>
      </c>
      <c r="G7" s="9">
        <v>70000</v>
      </c>
      <c r="H7" s="3" t="s">
        <v>87</v>
      </c>
      <c r="I7" s="3" t="s">
        <v>86</v>
      </c>
      <c r="J7" s="4">
        <v>0.91319444444444453</v>
      </c>
      <c r="K7" s="5">
        <v>0.89930555555555547</v>
      </c>
      <c r="L7" s="4">
        <v>0.70486111111111116</v>
      </c>
      <c r="M7" s="5">
        <v>0.70208333333333339</v>
      </c>
      <c r="N7" s="2" t="s">
        <v>357</v>
      </c>
      <c r="O7" s="2" t="s">
        <v>355</v>
      </c>
      <c r="P7" s="3">
        <v>501</v>
      </c>
      <c r="Q7" s="3">
        <v>769</v>
      </c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2">
        <v>44885</v>
      </c>
      <c r="B8" s="3" t="s">
        <v>21</v>
      </c>
      <c r="C8" s="3" t="s">
        <v>66</v>
      </c>
      <c r="D8" s="3" t="s">
        <v>22</v>
      </c>
      <c r="E8" s="3" t="s">
        <v>208</v>
      </c>
      <c r="F8" s="3" t="s">
        <v>23</v>
      </c>
      <c r="G8" s="9">
        <v>70000</v>
      </c>
      <c r="H8" s="3" t="s">
        <v>58</v>
      </c>
      <c r="I8" s="3" t="s">
        <v>57</v>
      </c>
      <c r="J8" s="4">
        <v>0.95486111111111116</v>
      </c>
      <c r="K8" s="5">
        <v>0.95208333333333339</v>
      </c>
      <c r="L8" s="4">
        <v>0.71527777777777779</v>
      </c>
      <c r="M8" s="5">
        <v>0.71388888888888891</v>
      </c>
      <c r="N8" s="2" t="s">
        <v>276</v>
      </c>
      <c r="O8" s="2" t="s">
        <v>356</v>
      </c>
      <c r="P8" s="3">
        <v>269</v>
      </c>
      <c r="Q8" s="3">
        <v>993</v>
      </c>
      <c r="R8" s="3">
        <v>0</v>
      </c>
      <c r="S8" s="3">
        <v>0</v>
      </c>
      <c r="T8" s="3">
        <v>0</v>
      </c>
      <c r="U8" s="3">
        <v>0</v>
      </c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workbookViewId="0">
      <selection activeCell="K27" sqref="K27"/>
    </sheetView>
  </sheetViews>
  <sheetFormatPr defaultRowHeight="15" x14ac:dyDescent="0.25"/>
  <cols>
    <col min="1" max="1" width="10.7109375" customWidth="1"/>
    <col min="2" max="2" width="0.140625" customWidth="1"/>
    <col min="3" max="3" width="12.85546875" customWidth="1"/>
    <col min="4" max="4" width="15.28515625" customWidth="1"/>
    <col min="7" max="7" width="14.7109375" customWidth="1"/>
  </cols>
  <sheetData>
    <row r="1" spans="1:2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6"/>
    </row>
    <row r="2" spans="1:23" x14ac:dyDescent="0.25">
      <c r="A2" s="2">
        <v>44886</v>
      </c>
      <c r="B2" s="2"/>
      <c r="C2" s="3" t="s">
        <v>21</v>
      </c>
      <c r="D2" s="3" t="s">
        <v>110</v>
      </c>
      <c r="E2" s="3" t="s">
        <v>22</v>
      </c>
      <c r="F2" s="3" t="s">
        <v>208</v>
      </c>
      <c r="G2" s="1" t="s">
        <v>23</v>
      </c>
      <c r="H2" s="9">
        <v>70000</v>
      </c>
      <c r="I2" s="3" t="s">
        <v>113</v>
      </c>
      <c r="J2" s="5" t="s">
        <v>116</v>
      </c>
      <c r="K2" s="7">
        <v>0.52430555555555558</v>
      </c>
      <c r="L2" s="5">
        <v>0.52638888888888891</v>
      </c>
      <c r="M2" s="4">
        <v>0.27777777777777779</v>
      </c>
      <c r="N2" s="5">
        <v>0.28958333333333336</v>
      </c>
      <c r="O2" s="3" t="s">
        <v>359</v>
      </c>
      <c r="P2" s="3" t="s">
        <v>358</v>
      </c>
      <c r="Q2" s="3">
        <v>668</v>
      </c>
      <c r="R2" s="3">
        <v>711</v>
      </c>
      <c r="S2" s="3">
        <v>0</v>
      </c>
      <c r="T2" s="3">
        <v>0</v>
      </c>
      <c r="U2" s="3">
        <v>0</v>
      </c>
      <c r="V2" s="3">
        <v>0</v>
      </c>
      <c r="W2" s="6"/>
    </row>
    <row r="3" spans="1:23" x14ac:dyDescent="0.25">
      <c r="A3" s="2">
        <v>44886</v>
      </c>
      <c r="B3" s="2"/>
      <c r="C3" s="3" t="s">
        <v>21</v>
      </c>
      <c r="D3" s="3" t="s">
        <v>111</v>
      </c>
      <c r="E3" s="3" t="s">
        <v>22</v>
      </c>
      <c r="F3" s="3" t="s">
        <v>348</v>
      </c>
      <c r="G3" s="3" t="s">
        <v>23</v>
      </c>
      <c r="H3" s="9">
        <v>70000</v>
      </c>
      <c r="I3" s="3" t="s">
        <v>114</v>
      </c>
      <c r="J3" s="5" t="s">
        <v>117</v>
      </c>
      <c r="K3" s="7">
        <v>0.4826388888888889</v>
      </c>
      <c r="L3" s="5">
        <v>0.50208333333333333</v>
      </c>
      <c r="M3" s="4">
        <v>0.28819444444444448</v>
      </c>
      <c r="N3" s="5">
        <v>0.31111111111111112</v>
      </c>
      <c r="O3" s="3" t="s">
        <v>354</v>
      </c>
      <c r="P3" s="3" t="s">
        <v>286</v>
      </c>
      <c r="Q3" s="3">
        <v>554</v>
      </c>
      <c r="R3" s="3">
        <v>791</v>
      </c>
      <c r="S3" s="3">
        <v>0</v>
      </c>
      <c r="T3" s="3">
        <v>0</v>
      </c>
      <c r="U3" s="3">
        <v>0</v>
      </c>
      <c r="V3" s="3">
        <v>0</v>
      </c>
      <c r="W3" s="6"/>
    </row>
    <row r="4" spans="1:23" x14ac:dyDescent="0.25">
      <c r="A4" s="2">
        <v>44886</v>
      </c>
      <c r="B4" s="2"/>
      <c r="C4" s="3" t="s">
        <v>21</v>
      </c>
      <c r="D4" s="3" t="s">
        <v>112</v>
      </c>
      <c r="E4" s="3" t="s">
        <v>22</v>
      </c>
      <c r="F4" s="3" t="s">
        <v>348</v>
      </c>
      <c r="G4" s="3" t="s">
        <v>23</v>
      </c>
      <c r="H4" s="9">
        <v>70000</v>
      </c>
      <c r="I4" s="3" t="s">
        <v>115</v>
      </c>
      <c r="J4" s="5" t="s">
        <v>118</v>
      </c>
      <c r="K4" s="7">
        <v>0.68055555555555547</v>
      </c>
      <c r="L4" s="5">
        <v>0.69791666666666663</v>
      </c>
      <c r="M4" s="4">
        <v>0.50694444444444442</v>
      </c>
      <c r="N4" s="5">
        <v>0.54097222222222219</v>
      </c>
      <c r="O4" s="3" t="s">
        <v>362</v>
      </c>
      <c r="P4" s="3" t="s">
        <v>360</v>
      </c>
      <c r="Q4" s="3">
        <v>364</v>
      </c>
      <c r="R4" s="3">
        <v>800</v>
      </c>
      <c r="S4" s="3">
        <v>0</v>
      </c>
      <c r="T4" s="3">
        <v>0</v>
      </c>
      <c r="U4" s="3">
        <v>0</v>
      </c>
      <c r="V4" s="3">
        <v>0</v>
      </c>
      <c r="W4" s="6"/>
    </row>
    <row r="5" spans="1:23" x14ac:dyDescent="0.25">
      <c r="A5" s="2">
        <v>44886</v>
      </c>
      <c r="B5" s="2"/>
      <c r="C5" s="6" t="s">
        <v>38</v>
      </c>
      <c r="D5" s="6" t="s">
        <v>123</v>
      </c>
      <c r="E5" s="6" t="s">
        <v>255</v>
      </c>
      <c r="F5" s="6" t="s">
        <v>254</v>
      </c>
      <c r="G5" s="6" t="s">
        <v>23</v>
      </c>
      <c r="H5" s="6">
        <v>80000</v>
      </c>
      <c r="I5" s="6" t="s">
        <v>127</v>
      </c>
      <c r="J5" s="6" t="s">
        <v>128</v>
      </c>
      <c r="K5" s="7">
        <v>0.67013888888888884</v>
      </c>
      <c r="L5" s="8">
        <v>0.65347222222222223</v>
      </c>
      <c r="M5" s="7">
        <v>0.69444444444444453</v>
      </c>
      <c r="N5" s="8">
        <v>0.70416666666666661</v>
      </c>
      <c r="O5" s="3" t="s">
        <v>361</v>
      </c>
      <c r="P5" s="3" t="s">
        <v>363</v>
      </c>
      <c r="Q5" s="6">
        <v>351</v>
      </c>
      <c r="R5" s="6">
        <v>182</v>
      </c>
      <c r="S5" s="6">
        <v>0</v>
      </c>
      <c r="T5" s="6">
        <v>0</v>
      </c>
      <c r="U5" s="6">
        <v>0</v>
      </c>
      <c r="V5" s="6">
        <v>0</v>
      </c>
      <c r="W5" s="6"/>
    </row>
    <row r="6" spans="1:23" x14ac:dyDescent="0.25">
      <c r="A6" s="2">
        <v>44886</v>
      </c>
      <c r="B6" s="2"/>
      <c r="C6" s="3" t="s">
        <v>21</v>
      </c>
      <c r="D6" s="3" t="s">
        <v>67</v>
      </c>
      <c r="E6" s="3" t="s">
        <v>22</v>
      </c>
      <c r="F6" s="3" t="s">
        <v>208</v>
      </c>
      <c r="G6" s="3" t="s">
        <v>23</v>
      </c>
      <c r="H6" s="9">
        <v>70000</v>
      </c>
      <c r="I6" s="3" t="s">
        <v>60</v>
      </c>
      <c r="J6" s="6" t="s">
        <v>59</v>
      </c>
      <c r="K6" s="7">
        <v>0.86111111111111116</v>
      </c>
      <c r="L6" s="8">
        <v>0.85625000000000007</v>
      </c>
      <c r="M6" s="7">
        <v>0.70486111111111116</v>
      </c>
      <c r="N6" s="8">
        <v>0.72986111111111107</v>
      </c>
      <c r="O6" s="3" t="s">
        <v>365</v>
      </c>
      <c r="P6" s="3" t="s">
        <v>323</v>
      </c>
      <c r="Q6" s="6">
        <v>561</v>
      </c>
      <c r="R6" s="6">
        <v>721</v>
      </c>
      <c r="S6" s="6">
        <v>0</v>
      </c>
      <c r="T6" s="6">
        <v>0</v>
      </c>
      <c r="U6" s="6">
        <v>0</v>
      </c>
      <c r="V6" s="6">
        <v>0</v>
      </c>
      <c r="W6" s="6"/>
    </row>
    <row r="7" spans="1:23" x14ac:dyDescent="0.25">
      <c r="A7" s="2">
        <v>44886</v>
      </c>
      <c r="B7" s="2"/>
      <c r="C7" s="3" t="s">
        <v>21</v>
      </c>
      <c r="D7" s="3" t="s">
        <v>122</v>
      </c>
      <c r="E7" s="3" t="s">
        <v>22</v>
      </c>
      <c r="F7" s="3" t="s">
        <v>348</v>
      </c>
      <c r="G7" s="3" t="s">
        <v>23</v>
      </c>
      <c r="H7" s="3">
        <v>70000</v>
      </c>
      <c r="I7" s="3" t="s">
        <v>125</v>
      </c>
      <c r="J7" s="3" t="s">
        <v>126</v>
      </c>
      <c r="K7" s="4">
        <v>0.92708333333333337</v>
      </c>
      <c r="L7" s="5">
        <v>0.92569444444444438</v>
      </c>
      <c r="M7" s="4">
        <v>0.74305555555555547</v>
      </c>
      <c r="N7" s="5">
        <v>0.76180555555555562</v>
      </c>
      <c r="O7" s="3" t="s">
        <v>213</v>
      </c>
      <c r="P7" s="3" t="s">
        <v>364</v>
      </c>
      <c r="Q7" s="3">
        <v>570</v>
      </c>
      <c r="R7" s="3">
        <v>675</v>
      </c>
      <c r="S7" s="3">
        <v>0</v>
      </c>
      <c r="T7" s="3">
        <v>0</v>
      </c>
      <c r="U7" s="3">
        <v>0</v>
      </c>
      <c r="V7" s="3">
        <v>0</v>
      </c>
      <c r="W7" s="6"/>
    </row>
    <row r="8" spans="1:23" x14ac:dyDescent="0.25">
      <c r="A8" s="2"/>
      <c r="B8" s="2"/>
      <c r="C8" s="6"/>
      <c r="D8" s="6"/>
      <c r="E8" s="6"/>
      <c r="F8" s="6"/>
      <c r="G8" s="6"/>
      <c r="H8" s="6"/>
      <c r="I8" s="6"/>
      <c r="J8" s="6"/>
      <c r="K8" s="7"/>
      <c r="L8" s="8"/>
      <c r="M8" s="7"/>
      <c r="N8" s="8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B9" s="13"/>
      <c r="C9" s="6"/>
      <c r="D9" s="6"/>
      <c r="E9" s="6"/>
      <c r="F9" s="6"/>
      <c r="G9" s="6"/>
      <c r="H9" s="6"/>
      <c r="I9" s="6"/>
      <c r="J9" s="6"/>
      <c r="K9" s="7"/>
      <c r="L9" s="8"/>
      <c r="M9" s="7"/>
      <c r="N9" s="8"/>
      <c r="O9" s="6"/>
      <c r="P9" s="6"/>
      <c r="Q9" s="6"/>
      <c r="R9" s="6"/>
      <c r="S9" s="6"/>
      <c r="T9" s="6"/>
      <c r="U9" s="6"/>
      <c r="V9" s="6"/>
      <c r="W9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33" sqref="J33"/>
    </sheetView>
  </sheetViews>
  <sheetFormatPr defaultRowHeight="15" x14ac:dyDescent="0.25"/>
  <cols>
    <col min="2" max="2" width="16.28515625" customWidth="1"/>
    <col min="3" max="3" width="13.28515625" customWidth="1"/>
    <col min="8" max="8" width="13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44887</v>
      </c>
      <c r="B2" s="3" t="s">
        <v>21</v>
      </c>
      <c r="C2" s="3" t="s">
        <v>24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0.4916666666666667</v>
      </c>
      <c r="L2" s="4">
        <v>0.27777777777777779</v>
      </c>
      <c r="M2" s="5">
        <v>0.28819444444444448</v>
      </c>
      <c r="N2" s="3" t="s">
        <v>368</v>
      </c>
      <c r="O2" s="3" t="s">
        <v>366</v>
      </c>
      <c r="P2" s="3">
        <v>694</v>
      </c>
      <c r="Q2" s="3">
        <v>771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44887</v>
      </c>
      <c r="B3" s="3" t="s">
        <v>21</v>
      </c>
      <c r="C3" s="3" t="s">
        <v>36</v>
      </c>
      <c r="D3" s="3" t="s">
        <v>22</v>
      </c>
      <c r="E3" s="3" t="s">
        <v>348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0.51458333333333328</v>
      </c>
      <c r="L3" s="4">
        <v>0.30555555555555552</v>
      </c>
      <c r="M3" s="5">
        <v>0.32291666666666669</v>
      </c>
      <c r="N3" s="3" t="s">
        <v>197</v>
      </c>
      <c r="O3" s="3" t="s">
        <v>367</v>
      </c>
      <c r="P3" s="3">
        <v>419</v>
      </c>
      <c r="Q3" s="3">
        <v>897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44887</v>
      </c>
      <c r="B4" s="3" t="s">
        <v>21</v>
      </c>
      <c r="C4" s="3" t="s">
        <v>27</v>
      </c>
      <c r="D4" s="3" t="s">
        <v>22</v>
      </c>
      <c r="E4" s="3" t="s">
        <v>208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0.67361111111111116</v>
      </c>
      <c r="L4" s="4">
        <v>0.52430555555555558</v>
      </c>
      <c r="M4" s="5">
        <v>0.52986111111111112</v>
      </c>
      <c r="N4" s="3" t="s">
        <v>371</v>
      </c>
      <c r="O4" s="3" t="s">
        <v>370</v>
      </c>
      <c r="P4" s="3">
        <v>459</v>
      </c>
      <c r="Q4" s="3">
        <v>388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44887</v>
      </c>
      <c r="B5" s="3" t="s">
        <v>21</v>
      </c>
      <c r="C5" s="3" t="s">
        <v>30</v>
      </c>
      <c r="D5" s="3" t="s">
        <v>22</v>
      </c>
      <c r="E5" s="3" t="s">
        <v>348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0.70972222222222225</v>
      </c>
      <c r="L5" s="4">
        <v>0.54166666666666663</v>
      </c>
      <c r="M5" s="5">
        <v>0.55347222222222225</v>
      </c>
      <c r="N5" s="3" t="s">
        <v>372</v>
      </c>
      <c r="O5" s="3">
        <v>220</v>
      </c>
      <c r="P5" s="3">
        <v>730</v>
      </c>
      <c r="Q5" s="3">
        <v>718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44887</v>
      </c>
      <c r="B6" s="3" t="s">
        <v>38</v>
      </c>
      <c r="C6" s="3" t="s">
        <v>34</v>
      </c>
      <c r="D6" s="3" t="s">
        <v>22</v>
      </c>
      <c r="E6" s="3" t="s">
        <v>369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0.6875</v>
      </c>
      <c r="K6" s="5">
        <v>0.68055555555555547</v>
      </c>
      <c r="L6" s="4">
        <v>0.70486111111111116</v>
      </c>
      <c r="M6" s="5">
        <v>0.71388888888888891</v>
      </c>
      <c r="N6" s="3" t="s">
        <v>372</v>
      </c>
      <c r="O6" s="3" t="s">
        <v>379</v>
      </c>
      <c r="P6" s="3">
        <v>221</v>
      </c>
      <c r="Q6" s="3">
        <v>273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2">
        <v>44887</v>
      </c>
      <c r="B7" s="3" t="s">
        <v>374</v>
      </c>
      <c r="C7" s="3" t="s">
        <v>373</v>
      </c>
      <c r="D7" s="3" t="s">
        <v>375</v>
      </c>
      <c r="E7" s="3" t="s">
        <v>378</v>
      </c>
      <c r="F7" s="3" t="s">
        <v>225</v>
      </c>
      <c r="G7" s="9">
        <v>7900</v>
      </c>
      <c r="H7" s="3" t="s">
        <v>377</v>
      </c>
      <c r="I7" s="3" t="s">
        <v>376</v>
      </c>
      <c r="J7" s="17">
        <v>0.64236111111111105</v>
      </c>
      <c r="K7" s="17">
        <v>0.65972222222222221</v>
      </c>
      <c r="L7" s="17">
        <v>0.66666666666666663</v>
      </c>
      <c r="M7" s="17">
        <v>0.69305555555555554</v>
      </c>
      <c r="N7" s="15">
        <v>0</v>
      </c>
      <c r="O7" s="15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R8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Views>
    <sheetView workbookViewId="0">
      <selection activeCell="S32" sqref="S32"/>
    </sheetView>
  </sheetViews>
  <sheetFormatPr defaultRowHeight="15" x14ac:dyDescent="0.25"/>
  <cols>
    <col min="1" max="1" width="11" bestFit="1" customWidth="1"/>
    <col min="2" max="2" width="15.140625" customWidth="1"/>
    <col min="3" max="3" width="16.7109375" customWidth="1"/>
    <col min="6" max="6" width="14.4257812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44888</v>
      </c>
      <c r="B2" s="3" t="s">
        <v>21</v>
      </c>
      <c r="C2" s="3" t="s">
        <v>54</v>
      </c>
      <c r="D2" s="3" t="s">
        <v>22</v>
      </c>
      <c r="E2" s="3" t="s">
        <v>348</v>
      </c>
      <c r="F2" s="1" t="s">
        <v>23</v>
      </c>
      <c r="G2" s="9">
        <v>70000</v>
      </c>
      <c r="H2" s="3" t="s">
        <v>55</v>
      </c>
      <c r="I2" s="3" t="s">
        <v>56</v>
      </c>
      <c r="J2" s="4">
        <v>0.51041666666666663</v>
      </c>
      <c r="K2" s="5">
        <v>0.49861111111111112</v>
      </c>
      <c r="L2" s="4">
        <v>0.34027777777777773</v>
      </c>
      <c r="M2" s="5">
        <v>0.3430555555555555</v>
      </c>
      <c r="N2" s="3" t="s">
        <v>338</v>
      </c>
      <c r="O2" s="3" t="s">
        <v>289</v>
      </c>
      <c r="P2" s="3">
        <v>450</v>
      </c>
      <c r="Q2" s="3">
        <v>631</v>
      </c>
      <c r="R2" s="3">
        <v>0</v>
      </c>
      <c r="S2" s="3">
        <v>0</v>
      </c>
      <c r="T2" s="3">
        <v>0</v>
      </c>
      <c r="U2" s="3">
        <v>0</v>
      </c>
      <c r="V2" s="3"/>
    </row>
    <row r="3" spans="1:22" x14ac:dyDescent="0.25">
      <c r="A3" s="2">
        <v>44888</v>
      </c>
      <c r="B3" s="3" t="s">
        <v>21</v>
      </c>
      <c r="C3" s="3" t="s">
        <v>66</v>
      </c>
      <c r="D3" s="3" t="s">
        <v>22</v>
      </c>
      <c r="E3" s="3" t="str">
        <f>E2</f>
        <v>HA-LPL</v>
      </c>
      <c r="F3" s="3" t="s">
        <v>23</v>
      </c>
      <c r="G3" s="9">
        <v>70000</v>
      </c>
      <c r="H3" s="3" t="s">
        <v>58</v>
      </c>
      <c r="I3" s="3" t="s">
        <v>57</v>
      </c>
      <c r="J3" s="4">
        <v>0.92013888888888884</v>
      </c>
      <c r="K3" s="5">
        <v>0.89930555555555547</v>
      </c>
      <c r="L3" s="4">
        <v>0.68055555555555547</v>
      </c>
      <c r="M3" s="5">
        <v>0.67986111111111114</v>
      </c>
      <c r="N3" s="3" t="s">
        <v>386</v>
      </c>
      <c r="O3" s="3" t="s">
        <v>384</v>
      </c>
      <c r="P3" s="3">
        <v>186</v>
      </c>
      <c r="Q3" s="3">
        <v>523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44888</v>
      </c>
      <c r="B4" s="3" t="s">
        <v>21</v>
      </c>
      <c r="C4" s="3" t="s">
        <v>67</v>
      </c>
      <c r="D4" s="3" t="s">
        <v>22</v>
      </c>
      <c r="E4" s="3" t="s">
        <v>208</v>
      </c>
      <c r="F4" s="3" t="s">
        <v>23</v>
      </c>
      <c r="G4" s="9">
        <v>70000</v>
      </c>
      <c r="H4" s="3" t="s">
        <v>60</v>
      </c>
      <c r="I4" s="3" t="s">
        <v>59</v>
      </c>
      <c r="J4" s="4">
        <v>0.86111111111111116</v>
      </c>
      <c r="K4" s="5">
        <v>0.83611111111111114</v>
      </c>
      <c r="L4" s="4">
        <v>0.70486111111111116</v>
      </c>
      <c r="M4" s="5">
        <v>0.69930555555555562</v>
      </c>
      <c r="N4" s="3" t="s">
        <v>335</v>
      </c>
      <c r="O4" s="3" t="s">
        <v>385</v>
      </c>
      <c r="P4" s="3">
        <v>464</v>
      </c>
      <c r="Q4" s="3">
        <v>575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44888</v>
      </c>
      <c r="B5" s="3" t="s">
        <v>38</v>
      </c>
      <c r="C5" s="3" t="s">
        <v>61</v>
      </c>
      <c r="D5" s="3" t="s">
        <v>380</v>
      </c>
      <c r="E5" s="3" t="s">
        <v>381</v>
      </c>
      <c r="F5" s="3" t="s">
        <v>23</v>
      </c>
      <c r="G5" s="9">
        <v>80000</v>
      </c>
      <c r="H5" s="3" t="s">
        <v>64</v>
      </c>
      <c r="I5" s="3" t="s">
        <v>63</v>
      </c>
      <c r="J5" s="4">
        <v>0.38541666666666669</v>
      </c>
      <c r="K5" s="5">
        <v>0.38680555555555557</v>
      </c>
      <c r="L5" s="4">
        <v>0.40277777777777773</v>
      </c>
      <c r="M5" s="5">
        <v>0.41736111111111113</v>
      </c>
      <c r="N5" s="3" t="s">
        <v>382</v>
      </c>
      <c r="O5" s="3" t="s">
        <v>383</v>
      </c>
      <c r="P5" s="3">
        <v>195</v>
      </c>
      <c r="Q5" s="3">
        <v>143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2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6" spans="1:22" x14ac:dyDescent="0.25">
      <c r="A16" s="2"/>
      <c r="B16" s="3"/>
      <c r="C16" s="3"/>
      <c r="D16" s="3"/>
      <c r="E16" s="3"/>
      <c r="F16" s="1"/>
      <c r="G16" s="9"/>
      <c r="H16" s="3"/>
      <c r="I16" s="3"/>
      <c r="J16" s="4"/>
      <c r="K16" s="5"/>
      <c r="L16" s="4"/>
      <c r="M16" s="5"/>
      <c r="N16" s="3"/>
      <c r="O16" s="3"/>
      <c r="P16" s="3"/>
      <c r="Q16" s="3"/>
      <c r="R16" s="3"/>
    </row>
    <row r="17" spans="1:18" x14ac:dyDescent="0.25">
      <c r="A17" s="2"/>
      <c r="B17" s="3"/>
      <c r="C17" s="3"/>
      <c r="D17" s="3"/>
      <c r="E17" s="3"/>
      <c r="F17" s="3"/>
      <c r="G17" s="9"/>
      <c r="H17" s="3"/>
      <c r="I17" s="3"/>
      <c r="J17" s="4"/>
      <c r="K17" s="5"/>
      <c r="L17" s="4"/>
      <c r="M17" s="5"/>
      <c r="N17" s="3"/>
      <c r="O17" s="3"/>
      <c r="P17" s="3"/>
      <c r="Q17" s="3"/>
      <c r="R17" s="3"/>
    </row>
    <row r="18" spans="1:18" x14ac:dyDescent="0.25">
      <c r="A18" s="2"/>
      <c r="B18" s="3"/>
      <c r="C18" s="3"/>
      <c r="D18" s="3"/>
      <c r="E18" s="3"/>
      <c r="F18" s="3"/>
      <c r="G18" s="9"/>
      <c r="H18" s="3"/>
      <c r="I18" s="3"/>
      <c r="J18" s="4"/>
      <c r="K18" s="5"/>
      <c r="L18" s="4"/>
      <c r="M18" s="5"/>
      <c r="N18" s="3"/>
      <c r="O18" s="3"/>
      <c r="P18" s="3"/>
      <c r="Q18" s="3"/>
      <c r="R18" s="3"/>
    </row>
    <row r="19" spans="1:18" x14ac:dyDescent="0.25">
      <c r="A19" s="2"/>
      <c r="B19" s="3"/>
      <c r="C19" s="3"/>
      <c r="D19" s="3"/>
      <c r="E19" s="3"/>
      <c r="F19" s="3"/>
      <c r="G19" s="9"/>
      <c r="H19" s="3"/>
      <c r="I19" s="3"/>
      <c r="J19" s="4"/>
      <c r="K19" s="5"/>
      <c r="L19" s="4"/>
      <c r="M19" s="5"/>
      <c r="N19" s="3"/>
      <c r="O19" s="3"/>
      <c r="P19" s="3"/>
      <c r="Q19" s="3"/>
      <c r="R19" s="3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workbookViewId="0">
      <selection activeCell="F20" sqref="F20"/>
    </sheetView>
  </sheetViews>
  <sheetFormatPr defaultRowHeight="15" x14ac:dyDescent="0.25"/>
  <cols>
    <col min="1" max="1" width="13.140625" customWidth="1"/>
    <col min="2" max="2" width="18.5703125" customWidth="1"/>
    <col min="3" max="3" width="15" customWidth="1"/>
    <col min="6" max="6" width="20.7109375" customWidth="1"/>
    <col min="7" max="7" width="12.42578125" bestFit="1" customWidth="1"/>
    <col min="10" max="10" width="10.28515625" bestFit="1" customWidth="1"/>
    <col min="11" max="11" width="10.42578125" bestFit="1" customWidth="1"/>
    <col min="12" max="12" width="9.5703125" customWidth="1"/>
    <col min="13" max="13" width="10.42578125" bestFit="1" customWidth="1"/>
    <col min="16" max="21" width="9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5" x14ac:dyDescent="0.25">
      <c r="A2" s="2">
        <v>44889</v>
      </c>
      <c r="B2" s="3" t="s">
        <v>21</v>
      </c>
      <c r="C2" s="3" t="s">
        <v>24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0.4770833333333333</v>
      </c>
      <c r="L2" s="4">
        <v>0.27777777777777779</v>
      </c>
      <c r="M2" s="5">
        <v>0.29166666666666669</v>
      </c>
      <c r="N2" s="3" t="s">
        <v>130</v>
      </c>
      <c r="O2" s="3" t="s">
        <v>388</v>
      </c>
      <c r="P2" s="3">
        <v>673</v>
      </c>
      <c r="Q2" s="3">
        <v>643</v>
      </c>
      <c r="R2" s="3">
        <v>0</v>
      </c>
      <c r="S2" s="3">
        <v>0</v>
      </c>
      <c r="T2" s="3">
        <v>0</v>
      </c>
      <c r="U2" s="3">
        <v>0</v>
      </c>
    </row>
    <row r="3" spans="1:25" x14ac:dyDescent="0.25">
      <c r="A3" s="2">
        <v>44889</v>
      </c>
      <c r="B3" s="3" t="s">
        <v>78</v>
      </c>
      <c r="C3" s="3" t="s">
        <v>34</v>
      </c>
      <c r="D3" s="3" t="s">
        <v>284</v>
      </c>
      <c r="E3" s="3" t="s">
        <v>387</v>
      </c>
      <c r="F3" s="3" t="s">
        <v>23</v>
      </c>
      <c r="G3" s="9">
        <v>80000</v>
      </c>
      <c r="H3" s="3" t="s">
        <v>42</v>
      </c>
      <c r="I3" s="3" t="s">
        <v>43</v>
      </c>
      <c r="J3" s="4">
        <v>0.30208333333333331</v>
      </c>
      <c r="K3" s="5">
        <v>0.29097222222222224</v>
      </c>
      <c r="L3" s="4">
        <v>0.31944444444444448</v>
      </c>
      <c r="M3" s="5">
        <v>0.33958333333333335</v>
      </c>
      <c r="N3" s="16" t="s">
        <v>389</v>
      </c>
      <c r="O3" s="3" t="s">
        <v>194</v>
      </c>
      <c r="P3" s="3">
        <v>156</v>
      </c>
      <c r="Q3" s="3">
        <v>156</v>
      </c>
      <c r="R3" s="3">
        <v>0</v>
      </c>
      <c r="S3" s="3">
        <v>0</v>
      </c>
      <c r="T3" s="3">
        <v>0</v>
      </c>
      <c r="U3" s="3">
        <v>0</v>
      </c>
    </row>
    <row r="4" spans="1:25" x14ac:dyDescent="0.25">
      <c r="A4" s="2">
        <v>44889</v>
      </c>
      <c r="B4" s="3" t="s">
        <v>21</v>
      </c>
      <c r="C4" s="3" t="s">
        <v>75</v>
      </c>
      <c r="D4" s="3" t="s">
        <v>22</v>
      </c>
      <c r="E4" s="3" t="s">
        <v>348</v>
      </c>
      <c r="F4" s="3" t="s">
        <v>23</v>
      </c>
      <c r="G4" s="9">
        <v>70000</v>
      </c>
      <c r="H4" s="3" t="s">
        <v>85</v>
      </c>
      <c r="I4" s="3" t="s">
        <v>84</v>
      </c>
      <c r="J4" s="4">
        <v>0.4861111111111111</v>
      </c>
      <c r="K4" s="5">
        <v>0.49722222222222223</v>
      </c>
      <c r="L4" s="4">
        <v>0.3298611111111111</v>
      </c>
      <c r="M4" s="5">
        <v>0.34722222222222227</v>
      </c>
      <c r="N4" s="3" t="s">
        <v>245</v>
      </c>
      <c r="O4" s="3" t="s">
        <v>194</v>
      </c>
      <c r="P4" s="3">
        <v>255</v>
      </c>
      <c r="Q4" s="3">
        <v>350</v>
      </c>
      <c r="R4" s="3">
        <v>0</v>
      </c>
      <c r="S4" s="3">
        <v>0</v>
      </c>
      <c r="T4" s="3">
        <v>0</v>
      </c>
      <c r="U4" s="3">
        <v>0</v>
      </c>
    </row>
    <row r="5" spans="1:25" x14ac:dyDescent="0.25">
      <c r="A5" s="2">
        <v>44889</v>
      </c>
      <c r="B5" s="3" t="s">
        <v>21</v>
      </c>
      <c r="C5" s="3" t="s">
        <v>67</v>
      </c>
      <c r="D5" s="3" t="s">
        <v>22</v>
      </c>
      <c r="E5" s="3" t="s">
        <v>348</v>
      </c>
      <c r="F5" s="3" t="s">
        <v>23</v>
      </c>
      <c r="G5" s="9">
        <v>70000</v>
      </c>
      <c r="H5" s="3" t="s">
        <v>60</v>
      </c>
      <c r="I5" s="3" t="s">
        <v>59</v>
      </c>
      <c r="J5" s="4">
        <v>0.66666666666666663</v>
      </c>
      <c r="K5" s="5">
        <v>0.66527777777777775</v>
      </c>
      <c r="L5" s="4">
        <v>0.51041666666666663</v>
      </c>
      <c r="M5" s="5">
        <v>0.52569444444444446</v>
      </c>
      <c r="N5" s="3" t="s">
        <v>399</v>
      </c>
      <c r="O5" s="3" t="s">
        <v>194</v>
      </c>
      <c r="P5" s="3">
        <v>572</v>
      </c>
      <c r="Q5" s="3">
        <v>315</v>
      </c>
      <c r="R5" s="3">
        <v>0</v>
      </c>
      <c r="S5" s="3">
        <v>0</v>
      </c>
      <c r="T5" s="3">
        <v>0</v>
      </c>
      <c r="U5" s="3">
        <v>0</v>
      </c>
    </row>
    <row r="6" spans="1:25" x14ac:dyDescent="0.25">
      <c r="A6" s="2">
        <v>44889</v>
      </c>
      <c r="B6" s="3" t="s">
        <v>21</v>
      </c>
      <c r="C6" s="3" t="s">
        <v>76</v>
      </c>
      <c r="D6" s="3" t="s">
        <v>22</v>
      </c>
      <c r="E6" s="3" t="s">
        <v>208</v>
      </c>
      <c r="F6" s="3" t="s">
        <v>23</v>
      </c>
      <c r="G6" s="9">
        <v>70000</v>
      </c>
      <c r="H6" s="3" t="s">
        <v>87</v>
      </c>
      <c r="I6" s="3" t="s">
        <v>86</v>
      </c>
      <c r="J6" s="4">
        <v>0.91319444444444453</v>
      </c>
      <c r="K6" s="5">
        <v>0.89444444444444438</v>
      </c>
      <c r="L6" s="4">
        <v>0.70486111111111116</v>
      </c>
      <c r="M6" s="5">
        <v>0.70138888888888884</v>
      </c>
      <c r="N6" s="3" t="s">
        <v>401</v>
      </c>
      <c r="O6" s="3" t="s">
        <v>185</v>
      </c>
      <c r="P6" s="3">
        <v>539</v>
      </c>
      <c r="Q6" s="3">
        <v>964</v>
      </c>
      <c r="R6" s="3">
        <v>0</v>
      </c>
      <c r="S6" s="3">
        <v>0</v>
      </c>
      <c r="T6" s="3">
        <v>0</v>
      </c>
      <c r="U6" s="3">
        <v>0</v>
      </c>
    </row>
    <row r="7" spans="1:25" x14ac:dyDescent="0.25">
      <c r="A7" s="2">
        <v>44889</v>
      </c>
      <c r="B7" s="3" t="s">
        <v>21</v>
      </c>
      <c r="C7" s="3" t="s">
        <v>54</v>
      </c>
      <c r="D7" s="3" t="s">
        <v>22</v>
      </c>
      <c r="E7" s="3" t="s">
        <v>348</v>
      </c>
      <c r="F7" s="3" t="s">
        <v>23</v>
      </c>
      <c r="G7" s="9">
        <v>70000</v>
      </c>
      <c r="H7" s="3" t="s">
        <v>55</v>
      </c>
      <c r="I7" s="3" t="s">
        <v>56</v>
      </c>
      <c r="J7" s="4">
        <v>0.88888888888888884</v>
      </c>
      <c r="K7" s="5">
        <v>0.87777777777777777</v>
      </c>
      <c r="L7" s="4">
        <v>0.71875</v>
      </c>
      <c r="M7" s="5">
        <v>0.72291666666666676</v>
      </c>
      <c r="N7" s="3" t="s">
        <v>327</v>
      </c>
      <c r="O7" s="3" t="s">
        <v>400</v>
      </c>
      <c r="P7" s="3">
        <v>511</v>
      </c>
      <c r="Q7" s="3">
        <v>625</v>
      </c>
      <c r="R7" s="3">
        <v>0</v>
      </c>
      <c r="S7" s="3">
        <v>0</v>
      </c>
      <c r="T7" s="3">
        <v>0</v>
      </c>
      <c r="U7" s="3">
        <v>0</v>
      </c>
    </row>
    <row r="8" spans="1:25" x14ac:dyDescent="0.25">
      <c r="A8" s="2">
        <v>44889</v>
      </c>
      <c r="B8" s="3" t="s">
        <v>390</v>
      </c>
      <c r="C8" s="3" t="s">
        <v>391</v>
      </c>
      <c r="D8" s="3" t="s">
        <v>392</v>
      </c>
      <c r="E8" s="3" t="s">
        <v>393</v>
      </c>
      <c r="F8" s="3" t="s">
        <v>394</v>
      </c>
      <c r="G8" s="3">
        <v>4740</v>
      </c>
      <c r="H8" s="3" t="s">
        <v>395</v>
      </c>
      <c r="I8" s="3" t="s">
        <v>395</v>
      </c>
      <c r="J8" s="4">
        <v>0.38194444444444442</v>
      </c>
      <c r="K8" s="5">
        <v>0.37777777777777777</v>
      </c>
      <c r="L8" s="4">
        <v>0.63541666666666663</v>
      </c>
      <c r="M8" s="5">
        <v>0.61805555555555558</v>
      </c>
      <c r="N8" s="3" t="s">
        <v>296</v>
      </c>
      <c r="O8" s="3" t="s">
        <v>296</v>
      </c>
      <c r="P8" s="3" t="s">
        <v>273</v>
      </c>
      <c r="Q8" s="3" t="s">
        <v>273</v>
      </c>
      <c r="R8" s="3">
        <v>0</v>
      </c>
      <c r="S8" s="3">
        <v>0</v>
      </c>
      <c r="T8" s="3">
        <v>0</v>
      </c>
      <c r="U8" s="3">
        <v>0</v>
      </c>
    </row>
    <row r="9" spans="1:25" x14ac:dyDescent="0.25">
      <c r="A9" s="2">
        <v>44889</v>
      </c>
      <c r="B9" s="3" t="s">
        <v>396</v>
      </c>
      <c r="C9" s="3" t="s">
        <v>397</v>
      </c>
      <c r="D9" s="3" t="s">
        <v>292</v>
      </c>
      <c r="E9" s="2" t="s">
        <v>293</v>
      </c>
      <c r="F9" s="3" t="s">
        <v>398</v>
      </c>
      <c r="G9" s="3">
        <v>1814</v>
      </c>
      <c r="H9" s="3" t="s">
        <v>273</v>
      </c>
      <c r="I9" s="3" t="s">
        <v>273</v>
      </c>
      <c r="J9" s="5">
        <v>0.58333333333333337</v>
      </c>
      <c r="K9" s="5">
        <v>0.58333333333333337</v>
      </c>
      <c r="L9" s="5">
        <v>0.625</v>
      </c>
      <c r="M9" s="5">
        <v>0.60416666666666663</v>
      </c>
      <c r="N9" s="3">
        <v>0</v>
      </c>
      <c r="O9" s="3">
        <v>0</v>
      </c>
      <c r="P9" s="4" t="s">
        <v>273</v>
      </c>
      <c r="Q9" s="5" t="s">
        <v>273</v>
      </c>
      <c r="R9" s="3">
        <v>0</v>
      </c>
      <c r="S9" s="3">
        <v>0</v>
      </c>
      <c r="T9" s="3">
        <v>0</v>
      </c>
      <c r="U9" s="3">
        <v>0</v>
      </c>
      <c r="V9" s="3"/>
      <c r="W9" s="3"/>
      <c r="X9" s="3"/>
      <c r="Y9" s="3"/>
    </row>
    <row r="10" spans="1:2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A6" sqref="A6:XFD6"/>
    </sheetView>
  </sheetViews>
  <sheetFormatPr defaultRowHeight="12.95" customHeight="1" x14ac:dyDescent="0.2"/>
  <cols>
    <col min="1" max="2" width="9.140625" style="6"/>
    <col min="3" max="3" width="14" style="6" bestFit="1" customWidth="1"/>
    <col min="4" max="5" width="9.140625" style="6"/>
    <col min="6" max="6" width="14.42578125" style="6" customWidth="1"/>
    <col min="7" max="16384" width="9.140625" style="6"/>
  </cols>
  <sheetData>
    <row r="1" spans="1:2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1" customHeight="1" x14ac:dyDescent="0.2">
      <c r="A2" s="2">
        <v>44890</v>
      </c>
      <c r="B2" s="3" t="s">
        <v>21</v>
      </c>
      <c r="C2" s="3" t="s">
        <v>110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113</v>
      </c>
      <c r="I2" s="5" t="s">
        <v>116</v>
      </c>
      <c r="J2" s="7">
        <v>0.52430555555555558</v>
      </c>
      <c r="K2" s="5">
        <v>0.51597222222222217</v>
      </c>
      <c r="L2" s="4">
        <v>0.27777777777777779</v>
      </c>
      <c r="M2" s="5">
        <v>0.28055555555555556</v>
      </c>
      <c r="N2" s="3" t="s">
        <v>196</v>
      </c>
      <c r="O2" s="3" t="s">
        <v>337</v>
      </c>
      <c r="P2" s="3">
        <v>537</v>
      </c>
      <c r="Q2" s="3">
        <v>835</v>
      </c>
      <c r="R2" s="3">
        <v>0</v>
      </c>
      <c r="S2" s="3">
        <v>0</v>
      </c>
      <c r="T2" s="3">
        <v>0</v>
      </c>
      <c r="U2" s="3">
        <v>0</v>
      </c>
    </row>
    <row r="3" spans="1:21" ht="14.1" customHeight="1" x14ac:dyDescent="0.2">
      <c r="A3" s="2">
        <v>44890</v>
      </c>
      <c r="B3" s="3" t="s">
        <v>21</v>
      </c>
      <c r="C3" s="3" t="s">
        <v>111</v>
      </c>
      <c r="D3" s="3" t="s">
        <v>22</v>
      </c>
      <c r="E3" s="3" t="s">
        <v>402</v>
      </c>
      <c r="F3" s="3" t="s">
        <v>23</v>
      </c>
      <c r="G3" s="9">
        <v>70000</v>
      </c>
      <c r="H3" s="3" t="s">
        <v>114</v>
      </c>
      <c r="I3" s="5" t="s">
        <v>117</v>
      </c>
      <c r="J3" s="7">
        <v>0.4826388888888889</v>
      </c>
      <c r="K3" s="5">
        <v>0.76180555555555562</v>
      </c>
      <c r="L3" s="4">
        <v>0.28819444444444448</v>
      </c>
      <c r="M3" s="5">
        <v>0.55138888888888882</v>
      </c>
      <c r="N3" s="3" t="s">
        <v>52</v>
      </c>
      <c r="O3" s="3" t="s">
        <v>405</v>
      </c>
      <c r="P3" s="3">
        <v>673</v>
      </c>
      <c r="Q3" s="3">
        <v>840</v>
      </c>
      <c r="R3" s="3">
        <v>0</v>
      </c>
      <c r="S3" s="3">
        <v>0</v>
      </c>
      <c r="T3" s="3">
        <v>0</v>
      </c>
      <c r="U3" s="3">
        <v>0</v>
      </c>
    </row>
    <row r="4" spans="1:21" ht="14.1" customHeight="1" x14ac:dyDescent="0.2">
      <c r="A4" s="2">
        <v>44890</v>
      </c>
      <c r="B4" s="3" t="s">
        <v>21</v>
      </c>
      <c r="C4" s="3" t="s">
        <v>112</v>
      </c>
      <c r="D4" s="3" t="s">
        <v>22</v>
      </c>
      <c r="E4" s="3" t="s">
        <v>208</v>
      </c>
      <c r="F4" s="3" t="s">
        <v>23</v>
      </c>
      <c r="G4" s="9">
        <v>70000</v>
      </c>
      <c r="H4" s="3" t="s">
        <v>115</v>
      </c>
      <c r="I4" s="5" t="s">
        <v>118</v>
      </c>
      <c r="J4" s="7">
        <v>0.68055555555555547</v>
      </c>
      <c r="K4" s="5">
        <v>0.70486111111111116</v>
      </c>
      <c r="L4" s="4">
        <v>0.50694444444444442</v>
      </c>
      <c r="M4" s="5">
        <v>0.55138888888888882</v>
      </c>
      <c r="N4" s="3" t="s">
        <v>416</v>
      </c>
      <c r="O4" s="3" t="s">
        <v>50</v>
      </c>
      <c r="P4" s="3">
        <v>385</v>
      </c>
      <c r="Q4" s="3">
        <v>702</v>
      </c>
      <c r="R4" s="3">
        <v>0</v>
      </c>
      <c r="S4" s="3">
        <v>0</v>
      </c>
      <c r="T4" s="3">
        <v>0</v>
      </c>
      <c r="U4" s="3">
        <v>0</v>
      </c>
    </row>
    <row r="5" spans="1:21" ht="14.1" customHeight="1" x14ac:dyDescent="0.2">
      <c r="A5" s="2">
        <v>44890</v>
      </c>
      <c r="B5" s="3" t="s">
        <v>21</v>
      </c>
      <c r="C5" s="3" t="s">
        <v>120</v>
      </c>
      <c r="D5" s="3" t="s">
        <v>22</v>
      </c>
      <c r="E5" s="3" t="s">
        <v>348</v>
      </c>
      <c r="F5" s="3" t="s">
        <v>23</v>
      </c>
      <c r="G5" s="9">
        <v>70000</v>
      </c>
      <c r="H5" s="3" t="s">
        <v>113</v>
      </c>
      <c r="I5" s="5" t="s">
        <v>119</v>
      </c>
      <c r="J5" s="7">
        <v>0.66666666666666663</v>
      </c>
      <c r="K5" s="5">
        <v>0.68958333333333333</v>
      </c>
      <c r="L5" s="4">
        <v>0.54513888888888895</v>
      </c>
      <c r="M5" s="5">
        <v>0.57777777777777783</v>
      </c>
      <c r="N5" s="3" t="s">
        <v>417</v>
      </c>
      <c r="O5" s="3" t="s">
        <v>406</v>
      </c>
      <c r="P5" s="3">
        <v>447</v>
      </c>
      <c r="Q5" s="3">
        <v>372</v>
      </c>
      <c r="R5" s="3">
        <v>0</v>
      </c>
      <c r="S5" s="3">
        <v>0</v>
      </c>
      <c r="T5" s="3">
        <v>0</v>
      </c>
      <c r="U5" s="3">
        <v>0</v>
      </c>
    </row>
    <row r="6" spans="1:21" ht="14.1" customHeight="1" x14ac:dyDescent="0.2">
      <c r="A6" s="2">
        <v>44890</v>
      </c>
      <c r="B6" s="3" t="s">
        <v>21</v>
      </c>
      <c r="C6" s="3" t="s">
        <v>67</v>
      </c>
      <c r="D6" s="3" t="s">
        <v>22</v>
      </c>
      <c r="E6" s="3" t="s">
        <v>348</v>
      </c>
      <c r="F6" s="3" t="s">
        <v>23</v>
      </c>
      <c r="G6" s="9">
        <v>70000</v>
      </c>
      <c r="H6" s="3" t="s">
        <v>60</v>
      </c>
      <c r="I6" s="6" t="s">
        <v>59</v>
      </c>
      <c r="J6" s="7">
        <v>0.86111111111111116</v>
      </c>
      <c r="K6" s="8">
        <v>0.85972222222222217</v>
      </c>
      <c r="L6" s="7">
        <v>0.70486111111111116</v>
      </c>
      <c r="M6" s="8">
        <v>0.72361111111111109</v>
      </c>
      <c r="N6" s="3" t="s">
        <v>418</v>
      </c>
      <c r="O6" s="3" t="s">
        <v>353</v>
      </c>
      <c r="P6" s="6">
        <v>309</v>
      </c>
      <c r="Q6" s="6">
        <v>594</v>
      </c>
      <c r="R6" s="6">
        <v>0</v>
      </c>
      <c r="S6" s="6">
        <v>0</v>
      </c>
      <c r="T6" s="6">
        <v>0</v>
      </c>
      <c r="U6" s="6">
        <v>0</v>
      </c>
    </row>
    <row r="7" spans="1:21" ht="14.1" customHeight="1" x14ac:dyDescent="0.2">
      <c r="A7" s="2">
        <v>44890</v>
      </c>
      <c r="B7" s="3" t="s">
        <v>21</v>
      </c>
      <c r="C7" s="3" t="s">
        <v>122</v>
      </c>
      <c r="D7" s="3" t="s">
        <v>22</v>
      </c>
      <c r="E7" s="3" t="str">
        <f>E4</f>
        <v>HA-LWL</v>
      </c>
      <c r="F7" s="3" t="s">
        <v>23</v>
      </c>
      <c r="G7" s="3">
        <v>70000</v>
      </c>
      <c r="H7" s="3" t="s">
        <v>125</v>
      </c>
      <c r="I7" s="3" t="s">
        <v>126</v>
      </c>
      <c r="J7" s="4">
        <v>0.92708333333333337</v>
      </c>
      <c r="K7" s="5">
        <v>0.9194444444444444</v>
      </c>
      <c r="L7" s="4">
        <v>0.74305555555555547</v>
      </c>
      <c r="M7" s="5">
        <v>0.74652777777777779</v>
      </c>
      <c r="N7" s="3" t="s">
        <v>421</v>
      </c>
      <c r="O7" s="3" t="s">
        <v>407</v>
      </c>
      <c r="P7" s="3">
        <v>640</v>
      </c>
      <c r="Q7" s="3">
        <v>695</v>
      </c>
      <c r="R7" s="3">
        <v>0</v>
      </c>
      <c r="S7" s="3">
        <v>0</v>
      </c>
      <c r="T7" s="3">
        <v>0</v>
      </c>
      <c r="U7" s="3">
        <v>0</v>
      </c>
    </row>
    <row r="8" spans="1:21" ht="14.1" customHeight="1" x14ac:dyDescent="0.2">
      <c r="A8" s="2">
        <v>44890</v>
      </c>
      <c r="B8" s="6" t="s">
        <v>38</v>
      </c>
      <c r="C8" s="6" t="s">
        <v>123</v>
      </c>
      <c r="D8" s="6" t="s">
        <v>124</v>
      </c>
      <c r="E8" s="6" t="s">
        <v>254</v>
      </c>
      <c r="F8" s="6" t="s">
        <v>23</v>
      </c>
      <c r="G8" s="6">
        <v>80000</v>
      </c>
      <c r="H8" s="6" t="s">
        <v>127</v>
      </c>
      <c r="I8" s="6" t="s">
        <v>128</v>
      </c>
      <c r="J8" s="7">
        <v>0.77777777777777779</v>
      </c>
      <c r="K8" s="8">
        <v>0.75694444444444453</v>
      </c>
      <c r="L8" s="7">
        <v>0.80208333333333337</v>
      </c>
      <c r="M8" s="8">
        <v>0.79513888888888884</v>
      </c>
      <c r="N8" s="3" t="s">
        <v>419</v>
      </c>
      <c r="O8" s="3" t="s">
        <v>420</v>
      </c>
      <c r="P8" s="6">
        <v>234</v>
      </c>
      <c r="Q8" s="6">
        <v>130</v>
      </c>
      <c r="R8" s="6">
        <v>0</v>
      </c>
      <c r="S8" s="6">
        <v>0</v>
      </c>
      <c r="T8" s="6">
        <v>0</v>
      </c>
      <c r="U8" s="6">
        <v>0</v>
      </c>
    </row>
    <row r="9" spans="1:21" ht="14.1" customHeight="1" x14ac:dyDescent="0.2">
      <c r="A9" s="2">
        <v>44890</v>
      </c>
      <c r="B9" s="3" t="s">
        <v>21</v>
      </c>
      <c r="C9" s="3" t="s">
        <v>403</v>
      </c>
      <c r="D9" s="3" t="s">
        <v>22</v>
      </c>
      <c r="E9" s="3" t="s">
        <v>402</v>
      </c>
      <c r="F9" s="3" t="s">
        <v>258</v>
      </c>
      <c r="G9" s="9">
        <v>70000</v>
      </c>
      <c r="H9" s="3" t="s">
        <v>404</v>
      </c>
      <c r="I9" s="3" t="s">
        <v>259</v>
      </c>
      <c r="J9" s="4">
        <v>0.54166666666666663</v>
      </c>
      <c r="K9" s="5">
        <v>0.53125</v>
      </c>
      <c r="L9" s="4">
        <v>0.77083333333333337</v>
      </c>
      <c r="M9" s="8">
        <v>0.78680555555555554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6">
        <v>0</v>
      </c>
      <c r="T9" s="6">
        <v>0</v>
      </c>
      <c r="U9" s="6">
        <v>0</v>
      </c>
    </row>
    <row r="10" spans="1:21" s="3" customFormat="1" ht="14.1" customHeight="1" x14ac:dyDescent="0.25">
      <c r="A10" s="2">
        <v>44890</v>
      </c>
      <c r="B10" s="3" t="s">
        <v>408</v>
      </c>
      <c r="C10" s="3" t="s">
        <v>409</v>
      </c>
      <c r="D10" s="3" t="s">
        <v>410</v>
      </c>
      <c r="E10" s="3" t="s">
        <v>411</v>
      </c>
      <c r="F10" s="3" t="s">
        <v>412</v>
      </c>
      <c r="G10" s="3">
        <v>6600</v>
      </c>
      <c r="H10" s="3" t="s">
        <v>413</v>
      </c>
      <c r="I10" s="3" t="s">
        <v>273</v>
      </c>
      <c r="J10" s="4">
        <v>0.65625</v>
      </c>
      <c r="K10" s="5">
        <v>0.65625</v>
      </c>
      <c r="L10" s="18" t="s">
        <v>295</v>
      </c>
      <c r="M10" s="3" t="s">
        <v>273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s="3" customFormat="1" ht="14.1" customHeight="1" x14ac:dyDescent="0.25">
      <c r="A11" s="2">
        <v>44890</v>
      </c>
      <c r="B11" s="3" t="s">
        <v>408</v>
      </c>
      <c r="C11" s="3" t="s">
        <v>409</v>
      </c>
      <c r="D11" s="3" t="s">
        <v>410</v>
      </c>
      <c r="E11" s="3" t="s">
        <v>415</v>
      </c>
      <c r="F11" s="3" t="s">
        <v>412</v>
      </c>
      <c r="G11" s="3">
        <v>6600</v>
      </c>
      <c r="H11" s="3" t="s">
        <v>414</v>
      </c>
      <c r="I11" s="3" t="s">
        <v>273</v>
      </c>
      <c r="J11" s="4">
        <v>0.65972222222222221</v>
      </c>
      <c r="K11" s="5">
        <v>0.66180555555555554</v>
      </c>
      <c r="L11" s="18" t="s">
        <v>295</v>
      </c>
      <c r="M11" s="3" t="s">
        <v>273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workbookViewId="0">
      <selection activeCell="J16" sqref="J16"/>
    </sheetView>
  </sheetViews>
  <sheetFormatPr defaultRowHeight="15" x14ac:dyDescent="0.25"/>
  <cols>
    <col min="1" max="1" width="11.28515625" bestFit="1" customWidth="1"/>
    <col min="3" max="3" width="15.42578125" customWidth="1"/>
    <col min="6" max="6" width="20.42578125" customWidth="1"/>
    <col min="7" max="7" width="9.28515625" bestFit="1" customWidth="1"/>
    <col min="10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44891</v>
      </c>
      <c r="B2" s="3" t="s">
        <v>21</v>
      </c>
      <c r="C2" s="3" t="s">
        <v>24</v>
      </c>
      <c r="D2" s="3" t="s">
        <v>22</v>
      </c>
      <c r="E2" s="3" t="s">
        <v>348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0.55833333333333335</v>
      </c>
      <c r="L2" s="4">
        <v>0.27777777777777779</v>
      </c>
      <c r="M2" s="5">
        <v>0.37916666666666665</v>
      </c>
      <c r="N2" s="3" t="s">
        <v>427</v>
      </c>
      <c r="O2" s="3" t="s">
        <v>150</v>
      </c>
      <c r="P2" s="3">
        <v>916</v>
      </c>
      <c r="Q2" s="3">
        <v>965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44891</v>
      </c>
      <c r="B3" s="3" t="s">
        <v>21</v>
      </c>
      <c r="C3" s="3" t="s">
        <v>36</v>
      </c>
      <c r="D3" s="3" t="s">
        <v>22</v>
      </c>
      <c r="E3" s="3" t="s">
        <v>208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0.57708333333333328</v>
      </c>
      <c r="L3" s="4">
        <v>0.30555555555555552</v>
      </c>
      <c r="M3" s="5">
        <v>0.38611111111111113</v>
      </c>
      <c r="N3" s="3" t="s">
        <v>136</v>
      </c>
      <c r="O3" s="3" t="s">
        <v>132</v>
      </c>
      <c r="P3" s="3">
        <v>801</v>
      </c>
      <c r="Q3" s="3">
        <v>576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44891</v>
      </c>
      <c r="B4" s="3" t="s">
        <v>21</v>
      </c>
      <c r="C4" s="3" t="s">
        <v>27</v>
      </c>
      <c r="D4" s="3" t="s">
        <v>22</v>
      </c>
      <c r="E4" s="3" t="s">
        <v>208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0.74236111111111114</v>
      </c>
      <c r="L4" s="4">
        <v>0.52430555555555558</v>
      </c>
      <c r="M4" s="5">
        <v>0.60833333333333328</v>
      </c>
      <c r="N4" s="3" t="s">
        <v>384</v>
      </c>
      <c r="O4" s="3" t="s">
        <v>429</v>
      </c>
      <c r="P4" s="3">
        <v>569</v>
      </c>
      <c r="Q4" s="3">
        <v>630</v>
      </c>
      <c r="R4" s="3">
        <v>0</v>
      </c>
      <c r="S4" s="3">
        <v>0</v>
      </c>
      <c r="T4" s="3">
        <v>0</v>
      </c>
      <c r="U4" s="3">
        <v>0</v>
      </c>
    </row>
    <row r="5" spans="1:22" x14ac:dyDescent="0.25">
      <c r="A5" s="2">
        <v>44891</v>
      </c>
      <c r="B5" s="3" t="s">
        <v>21</v>
      </c>
      <c r="C5" s="3" t="s">
        <v>30</v>
      </c>
      <c r="D5" s="3" t="s">
        <v>22</v>
      </c>
      <c r="E5" s="3" t="s">
        <v>348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0.75555555555555554</v>
      </c>
      <c r="L5" s="4">
        <v>0.54166666666666663</v>
      </c>
      <c r="M5" s="5">
        <v>0.59930555555555554</v>
      </c>
      <c r="N5" s="3" t="s">
        <v>430</v>
      </c>
      <c r="O5" s="3" t="s">
        <v>428</v>
      </c>
      <c r="P5" s="3">
        <v>623</v>
      </c>
      <c r="Q5" s="3">
        <v>856</v>
      </c>
      <c r="R5" s="3">
        <v>0</v>
      </c>
      <c r="S5" s="3">
        <v>0</v>
      </c>
      <c r="T5" s="3">
        <v>0</v>
      </c>
      <c r="U5" s="3">
        <v>0</v>
      </c>
    </row>
    <row r="6" spans="1:22" s="3" customFormat="1" ht="15" customHeight="1" x14ac:dyDescent="0.25">
      <c r="A6" s="2">
        <v>44891</v>
      </c>
      <c r="B6" s="3" t="s">
        <v>38</v>
      </c>
      <c r="C6" s="3" t="s">
        <v>34</v>
      </c>
      <c r="D6" s="3" t="s">
        <v>22</v>
      </c>
      <c r="E6" s="3" t="s">
        <v>431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0.67708333333333337</v>
      </c>
      <c r="K6" s="5">
        <v>0.68541666666666667</v>
      </c>
      <c r="L6" s="4">
        <v>0.69097222222222221</v>
      </c>
      <c r="M6" s="5">
        <v>0.72222222222222221</v>
      </c>
      <c r="N6" s="3" t="s">
        <v>194</v>
      </c>
      <c r="O6" s="3" t="s">
        <v>217</v>
      </c>
      <c r="P6" s="3">
        <v>208</v>
      </c>
      <c r="Q6" s="3">
        <v>234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44891</v>
      </c>
      <c r="B7" s="3" t="s">
        <v>21</v>
      </c>
      <c r="C7" s="3" t="s">
        <v>54</v>
      </c>
      <c r="D7" s="3" t="s">
        <v>22</v>
      </c>
      <c r="E7" s="3" t="s">
        <v>348</v>
      </c>
      <c r="F7" s="1" t="s">
        <v>23</v>
      </c>
      <c r="G7" s="9">
        <v>70000</v>
      </c>
      <c r="H7" s="3" t="s">
        <v>55</v>
      </c>
      <c r="I7" s="3" t="s">
        <v>56</v>
      </c>
      <c r="J7" s="4">
        <v>0.88888888888888884</v>
      </c>
      <c r="K7" s="5">
        <v>0.94166666666666676</v>
      </c>
      <c r="L7" s="4">
        <v>0.71875</v>
      </c>
      <c r="M7" s="5">
        <v>0.78541666666666676</v>
      </c>
      <c r="N7" s="3" t="s">
        <v>433</v>
      </c>
      <c r="O7" s="3" t="s">
        <v>432</v>
      </c>
      <c r="P7" s="3">
        <v>859</v>
      </c>
      <c r="Q7" s="3">
        <v>919</v>
      </c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2">
        <v>44891</v>
      </c>
      <c r="B8" s="3" t="s">
        <v>408</v>
      </c>
      <c r="C8" s="3" t="s">
        <v>422</v>
      </c>
      <c r="D8" s="3" t="s">
        <v>410</v>
      </c>
      <c r="E8" s="3" t="s">
        <v>423</v>
      </c>
      <c r="F8" s="3" t="s">
        <v>425</v>
      </c>
      <c r="G8" s="9">
        <v>6600</v>
      </c>
      <c r="H8" s="3" t="s">
        <v>426</v>
      </c>
      <c r="I8" s="3" t="s">
        <v>413</v>
      </c>
      <c r="J8" s="18" t="s">
        <v>426</v>
      </c>
      <c r="K8" s="3" t="s">
        <v>426</v>
      </c>
      <c r="L8" s="4">
        <v>0.33333333333333331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2" x14ac:dyDescent="0.25">
      <c r="A9" s="2">
        <v>44891</v>
      </c>
      <c r="B9" s="3" t="s">
        <v>408</v>
      </c>
      <c r="C9" s="3" t="s">
        <v>422</v>
      </c>
      <c r="D9" s="3" t="s">
        <v>410</v>
      </c>
      <c r="E9" s="3" t="s">
        <v>424</v>
      </c>
      <c r="F9" s="3" t="s">
        <v>425</v>
      </c>
      <c r="G9" s="9">
        <v>6600</v>
      </c>
      <c r="H9" s="3" t="s">
        <v>426</v>
      </c>
      <c r="I9" s="3" t="s">
        <v>413</v>
      </c>
      <c r="J9" s="18" t="s">
        <v>426</v>
      </c>
      <c r="K9" s="3" t="s">
        <v>426</v>
      </c>
      <c r="L9" s="4">
        <v>0.34375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/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K9" sqref="K9"/>
    </sheetView>
  </sheetViews>
  <sheetFormatPr defaultRowHeight="15" x14ac:dyDescent="0.25"/>
  <cols>
    <col min="1" max="1" width="12.7109375" customWidth="1"/>
    <col min="2" max="2" width="11.140625" customWidth="1"/>
    <col min="3" max="3" width="15.5703125" customWidth="1"/>
    <col min="6" max="6" width="11.85546875" customWidth="1"/>
    <col min="7" max="7" width="9.28515625" bestFit="1" customWidth="1"/>
    <col min="10" max="13" width="9.28515625" bestFit="1" customWidth="1"/>
    <col min="16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">
        <v>44892</v>
      </c>
      <c r="B2" s="3" t="s">
        <v>21</v>
      </c>
      <c r="C2" s="3" t="s">
        <v>24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0.50694444444444442</v>
      </c>
      <c r="L2" s="4">
        <v>0.27777777777777779</v>
      </c>
      <c r="M2" s="5">
        <v>0.30972222222222223</v>
      </c>
      <c r="N2" s="2" t="s">
        <v>313</v>
      </c>
      <c r="O2" s="2" t="s">
        <v>436</v>
      </c>
      <c r="P2" s="3">
        <v>729</v>
      </c>
      <c r="Q2" s="3">
        <v>845</v>
      </c>
      <c r="R2" s="3">
        <v>0</v>
      </c>
      <c r="S2" s="3">
        <v>0</v>
      </c>
      <c r="T2" s="3">
        <v>0</v>
      </c>
      <c r="U2" s="3">
        <v>0</v>
      </c>
    </row>
    <row r="3" spans="1:22" x14ac:dyDescent="0.25">
      <c r="A3" s="2">
        <v>44892</v>
      </c>
      <c r="B3" s="3" t="s">
        <v>21</v>
      </c>
      <c r="C3" s="3" t="s">
        <v>75</v>
      </c>
      <c r="D3" s="3" t="s">
        <v>22</v>
      </c>
      <c r="E3" s="3" t="s">
        <v>348</v>
      </c>
      <c r="F3" s="1" t="s">
        <v>23</v>
      </c>
      <c r="G3" s="9">
        <v>70000</v>
      </c>
      <c r="H3" s="3" t="s">
        <v>85</v>
      </c>
      <c r="I3" s="3" t="s">
        <v>84</v>
      </c>
      <c r="J3" s="4">
        <v>0.4861111111111111</v>
      </c>
      <c r="K3" s="5">
        <v>0.47638888888888892</v>
      </c>
      <c r="L3" s="4">
        <v>0.3298611111111111</v>
      </c>
      <c r="M3" s="5">
        <v>0.3298611111111111</v>
      </c>
      <c r="N3" s="2" t="s">
        <v>437</v>
      </c>
      <c r="O3" s="2" t="s">
        <v>338</v>
      </c>
      <c r="P3" s="3">
        <v>457</v>
      </c>
      <c r="Q3" s="3">
        <v>507</v>
      </c>
      <c r="R3" s="3">
        <v>0</v>
      </c>
      <c r="S3" s="3">
        <v>0</v>
      </c>
      <c r="T3" s="3">
        <v>0</v>
      </c>
      <c r="U3" s="3">
        <v>0</v>
      </c>
    </row>
    <row r="4" spans="1:22" x14ac:dyDescent="0.25">
      <c r="A4" s="2">
        <v>44892</v>
      </c>
      <c r="B4" s="14" t="s">
        <v>38</v>
      </c>
      <c r="C4" s="3" t="s">
        <v>61</v>
      </c>
      <c r="D4" s="3" t="s">
        <v>380</v>
      </c>
      <c r="E4" s="3" t="s">
        <v>381</v>
      </c>
      <c r="F4" s="3" t="s">
        <v>23</v>
      </c>
      <c r="G4" s="9">
        <v>80000</v>
      </c>
      <c r="H4" s="3" t="s">
        <v>64</v>
      </c>
      <c r="I4" s="3" t="s">
        <v>63</v>
      </c>
      <c r="J4" s="4">
        <v>0.37847222222222227</v>
      </c>
      <c r="K4" s="5">
        <v>0.35902777777777778</v>
      </c>
      <c r="L4" s="4">
        <v>0.39930555555555558</v>
      </c>
      <c r="M4" s="5">
        <v>0.40069444444444446</v>
      </c>
      <c r="N4" s="3" t="s">
        <v>435</v>
      </c>
      <c r="O4" s="2" t="s">
        <v>434</v>
      </c>
      <c r="P4" s="3">
        <v>208</v>
      </c>
      <c r="Q4" s="3">
        <v>455</v>
      </c>
      <c r="R4" s="3">
        <v>0</v>
      </c>
      <c r="S4" s="3">
        <v>0</v>
      </c>
      <c r="T4" s="3">
        <v>0</v>
      </c>
      <c r="U4" s="3">
        <v>0</v>
      </c>
      <c r="V4" s="3"/>
    </row>
    <row r="5" spans="1:22" x14ac:dyDescent="0.25">
      <c r="A5" s="2">
        <v>44892</v>
      </c>
      <c r="B5" s="3" t="s">
        <v>21</v>
      </c>
      <c r="C5" s="3" t="s">
        <v>54</v>
      </c>
      <c r="D5" s="3" t="s">
        <v>22</v>
      </c>
      <c r="E5" s="3" t="s">
        <v>348</v>
      </c>
      <c r="F5" s="3" t="s">
        <v>23</v>
      </c>
      <c r="G5" s="9">
        <v>70000</v>
      </c>
      <c r="H5" s="3" t="s">
        <v>55</v>
      </c>
      <c r="I5" s="3" t="s">
        <v>56</v>
      </c>
      <c r="J5" s="4">
        <v>0.67708333333333337</v>
      </c>
      <c r="K5" s="5">
        <v>0.6791666666666667</v>
      </c>
      <c r="L5" s="4">
        <v>0.50694444444444442</v>
      </c>
      <c r="M5" s="5">
        <v>0.51458333333333328</v>
      </c>
      <c r="N5" s="2" t="s">
        <v>439</v>
      </c>
      <c r="O5" s="2" t="s">
        <v>438</v>
      </c>
      <c r="P5" s="3">
        <v>578</v>
      </c>
      <c r="Q5" s="3">
        <v>681</v>
      </c>
      <c r="R5" s="3">
        <v>0</v>
      </c>
      <c r="S5" s="3">
        <v>0</v>
      </c>
      <c r="T5" s="3">
        <v>0</v>
      </c>
      <c r="U5" s="3">
        <v>0</v>
      </c>
    </row>
    <row r="6" spans="1:22" x14ac:dyDescent="0.25">
      <c r="A6" s="2">
        <v>44892</v>
      </c>
      <c r="B6" s="3" t="s">
        <v>21</v>
      </c>
      <c r="C6" s="3" t="s">
        <v>67</v>
      </c>
      <c r="D6" s="3" t="s">
        <v>22</v>
      </c>
      <c r="E6" s="3" t="s">
        <v>208</v>
      </c>
      <c r="F6" s="1" t="s">
        <v>23</v>
      </c>
      <c r="G6" s="9">
        <v>70000</v>
      </c>
      <c r="H6" s="3" t="s">
        <v>60</v>
      </c>
      <c r="I6" s="3" t="s">
        <v>59</v>
      </c>
      <c r="J6" s="4">
        <v>0.68402777777777779</v>
      </c>
      <c r="K6" s="5">
        <v>0.70000000000000007</v>
      </c>
      <c r="L6" s="4">
        <v>0.52777777777777779</v>
      </c>
      <c r="M6" s="5">
        <v>0.54375000000000007</v>
      </c>
      <c r="N6" s="2" t="s">
        <v>440</v>
      </c>
      <c r="O6" s="2" t="s">
        <v>242</v>
      </c>
      <c r="P6" s="3">
        <v>474</v>
      </c>
      <c r="Q6" s="3">
        <v>551</v>
      </c>
      <c r="R6" s="3">
        <v>0</v>
      </c>
      <c r="S6" s="3">
        <v>0</v>
      </c>
      <c r="T6" s="3">
        <v>0</v>
      </c>
      <c r="U6" s="3">
        <v>0</v>
      </c>
    </row>
    <row r="7" spans="1:22" x14ac:dyDescent="0.25">
      <c r="A7" s="2">
        <v>44892</v>
      </c>
      <c r="B7" s="3" t="s">
        <v>21</v>
      </c>
      <c r="C7" s="3" t="s">
        <v>76</v>
      </c>
      <c r="D7" s="3" t="s">
        <v>22</v>
      </c>
      <c r="E7" s="3" t="s">
        <v>208</v>
      </c>
      <c r="F7" s="1" t="s">
        <v>23</v>
      </c>
      <c r="G7" s="9">
        <v>70000</v>
      </c>
      <c r="H7" s="3" t="s">
        <v>87</v>
      </c>
      <c r="I7" s="3" t="s">
        <v>86</v>
      </c>
      <c r="J7" s="4">
        <v>0.91319444444444453</v>
      </c>
      <c r="K7" s="5">
        <v>0.92361111111111116</v>
      </c>
      <c r="L7" s="4">
        <v>0.70486111111111116</v>
      </c>
      <c r="M7" s="5">
        <v>0.7319444444444444</v>
      </c>
      <c r="N7" s="2" t="s">
        <v>441</v>
      </c>
      <c r="O7" s="2" t="s">
        <v>349</v>
      </c>
      <c r="P7" s="3">
        <v>662</v>
      </c>
      <c r="Q7" s="3">
        <v>501</v>
      </c>
      <c r="R7" s="3">
        <v>0</v>
      </c>
      <c r="S7" s="3">
        <v>0</v>
      </c>
      <c r="T7" s="3">
        <v>0</v>
      </c>
      <c r="U7" s="3">
        <v>0</v>
      </c>
    </row>
    <row r="8" spans="1:22" x14ac:dyDescent="0.25">
      <c r="A8" s="2">
        <v>44892</v>
      </c>
      <c r="B8" s="3" t="s">
        <v>21</v>
      </c>
      <c r="C8" s="3" t="s">
        <v>66</v>
      </c>
      <c r="D8" s="3" t="s">
        <v>22</v>
      </c>
      <c r="E8" s="3" t="s">
        <v>348</v>
      </c>
      <c r="F8" s="3" t="s">
        <v>23</v>
      </c>
      <c r="G8" s="9">
        <v>70000</v>
      </c>
      <c r="H8" s="3" t="s">
        <v>58</v>
      </c>
      <c r="I8" s="3" t="s">
        <v>57</v>
      </c>
      <c r="J8" s="4">
        <v>0.95486111111111116</v>
      </c>
      <c r="K8" s="5">
        <v>0.94930555555555562</v>
      </c>
      <c r="L8" s="4">
        <v>0.71527777777777779</v>
      </c>
      <c r="M8" s="5">
        <v>0.71736111111111101</v>
      </c>
      <c r="N8" s="2" t="s">
        <v>442</v>
      </c>
      <c r="O8" s="2" t="s">
        <v>167</v>
      </c>
      <c r="P8" s="3">
        <v>427</v>
      </c>
      <c r="Q8" s="3">
        <v>1101</v>
      </c>
      <c r="R8" s="3">
        <v>0</v>
      </c>
      <c r="S8" s="3">
        <v>0</v>
      </c>
      <c r="T8" s="3">
        <v>0</v>
      </c>
      <c r="U8" s="3">
        <v>0</v>
      </c>
    </row>
    <row r="9" spans="1:2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2" max="2" width="9" customWidth="1"/>
    <col min="3" max="3" width="13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44886</v>
      </c>
      <c r="B2" s="3" t="s">
        <v>21</v>
      </c>
      <c r="C2" s="3" t="s">
        <v>110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113</v>
      </c>
      <c r="I2" s="5" t="s">
        <v>116</v>
      </c>
      <c r="J2" s="7">
        <v>0.52430555555555558</v>
      </c>
      <c r="K2" s="5">
        <v>0.5083333333333333</v>
      </c>
      <c r="L2" s="4">
        <v>0.27777777777777779</v>
      </c>
      <c r="M2" s="5">
        <f>L2</f>
        <v>0.27777777777777779</v>
      </c>
      <c r="N2" s="3" t="s">
        <v>164</v>
      </c>
      <c r="O2" s="3" t="s">
        <v>443</v>
      </c>
      <c r="P2" s="3">
        <v>728</v>
      </c>
      <c r="Q2" s="3">
        <v>1027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44886</v>
      </c>
      <c r="B3" s="3" t="s">
        <v>21</v>
      </c>
      <c r="C3" s="3" t="s">
        <v>111</v>
      </c>
      <c r="D3" s="3" t="s">
        <v>22</v>
      </c>
      <c r="E3" s="3" t="s">
        <v>348</v>
      </c>
      <c r="F3" s="3" t="s">
        <v>23</v>
      </c>
      <c r="G3" s="9">
        <v>70000</v>
      </c>
      <c r="H3" s="3" t="s">
        <v>114</v>
      </c>
      <c r="I3" s="5" t="s">
        <v>117</v>
      </c>
      <c r="J3" s="7">
        <v>0.4826388888888889</v>
      </c>
      <c r="K3" s="5">
        <v>0.47916666666666669</v>
      </c>
      <c r="L3" s="4">
        <v>0.28819444444444448</v>
      </c>
      <c r="M3" s="5">
        <v>0.30138888888888887</v>
      </c>
      <c r="N3" s="3" t="s">
        <v>445</v>
      </c>
      <c r="O3" s="3" t="s">
        <v>444</v>
      </c>
      <c r="P3" s="3">
        <v>670</v>
      </c>
      <c r="Q3" s="3">
        <v>752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44886</v>
      </c>
      <c r="B4" s="3" t="s">
        <v>21</v>
      </c>
      <c r="C4" s="3" t="s">
        <v>112</v>
      </c>
      <c r="D4" s="3" t="s">
        <v>22</v>
      </c>
      <c r="E4" s="3" t="s">
        <v>348</v>
      </c>
      <c r="F4" s="3" t="s">
        <v>23</v>
      </c>
      <c r="G4" s="9">
        <v>70000</v>
      </c>
      <c r="H4" s="3" t="s">
        <v>115</v>
      </c>
      <c r="I4" s="5" t="s">
        <v>118</v>
      </c>
      <c r="J4" s="7">
        <v>0.68055555555555547</v>
      </c>
      <c r="K4" s="5">
        <v>0.67013888888888884</v>
      </c>
      <c r="L4" s="4">
        <v>0.50694444444444442</v>
      </c>
      <c r="M4" s="5">
        <v>0.50972222222222219</v>
      </c>
      <c r="N4" s="3" t="s">
        <v>447</v>
      </c>
      <c r="O4" s="3" t="s">
        <v>241</v>
      </c>
      <c r="P4" s="3">
        <v>665</v>
      </c>
      <c r="Q4" s="3">
        <v>636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44886</v>
      </c>
      <c r="B5" s="6" t="s">
        <v>38</v>
      </c>
      <c r="C5" s="6" t="s">
        <v>123</v>
      </c>
      <c r="D5" s="6" t="s">
        <v>124</v>
      </c>
      <c r="E5" s="6" t="s">
        <v>446</v>
      </c>
      <c r="F5" s="6" t="s">
        <v>23</v>
      </c>
      <c r="G5" s="20">
        <v>80000</v>
      </c>
      <c r="H5" s="6" t="s">
        <v>127</v>
      </c>
      <c r="I5" s="6" t="s">
        <v>128</v>
      </c>
      <c r="J5" s="7">
        <v>0.67013888888888884</v>
      </c>
      <c r="K5" s="8">
        <v>0.65555555555555556</v>
      </c>
      <c r="L5" s="7">
        <v>0.69444444444444453</v>
      </c>
      <c r="M5" s="8">
        <v>0.69305555555555554</v>
      </c>
      <c r="N5" s="3" t="s">
        <v>448</v>
      </c>
      <c r="O5" s="3" t="s">
        <v>335</v>
      </c>
      <c r="P5" s="6">
        <v>156</v>
      </c>
      <c r="Q5" s="6">
        <v>208</v>
      </c>
      <c r="R5" s="6">
        <v>0</v>
      </c>
      <c r="S5" s="6">
        <v>0</v>
      </c>
      <c r="T5" s="6">
        <v>0</v>
      </c>
      <c r="U5" s="6">
        <v>0</v>
      </c>
    </row>
    <row r="6" spans="1:21" x14ac:dyDescent="0.25">
      <c r="A6" s="2">
        <v>44886</v>
      </c>
      <c r="B6" s="3" t="s">
        <v>21</v>
      </c>
      <c r="C6" s="3" t="s">
        <v>67</v>
      </c>
      <c r="D6" s="3" t="s">
        <v>22</v>
      </c>
      <c r="E6" s="3" t="s">
        <v>208</v>
      </c>
      <c r="F6" s="3" t="s">
        <v>23</v>
      </c>
      <c r="G6" s="9">
        <v>70000</v>
      </c>
      <c r="H6" s="3" t="s">
        <v>60</v>
      </c>
      <c r="I6" s="6" t="s">
        <v>59</v>
      </c>
      <c r="J6" s="7">
        <v>0.86111111111111116</v>
      </c>
      <c r="K6" s="8">
        <v>0.84861111111111109</v>
      </c>
      <c r="L6" s="7">
        <v>0.70486111111111116</v>
      </c>
      <c r="M6" s="8">
        <v>0.71388888888888891</v>
      </c>
      <c r="N6" s="3" t="s">
        <v>177</v>
      </c>
      <c r="O6" s="3" t="s">
        <v>449</v>
      </c>
      <c r="P6" s="6">
        <v>505</v>
      </c>
      <c r="Q6" s="6">
        <v>555</v>
      </c>
      <c r="R6" s="6">
        <v>0</v>
      </c>
      <c r="S6" s="6">
        <v>0</v>
      </c>
      <c r="T6" s="6">
        <v>0</v>
      </c>
      <c r="U6" s="6">
        <v>0</v>
      </c>
    </row>
    <row r="7" spans="1:21" x14ac:dyDescent="0.25">
      <c r="A7" s="2">
        <v>44886</v>
      </c>
      <c r="B7" s="3" t="s">
        <v>21</v>
      </c>
      <c r="C7" s="3" t="s">
        <v>122</v>
      </c>
      <c r="D7" s="3" t="s">
        <v>22</v>
      </c>
      <c r="E7" s="3" t="s">
        <v>348</v>
      </c>
      <c r="F7" s="3" t="s">
        <v>23</v>
      </c>
      <c r="G7" s="3">
        <v>70000</v>
      </c>
      <c r="H7" s="3" t="s">
        <v>125</v>
      </c>
      <c r="I7" s="3" t="s">
        <v>126</v>
      </c>
      <c r="J7" s="4">
        <v>0.92708333333333337</v>
      </c>
      <c r="K7" s="5">
        <v>0.92499999999999993</v>
      </c>
      <c r="L7" s="4">
        <v>0.74305555555555547</v>
      </c>
      <c r="M7" s="5">
        <v>0.7993055555555556</v>
      </c>
      <c r="N7" s="3" t="s">
        <v>450</v>
      </c>
      <c r="O7" s="3" t="s">
        <v>451</v>
      </c>
      <c r="P7" s="3">
        <v>804</v>
      </c>
      <c r="Q7" s="3">
        <v>676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M8" sqref="M8"/>
    </sheetView>
  </sheetViews>
  <sheetFormatPr defaultRowHeight="15" x14ac:dyDescent="0.25"/>
  <cols>
    <col min="1" max="1" width="10.140625" bestFit="1" customWidth="1"/>
    <col min="3" max="3" width="13.28515625" bestFit="1" customWidth="1"/>
    <col min="5" max="5" width="8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44894</v>
      </c>
      <c r="B2" s="3" t="s">
        <v>21</v>
      </c>
      <c r="C2" s="3" t="s">
        <v>24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25</v>
      </c>
      <c r="I2" s="3" t="s">
        <v>26</v>
      </c>
      <c r="J2" s="4">
        <v>0.4826388888888889</v>
      </c>
      <c r="K2" s="5">
        <v>0.5541666666666667</v>
      </c>
      <c r="L2" s="4">
        <v>0.27777777777777779</v>
      </c>
      <c r="M2" s="5">
        <v>0.3666666666666667</v>
      </c>
      <c r="N2" s="3" t="s">
        <v>219</v>
      </c>
      <c r="O2" s="3" t="s">
        <v>99</v>
      </c>
      <c r="P2" s="3">
        <v>691</v>
      </c>
      <c r="Q2" s="3">
        <v>758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44894</v>
      </c>
      <c r="B3" s="3" t="s">
        <v>21</v>
      </c>
      <c r="C3" s="3" t="s">
        <v>36</v>
      </c>
      <c r="D3" s="3" t="s">
        <v>22</v>
      </c>
      <c r="E3" s="3" t="s">
        <v>348</v>
      </c>
      <c r="F3" s="3" t="s">
        <v>23</v>
      </c>
      <c r="G3" s="9">
        <v>70000</v>
      </c>
      <c r="H3" s="3" t="s">
        <v>39</v>
      </c>
      <c r="I3" s="3" t="s">
        <v>40</v>
      </c>
      <c r="J3" s="4">
        <v>0.51041666666666663</v>
      </c>
      <c r="K3" s="5">
        <v>0.76180555555555562</v>
      </c>
      <c r="L3" s="4">
        <v>0.30555555555555552</v>
      </c>
      <c r="M3" s="5">
        <v>0.3833333333333333</v>
      </c>
      <c r="N3" s="3" t="s">
        <v>346</v>
      </c>
      <c r="O3" s="3" t="s">
        <v>203</v>
      </c>
      <c r="P3" s="3">
        <v>950</v>
      </c>
      <c r="Q3" s="3">
        <v>794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44894</v>
      </c>
      <c r="B4" s="3" t="s">
        <v>21</v>
      </c>
      <c r="C4" s="3" t="s">
        <v>27</v>
      </c>
      <c r="D4" s="3" t="s">
        <v>22</v>
      </c>
      <c r="E4" s="3" t="s">
        <v>208</v>
      </c>
      <c r="F4" s="3" t="s">
        <v>23</v>
      </c>
      <c r="G4" s="9">
        <v>70000</v>
      </c>
      <c r="H4" s="3" t="s">
        <v>28</v>
      </c>
      <c r="I4" s="3" t="s">
        <v>29</v>
      </c>
      <c r="J4" s="4">
        <v>0.67708333333333337</v>
      </c>
      <c r="K4" s="5">
        <v>0.72083333333333333</v>
      </c>
      <c r="L4" s="4">
        <v>0.52430555555555558</v>
      </c>
      <c r="M4" s="5">
        <v>0.59166666666666667</v>
      </c>
      <c r="N4" s="3" t="s">
        <v>455</v>
      </c>
      <c r="O4" s="3" t="s">
        <v>454</v>
      </c>
      <c r="P4" s="3">
        <v>273</v>
      </c>
      <c r="Q4" s="3">
        <v>481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44894</v>
      </c>
      <c r="B5" s="3" t="s">
        <v>21</v>
      </c>
      <c r="C5" s="3" t="s">
        <v>30</v>
      </c>
      <c r="D5" s="3" t="s">
        <v>22</v>
      </c>
      <c r="E5" s="3" t="s">
        <v>402</v>
      </c>
      <c r="F5" s="3" t="s">
        <v>23</v>
      </c>
      <c r="G5" s="9">
        <v>70000</v>
      </c>
      <c r="H5" s="3" t="s">
        <v>31</v>
      </c>
      <c r="I5" s="3" t="s">
        <v>32</v>
      </c>
      <c r="J5" s="4">
        <v>0.71527777777777779</v>
      </c>
      <c r="K5" s="5">
        <v>0.81874999999999998</v>
      </c>
      <c r="L5" s="4">
        <v>0.54166666666666663</v>
      </c>
      <c r="M5" s="5">
        <v>0.65486111111111112</v>
      </c>
      <c r="N5" s="3" t="s">
        <v>457</v>
      </c>
      <c r="O5" s="3" t="s">
        <v>456</v>
      </c>
      <c r="P5" s="3">
        <v>394</v>
      </c>
      <c r="Q5" s="3">
        <v>805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>
        <v>44894</v>
      </c>
      <c r="B6" s="3" t="s">
        <v>38</v>
      </c>
      <c r="C6" s="3" t="s">
        <v>34</v>
      </c>
      <c r="D6" s="3" t="s">
        <v>22</v>
      </c>
      <c r="E6" s="3" t="s">
        <v>452</v>
      </c>
      <c r="F6" s="3" t="s">
        <v>23</v>
      </c>
      <c r="G6" s="9">
        <v>70000</v>
      </c>
      <c r="H6" s="3" t="s">
        <v>42</v>
      </c>
      <c r="I6" s="3" t="s">
        <v>43</v>
      </c>
      <c r="J6" s="4">
        <v>0.6875</v>
      </c>
      <c r="K6" s="5">
        <v>0.69166666666666676</v>
      </c>
      <c r="L6" s="4">
        <v>0.70486111111111116</v>
      </c>
      <c r="M6" s="5">
        <v>0.72916666666666663</v>
      </c>
      <c r="N6" s="3" t="s">
        <v>150</v>
      </c>
      <c r="O6" s="3" t="s">
        <v>358</v>
      </c>
      <c r="P6" s="3">
        <v>234</v>
      </c>
      <c r="Q6" s="3">
        <v>234</v>
      </c>
      <c r="R6" s="3">
        <v>0</v>
      </c>
      <c r="S6" s="3">
        <v>0</v>
      </c>
      <c r="T6" s="3">
        <v>0</v>
      </c>
      <c r="U6" s="3">
        <v>0</v>
      </c>
    </row>
    <row r="7" spans="1:21" s="6" customFormat="1" ht="12.75" x14ac:dyDescent="0.2">
      <c r="A7" s="13">
        <v>44894</v>
      </c>
      <c r="B7" s="6" t="s">
        <v>21</v>
      </c>
      <c r="C7" s="6" t="s">
        <v>403</v>
      </c>
      <c r="D7" s="6" t="s">
        <v>22</v>
      </c>
      <c r="E7" s="6" t="s">
        <v>402</v>
      </c>
      <c r="F7" s="6" t="s">
        <v>453</v>
      </c>
      <c r="G7" s="20">
        <v>70000</v>
      </c>
      <c r="H7" s="6" t="s">
        <v>404</v>
      </c>
      <c r="I7" s="6" t="s">
        <v>259</v>
      </c>
      <c r="J7" s="8">
        <v>0.59375</v>
      </c>
      <c r="K7" s="8">
        <v>0.62013888888888891</v>
      </c>
      <c r="L7" s="8">
        <v>0.85069444444444453</v>
      </c>
      <c r="M7" s="8">
        <v>0.84722222222222221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M16" sqref="M16"/>
    </sheetView>
  </sheetViews>
  <sheetFormatPr defaultRowHeight="15" x14ac:dyDescent="0.25"/>
  <cols>
    <col min="2" max="2" width="12.5703125" customWidth="1"/>
    <col min="3" max="3" width="16.7109375" customWidth="1"/>
    <col min="6" max="6" width="14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44895</v>
      </c>
      <c r="B2" s="3" t="s">
        <v>21</v>
      </c>
      <c r="C2" s="3" t="s">
        <v>54</v>
      </c>
      <c r="D2" s="3" t="s">
        <v>22</v>
      </c>
      <c r="E2" s="3" t="s">
        <v>208</v>
      </c>
      <c r="F2" s="1" t="s">
        <v>23</v>
      </c>
      <c r="G2" s="9">
        <v>70000</v>
      </c>
      <c r="H2" s="3" t="s">
        <v>55</v>
      </c>
      <c r="I2" s="3" t="s">
        <v>56</v>
      </c>
      <c r="J2" s="4">
        <v>0.51041666666666663</v>
      </c>
      <c r="K2" s="5">
        <v>0.50277777777777777</v>
      </c>
      <c r="L2" s="4">
        <v>0.34027777777777773</v>
      </c>
      <c r="M2" s="5">
        <v>0.33402777777777781</v>
      </c>
      <c r="N2" s="3" t="s">
        <v>342</v>
      </c>
      <c r="O2" s="3" t="s">
        <v>203</v>
      </c>
      <c r="P2" s="3">
        <v>811</v>
      </c>
      <c r="Q2" s="3">
        <v>582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44895</v>
      </c>
      <c r="B3" s="3" t="s">
        <v>21</v>
      </c>
      <c r="C3" s="3" t="s">
        <v>66</v>
      </c>
      <c r="D3" s="3" t="s">
        <v>22</v>
      </c>
      <c r="E3" s="3" t="s">
        <v>348</v>
      </c>
      <c r="F3" s="3" t="s">
        <v>23</v>
      </c>
      <c r="G3" s="9">
        <v>70000</v>
      </c>
      <c r="H3" s="3" t="s">
        <v>58</v>
      </c>
      <c r="I3" s="3" t="s">
        <v>57</v>
      </c>
      <c r="J3" s="4">
        <v>0.92013888888888884</v>
      </c>
      <c r="K3" s="5">
        <v>0.91111111111111109</v>
      </c>
      <c r="L3" s="4">
        <v>0.68055555555555547</v>
      </c>
      <c r="M3" s="5">
        <v>0.67569444444444438</v>
      </c>
      <c r="N3" s="3" t="s">
        <v>462</v>
      </c>
      <c r="O3" s="3" t="s">
        <v>461</v>
      </c>
      <c r="P3" s="3">
        <v>574</v>
      </c>
      <c r="Q3" s="3">
        <v>292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44895</v>
      </c>
      <c r="B4" s="3" t="s">
        <v>21</v>
      </c>
      <c r="C4" s="3" t="s">
        <v>67</v>
      </c>
      <c r="D4" s="3" t="s">
        <v>22</v>
      </c>
      <c r="E4" s="3" t="s">
        <v>208</v>
      </c>
      <c r="F4" s="3" t="s">
        <v>23</v>
      </c>
      <c r="G4" s="9">
        <v>70000</v>
      </c>
      <c r="H4" s="3" t="s">
        <v>60</v>
      </c>
      <c r="I4" s="3" t="s">
        <v>59</v>
      </c>
      <c r="J4" s="4">
        <v>0.86111111111111116</v>
      </c>
      <c r="K4" s="5">
        <v>0.84513888888888899</v>
      </c>
      <c r="L4" s="4">
        <v>0.70486111111111116</v>
      </c>
      <c r="M4" s="5">
        <v>0.7006944444444444</v>
      </c>
      <c r="N4" s="3" t="s">
        <v>463</v>
      </c>
      <c r="O4" s="3" t="s">
        <v>243</v>
      </c>
      <c r="P4" s="3">
        <v>772</v>
      </c>
      <c r="Q4" s="3">
        <v>542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2">
        <v>44895</v>
      </c>
      <c r="B5" s="3" t="s">
        <v>38</v>
      </c>
      <c r="C5" s="3" t="s">
        <v>61</v>
      </c>
      <c r="D5" s="3" t="s">
        <v>380</v>
      </c>
      <c r="E5" s="3" t="s">
        <v>458</v>
      </c>
      <c r="F5" s="3" t="s">
        <v>23</v>
      </c>
      <c r="G5" s="9">
        <v>80000</v>
      </c>
      <c r="H5" s="3" t="s">
        <v>64</v>
      </c>
      <c r="I5" s="3" t="s">
        <v>63</v>
      </c>
      <c r="J5" s="4">
        <v>0.38541666666666669</v>
      </c>
      <c r="K5" s="5">
        <v>0.36944444444444446</v>
      </c>
      <c r="L5" s="4">
        <v>0.40277777777777773</v>
      </c>
      <c r="M5" s="5">
        <v>0.40277777777777773</v>
      </c>
      <c r="N5" s="3" t="s">
        <v>459</v>
      </c>
      <c r="O5" s="3" t="s">
        <v>460</v>
      </c>
      <c r="P5" s="3">
        <v>260</v>
      </c>
      <c r="Q5" s="3">
        <v>390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5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3"/>
      <c r="M7" s="3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01</vt:lpstr>
      <vt:lpstr>02</vt:lpstr>
      <vt:lpstr>03</vt:lpstr>
      <vt:lpstr>04</vt:lpstr>
      <vt:lpstr>05</vt:lpstr>
      <vt:lpstr>06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2022-11-30T20:53:18Z</dcterms:modified>
</cp:coreProperties>
</file>