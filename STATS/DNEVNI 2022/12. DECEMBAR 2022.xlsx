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405" windowWidth="14805" windowHeight="7710" firstSheet="12" activeTab="30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45621"/>
</workbook>
</file>

<file path=xl/calcChain.xml><?xml version="1.0" encoding="utf-8"?>
<calcChain xmlns="http://schemas.openxmlformats.org/spreadsheetml/2006/main">
  <c r="K4" i="24" l="1"/>
  <c r="E3" i="23" l="1"/>
  <c r="E5" i="23"/>
  <c r="G8" i="16" l="1"/>
  <c r="G7" i="16"/>
  <c r="E8" i="16"/>
  <c r="E7" i="16"/>
  <c r="E5" i="16"/>
  <c r="C8" i="16"/>
  <c r="E3" i="16"/>
  <c r="O4" i="7" l="1"/>
  <c r="G10" i="5" l="1"/>
  <c r="G9" i="5"/>
  <c r="G8" i="5"/>
  <c r="G9" i="4" l="1"/>
</calcChain>
</file>

<file path=xl/sharedStrings.xml><?xml version="1.0" encoding="utf-8"?>
<sst xmlns="http://schemas.openxmlformats.org/spreadsheetml/2006/main" count="2548" uniqueCount="485">
  <si>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</si>
  <si>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</si>
  <si>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</si>
  <si>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</si>
  <si>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</si>
  <si>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</si>
  <si>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</si>
  <si>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</si>
  <si>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</si>
  <si>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</si>
  <si>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</si>
  <si>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</si>
  <si>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</si>
  <si>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</si>
  <si>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</si>
  <si>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</si>
  <si>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</si>
  <si>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</si>
  <si>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</si>
  <si>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</si>
  <si>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</si>
  <si>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</si>
  <si>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TZL-DTM-TZL</t>
  </si>
  <si>
    <t>A320</t>
  </si>
  <si>
    <t>HA-LWL</t>
  </si>
  <si>
    <t>SCHEDULED</t>
  </si>
  <si>
    <t>W64298</t>
  </si>
  <si>
    <t>W64297</t>
  </si>
  <si>
    <t xml:space="preserve">RYANAIR </t>
  </si>
  <si>
    <t>VIE-TZL-VIE</t>
  </si>
  <si>
    <t>B737</t>
  </si>
  <si>
    <t>FR9933</t>
  </si>
  <si>
    <t>FR9934</t>
  </si>
  <si>
    <t>TZL-NUE-TZL</t>
  </si>
  <si>
    <t>HA-LPL</t>
  </si>
  <si>
    <t>W64614</t>
  </si>
  <si>
    <t>W64613</t>
  </si>
  <si>
    <t>TZL-FMM-TZL</t>
  </si>
  <si>
    <t>W64280</t>
  </si>
  <si>
    <t>W64279</t>
  </si>
  <si>
    <t>TZL-MMX-TZL</t>
  </si>
  <si>
    <t>W64292</t>
  </si>
  <si>
    <t>W64291</t>
  </si>
  <si>
    <t>TZL-MLH-TZL</t>
  </si>
  <si>
    <t>W64294</t>
  </si>
  <si>
    <t>W64293</t>
  </si>
  <si>
    <t>9H-QAP</t>
  </si>
  <si>
    <t>103+0 INF</t>
  </si>
  <si>
    <t>172+3 INF</t>
  </si>
  <si>
    <t>122+1 INF</t>
  </si>
  <si>
    <t>123+2 INF</t>
  </si>
  <si>
    <t>150+3 INF</t>
  </si>
  <si>
    <t>116+1 INF</t>
  </si>
  <si>
    <t>130+8 INF</t>
  </si>
  <si>
    <t>154+1 INF</t>
  </si>
  <si>
    <t>168+2 INF</t>
  </si>
  <si>
    <t>161+1 INF</t>
  </si>
  <si>
    <t>157+0 INF</t>
  </si>
  <si>
    <t>153+3 INF</t>
  </si>
  <si>
    <t>TZL-GOT-TZL</t>
  </si>
  <si>
    <t>TZL-CGN-TZL</t>
  </si>
  <si>
    <t>TZL-FKB-TZL</t>
  </si>
  <si>
    <t>TZL-VIE-TZL</t>
  </si>
  <si>
    <t>TZL-HHN-TZL</t>
  </si>
  <si>
    <t>W64296</t>
  </si>
  <si>
    <t>W64300</t>
  </si>
  <si>
    <t>W64617</t>
  </si>
  <si>
    <t>W64286</t>
  </si>
  <si>
    <t>W64284</t>
  </si>
  <si>
    <t>W64295</t>
  </si>
  <si>
    <t>W64299</t>
  </si>
  <si>
    <t>W64285</t>
  </si>
  <si>
    <t>W64283</t>
  </si>
  <si>
    <t>164+1 INF</t>
  </si>
  <si>
    <t>150+0 INF</t>
  </si>
  <si>
    <t>FMM-TZL-FMM</t>
  </si>
  <si>
    <t>B738</t>
  </si>
  <si>
    <t>H9-QAJ</t>
  </si>
  <si>
    <t>FR9774</t>
  </si>
  <si>
    <t>FR9775</t>
  </si>
  <si>
    <t>143+2 INF</t>
  </si>
  <si>
    <t>141+4 INF</t>
  </si>
  <si>
    <t>147+8 INF</t>
  </si>
  <si>
    <t>137+0 INF</t>
  </si>
  <si>
    <t>123+3 INF</t>
  </si>
  <si>
    <t>108+4 INF</t>
  </si>
  <si>
    <t>147+3 INF</t>
  </si>
  <si>
    <t>145+2 INF</t>
  </si>
  <si>
    <t>155+3 INF</t>
  </si>
  <si>
    <t>152+2 INF</t>
  </si>
  <si>
    <t>138+2 INF</t>
  </si>
  <si>
    <t>163+4 INF</t>
  </si>
  <si>
    <t>TZL-EIN-TZL</t>
  </si>
  <si>
    <t>TZL-FDH-TZL</t>
  </si>
  <si>
    <t>TZL-BER-TZL</t>
  </si>
  <si>
    <t>W64290</t>
  </si>
  <si>
    <t>W64616</t>
  </si>
  <si>
    <t>W64276</t>
  </si>
  <si>
    <t>W64289</t>
  </si>
  <si>
    <t>W64615</t>
  </si>
  <si>
    <t>W64275</t>
  </si>
  <si>
    <t>162+0 INF</t>
  </si>
  <si>
    <t>178+1 INF</t>
  </si>
  <si>
    <t>163+6 INF</t>
  </si>
  <si>
    <t>158+3 INF</t>
  </si>
  <si>
    <t>103+4 INF</t>
  </si>
  <si>
    <t>149+4 INF</t>
  </si>
  <si>
    <t>9H-LON</t>
  </si>
  <si>
    <t>75+2 INF</t>
  </si>
  <si>
    <t>142+0 INF</t>
  </si>
  <si>
    <t>166+3 INF</t>
  </si>
  <si>
    <t>DIV TO BEG</t>
  </si>
  <si>
    <t>RYANAIR</t>
  </si>
  <si>
    <t>ARN-TZL-ARN</t>
  </si>
  <si>
    <t>B38M</t>
  </si>
  <si>
    <t>FR9776</t>
  </si>
  <si>
    <t>FR9777</t>
  </si>
  <si>
    <t>TZL-NYO-TZL</t>
  </si>
  <si>
    <t>W64282</t>
  </si>
  <si>
    <t>W64281</t>
  </si>
  <si>
    <t>9H-VUJ</t>
  </si>
  <si>
    <t>BEG-TZL</t>
  </si>
  <si>
    <t>FERRY IN</t>
  </si>
  <si>
    <t>W6800</t>
  </si>
  <si>
    <t>-</t>
  </si>
  <si>
    <t>166+4 INF</t>
  </si>
  <si>
    <t>58+3 INF</t>
  </si>
  <si>
    <t>82+1 INF</t>
  </si>
  <si>
    <t>131+1 INF</t>
  </si>
  <si>
    <t>141+1 INF</t>
  </si>
  <si>
    <t>171+2 INF</t>
  </si>
  <si>
    <t>126+2 INF</t>
  </si>
  <si>
    <t>155+2 INF</t>
  </si>
  <si>
    <t>166+2 INF</t>
  </si>
  <si>
    <t>127+0 INF</t>
  </si>
  <si>
    <t>147+4 INF</t>
  </si>
  <si>
    <t>165+0 INF</t>
  </si>
  <si>
    <t>DIV</t>
  </si>
  <si>
    <t>HA-LYI</t>
  </si>
  <si>
    <t>9H-QBM</t>
  </si>
  <si>
    <t>131+0 INF</t>
  </si>
  <si>
    <t>BUD-TZL</t>
  </si>
  <si>
    <t>HA-LPK</t>
  </si>
  <si>
    <t>W6801</t>
  </si>
  <si>
    <t>W6802</t>
  </si>
  <si>
    <t>W6804</t>
  </si>
  <si>
    <t>148+1 INF</t>
  </si>
  <si>
    <t>126+1 INF</t>
  </si>
  <si>
    <t>88+1 INF</t>
  </si>
  <si>
    <t>125+6 INF</t>
  </si>
  <si>
    <t>129+0 INF</t>
  </si>
  <si>
    <t>143+4 INF</t>
  </si>
  <si>
    <t>130+0 INF</t>
  </si>
  <si>
    <t>160+4 INF</t>
  </si>
  <si>
    <t>CRL-TZL-CRL</t>
  </si>
  <si>
    <t>EI-DYC</t>
  </si>
  <si>
    <t>FR5168</t>
  </si>
  <si>
    <t>FR51P</t>
  </si>
  <si>
    <t>94+1 INF</t>
  </si>
  <si>
    <t>IN.NON-SCHEDULED</t>
  </si>
  <si>
    <t>SOF-TZL-SOF</t>
  </si>
  <si>
    <t>FERRY IN/OUT</t>
  </si>
  <si>
    <t>163+5 INF</t>
  </si>
  <si>
    <t>9H-LMJ</t>
  </si>
  <si>
    <t>169+0 INF</t>
  </si>
  <si>
    <t>157+2 INF</t>
  </si>
  <si>
    <t>139+1 INF</t>
  </si>
  <si>
    <t>114+4 INF</t>
  </si>
  <si>
    <t>154+3 INF</t>
  </si>
  <si>
    <t>69+1 INF</t>
  </si>
  <si>
    <t>145+0 INF</t>
  </si>
  <si>
    <t>50+2 INF</t>
  </si>
  <si>
    <t>115+1 INF</t>
  </si>
  <si>
    <t>9H-VUG</t>
  </si>
  <si>
    <t>HA-LYG</t>
  </si>
  <si>
    <t>66+1 INF</t>
  </si>
  <si>
    <t>53+0 INF</t>
  </si>
  <si>
    <t>HA-LPL/LYG</t>
  </si>
  <si>
    <t>131+2 INF</t>
  </si>
  <si>
    <t>47+0 INF</t>
  </si>
  <si>
    <t>132+6 INF</t>
  </si>
  <si>
    <t>HALYG</t>
  </si>
  <si>
    <t>9H-QDD</t>
  </si>
  <si>
    <t>HALYI</t>
  </si>
  <si>
    <t>117+2 INF</t>
  </si>
  <si>
    <t>156+1 INF</t>
  </si>
  <si>
    <t>113+3 INF</t>
  </si>
  <si>
    <t>170+5 INF</t>
  </si>
  <si>
    <t>119+3 INF</t>
  </si>
  <si>
    <t>129+3 INF</t>
  </si>
  <si>
    <t>127+5 INF</t>
  </si>
  <si>
    <t>166+1 INF</t>
  </si>
  <si>
    <t>149+1 INF</t>
  </si>
  <si>
    <t>SJJ-TZL</t>
  </si>
  <si>
    <t>HA-LYB</t>
  </si>
  <si>
    <t>102+0 INF</t>
  </si>
  <si>
    <t>119+2 INF</t>
  </si>
  <si>
    <t>144+2 INF</t>
  </si>
  <si>
    <t>133+0 INF</t>
  </si>
  <si>
    <t>PEGASUS</t>
  </si>
  <si>
    <t>SAW-TZL-SAW</t>
  </si>
  <si>
    <t>A321</t>
  </si>
  <si>
    <t>TC-RBC</t>
  </si>
  <si>
    <t>DIVERTED</t>
  </si>
  <si>
    <t>PC291</t>
  </si>
  <si>
    <t>123+0 INF</t>
  </si>
  <si>
    <t>197+3 INF</t>
  </si>
  <si>
    <t>9H-QBE</t>
  </si>
  <si>
    <t>B737M</t>
  </si>
  <si>
    <t>AUH-TZL</t>
  </si>
  <si>
    <t>9H-VUM</t>
  </si>
  <si>
    <t>5W-7107</t>
  </si>
  <si>
    <t>130+6 INF</t>
  </si>
  <si>
    <t>ARN-TZL-BNX</t>
  </si>
  <si>
    <t>130+3 INF</t>
  </si>
  <si>
    <t>141+2 INF</t>
  </si>
  <si>
    <t>165+4 INF</t>
  </si>
  <si>
    <t>ROP</t>
  </si>
  <si>
    <t>229+6 INF</t>
  </si>
  <si>
    <t>FR4618</t>
  </si>
  <si>
    <t>FR7497</t>
  </si>
  <si>
    <t>BGY-TZL-BGY</t>
  </si>
  <si>
    <t>FR46P</t>
  </si>
  <si>
    <t>FR7498</t>
  </si>
  <si>
    <t>135+5 INF</t>
  </si>
  <si>
    <t>92+0 INF</t>
  </si>
  <si>
    <t>99+1 INF</t>
  </si>
  <si>
    <t>166+5 INF</t>
  </si>
  <si>
    <t>9H-QBO</t>
  </si>
  <si>
    <t>PC291D</t>
  </si>
  <si>
    <t>A6-WZD</t>
  </si>
  <si>
    <t>85+0 INF</t>
  </si>
  <si>
    <t>TZL-SJJ</t>
  </si>
  <si>
    <t>NON-SCHEDULED</t>
  </si>
  <si>
    <t>A32Q</t>
  </si>
  <si>
    <t>A6WZD</t>
  </si>
  <si>
    <t>A97107</t>
  </si>
  <si>
    <t>107+0 INF</t>
  </si>
  <si>
    <t>157+3 INF</t>
  </si>
  <si>
    <t>172+2 INF</t>
  </si>
  <si>
    <t>168+0 INF</t>
  </si>
  <si>
    <t>9H-LOA</t>
  </si>
  <si>
    <t>158+ 2INF</t>
  </si>
  <si>
    <t>116+5 INF</t>
  </si>
  <si>
    <t>156+ 2 INF</t>
  </si>
  <si>
    <t>169+2 INF</t>
  </si>
  <si>
    <t>165+6 INF</t>
  </si>
  <si>
    <t>B37M</t>
  </si>
  <si>
    <t>57+1 INF</t>
  </si>
  <si>
    <t>156+5 INF</t>
  </si>
  <si>
    <t>172+8 INF</t>
  </si>
  <si>
    <t>144+5 INF</t>
  </si>
  <si>
    <t>85+1 INF</t>
  </si>
  <si>
    <t>150+2 INF</t>
  </si>
  <si>
    <t>84+3 INF</t>
  </si>
  <si>
    <t>164+7 INF</t>
  </si>
  <si>
    <t>141+7 INF</t>
  </si>
  <si>
    <t>156+0 INF</t>
  </si>
  <si>
    <t>77+1 INF</t>
  </si>
  <si>
    <t>159+1 INF</t>
  </si>
  <si>
    <t>W64618</t>
  </si>
  <si>
    <t>9H-QAO</t>
  </si>
  <si>
    <t>117+1 INF</t>
  </si>
  <si>
    <t>142+1 INF</t>
  </si>
  <si>
    <t>139+3 INF</t>
  </si>
  <si>
    <t>122+2 INF</t>
  </si>
  <si>
    <t>134+3 INF</t>
  </si>
  <si>
    <t>147+6 INF</t>
  </si>
  <si>
    <t>149+3 INF</t>
  </si>
  <si>
    <t>149+2 INF</t>
  </si>
  <si>
    <t>138+4 INF</t>
  </si>
  <si>
    <t>162+3 INF</t>
  </si>
  <si>
    <t>9H-IHD</t>
  </si>
  <si>
    <t>RAPID AVIATION</t>
  </si>
  <si>
    <t>BEG-TZL-LNZ</t>
  </si>
  <si>
    <t>C525</t>
  </si>
  <si>
    <t>T7-ACA</t>
  </si>
  <si>
    <t>INTNON.SCHEDULED</t>
  </si>
  <si>
    <t>T7ACA</t>
  </si>
  <si>
    <t>147+1 INF</t>
  </si>
  <si>
    <t>170+0 INF</t>
  </si>
  <si>
    <t>145+3 INF</t>
  </si>
  <si>
    <t>119+1 INF</t>
  </si>
  <si>
    <t>151+4 INF</t>
  </si>
  <si>
    <t>136+4 INF</t>
  </si>
  <si>
    <t>144+1 INF</t>
  </si>
  <si>
    <t>154+4 INF</t>
  </si>
  <si>
    <t>155+5 INF</t>
  </si>
  <si>
    <t>B73M</t>
  </si>
  <si>
    <t>HA-LYX</t>
  </si>
  <si>
    <t>100+0 INF</t>
  </si>
  <si>
    <t>103+1 INF</t>
  </si>
  <si>
    <t>87+0 INF</t>
  </si>
  <si>
    <t>36+2 INF</t>
  </si>
  <si>
    <t>116+7 INF</t>
  </si>
  <si>
    <t>56+0 INF</t>
  </si>
  <si>
    <t>117+1</t>
  </si>
  <si>
    <t>86+2 INF</t>
  </si>
  <si>
    <t>9H-QDQ</t>
  </si>
  <si>
    <t>132+1 INF</t>
  </si>
  <si>
    <t>DIV TO BNX</t>
  </si>
  <si>
    <t>OTKAZAN</t>
  </si>
  <si>
    <t>VIA BNX</t>
  </si>
  <si>
    <t>132+4 INF</t>
  </si>
  <si>
    <t>W6805</t>
  </si>
  <si>
    <t>104+7 INF</t>
  </si>
  <si>
    <t>PC292</t>
  </si>
  <si>
    <t>TCRBK</t>
  </si>
  <si>
    <t>127+3 INF</t>
  </si>
  <si>
    <t>158+5 INF</t>
  </si>
  <si>
    <t>123+5 INF</t>
  </si>
  <si>
    <t>37+1 INF</t>
  </si>
  <si>
    <t>139+5 INF</t>
  </si>
  <si>
    <t>176+5 INF</t>
  </si>
  <si>
    <t>222+25 INF</t>
  </si>
  <si>
    <t>119+7 INF</t>
  </si>
  <si>
    <t>9HQED</t>
  </si>
  <si>
    <t>9H-LMG</t>
  </si>
  <si>
    <t>137+1 INF</t>
  </si>
  <si>
    <t>173+3 INF</t>
  </si>
  <si>
    <t>174+2 INF</t>
  </si>
  <si>
    <t>138+1 INF</t>
  </si>
  <si>
    <t>LNZ-TZL-BEG</t>
  </si>
  <si>
    <t>GEN.AVI</t>
  </si>
  <si>
    <t>101+2 INF</t>
  </si>
  <si>
    <t>141+5 INF</t>
  </si>
  <si>
    <t>161+6 INF</t>
  </si>
  <si>
    <t>165+1 INF</t>
  </si>
  <si>
    <t>168+5 INF</t>
  </si>
  <si>
    <t>171+4 INF</t>
  </si>
  <si>
    <t>HA-LVJ</t>
  </si>
  <si>
    <t>153+2 INF</t>
  </si>
  <si>
    <t>74+0 INF</t>
  </si>
  <si>
    <t>160+2 INF</t>
  </si>
  <si>
    <t xml:space="preserve"> 37+0 INF</t>
  </si>
  <si>
    <t>139+2 INF</t>
  </si>
  <si>
    <t>170+3 INF</t>
  </si>
  <si>
    <t>132+0 INF</t>
  </si>
  <si>
    <t>160+5 INF</t>
  </si>
  <si>
    <t>158+9 INF</t>
  </si>
  <si>
    <t xml:space="preserve">     16:18</t>
  </si>
  <si>
    <t xml:space="preserve"> 54+0 INF</t>
  </si>
  <si>
    <t xml:space="preserve">     17:10</t>
  </si>
  <si>
    <t>143+3 INF</t>
  </si>
  <si>
    <t>131+3 INF</t>
  </si>
  <si>
    <t>68+1 INF</t>
  </si>
  <si>
    <t>168+3 INF</t>
  </si>
  <si>
    <t>125+7 INF</t>
  </si>
  <si>
    <t>154+0 INF</t>
  </si>
  <si>
    <t>154+9 INF</t>
  </si>
  <si>
    <t>82+5 INF</t>
  </si>
  <si>
    <t>169+4 INF</t>
  </si>
  <si>
    <t>HA.LYB</t>
  </si>
  <si>
    <t>132+2 INF</t>
  </si>
  <si>
    <t>128+3 INF</t>
  </si>
  <si>
    <t>135+2 INF</t>
  </si>
  <si>
    <t>ICAR AIR</t>
  </si>
  <si>
    <t>L410</t>
  </si>
  <si>
    <t>RAC9002</t>
  </si>
  <si>
    <t>E7-MEL</t>
  </si>
  <si>
    <t>LZ-CCS</t>
  </si>
  <si>
    <t>RAC9004</t>
  </si>
  <si>
    <t>9H-LMP</t>
  </si>
  <si>
    <t>152+5 INF</t>
  </si>
  <si>
    <t>DIVERTED/FERRY OUT</t>
  </si>
  <si>
    <t>ZAG-TZL-ZAG</t>
  </si>
  <si>
    <t>RAC9001</t>
  </si>
  <si>
    <t>RAC216P</t>
  </si>
  <si>
    <t>167+3 INF</t>
  </si>
  <si>
    <t>109+1 INF</t>
  </si>
  <si>
    <t>9H-VUO</t>
  </si>
  <si>
    <t>HA.LYX</t>
  </si>
  <si>
    <t>189+ 6</t>
  </si>
  <si>
    <t>158+4 INF</t>
  </si>
  <si>
    <t>52+1 INF</t>
  </si>
  <si>
    <t>159+3 INF</t>
  </si>
  <si>
    <t>31+1 INF</t>
  </si>
  <si>
    <t>131+4 INF</t>
  </si>
  <si>
    <t>140+2 INF</t>
  </si>
  <si>
    <t xml:space="preserve">164+7 INF </t>
  </si>
  <si>
    <t>78+2 INF</t>
  </si>
  <si>
    <t>5W7107</t>
  </si>
  <si>
    <t>210+4 INF</t>
  </si>
  <si>
    <t>149+5 INF</t>
  </si>
  <si>
    <t>9H-QAT</t>
  </si>
  <si>
    <t>130+1 INF</t>
  </si>
  <si>
    <t>167+1 INF</t>
  </si>
  <si>
    <t>84+2 INF</t>
  </si>
  <si>
    <t>FERRY OUT</t>
  </si>
  <si>
    <t>181+1 INF</t>
  </si>
  <si>
    <t>151+1 INF</t>
  </si>
  <si>
    <t>173+1 INF</t>
  </si>
  <si>
    <t>9H-QBF</t>
  </si>
  <si>
    <t>183+2 INF</t>
  </si>
  <si>
    <t>128+2 INF</t>
  </si>
  <si>
    <t>111+1 INF</t>
  </si>
  <si>
    <t>175+1 INF</t>
  </si>
  <si>
    <t>92+2 INF</t>
  </si>
  <si>
    <t>183+1 INF</t>
  </si>
  <si>
    <t>152+7 INF</t>
  </si>
  <si>
    <t>168+1 INF</t>
  </si>
  <si>
    <t>9H-LOM</t>
  </si>
  <si>
    <t>147+2 INF</t>
  </si>
  <si>
    <t>177+0 INF</t>
  </si>
  <si>
    <t>125+3 INF</t>
  </si>
  <si>
    <t>167+2 INF</t>
  </si>
  <si>
    <t>120+5 INF</t>
  </si>
  <si>
    <t>160+1 INF</t>
  </si>
  <si>
    <t>141+0 INF</t>
  </si>
  <si>
    <t>183+3 INF</t>
  </si>
  <si>
    <t>HA-LYX/LWL</t>
  </si>
  <si>
    <t>100+1 INF</t>
  </si>
  <si>
    <t>9H-WAC</t>
  </si>
  <si>
    <t>121+2 INF</t>
  </si>
  <si>
    <t>160+6 INF</t>
  </si>
  <si>
    <t>107+2 INF</t>
  </si>
  <si>
    <t>180+3 INF</t>
  </si>
  <si>
    <t>171+7 INF</t>
  </si>
  <si>
    <t>173+0 INF</t>
  </si>
  <si>
    <t>141+3 INF</t>
  </si>
  <si>
    <t>175+3 INF</t>
  </si>
  <si>
    <t>101+1 INF</t>
  </si>
  <si>
    <t>120+3 INF</t>
  </si>
  <si>
    <t>169+5 INF</t>
  </si>
  <si>
    <t>181+5 INF</t>
  </si>
  <si>
    <t>146+2 INF</t>
  </si>
  <si>
    <t>168+4 INF</t>
  </si>
  <si>
    <t>175+4 INF</t>
  </si>
  <si>
    <t>153+4 INF</t>
  </si>
  <si>
    <t>167+4 INF</t>
  </si>
  <si>
    <t>170+1 INF</t>
  </si>
  <si>
    <t>174+1 INF</t>
  </si>
  <si>
    <t>124+3 INF</t>
  </si>
  <si>
    <t>145+1 INF</t>
  </si>
  <si>
    <t>9H-LMI</t>
  </si>
  <si>
    <t>164+0 INF</t>
  </si>
  <si>
    <t>126+0 INF</t>
  </si>
  <si>
    <t>152+1 INF</t>
  </si>
  <si>
    <t>171+3 INF</t>
  </si>
  <si>
    <t>176+3 INF</t>
  </si>
  <si>
    <t>TZL-BSL-TZL</t>
  </si>
  <si>
    <t>9H-VUU</t>
  </si>
  <si>
    <t>174+3 INF</t>
  </si>
  <si>
    <t>125+0 INF</t>
  </si>
  <si>
    <t>171+1 INF</t>
  </si>
  <si>
    <t>165+3 INF</t>
  </si>
  <si>
    <t>106+1 INF</t>
  </si>
  <si>
    <t>152+3 INF</t>
  </si>
  <si>
    <t>169+1 INF</t>
  </si>
  <si>
    <t>HA-LYB/LSC</t>
  </si>
  <si>
    <t>176+2 INF</t>
  </si>
  <si>
    <t>137+2 INF</t>
  </si>
  <si>
    <t>ZAG-TZL-SJJ</t>
  </si>
  <si>
    <t>L-410</t>
  </si>
  <si>
    <t>CARGO</t>
  </si>
  <si>
    <t>167+0</t>
  </si>
  <si>
    <t>166+0 INF</t>
  </si>
  <si>
    <t>162+2 INF</t>
  </si>
  <si>
    <t>174+0 INF</t>
  </si>
  <si>
    <t>179+5 INF</t>
  </si>
  <si>
    <t>HA-LSC</t>
  </si>
  <si>
    <t>9H-QAJ</t>
  </si>
  <si>
    <t>160+3 INF</t>
  </si>
  <si>
    <t>157+1 INF</t>
  </si>
  <si>
    <t>173+2 INF</t>
  </si>
  <si>
    <t>164+3 IND</t>
  </si>
  <si>
    <t>160+0 INF</t>
  </si>
  <si>
    <t>163+3 INF</t>
  </si>
  <si>
    <t>VLADIMIR STOJKOVIC</t>
  </si>
  <si>
    <t>BEG-TZL-BEG</t>
  </si>
  <si>
    <t>PIAT</t>
  </si>
  <si>
    <t>YU-A050</t>
  </si>
  <si>
    <t>RADENKO TUTNJEVIC</t>
  </si>
  <si>
    <t>BEG-TZL-LQCG</t>
  </si>
  <si>
    <t>YU-A044</t>
  </si>
  <si>
    <t>171+0 INF</t>
  </si>
  <si>
    <t>177+1 INF</t>
  </si>
  <si>
    <t>9H-LMH</t>
  </si>
  <si>
    <t>162+4 INF</t>
  </si>
  <si>
    <t>INT.NONSCHEDULED</t>
  </si>
  <si>
    <t>164+2 INF</t>
  </si>
  <si>
    <t>146+3 INF</t>
  </si>
  <si>
    <t>163+0 INF</t>
  </si>
  <si>
    <t>134+2 INF</t>
  </si>
  <si>
    <t>172+4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</si>
</sst>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Calibri"/>
      <family val="2"/>
      <scheme val="minor"/>
    </font>
    <font>
      <b/>
      <sz val="11"/>
      <color rgb="FF242A3C"/>
      <name val="Arial"/>
      <family val="2"/>
      <charset val="238"/>
    </font>
    <font>
      <sz val="10"/>
      <color rgb="FF242A3C"/>
      <name val="Garamond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2" fillId="0" borderId="0" xfId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20" fontId="3" fillId="3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20" fontId="3" fillId="2" borderId="0" xfId="0" applyNumberFormat="1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0" fontId="3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/>
    </xf>
  </cellXfs>
  <cellStyles count="3">
    <cellStyle name="Normal" xfId="0" builtinId="0"/>
    <cellStyle name="Normal 3 2" xfId="2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F34" sqref="F34"/>
    </sheetView>
  </sheetViews>
  <sheetFormatPr defaultRowHeight="15" x14ac:dyDescent="0.25"/>
  <cols>
    <col min="2" max="2" width="13.140625" customWidth="1"/>
    <col min="3" max="3" width="16.42578125" customWidth="1"/>
    <col min="6" max="6" width="1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44896</v>
      </c>
      <c r="B2" s="3" t="s">
        <v>21</v>
      </c>
      <c r="C2" s="3" t="s">
        <v>22</v>
      </c>
      <c r="D2" s="3" t="s">
        <v>23</v>
      </c>
      <c r="E2" s="3" t="s">
        <v>34</v>
      </c>
      <c r="F2" s="1" t="s">
        <v>25</v>
      </c>
      <c r="G2" s="4">
        <v>70000</v>
      </c>
      <c r="H2" s="3" t="s">
        <v>26</v>
      </c>
      <c r="I2" s="3" t="s">
        <v>27</v>
      </c>
      <c r="J2" s="5">
        <v>0.4826388888888889</v>
      </c>
      <c r="K2" s="6">
        <v>0.47847222222222219</v>
      </c>
      <c r="L2" s="5">
        <v>0.27777777777777779</v>
      </c>
      <c r="M2" s="6">
        <v>0.28055555555555556</v>
      </c>
      <c r="N2" s="3" t="s">
        <v>51</v>
      </c>
      <c r="O2" s="3" t="s">
        <v>48</v>
      </c>
      <c r="P2" s="3">
        <v>599</v>
      </c>
      <c r="Q2" s="3">
        <v>744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44896</v>
      </c>
      <c r="B3" s="3" t="s">
        <v>28</v>
      </c>
      <c r="C3" s="3" t="s">
        <v>29</v>
      </c>
      <c r="D3" s="3" t="s">
        <v>30</v>
      </c>
      <c r="E3" s="3" t="s">
        <v>46</v>
      </c>
      <c r="F3" s="3" t="s">
        <v>25</v>
      </c>
      <c r="G3" s="4">
        <v>70000</v>
      </c>
      <c r="H3" s="3" t="s">
        <v>31</v>
      </c>
      <c r="I3" s="3" t="s">
        <v>32</v>
      </c>
      <c r="J3" s="5">
        <v>0.30208333333333331</v>
      </c>
      <c r="K3" s="6">
        <v>0.28472222222222221</v>
      </c>
      <c r="L3" s="5">
        <v>0.31944444444444448</v>
      </c>
      <c r="M3" s="6">
        <v>0.32916666666666666</v>
      </c>
      <c r="N3" s="7" t="s">
        <v>47</v>
      </c>
      <c r="O3" s="3" t="s">
        <v>49</v>
      </c>
      <c r="P3" s="3">
        <v>91</v>
      </c>
      <c r="Q3" s="3">
        <v>169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44896</v>
      </c>
      <c r="B4" s="3" t="s">
        <v>21</v>
      </c>
      <c r="C4" s="3" t="s">
        <v>33</v>
      </c>
      <c r="D4" s="3" t="s">
        <v>23</v>
      </c>
      <c r="E4" s="3" t="s">
        <v>24</v>
      </c>
      <c r="F4" s="3" t="s">
        <v>25</v>
      </c>
      <c r="G4" s="4">
        <v>70000</v>
      </c>
      <c r="H4" s="3" t="s">
        <v>35</v>
      </c>
      <c r="I4" s="3" t="s">
        <v>36</v>
      </c>
      <c r="J4" s="5">
        <v>0.4861111111111111</v>
      </c>
      <c r="K4" s="6">
        <v>0.48333333333333334</v>
      </c>
      <c r="L4" s="5">
        <v>0.3298611111111111</v>
      </c>
      <c r="M4" s="6">
        <v>0.34791666666666665</v>
      </c>
      <c r="N4" s="3" t="s">
        <v>52</v>
      </c>
      <c r="O4" s="3" t="s">
        <v>50</v>
      </c>
      <c r="P4" s="3">
        <v>456</v>
      </c>
      <c r="Q4" s="3">
        <v>376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44896</v>
      </c>
      <c r="B5" s="3" t="s">
        <v>21</v>
      </c>
      <c r="C5" s="3" t="s">
        <v>37</v>
      </c>
      <c r="D5" s="3" t="s">
        <v>23</v>
      </c>
      <c r="E5" s="3" t="s">
        <v>24</v>
      </c>
      <c r="F5" s="3" t="s">
        <v>25</v>
      </c>
      <c r="G5" s="4">
        <v>70000</v>
      </c>
      <c r="H5" s="3" t="s">
        <v>38</v>
      </c>
      <c r="I5" s="3" t="s">
        <v>39</v>
      </c>
      <c r="J5" s="5">
        <v>0.66666666666666663</v>
      </c>
      <c r="K5" s="6">
        <v>0.66180555555555554</v>
      </c>
      <c r="L5" s="5">
        <v>0.51041666666666663</v>
      </c>
      <c r="M5" s="6">
        <v>0.51597222222222217</v>
      </c>
      <c r="N5" s="3" t="s">
        <v>54</v>
      </c>
      <c r="O5" s="3" t="s">
        <v>53</v>
      </c>
      <c r="P5" s="3">
        <v>696</v>
      </c>
      <c r="Q5" s="3">
        <v>405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44896</v>
      </c>
      <c r="B6" s="3" t="s">
        <v>21</v>
      </c>
      <c r="C6" s="3" t="s">
        <v>40</v>
      </c>
      <c r="D6" s="3" t="s">
        <v>23</v>
      </c>
      <c r="E6" s="3" t="s">
        <v>24</v>
      </c>
      <c r="F6" s="3" t="s">
        <v>25</v>
      </c>
      <c r="G6" s="4">
        <v>70000</v>
      </c>
      <c r="H6" s="3" t="s">
        <v>41</v>
      </c>
      <c r="I6" s="3" t="s">
        <v>42</v>
      </c>
      <c r="J6" s="5">
        <v>0.91319444444444453</v>
      </c>
      <c r="K6" s="6">
        <v>0.90416666666666667</v>
      </c>
      <c r="L6" s="5">
        <v>0.70486111111111116</v>
      </c>
      <c r="M6" s="6">
        <v>0.70694444444444438</v>
      </c>
      <c r="N6" s="3" t="s">
        <v>57</v>
      </c>
      <c r="O6" s="3" t="s">
        <v>55</v>
      </c>
      <c r="P6" s="3">
        <v>567</v>
      </c>
      <c r="Q6" s="3">
        <v>934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44896</v>
      </c>
      <c r="B7" s="3" t="s">
        <v>21</v>
      </c>
      <c r="C7" s="3" t="s">
        <v>43</v>
      </c>
      <c r="D7" s="3" t="s">
        <v>23</v>
      </c>
      <c r="E7" s="3" t="s">
        <v>34</v>
      </c>
      <c r="F7" s="3" t="s">
        <v>25</v>
      </c>
      <c r="G7" s="4">
        <v>70000</v>
      </c>
      <c r="H7" s="3" t="s">
        <v>44</v>
      </c>
      <c r="I7" s="3" t="s">
        <v>45</v>
      </c>
      <c r="J7" s="5">
        <v>0.88888888888888884</v>
      </c>
      <c r="K7" s="6">
        <v>0.89374999999999993</v>
      </c>
      <c r="L7" s="5">
        <v>0.71875</v>
      </c>
      <c r="M7" s="6">
        <v>0.72222222222222221</v>
      </c>
      <c r="N7" s="3" t="s">
        <v>58</v>
      </c>
      <c r="O7" s="3" t="s">
        <v>56</v>
      </c>
      <c r="P7" s="3">
        <v>505</v>
      </c>
      <c r="Q7" s="3">
        <v>683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5"/>
      <c r="K8" s="6"/>
      <c r="L8" s="5"/>
      <c r="M8" s="6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C8" sqref="C8"/>
    </sheetView>
  </sheetViews>
  <sheetFormatPr defaultRowHeight="12.75" x14ac:dyDescent="0.2"/>
  <cols>
    <col min="1" max="1" width="11.42578125" style="8" customWidth="1"/>
    <col min="2" max="2" width="12.42578125" style="8" customWidth="1"/>
    <col min="3" max="3" width="15.5703125" style="8" customWidth="1"/>
    <col min="4" max="5" width="9.140625" style="8"/>
    <col min="6" max="6" width="15.7109375" style="8" customWidth="1"/>
    <col min="7" max="7" width="9.140625" style="8"/>
    <col min="8" max="8" width="10" style="8" customWidth="1"/>
    <col min="9" max="16384" width="9.140625" style="8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44897</v>
      </c>
      <c r="B2" s="3" t="s">
        <v>21</v>
      </c>
      <c r="C2" s="3" t="s">
        <v>59</v>
      </c>
      <c r="D2" s="3" t="s">
        <v>23</v>
      </c>
      <c r="E2" s="3" t="s">
        <v>34</v>
      </c>
      <c r="F2" s="1" t="s">
        <v>25</v>
      </c>
      <c r="G2" s="4">
        <v>70000</v>
      </c>
      <c r="H2" s="3" t="s">
        <v>64</v>
      </c>
      <c r="I2" s="3" t="s">
        <v>69</v>
      </c>
      <c r="J2" s="5">
        <v>0.52430555555555558</v>
      </c>
      <c r="K2" s="6">
        <v>0.52777777777777779</v>
      </c>
      <c r="L2" s="5">
        <v>0.27777777777777779</v>
      </c>
      <c r="M2" s="6">
        <v>0.28402777777777777</v>
      </c>
      <c r="N2" s="3" t="s">
        <v>80</v>
      </c>
      <c r="O2" s="3" t="s">
        <v>73</v>
      </c>
      <c r="P2" s="3">
        <v>460</v>
      </c>
      <c r="Q2" s="3">
        <v>849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44897</v>
      </c>
      <c r="B3" s="3" t="s">
        <v>21</v>
      </c>
      <c r="C3" s="3" t="s">
        <v>60</v>
      </c>
      <c r="D3" s="3" t="s">
        <v>23</v>
      </c>
      <c r="E3" s="3" t="s">
        <v>24</v>
      </c>
      <c r="F3" s="3" t="s">
        <v>25</v>
      </c>
      <c r="G3" s="4">
        <v>70000</v>
      </c>
      <c r="H3" s="3" t="s">
        <v>65</v>
      </c>
      <c r="I3" s="3" t="s">
        <v>70</v>
      </c>
      <c r="J3" s="5">
        <v>0.4826388888888889</v>
      </c>
      <c r="K3" s="6">
        <v>0.48680555555555555</v>
      </c>
      <c r="L3" s="5">
        <v>0.28819444444444448</v>
      </c>
      <c r="M3" s="6">
        <v>0.29305555555555557</v>
      </c>
      <c r="N3" s="3" t="s">
        <v>81</v>
      </c>
      <c r="O3" s="3" t="s">
        <v>74</v>
      </c>
      <c r="P3" s="3">
        <v>789</v>
      </c>
      <c r="Q3" s="3">
        <v>725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v>44897</v>
      </c>
      <c r="B4" s="3" t="s">
        <v>21</v>
      </c>
      <c r="C4" s="3" t="s">
        <v>61</v>
      </c>
      <c r="D4" s="3" t="s">
        <v>23</v>
      </c>
      <c r="E4" s="3" t="s">
        <v>24</v>
      </c>
      <c r="F4" s="3" t="s">
        <v>25</v>
      </c>
      <c r="G4" s="4">
        <v>70000</v>
      </c>
      <c r="H4" s="3" t="s">
        <v>66</v>
      </c>
      <c r="I4" s="3" t="s">
        <v>66</v>
      </c>
      <c r="J4" s="5">
        <v>0.68055555555555547</v>
      </c>
      <c r="K4" s="6">
        <v>0.67222222222222217</v>
      </c>
      <c r="L4" s="5">
        <v>0.50694444444444442</v>
      </c>
      <c r="M4" s="6">
        <v>0.52083333333333337</v>
      </c>
      <c r="N4" s="3" t="s">
        <v>84</v>
      </c>
      <c r="O4" s="3" t="s">
        <v>82</v>
      </c>
      <c r="P4" s="3">
        <v>690</v>
      </c>
      <c r="Q4" s="3">
        <v>675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2">
        <v>44897</v>
      </c>
      <c r="B5" s="3" t="s">
        <v>21</v>
      </c>
      <c r="C5" s="3" t="s">
        <v>62</v>
      </c>
      <c r="D5" s="3" t="s">
        <v>23</v>
      </c>
      <c r="E5" s="3" t="s">
        <v>34</v>
      </c>
      <c r="F5" s="3" t="s">
        <v>25</v>
      </c>
      <c r="G5" s="4">
        <v>70000</v>
      </c>
      <c r="H5" s="3" t="s">
        <v>67</v>
      </c>
      <c r="I5" s="3" t="s">
        <v>71</v>
      </c>
      <c r="J5" s="5">
        <v>0.66666666666666663</v>
      </c>
      <c r="K5" s="6">
        <v>0.67569444444444438</v>
      </c>
      <c r="L5" s="5">
        <v>0.54513888888888895</v>
      </c>
      <c r="M5" s="6">
        <v>0.56111111111111112</v>
      </c>
      <c r="N5" s="3" t="s">
        <v>85</v>
      </c>
      <c r="O5" s="3" t="s">
        <v>83</v>
      </c>
      <c r="P5" s="3">
        <v>415</v>
      </c>
      <c r="Q5" s="3">
        <v>473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2">
        <v>44897</v>
      </c>
      <c r="B6" s="3" t="s">
        <v>21</v>
      </c>
      <c r="C6" s="3" t="s">
        <v>37</v>
      </c>
      <c r="D6" s="3" t="s">
        <v>23</v>
      </c>
      <c r="E6" s="3" t="s">
        <v>24</v>
      </c>
      <c r="F6" s="3" t="s">
        <v>25</v>
      </c>
      <c r="G6" s="4">
        <v>70000</v>
      </c>
      <c r="H6" s="3" t="s">
        <v>38</v>
      </c>
      <c r="I6" s="3" t="s">
        <v>39</v>
      </c>
      <c r="J6" s="5">
        <v>0.86111111111111116</v>
      </c>
      <c r="K6" s="6">
        <v>0.84236111111111101</v>
      </c>
      <c r="L6" s="5">
        <v>0.70486111111111116</v>
      </c>
      <c r="M6" s="6">
        <v>0.70694444444444438</v>
      </c>
      <c r="N6" s="3" t="s">
        <v>89</v>
      </c>
      <c r="O6" s="3" t="s">
        <v>86</v>
      </c>
      <c r="P6" s="3">
        <v>454</v>
      </c>
      <c r="Q6" s="3">
        <v>588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2">
        <v>44897</v>
      </c>
      <c r="B7" s="3" t="s">
        <v>21</v>
      </c>
      <c r="C7" s="3" t="s">
        <v>63</v>
      </c>
      <c r="D7" s="3" t="s">
        <v>23</v>
      </c>
      <c r="E7" s="3" t="s">
        <v>34</v>
      </c>
      <c r="F7" s="3" t="s">
        <v>25</v>
      </c>
      <c r="G7" s="4">
        <v>70000</v>
      </c>
      <c r="H7" s="3" t="s">
        <v>68</v>
      </c>
      <c r="I7" s="3" t="s">
        <v>72</v>
      </c>
      <c r="J7" s="5">
        <v>0.92708333333333337</v>
      </c>
      <c r="K7" s="6">
        <v>0.98263888888888884</v>
      </c>
      <c r="L7" s="5">
        <v>0.74305555555555547</v>
      </c>
      <c r="M7" s="6">
        <v>0.75138888888888899</v>
      </c>
      <c r="N7" s="3" t="s">
        <v>91</v>
      </c>
      <c r="O7" s="3" t="s">
        <v>88</v>
      </c>
      <c r="P7" s="3">
        <v>843</v>
      </c>
      <c r="Q7" s="3">
        <v>536</v>
      </c>
      <c r="R7" s="3">
        <v>0</v>
      </c>
      <c r="S7" s="3">
        <v>0</v>
      </c>
      <c r="T7" s="3">
        <v>0</v>
      </c>
      <c r="U7" s="3">
        <v>0</v>
      </c>
    </row>
    <row r="8" spans="1:21" x14ac:dyDescent="0.2">
      <c r="A8" s="2">
        <v>44897</v>
      </c>
      <c r="B8" s="3" t="s">
        <v>28</v>
      </c>
      <c r="C8" s="3" t="s">
        <v>75</v>
      </c>
      <c r="D8" s="3" t="s">
        <v>76</v>
      </c>
      <c r="E8" s="3" t="s">
        <v>77</v>
      </c>
      <c r="F8" s="3" t="s">
        <v>25</v>
      </c>
      <c r="G8" s="4">
        <v>70000</v>
      </c>
      <c r="H8" s="3" t="s">
        <v>78</v>
      </c>
      <c r="I8" s="3" t="s">
        <v>79</v>
      </c>
      <c r="J8" s="5">
        <v>0.77777777777777779</v>
      </c>
      <c r="K8" s="6">
        <v>0.7597222222222223</v>
      </c>
      <c r="L8" s="5">
        <v>0.80208333333333337</v>
      </c>
      <c r="M8" s="6">
        <v>0.79722222222222217</v>
      </c>
      <c r="N8" s="3" t="s">
        <v>87</v>
      </c>
      <c r="O8" s="3" t="s">
        <v>90</v>
      </c>
      <c r="P8" s="3">
        <v>312</v>
      </c>
      <c r="Q8" s="3">
        <v>338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workbookViewId="0">
      <selection sqref="A1:U5"/>
    </sheetView>
  </sheetViews>
  <sheetFormatPr defaultRowHeight="15" x14ac:dyDescent="0.25"/>
  <cols>
    <col min="1" max="1" width="11.28515625" bestFit="1" customWidth="1"/>
    <col min="3" max="3" width="15.28515625" customWidth="1"/>
    <col min="4" max="4" width="8.140625" customWidth="1"/>
    <col min="6" max="6" width="12.5703125" customWidth="1"/>
    <col min="7" max="7" width="9.28515625" bestFit="1" customWidth="1"/>
    <col min="10" max="10" width="9.28515625" bestFit="1" customWidth="1"/>
    <col min="11" max="11" width="12.5703125" customWidth="1"/>
    <col min="12" max="13" width="9.28515625" bestFit="1" customWidth="1"/>
    <col min="14" max="14" width="13.42578125" customWidth="1"/>
    <col min="16" max="16" width="13.140625" customWidth="1"/>
    <col min="17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x14ac:dyDescent="0.25">
      <c r="A2" s="2">
        <v>44898</v>
      </c>
      <c r="B2" s="3" t="s">
        <v>21</v>
      </c>
      <c r="C2" s="3" t="s">
        <v>22</v>
      </c>
      <c r="D2" s="3" t="s">
        <v>23</v>
      </c>
      <c r="E2" s="3" t="s">
        <v>24</v>
      </c>
      <c r="F2" s="1" t="s">
        <v>25</v>
      </c>
      <c r="G2" s="4">
        <v>70000</v>
      </c>
      <c r="H2" s="3" t="s">
        <v>26</v>
      </c>
      <c r="I2" s="3" t="s">
        <v>27</v>
      </c>
      <c r="J2" s="5">
        <v>0.4826388888888889</v>
      </c>
      <c r="K2" s="6">
        <v>0.47569444444444442</v>
      </c>
      <c r="L2" s="5">
        <v>0.27777777777777779</v>
      </c>
      <c r="M2" s="6">
        <v>0.2951388888888889</v>
      </c>
      <c r="N2" s="3" t="s">
        <v>103</v>
      </c>
      <c r="O2" s="3" t="s">
        <v>101</v>
      </c>
      <c r="P2" s="3">
        <v>880</v>
      </c>
      <c r="Q2" s="3">
        <v>930</v>
      </c>
      <c r="R2" s="3">
        <v>0</v>
      </c>
      <c r="S2" s="3">
        <v>0</v>
      </c>
      <c r="T2" s="3">
        <v>0</v>
      </c>
      <c r="U2" s="3">
        <v>0</v>
      </c>
    </row>
    <row r="3" spans="1:22" x14ac:dyDescent="0.25">
      <c r="A3" s="2">
        <v>44898</v>
      </c>
      <c r="B3" s="3" t="s">
        <v>21</v>
      </c>
      <c r="C3" s="3" t="s">
        <v>92</v>
      </c>
      <c r="D3" s="3" t="s">
        <v>23</v>
      </c>
      <c r="E3" s="3" t="s">
        <v>34</v>
      </c>
      <c r="F3" s="3" t="s">
        <v>25</v>
      </c>
      <c r="G3" s="4">
        <v>70000</v>
      </c>
      <c r="H3" s="3" t="s">
        <v>95</v>
      </c>
      <c r="I3" s="3" t="s">
        <v>98</v>
      </c>
      <c r="J3" s="5">
        <v>0.51041666666666663</v>
      </c>
      <c r="K3" s="6">
        <v>0.52222222222222225</v>
      </c>
      <c r="L3" s="5">
        <v>0.30555555555555552</v>
      </c>
      <c r="M3" s="6">
        <v>0.32500000000000001</v>
      </c>
      <c r="N3" s="3" t="s">
        <v>104</v>
      </c>
      <c r="O3" s="3" t="s">
        <v>102</v>
      </c>
      <c r="P3" s="3">
        <v>978</v>
      </c>
      <c r="Q3" s="3">
        <v>819</v>
      </c>
      <c r="R3" s="3">
        <v>0</v>
      </c>
      <c r="S3" s="3">
        <v>0</v>
      </c>
      <c r="T3" s="3">
        <v>0</v>
      </c>
      <c r="U3" s="3">
        <v>0</v>
      </c>
    </row>
    <row r="4" spans="1:22" x14ac:dyDescent="0.25">
      <c r="A4" s="2">
        <v>44898</v>
      </c>
      <c r="B4" s="3" t="s">
        <v>21</v>
      </c>
      <c r="C4" s="3" t="s">
        <v>93</v>
      </c>
      <c r="D4" s="3" t="s">
        <v>23</v>
      </c>
      <c r="E4" s="3" t="s">
        <v>24</v>
      </c>
      <c r="F4" s="3" t="s">
        <v>25</v>
      </c>
      <c r="G4" s="4">
        <v>70000</v>
      </c>
      <c r="H4" s="3" t="s">
        <v>96</v>
      </c>
      <c r="I4" s="3" t="s">
        <v>99</v>
      </c>
      <c r="J4" s="5">
        <v>0.67708333333333337</v>
      </c>
      <c r="K4" s="6">
        <v>0.6777777777777777</v>
      </c>
      <c r="L4" s="5">
        <v>0.52430555555555558</v>
      </c>
      <c r="M4" s="6">
        <v>0.51527777777777783</v>
      </c>
      <c r="N4" s="3" t="s">
        <v>108</v>
      </c>
      <c r="O4" s="3" t="s">
        <v>105</v>
      </c>
      <c r="P4" s="3">
        <v>414</v>
      </c>
      <c r="Q4" s="3">
        <v>572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2">
        <v>44898</v>
      </c>
      <c r="B5" s="3" t="s">
        <v>21</v>
      </c>
      <c r="C5" s="3" t="s">
        <v>94</v>
      </c>
      <c r="D5" s="3" t="s">
        <v>23</v>
      </c>
      <c r="E5" s="3" t="s">
        <v>34</v>
      </c>
      <c r="F5" s="3" t="s">
        <v>25</v>
      </c>
      <c r="G5" s="4">
        <v>70000</v>
      </c>
      <c r="H5" s="3" t="s">
        <v>97</v>
      </c>
      <c r="I5" s="3" t="s">
        <v>100</v>
      </c>
      <c r="J5" s="5">
        <v>0.71527777777777779</v>
      </c>
      <c r="K5" s="6">
        <v>0.74097222222222225</v>
      </c>
      <c r="L5" s="5">
        <v>0.54166666666666663</v>
      </c>
      <c r="M5" s="6">
        <v>0.55833333333333335</v>
      </c>
      <c r="N5" s="3" t="s">
        <v>110</v>
      </c>
      <c r="O5" s="3" t="s">
        <v>106</v>
      </c>
      <c r="P5" s="3">
        <v>763</v>
      </c>
      <c r="Q5" s="3">
        <v>631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">
        <v>44898</v>
      </c>
      <c r="B6" s="3" t="s">
        <v>21</v>
      </c>
      <c r="C6" s="3" t="s">
        <v>43</v>
      </c>
      <c r="D6" s="3" t="s">
        <v>23</v>
      </c>
      <c r="E6" s="3" t="s">
        <v>24</v>
      </c>
      <c r="F6" s="3" t="s">
        <v>25</v>
      </c>
      <c r="G6" s="4">
        <v>70000</v>
      </c>
      <c r="H6" s="3" t="s">
        <v>68</v>
      </c>
      <c r="I6" s="3" t="s">
        <v>45</v>
      </c>
      <c r="J6" s="5">
        <v>0.88888888888888884</v>
      </c>
      <c r="K6" s="3" t="s">
        <v>111</v>
      </c>
      <c r="L6" s="5">
        <v>0.71875</v>
      </c>
      <c r="M6" s="6">
        <v>0.72986111111111107</v>
      </c>
      <c r="N6" s="3" t="s">
        <v>111</v>
      </c>
      <c r="O6" s="3" t="s">
        <v>55</v>
      </c>
      <c r="P6" s="3" t="s">
        <v>111</v>
      </c>
      <c r="Q6" s="3">
        <v>556</v>
      </c>
      <c r="R6" s="3">
        <v>0</v>
      </c>
      <c r="S6" s="3">
        <v>0</v>
      </c>
      <c r="T6" s="3">
        <v>0</v>
      </c>
      <c r="U6" s="3">
        <v>0</v>
      </c>
    </row>
    <row r="7" spans="1:22" x14ac:dyDescent="0.25">
      <c r="A7" s="2">
        <v>44898</v>
      </c>
      <c r="B7" s="3" t="s">
        <v>28</v>
      </c>
      <c r="C7" s="3" t="s">
        <v>29</v>
      </c>
      <c r="D7" s="3" t="s">
        <v>23</v>
      </c>
      <c r="E7" s="3" t="s">
        <v>107</v>
      </c>
      <c r="F7" s="3" t="s">
        <v>25</v>
      </c>
      <c r="G7" s="3">
        <v>70000</v>
      </c>
      <c r="H7" s="3" t="s">
        <v>31</v>
      </c>
      <c r="I7" s="3" t="s">
        <v>32</v>
      </c>
      <c r="J7" s="5">
        <v>0.67361111111111116</v>
      </c>
      <c r="K7" s="6">
        <v>0.67083333333333339</v>
      </c>
      <c r="L7" s="5">
        <v>0.69097222222222221</v>
      </c>
      <c r="M7" s="6">
        <v>0.70208333333333339</v>
      </c>
      <c r="N7" s="3" t="s">
        <v>88</v>
      </c>
      <c r="O7" s="3" t="s">
        <v>109</v>
      </c>
      <c r="P7" s="3">
        <v>234</v>
      </c>
      <c r="Q7" s="3">
        <v>208</v>
      </c>
      <c r="R7" s="3">
        <v>50</v>
      </c>
      <c r="S7" s="3">
        <v>0</v>
      </c>
      <c r="T7" s="3">
        <v>0</v>
      </c>
      <c r="U7" s="3">
        <v>0</v>
      </c>
    </row>
    <row r="8" spans="1:2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C36" sqref="C36"/>
    </sheetView>
  </sheetViews>
  <sheetFormatPr defaultRowHeight="15" x14ac:dyDescent="0.25"/>
  <cols>
    <col min="1" max="1" width="12.7109375" customWidth="1"/>
    <col min="2" max="2" width="11.140625" customWidth="1"/>
    <col min="3" max="3" width="15.5703125" customWidth="1"/>
    <col min="6" max="6" width="11.85546875" customWidth="1"/>
    <col min="7" max="7" width="9.28515625" bestFit="1" customWidth="1"/>
    <col min="10" max="13" width="9.28515625" bestFit="1" customWidth="1"/>
    <col min="16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">
        <v>44899</v>
      </c>
      <c r="B2" s="3" t="s">
        <v>21</v>
      </c>
      <c r="C2" s="3" t="s">
        <v>22</v>
      </c>
      <c r="D2" s="3" t="s">
        <v>23</v>
      </c>
      <c r="E2" s="3" t="s">
        <v>34</v>
      </c>
      <c r="F2" s="1" t="s">
        <v>25</v>
      </c>
      <c r="G2" s="4">
        <v>70000</v>
      </c>
      <c r="H2" s="3" t="s">
        <v>26</v>
      </c>
      <c r="I2" s="3" t="s">
        <v>27</v>
      </c>
      <c r="J2" s="5">
        <v>0.4826388888888889</v>
      </c>
      <c r="K2" s="6">
        <v>0.48680555555555555</v>
      </c>
      <c r="L2" s="5">
        <v>0.27777777777777779</v>
      </c>
      <c r="M2" s="6">
        <v>0.29305555555555557</v>
      </c>
      <c r="N2" s="2" t="s">
        <v>128</v>
      </c>
      <c r="O2" s="2" t="s">
        <v>125</v>
      </c>
      <c r="P2" s="3">
        <v>944</v>
      </c>
      <c r="Q2" s="3">
        <v>657</v>
      </c>
      <c r="R2" s="3">
        <v>0</v>
      </c>
      <c r="S2" s="3">
        <v>0</v>
      </c>
      <c r="T2" s="3">
        <v>0</v>
      </c>
      <c r="U2" s="3">
        <v>0</v>
      </c>
    </row>
    <row r="3" spans="1:22" x14ac:dyDescent="0.25">
      <c r="A3" s="2">
        <v>44899</v>
      </c>
      <c r="B3" s="3" t="s">
        <v>21</v>
      </c>
      <c r="C3" s="3" t="s">
        <v>33</v>
      </c>
      <c r="D3" s="3" t="s">
        <v>23</v>
      </c>
      <c r="E3" s="3" t="s">
        <v>24</v>
      </c>
      <c r="F3" s="1" t="s">
        <v>25</v>
      </c>
      <c r="G3" s="4">
        <v>70000</v>
      </c>
      <c r="H3" s="3" t="s">
        <v>35</v>
      </c>
      <c r="I3" s="3" t="s">
        <v>36</v>
      </c>
      <c r="J3" s="5">
        <v>0.4861111111111111</v>
      </c>
      <c r="K3" s="6">
        <v>0.59861111111111109</v>
      </c>
      <c r="L3" s="5">
        <v>0.3298611111111111</v>
      </c>
      <c r="M3" s="6">
        <v>0.4548611111111111</v>
      </c>
      <c r="N3" s="2" t="s">
        <v>131</v>
      </c>
      <c r="O3" s="2" t="s">
        <v>129</v>
      </c>
      <c r="P3" s="3">
        <v>400</v>
      </c>
      <c r="Q3" s="3">
        <v>379</v>
      </c>
      <c r="R3" s="3">
        <v>0</v>
      </c>
      <c r="S3" s="3">
        <v>0</v>
      </c>
      <c r="T3" s="3">
        <v>0</v>
      </c>
      <c r="U3" s="3">
        <v>0</v>
      </c>
    </row>
    <row r="4" spans="1:22" x14ac:dyDescent="0.25">
      <c r="A4" s="2">
        <v>44899</v>
      </c>
      <c r="B4" s="9" t="s">
        <v>112</v>
      </c>
      <c r="C4" s="3" t="s">
        <v>113</v>
      </c>
      <c r="D4" s="3" t="s">
        <v>114</v>
      </c>
      <c r="E4" s="3" t="s">
        <v>120</v>
      </c>
      <c r="F4" s="3" t="s">
        <v>25</v>
      </c>
      <c r="G4" s="4">
        <v>80000</v>
      </c>
      <c r="H4" s="3" t="s">
        <v>115</v>
      </c>
      <c r="I4" s="3" t="s">
        <v>116</v>
      </c>
      <c r="J4" s="5">
        <v>0.37847222222222227</v>
      </c>
      <c r="K4" s="6">
        <v>0.39027777777777778</v>
      </c>
      <c r="L4" s="5">
        <v>0.39930555555555558</v>
      </c>
      <c r="M4" s="6">
        <v>0.42499999999999999</v>
      </c>
      <c r="N4" s="3" t="s">
        <v>126</v>
      </c>
      <c r="O4" s="2" t="s">
        <v>127</v>
      </c>
      <c r="P4" s="3">
        <v>169</v>
      </c>
      <c r="Q4" s="3">
        <v>273</v>
      </c>
      <c r="R4" s="3">
        <v>0</v>
      </c>
      <c r="S4" s="3">
        <v>0</v>
      </c>
      <c r="T4" s="3">
        <v>0</v>
      </c>
      <c r="U4" s="3">
        <v>0</v>
      </c>
      <c r="V4" s="3"/>
    </row>
    <row r="5" spans="1:22" x14ac:dyDescent="0.25">
      <c r="A5" s="2">
        <v>44899</v>
      </c>
      <c r="B5" s="3" t="s">
        <v>21</v>
      </c>
      <c r="C5" s="3" t="s">
        <v>43</v>
      </c>
      <c r="D5" s="3" t="s">
        <v>23</v>
      </c>
      <c r="E5" s="3" t="s">
        <v>34</v>
      </c>
      <c r="F5" s="3" t="s">
        <v>25</v>
      </c>
      <c r="G5" s="4">
        <v>70000</v>
      </c>
      <c r="H5" s="3" t="s">
        <v>44</v>
      </c>
      <c r="I5" s="3" t="s">
        <v>45</v>
      </c>
      <c r="J5" s="5">
        <v>0.67708333333333337</v>
      </c>
      <c r="K5" s="6">
        <v>0.63888888888888895</v>
      </c>
      <c r="L5" s="5">
        <v>0.50694444444444442</v>
      </c>
      <c r="M5" s="6">
        <v>0.52500000000000002</v>
      </c>
      <c r="N5" s="2" t="s">
        <v>133</v>
      </c>
      <c r="O5" s="2" t="s">
        <v>130</v>
      </c>
      <c r="P5" s="3">
        <v>896</v>
      </c>
      <c r="Q5" s="3">
        <v>701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">
        <v>44899</v>
      </c>
      <c r="B6" s="3" t="s">
        <v>21</v>
      </c>
      <c r="C6" s="3" t="s">
        <v>37</v>
      </c>
      <c r="D6" s="3" t="s">
        <v>23</v>
      </c>
      <c r="E6" s="3" t="s">
        <v>24</v>
      </c>
      <c r="F6" s="1" t="s">
        <v>25</v>
      </c>
      <c r="G6" s="4">
        <v>70000</v>
      </c>
      <c r="H6" s="3" t="s">
        <v>38</v>
      </c>
      <c r="I6" s="3" t="s">
        <v>39</v>
      </c>
      <c r="J6" s="5">
        <v>0.68402777777777779</v>
      </c>
      <c r="K6" s="6">
        <v>0.77777777777777779</v>
      </c>
      <c r="L6" s="5">
        <v>0.52777777777777779</v>
      </c>
      <c r="M6" s="6">
        <v>0.63194444444444442</v>
      </c>
      <c r="N6" s="2" t="s">
        <v>135</v>
      </c>
      <c r="O6" s="2" t="s">
        <v>132</v>
      </c>
      <c r="P6" s="3">
        <v>469</v>
      </c>
      <c r="Q6" s="3">
        <v>483</v>
      </c>
      <c r="R6" s="3">
        <v>0</v>
      </c>
      <c r="S6" s="3">
        <v>0</v>
      </c>
      <c r="T6" s="3">
        <v>0</v>
      </c>
      <c r="U6" s="3">
        <v>0</v>
      </c>
    </row>
    <row r="7" spans="1:22" x14ac:dyDescent="0.25">
      <c r="A7" s="2">
        <v>44899</v>
      </c>
      <c r="B7" s="3" t="s">
        <v>21</v>
      </c>
      <c r="C7" s="3" t="s">
        <v>40</v>
      </c>
      <c r="D7" s="3" t="s">
        <v>23</v>
      </c>
      <c r="E7" s="3" t="s">
        <v>24</v>
      </c>
      <c r="F7" s="1" t="s">
        <v>25</v>
      </c>
      <c r="G7" s="4">
        <v>70000</v>
      </c>
      <c r="H7" s="3" t="s">
        <v>41</v>
      </c>
      <c r="I7" s="3" t="s">
        <v>42</v>
      </c>
      <c r="J7" s="5">
        <v>0.91319444444444453</v>
      </c>
      <c r="K7" s="10" t="s">
        <v>137</v>
      </c>
      <c r="L7" s="5">
        <v>0.70486111111111116</v>
      </c>
      <c r="M7" s="6">
        <v>0.81111111111111101</v>
      </c>
      <c r="N7" s="11" t="s">
        <v>137</v>
      </c>
      <c r="O7" s="2" t="s">
        <v>136</v>
      </c>
      <c r="P7" s="12" t="s">
        <v>137</v>
      </c>
      <c r="Q7" s="3">
        <v>817</v>
      </c>
      <c r="R7" s="3">
        <v>0</v>
      </c>
      <c r="S7" s="3">
        <v>0</v>
      </c>
      <c r="T7" s="3">
        <v>0</v>
      </c>
      <c r="U7" s="3">
        <v>0</v>
      </c>
    </row>
    <row r="8" spans="1:22" x14ac:dyDescent="0.25">
      <c r="A8" s="2">
        <v>44899</v>
      </c>
      <c r="B8" s="3" t="s">
        <v>21</v>
      </c>
      <c r="C8" s="3" t="s">
        <v>117</v>
      </c>
      <c r="D8" s="3" t="s">
        <v>23</v>
      </c>
      <c r="E8" s="3" t="s">
        <v>34</v>
      </c>
      <c r="F8" s="3" t="s">
        <v>25</v>
      </c>
      <c r="G8" s="4">
        <v>70000</v>
      </c>
      <c r="H8" s="3" t="s">
        <v>118</v>
      </c>
      <c r="I8" s="3" t="s">
        <v>119</v>
      </c>
      <c r="J8" s="5">
        <v>0.95486111111111116</v>
      </c>
      <c r="K8" s="10" t="s">
        <v>137</v>
      </c>
      <c r="L8" s="5">
        <v>0.71527777777777779</v>
      </c>
      <c r="M8" s="6">
        <v>0.71388888888888891</v>
      </c>
      <c r="N8" s="11" t="s">
        <v>137</v>
      </c>
      <c r="O8" s="2" t="s">
        <v>134</v>
      </c>
      <c r="P8" s="12" t="s">
        <v>137</v>
      </c>
      <c r="Q8" s="3">
        <v>700</v>
      </c>
      <c r="R8" s="3">
        <v>0</v>
      </c>
      <c r="S8" s="3">
        <v>0</v>
      </c>
      <c r="T8" s="3">
        <v>0</v>
      </c>
      <c r="U8" s="3">
        <v>0</v>
      </c>
    </row>
    <row r="9" spans="1:22" x14ac:dyDescent="0.25">
      <c r="A9" s="2">
        <v>44899</v>
      </c>
      <c r="B9" s="3" t="s">
        <v>21</v>
      </c>
      <c r="C9" s="3" t="s">
        <v>121</v>
      </c>
      <c r="D9" s="3" t="s">
        <v>23</v>
      </c>
      <c r="E9" s="3" t="s">
        <v>24</v>
      </c>
      <c r="F9" s="3" t="s">
        <v>122</v>
      </c>
      <c r="G9" s="4">
        <f>G8</f>
        <v>70000</v>
      </c>
      <c r="H9" s="3" t="s">
        <v>123</v>
      </c>
      <c r="I9" s="3" t="s">
        <v>124</v>
      </c>
      <c r="J9" s="5">
        <v>0.3298611111111111</v>
      </c>
      <c r="K9" s="6">
        <v>0.41666666666666669</v>
      </c>
      <c r="L9" s="3" t="s">
        <v>124</v>
      </c>
      <c r="M9" s="3" t="s">
        <v>124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C4" sqref="C4"/>
    </sheetView>
  </sheetViews>
  <sheetFormatPr defaultRowHeight="14.25" customHeight="1" x14ac:dyDescent="0.2"/>
  <cols>
    <col min="1" max="2" width="9.140625" style="13"/>
    <col min="3" max="3" width="14" style="13" bestFit="1" customWidth="1"/>
    <col min="4" max="5" width="9.140625" style="13"/>
    <col min="6" max="6" width="12.28515625" style="13" customWidth="1"/>
    <col min="7" max="16384" width="9.140625" style="13"/>
  </cols>
  <sheetData>
    <row r="1" spans="1:21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2">
      <c r="A2" s="2">
        <v>44900</v>
      </c>
      <c r="B2" s="3" t="s">
        <v>21</v>
      </c>
      <c r="C2" s="3" t="s">
        <v>59</v>
      </c>
      <c r="D2" s="3" t="s">
        <v>23</v>
      </c>
      <c r="E2" s="3" t="s">
        <v>34</v>
      </c>
      <c r="F2" s="1" t="s">
        <v>25</v>
      </c>
      <c r="G2" s="4">
        <v>70000</v>
      </c>
      <c r="H2" s="3" t="s">
        <v>64</v>
      </c>
      <c r="I2" s="3" t="s">
        <v>69</v>
      </c>
      <c r="J2" s="5">
        <v>0.52430555555555558</v>
      </c>
      <c r="K2" s="6">
        <v>0.6166666666666667</v>
      </c>
      <c r="L2" s="5">
        <v>0.27777777777777779</v>
      </c>
      <c r="M2" s="6">
        <v>0.40069444444444446</v>
      </c>
      <c r="N2" s="3" t="s">
        <v>147</v>
      </c>
      <c r="O2" s="3" t="s">
        <v>140</v>
      </c>
      <c r="P2" s="3">
        <v>734</v>
      </c>
      <c r="Q2" s="3">
        <v>566</v>
      </c>
      <c r="R2" s="3">
        <v>0</v>
      </c>
      <c r="S2" s="3">
        <v>0</v>
      </c>
      <c r="T2" s="3">
        <v>0</v>
      </c>
      <c r="U2" s="3">
        <v>0</v>
      </c>
    </row>
    <row r="3" spans="1:21" ht="14.25" customHeight="1" x14ac:dyDescent="0.2">
      <c r="A3" s="2">
        <v>44900</v>
      </c>
      <c r="B3" s="3" t="s">
        <v>21</v>
      </c>
      <c r="C3" s="3" t="s">
        <v>60</v>
      </c>
      <c r="D3" s="3" t="s">
        <v>23</v>
      </c>
      <c r="E3" s="3" t="s">
        <v>138</v>
      </c>
      <c r="F3" s="3" t="s">
        <v>25</v>
      </c>
      <c r="G3" s="4">
        <v>70000</v>
      </c>
      <c r="H3" s="3" t="s">
        <v>65</v>
      </c>
      <c r="I3" s="3" t="s">
        <v>70</v>
      </c>
      <c r="J3" s="5">
        <v>0.4826388888888889</v>
      </c>
      <c r="K3" s="6">
        <v>0.61111111111111105</v>
      </c>
      <c r="L3" s="5">
        <v>0.28819444444444448</v>
      </c>
      <c r="M3" s="6">
        <v>0.4458333333333333</v>
      </c>
      <c r="N3" s="3" t="s">
        <v>50</v>
      </c>
      <c r="O3" s="3" t="s">
        <v>146</v>
      </c>
      <c r="P3" s="3">
        <v>558</v>
      </c>
      <c r="Q3" s="3">
        <v>720</v>
      </c>
      <c r="R3" s="3">
        <v>0</v>
      </c>
      <c r="S3" s="3">
        <v>0</v>
      </c>
      <c r="T3" s="3">
        <v>0</v>
      </c>
      <c r="U3" s="3">
        <v>0</v>
      </c>
    </row>
    <row r="4" spans="1:21" ht="14.25" customHeight="1" x14ac:dyDescent="0.2">
      <c r="A4" s="2">
        <v>44900</v>
      </c>
      <c r="B4" s="3" t="s">
        <v>21</v>
      </c>
      <c r="C4" s="3" t="s">
        <v>61</v>
      </c>
      <c r="D4" s="3" t="s">
        <v>23</v>
      </c>
      <c r="E4" s="3" t="s">
        <v>138</v>
      </c>
      <c r="F4" s="3" t="s">
        <v>25</v>
      </c>
      <c r="G4" s="4">
        <v>70000</v>
      </c>
      <c r="H4" s="3" t="s">
        <v>66</v>
      </c>
      <c r="I4" s="3" t="s">
        <v>66</v>
      </c>
      <c r="J4" s="5">
        <v>0.68055555555555547</v>
      </c>
      <c r="K4" s="6">
        <v>0.73125000000000007</v>
      </c>
      <c r="L4" s="5">
        <v>0.50694444444444442</v>
      </c>
      <c r="M4" s="6">
        <v>0.57638888888888895</v>
      </c>
      <c r="N4" s="3" t="s">
        <v>52</v>
      </c>
      <c r="O4" s="3" t="s">
        <v>148</v>
      </c>
      <c r="P4" s="3">
        <v>626</v>
      </c>
      <c r="Q4" s="3">
        <v>327</v>
      </c>
      <c r="R4" s="3">
        <v>0</v>
      </c>
      <c r="S4" s="3">
        <v>0</v>
      </c>
      <c r="T4" s="3">
        <v>0</v>
      </c>
      <c r="U4" s="3">
        <v>0</v>
      </c>
    </row>
    <row r="5" spans="1:21" ht="14.25" customHeight="1" x14ac:dyDescent="0.2">
      <c r="A5" s="2">
        <v>44900</v>
      </c>
      <c r="B5" s="3" t="s">
        <v>21</v>
      </c>
      <c r="C5" s="3" t="s">
        <v>37</v>
      </c>
      <c r="D5" s="3" t="s">
        <v>23</v>
      </c>
      <c r="E5" s="3" t="s">
        <v>138</v>
      </c>
      <c r="F5" s="3" t="s">
        <v>25</v>
      </c>
      <c r="G5" s="4">
        <v>70000</v>
      </c>
      <c r="H5" s="3" t="s">
        <v>67</v>
      </c>
      <c r="I5" s="3" t="s">
        <v>71</v>
      </c>
      <c r="J5" s="5">
        <v>0.86111111111111116</v>
      </c>
      <c r="K5" s="6">
        <v>0.90347222222222223</v>
      </c>
      <c r="L5" s="5">
        <v>0.70486111111111116</v>
      </c>
      <c r="M5" s="6">
        <v>0.77361111111111114</v>
      </c>
      <c r="N5" s="3" t="s">
        <v>152</v>
      </c>
      <c r="O5" s="3" t="s">
        <v>151</v>
      </c>
      <c r="P5" s="3">
        <v>551</v>
      </c>
      <c r="Q5" s="3">
        <v>604</v>
      </c>
      <c r="R5" s="3">
        <v>0</v>
      </c>
      <c r="S5" s="3">
        <v>0</v>
      </c>
      <c r="T5" s="3">
        <v>0</v>
      </c>
      <c r="U5" s="3">
        <v>0</v>
      </c>
    </row>
    <row r="6" spans="1:21" ht="14.25" customHeight="1" x14ac:dyDescent="0.2">
      <c r="A6" s="2">
        <v>44900</v>
      </c>
      <c r="B6" s="3" t="s">
        <v>21</v>
      </c>
      <c r="C6" s="3" t="s">
        <v>63</v>
      </c>
      <c r="D6" s="3" t="s">
        <v>23</v>
      </c>
      <c r="E6" s="3" t="s">
        <v>34</v>
      </c>
      <c r="F6" s="3" t="s">
        <v>25</v>
      </c>
      <c r="G6" s="4">
        <v>70000</v>
      </c>
      <c r="H6" s="3" t="s">
        <v>38</v>
      </c>
      <c r="I6" s="3" t="s">
        <v>39</v>
      </c>
      <c r="J6" s="5">
        <v>0.92708333333333337</v>
      </c>
      <c r="K6" s="6">
        <v>5.2083333333333336E-2</v>
      </c>
      <c r="L6" s="5">
        <v>0.74305555555555547</v>
      </c>
      <c r="M6" s="6">
        <v>0.87291666666666667</v>
      </c>
      <c r="N6" s="3" t="s">
        <v>162</v>
      </c>
      <c r="O6" s="3" t="s">
        <v>153</v>
      </c>
      <c r="P6" s="3">
        <v>670</v>
      </c>
      <c r="Q6" s="3">
        <v>504</v>
      </c>
      <c r="R6" s="3">
        <v>0</v>
      </c>
      <c r="S6" s="3">
        <v>0</v>
      </c>
      <c r="T6" s="3">
        <v>0</v>
      </c>
      <c r="U6" s="3">
        <v>0</v>
      </c>
    </row>
    <row r="7" spans="1:21" ht="14.25" customHeight="1" x14ac:dyDescent="0.2">
      <c r="A7" s="2">
        <v>44900</v>
      </c>
      <c r="B7" s="3" t="s">
        <v>112</v>
      </c>
      <c r="C7" s="3" t="s">
        <v>75</v>
      </c>
      <c r="D7" s="3" t="s">
        <v>76</v>
      </c>
      <c r="E7" s="3" t="s">
        <v>139</v>
      </c>
      <c r="F7" s="3" t="s">
        <v>25</v>
      </c>
      <c r="G7" s="4">
        <v>80000</v>
      </c>
      <c r="H7" s="3" t="s">
        <v>78</v>
      </c>
      <c r="I7" s="3" t="s">
        <v>79</v>
      </c>
      <c r="J7" s="5">
        <v>0.67013888888888884</v>
      </c>
      <c r="K7" s="6">
        <v>0.64930555555555558</v>
      </c>
      <c r="L7" s="5">
        <v>0.69444444444444453</v>
      </c>
      <c r="M7" s="6">
        <v>0.69444444444444453</v>
      </c>
      <c r="N7" s="3" t="s">
        <v>149</v>
      </c>
      <c r="O7" s="3" t="s">
        <v>150</v>
      </c>
      <c r="P7" s="3">
        <v>159</v>
      </c>
      <c r="Q7" s="3">
        <v>169</v>
      </c>
      <c r="R7" s="3">
        <v>0</v>
      </c>
      <c r="S7" s="3">
        <v>0</v>
      </c>
      <c r="T7" s="3">
        <v>0</v>
      </c>
      <c r="U7" s="3">
        <v>0</v>
      </c>
    </row>
    <row r="8" spans="1:21" ht="14.25" customHeight="1" x14ac:dyDescent="0.2">
      <c r="A8" s="2">
        <v>44900</v>
      </c>
      <c r="B8" s="13" t="s">
        <v>21</v>
      </c>
      <c r="C8" s="13" t="s">
        <v>121</v>
      </c>
      <c r="D8" s="13" t="s">
        <v>23</v>
      </c>
      <c r="E8" s="13" t="s">
        <v>34</v>
      </c>
      <c r="F8" s="3" t="s">
        <v>122</v>
      </c>
      <c r="G8" s="14">
        <f>G5</f>
        <v>70000</v>
      </c>
      <c r="H8" s="13" t="s">
        <v>143</v>
      </c>
      <c r="I8" s="13" t="s">
        <v>124</v>
      </c>
      <c r="J8" s="16">
        <v>0.36458333333333331</v>
      </c>
      <c r="K8" s="15">
        <v>0.36736111111111108</v>
      </c>
      <c r="L8" s="13" t="s">
        <v>124</v>
      </c>
      <c r="M8" s="13" t="s">
        <v>124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</row>
    <row r="9" spans="1:21" ht="14.25" customHeight="1" x14ac:dyDescent="0.2">
      <c r="A9" s="2">
        <v>44900</v>
      </c>
      <c r="B9" s="13" t="s">
        <v>21</v>
      </c>
      <c r="C9" s="13" t="s">
        <v>141</v>
      </c>
      <c r="D9" s="13" t="s">
        <v>23</v>
      </c>
      <c r="E9" s="13" t="s">
        <v>138</v>
      </c>
      <c r="F9" s="13" t="s">
        <v>122</v>
      </c>
      <c r="G9" s="14">
        <f>G6</f>
        <v>70000</v>
      </c>
      <c r="H9" s="13" t="s">
        <v>144</v>
      </c>
      <c r="I9" s="13" t="s">
        <v>124</v>
      </c>
      <c r="J9" s="16">
        <v>0.3125</v>
      </c>
      <c r="K9" s="15">
        <v>0.41875000000000001</v>
      </c>
      <c r="L9" s="13" t="s">
        <v>124</v>
      </c>
      <c r="M9" s="13" t="s">
        <v>124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</row>
    <row r="10" spans="1:21" ht="14.25" customHeight="1" x14ac:dyDescent="0.2">
      <c r="A10" s="2">
        <v>44900</v>
      </c>
      <c r="B10" s="13" t="s">
        <v>21</v>
      </c>
      <c r="C10" s="13" t="s">
        <v>160</v>
      </c>
      <c r="D10" s="13" t="s">
        <v>23</v>
      </c>
      <c r="E10" s="13" t="s">
        <v>142</v>
      </c>
      <c r="F10" s="13" t="s">
        <v>161</v>
      </c>
      <c r="G10" s="14">
        <f>G9</f>
        <v>70000</v>
      </c>
      <c r="H10" s="13" t="s">
        <v>145</v>
      </c>
      <c r="I10" s="13" t="s">
        <v>124</v>
      </c>
      <c r="J10" s="16">
        <v>0.51388888888888895</v>
      </c>
      <c r="K10" s="15">
        <v>0.54027777777777775</v>
      </c>
      <c r="L10" s="13" t="s">
        <v>124</v>
      </c>
      <c r="M10" s="13" t="s">
        <v>124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</row>
    <row r="11" spans="1:21" ht="14.25" customHeight="1" x14ac:dyDescent="0.2">
      <c r="A11" s="2">
        <v>44900</v>
      </c>
      <c r="B11" s="3" t="s">
        <v>112</v>
      </c>
      <c r="C11" s="13" t="s">
        <v>154</v>
      </c>
      <c r="D11" s="13" t="s">
        <v>76</v>
      </c>
      <c r="E11" s="13" t="s">
        <v>155</v>
      </c>
      <c r="F11" s="13" t="s">
        <v>159</v>
      </c>
      <c r="G11" s="14">
        <v>80000</v>
      </c>
      <c r="H11" s="13" t="s">
        <v>156</v>
      </c>
      <c r="I11" s="13" t="s">
        <v>157</v>
      </c>
      <c r="J11" s="13" t="s">
        <v>124</v>
      </c>
      <c r="K11" s="15">
        <v>0.80138888888888893</v>
      </c>
      <c r="L11" s="13" t="s">
        <v>124</v>
      </c>
      <c r="M11" s="15">
        <v>0.80694444444444446</v>
      </c>
      <c r="N11" s="13" t="s">
        <v>158</v>
      </c>
      <c r="O11" s="13">
        <v>0</v>
      </c>
      <c r="P11" s="13">
        <v>221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D22" sqref="D22"/>
    </sheetView>
  </sheetViews>
  <sheetFormatPr defaultRowHeight="15" x14ac:dyDescent="0.25"/>
  <cols>
    <col min="2" max="2" width="11.42578125" customWidth="1"/>
    <col min="3" max="3" width="14.42578125" customWidth="1"/>
    <col min="6" max="6" width="14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44901</v>
      </c>
      <c r="B2" s="3" t="s">
        <v>21</v>
      </c>
      <c r="C2" s="3" t="s">
        <v>22</v>
      </c>
      <c r="D2" s="3" t="s">
        <v>23</v>
      </c>
      <c r="E2" s="3" t="s">
        <v>138</v>
      </c>
      <c r="F2" s="1" t="s">
        <v>25</v>
      </c>
      <c r="G2" s="4">
        <v>70000</v>
      </c>
      <c r="H2" s="3" t="s">
        <v>26</v>
      </c>
      <c r="I2" s="3" t="s">
        <v>27</v>
      </c>
      <c r="J2" s="5">
        <v>0.4826388888888889</v>
      </c>
      <c r="K2" s="6">
        <v>0.52777777777777779</v>
      </c>
      <c r="L2" s="5">
        <v>0.27777777777777779</v>
      </c>
      <c r="M2" s="6">
        <v>0.34583333333333338</v>
      </c>
      <c r="N2" s="3" t="s">
        <v>167</v>
      </c>
      <c r="O2" s="3" t="s">
        <v>165</v>
      </c>
      <c r="P2" s="3">
        <v>579</v>
      </c>
      <c r="Q2" s="3">
        <v>563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44901</v>
      </c>
      <c r="B3" s="3" t="s">
        <v>21</v>
      </c>
      <c r="C3" s="3" t="s">
        <v>92</v>
      </c>
      <c r="D3" s="3" t="s">
        <v>23</v>
      </c>
      <c r="E3" s="3" t="s">
        <v>34</v>
      </c>
      <c r="F3" s="3" t="s">
        <v>25</v>
      </c>
      <c r="G3" s="4">
        <v>70000</v>
      </c>
      <c r="H3" s="3" t="s">
        <v>95</v>
      </c>
      <c r="I3" s="3" t="s">
        <v>98</v>
      </c>
      <c r="J3" s="5">
        <v>0.51041666666666663</v>
      </c>
      <c r="K3" s="6">
        <v>0.50208333333333333</v>
      </c>
      <c r="L3" s="5">
        <v>0.30555555555555552</v>
      </c>
      <c r="M3" s="6">
        <v>0.31111111111111112</v>
      </c>
      <c r="N3" s="3" t="s">
        <v>166</v>
      </c>
      <c r="O3" s="3" t="s">
        <v>164</v>
      </c>
      <c r="P3" s="3">
        <v>705</v>
      </c>
      <c r="Q3" s="3">
        <v>675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44901</v>
      </c>
      <c r="B4" s="3" t="s">
        <v>21</v>
      </c>
      <c r="C4" s="3" t="s">
        <v>93</v>
      </c>
      <c r="D4" s="3" t="s">
        <v>23</v>
      </c>
      <c r="E4" s="3" t="s">
        <v>138</v>
      </c>
      <c r="F4" s="3" t="s">
        <v>25</v>
      </c>
      <c r="G4" s="4">
        <v>70000</v>
      </c>
      <c r="H4" s="3" t="s">
        <v>96</v>
      </c>
      <c r="I4" s="3" t="s">
        <v>99</v>
      </c>
      <c r="J4" s="5">
        <v>0.67708333333333337</v>
      </c>
      <c r="K4" s="6">
        <v>0.70138888888888884</v>
      </c>
      <c r="L4" s="5">
        <v>0.52430555555555558</v>
      </c>
      <c r="M4" s="6">
        <v>0.56597222222222221</v>
      </c>
      <c r="N4" s="3" t="s">
        <v>171</v>
      </c>
      <c r="O4" s="3" t="s">
        <v>169</v>
      </c>
      <c r="P4" s="3">
        <v>183</v>
      </c>
      <c r="Q4" s="3">
        <v>297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44901</v>
      </c>
      <c r="B5" s="3" t="s">
        <v>21</v>
      </c>
      <c r="C5" s="3" t="s">
        <v>94</v>
      </c>
      <c r="D5" s="3" t="s">
        <v>23</v>
      </c>
      <c r="E5" s="3" t="s">
        <v>34</v>
      </c>
      <c r="F5" s="3" t="s">
        <v>25</v>
      </c>
      <c r="G5" s="4">
        <v>70000</v>
      </c>
      <c r="H5" s="3" t="s">
        <v>97</v>
      </c>
      <c r="I5" s="3" t="s">
        <v>100</v>
      </c>
      <c r="J5" s="5">
        <v>0.71527777777777779</v>
      </c>
      <c r="K5" s="6">
        <v>0.71250000000000002</v>
      </c>
      <c r="L5" s="5">
        <v>0.54166666666666663</v>
      </c>
      <c r="M5" s="6">
        <v>0.55138888888888882</v>
      </c>
      <c r="N5" s="3" t="s">
        <v>172</v>
      </c>
      <c r="O5" s="3" t="s">
        <v>168</v>
      </c>
      <c r="P5" s="3">
        <v>314</v>
      </c>
      <c r="Q5" s="3">
        <v>633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44901</v>
      </c>
      <c r="B6" s="3" t="s">
        <v>28</v>
      </c>
      <c r="C6" s="3" t="s">
        <v>29</v>
      </c>
      <c r="D6" s="3" t="s">
        <v>23</v>
      </c>
      <c r="E6" s="3" t="s">
        <v>163</v>
      </c>
      <c r="F6" s="3" t="s">
        <v>25</v>
      </c>
      <c r="G6" s="4">
        <v>70000</v>
      </c>
      <c r="H6" s="3" t="s">
        <v>31</v>
      </c>
      <c r="I6" s="3" t="s">
        <v>32</v>
      </c>
      <c r="J6" s="5">
        <v>0.70486111111111116</v>
      </c>
      <c r="K6" s="6">
        <v>0.70694444444444438</v>
      </c>
      <c r="L6" s="5">
        <v>0.6875</v>
      </c>
      <c r="M6" s="6">
        <v>0.67361111111111116</v>
      </c>
      <c r="N6" s="7" t="s">
        <v>164</v>
      </c>
      <c r="O6" s="3" t="s">
        <v>170</v>
      </c>
      <c r="P6" s="3">
        <v>169</v>
      </c>
      <c r="Q6" s="3">
        <v>234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D27" sqref="D27"/>
    </sheetView>
  </sheetViews>
  <sheetFormatPr defaultRowHeight="15" x14ac:dyDescent="0.25"/>
  <cols>
    <col min="1" max="1" width="11.28515625" bestFit="1" customWidth="1"/>
    <col min="2" max="2" width="11" customWidth="1"/>
    <col min="3" max="3" width="15.42578125" customWidth="1"/>
    <col min="5" max="5" width="12.5703125" customWidth="1"/>
    <col min="6" max="6" width="14" customWidth="1"/>
    <col min="7" max="7" width="9.28515625" bestFit="1" customWidth="1"/>
    <col min="10" max="10" width="9.28515625" bestFit="1" customWidth="1"/>
    <col min="12" max="12" width="9.28515625" bestFit="1" customWidth="1"/>
    <col min="17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44899</v>
      </c>
      <c r="B2" s="3" t="s">
        <v>21</v>
      </c>
      <c r="C2" s="3" t="s">
        <v>43</v>
      </c>
      <c r="D2" s="3" t="s">
        <v>23</v>
      </c>
      <c r="E2" s="3" t="s">
        <v>177</v>
      </c>
      <c r="F2" s="3" t="s">
        <v>25</v>
      </c>
      <c r="G2" s="4">
        <v>70000</v>
      </c>
      <c r="H2" s="3" t="s">
        <v>44</v>
      </c>
      <c r="I2" s="3" t="s">
        <v>45</v>
      </c>
      <c r="J2" s="5">
        <v>0.51041666666666663</v>
      </c>
      <c r="K2" s="6">
        <v>0.50277777777777777</v>
      </c>
      <c r="L2" s="5">
        <v>0.34027777777777773</v>
      </c>
      <c r="M2" s="6">
        <v>0.33958333333333335</v>
      </c>
      <c r="N2" s="2" t="s">
        <v>73</v>
      </c>
      <c r="O2" s="2" t="s">
        <v>86</v>
      </c>
      <c r="P2" s="3">
        <v>571</v>
      </c>
      <c r="Q2" s="3">
        <v>549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44899</v>
      </c>
      <c r="B3" s="3" t="s">
        <v>28</v>
      </c>
      <c r="C3" s="3" t="s">
        <v>113</v>
      </c>
      <c r="D3" s="3" t="s">
        <v>114</v>
      </c>
      <c r="E3" s="3" t="s">
        <v>173</v>
      </c>
      <c r="F3" s="3" t="s">
        <v>25</v>
      </c>
      <c r="G3" s="4">
        <v>80000</v>
      </c>
      <c r="H3" s="3" t="s">
        <v>115</v>
      </c>
      <c r="I3" s="3" t="s">
        <v>116</v>
      </c>
      <c r="J3" s="5">
        <v>0.38541666666666669</v>
      </c>
      <c r="K3" s="6">
        <v>0.37638888888888888</v>
      </c>
      <c r="L3" s="5">
        <v>0.40277777777777773</v>
      </c>
      <c r="M3" s="6">
        <v>0.42569444444444443</v>
      </c>
      <c r="N3" s="3" t="s">
        <v>175</v>
      </c>
      <c r="O3" s="3" t="s">
        <v>176</v>
      </c>
      <c r="P3" s="3">
        <v>156</v>
      </c>
      <c r="Q3" s="3">
        <v>168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44899</v>
      </c>
      <c r="B4" s="3" t="s">
        <v>21</v>
      </c>
      <c r="C4" s="3" t="s">
        <v>117</v>
      </c>
      <c r="D4" s="3" t="s">
        <v>23</v>
      </c>
      <c r="E4" s="3" t="s">
        <v>138</v>
      </c>
      <c r="F4" s="3" t="s">
        <v>25</v>
      </c>
      <c r="G4" s="4">
        <v>70000</v>
      </c>
      <c r="H4" s="3" t="s">
        <v>118</v>
      </c>
      <c r="I4" s="3" t="s">
        <v>119</v>
      </c>
      <c r="J4" s="5">
        <v>0.92013888888888884</v>
      </c>
      <c r="K4" s="6">
        <v>0.89236111111111116</v>
      </c>
      <c r="L4" s="5">
        <v>0.68055555555555547</v>
      </c>
      <c r="M4" s="6">
        <v>0.67291666666666661</v>
      </c>
      <c r="N4" s="3" t="s">
        <v>179</v>
      </c>
      <c r="O4" s="3" t="str">
        <f>O3</f>
        <v>53+0 INF</v>
      </c>
      <c r="P4" s="3">
        <v>122</v>
      </c>
      <c r="Q4" s="3">
        <v>117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44899</v>
      </c>
      <c r="B5" s="3" t="s">
        <v>21</v>
      </c>
      <c r="C5" s="3" t="s">
        <v>37</v>
      </c>
      <c r="D5" s="3" t="s">
        <v>23</v>
      </c>
      <c r="E5" s="3" t="s">
        <v>174</v>
      </c>
      <c r="F5" s="3" t="s">
        <v>25</v>
      </c>
      <c r="G5" s="4">
        <v>70000</v>
      </c>
      <c r="H5" s="3" t="s">
        <v>38</v>
      </c>
      <c r="I5" s="3" t="s">
        <v>39</v>
      </c>
      <c r="J5" s="5">
        <v>0.86111111111111116</v>
      </c>
      <c r="K5" s="6">
        <v>0.8833333333333333</v>
      </c>
      <c r="L5" s="5">
        <v>0.70486111111111116</v>
      </c>
      <c r="M5" s="6">
        <v>0.70208333333333339</v>
      </c>
      <c r="N5" s="3" t="s">
        <v>180</v>
      </c>
      <c r="O5" s="3" t="s">
        <v>178</v>
      </c>
      <c r="P5" s="3">
        <v>409</v>
      </c>
      <c r="Q5" s="3">
        <v>581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workbookViewId="0">
      <selection activeCell="E24" sqref="E24"/>
    </sheetView>
  </sheetViews>
  <sheetFormatPr defaultRowHeight="15" x14ac:dyDescent="0.25"/>
  <cols>
    <col min="1" max="1" width="14" bestFit="1" customWidth="1"/>
    <col min="3" max="3" width="14.42578125" customWidth="1"/>
    <col min="6" max="6" width="12.7109375" customWidth="1"/>
    <col min="7" max="7" width="9.28515625" bestFit="1" customWidth="1"/>
    <col min="10" max="13" width="9.28515625" bestFit="1" customWidth="1"/>
    <col min="16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44903</v>
      </c>
      <c r="B2" s="3" t="s">
        <v>21</v>
      </c>
      <c r="C2" s="3" t="s">
        <v>22</v>
      </c>
      <c r="D2" s="3" t="s">
        <v>23</v>
      </c>
      <c r="E2" s="3" t="s">
        <v>181</v>
      </c>
      <c r="F2" s="1" t="s">
        <v>25</v>
      </c>
      <c r="G2" s="4">
        <v>70000</v>
      </c>
      <c r="H2" s="3" t="s">
        <v>26</v>
      </c>
      <c r="I2" s="3" t="s">
        <v>27</v>
      </c>
      <c r="J2" s="5">
        <v>0.4826388888888889</v>
      </c>
      <c r="K2" s="6">
        <v>0.48541666666666666</v>
      </c>
      <c r="L2" s="5">
        <v>0.27777777777777779</v>
      </c>
      <c r="M2" s="6">
        <v>0.28611111111111115</v>
      </c>
      <c r="N2" s="3" t="s">
        <v>187</v>
      </c>
      <c r="O2" s="3" t="s">
        <v>184</v>
      </c>
      <c r="P2" s="3">
        <v>595</v>
      </c>
      <c r="Q2" s="3">
        <v>281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44903</v>
      </c>
      <c r="B3" s="3" t="s">
        <v>28</v>
      </c>
      <c r="C3" s="3" t="s">
        <v>29</v>
      </c>
      <c r="D3" s="3" t="s">
        <v>30</v>
      </c>
      <c r="E3" s="3" t="s">
        <v>182</v>
      </c>
      <c r="F3" s="3" t="s">
        <v>25</v>
      </c>
      <c r="G3" s="4">
        <v>70000</v>
      </c>
      <c r="H3" s="3" t="s">
        <v>31</v>
      </c>
      <c r="I3" s="3" t="s">
        <v>32</v>
      </c>
      <c r="J3" s="5">
        <v>0.30208333333333331</v>
      </c>
      <c r="K3" s="6">
        <v>0.2986111111111111</v>
      </c>
      <c r="L3" s="5">
        <v>0.31944444444444448</v>
      </c>
      <c r="M3" s="6">
        <v>0.33055555555555555</v>
      </c>
      <c r="N3" s="7" t="s">
        <v>185</v>
      </c>
      <c r="O3" s="3" t="s">
        <v>168</v>
      </c>
      <c r="P3" s="3">
        <v>52</v>
      </c>
      <c r="Q3" s="3">
        <v>273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44903</v>
      </c>
      <c r="B4" s="3" t="s">
        <v>21</v>
      </c>
      <c r="C4" s="3" t="s">
        <v>33</v>
      </c>
      <c r="D4" s="3" t="s">
        <v>23</v>
      </c>
      <c r="E4" s="3" t="s">
        <v>183</v>
      </c>
      <c r="F4" s="3" t="s">
        <v>25</v>
      </c>
      <c r="G4" s="4">
        <v>70000</v>
      </c>
      <c r="H4" s="3" t="s">
        <v>35</v>
      </c>
      <c r="I4" s="3" t="s">
        <v>36</v>
      </c>
      <c r="J4" s="5">
        <v>0.4861111111111111</v>
      </c>
      <c r="K4" s="6">
        <v>0.48125000000000001</v>
      </c>
      <c r="L4" s="5">
        <v>0.3298611111111111</v>
      </c>
      <c r="M4" s="6">
        <v>0.3354166666666667</v>
      </c>
      <c r="N4" s="3" t="s">
        <v>188</v>
      </c>
      <c r="O4" s="3" t="s">
        <v>186</v>
      </c>
      <c r="P4" s="3">
        <v>214</v>
      </c>
      <c r="Q4" s="3">
        <v>381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44903</v>
      </c>
      <c r="B5" s="3" t="s">
        <v>21</v>
      </c>
      <c r="C5" s="3" t="s">
        <v>37</v>
      </c>
      <c r="D5" s="3" t="s">
        <v>23</v>
      </c>
      <c r="E5" s="3" t="s">
        <v>183</v>
      </c>
      <c r="F5" s="3" t="s">
        <v>25</v>
      </c>
      <c r="G5" s="4">
        <v>70000</v>
      </c>
      <c r="H5" s="3" t="s">
        <v>38</v>
      </c>
      <c r="I5" s="3" t="s">
        <v>39</v>
      </c>
      <c r="J5" s="5">
        <v>0.66666666666666663</v>
      </c>
      <c r="K5" s="6">
        <v>0.66041666666666665</v>
      </c>
      <c r="L5" s="5">
        <v>0.51041666666666663</v>
      </c>
      <c r="M5" s="6">
        <v>0.52361111111111114</v>
      </c>
      <c r="N5" s="3" t="s">
        <v>190</v>
      </c>
      <c r="O5" s="3" t="s">
        <v>189</v>
      </c>
      <c r="P5" s="3">
        <v>555</v>
      </c>
      <c r="Q5" s="3">
        <v>324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44903</v>
      </c>
      <c r="B6" s="3" t="s">
        <v>21</v>
      </c>
      <c r="C6" s="3" t="s">
        <v>40</v>
      </c>
      <c r="D6" s="3" t="s">
        <v>23</v>
      </c>
      <c r="E6" s="3" t="s">
        <v>183</v>
      </c>
      <c r="F6" s="3" t="s">
        <v>25</v>
      </c>
      <c r="G6" s="4">
        <v>70000</v>
      </c>
      <c r="H6" s="3" t="s">
        <v>41</v>
      </c>
      <c r="I6" s="3" t="s">
        <v>42</v>
      </c>
      <c r="J6" s="5">
        <v>0.91319444444444453</v>
      </c>
      <c r="K6" s="6">
        <v>0.91666666666666663</v>
      </c>
      <c r="L6" s="5">
        <v>0.70486111111111116</v>
      </c>
      <c r="M6" s="6">
        <v>0.7055555555555556</v>
      </c>
      <c r="N6" s="3" t="s">
        <v>73</v>
      </c>
      <c r="O6" s="3" t="s">
        <v>191</v>
      </c>
      <c r="P6" s="3">
        <v>777</v>
      </c>
      <c r="Q6" s="3">
        <v>1090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44903</v>
      </c>
      <c r="B7" s="3" t="s">
        <v>21</v>
      </c>
      <c r="C7" s="3" t="s">
        <v>43</v>
      </c>
      <c r="D7" s="3" t="s">
        <v>23</v>
      </c>
      <c r="E7" s="3" t="s">
        <v>181</v>
      </c>
      <c r="F7" s="3" t="s">
        <v>25</v>
      </c>
      <c r="G7" s="4">
        <v>70000</v>
      </c>
      <c r="H7" s="3" t="s">
        <v>44</v>
      </c>
      <c r="I7" s="3" t="s">
        <v>45</v>
      </c>
      <c r="J7" s="5">
        <v>0.88888888888888884</v>
      </c>
      <c r="K7" s="10" t="s">
        <v>137</v>
      </c>
      <c r="L7" s="5">
        <v>0.71875</v>
      </c>
      <c r="M7" s="6">
        <v>0.72013888888888899</v>
      </c>
      <c r="N7" s="12" t="s">
        <v>137</v>
      </c>
      <c r="O7" s="3" t="s">
        <v>192</v>
      </c>
      <c r="P7" s="12" t="s">
        <v>137</v>
      </c>
      <c r="Q7" s="3">
        <v>576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44903</v>
      </c>
      <c r="B8" s="3" t="s">
        <v>21</v>
      </c>
      <c r="C8" s="3" t="s">
        <v>193</v>
      </c>
      <c r="D8" s="3" t="s">
        <v>23</v>
      </c>
      <c r="E8" s="3" t="s">
        <v>181</v>
      </c>
      <c r="F8" s="3" t="s">
        <v>122</v>
      </c>
      <c r="G8" s="4">
        <v>70000</v>
      </c>
      <c r="H8" s="3" t="s">
        <v>44</v>
      </c>
      <c r="I8" s="3" t="s">
        <v>124</v>
      </c>
      <c r="J8" s="5">
        <v>0.97222222222222221</v>
      </c>
      <c r="K8" s="6">
        <v>0.96527777777777779</v>
      </c>
      <c r="L8" s="3" t="s">
        <v>124</v>
      </c>
      <c r="M8" s="3" t="s">
        <v>124</v>
      </c>
      <c r="N8" s="3" t="s">
        <v>124</v>
      </c>
      <c r="O8" s="3" t="s">
        <v>124</v>
      </c>
      <c r="P8" s="3" t="s">
        <v>124</v>
      </c>
      <c r="Q8" s="3" t="s">
        <v>124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C7" sqref="C7:M7"/>
    </sheetView>
  </sheetViews>
  <sheetFormatPr defaultRowHeight="15" x14ac:dyDescent="0.25"/>
  <cols>
    <col min="1" max="1" width="12.5703125" customWidth="1"/>
    <col min="2" max="2" width="10.140625" customWidth="1"/>
    <col min="3" max="3" width="15" customWidth="1"/>
    <col min="6" max="6" width="12.42578125" customWidth="1"/>
    <col min="7" max="7" width="9.85546875" bestFit="1" customWidth="1"/>
    <col min="10" max="13" width="9.42578125" bestFit="1" customWidth="1"/>
    <col min="16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44904</v>
      </c>
      <c r="B2" s="3" t="s">
        <v>21</v>
      </c>
      <c r="C2" s="3" t="s">
        <v>59</v>
      </c>
      <c r="D2" s="3" t="s">
        <v>23</v>
      </c>
      <c r="E2" s="3" t="s">
        <v>138</v>
      </c>
      <c r="F2" s="1" t="s">
        <v>25</v>
      </c>
      <c r="G2" s="4">
        <v>70000</v>
      </c>
      <c r="H2" s="3" t="s">
        <v>64</v>
      </c>
      <c r="I2" s="3" t="s">
        <v>69</v>
      </c>
      <c r="J2" s="5">
        <v>0.52430555555555558</v>
      </c>
      <c r="K2" s="6">
        <v>0.53125</v>
      </c>
      <c r="L2" s="5">
        <v>0.27777777777777779</v>
      </c>
      <c r="M2" s="6">
        <v>0.28541666666666665</v>
      </c>
      <c r="N2" s="3" t="s">
        <v>197</v>
      </c>
      <c r="O2" s="3" t="s">
        <v>195</v>
      </c>
      <c r="P2" s="3">
        <v>538</v>
      </c>
      <c r="Q2" s="3">
        <v>459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44904</v>
      </c>
      <c r="B3" s="3" t="s">
        <v>21</v>
      </c>
      <c r="C3" s="3" t="s">
        <v>60</v>
      </c>
      <c r="D3" s="3" t="s">
        <v>23</v>
      </c>
      <c r="E3" s="3" t="s">
        <v>174</v>
      </c>
      <c r="F3" s="3" t="s">
        <v>25</v>
      </c>
      <c r="G3" s="4">
        <v>70000</v>
      </c>
      <c r="H3" s="3" t="s">
        <v>65</v>
      </c>
      <c r="I3" s="3" t="s">
        <v>70</v>
      </c>
      <c r="J3" s="5">
        <v>0.4826388888888889</v>
      </c>
      <c r="K3" s="6">
        <v>0.48055555555555557</v>
      </c>
      <c r="L3" s="5">
        <v>0.28819444444444448</v>
      </c>
      <c r="M3" s="6">
        <v>0.29583333333333334</v>
      </c>
      <c r="N3" s="3" t="s">
        <v>106</v>
      </c>
      <c r="O3" s="3" t="s">
        <v>196</v>
      </c>
      <c r="P3" s="3">
        <v>689</v>
      </c>
      <c r="Q3" s="3">
        <v>441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44904</v>
      </c>
      <c r="B4" s="3" t="s">
        <v>21</v>
      </c>
      <c r="C4" s="3" t="s">
        <v>61</v>
      </c>
      <c r="D4" s="3" t="s">
        <v>23</v>
      </c>
      <c r="E4" s="3" t="s">
        <v>174</v>
      </c>
      <c r="F4" s="3" t="s">
        <v>25</v>
      </c>
      <c r="G4" s="4">
        <v>70000</v>
      </c>
      <c r="H4" s="3" t="s">
        <v>66</v>
      </c>
      <c r="I4" s="3" t="s">
        <v>66</v>
      </c>
      <c r="J4" s="5">
        <v>0.68055555555555547</v>
      </c>
      <c r="K4" s="6">
        <v>0.66736111111111107</v>
      </c>
      <c r="L4" s="5">
        <v>0.50694444444444442</v>
      </c>
      <c r="M4" s="6">
        <v>0.51666666666666672</v>
      </c>
      <c r="N4" s="3" t="s">
        <v>205</v>
      </c>
      <c r="O4" s="3" t="s">
        <v>166</v>
      </c>
      <c r="P4" s="3">
        <v>297</v>
      </c>
      <c r="Q4" s="3">
        <v>748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44904</v>
      </c>
      <c r="B5" s="3" t="s">
        <v>21</v>
      </c>
      <c r="C5" s="3" t="s">
        <v>62</v>
      </c>
      <c r="D5" s="3" t="s">
        <v>23</v>
      </c>
      <c r="E5" s="3" t="s">
        <v>194</v>
      </c>
      <c r="F5" s="3" t="s">
        <v>25</v>
      </c>
      <c r="G5" s="4">
        <v>70000</v>
      </c>
      <c r="H5" s="3" t="s">
        <v>67</v>
      </c>
      <c r="I5" s="3" t="s">
        <v>71</v>
      </c>
      <c r="J5" s="5">
        <v>0.66666666666666663</v>
      </c>
      <c r="K5" s="6">
        <v>0.67361111111111116</v>
      </c>
      <c r="L5" s="5">
        <v>0.54513888888888895</v>
      </c>
      <c r="M5" s="6">
        <v>0.56388888888888888</v>
      </c>
      <c r="N5" s="3" t="s">
        <v>52</v>
      </c>
      <c r="O5" s="3" t="s">
        <v>198</v>
      </c>
      <c r="P5" s="3">
        <v>328</v>
      </c>
      <c r="Q5" s="3">
        <v>338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44904</v>
      </c>
      <c r="B6" s="3" t="s">
        <v>21</v>
      </c>
      <c r="C6" s="3" t="s">
        <v>37</v>
      </c>
      <c r="D6" s="3" t="s">
        <v>23</v>
      </c>
      <c r="E6" s="3" t="s">
        <v>174</v>
      </c>
      <c r="F6" s="3" t="s">
        <v>25</v>
      </c>
      <c r="G6" s="4">
        <v>70000</v>
      </c>
      <c r="H6" s="3" t="s">
        <v>67</v>
      </c>
      <c r="I6" s="3" t="s">
        <v>71</v>
      </c>
      <c r="J6" s="5">
        <v>0.86111111111111116</v>
      </c>
      <c r="K6" s="6">
        <v>0.87777777777777777</v>
      </c>
      <c r="L6" s="5">
        <v>0.70486111111111116</v>
      </c>
      <c r="M6" s="6">
        <v>0.73333333333333339</v>
      </c>
      <c r="N6" s="3" t="s">
        <v>214</v>
      </c>
      <c r="O6" s="3" t="s">
        <v>215</v>
      </c>
      <c r="P6" s="3">
        <v>518</v>
      </c>
      <c r="Q6" s="3">
        <v>438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44904</v>
      </c>
      <c r="B7" s="3" t="s">
        <v>21</v>
      </c>
      <c r="C7" s="3" t="s">
        <v>63</v>
      </c>
      <c r="D7" s="3" t="s">
        <v>23</v>
      </c>
      <c r="E7" s="3" t="s">
        <v>194</v>
      </c>
      <c r="F7" s="3" t="s">
        <v>25</v>
      </c>
      <c r="G7" s="4">
        <v>70000</v>
      </c>
      <c r="H7" s="3" t="s">
        <v>38</v>
      </c>
      <c r="I7" s="3" t="s">
        <v>39</v>
      </c>
      <c r="J7" s="5">
        <v>0.92708333333333337</v>
      </c>
      <c r="K7" s="6">
        <v>0.92499999999999993</v>
      </c>
      <c r="L7" s="5">
        <v>0.74305555555555547</v>
      </c>
      <c r="M7" s="6">
        <v>0.75555555555555554</v>
      </c>
      <c r="N7" s="3" t="s">
        <v>227</v>
      </c>
      <c r="O7" s="3" t="s">
        <v>216</v>
      </c>
      <c r="P7" s="3">
        <v>800</v>
      </c>
      <c r="Q7" s="3">
        <v>764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44904</v>
      </c>
      <c r="B8" s="3" t="s">
        <v>112</v>
      </c>
      <c r="C8" s="3" t="s">
        <v>75</v>
      </c>
      <c r="D8" s="3" t="s">
        <v>76</v>
      </c>
      <c r="E8" s="3" t="s">
        <v>228</v>
      </c>
      <c r="F8" s="3" t="s">
        <v>25</v>
      </c>
      <c r="G8" s="4">
        <v>80000</v>
      </c>
      <c r="H8" s="3" t="s">
        <v>78</v>
      </c>
      <c r="I8" s="3" t="s">
        <v>79</v>
      </c>
      <c r="J8" s="5">
        <v>0.77777777777777779</v>
      </c>
      <c r="K8" s="6">
        <v>0.80625000000000002</v>
      </c>
      <c r="L8" s="5">
        <v>0.80208333333333337</v>
      </c>
      <c r="M8" s="6">
        <v>0.84444444444444444</v>
      </c>
      <c r="N8" s="3" t="s">
        <v>212</v>
      </c>
      <c r="O8" s="3" t="s">
        <v>224</v>
      </c>
      <c r="P8" s="3">
        <v>312</v>
      </c>
      <c r="Q8" s="3">
        <v>273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44904</v>
      </c>
      <c r="B9" s="3" t="s">
        <v>199</v>
      </c>
      <c r="C9" s="3" t="s">
        <v>200</v>
      </c>
      <c r="D9" s="3" t="s">
        <v>201</v>
      </c>
      <c r="E9" s="3" t="s">
        <v>202</v>
      </c>
      <c r="F9" s="3" t="s">
        <v>203</v>
      </c>
      <c r="G9" s="4">
        <v>93000</v>
      </c>
      <c r="H9" s="3" t="s">
        <v>204</v>
      </c>
      <c r="I9" s="3" t="s">
        <v>229</v>
      </c>
      <c r="J9" s="5">
        <v>0.66666666666666663</v>
      </c>
      <c r="K9" s="6">
        <v>0.66388888888888886</v>
      </c>
      <c r="L9" s="5">
        <v>0.8125</v>
      </c>
      <c r="M9" s="6">
        <v>0.85902777777777783</v>
      </c>
      <c r="N9" s="3" t="s">
        <v>206</v>
      </c>
      <c r="O9" s="3" t="s">
        <v>225</v>
      </c>
      <c r="P9" s="3">
        <v>1262</v>
      </c>
      <c r="Q9" s="3">
        <v>499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5">
      <c r="A10" s="2">
        <v>44904</v>
      </c>
      <c r="B10" s="3" t="s">
        <v>112</v>
      </c>
      <c r="C10" s="3" t="s">
        <v>213</v>
      </c>
      <c r="D10" s="3" t="s">
        <v>208</v>
      </c>
      <c r="E10" s="3" t="s">
        <v>207</v>
      </c>
      <c r="F10" s="3" t="s">
        <v>203</v>
      </c>
      <c r="G10" s="4">
        <v>80000</v>
      </c>
      <c r="H10" s="3" t="s">
        <v>219</v>
      </c>
      <c r="I10" s="3" t="s">
        <v>222</v>
      </c>
      <c r="J10" s="5">
        <v>0.71875</v>
      </c>
      <c r="K10" s="6">
        <v>0.72013888888888899</v>
      </c>
      <c r="L10" s="5">
        <v>0.79166666666666663</v>
      </c>
      <c r="M10" s="6">
        <v>0.81041666666666667</v>
      </c>
      <c r="N10" s="3" t="s">
        <v>189</v>
      </c>
      <c r="O10" s="3">
        <v>0</v>
      </c>
      <c r="P10" s="3">
        <v>338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  <row r="11" spans="1:21" x14ac:dyDescent="0.25">
      <c r="A11" s="2">
        <v>44904</v>
      </c>
      <c r="B11" s="3" t="s">
        <v>112</v>
      </c>
      <c r="C11" s="3" t="s">
        <v>221</v>
      </c>
      <c r="D11" s="3" t="s">
        <v>30</v>
      </c>
      <c r="E11" s="3" t="s">
        <v>210</v>
      </c>
      <c r="F11" s="3" t="s">
        <v>203</v>
      </c>
      <c r="G11" s="3">
        <v>80000</v>
      </c>
      <c r="H11" s="3" t="s">
        <v>220</v>
      </c>
      <c r="I11" s="3" t="s">
        <v>223</v>
      </c>
      <c r="J11" s="5">
        <v>0.75</v>
      </c>
      <c r="K11" s="6">
        <v>0.74930555555555556</v>
      </c>
      <c r="L11" s="5">
        <v>0.91666666666666663</v>
      </c>
      <c r="M11" s="6">
        <v>0.94305555555555554</v>
      </c>
      <c r="N11" s="3" t="s">
        <v>226</v>
      </c>
      <c r="O11" s="3" t="s">
        <v>231</v>
      </c>
      <c r="P11" s="3">
        <v>117</v>
      </c>
      <c r="Q11" s="3">
        <v>104</v>
      </c>
      <c r="R11" s="3"/>
      <c r="S11" s="3"/>
      <c r="T11" s="3"/>
      <c r="U11" s="3"/>
    </row>
    <row r="12" spans="1:21" x14ac:dyDescent="0.25">
      <c r="A12" s="2">
        <v>44904</v>
      </c>
      <c r="B12" s="3" t="s">
        <v>21</v>
      </c>
      <c r="C12" s="3" t="s">
        <v>209</v>
      </c>
      <c r="D12" s="3" t="s">
        <v>201</v>
      </c>
      <c r="E12" s="3" t="s">
        <v>230</v>
      </c>
      <c r="F12" s="3" t="s">
        <v>203</v>
      </c>
      <c r="G12" s="3">
        <v>90500</v>
      </c>
      <c r="H12" s="3" t="s">
        <v>211</v>
      </c>
      <c r="I12" s="3" t="s">
        <v>217</v>
      </c>
      <c r="J12" s="5">
        <v>0.72916666666666663</v>
      </c>
      <c r="K12" s="6">
        <v>0.73541666666666661</v>
      </c>
      <c r="L12" s="5" t="s">
        <v>217</v>
      </c>
      <c r="M12" s="3" t="s">
        <v>217</v>
      </c>
      <c r="N12" s="3" t="s">
        <v>218</v>
      </c>
      <c r="O12" s="3" t="s">
        <v>124</v>
      </c>
      <c r="P12" s="3">
        <v>3112</v>
      </c>
      <c r="Q12" s="3" t="s">
        <v>124</v>
      </c>
      <c r="R12" s="3">
        <v>0</v>
      </c>
      <c r="S12" s="3">
        <v>0</v>
      </c>
      <c r="T12" s="3">
        <v>0</v>
      </c>
      <c r="U12" s="3">
        <v>0</v>
      </c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workbookViewId="0">
      <selection activeCell="A7" sqref="A7:U7"/>
    </sheetView>
  </sheetViews>
  <sheetFormatPr defaultRowHeight="15" x14ac:dyDescent="0.25"/>
  <cols>
    <col min="1" max="1" width="11.28515625" bestFit="1" customWidth="1"/>
    <col min="3" max="3" width="15.28515625" customWidth="1"/>
    <col min="4" max="4" width="8.140625" customWidth="1"/>
    <col min="6" max="6" width="12.5703125" customWidth="1"/>
    <col min="7" max="7" width="9.28515625" bestFit="1" customWidth="1"/>
    <col min="10" max="10" width="9.28515625" bestFit="1" customWidth="1"/>
    <col min="11" max="11" width="12.5703125" customWidth="1"/>
    <col min="12" max="13" width="9.28515625" bestFit="1" customWidth="1"/>
    <col min="14" max="14" width="13.42578125" customWidth="1"/>
    <col min="16" max="16" width="13.140625" customWidth="1"/>
    <col min="17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x14ac:dyDescent="0.25">
      <c r="A2" s="2">
        <v>44905</v>
      </c>
      <c r="B2" s="3" t="s">
        <v>21</v>
      </c>
      <c r="C2" s="3" t="s">
        <v>22</v>
      </c>
      <c r="D2" s="3" t="s">
        <v>23</v>
      </c>
      <c r="E2" s="3" t="s">
        <v>174</v>
      </c>
      <c r="F2" s="1" t="s">
        <v>25</v>
      </c>
      <c r="G2" s="4">
        <v>70000</v>
      </c>
      <c r="H2" s="3" t="s">
        <v>26</v>
      </c>
      <c r="I2" s="3" t="s">
        <v>27</v>
      </c>
      <c r="J2" s="5">
        <v>0.4826388888888889</v>
      </c>
      <c r="K2" s="6">
        <v>0.47569444444444442</v>
      </c>
      <c r="L2" s="5">
        <v>0.27777777777777779</v>
      </c>
      <c r="M2" s="6">
        <v>0.2902777777777778</v>
      </c>
      <c r="N2" s="3" t="s">
        <v>239</v>
      </c>
      <c r="O2" s="3" t="s">
        <v>135</v>
      </c>
      <c r="P2" s="3">
        <v>813</v>
      </c>
      <c r="Q2" s="3">
        <v>794</v>
      </c>
      <c r="R2" s="3">
        <v>0</v>
      </c>
      <c r="S2" s="3">
        <v>0</v>
      </c>
      <c r="T2" s="3">
        <v>0</v>
      </c>
      <c r="U2" s="3">
        <v>0</v>
      </c>
    </row>
    <row r="3" spans="1:22" x14ac:dyDescent="0.25">
      <c r="A3" s="2">
        <v>44905</v>
      </c>
      <c r="B3" s="3" t="s">
        <v>21</v>
      </c>
      <c r="C3" s="3" t="s">
        <v>92</v>
      </c>
      <c r="D3" s="3" t="s">
        <v>23</v>
      </c>
      <c r="E3" s="3" t="s">
        <v>194</v>
      </c>
      <c r="F3" s="3" t="s">
        <v>25</v>
      </c>
      <c r="G3" s="4">
        <v>70000</v>
      </c>
      <c r="H3" s="3" t="s">
        <v>95</v>
      </c>
      <c r="I3" s="3" t="s">
        <v>98</v>
      </c>
      <c r="J3" s="5">
        <v>0.51041666666666663</v>
      </c>
      <c r="K3" s="6">
        <v>0.52152777777777781</v>
      </c>
      <c r="L3" s="5">
        <v>0.30555555555555552</v>
      </c>
      <c r="M3" s="6">
        <v>0.31111111111111112</v>
      </c>
      <c r="N3" s="3" t="s">
        <v>240</v>
      </c>
      <c r="O3" s="3" t="s">
        <v>136</v>
      </c>
      <c r="P3" s="3">
        <v>644</v>
      </c>
      <c r="Q3" s="3">
        <v>908</v>
      </c>
      <c r="R3" s="3">
        <v>0</v>
      </c>
      <c r="S3" s="3">
        <v>0</v>
      </c>
      <c r="T3" s="3">
        <v>0</v>
      </c>
      <c r="U3" s="3">
        <v>0</v>
      </c>
    </row>
    <row r="4" spans="1:22" x14ac:dyDescent="0.25">
      <c r="A4" s="2">
        <v>44905</v>
      </c>
      <c r="B4" s="3" t="s">
        <v>21</v>
      </c>
      <c r="C4" s="3" t="s">
        <v>93</v>
      </c>
      <c r="D4" s="3" t="s">
        <v>23</v>
      </c>
      <c r="E4" s="3" t="s">
        <v>174</v>
      </c>
      <c r="F4" s="3" t="s">
        <v>25</v>
      </c>
      <c r="G4" s="4">
        <v>70000</v>
      </c>
      <c r="H4" s="3" t="s">
        <v>96</v>
      </c>
      <c r="I4" s="3" t="s">
        <v>99</v>
      </c>
      <c r="J4" s="5">
        <v>0.67708333333333337</v>
      </c>
      <c r="K4" s="6">
        <v>0.71319444444444446</v>
      </c>
      <c r="L4" s="5">
        <v>0.52430555555555558</v>
      </c>
      <c r="M4" s="6">
        <v>0.66041666666666665</v>
      </c>
      <c r="N4" s="3" t="s">
        <v>243</v>
      </c>
      <c r="O4" s="3" t="s">
        <v>237</v>
      </c>
      <c r="P4" s="3">
        <v>642</v>
      </c>
      <c r="Q4" s="3">
        <v>491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2">
        <v>44905</v>
      </c>
      <c r="B5" s="3" t="s">
        <v>21</v>
      </c>
      <c r="C5" s="3" t="s">
        <v>94</v>
      </c>
      <c r="D5" s="3" t="s">
        <v>23</v>
      </c>
      <c r="E5" s="3" t="s">
        <v>194</v>
      </c>
      <c r="F5" s="3" t="s">
        <v>25</v>
      </c>
      <c r="G5" s="4">
        <v>70000</v>
      </c>
      <c r="H5" s="3" t="s">
        <v>97</v>
      </c>
      <c r="I5" s="3" t="s">
        <v>100</v>
      </c>
      <c r="J5" s="5">
        <v>0.71527777777777779</v>
      </c>
      <c r="K5" s="6">
        <v>0.74236111111111114</v>
      </c>
      <c r="L5" s="5">
        <v>0.54166666666666663</v>
      </c>
      <c r="M5" s="6">
        <v>0.56180555555555556</v>
      </c>
      <c r="N5" s="3" t="s">
        <v>238</v>
      </c>
      <c r="O5" s="3" t="s">
        <v>238</v>
      </c>
      <c r="P5" s="3">
        <v>740</v>
      </c>
      <c r="Q5" s="3">
        <v>601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">
        <v>44905</v>
      </c>
      <c r="B6" s="3" t="s">
        <v>21</v>
      </c>
      <c r="C6" s="3" t="s">
        <v>43</v>
      </c>
      <c r="D6" s="3" t="s">
        <v>23</v>
      </c>
      <c r="E6" s="3" t="s">
        <v>174</v>
      </c>
      <c r="F6" s="3" t="s">
        <v>25</v>
      </c>
      <c r="G6" s="4">
        <v>70000</v>
      </c>
      <c r="H6" s="3" t="s">
        <v>68</v>
      </c>
      <c r="I6" s="3" t="s">
        <v>45</v>
      </c>
      <c r="J6" s="5">
        <v>0.88888888888888884</v>
      </c>
      <c r="K6" s="6">
        <v>0.87847222222222221</v>
      </c>
      <c r="L6" s="5">
        <v>0.71875</v>
      </c>
      <c r="M6" s="6">
        <v>0.75277777777777777</v>
      </c>
      <c r="N6" s="3" t="s">
        <v>246</v>
      </c>
      <c r="O6" s="3" t="s">
        <v>245</v>
      </c>
      <c r="P6" s="3">
        <v>578</v>
      </c>
      <c r="Q6" s="3">
        <v>625</v>
      </c>
      <c r="R6" s="3">
        <v>0</v>
      </c>
      <c r="S6" s="3">
        <v>0</v>
      </c>
      <c r="T6" s="3">
        <v>0</v>
      </c>
      <c r="U6" s="3">
        <v>0</v>
      </c>
    </row>
    <row r="7" spans="1:22" x14ac:dyDescent="0.25">
      <c r="A7" s="2">
        <v>44905</v>
      </c>
      <c r="B7" s="3" t="s">
        <v>28</v>
      </c>
      <c r="C7" s="3" t="s">
        <v>29</v>
      </c>
      <c r="D7" s="3" t="s">
        <v>23</v>
      </c>
      <c r="E7" s="3" t="s">
        <v>241</v>
      </c>
      <c r="F7" s="3" t="s">
        <v>25</v>
      </c>
      <c r="G7" s="3">
        <v>70000</v>
      </c>
      <c r="H7" s="3" t="s">
        <v>31</v>
      </c>
      <c r="I7" s="3" t="s">
        <v>32</v>
      </c>
      <c r="J7" s="5">
        <v>0.67361111111111116</v>
      </c>
      <c r="K7" s="6">
        <v>0.67083333333333339</v>
      </c>
      <c r="L7" s="5">
        <v>0.69097222222222221</v>
      </c>
      <c r="M7" s="6">
        <v>0.69444444444444453</v>
      </c>
      <c r="N7" s="3" t="s">
        <v>242</v>
      </c>
      <c r="O7" s="3" t="s">
        <v>244</v>
      </c>
      <c r="P7" s="3">
        <v>273</v>
      </c>
      <c r="Q7" s="3">
        <v>260</v>
      </c>
      <c r="R7" s="3">
        <v>0</v>
      </c>
      <c r="S7" s="3">
        <v>0</v>
      </c>
      <c r="T7" s="3">
        <v>0</v>
      </c>
      <c r="U7" s="3">
        <v>0</v>
      </c>
    </row>
    <row r="8" spans="1:22" x14ac:dyDescent="0.25">
      <c r="A8" s="2">
        <v>44905</v>
      </c>
      <c r="B8" s="3" t="s">
        <v>21</v>
      </c>
      <c r="C8" s="3" t="s">
        <v>232</v>
      </c>
      <c r="D8" s="3" t="s">
        <v>234</v>
      </c>
      <c r="E8" s="3" t="s">
        <v>235</v>
      </c>
      <c r="F8" s="3" t="s">
        <v>233</v>
      </c>
      <c r="G8" s="3">
        <v>83000</v>
      </c>
      <c r="H8" s="18"/>
      <c r="I8" s="3" t="s">
        <v>236</v>
      </c>
      <c r="J8" s="19"/>
      <c r="K8" s="19"/>
      <c r="L8" s="6">
        <v>0.27083333333333331</v>
      </c>
      <c r="M8" s="6">
        <v>0.28819444444444448</v>
      </c>
      <c r="N8" s="3">
        <v>0</v>
      </c>
      <c r="O8" s="19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U2"/>
    </sheetView>
  </sheetViews>
  <sheetFormatPr defaultRowHeight="15" x14ac:dyDescent="0.25"/>
  <cols>
    <col min="3" max="3" width="16" customWidth="1"/>
    <col min="6" max="6" width="14" customWidth="1"/>
    <col min="15" max="15" width="9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44906</v>
      </c>
      <c r="B2" s="3" t="s">
        <v>21</v>
      </c>
      <c r="C2" s="3" t="s">
        <v>22</v>
      </c>
      <c r="D2" s="3" t="s">
        <v>23</v>
      </c>
      <c r="E2" s="3" t="s">
        <v>194</v>
      </c>
      <c r="F2" s="1" t="s">
        <v>25</v>
      </c>
      <c r="G2" s="4">
        <v>70000</v>
      </c>
      <c r="H2" s="3" t="s">
        <v>26</v>
      </c>
      <c r="I2" s="3" t="s">
        <v>27</v>
      </c>
      <c r="J2" s="5">
        <v>0.4826388888888889</v>
      </c>
      <c r="K2" s="6">
        <v>0.48333333333333334</v>
      </c>
      <c r="L2" s="5">
        <v>0.27777777777777779</v>
      </c>
      <c r="M2" s="6">
        <v>0.28263888888888888</v>
      </c>
      <c r="N2" s="2" t="s">
        <v>250</v>
      </c>
      <c r="O2" s="2" t="s">
        <v>164</v>
      </c>
      <c r="P2" s="3">
        <v>876</v>
      </c>
      <c r="Q2" s="3">
        <v>790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44906</v>
      </c>
      <c r="B3" s="3" t="s">
        <v>21</v>
      </c>
      <c r="C3" s="3" t="s">
        <v>33</v>
      </c>
      <c r="D3" s="3" t="s">
        <v>23</v>
      </c>
      <c r="E3" s="3" t="s">
        <v>174</v>
      </c>
      <c r="F3" s="1" t="s">
        <v>25</v>
      </c>
      <c r="G3" s="4">
        <v>70000</v>
      </c>
      <c r="H3" s="3" t="s">
        <v>35</v>
      </c>
      <c r="I3" s="3" t="s">
        <v>36</v>
      </c>
      <c r="J3" s="5">
        <v>0.4861111111111111</v>
      </c>
      <c r="K3" s="6">
        <v>0.4916666666666667</v>
      </c>
      <c r="L3" s="5">
        <v>0.3298611111111111</v>
      </c>
      <c r="M3" s="6">
        <v>0.33888888888888885</v>
      </c>
      <c r="N3" s="2" t="s">
        <v>251</v>
      </c>
      <c r="O3" s="2" t="s">
        <v>249</v>
      </c>
      <c r="P3" s="3">
        <v>405</v>
      </c>
      <c r="Q3" s="3">
        <v>486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44906</v>
      </c>
      <c r="B4" s="9" t="s">
        <v>112</v>
      </c>
      <c r="C4" s="3" t="s">
        <v>113</v>
      </c>
      <c r="D4" s="3" t="s">
        <v>247</v>
      </c>
      <c r="E4" s="3" t="s">
        <v>120</v>
      </c>
      <c r="F4" s="3" t="s">
        <v>25</v>
      </c>
      <c r="G4" s="4">
        <v>80000</v>
      </c>
      <c r="H4" s="3" t="s">
        <v>115</v>
      </c>
      <c r="I4" s="3" t="s">
        <v>116</v>
      </c>
      <c r="J4" s="5">
        <v>0.37847222222222227</v>
      </c>
      <c r="K4" s="6">
        <v>0.37847222222222227</v>
      </c>
      <c r="L4" s="5">
        <v>0.39930555555555558</v>
      </c>
      <c r="M4" s="6">
        <v>0.41597222222222219</v>
      </c>
      <c r="N4" s="3" t="s">
        <v>248</v>
      </c>
      <c r="O4" s="2" t="s">
        <v>252</v>
      </c>
      <c r="P4" s="3">
        <v>195</v>
      </c>
      <c r="Q4" s="3">
        <v>299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44906</v>
      </c>
      <c r="B5" s="3" t="s">
        <v>21</v>
      </c>
      <c r="C5" s="3" t="s">
        <v>43</v>
      </c>
      <c r="D5" s="3" t="s">
        <v>23</v>
      </c>
      <c r="E5" s="3" t="s">
        <v>194</v>
      </c>
      <c r="F5" s="3" t="s">
        <v>25</v>
      </c>
      <c r="G5" s="4">
        <v>70000</v>
      </c>
      <c r="H5" s="3" t="s">
        <v>44</v>
      </c>
      <c r="I5" s="3" t="s">
        <v>45</v>
      </c>
      <c r="J5" s="5">
        <v>0.67708333333333337</v>
      </c>
      <c r="K5" s="6">
        <v>0.67013888888888884</v>
      </c>
      <c r="L5" s="5">
        <v>0.50694444444444442</v>
      </c>
      <c r="M5" s="6">
        <v>0.51874999999999993</v>
      </c>
      <c r="N5" s="2" t="s">
        <v>255</v>
      </c>
      <c r="O5" s="2" t="s">
        <v>56</v>
      </c>
      <c r="P5" s="3">
        <v>678</v>
      </c>
      <c r="Q5" s="3">
        <v>357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44906</v>
      </c>
      <c r="B6" s="3" t="s">
        <v>21</v>
      </c>
      <c r="C6" s="3" t="s">
        <v>37</v>
      </c>
      <c r="D6" s="3" t="s">
        <v>23</v>
      </c>
      <c r="E6" s="3" t="s">
        <v>174</v>
      </c>
      <c r="F6" s="1" t="s">
        <v>25</v>
      </c>
      <c r="G6" s="4">
        <v>70000</v>
      </c>
      <c r="H6" s="3" t="s">
        <v>38</v>
      </c>
      <c r="I6" s="3" t="s">
        <v>39</v>
      </c>
      <c r="J6" s="5">
        <v>0.68402777777777779</v>
      </c>
      <c r="K6" s="6">
        <v>0.6777777777777777</v>
      </c>
      <c r="L6" s="5">
        <v>0.52777777777777779</v>
      </c>
      <c r="M6" s="6">
        <v>0.54166666666666663</v>
      </c>
      <c r="N6" s="2" t="s">
        <v>256</v>
      </c>
      <c r="O6" s="2" t="s">
        <v>253</v>
      </c>
      <c r="P6" s="3">
        <v>724</v>
      </c>
      <c r="Q6" s="3">
        <v>436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44906</v>
      </c>
      <c r="B7" s="3" t="s">
        <v>21</v>
      </c>
      <c r="C7" s="3" t="s">
        <v>40</v>
      </c>
      <c r="D7" s="3" t="s">
        <v>23</v>
      </c>
      <c r="E7" s="3" t="s">
        <v>174</v>
      </c>
      <c r="F7" s="1" t="s">
        <v>25</v>
      </c>
      <c r="G7" s="4">
        <v>70000</v>
      </c>
      <c r="H7" s="3" t="s">
        <v>41</v>
      </c>
      <c r="I7" s="3" t="s">
        <v>42</v>
      </c>
      <c r="J7" s="5">
        <v>0.91319444444444453</v>
      </c>
      <c r="K7" s="20">
        <v>0.91319444444444453</v>
      </c>
      <c r="L7" s="5">
        <v>0.70486111111111116</v>
      </c>
      <c r="M7" s="6">
        <v>0.71458333333333324</v>
      </c>
      <c r="N7" s="21" t="s">
        <v>259</v>
      </c>
      <c r="O7" s="2" t="s">
        <v>257</v>
      </c>
      <c r="P7" s="9">
        <v>776</v>
      </c>
      <c r="Q7" s="3">
        <v>1014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44906</v>
      </c>
      <c r="B8" s="3" t="s">
        <v>21</v>
      </c>
      <c r="C8" s="3" t="s">
        <v>117</v>
      </c>
      <c r="D8" s="3" t="s">
        <v>23</v>
      </c>
      <c r="E8" s="3" t="s">
        <v>194</v>
      </c>
      <c r="F8" s="3" t="s">
        <v>25</v>
      </c>
      <c r="G8" s="4">
        <v>70000</v>
      </c>
      <c r="H8" s="3" t="s">
        <v>118</v>
      </c>
      <c r="I8" s="3" t="s">
        <v>119</v>
      </c>
      <c r="J8" s="5">
        <v>0.95486111111111116</v>
      </c>
      <c r="K8" s="20">
        <v>0.94236111111111109</v>
      </c>
      <c r="L8" s="5">
        <v>0.71527777777777779</v>
      </c>
      <c r="M8" s="6">
        <v>0.71736111111111101</v>
      </c>
      <c r="N8" s="21" t="s">
        <v>258</v>
      </c>
      <c r="O8" s="2" t="s">
        <v>254</v>
      </c>
      <c r="P8" s="9">
        <v>330</v>
      </c>
      <c r="Q8" s="3">
        <v>540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A6" sqref="A6:U6"/>
    </sheetView>
  </sheetViews>
  <sheetFormatPr defaultRowHeight="15" x14ac:dyDescent="0.25"/>
  <cols>
    <col min="3" max="3" width="14.28515625" customWidth="1"/>
    <col min="6" max="6" width="15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44900</v>
      </c>
      <c r="B2" s="3" t="s">
        <v>21</v>
      </c>
      <c r="C2" s="3" t="s">
        <v>60</v>
      </c>
      <c r="D2" s="3" t="s">
        <v>23</v>
      </c>
      <c r="E2" s="3" t="s">
        <v>174</v>
      </c>
      <c r="F2" s="3" t="s">
        <v>25</v>
      </c>
      <c r="G2" s="4">
        <v>70000</v>
      </c>
      <c r="H2" s="3" t="s">
        <v>65</v>
      </c>
      <c r="I2" s="3" t="s">
        <v>70</v>
      </c>
      <c r="J2" s="5">
        <v>0.4826388888888889</v>
      </c>
      <c r="K2" s="6">
        <v>0.48749999999999999</v>
      </c>
      <c r="L2" s="5">
        <v>0.28819444444444448</v>
      </c>
      <c r="M2" s="6">
        <v>0.29930555555555555</v>
      </c>
      <c r="N2" s="3" t="s">
        <v>263</v>
      </c>
      <c r="O2" s="3" t="s">
        <v>262</v>
      </c>
      <c r="P2" s="3">
        <v>912</v>
      </c>
      <c r="Q2" s="3">
        <v>529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44900</v>
      </c>
      <c r="B3" s="3" t="s">
        <v>21</v>
      </c>
      <c r="C3" s="3" t="s">
        <v>59</v>
      </c>
      <c r="D3" s="3" t="s">
        <v>23</v>
      </c>
      <c r="E3" s="3" t="s">
        <v>194</v>
      </c>
      <c r="F3" s="1" t="s">
        <v>25</v>
      </c>
      <c r="G3" s="4">
        <v>70000</v>
      </c>
      <c r="H3" s="3" t="s">
        <v>64</v>
      </c>
      <c r="I3" s="3" t="s">
        <v>69</v>
      </c>
      <c r="J3" s="5">
        <v>0.72222222222222221</v>
      </c>
      <c r="K3" s="6">
        <v>0.75694444444444453</v>
      </c>
      <c r="L3" s="5">
        <v>0.47569444444444442</v>
      </c>
      <c r="M3" s="6">
        <v>0.54097222222222219</v>
      </c>
      <c r="N3" s="3" t="s">
        <v>266</v>
      </c>
      <c r="O3" s="3" t="s">
        <v>264</v>
      </c>
      <c r="P3" s="3">
        <v>950</v>
      </c>
      <c r="Q3" s="3">
        <v>643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44900</v>
      </c>
      <c r="B4" s="3" t="s">
        <v>21</v>
      </c>
      <c r="C4" s="3" t="s">
        <v>61</v>
      </c>
      <c r="D4" s="3" t="s">
        <v>23</v>
      </c>
      <c r="E4" s="3" t="s">
        <v>174</v>
      </c>
      <c r="F4" s="3" t="s">
        <v>25</v>
      </c>
      <c r="G4" s="4">
        <v>70000</v>
      </c>
      <c r="H4" s="3" t="s">
        <v>66</v>
      </c>
      <c r="I4" s="3" t="s">
        <v>260</v>
      </c>
      <c r="J4" s="5">
        <v>0.68055555555555547</v>
      </c>
      <c r="K4" s="6">
        <v>0.68472222222222223</v>
      </c>
      <c r="L4" s="5">
        <v>0.50694444444444442</v>
      </c>
      <c r="M4" s="6">
        <v>0.53194444444444444</v>
      </c>
      <c r="N4" s="3" t="s">
        <v>267</v>
      </c>
      <c r="O4" s="3" t="s">
        <v>265</v>
      </c>
      <c r="P4" s="3">
        <v>582</v>
      </c>
      <c r="Q4" s="3">
        <v>411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44900</v>
      </c>
      <c r="B5" s="3" t="s">
        <v>21</v>
      </c>
      <c r="C5" s="3" t="s">
        <v>63</v>
      </c>
      <c r="D5" s="3" t="s">
        <v>23</v>
      </c>
      <c r="E5" s="3" t="s">
        <v>194</v>
      </c>
      <c r="F5" s="3" t="s">
        <v>25</v>
      </c>
      <c r="G5" s="4">
        <v>70000</v>
      </c>
      <c r="H5" s="3" t="s">
        <v>38</v>
      </c>
      <c r="I5" s="3" t="s">
        <v>39</v>
      </c>
      <c r="J5" s="5">
        <v>0.92708333333333337</v>
      </c>
      <c r="K5" s="6">
        <v>0.96666666666666667</v>
      </c>
      <c r="L5" s="5">
        <v>0.74305555555555547</v>
      </c>
      <c r="M5" s="6">
        <v>0.8027777777777777</v>
      </c>
      <c r="N5" s="3" t="s">
        <v>271</v>
      </c>
      <c r="O5" s="3" t="s">
        <v>269</v>
      </c>
      <c r="P5" s="3">
        <v>716</v>
      </c>
      <c r="Q5" s="3">
        <v>542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44900</v>
      </c>
      <c r="B6" s="3" t="s">
        <v>112</v>
      </c>
      <c r="C6" s="3" t="s">
        <v>75</v>
      </c>
      <c r="D6" s="3" t="s">
        <v>76</v>
      </c>
      <c r="E6" s="3" t="s">
        <v>261</v>
      </c>
      <c r="F6" s="3" t="s">
        <v>25</v>
      </c>
      <c r="G6" s="4">
        <v>80000</v>
      </c>
      <c r="H6" s="3" t="s">
        <v>78</v>
      </c>
      <c r="I6" s="3" t="s">
        <v>79</v>
      </c>
      <c r="J6" s="5">
        <v>0.67013888888888884</v>
      </c>
      <c r="K6" s="6">
        <v>0.79791666666666661</v>
      </c>
      <c r="L6" s="5">
        <v>0.69444444444444453</v>
      </c>
      <c r="M6" s="6">
        <v>0.82916666666666661</v>
      </c>
      <c r="N6" s="3" t="s">
        <v>268</v>
      </c>
      <c r="O6" s="3" t="s">
        <v>270</v>
      </c>
      <c r="P6" s="3">
        <v>377</v>
      </c>
      <c r="Q6" s="3">
        <v>221</v>
      </c>
      <c r="R6" s="3">
        <v>0</v>
      </c>
      <c r="S6" s="3">
        <v>0</v>
      </c>
      <c r="T6" s="3">
        <v>0</v>
      </c>
      <c r="U6" s="3">
        <v>0</v>
      </c>
    </row>
    <row r="11" spans="1:21" x14ac:dyDescent="0.25">
      <c r="A11" s="2"/>
      <c r="B11" s="3"/>
      <c r="C11" s="3"/>
      <c r="D11" s="3"/>
      <c r="E11" s="3"/>
      <c r="F11" s="1"/>
      <c r="G11" s="4"/>
      <c r="H11" s="3"/>
      <c r="I11" s="3"/>
      <c r="J11" s="5"/>
      <c r="K11" s="6"/>
      <c r="L11" s="5"/>
      <c r="M11" s="6"/>
      <c r="N11" s="3"/>
      <c r="O11" s="3"/>
      <c r="P11" s="3"/>
      <c r="Q11" s="3"/>
      <c r="R11" s="3"/>
      <c r="S11" s="3"/>
      <c r="T11" s="3"/>
      <c r="U11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A2" sqref="A2:U2"/>
    </sheetView>
  </sheetViews>
  <sheetFormatPr defaultRowHeight="15" x14ac:dyDescent="0.25"/>
  <cols>
    <col min="1" max="1" width="11.28515625" bestFit="1" customWidth="1"/>
    <col min="2" max="2" width="15.85546875" customWidth="1"/>
    <col min="3" max="3" width="14.7109375" customWidth="1"/>
    <col min="4" max="4" width="8.140625" customWidth="1"/>
    <col min="6" max="6" width="20.7109375" customWidth="1"/>
    <col min="7" max="7" width="9.42578125" bestFit="1" customWidth="1"/>
    <col min="10" max="10" width="9.42578125" bestFit="1" customWidth="1"/>
    <col min="11" max="11" width="6.42578125" customWidth="1"/>
    <col min="12" max="12" width="9.42578125" bestFit="1" customWidth="1"/>
    <col min="13" max="13" width="7.28515625" customWidth="1"/>
    <col min="18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44908</v>
      </c>
      <c r="B2" s="3" t="s">
        <v>21</v>
      </c>
      <c r="C2" s="3" t="s">
        <v>92</v>
      </c>
      <c r="D2" s="3" t="s">
        <v>23</v>
      </c>
      <c r="E2" s="3" t="s">
        <v>174</v>
      </c>
      <c r="F2" s="3" t="s">
        <v>25</v>
      </c>
      <c r="G2" s="4">
        <v>70000</v>
      </c>
      <c r="H2" s="3" t="s">
        <v>95</v>
      </c>
      <c r="I2" s="3" t="s">
        <v>98</v>
      </c>
      <c r="J2" s="5">
        <v>0.51041666666666663</v>
      </c>
      <c r="K2" s="6">
        <v>0.52361111111111114</v>
      </c>
      <c r="L2" s="5">
        <v>0.30555555555555552</v>
      </c>
      <c r="M2" s="6">
        <v>0.3263888888888889</v>
      </c>
      <c r="N2" s="3" t="s">
        <v>280</v>
      </c>
      <c r="O2" s="3" t="s">
        <v>279</v>
      </c>
      <c r="P2" s="3">
        <v>623</v>
      </c>
      <c r="Q2" s="3">
        <v>770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44908</v>
      </c>
      <c r="B3" s="3" t="s">
        <v>21</v>
      </c>
      <c r="C3" s="3" t="s">
        <v>94</v>
      </c>
      <c r="D3" s="3" t="s">
        <v>23</v>
      </c>
      <c r="E3" s="3" t="s">
        <v>194</v>
      </c>
      <c r="F3" s="3" t="s">
        <v>25</v>
      </c>
      <c r="G3" s="4">
        <v>70000</v>
      </c>
      <c r="H3" s="3" t="s">
        <v>97</v>
      </c>
      <c r="I3" s="3" t="s">
        <v>100</v>
      </c>
      <c r="J3" s="5">
        <v>0.70486111111111116</v>
      </c>
      <c r="K3" s="6">
        <v>0.73055555555555562</v>
      </c>
      <c r="L3" s="5">
        <v>0.53125</v>
      </c>
      <c r="M3" s="6">
        <v>0.53749999999999998</v>
      </c>
      <c r="N3" s="3" t="s">
        <v>286</v>
      </c>
      <c r="O3" s="3" t="s">
        <v>281</v>
      </c>
      <c r="P3" s="3">
        <v>704</v>
      </c>
      <c r="Q3" s="3">
        <v>566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44908</v>
      </c>
      <c r="B4" s="3" t="s">
        <v>21</v>
      </c>
      <c r="C4" s="3" t="s">
        <v>37</v>
      </c>
      <c r="D4" s="3" t="s">
        <v>23</v>
      </c>
      <c r="E4" s="3" t="s">
        <v>174</v>
      </c>
      <c r="F4" s="1" t="s">
        <v>25</v>
      </c>
      <c r="G4" s="4">
        <v>70000</v>
      </c>
      <c r="H4" s="3" t="s">
        <v>38</v>
      </c>
      <c r="I4" s="3" t="s">
        <v>39</v>
      </c>
      <c r="J4" s="5">
        <v>0.69791666666666663</v>
      </c>
      <c r="K4" s="6">
        <v>0.69444444444444453</v>
      </c>
      <c r="L4" s="5">
        <v>0.54166666666666663</v>
      </c>
      <c r="M4" s="6">
        <v>0.55833333333333335</v>
      </c>
      <c r="N4" s="3" t="s">
        <v>284</v>
      </c>
      <c r="O4" s="3" t="s">
        <v>282</v>
      </c>
      <c r="P4" s="3">
        <v>612</v>
      </c>
      <c r="Q4" s="3">
        <v>500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44908</v>
      </c>
      <c r="B5" s="3" t="s">
        <v>28</v>
      </c>
      <c r="C5" s="3" t="s">
        <v>29</v>
      </c>
      <c r="D5" s="3" t="s">
        <v>23</v>
      </c>
      <c r="E5" s="3" t="s">
        <v>272</v>
      </c>
      <c r="F5" s="3" t="s">
        <v>25</v>
      </c>
      <c r="G5" s="3">
        <v>70000</v>
      </c>
      <c r="H5" s="3" t="s">
        <v>31</v>
      </c>
      <c r="I5" s="3" t="s">
        <v>32</v>
      </c>
      <c r="J5" s="5">
        <v>0.6875</v>
      </c>
      <c r="K5" s="6">
        <v>0.68333333333333324</v>
      </c>
      <c r="L5" s="5">
        <v>0.70486111111111116</v>
      </c>
      <c r="M5" s="6">
        <v>0.71458333333333324</v>
      </c>
      <c r="N5" s="3" t="s">
        <v>283</v>
      </c>
      <c r="O5" s="3" t="s">
        <v>285</v>
      </c>
      <c r="P5" s="3">
        <v>312</v>
      </c>
      <c r="Q5" s="3">
        <v>182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44908</v>
      </c>
      <c r="B6" s="3" t="s">
        <v>21</v>
      </c>
      <c r="C6" s="3" t="s">
        <v>43</v>
      </c>
      <c r="D6" s="3" t="s">
        <v>23</v>
      </c>
      <c r="E6" s="3" t="s">
        <v>194</v>
      </c>
      <c r="F6" s="3" t="s">
        <v>25</v>
      </c>
      <c r="G6" s="4">
        <v>70000</v>
      </c>
      <c r="H6" s="3" t="s">
        <v>44</v>
      </c>
      <c r="I6" s="3" t="s">
        <v>45</v>
      </c>
      <c r="J6" s="5">
        <v>0.89930555555555547</v>
      </c>
      <c r="K6" s="6">
        <v>0.91319444444444453</v>
      </c>
      <c r="L6" s="5">
        <v>0.72916666666666663</v>
      </c>
      <c r="M6" s="6">
        <v>0.76180555555555562</v>
      </c>
      <c r="N6" s="2" t="s">
        <v>287</v>
      </c>
      <c r="O6" s="2" t="s">
        <v>195</v>
      </c>
      <c r="P6" s="3">
        <v>787</v>
      </c>
      <c r="Q6" s="3">
        <v>379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44908</v>
      </c>
      <c r="B7" s="3" t="s">
        <v>273</v>
      </c>
      <c r="C7" s="3" t="s">
        <v>274</v>
      </c>
      <c r="D7" s="3" t="s">
        <v>275</v>
      </c>
      <c r="E7" s="3" t="s">
        <v>276</v>
      </c>
      <c r="F7" s="3" t="s">
        <v>277</v>
      </c>
      <c r="G7" s="3">
        <v>4900</v>
      </c>
      <c r="H7" s="3" t="s">
        <v>278</v>
      </c>
      <c r="I7" s="3" t="s">
        <v>278</v>
      </c>
      <c r="J7" s="5">
        <v>0.47222222222222227</v>
      </c>
      <c r="K7" s="6">
        <v>0.47500000000000003</v>
      </c>
      <c r="L7" s="5">
        <v>0.5</v>
      </c>
      <c r="M7" s="6">
        <v>0.49444444444444446</v>
      </c>
      <c r="N7" s="3">
        <v>0</v>
      </c>
      <c r="O7" s="3">
        <v>1</v>
      </c>
      <c r="P7" s="3" t="s">
        <v>124</v>
      </c>
      <c r="Q7" s="3" t="s">
        <v>124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C4" sqref="C4:M4"/>
    </sheetView>
  </sheetViews>
  <sheetFormatPr defaultRowHeight="15" x14ac:dyDescent="0.25"/>
  <cols>
    <col min="2" max="2" width="12.7109375" customWidth="1"/>
    <col min="3" max="3" width="14" customWidth="1"/>
    <col min="6" max="6" width="12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44909</v>
      </c>
      <c r="B2" s="3" t="s">
        <v>21</v>
      </c>
      <c r="C2" s="3" t="s">
        <v>22</v>
      </c>
      <c r="D2" s="3" t="s">
        <v>23</v>
      </c>
      <c r="E2" s="3" t="s">
        <v>174</v>
      </c>
      <c r="F2" s="3" t="s">
        <v>25</v>
      </c>
      <c r="G2" s="4">
        <v>70000</v>
      </c>
      <c r="H2" s="3" t="s">
        <v>26</v>
      </c>
      <c r="I2" s="3" t="s">
        <v>27</v>
      </c>
      <c r="J2" s="5">
        <v>0.47569444444444442</v>
      </c>
      <c r="K2" s="6">
        <v>0.4777777777777778</v>
      </c>
      <c r="L2" s="5">
        <v>0.27777777777777779</v>
      </c>
      <c r="M2" s="6">
        <v>0.28611111111111115</v>
      </c>
      <c r="N2" s="3" t="s">
        <v>245</v>
      </c>
      <c r="O2" s="3" t="s">
        <v>290</v>
      </c>
      <c r="P2" s="3">
        <v>684</v>
      </c>
      <c r="Q2" s="3">
        <v>522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44909</v>
      </c>
      <c r="B3" s="3" t="s">
        <v>21</v>
      </c>
      <c r="C3" s="3" t="s">
        <v>37</v>
      </c>
      <c r="D3" s="3" t="s">
        <v>23</v>
      </c>
      <c r="E3" s="3" t="s">
        <v>194</v>
      </c>
      <c r="F3" s="3" t="s">
        <v>25</v>
      </c>
      <c r="G3" s="4">
        <v>70000</v>
      </c>
      <c r="H3" s="3" t="s">
        <v>97</v>
      </c>
      <c r="I3" s="3" t="s">
        <v>100</v>
      </c>
      <c r="J3" s="5">
        <v>0.44791666666666669</v>
      </c>
      <c r="K3" s="6">
        <v>0.42777777777777781</v>
      </c>
      <c r="L3" s="5">
        <v>0.29166666666666669</v>
      </c>
      <c r="M3" s="6">
        <v>0.29097222222222224</v>
      </c>
      <c r="N3" s="3" t="s">
        <v>294</v>
      </c>
      <c r="O3" s="3" t="s">
        <v>291</v>
      </c>
      <c r="P3" s="3">
        <v>622</v>
      </c>
      <c r="Q3" s="3">
        <v>258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44909</v>
      </c>
      <c r="B4" s="3" t="s">
        <v>21</v>
      </c>
      <c r="C4" s="3" t="s">
        <v>62</v>
      </c>
      <c r="D4" s="3" t="s">
        <v>23</v>
      </c>
      <c r="E4" s="3" t="s">
        <v>289</v>
      </c>
      <c r="F4" s="1" t="s">
        <v>25</v>
      </c>
      <c r="G4" s="4">
        <v>70000</v>
      </c>
      <c r="H4" s="3" t="s">
        <v>38</v>
      </c>
      <c r="I4" s="3" t="s">
        <v>39</v>
      </c>
      <c r="J4" s="5">
        <v>0.61805555555555558</v>
      </c>
      <c r="K4" s="6">
        <v>0.61111111111111105</v>
      </c>
      <c r="L4" s="5">
        <v>0.49652777777777773</v>
      </c>
      <c r="M4" s="6">
        <v>0.5083333333333333</v>
      </c>
      <c r="N4" s="3" t="s">
        <v>297</v>
      </c>
      <c r="O4" s="3" t="s">
        <v>296</v>
      </c>
      <c r="P4" s="3">
        <v>209</v>
      </c>
      <c r="Q4" s="3">
        <v>171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44909</v>
      </c>
      <c r="B5" s="3" t="s">
        <v>21</v>
      </c>
      <c r="C5" s="3" t="s">
        <v>43</v>
      </c>
      <c r="D5" s="3" t="s">
        <v>23</v>
      </c>
      <c r="E5" s="3" t="s">
        <v>194</v>
      </c>
      <c r="F5" s="3" t="s">
        <v>25</v>
      </c>
      <c r="G5" s="4">
        <v>70000</v>
      </c>
      <c r="H5" s="3" t="s">
        <v>44</v>
      </c>
      <c r="I5" s="3" t="s">
        <v>45</v>
      </c>
      <c r="J5" s="5">
        <v>0.64236111111111105</v>
      </c>
      <c r="K5" s="6">
        <v>0.63472222222222219</v>
      </c>
      <c r="L5" s="5">
        <v>0.47222222222222227</v>
      </c>
      <c r="M5" s="6">
        <v>0.46875</v>
      </c>
      <c r="N5" s="2" t="s">
        <v>146</v>
      </c>
      <c r="O5" s="2" t="s">
        <v>295</v>
      </c>
      <c r="P5" s="3">
        <v>831</v>
      </c>
      <c r="Q5" s="3">
        <v>281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44909</v>
      </c>
      <c r="B6" s="3" t="s">
        <v>28</v>
      </c>
      <c r="C6" s="3" t="s">
        <v>113</v>
      </c>
      <c r="D6" s="3" t="s">
        <v>288</v>
      </c>
      <c r="E6" s="23" t="s">
        <v>120</v>
      </c>
      <c r="F6" s="3" t="s">
        <v>25</v>
      </c>
      <c r="G6" s="4">
        <v>80000</v>
      </c>
      <c r="H6" s="3" t="s">
        <v>115</v>
      </c>
      <c r="I6" s="3" t="s">
        <v>116</v>
      </c>
      <c r="J6" s="5">
        <v>0.40277777777777773</v>
      </c>
      <c r="K6" s="6">
        <v>0.38125000000000003</v>
      </c>
      <c r="L6" s="5">
        <v>0.40277777777777773</v>
      </c>
      <c r="M6" s="6">
        <v>0.40972222222222227</v>
      </c>
      <c r="N6" s="3" t="s">
        <v>292</v>
      </c>
      <c r="O6" s="3" t="s">
        <v>293</v>
      </c>
      <c r="P6" s="3">
        <v>364</v>
      </c>
      <c r="Q6" s="3">
        <v>91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/>
      <c r="B7" s="3"/>
      <c r="C7" s="3"/>
      <c r="D7" s="3"/>
      <c r="E7" s="22"/>
      <c r="F7" s="3"/>
      <c r="G7" s="3"/>
      <c r="H7" s="3"/>
      <c r="I7" s="3"/>
      <c r="J7" s="5"/>
      <c r="K7" s="6"/>
      <c r="L7" s="5"/>
      <c r="M7" s="6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5" sqref="A5:U5"/>
    </sheetView>
  </sheetViews>
  <sheetFormatPr defaultRowHeight="15" x14ac:dyDescent="0.25"/>
  <cols>
    <col min="2" max="2" width="11" customWidth="1"/>
    <col min="3" max="3" width="14" customWidth="1"/>
    <col min="4" max="4" width="7" customWidth="1"/>
    <col min="6" max="6" width="12.85546875" customWidth="1"/>
    <col min="11" max="11" width="11.7109375" customWidth="1"/>
    <col min="13" max="13" width="10.85546875" customWidth="1"/>
    <col min="14" max="14" width="15.28515625" customWidth="1"/>
    <col min="15" max="15" width="10.28515625" customWidth="1"/>
    <col min="16" max="16" width="13" customWidth="1"/>
    <col min="17" max="17" width="1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44910</v>
      </c>
      <c r="B2" s="3" t="s">
        <v>21</v>
      </c>
      <c r="C2" s="3" t="s">
        <v>22</v>
      </c>
      <c r="D2" s="3" t="s">
        <v>23</v>
      </c>
      <c r="E2" s="3" t="s">
        <v>289</v>
      </c>
      <c r="F2" s="3" t="s">
        <v>25</v>
      </c>
      <c r="G2" s="4">
        <v>70000</v>
      </c>
      <c r="H2" s="3" t="s">
        <v>26</v>
      </c>
      <c r="I2" s="3" t="s">
        <v>27</v>
      </c>
      <c r="J2" s="5">
        <v>0.4826388888888889</v>
      </c>
      <c r="K2" s="6" t="s">
        <v>300</v>
      </c>
      <c r="L2" s="5">
        <v>0.27777777777777779</v>
      </c>
      <c r="M2" s="6">
        <v>0.28402777777777777</v>
      </c>
      <c r="N2" s="3" t="s">
        <v>300</v>
      </c>
      <c r="O2" s="3" t="s">
        <v>299</v>
      </c>
      <c r="P2" s="3" t="s">
        <v>300</v>
      </c>
      <c r="Q2" s="3">
        <v>394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44910</v>
      </c>
      <c r="B3" s="3" t="s">
        <v>21</v>
      </c>
      <c r="C3" s="3" t="s">
        <v>94</v>
      </c>
      <c r="D3" s="3" t="s">
        <v>23</v>
      </c>
      <c r="E3" s="3" t="s">
        <v>289</v>
      </c>
      <c r="F3" s="3" t="s">
        <v>25</v>
      </c>
      <c r="G3" s="4">
        <v>70000</v>
      </c>
      <c r="H3" s="3" t="s">
        <v>97</v>
      </c>
      <c r="I3" s="3" t="s">
        <v>100</v>
      </c>
      <c r="J3" s="5">
        <v>0.68055555555555547</v>
      </c>
      <c r="K3" s="6" t="s">
        <v>111</v>
      </c>
      <c r="L3" s="5">
        <v>0.50694444444444442</v>
      </c>
      <c r="M3" s="6" t="s">
        <v>301</v>
      </c>
      <c r="N3" s="3" t="s">
        <v>111</v>
      </c>
      <c r="O3" s="6" t="s">
        <v>301</v>
      </c>
      <c r="P3" s="3" t="s">
        <v>111</v>
      </c>
      <c r="Q3" s="6" t="s">
        <v>301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44910</v>
      </c>
      <c r="B4" s="3" t="s">
        <v>21</v>
      </c>
      <c r="C4" s="3" t="s">
        <v>37</v>
      </c>
      <c r="D4" s="3" t="s">
        <v>23</v>
      </c>
      <c r="E4" s="3" t="s">
        <v>194</v>
      </c>
      <c r="F4" s="1" t="s">
        <v>25</v>
      </c>
      <c r="G4" s="4">
        <v>70000</v>
      </c>
      <c r="H4" s="3" t="s">
        <v>38</v>
      </c>
      <c r="I4" s="3" t="s">
        <v>39</v>
      </c>
      <c r="J4" s="5">
        <v>0.68402777777777779</v>
      </c>
      <c r="K4" s="6" t="s">
        <v>111</v>
      </c>
      <c r="L4" s="5">
        <v>0.52777777777777779</v>
      </c>
      <c r="M4" s="6">
        <v>0.53472222222222221</v>
      </c>
      <c r="N4" s="3" t="s">
        <v>111</v>
      </c>
      <c r="O4" s="3" t="s">
        <v>303</v>
      </c>
      <c r="P4" s="3" t="s">
        <v>111</v>
      </c>
      <c r="Q4" s="3">
        <v>532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44910</v>
      </c>
      <c r="B5" s="3" t="s">
        <v>21</v>
      </c>
      <c r="C5" s="3" t="s">
        <v>43</v>
      </c>
      <c r="D5" s="3" t="s">
        <v>23</v>
      </c>
      <c r="E5" s="3" t="s">
        <v>194</v>
      </c>
      <c r="F5" s="3" t="s">
        <v>25</v>
      </c>
      <c r="G5" s="4">
        <v>70000</v>
      </c>
      <c r="H5" s="3" t="s">
        <v>44</v>
      </c>
      <c r="I5" s="3" t="s">
        <v>45</v>
      </c>
      <c r="J5" s="5">
        <v>0.88888888888888884</v>
      </c>
      <c r="K5" s="6" t="s">
        <v>111</v>
      </c>
      <c r="L5" s="5">
        <v>0.71875</v>
      </c>
      <c r="M5" s="6" t="s">
        <v>301</v>
      </c>
      <c r="N5" s="3" t="s">
        <v>111</v>
      </c>
      <c r="O5" s="2" t="s">
        <v>301</v>
      </c>
      <c r="P5" s="3" t="s">
        <v>111</v>
      </c>
      <c r="Q5" s="3" t="s">
        <v>301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44910</v>
      </c>
      <c r="B6" s="3" t="s">
        <v>28</v>
      </c>
      <c r="C6" s="3" t="s">
        <v>29</v>
      </c>
      <c r="D6" s="3" t="s">
        <v>76</v>
      </c>
      <c r="E6" s="23" t="s">
        <v>298</v>
      </c>
      <c r="F6" s="3" t="s">
        <v>25</v>
      </c>
      <c r="G6" s="4">
        <v>80000</v>
      </c>
      <c r="H6" s="3" t="s">
        <v>31</v>
      </c>
      <c r="I6" s="3" t="s">
        <v>32</v>
      </c>
      <c r="J6" s="5">
        <v>0.30208333333333331</v>
      </c>
      <c r="K6" s="3" t="s">
        <v>300</v>
      </c>
      <c r="L6" s="5">
        <v>0.31944444444444448</v>
      </c>
      <c r="M6" s="6" t="s">
        <v>302</v>
      </c>
      <c r="N6" s="3" t="s">
        <v>300</v>
      </c>
      <c r="O6" s="3" t="s">
        <v>302</v>
      </c>
      <c r="P6" s="3" t="s">
        <v>300</v>
      </c>
      <c r="Q6" s="3" t="s">
        <v>302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/>
      <c r="B7" s="3"/>
      <c r="C7" s="3"/>
      <c r="D7" s="3"/>
      <c r="E7" s="22"/>
      <c r="F7" s="3"/>
      <c r="G7" s="3"/>
      <c r="H7" s="3"/>
      <c r="I7" s="3"/>
      <c r="J7" s="5"/>
      <c r="K7" s="6"/>
      <c r="L7" s="5"/>
      <c r="M7" s="6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D31" sqref="D31"/>
    </sheetView>
  </sheetViews>
  <sheetFormatPr defaultRowHeight="15" x14ac:dyDescent="0.25"/>
  <cols>
    <col min="1" max="1" width="12.5703125" customWidth="1"/>
    <col min="2" max="2" width="10.140625" customWidth="1"/>
    <col min="3" max="3" width="15" customWidth="1"/>
    <col min="6" max="6" width="12.42578125" customWidth="1"/>
    <col min="7" max="7" width="9.85546875" bestFit="1" customWidth="1"/>
    <col min="10" max="13" width="9.42578125" bestFit="1" customWidth="1"/>
    <col min="16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44911</v>
      </c>
      <c r="B2" s="3" t="s">
        <v>21</v>
      </c>
      <c r="C2" s="3" t="s">
        <v>60</v>
      </c>
      <c r="D2" s="3" t="s">
        <v>23</v>
      </c>
      <c r="E2" s="3" t="s">
        <v>194</v>
      </c>
      <c r="F2" s="3" t="s">
        <v>25</v>
      </c>
      <c r="G2" s="4">
        <v>70000</v>
      </c>
      <c r="H2" s="3" t="s">
        <v>65</v>
      </c>
      <c r="I2" s="3" t="s">
        <v>70</v>
      </c>
      <c r="J2" s="5">
        <v>0.4826388888888889</v>
      </c>
      <c r="K2" s="6">
        <v>0.54583333333333328</v>
      </c>
      <c r="L2" s="5">
        <v>0.28819444444444448</v>
      </c>
      <c r="M2" s="6">
        <v>0.3576388888888889</v>
      </c>
      <c r="N2" s="3" t="s">
        <v>162</v>
      </c>
      <c r="O2" s="3" t="s">
        <v>305</v>
      </c>
      <c r="P2" s="3">
        <v>905</v>
      </c>
      <c r="Q2" s="3">
        <v>527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44911</v>
      </c>
      <c r="B3" s="3" t="s">
        <v>21</v>
      </c>
      <c r="C3" s="3" t="s">
        <v>61</v>
      </c>
      <c r="D3" s="3" t="s">
        <v>23</v>
      </c>
      <c r="E3" s="3" t="str">
        <f>E2</f>
        <v>HA-LYB</v>
      </c>
      <c r="F3" s="3" t="s">
        <v>25</v>
      </c>
      <c r="G3" s="4">
        <v>70000</v>
      </c>
      <c r="H3" s="3" t="s">
        <v>66</v>
      </c>
      <c r="I3" s="3" t="s">
        <v>66</v>
      </c>
      <c r="J3" s="5">
        <v>0.68055555555555547</v>
      </c>
      <c r="K3" s="6">
        <v>0.74444444444444446</v>
      </c>
      <c r="L3" s="5">
        <v>0.50694444444444442</v>
      </c>
      <c r="M3" s="6">
        <v>0.58750000000000002</v>
      </c>
      <c r="N3" s="3" t="s">
        <v>309</v>
      </c>
      <c r="O3" s="3" t="s">
        <v>308</v>
      </c>
      <c r="P3" s="3">
        <v>537</v>
      </c>
      <c r="Q3" s="3">
        <v>732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44911</v>
      </c>
      <c r="B4" s="3" t="s">
        <v>21</v>
      </c>
      <c r="C4" s="3" t="s">
        <v>62</v>
      </c>
      <c r="D4" s="3" t="s">
        <v>23</v>
      </c>
      <c r="E4" s="3" t="s">
        <v>289</v>
      </c>
      <c r="F4" s="3" t="s">
        <v>25</v>
      </c>
      <c r="G4" s="4">
        <v>70000</v>
      </c>
      <c r="H4" s="3" t="s">
        <v>67</v>
      </c>
      <c r="I4" s="3" t="s">
        <v>71</v>
      </c>
      <c r="J4" s="5">
        <v>0.69097222222222221</v>
      </c>
      <c r="K4" s="6">
        <v>0.6479166666666667</v>
      </c>
      <c r="L4" s="5">
        <v>0.56944444444444442</v>
      </c>
      <c r="M4" s="6">
        <v>0.58194444444444449</v>
      </c>
      <c r="N4" s="3" t="s">
        <v>315</v>
      </c>
      <c r="O4" s="3" t="s">
        <v>184</v>
      </c>
      <c r="P4" s="3">
        <v>246</v>
      </c>
      <c r="Q4" s="3">
        <v>502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44911</v>
      </c>
      <c r="B5" s="3" t="s">
        <v>21</v>
      </c>
      <c r="C5" s="3" t="s">
        <v>117</v>
      </c>
      <c r="D5" s="3" t="s">
        <v>23</v>
      </c>
      <c r="E5" s="3" t="str">
        <f>E4</f>
        <v>HA-LYX</v>
      </c>
      <c r="F5" s="3" t="s">
        <v>25</v>
      </c>
      <c r="G5" s="4">
        <v>70000</v>
      </c>
      <c r="H5" s="3" t="s">
        <v>118</v>
      </c>
      <c r="I5" s="3" t="s">
        <v>119</v>
      </c>
      <c r="J5" s="5">
        <v>0.95138888888888884</v>
      </c>
      <c r="K5" s="6">
        <v>0.96527777777777779</v>
      </c>
      <c r="L5" s="5">
        <v>0.71180555555555547</v>
      </c>
      <c r="M5" s="6">
        <v>0.71597222222222223</v>
      </c>
      <c r="N5" s="3" t="s">
        <v>310</v>
      </c>
      <c r="O5" s="3" t="s">
        <v>311</v>
      </c>
      <c r="P5" s="3">
        <v>494</v>
      </c>
      <c r="Q5" s="3">
        <v>209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44911</v>
      </c>
      <c r="B6" s="3" t="s">
        <v>112</v>
      </c>
      <c r="C6" s="3" t="s">
        <v>75</v>
      </c>
      <c r="D6" s="3" t="s">
        <v>76</v>
      </c>
      <c r="E6" s="3" t="s">
        <v>316</v>
      </c>
      <c r="F6" s="3" t="s">
        <v>25</v>
      </c>
      <c r="G6" s="4">
        <v>80000</v>
      </c>
      <c r="H6" s="3" t="s">
        <v>78</v>
      </c>
      <c r="I6" s="3" t="s">
        <v>79</v>
      </c>
      <c r="J6" s="5">
        <v>0.77777777777777779</v>
      </c>
      <c r="K6" s="6">
        <v>0.81111111111111101</v>
      </c>
      <c r="L6" s="5">
        <v>0.80208333333333337</v>
      </c>
      <c r="M6" s="6">
        <v>0.84583333333333333</v>
      </c>
      <c r="N6" s="3" t="s">
        <v>312</v>
      </c>
      <c r="O6" s="3" t="s">
        <v>313</v>
      </c>
      <c r="P6" s="3">
        <v>494</v>
      </c>
      <c r="Q6" s="3">
        <v>351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44911</v>
      </c>
      <c r="B7" s="3" t="s">
        <v>21</v>
      </c>
      <c r="C7" s="3" t="s">
        <v>121</v>
      </c>
      <c r="D7" s="3" t="s">
        <v>23</v>
      </c>
      <c r="E7" s="3" t="str">
        <f>E3</f>
        <v>HA-LYB</v>
      </c>
      <c r="F7" s="3" t="s">
        <v>122</v>
      </c>
      <c r="G7" s="4">
        <f>G5</f>
        <v>70000</v>
      </c>
      <c r="H7" s="3" t="s">
        <v>304</v>
      </c>
      <c r="I7" s="3" t="s">
        <v>124</v>
      </c>
      <c r="J7" s="5">
        <v>0.75</v>
      </c>
      <c r="K7" s="6">
        <v>0.28958333333333336</v>
      </c>
      <c r="L7" s="7" t="s">
        <v>124</v>
      </c>
      <c r="M7" s="7" t="s">
        <v>124</v>
      </c>
      <c r="N7" s="7">
        <v>0</v>
      </c>
      <c r="O7" s="7" t="s">
        <v>124</v>
      </c>
      <c r="P7" s="7">
        <v>0</v>
      </c>
      <c r="Q7" s="7" t="s">
        <v>124</v>
      </c>
      <c r="R7" s="7">
        <v>0</v>
      </c>
      <c r="S7" s="7" t="s">
        <v>124</v>
      </c>
      <c r="T7" s="7">
        <v>0</v>
      </c>
      <c r="U7" s="7" t="s">
        <v>124</v>
      </c>
    </row>
    <row r="8" spans="1:21" x14ac:dyDescent="0.25">
      <c r="A8" s="2">
        <v>44911</v>
      </c>
      <c r="B8" s="3" t="s">
        <v>21</v>
      </c>
      <c r="C8" s="3" t="str">
        <f>C7</f>
        <v>BEG-TZL</v>
      </c>
      <c r="D8" s="3" t="s">
        <v>23</v>
      </c>
      <c r="E8" s="3" t="str">
        <f>E5</f>
        <v>HA-LYX</v>
      </c>
      <c r="F8" s="3" t="s">
        <v>122</v>
      </c>
      <c r="G8" s="4">
        <f>G7</f>
        <v>70000</v>
      </c>
      <c r="H8" s="3" t="s">
        <v>143</v>
      </c>
      <c r="I8" s="3" t="s">
        <v>124</v>
      </c>
      <c r="J8" s="5">
        <v>0.72916666666666663</v>
      </c>
      <c r="K8" s="6">
        <v>0.53472222222222221</v>
      </c>
      <c r="L8" s="7" t="s">
        <v>124</v>
      </c>
      <c r="M8" s="7" t="s">
        <v>124</v>
      </c>
      <c r="N8" s="7">
        <v>0</v>
      </c>
      <c r="O8" s="7" t="s">
        <v>124</v>
      </c>
      <c r="P8" s="7">
        <v>0</v>
      </c>
      <c r="Q8" s="7" t="s">
        <v>124</v>
      </c>
      <c r="R8" s="7">
        <v>0</v>
      </c>
      <c r="S8" s="7" t="s">
        <v>124</v>
      </c>
      <c r="T8" s="7">
        <v>0</v>
      </c>
      <c r="U8" s="7" t="s">
        <v>124</v>
      </c>
    </row>
    <row r="9" spans="1:21" x14ac:dyDescent="0.25">
      <c r="A9" s="2">
        <v>44911</v>
      </c>
      <c r="B9" s="3" t="s">
        <v>199</v>
      </c>
      <c r="C9" s="3" t="s">
        <v>200</v>
      </c>
      <c r="D9" s="3" t="s">
        <v>201</v>
      </c>
      <c r="E9" s="3" t="s">
        <v>307</v>
      </c>
      <c r="F9" s="3" t="s">
        <v>203</v>
      </c>
      <c r="G9" s="4">
        <v>93000</v>
      </c>
      <c r="H9" s="3" t="s">
        <v>204</v>
      </c>
      <c r="I9" s="3" t="s">
        <v>306</v>
      </c>
      <c r="J9" s="5">
        <v>0.66666666666666663</v>
      </c>
      <c r="K9" s="6">
        <v>0.65555555555555556</v>
      </c>
      <c r="L9" s="5">
        <v>0.8125</v>
      </c>
      <c r="M9" s="6">
        <v>0.8618055555555556</v>
      </c>
      <c r="N9" s="3" t="s">
        <v>314</v>
      </c>
      <c r="O9" s="3" t="s">
        <v>136</v>
      </c>
      <c r="P9" s="3">
        <v>1539</v>
      </c>
      <c r="Q9" s="3">
        <v>1437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3" sqref="A3:U3"/>
    </sheetView>
  </sheetViews>
  <sheetFormatPr defaultRowHeight="15" x14ac:dyDescent="0.25"/>
  <cols>
    <col min="2" max="2" width="16.42578125" bestFit="1" customWidth="1"/>
    <col min="3" max="3" width="13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44912</v>
      </c>
      <c r="B2" s="3" t="s">
        <v>21</v>
      </c>
      <c r="C2" s="3" t="s">
        <v>92</v>
      </c>
      <c r="D2" s="3" t="s">
        <v>23</v>
      </c>
      <c r="E2" s="3" t="s">
        <v>194</v>
      </c>
      <c r="F2" s="3" t="s">
        <v>25</v>
      </c>
      <c r="G2" s="4">
        <v>70000</v>
      </c>
      <c r="H2" s="3" t="s">
        <v>95</v>
      </c>
      <c r="I2" s="3" t="s">
        <v>98</v>
      </c>
      <c r="J2" s="5">
        <v>0.51041666666666663</v>
      </c>
      <c r="K2" s="6">
        <v>0.54791666666666672</v>
      </c>
      <c r="L2" s="5">
        <v>0.30555555555555552</v>
      </c>
      <c r="M2" s="6">
        <v>0.3430555555555555</v>
      </c>
      <c r="N2" s="3" t="s">
        <v>319</v>
      </c>
      <c r="O2" s="3" t="s">
        <v>318</v>
      </c>
      <c r="P2" s="3">
        <v>1129</v>
      </c>
      <c r="Q2" s="3">
        <v>713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44912</v>
      </c>
      <c r="B3" s="3" t="s">
        <v>21</v>
      </c>
      <c r="C3" s="3" t="s">
        <v>94</v>
      </c>
      <c r="D3" s="3" t="s">
        <v>23</v>
      </c>
      <c r="E3" s="3" t="s">
        <v>289</v>
      </c>
      <c r="F3" s="3" t="s">
        <v>25</v>
      </c>
      <c r="G3" s="4">
        <v>70000</v>
      </c>
      <c r="H3" s="3" t="s">
        <v>97</v>
      </c>
      <c r="I3" s="3" t="s">
        <v>100</v>
      </c>
      <c r="J3" s="5">
        <v>0.69791666666666663</v>
      </c>
      <c r="K3" s="6">
        <v>0.70277777777777783</v>
      </c>
      <c r="L3" s="5">
        <v>0.52430555555555558</v>
      </c>
      <c r="M3" s="6">
        <v>0.53611111111111109</v>
      </c>
      <c r="N3" s="3" t="s">
        <v>329</v>
      </c>
      <c r="O3" s="3" t="s">
        <v>320</v>
      </c>
      <c r="P3" s="3">
        <v>936</v>
      </c>
      <c r="Q3" s="3">
        <v>775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44912</v>
      </c>
      <c r="B4" s="3" t="s">
        <v>21</v>
      </c>
      <c r="C4" s="3" t="s">
        <v>37</v>
      </c>
      <c r="D4" s="3" t="s">
        <v>23</v>
      </c>
      <c r="E4" s="3" t="s">
        <v>194</v>
      </c>
      <c r="F4" s="1" t="s">
        <v>25</v>
      </c>
      <c r="G4" s="4">
        <v>70000</v>
      </c>
      <c r="H4" s="3" t="s">
        <v>38</v>
      </c>
      <c r="I4" s="3" t="s">
        <v>39</v>
      </c>
      <c r="J4" s="5">
        <v>0.69791666666666663</v>
      </c>
      <c r="K4" s="6">
        <v>0.72083333333333333</v>
      </c>
      <c r="L4" s="5">
        <v>0.54166666666666663</v>
      </c>
      <c r="M4" s="6">
        <v>0.58194444444444449</v>
      </c>
      <c r="N4" s="3" t="s">
        <v>326</v>
      </c>
      <c r="O4" s="3" t="s">
        <v>321</v>
      </c>
      <c r="P4" s="3">
        <v>989</v>
      </c>
      <c r="Q4" s="3">
        <v>628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44912</v>
      </c>
      <c r="B5" s="3" t="s">
        <v>28</v>
      </c>
      <c r="C5" s="3" t="s">
        <v>29</v>
      </c>
      <c r="D5" s="3" t="s">
        <v>23</v>
      </c>
      <c r="E5" s="3" t="s">
        <v>317</v>
      </c>
      <c r="F5" s="3" t="s">
        <v>25</v>
      </c>
      <c r="G5" s="3">
        <v>70000</v>
      </c>
      <c r="H5" s="3" t="s">
        <v>31</v>
      </c>
      <c r="I5" s="3" t="s">
        <v>32</v>
      </c>
      <c r="J5" s="5">
        <v>0.67361111111111116</v>
      </c>
      <c r="K5" s="6">
        <v>0.67708333333333337</v>
      </c>
      <c r="L5" s="5">
        <v>0.69097222222222221</v>
      </c>
      <c r="M5" s="6">
        <v>0.71388888888888891</v>
      </c>
      <c r="N5" s="3" t="s">
        <v>327</v>
      </c>
      <c r="O5" s="3" t="s">
        <v>324</v>
      </c>
      <c r="P5" s="3">
        <v>338</v>
      </c>
      <c r="Q5" s="3">
        <v>208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44912</v>
      </c>
      <c r="B6" s="3" t="s">
        <v>21</v>
      </c>
      <c r="C6" s="3" t="s">
        <v>63</v>
      </c>
      <c r="D6" s="3" t="s">
        <v>23</v>
      </c>
      <c r="E6" s="3" t="s">
        <v>289</v>
      </c>
      <c r="F6" s="3" t="s">
        <v>25</v>
      </c>
      <c r="G6" s="4">
        <v>70000</v>
      </c>
      <c r="H6" s="3" t="s">
        <v>68</v>
      </c>
      <c r="I6" s="3" t="s">
        <v>72</v>
      </c>
      <c r="J6" s="5">
        <v>0.90277777777777779</v>
      </c>
      <c r="K6" s="6">
        <v>0.90694444444444444</v>
      </c>
      <c r="L6" s="5">
        <v>0.71875</v>
      </c>
      <c r="M6" s="6">
        <v>0.7368055555555556</v>
      </c>
      <c r="N6" s="2" t="s">
        <v>328</v>
      </c>
      <c r="O6" s="2" t="s">
        <v>325</v>
      </c>
      <c r="P6" s="3">
        <v>924</v>
      </c>
      <c r="Q6" s="3">
        <v>564</v>
      </c>
      <c r="R6" s="3">
        <v>0</v>
      </c>
      <c r="S6" s="3">
        <v>0</v>
      </c>
      <c r="T6" s="3">
        <v>0</v>
      </c>
      <c r="U6" s="3">
        <v>0</v>
      </c>
    </row>
    <row r="7" spans="1:21" s="13" customFormat="1" ht="12.75" x14ac:dyDescent="0.2">
      <c r="A7" s="2">
        <v>44912</v>
      </c>
      <c r="B7" s="3" t="s">
        <v>273</v>
      </c>
      <c r="C7" s="3" t="s">
        <v>322</v>
      </c>
      <c r="D7" s="3" t="s">
        <v>275</v>
      </c>
      <c r="E7" s="3" t="s">
        <v>276</v>
      </c>
      <c r="F7" s="3" t="s">
        <v>323</v>
      </c>
      <c r="G7" s="4">
        <v>4900</v>
      </c>
      <c r="H7" s="3" t="s">
        <v>124</v>
      </c>
      <c r="I7" s="3" t="s">
        <v>124</v>
      </c>
      <c r="J7" s="16">
        <v>0.66666666666666663</v>
      </c>
      <c r="K7" s="15">
        <v>0.67291666666666661</v>
      </c>
      <c r="L7" s="16">
        <v>0.6875</v>
      </c>
      <c r="M7" s="15">
        <v>0.68958333333333333</v>
      </c>
      <c r="N7" s="13">
        <v>1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C5" sqref="C5"/>
    </sheetView>
  </sheetViews>
  <sheetFormatPr defaultRowHeight="15" x14ac:dyDescent="0.25"/>
  <cols>
    <col min="3" max="3" width="13.57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44913</v>
      </c>
      <c r="B2" s="3" t="s">
        <v>21</v>
      </c>
      <c r="C2" s="3" t="s">
        <v>22</v>
      </c>
      <c r="D2" s="3" t="s">
        <v>23</v>
      </c>
      <c r="E2" s="3" t="s">
        <v>194</v>
      </c>
      <c r="F2" s="1" t="s">
        <v>25</v>
      </c>
      <c r="G2" s="4">
        <v>70000</v>
      </c>
      <c r="H2" s="3" t="s">
        <v>26</v>
      </c>
      <c r="I2" s="3" t="s">
        <v>27</v>
      </c>
      <c r="J2" s="5">
        <v>0.4826388888888889</v>
      </c>
      <c r="K2" s="6">
        <v>0.48055555555555557</v>
      </c>
      <c r="L2" s="5">
        <v>0.27777777777777779</v>
      </c>
      <c r="M2" s="6">
        <v>0.27777777777777779</v>
      </c>
      <c r="N2" s="2" t="s">
        <v>336</v>
      </c>
      <c r="O2" s="2" t="s">
        <v>331</v>
      </c>
      <c r="P2" s="3">
        <v>823</v>
      </c>
      <c r="Q2" s="3">
        <v>846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44913</v>
      </c>
      <c r="B3" s="3" t="s">
        <v>21</v>
      </c>
      <c r="C3" s="3" t="s">
        <v>29</v>
      </c>
      <c r="D3" s="3" t="s">
        <v>201</v>
      </c>
      <c r="E3" s="3" t="s">
        <v>330</v>
      </c>
      <c r="F3" s="3" t="s">
        <v>25</v>
      </c>
      <c r="G3" s="4">
        <v>70000</v>
      </c>
      <c r="H3" s="3" t="s">
        <v>67</v>
      </c>
      <c r="I3" s="3" t="s">
        <v>71</v>
      </c>
      <c r="J3" s="5">
        <v>0.30555555555555552</v>
      </c>
      <c r="K3" s="6">
        <v>0.30486111111111108</v>
      </c>
      <c r="L3" s="5">
        <v>0.3298611111111111</v>
      </c>
      <c r="M3" s="6">
        <v>0.33680555555555558</v>
      </c>
      <c r="N3" s="2" t="s">
        <v>333</v>
      </c>
      <c r="O3" s="2" t="s">
        <v>332</v>
      </c>
      <c r="P3" s="3">
        <v>379</v>
      </c>
      <c r="Q3" s="3">
        <v>90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44913</v>
      </c>
      <c r="B4" s="9" t="s">
        <v>112</v>
      </c>
      <c r="C4" s="3" t="s">
        <v>113</v>
      </c>
      <c r="D4" s="3" t="s">
        <v>247</v>
      </c>
      <c r="E4" s="3" t="s">
        <v>120</v>
      </c>
      <c r="F4" s="3" t="s">
        <v>25</v>
      </c>
      <c r="G4" s="4">
        <v>80000</v>
      </c>
      <c r="H4" s="3" t="s">
        <v>115</v>
      </c>
      <c r="I4" s="3" t="s">
        <v>116</v>
      </c>
      <c r="J4" s="5">
        <v>0.37847222222222227</v>
      </c>
      <c r="K4" s="6">
        <v>0.37777777777777777</v>
      </c>
      <c r="L4" s="5">
        <v>0.39930555555555558</v>
      </c>
      <c r="M4" s="6">
        <v>0.40625</v>
      </c>
      <c r="N4" s="2" t="s">
        <v>335</v>
      </c>
      <c r="O4" s="2" t="s">
        <v>334</v>
      </c>
      <c r="P4" s="3">
        <v>767</v>
      </c>
      <c r="Q4" s="3">
        <v>117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44913</v>
      </c>
      <c r="B5" s="3" t="s">
        <v>21</v>
      </c>
      <c r="C5" s="3" t="s">
        <v>43</v>
      </c>
      <c r="D5" s="3" t="s">
        <v>23</v>
      </c>
      <c r="E5" s="3" t="s">
        <v>194</v>
      </c>
      <c r="F5" s="3" t="s">
        <v>25</v>
      </c>
      <c r="G5" s="4">
        <v>70000</v>
      </c>
      <c r="H5" s="3" t="s">
        <v>44</v>
      </c>
      <c r="I5" s="3" t="s">
        <v>45</v>
      </c>
      <c r="J5" s="5">
        <v>0.67708333333333337</v>
      </c>
      <c r="K5" s="6">
        <v>0.67013888888888884</v>
      </c>
      <c r="L5" s="5">
        <v>0.50694444444444442</v>
      </c>
      <c r="M5" s="6">
        <v>0.51597222222222217</v>
      </c>
      <c r="N5" s="2" t="s">
        <v>338</v>
      </c>
      <c r="O5" s="2" t="s">
        <v>48</v>
      </c>
      <c r="P5" s="3">
        <v>786</v>
      </c>
      <c r="Q5" s="3">
        <v>804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44913</v>
      </c>
      <c r="B6" s="3" t="s">
        <v>21</v>
      </c>
      <c r="C6" s="3" t="s">
        <v>37</v>
      </c>
      <c r="D6" s="3" t="s">
        <v>23</v>
      </c>
      <c r="E6" s="3" t="s">
        <v>289</v>
      </c>
      <c r="F6" s="1" t="s">
        <v>25</v>
      </c>
      <c r="G6" s="4">
        <v>70000</v>
      </c>
      <c r="H6" s="3" t="s">
        <v>38</v>
      </c>
      <c r="I6" s="3" t="s">
        <v>39</v>
      </c>
      <c r="J6" s="5">
        <v>0.68402777777777779</v>
      </c>
      <c r="K6" s="24" t="s">
        <v>340</v>
      </c>
      <c r="L6" s="5">
        <v>0.52777777777777779</v>
      </c>
      <c r="M6" s="6">
        <v>0.5395833333333333</v>
      </c>
      <c r="N6" s="2" t="s">
        <v>339</v>
      </c>
      <c r="O6" s="2" t="s">
        <v>337</v>
      </c>
      <c r="P6" s="3">
        <v>880</v>
      </c>
      <c r="Q6" s="3">
        <v>479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44913</v>
      </c>
      <c r="B7" s="3" t="s">
        <v>21</v>
      </c>
      <c r="C7" s="3" t="s">
        <v>117</v>
      </c>
      <c r="D7" s="3" t="s">
        <v>23</v>
      </c>
      <c r="E7" s="3" t="s">
        <v>289</v>
      </c>
      <c r="F7" s="3" t="s">
        <v>25</v>
      </c>
      <c r="G7" s="4">
        <v>70000</v>
      </c>
      <c r="H7" s="3" t="s">
        <v>118</v>
      </c>
      <c r="I7" s="3" t="s">
        <v>119</v>
      </c>
      <c r="J7" s="5">
        <v>0.94444444444444453</v>
      </c>
      <c r="K7" s="6">
        <v>0.9458333333333333</v>
      </c>
      <c r="L7" s="5">
        <v>0.70486111111111116</v>
      </c>
      <c r="M7" s="24" t="s">
        <v>342</v>
      </c>
      <c r="N7" s="6" t="s">
        <v>343</v>
      </c>
      <c r="O7" s="24" t="s">
        <v>341</v>
      </c>
      <c r="P7" s="7">
        <v>729</v>
      </c>
      <c r="Q7" s="7">
        <v>354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B6" sqref="B6"/>
    </sheetView>
  </sheetViews>
  <sheetFormatPr defaultRowHeight="15" x14ac:dyDescent="0.25"/>
  <cols>
    <col min="2" max="2" width="9.140625" bestFit="1" customWidth="1"/>
    <col min="3" max="3" width="14" bestFit="1" customWidth="1"/>
    <col min="6" max="6" width="12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44914</v>
      </c>
      <c r="B2" s="3" t="s">
        <v>21</v>
      </c>
      <c r="C2" s="3" t="s">
        <v>60</v>
      </c>
      <c r="D2" s="3" t="s">
        <v>23</v>
      </c>
      <c r="E2" s="3" t="s">
        <v>194</v>
      </c>
      <c r="F2" s="3" t="s">
        <v>25</v>
      </c>
      <c r="G2" s="4">
        <v>70000</v>
      </c>
      <c r="H2" s="3" t="s">
        <v>65</v>
      </c>
      <c r="I2" s="3" t="s">
        <v>70</v>
      </c>
      <c r="J2" s="5">
        <v>0.4826388888888889</v>
      </c>
      <c r="K2" s="6">
        <v>0.47430555555555554</v>
      </c>
      <c r="L2" s="5">
        <v>0.28819444444444448</v>
      </c>
      <c r="M2" s="6">
        <v>0.29652777777777778</v>
      </c>
      <c r="N2" s="3" t="s">
        <v>271</v>
      </c>
      <c r="O2" s="3" t="s">
        <v>308</v>
      </c>
      <c r="P2" s="3">
        <v>928</v>
      </c>
      <c r="Q2" s="3">
        <v>632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44914</v>
      </c>
      <c r="B3" s="3" t="s">
        <v>21</v>
      </c>
      <c r="C3" s="3" t="s">
        <v>59</v>
      </c>
      <c r="D3" s="3" t="s">
        <v>23</v>
      </c>
      <c r="E3" s="3" t="s">
        <v>289</v>
      </c>
      <c r="F3" s="1" t="s">
        <v>25</v>
      </c>
      <c r="G3" s="4">
        <v>70000</v>
      </c>
      <c r="H3" s="3" t="s">
        <v>64</v>
      </c>
      <c r="I3" s="3" t="s">
        <v>69</v>
      </c>
      <c r="J3" s="5">
        <v>0.72222222222222221</v>
      </c>
      <c r="K3" s="6">
        <v>0.72569444444444453</v>
      </c>
      <c r="L3" s="5">
        <v>0.47569444444444442</v>
      </c>
      <c r="M3" s="6">
        <v>0.4770833333333333</v>
      </c>
      <c r="N3" s="3" t="s">
        <v>348</v>
      </c>
      <c r="O3" s="3" t="s">
        <v>344</v>
      </c>
      <c r="P3" s="3">
        <v>1006</v>
      </c>
      <c r="Q3" s="3">
        <v>815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44914</v>
      </c>
      <c r="B4" s="3" t="s">
        <v>21</v>
      </c>
      <c r="C4" s="3" t="s">
        <v>61</v>
      </c>
      <c r="D4" s="3" t="s">
        <v>23</v>
      </c>
      <c r="E4" s="3" t="s">
        <v>194</v>
      </c>
      <c r="F4" s="3" t="s">
        <v>25</v>
      </c>
      <c r="G4" s="4">
        <v>70000</v>
      </c>
      <c r="H4" s="3" t="s">
        <v>66</v>
      </c>
      <c r="I4" s="3" t="s">
        <v>260</v>
      </c>
      <c r="J4" s="5">
        <v>0.68055555555555547</v>
      </c>
      <c r="K4" s="6">
        <v>0.68402777777777779</v>
      </c>
      <c r="L4" s="5">
        <v>0.50694444444444442</v>
      </c>
      <c r="M4" s="6">
        <v>0.51111111111111118</v>
      </c>
      <c r="N4" s="3" t="s">
        <v>349</v>
      </c>
      <c r="O4" s="3" t="s">
        <v>345</v>
      </c>
      <c r="P4" s="3">
        <v>1155</v>
      </c>
      <c r="Q4" s="3">
        <v>323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44914</v>
      </c>
      <c r="B5" s="3" t="s">
        <v>21</v>
      </c>
      <c r="C5" s="3" t="s">
        <v>63</v>
      </c>
      <c r="D5" s="3" t="s">
        <v>23</v>
      </c>
      <c r="E5" s="3" t="s">
        <v>289</v>
      </c>
      <c r="F5" s="3" t="s">
        <v>25</v>
      </c>
      <c r="G5" s="4">
        <v>70000</v>
      </c>
      <c r="H5" s="3" t="s">
        <v>38</v>
      </c>
      <c r="I5" s="3" t="s">
        <v>39</v>
      </c>
      <c r="J5" s="5">
        <v>0.92708333333333337</v>
      </c>
      <c r="K5" s="6">
        <v>0.65625</v>
      </c>
      <c r="L5" s="5">
        <v>0.74305555555555547</v>
      </c>
      <c r="M5" s="6">
        <v>0.68611111111111101</v>
      </c>
      <c r="N5" s="3" t="s">
        <v>346</v>
      </c>
      <c r="O5" s="3" t="s">
        <v>350</v>
      </c>
      <c r="P5" s="3">
        <v>585</v>
      </c>
      <c r="Q5" s="3">
        <v>286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44914</v>
      </c>
      <c r="B6" s="3" t="s">
        <v>112</v>
      </c>
      <c r="C6" s="3" t="s">
        <v>75</v>
      </c>
      <c r="D6" s="3" t="s">
        <v>76</v>
      </c>
      <c r="E6" s="3" t="s">
        <v>316</v>
      </c>
      <c r="F6" s="3" t="s">
        <v>25</v>
      </c>
      <c r="G6" s="4">
        <v>80000</v>
      </c>
      <c r="H6" s="3" t="s">
        <v>78</v>
      </c>
      <c r="I6" s="3" t="s">
        <v>79</v>
      </c>
      <c r="J6" s="5">
        <v>0.67013888888888884</v>
      </c>
      <c r="K6" s="6">
        <v>0.93402777777777779</v>
      </c>
      <c r="L6" s="5">
        <v>0.69444444444444453</v>
      </c>
      <c r="M6" s="6">
        <v>0.76180555555555562</v>
      </c>
      <c r="N6" s="3" t="s">
        <v>351</v>
      </c>
      <c r="O6" s="3" t="s">
        <v>347</v>
      </c>
      <c r="P6" s="3">
        <v>797</v>
      </c>
      <c r="Q6" s="3">
        <v>591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A5" sqref="A5:T5"/>
    </sheetView>
  </sheetViews>
  <sheetFormatPr defaultRowHeight="15" x14ac:dyDescent="0.25"/>
  <cols>
    <col min="1" max="1" width="11.7109375" customWidth="1"/>
    <col min="3" max="3" width="16.85546875" customWidth="1"/>
    <col min="6" max="6" width="21.85546875" customWidth="1"/>
    <col min="7" max="7" width="9.85546875" bestFit="1" customWidth="1"/>
    <col min="10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44915</v>
      </c>
      <c r="B2" s="3" t="s">
        <v>21</v>
      </c>
      <c r="C2" s="3" t="s">
        <v>92</v>
      </c>
      <c r="D2" s="3" t="s">
        <v>23</v>
      </c>
      <c r="E2" s="3" t="s">
        <v>352</v>
      </c>
      <c r="F2" s="3" t="s">
        <v>25</v>
      </c>
      <c r="G2" s="4">
        <v>70000</v>
      </c>
      <c r="H2" s="3" t="s">
        <v>95</v>
      </c>
      <c r="I2" s="3" t="s">
        <v>98</v>
      </c>
      <c r="J2" s="5">
        <v>0.51041666666666663</v>
      </c>
      <c r="K2" s="6">
        <v>0.50347222222222221</v>
      </c>
      <c r="L2" s="5">
        <v>0.30555555555555552</v>
      </c>
      <c r="M2" s="6">
        <v>0.30972222222222223</v>
      </c>
      <c r="N2" s="3" t="s">
        <v>48</v>
      </c>
      <c r="O2" s="3" t="s">
        <v>353</v>
      </c>
      <c r="P2" s="3">
        <v>833</v>
      </c>
      <c r="Q2" s="3">
        <v>557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44915</v>
      </c>
      <c r="B3" s="3" t="s">
        <v>21</v>
      </c>
      <c r="C3" s="3" t="s">
        <v>94</v>
      </c>
      <c r="D3" s="3" t="s">
        <v>23</v>
      </c>
      <c r="E3" s="3" t="s">
        <v>289</v>
      </c>
      <c r="F3" s="3" t="s">
        <v>25</v>
      </c>
      <c r="G3" s="4">
        <v>70000</v>
      </c>
      <c r="H3" s="3" t="s">
        <v>97</v>
      </c>
      <c r="I3" s="3" t="s">
        <v>100</v>
      </c>
      <c r="J3" s="5">
        <v>0.70486111111111116</v>
      </c>
      <c r="K3" s="6">
        <v>0.69513888888888886</v>
      </c>
      <c r="L3" s="5">
        <v>0.53125</v>
      </c>
      <c r="M3" s="6">
        <v>0.53472222222222221</v>
      </c>
      <c r="N3" s="3" t="s">
        <v>165</v>
      </c>
      <c r="O3" s="3" t="s">
        <v>354</v>
      </c>
      <c r="P3" s="3">
        <v>836</v>
      </c>
      <c r="Q3" s="3">
        <v>481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44915</v>
      </c>
      <c r="B4" s="3" t="s">
        <v>21</v>
      </c>
      <c r="C4" s="3" t="s">
        <v>37</v>
      </c>
      <c r="D4" s="3" t="s">
        <v>23</v>
      </c>
      <c r="E4" s="3" t="s">
        <v>194</v>
      </c>
      <c r="F4" s="1" t="s">
        <v>25</v>
      </c>
      <c r="G4" s="4">
        <v>70000</v>
      </c>
      <c r="H4" s="3" t="s">
        <v>38</v>
      </c>
      <c r="I4" s="3" t="s">
        <v>39</v>
      </c>
      <c r="J4" s="5">
        <v>0.69791666666666663</v>
      </c>
      <c r="K4" s="6">
        <v>0.67708333333333337</v>
      </c>
      <c r="L4" s="5">
        <v>0.54166666666666663</v>
      </c>
      <c r="M4" s="6">
        <v>0.5444444444444444</v>
      </c>
      <c r="N4" s="3" t="s">
        <v>363</v>
      </c>
      <c r="O4" s="3" t="s">
        <v>355</v>
      </c>
      <c r="P4" s="3">
        <v>615</v>
      </c>
      <c r="Q4" s="3">
        <v>422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44915</v>
      </c>
      <c r="B5" s="3" t="s">
        <v>21</v>
      </c>
      <c r="C5" s="3" t="s">
        <v>40</v>
      </c>
      <c r="D5" s="3" t="s">
        <v>23</v>
      </c>
      <c r="E5" s="3" t="s">
        <v>289</v>
      </c>
      <c r="F5" s="3" t="s">
        <v>25</v>
      </c>
      <c r="G5" s="4">
        <v>70000</v>
      </c>
      <c r="H5" s="3" t="s">
        <v>41</v>
      </c>
      <c r="I5" s="3" t="s">
        <v>42</v>
      </c>
      <c r="J5" s="5">
        <v>0.9375</v>
      </c>
      <c r="K5" s="6">
        <v>0.92847222222222225</v>
      </c>
      <c r="L5" s="5">
        <v>0.72916666666666663</v>
      </c>
      <c r="M5" s="6">
        <v>0.73541666666666661</v>
      </c>
      <c r="N5" s="3" t="s">
        <v>259</v>
      </c>
      <c r="O5" s="3" t="s">
        <v>343</v>
      </c>
      <c r="P5" s="3">
        <v>828</v>
      </c>
      <c r="Q5" s="3">
        <v>1084</v>
      </c>
      <c r="R5" s="3">
        <v>0</v>
      </c>
      <c r="S5" s="3"/>
      <c r="T5" s="3">
        <v>0</v>
      </c>
      <c r="U5" s="3">
        <v>0</v>
      </c>
    </row>
    <row r="6" spans="1:21" x14ac:dyDescent="0.25">
      <c r="A6" s="2">
        <v>44915</v>
      </c>
      <c r="B6" s="3" t="s">
        <v>112</v>
      </c>
      <c r="C6" s="3" t="s">
        <v>29</v>
      </c>
      <c r="D6" s="3" t="s">
        <v>23</v>
      </c>
      <c r="E6" s="25" t="s">
        <v>362</v>
      </c>
      <c r="F6" s="3" t="s">
        <v>25</v>
      </c>
      <c r="G6" s="4">
        <v>70000</v>
      </c>
      <c r="H6" s="3" t="s">
        <v>31</v>
      </c>
      <c r="I6" s="3" t="s">
        <v>32</v>
      </c>
      <c r="J6" s="5">
        <v>0.6875</v>
      </c>
      <c r="K6" s="6">
        <v>0.6972222222222223</v>
      </c>
      <c r="L6" s="5">
        <v>0.70486111111111116</v>
      </c>
      <c r="M6" s="6">
        <v>0.7319444444444444</v>
      </c>
      <c r="N6" s="3" t="s">
        <v>368</v>
      </c>
      <c r="O6" s="3" t="s">
        <v>369</v>
      </c>
      <c r="P6" s="3">
        <v>494</v>
      </c>
      <c r="Q6" s="3">
        <v>130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44915</v>
      </c>
      <c r="B7" s="3" t="s">
        <v>356</v>
      </c>
      <c r="C7" s="3" t="s">
        <v>365</v>
      </c>
      <c r="D7" s="3" t="s">
        <v>357</v>
      </c>
      <c r="E7" s="3" t="s">
        <v>359</v>
      </c>
      <c r="F7" s="3" t="s">
        <v>364</v>
      </c>
      <c r="G7" s="4">
        <v>6600</v>
      </c>
      <c r="H7" s="3" t="s">
        <v>358</v>
      </c>
      <c r="I7" s="3" t="s">
        <v>366</v>
      </c>
      <c r="J7" s="5">
        <v>0.56944444444444442</v>
      </c>
      <c r="K7" s="6">
        <v>0.5756944444444444</v>
      </c>
      <c r="L7" s="5">
        <v>0.76388888888888884</v>
      </c>
      <c r="M7" s="6">
        <v>0.81388888888888899</v>
      </c>
      <c r="N7" s="3" t="s">
        <v>124</v>
      </c>
      <c r="O7" s="3" t="s">
        <v>124</v>
      </c>
      <c r="P7" s="3" t="s">
        <v>124</v>
      </c>
      <c r="Q7" s="3" t="s">
        <v>124</v>
      </c>
      <c r="R7" s="3">
        <v>791</v>
      </c>
      <c r="S7" s="3">
        <v>0</v>
      </c>
      <c r="T7" s="3">
        <v>0</v>
      </c>
      <c r="U7" s="3">
        <v>0</v>
      </c>
    </row>
    <row r="8" spans="1:21" x14ac:dyDescent="0.25">
      <c r="A8" s="2">
        <v>44915</v>
      </c>
      <c r="B8" s="3" t="s">
        <v>356</v>
      </c>
      <c r="C8" s="3" t="s">
        <v>365</v>
      </c>
      <c r="D8" s="3" t="s">
        <v>357</v>
      </c>
      <c r="E8" s="3" t="s">
        <v>360</v>
      </c>
      <c r="F8" s="3" t="s">
        <v>364</v>
      </c>
      <c r="G8" s="4">
        <v>6600</v>
      </c>
      <c r="H8" s="3" t="s">
        <v>361</v>
      </c>
      <c r="I8" s="3" t="s">
        <v>367</v>
      </c>
      <c r="J8" s="5">
        <v>0.57638888888888895</v>
      </c>
      <c r="K8" s="6">
        <v>0.57916666666666672</v>
      </c>
      <c r="L8" s="5">
        <v>0.76041666666666663</v>
      </c>
      <c r="M8" s="6">
        <v>0.82638888888888884</v>
      </c>
      <c r="N8" s="3" t="s">
        <v>124</v>
      </c>
      <c r="O8" s="3" t="s">
        <v>124</v>
      </c>
      <c r="P8" s="3" t="s">
        <v>124</v>
      </c>
      <c r="Q8" s="3" t="s">
        <v>124</v>
      </c>
      <c r="R8" s="3">
        <v>1148</v>
      </c>
      <c r="S8" s="3">
        <v>0</v>
      </c>
      <c r="T8" s="3">
        <v>0</v>
      </c>
      <c r="U8" s="3">
        <v>0</v>
      </c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sqref="A1:U7"/>
    </sheetView>
  </sheetViews>
  <sheetFormatPr defaultRowHeight="15" x14ac:dyDescent="0.25"/>
  <cols>
    <col min="1" max="1" width="11.28515625" bestFit="1" customWidth="1"/>
    <col min="2" max="2" width="11.140625" customWidth="1"/>
    <col min="3" max="3" width="15.85546875" customWidth="1"/>
    <col min="6" max="6" width="14.7109375" customWidth="1"/>
    <col min="7" max="7" width="9.42578125" bestFit="1" customWidth="1"/>
    <col min="10" max="13" width="9.42578125" bestFit="1" customWidth="1"/>
    <col min="16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44916</v>
      </c>
      <c r="B2" s="3" t="s">
        <v>21</v>
      </c>
      <c r="C2" s="3" t="s">
        <v>22</v>
      </c>
      <c r="D2" s="3" t="s">
        <v>23</v>
      </c>
      <c r="E2" s="3" t="s">
        <v>194</v>
      </c>
      <c r="F2" s="1" t="s">
        <v>25</v>
      </c>
      <c r="G2" s="4">
        <v>70000</v>
      </c>
      <c r="H2" s="3" t="s">
        <v>26</v>
      </c>
      <c r="I2" s="3" t="s">
        <v>27</v>
      </c>
      <c r="J2" s="5">
        <v>0.51041666666666663</v>
      </c>
      <c r="K2" s="6">
        <v>0.50555555555555554</v>
      </c>
      <c r="L2" s="5">
        <v>0.31597222222222221</v>
      </c>
      <c r="M2" s="6">
        <v>0.32777777777777778</v>
      </c>
      <c r="N2" s="3" t="s">
        <v>375</v>
      </c>
      <c r="O2" s="3" t="s">
        <v>373</v>
      </c>
      <c r="P2" s="3">
        <v>957</v>
      </c>
      <c r="Q2" s="3">
        <v>835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44916</v>
      </c>
      <c r="B3" s="3" t="s">
        <v>21</v>
      </c>
      <c r="C3" s="3" t="s">
        <v>117</v>
      </c>
      <c r="D3" s="3" t="s">
        <v>23</v>
      </c>
      <c r="E3" s="3" t="s">
        <v>371</v>
      </c>
      <c r="F3" s="3" t="s">
        <v>25</v>
      </c>
      <c r="G3" s="4">
        <v>70000</v>
      </c>
      <c r="H3" s="3" t="s">
        <v>118</v>
      </c>
      <c r="I3" s="3" t="s">
        <v>119</v>
      </c>
      <c r="J3" s="5">
        <v>0.72222222222222221</v>
      </c>
      <c r="K3" s="6">
        <v>0.70486111111111116</v>
      </c>
      <c r="L3" s="5">
        <v>0.4826388888888889</v>
      </c>
      <c r="M3" s="6">
        <v>0.47986111111111113</v>
      </c>
      <c r="N3" s="3" t="s">
        <v>378</v>
      </c>
      <c r="O3" s="3" t="s">
        <v>376</v>
      </c>
      <c r="P3" s="3">
        <v>1021</v>
      </c>
      <c r="Q3" s="3">
        <v>289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44916</v>
      </c>
      <c r="B4" s="3" t="s">
        <v>21</v>
      </c>
      <c r="C4" s="3" t="s">
        <v>63</v>
      </c>
      <c r="D4" s="3" t="s">
        <v>23</v>
      </c>
      <c r="E4" s="3" t="s">
        <v>194</v>
      </c>
      <c r="F4" s="3" t="s">
        <v>25</v>
      </c>
      <c r="G4" s="4">
        <v>70000</v>
      </c>
      <c r="H4" s="3" t="s">
        <v>38</v>
      </c>
      <c r="I4" s="3" t="s">
        <v>39</v>
      </c>
      <c r="J4" s="5">
        <v>0.71875</v>
      </c>
      <c r="K4" s="6">
        <v>0.71111111111111114</v>
      </c>
      <c r="L4" s="5">
        <v>0.53125</v>
      </c>
      <c r="M4" s="6">
        <v>0.54166666666666663</v>
      </c>
      <c r="N4" s="3" t="s">
        <v>379</v>
      </c>
      <c r="O4" s="3" t="s">
        <v>377</v>
      </c>
      <c r="P4" s="3">
        <v>651</v>
      </c>
      <c r="Q4" s="3">
        <v>622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44916</v>
      </c>
      <c r="B5" s="3" t="s">
        <v>21</v>
      </c>
      <c r="C5" s="3" t="s">
        <v>62</v>
      </c>
      <c r="D5" s="3" t="s">
        <v>23</v>
      </c>
      <c r="E5" s="3" t="s">
        <v>194</v>
      </c>
      <c r="F5" s="1" t="s">
        <v>25</v>
      </c>
      <c r="G5" s="4">
        <v>70000</v>
      </c>
      <c r="H5" s="3" t="s">
        <v>38</v>
      </c>
      <c r="I5" s="3" t="s">
        <v>39</v>
      </c>
      <c r="J5" s="5">
        <v>0.86458333333333337</v>
      </c>
      <c r="K5" s="6">
        <v>0.86319444444444438</v>
      </c>
      <c r="L5" s="5">
        <v>0.74305555555555547</v>
      </c>
      <c r="M5" s="6">
        <v>0.74930555555555556</v>
      </c>
      <c r="N5" s="3" t="s">
        <v>383</v>
      </c>
      <c r="O5" s="3" t="s">
        <v>380</v>
      </c>
      <c r="P5" s="3">
        <v>546</v>
      </c>
      <c r="Q5" s="3">
        <v>135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44916</v>
      </c>
      <c r="B6" s="3" t="s">
        <v>112</v>
      </c>
      <c r="C6" s="3" t="s">
        <v>113</v>
      </c>
      <c r="D6" s="3" t="s">
        <v>247</v>
      </c>
      <c r="E6" s="3" t="s">
        <v>370</v>
      </c>
      <c r="F6" s="3" t="s">
        <v>25</v>
      </c>
      <c r="G6" s="4">
        <v>80000</v>
      </c>
      <c r="H6" s="3" t="s">
        <v>115</v>
      </c>
      <c r="I6" s="3" t="s">
        <v>116</v>
      </c>
      <c r="J6" s="5">
        <v>0.38541666666666669</v>
      </c>
      <c r="K6" s="6">
        <v>0.38055555555555554</v>
      </c>
      <c r="L6" s="5">
        <v>0.40277777777777773</v>
      </c>
      <c r="M6" s="6">
        <v>0.4201388888888889</v>
      </c>
      <c r="N6" s="3" t="s">
        <v>372</v>
      </c>
      <c r="O6" s="3" t="s">
        <v>374</v>
      </c>
      <c r="P6" s="3">
        <v>897</v>
      </c>
      <c r="Q6" s="3">
        <v>364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44916</v>
      </c>
      <c r="B7" s="3" t="s">
        <v>21</v>
      </c>
      <c r="C7" s="3" t="s">
        <v>209</v>
      </c>
      <c r="D7" s="3" t="s">
        <v>201</v>
      </c>
      <c r="E7" s="3" t="s">
        <v>230</v>
      </c>
      <c r="F7" s="3" t="s">
        <v>203</v>
      </c>
      <c r="G7" s="3">
        <v>90500</v>
      </c>
      <c r="H7" s="3" t="s">
        <v>381</v>
      </c>
      <c r="I7" s="3" t="s">
        <v>124</v>
      </c>
      <c r="J7" s="5">
        <v>0.70833333333333337</v>
      </c>
      <c r="K7" s="6">
        <v>0.72013888888888899</v>
      </c>
      <c r="L7" s="26" t="s">
        <v>217</v>
      </c>
      <c r="M7" s="26" t="s">
        <v>217</v>
      </c>
      <c r="N7" s="3" t="s">
        <v>382</v>
      </c>
      <c r="O7" s="3" t="s">
        <v>124</v>
      </c>
      <c r="P7" s="3">
        <v>3388</v>
      </c>
      <c r="Q7" s="3" t="s">
        <v>124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4" sqref="A4:XFD5"/>
    </sheetView>
  </sheetViews>
  <sheetFormatPr defaultRowHeight="15" x14ac:dyDescent="0.25"/>
  <cols>
    <col min="3" max="3" width="14.7109375" customWidth="1"/>
    <col min="6" max="6" width="12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44917</v>
      </c>
      <c r="B2" s="3" t="s">
        <v>21</v>
      </c>
      <c r="C2" s="3" t="s">
        <v>22</v>
      </c>
      <c r="D2" s="3" t="s">
        <v>23</v>
      </c>
      <c r="E2" s="3" t="s">
        <v>289</v>
      </c>
      <c r="F2" s="3" t="s">
        <v>25</v>
      </c>
      <c r="G2" s="4">
        <v>70000</v>
      </c>
      <c r="H2" s="3" t="s">
        <v>26</v>
      </c>
      <c r="I2" s="3" t="s">
        <v>27</v>
      </c>
      <c r="J2" s="5">
        <v>0.4826388888888889</v>
      </c>
      <c r="K2" s="6">
        <v>0.47500000000000003</v>
      </c>
      <c r="L2" s="5">
        <v>0.27777777777777779</v>
      </c>
      <c r="M2" s="6">
        <v>0.28125</v>
      </c>
      <c r="N2" s="3" t="s">
        <v>389</v>
      </c>
      <c r="O2" s="3" t="s">
        <v>385</v>
      </c>
      <c r="P2" s="3">
        <v>938</v>
      </c>
      <c r="Q2" s="3">
        <v>562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44917</v>
      </c>
      <c r="B3" s="3" t="s">
        <v>21</v>
      </c>
      <c r="C3" s="3" t="s">
        <v>94</v>
      </c>
      <c r="D3" s="3" t="s">
        <v>23</v>
      </c>
      <c r="E3" s="3" t="s">
        <v>289</v>
      </c>
      <c r="F3" s="3" t="s">
        <v>25</v>
      </c>
      <c r="G3" s="4">
        <v>70000</v>
      </c>
      <c r="H3" s="3" t="s">
        <v>97</v>
      </c>
      <c r="I3" s="3" t="s">
        <v>100</v>
      </c>
      <c r="J3" s="5">
        <v>0.68055555555555547</v>
      </c>
      <c r="K3" s="6">
        <v>0.67569444444444438</v>
      </c>
      <c r="L3" s="5">
        <v>0.50694444444444442</v>
      </c>
      <c r="M3" s="6">
        <v>0.50972222222222219</v>
      </c>
      <c r="N3" s="3" t="s">
        <v>245</v>
      </c>
      <c r="O3" s="6" t="s">
        <v>83</v>
      </c>
      <c r="P3" s="3">
        <v>703</v>
      </c>
      <c r="Q3" s="6">
        <v>545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44917</v>
      </c>
      <c r="B4" s="3" t="s">
        <v>21</v>
      </c>
      <c r="C4" s="3" t="s">
        <v>37</v>
      </c>
      <c r="D4" s="3" t="s">
        <v>23</v>
      </c>
      <c r="E4" s="3" t="s">
        <v>194</v>
      </c>
      <c r="F4" s="1" t="s">
        <v>25</v>
      </c>
      <c r="G4" s="4">
        <v>70000</v>
      </c>
      <c r="H4" s="3" t="s">
        <v>38</v>
      </c>
      <c r="I4" s="3" t="s">
        <v>39</v>
      </c>
      <c r="J4" s="5">
        <v>0.68402777777777779</v>
      </c>
      <c r="K4" s="6">
        <v>0.7895833333333333</v>
      </c>
      <c r="L4" s="5">
        <v>0.52777777777777779</v>
      </c>
      <c r="M4" s="6">
        <v>0.65972222222222221</v>
      </c>
      <c r="N4" s="3" t="s">
        <v>110</v>
      </c>
      <c r="O4" s="3" t="s">
        <v>49</v>
      </c>
      <c r="P4" s="3">
        <v>1091</v>
      </c>
      <c r="Q4" s="3">
        <v>427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44917</v>
      </c>
      <c r="B5" s="3" t="s">
        <v>21</v>
      </c>
      <c r="C5" s="3" t="s">
        <v>43</v>
      </c>
      <c r="D5" s="3" t="s">
        <v>23</v>
      </c>
      <c r="E5" s="3" t="s">
        <v>194</v>
      </c>
      <c r="F5" s="3" t="s">
        <v>25</v>
      </c>
      <c r="G5" s="4">
        <v>70000</v>
      </c>
      <c r="H5" s="3" t="s">
        <v>44</v>
      </c>
      <c r="I5" s="3" t="s">
        <v>45</v>
      </c>
      <c r="J5" s="5">
        <v>0.88888888888888884</v>
      </c>
      <c r="K5" s="6">
        <v>0.98125000000000007</v>
      </c>
      <c r="L5" s="5">
        <v>0.71875</v>
      </c>
      <c r="M5" s="6">
        <v>0.82291666666666663</v>
      </c>
      <c r="N5" s="3" t="s">
        <v>391</v>
      </c>
      <c r="O5" s="2" t="s">
        <v>390</v>
      </c>
      <c r="P5" s="3">
        <v>1033</v>
      </c>
      <c r="Q5" s="3">
        <v>624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44917</v>
      </c>
      <c r="B6" s="3" t="s">
        <v>28</v>
      </c>
      <c r="C6" s="3" t="s">
        <v>29</v>
      </c>
      <c r="D6" s="3" t="s">
        <v>76</v>
      </c>
      <c r="E6" s="23" t="s">
        <v>384</v>
      </c>
      <c r="F6" s="3" t="s">
        <v>25</v>
      </c>
      <c r="G6" s="4">
        <v>80000</v>
      </c>
      <c r="H6" s="3" t="s">
        <v>31</v>
      </c>
      <c r="I6" s="3" t="s">
        <v>32</v>
      </c>
      <c r="J6" s="5">
        <v>0.30208333333333331</v>
      </c>
      <c r="K6" s="6">
        <v>0.30555555555555552</v>
      </c>
      <c r="L6" s="5">
        <v>0.31944444444444448</v>
      </c>
      <c r="M6" s="6">
        <v>0.33680555555555558</v>
      </c>
      <c r="N6" s="3" t="s">
        <v>386</v>
      </c>
      <c r="O6" s="3" t="s">
        <v>387</v>
      </c>
      <c r="P6" s="3">
        <v>195</v>
      </c>
      <c r="Q6" s="3">
        <v>195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44917</v>
      </c>
      <c r="B7" s="3" t="s">
        <v>21</v>
      </c>
      <c r="C7" s="3" t="s">
        <v>232</v>
      </c>
      <c r="D7" s="3" t="s">
        <v>23</v>
      </c>
      <c r="E7" s="3" t="s">
        <v>230</v>
      </c>
      <c r="F7" s="3" t="s">
        <v>388</v>
      </c>
      <c r="G7" s="4">
        <v>89000</v>
      </c>
      <c r="H7" s="3" t="s">
        <v>124</v>
      </c>
      <c r="I7" s="3" t="s">
        <v>381</v>
      </c>
      <c r="J7" s="3" t="s">
        <v>217</v>
      </c>
      <c r="K7" s="3" t="s">
        <v>124</v>
      </c>
      <c r="L7" s="16">
        <v>0.45833333333333331</v>
      </c>
      <c r="M7" s="6">
        <v>0.4826388888888889</v>
      </c>
      <c r="N7" s="3" t="s">
        <v>124</v>
      </c>
      <c r="O7" s="13">
        <v>0</v>
      </c>
      <c r="P7" s="13" t="s">
        <v>124</v>
      </c>
      <c r="Q7" s="13">
        <v>0</v>
      </c>
      <c r="R7" s="13" t="s">
        <v>124</v>
      </c>
      <c r="S7" s="13">
        <v>0</v>
      </c>
      <c r="T7" s="13" t="s">
        <v>124</v>
      </c>
      <c r="U7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G29" sqref="G29"/>
    </sheetView>
  </sheetViews>
  <sheetFormatPr defaultRowHeight="15" x14ac:dyDescent="0.25"/>
  <cols>
    <col min="3" max="3" width="14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44918</v>
      </c>
      <c r="B2" s="3" t="s">
        <v>21</v>
      </c>
      <c r="C2" s="3" t="s">
        <v>60</v>
      </c>
      <c r="D2" s="3" t="s">
        <v>23</v>
      </c>
      <c r="E2" s="3" t="s">
        <v>289</v>
      </c>
      <c r="F2" s="3" t="s">
        <v>25</v>
      </c>
      <c r="G2" s="4">
        <v>70000</v>
      </c>
      <c r="H2" s="3" t="s">
        <v>65</v>
      </c>
      <c r="I2" s="3" t="s">
        <v>70</v>
      </c>
      <c r="J2" s="5">
        <v>0.4826388888888889</v>
      </c>
      <c r="K2" s="6">
        <v>0.48749999999999999</v>
      </c>
      <c r="L2" s="5">
        <v>0.28819444444444448</v>
      </c>
      <c r="M2" s="6">
        <v>0.3034722222222222</v>
      </c>
      <c r="N2" s="3" t="s">
        <v>393</v>
      </c>
      <c r="O2" s="3" t="s">
        <v>50</v>
      </c>
      <c r="P2" s="3">
        <v>1134</v>
      </c>
      <c r="Q2" s="3">
        <v>602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44918</v>
      </c>
      <c r="B3" s="3" t="s">
        <v>21</v>
      </c>
      <c r="C3" s="3" t="s">
        <v>61</v>
      </c>
      <c r="D3" s="3" t="s">
        <v>23</v>
      </c>
      <c r="E3" s="3" t="str">
        <f>E2</f>
        <v>HA-LYX</v>
      </c>
      <c r="F3" s="3" t="s">
        <v>25</v>
      </c>
      <c r="G3" s="4">
        <v>70000</v>
      </c>
      <c r="H3" s="3" t="s">
        <v>66</v>
      </c>
      <c r="I3" s="3" t="s">
        <v>66</v>
      </c>
      <c r="J3" s="5">
        <v>0.68055555555555547</v>
      </c>
      <c r="K3" s="6">
        <v>0.67083333333333339</v>
      </c>
      <c r="L3" s="5">
        <v>0.50694444444444442</v>
      </c>
      <c r="M3" s="6">
        <v>0.51666666666666672</v>
      </c>
      <c r="N3" s="3" t="s">
        <v>396</v>
      </c>
      <c r="O3" s="3" t="s">
        <v>394</v>
      </c>
      <c r="P3" s="3">
        <v>986</v>
      </c>
      <c r="Q3" s="3">
        <v>588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44918</v>
      </c>
      <c r="B4" s="3" t="s">
        <v>21</v>
      </c>
      <c r="C4" s="3" t="s">
        <v>62</v>
      </c>
      <c r="D4" s="3" t="s">
        <v>23</v>
      </c>
      <c r="E4" s="3" t="s">
        <v>194</v>
      </c>
      <c r="F4" s="3" t="s">
        <v>25</v>
      </c>
      <c r="G4" s="4">
        <v>70000</v>
      </c>
      <c r="H4" s="3" t="s">
        <v>67</v>
      </c>
      <c r="I4" s="3" t="s">
        <v>71</v>
      </c>
      <c r="J4" s="5">
        <v>0.69097222222222221</v>
      </c>
      <c r="K4" s="6">
        <v>0.68055555555555547</v>
      </c>
      <c r="L4" s="5">
        <v>0.56944444444444442</v>
      </c>
      <c r="M4" s="6">
        <v>0.5708333333333333</v>
      </c>
      <c r="N4" s="3" t="s">
        <v>164</v>
      </c>
      <c r="O4" s="3" t="s">
        <v>395</v>
      </c>
      <c r="P4" s="3">
        <v>563</v>
      </c>
      <c r="Q4" s="3">
        <v>438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44918</v>
      </c>
      <c r="B5" s="3" t="s">
        <v>21</v>
      </c>
      <c r="C5" s="3" t="s">
        <v>117</v>
      </c>
      <c r="D5" s="3" t="s">
        <v>23</v>
      </c>
      <c r="E5" s="3" t="str">
        <f>E4</f>
        <v>HA-LYB</v>
      </c>
      <c r="F5" s="3" t="s">
        <v>25</v>
      </c>
      <c r="G5" s="4">
        <v>70000</v>
      </c>
      <c r="H5" s="3" t="s">
        <v>118</v>
      </c>
      <c r="I5" s="3" t="s">
        <v>119</v>
      </c>
      <c r="J5" s="5">
        <v>0.95138888888888884</v>
      </c>
      <c r="K5" s="6">
        <v>0.9375</v>
      </c>
      <c r="L5" s="5">
        <v>0.71180555555555547</v>
      </c>
      <c r="M5" s="6">
        <v>0.71180555555555547</v>
      </c>
      <c r="N5" s="3" t="s">
        <v>400</v>
      </c>
      <c r="O5" s="3" t="s">
        <v>397</v>
      </c>
      <c r="P5" s="3">
        <v>677</v>
      </c>
      <c r="Q5" s="3">
        <v>516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44918</v>
      </c>
      <c r="B6" s="3" t="s">
        <v>112</v>
      </c>
      <c r="C6" s="3" t="s">
        <v>75</v>
      </c>
      <c r="D6" s="3" t="s">
        <v>76</v>
      </c>
      <c r="E6" s="3" t="s">
        <v>392</v>
      </c>
      <c r="F6" s="3" t="s">
        <v>25</v>
      </c>
      <c r="G6" s="4">
        <v>80</v>
      </c>
      <c r="H6" s="3" t="s">
        <v>78</v>
      </c>
      <c r="I6" s="3" t="s">
        <v>79</v>
      </c>
      <c r="J6" s="5">
        <v>0.77777777777777779</v>
      </c>
      <c r="K6" s="6">
        <v>0.75347222222222221</v>
      </c>
      <c r="L6" s="5">
        <v>0.80208333333333337</v>
      </c>
      <c r="M6" s="6">
        <v>0.79791666666666661</v>
      </c>
      <c r="N6" s="3" t="s">
        <v>398</v>
      </c>
      <c r="O6" s="3" t="s">
        <v>399</v>
      </c>
      <c r="P6" s="3">
        <v>650</v>
      </c>
      <c r="Q6" s="3">
        <v>598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E1" workbookViewId="0">
      <selection sqref="A1:U7"/>
    </sheetView>
  </sheetViews>
  <sheetFormatPr defaultRowHeight="15" x14ac:dyDescent="0.25"/>
  <cols>
    <col min="3" max="3" width="13.28515625" bestFit="1" customWidth="1"/>
    <col min="6" max="6" width="12.140625" bestFit="1" customWidth="1"/>
    <col min="11" max="11" width="11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44919</v>
      </c>
      <c r="B2" s="3" t="s">
        <v>21</v>
      </c>
      <c r="C2" s="3" t="s">
        <v>22</v>
      </c>
      <c r="D2" s="3" t="s">
        <v>23</v>
      </c>
      <c r="E2" s="3" t="s">
        <v>289</v>
      </c>
      <c r="F2" s="1" t="s">
        <v>25</v>
      </c>
      <c r="G2" s="4">
        <v>70000</v>
      </c>
      <c r="H2" s="3" t="s">
        <v>26</v>
      </c>
      <c r="I2" s="3" t="s">
        <v>27</v>
      </c>
      <c r="J2" s="5">
        <v>0.4826388888888889</v>
      </c>
      <c r="K2" s="6">
        <v>0.47847222222222219</v>
      </c>
      <c r="L2" s="5">
        <v>0.27777777777777779</v>
      </c>
      <c r="M2" s="6">
        <v>0.28263888888888888</v>
      </c>
      <c r="N2" s="2" t="s">
        <v>403</v>
      </c>
      <c r="O2" s="2" t="s">
        <v>109</v>
      </c>
      <c r="P2" s="3">
        <v>1240</v>
      </c>
      <c r="Q2" s="3">
        <v>517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44919</v>
      </c>
      <c r="B3" s="3" t="s">
        <v>21</v>
      </c>
      <c r="C3" s="3" t="s">
        <v>92</v>
      </c>
      <c r="D3" s="3" t="s">
        <v>23</v>
      </c>
      <c r="E3" s="3" t="s">
        <v>194</v>
      </c>
      <c r="F3" s="3" t="s">
        <v>25</v>
      </c>
      <c r="G3" s="4">
        <v>70000</v>
      </c>
      <c r="H3" s="3" t="s">
        <v>95</v>
      </c>
      <c r="I3" s="3" t="s">
        <v>98</v>
      </c>
      <c r="J3" s="5">
        <v>0.51041666666666663</v>
      </c>
      <c r="K3" s="6">
        <v>0.50763888888888886</v>
      </c>
      <c r="L3" s="5">
        <v>0.30555555555555552</v>
      </c>
      <c r="M3" s="6">
        <v>0.31111111111111112</v>
      </c>
      <c r="N3" s="2" t="s">
        <v>271</v>
      </c>
      <c r="O3" s="2" t="s">
        <v>402</v>
      </c>
      <c r="P3" s="3">
        <v>1166</v>
      </c>
      <c r="Q3" s="3">
        <v>851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44919</v>
      </c>
      <c r="B4" s="3" t="s">
        <v>21</v>
      </c>
      <c r="C4" s="3" t="s">
        <v>94</v>
      </c>
      <c r="D4" s="3" t="s">
        <v>23</v>
      </c>
      <c r="E4" s="3" t="s">
        <v>289</v>
      </c>
      <c r="F4" s="3" t="s">
        <v>25</v>
      </c>
      <c r="G4" s="4">
        <v>70000</v>
      </c>
      <c r="H4" s="3" t="s">
        <v>97</v>
      </c>
      <c r="I4" s="3" t="s">
        <v>100</v>
      </c>
      <c r="J4" s="5">
        <v>0.69791666666666663</v>
      </c>
      <c r="K4" s="6">
        <f>J4</f>
        <v>0.69791666666666663</v>
      </c>
      <c r="L4" s="5">
        <v>0.52430555555555558</v>
      </c>
      <c r="M4" s="6">
        <v>0.52013888888888882</v>
      </c>
      <c r="N4" s="2" t="s">
        <v>405</v>
      </c>
      <c r="O4" s="2" t="s">
        <v>344</v>
      </c>
      <c r="P4" s="3">
        <v>660</v>
      </c>
      <c r="Q4" s="3">
        <v>759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44919</v>
      </c>
      <c r="B5" s="3" t="s">
        <v>21</v>
      </c>
      <c r="C5" s="3" t="s">
        <v>37</v>
      </c>
      <c r="D5" s="3" t="s">
        <v>23</v>
      </c>
      <c r="E5" s="3" t="s">
        <v>194</v>
      </c>
      <c r="F5" s="1" t="s">
        <v>25</v>
      </c>
      <c r="G5" s="4">
        <v>70000</v>
      </c>
      <c r="H5" s="3" t="s">
        <v>38</v>
      </c>
      <c r="I5" s="3" t="s">
        <v>39</v>
      </c>
      <c r="J5" s="5">
        <v>0.69791666666666663</v>
      </c>
      <c r="K5" s="6">
        <v>0.68263888888888891</v>
      </c>
      <c r="L5" s="5">
        <v>0.54166666666666663</v>
      </c>
      <c r="M5" s="6">
        <v>0.54652777777777783</v>
      </c>
      <c r="N5" s="2" t="s">
        <v>130</v>
      </c>
      <c r="O5" s="2" t="s">
        <v>404</v>
      </c>
      <c r="P5" s="3">
        <v>1215</v>
      </c>
      <c r="Q5" s="3">
        <v>438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44919</v>
      </c>
      <c r="B6" s="3" t="s">
        <v>28</v>
      </c>
      <c r="C6" s="3" t="s">
        <v>29</v>
      </c>
      <c r="D6" s="3" t="s">
        <v>23</v>
      </c>
      <c r="E6" s="3" t="s">
        <v>401</v>
      </c>
      <c r="F6" s="3" t="s">
        <v>25</v>
      </c>
      <c r="G6" s="4">
        <v>70000</v>
      </c>
      <c r="H6" s="3" t="s">
        <v>31</v>
      </c>
      <c r="I6" s="3" t="s">
        <v>32</v>
      </c>
      <c r="J6" s="5">
        <v>0.67361111111111116</v>
      </c>
      <c r="K6" s="6">
        <v>0.66111111111111109</v>
      </c>
      <c r="L6" s="5">
        <v>0.69097222222222221</v>
      </c>
      <c r="M6" s="6">
        <v>0.69444444444444453</v>
      </c>
      <c r="N6" s="2" t="s">
        <v>407</v>
      </c>
      <c r="O6" s="2" t="s">
        <v>406</v>
      </c>
      <c r="P6" s="3">
        <v>325</v>
      </c>
      <c r="Q6" s="3">
        <v>195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44919</v>
      </c>
      <c r="B7" s="3" t="s">
        <v>21</v>
      </c>
      <c r="C7" s="3" t="s">
        <v>43</v>
      </c>
      <c r="D7" s="3" t="s">
        <v>23</v>
      </c>
      <c r="E7" s="3" t="s">
        <v>194</v>
      </c>
      <c r="F7" s="3" t="s">
        <v>25</v>
      </c>
      <c r="G7" s="4">
        <v>70000</v>
      </c>
      <c r="H7" s="3" t="s">
        <v>44</v>
      </c>
      <c r="I7" s="3" t="s">
        <v>45</v>
      </c>
      <c r="J7" s="5">
        <v>0.90625</v>
      </c>
      <c r="K7" s="6">
        <v>0.9</v>
      </c>
      <c r="L7" s="5">
        <v>0.73611111111111116</v>
      </c>
      <c r="M7" s="6">
        <v>0.73263888888888884</v>
      </c>
      <c r="N7" s="2" t="s">
        <v>386</v>
      </c>
      <c r="O7" s="2" t="s">
        <v>408</v>
      </c>
      <c r="P7" s="3">
        <v>1451</v>
      </c>
      <c r="Q7" s="3">
        <v>532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44919</v>
      </c>
      <c r="B8" s="3" t="s">
        <v>21</v>
      </c>
      <c r="C8" s="3" t="s">
        <v>63</v>
      </c>
      <c r="D8" s="3" t="s">
        <v>23</v>
      </c>
      <c r="E8" s="3" t="s">
        <v>289</v>
      </c>
      <c r="F8" s="3" t="s">
        <v>25</v>
      </c>
      <c r="G8" s="4">
        <v>70000</v>
      </c>
      <c r="H8" s="3" t="s">
        <v>68</v>
      </c>
      <c r="I8" s="3" t="s">
        <v>72</v>
      </c>
      <c r="J8" s="5">
        <v>0.92708333333333337</v>
      </c>
      <c r="K8" s="6">
        <v>0.91666666666666663</v>
      </c>
      <c r="L8" s="5">
        <v>0.74305555555555547</v>
      </c>
      <c r="M8" s="6">
        <v>0.73958333333333337</v>
      </c>
      <c r="N8" s="2" t="s">
        <v>409</v>
      </c>
      <c r="O8" s="2" t="s">
        <v>355</v>
      </c>
      <c r="P8" s="3">
        <v>650</v>
      </c>
      <c r="Q8" s="3">
        <v>520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H29" sqref="H29"/>
    </sheetView>
  </sheetViews>
  <sheetFormatPr defaultRowHeight="15" x14ac:dyDescent="0.25"/>
  <cols>
    <col min="3" max="3" width="13.28515625" bestFit="1" customWidth="1"/>
    <col min="5" max="5" width="12.5703125" bestFit="1" customWidth="1"/>
    <col min="6" max="6" width="12.140625" bestFit="1" customWidth="1"/>
    <col min="14" max="14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44920</v>
      </c>
      <c r="B2" s="3" t="s">
        <v>21</v>
      </c>
      <c r="C2" s="3" t="s">
        <v>22</v>
      </c>
      <c r="D2" s="3" t="s">
        <v>23</v>
      </c>
      <c r="E2" s="3" t="s">
        <v>410</v>
      </c>
      <c r="F2" s="1" t="s">
        <v>25</v>
      </c>
      <c r="G2" s="4">
        <v>70000</v>
      </c>
      <c r="H2" s="3" t="s">
        <v>26</v>
      </c>
      <c r="I2" s="3" t="s">
        <v>27</v>
      </c>
      <c r="J2" s="5">
        <v>0.4826388888888889</v>
      </c>
      <c r="K2" s="6">
        <v>0.4909722222222222</v>
      </c>
      <c r="L2" s="5">
        <v>0.27777777777777779</v>
      </c>
      <c r="M2" s="6">
        <v>0.31875000000000003</v>
      </c>
      <c r="N2" s="2" t="s">
        <v>329</v>
      </c>
      <c r="O2" s="2" t="s">
        <v>411</v>
      </c>
      <c r="P2" s="3">
        <v>1244</v>
      </c>
      <c r="Q2" s="3">
        <v>388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44920</v>
      </c>
      <c r="B3" s="3" t="s">
        <v>21</v>
      </c>
      <c r="C3" s="3" t="s">
        <v>29</v>
      </c>
      <c r="D3" s="3" t="s">
        <v>201</v>
      </c>
      <c r="E3" s="3" t="s">
        <v>412</v>
      </c>
      <c r="F3" s="3" t="s">
        <v>25</v>
      </c>
      <c r="G3" s="4">
        <v>70000</v>
      </c>
      <c r="H3" s="3" t="s">
        <v>67</v>
      </c>
      <c r="I3" s="3" t="s">
        <v>71</v>
      </c>
      <c r="J3" s="5">
        <v>0.30555555555555552</v>
      </c>
      <c r="K3" s="6">
        <v>0.46736111111111112</v>
      </c>
      <c r="L3" s="5">
        <v>0.3298611111111111</v>
      </c>
      <c r="M3" s="6">
        <v>0.54027777777777775</v>
      </c>
      <c r="N3" s="2" t="s">
        <v>111</v>
      </c>
      <c r="O3" s="2" t="s">
        <v>415</v>
      </c>
      <c r="P3" s="3">
        <v>0</v>
      </c>
      <c r="Q3" s="3">
        <v>281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44920</v>
      </c>
      <c r="B4" s="3" t="s">
        <v>21</v>
      </c>
      <c r="C4" s="3" t="s">
        <v>33</v>
      </c>
      <c r="D4" s="3" t="s">
        <v>23</v>
      </c>
      <c r="E4" s="3" t="s">
        <v>194</v>
      </c>
      <c r="F4" s="3" t="s">
        <v>25</v>
      </c>
      <c r="G4" s="4">
        <v>70000</v>
      </c>
      <c r="H4" s="3" t="s">
        <v>95</v>
      </c>
      <c r="I4" s="3" t="s">
        <v>98</v>
      </c>
      <c r="J4" s="5">
        <v>0.4861111111111111</v>
      </c>
      <c r="K4" s="6">
        <v>0.5</v>
      </c>
      <c r="L4" s="5">
        <v>0.3298611111111111</v>
      </c>
      <c r="M4" s="6">
        <v>0.3576388888888889</v>
      </c>
      <c r="N4" s="2" t="s">
        <v>414</v>
      </c>
      <c r="O4" s="2" t="s">
        <v>413</v>
      </c>
      <c r="P4" s="3">
        <v>515</v>
      </c>
      <c r="Q4" s="3">
        <v>390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44920</v>
      </c>
      <c r="B5" s="3" t="s">
        <v>21</v>
      </c>
      <c r="C5" s="3" t="s">
        <v>43</v>
      </c>
      <c r="D5" s="3" t="s">
        <v>23</v>
      </c>
      <c r="E5" s="3" t="s">
        <v>194</v>
      </c>
      <c r="F5" s="3" t="s">
        <v>25</v>
      </c>
      <c r="G5" s="4">
        <v>70000</v>
      </c>
      <c r="H5" s="3" t="s">
        <v>44</v>
      </c>
      <c r="I5" s="3" t="s">
        <v>45</v>
      </c>
      <c r="J5" s="5">
        <v>0.68402777777777779</v>
      </c>
      <c r="K5" s="6">
        <v>0.70694444444444438</v>
      </c>
      <c r="L5" s="5">
        <v>0.51388888888888895</v>
      </c>
      <c r="M5" s="6">
        <v>0.54791666666666672</v>
      </c>
      <c r="N5" s="2" t="s">
        <v>416</v>
      </c>
      <c r="O5" s="2" t="s">
        <v>299</v>
      </c>
      <c r="P5" s="3">
        <v>1686</v>
      </c>
      <c r="Q5" s="3">
        <v>517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44920</v>
      </c>
      <c r="B6" s="3" t="s">
        <v>21</v>
      </c>
      <c r="C6" s="3" t="s">
        <v>37</v>
      </c>
      <c r="D6" s="3" t="s">
        <v>23</v>
      </c>
      <c r="E6" s="3" t="s">
        <v>24</v>
      </c>
      <c r="F6" s="1" t="s">
        <v>25</v>
      </c>
      <c r="G6" s="4">
        <v>70000</v>
      </c>
      <c r="H6" s="3" t="s">
        <v>38</v>
      </c>
      <c r="I6" s="3" t="s">
        <v>39</v>
      </c>
      <c r="J6" s="5">
        <v>0.68402777777777779</v>
      </c>
      <c r="K6" s="6">
        <v>0.66527777777777775</v>
      </c>
      <c r="L6" s="5">
        <v>0.59722222222222221</v>
      </c>
      <c r="M6" s="6">
        <v>0.52847222222222223</v>
      </c>
      <c r="N6" s="2" t="s">
        <v>417</v>
      </c>
      <c r="O6" s="2" t="s">
        <v>265</v>
      </c>
      <c r="P6" s="3">
        <v>1151</v>
      </c>
      <c r="Q6" s="3">
        <v>641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44920</v>
      </c>
      <c r="B7" s="3" t="s">
        <v>21</v>
      </c>
      <c r="C7" s="3" t="s">
        <v>40</v>
      </c>
      <c r="D7" s="3" t="s">
        <v>23</v>
      </c>
      <c r="E7" s="3" t="s">
        <v>194</v>
      </c>
      <c r="F7" s="3" t="s">
        <v>25</v>
      </c>
      <c r="G7" s="4">
        <v>70000</v>
      </c>
      <c r="H7" s="3" t="s">
        <v>41</v>
      </c>
      <c r="I7" s="3" t="s">
        <v>42</v>
      </c>
      <c r="J7" s="5">
        <v>0.92361111111111116</v>
      </c>
      <c r="K7" s="6">
        <v>0.94236111111111109</v>
      </c>
      <c r="L7" s="5">
        <v>0.71527777777777779</v>
      </c>
      <c r="M7" s="6">
        <v>0.74375000000000002</v>
      </c>
      <c r="N7" s="2" t="s">
        <v>418</v>
      </c>
      <c r="O7" s="2" t="s">
        <v>104</v>
      </c>
      <c r="P7" s="3">
        <v>1077</v>
      </c>
      <c r="Q7" s="3">
        <v>882</v>
      </c>
      <c r="R7" s="3">
        <v>0</v>
      </c>
      <c r="S7" s="3"/>
      <c r="T7" s="3">
        <v>0</v>
      </c>
      <c r="U7" s="3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opLeftCell="E1" workbookViewId="0">
      <selection activeCell="B8" sqref="B8:U8"/>
    </sheetView>
  </sheetViews>
  <sheetFormatPr defaultRowHeight="15" x14ac:dyDescent="0.25"/>
  <cols>
    <col min="2" max="2" width="9.140625" bestFit="1" customWidth="1"/>
    <col min="3" max="3" width="14" bestFit="1" customWidth="1"/>
    <col min="6" max="6" width="12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44921</v>
      </c>
      <c r="B2" s="3" t="s">
        <v>21</v>
      </c>
      <c r="C2" s="3" t="s">
        <v>59</v>
      </c>
      <c r="D2" s="3" t="s">
        <v>23</v>
      </c>
      <c r="E2" s="3" t="s">
        <v>194</v>
      </c>
      <c r="F2" s="1" t="s">
        <v>25</v>
      </c>
      <c r="G2" s="4">
        <v>70000</v>
      </c>
      <c r="H2" s="3" t="s">
        <v>64</v>
      </c>
      <c r="I2" s="3" t="s">
        <v>69</v>
      </c>
      <c r="J2" s="5">
        <v>0.52430555555555558</v>
      </c>
      <c r="K2" s="6">
        <v>0.52361111111111114</v>
      </c>
      <c r="L2" s="5">
        <v>0.27777777777777779</v>
      </c>
      <c r="M2" s="6">
        <v>0.28819444444444448</v>
      </c>
      <c r="N2" s="3" t="s">
        <v>407</v>
      </c>
      <c r="O2" s="3" t="s">
        <v>419</v>
      </c>
      <c r="P2" s="3">
        <v>1075</v>
      </c>
      <c r="Q2" s="3">
        <v>807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44921</v>
      </c>
      <c r="B3" s="3" t="s">
        <v>21</v>
      </c>
      <c r="C3" s="3" t="s">
        <v>60</v>
      </c>
      <c r="D3" s="3" t="s">
        <v>23</v>
      </c>
      <c r="E3" s="3" t="s">
        <v>24</v>
      </c>
      <c r="F3" s="3" t="s">
        <v>25</v>
      </c>
      <c r="G3" s="4">
        <v>70000</v>
      </c>
      <c r="H3" s="3" t="s">
        <v>65</v>
      </c>
      <c r="I3" s="3" t="s">
        <v>70</v>
      </c>
      <c r="J3" s="5">
        <v>0.4826388888888889</v>
      </c>
      <c r="K3" s="6">
        <v>0.48125000000000001</v>
      </c>
      <c r="L3" s="5">
        <v>0.28819444444444448</v>
      </c>
      <c r="M3" s="6">
        <v>0.29652777777777778</v>
      </c>
      <c r="N3" s="3" t="s">
        <v>420</v>
      </c>
      <c r="O3" s="3" t="s">
        <v>140</v>
      </c>
      <c r="P3" s="3">
        <v>1103</v>
      </c>
      <c r="Q3" s="3">
        <v>713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44921</v>
      </c>
      <c r="B4" s="3" t="s">
        <v>21</v>
      </c>
      <c r="C4" s="3" t="s">
        <v>61</v>
      </c>
      <c r="D4" s="3" t="s">
        <v>23</v>
      </c>
      <c r="E4" s="3" t="s">
        <v>24</v>
      </c>
      <c r="F4" s="3" t="s">
        <v>25</v>
      </c>
      <c r="G4" s="4">
        <v>70000</v>
      </c>
      <c r="H4" s="3" t="s">
        <v>260</v>
      </c>
      <c r="I4" s="3" t="s">
        <v>66</v>
      </c>
      <c r="J4" s="5">
        <v>0.68055555555555547</v>
      </c>
      <c r="K4" s="6">
        <v>0.66805555555555562</v>
      </c>
      <c r="L4" s="5">
        <v>0.50694444444444442</v>
      </c>
      <c r="M4" s="6">
        <v>0.51111111111111118</v>
      </c>
      <c r="N4" s="3" t="s">
        <v>423</v>
      </c>
      <c r="O4" s="3" t="s">
        <v>421</v>
      </c>
      <c r="P4" s="3">
        <v>1062</v>
      </c>
      <c r="Q4" s="3">
        <v>466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44921</v>
      </c>
      <c r="B5" s="3" t="s">
        <v>21</v>
      </c>
      <c r="C5" s="3" t="s">
        <v>93</v>
      </c>
      <c r="D5" s="3" t="s">
        <v>23</v>
      </c>
      <c r="E5" s="3" t="s">
        <v>194</v>
      </c>
      <c r="F5" s="3" t="s">
        <v>25</v>
      </c>
      <c r="G5" s="4">
        <v>70000</v>
      </c>
      <c r="H5" s="3" t="s">
        <v>96</v>
      </c>
      <c r="I5" s="3" t="s">
        <v>99</v>
      </c>
      <c r="J5" s="5">
        <v>0.71875</v>
      </c>
      <c r="K5" s="6">
        <v>0.70138888888888884</v>
      </c>
      <c r="L5" s="5">
        <v>0.56597222222222221</v>
      </c>
      <c r="M5" s="6">
        <v>0.56458333333333333</v>
      </c>
      <c r="N5" s="3" t="s">
        <v>73</v>
      </c>
      <c r="O5" s="3" t="s">
        <v>422</v>
      </c>
      <c r="P5" s="3">
        <v>1171</v>
      </c>
      <c r="Q5" s="3">
        <v>479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44921</v>
      </c>
      <c r="B6" s="3" t="s">
        <v>21</v>
      </c>
      <c r="C6" s="3" t="s">
        <v>117</v>
      </c>
      <c r="D6" s="3" t="s">
        <v>23</v>
      </c>
      <c r="E6" s="3" t="s">
        <v>24</v>
      </c>
      <c r="F6" s="3" t="s">
        <v>25</v>
      </c>
      <c r="G6" s="4">
        <v>70000</v>
      </c>
      <c r="H6" s="3" t="s">
        <v>118</v>
      </c>
      <c r="I6" s="3" t="s">
        <v>119</v>
      </c>
      <c r="J6" s="5">
        <v>0.95138888888888884</v>
      </c>
      <c r="K6" s="6">
        <v>0.95000000000000007</v>
      </c>
      <c r="L6" s="5">
        <v>0.71180555555555547</v>
      </c>
      <c r="M6" s="6">
        <v>0.7284722222222223</v>
      </c>
      <c r="N6" s="3" t="s">
        <v>426</v>
      </c>
      <c r="O6" s="3" t="s">
        <v>425</v>
      </c>
      <c r="P6" s="3">
        <v>956</v>
      </c>
      <c r="Q6" s="3">
        <v>383</v>
      </c>
      <c r="R6" s="3">
        <v>0</v>
      </c>
      <c r="S6" s="3">
        <v>0</v>
      </c>
      <c r="T6" s="3">
        <v>0</v>
      </c>
      <c r="U6" s="3">
        <v>0</v>
      </c>
    </row>
    <row r="7" spans="1:21" s="13" customFormat="1" ht="12.75" x14ac:dyDescent="0.2">
      <c r="A7" s="2">
        <v>44921</v>
      </c>
      <c r="B7" s="3" t="s">
        <v>21</v>
      </c>
      <c r="C7" s="3" t="s">
        <v>63</v>
      </c>
      <c r="D7" s="3" t="s">
        <v>23</v>
      </c>
      <c r="E7" s="3" t="s">
        <v>194</v>
      </c>
      <c r="F7" s="3" t="s">
        <v>25</v>
      </c>
      <c r="G7" s="4">
        <v>70000</v>
      </c>
      <c r="H7" s="3" t="s">
        <v>68</v>
      </c>
      <c r="I7" s="3" t="s">
        <v>72</v>
      </c>
      <c r="J7" s="16">
        <v>0.92708333333333337</v>
      </c>
      <c r="K7" s="15">
        <v>0.92361111111111116</v>
      </c>
      <c r="L7" s="16">
        <v>0.74305555555555547</v>
      </c>
      <c r="M7" s="15">
        <v>0.7583333333333333</v>
      </c>
      <c r="N7" s="13" t="s">
        <v>427</v>
      </c>
      <c r="O7" s="13" t="s">
        <v>198</v>
      </c>
      <c r="P7" s="13">
        <v>1259</v>
      </c>
      <c r="Q7" s="13">
        <v>333</v>
      </c>
    </row>
    <row r="8" spans="1:21" x14ac:dyDescent="0.25">
      <c r="A8" s="2">
        <v>44921</v>
      </c>
      <c r="B8" s="3" t="s">
        <v>112</v>
      </c>
      <c r="C8" s="3" t="s">
        <v>75</v>
      </c>
      <c r="D8" s="3" t="s">
        <v>76</v>
      </c>
      <c r="E8" s="3" t="s">
        <v>392</v>
      </c>
      <c r="F8" s="3" t="s">
        <v>25</v>
      </c>
      <c r="G8" s="4">
        <v>80000</v>
      </c>
      <c r="H8" s="3" t="s">
        <v>78</v>
      </c>
      <c r="I8" s="3" t="s">
        <v>79</v>
      </c>
      <c r="J8" s="5">
        <v>0.69444444444444453</v>
      </c>
      <c r="K8" s="6">
        <v>0.70486111111111116</v>
      </c>
      <c r="L8" s="5">
        <v>0.67013888888888884</v>
      </c>
      <c r="M8" s="6">
        <v>0.65555555555555556</v>
      </c>
      <c r="N8" s="3" t="s">
        <v>424</v>
      </c>
      <c r="O8" s="3" t="s">
        <v>336</v>
      </c>
      <c r="P8" s="3">
        <v>689</v>
      </c>
      <c r="Q8" s="3">
        <v>364</v>
      </c>
      <c r="R8" s="3">
        <v>0</v>
      </c>
      <c r="S8" s="3">
        <v>0</v>
      </c>
      <c r="T8" s="3">
        <v>0</v>
      </c>
      <c r="U8" s="3">
        <v>0</v>
      </c>
    </row>
    <row r="10" spans="1:21" x14ac:dyDescent="0.25">
      <c r="A10" s="2"/>
      <c r="B10" s="3"/>
      <c r="C10" s="3"/>
      <c r="D10" s="3"/>
      <c r="E10" s="3"/>
      <c r="F10" s="1"/>
      <c r="G10" s="4"/>
      <c r="H10" s="3"/>
      <c r="I10" s="3"/>
      <c r="J10" s="5"/>
      <c r="K10" s="6"/>
      <c r="L10" s="5"/>
      <c r="M10" s="6"/>
      <c r="N10" s="3"/>
      <c r="O10" s="3"/>
      <c r="P10" s="3"/>
      <c r="Q10" s="3"/>
      <c r="R10" s="3"/>
      <c r="S10" s="3"/>
      <c r="T10" s="3"/>
      <c r="U10" s="3"/>
    </row>
    <row r="12" spans="1:21" x14ac:dyDescent="0.25">
      <c r="A12" s="2"/>
      <c r="B12" s="3"/>
      <c r="C12" s="3"/>
      <c r="D12" s="3"/>
      <c r="E12" s="3"/>
      <c r="F12" s="3"/>
      <c r="G12" s="4"/>
      <c r="H12" s="3"/>
      <c r="I12" s="3"/>
      <c r="J12" s="5"/>
      <c r="K12" s="6"/>
      <c r="L12" s="5"/>
      <c r="M12" s="6"/>
      <c r="N12" s="3"/>
      <c r="O12" s="3"/>
      <c r="P12" s="3"/>
      <c r="Q12" s="3"/>
      <c r="R12" s="3"/>
      <c r="S12" s="3"/>
      <c r="T12" s="3"/>
      <c r="U12" s="3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D14" sqref="D14"/>
    </sheetView>
  </sheetViews>
  <sheetFormatPr defaultRowHeight="15" x14ac:dyDescent="0.25"/>
  <cols>
    <col min="1" max="1" width="11.28515625" bestFit="1" customWidth="1"/>
    <col min="3" max="3" width="15.7109375" customWidth="1"/>
    <col min="6" max="6" width="13.42578125" customWidth="1"/>
    <col min="7" max="7" width="9.28515625" bestFit="1" customWidth="1"/>
    <col min="10" max="13" width="9.28515625" bestFit="1" customWidth="1"/>
    <col min="16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44922</v>
      </c>
      <c r="B2" s="3" t="s">
        <v>21</v>
      </c>
      <c r="C2" s="3" t="s">
        <v>22</v>
      </c>
      <c r="D2" s="3" t="s">
        <v>23</v>
      </c>
      <c r="E2" s="3" t="s">
        <v>194</v>
      </c>
      <c r="F2" s="1" t="s">
        <v>25</v>
      </c>
      <c r="G2" s="4">
        <v>70000</v>
      </c>
      <c r="H2" s="3" t="s">
        <v>26</v>
      </c>
      <c r="I2" s="3" t="s">
        <v>27</v>
      </c>
      <c r="J2" s="5">
        <v>0.4826388888888889</v>
      </c>
      <c r="K2" s="6">
        <v>0.47361111111111115</v>
      </c>
      <c r="L2" s="5">
        <v>0.27777777777777779</v>
      </c>
      <c r="M2" s="6">
        <v>0.27499999999999997</v>
      </c>
      <c r="N2" s="2" t="s">
        <v>430</v>
      </c>
      <c r="O2" s="2" t="s">
        <v>428</v>
      </c>
      <c r="P2" s="3">
        <v>1084</v>
      </c>
      <c r="Q2" s="3">
        <v>625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44922</v>
      </c>
      <c r="B3" s="3" t="s">
        <v>21</v>
      </c>
      <c r="C3" s="3" t="s">
        <v>92</v>
      </c>
      <c r="D3" s="3" t="s">
        <v>23</v>
      </c>
      <c r="E3" s="3" t="s">
        <v>24</v>
      </c>
      <c r="F3" s="3" t="s">
        <v>25</v>
      </c>
      <c r="G3" s="4">
        <v>70000</v>
      </c>
      <c r="H3" s="3" t="s">
        <v>95</v>
      </c>
      <c r="I3" s="3" t="s">
        <v>98</v>
      </c>
      <c r="J3" s="5">
        <v>0.51041666666666663</v>
      </c>
      <c r="K3" s="6">
        <v>0.50972222222222219</v>
      </c>
      <c r="L3" s="5">
        <v>0.30555555555555552</v>
      </c>
      <c r="M3" s="6">
        <v>0.30902777777777779</v>
      </c>
      <c r="N3" s="3" t="s">
        <v>431</v>
      </c>
      <c r="O3" s="3" t="s">
        <v>429</v>
      </c>
      <c r="P3" s="3">
        <v>1029</v>
      </c>
      <c r="Q3" s="3">
        <v>923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44922</v>
      </c>
      <c r="B4" s="3" t="s">
        <v>21</v>
      </c>
      <c r="C4" s="3" t="s">
        <v>94</v>
      </c>
      <c r="D4" s="3" t="s">
        <v>23</v>
      </c>
      <c r="E4" s="3" t="s">
        <v>194</v>
      </c>
      <c r="F4" s="3" t="s">
        <v>25</v>
      </c>
      <c r="G4" s="4">
        <v>70000</v>
      </c>
      <c r="H4" s="3" t="s">
        <v>97</v>
      </c>
      <c r="I4" s="3" t="s">
        <v>100</v>
      </c>
      <c r="J4" s="5">
        <v>0.70486111111111116</v>
      </c>
      <c r="K4" s="6">
        <v>0.70208333333333339</v>
      </c>
      <c r="L4" s="5">
        <v>0.53125</v>
      </c>
      <c r="M4" s="6">
        <v>0.52986111111111112</v>
      </c>
      <c r="N4" s="3" t="s">
        <v>133</v>
      </c>
      <c r="O4" s="3" t="s">
        <v>432</v>
      </c>
      <c r="P4" s="3">
        <v>1094</v>
      </c>
      <c r="Q4" s="3">
        <v>711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44922</v>
      </c>
      <c r="B5" s="3" t="s">
        <v>21</v>
      </c>
      <c r="C5" s="3" t="s">
        <v>37</v>
      </c>
      <c r="D5" s="3" t="s">
        <v>23</v>
      </c>
      <c r="E5" s="3" t="s">
        <v>24</v>
      </c>
      <c r="F5" s="1" t="s">
        <v>25</v>
      </c>
      <c r="G5" s="4">
        <v>70000</v>
      </c>
      <c r="H5" s="3" t="s">
        <v>38</v>
      </c>
      <c r="I5" s="3" t="s">
        <v>39</v>
      </c>
      <c r="J5" s="5">
        <v>0.69791666666666663</v>
      </c>
      <c r="K5" s="6">
        <v>0.69166666666666676</v>
      </c>
      <c r="L5" s="5">
        <v>0.54166666666666663</v>
      </c>
      <c r="M5" s="6">
        <v>0.5541666666666667</v>
      </c>
      <c r="N5" s="3" t="s">
        <v>429</v>
      </c>
      <c r="O5" s="3" t="s">
        <v>433</v>
      </c>
      <c r="P5" s="3">
        <v>800</v>
      </c>
      <c r="Q5" s="3">
        <v>540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44922</v>
      </c>
      <c r="B6" s="3" t="s">
        <v>21</v>
      </c>
      <c r="C6" s="3" t="s">
        <v>40</v>
      </c>
      <c r="D6" s="3" t="s">
        <v>23</v>
      </c>
      <c r="E6" s="3" t="s">
        <v>194</v>
      </c>
      <c r="F6" s="3" t="s">
        <v>25</v>
      </c>
      <c r="G6" s="4">
        <v>70000</v>
      </c>
      <c r="H6" s="3" t="s">
        <v>41</v>
      </c>
      <c r="I6" s="3" t="s">
        <v>42</v>
      </c>
      <c r="J6" s="5">
        <v>0.9375</v>
      </c>
      <c r="K6" s="6">
        <v>0.96527777777777779</v>
      </c>
      <c r="L6" s="5">
        <v>0.72916666666666663</v>
      </c>
      <c r="M6" s="6">
        <v>0.77361111111111114</v>
      </c>
      <c r="N6" s="3" t="s">
        <v>438</v>
      </c>
      <c r="O6" s="3" t="s">
        <v>437</v>
      </c>
      <c r="P6" s="3">
        <v>1217</v>
      </c>
      <c r="Q6" s="3">
        <v>523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44922</v>
      </c>
      <c r="B7" s="3" t="s">
        <v>21</v>
      </c>
      <c r="C7" s="3" t="s">
        <v>43</v>
      </c>
      <c r="D7" s="3" t="s">
        <v>23</v>
      </c>
      <c r="E7" s="3" t="s">
        <v>24</v>
      </c>
      <c r="F7" s="3" t="s">
        <v>25</v>
      </c>
      <c r="G7" s="4">
        <v>70000</v>
      </c>
      <c r="H7" s="3" t="s">
        <v>44</v>
      </c>
      <c r="I7" s="3" t="s">
        <v>45</v>
      </c>
      <c r="J7" s="5">
        <v>0.89930555555555547</v>
      </c>
      <c r="K7" s="6">
        <v>0.91875000000000007</v>
      </c>
      <c r="L7" s="5">
        <v>0.72916666666666663</v>
      </c>
      <c r="M7" s="6">
        <v>0.76250000000000007</v>
      </c>
      <c r="N7" s="3" t="s">
        <v>439</v>
      </c>
      <c r="O7" s="2" t="s">
        <v>436</v>
      </c>
      <c r="P7" s="3">
        <v>1014</v>
      </c>
      <c r="Q7" s="3">
        <v>466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44922</v>
      </c>
      <c r="B8" s="3" t="s">
        <v>112</v>
      </c>
      <c r="C8" s="3" t="s">
        <v>29</v>
      </c>
      <c r="D8" s="3" t="s">
        <v>23</v>
      </c>
      <c r="E8" s="25" t="s">
        <v>434</v>
      </c>
      <c r="F8" s="3" t="s">
        <v>25</v>
      </c>
      <c r="G8" s="4">
        <v>70000</v>
      </c>
      <c r="H8" s="3" t="s">
        <v>31</v>
      </c>
      <c r="I8" s="3" t="s">
        <v>32</v>
      </c>
      <c r="J8" s="5">
        <v>0.6875</v>
      </c>
      <c r="K8" s="6">
        <v>0.6875</v>
      </c>
      <c r="L8" s="5">
        <v>0.70486111111111116</v>
      </c>
      <c r="M8" s="6">
        <v>0.72638888888888886</v>
      </c>
      <c r="N8" s="3" t="s">
        <v>427</v>
      </c>
      <c r="O8" s="3" t="s">
        <v>435</v>
      </c>
      <c r="P8" s="3">
        <v>455</v>
      </c>
      <c r="Q8" s="3">
        <v>221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D20" sqref="D20"/>
    </sheetView>
  </sheetViews>
  <sheetFormatPr defaultRowHeight="15" x14ac:dyDescent="0.25"/>
  <cols>
    <col min="1" max="1" width="10.140625" bestFit="1" customWidth="1"/>
    <col min="3" max="3" width="13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44923</v>
      </c>
      <c r="B2" s="3" t="s">
        <v>21</v>
      </c>
      <c r="C2" s="3" t="s">
        <v>22</v>
      </c>
      <c r="D2" s="3" t="s">
        <v>23</v>
      </c>
      <c r="E2" s="3" t="s">
        <v>24</v>
      </c>
      <c r="F2" s="1" t="s">
        <v>25</v>
      </c>
      <c r="G2" s="4">
        <v>70000</v>
      </c>
      <c r="H2" s="3" t="s">
        <v>26</v>
      </c>
      <c r="I2" s="3" t="s">
        <v>27</v>
      </c>
      <c r="J2" s="5">
        <v>0.47569444444444442</v>
      </c>
      <c r="K2" s="6">
        <v>0.48472222222222222</v>
      </c>
      <c r="L2" s="5">
        <v>0.27777777777777779</v>
      </c>
      <c r="M2" s="6">
        <v>0.27708333333333335</v>
      </c>
      <c r="N2" s="3" t="s">
        <v>442</v>
      </c>
      <c r="O2" s="3" t="s">
        <v>385</v>
      </c>
      <c r="P2" s="3">
        <v>1150</v>
      </c>
      <c r="Q2" s="3">
        <v>428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44923</v>
      </c>
      <c r="B3" s="3" t="s">
        <v>21</v>
      </c>
      <c r="C3" s="3" t="s">
        <v>37</v>
      </c>
      <c r="D3" s="3" t="s">
        <v>23</v>
      </c>
      <c r="E3" s="3" t="s">
        <v>352</v>
      </c>
      <c r="F3" s="3" t="s">
        <v>25</v>
      </c>
      <c r="G3" s="4">
        <v>70000</v>
      </c>
      <c r="H3" s="3" t="s">
        <v>38</v>
      </c>
      <c r="I3" s="3" t="s">
        <v>39</v>
      </c>
      <c r="J3" s="5">
        <v>0.44791666666666669</v>
      </c>
      <c r="K3" s="6">
        <v>0.42569444444444443</v>
      </c>
      <c r="L3" s="5">
        <v>0.29166666666666669</v>
      </c>
      <c r="M3" s="6">
        <v>0.2951388888888889</v>
      </c>
      <c r="N3" s="3" t="s">
        <v>91</v>
      </c>
      <c r="O3" s="3" t="s">
        <v>335</v>
      </c>
      <c r="P3" s="3">
        <v>900</v>
      </c>
      <c r="Q3" s="3">
        <v>547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44923</v>
      </c>
      <c r="B4" s="3" t="s">
        <v>21</v>
      </c>
      <c r="C4" s="3" t="s">
        <v>440</v>
      </c>
      <c r="D4" s="3" t="s">
        <v>23</v>
      </c>
      <c r="E4" s="3" t="s">
        <v>194</v>
      </c>
      <c r="F4" s="3" t="s">
        <v>25</v>
      </c>
      <c r="G4" s="4">
        <v>70000</v>
      </c>
      <c r="H4" s="3" t="s">
        <v>44</v>
      </c>
      <c r="I4" s="3" t="s">
        <v>45</v>
      </c>
      <c r="J4" s="5">
        <v>0.64236111111111105</v>
      </c>
      <c r="K4" s="6">
        <v>0.62777777777777777</v>
      </c>
      <c r="L4" s="5">
        <v>0.47222222222222227</v>
      </c>
      <c r="M4" s="6">
        <v>0.47222222222222227</v>
      </c>
      <c r="N4" s="3" t="s">
        <v>444</v>
      </c>
      <c r="O4" s="3" t="s">
        <v>443</v>
      </c>
      <c r="P4" s="3">
        <v>896</v>
      </c>
      <c r="Q4" s="3">
        <v>568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44923</v>
      </c>
      <c r="B5" s="3" t="s">
        <v>21</v>
      </c>
      <c r="C5" s="3" t="s">
        <v>63</v>
      </c>
      <c r="D5" s="3" t="s">
        <v>23</v>
      </c>
      <c r="E5" s="3" t="s">
        <v>24</v>
      </c>
      <c r="F5" s="1" t="s">
        <v>25</v>
      </c>
      <c r="G5" s="4">
        <v>70000</v>
      </c>
      <c r="H5" s="3" t="s">
        <v>68</v>
      </c>
      <c r="I5" s="3" t="s">
        <v>72</v>
      </c>
      <c r="J5" s="5">
        <v>0.71875</v>
      </c>
      <c r="K5" s="6">
        <v>0.71458333333333324</v>
      </c>
      <c r="L5" s="5">
        <v>0.53125</v>
      </c>
      <c r="M5" s="6">
        <v>0.52777777777777779</v>
      </c>
      <c r="N5" s="3" t="s">
        <v>445</v>
      </c>
      <c r="O5" s="3" t="s">
        <v>338</v>
      </c>
      <c r="P5" s="3">
        <v>1130</v>
      </c>
      <c r="Q5" s="3">
        <v>709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44923</v>
      </c>
      <c r="B6" s="3" t="s">
        <v>112</v>
      </c>
      <c r="C6" s="3" t="s">
        <v>113</v>
      </c>
      <c r="D6" s="3" t="s">
        <v>247</v>
      </c>
      <c r="E6" s="3" t="s">
        <v>441</v>
      </c>
      <c r="F6" s="3" t="s">
        <v>25</v>
      </c>
      <c r="G6" s="4">
        <v>80000</v>
      </c>
      <c r="H6" s="3" t="s">
        <v>115</v>
      </c>
      <c r="I6" s="3" t="s">
        <v>116</v>
      </c>
      <c r="J6" s="5">
        <v>0.38541666666666669</v>
      </c>
      <c r="K6" s="6">
        <v>0.37986111111111115</v>
      </c>
      <c r="L6" s="5">
        <v>0.40277777777777773</v>
      </c>
      <c r="M6" s="6">
        <v>0.4291666666666667</v>
      </c>
      <c r="N6" s="3" t="s">
        <v>431</v>
      </c>
      <c r="O6" s="3" t="s">
        <v>165</v>
      </c>
      <c r="P6" s="3">
        <v>962</v>
      </c>
      <c r="Q6" s="3">
        <v>455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44923</v>
      </c>
      <c r="B7" s="3" t="s">
        <v>21</v>
      </c>
      <c r="C7" s="3" t="s">
        <v>117</v>
      </c>
      <c r="D7" s="3" t="s">
        <v>23</v>
      </c>
      <c r="E7" s="3" t="s">
        <v>194</v>
      </c>
      <c r="F7" s="3" t="s">
        <v>25</v>
      </c>
      <c r="G7" s="4">
        <v>70000</v>
      </c>
      <c r="H7" s="3" t="s">
        <v>118</v>
      </c>
      <c r="I7" s="3" t="s">
        <v>119</v>
      </c>
      <c r="J7" s="5">
        <v>0.92013888888888884</v>
      </c>
      <c r="K7" s="6">
        <v>0.90208333333333324</v>
      </c>
      <c r="L7" s="5">
        <v>0.68055555555555547</v>
      </c>
      <c r="M7" s="5">
        <v>0.67708333333333337</v>
      </c>
      <c r="N7" s="3" t="s">
        <v>447</v>
      </c>
      <c r="O7" s="3" t="s">
        <v>446</v>
      </c>
      <c r="P7" s="3">
        <v>407</v>
      </c>
      <c r="Q7" s="3">
        <v>781</v>
      </c>
      <c r="R7" s="3">
        <v>0</v>
      </c>
      <c r="S7" s="3">
        <v>0</v>
      </c>
      <c r="T7" s="3">
        <v>0</v>
      </c>
      <c r="U7" s="3">
        <v>0</v>
      </c>
    </row>
    <row r="8" spans="1:21" s="13" customFormat="1" ht="12.75" x14ac:dyDescent="0.2">
      <c r="A8" s="27">
        <v>44923</v>
      </c>
      <c r="B8" s="3" t="s">
        <v>21</v>
      </c>
      <c r="C8" s="3" t="s">
        <v>62</v>
      </c>
      <c r="D8" s="3" t="s">
        <v>23</v>
      </c>
      <c r="E8" s="3" t="s">
        <v>24</v>
      </c>
      <c r="F8" s="3" t="s">
        <v>25</v>
      </c>
      <c r="G8" s="14">
        <v>70000</v>
      </c>
      <c r="H8" s="3" t="s">
        <v>67</v>
      </c>
      <c r="I8" s="3" t="s">
        <v>71</v>
      </c>
      <c r="J8" s="16">
        <v>0.86458333333333337</v>
      </c>
      <c r="K8" s="15">
        <v>0.87847222222222221</v>
      </c>
      <c r="L8" s="16">
        <v>0.74305555555555547</v>
      </c>
      <c r="M8" s="15">
        <v>0.75138888888888899</v>
      </c>
      <c r="N8" s="13" t="s">
        <v>448</v>
      </c>
      <c r="O8" s="13" t="s">
        <v>284</v>
      </c>
      <c r="P8" s="13">
        <v>514</v>
      </c>
      <c r="Q8" s="13">
        <v>341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activeCell="H12" sqref="H12"/>
    </sheetView>
  </sheetViews>
  <sheetFormatPr defaultRowHeight="15" x14ac:dyDescent="0.25"/>
  <cols>
    <col min="1" max="1" width="12.5703125" customWidth="1"/>
    <col min="3" max="3" width="14.5703125" customWidth="1"/>
    <col min="5" max="5" width="14.85546875" customWidth="1"/>
    <col min="6" max="6" width="13" customWidth="1"/>
    <col min="7" max="7" width="9.42578125" bestFit="1" customWidth="1"/>
    <col min="10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44924</v>
      </c>
      <c r="B2" s="3" t="s">
        <v>21</v>
      </c>
      <c r="C2" s="3" t="s">
        <v>22</v>
      </c>
      <c r="D2" s="3" t="s">
        <v>23</v>
      </c>
      <c r="E2" s="3" t="s">
        <v>194</v>
      </c>
      <c r="F2" s="1" t="s">
        <v>25</v>
      </c>
      <c r="G2" s="4">
        <v>70000</v>
      </c>
      <c r="H2" s="3" t="s">
        <v>26</v>
      </c>
      <c r="I2" s="3" t="s">
        <v>27</v>
      </c>
      <c r="J2" s="5">
        <v>0.4826388888888889</v>
      </c>
      <c r="K2" s="6">
        <v>0.47013888888888888</v>
      </c>
      <c r="L2" s="5">
        <v>0.27777777777777779</v>
      </c>
      <c r="M2" s="6">
        <v>0.28402777777777777</v>
      </c>
      <c r="N2" s="2" t="s">
        <v>455</v>
      </c>
      <c r="O2" s="2" t="s">
        <v>57</v>
      </c>
      <c r="P2" s="3">
        <v>893</v>
      </c>
      <c r="Q2" s="3">
        <v>429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44924</v>
      </c>
      <c r="B3" s="3" t="s">
        <v>112</v>
      </c>
      <c r="C3" s="3" t="s">
        <v>29</v>
      </c>
      <c r="D3" s="3" t="s">
        <v>76</v>
      </c>
      <c r="E3" s="3" t="s">
        <v>298</v>
      </c>
      <c r="F3" s="3" t="s">
        <v>25</v>
      </c>
      <c r="G3" s="4">
        <v>80000</v>
      </c>
      <c r="H3" s="3" t="s">
        <v>31</v>
      </c>
      <c r="I3" s="3" t="s">
        <v>32</v>
      </c>
      <c r="J3" s="5">
        <v>0.30208333333333331</v>
      </c>
      <c r="K3" s="6">
        <v>0.29722222222222222</v>
      </c>
      <c r="L3" s="5">
        <v>0.31944444444444448</v>
      </c>
      <c r="M3" s="6">
        <v>0.33680555555555558</v>
      </c>
      <c r="N3" s="2" t="s">
        <v>423</v>
      </c>
      <c r="O3" s="2" t="s">
        <v>450</v>
      </c>
      <c r="P3" s="3">
        <v>338</v>
      </c>
      <c r="Q3" s="3">
        <v>312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44924</v>
      </c>
      <c r="B4" s="3" t="s">
        <v>21</v>
      </c>
      <c r="C4" s="3" t="s">
        <v>33</v>
      </c>
      <c r="D4" s="3" t="s">
        <v>23</v>
      </c>
      <c r="E4" s="3" t="s">
        <v>24</v>
      </c>
      <c r="F4" s="3" t="s">
        <v>25</v>
      </c>
      <c r="G4" s="4">
        <v>70000</v>
      </c>
      <c r="H4" s="3" t="s">
        <v>95</v>
      </c>
      <c r="I4" s="3" t="s">
        <v>98</v>
      </c>
      <c r="J4" s="5">
        <v>0.4861111111111111</v>
      </c>
      <c r="K4" s="6">
        <v>0.5</v>
      </c>
      <c r="L4" s="5">
        <v>0.3298611111111111</v>
      </c>
      <c r="M4" s="6">
        <v>0.3576388888888889</v>
      </c>
      <c r="N4" s="2" t="s">
        <v>333</v>
      </c>
      <c r="O4" s="2" t="s">
        <v>451</v>
      </c>
      <c r="P4" s="3">
        <v>395</v>
      </c>
      <c r="Q4" s="3">
        <v>374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44924</v>
      </c>
      <c r="B5" s="3" t="s">
        <v>21</v>
      </c>
      <c r="C5" s="3" t="s">
        <v>94</v>
      </c>
      <c r="D5" s="3" t="s">
        <v>23</v>
      </c>
      <c r="E5" s="3" t="s">
        <v>194</v>
      </c>
      <c r="F5" s="3" t="s">
        <v>25</v>
      </c>
      <c r="G5" s="4">
        <v>70000</v>
      </c>
      <c r="H5" s="3" t="s">
        <v>97</v>
      </c>
      <c r="I5" s="3" t="s">
        <v>100</v>
      </c>
      <c r="J5" s="5">
        <v>0.68055555555555547</v>
      </c>
      <c r="K5" s="6">
        <v>0.6777777777777777</v>
      </c>
      <c r="L5" s="5">
        <v>0.50694444444444442</v>
      </c>
      <c r="M5" s="6">
        <v>0.51180555555555551</v>
      </c>
      <c r="N5" s="2" t="s">
        <v>326</v>
      </c>
      <c r="O5" s="2" t="s">
        <v>456</v>
      </c>
      <c r="P5" s="3">
        <v>790</v>
      </c>
      <c r="Q5" s="3">
        <v>574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44924</v>
      </c>
      <c r="B6" s="3" t="s">
        <v>21</v>
      </c>
      <c r="C6" s="3" t="s">
        <v>37</v>
      </c>
      <c r="D6" s="3" t="s">
        <v>23</v>
      </c>
      <c r="E6" s="3" t="s">
        <v>24</v>
      </c>
      <c r="F6" s="1" t="s">
        <v>25</v>
      </c>
      <c r="G6" s="4">
        <v>70000</v>
      </c>
      <c r="H6" s="3" t="s">
        <v>38</v>
      </c>
      <c r="I6" s="3" t="s">
        <v>39</v>
      </c>
      <c r="J6" s="5">
        <v>0.68402777777777779</v>
      </c>
      <c r="K6" s="6">
        <v>0.67291666666666661</v>
      </c>
      <c r="L6" s="5">
        <v>0.52777777777777779</v>
      </c>
      <c r="M6" s="6">
        <v>0.53402777777777777</v>
      </c>
      <c r="N6" s="2" t="s">
        <v>136</v>
      </c>
      <c r="O6" s="2" t="s">
        <v>457</v>
      </c>
      <c r="P6" s="3">
        <v>782</v>
      </c>
      <c r="Q6" s="3">
        <v>783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44924</v>
      </c>
      <c r="B7" s="3" t="s">
        <v>21</v>
      </c>
      <c r="C7" s="3" t="s">
        <v>40</v>
      </c>
      <c r="D7" s="3" t="s">
        <v>23</v>
      </c>
      <c r="E7" s="3" t="s">
        <v>24</v>
      </c>
      <c r="F7" s="3" t="s">
        <v>25</v>
      </c>
      <c r="G7" s="4">
        <v>70000</v>
      </c>
      <c r="H7" s="3" t="s">
        <v>41</v>
      </c>
      <c r="I7" s="3" t="s">
        <v>42</v>
      </c>
      <c r="J7" s="5">
        <v>0.92361111111111116</v>
      </c>
      <c r="K7" s="6">
        <v>0.9145833333333333</v>
      </c>
      <c r="L7" s="5">
        <v>0.71527777777777779</v>
      </c>
      <c r="M7" s="6">
        <v>0.71666666666666667</v>
      </c>
      <c r="N7" s="2" t="s">
        <v>458</v>
      </c>
      <c r="O7" s="2" t="s">
        <v>405</v>
      </c>
      <c r="P7" s="3">
        <v>725</v>
      </c>
      <c r="Q7" s="3">
        <v>671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44924</v>
      </c>
      <c r="B8" s="3" t="s">
        <v>21</v>
      </c>
      <c r="C8" s="3" t="s">
        <v>440</v>
      </c>
      <c r="D8" s="3" t="s">
        <v>23</v>
      </c>
      <c r="E8" s="3" t="s">
        <v>449</v>
      </c>
      <c r="F8" s="3" t="s">
        <v>25</v>
      </c>
      <c r="G8" s="4">
        <v>70000</v>
      </c>
      <c r="H8" s="3" t="s">
        <v>44</v>
      </c>
      <c r="I8" s="3" t="s">
        <v>45</v>
      </c>
      <c r="J8" s="5">
        <v>0.88888888888888884</v>
      </c>
      <c r="K8" s="6">
        <v>0.90902777777777777</v>
      </c>
      <c r="L8" s="5">
        <v>0.71875</v>
      </c>
      <c r="M8" s="6">
        <v>0.73472222222222217</v>
      </c>
      <c r="N8" s="2" t="s">
        <v>459</v>
      </c>
      <c r="O8" s="2" t="s">
        <v>48</v>
      </c>
      <c r="P8" s="3">
        <v>1111</v>
      </c>
      <c r="Q8" s="3">
        <v>765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44924</v>
      </c>
      <c r="B9" s="3" t="s">
        <v>356</v>
      </c>
      <c r="C9" s="3" t="s">
        <v>452</v>
      </c>
      <c r="D9" s="3" t="s">
        <v>453</v>
      </c>
      <c r="E9" s="3" t="s">
        <v>359</v>
      </c>
      <c r="F9" s="3" t="s">
        <v>454</v>
      </c>
      <c r="G9" s="4">
        <v>7000</v>
      </c>
      <c r="H9" s="3" t="s">
        <v>358</v>
      </c>
      <c r="I9" s="3" t="s">
        <v>358</v>
      </c>
      <c r="J9" s="3" t="s">
        <v>124</v>
      </c>
      <c r="K9" s="6">
        <v>0.4548611111111111</v>
      </c>
      <c r="L9" s="3" t="s">
        <v>124</v>
      </c>
      <c r="M9" s="6">
        <v>0.49305555555555558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5">
      <c r="A10" s="2">
        <v>44924</v>
      </c>
      <c r="B10" s="3" t="s">
        <v>356</v>
      </c>
      <c r="C10" s="3" t="s">
        <v>452</v>
      </c>
      <c r="D10" s="3" t="s">
        <v>453</v>
      </c>
      <c r="E10" s="3" t="s">
        <v>360</v>
      </c>
      <c r="F10" s="3" t="s">
        <v>454</v>
      </c>
      <c r="G10" s="4">
        <v>7000</v>
      </c>
      <c r="H10" s="3" t="s">
        <v>361</v>
      </c>
      <c r="I10" s="3" t="s">
        <v>361</v>
      </c>
      <c r="J10" s="3" t="s">
        <v>124</v>
      </c>
      <c r="K10" s="6">
        <v>0.45833333333333331</v>
      </c>
      <c r="L10" s="3" t="s">
        <v>124</v>
      </c>
      <c r="M10" s="6">
        <v>0.47916666666666669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19" sqref="K19"/>
    </sheetView>
  </sheetViews>
  <sheetFormatPr defaultRowHeight="15" x14ac:dyDescent="0.25"/>
  <cols>
    <col min="3" max="3" width="15.42578125" customWidth="1"/>
    <col min="6" max="6" width="13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44925</v>
      </c>
      <c r="B2" s="3" t="s">
        <v>21</v>
      </c>
      <c r="C2" s="3" t="s">
        <v>59</v>
      </c>
      <c r="D2" s="3" t="s">
        <v>23</v>
      </c>
      <c r="E2" s="3" t="s">
        <v>460</v>
      </c>
      <c r="F2" s="1" t="s">
        <v>25</v>
      </c>
      <c r="G2" s="4">
        <v>70000</v>
      </c>
      <c r="H2" s="3" t="s">
        <v>64</v>
      </c>
      <c r="I2" s="3" t="s">
        <v>69</v>
      </c>
      <c r="J2" s="5">
        <v>0.52430555555555558</v>
      </c>
      <c r="K2" s="6">
        <v>0.50972222222222219</v>
      </c>
      <c r="L2" s="5">
        <v>0.27777777777777779</v>
      </c>
      <c r="M2" s="6">
        <v>0.27847222222222223</v>
      </c>
      <c r="N2" s="3" t="s">
        <v>463</v>
      </c>
      <c r="O2" s="3" t="s">
        <v>462</v>
      </c>
      <c r="P2" s="3">
        <v>572</v>
      </c>
      <c r="Q2" s="3">
        <v>626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44925</v>
      </c>
      <c r="B3" s="3" t="s">
        <v>21</v>
      </c>
      <c r="C3" s="3" t="s">
        <v>60</v>
      </c>
      <c r="D3" s="3" t="s">
        <v>23</v>
      </c>
      <c r="E3" s="3" t="s">
        <v>24</v>
      </c>
      <c r="F3" s="3" t="s">
        <v>25</v>
      </c>
      <c r="G3" s="4">
        <v>70000</v>
      </c>
      <c r="H3" s="3" t="s">
        <v>65</v>
      </c>
      <c r="I3" s="3" t="s">
        <v>70</v>
      </c>
      <c r="J3" s="5">
        <v>0.4826388888888889</v>
      </c>
      <c r="K3" s="6">
        <v>0.4770833333333333</v>
      </c>
      <c r="L3" s="5">
        <v>0.28819444444444448</v>
      </c>
      <c r="M3" s="6">
        <v>0.29375000000000001</v>
      </c>
      <c r="N3" s="3" t="s">
        <v>464</v>
      </c>
      <c r="O3" s="3" t="s">
        <v>346</v>
      </c>
      <c r="P3" s="3">
        <v>973</v>
      </c>
      <c r="Q3" s="3">
        <v>726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44925</v>
      </c>
      <c r="B4" s="3" t="s">
        <v>21</v>
      </c>
      <c r="C4" s="3" t="s">
        <v>61</v>
      </c>
      <c r="D4" s="3" t="s">
        <v>23</v>
      </c>
      <c r="E4" s="3" t="s">
        <v>24</v>
      </c>
      <c r="F4" s="3" t="s">
        <v>25</v>
      </c>
      <c r="G4" s="4">
        <v>70000</v>
      </c>
      <c r="H4" s="3" t="s">
        <v>260</v>
      </c>
      <c r="I4" s="3" t="s">
        <v>66</v>
      </c>
      <c r="J4" s="5">
        <v>0.68055555555555547</v>
      </c>
      <c r="K4" s="6">
        <v>0.66527777777777775</v>
      </c>
      <c r="L4" s="5">
        <v>0.50694444444444442</v>
      </c>
      <c r="M4" s="6">
        <v>0.51250000000000007</v>
      </c>
      <c r="N4" s="3" t="s">
        <v>239</v>
      </c>
      <c r="O4" s="3" t="s">
        <v>457</v>
      </c>
      <c r="P4" s="3">
        <v>989</v>
      </c>
      <c r="Q4" s="3">
        <v>517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44925</v>
      </c>
      <c r="B5" s="3" t="s">
        <v>21</v>
      </c>
      <c r="C5" s="3" t="s">
        <v>93</v>
      </c>
      <c r="D5" s="3" t="s">
        <v>23</v>
      </c>
      <c r="E5" s="3" t="s">
        <v>460</v>
      </c>
      <c r="F5" s="3" t="s">
        <v>25</v>
      </c>
      <c r="G5" s="4">
        <v>70000</v>
      </c>
      <c r="H5" s="3" t="s">
        <v>96</v>
      </c>
      <c r="I5" s="3" t="s">
        <v>99</v>
      </c>
      <c r="J5" s="5">
        <v>0.71875</v>
      </c>
      <c r="K5" s="6">
        <v>0.71666666666666667</v>
      </c>
      <c r="L5" s="5">
        <v>0.56597222222222221</v>
      </c>
      <c r="M5" s="6">
        <v>0.57847222222222217</v>
      </c>
      <c r="N5" s="3" t="s">
        <v>400</v>
      </c>
      <c r="O5" s="3" t="s">
        <v>465</v>
      </c>
      <c r="P5" s="3">
        <v>672</v>
      </c>
      <c r="Q5" s="3">
        <v>563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44925</v>
      </c>
      <c r="B6" s="3" t="s">
        <v>21</v>
      </c>
      <c r="C6" s="3" t="s">
        <v>117</v>
      </c>
      <c r="D6" s="3" t="s">
        <v>23</v>
      </c>
      <c r="E6" s="3" t="s">
        <v>24</v>
      </c>
      <c r="F6" s="3" t="s">
        <v>25</v>
      </c>
      <c r="G6" s="4">
        <v>70000</v>
      </c>
      <c r="H6" s="3" t="s">
        <v>118</v>
      </c>
      <c r="I6" s="3" t="s">
        <v>119</v>
      </c>
      <c r="J6" s="5">
        <v>0.95138888888888884</v>
      </c>
      <c r="K6" s="6">
        <v>0.8881944444444444</v>
      </c>
      <c r="L6" s="5">
        <v>0.71180555555555547</v>
      </c>
      <c r="M6" s="6">
        <v>0.70416666666666661</v>
      </c>
      <c r="N6" s="3" t="s">
        <v>132</v>
      </c>
      <c r="O6" s="3" t="s">
        <v>153</v>
      </c>
      <c r="P6" s="3">
        <v>581</v>
      </c>
      <c r="Q6" s="3">
        <v>557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44925</v>
      </c>
      <c r="B7" s="3" t="s">
        <v>21</v>
      </c>
      <c r="C7" s="3" t="s">
        <v>62</v>
      </c>
      <c r="D7" s="3" t="s">
        <v>23</v>
      </c>
      <c r="E7" s="3" t="s">
        <v>460</v>
      </c>
      <c r="F7" s="3" t="s">
        <v>25</v>
      </c>
      <c r="G7" s="14">
        <v>70000</v>
      </c>
      <c r="H7" s="3" t="s">
        <v>67</v>
      </c>
      <c r="I7" s="3" t="s">
        <v>71</v>
      </c>
      <c r="J7" s="16">
        <v>0.86458333333333337</v>
      </c>
      <c r="K7" s="15">
        <v>0.86319444444444438</v>
      </c>
      <c r="L7" s="16">
        <v>0.74305555555555547</v>
      </c>
      <c r="M7" s="15">
        <v>0.74652777777777779</v>
      </c>
      <c r="N7" s="13" t="s">
        <v>467</v>
      </c>
      <c r="O7" s="13" t="s">
        <v>466</v>
      </c>
      <c r="P7" s="13">
        <v>505</v>
      </c>
      <c r="Q7" s="13">
        <v>561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44925</v>
      </c>
      <c r="B8" s="3" t="s">
        <v>112</v>
      </c>
      <c r="C8" s="3" t="s">
        <v>75</v>
      </c>
      <c r="D8" s="3" t="s">
        <v>76</v>
      </c>
      <c r="E8" s="3" t="s">
        <v>461</v>
      </c>
      <c r="F8" s="3" t="s">
        <v>25</v>
      </c>
      <c r="G8" s="4">
        <v>80000</v>
      </c>
      <c r="H8" s="3" t="s">
        <v>78</v>
      </c>
      <c r="I8" s="3" t="s">
        <v>79</v>
      </c>
      <c r="J8" s="5">
        <v>0.77777777777777779</v>
      </c>
      <c r="K8" s="6">
        <v>0.75277777777777777</v>
      </c>
      <c r="L8" s="5">
        <v>0.80208333333333337</v>
      </c>
      <c r="M8" s="6">
        <v>0.79861111111111116</v>
      </c>
      <c r="N8" s="3" t="s">
        <v>430</v>
      </c>
      <c r="O8" s="3" t="s">
        <v>416</v>
      </c>
      <c r="P8" s="3">
        <v>429</v>
      </c>
      <c r="Q8" s="3">
        <v>442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tabSelected="1" topLeftCell="D1" workbookViewId="0">
      <selection activeCell="P8" sqref="P8"/>
    </sheetView>
  </sheetViews>
  <sheetFormatPr defaultRowHeight="15" x14ac:dyDescent="0.25"/>
  <cols>
    <col min="1" max="1" width="12.7109375" bestFit="1" customWidth="1"/>
    <col min="2" max="2" width="23.28515625" customWidth="1"/>
    <col min="3" max="3" width="15.7109375" customWidth="1"/>
    <col min="6" max="6" width="19.85546875" customWidth="1"/>
    <col min="7" max="7" width="9.28515625" bestFit="1" customWidth="1"/>
    <col min="10" max="10" width="9.28515625" bestFit="1" customWidth="1"/>
    <col min="12" max="12" width="9.28515625" bestFit="1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44926</v>
      </c>
      <c r="B2" s="3" t="s">
        <v>21</v>
      </c>
      <c r="C2" s="3" t="s">
        <v>22</v>
      </c>
      <c r="D2" s="3" t="s">
        <v>23</v>
      </c>
      <c r="E2" s="3" t="s">
        <v>24</v>
      </c>
      <c r="F2" s="1" t="s">
        <v>25</v>
      </c>
      <c r="G2" s="4">
        <v>70000</v>
      </c>
      <c r="H2" s="3" t="s">
        <v>26</v>
      </c>
      <c r="I2" s="3" t="s">
        <v>27</v>
      </c>
      <c r="J2" s="5">
        <v>0.4826388888888889</v>
      </c>
      <c r="K2" s="6">
        <v>0.4777777777777778</v>
      </c>
      <c r="L2" s="5">
        <v>0.27777777777777779</v>
      </c>
      <c r="M2" s="6">
        <v>0.28194444444444444</v>
      </c>
      <c r="N2" s="2" t="s">
        <v>478</v>
      </c>
      <c r="O2" s="2" t="s">
        <v>475</v>
      </c>
      <c r="P2" s="3">
        <v>1117</v>
      </c>
      <c r="Q2" s="3">
        <v>455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44926</v>
      </c>
      <c r="B3" s="3" t="s">
        <v>21</v>
      </c>
      <c r="C3" s="3" t="s">
        <v>92</v>
      </c>
      <c r="D3" s="3" t="s">
        <v>23</v>
      </c>
      <c r="E3" s="3" t="s">
        <v>460</v>
      </c>
      <c r="F3" s="3" t="s">
        <v>25</v>
      </c>
      <c r="G3" s="4">
        <v>70000</v>
      </c>
      <c r="H3" s="3" t="s">
        <v>95</v>
      </c>
      <c r="I3" s="3" t="s">
        <v>98</v>
      </c>
      <c r="J3" s="5">
        <v>0.51041666666666663</v>
      </c>
      <c r="K3" s="6">
        <v>0.50138888888888888</v>
      </c>
      <c r="L3" s="5">
        <v>0.30555555555555552</v>
      </c>
      <c r="M3" s="6">
        <v>0.31041666666666667</v>
      </c>
      <c r="N3" s="2" t="s">
        <v>391</v>
      </c>
      <c r="O3" s="2" t="s">
        <v>476</v>
      </c>
      <c r="P3" s="3">
        <v>736</v>
      </c>
      <c r="Q3" s="3">
        <v>523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44926</v>
      </c>
      <c r="B4" s="3" t="s">
        <v>21</v>
      </c>
      <c r="C4" s="3" t="s">
        <v>94</v>
      </c>
      <c r="D4" s="3" t="s">
        <v>23</v>
      </c>
      <c r="E4" s="3" t="s">
        <v>24</v>
      </c>
      <c r="F4" s="3" t="s">
        <v>25</v>
      </c>
      <c r="G4" s="4">
        <v>70000</v>
      </c>
      <c r="H4" s="3" t="s">
        <v>97</v>
      </c>
      <c r="I4" s="3" t="s">
        <v>100</v>
      </c>
      <c r="J4" s="5">
        <v>0.69791666666666663</v>
      </c>
      <c r="K4" s="6">
        <v>0.69305555555555554</v>
      </c>
      <c r="L4" s="5">
        <v>0.52430555555555558</v>
      </c>
      <c r="M4" s="6">
        <v>0.52708333333333335</v>
      </c>
      <c r="N4" s="2" t="s">
        <v>483</v>
      </c>
      <c r="O4" s="2" t="s">
        <v>480</v>
      </c>
      <c r="P4" s="3">
        <v>542</v>
      </c>
      <c r="Q4" s="3">
        <v>362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44926</v>
      </c>
      <c r="B5" s="3" t="s">
        <v>21</v>
      </c>
      <c r="C5" s="3" t="s">
        <v>37</v>
      </c>
      <c r="D5" s="3" t="s">
        <v>23</v>
      </c>
      <c r="E5" s="3" t="s">
        <v>460</v>
      </c>
      <c r="F5" s="1" t="s">
        <v>25</v>
      </c>
      <c r="G5" s="4">
        <v>70000</v>
      </c>
      <c r="H5" s="3" t="s">
        <v>38</v>
      </c>
      <c r="I5" s="3" t="s">
        <v>39</v>
      </c>
      <c r="J5" s="5">
        <v>0.69791666666666663</v>
      </c>
      <c r="K5" s="6">
        <v>0.6791666666666667</v>
      </c>
      <c r="L5" s="5">
        <v>0.54166666666666663</v>
      </c>
      <c r="M5" s="6">
        <v>0.55138888888888882</v>
      </c>
      <c r="N5" s="2" t="s">
        <v>245</v>
      </c>
      <c r="O5" s="2" t="s">
        <v>238</v>
      </c>
      <c r="P5" s="3">
        <v>719</v>
      </c>
      <c r="Q5" s="3">
        <v>640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44926</v>
      </c>
      <c r="B6" s="3" t="s">
        <v>28</v>
      </c>
      <c r="C6" s="3" t="s">
        <v>29</v>
      </c>
      <c r="D6" s="3" t="s">
        <v>23</v>
      </c>
      <c r="E6" s="3" t="s">
        <v>477</v>
      </c>
      <c r="F6" s="3" t="s">
        <v>25</v>
      </c>
      <c r="G6" s="4">
        <v>70000</v>
      </c>
      <c r="H6" s="3" t="s">
        <v>31</v>
      </c>
      <c r="I6" s="3" t="s">
        <v>32</v>
      </c>
      <c r="J6" s="5">
        <v>0.67361111111111116</v>
      </c>
      <c r="K6" s="6">
        <v>0.65972222222222221</v>
      </c>
      <c r="L6" s="5">
        <v>0.69097222222222221</v>
      </c>
      <c r="M6" s="6">
        <v>0.70000000000000007</v>
      </c>
      <c r="N6" s="2" t="s">
        <v>481</v>
      </c>
      <c r="O6" s="2" t="s">
        <v>482</v>
      </c>
      <c r="P6" s="3">
        <v>195</v>
      </c>
      <c r="Q6" s="3">
        <v>234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44926</v>
      </c>
      <c r="B7" s="3" t="s">
        <v>21</v>
      </c>
      <c r="C7" s="3" t="s">
        <v>43</v>
      </c>
      <c r="D7" s="3" t="s">
        <v>23</v>
      </c>
      <c r="E7" s="3" t="s">
        <v>24</v>
      </c>
      <c r="F7" s="3" t="s">
        <v>25</v>
      </c>
      <c r="G7" s="4">
        <v>70000</v>
      </c>
      <c r="H7" s="3" t="s">
        <v>44</v>
      </c>
      <c r="I7" s="3" t="s">
        <v>45</v>
      </c>
      <c r="J7" s="5">
        <v>0.90625</v>
      </c>
      <c r="K7" s="6">
        <v>0.89861111111111114</v>
      </c>
      <c r="L7" s="5">
        <v>0.73611111111111116</v>
      </c>
      <c r="M7" s="6">
        <v>0.73958333333333337</v>
      </c>
      <c r="N7" s="2" t="s">
        <v>484</v>
      </c>
      <c r="O7" s="2" t="s">
        <v>427</v>
      </c>
      <c r="P7" s="3">
        <v>785</v>
      </c>
      <c r="Q7" s="3">
        <v>977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44926</v>
      </c>
      <c r="B8" s="3" t="s">
        <v>468</v>
      </c>
      <c r="C8" s="3" t="s">
        <v>469</v>
      </c>
      <c r="D8" s="3" t="s">
        <v>470</v>
      </c>
      <c r="E8" s="3" t="s">
        <v>471</v>
      </c>
      <c r="F8" s="3" t="s">
        <v>479</v>
      </c>
      <c r="G8" s="4">
        <v>475</v>
      </c>
      <c r="H8" s="3" t="s">
        <v>471</v>
      </c>
      <c r="I8" s="3" t="s">
        <v>471</v>
      </c>
      <c r="J8" s="5">
        <v>0.45833333333333331</v>
      </c>
      <c r="K8" s="6">
        <v>0.44097222222222227</v>
      </c>
      <c r="L8" s="5">
        <v>0.54166666666666663</v>
      </c>
      <c r="M8" s="6">
        <v>0.52083333333333337</v>
      </c>
      <c r="N8" s="3" t="s">
        <v>124</v>
      </c>
      <c r="O8" s="3" t="s">
        <v>124</v>
      </c>
      <c r="P8" s="3" t="s">
        <v>124</v>
      </c>
      <c r="Q8" s="3" t="s">
        <v>124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44926</v>
      </c>
      <c r="B9" s="3" t="s">
        <v>472</v>
      </c>
      <c r="C9" s="3" t="s">
        <v>473</v>
      </c>
      <c r="D9" s="3" t="s">
        <v>470</v>
      </c>
      <c r="E9" s="3" t="s">
        <v>474</v>
      </c>
      <c r="F9" s="3" t="s">
        <v>479</v>
      </c>
      <c r="G9" s="4">
        <v>475</v>
      </c>
      <c r="H9" s="3" t="s">
        <v>474</v>
      </c>
      <c r="I9" s="3" t="s">
        <v>474</v>
      </c>
      <c r="J9" s="5">
        <v>0.45833333333333331</v>
      </c>
      <c r="K9" s="6">
        <v>0.44166666666666665</v>
      </c>
      <c r="L9" s="5">
        <v>0.47916666666666669</v>
      </c>
      <c r="M9" s="6">
        <v>0.47291666666666665</v>
      </c>
      <c r="N9" s="3" t="s">
        <v>124</v>
      </c>
      <c r="O9" s="3" t="s">
        <v>124</v>
      </c>
      <c r="P9" s="3" t="s">
        <v>124</v>
      </c>
      <c r="Q9" s="3" t="s">
        <v>124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2022-12-31T20:36:25Z</dcterms:modified>
</cp:coreProperties>
</file>