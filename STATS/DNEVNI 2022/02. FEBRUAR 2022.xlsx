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525" windowWidth="14805" windowHeight="7590" firstSheet="7" activeTab="25"/>
  </bookViews>
  <sheets>
    <sheet name="01" sheetId="1" r:id="rId1"/>
    <sheet name="02" sheetId="2" r:id="rId2"/>
    <sheet name="03" sheetId="3" r:id="rId3"/>
    <sheet name="04" sheetId="4" r:id="rId4"/>
    <sheet name="05" sheetId="6" r:id="rId5"/>
    <sheet name="06" sheetId="7" r:id="rId6"/>
    <sheet name="07" sheetId="8" r:id="rId7"/>
    <sheet name="08" sheetId="9" r:id="rId8"/>
    <sheet name="0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9" sheetId="19" r:id="rId18"/>
    <sheet name="20" sheetId="20" r:id="rId19"/>
    <sheet name="21" sheetId="21" r:id="rId20"/>
    <sheet name="22" sheetId="22" r:id="rId21"/>
    <sheet name="23" sheetId="23" r:id="rId22"/>
    <sheet name="25" sheetId="24" r:id="rId23"/>
    <sheet name="26" sheetId="25" r:id="rId24"/>
    <sheet name="27" sheetId="26" r:id="rId25"/>
    <sheet name="28" sheetId="27" r:id="rId26"/>
  </sheets>
  <calcPr calcId="145621"/>
</workbook>
</file>

<file path=xl/calcChain.xml><?xml version="1.0" encoding="utf-8"?>
<calcChain xmlns="http://schemas.openxmlformats.org/spreadsheetml/2006/main">
  <c r="A4" i="22" l="1"/>
  <c r="A3" i="22"/>
  <c r="I2" i="11" l="1"/>
</calcChain>
</file>

<file path=xl/sharedStrings.xml><?xml version="1.0" encoding="utf-8"?>
<sst xmlns="http://schemas.openxmlformats.org/spreadsheetml/2006/main" count="1003" uniqueCount="168">
  <si>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</si>
  <si>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</si>
  <si>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</si>
  <si>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</si>
  <si>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</si>
  <si>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</si>
  <si>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</si>
  <si>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</si>
  <si>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</si>
  <si>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</si>
  <si>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</si>
  <si>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</si>
  <si>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</si>
  <si>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</si>
  <si>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</si>
  <si>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</si>
  <si>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</si>
  <si>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</si>
  <si>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</si>
  <si>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</si>
  <si>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</si>
  <si>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</si>
  <si>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TZL-FMM-TZL</t>
  </si>
  <si>
    <t>A320</t>
  </si>
  <si>
    <t>HA-LPM</t>
  </si>
  <si>
    <t>SCHEDULED</t>
  </si>
  <si>
    <t>W64280</t>
  </si>
  <si>
    <t>W64279</t>
  </si>
  <si>
    <t>TZL-MLH-TZL</t>
  </si>
  <si>
    <t>W64294</t>
  </si>
  <si>
    <t>W64293</t>
  </si>
  <si>
    <t>TZL-BER-TZL</t>
  </si>
  <si>
    <t>W64276</t>
  </si>
  <si>
    <t>W64275</t>
  </si>
  <si>
    <t>148+8 INF</t>
  </si>
  <si>
    <t>133+4 INF</t>
  </si>
  <si>
    <t>106+1 INF</t>
  </si>
  <si>
    <t>SWISS AIR AMBULANCE</t>
  </si>
  <si>
    <t>ZRH-TZL-MLH</t>
  </si>
  <si>
    <t>CL650</t>
  </si>
  <si>
    <t>HB-JWA</t>
  </si>
  <si>
    <t>MEDEVAC</t>
  </si>
  <si>
    <t>SAZ51</t>
  </si>
  <si>
    <t>SAZ52</t>
  </si>
  <si>
    <t>130+2 INF</t>
  </si>
  <si>
    <t>53+3 INF</t>
  </si>
  <si>
    <t>60+1 INF</t>
  </si>
  <si>
    <t>TZL-HHN-TZL</t>
  </si>
  <si>
    <t>W64284</t>
  </si>
  <si>
    <t>W64283</t>
  </si>
  <si>
    <t>128+5 INF</t>
  </si>
  <si>
    <t>147+3 INF</t>
  </si>
  <si>
    <t>TZL-DTM-TZL</t>
  </si>
  <si>
    <t>W64298</t>
  </si>
  <si>
    <t>W64297</t>
  </si>
  <si>
    <t>123+0 INF</t>
  </si>
  <si>
    <t>170+2 INF</t>
  </si>
  <si>
    <t>TZL-CGN-TZL</t>
  </si>
  <si>
    <t>W64299</t>
  </si>
  <si>
    <t>W64300</t>
  </si>
  <si>
    <t>143+1 INF</t>
  </si>
  <si>
    <t>118+3 INF</t>
  </si>
  <si>
    <t>148+3 INF</t>
  </si>
  <si>
    <t>117+2 INF</t>
  </si>
  <si>
    <t>178+2 INF</t>
  </si>
  <si>
    <t>111+2 INF</t>
  </si>
  <si>
    <t>TZL-MMX-TZL</t>
  </si>
  <si>
    <t>W64292</t>
  </si>
  <si>
    <t>W64291</t>
  </si>
  <si>
    <t>155+3 INF</t>
  </si>
  <si>
    <t>163+6 INF</t>
  </si>
  <si>
    <t>145+6 INF</t>
  </si>
  <si>
    <t>168+2 INF</t>
  </si>
  <si>
    <t>131+3 INF</t>
  </si>
  <si>
    <t>112+0 INF</t>
  </si>
  <si>
    <t>130+5 INF</t>
  </si>
  <si>
    <t>122+3 INF</t>
  </si>
  <si>
    <t>152+3 INF</t>
  </si>
  <si>
    <t>128+9 INF</t>
  </si>
  <si>
    <t>154+1 INF</t>
  </si>
  <si>
    <t>162+5 INF</t>
  </si>
  <si>
    <t>140+4 INF</t>
  </si>
  <si>
    <t>60+3 INF</t>
  </si>
  <si>
    <t>151+3 INF</t>
  </si>
  <si>
    <t>SA341G</t>
  </si>
  <si>
    <t>YU-HOT</t>
  </si>
  <si>
    <t>HELICOPTER</t>
  </si>
  <si>
    <t>YUHOT</t>
  </si>
  <si>
    <t>-</t>
  </si>
  <si>
    <t>OMO-TZL-BEG</t>
  </si>
  <si>
    <t>ELGRA VISION DOO</t>
  </si>
  <si>
    <t>AIRLINK Luftverkehrs GmbH</t>
  </si>
  <si>
    <t>SZG-TZL-SZG</t>
  </si>
  <si>
    <t>BE9L</t>
  </si>
  <si>
    <t>OE-FHL</t>
  </si>
  <si>
    <t>JAR28</t>
  </si>
  <si>
    <t>121+1 INF</t>
  </si>
  <si>
    <t>180+5 INF</t>
  </si>
  <si>
    <t>HA-LPN</t>
  </si>
  <si>
    <t>HA-LPN/LYE</t>
  </si>
  <si>
    <t>HA-LYE</t>
  </si>
  <si>
    <t>104+2 INF</t>
  </si>
  <si>
    <t>163+4 INF</t>
  </si>
  <si>
    <t>180+3 INF</t>
  </si>
  <si>
    <t>159+1 INF</t>
  </si>
  <si>
    <t>163+10 INF</t>
  </si>
  <si>
    <t>172+0 INF</t>
  </si>
  <si>
    <t>154+3 INF</t>
  </si>
  <si>
    <t>167+2 INF</t>
  </si>
  <si>
    <t>156+3 INF</t>
  </si>
  <si>
    <t>175+3 INF</t>
  </si>
  <si>
    <t>157+4 INF</t>
  </si>
  <si>
    <t>144+1 INF</t>
  </si>
  <si>
    <t>157+9 INF</t>
  </si>
  <si>
    <t>157+7 INF</t>
  </si>
  <si>
    <t>171+2 INF</t>
  </si>
  <si>
    <t>171+3 INF</t>
  </si>
  <si>
    <t>136+4 INF</t>
  </si>
  <si>
    <t>91+1 INF</t>
  </si>
  <si>
    <t>160+3 INF</t>
  </si>
  <si>
    <t>149+2 INF</t>
  </si>
  <si>
    <t>158+4 INF</t>
  </si>
  <si>
    <t>148+6 INF</t>
  </si>
  <si>
    <t>123+1 INF</t>
  </si>
  <si>
    <t>173+3 INF</t>
  </si>
  <si>
    <t>140+1 INF</t>
  </si>
  <si>
    <t>172+4 INF</t>
  </si>
  <si>
    <t>169+2 INF</t>
  </si>
  <si>
    <t>140+5 INF</t>
  </si>
  <si>
    <t>151+1 INF</t>
  </si>
  <si>
    <t>155+1 INF</t>
  </si>
  <si>
    <t>160+2 INF</t>
  </si>
  <si>
    <t>163+5 INF</t>
  </si>
  <si>
    <t>155+6 INF</t>
  </si>
  <si>
    <t>150+2 INF</t>
  </si>
  <si>
    <t>116+2 INF</t>
  </si>
  <si>
    <t>176+3 INF</t>
  </si>
  <si>
    <t>81+2 INF</t>
  </si>
  <si>
    <t>156+4 INF</t>
  </si>
  <si>
    <t>168+4 INF</t>
  </si>
  <si>
    <t>MLH7041</t>
  </si>
  <si>
    <t>MLH7042</t>
  </si>
  <si>
    <t>CHARTER</t>
  </si>
  <si>
    <t>9H-AMI</t>
  </si>
  <si>
    <t>VNO-TZL</t>
  </si>
  <si>
    <t>Avion Express Malta</t>
  </si>
  <si>
    <t>ROP</t>
  </si>
  <si>
    <t>90+0 INF</t>
  </si>
  <si>
    <t>X</t>
  </si>
  <si>
    <t>162+2 INF</t>
  </si>
  <si>
    <t>AVION EXPRESS MALTA</t>
  </si>
  <si>
    <t>TZL-VNO</t>
  </si>
  <si>
    <t>24A7042</t>
  </si>
  <si>
    <t>24A7041</t>
  </si>
  <si>
    <t>90+0INF</t>
  </si>
  <si>
    <t>168+0 INF</t>
  </si>
  <si>
    <t>163+3 INF</t>
  </si>
  <si>
    <t>150+0 INF</t>
  </si>
  <si>
    <t>154+2 INF</t>
  </si>
  <si>
    <t>160+8 INF</t>
  </si>
  <si>
    <t>173+4 INF</t>
  </si>
  <si>
    <t>165+2 INF</t>
  </si>
  <si>
    <t>166+5 INF</t>
  </si>
  <si>
    <t>171+4 INF</t>
  </si>
  <si>
    <t>176+4 INF</t>
  </si>
  <si>
    <t>158+3 INF</t>
  </si>
  <si>
    <t>141+4 INF</t>
  </si>
  <si>
    <t>163+2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</si>
</sst>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sz val="9"/>
      <color rgb="FF222222"/>
      <name val="Garamond"/>
      <family val="1"/>
      <charset val="238"/>
    </font>
    <font>
      <sz val="10"/>
      <color rgb="FF222222"/>
      <name val="Garamond"/>
      <family val="1"/>
      <charset val="238"/>
    </font>
    <font>
      <sz val="8"/>
      <color theme="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20" fontId="5" fillId="0" borderId="0" xfId="0" applyNumberFormat="1" applyFont="1" applyFill="1" applyAlignment="1">
      <alignment horizontal="center" vertical="center"/>
    </xf>
    <xf numFmtId="20" fontId="2" fillId="0" borderId="0" xfId="2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3">
    <cellStyle name="Normal" xfId="0" builtinId="0"/>
    <cellStyle name="Normal 3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U5"/>
    </sheetView>
  </sheetViews>
  <sheetFormatPr defaultRowHeight="15" x14ac:dyDescent="0.25"/>
  <cols>
    <col min="2" max="2" width="21.85546875" bestFit="1" customWidth="1"/>
    <col min="3" max="3" width="12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44593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>
        <v>70000</v>
      </c>
      <c r="H2" s="4" t="s">
        <v>26</v>
      </c>
      <c r="I2" s="4" t="s">
        <v>27</v>
      </c>
      <c r="J2" s="6">
        <v>0.5</v>
      </c>
      <c r="K2" s="7">
        <v>0.5180555555555556</v>
      </c>
      <c r="L2" s="6">
        <v>0.35069444444444442</v>
      </c>
      <c r="M2" s="7">
        <v>0.36736111111111108</v>
      </c>
      <c r="N2" s="4" t="s">
        <v>35</v>
      </c>
      <c r="O2" s="4" t="s">
        <v>34</v>
      </c>
      <c r="P2" s="4">
        <v>643</v>
      </c>
      <c r="Q2" s="4">
        <v>734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44593</v>
      </c>
      <c r="B3" s="8" t="s">
        <v>21</v>
      </c>
      <c r="C3" s="8" t="s">
        <v>28</v>
      </c>
      <c r="D3" s="8" t="s">
        <v>23</v>
      </c>
      <c r="E3" s="4" t="s">
        <v>24</v>
      </c>
      <c r="F3" s="8" t="s">
        <v>25</v>
      </c>
      <c r="G3" s="9">
        <v>70000</v>
      </c>
      <c r="H3" s="8" t="s">
        <v>29</v>
      </c>
      <c r="I3" s="8" t="s">
        <v>30</v>
      </c>
      <c r="J3" s="10">
        <v>0.71527777777777779</v>
      </c>
      <c r="K3" s="11">
        <v>0.70972222222222225</v>
      </c>
      <c r="L3" s="10">
        <v>0.54166666666666663</v>
      </c>
      <c r="M3" s="12">
        <v>0.54722222222222217</v>
      </c>
      <c r="N3" s="4" t="s">
        <v>44</v>
      </c>
      <c r="O3" s="4" t="s">
        <v>36</v>
      </c>
      <c r="P3" s="13">
        <v>773</v>
      </c>
      <c r="Q3" s="13">
        <v>668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44593</v>
      </c>
      <c r="B4" s="4" t="s">
        <v>21</v>
      </c>
      <c r="C4" s="4" t="s">
        <v>31</v>
      </c>
      <c r="D4" s="4" t="s">
        <v>23</v>
      </c>
      <c r="E4" s="4" t="s">
        <v>24</v>
      </c>
      <c r="F4" s="4" t="s">
        <v>25</v>
      </c>
      <c r="G4" s="5">
        <v>70000</v>
      </c>
      <c r="H4" s="4" t="s">
        <v>32</v>
      </c>
      <c r="I4" s="4" t="s">
        <v>33</v>
      </c>
      <c r="J4" s="6">
        <v>0.91666666666666663</v>
      </c>
      <c r="K4" s="7">
        <v>0.89722222222222225</v>
      </c>
      <c r="L4" s="6">
        <v>0.74305555555555547</v>
      </c>
      <c r="M4" s="7">
        <v>0.7402777777777777</v>
      </c>
      <c r="N4" s="4" t="s">
        <v>46</v>
      </c>
      <c r="O4" s="4" t="s">
        <v>45</v>
      </c>
      <c r="P4" s="4">
        <v>261</v>
      </c>
      <c r="Q4" s="4">
        <v>392</v>
      </c>
      <c r="R4" s="4">
        <v>0</v>
      </c>
      <c r="S4" s="4">
        <v>0</v>
      </c>
      <c r="T4" s="4">
        <v>0</v>
      </c>
      <c r="U4" s="4">
        <v>0</v>
      </c>
    </row>
    <row r="5" spans="1:21" s="17" customFormat="1" x14ac:dyDescent="0.25">
      <c r="A5" s="14">
        <v>44593</v>
      </c>
      <c r="B5" s="15" t="s">
        <v>37</v>
      </c>
      <c r="C5" s="15" t="s">
        <v>38</v>
      </c>
      <c r="D5" s="15" t="s">
        <v>39</v>
      </c>
      <c r="E5" s="15" t="s">
        <v>40</v>
      </c>
      <c r="F5" s="15" t="s">
        <v>41</v>
      </c>
      <c r="G5" s="16">
        <v>21863</v>
      </c>
      <c r="H5" s="15" t="s">
        <v>42</v>
      </c>
      <c r="I5" s="15" t="s">
        <v>43</v>
      </c>
      <c r="J5" s="18">
        <v>0.43055555555555558</v>
      </c>
      <c r="K5" s="18">
        <v>0.4152777777777778</v>
      </c>
      <c r="L5" s="18">
        <v>0.60416666666666663</v>
      </c>
      <c r="M5" s="18">
        <v>0.6118055555555556</v>
      </c>
      <c r="N5" s="15">
        <v>0</v>
      </c>
      <c r="O5" s="15">
        <v>1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D7" sqref="D7"/>
    </sheetView>
  </sheetViews>
  <sheetFormatPr defaultRowHeight="15" x14ac:dyDescent="0.25"/>
  <cols>
    <col min="1" max="1" width="10.140625" bestFit="1" customWidth="1"/>
    <col min="3" max="3" width="13.7109375" customWidth="1"/>
    <col min="4" max="4" width="7.7109375" customWidth="1"/>
    <col min="6" max="6" width="1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44594</v>
      </c>
      <c r="B2" s="4" t="s">
        <v>21</v>
      </c>
      <c r="C2" s="4" t="s">
        <v>47</v>
      </c>
      <c r="D2" s="4" t="s">
        <v>23</v>
      </c>
      <c r="E2" s="4" t="s">
        <v>24</v>
      </c>
      <c r="F2" s="4" t="s">
        <v>25</v>
      </c>
      <c r="G2" s="4">
        <v>70000</v>
      </c>
      <c r="H2" s="4" t="s">
        <v>48</v>
      </c>
      <c r="I2" s="4" t="s">
        <v>49</v>
      </c>
      <c r="J2" s="6">
        <v>0.50347222222222221</v>
      </c>
      <c r="K2" s="7">
        <v>0.50902777777777775</v>
      </c>
      <c r="L2" s="6">
        <v>0.31944444444444448</v>
      </c>
      <c r="M2" s="7">
        <v>0.32847222222222222</v>
      </c>
      <c r="N2" s="4" t="s">
        <v>51</v>
      </c>
      <c r="O2" s="4" t="s">
        <v>50</v>
      </c>
      <c r="P2" s="4">
        <v>807</v>
      </c>
      <c r="Q2" s="4">
        <v>518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4" sqref="F14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D5" sqref="D5"/>
    </sheetView>
  </sheetViews>
  <sheetFormatPr defaultRowHeight="15" x14ac:dyDescent="0.25"/>
  <cols>
    <col min="1" max="1" width="11.28515625" bestFit="1" customWidth="1"/>
    <col min="3" max="3" width="12.28515625" customWidth="1"/>
    <col min="4" max="4" width="7.7109375" customWidth="1"/>
    <col min="6" max="6" width="12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44596</v>
      </c>
      <c r="B2" s="4" t="s">
        <v>21</v>
      </c>
      <c r="C2" s="4" t="s">
        <v>52</v>
      </c>
      <c r="D2" s="4" t="s">
        <v>23</v>
      </c>
      <c r="E2" s="4" t="s">
        <v>24</v>
      </c>
      <c r="F2" s="4" t="s">
        <v>25</v>
      </c>
      <c r="G2" s="4">
        <v>70000</v>
      </c>
      <c r="H2" s="4" t="s">
        <v>53</v>
      </c>
      <c r="I2" s="4" t="s">
        <v>54</v>
      </c>
      <c r="J2" s="6">
        <v>0.77083333333333337</v>
      </c>
      <c r="K2" s="7">
        <v>0.76874999999999993</v>
      </c>
      <c r="L2" s="6">
        <v>0.31944444444444448</v>
      </c>
      <c r="M2" s="7">
        <v>0.32777777777777778</v>
      </c>
      <c r="N2" s="4" t="s">
        <v>56</v>
      </c>
      <c r="O2" s="4" t="s">
        <v>55</v>
      </c>
      <c r="P2" s="4">
        <v>1195</v>
      </c>
      <c r="Q2" s="4">
        <v>632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5" sqref="K5"/>
    </sheetView>
  </sheetViews>
  <sheetFormatPr defaultRowHeight="15" x14ac:dyDescent="0.25"/>
  <cols>
    <col min="2" max="2" width="9.140625" bestFit="1" customWidth="1"/>
    <col min="3" max="3" width="13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44597</v>
      </c>
      <c r="B2" s="4" t="s">
        <v>21</v>
      </c>
      <c r="C2" s="4" t="s">
        <v>31</v>
      </c>
      <c r="D2" s="4" t="s">
        <v>23</v>
      </c>
      <c r="E2" s="4" t="s">
        <v>24</v>
      </c>
      <c r="F2" s="4" t="s">
        <v>25</v>
      </c>
      <c r="G2" s="5">
        <v>70000</v>
      </c>
      <c r="H2" s="4" t="s">
        <v>32</v>
      </c>
      <c r="I2" s="4" t="s">
        <v>33</v>
      </c>
      <c r="J2" s="6">
        <v>0.5</v>
      </c>
      <c r="K2" s="7">
        <v>0.48888888888888887</v>
      </c>
      <c r="L2" s="6">
        <v>0.3263888888888889</v>
      </c>
      <c r="M2" s="7">
        <v>0.3263888888888889</v>
      </c>
      <c r="N2" s="4" t="s">
        <v>61</v>
      </c>
      <c r="O2" s="4" t="s">
        <v>60</v>
      </c>
      <c r="P2" s="4">
        <v>700</v>
      </c>
      <c r="Q2" s="4">
        <v>760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44597</v>
      </c>
      <c r="B3" s="8" t="s">
        <v>21</v>
      </c>
      <c r="C3" s="8" t="s">
        <v>28</v>
      </c>
      <c r="D3" s="8" t="s">
        <v>23</v>
      </c>
      <c r="E3" s="4" t="s">
        <v>24</v>
      </c>
      <c r="F3" s="8" t="s">
        <v>25</v>
      </c>
      <c r="G3" s="9">
        <v>70000</v>
      </c>
      <c r="H3" s="8" t="s">
        <v>29</v>
      </c>
      <c r="I3" s="8" t="s">
        <v>30</v>
      </c>
      <c r="J3" s="10">
        <v>0.71527777777777779</v>
      </c>
      <c r="K3" s="11">
        <v>0.7402777777777777</v>
      </c>
      <c r="L3" s="10">
        <v>0.54166666666666663</v>
      </c>
      <c r="M3" s="12">
        <v>0.53819444444444442</v>
      </c>
      <c r="N3" s="4" t="s">
        <v>64</v>
      </c>
      <c r="O3" s="4" t="s">
        <v>62</v>
      </c>
      <c r="P3" s="13">
        <v>1184</v>
      </c>
      <c r="Q3" s="13">
        <v>911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44597</v>
      </c>
      <c r="B4" s="4" t="s">
        <v>21</v>
      </c>
      <c r="C4" s="4" t="s">
        <v>57</v>
      </c>
      <c r="D4" s="4" t="s">
        <v>23</v>
      </c>
      <c r="E4" s="4" t="s">
        <v>24</v>
      </c>
      <c r="F4" s="4" t="s">
        <v>25</v>
      </c>
      <c r="G4" s="5">
        <v>70000</v>
      </c>
      <c r="H4" s="4" t="s">
        <v>59</v>
      </c>
      <c r="I4" s="4" t="s">
        <v>58</v>
      </c>
      <c r="J4" s="6">
        <v>0.93055555555555547</v>
      </c>
      <c r="K4" s="7">
        <v>0.95347222222222217</v>
      </c>
      <c r="L4" s="6">
        <v>0.74305555555555547</v>
      </c>
      <c r="M4" s="7">
        <v>0.77361111111111114</v>
      </c>
      <c r="N4" s="4" t="s">
        <v>65</v>
      </c>
      <c r="O4" s="4" t="s">
        <v>63</v>
      </c>
      <c r="P4" s="4">
        <v>771</v>
      </c>
      <c r="Q4" s="4">
        <v>778</v>
      </c>
      <c r="R4" s="4">
        <v>0</v>
      </c>
      <c r="S4" s="4">
        <v>0</v>
      </c>
      <c r="T4" s="4">
        <v>0</v>
      </c>
      <c r="U4" s="4">
        <v>0</v>
      </c>
    </row>
    <row r="5" spans="1:21" s="17" customFormat="1" x14ac:dyDescent="0.25">
      <c r="A5" s="14"/>
      <c r="B5" s="15"/>
      <c r="C5" s="15"/>
      <c r="D5" s="15"/>
      <c r="E5" s="15"/>
      <c r="F5" s="15"/>
      <c r="G5" s="16"/>
      <c r="H5" s="15"/>
      <c r="I5" s="15"/>
      <c r="J5" s="18"/>
      <c r="K5" s="18"/>
      <c r="L5" s="18"/>
      <c r="M5" s="18"/>
      <c r="N5" s="15"/>
      <c r="O5" s="15"/>
      <c r="P5" s="15"/>
      <c r="Q5" s="15"/>
      <c r="R5" s="15"/>
      <c r="S5" s="15"/>
      <c r="T5" s="15"/>
      <c r="U5" s="15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U6"/>
    </sheetView>
  </sheetViews>
  <sheetFormatPr defaultRowHeight="15" x14ac:dyDescent="0.25"/>
  <cols>
    <col min="2" max="2" width="9.140625" bestFit="1" customWidth="1"/>
    <col min="3" max="3" width="13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44598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>
        <v>70000</v>
      </c>
      <c r="H2" s="4" t="s">
        <v>26</v>
      </c>
      <c r="I2" s="4" t="s">
        <v>27</v>
      </c>
      <c r="J2" s="6">
        <v>0.4826388888888889</v>
      </c>
      <c r="K2" s="7">
        <v>0.47847222222222219</v>
      </c>
      <c r="L2" s="6">
        <v>0.33333333333333331</v>
      </c>
      <c r="M2" s="7">
        <v>0.34027777777777773</v>
      </c>
      <c r="N2" s="4" t="s">
        <v>70</v>
      </c>
      <c r="O2" s="4" t="s">
        <v>69</v>
      </c>
      <c r="P2" s="4">
        <v>895</v>
      </c>
      <c r="Q2" s="4">
        <v>786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44598</v>
      </c>
      <c r="B3" s="8" t="s">
        <v>21</v>
      </c>
      <c r="C3" s="8" t="s">
        <v>47</v>
      </c>
      <c r="D3" s="8" t="s">
        <v>23</v>
      </c>
      <c r="E3" s="4" t="s">
        <v>24</v>
      </c>
      <c r="F3" s="8" t="s">
        <v>25</v>
      </c>
      <c r="G3" s="9">
        <v>70000</v>
      </c>
      <c r="H3" s="8" t="s">
        <v>48</v>
      </c>
      <c r="I3" s="8" t="s">
        <v>49</v>
      </c>
      <c r="J3" s="10">
        <v>0.70833333333333337</v>
      </c>
      <c r="K3" s="11">
        <v>0.7090277777777777</v>
      </c>
      <c r="L3" s="10">
        <v>0.52430555555555558</v>
      </c>
      <c r="M3" s="12">
        <v>0.52361111111111114</v>
      </c>
      <c r="N3" s="4" t="s">
        <v>72</v>
      </c>
      <c r="O3" s="4" t="s">
        <v>71</v>
      </c>
      <c r="P3" s="13">
        <v>979</v>
      </c>
      <c r="Q3" s="13">
        <v>916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44598</v>
      </c>
      <c r="B4" s="4" t="s">
        <v>21</v>
      </c>
      <c r="C4" s="4" t="s">
        <v>66</v>
      </c>
      <c r="D4" s="4" t="s">
        <v>23</v>
      </c>
      <c r="E4" s="4" t="s">
        <v>24</v>
      </c>
      <c r="F4" s="4" t="s">
        <v>25</v>
      </c>
      <c r="G4" s="5">
        <v>70000</v>
      </c>
      <c r="H4" s="4" t="s">
        <v>67</v>
      </c>
      <c r="I4" s="4" t="s">
        <v>68</v>
      </c>
      <c r="J4" s="6">
        <v>0.94097222222222221</v>
      </c>
      <c r="K4" s="7">
        <v>0.93402777777777779</v>
      </c>
      <c r="L4" s="6">
        <v>0.73611111111111116</v>
      </c>
      <c r="M4" s="7">
        <v>0.74722222222222223</v>
      </c>
      <c r="N4" s="4" t="s">
        <v>74</v>
      </c>
      <c r="O4" s="4" t="s">
        <v>73</v>
      </c>
      <c r="P4" s="4">
        <v>633</v>
      </c>
      <c r="Q4" s="4">
        <v>848</v>
      </c>
      <c r="R4" s="4">
        <v>0</v>
      </c>
      <c r="S4" s="4">
        <v>0</v>
      </c>
      <c r="T4" s="4">
        <v>0</v>
      </c>
      <c r="U4" s="4">
        <v>0</v>
      </c>
    </row>
    <row r="5" spans="1:21" s="17" customFormat="1" x14ac:dyDescent="0.25">
      <c r="A5" s="14"/>
      <c r="B5" s="15"/>
      <c r="C5" s="15"/>
      <c r="D5" s="15"/>
      <c r="E5" s="15"/>
      <c r="F5" s="15"/>
      <c r="G5" s="16"/>
      <c r="H5" s="15"/>
      <c r="I5" s="15"/>
      <c r="J5" s="18"/>
      <c r="K5" s="18"/>
      <c r="L5" s="18"/>
      <c r="M5" s="18"/>
      <c r="N5" s="15"/>
      <c r="O5" s="15"/>
      <c r="P5" s="15"/>
      <c r="Q5" s="15"/>
      <c r="R5" s="15"/>
      <c r="S5" s="15"/>
      <c r="T5" s="15"/>
      <c r="U5" s="15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G8" sqref="G8"/>
    </sheetView>
  </sheetViews>
  <sheetFormatPr defaultRowHeight="15" x14ac:dyDescent="0.25"/>
  <cols>
    <col min="3" max="3" width="13.140625" customWidth="1"/>
    <col min="4" max="4" width="8" customWidth="1"/>
    <col min="6" max="6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44599</v>
      </c>
      <c r="B2" s="4" t="s">
        <v>21</v>
      </c>
      <c r="C2" s="4" t="s">
        <v>52</v>
      </c>
      <c r="D2" s="4" t="s">
        <v>23</v>
      </c>
      <c r="E2" s="4" t="s">
        <v>24</v>
      </c>
      <c r="F2" s="4" t="s">
        <v>25</v>
      </c>
      <c r="G2" s="4">
        <v>70000</v>
      </c>
      <c r="H2" s="4" t="s">
        <v>53</v>
      </c>
      <c r="I2" s="4" t="s">
        <v>54</v>
      </c>
      <c r="J2" s="6">
        <v>0.77083333333333337</v>
      </c>
      <c r="K2" s="7">
        <v>0.75902777777777775</v>
      </c>
      <c r="L2" s="6">
        <v>0.31944444444444448</v>
      </c>
      <c r="M2" s="7">
        <v>0.32013888888888892</v>
      </c>
      <c r="N2" s="4" t="s">
        <v>76</v>
      </c>
      <c r="O2" s="4" t="s">
        <v>75</v>
      </c>
      <c r="P2" s="4">
        <v>783</v>
      </c>
      <c r="Q2" s="4">
        <v>624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L4" sqref="L4"/>
    </sheetView>
  </sheetViews>
  <sheetFormatPr defaultRowHeight="15" x14ac:dyDescent="0.25"/>
  <cols>
    <col min="3" max="3" width="12.5703125" customWidth="1"/>
    <col min="4" max="4" width="7.57031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44600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>
        <v>70000</v>
      </c>
      <c r="H2" s="4" t="s">
        <v>26</v>
      </c>
      <c r="I2" s="4" t="s">
        <v>27</v>
      </c>
      <c r="J2" s="6">
        <v>0.5</v>
      </c>
      <c r="K2" s="7">
        <v>0.49722222222222223</v>
      </c>
      <c r="L2" s="6">
        <v>0.35069444444444442</v>
      </c>
      <c r="M2" s="7">
        <v>0.35833333333333334</v>
      </c>
      <c r="N2" s="4" t="s">
        <v>78</v>
      </c>
      <c r="O2" s="4" t="s">
        <v>77</v>
      </c>
      <c r="P2" s="4">
        <v>767</v>
      </c>
      <c r="Q2" s="4">
        <v>720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44600</v>
      </c>
      <c r="B3" s="8" t="s">
        <v>21</v>
      </c>
      <c r="C3" s="8" t="s">
        <v>28</v>
      </c>
      <c r="D3" s="8" t="s">
        <v>23</v>
      </c>
      <c r="E3" s="4" t="s">
        <v>24</v>
      </c>
      <c r="F3" s="8" t="s">
        <v>25</v>
      </c>
      <c r="G3" s="9">
        <v>70000</v>
      </c>
      <c r="H3" s="8" t="s">
        <v>29</v>
      </c>
      <c r="I3" s="8" t="s">
        <v>30</v>
      </c>
      <c r="J3" s="10">
        <v>0.71527777777777779</v>
      </c>
      <c r="K3" s="11">
        <v>0.71597222222222223</v>
      </c>
      <c r="L3" s="10">
        <v>0.54166666666666663</v>
      </c>
      <c r="M3" s="12">
        <v>0.54652777777777783</v>
      </c>
      <c r="N3" s="4" t="s">
        <v>80</v>
      </c>
      <c r="O3" s="4" t="s">
        <v>79</v>
      </c>
      <c r="P3" s="13">
        <v>785</v>
      </c>
      <c r="Q3" s="13">
        <v>739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44600</v>
      </c>
      <c r="B4" s="4" t="s">
        <v>21</v>
      </c>
      <c r="C4" s="4" t="s">
        <v>31</v>
      </c>
      <c r="D4" s="4" t="s">
        <v>23</v>
      </c>
      <c r="E4" s="4" t="s">
        <v>24</v>
      </c>
      <c r="F4" s="4" t="s">
        <v>25</v>
      </c>
      <c r="G4" s="5">
        <v>70000</v>
      </c>
      <c r="H4" s="4" t="s">
        <v>32</v>
      </c>
      <c r="I4" s="4" t="s">
        <v>33</v>
      </c>
      <c r="J4" s="6">
        <v>0.91666666666666663</v>
      </c>
      <c r="K4" s="7">
        <v>0.92083333333333339</v>
      </c>
      <c r="L4" s="6">
        <v>0.74305555555555547</v>
      </c>
      <c r="M4" s="7">
        <v>0.75416666666666676</v>
      </c>
      <c r="N4" s="4" t="s">
        <v>82</v>
      </c>
      <c r="O4" s="4" t="s">
        <v>81</v>
      </c>
      <c r="P4" s="4">
        <v>342</v>
      </c>
      <c r="Q4" s="4">
        <v>850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4"/>
      <c r="B5" s="15"/>
      <c r="C5" s="15"/>
      <c r="D5" s="15"/>
      <c r="E5" s="15"/>
      <c r="F5" s="15"/>
      <c r="G5" s="16"/>
      <c r="H5" s="15"/>
      <c r="I5" s="15"/>
      <c r="J5" s="18"/>
      <c r="K5" s="18"/>
      <c r="L5" s="18"/>
      <c r="M5" s="18"/>
      <c r="N5" s="15"/>
      <c r="O5" s="15"/>
      <c r="P5" s="15"/>
      <c r="Q5" s="15"/>
      <c r="R5" s="15"/>
      <c r="S5" s="15"/>
      <c r="T5" s="15"/>
      <c r="U5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4" sqref="K4"/>
    </sheetView>
  </sheetViews>
  <sheetFormatPr defaultRowHeight="15" x14ac:dyDescent="0.25"/>
  <cols>
    <col min="1" max="1" width="10.140625" bestFit="1" customWidth="1"/>
    <col min="2" max="2" width="20" customWidth="1"/>
    <col min="3" max="3" width="13.7109375" customWidth="1"/>
    <col min="4" max="4" width="7.7109375" customWidth="1"/>
    <col min="6" max="6" width="13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44601</v>
      </c>
      <c r="B2" s="4" t="s">
        <v>21</v>
      </c>
      <c r="C2" s="4" t="s">
        <v>47</v>
      </c>
      <c r="D2" s="4" t="s">
        <v>23</v>
      </c>
      <c r="E2" s="4" t="s">
        <v>24</v>
      </c>
      <c r="F2" s="4" t="s">
        <v>25</v>
      </c>
      <c r="G2" s="4">
        <v>70000</v>
      </c>
      <c r="H2" s="4" t="s">
        <v>48</v>
      </c>
      <c r="I2" s="4" t="s">
        <v>49</v>
      </c>
      <c r="J2" s="6">
        <v>0.50347222222222221</v>
      </c>
      <c r="K2" s="7">
        <v>0.49583333333333335</v>
      </c>
      <c r="L2" s="6">
        <v>0.31944444444444448</v>
      </c>
      <c r="M2" s="7">
        <v>0.32569444444444445</v>
      </c>
      <c r="N2" s="4" t="s">
        <v>62</v>
      </c>
      <c r="O2" s="4" t="s">
        <v>83</v>
      </c>
      <c r="P2" s="4">
        <v>771</v>
      </c>
      <c r="Q2" s="4">
        <v>608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9">
        <v>44601</v>
      </c>
      <c r="B3" s="4" t="s">
        <v>90</v>
      </c>
      <c r="C3" s="4" t="s">
        <v>89</v>
      </c>
      <c r="D3" s="4" t="s">
        <v>84</v>
      </c>
      <c r="E3" s="4" t="s">
        <v>85</v>
      </c>
      <c r="F3" s="4" t="s">
        <v>86</v>
      </c>
      <c r="G3" s="4">
        <v>2000</v>
      </c>
      <c r="H3" s="4" t="s">
        <v>87</v>
      </c>
      <c r="I3" s="4" t="s">
        <v>87</v>
      </c>
      <c r="J3" s="6">
        <v>0.65277777777777779</v>
      </c>
      <c r="K3" s="7">
        <v>0.67986111111111114</v>
      </c>
      <c r="L3" s="6">
        <v>0.6875</v>
      </c>
      <c r="M3" s="7">
        <v>0.69444444444444453</v>
      </c>
      <c r="N3" s="4">
        <v>1</v>
      </c>
      <c r="O3" s="4">
        <v>1</v>
      </c>
      <c r="P3" s="4" t="s">
        <v>88</v>
      </c>
      <c r="Q3" s="4" t="s">
        <v>88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M3" sqref="M3"/>
    </sheetView>
  </sheetViews>
  <sheetFormatPr defaultRowHeight="15" x14ac:dyDescent="0.25"/>
  <cols>
    <col min="1" max="1" width="10.140625" bestFit="1" customWidth="1"/>
    <col min="2" max="2" width="24.5703125" bestFit="1" customWidth="1"/>
    <col min="3" max="3" width="13.7109375" customWidth="1"/>
    <col min="4" max="4" width="7.7109375" customWidth="1"/>
    <col min="6" max="6" width="13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44602</v>
      </c>
      <c r="B2" s="4" t="s">
        <v>91</v>
      </c>
      <c r="C2" s="4" t="s">
        <v>92</v>
      </c>
      <c r="D2" s="4" t="s">
        <v>93</v>
      </c>
      <c r="E2" s="4" t="s">
        <v>94</v>
      </c>
      <c r="F2" s="4" t="s">
        <v>41</v>
      </c>
      <c r="G2" s="4">
        <v>5000</v>
      </c>
      <c r="H2" s="4" t="s">
        <v>95</v>
      </c>
      <c r="I2" s="4" t="str">
        <f>H2</f>
        <v>JAR28</v>
      </c>
      <c r="J2" s="6">
        <v>0.41319444444444442</v>
      </c>
      <c r="K2" s="7">
        <v>0.41250000000000003</v>
      </c>
      <c r="L2" s="6">
        <v>0.5625</v>
      </c>
      <c r="M2" s="7">
        <v>0.55208333333333337</v>
      </c>
      <c r="N2" s="4">
        <v>0</v>
      </c>
      <c r="O2" s="4">
        <v>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22" sqref="I22"/>
    </sheetView>
  </sheetViews>
  <sheetFormatPr defaultRowHeight="15" x14ac:dyDescent="0.25"/>
  <cols>
    <col min="1" max="1" width="11.28515625" bestFit="1" customWidth="1"/>
    <col min="3" max="3" width="12.28515625" customWidth="1"/>
    <col min="4" max="4" width="7.7109375" customWidth="1"/>
    <col min="6" max="6" width="12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44603</v>
      </c>
      <c r="B2" s="4" t="s">
        <v>21</v>
      </c>
      <c r="C2" s="4" t="s">
        <v>52</v>
      </c>
      <c r="D2" s="4" t="s">
        <v>23</v>
      </c>
      <c r="E2" s="4" t="s">
        <v>24</v>
      </c>
      <c r="F2" s="4" t="s">
        <v>25</v>
      </c>
      <c r="G2" s="4">
        <v>70000</v>
      </c>
      <c r="H2" s="4" t="s">
        <v>53</v>
      </c>
      <c r="I2" s="4" t="s">
        <v>54</v>
      </c>
      <c r="J2" s="6">
        <v>0.77083333333333337</v>
      </c>
      <c r="K2" s="7">
        <v>0.78194444444444444</v>
      </c>
      <c r="L2" s="6">
        <v>0.31944444444444448</v>
      </c>
      <c r="M2" s="7">
        <v>0.32291666666666669</v>
      </c>
      <c r="N2" s="4" t="s">
        <v>97</v>
      </c>
      <c r="O2" s="4" t="s">
        <v>96</v>
      </c>
      <c r="P2" s="4">
        <v>1063</v>
      </c>
      <c r="Q2" s="4">
        <v>690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1048576"/>
    </sheetView>
  </sheetViews>
  <sheetFormatPr defaultRowHeight="15" x14ac:dyDescent="0.25"/>
  <cols>
    <col min="2" max="2" width="9.140625" bestFit="1" customWidth="1"/>
    <col min="3" max="3" width="13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44604</v>
      </c>
      <c r="B2" s="4" t="s">
        <v>21</v>
      </c>
      <c r="C2" s="4" t="s">
        <v>31</v>
      </c>
      <c r="D2" s="4" t="s">
        <v>23</v>
      </c>
      <c r="E2" s="4" t="s">
        <v>98</v>
      </c>
      <c r="F2" s="4" t="s">
        <v>25</v>
      </c>
      <c r="G2" s="5">
        <v>70000</v>
      </c>
      <c r="H2" s="4" t="s">
        <v>32</v>
      </c>
      <c r="I2" s="4" t="s">
        <v>33</v>
      </c>
      <c r="J2" s="6">
        <v>0.5</v>
      </c>
      <c r="K2" s="7">
        <v>0.49236111111111108</v>
      </c>
      <c r="L2" s="6">
        <v>0.3263888888888889</v>
      </c>
      <c r="M2" s="7">
        <v>0.32569444444444445</v>
      </c>
      <c r="N2" s="4" t="s">
        <v>102</v>
      </c>
      <c r="O2" s="4" t="s">
        <v>101</v>
      </c>
      <c r="P2" s="4">
        <v>728</v>
      </c>
      <c r="Q2" s="4">
        <v>754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44604</v>
      </c>
      <c r="B3" s="8" t="s">
        <v>21</v>
      </c>
      <c r="C3" s="8" t="s">
        <v>28</v>
      </c>
      <c r="D3" s="8" t="s">
        <v>23</v>
      </c>
      <c r="E3" s="4" t="s">
        <v>99</v>
      </c>
      <c r="F3" s="8" t="s">
        <v>25</v>
      </c>
      <c r="G3" s="9">
        <v>70000</v>
      </c>
      <c r="H3" s="8" t="s">
        <v>29</v>
      </c>
      <c r="I3" s="8" t="s">
        <v>30</v>
      </c>
      <c r="J3" s="10">
        <v>0.71527777777777779</v>
      </c>
      <c r="K3" s="11">
        <v>0.73888888888888893</v>
      </c>
      <c r="L3" s="10">
        <v>0.54166666666666663</v>
      </c>
      <c r="M3" s="12">
        <v>0.53749999999999998</v>
      </c>
      <c r="N3" s="4" t="s">
        <v>103</v>
      </c>
      <c r="O3" s="4" t="s">
        <v>72</v>
      </c>
      <c r="P3" s="13">
        <v>931</v>
      </c>
      <c r="Q3" s="13">
        <v>917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44604</v>
      </c>
      <c r="B4" s="4" t="s">
        <v>21</v>
      </c>
      <c r="C4" s="4" t="s">
        <v>57</v>
      </c>
      <c r="D4" s="4" t="s">
        <v>23</v>
      </c>
      <c r="E4" s="4" t="s">
        <v>100</v>
      </c>
      <c r="F4" s="4" t="s">
        <v>25</v>
      </c>
      <c r="G4" s="5">
        <v>70000</v>
      </c>
      <c r="H4" s="4" t="s">
        <v>59</v>
      </c>
      <c r="I4" s="4" t="s">
        <v>58</v>
      </c>
      <c r="J4" s="6">
        <v>0.93055555555555547</v>
      </c>
      <c r="K4" s="7">
        <v>0.92291666666666661</v>
      </c>
      <c r="L4" s="6">
        <v>0.74305555555555547</v>
      </c>
      <c r="M4" s="7">
        <v>0.77777777777777779</v>
      </c>
      <c r="N4" s="4" t="s">
        <v>104</v>
      </c>
      <c r="O4" s="4" t="s">
        <v>61</v>
      </c>
      <c r="P4" s="4">
        <v>1029</v>
      </c>
      <c r="Q4" s="4">
        <v>702</v>
      </c>
      <c r="R4" s="4">
        <v>0</v>
      </c>
      <c r="S4" s="4">
        <v>0</v>
      </c>
      <c r="T4" s="4">
        <v>0</v>
      </c>
      <c r="U4" s="4">
        <v>0</v>
      </c>
    </row>
    <row r="5" spans="1:21" s="17" customFormat="1" x14ac:dyDescent="0.25">
      <c r="A5" s="14"/>
      <c r="B5" s="15"/>
      <c r="C5" s="15"/>
      <c r="D5" s="15"/>
      <c r="E5" s="15"/>
      <c r="F5" s="15"/>
      <c r="G5" s="16"/>
      <c r="H5" s="15"/>
      <c r="I5" s="15"/>
      <c r="J5" s="18"/>
      <c r="K5" s="18"/>
      <c r="L5" s="18"/>
      <c r="M5" s="18"/>
      <c r="N5" s="15"/>
      <c r="O5" s="15"/>
      <c r="P5" s="15"/>
      <c r="Q5" s="15"/>
      <c r="R5" s="15"/>
      <c r="S5" s="15"/>
      <c r="T5" s="15"/>
      <c r="U5" s="15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XFD1048576"/>
    </sheetView>
  </sheetViews>
  <sheetFormatPr defaultRowHeight="15" x14ac:dyDescent="0.25"/>
  <cols>
    <col min="3" max="3" width="13.28515625" customWidth="1"/>
    <col min="4" max="4" width="7.140625" customWidth="1"/>
    <col min="6" max="6" width="12.140625" customWidth="1"/>
    <col min="15" max="15" width="10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44605</v>
      </c>
      <c r="B2" s="4" t="s">
        <v>21</v>
      </c>
      <c r="C2" s="4" t="s">
        <v>22</v>
      </c>
      <c r="D2" s="4" t="s">
        <v>23</v>
      </c>
      <c r="E2" s="4" t="s">
        <v>100</v>
      </c>
      <c r="F2" s="4" t="s">
        <v>25</v>
      </c>
      <c r="G2" s="5">
        <v>70000</v>
      </c>
      <c r="H2" s="4" t="s">
        <v>26</v>
      </c>
      <c r="I2" s="4" t="s">
        <v>27</v>
      </c>
      <c r="J2" s="6">
        <v>0.4826388888888889</v>
      </c>
      <c r="K2" s="7">
        <v>0.4694444444444445</v>
      </c>
      <c r="L2" s="6">
        <v>0.33333333333333331</v>
      </c>
      <c r="M2" s="7">
        <v>0.33333333333333331</v>
      </c>
      <c r="N2" s="4" t="s">
        <v>106</v>
      </c>
      <c r="O2" s="4" t="s">
        <v>105</v>
      </c>
      <c r="P2" s="4">
        <v>945</v>
      </c>
      <c r="Q2" s="4">
        <v>783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44605</v>
      </c>
      <c r="B3" s="8" t="s">
        <v>21</v>
      </c>
      <c r="C3" s="8" t="s">
        <v>47</v>
      </c>
      <c r="D3" s="8" t="s">
        <v>23</v>
      </c>
      <c r="E3" s="4" t="s">
        <v>100</v>
      </c>
      <c r="F3" s="8" t="s">
        <v>25</v>
      </c>
      <c r="G3" s="9">
        <v>70000</v>
      </c>
      <c r="H3" s="8" t="s">
        <v>48</v>
      </c>
      <c r="I3" s="8" t="s">
        <v>49</v>
      </c>
      <c r="J3" s="10">
        <v>0.70833333333333337</v>
      </c>
      <c r="K3" s="11">
        <v>0.68819444444444444</v>
      </c>
      <c r="L3" s="10">
        <v>0.52430555555555558</v>
      </c>
      <c r="M3" s="12">
        <v>0.52222222222222225</v>
      </c>
      <c r="N3" s="4" t="s">
        <v>108</v>
      </c>
      <c r="O3" s="4" t="s">
        <v>107</v>
      </c>
      <c r="P3" s="13">
        <v>869</v>
      </c>
      <c r="Q3" s="13">
        <v>847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44605</v>
      </c>
      <c r="B4" s="4" t="s">
        <v>21</v>
      </c>
      <c r="C4" s="4" t="s">
        <v>66</v>
      </c>
      <c r="D4" s="4" t="s">
        <v>23</v>
      </c>
      <c r="E4" s="4" t="s">
        <v>100</v>
      </c>
      <c r="F4" s="4" t="s">
        <v>25</v>
      </c>
      <c r="G4" s="5">
        <v>70000</v>
      </c>
      <c r="H4" s="4" t="s">
        <v>67</v>
      </c>
      <c r="I4" s="4" t="s">
        <v>68</v>
      </c>
      <c r="J4" s="6">
        <v>0.94097222222222221</v>
      </c>
      <c r="K4" s="7">
        <v>0.93333333333333324</v>
      </c>
      <c r="L4" s="6">
        <v>0.73611111111111116</v>
      </c>
      <c r="M4" s="7">
        <v>0.7368055555555556</v>
      </c>
      <c r="N4" s="4" t="s">
        <v>110</v>
      </c>
      <c r="O4" s="4" t="s">
        <v>109</v>
      </c>
      <c r="P4" s="4">
        <v>1259</v>
      </c>
      <c r="Q4" s="4">
        <v>1145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4"/>
      <c r="B5" s="15"/>
      <c r="C5" s="15"/>
      <c r="D5" s="15"/>
      <c r="E5" s="15"/>
      <c r="F5" s="15"/>
      <c r="G5" s="16"/>
      <c r="H5" s="15"/>
      <c r="I5" s="15"/>
      <c r="J5" s="18"/>
      <c r="K5" s="18"/>
      <c r="L5" s="18"/>
      <c r="M5" s="18"/>
      <c r="N5" s="15"/>
      <c r="O5" s="15"/>
      <c r="P5" s="15"/>
      <c r="Q5" s="15"/>
      <c r="R5" s="15"/>
      <c r="S5" s="15"/>
      <c r="T5" s="15"/>
      <c r="U5" s="15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O2" sqref="O2"/>
    </sheetView>
  </sheetViews>
  <sheetFormatPr defaultRowHeight="15" x14ac:dyDescent="0.25"/>
  <cols>
    <col min="3" max="3" width="14.85546875" customWidth="1"/>
    <col min="4" max="4" width="7.5703125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44606</v>
      </c>
      <c r="B2" s="4" t="s">
        <v>21</v>
      </c>
      <c r="C2" s="4" t="s">
        <v>52</v>
      </c>
      <c r="D2" s="4" t="s">
        <v>23</v>
      </c>
      <c r="E2" s="4" t="s">
        <v>100</v>
      </c>
      <c r="F2" s="4" t="s">
        <v>25</v>
      </c>
      <c r="G2" s="4">
        <v>70000</v>
      </c>
      <c r="H2" s="4" t="s">
        <v>53</v>
      </c>
      <c r="I2" s="4" t="s">
        <v>54</v>
      </c>
      <c r="J2" s="6">
        <v>0.77083333333333337</v>
      </c>
      <c r="K2" s="7">
        <v>0.76250000000000007</v>
      </c>
      <c r="L2" s="6">
        <v>0.31944444444444448</v>
      </c>
      <c r="M2" s="7">
        <v>0.3263888888888889</v>
      </c>
      <c r="N2" s="4" t="s">
        <v>112</v>
      </c>
      <c r="O2" s="4" t="s">
        <v>111</v>
      </c>
      <c r="P2" s="4">
        <v>975</v>
      </c>
      <c r="Q2" s="4">
        <v>570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6" sqref="K6"/>
    </sheetView>
  </sheetViews>
  <sheetFormatPr defaultRowHeight="15" x14ac:dyDescent="0.25"/>
  <cols>
    <col min="3" max="3" width="12.5703125" customWidth="1"/>
    <col min="4" max="4" width="7.57031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44607</v>
      </c>
      <c r="B2" s="4" t="s">
        <v>21</v>
      </c>
      <c r="C2" s="4" t="s">
        <v>22</v>
      </c>
      <c r="D2" s="4" t="s">
        <v>23</v>
      </c>
      <c r="E2" s="4" t="s">
        <v>100</v>
      </c>
      <c r="F2" s="4" t="s">
        <v>25</v>
      </c>
      <c r="G2" s="5">
        <v>70000</v>
      </c>
      <c r="H2" s="4" t="s">
        <v>26</v>
      </c>
      <c r="I2" s="4" t="s">
        <v>27</v>
      </c>
      <c r="J2" s="6">
        <v>0.5</v>
      </c>
      <c r="K2" s="7">
        <v>0.48680555555555555</v>
      </c>
      <c r="L2" s="6">
        <v>0.35069444444444442</v>
      </c>
      <c r="M2" s="7">
        <v>0.34930555555555554</v>
      </c>
      <c r="N2" s="4" t="s">
        <v>114</v>
      </c>
      <c r="O2" s="4" t="s">
        <v>113</v>
      </c>
      <c r="P2" s="4">
        <v>806</v>
      </c>
      <c r="Q2" s="4">
        <v>694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44607</v>
      </c>
      <c r="B3" s="8" t="s">
        <v>21</v>
      </c>
      <c r="C3" s="8" t="s">
        <v>28</v>
      </c>
      <c r="D3" s="8" t="s">
        <v>23</v>
      </c>
      <c r="E3" s="4" t="s">
        <v>100</v>
      </c>
      <c r="F3" s="8" t="s">
        <v>25</v>
      </c>
      <c r="G3" s="9">
        <v>70000</v>
      </c>
      <c r="H3" s="8" t="s">
        <v>29</v>
      </c>
      <c r="I3" s="8" t="s">
        <v>30</v>
      </c>
      <c r="J3" s="10">
        <v>0.71527777777777779</v>
      </c>
      <c r="K3" s="11">
        <v>0.7090277777777777</v>
      </c>
      <c r="L3" s="10">
        <v>0.54166666666666663</v>
      </c>
      <c r="M3" s="12">
        <v>0.53888888888888886</v>
      </c>
      <c r="N3" s="4" t="s">
        <v>116</v>
      </c>
      <c r="O3" s="4" t="s">
        <v>115</v>
      </c>
      <c r="P3" s="13">
        <v>1038</v>
      </c>
      <c r="Q3" s="13">
        <v>941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44607</v>
      </c>
      <c r="B4" s="4" t="s">
        <v>21</v>
      </c>
      <c r="C4" s="4" t="s">
        <v>31</v>
      </c>
      <c r="D4" s="4" t="s">
        <v>23</v>
      </c>
      <c r="E4" s="4" t="s">
        <v>100</v>
      </c>
      <c r="F4" s="4" t="s">
        <v>25</v>
      </c>
      <c r="G4" s="5">
        <v>70000</v>
      </c>
      <c r="H4" s="4" t="s">
        <v>32</v>
      </c>
      <c r="I4" s="4" t="s">
        <v>33</v>
      </c>
      <c r="J4" s="6">
        <v>0.91666666666666663</v>
      </c>
      <c r="K4" s="7">
        <v>0.90763888888888899</v>
      </c>
      <c r="L4" s="6">
        <v>0.74305555555555547</v>
      </c>
      <c r="M4" s="7">
        <v>0.74444444444444446</v>
      </c>
      <c r="N4" s="4" t="s">
        <v>118</v>
      </c>
      <c r="O4" s="4" t="s">
        <v>117</v>
      </c>
      <c r="P4" s="4">
        <v>312</v>
      </c>
      <c r="Q4" s="4">
        <v>820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4"/>
      <c r="B5" s="15"/>
      <c r="C5" s="15"/>
      <c r="D5" s="15"/>
      <c r="E5" s="15"/>
      <c r="F5" s="15"/>
      <c r="G5" s="16"/>
      <c r="H5" s="15"/>
      <c r="I5" s="15"/>
      <c r="J5" s="18"/>
      <c r="K5" s="18"/>
      <c r="L5" s="18"/>
      <c r="M5" s="18"/>
      <c r="N5" s="15"/>
      <c r="O5" s="15"/>
      <c r="P5" s="15"/>
      <c r="Q5" s="15"/>
      <c r="R5" s="15"/>
      <c r="S5" s="15"/>
      <c r="T5" s="15"/>
      <c r="U5" s="1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3" sqref="K3"/>
    </sheetView>
  </sheetViews>
  <sheetFormatPr defaultRowHeight="15" x14ac:dyDescent="0.25"/>
  <cols>
    <col min="1" max="1" width="10.140625" bestFit="1" customWidth="1"/>
    <col min="2" max="2" width="15.28515625" customWidth="1"/>
    <col min="3" max="3" width="13.7109375" customWidth="1"/>
    <col min="4" max="4" width="7.7109375" customWidth="1"/>
    <col min="6" max="6" width="13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44608</v>
      </c>
      <c r="B2" s="4" t="s">
        <v>21</v>
      </c>
      <c r="C2" s="4" t="s">
        <v>47</v>
      </c>
      <c r="D2" s="4" t="s">
        <v>23</v>
      </c>
      <c r="E2" s="4" t="s">
        <v>100</v>
      </c>
      <c r="F2" s="4" t="s">
        <v>25</v>
      </c>
      <c r="G2" s="4">
        <v>70000</v>
      </c>
      <c r="H2" s="4" t="s">
        <v>48</v>
      </c>
      <c r="I2" s="4" t="s">
        <v>49</v>
      </c>
      <c r="J2" s="6">
        <v>0.50347222222222221</v>
      </c>
      <c r="K2" s="7">
        <v>0.5</v>
      </c>
      <c r="L2" s="6">
        <v>0.31944444444444448</v>
      </c>
      <c r="M2" s="7">
        <v>0.3298611111111111</v>
      </c>
      <c r="N2" s="4" t="s">
        <v>120</v>
      </c>
      <c r="O2" s="4" t="s">
        <v>119</v>
      </c>
      <c r="P2" s="4">
        <v>660</v>
      </c>
      <c r="Q2" s="4">
        <v>689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9"/>
      <c r="B3" s="4"/>
      <c r="C3" s="4"/>
      <c r="D3" s="4"/>
      <c r="E3" s="4"/>
      <c r="F3" s="4"/>
      <c r="G3" s="4"/>
      <c r="H3" s="4"/>
      <c r="I3" s="4"/>
      <c r="J3" s="6"/>
      <c r="K3" s="7"/>
      <c r="L3" s="6"/>
      <c r="M3" s="7"/>
      <c r="N3" s="4"/>
      <c r="O3" s="4"/>
      <c r="P3" s="4"/>
      <c r="Q3" s="4"/>
      <c r="R3" s="4"/>
      <c r="S3" s="4"/>
      <c r="T3" s="4"/>
      <c r="U3" s="4"/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1048576"/>
    </sheetView>
  </sheetViews>
  <sheetFormatPr defaultRowHeight="15" x14ac:dyDescent="0.25"/>
  <cols>
    <col min="1" max="1" width="11.28515625" bestFit="1" customWidth="1"/>
    <col min="3" max="3" width="12.28515625" customWidth="1"/>
    <col min="4" max="4" width="7.7109375" customWidth="1"/>
    <col min="6" max="6" width="12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44610</v>
      </c>
      <c r="B2" s="4" t="s">
        <v>21</v>
      </c>
      <c r="C2" s="4" t="s">
        <v>52</v>
      </c>
      <c r="D2" s="4" t="s">
        <v>23</v>
      </c>
      <c r="E2" s="4" t="s">
        <v>100</v>
      </c>
      <c r="F2" s="4" t="s">
        <v>25</v>
      </c>
      <c r="G2" s="4">
        <v>70000</v>
      </c>
      <c r="H2" s="4" t="s">
        <v>53</v>
      </c>
      <c r="I2" s="4" t="s">
        <v>54</v>
      </c>
      <c r="J2" s="6">
        <v>0.77083333333333337</v>
      </c>
      <c r="K2" s="7">
        <v>0.78819444444444453</v>
      </c>
      <c r="L2" s="6">
        <v>0.31944444444444448</v>
      </c>
      <c r="M2" s="7">
        <v>0.31875000000000003</v>
      </c>
      <c r="N2" s="4" t="s">
        <v>72</v>
      </c>
      <c r="O2" s="4" t="s">
        <v>121</v>
      </c>
      <c r="P2" s="4">
        <v>902</v>
      </c>
      <c r="Q2" s="4">
        <v>870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1048576"/>
    </sheetView>
  </sheetViews>
  <sheetFormatPr defaultRowHeight="15" x14ac:dyDescent="0.25"/>
  <cols>
    <col min="2" max="2" width="9.140625" bestFit="1" customWidth="1"/>
    <col min="3" max="3" width="13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44611</v>
      </c>
      <c r="B2" s="4" t="s">
        <v>21</v>
      </c>
      <c r="C2" s="4" t="s">
        <v>31</v>
      </c>
      <c r="D2" s="4" t="s">
        <v>23</v>
      </c>
      <c r="E2" s="4" t="s">
        <v>100</v>
      </c>
      <c r="F2" s="4" t="s">
        <v>25</v>
      </c>
      <c r="G2" s="5">
        <v>70000</v>
      </c>
      <c r="H2" s="4" t="s">
        <v>32</v>
      </c>
      <c r="I2" s="4" t="s">
        <v>33</v>
      </c>
      <c r="J2" s="6">
        <v>0.5</v>
      </c>
      <c r="K2" s="7">
        <v>0.4916666666666667</v>
      </c>
      <c r="L2" s="6">
        <v>0.3263888888888889</v>
      </c>
      <c r="M2" s="7">
        <v>0.32500000000000001</v>
      </c>
      <c r="N2" s="4" t="s">
        <v>123</v>
      </c>
      <c r="O2" s="4" t="s">
        <v>122</v>
      </c>
      <c r="P2" s="4">
        <v>556</v>
      </c>
      <c r="Q2" s="4">
        <v>862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44611</v>
      </c>
      <c r="B3" s="8" t="s">
        <v>21</v>
      </c>
      <c r="C3" s="8" t="s">
        <v>28</v>
      </c>
      <c r="D3" s="8" t="s">
        <v>23</v>
      </c>
      <c r="E3" s="4" t="s">
        <v>100</v>
      </c>
      <c r="F3" s="8" t="s">
        <v>25</v>
      </c>
      <c r="G3" s="9">
        <v>70000</v>
      </c>
      <c r="H3" s="8" t="s">
        <v>29</v>
      </c>
      <c r="I3" s="8" t="s">
        <v>30</v>
      </c>
      <c r="J3" s="10">
        <v>0.71527777777777779</v>
      </c>
      <c r="K3" s="11">
        <v>0.71666666666666667</v>
      </c>
      <c r="L3" s="10">
        <v>0.54166666666666663</v>
      </c>
      <c r="M3" s="12">
        <v>0.5395833333333333</v>
      </c>
      <c r="N3" s="4" t="s">
        <v>124</v>
      </c>
      <c r="O3" s="4" t="s">
        <v>104</v>
      </c>
      <c r="P3" s="13">
        <v>971</v>
      </c>
      <c r="Q3" s="13">
        <v>987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44611</v>
      </c>
      <c r="B4" s="4" t="s">
        <v>21</v>
      </c>
      <c r="C4" s="4" t="s">
        <v>57</v>
      </c>
      <c r="D4" s="4" t="s">
        <v>23</v>
      </c>
      <c r="E4" s="4" t="s">
        <v>100</v>
      </c>
      <c r="F4" s="4" t="s">
        <v>25</v>
      </c>
      <c r="G4" s="5">
        <v>70000</v>
      </c>
      <c r="H4" s="4" t="s">
        <v>59</v>
      </c>
      <c r="I4" s="4" t="s">
        <v>58</v>
      </c>
      <c r="J4" s="6">
        <v>0.93055555555555547</v>
      </c>
      <c r="K4" s="7">
        <v>0.94444444444444453</v>
      </c>
      <c r="L4" s="6">
        <v>0.74305555555555547</v>
      </c>
      <c r="M4" s="7">
        <v>0.75694444444444453</v>
      </c>
      <c r="N4" s="4" t="s">
        <v>126</v>
      </c>
      <c r="O4" s="4" t="s">
        <v>125</v>
      </c>
      <c r="P4" s="4">
        <v>1156</v>
      </c>
      <c r="Q4" s="4">
        <v>573</v>
      </c>
      <c r="R4" s="4">
        <v>0</v>
      </c>
      <c r="S4" s="4">
        <v>0</v>
      </c>
      <c r="T4" s="4">
        <v>0</v>
      </c>
      <c r="U4" s="4">
        <v>0</v>
      </c>
    </row>
    <row r="5" spans="1:21" s="17" customFormat="1" x14ac:dyDescent="0.25">
      <c r="A5" s="14"/>
      <c r="B5" s="15"/>
      <c r="C5" s="15"/>
      <c r="D5" s="15"/>
      <c r="E5" s="15"/>
      <c r="F5" s="15"/>
      <c r="G5" s="16"/>
      <c r="H5" s="15"/>
      <c r="I5" s="15"/>
      <c r="J5" s="18"/>
      <c r="K5" s="18"/>
      <c r="L5" s="18"/>
      <c r="M5" s="18"/>
      <c r="N5" s="15"/>
      <c r="O5" s="15"/>
      <c r="P5" s="15"/>
      <c r="Q5" s="15"/>
      <c r="R5" s="15"/>
      <c r="S5" s="15"/>
      <c r="T5" s="15"/>
      <c r="U5" s="15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XFD4"/>
    </sheetView>
  </sheetViews>
  <sheetFormatPr defaultRowHeight="15" x14ac:dyDescent="0.25"/>
  <cols>
    <col min="3" max="3" width="13.28515625" customWidth="1"/>
    <col min="4" max="4" width="7.140625" customWidth="1"/>
    <col min="6" max="6" width="12.140625" customWidth="1"/>
    <col min="15" max="15" width="10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44612</v>
      </c>
      <c r="B2" s="4" t="s">
        <v>21</v>
      </c>
      <c r="C2" s="4" t="s">
        <v>22</v>
      </c>
      <c r="D2" s="4" t="s">
        <v>23</v>
      </c>
      <c r="E2" s="4" t="s">
        <v>100</v>
      </c>
      <c r="F2" s="4" t="s">
        <v>25</v>
      </c>
      <c r="G2" s="5">
        <v>70000</v>
      </c>
      <c r="H2" s="4" t="s">
        <v>26</v>
      </c>
      <c r="I2" s="4" t="s">
        <v>27</v>
      </c>
      <c r="J2" s="6">
        <v>0.4826388888888889</v>
      </c>
      <c r="K2" s="7">
        <v>0.47083333333333338</v>
      </c>
      <c r="L2" s="6">
        <v>0.33333333333333331</v>
      </c>
      <c r="M2" s="7">
        <v>0.33194444444444443</v>
      </c>
      <c r="N2" s="4" t="s">
        <v>128</v>
      </c>
      <c r="O2" s="4" t="s">
        <v>109</v>
      </c>
      <c r="P2" s="4">
        <v>807</v>
      </c>
      <c r="Q2" s="4">
        <v>939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44612</v>
      </c>
      <c r="B3" s="8" t="s">
        <v>21</v>
      </c>
      <c r="C3" s="8" t="s">
        <v>47</v>
      </c>
      <c r="D3" s="8" t="s">
        <v>23</v>
      </c>
      <c r="E3" s="4" t="s">
        <v>100</v>
      </c>
      <c r="F3" s="8" t="s">
        <v>25</v>
      </c>
      <c r="G3" s="9">
        <v>70000</v>
      </c>
      <c r="H3" s="8" t="s">
        <v>48</v>
      </c>
      <c r="I3" s="8" t="s">
        <v>49</v>
      </c>
      <c r="J3" s="10">
        <v>0.70833333333333337</v>
      </c>
      <c r="K3" s="11">
        <v>0.6958333333333333</v>
      </c>
      <c r="L3" s="10">
        <v>0.52430555555555558</v>
      </c>
      <c r="M3" s="12">
        <v>0.52361111111111114</v>
      </c>
      <c r="N3" s="4" t="s">
        <v>129</v>
      </c>
      <c r="O3" s="4" t="s">
        <v>127</v>
      </c>
      <c r="P3" s="13">
        <v>855</v>
      </c>
      <c r="Q3" s="13">
        <v>863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44612</v>
      </c>
      <c r="B4" s="4" t="s">
        <v>21</v>
      </c>
      <c r="C4" s="4" t="s">
        <v>66</v>
      </c>
      <c r="D4" s="4" t="s">
        <v>23</v>
      </c>
      <c r="E4" s="4" t="s">
        <v>100</v>
      </c>
      <c r="F4" s="4" t="s">
        <v>25</v>
      </c>
      <c r="G4" s="5">
        <v>70000</v>
      </c>
      <c r="H4" s="4" t="s">
        <v>67</v>
      </c>
      <c r="I4" s="4" t="s">
        <v>68</v>
      </c>
      <c r="J4" s="6">
        <v>0.94097222222222221</v>
      </c>
      <c r="K4" s="7">
        <v>0.9375</v>
      </c>
      <c r="L4" s="6">
        <v>0.73611111111111116</v>
      </c>
      <c r="M4" s="7">
        <v>0.73958333333333337</v>
      </c>
      <c r="N4" s="4" t="s">
        <v>56</v>
      </c>
      <c r="O4" s="4" t="s">
        <v>130</v>
      </c>
      <c r="P4" s="4">
        <v>1018</v>
      </c>
      <c r="Q4" s="4">
        <v>1052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4"/>
      <c r="B5" s="15"/>
      <c r="C5" s="15"/>
      <c r="D5" s="15"/>
      <c r="E5" s="15"/>
      <c r="F5" s="15"/>
      <c r="G5" s="16"/>
      <c r="H5" s="15"/>
      <c r="I5" s="15"/>
      <c r="J5" s="18"/>
      <c r="K5" s="18"/>
      <c r="L5" s="18"/>
      <c r="M5" s="18"/>
      <c r="N5" s="15"/>
      <c r="O5" s="15"/>
      <c r="P5" s="15"/>
      <c r="Q5" s="15"/>
      <c r="R5" s="15"/>
      <c r="S5" s="15"/>
      <c r="T5" s="15"/>
      <c r="U5" s="15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sqref="A1:XFD2"/>
    </sheetView>
  </sheetViews>
  <sheetFormatPr defaultRowHeight="15" x14ac:dyDescent="0.25"/>
  <cols>
    <col min="3" max="3" width="14.85546875" customWidth="1"/>
    <col min="4" max="4" width="7.5703125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44613</v>
      </c>
      <c r="B2" s="4" t="s">
        <v>21</v>
      </c>
      <c r="C2" s="4" t="s">
        <v>52</v>
      </c>
      <c r="D2" s="4" t="s">
        <v>23</v>
      </c>
      <c r="E2" s="4" t="s">
        <v>100</v>
      </c>
      <c r="F2" s="4" t="s">
        <v>25</v>
      </c>
      <c r="G2" s="4">
        <v>70000</v>
      </c>
      <c r="H2" s="4" t="s">
        <v>53</v>
      </c>
      <c r="I2" s="4" t="s">
        <v>54</v>
      </c>
      <c r="J2" s="6">
        <v>0.77083333333333337</v>
      </c>
      <c r="K2" s="7">
        <v>0.76874999999999993</v>
      </c>
      <c r="L2" s="6">
        <v>0.31944444444444448</v>
      </c>
      <c r="M2" s="7">
        <v>0.32500000000000001</v>
      </c>
      <c r="N2" s="4" t="s">
        <v>132</v>
      </c>
      <c r="O2" s="4" t="s">
        <v>131</v>
      </c>
      <c r="P2" s="4">
        <v>1006</v>
      </c>
      <c r="Q2" s="4">
        <v>743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N4" sqref="N4"/>
    </sheetView>
  </sheetViews>
  <sheetFormatPr defaultRowHeight="15" x14ac:dyDescent="0.25"/>
  <cols>
    <col min="3" max="3" width="12.5703125" customWidth="1"/>
    <col min="4" max="4" width="7.57031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44614</v>
      </c>
      <c r="B2" s="4" t="s">
        <v>21</v>
      </c>
      <c r="C2" s="4" t="s">
        <v>22</v>
      </c>
      <c r="D2" s="4" t="s">
        <v>23</v>
      </c>
      <c r="E2" s="4" t="s">
        <v>100</v>
      </c>
      <c r="F2" s="4" t="s">
        <v>25</v>
      </c>
      <c r="G2" s="5">
        <v>70000</v>
      </c>
      <c r="H2" s="4" t="s">
        <v>26</v>
      </c>
      <c r="I2" s="4" t="s">
        <v>27</v>
      </c>
      <c r="J2" s="6">
        <v>0.5</v>
      </c>
      <c r="K2" s="7">
        <v>0.49374999999999997</v>
      </c>
      <c r="L2" s="6">
        <v>0.35069444444444442</v>
      </c>
      <c r="M2" s="7">
        <v>0.35347222222222219</v>
      </c>
      <c r="N2" s="4" t="s">
        <v>134</v>
      </c>
      <c r="O2" s="4" t="s">
        <v>133</v>
      </c>
      <c r="P2" s="4">
        <v>663</v>
      </c>
      <c r="Q2" s="4">
        <v>572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44614</v>
      </c>
      <c r="B3" s="8" t="s">
        <v>21</v>
      </c>
      <c r="C3" s="8" t="s">
        <v>28</v>
      </c>
      <c r="D3" s="8" t="s">
        <v>23</v>
      </c>
      <c r="E3" s="4" t="s">
        <v>100</v>
      </c>
      <c r="F3" s="8" t="s">
        <v>25</v>
      </c>
      <c r="G3" s="9">
        <v>70000</v>
      </c>
      <c r="H3" s="8" t="s">
        <v>29</v>
      </c>
      <c r="I3" s="8" t="s">
        <v>30</v>
      </c>
      <c r="J3" s="10">
        <v>0.71527777777777779</v>
      </c>
      <c r="K3" s="11">
        <v>0.70694444444444438</v>
      </c>
      <c r="L3" s="10">
        <v>0.54166666666666663</v>
      </c>
      <c r="M3" s="12">
        <v>0.54652777777777783</v>
      </c>
      <c r="N3" s="4" t="s">
        <v>136</v>
      </c>
      <c r="O3" s="4" t="s">
        <v>131</v>
      </c>
      <c r="P3" s="13">
        <v>890</v>
      </c>
      <c r="Q3" s="13">
        <v>980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f>A3</f>
        <v>44614</v>
      </c>
      <c r="B4" s="4" t="s">
        <v>21</v>
      </c>
      <c r="C4" s="4" t="s">
        <v>31</v>
      </c>
      <c r="D4" s="4" t="s">
        <v>23</v>
      </c>
      <c r="E4" s="4" t="s">
        <v>100</v>
      </c>
      <c r="F4" s="4" t="s">
        <v>25</v>
      </c>
      <c r="G4" s="5">
        <v>70000</v>
      </c>
      <c r="H4" s="4" t="s">
        <v>32</v>
      </c>
      <c r="I4" s="4" t="s">
        <v>33</v>
      </c>
      <c r="J4" s="6">
        <v>0.91666666666666663</v>
      </c>
      <c r="K4" s="7">
        <v>0.89861111111111114</v>
      </c>
      <c r="L4" s="6">
        <v>0.74305555555555547</v>
      </c>
      <c r="M4" s="7">
        <v>0.74305555555555547</v>
      </c>
      <c r="N4" s="4" t="s">
        <v>137</v>
      </c>
      <c r="O4" s="4" t="s">
        <v>135</v>
      </c>
      <c r="P4" s="4">
        <v>386</v>
      </c>
      <c r="Q4" s="4">
        <v>507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4"/>
      <c r="B5" s="15"/>
      <c r="C5" s="15"/>
      <c r="D5" s="15"/>
      <c r="E5" s="15"/>
      <c r="F5" s="15"/>
      <c r="G5" s="16"/>
      <c r="H5" s="15"/>
      <c r="I5" s="15"/>
      <c r="J5" s="18"/>
      <c r="K5" s="18"/>
      <c r="L5" s="18"/>
      <c r="M5" s="18"/>
      <c r="N5" s="15"/>
      <c r="O5" s="15"/>
      <c r="P5" s="15"/>
      <c r="Q5" s="15"/>
      <c r="R5" s="15"/>
      <c r="S5" s="15"/>
      <c r="T5" s="15"/>
      <c r="U5" s="1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B1" zoomScaleNormal="100" workbookViewId="0">
      <selection activeCell="J3" sqref="J3"/>
    </sheetView>
  </sheetViews>
  <sheetFormatPr defaultRowHeight="15" x14ac:dyDescent="0.25"/>
  <cols>
    <col min="1" max="1" width="10.140625" bestFit="1" customWidth="1"/>
    <col min="2" max="2" width="16.5703125" customWidth="1"/>
    <col min="3" max="3" width="13.7109375" customWidth="1"/>
    <col min="4" max="4" width="7.7109375" customWidth="1"/>
    <col min="6" max="6" width="13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44615</v>
      </c>
      <c r="B2" s="4" t="s">
        <v>21</v>
      </c>
      <c r="C2" s="4" t="s">
        <v>47</v>
      </c>
      <c r="D2" s="4" t="s">
        <v>23</v>
      </c>
      <c r="E2" s="4" t="s">
        <v>100</v>
      </c>
      <c r="F2" s="4" t="s">
        <v>25</v>
      </c>
      <c r="G2" s="4">
        <v>70000</v>
      </c>
      <c r="H2" s="4" t="s">
        <v>48</v>
      </c>
      <c r="I2" s="4" t="s">
        <v>49</v>
      </c>
      <c r="J2" s="6">
        <v>0.50347222222222221</v>
      </c>
      <c r="K2" s="7">
        <v>0.5</v>
      </c>
      <c r="L2" s="6">
        <v>0.31944444444444448</v>
      </c>
      <c r="M2" s="7">
        <v>0.32708333333333334</v>
      </c>
      <c r="N2" s="4" t="s">
        <v>139</v>
      </c>
      <c r="O2" s="4" t="s">
        <v>138</v>
      </c>
      <c r="P2" s="4">
        <v>826</v>
      </c>
      <c r="Q2" s="4">
        <v>750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9">
        <v>44615</v>
      </c>
      <c r="B3" s="4" t="s">
        <v>145</v>
      </c>
      <c r="C3" s="4" t="s">
        <v>144</v>
      </c>
      <c r="D3" s="4" t="s">
        <v>23</v>
      </c>
      <c r="E3" s="22" t="s">
        <v>143</v>
      </c>
      <c r="F3" s="4" t="s">
        <v>142</v>
      </c>
      <c r="G3" s="4">
        <v>70000</v>
      </c>
      <c r="H3" s="21" t="s">
        <v>140</v>
      </c>
      <c r="I3" s="21" t="s">
        <v>141</v>
      </c>
      <c r="J3" s="6">
        <v>0.71875</v>
      </c>
      <c r="K3" s="7">
        <v>0.75138888888888899</v>
      </c>
      <c r="L3" s="6" t="s">
        <v>146</v>
      </c>
      <c r="M3" s="7" t="s">
        <v>146</v>
      </c>
      <c r="N3" s="4" t="s">
        <v>147</v>
      </c>
      <c r="O3" s="23" t="s">
        <v>148</v>
      </c>
      <c r="P3" s="23">
        <v>671</v>
      </c>
      <c r="Q3" s="23" t="s">
        <v>148</v>
      </c>
      <c r="R3" s="23" t="s">
        <v>148</v>
      </c>
      <c r="S3" s="23" t="s">
        <v>148</v>
      </c>
      <c r="T3" s="23" t="s">
        <v>148</v>
      </c>
      <c r="U3" s="23" t="s">
        <v>148</v>
      </c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3" sqref="K3"/>
    </sheetView>
  </sheetViews>
  <sheetFormatPr defaultRowHeight="15" x14ac:dyDescent="0.25"/>
  <cols>
    <col min="1" max="1" width="11.28515625" bestFit="1" customWidth="1"/>
    <col min="3" max="3" width="12.28515625" customWidth="1"/>
    <col min="4" max="4" width="7.7109375" customWidth="1"/>
    <col min="6" max="6" width="12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44617</v>
      </c>
      <c r="B2" s="4" t="s">
        <v>21</v>
      </c>
      <c r="C2" s="4" t="s">
        <v>52</v>
      </c>
      <c r="D2" s="4" t="s">
        <v>23</v>
      </c>
      <c r="E2" s="4" t="s">
        <v>100</v>
      </c>
      <c r="F2" s="4" t="s">
        <v>25</v>
      </c>
      <c r="G2" s="4">
        <v>70000</v>
      </c>
      <c r="H2" s="4" t="s">
        <v>53</v>
      </c>
      <c r="I2" s="4" t="s">
        <v>54</v>
      </c>
      <c r="J2" s="6">
        <v>0.77083333333333337</v>
      </c>
      <c r="K2" s="7">
        <v>0.79513888888888884</v>
      </c>
      <c r="L2" s="6">
        <v>0.31944444444444448</v>
      </c>
      <c r="M2" s="7">
        <v>0.31944444444444448</v>
      </c>
      <c r="N2" s="4" t="s">
        <v>155</v>
      </c>
      <c r="O2" s="4" t="s">
        <v>149</v>
      </c>
      <c r="P2" s="4">
        <v>1257</v>
      </c>
      <c r="Q2" s="4">
        <v>995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9">
        <v>44617</v>
      </c>
      <c r="B3" s="4" t="s">
        <v>150</v>
      </c>
      <c r="C3" s="4" t="s">
        <v>151</v>
      </c>
      <c r="D3" s="4" t="s">
        <v>23</v>
      </c>
      <c r="E3" s="4" t="s">
        <v>143</v>
      </c>
      <c r="F3" s="4" t="s">
        <v>142</v>
      </c>
      <c r="G3" s="4">
        <v>77000</v>
      </c>
      <c r="H3" s="4" t="s">
        <v>153</v>
      </c>
      <c r="I3" s="4" t="s">
        <v>152</v>
      </c>
      <c r="J3" s="4"/>
      <c r="K3" s="4"/>
      <c r="L3" s="7">
        <v>0.45833333333333331</v>
      </c>
      <c r="M3" s="7">
        <v>0.46458333333333335</v>
      </c>
      <c r="N3" s="4"/>
      <c r="O3" s="4" t="s">
        <v>154</v>
      </c>
      <c r="P3" s="4"/>
      <c r="Q3" s="4">
        <v>896</v>
      </c>
      <c r="R3" s="4"/>
      <c r="S3" s="4"/>
      <c r="T3" s="4"/>
      <c r="U3" s="4"/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activeCell="K5" sqref="K5"/>
    </sheetView>
  </sheetViews>
  <sheetFormatPr defaultRowHeight="15" x14ac:dyDescent="0.25"/>
  <cols>
    <col min="2" max="2" width="9.140625" bestFit="1" customWidth="1"/>
    <col min="3" max="3" width="13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44618</v>
      </c>
      <c r="B2" s="4" t="s">
        <v>21</v>
      </c>
      <c r="C2" s="4" t="s">
        <v>31</v>
      </c>
      <c r="D2" s="4" t="s">
        <v>23</v>
      </c>
      <c r="E2" s="4" t="s">
        <v>100</v>
      </c>
      <c r="F2" s="4" t="s">
        <v>25</v>
      </c>
      <c r="G2" s="5">
        <v>70000</v>
      </c>
      <c r="H2" s="4" t="s">
        <v>32</v>
      </c>
      <c r="I2" s="4" t="s">
        <v>33</v>
      </c>
      <c r="J2" s="6">
        <v>0.5</v>
      </c>
      <c r="K2" s="7">
        <v>0.51944444444444449</v>
      </c>
      <c r="L2" s="6">
        <v>0.3263888888888889</v>
      </c>
      <c r="M2" s="7">
        <v>0.34027777777777773</v>
      </c>
      <c r="N2" s="4" t="s">
        <v>157</v>
      </c>
      <c r="O2" s="4" t="s">
        <v>156</v>
      </c>
      <c r="P2" s="4">
        <v>889</v>
      </c>
      <c r="Q2" s="4">
        <v>864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44618</v>
      </c>
      <c r="B3" s="8" t="s">
        <v>21</v>
      </c>
      <c r="C3" s="8" t="s">
        <v>28</v>
      </c>
      <c r="D3" s="8" t="s">
        <v>23</v>
      </c>
      <c r="E3" s="4" t="s">
        <v>100</v>
      </c>
      <c r="F3" s="8" t="s">
        <v>25</v>
      </c>
      <c r="G3" s="9">
        <v>70000</v>
      </c>
      <c r="H3" s="8" t="s">
        <v>29</v>
      </c>
      <c r="I3" s="8" t="s">
        <v>30</v>
      </c>
      <c r="J3" s="10">
        <v>0.71527777777777779</v>
      </c>
      <c r="K3" s="11">
        <v>0.72083333333333333</v>
      </c>
      <c r="L3" s="10">
        <v>0.54166666666666663</v>
      </c>
      <c r="M3" s="12">
        <v>0.55555555555555558</v>
      </c>
      <c r="N3" s="4" t="s">
        <v>160</v>
      </c>
      <c r="O3" s="4" t="s">
        <v>158</v>
      </c>
      <c r="P3" s="13">
        <v>851</v>
      </c>
      <c r="Q3" s="13">
        <v>853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44618</v>
      </c>
      <c r="B4" s="4" t="s">
        <v>21</v>
      </c>
      <c r="C4" s="4" t="s">
        <v>57</v>
      </c>
      <c r="D4" s="4" t="s">
        <v>23</v>
      </c>
      <c r="E4" s="4" t="s">
        <v>100</v>
      </c>
      <c r="F4" s="4" t="s">
        <v>25</v>
      </c>
      <c r="G4" s="5">
        <v>70000</v>
      </c>
      <c r="H4" s="4" t="s">
        <v>59</v>
      </c>
      <c r="I4" s="4" t="s">
        <v>58</v>
      </c>
      <c r="J4" s="6">
        <v>0.93055555555555547</v>
      </c>
      <c r="K4" s="7">
        <v>0.94444444444444453</v>
      </c>
      <c r="L4" s="6">
        <v>0.74305555555555547</v>
      </c>
      <c r="M4" s="7">
        <v>0.76111111111111107</v>
      </c>
      <c r="N4" s="4" t="s">
        <v>161</v>
      </c>
      <c r="O4" s="4" t="s">
        <v>159</v>
      </c>
      <c r="P4" s="4">
        <v>990</v>
      </c>
      <c r="Q4" s="4">
        <v>1303</v>
      </c>
      <c r="R4" s="4">
        <v>0</v>
      </c>
      <c r="S4" s="4">
        <v>0</v>
      </c>
      <c r="T4" s="4">
        <v>0</v>
      </c>
      <c r="U4" s="4">
        <v>0</v>
      </c>
    </row>
    <row r="5" spans="1:21" s="17" customFormat="1" x14ac:dyDescent="0.25">
      <c r="A5" s="14"/>
      <c r="B5" s="15"/>
      <c r="C5" s="15"/>
      <c r="D5" s="15"/>
      <c r="E5" s="15"/>
      <c r="F5" s="15"/>
      <c r="G5" s="16"/>
      <c r="H5" s="15"/>
      <c r="I5" s="15"/>
      <c r="J5" s="18"/>
      <c r="K5" s="18"/>
      <c r="L5" s="18"/>
      <c r="M5" s="18"/>
      <c r="N5" s="15"/>
      <c r="O5" s="15"/>
      <c r="P5" s="15"/>
      <c r="Q5" s="15"/>
      <c r="R5" s="15"/>
      <c r="S5" s="15"/>
      <c r="T5" s="15"/>
      <c r="U5" s="15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F12" sqref="F12"/>
    </sheetView>
  </sheetViews>
  <sheetFormatPr defaultRowHeight="15" x14ac:dyDescent="0.25"/>
  <cols>
    <col min="3" max="3" width="13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44619</v>
      </c>
      <c r="B2" s="4" t="s">
        <v>21</v>
      </c>
      <c r="C2" s="4" t="s">
        <v>22</v>
      </c>
      <c r="D2" s="4" t="s">
        <v>23</v>
      </c>
      <c r="E2" s="4" t="s">
        <v>100</v>
      </c>
      <c r="F2" s="4" t="s">
        <v>25</v>
      </c>
      <c r="G2" s="5">
        <v>70000</v>
      </c>
      <c r="H2" s="4" t="s">
        <v>26</v>
      </c>
      <c r="I2" s="4" t="s">
        <v>27</v>
      </c>
      <c r="J2" s="6">
        <v>0.4826388888888889</v>
      </c>
      <c r="K2" s="7">
        <v>0.50138888888888888</v>
      </c>
      <c r="L2" s="6">
        <v>0.33333333333333331</v>
      </c>
      <c r="M2" s="7">
        <v>0.3520833333333333</v>
      </c>
      <c r="N2" s="4" t="s">
        <v>163</v>
      </c>
      <c r="O2" s="4" t="s">
        <v>162</v>
      </c>
      <c r="P2" s="4">
        <v>1124</v>
      </c>
      <c r="Q2" s="4">
        <v>1020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44619</v>
      </c>
      <c r="B3" s="8" t="s">
        <v>21</v>
      </c>
      <c r="C3" s="8" t="s">
        <v>47</v>
      </c>
      <c r="D3" s="8" t="s">
        <v>23</v>
      </c>
      <c r="E3" s="4" t="s">
        <v>100</v>
      </c>
      <c r="F3" s="8" t="s">
        <v>25</v>
      </c>
      <c r="G3" s="9">
        <v>70000</v>
      </c>
      <c r="H3" s="8" t="s">
        <v>48</v>
      </c>
      <c r="I3" s="8" t="s">
        <v>49</v>
      </c>
      <c r="J3" s="10">
        <v>0.70833333333333337</v>
      </c>
      <c r="K3" s="11">
        <v>0.73055555555555562</v>
      </c>
      <c r="L3" s="10">
        <v>0.52430555555555558</v>
      </c>
      <c r="M3" s="12">
        <v>0.56597222222222221</v>
      </c>
      <c r="N3" s="4" t="s">
        <v>110</v>
      </c>
      <c r="O3" s="4" t="s">
        <v>164</v>
      </c>
      <c r="P3" s="13">
        <v>970</v>
      </c>
      <c r="Q3" s="13">
        <v>791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44619</v>
      </c>
      <c r="B4" s="4" t="s">
        <v>21</v>
      </c>
      <c r="C4" s="4" t="s">
        <v>66</v>
      </c>
      <c r="D4" s="4" t="s">
        <v>23</v>
      </c>
      <c r="E4" s="4" t="s">
        <v>100</v>
      </c>
      <c r="F4" s="4" t="s">
        <v>25</v>
      </c>
      <c r="G4" s="5">
        <v>70000</v>
      </c>
      <c r="H4" s="4" t="s">
        <v>67</v>
      </c>
      <c r="I4" s="4" t="s">
        <v>68</v>
      </c>
      <c r="J4" s="6">
        <v>0.94097222222222221</v>
      </c>
      <c r="K4" s="7">
        <v>0.96944444444444444</v>
      </c>
      <c r="L4" s="6">
        <v>0.73611111111111116</v>
      </c>
      <c r="M4" s="7">
        <v>0.77430555555555547</v>
      </c>
      <c r="N4" s="4" t="s">
        <v>165</v>
      </c>
      <c r="O4" s="4" t="s">
        <v>103</v>
      </c>
      <c r="P4" s="4">
        <v>1225</v>
      </c>
      <c r="Q4" s="4">
        <v>1416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B1" workbookViewId="0">
      <selection activeCell="N9" sqref="N9"/>
    </sheetView>
  </sheetViews>
  <sheetFormatPr defaultRowHeight="15" x14ac:dyDescent="0.25"/>
  <cols>
    <col min="3" max="3" width="13.42578125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9">
        <v>44620</v>
      </c>
      <c r="B2" s="4" t="s">
        <v>21</v>
      </c>
      <c r="C2" s="4" t="s">
        <v>52</v>
      </c>
      <c r="D2" s="4" t="s">
        <v>23</v>
      </c>
      <c r="E2" s="4" t="s">
        <v>100</v>
      </c>
      <c r="F2" s="4" t="s">
        <v>25</v>
      </c>
      <c r="G2" s="4">
        <v>70000</v>
      </c>
      <c r="H2" s="4" t="s">
        <v>53</v>
      </c>
      <c r="I2" s="4" t="s">
        <v>54</v>
      </c>
      <c r="J2" s="6">
        <v>0.77083333333333337</v>
      </c>
      <c r="K2" s="7">
        <v>0.7895833333333333</v>
      </c>
      <c r="L2" s="6">
        <v>0.31944444444444448</v>
      </c>
      <c r="M2" s="7">
        <v>0.33888888888888885</v>
      </c>
      <c r="N2" s="4" t="s">
        <v>167</v>
      </c>
      <c r="O2" s="4" t="s">
        <v>166</v>
      </c>
      <c r="P2" s="4">
        <v>989</v>
      </c>
      <c r="Q2" s="4">
        <v>641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19</vt:lpstr>
      <vt:lpstr>20</vt:lpstr>
      <vt:lpstr>21</vt:lpstr>
      <vt:lpstr>22</vt:lpstr>
      <vt:lpstr>23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2022-02-28T20:50:34Z</dcterms:modified>
</cp:coreProperties>
</file>