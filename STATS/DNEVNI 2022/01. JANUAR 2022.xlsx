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855" windowWidth="18195" windowHeight="11040" tabRatio="789" firstSheet="2" activeTab="2"/>
  </bookViews>
  <sheets>
    <sheet name="1" sheetId="1" r:id="rId1"/>
    <sheet name="2" sheetId="2" r:id="rId2"/>
    <sheet name="3" sheetId="3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4" r:id="rId12"/>
    <sheet name="13" sheetId="15" r:id="rId13"/>
    <sheet name="14" sheetId="16" r:id="rId14"/>
    <sheet name="15" sheetId="17" r:id="rId15"/>
    <sheet name="16" sheetId="18" r:id="rId16"/>
    <sheet name="17" sheetId="19" r:id="rId17"/>
    <sheet name="18" sheetId="20" r:id="rId18"/>
    <sheet name="19" sheetId="22" r:id="rId19"/>
    <sheet name="20" sheetId="23" r:id="rId20"/>
    <sheet name="21" sheetId="24" r:id="rId21"/>
    <sheet name="22" sheetId="25" r:id="rId22"/>
    <sheet name="23" sheetId="26" r:id="rId23"/>
    <sheet name="24" sheetId="27" r:id="rId24"/>
    <sheet name="25" sheetId="28" r:id="rId25"/>
    <sheet name="26" sheetId="29" r:id="rId26"/>
    <sheet name="27" sheetId="30" r:id="rId27"/>
    <sheet name="28" sheetId="31" r:id="rId28"/>
    <sheet name="29" sheetId="32" r:id="rId29"/>
    <sheet name="30" sheetId="33" r:id="rId30"/>
    <sheet name="31" sheetId="34" r:id="rId31"/>
  </sheets>
  <calcPr calcId="145621"/>
</workbook>
</file>

<file path=xl/calcChain.xml><?xml version="1.0" encoding="utf-8"?>
<calcChain xmlns="http://schemas.openxmlformats.org/spreadsheetml/2006/main">
  <c r="E5" i="6" l="1"/>
  <c r="I9" i="1" l="1"/>
</calcChain>
</file>

<file path=xl/sharedStrings.xml><?xml version="1.0" encoding="utf-8"?>
<sst xmlns="http://schemas.openxmlformats.org/spreadsheetml/2006/main" count="1619" uniqueCount="337">
  <si>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</si>
  <si>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</si>
  <si>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</si>
  <si>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</si>
  <si>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</si>
  <si>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</si>
  <si>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</si>
  <si>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</si>
  <si>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</si>
  <si>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</si>
  <si>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</si>
  <si>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</si>
  <si>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</si>
  <si>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</si>
  <si>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</si>
  <si>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</si>
  <si>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</si>
  <si>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</si>
  <si>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</si>
  <si>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</si>
  <si>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</si>
  <si>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</si>
  <si>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TZL-HHN-TZL</t>
  </si>
  <si>
    <t>A320</t>
  </si>
  <si>
    <t>SCHEDULED</t>
  </si>
  <si>
    <t>W64284</t>
  </si>
  <si>
    <t>W64283</t>
  </si>
  <si>
    <t>TZL-FMM-TZL</t>
  </si>
  <si>
    <t>W64280</t>
  </si>
  <si>
    <t>W64279</t>
  </si>
  <si>
    <t>TZL-MLH-TZL</t>
  </si>
  <si>
    <t>W64294</t>
  </si>
  <si>
    <t>W64293</t>
  </si>
  <si>
    <t>TZL-BER-TZL</t>
  </si>
  <si>
    <t>W64276</t>
  </si>
  <si>
    <t>W64275</t>
  </si>
  <si>
    <t>TZL-GOT-TZL</t>
  </si>
  <si>
    <t>W64296</t>
  </si>
  <si>
    <t>W64295</t>
  </si>
  <si>
    <t>TZL-BLL-TZL</t>
  </si>
  <si>
    <t>W64278</t>
  </si>
  <si>
    <t>W64277</t>
  </si>
  <si>
    <t>153+7 INF</t>
  </si>
  <si>
    <t>154+2 INF</t>
  </si>
  <si>
    <t>HA-LYS</t>
  </si>
  <si>
    <t>HA-LPK</t>
  </si>
  <si>
    <t>HA-LWM</t>
  </si>
  <si>
    <t>150 +8 INF</t>
  </si>
  <si>
    <t>TYROL AIR AMBULANCE</t>
  </si>
  <si>
    <t>INN-TZL-INN</t>
  </si>
  <si>
    <t>Citation Bravo</t>
  </si>
  <si>
    <t>DC-TZF</t>
  </si>
  <si>
    <t>MEDEVAC</t>
  </si>
  <si>
    <t>TYW211F</t>
  </si>
  <si>
    <t>TYW212F</t>
  </si>
  <si>
    <t>-</t>
  </si>
  <si>
    <t>135+6 INF</t>
  </si>
  <si>
    <t>110+6 INF</t>
  </si>
  <si>
    <t>156+2 INF</t>
  </si>
  <si>
    <t>99+3 INF</t>
  </si>
  <si>
    <t>137+3 INF</t>
  </si>
  <si>
    <t>138+1 INF</t>
  </si>
  <si>
    <t>151+2 INF</t>
  </si>
  <si>
    <t>FLYDUBAI</t>
  </si>
  <si>
    <t>DXB-TZL-DXB</t>
  </si>
  <si>
    <t>B738</t>
  </si>
  <si>
    <t>A6-FMC</t>
  </si>
  <si>
    <t>NON-SCHEDULED</t>
  </si>
  <si>
    <t>FZ761</t>
  </si>
  <si>
    <t>19+0 INF</t>
  </si>
  <si>
    <t>CGN-TZL-BVA</t>
  </si>
  <si>
    <t>CPH-TZL-HHN</t>
  </si>
  <si>
    <t>HA-LWB</t>
  </si>
  <si>
    <t>HA-LPW</t>
  </si>
  <si>
    <t>W64754</t>
  </si>
  <si>
    <t>W64635</t>
  </si>
  <si>
    <t>W64630</t>
  </si>
  <si>
    <t>W64747</t>
  </si>
  <si>
    <t>71+1 INF</t>
  </si>
  <si>
    <t>32+2 INF</t>
  </si>
  <si>
    <t>36+0 INF</t>
  </si>
  <si>
    <t>34+0 INF</t>
  </si>
  <si>
    <t>tip OPER</t>
  </si>
  <si>
    <t>TZL-EIN-TZL</t>
  </si>
  <si>
    <t>W64290</t>
  </si>
  <si>
    <t>W64289</t>
  </si>
  <si>
    <t>TZL-DTM-TZL</t>
  </si>
  <si>
    <t>W64298</t>
  </si>
  <si>
    <t>W64297</t>
  </si>
  <si>
    <t>TZL-VIE-TZL</t>
  </si>
  <si>
    <t>W64286</t>
  </si>
  <si>
    <t>W64285</t>
  </si>
  <si>
    <t>TZL-MMX-TZL</t>
  </si>
  <si>
    <t>W64292</t>
  </si>
  <si>
    <t>W64291</t>
  </si>
  <si>
    <t>TZL-FKB-TZL</t>
  </si>
  <si>
    <t>W64618</t>
  </si>
  <si>
    <t>W64617</t>
  </si>
  <si>
    <t>163+2 INF</t>
  </si>
  <si>
    <t>HALYS</t>
  </si>
  <si>
    <t>172+4 INF</t>
  </si>
  <si>
    <t>104+3 INF</t>
  </si>
  <si>
    <t>154+1 INF</t>
  </si>
  <si>
    <t>122+3 INF</t>
  </si>
  <si>
    <t xml:space="preserve">140+4 </t>
  </si>
  <si>
    <t>142+2 INF</t>
  </si>
  <si>
    <t>159+1 INF</t>
  </si>
  <si>
    <t>W64624</t>
  </si>
  <si>
    <t>W6807</t>
  </si>
  <si>
    <t>100+0 INF</t>
  </si>
  <si>
    <t>60+1 INF</t>
  </si>
  <si>
    <t>95+2 INF</t>
  </si>
  <si>
    <t>DTM-TZL-HAM</t>
  </si>
  <si>
    <t>CRL-TZL-CPH</t>
  </si>
  <si>
    <t>W64268</t>
  </si>
  <si>
    <t>W64629</t>
  </si>
  <si>
    <t>60+2 INF</t>
  </si>
  <si>
    <t>A321</t>
  </si>
  <si>
    <t>AUH-TZL</t>
  </si>
  <si>
    <t>A6WZA</t>
  </si>
  <si>
    <t>5W7107</t>
  </si>
  <si>
    <t>ROP</t>
  </si>
  <si>
    <t>145+1 INF</t>
  </si>
  <si>
    <t>DXB-TZL</t>
  </si>
  <si>
    <t>B737</t>
  </si>
  <si>
    <t>A6FEP</t>
  </si>
  <si>
    <t>A6FDZ</t>
  </si>
  <si>
    <t>FZ8605</t>
  </si>
  <si>
    <t>31+0 INF</t>
  </si>
  <si>
    <t>43+0 INF</t>
  </si>
  <si>
    <t>157+0 INF</t>
  </si>
  <si>
    <t>CPH-TZL</t>
  </si>
  <si>
    <t>W64756</t>
  </si>
  <si>
    <t>109+1 INF</t>
  </si>
  <si>
    <t>HAM-TZL</t>
  </si>
  <si>
    <t>43+1 INF</t>
  </si>
  <si>
    <t>INT-NONSCHEDULED</t>
  </si>
  <si>
    <t>FLY DUBAI</t>
  </si>
  <si>
    <t>TZL-CGN-TZL</t>
  </si>
  <si>
    <t>W64300</t>
  </si>
  <si>
    <t>W64299</t>
  </si>
  <si>
    <t>TZL-FDH-TZL</t>
  </si>
  <si>
    <t>W64616</t>
  </si>
  <si>
    <t>W64615</t>
  </si>
  <si>
    <t>TZL-NUE-TZL</t>
  </si>
  <si>
    <t>W64614</t>
  </si>
  <si>
    <t>W64613</t>
  </si>
  <si>
    <t>TZL-AUH</t>
  </si>
  <si>
    <t>WAZ7108</t>
  </si>
  <si>
    <t>HALWM</t>
  </si>
  <si>
    <t>HALPK</t>
  </si>
  <si>
    <t>172+3 INF</t>
  </si>
  <si>
    <t>166+5 INF</t>
  </si>
  <si>
    <t>TZL-SJJ</t>
  </si>
  <si>
    <t>HALPW</t>
  </si>
  <si>
    <t>HALWB</t>
  </si>
  <si>
    <t>W6805</t>
  </si>
  <si>
    <t>W6806</t>
  </si>
  <si>
    <t>104+2 INF</t>
  </si>
  <si>
    <t>102+0 INF</t>
  </si>
  <si>
    <t>176+3 INF</t>
  </si>
  <si>
    <t>75+2 INF</t>
  </si>
  <si>
    <t>22+2 INF</t>
  </si>
  <si>
    <t>92+3 INF</t>
  </si>
  <si>
    <t>168+4 INF</t>
  </si>
  <si>
    <t>TZL-DXB</t>
  </si>
  <si>
    <t>FZ8606</t>
  </si>
  <si>
    <t>144+0 INF</t>
  </si>
  <si>
    <t>B373</t>
  </si>
  <si>
    <t>FZ8762</t>
  </si>
  <si>
    <t>150+5</t>
  </si>
  <si>
    <t>PEGASUS</t>
  </si>
  <si>
    <t>SAW-TZL-SAW</t>
  </si>
  <si>
    <t>A320N</t>
  </si>
  <si>
    <t>TCNBU</t>
  </si>
  <si>
    <t>PC291</t>
  </si>
  <si>
    <t>PC292</t>
  </si>
  <si>
    <t>166+0 INF</t>
  </si>
  <si>
    <t>186+1 INF</t>
  </si>
  <si>
    <t>TCNCL</t>
  </si>
  <si>
    <t>PC7291</t>
  </si>
  <si>
    <t>PC7292</t>
  </si>
  <si>
    <t>141+1 INF</t>
  </si>
  <si>
    <t>111+0 INF</t>
  </si>
  <si>
    <t>172+5 INF</t>
  </si>
  <si>
    <t>166+3 INF</t>
  </si>
  <si>
    <t>146+2 INF</t>
  </si>
  <si>
    <t>161+4 INF</t>
  </si>
  <si>
    <t>174+2 INF</t>
  </si>
  <si>
    <t>154+4 INF</t>
  </si>
  <si>
    <t>142+1 INF</t>
  </si>
  <si>
    <t>122+1 INF</t>
  </si>
  <si>
    <t>140+0 INF</t>
  </si>
  <si>
    <t>58+0 INF</t>
  </si>
  <si>
    <t>HA-LPN</t>
  </si>
  <si>
    <t>153+2 INF</t>
  </si>
  <si>
    <t>165+4 INF</t>
  </si>
  <si>
    <t>64+0 INF</t>
  </si>
  <si>
    <t>174+3 INF</t>
  </si>
  <si>
    <t>157+2 INF</t>
  </si>
  <si>
    <t>158+6 INF</t>
  </si>
  <si>
    <t>122+2 INF</t>
  </si>
  <si>
    <t>92+4 INF</t>
  </si>
  <si>
    <t>55+1 INF</t>
  </si>
  <si>
    <t>63+3 INF</t>
  </si>
  <si>
    <t>148+1 INF</t>
  </si>
  <si>
    <t>123+0 INF</t>
  </si>
  <si>
    <t>TCNCG</t>
  </si>
  <si>
    <t>24A291</t>
  </si>
  <si>
    <t>24A292</t>
  </si>
  <si>
    <t>HA-LWA</t>
  </si>
  <si>
    <t>156+0 INF</t>
  </si>
  <si>
    <t>139+1 INF</t>
  </si>
  <si>
    <t>153+4 INF</t>
  </si>
  <si>
    <t>104+0 INF</t>
  </si>
  <si>
    <t>180+3 INF</t>
  </si>
  <si>
    <t>94+2 INF</t>
  </si>
  <si>
    <t>165+3 INF</t>
  </si>
  <si>
    <t>37+0 INF</t>
  </si>
  <si>
    <t>166+7 INF</t>
  </si>
  <si>
    <t>97+1 INF</t>
  </si>
  <si>
    <t>177+5 INF</t>
  </si>
  <si>
    <t>32+0 INF</t>
  </si>
  <si>
    <t>53+0 INF</t>
  </si>
  <si>
    <t>179+3 INF</t>
  </si>
  <si>
    <t>169+3 INF</t>
  </si>
  <si>
    <t>135+1 INF</t>
  </si>
  <si>
    <t>177+4 INF</t>
  </si>
  <si>
    <t>167+5 INF</t>
  </si>
  <si>
    <t>OTKAZAN</t>
  </si>
  <si>
    <t>101+1 INF</t>
  </si>
  <si>
    <t>TZL-HHN-TZL(VIA CGN)</t>
  </si>
  <si>
    <t>90+1 INF</t>
  </si>
  <si>
    <t>166+1 INF</t>
  </si>
  <si>
    <t>141+2 INF</t>
  </si>
  <si>
    <t>MLH-TZL-MLH</t>
  </si>
  <si>
    <t>W64360</t>
  </si>
  <si>
    <t>W64805</t>
  </si>
  <si>
    <t>75+3 INF</t>
  </si>
  <si>
    <t>56+1 INF</t>
  </si>
  <si>
    <t>174+6 INF</t>
  </si>
  <si>
    <t>59+1 INF</t>
  </si>
  <si>
    <t>HA-LPJ</t>
  </si>
  <si>
    <t>173+4 INF</t>
  </si>
  <si>
    <t>24+0 INF</t>
  </si>
  <si>
    <t>47+2 INF</t>
  </si>
  <si>
    <t>180+6 INF</t>
  </si>
  <si>
    <t>102+2 INF</t>
  </si>
  <si>
    <t>173+3 INF</t>
  </si>
  <si>
    <t>155+4 INF</t>
  </si>
  <si>
    <t>SOSA AIR AMBULANCE</t>
  </si>
  <si>
    <t>IST-TZL-IST</t>
  </si>
  <si>
    <t>BE40</t>
  </si>
  <si>
    <t>TCSTA</t>
  </si>
  <si>
    <t>160+4 INF</t>
  </si>
  <si>
    <t>167+6 INF</t>
  </si>
  <si>
    <t>113+7 INF</t>
  </si>
  <si>
    <t>169+6 INF</t>
  </si>
  <si>
    <t>77+2 INF</t>
  </si>
  <si>
    <t>171+6 INF</t>
  </si>
  <si>
    <t>51+0 INF</t>
  </si>
  <si>
    <t>128+5 INF</t>
  </si>
  <si>
    <t>169+4 INF</t>
  </si>
  <si>
    <t>143+3 INF</t>
  </si>
  <si>
    <t>148+4 INF</t>
  </si>
  <si>
    <t>139+2 INF</t>
  </si>
  <si>
    <t>180+4 INF</t>
  </si>
  <si>
    <t>DIV</t>
  </si>
  <si>
    <t>DIV TO BEG</t>
  </si>
  <si>
    <t>168+11 INF</t>
  </si>
  <si>
    <t>152+2 INF</t>
  </si>
  <si>
    <t>TZL-BUD</t>
  </si>
  <si>
    <t>FERRY OUT</t>
  </si>
  <si>
    <t>W6803</t>
  </si>
  <si>
    <t>111+3 INF</t>
  </si>
  <si>
    <t>103+0 INF</t>
  </si>
  <si>
    <t>171+5 INF</t>
  </si>
  <si>
    <t>118+1 INF</t>
  </si>
  <si>
    <t>164+7 INF</t>
  </si>
  <si>
    <t>116+1 INF</t>
  </si>
  <si>
    <t>163+1 INF</t>
  </si>
  <si>
    <t>72+0 INF</t>
  </si>
  <si>
    <t>SWISS AIR AMBULANCE</t>
  </si>
  <si>
    <t>ZRH-TZL-ZRH</t>
  </si>
  <si>
    <t>CL650</t>
  </si>
  <si>
    <t>HB-JWB</t>
  </si>
  <si>
    <t>INT. NON.SCHEDULED/MEDEVAC</t>
  </si>
  <si>
    <t>SAZ64</t>
  </si>
  <si>
    <t>SAZ65</t>
  </si>
  <si>
    <t>136+6 INF</t>
  </si>
  <si>
    <t>134+6 INF</t>
  </si>
  <si>
    <t>106+2 INF</t>
  </si>
  <si>
    <t>AERO DIENST</t>
  </si>
  <si>
    <t>SKP-TZL-STR</t>
  </si>
  <si>
    <t>LJ60</t>
  </si>
  <si>
    <t>DCURE</t>
  </si>
  <si>
    <t>INT.-NONSCHEDULE/MEDEVAC</t>
  </si>
  <si>
    <t>HA-LWL</t>
  </si>
  <si>
    <t>147+2 INF</t>
  </si>
  <si>
    <t>137+4 INF</t>
  </si>
  <si>
    <t>162+1 INF</t>
  </si>
  <si>
    <t>107+1 INF</t>
  </si>
  <si>
    <t>HA-LPK/HA-LWL</t>
  </si>
  <si>
    <t>163+3 INF</t>
  </si>
  <si>
    <t>108+2 INF</t>
  </si>
  <si>
    <t>146+4 INF</t>
  </si>
  <si>
    <t>133+3 INF</t>
  </si>
  <si>
    <t>104+4 INF</t>
  </si>
  <si>
    <t>176+8 INF</t>
  </si>
  <si>
    <t>106+3 INF</t>
  </si>
  <si>
    <t>HALWL</t>
  </si>
  <si>
    <t>149+3 INF</t>
  </si>
  <si>
    <t>115+3 INF</t>
  </si>
  <si>
    <t>138+2 INF</t>
  </si>
  <si>
    <t>111+2 INF</t>
  </si>
  <si>
    <t>119+2 INF</t>
  </si>
  <si>
    <t>128+4 INF</t>
  </si>
  <si>
    <t>161+3 INF</t>
  </si>
  <si>
    <t>61+0 INF</t>
  </si>
  <si>
    <t>162+4 INF</t>
  </si>
  <si>
    <t xml:space="preserve"> 169+3 INF</t>
  </si>
  <si>
    <t>121+3 INF</t>
  </si>
  <si>
    <t>HA-LWL/HA-LPM</t>
  </si>
  <si>
    <t>136+3 INF</t>
  </si>
  <si>
    <t>HA-LPM</t>
  </si>
  <si>
    <t>140+3 INF</t>
  </si>
  <si>
    <t>119+3 INF</t>
  </si>
  <si>
    <t>122+4 INF</t>
  </si>
  <si>
    <t>162+3 INF</t>
  </si>
  <si>
    <t>HALPM</t>
  </si>
  <si>
    <t>MBX-TZL-ZENICA</t>
  </si>
  <si>
    <t>SA3652C</t>
  </si>
  <si>
    <t>S5-HCK</t>
  </si>
  <si>
    <t>HELICOPTER</t>
  </si>
  <si>
    <t>HELITOURS</t>
  </si>
  <si>
    <t>ZENICA-TZL-MBX</t>
  </si>
  <si>
    <t>117+2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</si>
</sst>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1"/>
      <name val="Garamond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26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2" fillId="0" borderId="0" xfId="5" applyNumberFormat="1" applyFont="1" applyFill="1" applyAlignment="1">
      <alignment horizontal="center" vertical="center"/>
    </xf>
    <xf numFmtId="0" fontId="2" fillId="0" borderId="0" xfId="6" applyFont="1" applyFill="1" applyAlignment="1">
      <alignment horizontal="center" vertical="center"/>
    </xf>
    <xf numFmtId="20" fontId="3" fillId="0" borderId="0" xfId="6" applyNumberFormat="1" applyFont="1" applyFill="1" applyAlignment="1">
      <alignment horizontal="center" vertical="center"/>
    </xf>
    <xf numFmtId="20" fontId="2" fillId="0" borderId="0" xfId="6" applyNumberFormat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0" fontId="6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0" borderId="0" xfId="0" applyAlignment="1"/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8" fillId="0" borderId="0" xfId="0" applyFont="1"/>
  </cellXfs>
  <cellStyles count="8">
    <cellStyle name="Normal" xfId="0" builtinId="0"/>
    <cellStyle name="Normal 2" xfId="2"/>
    <cellStyle name="Normal 2 2" xfId="5"/>
    <cellStyle name="Normal 2 3" xfId="7"/>
    <cellStyle name="Normal 3" xfId="3"/>
    <cellStyle name="Normal 3 2" xfId="6"/>
    <cellStyle name="Normal 4" xfId="1"/>
    <cellStyle name="Normal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11"/>
  <sheetViews>
    <sheetView topLeftCell="B1" workbookViewId="0">
      <selection activeCell="B1" sqref="A1:XFD1048576"/>
    </sheetView>
  </sheetViews>
  <sheetFormatPr defaultRowHeight="12.75" x14ac:dyDescent="0.2"/>
  <cols>
    <col min="1" max="1" width="11.7109375" style="13" bestFit="1" customWidth="1"/>
    <col min="2" max="2" width="21.85546875" style="13" customWidth="1"/>
    <col min="3" max="3" width="13.5703125" style="13" customWidth="1"/>
    <col min="4" max="4" width="12.140625" style="13" customWidth="1"/>
    <col min="5" max="5" width="9.140625" style="13"/>
    <col min="6" max="6" width="17.28515625" style="13" bestFit="1" customWidth="1"/>
    <col min="7" max="9" width="9.140625" style="13"/>
    <col min="10" max="10" width="7" style="13" customWidth="1"/>
    <col min="11" max="11" width="10.5703125" style="13" customWidth="1"/>
    <col min="12" max="12" width="8.140625" style="13" customWidth="1"/>
    <col min="13" max="13" width="9.7109375" style="13" customWidth="1"/>
    <col min="14" max="14" width="10.5703125" style="13" customWidth="1"/>
    <col min="15" max="15" width="9.85546875" style="13" customWidth="1"/>
    <col min="16" max="17" width="10.42578125" style="13" customWidth="1"/>
    <col min="18" max="16384" width="9.140625" style="13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6">
        <v>44562</v>
      </c>
      <c r="B2" s="2" t="s">
        <v>21</v>
      </c>
      <c r="C2" s="2" t="s">
        <v>22</v>
      </c>
      <c r="D2" s="2" t="s">
        <v>23</v>
      </c>
      <c r="E2" s="2" t="s">
        <v>44</v>
      </c>
      <c r="F2" s="2" t="s">
        <v>24</v>
      </c>
      <c r="G2" s="10">
        <v>70000</v>
      </c>
      <c r="H2" s="2" t="s">
        <v>25</v>
      </c>
      <c r="I2" s="2" t="s">
        <v>26</v>
      </c>
      <c r="J2" s="3">
        <v>0.50347222222222221</v>
      </c>
      <c r="K2" s="4">
        <v>0.54027777777777775</v>
      </c>
      <c r="L2" s="3">
        <v>0.31944444444444448</v>
      </c>
      <c r="M2" s="4">
        <v>0.37777777777777777</v>
      </c>
      <c r="N2" s="7" t="s">
        <v>57</v>
      </c>
      <c r="O2" s="5" t="s">
        <v>42</v>
      </c>
      <c r="P2" s="5">
        <v>571</v>
      </c>
      <c r="Q2" s="5">
        <v>879</v>
      </c>
      <c r="R2" s="2">
        <v>0</v>
      </c>
      <c r="S2" s="2">
        <v>0</v>
      </c>
      <c r="T2" s="2">
        <v>0</v>
      </c>
      <c r="U2" s="2">
        <v>0</v>
      </c>
    </row>
    <row r="3" spans="1:21" x14ac:dyDescent="0.2">
      <c r="A3" s="6">
        <v>44562</v>
      </c>
      <c r="B3" s="2" t="s">
        <v>21</v>
      </c>
      <c r="C3" s="2" t="s">
        <v>27</v>
      </c>
      <c r="D3" s="2" t="s">
        <v>23</v>
      </c>
      <c r="E3" s="2" t="s">
        <v>45</v>
      </c>
      <c r="F3" s="2" t="s">
        <v>24</v>
      </c>
      <c r="G3" s="10">
        <v>70000</v>
      </c>
      <c r="H3" s="2" t="s">
        <v>28</v>
      </c>
      <c r="I3" s="2" t="s">
        <v>29</v>
      </c>
      <c r="J3" s="3">
        <v>0.5</v>
      </c>
      <c r="K3" s="4">
        <v>0.49652777777777773</v>
      </c>
      <c r="L3" s="3">
        <v>0.35069444444444442</v>
      </c>
      <c r="M3" s="4">
        <v>0.36874999999999997</v>
      </c>
      <c r="N3" s="7" t="s">
        <v>47</v>
      </c>
      <c r="O3" s="5" t="s">
        <v>43</v>
      </c>
      <c r="P3" s="2">
        <v>711</v>
      </c>
      <c r="Q3" s="5">
        <v>889</v>
      </c>
      <c r="R3" s="2">
        <v>0</v>
      </c>
      <c r="S3" s="2">
        <v>0</v>
      </c>
      <c r="T3" s="2">
        <v>0</v>
      </c>
      <c r="U3" s="2">
        <v>0</v>
      </c>
    </row>
    <row r="4" spans="1:21" x14ac:dyDescent="0.2">
      <c r="A4" s="6">
        <v>44562</v>
      </c>
      <c r="B4" s="2" t="s">
        <v>21</v>
      </c>
      <c r="C4" s="2" t="s">
        <v>30</v>
      </c>
      <c r="D4" s="2" t="s">
        <v>23</v>
      </c>
      <c r="E4" s="2" t="s">
        <v>44</v>
      </c>
      <c r="F4" s="2" t="s">
        <v>24</v>
      </c>
      <c r="G4" s="10">
        <v>70000</v>
      </c>
      <c r="H4" s="2" t="s">
        <v>31</v>
      </c>
      <c r="I4" s="2" t="s">
        <v>32</v>
      </c>
      <c r="J4" s="3">
        <v>0.69791666666666663</v>
      </c>
      <c r="K4" s="9">
        <v>0.71875</v>
      </c>
      <c r="L4" s="3">
        <v>0.53125</v>
      </c>
      <c r="M4" s="4">
        <v>0.57291666666666663</v>
      </c>
      <c r="N4" s="7" t="s">
        <v>60</v>
      </c>
      <c r="O4" s="5" t="s">
        <v>58</v>
      </c>
      <c r="P4" s="5">
        <v>716</v>
      </c>
      <c r="Q4" s="5">
        <v>1381</v>
      </c>
      <c r="R4" s="2">
        <v>0</v>
      </c>
      <c r="S4" s="2">
        <v>0</v>
      </c>
      <c r="T4" s="2">
        <v>0</v>
      </c>
      <c r="U4" s="2">
        <v>0</v>
      </c>
    </row>
    <row r="5" spans="1:21" x14ac:dyDescent="0.2">
      <c r="A5" s="6">
        <v>44562</v>
      </c>
      <c r="B5" s="2" t="s">
        <v>21</v>
      </c>
      <c r="C5" s="2" t="s">
        <v>33</v>
      </c>
      <c r="D5" s="2" t="s">
        <v>23</v>
      </c>
      <c r="E5" s="2" t="s">
        <v>45</v>
      </c>
      <c r="F5" s="2" t="s">
        <v>24</v>
      </c>
      <c r="G5" s="10">
        <v>70000</v>
      </c>
      <c r="H5" s="2" t="s">
        <v>34</v>
      </c>
      <c r="I5" s="2" t="s">
        <v>35</v>
      </c>
      <c r="J5" s="3">
        <v>0.70833333333333337</v>
      </c>
      <c r="K5" s="9">
        <v>0.69652777777777775</v>
      </c>
      <c r="L5" s="3">
        <v>0.53472222222222221</v>
      </c>
      <c r="M5" s="4">
        <v>0.53263888888888888</v>
      </c>
      <c r="N5" s="7" t="s">
        <v>59</v>
      </c>
      <c r="O5" s="5" t="s">
        <v>56</v>
      </c>
      <c r="P5" s="2">
        <v>791</v>
      </c>
      <c r="Q5" s="5">
        <v>964</v>
      </c>
      <c r="R5" s="2">
        <v>0</v>
      </c>
      <c r="S5" s="2">
        <v>0</v>
      </c>
      <c r="T5" s="2">
        <v>0</v>
      </c>
      <c r="U5" s="2">
        <v>0</v>
      </c>
    </row>
    <row r="6" spans="1:21" x14ac:dyDescent="0.2">
      <c r="A6" s="6">
        <v>44562</v>
      </c>
      <c r="B6" s="2" t="s">
        <v>21</v>
      </c>
      <c r="C6" s="7" t="s">
        <v>36</v>
      </c>
      <c r="D6" s="7" t="s">
        <v>23</v>
      </c>
      <c r="E6" s="2" t="s">
        <v>46</v>
      </c>
      <c r="F6" s="7" t="s">
        <v>24</v>
      </c>
      <c r="G6" s="10">
        <v>70000</v>
      </c>
      <c r="H6" s="7" t="s">
        <v>37</v>
      </c>
      <c r="I6" s="7" t="s">
        <v>38</v>
      </c>
      <c r="J6" s="8">
        <v>0.95138888888888884</v>
      </c>
      <c r="K6" s="9">
        <v>0.94374999999999998</v>
      </c>
      <c r="L6" s="8">
        <v>0.71875</v>
      </c>
      <c r="M6" s="9">
        <v>0.72569444444444453</v>
      </c>
      <c r="N6" s="7" t="s">
        <v>81</v>
      </c>
      <c r="O6" s="7" t="s">
        <v>62</v>
      </c>
      <c r="P6" s="7">
        <v>127</v>
      </c>
      <c r="Q6" s="5">
        <v>792</v>
      </c>
      <c r="R6" s="7">
        <v>0</v>
      </c>
      <c r="S6" s="7">
        <v>0</v>
      </c>
      <c r="T6" s="7">
        <v>0</v>
      </c>
      <c r="U6" s="7">
        <v>0</v>
      </c>
    </row>
    <row r="7" spans="1:21" x14ac:dyDescent="0.2">
      <c r="A7" s="6">
        <v>44562</v>
      </c>
      <c r="B7" s="13" t="s">
        <v>21</v>
      </c>
      <c r="C7" s="13" t="s">
        <v>39</v>
      </c>
      <c r="D7" s="13" t="s">
        <v>23</v>
      </c>
      <c r="E7" s="13" t="s">
        <v>45</v>
      </c>
      <c r="F7" s="13" t="s">
        <v>24</v>
      </c>
      <c r="G7" s="11">
        <v>70000</v>
      </c>
      <c r="H7" s="13" t="s">
        <v>40</v>
      </c>
      <c r="I7" s="13" t="s">
        <v>41</v>
      </c>
      <c r="J7" s="14">
        <v>0.94791666666666663</v>
      </c>
      <c r="K7" s="12">
        <v>0.93819444444444444</v>
      </c>
      <c r="L7" s="14">
        <v>0.72916666666666663</v>
      </c>
      <c r="M7" s="12">
        <v>0.73472222222222217</v>
      </c>
      <c r="N7" s="13" t="s">
        <v>80</v>
      </c>
      <c r="O7" s="13" t="s">
        <v>61</v>
      </c>
      <c r="P7" s="13">
        <v>49</v>
      </c>
      <c r="Q7" s="13">
        <v>552</v>
      </c>
      <c r="R7" s="13">
        <v>0</v>
      </c>
      <c r="S7" s="13">
        <v>0</v>
      </c>
      <c r="T7" s="13">
        <v>0</v>
      </c>
      <c r="U7" s="13">
        <v>0</v>
      </c>
    </row>
    <row r="8" spans="1:21" x14ac:dyDescent="0.2">
      <c r="A8" s="6">
        <v>44562</v>
      </c>
      <c r="B8" s="16" t="s">
        <v>48</v>
      </c>
      <c r="C8" s="16" t="s">
        <v>49</v>
      </c>
      <c r="D8" s="16" t="s">
        <v>50</v>
      </c>
      <c r="E8" s="16" t="s">
        <v>51</v>
      </c>
      <c r="F8" s="16" t="s">
        <v>52</v>
      </c>
      <c r="G8" s="16">
        <v>7000</v>
      </c>
      <c r="H8" s="16" t="s">
        <v>53</v>
      </c>
      <c r="I8" s="16" t="s">
        <v>54</v>
      </c>
      <c r="J8" s="17">
        <v>0.50694444444444442</v>
      </c>
      <c r="K8" s="15">
        <v>0.52847222222222223</v>
      </c>
      <c r="L8" s="17">
        <v>0.59027777777777779</v>
      </c>
      <c r="M8" s="15">
        <v>0.60625000000000007</v>
      </c>
      <c r="N8" s="16" t="s">
        <v>55</v>
      </c>
      <c r="O8" s="16">
        <v>2</v>
      </c>
      <c r="P8" s="16" t="s">
        <v>55</v>
      </c>
      <c r="Q8" s="16" t="s">
        <v>55</v>
      </c>
      <c r="R8" s="16">
        <v>0</v>
      </c>
      <c r="S8" s="16">
        <v>0</v>
      </c>
      <c r="T8" s="16">
        <v>0</v>
      </c>
      <c r="U8" s="16">
        <v>0</v>
      </c>
    </row>
    <row r="9" spans="1:21" x14ac:dyDescent="0.2">
      <c r="A9" s="6">
        <v>44562</v>
      </c>
      <c r="B9" s="2" t="s">
        <v>63</v>
      </c>
      <c r="C9" s="13" t="s">
        <v>64</v>
      </c>
      <c r="D9" s="13" t="s">
        <v>65</v>
      </c>
      <c r="E9" s="13" t="s">
        <v>66</v>
      </c>
      <c r="F9" s="13" t="s">
        <v>67</v>
      </c>
      <c r="G9" s="13">
        <v>79015</v>
      </c>
      <c r="H9" s="13" t="s">
        <v>68</v>
      </c>
      <c r="I9" s="13" t="str">
        <f>H9</f>
        <v>FZ761</v>
      </c>
      <c r="J9" s="14">
        <v>0.70833333333333337</v>
      </c>
      <c r="K9" s="12">
        <v>0.72430555555555554</v>
      </c>
      <c r="L9" s="14">
        <v>0.77083333333333337</v>
      </c>
      <c r="M9" s="12">
        <v>0.78819444444444453</v>
      </c>
      <c r="N9" s="13" t="s">
        <v>69</v>
      </c>
      <c r="O9" s="13">
        <v>0</v>
      </c>
      <c r="P9" s="13">
        <v>348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</row>
    <row r="10" spans="1:21" x14ac:dyDescent="0.2">
      <c r="A10" s="6">
        <v>44562</v>
      </c>
      <c r="B10" s="13" t="s">
        <v>21</v>
      </c>
      <c r="C10" s="13" t="s">
        <v>70</v>
      </c>
      <c r="D10" s="13" t="s">
        <v>23</v>
      </c>
      <c r="E10" s="13" t="s">
        <v>72</v>
      </c>
      <c r="F10" s="13" t="s">
        <v>67</v>
      </c>
      <c r="G10" s="13">
        <v>70000</v>
      </c>
      <c r="H10" s="13" t="s">
        <v>74</v>
      </c>
      <c r="I10" s="13" t="s">
        <v>75</v>
      </c>
      <c r="J10" s="14">
        <v>0.74305555555555547</v>
      </c>
      <c r="K10" s="12">
        <v>0.7416666666666667</v>
      </c>
      <c r="L10" s="14">
        <v>0.76388888888888884</v>
      </c>
      <c r="M10" s="12">
        <v>0.79166666666666663</v>
      </c>
      <c r="N10" s="13" t="s">
        <v>78</v>
      </c>
      <c r="O10" s="13">
        <v>0</v>
      </c>
      <c r="P10" s="13">
        <v>431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</row>
    <row r="11" spans="1:21" x14ac:dyDescent="0.2">
      <c r="A11" s="6">
        <v>44562</v>
      </c>
      <c r="B11" s="13" t="s">
        <v>21</v>
      </c>
      <c r="C11" s="13" t="s">
        <v>71</v>
      </c>
      <c r="D11" s="13" t="s">
        <v>23</v>
      </c>
      <c r="E11" s="13" t="s">
        <v>73</v>
      </c>
      <c r="F11" s="13" t="s">
        <v>67</v>
      </c>
      <c r="G11" s="13">
        <v>70000</v>
      </c>
      <c r="H11" s="13" t="s">
        <v>76</v>
      </c>
      <c r="I11" s="13" t="s">
        <v>77</v>
      </c>
      <c r="J11" s="14">
        <v>0.77083333333333337</v>
      </c>
      <c r="K11" s="12">
        <v>0.75694444444444453</v>
      </c>
      <c r="L11" s="14">
        <v>0.79166666666666663</v>
      </c>
      <c r="M11" s="12">
        <v>0.81041666666666667</v>
      </c>
      <c r="N11" s="13" t="s">
        <v>79</v>
      </c>
      <c r="O11" s="13">
        <v>0</v>
      </c>
      <c r="P11" s="13">
        <v>72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topLeftCell="B1" workbookViewId="0">
      <selection activeCell="B1" sqref="A1:XFD1048576"/>
    </sheetView>
  </sheetViews>
  <sheetFormatPr defaultRowHeight="15" x14ac:dyDescent="0.25"/>
  <cols>
    <col min="1" max="2" width="10.28515625" bestFit="1" customWidth="1"/>
    <col min="3" max="3" width="14.140625" bestFit="1" customWidth="1"/>
    <col min="4" max="4" width="8" customWidth="1"/>
    <col min="6" max="6" width="19.5703125" customWidth="1"/>
    <col min="7" max="7" width="9.285156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44563</v>
      </c>
      <c r="B2" s="16" t="s">
        <v>21</v>
      </c>
      <c r="C2" s="16" t="s">
        <v>83</v>
      </c>
      <c r="D2" s="16" t="s">
        <v>23</v>
      </c>
      <c r="E2" s="16" t="s">
        <v>45</v>
      </c>
      <c r="F2" s="16" t="s">
        <v>24</v>
      </c>
      <c r="G2" s="16">
        <v>70000</v>
      </c>
      <c r="H2" s="16" t="s">
        <v>84</v>
      </c>
      <c r="I2" s="16" t="s">
        <v>85</v>
      </c>
      <c r="J2" s="17">
        <v>0.51388888888888895</v>
      </c>
      <c r="K2" s="15">
        <v>0.57361111111111118</v>
      </c>
      <c r="L2" s="17">
        <v>0.30555555555555552</v>
      </c>
      <c r="M2" s="15">
        <v>0.3611111111111111</v>
      </c>
      <c r="N2" s="16" t="s">
        <v>101</v>
      </c>
      <c r="O2" s="16" t="s">
        <v>98</v>
      </c>
      <c r="P2" s="16">
        <v>656</v>
      </c>
      <c r="Q2" s="16">
        <v>779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>
        <v>44563</v>
      </c>
      <c r="B3" s="16" t="s">
        <v>21</v>
      </c>
      <c r="C3" s="16" t="s">
        <v>86</v>
      </c>
      <c r="D3" s="16" t="s">
        <v>23</v>
      </c>
      <c r="E3" s="16" t="s">
        <v>46</v>
      </c>
      <c r="F3" s="16" t="s">
        <v>24</v>
      </c>
      <c r="G3" s="16">
        <v>70000</v>
      </c>
      <c r="H3" s="16" t="s">
        <v>87</v>
      </c>
      <c r="I3" s="16" t="s">
        <v>88</v>
      </c>
      <c r="J3" s="17">
        <v>0.76041666666666663</v>
      </c>
      <c r="K3" s="15">
        <v>0.7909722222222223</v>
      </c>
      <c r="L3" s="17">
        <v>0.31944444444444448</v>
      </c>
      <c r="M3" s="15">
        <v>0.3840277777777778</v>
      </c>
      <c r="N3" s="16" t="s">
        <v>103</v>
      </c>
      <c r="O3" s="16" t="s">
        <v>100</v>
      </c>
      <c r="P3" s="16">
        <v>843</v>
      </c>
      <c r="Q3" s="16">
        <v>1073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8">
        <v>44563</v>
      </c>
      <c r="B4" s="16" t="s">
        <v>21</v>
      </c>
      <c r="C4" s="16" t="s">
        <v>89</v>
      </c>
      <c r="D4" s="16" t="s">
        <v>23</v>
      </c>
      <c r="E4" s="16" t="s">
        <v>99</v>
      </c>
      <c r="F4" s="16" t="s">
        <v>24</v>
      </c>
      <c r="G4" s="16">
        <v>70000</v>
      </c>
      <c r="H4" s="16" t="s">
        <v>90</v>
      </c>
      <c r="I4" s="16" t="s">
        <v>91</v>
      </c>
      <c r="J4" s="17">
        <v>0.69097222222222221</v>
      </c>
      <c r="K4" s="15">
        <v>0.7006944444444444</v>
      </c>
      <c r="L4" s="17">
        <v>0.57291666666666663</v>
      </c>
      <c r="M4" s="15">
        <v>0.57916666666666672</v>
      </c>
      <c r="N4" s="16" t="s">
        <v>104</v>
      </c>
      <c r="O4" s="16" t="s">
        <v>102</v>
      </c>
      <c r="P4" s="16">
        <v>570</v>
      </c>
      <c r="Q4" s="16">
        <v>956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8">
        <v>44563</v>
      </c>
      <c r="B5" s="16" t="s">
        <v>21</v>
      </c>
      <c r="C5" s="16" t="s">
        <v>92</v>
      </c>
      <c r="D5" s="16" t="s">
        <v>23</v>
      </c>
      <c r="E5" s="16" t="s">
        <v>44</v>
      </c>
      <c r="F5" s="16" t="s">
        <v>24</v>
      </c>
      <c r="G5" s="16">
        <v>70000</v>
      </c>
      <c r="H5" s="16" t="s">
        <v>93</v>
      </c>
      <c r="I5" s="16" t="s">
        <v>94</v>
      </c>
      <c r="J5" s="17">
        <v>0.91666666666666663</v>
      </c>
      <c r="K5" s="15">
        <v>0.97152777777777777</v>
      </c>
      <c r="L5" s="17">
        <v>0.71180555555555547</v>
      </c>
      <c r="M5" s="15">
        <v>0.78680555555555554</v>
      </c>
      <c r="N5" s="15" t="s">
        <v>110</v>
      </c>
      <c r="O5" s="16" t="s">
        <v>105</v>
      </c>
      <c r="P5" s="16">
        <v>235</v>
      </c>
      <c r="Q5" s="16">
        <v>1092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18">
        <v>44563</v>
      </c>
      <c r="B6" s="16" t="s">
        <v>21</v>
      </c>
      <c r="C6" s="16" t="s">
        <v>95</v>
      </c>
      <c r="D6" s="16" t="s">
        <v>23</v>
      </c>
      <c r="E6" s="16" t="s">
        <v>46</v>
      </c>
      <c r="F6" s="16" t="s">
        <v>24</v>
      </c>
      <c r="G6" s="16">
        <v>70000</v>
      </c>
      <c r="H6" s="16" t="s">
        <v>96</v>
      </c>
      <c r="I6" s="16" t="s">
        <v>97</v>
      </c>
      <c r="J6" s="17">
        <v>0.95486111111111116</v>
      </c>
      <c r="K6" s="15">
        <v>0.98055555555555562</v>
      </c>
      <c r="L6" s="17">
        <v>0.79166666666666663</v>
      </c>
      <c r="M6" s="15">
        <v>0.81944444444444453</v>
      </c>
      <c r="N6" s="16" t="s">
        <v>111</v>
      </c>
      <c r="O6" s="16" t="s">
        <v>106</v>
      </c>
      <c r="P6" s="16">
        <v>345</v>
      </c>
      <c r="Q6" s="16">
        <v>1072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25">
      <c r="A7" s="18">
        <v>44563</v>
      </c>
      <c r="B7" s="16" t="s">
        <v>21</v>
      </c>
      <c r="C7" s="16" t="s">
        <v>112</v>
      </c>
      <c r="D7" s="16" t="s">
        <v>23</v>
      </c>
      <c r="E7" s="16" t="s">
        <v>73</v>
      </c>
      <c r="F7" s="16" t="s">
        <v>136</v>
      </c>
      <c r="G7" s="16">
        <v>70000</v>
      </c>
      <c r="H7" s="16" t="s">
        <v>107</v>
      </c>
      <c r="I7" s="16" t="s">
        <v>108</v>
      </c>
      <c r="J7" s="17">
        <v>0.47916666666666669</v>
      </c>
      <c r="K7" s="15">
        <v>0.47847222222222219</v>
      </c>
      <c r="L7" s="17">
        <v>0.71875</v>
      </c>
      <c r="M7" s="15">
        <v>0.76736111111111116</v>
      </c>
      <c r="N7" s="16" t="s">
        <v>109</v>
      </c>
      <c r="O7" s="16">
        <v>0</v>
      </c>
      <c r="P7" s="16">
        <v>600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</row>
    <row r="8" spans="1:21" x14ac:dyDescent="0.25">
      <c r="A8" s="18">
        <v>44563</v>
      </c>
      <c r="B8" s="16" t="s">
        <v>21</v>
      </c>
      <c r="C8" s="16" t="s">
        <v>113</v>
      </c>
      <c r="D8" s="16" t="s">
        <v>23</v>
      </c>
      <c r="E8" s="16" t="s">
        <v>72</v>
      </c>
      <c r="F8" s="16" t="s">
        <v>136</v>
      </c>
      <c r="G8" s="16">
        <v>70000</v>
      </c>
      <c r="H8" s="16" t="s">
        <v>114</v>
      </c>
      <c r="I8" s="16" t="s">
        <v>115</v>
      </c>
      <c r="J8" s="17">
        <v>0.4861111111111111</v>
      </c>
      <c r="K8" s="15">
        <v>0.48402777777777778</v>
      </c>
      <c r="L8" s="17">
        <v>0.70833333333333337</v>
      </c>
      <c r="M8" s="15">
        <v>0.76041666666666663</v>
      </c>
      <c r="N8" s="16" t="s">
        <v>116</v>
      </c>
      <c r="O8" s="16" t="s">
        <v>130</v>
      </c>
      <c r="P8" s="16">
        <v>231</v>
      </c>
      <c r="Q8" s="16">
        <v>1129</v>
      </c>
      <c r="R8" s="16">
        <v>0</v>
      </c>
      <c r="S8" s="16">
        <v>0</v>
      </c>
      <c r="T8" s="16">
        <v>0</v>
      </c>
      <c r="U8" s="16">
        <v>0</v>
      </c>
    </row>
    <row r="9" spans="1:21" x14ac:dyDescent="0.25">
      <c r="A9" s="18">
        <v>44563</v>
      </c>
      <c r="B9" s="16" t="s">
        <v>21</v>
      </c>
      <c r="C9" s="16" t="s">
        <v>118</v>
      </c>
      <c r="D9" s="16" t="s">
        <v>117</v>
      </c>
      <c r="E9" s="16" t="s">
        <v>119</v>
      </c>
      <c r="F9" s="16" t="s">
        <v>136</v>
      </c>
      <c r="G9" s="16">
        <v>89000</v>
      </c>
      <c r="H9" s="16" t="s">
        <v>120</v>
      </c>
      <c r="I9" s="16" t="s">
        <v>121</v>
      </c>
      <c r="J9" s="17">
        <v>0.70833333333333337</v>
      </c>
      <c r="K9" s="15">
        <v>0.71875</v>
      </c>
      <c r="L9" s="20" t="s">
        <v>121</v>
      </c>
      <c r="M9" s="16" t="s">
        <v>121</v>
      </c>
      <c r="N9" s="16" t="s">
        <v>122</v>
      </c>
      <c r="O9" s="16" t="s">
        <v>121</v>
      </c>
      <c r="P9" s="16">
        <v>2247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</row>
    <row r="10" spans="1:21" x14ac:dyDescent="0.25">
      <c r="A10" s="18">
        <v>44563</v>
      </c>
      <c r="B10" s="16" t="s">
        <v>137</v>
      </c>
      <c r="C10" s="16" t="s">
        <v>123</v>
      </c>
      <c r="D10" s="16" t="s">
        <v>124</v>
      </c>
      <c r="E10" s="16" t="s">
        <v>125</v>
      </c>
      <c r="F10" s="16" t="s">
        <v>136</v>
      </c>
      <c r="G10" s="16">
        <v>79000</v>
      </c>
      <c r="H10" s="16" t="s">
        <v>127</v>
      </c>
      <c r="I10" s="16" t="s">
        <v>121</v>
      </c>
      <c r="J10" s="17">
        <v>0.61458333333333337</v>
      </c>
      <c r="K10" s="15">
        <v>0.62083333333333335</v>
      </c>
      <c r="L10" s="20" t="s">
        <v>121</v>
      </c>
      <c r="M10" s="16" t="s">
        <v>121</v>
      </c>
      <c r="N10" s="16" t="s">
        <v>128</v>
      </c>
      <c r="O10" s="16" t="s">
        <v>121</v>
      </c>
      <c r="P10" s="16">
        <v>500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</row>
    <row r="11" spans="1:21" x14ac:dyDescent="0.25">
      <c r="A11" s="18">
        <v>44563</v>
      </c>
      <c r="B11" s="16" t="s">
        <v>137</v>
      </c>
      <c r="C11" s="16" t="s">
        <v>123</v>
      </c>
      <c r="D11" s="16" t="s">
        <v>124</v>
      </c>
      <c r="E11" s="16" t="s">
        <v>126</v>
      </c>
      <c r="F11" s="16" t="s">
        <v>136</v>
      </c>
      <c r="G11" s="16">
        <v>79000</v>
      </c>
      <c r="H11" s="16" t="s">
        <v>68</v>
      </c>
      <c r="I11" s="16" t="s">
        <v>121</v>
      </c>
      <c r="J11" s="17">
        <v>0.67708333333333337</v>
      </c>
      <c r="K11" s="15">
        <v>0.67986111111111114</v>
      </c>
      <c r="L11" s="20" t="s">
        <v>121</v>
      </c>
      <c r="M11" s="16" t="s">
        <v>121</v>
      </c>
      <c r="N11" s="16" t="s">
        <v>129</v>
      </c>
      <c r="O11" s="16" t="s">
        <v>121</v>
      </c>
      <c r="P11" s="16">
        <v>764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</row>
    <row r="12" spans="1:21" x14ac:dyDescent="0.25">
      <c r="A12" s="18">
        <v>44563</v>
      </c>
      <c r="B12" s="16" t="s">
        <v>21</v>
      </c>
      <c r="C12" s="16" t="s">
        <v>134</v>
      </c>
      <c r="D12" s="16" t="s">
        <v>23</v>
      </c>
      <c r="E12" s="16" t="s">
        <v>73</v>
      </c>
      <c r="F12" s="16" t="s">
        <v>136</v>
      </c>
      <c r="G12" s="16">
        <v>70000</v>
      </c>
      <c r="H12" s="16" t="s">
        <v>132</v>
      </c>
      <c r="I12" s="16" t="s">
        <v>55</v>
      </c>
      <c r="J12" s="17">
        <v>0.94791666666666663</v>
      </c>
      <c r="K12" s="15">
        <v>0.95416666666666661</v>
      </c>
      <c r="L12" s="16" t="s">
        <v>55</v>
      </c>
      <c r="M12" s="16" t="s">
        <v>55</v>
      </c>
      <c r="N12" s="16" t="s">
        <v>133</v>
      </c>
      <c r="O12" s="16" t="s">
        <v>55</v>
      </c>
      <c r="P12" s="16">
        <v>507</v>
      </c>
      <c r="Q12" s="16" t="s">
        <v>55</v>
      </c>
      <c r="R12" s="16">
        <v>0</v>
      </c>
      <c r="S12" s="16">
        <v>0</v>
      </c>
      <c r="T12" s="16">
        <v>0</v>
      </c>
      <c r="U12" s="16">
        <v>0</v>
      </c>
    </row>
    <row r="13" spans="1:21" x14ac:dyDescent="0.25">
      <c r="A13" s="18">
        <v>44563</v>
      </c>
      <c r="B13" s="16" t="s">
        <v>21</v>
      </c>
      <c r="C13" s="16" t="s">
        <v>131</v>
      </c>
      <c r="D13" s="16" t="s">
        <v>23</v>
      </c>
      <c r="E13" s="16" t="s">
        <v>72</v>
      </c>
      <c r="F13" s="16" t="s">
        <v>136</v>
      </c>
      <c r="G13" s="16">
        <v>70000</v>
      </c>
      <c r="H13" s="16" t="s">
        <v>76</v>
      </c>
      <c r="I13" s="16" t="s">
        <v>55</v>
      </c>
      <c r="J13" s="17">
        <v>0.97916666666666663</v>
      </c>
      <c r="K13" s="15">
        <v>0.97569444444444453</v>
      </c>
      <c r="L13" s="16" t="s">
        <v>55</v>
      </c>
      <c r="M13" s="16" t="s">
        <v>55</v>
      </c>
      <c r="N13" s="16" t="s">
        <v>135</v>
      </c>
      <c r="O13" s="16" t="s">
        <v>55</v>
      </c>
      <c r="P13" s="16">
        <v>242</v>
      </c>
      <c r="Q13" s="16" t="s">
        <v>55</v>
      </c>
      <c r="R13" s="16">
        <v>0</v>
      </c>
      <c r="S13" s="16">
        <v>0</v>
      </c>
      <c r="T13" s="16">
        <v>0</v>
      </c>
      <c r="U13" s="16">
        <v>0</v>
      </c>
    </row>
    <row r="14" spans="1:21" x14ac:dyDescent="0.25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tabSelected="1" workbookViewId="0">
      <selection activeCell="L16" sqref="L16"/>
    </sheetView>
  </sheetViews>
  <sheetFormatPr defaultRowHeight="15" x14ac:dyDescent="0.25"/>
  <cols>
    <col min="1" max="1" width="11" customWidth="1"/>
    <col min="2" max="2" width="10.42578125" customWidth="1"/>
    <col min="3" max="3" width="15.5703125" customWidth="1"/>
    <col min="4" max="4" width="7.7109375" customWidth="1"/>
    <col min="5" max="5" width="11.7109375" customWidth="1"/>
    <col min="6" max="6" width="20.5703125" customWidth="1"/>
    <col min="10" max="10" width="9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44564</v>
      </c>
      <c r="B2" s="16" t="s">
        <v>21</v>
      </c>
      <c r="C2" s="16" t="s">
        <v>86</v>
      </c>
      <c r="D2" s="16" t="s">
        <v>23</v>
      </c>
      <c r="E2" s="16" t="s">
        <v>149</v>
      </c>
      <c r="F2" s="16" t="s">
        <v>24</v>
      </c>
      <c r="G2" s="16">
        <v>70000</v>
      </c>
      <c r="H2" s="16" t="s">
        <v>87</v>
      </c>
      <c r="I2" s="16" t="s">
        <v>88</v>
      </c>
      <c r="J2" s="17">
        <v>0.77083333333333337</v>
      </c>
      <c r="K2" s="15">
        <v>0.78611111111111109</v>
      </c>
      <c r="L2" s="17">
        <v>0.31944444444444448</v>
      </c>
      <c r="M2" s="15">
        <v>0.36874999999999997</v>
      </c>
      <c r="N2" s="16" t="s">
        <v>158</v>
      </c>
      <c r="O2" s="16" t="s">
        <v>211</v>
      </c>
      <c r="P2" s="16">
        <v>563</v>
      </c>
      <c r="Q2" s="16">
        <v>673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>
        <v>44564</v>
      </c>
      <c r="B3" s="16" t="s">
        <v>21</v>
      </c>
      <c r="C3" s="16" t="s">
        <v>138</v>
      </c>
      <c r="D3" s="16" t="s">
        <v>23</v>
      </c>
      <c r="E3" s="16" t="s">
        <v>99</v>
      </c>
      <c r="F3" s="16" t="s">
        <v>24</v>
      </c>
      <c r="G3" s="16">
        <v>70000</v>
      </c>
      <c r="H3" s="16" t="s">
        <v>139</v>
      </c>
      <c r="I3" s="16" t="s">
        <v>140</v>
      </c>
      <c r="J3" s="17">
        <v>0.52083333333333337</v>
      </c>
      <c r="K3" s="15">
        <v>0.60902777777777783</v>
      </c>
      <c r="L3" s="17">
        <v>0.33333333333333331</v>
      </c>
      <c r="M3" s="15">
        <v>0.42083333333333334</v>
      </c>
      <c r="N3" s="16" t="s">
        <v>159</v>
      </c>
      <c r="O3" s="16" t="s">
        <v>151</v>
      </c>
      <c r="P3" s="16">
        <v>683</v>
      </c>
      <c r="Q3" s="16">
        <v>1187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8">
        <v>44564</v>
      </c>
      <c r="B4" s="16" t="s">
        <v>21</v>
      </c>
      <c r="C4" s="16" t="s">
        <v>141</v>
      </c>
      <c r="D4" s="16" t="s">
        <v>23</v>
      </c>
      <c r="E4" s="16" t="s">
        <v>150</v>
      </c>
      <c r="F4" s="16" t="s">
        <v>24</v>
      </c>
      <c r="G4" s="16">
        <v>70000</v>
      </c>
      <c r="H4" s="16" t="s">
        <v>142</v>
      </c>
      <c r="I4" s="16" t="s">
        <v>143</v>
      </c>
      <c r="J4" s="17">
        <v>0.69444444444444453</v>
      </c>
      <c r="K4" s="15">
        <v>0.75</v>
      </c>
      <c r="L4" s="17">
        <v>0.54166666666666663</v>
      </c>
      <c r="M4" s="15">
        <v>0.61805555555555558</v>
      </c>
      <c r="N4" s="16" t="s">
        <v>161</v>
      </c>
      <c r="O4" s="16" t="s">
        <v>160</v>
      </c>
      <c r="P4" s="16">
        <v>344</v>
      </c>
      <c r="Q4" s="16">
        <v>1503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8">
        <v>44564</v>
      </c>
      <c r="B5" s="16" t="s">
        <v>21</v>
      </c>
      <c r="C5" s="16" t="s">
        <v>144</v>
      </c>
      <c r="D5" s="16" t="s">
        <v>23</v>
      </c>
      <c r="E5" s="16" t="s">
        <v>150</v>
      </c>
      <c r="F5" s="16" t="s">
        <v>24</v>
      </c>
      <c r="G5" s="16">
        <v>70000</v>
      </c>
      <c r="H5" s="16" t="s">
        <v>145</v>
      </c>
      <c r="I5" s="16" t="s">
        <v>146</v>
      </c>
      <c r="J5" s="17">
        <v>0.95486111111111116</v>
      </c>
      <c r="K5" s="15">
        <v>0.94374999999999998</v>
      </c>
      <c r="L5" s="17">
        <v>0.80208333333333337</v>
      </c>
      <c r="M5" s="15">
        <v>0.80208333333333337</v>
      </c>
      <c r="N5" s="16" t="s">
        <v>163</v>
      </c>
      <c r="O5" s="16" t="s">
        <v>164</v>
      </c>
      <c r="P5" s="16">
        <v>345</v>
      </c>
      <c r="Q5" s="16">
        <v>585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18">
        <v>44564</v>
      </c>
      <c r="B6" s="16" t="s">
        <v>21</v>
      </c>
      <c r="C6" s="16" t="s">
        <v>147</v>
      </c>
      <c r="D6" s="16" t="s">
        <v>23</v>
      </c>
      <c r="E6" s="16" t="s">
        <v>119</v>
      </c>
      <c r="F6" s="16" t="s">
        <v>24</v>
      </c>
      <c r="G6" s="16">
        <v>88000</v>
      </c>
      <c r="H6" s="21"/>
      <c r="I6" s="16" t="s">
        <v>148</v>
      </c>
      <c r="J6" s="21"/>
      <c r="K6" s="21"/>
      <c r="L6" s="17">
        <v>0.29166666666666669</v>
      </c>
      <c r="M6" s="15">
        <v>0.35625000000000001</v>
      </c>
      <c r="N6" s="16"/>
      <c r="O6" s="16" t="s">
        <v>152</v>
      </c>
      <c r="P6" s="16"/>
      <c r="Q6" s="16">
        <v>3149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25">
      <c r="A7" s="18">
        <v>44564</v>
      </c>
      <c r="B7" s="16" t="s">
        <v>21</v>
      </c>
      <c r="C7" s="16" t="s">
        <v>153</v>
      </c>
      <c r="D7" s="16" t="s">
        <v>23</v>
      </c>
      <c r="E7" s="16" t="s">
        <v>154</v>
      </c>
      <c r="F7" s="16" t="s">
        <v>24</v>
      </c>
      <c r="G7" s="16">
        <v>70000</v>
      </c>
      <c r="H7" s="21"/>
      <c r="I7" s="16" t="s">
        <v>156</v>
      </c>
      <c r="J7" s="21"/>
      <c r="K7" s="21"/>
      <c r="L7" s="17">
        <v>0.45833333333333331</v>
      </c>
      <c r="M7" s="15">
        <v>0.52430555555555558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</row>
    <row r="8" spans="1:21" x14ac:dyDescent="0.25">
      <c r="A8" s="18">
        <v>44564</v>
      </c>
      <c r="B8" s="16" t="s">
        <v>21</v>
      </c>
      <c r="C8" s="16" t="s">
        <v>153</v>
      </c>
      <c r="D8" s="16" t="s">
        <v>23</v>
      </c>
      <c r="E8" s="16" t="s">
        <v>155</v>
      </c>
      <c r="F8" s="16" t="s">
        <v>24</v>
      </c>
      <c r="G8" s="16">
        <v>70000</v>
      </c>
      <c r="H8" s="21"/>
      <c r="I8" s="16" t="s">
        <v>157</v>
      </c>
      <c r="J8" s="21"/>
      <c r="K8" s="21"/>
      <c r="L8" s="17">
        <v>0.45833333333333331</v>
      </c>
      <c r="M8" s="15">
        <v>0.53194444444444444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</row>
    <row r="9" spans="1:21" x14ac:dyDescent="0.25">
      <c r="A9" s="18">
        <v>44564</v>
      </c>
      <c r="B9" s="16" t="s">
        <v>21</v>
      </c>
      <c r="C9" s="16" t="s">
        <v>92</v>
      </c>
      <c r="D9" s="16" t="s">
        <v>23</v>
      </c>
      <c r="E9" s="16" t="s">
        <v>99</v>
      </c>
      <c r="F9" s="16" t="s">
        <v>24</v>
      </c>
      <c r="G9" s="16">
        <v>70000</v>
      </c>
      <c r="H9" s="16" t="s">
        <v>93</v>
      </c>
      <c r="I9" s="16" t="s">
        <v>94</v>
      </c>
      <c r="J9" s="17">
        <v>0.93055555555555547</v>
      </c>
      <c r="K9" s="15">
        <v>0.91180555555555554</v>
      </c>
      <c r="L9" s="17">
        <v>0.72569444444444453</v>
      </c>
      <c r="M9" s="15">
        <v>0.72777777777777775</v>
      </c>
      <c r="N9" s="16" t="s">
        <v>162</v>
      </c>
      <c r="O9" s="16" t="s">
        <v>212</v>
      </c>
      <c r="P9" s="16">
        <v>153</v>
      </c>
      <c r="Q9" s="16">
        <v>918</v>
      </c>
      <c r="R9" s="16">
        <v>0</v>
      </c>
      <c r="S9" s="16">
        <v>0</v>
      </c>
      <c r="T9" s="16">
        <v>0</v>
      </c>
      <c r="U9" s="16">
        <v>0</v>
      </c>
    </row>
    <row r="10" spans="1:21" x14ac:dyDescent="0.25">
      <c r="A10" s="18">
        <v>44564</v>
      </c>
      <c r="B10" s="16" t="s">
        <v>137</v>
      </c>
      <c r="C10" s="16" t="s">
        <v>165</v>
      </c>
      <c r="D10" s="16" t="s">
        <v>124</v>
      </c>
      <c r="E10" s="16" t="s">
        <v>125</v>
      </c>
      <c r="F10" s="16" t="s">
        <v>136</v>
      </c>
      <c r="G10" s="16">
        <v>79000</v>
      </c>
      <c r="H10" s="16" t="s">
        <v>55</v>
      </c>
      <c r="I10" s="16" t="s">
        <v>166</v>
      </c>
      <c r="J10" s="16" t="s">
        <v>55</v>
      </c>
      <c r="K10" s="16" t="s">
        <v>55</v>
      </c>
      <c r="L10" s="17">
        <v>0.41666666666666669</v>
      </c>
      <c r="M10" s="15">
        <v>0.73611111111111116</v>
      </c>
      <c r="N10" s="16" t="s">
        <v>55</v>
      </c>
      <c r="O10" s="16" t="s">
        <v>167</v>
      </c>
      <c r="P10" s="16" t="s">
        <v>55</v>
      </c>
      <c r="Q10" s="16">
        <v>2369</v>
      </c>
      <c r="R10" s="16">
        <v>0</v>
      </c>
      <c r="S10" s="16">
        <v>0</v>
      </c>
      <c r="T10" s="16">
        <v>0</v>
      </c>
      <c r="U10" s="16">
        <v>0</v>
      </c>
    </row>
    <row r="11" spans="1:21" x14ac:dyDescent="0.25">
      <c r="A11" s="18">
        <v>44564</v>
      </c>
      <c r="B11" s="16" t="s">
        <v>137</v>
      </c>
      <c r="C11" s="16" t="s">
        <v>165</v>
      </c>
      <c r="D11" s="16" t="s">
        <v>168</v>
      </c>
      <c r="E11" s="16" t="s">
        <v>126</v>
      </c>
      <c r="F11" s="16" t="s">
        <v>136</v>
      </c>
      <c r="G11" s="16">
        <v>79000</v>
      </c>
      <c r="H11" s="16" t="s">
        <v>55</v>
      </c>
      <c r="I11" s="16" t="s">
        <v>169</v>
      </c>
      <c r="J11" s="16" t="s">
        <v>55</v>
      </c>
      <c r="K11" s="16" t="s">
        <v>55</v>
      </c>
      <c r="L11" s="17">
        <v>0.45833333333333331</v>
      </c>
      <c r="M11" s="15">
        <v>0.67013888888888884</v>
      </c>
      <c r="N11" s="16" t="s">
        <v>55</v>
      </c>
      <c r="O11" s="16" t="s">
        <v>170</v>
      </c>
      <c r="P11" s="16" t="s">
        <v>55</v>
      </c>
      <c r="Q11" s="16">
        <v>2837</v>
      </c>
      <c r="R11" s="16">
        <v>0</v>
      </c>
      <c r="S11" s="16">
        <v>0</v>
      </c>
      <c r="T11" s="16">
        <v>0</v>
      </c>
      <c r="U11" s="16">
        <v>0</v>
      </c>
    </row>
    <row r="12" spans="1:21" x14ac:dyDescent="0.25">
      <c r="A12" s="18">
        <v>44564</v>
      </c>
      <c r="B12" s="16" t="s">
        <v>171</v>
      </c>
      <c r="C12" s="16" t="s">
        <v>172</v>
      </c>
      <c r="D12" s="16" t="s">
        <v>173</v>
      </c>
      <c r="E12" s="16" t="s">
        <v>174</v>
      </c>
      <c r="F12" s="16" t="s">
        <v>136</v>
      </c>
      <c r="G12" s="16">
        <v>75000</v>
      </c>
      <c r="H12" s="16" t="s">
        <v>175</v>
      </c>
      <c r="I12" s="16" t="s">
        <v>176</v>
      </c>
      <c r="J12" s="17">
        <v>0.625</v>
      </c>
      <c r="K12" s="15">
        <v>0.64444444444444449</v>
      </c>
      <c r="L12" s="17">
        <v>0.77777777777777779</v>
      </c>
      <c r="M12" s="15">
        <v>0.94097222222222221</v>
      </c>
      <c r="N12" s="16" t="s">
        <v>177</v>
      </c>
      <c r="O12" s="16" t="s">
        <v>178</v>
      </c>
      <c r="P12" s="16">
        <v>1717</v>
      </c>
      <c r="Q12" s="16">
        <v>1690</v>
      </c>
      <c r="R12" s="16">
        <v>0</v>
      </c>
      <c r="S12" s="16">
        <v>0</v>
      </c>
      <c r="T12" s="16">
        <v>0</v>
      </c>
      <c r="U12" s="16">
        <v>0</v>
      </c>
    </row>
    <row r="13" spans="1:21" x14ac:dyDescent="0.25">
      <c r="A13" s="18">
        <v>44564</v>
      </c>
      <c r="B13" s="16" t="s">
        <v>171</v>
      </c>
      <c r="C13" s="16" t="s">
        <v>172</v>
      </c>
      <c r="D13" s="16" t="s">
        <v>173</v>
      </c>
      <c r="E13" s="16" t="s">
        <v>179</v>
      </c>
      <c r="F13" s="16" t="s">
        <v>136</v>
      </c>
      <c r="G13" s="16">
        <v>75000</v>
      </c>
      <c r="H13" s="16" t="s">
        <v>180</v>
      </c>
      <c r="I13" s="16" t="s">
        <v>181</v>
      </c>
      <c r="J13" s="17">
        <v>0.58333333333333337</v>
      </c>
      <c r="K13" s="15">
        <v>0.58819444444444446</v>
      </c>
      <c r="L13" s="17">
        <v>0.82638888888888884</v>
      </c>
      <c r="M13" s="15">
        <v>0.96111111111111114</v>
      </c>
      <c r="N13" s="16" t="s">
        <v>182</v>
      </c>
      <c r="O13" s="16" t="s">
        <v>183</v>
      </c>
      <c r="P13" s="16">
        <v>1865</v>
      </c>
      <c r="Q13" s="16">
        <v>584</v>
      </c>
      <c r="R13" s="16">
        <v>0</v>
      </c>
      <c r="S13" s="16">
        <v>0</v>
      </c>
      <c r="T13" s="16">
        <v>0</v>
      </c>
      <c r="U13" s="16">
        <v>0</v>
      </c>
    </row>
    <row r="14" spans="1:2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B2" sqref="B2:U2"/>
    </sheetView>
  </sheetViews>
  <sheetFormatPr defaultRowHeight="15" x14ac:dyDescent="0.25"/>
  <cols>
    <col min="1" max="1" width="11" customWidth="1"/>
    <col min="3" max="3" width="12.85546875" customWidth="1"/>
    <col min="4" max="4" width="8" customWidth="1"/>
    <col min="6" max="6" width="25" bestFit="1" customWidth="1"/>
    <col min="7" max="7" width="9.28515625" bestFit="1" customWidth="1"/>
    <col min="10" max="10" width="9.28515625" bestFit="1" customWidth="1"/>
    <col min="11" max="11" width="10.5703125" customWidth="1"/>
    <col min="12" max="12" width="9.28515625" bestFit="1" customWidth="1"/>
    <col min="14" max="14" width="10.28515625" customWidth="1"/>
    <col min="15" max="15" width="9.85546875" customWidth="1"/>
    <col min="16" max="16" width="11.5703125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44565</v>
      </c>
      <c r="B2" s="16" t="s">
        <v>21</v>
      </c>
      <c r="C2" s="16" t="s">
        <v>22</v>
      </c>
      <c r="D2" s="16" t="s">
        <v>23</v>
      </c>
      <c r="E2" s="16" t="s">
        <v>44</v>
      </c>
      <c r="F2" s="16" t="s">
        <v>24</v>
      </c>
      <c r="G2" s="16">
        <v>70000</v>
      </c>
      <c r="H2" s="16" t="s">
        <v>25</v>
      </c>
      <c r="I2" s="16" t="s">
        <v>26</v>
      </c>
      <c r="J2" s="17">
        <v>0.50347222222222221</v>
      </c>
      <c r="K2" s="15">
        <v>0.50902777777777775</v>
      </c>
      <c r="L2" s="17">
        <v>0.31944444444444448</v>
      </c>
      <c r="M2" s="15">
        <v>0.33055555555555555</v>
      </c>
      <c r="N2" s="16" t="s">
        <v>105</v>
      </c>
      <c r="O2" s="16" t="s">
        <v>184</v>
      </c>
      <c r="P2" s="16">
        <v>671</v>
      </c>
      <c r="Q2" s="16">
        <v>1220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>
        <v>44565</v>
      </c>
      <c r="B3" s="16" t="s">
        <v>21</v>
      </c>
      <c r="C3" s="16" t="s">
        <v>27</v>
      </c>
      <c r="D3" s="16" t="s">
        <v>23</v>
      </c>
      <c r="E3" s="16" t="s">
        <v>45</v>
      </c>
      <c r="F3" s="16" t="s">
        <v>24</v>
      </c>
      <c r="G3" s="16">
        <v>70000</v>
      </c>
      <c r="H3" s="16" t="s">
        <v>28</v>
      </c>
      <c r="I3" s="16" t="s">
        <v>29</v>
      </c>
      <c r="J3" s="17">
        <v>0.5</v>
      </c>
      <c r="K3" s="15">
        <v>0.49791666666666662</v>
      </c>
      <c r="L3" s="17">
        <v>0.35069444444444442</v>
      </c>
      <c r="M3" s="15">
        <v>0.36249999999999999</v>
      </c>
      <c r="N3" s="16" t="s">
        <v>186</v>
      </c>
      <c r="O3" s="16" t="s">
        <v>185</v>
      </c>
      <c r="P3" s="16">
        <v>552</v>
      </c>
      <c r="Q3" s="16">
        <v>1137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8">
        <v>44565</v>
      </c>
      <c r="B4" s="16" t="s">
        <v>21</v>
      </c>
      <c r="C4" s="16" t="s">
        <v>30</v>
      </c>
      <c r="D4" s="16" t="s">
        <v>23</v>
      </c>
      <c r="E4" s="16" t="s">
        <v>44</v>
      </c>
      <c r="F4" s="16" t="s">
        <v>24</v>
      </c>
      <c r="G4" s="16">
        <v>70000</v>
      </c>
      <c r="H4" s="16" t="s">
        <v>31</v>
      </c>
      <c r="I4" s="16" t="s">
        <v>32</v>
      </c>
      <c r="J4" s="17">
        <v>0.69791666666666663</v>
      </c>
      <c r="K4" s="15">
        <v>0.72083333333333333</v>
      </c>
      <c r="L4" s="17">
        <v>0.53125</v>
      </c>
      <c r="M4" s="15">
        <v>0.55486111111111114</v>
      </c>
      <c r="N4" s="16" t="s">
        <v>191</v>
      </c>
      <c r="O4" s="16" t="s">
        <v>187</v>
      </c>
      <c r="P4" s="16">
        <v>767</v>
      </c>
      <c r="Q4" s="16">
        <v>1391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8">
        <v>44565</v>
      </c>
      <c r="B5" s="16" t="s">
        <v>21</v>
      </c>
      <c r="C5" s="16" t="s">
        <v>33</v>
      </c>
      <c r="D5" s="16" t="s">
        <v>23</v>
      </c>
      <c r="E5" s="16" t="str">
        <f>E3</f>
        <v>HA-LPK</v>
      </c>
      <c r="F5" s="16" t="s">
        <v>24</v>
      </c>
      <c r="G5" s="16">
        <v>70000</v>
      </c>
      <c r="H5" s="16" t="s">
        <v>34</v>
      </c>
      <c r="I5" s="16" t="s">
        <v>35</v>
      </c>
      <c r="J5" s="17">
        <v>0.70833333333333337</v>
      </c>
      <c r="K5" s="15">
        <v>0.71805555555555556</v>
      </c>
      <c r="L5" s="17">
        <v>0.53472222222222221</v>
      </c>
      <c r="M5" s="15">
        <v>0.55277777777777781</v>
      </c>
      <c r="N5" s="16" t="s">
        <v>192</v>
      </c>
      <c r="O5" s="16" t="s">
        <v>188</v>
      </c>
      <c r="P5" s="16">
        <v>704</v>
      </c>
      <c r="Q5" s="16">
        <v>1323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18">
        <v>44565</v>
      </c>
      <c r="B6" s="16" t="s">
        <v>21</v>
      </c>
      <c r="C6" s="16" t="s">
        <v>36</v>
      </c>
      <c r="D6" s="16" t="s">
        <v>23</v>
      </c>
      <c r="E6" s="16" t="s">
        <v>46</v>
      </c>
      <c r="F6" s="16" t="s">
        <v>24</v>
      </c>
      <c r="G6" s="16">
        <v>70000</v>
      </c>
      <c r="H6" s="16" t="s">
        <v>37</v>
      </c>
      <c r="I6" s="16" t="s">
        <v>38</v>
      </c>
      <c r="J6" s="17">
        <v>0.95138888888888884</v>
      </c>
      <c r="K6" s="15">
        <v>0.93333333333333324</v>
      </c>
      <c r="L6" s="17">
        <v>0.71875</v>
      </c>
      <c r="M6" s="15">
        <v>0.71805555555555556</v>
      </c>
      <c r="N6" s="16" t="s">
        <v>80</v>
      </c>
      <c r="O6" s="16" t="s">
        <v>189</v>
      </c>
      <c r="P6" s="16">
        <v>212</v>
      </c>
      <c r="Q6" s="16">
        <v>1014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25">
      <c r="A7" s="18">
        <v>44565</v>
      </c>
      <c r="B7" s="16" t="s">
        <v>21</v>
      </c>
      <c r="C7" s="16" t="s">
        <v>39</v>
      </c>
      <c r="D7" s="16" t="s">
        <v>23</v>
      </c>
      <c r="E7" s="16" t="s">
        <v>45</v>
      </c>
      <c r="F7" s="16" t="s">
        <v>24</v>
      </c>
      <c r="G7" s="16">
        <v>70000</v>
      </c>
      <c r="H7" s="16" t="s">
        <v>40</v>
      </c>
      <c r="I7" s="16" t="s">
        <v>41</v>
      </c>
      <c r="J7" s="17">
        <v>0.94791666666666663</v>
      </c>
      <c r="K7" s="15">
        <v>0.96527777777777779</v>
      </c>
      <c r="L7" s="17">
        <v>0.72916666666666663</v>
      </c>
      <c r="M7" s="15">
        <v>0.75763888888888886</v>
      </c>
      <c r="N7" s="16" t="s">
        <v>193</v>
      </c>
      <c r="O7" s="16" t="s">
        <v>190</v>
      </c>
      <c r="P7" s="16">
        <v>178</v>
      </c>
      <c r="Q7" s="16">
        <v>673</v>
      </c>
      <c r="R7" s="16">
        <v>0</v>
      </c>
      <c r="S7" s="16">
        <v>0</v>
      </c>
      <c r="T7" s="16">
        <v>0</v>
      </c>
      <c r="U7" s="16">
        <v>0</v>
      </c>
    </row>
    <row r="8" spans="1:21" x14ac:dyDescent="0.25">
      <c r="A8" s="18"/>
      <c r="B8" s="16"/>
      <c r="C8" s="16"/>
      <c r="D8" s="16"/>
      <c r="E8" s="16"/>
      <c r="F8" s="16"/>
      <c r="G8" s="16"/>
      <c r="H8" s="16"/>
      <c r="I8" s="16"/>
      <c r="J8" s="17"/>
      <c r="K8" s="15"/>
      <c r="L8" s="17"/>
      <c r="M8" s="15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8"/>
      <c r="B9" s="16"/>
      <c r="C9" s="16"/>
      <c r="D9" s="16"/>
      <c r="E9" s="16"/>
      <c r="F9" s="16"/>
      <c r="G9" s="16"/>
      <c r="H9" s="16"/>
      <c r="I9" s="16"/>
      <c r="J9" s="17"/>
      <c r="K9" s="15"/>
      <c r="L9" s="17"/>
      <c r="M9" s="15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8"/>
      <c r="B10" s="16"/>
      <c r="C10" s="16"/>
      <c r="D10" s="16"/>
      <c r="E10" s="16"/>
      <c r="F10" s="16"/>
      <c r="G10" s="16"/>
      <c r="H10" s="16"/>
      <c r="I10" s="16"/>
      <c r="J10" s="17"/>
      <c r="K10" s="15"/>
      <c r="L10" s="17"/>
      <c r="M10" s="15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8"/>
      <c r="B11" s="16"/>
      <c r="C11" s="16"/>
      <c r="D11" s="16"/>
      <c r="E11" s="16"/>
      <c r="F11" s="16"/>
      <c r="G11" s="16"/>
      <c r="H11" s="16"/>
      <c r="I11" s="16"/>
      <c r="J11" s="17"/>
      <c r="K11" s="15"/>
      <c r="L11" s="17"/>
      <c r="M11" s="15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8"/>
      <c r="B12" s="16"/>
      <c r="C12" s="16"/>
      <c r="D12" s="16"/>
      <c r="E12" s="16"/>
      <c r="F12" s="16"/>
      <c r="G12" s="16"/>
      <c r="H12" s="16"/>
      <c r="I12" s="16"/>
      <c r="J12" s="17"/>
      <c r="K12" s="15"/>
      <c r="L12" s="16"/>
      <c r="M12" s="16"/>
      <c r="N12" s="16"/>
      <c r="O12" s="16"/>
      <c r="P12" s="16"/>
      <c r="Q12" s="16"/>
      <c r="R12" s="16"/>
      <c r="S12" s="16"/>
      <c r="T12" s="16"/>
      <c r="U12" s="16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workbookViewId="0">
      <selection activeCell="O5" sqref="O5"/>
    </sheetView>
  </sheetViews>
  <sheetFormatPr defaultRowHeight="15" x14ac:dyDescent="0.25"/>
  <cols>
    <col min="1" max="2" width="10.28515625" bestFit="1" customWidth="1"/>
    <col min="3" max="3" width="14.140625" bestFit="1" customWidth="1"/>
    <col min="4" max="4" width="8" customWidth="1"/>
    <col min="6" max="6" width="19.5703125" customWidth="1"/>
    <col min="7" max="7" width="9.28515625" customWidth="1"/>
    <col min="8" max="9" width="9.7109375" bestFit="1" customWidth="1"/>
    <col min="10" max="10" width="9.140625" customWidth="1"/>
    <col min="11" max="11" width="9.28515625" customWidth="1"/>
    <col min="12" max="12" width="11" bestFit="1" customWidth="1"/>
    <col min="13" max="13" width="8.5703125" customWidth="1"/>
    <col min="14" max="14" width="15.28515625" customWidth="1"/>
    <col min="15" max="15" width="13.5703125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44566</v>
      </c>
      <c r="B2" s="16" t="s">
        <v>21</v>
      </c>
      <c r="C2" s="16" t="s">
        <v>83</v>
      </c>
      <c r="D2" s="16" t="s">
        <v>23</v>
      </c>
      <c r="E2" s="16" t="s">
        <v>194</v>
      </c>
      <c r="F2" s="16" t="s">
        <v>24</v>
      </c>
      <c r="G2" s="16">
        <v>70000</v>
      </c>
      <c r="H2" s="16" t="s">
        <v>84</v>
      </c>
      <c r="I2" s="16" t="s">
        <v>85</v>
      </c>
      <c r="J2" s="17">
        <v>0.51388888888888895</v>
      </c>
      <c r="K2" s="15">
        <v>0.5180555555555556</v>
      </c>
      <c r="L2" s="17">
        <v>0.30555555555555552</v>
      </c>
      <c r="M2" s="15">
        <v>0.32708333333333334</v>
      </c>
      <c r="N2" s="16" t="s">
        <v>197</v>
      </c>
      <c r="O2" s="16" t="s">
        <v>195</v>
      </c>
      <c r="P2" s="16">
        <v>293</v>
      </c>
      <c r="Q2" s="16">
        <v>891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>
        <v>44566</v>
      </c>
      <c r="B3" s="16" t="s">
        <v>21</v>
      </c>
      <c r="C3" s="16" t="s">
        <v>86</v>
      </c>
      <c r="D3" s="16" t="s">
        <v>23</v>
      </c>
      <c r="E3" s="16" t="s">
        <v>46</v>
      </c>
      <c r="F3" s="16" t="s">
        <v>24</v>
      </c>
      <c r="G3" s="16">
        <v>70000</v>
      </c>
      <c r="H3" s="16" t="s">
        <v>87</v>
      </c>
      <c r="I3" s="16" t="s">
        <v>88</v>
      </c>
      <c r="J3" s="17">
        <v>0.76041666666666663</v>
      </c>
      <c r="K3" s="15">
        <v>0.79166666666666663</v>
      </c>
      <c r="L3" s="17">
        <v>0.31944444444444448</v>
      </c>
      <c r="M3" s="15">
        <v>0.35138888888888892</v>
      </c>
      <c r="N3" s="16" t="s">
        <v>202</v>
      </c>
      <c r="O3" s="16" t="s">
        <v>196</v>
      </c>
      <c r="P3" s="16">
        <v>576</v>
      </c>
      <c r="Q3" s="16">
        <v>938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8">
        <v>44566</v>
      </c>
      <c r="B4" s="16" t="s">
        <v>21</v>
      </c>
      <c r="C4" s="16" t="s">
        <v>89</v>
      </c>
      <c r="D4" s="16" t="s">
        <v>23</v>
      </c>
      <c r="E4" s="16" t="s">
        <v>150</v>
      </c>
      <c r="F4" s="16" t="s">
        <v>24</v>
      </c>
      <c r="G4" s="16">
        <v>70000</v>
      </c>
      <c r="H4" s="16" t="s">
        <v>90</v>
      </c>
      <c r="I4" s="16" t="s">
        <v>91</v>
      </c>
      <c r="J4" s="17">
        <v>0.69097222222222221</v>
      </c>
      <c r="K4" s="15">
        <v>0.67986111111111114</v>
      </c>
      <c r="L4" s="17">
        <v>0.57291666666666663</v>
      </c>
      <c r="M4" s="15">
        <v>0.57361111111111118</v>
      </c>
      <c r="N4" s="16" t="s">
        <v>206</v>
      </c>
      <c r="O4" s="16" t="s">
        <v>198</v>
      </c>
      <c r="P4" s="16">
        <v>320</v>
      </c>
      <c r="Q4" s="16">
        <v>838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8">
        <v>44566</v>
      </c>
      <c r="B5" s="16" t="s">
        <v>21</v>
      </c>
      <c r="C5" s="16" t="s">
        <v>92</v>
      </c>
      <c r="D5" s="16" t="s">
        <v>23</v>
      </c>
      <c r="E5" s="16" t="s">
        <v>45</v>
      </c>
      <c r="F5" s="16" t="s">
        <v>24</v>
      </c>
      <c r="G5" s="16">
        <v>70000</v>
      </c>
      <c r="H5" s="16" t="s">
        <v>93</v>
      </c>
      <c r="I5" s="16" t="s">
        <v>94</v>
      </c>
      <c r="J5" s="17">
        <v>0.91666666666666663</v>
      </c>
      <c r="K5" s="15">
        <v>0.90625</v>
      </c>
      <c r="L5" s="17">
        <v>0.71180555555555547</v>
      </c>
      <c r="M5" s="15">
        <v>0.71597222222222223</v>
      </c>
      <c r="N5" s="15" t="s">
        <v>203</v>
      </c>
      <c r="O5" s="16" t="s">
        <v>199</v>
      </c>
      <c r="P5" s="16">
        <v>163</v>
      </c>
      <c r="Q5" s="16">
        <v>1063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18">
        <v>44566</v>
      </c>
      <c r="B6" s="16" t="s">
        <v>21</v>
      </c>
      <c r="C6" s="16" t="s">
        <v>95</v>
      </c>
      <c r="D6" s="16" t="s">
        <v>23</v>
      </c>
      <c r="E6" s="16" t="s">
        <v>194</v>
      </c>
      <c r="F6" s="16" t="s">
        <v>24</v>
      </c>
      <c r="G6" s="16">
        <v>70000</v>
      </c>
      <c r="H6" s="16" t="s">
        <v>96</v>
      </c>
      <c r="I6" s="16" t="s">
        <v>97</v>
      </c>
      <c r="J6" s="17">
        <v>0.95486111111111116</v>
      </c>
      <c r="K6" s="15">
        <v>0.94513888888888886</v>
      </c>
      <c r="L6" s="17">
        <v>0.79166666666666663</v>
      </c>
      <c r="M6" s="15">
        <v>0.7895833333333333</v>
      </c>
      <c r="N6" s="16" t="s">
        <v>204</v>
      </c>
      <c r="O6" s="16" t="s">
        <v>200</v>
      </c>
      <c r="P6" s="16">
        <v>332</v>
      </c>
      <c r="Q6" s="16">
        <v>869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25">
      <c r="A7" s="18">
        <v>44566</v>
      </c>
      <c r="B7" s="16" t="s">
        <v>171</v>
      </c>
      <c r="C7" s="16" t="s">
        <v>172</v>
      </c>
      <c r="D7" s="16" t="s">
        <v>173</v>
      </c>
      <c r="E7" s="16" t="s">
        <v>207</v>
      </c>
      <c r="F7" s="16" t="s">
        <v>136</v>
      </c>
      <c r="G7" s="16">
        <v>75000</v>
      </c>
      <c r="H7" s="16" t="s">
        <v>208</v>
      </c>
      <c r="I7" s="16" t="s">
        <v>209</v>
      </c>
      <c r="J7" s="17">
        <v>0.65972222222222221</v>
      </c>
      <c r="K7" s="15">
        <v>0.64722222222222225</v>
      </c>
      <c r="L7" s="17">
        <v>0.82638888888888884</v>
      </c>
      <c r="M7" s="15">
        <v>0.81527777777777777</v>
      </c>
      <c r="N7" s="16" t="s">
        <v>205</v>
      </c>
      <c r="O7" s="16" t="s">
        <v>201</v>
      </c>
      <c r="P7" s="16">
        <v>1625</v>
      </c>
      <c r="Q7" s="16">
        <v>715</v>
      </c>
      <c r="R7" s="16">
        <v>0</v>
      </c>
      <c r="S7" s="16">
        <v>0</v>
      </c>
      <c r="T7" s="16">
        <v>0</v>
      </c>
      <c r="U7" s="16">
        <v>0</v>
      </c>
    </row>
    <row r="8" spans="1:21" x14ac:dyDescent="0.25">
      <c r="A8" s="18"/>
      <c r="B8" s="16"/>
      <c r="C8" s="16"/>
      <c r="D8" s="16"/>
      <c r="E8" s="16"/>
      <c r="F8" s="16"/>
      <c r="G8" s="16"/>
      <c r="H8" s="16"/>
      <c r="I8" s="16"/>
      <c r="J8" s="17"/>
      <c r="K8" s="15"/>
      <c r="L8" s="17"/>
      <c r="M8" s="15"/>
      <c r="N8" s="16"/>
      <c r="O8" s="16"/>
      <c r="P8" s="16"/>
      <c r="R8" s="16"/>
      <c r="S8" s="16"/>
      <c r="T8" s="16"/>
      <c r="U8" s="16"/>
    </row>
    <row r="9" spans="1:21" x14ac:dyDescent="0.25">
      <c r="A9" s="18"/>
      <c r="B9" s="16"/>
      <c r="C9" s="16"/>
      <c r="D9" s="16"/>
      <c r="E9" s="16"/>
      <c r="F9" s="16"/>
      <c r="G9" s="16"/>
      <c r="H9" s="16"/>
      <c r="I9" s="16"/>
      <c r="J9" s="17"/>
      <c r="K9" s="15"/>
      <c r="L9" s="20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8"/>
      <c r="B10" s="16"/>
      <c r="C10" s="16"/>
      <c r="D10" s="16"/>
      <c r="E10" s="16"/>
      <c r="F10" s="16"/>
      <c r="G10" s="16"/>
      <c r="H10" s="16"/>
      <c r="I10" s="16"/>
      <c r="J10" s="17"/>
      <c r="K10" s="15"/>
      <c r="L10" s="20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8"/>
      <c r="B11" s="16"/>
      <c r="C11" s="16"/>
      <c r="D11" s="16"/>
      <c r="E11" s="16"/>
      <c r="F11" s="16"/>
      <c r="G11" s="16"/>
      <c r="H11" s="16"/>
      <c r="I11" s="16"/>
      <c r="J11" s="17"/>
      <c r="K11" s="15"/>
      <c r="L11" s="20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8"/>
      <c r="B12" s="16"/>
      <c r="C12" s="16"/>
      <c r="D12" s="16"/>
      <c r="E12" s="16"/>
      <c r="F12" s="16"/>
      <c r="G12" s="16"/>
      <c r="H12" s="16"/>
      <c r="I12" s="16"/>
      <c r="J12" s="17"/>
      <c r="K12" s="15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8"/>
      <c r="B13" s="16"/>
      <c r="C13" s="16"/>
      <c r="D13" s="16"/>
      <c r="E13" s="16"/>
      <c r="F13" s="16"/>
      <c r="G13" s="16"/>
      <c r="H13" s="16"/>
      <c r="I13" s="16"/>
      <c r="J13" s="17"/>
      <c r="K13" s="15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3" max="3" width="14.85546875" customWidth="1"/>
    <col min="6" max="6" width="11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44567</v>
      </c>
      <c r="B2" s="16" t="s">
        <v>21</v>
      </c>
      <c r="C2" s="16" t="s">
        <v>30</v>
      </c>
      <c r="D2" s="16" t="s">
        <v>23</v>
      </c>
      <c r="E2" s="16" t="s">
        <v>210</v>
      </c>
      <c r="F2" s="16" t="s">
        <v>24</v>
      </c>
      <c r="G2" s="16">
        <v>70000</v>
      </c>
      <c r="H2" s="16" t="s">
        <v>31</v>
      </c>
      <c r="I2" s="16" t="s">
        <v>32</v>
      </c>
      <c r="J2" s="17">
        <v>0.5</v>
      </c>
      <c r="K2" s="15">
        <v>0.50763888888888886</v>
      </c>
      <c r="L2" s="17">
        <v>0.33333333333333331</v>
      </c>
      <c r="M2" s="15">
        <v>0.35625000000000001</v>
      </c>
      <c r="N2" s="16" t="s">
        <v>214</v>
      </c>
      <c r="O2" s="16" t="s">
        <v>213</v>
      </c>
      <c r="P2" s="16">
        <v>408</v>
      </c>
      <c r="Q2" s="16">
        <v>1001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B3" sqref="B3:U3"/>
    </sheetView>
  </sheetViews>
  <sheetFormatPr defaultRowHeight="15" x14ac:dyDescent="0.25"/>
  <cols>
    <col min="3" max="3" width="13.7109375" customWidth="1"/>
    <col min="4" max="4" width="7.5703125" customWidth="1"/>
    <col min="6" max="6" width="12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44568</v>
      </c>
      <c r="B2" s="16" t="s">
        <v>21</v>
      </c>
      <c r="C2" s="16" t="s">
        <v>86</v>
      </c>
      <c r="D2" s="16" t="s">
        <v>23</v>
      </c>
      <c r="E2" s="16" t="s">
        <v>194</v>
      </c>
      <c r="F2" s="16" t="s">
        <v>24</v>
      </c>
      <c r="G2" s="16">
        <v>70000</v>
      </c>
      <c r="H2" s="16" t="s">
        <v>87</v>
      </c>
      <c r="I2" s="16" t="s">
        <v>88</v>
      </c>
      <c r="J2" s="17">
        <v>0.77083333333333337</v>
      </c>
      <c r="K2" s="15">
        <v>0.77222222222222225</v>
      </c>
      <c r="L2" s="17">
        <v>0.31944444444444448</v>
      </c>
      <c r="M2" s="15">
        <v>0.3444444444444445</v>
      </c>
      <c r="N2" s="16" t="s">
        <v>220</v>
      </c>
      <c r="O2" s="16" t="s">
        <v>215</v>
      </c>
      <c r="P2" s="16">
        <v>563</v>
      </c>
      <c r="Q2" s="16">
        <v>1371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>
        <v>44568</v>
      </c>
      <c r="B3" s="16" t="s">
        <v>21</v>
      </c>
      <c r="C3" s="16" t="s">
        <v>138</v>
      </c>
      <c r="D3" s="16" t="s">
        <v>23</v>
      </c>
      <c r="E3" s="16" t="s">
        <v>45</v>
      </c>
      <c r="F3" s="16" t="s">
        <v>24</v>
      </c>
      <c r="G3" s="16">
        <v>70000</v>
      </c>
      <c r="H3" s="16" t="s">
        <v>139</v>
      </c>
      <c r="I3" s="16" t="s">
        <v>140</v>
      </c>
      <c r="J3" s="17">
        <v>0.52083333333333337</v>
      </c>
      <c r="K3" s="15">
        <v>0.54583333333333328</v>
      </c>
      <c r="L3" s="17">
        <v>0.33333333333333331</v>
      </c>
      <c r="M3" s="15">
        <v>0.36527777777777781</v>
      </c>
      <c r="N3" s="16" t="s">
        <v>216</v>
      </c>
      <c r="O3" s="16" t="s">
        <v>199</v>
      </c>
      <c r="P3" s="16">
        <v>649</v>
      </c>
      <c r="Q3" s="16">
        <v>1248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8">
        <v>44568</v>
      </c>
      <c r="B4" s="16" t="s">
        <v>21</v>
      </c>
      <c r="C4" s="16" t="s">
        <v>141</v>
      </c>
      <c r="D4" s="16" t="s">
        <v>23</v>
      </c>
      <c r="E4" s="16" t="s">
        <v>45</v>
      </c>
      <c r="F4" s="16" t="s">
        <v>24</v>
      </c>
      <c r="G4" s="16">
        <v>70000</v>
      </c>
      <c r="H4" s="16" t="s">
        <v>142</v>
      </c>
      <c r="I4" s="16" t="s">
        <v>143</v>
      </c>
      <c r="J4" s="17">
        <v>0.69444444444444453</v>
      </c>
      <c r="K4" s="15">
        <v>0.71875</v>
      </c>
      <c r="L4" s="17">
        <v>0.54166666666666663</v>
      </c>
      <c r="M4" s="15">
        <v>0.58124999999999993</v>
      </c>
      <c r="N4" s="16" t="s">
        <v>218</v>
      </c>
      <c r="O4" s="16" t="s">
        <v>217</v>
      </c>
      <c r="P4" s="16">
        <v>262</v>
      </c>
      <c r="Q4" s="16">
        <v>1253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8">
        <v>44568</v>
      </c>
      <c r="B5" s="16" t="s">
        <v>21</v>
      </c>
      <c r="C5" s="16" t="s">
        <v>92</v>
      </c>
      <c r="D5" s="16" t="s">
        <v>23</v>
      </c>
      <c r="E5" s="16" t="s">
        <v>45</v>
      </c>
      <c r="F5" s="16" t="s">
        <v>24</v>
      </c>
      <c r="G5" s="16">
        <v>70000</v>
      </c>
      <c r="H5" s="16" t="s">
        <v>93</v>
      </c>
      <c r="I5" s="16" t="s">
        <v>94</v>
      </c>
      <c r="J5" s="17">
        <v>0.93055555555555547</v>
      </c>
      <c r="K5" s="15">
        <v>0.93888888888888899</v>
      </c>
      <c r="L5" s="17">
        <v>0.72569444444444453</v>
      </c>
      <c r="M5" s="15">
        <v>0.75347222222222221</v>
      </c>
      <c r="N5" s="16" t="s">
        <v>222</v>
      </c>
      <c r="O5" s="16" t="s">
        <v>219</v>
      </c>
      <c r="P5" s="16">
        <v>79</v>
      </c>
      <c r="Q5" s="16">
        <v>1244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18">
        <v>44568</v>
      </c>
      <c r="B6" s="16" t="s">
        <v>21</v>
      </c>
      <c r="C6" s="16" t="s">
        <v>144</v>
      </c>
      <c r="D6" s="16" t="s">
        <v>23</v>
      </c>
      <c r="E6" s="16" t="s">
        <v>194</v>
      </c>
      <c r="F6" s="16" t="s">
        <v>24</v>
      </c>
      <c r="G6" s="16">
        <v>70000</v>
      </c>
      <c r="H6" s="16" t="s">
        <v>145</v>
      </c>
      <c r="I6" s="16" t="s">
        <v>146</v>
      </c>
      <c r="J6" s="17">
        <v>0.95486111111111116</v>
      </c>
      <c r="K6" s="15">
        <v>0.94791666666666663</v>
      </c>
      <c r="L6" s="17">
        <v>0.80208333333333337</v>
      </c>
      <c r="M6" s="15">
        <v>0.81458333333333333</v>
      </c>
      <c r="N6" s="16" t="s">
        <v>223</v>
      </c>
      <c r="O6" s="16" t="s">
        <v>221</v>
      </c>
      <c r="P6" s="16">
        <v>145</v>
      </c>
      <c r="Q6" s="16">
        <v>858</v>
      </c>
      <c r="R6" s="16">
        <v>0</v>
      </c>
      <c r="S6" s="16">
        <v>0</v>
      </c>
      <c r="T6" s="16">
        <v>0</v>
      </c>
      <c r="U6" s="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29" sqref="C29"/>
    </sheetView>
  </sheetViews>
  <sheetFormatPr defaultRowHeight="12.75" x14ac:dyDescent="0.2"/>
  <cols>
    <col min="1" max="1" width="11.7109375" style="13" bestFit="1" customWidth="1"/>
    <col min="2" max="2" width="10.85546875" style="13" customWidth="1"/>
    <col min="3" max="3" width="22" style="13" customWidth="1"/>
    <col min="4" max="4" width="6.85546875" style="13" customWidth="1"/>
    <col min="5" max="5" width="8.5703125" style="13" customWidth="1"/>
    <col min="6" max="6" width="13.5703125" style="13" customWidth="1"/>
    <col min="7" max="9" width="9.140625" style="13"/>
    <col min="10" max="10" width="7" style="13" customWidth="1"/>
    <col min="11" max="11" width="10.5703125" style="13" customWidth="1"/>
    <col min="12" max="12" width="8.140625" style="13" customWidth="1"/>
    <col min="13" max="13" width="9.7109375" style="13" customWidth="1"/>
    <col min="14" max="14" width="10.5703125" style="13" customWidth="1"/>
    <col min="15" max="15" width="9.85546875" style="13" customWidth="1"/>
    <col min="16" max="17" width="10.42578125" style="13" customWidth="1"/>
    <col min="18" max="16384" width="9.140625" style="13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6">
        <v>44569</v>
      </c>
      <c r="B2" s="2" t="s">
        <v>21</v>
      </c>
      <c r="C2" s="2" t="s">
        <v>231</v>
      </c>
      <c r="D2" s="2" t="s">
        <v>23</v>
      </c>
      <c r="E2" s="2" t="s">
        <v>210</v>
      </c>
      <c r="F2" s="2" t="s">
        <v>24</v>
      </c>
      <c r="G2" s="10">
        <v>70000</v>
      </c>
      <c r="H2" s="2" t="s">
        <v>25</v>
      </c>
      <c r="I2" s="2" t="s">
        <v>26</v>
      </c>
      <c r="J2" s="3">
        <v>0.50347222222222221</v>
      </c>
      <c r="K2" s="4" t="s">
        <v>229</v>
      </c>
      <c r="L2" s="3">
        <v>0.31944444444444448</v>
      </c>
      <c r="M2" s="4">
        <v>0.33749999999999997</v>
      </c>
      <c r="N2" s="7" t="s">
        <v>229</v>
      </c>
      <c r="O2" s="5" t="s">
        <v>224</v>
      </c>
      <c r="P2" s="5" t="s">
        <v>229</v>
      </c>
      <c r="Q2" s="5">
        <v>1156</v>
      </c>
      <c r="R2" s="2">
        <v>0</v>
      </c>
      <c r="S2" s="2">
        <v>0</v>
      </c>
      <c r="T2" s="2">
        <v>0</v>
      </c>
      <c r="U2" s="2">
        <v>0</v>
      </c>
    </row>
    <row r="3" spans="1:21" x14ac:dyDescent="0.2">
      <c r="A3" s="6">
        <v>44569</v>
      </c>
      <c r="B3" s="2" t="s">
        <v>21</v>
      </c>
      <c r="C3" s="2" t="s">
        <v>27</v>
      </c>
      <c r="D3" s="2" t="s">
        <v>23</v>
      </c>
      <c r="E3" s="2" t="s">
        <v>194</v>
      </c>
      <c r="F3" s="2" t="s">
        <v>24</v>
      </c>
      <c r="G3" s="10">
        <v>70000</v>
      </c>
      <c r="H3" s="2" t="s">
        <v>28</v>
      </c>
      <c r="I3" s="2" t="s">
        <v>29</v>
      </c>
      <c r="J3" s="3">
        <v>0.5</v>
      </c>
      <c r="K3" s="4">
        <v>0.51944444444444449</v>
      </c>
      <c r="L3" s="3">
        <v>0.35069444444444442</v>
      </c>
      <c r="M3" s="4">
        <v>0.37222222222222223</v>
      </c>
      <c r="N3" s="7" t="s">
        <v>226</v>
      </c>
      <c r="O3" s="5" t="s">
        <v>225</v>
      </c>
      <c r="P3" s="2">
        <v>1006</v>
      </c>
      <c r="Q3" s="5">
        <v>1433</v>
      </c>
      <c r="R3" s="2">
        <v>0</v>
      </c>
      <c r="S3" s="2">
        <v>0</v>
      </c>
      <c r="T3" s="2">
        <v>0</v>
      </c>
      <c r="U3" s="2">
        <v>0</v>
      </c>
    </row>
    <row r="4" spans="1:21" x14ac:dyDescent="0.2">
      <c r="A4" s="6">
        <v>44569</v>
      </c>
      <c r="B4" s="2" t="s">
        <v>21</v>
      </c>
      <c r="C4" s="2" t="s">
        <v>30</v>
      </c>
      <c r="D4" s="2" t="s">
        <v>23</v>
      </c>
      <c r="E4" s="2" t="s">
        <v>210</v>
      </c>
      <c r="F4" s="2" t="s">
        <v>24</v>
      </c>
      <c r="G4" s="10">
        <v>70000</v>
      </c>
      <c r="H4" s="2" t="s">
        <v>31</v>
      </c>
      <c r="I4" s="2" t="s">
        <v>32</v>
      </c>
      <c r="J4" s="3">
        <v>0.69791666666666663</v>
      </c>
      <c r="K4" s="9">
        <v>0.76250000000000007</v>
      </c>
      <c r="L4" s="3">
        <v>0.53125</v>
      </c>
      <c r="M4" s="4">
        <v>0.61458333333333337</v>
      </c>
      <c r="N4" s="7" t="s">
        <v>232</v>
      </c>
      <c r="O4" s="5" t="s">
        <v>228</v>
      </c>
      <c r="P4" s="5">
        <v>681</v>
      </c>
      <c r="Q4" s="5">
        <v>1236</v>
      </c>
      <c r="R4" s="2">
        <v>0</v>
      </c>
      <c r="S4" s="2">
        <v>0</v>
      </c>
      <c r="T4" s="2">
        <v>0</v>
      </c>
      <c r="U4" s="2">
        <v>0</v>
      </c>
    </row>
    <row r="5" spans="1:21" x14ac:dyDescent="0.2">
      <c r="A5" s="6">
        <v>44569</v>
      </c>
      <c r="B5" s="2" t="s">
        <v>21</v>
      </c>
      <c r="C5" s="2" t="s">
        <v>33</v>
      </c>
      <c r="D5" s="2" t="s">
        <v>23</v>
      </c>
      <c r="E5" s="2" t="s">
        <v>194</v>
      </c>
      <c r="F5" s="2" t="s">
        <v>24</v>
      </c>
      <c r="G5" s="10">
        <v>70000</v>
      </c>
      <c r="H5" s="2" t="s">
        <v>34</v>
      </c>
      <c r="I5" s="2" t="s">
        <v>35</v>
      </c>
      <c r="J5" s="3">
        <v>0.70833333333333337</v>
      </c>
      <c r="K5" s="9">
        <v>0.72291666666666676</v>
      </c>
      <c r="L5" s="3">
        <v>0.53472222222222221</v>
      </c>
      <c r="M5" s="4">
        <v>0.55972222222222223</v>
      </c>
      <c r="N5" s="7" t="s">
        <v>230</v>
      </c>
      <c r="O5" s="5" t="s">
        <v>227</v>
      </c>
      <c r="P5" s="2">
        <v>444</v>
      </c>
      <c r="Q5" s="5">
        <v>1246</v>
      </c>
      <c r="R5" s="2">
        <v>0</v>
      </c>
      <c r="S5" s="2">
        <v>0</v>
      </c>
      <c r="T5" s="2">
        <v>0</v>
      </c>
      <c r="U5" s="2">
        <v>0</v>
      </c>
    </row>
    <row r="6" spans="1:21" x14ac:dyDescent="0.2">
      <c r="A6" s="6">
        <v>44569</v>
      </c>
      <c r="B6" s="2" t="s">
        <v>21</v>
      </c>
      <c r="C6" s="7" t="s">
        <v>36</v>
      </c>
      <c r="D6" s="7" t="s">
        <v>23</v>
      </c>
      <c r="E6" s="2" t="s">
        <v>45</v>
      </c>
      <c r="F6" s="7" t="s">
        <v>24</v>
      </c>
      <c r="G6" s="10">
        <v>70000</v>
      </c>
      <c r="H6" s="7" t="s">
        <v>37</v>
      </c>
      <c r="I6" s="7" t="s">
        <v>38</v>
      </c>
      <c r="J6" s="8">
        <v>0.95138888888888884</v>
      </c>
      <c r="K6" s="9">
        <v>0.96250000000000002</v>
      </c>
      <c r="L6" s="8">
        <v>0.71875</v>
      </c>
      <c r="M6" s="9">
        <v>0.73402777777777783</v>
      </c>
      <c r="N6" s="7" t="s">
        <v>222</v>
      </c>
      <c r="O6" s="7" t="s">
        <v>233</v>
      </c>
      <c r="P6" s="7">
        <v>227</v>
      </c>
      <c r="Q6" s="5">
        <v>1216</v>
      </c>
      <c r="R6" s="7">
        <v>0</v>
      </c>
      <c r="S6" s="7">
        <v>0</v>
      </c>
      <c r="T6" s="7">
        <v>0</v>
      </c>
      <c r="U6" s="7">
        <v>0</v>
      </c>
    </row>
    <row r="7" spans="1:21" x14ac:dyDescent="0.2">
      <c r="A7" s="6">
        <v>44569</v>
      </c>
      <c r="B7" s="13" t="s">
        <v>21</v>
      </c>
      <c r="C7" s="13" t="s">
        <v>39</v>
      </c>
      <c r="D7" s="13" t="s">
        <v>23</v>
      </c>
      <c r="E7" s="13" t="s">
        <v>194</v>
      </c>
      <c r="F7" s="13" t="s">
        <v>24</v>
      </c>
      <c r="G7" s="11">
        <v>70000</v>
      </c>
      <c r="H7" s="13" t="s">
        <v>40</v>
      </c>
      <c r="I7" s="13" t="s">
        <v>41</v>
      </c>
      <c r="J7" s="14">
        <v>0.94791666666666663</v>
      </c>
      <c r="K7" s="12">
        <v>0.97152777777777777</v>
      </c>
      <c r="L7" s="14">
        <v>0.72916666666666663</v>
      </c>
      <c r="M7" s="12">
        <v>0.76666666666666661</v>
      </c>
      <c r="N7" s="13" t="s">
        <v>81</v>
      </c>
      <c r="O7" s="13" t="s">
        <v>234</v>
      </c>
      <c r="P7" s="13">
        <v>164</v>
      </c>
      <c r="Q7" s="13">
        <v>844</v>
      </c>
      <c r="R7" s="13">
        <v>0</v>
      </c>
      <c r="S7" s="13">
        <v>0</v>
      </c>
      <c r="T7" s="13">
        <v>0</v>
      </c>
      <c r="U7" s="13">
        <v>0</v>
      </c>
    </row>
    <row r="8" spans="1:21" x14ac:dyDescent="0.2">
      <c r="A8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N4" sqref="N4"/>
    </sheetView>
  </sheetViews>
  <sheetFormatPr defaultRowHeight="15" x14ac:dyDescent="0.25"/>
  <cols>
    <col min="1" max="2" width="10.28515625" bestFit="1" customWidth="1"/>
    <col min="3" max="3" width="14.140625" bestFit="1" customWidth="1"/>
    <col min="4" max="4" width="8" customWidth="1"/>
    <col min="6" max="6" width="19.5703125" customWidth="1"/>
    <col min="7" max="7" width="9.28515625" customWidth="1"/>
    <col min="8" max="9" width="9.7109375" bestFit="1" customWidth="1"/>
    <col min="10" max="10" width="9" customWidth="1"/>
    <col min="11" max="11" width="8.42578125" customWidth="1"/>
    <col min="12" max="12" width="9.140625" customWidth="1"/>
    <col min="13" max="13" width="8.28515625" customWidth="1"/>
    <col min="14" max="14" width="11.85546875" customWidth="1"/>
    <col min="15" max="15" width="11.42578125" customWidth="1"/>
    <col min="16" max="16" width="8.42578125" customWidth="1"/>
    <col min="17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44570</v>
      </c>
      <c r="B2" s="16" t="s">
        <v>21</v>
      </c>
      <c r="C2" s="16" t="s">
        <v>83</v>
      </c>
      <c r="D2" s="16" t="s">
        <v>23</v>
      </c>
      <c r="E2" s="16" t="s">
        <v>45</v>
      </c>
      <c r="F2" s="16" t="s">
        <v>24</v>
      </c>
      <c r="G2" s="16">
        <v>70000</v>
      </c>
      <c r="H2" s="16" t="s">
        <v>84</v>
      </c>
      <c r="I2" s="16" t="s">
        <v>85</v>
      </c>
      <c r="J2" s="17">
        <v>0.51388888888888895</v>
      </c>
      <c r="K2" s="15">
        <v>0.51250000000000007</v>
      </c>
      <c r="L2" s="17">
        <v>0.30555555555555552</v>
      </c>
      <c r="M2" s="15">
        <v>0.32847222222222222</v>
      </c>
      <c r="N2" s="16" t="s">
        <v>238</v>
      </c>
      <c r="O2" s="16" t="s">
        <v>188</v>
      </c>
      <c r="P2" s="16">
        <v>374</v>
      </c>
      <c r="Q2" s="16">
        <v>1339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>
        <v>44570</v>
      </c>
      <c r="B3" s="16" t="s">
        <v>21</v>
      </c>
      <c r="C3" s="16" t="s">
        <v>89</v>
      </c>
      <c r="D3" s="16" t="s">
        <v>23</v>
      </c>
      <c r="E3" s="16" t="s">
        <v>194</v>
      </c>
      <c r="F3" s="16" t="s">
        <v>24</v>
      </c>
      <c r="G3" s="16">
        <v>70000</v>
      </c>
      <c r="H3" s="16" t="s">
        <v>90</v>
      </c>
      <c r="I3" s="16" t="s">
        <v>91</v>
      </c>
      <c r="J3" s="17">
        <v>0.69097222222222221</v>
      </c>
      <c r="K3" s="15">
        <v>0.68680555555555556</v>
      </c>
      <c r="L3" s="17">
        <v>0.57291666666666663</v>
      </c>
      <c r="M3" s="15">
        <v>0.57291666666666663</v>
      </c>
      <c r="N3" s="16" t="s">
        <v>241</v>
      </c>
      <c r="O3" s="16" t="s">
        <v>240</v>
      </c>
      <c r="P3" s="16">
        <v>323</v>
      </c>
      <c r="Q3" s="16">
        <v>1017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8">
        <v>44570</v>
      </c>
      <c r="B4" s="16" t="s">
        <v>21</v>
      </c>
      <c r="C4" s="16" t="s">
        <v>92</v>
      </c>
      <c r="D4" s="16" t="s">
        <v>23</v>
      </c>
      <c r="E4" s="16" t="s">
        <v>194</v>
      </c>
      <c r="F4" s="16" t="s">
        <v>24</v>
      </c>
      <c r="G4" s="16">
        <v>70000</v>
      </c>
      <c r="H4" s="16" t="s">
        <v>93</v>
      </c>
      <c r="I4" s="16" t="s">
        <v>94</v>
      </c>
      <c r="J4" s="17">
        <v>0.91666666666666663</v>
      </c>
      <c r="K4" s="15">
        <v>0.90694444444444444</v>
      </c>
      <c r="L4" s="17">
        <v>0.71180555555555547</v>
      </c>
      <c r="M4" s="15">
        <v>0.72013888888888899</v>
      </c>
      <c r="N4" s="15" t="s">
        <v>244</v>
      </c>
      <c r="O4" s="16" t="s">
        <v>164</v>
      </c>
      <c r="P4" s="16">
        <v>125</v>
      </c>
      <c r="Q4" s="16">
        <v>1241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8">
        <v>44570</v>
      </c>
      <c r="B5" s="16" t="s">
        <v>21</v>
      </c>
      <c r="C5" s="16" t="s">
        <v>95</v>
      </c>
      <c r="D5" s="16" t="s">
        <v>23</v>
      </c>
      <c r="E5" s="16" t="s">
        <v>210</v>
      </c>
      <c r="F5" s="16" t="s">
        <v>24</v>
      </c>
      <c r="G5" s="16">
        <v>70000</v>
      </c>
      <c r="H5" s="16" t="s">
        <v>96</v>
      </c>
      <c r="I5" s="16" t="s">
        <v>97</v>
      </c>
      <c r="J5" s="17">
        <v>0.95486111111111116</v>
      </c>
      <c r="K5" s="15">
        <v>0.90486111111111101</v>
      </c>
      <c r="L5" s="17">
        <v>0.74652777777777779</v>
      </c>
      <c r="M5" s="15">
        <v>0.75277777777777777</v>
      </c>
      <c r="N5" s="16" t="s">
        <v>245</v>
      </c>
      <c r="O5" s="16" t="s">
        <v>243</v>
      </c>
      <c r="P5" s="16">
        <v>451</v>
      </c>
      <c r="Q5" s="16">
        <v>817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18">
        <v>44570</v>
      </c>
      <c r="B6" s="16" t="s">
        <v>21</v>
      </c>
      <c r="C6" s="16" t="s">
        <v>235</v>
      </c>
      <c r="D6" s="16" t="s">
        <v>23</v>
      </c>
      <c r="E6" s="16" t="s">
        <v>242</v>
      </c>
      <c r="F6" s="16" t="s">
        <v>136</v>
      </c>
      <c r="G6" s="16">
        <v>70000</v>
      </c>
      <c r="H6" s="16" t="s">
        <v>236</v>
      </c>
      <c r="I6" s="16" t="s">
        <v>237</v>
      </c>
      <c r="J6" s="17">
        <v>0.52430555555555558</v>
      </c>
      <c r="K6" s="15">
        <v>0.52430555555555558</v>
      </c>
      <c r="L6" s="17">
        <v>0.54166666666666663</v>
      </c>
      <c r="M6" s="15">
        <v>0.56111111111111112</v>
      </c>
      <c r="N6" s="16" t="s">
        <v>239</v>
      </c>
      <c r="O6" s="16" t="s">
        <v>55</v>
      </c>
      <c r="P6" s="16">
        <v>421</v>
      </c>
      <c r="Q6" s="16" t="s">
        <v>55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25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C36" sqref="C36"/>
    </sheetView>
  </sheetViews>
  <sheetFormatPr defaultRowHeight="15" x14ac:dyDescent="0.25"/>
  <cols>
    <col min="1" max="1" width="11" customWidth="1"/>
    <col min="2" max="2" width="10.42578125" customWidth="1"/>
    <col min="3" max="3" width="13.85546875" customWidth="1"/>
    <col min="4" max="4" width="7.7109375" customWidth="1"/>
    <col min="5" max="5" width="9.28515625" customWidth="1"/>
    <col min="6" max="6" width="14.140625" customWidth="1"/>
    <col min="10" max="10" width="9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44571</v>
      </c>
      <c r="B2" s="16" t="s">
        <v>21</v>
      </c>
      <c r="C2" s="16" t="s">
        <v>86</v>
      </c>
      <c r="D2" s="16" t="s">
        <v>23</v>
      </c>
      <c r="E2" s="16" t="s">
        <v>150</v>
      </c>
      <c r="F2" s="16" t="s">
        <v>24</v>
      </c>
      <c r="G2" s="16">
        <v>70000</v>
      </c>
      <c r="H2" s="16" t="s">
        <v>87</v>
      </c>
      <c r="I2" s="16" t="s">
        <v>88</v>
      </c>
      <c r="J2" s="17">
        <v>0.77083333333333337</v>
      </c>
      <c r="K2" s="15">
        <v>0.76944444444444438</v>
      </c>
      <c r="L2" s="17">
        <v>0.31944444444444448</v>
      </c>
      <c r="M2" s="15">
        <v>0.32013888888888892</v>
      </c>
      <c r="N2" s="16" t="s">
        <v>247</v>
      </c>
      <c r="O2" s="16" t="s">
        <v>246</v>
      </c>
      <c r="P2" s="16">
        <v>861</v>
      </c>
      <c r="Q2" s="16">
        <v>1644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N5" sqref="N5"/>
    </sheetView>
  </sheetViews>
  <sheetFormatPr defaultRowHeight="15" x14ac:dyDescent="0.25"/>
  <cols>
    <col min="1" max="1" width="11" customWidth="1"/>
    <col min="3" max="3" width="12.85546875" customWidth="1"/>
    <col min="4" max="4" width="8" customWidth="1"/>
    <col min="6" max="6" width="25" bestFit="1" customWidth="1"/>
    <col min="7" max="7" width="9.28515625" bestFit="1" customWidth="1"/>
    <col min="10" max="10" width="9.28515625" bestFit="1" customWidth="1"/>
    <col min="11" max="11" width="10.5703125" customWidth="1"/>
    <col min="12" max="12" width="9.28515625" bestFit="1" customWidth="1"/>
    <col min="14" max="14" width="10.28515625" customWidth="1"/>
    <col min="15" max="15" width="9.85546875" customWidth="1"/>
    <col min="16" max="16" width="11.5703125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44572</v>
      </c>
      <c r="B2" s="16" t="s">
        <v>21</v>
      </c>
      <c r="C2" s="16" t="s">
        <v>22</v>
      </c>
      <c r="D2" s="16" t="s">
        <v>23</v>
      </c>
      <c r="E2" s="16" t="s">
        <v>194</v>
      </c>
      <c r="F2" s="16" t="s">
        <v>24</v>
      </c>
      <c r="G2" s="16">
        <v>70000</v>
      </c>
      <c r="H2" s="16" t="s">
        <v>25</v>
      </c>
      <c r="I2" s="16" t="s">
        <v>26</v>
      </c>
      <c r="J2" s="17">
        <v>0.51736111111111105</v>
      </c>
      <c r="K2" s="15">
        <v>0.53125</v>
      </c>
      <c r="L2" s="17">
        <v>0.33333333333333331</v>
      </c>
      <c r="M2" s="15">
        <v>0.35138888888888892</v>
      </c>
      <c r="N2" s="16" t="s">
        <v>163</v>
      </c>
      <c r="O2" s="16" t="s">
        <v>248</v>
      </c>
      <c r="P2" s="16">
        <v>748</v>
      </c>
      <c r="Q2" s="16">
        <v>1100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>
        <v>44572</v>
      </c>
      <c r="B3" s="16" t="s">
        <v>21</v>
      </c>
      <c r="C3" s="16" t="s">
        <v>30</v>
      </c>
      <c r="D3" s="16" t="s">
        <v>23</v>
      </c>
      <c r="E3" s="16" t="s">
        <v>194</v>
      </c>
      <c r="F3" s="16" t="s">
        <v>24</v>
      </c>
      <c r="G3" s="16">
        <v>70000</v>
      </c>
      <c r="H3" s="16" t="s">
        <v>31</v>
      </c>
      <c r="I3" s="16" t="s">
        <v>32</v>
      </c>
      <c r="J3" s="17">
        <v>0.71875</v>
      </c>
      <c r="K3" s="15">
        <v>0.72569444444444453</v>
      </c>
      <c r="L3" s="17">
        <v>0.54513888888888895</v>
      </c>
      <c r="M3" s="15" t="s">
        <v>249</v>
      </c>
      <c r="N3" s="16" t="s">
        <v>260</v>
      </c>
      <c r="O3" s="16" t="s">
        <v>249</v>
      </c>
      <c r="P3" s="16">
        <v>365</v>
      </c>
      <c r="Q3" s="16">
        <v>1172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8">
        <v>44572</v>
      </c>
      <c r="B4" s="16" t="s">
        <v>250</v>
      </c>
      <c r="C4" s="16" t="s">
        <v>251</v>
      </c>
      <c r="D4" s="16" t="s">
        <v>252</v>
      </c>
      <c r="E4" s="16" t="s">
        <v>253</v>
      </c>
      <c r="F4" s="16" t="s">
        <v>67</v>
      </c>
      <c r="G4" s="16">
        <v>8</v>
      </c>
      <c r="H4" s="16" t="s">
        <v>253</v>
      </c>
      <c r="I4" s="16" t="s">
        <v>253</v>
      </c>
      <c r="J4" s="17">
        <v>0.75694444444444453</v>
      </c>
      <c r="K4" s="15">
        <v>0.79166666666666663</v>
      </c>
      <c r="L4" s="17">
        <v>0.79166666666666663</v>
      </c>
      <c r="M4" s="15">
        <v>0.83333333333333337</v>
      </c>
      <c r="N4" s="16">
        <v>3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8"/>
      <c r="B5" s="16"/>
      <c r="C5" s="16"/>
      <c r="D5" s="16"/>
      <c r="E5" s="16"/>
      <c r="F5" s="16"/>
      <c r="G5" s="16"/>
      <c r="H5" s="16"/>
      <c r="I5" s="16"/>
      <c r="J5" s="17"/>
      <c r="K5" s="15"/>
      <c r="L5" s="17"/>
      <c r="M5" s="15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8"/>
      <c r="B6" s="16"/>
      <c r="C6" s="16"/>
      <c r="D6" s="16"/>
      <c r="E6" s="16"/>
      <c r="F6" s="16"/>
      <c r="G6" s="16"/>
      <c r="H6" s="16"/>
      <c r="I6" s="16"/>
      <c r="J6" s="17"/>
      <c r="K6" s="15"/>
      <c r="L6" s="17"/>
      <c r="M6" s="15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8"/>
      <c r="B7" s="16"/>
      <c r="C7" s="16"/>
      <c r="D7" s="16"/>
      <c r="E7" s="16"/>
      <c r="F7" s="16"/>
      <c r="G7" s="16"/>
      <c r="H7" s="16"/>
      <c r="I7" s="16"/>
      <c r="J7" s="17"/>
      <c r="K7" s="15"/>
      <c r="L7" s="17"/>
      <c r="M7" s="15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8"/>
      <c r="B8" s="16"/>
      <c r="C8" s="16"/>
      <c r="D8" s="16"/>
      <c r="E8" s="16"/>
      <c r="F8" s="16"/>
      <c r="G8" s="16"/>
      <c r="H8" s="16"/>
      <c r="I8" s="16"/>
      <c r="J8" s="17"/>
      <c r="K8" s="15"/>
      <c r="L8" s="17"/>
      <c r="M8" s="15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8"/>
      <c r="B9" s="16"/>
      <c r="C9" s="16"/>
      <c r="D9" s="16"/>
      <c r="E9" s="16"/>
      <c r="F9" s="16"/>
      <c r="G9" s="16"/>
      <c r="H9" s="16"/>
      <c r="I9" s="16"/>
      <c r="J9" s="17"/>
      <c r="K9" s="15"/>
      <c r="L9" s="17"/>
      <c r="M9" s="15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8"/>
      <c r="B10" s="16"/>
      <c r="C10" s="16"/>
      <c r="D10" s="16"/>
      <c r="E10" s="16"/>
      <c r="F10" s="16"/>
      <c r="G10" s="16"/>
      <c r="H10" s="16"/>
      <c r="I10" s="16"/>
      <c r="J10" s="17"/>
      <c r="K10" s="15"/>
      <c r="L10" s="17"/>
      <c r="M10" s="15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8"/>
      <c r="B11" s="16"/>
      <c r="C11" s="16"/>
      <c r="D11" s="16"/>
      <c r="E11" s="16"/>
      <c r="F11" s="16"/>
      <c r="G11" s="16"/>
      <c r="H11" s="16"/>
      <c r="I11" s="16"/>
      <c r="J11" s="17"/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6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D10" sqref="D10"/>
    </sheetView>
  </sheetViews>
  <sheetFormatPr defaultRowHeight="15" x14ac:dyDescent="0.25"/>
  <cols>
    <col min="1" max="1" width="11.28515625" bestFit="1" customWidth="1"/>
    <col min="3" max="3" width="13.42578125" customWidth="1"/>
    <col min="6" max="6" width="11.7109375" customWidth="1"/>
    <col min="13" max="13" width="9.85546875" customWidth="1"/>
    <col min="14" max="14" width="10.28515625" customWidth="1"/>
    <col min="15" max="15" width="9.7109375" customWidth="1"/>
    <col min="16" max="16" width="9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44573</v>
      </c>
      <c r="B2" s="16" t="s">
        <v>21</v>
      </c>
      <c r="C2" s="16" t="s">
        <v>92</v>
      </c>
      <c r="D2" s="16" t="s">
        <v>23</v>
      </c>
      <c r="E2" s="16" t="s">
        <v>45</v>
      </c>
      <c r="F2" s="16" t="s">
        <v>24</v>
      </c>
      <c r="G2" s="16">
        <v>70000</v>
      </c>
      <c r="H2" s="16" t="s">
        <v>93</v>
      </c>
      <c r="I2" s="16" t="s">
        <v>94</v>
      </c>
      <c r="J2" s="17">
        <v>0.91666666666666663</v>
      </c>
      <c r="K2" s="15">
        <v>0.9159722222222223</v>
      </c>
      <c r="L2" s="17">
        <v>0.71180555555555547</v>
      </c>
      <c r="M2" s="15">
        <v>0.7270833333333333</v>
      </c>
      <c r="N2" s="16" t="s">
        <v>230</v>
      </c>
      <c r="O2" s="16" t="s">
        <v>254</v>
      </c>
      <c r="P2" s="16">
        <v>442</v>
      </c>
      <c r="Q2" s="16">
        <v>1430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H23" sqref="H23"/>
    </sheetView>
  </sheetViews>
  <sheetFormatPr defaultRowHeight="15" x14ac:dyDescent="0.25"/>
  <cols>
    <col min="1" max="1" width="10.140625" bestFit="1" customWidth="1"/>
    <col min="3" max="3" width="13.5703125" customWidth="1"/>
    <col min="4" max="4" width="8.28515625" customWidth="1"/>
    <col min="6" max="6" width="12.140625" customWidth="1"/>
  </cols>
  <sheetData>
    <row r="1" spans="1:21" s="2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44574</v>
      </c>
      <c r="B2" s="16" t="s">
        <v>21</v>
      </c>
      <c r="C2" s="16" t="s">
        <v>27</v>
      </c>
      <c r="D2" s="16" t="s">
        <v>23</v>
      </c>
      <c r="E2" s="16" t="s">
        <v>45</v>
      </c>
      <c r="F2" s="16" t="s">
        <v>24</v>
      </c>
      <c r="G2" s="24">
        <v>70000</v>
      </c>
      <c r="H2" s="16" t="s">
        <v>28</v>
      </c>
      <c r="I2" s="16" t="s">
        <v>29</v>
      </c>
      <c r="J2" s="17">
        <v>0.51388888888888895</v>
      </c>
      <c r="K2" s="15">
        <v>0.53125</v>
      </c>
      <c r="L2" s="17">
        <v>0.36458333333333331</v>
      </c>
      <c r="M2" s="15">
        <v>0.37777777777777777</v>
      </c>
      <c r="N2" s="16" t="s">
        <v>256</v>
      </c>
      <c r="O2" s="16" t="s">
        <v>255</v>
      </c>
      <c r="P2" s="16">
        <v>539</v>
      </c>
      <c r="Q2" s="16">
        <v>1092</v>
      </c>
      <c r="R2" s="16">
        <v>0</v>
      </c>
      <c r="S2" s="16">
        <v>0</v>
      </c>
      <c r="T2" s="16">
        <v>0</v>
      </c>
      <c r="U2" s="16">
        <v>0</v>
      </c>
    </row>
    <row r="3" spans="1:21" s="23" customFormat="1" x14ac:dyDescent="0.25">
      <c r="A3" s="18">
        <v>44574</v>
      </c>
      <c r="B3" s="16" t="s">
        <v>21</v>
      </c>
      <c r="C3" s="16" t="s">
        <v>33</v>
      </c>
      <c r="D3" s="16" t="s">
        <v>23</v>
      </c>
      <c r="E3" s="16" t="s">
        <v>45</v>
      </c>
      <c r="F3" s="16" t="s">
        <v>24</v>
      </c>
      <c r="G3" s="24">
        <v>70000</v>
      </c>
      <c r="H3" s="16" t="s">
        <v>34</v>
      </c>
      <c r="I3" s="16" t="s">
        <v>35</v>
      </c>
      <c r="J3" s="17">
        <v>0.70833333333333337</v>
      </c>
      <c r="K3" s="15">
        <v>0.72569444444444453</v>
      </c>
      <c r="L3" s="17">
        <v>0.53472222222222221</v>
      </c>
      <c r="M3" s="15">
        <v>0.56458333333333333</v>
      </c>
      <c r="N3" s="16" t="s">
        <v>258</v>
      </c>
      <c r="O3" s="16" t="s">
        <v>257</v>
      </c>
      <c r="P3" s="16">
        <v>549</v>
      </c>
      <c r="Q3" s="16">
        <v>1139</v>
      </c>
      <c r="R3" s="16">
        <v>0</v>
      </c>
      <c r="S3" s="16">
        <v>0</v>
      </c>
      <c r="T3" s="16">
        <v>0</v>
      </c>
      <c r="U3" s="1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D14" sqref="D14"/>
    </sheetView>
  </sheetViews>
  <sheetFormatPr defaultRowHeight="15" x14ac:dyDescent="0.25"/>
  <cols>
    <col min="1" max="1" width="11.28515625" bestFit="1" customWidth="1"/>
    <col min="3" max="3" width="13.42578125" customWidth="1"/>
    <col min="4" max="4" width="8" customWidth="1"/>
    <col min="6" max="6" width="11.85546875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44575</v>
      </c>
      <c r="B2" s="16" t="s">
        <v>21</v>
      </c>
      <c r="C2" s="16" t="s">
        <v>86</v>
      </c>
      <c r="D2" s="16" t="s">
        <v>23</v>
      </c>
      <c r="E2" s="16" t="s">
        <v>194</v>
      </c>
      <c r="F2" s="16" t="s">
        <v>24</v>
      </c>
      <c r="G2" s="16">
        <v>70000</v>
      </c>
      <c r="H2" s="16" t="s">
        <v>87</v>
      </c>
      <c r="I2" s="16" t="s">
        <v>88</v>
      </c>
      <c r="J2" s="17">
        <v>0.77083333333333337</v>
      </c>
      <c r="K2" s="15">
        <v>0.75694444444444453</v>
      </c>
      <c r="L2" s="17">
        <v>0.31944444444444448</v>
      </c>
      <c r="M2" s="15">
        <v>0.32083333333333336</v>
      </c>
      <c r="N2" s="16" t="s">
        <v>261</v>
      </c>
      <c r="O2" s="16" t="s">
        <v>259</v>
      </c>
      <c r="P2" s="16">
        <v>843</v>
      </c>
      <c r="Q2" s="16">
        <v>1048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E1" workbookViewId="0">
      <selection activeCell="B3" sqref="B3:U3"/>
    </sheetView>
  </sheetViews>
  <sheetFormatPr defaultRowHeight="15" x14ac:dyDescent="0.25"/>
  <cols>
    <col min="1" max="1" width="12.42578125" customWidth="1"/>
    <col min="3" max="3" width="14.140625" customWidth="1"/>
    <col min="4" max="4" width="8.42578125" customWidth="1"/>
    <col min="6" max="6" width="11.42578125" customWidth="1"/>
    <col min="7" max="7" width="9.28515625" bestFit="1" customWidth="1"/>
    <col min="10" max="13" width="9.28515625" bestFit="1" customWidth="1"/>
    <col min="16" max="16" width="11.7109375" bestFit="1" customWidth="1"/>
    <col min="17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44576</v>
      </c>
      <c r="B2" s="16" t="s">
        <v>21</v>
      </c>
      <c r="C2" s="16" t="s">
        <v>22</v>
      </c>
      <c r="D2" s="16" t="s">
        <v>23</v>
      </c>
      <c r="E2" s="16" t="s">
        <v>210</v>
      </c>
      <c r="F2" s="16" t="s">
        <v>24</v>
      </c>
      <c r="G2" s="16">
        <v>70000</v>
      </c>
      <c r="H2" s="16" t="s">
        <v>25</v>
      </c>
      <c r="I2" s="16" t="s">
        <v>26</v>
      </c>
      <c r="J2" s="17">
        <v>0.51736111111111105</v>
      </c>
      <c r="K2" s="15">
        <v>0.52777777777777779</v>
      </c>
      <c r="L2" s="17">
        <v>0.33333333333333331</v>
      </c>
      <c r="M2" s="15">
        <v>0.34236111111111112</v>
      </c>
      <c r="N2" s="16" t="s">
        <v>263</v>
      </c>
      <c r="O2" s="16" t="s">
        <v>262</v>
      </c>
      <c r="P2" s="16">
        <v>976</v>
      </c>
      <c r="Q2" s="16">
        <v>877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>
        <v>44576</v>
      </c>
      <c r="B3" s="2" t="s">
        <v>21</v>
      </c>
      <c r="C3" s="2" t="s">
        <v>30</v>
      </c>
      <c r="D3" s="2" t="s">
        <v>23</v>
      </c>
      <c r="E3" s="2" t="s">
        <v>210</v>
      </c>
      <c r="F3" s="2" t="s">
        <v>24</v>
      </c>
      <c r="G3" s="10">
        <v>70000</v>
      </c>
      <c r="H3" s="2" t="s">
        <v>31</v>
      </c>
      <c r="I3" s="2" t="s">
        <v>32</v>
      </c>
      <c r="J3" s="3">
        <v>0.71875</v>
      </c>
      <c r="K3" s="9">
        <v>0.72916666666666663</v>
      </c>
      <c r="L3" s="3">
        <v>0.54513888888888895</v>
      </c>
      <c r="M3" s="4">
        <v>0.55902777777777779</v>
      </c>
      <c r="N3" s="7" t="s">
        <v>265</v>
      </c>
      <c r="O3" s="5" t="s">
        <v>264</v>
      </c>
      <c r="P3" s="5">
        <v>756</v>
      </c>
      <c r="Q3" s="5">
        <v>1006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8">
        <v>44576</v>
      </c>
      <c r="B4" s="16" t="s">
        <v>21</v>
      </c>
      <c r="C4" s="16" t="s">
        <v>138</v>
      </c>
      <c r="D4" s="16" t="s">
        <v>23</v>
      </c>
      <c r="E4" s="16" t="s">
        <v>210</v>
      </c>
      <c r="F4" s="16" t="s">
        <v>24</v>
      </c>
      <c r="G4" s="24">
        <v>70000</v>
      </c>
      <c r="H4" s="16" t="s">
        <v>139</v>
      </c>
      <c r="I4" s="16" t="s">
        <v>140</v>
      </c>
      <c r="J4" s="17">
        <v>0.9375</v>
      </c>
      <c r="K4" s="15" t="s">
        <v>267</v>
      </c>
      <c r="L4" s="17">
        <v>0.75</v>
      </c>
      <c r="M4" s="15">
        <v>0.77430555555555547</v>
      </c>
      <c r="N4" s="16" t="s">
        <v>268</v>
      </c>
      <c r="O4" s="16" t="s">
        <v>266</v>
      </c>
      <c r="P4" s="16" t="s">
        <v>268</v>
      </c>
      <c r="Q4" s="16">
        <v>1219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G12" sqref="G12"/>
    </sheetView>
  </sheetViews>
  <sheetFormatPr defaultRowHeight="15.75" customHeight="1" x14ac:dyDescent="0.25"/>
  <cols>
    <col min="1" max="1" width="10.140625" style="16" bestFit="1" customWidth="1"/>
    <col min="2" max="2" width="9.140625" style="16"/>
    <col min="3" max="3" width="13.5703125" style="16" customWidth="1"/>
    <col min="4" max="4" width="8.28515625" style="16" customWidth="1"/>
    <col min="5" max="5" width="9.140625" style="16"/>
    <col min="6" max="6" width="12.140625" style="16" customWidth="1"/>
    <col min="7" max="16384" width="9.140625" style="16"/>
  </cols>
  <sheetData>
    <row r="1" spans="1:21" s="20" customFormat="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25">
      <c r="A2" s="18">
        <v>44577</v>
      </c>
      <c r="B2" s="16" t="s">
        <v>21</v>
      </c>
      <c r="C2" s="16" t="s">
        <v>27</v>
      </c>
      <c r="D2" s="16" t="s">
        <v>23</v>
      </c>
      <c r="E2" s="16" t="s">
        <v>194</v>
      </c>
      <c r="F2" s="16" t="s">
        <v>24</v>
      </c>
      <c r="G2" s="24">
        <v>70000</v>
      </c>
      <c r="H2" s="16" t="s">
        <v>28</v>
      </c>
      <c r="I2" s="16" t="s">
        <v>29</v>
      </c>
      <c r="J2" s="17">
        <v>0.4826388888888889</v>
      </c>
      <c r="K2" s="15">
        <v>0.50486111111111109</v>
      </c>
      <c r="L2" s="17">
        <v>0.33333333333333331</v>
      </c>
      <c r="M2" s="15">
        <v>0.36736111111111108</v>
      </c>
      <c r="N2" s="16" t="s">
        <v>270</v>
      </c>
      <c r="O2" s="16" t="s">
        <v>269</v>
      </c>
      <c r="P2" s="16">
        <v>813</v>
      </c>
      <c r="Q2" s="16">
        <v>992</v>
      </c>
      <c r="R2" s="16">
        <v>0</v>
      </c>
      <c r="S2" s="16">
        <v>0</v>
      </c>
      <c r="T2" s="16">
        <v>0</v>
      </c>
      <c r="U2" s="16">
        <v>0</v>
      </c>
    </row>
    <row r="3" spans="1:21" ht="15.75" customHeight="1" x14ac:dyDescent="0.25">
      <c r="A3" s="18">
        <v>44577</v>
      </c>
      <c r="B3" s="16" t="s">
        <v>21</v>
      </c>
      <c r="C3" s="16" t="s">
        <v>33</v>
      </c>
      <c r="D3" s="16" t="s">
        <v>23</v>
      </c>
      <c r="E3" s="16" t="s">
        <v>194</v>
      </c>
      <c r="F3" s="16" t="s">
        <v>24</v>
      </c>
      <c r="G3" s="24">
        <v>70000</v>
      </c>
      <c r="H3" s="16" t="s">
        <v>34</v>
      </c>
      <c r="I3" s="16" t="s">
        <v>35</v>
      </c>
      <c r="J3" s="17">
        <v>0.67708333333333337</v>
      </c>
      <c r="K3" s="15">
        <v>0.70138888888888884</v>
      </c>
      <c r="L3" s="17">
        <v>0.50347222222222221</v>
      </c>
      <c r="M3" s="15">
        <v>0.5395833333333333</v>
      </c>
      <c r="N3" s="16" t="s">
        <v>274</v>
      </c>
      <c r="O3" s="16" t="s">
        <v>213</v>
      </c>
      <c r="P3" s="16">
        <v>715</v>
      </c>
      <c r="Q3" s="16">
        <v>923</v>
      </c>
      <c r="R3" s="16">
        <v>0</v>
      </c>
      <c r="S3" s="16">
        <v>0</v>
      </c>
      <c r="T3" s="16">
        <v>0</v>
      </c>
      <c r="U3" s="16">
        <v>0</v>
      </c>
    </row>
    <row r="4" spans="1:21" ht="15.75" customHeight="1" x14ac:dyDescent="0.25">
      <c r="A4" s="18">
        <v>44577</v>
      </c>
      <c r="B4" s="16" t="s">
        <v>21</v>
      </c>
      <c r="C4" s="16" t="s">
        <v>92</v>
      </c>
      <c r="D4" s="16" t="s">
        <v>23</v>
      </c>
      <c r="E4" s="16" t="s">
        <v>45</v>
      </c>
      <c r="F4" s="16" t="s">
        <v>24</v>
      </c>
      <c r="G4" s="24">
        <v>70000</v>
      </c>
      <c r="H4" s="16" t="s">
        <v>93</v>
      </c>
      <c r="I4" s="16" t="s">
        <v>94</v>
      </c>
      <c r="J4" s="17">
        <v>0.91666666666666663</v>
      </c>
      <c r="K4" s="15">
        <v>0.90416666666666667</v>
      </c>
      <c r="L4" s="17">
        <v>0.71180555555555547</v>
      </c>
      <c r="M4" s="15">
        <v>0.71944444444444444</v>
      </c>
      <c r="N4" s="16" t="s">
        <v>275</v>
      </c>
      <c r="O4" s="16" t="s">
        <v>248</v>
      </c>
      <c r="P4" s="16">
        <v>459</v>
      </c>
      <c r="Q4" s="16">
        <v>1356</v>
      </c>
      <c r="R4" s="16">
        <v>0</v>
      </c>
      <c r="S4" s="16">
        <v>0</v>
      </c>
      <c r="T4" s="16">
        <v>0</v>
      </c>
      <c r="U4" s="16">
        <v>0</v>
      </c>
    </row>
    <row r="5" spans="1:21" ht="15.75" customHeight="1" x14ac:dyDescent="0.25">
      <c r="A5" s="18">
        <v>44577</v>
      </c>
      <c r="B5" s="16" t="s">
        <v>21</v>
      </c>
      <c r="C5" s="16" t="s">
        <v>271</v>
      </c>
      <c r="D5" s="16" t="s">
        <v>23</v>
      </c>
      <c r="E5" s="16" t="s">
        <v>194</v>
      </c>
      <c r="F5" s="16" t="s">
        <v>272</v>
      </c>
      <c r="G5" s="24">
        <v>70000</v>
      </c>
      <c r="H5" s="16" t="s">
        <v>55</v>
      </c>
      <c r="I5" s="16" t="s">
        <v>273</v>
      </c>
      <c r="J5" s="16" t="s">
        <v>55</v>
      </c>
      <c r="K5" s="16" t="s">
        <v>55</v>
      </c>
      <c r="L5" s="17">
        <v>0.70138888888888884</v>
      </c>
      <c r="M5" s="15">
        <v>0.73611111111111116</v>
      </c>
      <c r="N5" s="16" t="s">
        <v>55</v>
      </c>
      <c r="O5" s="16" t="s">
        <v>55</v>
      </c>
      <c r="P5" s="16" t="s">
        <v>55</v>
      </c>
      <c r="Q5" s="16" t="s">
        <v>55</v>
      </c>
      <c r="R5" s="16">
        <v>0</v>
      </c>
      <c r="S5" s="16">
        <v>0</v>
      </c>
      <c r="T5" s="16">
        <v>0</v>
      </c>
      <c r="U5" s="1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I11" sqref="I11"/>
    </sheetView>
  </sheetViews>
  <sheetFormatPr defaultRowHeight="15" x14ac:dyDescent="0.25"/>
  <cols>
    <col min="1" max="1" width="11" customWidth="1"/>
    <col min="2" max="2" width="10.42578125" customWidth="1"/>
    <col min="3" max="3" width="13.85546875" customWidth="1"/>
    <col min="4" max="4" width="7.7109375" customWidth="1"/>
    <col min="5" max="5" width="9.28515625" customWidth="1"/>
    <col min="6" max="6" width="14.140625" customWidth="1"/>
    <col min="10" max="10" width="9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44578</v>
      </c>
      <c r="B2" s="16" t="s">
        <v>21</v>
      </c>
      <c r="C2" s="16" t="s">
        <v>86</v>
      </c>
      <c r="D2" s="16" t="s">
        <v>23</v>
      </c>
      <c r="E2" s="16" t="s">
        <v>150</v>
      </c>
      <c r="F2" s="16" t="s">
        <v>24</v>
      </c>
      <c r="G2" s="16">
        <v>70000</v>
      </c>
      <c r="H2" s="16" t="s">
        <v>87</v>
      </c>
      <c r="I2" s="16" t="s">
        <v>88</v>
      </c>
      <c r="J2" s="17">
        <v>0.77083333333333337</v>
      </c>
      <c r="K2" s="15">
        <v>0.76180555555555562</v>
      </c>
      <c r="L2" s="17">
        <v>0.31944444444444448</v>
      </c>
      <c r="M2" s="15">
        <v>0.32777777777777778</v>
      </c>
      <c r="N2" s="16" t="s">
        <v>277</v>
      </c>
      <c r="O2" s="16" t="s">
        <v>276</v>
      </c>
      <c r="P2" s="16">
        <v>865</v>
      </c>
      <c r="Q2" s="16">
        <v>1174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E12" sqref="E12"/>
    </sheetView>
  </sheetViews>
  <sheetFormatPr defaultRowHeight="15" x14ac:dyDescent="0.25"/>
  <cols>
    <col min="1" max="1" width="11" customWidth="1"/>
    <col min="3" max="3" width="12.85546875" customWidth="1"/>
    <col min="4" max="4" width="8" customWidth="1"/>
    <col min="6" max="6" width="13" customWidth="1"/>
    <col min="7" max="7" width="9.28515625" bestFit="1" customWidth="1"/>
    <col min="10" max="10" width="9.28515625" bestFit="1" customWidth="1"/>
    <col min="11" max="11" width="10.5703125" customWidth="1"/>
    <col min="12" max="12" width="9.28515625" bestFit="1" customWidth="1"/>
    <col min="14" max="14" width="10.28515625" customWidth="1"/>
    <col min="15" max="15" width="9.85546875" customWidth="1"/>
    <col min="16" max="16" width="11.5703125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44579</v>
      </c>
      <c r="B2" s="16" t="s">
        <v>21</v>
      </c>
      <c r="C2" s="16" t="s">
        <v>22</v>
      </c>
      <c r="D2" s="16" t="s">
        <v>23</v>
      </c>
      <c r="E2" s="16" t="s">
        <v>45</v>
      </c>
      <c r="F2" s="16" t="s">
        <v>24</v>
      </c>
      <c r="G2" s="16">
        <v>70000</v>
      </c>
      <c r="H2" s="16" t="s">
        <v>25</v>
      </c>
      <c r="I2" s="16" t="s">
        <v>26</v>
      </c>
      <c r="J2" s="17">
        <v>0.51736111111111105</v>
      </c>
      <c r="K2" s="15">
        <v>0.55833333333333335</v>
      </c>
      <c r="L2" s="17">
        <v>0.33333333333333331</v>
      </c>
      <c r="M2" s="15">
        <v>0.35347222222222219</v>
      </c>
      <c r="N2" s="16" t="s">
        <v>279</v>
      </c>
      <c r="O2" s="16" t="s">
        <v>278</v>
      </c>
      <c r="P2" s="16">
        <v>638</v>
      </c>
      <c r="Q2" s="16">
        <v>1065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>
        <v>44579</v>
      </c>
      <c r="B3" s="16" t="s">
        <v>21</v>
      </c>
      <c r="C3" s="16" t="s">
        <v>30</v>
      </c>
      <c r="D3" s="16" t="s">
        <v>23</v>
      </c>
      <c r="E3" s="16" t="s">
        <v>45</v>
      </c>
      <c r="F3" s="16" t="s">
        <v>24</v>
      </c>
      <c r="G3" s="16">
        <v>70000</v>
      </c>
      <c r="H3" s="16" t="s">
        <v>31</v>
      </c>
      <c r="I3" s="16" t="s">
        <v>32</v>
      </c>
      <c r="J3" s="17">
        <v>0.71875</v>
      </c>
      <c r="K3" s="15">
        <v>0.74097222222222225</v>
      </c>
      <c r="L3" s="17">
        <v>0.54513888888888895</v>
      </c>
      <c r="M3" s="15">
        <v>0.58958333333333335</v>
      </c>
      <c r="N3" s="16" t="s">
        <v>281</v>
      </c>
      <c r="O3" s="16" t="s">
        <v>280</v>
      </c>
      <c r="P3" s="16">
        <v>326</v>
      </c>
      <c r="Q3" s="16">
        <v>853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8"/>
      <c r="B4" s="16"/>
      <c r="C4" s="16"/>
      <c r="D4" s="16"/>
      <c r="E4" s="16"/>
      <c r="F4" s="16"/>
      <c r="G4" s="16"/>
      <c r="H4" s="16"/>
      <c r="I4" s="16"/>
      <c r="J4" s="17"/>
      <c r="K4" s="15"/>
      <c r="L4" s="17"/>
      <c r="M4" s="15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8"/>
      <c r="B5" s="16"/>
      <c r="C5" s="16"/>
      <c r="D5" s="16"/>
      <c r="E5" s="16"/>
      <c r="F5" s="16"/>
      <c r="G5" s="16"/>
      <c r="H5" s="16"/>
      <c r="I5" s="16"/>
      <c r="J5" s="17"/>
      <c r="K5" s="15"/>
      <c r="L5" s="17"/>
      <c r="M5" s="15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8"/>
      <c r="B6" s="16"/>
      <c r="C6" s="16"/>
      <c r="D6" s="16"/>
      <c r="E6" s="16"/>
      <c r="F6" s="16"/>
      <c r="G6" s="16"/>
      <c r="H6" s="16"/>
      <c r="I6" s="16"/>
      <c r="J6" s="17"/>
      <c r="K6" s="15"/>
      <c r="L6" s="17"/>
      <c r="M6" s="15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8"/>
      <c r="B7" s="16"/>
      <c r="C7" s="16"/>
      <c r="D7" s="16"/>
      <c r="E7" s="16"/>
      <c r="F7" s="16"/>
      <c r="G7" s="16"/>
      <c r="H7" s="16"/>
      <c r="I7" s="16"/>
      <c r="J7" s="17"/>
      <c r="K7" s="15"/>
      <c r="L7" s="17"/>
      <c r="M7" s="15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8"/>
      <c r="B8" s="16"/>
      <c r="C8" s="16"/>
      <c r="D8" s="16"/>
      <c r="E8" s="16"/>
      <c r="F8" s="16"/>
      <c r="G8" s="16"/>
      <c r="H8" s="16"/>
      <c r="I8" s="16"/>
      <c r="J8" s="17"/>
      <c r="K8" s="15"/>
      <c r="L8" s="17"/>
      <c r="M8" s="15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8"/>
      <c r="B9" s="16"/>
      <c r="C9" s="16"/>
      <c r="D9" s="16"/>
      <c r="E9" s="16"/>
      <c r="F9" s="16"/>
      <c r="G9" s="16"/>
      <c r="H9" s="16"/>
      <c r="I9" s="16"/>
      <c r="J9" s="17"/>
      <c r="K9" s="15"/>
      <c r="L9" s="17"/>
      <c r="M9" s="15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8"/>
      <c r="B10" s="16"/>
      <c r="C10" s="16"/>
      <c r="D10" s="16"/>
      <c r="E10" s="16"/>
      <c r="F10" s="16"/>
      <c r="G10" s="16"/>
      <c r="H10" s="16"/>
      <c r="I10" s="16"/>
      <c r="J10" s="17"/>
      <c r="K10" s="15"/>
      <c r="L10" s="17"/>
      <c r="M10" s="15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8"/>
      <c r="B11" s="16"/>
      <c r="C11" s="16"/>
      <c r="D11" s="16"/>
      <c r="E11" s="16"/>
      <c r="F11" s="16"/>
      <c r="G11" s="16"/>
      <c r="H11" s="16"/>
      <c r="I11" s="16"/>
      <c r="J11" s="17"/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6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E12" sqref="E12"/>
    </sheetView>
  </sheetViews>
  <sheetFormatPr defaultRowHeight="15" x14ac:dyDescent="0.25"/>
  <cols>
    <col min="1" max="1" width="11" customWidth="1"/>
    <col min="2" max="2" width="21.85546875" bestFit="1" customWidth="1"/>
    <col min="3" max="3" width="12.85546875" customWidth="1"/>
    <col min="4" max="4" width="8" customWidth="1"/>
    <col min="6" max="6" width="32" bestFit="1" customWidth="1"/>
    <col min="7" max="7" width="9.28515625" bestFit="1" customWidth="1"/>
    <col min="10" max="10" width="9.28515625" bestFit="1" customWidth="1"/>
    <col min="11" max="11" width="10.5703125" customWidth="1"/>
    <col min="12" max="12" width="9.28515625" bestFit="1" customWidth="1"/>
    <col min="14" max="14" width="10.28515625" customWidth="1"/>
    <col min="15" max="15" width="18.42578125" bestFit="1" customWidth="1"/>
    <col min="16" max="16" width="11.5703125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44580</v>
      </c>
      <c r="B2" s="16" t="s">
        <v>282</v>
      </c>
      <c r="C2" s="16" t="s">
        <v>283</v>
      </c>
      <c r="D2" s="16" t="s">
        <v>284</v>
      </c>
      <c r="E2" s="16" t="s">
        <v>285</v>
      </c>
      <c r="F2" s="16" t="s">
        <v>286</v>
      </c>
      <c r="G2" s="16">
        <v>21863</v>
      </c>
      <c r="H2" s="16" t="s">
        <v>287</v>
      </c>
      <c r="I2" s="16" t="s">
        <v>288</v>
      </c>
      <c r="J2" s="17">
        <v>0.4513888888888889</v>
      </c>
      <c r="K2" s="15">
        <v>0.4375</v>
      </c>
      <c r="L2" s="17">
        <v>0.52083333333333337</v>
      </c>
      <c r="M2" s="15">
        <v>0.47916666666666669</v>
      </c>
      <c r="N2" s="16">
        <v>0</v>
      </c>
      <c r="O2" s="16">
        <v>2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/>
      <c r="B3" s="16"/>
      <c r="C3" s="16"/>
      <c r="D3" s="16"/>
      <c r="E3" s="16"/>
      <c r="F3" s="16"/>
      <c r="G3" s="16"/>
      <c r="H3" s="16"/>
      <c r="I3" s="16"/>
      <c r="J3" s="17"/>
      <c r="K3" s="15"/>
      <c r="L3" s="17"/>
      <c r="M3" s="15"/>
      <c r="N3" s="16"/>
      <c r="O3" s="16"/>
      <c r="P3" s="16"/>
      <c r="Q3" s="16"/>
      <c r="R3" s="16"/>
      <c r="S3" s="16"/>
      <c r="T3" s="16"/>
      <c r="U3" s="16"/>
    </row>
    <row r="4" spans="1:21" x14ac:dyDescent="0.25">
      <c r="A4" s="18"/>
      <c r="B4" s="16"/>
      <c r="C4" s="16"/>
      <c r="D4" s="16"/>
      <c r="E4" s="16"/>
      <c r="F4" s="16"/>
      <c r="G4" s="16"/>
      <c r="H4" s="16"/>
      <c r="I4" s="16"/>
      <c r="J4" s="17"/>
      <c r="K4" s="15"/>
      <c r="L4" s="17"/>
      <c r="M4" s="15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8"/>
      <c r="B5" s="16"/>
      <c r="C5" s="16"/>
      <c r="D5" s="16"/>
      <c r="E5" s="16"/>
      <c r="F5" s="16"/>
      <c r="G5" s="16"/>
      <c r="H5" s="16"/>
      <c r="I5" s="16"/>
      <c r="J5" s="17"/>
      <c r="K5" s="15"/>
      <c r="L5" s="17"/>
      <c r="M5" s="15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8"/>
      <c r="B6" s="16"/>
      <c r="C6" s="16"/>
      <c r="D6" s="16"/>
      <c r="E6" s="16"/>
      <c r="F6" s="16"/>
      <c r="G6" s="16"/>
      <c r="H6" s="16"/>
      <c r="I6" s="16"/>
      <c r="J6" s="17"/>
      <c r="K6" s="15"/>
      <c r="L6" s="17"/>
      <c r="M6" s="15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8"/>
      <c r="B7" s="16"/>
      <c r="C7" s="16"/>
      <c r="D7" s="16"/>
      <c r="E7" s="16"/>
      <c r="F7" s="16"/>
      <c r="G7" s="16"/>
      <c r="H7" s="16"/>
      <c r="I7" s="16"/>
      <c r="J7" s="17"/>
      <c r="K7" s="15"/>
      <c r="L7" s="17"/>
      <c r="M7" s="15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8"/>
      <c r="B8" s="16"/>
      <c r="C8" s="16"/>
      <c r="D8" s="16"/>
      <c r="E8" s="16"/>
      <c r="F8" s="16"/>
      <c r="G8" s="16"/>
      <c r="H8" s="16"/>
      <c r="I8" s="16"/>
      <c r="J8" s="17"/>
      <c r="K8" s="15"/>
      <c r="L8" s="17"/>
      <c r="M8" s="15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8"/>
      <c r="B9" s="16"/>
      <c r="C9" s="16"/>
      <c r="D9" s="16"/>
      <c r="E9" s="16"/>
      <c r="F9" s="16"/>
      <c r="G9" s="16"/>
      <c r="H9" s="16"/>
      <c r="I9" s="16"/>
      <c r="J9" s="17"/>
      <c r="K9" s="15"/>
      <c r="L9" s="17"/>
      <c r="M9" s="15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8"/>
      <c r="B10" s="16"/>
      <c r="C10" s="16"/>
      <c r="D10" s="16"/>
      <c r="E10" s="16"/>
      <c r="F10" s="16"/>
      <c r="G10" s="16"/>
      <c r="H10" s="16"/>
      <c r="I10" s="16"/>
      <c r="J10" s="17"/>
      <c r="K10" s="15"/>
      <c r="L10" s="17"/>
      <c r="M10" s="15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8"/>
      <c r="B11" s="16"/>
      <c r="C11" s="16"/>
      <c r="D11" s="16"/>
      <c r="E11" s="16"/>
      <c r="F11" s="16"/>
      <c r="G11" s="16"/>
      <c r="H11" s="16"/>
      <c r="I11" s="16"/>
      <c r="J11" s="17"/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6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G20" sqref="G20"/>
    </sheetView>
  </sheetViews>
  <sheetFormatPr defaultRowHeight="15" x14ac:dyDescent="0.25"/>
  <cols>
    <col min="3" max="3" width="14.140625" customWidth="1"/>
    <col min="4" max="4" width="8" customWidth="1"/>
    <col min="6" max="6" width="13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44581</v>
      </c>
      <c r="B2" s="16" t="s">
        <v>21</v>
      </c>
      <c r="C2" s="16" t="s">
        <v>27</v>
      </c>
      <c r="D2" s="16" t="s">
        <v>23</v>
      </c>
      <c r="E2" s="16" t="s">
        <v>45</v>
      </c>
      <c r="F2" s="16" t="s">
        <v>24</v>
      </c>
      <c r="G2" s="24">
        <v>70000</v>
      </c>
      <c r="H2" s="16" t="s">
        <v>28</v>
      </c>
      <c r="I2" s="16" t="s">
        <v>29</v>
      </c>
      <c r="J2" s="17">
        <v>0.51388888888888895</v>
      </c>
      <c r="K2" s="15">
        <v>0.50694444444444442</v>
      </c>
      <c r="L2" s="17">
        <v>0.36458333333333331</v>
      </c>
      <c r="M2" s="15">
        <v>0.37222222222222223</v>
      </c>
      <c r="N2" s="16" t="s">
        <v>190</v>
      </c>
      <c r="O2" s="16" t="s">
        <v>289</v>
      </c>
      <c r="P2" s="16">
        <v>639</v>
      </c>
      <c r="Q2" s="16">
        <v>575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>
        <v>44581</v>
      </c>
      <c r="B3" s="16" t="s">
        <v>21</v>
      </c>
      <c r="C3" s="16" t="s">
        <v>33</v>
      </c>
      <c r="D3" s="16" t="s">
        <v>23</v>
      </c>
      <c r="E3" s="16" t="s">
        <v>45</v>
      </c>
      <c r="F3" s="16" t="s">
        <v>24</v>
      </c>
      <c r="G3" s="24">
        <v>70000</v>
      </c>
      <c r="H3" s="16" t="s">
        <v>34</v>
      </c>
      <c r="I3" s="16" t="s">
        <v>35</v>
      </c>
      <c r="J3" s="17">
        <v>0.70833333333333337</v>
      </c>
      <c r="K3" s="15">
        <v>0.70763888888888893</v>
      </c>
      <c r="L3" s="17">
        <v>0.53472222222222221</v>
      </c>
      <c r="M3" s="15">
        <v>0.53888888888888886</v>
      </c>
      <c r="N3" s="16" t="s">
        <v>291</v>
      </c>
      <c r="O3" s="16" t="s">
        <v>290</v>
      </c>
      <c r="P3" s="16">
        <v>525</v>
      </c>
      <c r="Q3" s="16">
        <v>829</v>
      </c>
      <c r="R3" s="16">
        <v>0</v>
      </c>
      <c r="S3" s="16">
        <v>0</v>
      </c>
      <c r="T3" s="16">
        <v>0</v>
      </c>
      <c r="U3" s="1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H8" sqref="H8"/>
    </sheetView>
  </sheetViews>
  <sheetFormatPr defaultRowHeight="15" x14ac:dyDescent="0.25"/>
  <cols>
    <col min="2" max="2" width="13.5703125" bestFit="1" customWidth="1"/>
    <col min="3" max="3" width="13.140625" customWidth="1"/>
    <col min="4" max="4" width="7.85546875" customWidth="1"/>
    <col min="6" max="6" width="11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44582</v>
      </c>
      <c r="B2" s="16" t="s">
        <v>21</v>
      </c>
      <c r="C2" s="16" t="s">
        <v>86</v>
      </c>
      <c r="D2" s="16" t="s">
        <v>23</v>
      </c>
      <c r="E2" s="16" t="s">
        <v>45</v>
      </c>
      <c r="F2" s="16" t="s">
        <v>24</v>
      </c>
      <c r="G2" s="16">
        <v>70000</v>
      </c>
      <c r="H2" s="16" t="s">
        <v>87</v>
      </c>
      <c r="I2" s="16" t="s">
        <v>88</v>
      </c>
      <c r="J2" s="17">
        <v>0.77083333333333337</v>
      </c>
      <c r="K2" s="15">
        <v>0.78125</v>
      </c>
      <c r="L2" s="17">
        <v>0.31944444444444448</v>
      </c>
      <c r="M2" s="15">
        <v>0.3347222222222222</v>
      </c>
      <c r="N2" s="16" t="s">
        <v>211</v>
      </c>
      <c r="O2" s="16" t="s">
        <v>189</v>
      </c>
      <c r="P2" s="16">
        <v>959</v>
      </c>
      <c r="Q2" s="16">
        <v>732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>
        <v>44582</v>
      </c>
      <c r="B3" s="16" t="s">
        <v>292</v>
      </c>
      <c r="C3" s="16" t="s">
        <v>293</v>
      </c>
      <c r="D3" s="16" t="s">
        <v>294</v>
      </c>
      <c r="E3" s="16" t="s">
        <v>295</v>
      </c>
      <c r="F3" s="16" t="s">
        <v>296</v>
      </c>
      <c r="G3" s="16"/>
      <c r="H3" s="16" t="s">
        <v>55</v>
      </c>
      <c r="I3" s="16" t="s">
        <v>55</v>
      </c>
      <c r="J3" s="17">
        <v>0.59027777777777779</v>
      </c>
      <c r="K3" s="15">
        <v>0.60972222222222217</v>
      </c>
      <c r="L3" s="17">
        <v>0.61111111111111105</v>
      </c>
      <c r="M3" s="15">
        <v>0.64236111111111105</v>
      </c>
      <c r="N3" s="16">
        <v>0</v>
      </c>
      <c r="O3" s="16">
        <v>1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sqref="A1:XFD4"/>
    </sheetView>
  </sheetViews>
  <sheetFormatPr defaultRowHeight="15" x14ac:dyDescent="0.25"/>
  <cols>
    <col min="3" max="3" width="12.85546875" customWidth="1"/>
    <col min="5" max="5" width="15.42578125" customWidth="1"/>
    <col min="6" max="6" width="12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44583</v>
      </c>
      <c r="B2" s="16" t="s">
        <v>21</v>
      </c>
      <c r="C2" s="16" t="s">
        <v>22</v>
      </c>
      <c r="D2" s="16" t="s">
        <v>23</v>
      </c>
      <c r="E2" s="16" t="s">
        <v>45</v>
      </c>
      <c r="F2" s="16" t="s">
        <v>24</v>
      </c>
      <c r="G2" s="16">
        <v>70000</v>
      </c>
      <c r="H2" s="16" t="s">
        <v>25</v>
      </c>
      <c r="I2" s="16" t="s">
        <v>26</v>
      </c>
      <c r="J2" s="17">
        <v>0.51736111111111105</v>
      </c>
      <c r="K2" s="15">
        <v>0.50972222222222219</v>
      </c>
      <c r="L2" s="17">
        <v>0.33333333333333331</v>
      </c>
      <c r="M2" s="15">
        <v>0.33333333333333331</v>
      </c>
      <c r="N2" s="16" t="s">
        <v>299</v>
      </c>
      <c r="O2" s="16" t="s">
        <v>298</v>
      </c>
      <c r="P2" s="16">
        <v>694</v>
      </c>
      <c r="Q2" s="16">
        <v>729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>
        <v>44583</v>
      </c>
      <c r="B3" s="2" t="s">
        <v>21</v>
      </c>
      <c r="C3" s="2" t="s">
        <v>30</v>
      </c>
      <c r="D3" s="2" t="s">
        <v>23</v>
      </c>
      <c r="E3" s="2" t="s">
        <v>302</v>
      </c>
      <c r="F3" s="2" t="s">
        <v>24</v>
      </c>
      <c r="G3" s="10">
        <v>70000</v>
      </c>
      <c r="H3" s="2" t="s">
        <v>31</v>
      </c>
      <c r="I3" s="2" t="s">
        <v>32</v>
      </c>
      <c r="J3" s="3">
        <v>0.71875</v>
      </c>
      <c r="K3" s="9">
        <v>0.7416666666666667</v>
      </c>
      <c r="L3" s="3">
        <v>0.54513888888888895</v>
      </c>
      <c r="M3" s="4">
        <v>0.57638888888888895</v>
      </c>
      <c r="N3" s="16" t="s">
        <v>301</v>
      </c>
      <c r="O3" s="16" t="s">
        <v>300</v>
      </c>
      <c r="P3" s="5">
        <v>776</v>
      </c>
      <c r="Q3" s="5">
        <v>964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8">
        <v>44583</v>
      </c>
      <c r="B4" s="16" t="s">
        <v>21</v>
      </c>
      <c r="C4" s="16" t="s">
        <v>138</v>
      </c>
      <c r="D4" s="16" t="s">
        <v>23</v>
      </c>
      <c r="E4" s="16" t="s">
        <v>297</v>
      </c>
      <c r="F4" s="16" t="s">
        <v>24</v>
      </c>
      <c r="G4" s="24">
        <v>70000</v>
      </c>
      <c r="H4" s="16" t="s">
        <v>139</v>
      </c>
      <c r="I4" s="16" t="s">
        <v>140</v>
      </c>
      <c r="J4" s="17">
        <v>0.9375</v>
      </c>
      <c r="K4" s="15">
        <v>0.95347222222222217</v>
      </c>
      <c r="L4" s="17">
        <v>0.75</v>
      </c>
      <c r="M4" s="15">
        <v>0.77986111111111101</v>
      </c>
      <c r="N4" s="16" t="s">
        <v>304</v>
      </c>
      <c r="O4" s="16" t="s">
        <v>303</v>
      </c>
      <c r="P4" s="16">
        <v>704</v>
      </c>
      <c r="Q4" s="16">
        <v>1008</v>
      </c>
      <c r="R4" s="16">
        <v>0</v>
      </c>
      <c r="S4" s="16">
        <v>0</v>
      </c>
      <c r="T4" s="16">
        <v>0</v>
      </c>
      <c r="U4" s="1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J5" sqref="J5"/>
    </sheetView>
  </sheetViews>
  <sheetFormatPr defaultRowHeight="15" x14ac:dyDescent="0.25"/>
  <cols>
    <col min="3" max="3" width="17" customWidth="1"/>
    <col min="6" max="6" width="14.140625" customWidth="1"/>
    <col min="14" max="14" width="10" customWidth="1"/>
    <col min="15" max="15" width="11.140625" customWidth="1"/>
  </cols>
  <sheetData>
    <row r="1" spans="1:21" s="20" customFormat="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16" customFormat="1" ht="15.75" customHeight="1" x14ac:dyDescent="0.25">
      <c r="A2" s="18">
        <v>44584</v>
      </c>
      <c r="B2" s="16" t="s">
        <v>21</v>
      </c>
      <c r="C2" s="16" t="s">
        <v>27</v>
      </c>
      <c r="D2" s="16" t="s">
        <v>23</v>
      </c>
      <c r="E2" s="16" t="s">
        <v>297</v>
      </c>
      <c r="F2" s="16" t="s">
        <v>24</v>
      </c>
      <c r="G2" s="24">
        <v>70000</v>
      </c>
      <c r="H2" s="16" t="s">
        <v>28</v>
      </c>
      <c r="I2" s="16" t="s">
        <v>29</v>
      </c>
      <c r="J2" s="17">
        <v>0.4826388888888889</v>
      </c>
      <c r="K2" s="15">
        <v>0.53472222222222221</v>
      </c>
      <c r="L2" s="17">
        <v>0.33333333333333331</v>
      </c>
      <c r="M2" s="15">
        <v>0.32291666666666669</v>
      </c>
      <c r="N2" s="16" t="s">
        <v>305</v>
      </c>
      <c r="O2" s="16" t="s">
        <v>219</v>
      </c>
      <c r="P2" s="16">
        <v>1084</v>
      </c>
      <c r="Q2" s="16">
        <v>694</v>
      </c>
      <c r="R2" s="16">
        <v>0</v>
      </c>
      <c r="S2" s="16">
        <v>0</v>
      </c>
      <c r="T2" s="16">
        <v>0</v>
      </c>
      <c r="U2" s="16">
        <v>0</v>
      </c>
    </row>
    <row r="3" spans="1:21" s="16" customFormat="1" ht="15.75" customHeight="1" x14ac:dyDescent="0.25">
      <c r="A3" s="18">
        <v>44584</v>
      </c>
      <c r="B3" s="16" t="s">
        <v>21</v>
      </c>
      <c r="C3" s="16" t="s">
        <v>33</v>
      </c>
      <c r="D3" s="16" t="s">
        <v>23</v>
      </c>
      <c r="E3" s="16" t="s">
        <v>297</v>
      </c>
      <c r="F3" s="16" t="s">
        <v>24</v>
      </c>
      <c r="G3" s="24">
        <v>70000</v>
      </c>
      <c r="H3" s="16" t="s">
        <v>34</v>
      </c>
      <c r="I3" s="16" t="s">
        <v>35</v>
      </c>
      <c r="J3" s="17">
        <v>0.67708333333333337</v>
      </c>
      <c r="K3" s="15">
        <v>0.73402777777777783</v>
      </c>
      <c r="L3" s="17">
        <v>0.50347222222222221</v>
      </c>
      <c r="M3" s="15">
        <v>0.56319444444444444</v>
      </c>
      <c r="N3" s="16" t="s">
        <v>307</v>
      </c>
      <c r="O3" s="16" t="s">
        <v>306</v>
      </c>
      <c r="P3" s="16">
        <v>658</v>
      </c>
      <c r="Q3" s="16">
        <v>732</v>
      </c>
      <c r="R3" s="16">
        <v>0</v>
      </c>
      <c r="S3" s="16">
        <v>0</v>
      </c>
      <c r="T3" s="16">
        <v>0</v>
      </c>
      <c r="U3" s="16">
        <v>0</v>
      </c>
    </row>
    <row r="4" spans="1:21" s="16" customFormat="1" ht="15.75" customHeight="1" x14ac:dyDescent="0.25">
      <c r="A4" s="18">
        <v>44584</v>
      </c>
      <c r="B4" s="16" t="s">
        <v>21</v>
      </c>
      <c r="C4" s="16" t="s">
        <v>92</v>
      </c>
      <c r="D4" s="16" t="s">
        <v>23</v>
      </c>
      <c r="E4" s="16" t="s">
        <v>297</v>
      </c>
      <c r="F4" s="16" t="s">
        <v>24</v>
      </c>
      <c r="G4" s="24">
        <v>70000</v>
      </c>
      <c r="H4" s="16" t="s">
        <v>93</v>
      </c>
      <c r="I4" s="16" t="s">
        <v>94</v>
      </c>
      <c r="J4" s="17">
        <v>0.91666666666666663</v>
      </c>
      <c r="K4" s="15">
        <v>0.94791666666666663</v>
      </c>
      <c r="L4" s="17">
        <v>0.71180555555555547</v>
      </c>
      <c r="M4" s="15">
        <v>0.76944444444444438</v>
      </c>
      <c r="N4" s="16" t="s">
        <v>309</v>
      </c>
      <c r="O4" s="16" t="s">
        <v>308</v>
      </c>
      <c r="P4" s="16">
        <v>659</v>
      </c>
      <c r="Q4" s="16">
        <v>1593</v>
      </c>
      <c r="R4" s="16">
        <v>0</v>
      </c>
      <c r="S4" s="16">
        <v>0</v>
      </c>
      <c r="T4" s="16">
        <v>0</v>
      </c>
      <c r="U4" s="1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A2" sqref="A2"/>
    </sheetView>
  </sheetViews>
  <sheetFormatPr defaultRowHeight="15" x14ac:dyDescent="0.25"/>
  <cols>
    <col min="1" max="1" width="11" customWidth="1"/>
    <col min="2" max="2" width="10.42578125" customWidth="1"/>
    <col min="3" max="3" width="13.85546875" customWidth="1"/>
    <col min="4" max="4" width="7.7109375" customWidth="1"/>
    <col min="5" max="5" width="9.28515625" customWidth="1"/>
    <col min="6" max="6" width="14.140625" customWidth="1"/>
    <col min="10" max="10" width="9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44585</v>
      </c>
      <c r="B2" s="16" t="s">
        <v>21</v>
      </c>
      <c r="C2" s="16" t="s">
        <v>86</v>
      </c>
      <c r="D2" s="16" t="s">
        <v>23</v>
      </c>
      <c r="E2" s="16" t="s">
        <v>310</v>
      </c>
      <c r="F2" s="16" t="s">
        <v>24</v>
      </c>
      <c r="G2" s="16">
        <v>70000</v>
      </c>
      <c r="H2" s="16" t="s">
        <v>87</v>
      </c>
      <c r="I2" s="16" t="s">
        <v>88</v>
      </c>
      <c r="J2" s="17">
        <v>0.77083333333333337</v>
      </c>
      <c r="K2" s="15">
        <v>0.76388888888888884</v>
      </c>
      <c r="L2" s="17">
        <v>0.31944444444444448</v>
      </c>
      <c r="M2" s="15">
        <v>0.32222222222222224</v>
      </c>
      <c r="N2" s="16" t="s">
        <v>312</v>
      </c>
      <c r="O2" s="16" t="s">
        <v>311</v>
      </c>
      <c r="P2" s="16">
        <v>892</v>
      </c>
      <c r="Q2" s="16">
        <v>821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G11" sqref="G11"/>
    </sheetView>
  </sheetViews>
  <sheetFormatPr defaultRowHeight="15" x14ac:dyDescent="0.25"/>
  <cols>
    <col min="1" max="1" width="11" customWidth="1"/>
    <col min="3" max="3" width="12.85546875" customWidth="1"/>
    <col min="4" max="4" width="8" customWidth="1"/>
    <col min="6" max="6" width="13" customWidth="1"/>
    <col min="7" max="7" width="9.28515625" bestFit="1" customWidth="1"/>
    <col min="10" max="10" width="9.28515625" bestFit="1" customWidth="1"/>
    <col min="11" max="11" width="10.5703125" customWidth="1"/>
    <col min="12" max="12" width="9.28515625" bestFit="1" customWidth="1"/>
    <col min="14" max="14" width="12.5703125" customWidth="1"/>
    <col min="15" max="15" width="14.140625" customWidth="1"/>
    <col min="16" max="16" width="11.5703125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44586</v>
      </c>
      <c r="B2" s="16" t="s">
        <v>21</v>
      </c>
      <c r="C2" s="16" t="s">
        <v>22</v>
      </c>
      <c r="D2" s="16" t="s">
        <v>23</v>
      </c>
      <c r="E2" s="16" t="s">
        <v>297</v>
      </c>
      <c r="F2" s="16" t="s">
        <v>24</v>
      </c>
      <c r="G2" s="16">
        <v>70000</v>
      </c>
      <c r="H2" s="16" t="s">
        <v>25</v>
      </c>
      <c r="I2" s="16" t="s">
        <v>26</v>
      </c>
      <c r="J2" s="17">
        <v>0.52430555555555558</v>
      </c>
      <c r="K2" s="15">
        <v>0.51666666666666672</v>
      </c>
      <c r="L2" s="17">
        <v>0.34027777777777773</v>
      </c>
      <c r="M2" s="15">
        <v>0.33888888888888885</v>
      </c>
      <c r="N2" s="16" t="s">
        <v>313</v>
      </c>
      <c r="O2" s="16" t="s">
        <v>60</v>
      </c>
      <c r="P2" s="16">
        <v>476</v>
      </c>
      <c r="Q2" s="16">
        <v>828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/>
      <c r="B3" s="16"/>
      <c r="C3" s="16"/>
      <c r="D3" s="16"/>
      <c r="E3" s="16"/>
      <c r="F3" s="16"/>
      <c r="G3" s="16"/>
      <c r="H3" s="16"/>
      <c r="I3" s="16"/>
      <c r="J3" s="17"/>
      <c r="K3" s="15"/>
      <c r="L3" s="17"/>
      <c r="M3" s="15"/>
      <c r="N3" s="16"/>
      <c r="O3" s="16"/>
      <c r="P3" s="16"/>
      <c r="Q3" s="16"/>
      <c r="R3" s="16"/>
      <c r="S3" s="16"/>
      <c r="T3" s="16"/>
      <c r="U3" s="16"/>
    </row>
    <row r="4" spans="1:21" x14ac:dyDescent="0.25">
      <c r="A4" s="18"/>
      <c r="B4" s="16"/>
      <c r="C4" s="16"/>
      <c r="D4" s="16"/>
      <c r="E4" s="16"/>
      <c r="F4" s="16"/>
      <c r="G4" s="16"/>
      <c r="H4" s="16"/>
      <c r="I4" s="16"/>
      <c r="J4" s="17"/>
      <c r="K4" s="15"/>
      <c r="L4" s="17"/>
      <c r="M4" s="15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8"/>
      <c r="B5" s="16"/>
      <c r="C5" s="16"/>
      <c r="D5" s="16"/>
      <c r="E5" s="16"/>
      <c r="F5" s="16"/>
      <c r="G5" s="16"/>
      <c r="H5" s="16"/>
      <c r="I5" s="16"/>
      <c r="J5" s="17"/>
      <c r="K5" s="15"/>
      <c r="L5" s="17"/>
      <c r="M5" s="15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8"/>
      <c r="B6" s="16"/>
      <c r="C6" s="16"/>
      <c r="D6" s="16"/>
      <c r="E6" s="16"/>
      <c r="F6" s="16"/>
      <c r="G6" s="16"/>
      <c r="H6" s="16"/>
      <c r="I6" s="16"/>
      <c r="J6" s="17"/>
      <c r="K6" s="15"/>
      <c r="L6" s="17"/>
      <c r="M6" s="15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8"/>
      <c r="B7" s="16"/>
      <c r="C7" s="16"/>
      <c r="D7" s="16"/>
      <c r="E7" s="16"/>
      <c r="F7" s="16"/>
      <c r="G7" s="16"/>
      <c r="H7" s="16"/>
      <c r="I7" s="16"/>
      <c r="J7" s="17"/>
      <c r="K7" s="15"/>
      <c r="L7" s="17"/>
      <c r="M7" s="15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8"/>
      <c r="B8" s="16"/>
      <c r="C8" s="16"/>
      <c r="D8" s="16"/>
      <c r="E8" s="16"/>
      <c r="F8" s="16"/>
      <c r="G8" s="16"/>
      <c r="H8" s="16"/>
      <c r="I8" s="16"/>
      <c r="J8" s="17"/>
      <c r="K8" s="15"/>
      <c r="L8" s="17"/>
      <c r="M8" s="15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8"/>
      <c r="B9" s="16"/>
      <c r="C9" s="16"/>
      <c r="D9" s="16"/>
      <c r="E9" s="16"/>
      <c r="F9" s="16"/>
      <c r="G9" s="16"/>
      <c r="H9" s="16"/>
      <c r="I9" s="16"/>
      <c r="J9" s="17"/>
      <c r="K9" s="15"/>
      <c r="L9" s="17"/>
      <c r="M9" s="15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8"/>
      <c r="B10" s="16"/>
      <c r="C10" s="16"/>
      <c r="D10" s="16"/>
      <c r="E10" s="16"/>
      <c r="F10" s="16"/>
      <c r="G10" s="16"/>
      <c r="H10" s="16"/>
      <c r="I10" s="16"/>
      <c r="J10" s="17"/>
      <c r="K10" s="15"/>
      <c r="L10" s="17"/>
      <c r="M10" s="15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8"/>
      <c r="B11" s="16"/>
      <c r="C11" s="16"/>
      <c r="D11" s="16"/>
      <c r="E11" s="16"/>
      <c r="F11" s="16"/>
      <c r="G11" s="16"/>
      <c r="H11" s="16"/>
      <c r="I11" s="16"/>
      <c r="J11" s="17"/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6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G13" sqref="G13"/>
    </sheetView>
  </sheetViews>
  <sheetFormatPr defaultRowHeight="15" x14ac:dyDescent="0.25"/>
  <cols>
    <col min="1" max="1" width="11.28515625" bestFit="1" customWidth="1"/>
    <col min="3" max="3" width="12.140625" customWidth="1"/>
    <col min="4" max="4" width="8.140625" customWidth="1"/>
    <col min="6" max="6" width="11.140625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44587</v>
      </c>
      <c r="B2" s="16" t="s">
        <v>21</v>
      </c>
      <c r="C2" s="16" t="s">
        <v>30</v>
      </c>
      <c r="D2" s="16" t="s">
        <v>23</v>
      </c>
      <c r="E2" s="16" t="s">
        <v>297</v>
      </c>
      <c r="F2" s="16" t="s">
        <v>24</v>
      </c>
      <c r="G2" s="16">
        <v>70000</v>
      </c>
      <c r="H2" s="16" t="s">
        <v>31</v>
      </c>
      <c r="I2" s="16" t="s">
        <v>32</v>
      </c>
      <c r="J2" s="17">
        <v>0.70833333333333337</v>
      </c>
      <c r="K2" s="15">
        <v>0.69791666666666663</v>
      </c>
      <c r="L2" s="17">
        <v>0.53472222222222221</v>
      </c>
      <c r="M2" s="15">
        <v>0.53125</v>
      </c>
      <c r="N2" s="16" t="s">
        <v>315</v>
      </c>
      <c r="O2" s="16" t="s">
        <v>314</v>
      </c>
      <c r="P2" s="16">
        <v>659</v>
      </c>
      <c r="Q2" s="16">
        <v>621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K7" sqref="K7"/>
    </sheetView>
  </sheetViews>
  <sheetFormatPr defaultRowHeight="15" x14ac:dyDescent="0.25"/>
  <cols>
    <col min="3" max="3" width="12.7109375" customWidth="1"/>
    <col min="4" max="4" width="8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44588</v>
      </c>
      <c r="B2" s="16" t="s">
        <v>21</v>
      </c>
      <c r="C2" s="16" t="s">
        <v>27</v>
      </c>
      <c r="D2" s="16" t="s">
        <v>23</v>
      </c>
      <c r="E2" s="16" t="s">
        <v>297</v>
      </c>
      <c r="F2" s="16" t="s">
        <v>24</v>
      </c>
      <c r="G2" s="24">
        <v>70000</v>
      </c>
      <c r="H2" s="16" t="s">
        <v>28</v>
      </c>
      <c r="I2" s="16" t="s">
        <v>29</v>
      </c>
      <c r="J2" s="17">
        <v>0.51388888888888895</v>
      </c>
      <c r="K2" s="15">
        <v>0.50555555555555554</v>
      </c>
      <c r="L2" s="17">
        <v>0.36458333333333331</v>
      </c>
      <c r="M2" s="15">
        <v>0.36388888888888887</v>
      </c>
      <c r="N2" s="16" t="s">
        <v>317</v>
      </c>
      <c r="O2" s="16" t="s">
        <v>316</v>
      </c>
      <c r="P2" s="16">
        <v>662</v>
      </c>
      <c r="Q2" s="16">
        <v>590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>
        <v>44588</v>
      </c>
      <c r="B3" s="16" t="s">
        <v>21</v>
      </c>
      <c r="C3" s="16" t="s">
        <v>33</v>
      </c>
      <c r="D3" s="16" t="s">
        <v>23</v>
      </c>
      <c r="E3" s="16" t="s">
        <v>297</v>
      </c>
      <c r="F3" s="16" t="s">
        <v>24</v>
      </c>
      <c r="G3" s="24">
        <v>70000</v>
      </c>
      <c r="H3" s="16" t="s">
        <v>34</v>
      </c>
      <c r="I3" s="16" t="s">
        <v>35</v>
      </c>
      <c r="J3" s="17">
        <v>0.70833333333333337</v>
      </c>
      <c r="K3" s="15">
        <v>0.69930555555555562</v>
      </c>
      <c r="L3" s="17">
        <v>0.53472222222222221</v>
      </c>
      <c r="M3" s="15">
        <v>0.53819444444444442</v>
      </c>
      <c r="N3" s="16" t="s">
        <v>319</v>
      </c>
      <c r="O3" s="16" t="s">
        <v>318</v>
      </c>
      <c r="P3" s="16">
        <v>797</v>
      </c>
      <c r="Q3" s="16">
        <v>317</v>
      </c>
      <c r="R3" s="16">
        <v>0</v>
      </c>
      <c r="S3" s="16">
        <v>0</v>
      </c>
      <c r="T3" s="16">
        <v>0</v>
      </c>
      <c r="U3" s="1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L3" sqref="L3"/>
    </sheetView>
  </sheetViews>
  <sheetFormatPr defaultRowHeight="15" x14ac:dyDescent="0.25"/>
  <cols>
    <col min="2" max="2" width="10" customWidth="1"/>
    <col min="3" max="3" width="13.85546875" customWidth="1"/>
    <col min="6" max="6" width="13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44589</v>
      </c>
      <c r="B2" s="16" t="s">
        <v>21</v>
      </c>
      <c r="C2" s="16" t="s">
        <v>86</v>
      </c>
      <c r="D2" s="16" t="s">
        <v>23</v>
      </c>
      <c r="E2" s="16" t="s">
        <v>297</v>
      </c>
      <c r="F2" s="16" t="s">
        <v>24</v>
      </c>
      <c r="G2" s="16">
        <v>70000</v>
      </c>
      <c r="H2" s="16" t="s">
        <v>87</v>
      </c>
      <c r="I2" s="16" t="s">
        <v>88</v>
      </c>
      <c r="J2" s="17">
        <v>0.77083333333333337</v>
      </c>
      <c r="K2" s="15">
        <v>0.78472222222222221</v>
      </c>
      <c r="L2" s="17">
        <v>0.31944444444444448</v>
      </c>
      <c r="M2" s="15">
        <v>0.33194444444444443</v>
      </c>
      <c r="N2" s="15" t="s">
        <v>98</v>
      </c>
      <c r="O2" s="16" t="s">
        <v>305</v>
      </c>
      <c r="P2" s="16">
        <v>898</v>
      </c>
      <c r="Q2" s="16">
        <v>881</v>
      </c>
      <c r="R2" s="16">
        <v>0</v>
      </c>
      <c r="S2" s="16">
        <v>0</v>
      </c>
      <c r="T2" s="16">
        <v>0</v>
      </c>
      <c r="U2" s="1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D11" sqref="D11"/>
    </sheetView>
  </sheetViews>
  <sheetFormatPr defaultRowHeight="15" x14ac:dyDescent="0.25"/>
  <cols>
    <col min="2" max="2" width="10.85546875" customWidth="1"/>
    <col min="3" max="3" width="13.5703125" customWidth="1"/>
    <col min="4" max="4" width="7.85546875" customWidth="1"/>
    <col min="5" max="5" width="16.42578125" customWidth="1"/>
    <col min="6" max="6" width="12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44590</v>
      </c>
      <c r="B2" s="16" t="s">
        <v>21</v>
      </c>
      <c r="C2" s="16" t="s">
        <v>22</v>
      </c>
      <c r="D2" s="16" t="s">
        <v>23</v>
      </c>
      <c r="E2" s="16" t="s">
        <v>297</v>
      </c>
      <c r="F2" s="16" t="s">
        <v>24</v>
      </c>
      <c r="G2" s="16">
        <v>70000</v>
      </c>
      <c r="H2" s="16" t="s">
        <v>25</v>
      </c>
      <c r="I2" s="16" t="s">
        <v>26</v>
      </c>
      <c r="J2" s="17">
        <v>0.51736111111111105</v>
      </c>
      <c r="K2" s="15">
        <v>0.52361111111111114</v>
      </c>
      <c r="L2" s="17">
        <v>0.33333333333333331</v>
      </c>
      <c r="M2" s="15">
        <v>0.34791666666666665</v>
      </c>
      <c r="N2" s="16" t="s">
        <v>320</v>
      </c>
      <c r="O2" s="16" t="s">
        <v>58</v>
      </c>
      <c r="P2" s="16">
        <v>1055</v>
      </c>
      <c r="Q2" s="16">
        <v>856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8">
        <v>44590</v>
      </c>
      <c r="B3" s="2" t="s">
        <v>21</v>
      </c>
      <c r="C3" s="2" t="s">
        <v>30</v>
      </c>
      <c r="D3" s="2" t="s">
        <v>23</v>
      </c>
      <c r="E3" s="16" t="s">
        <v>297</v>
      </c>
      <c r="F3" s="2" t="s">
        <v>24</v>
      </c>
      <c r="G3" s="10">
        <v>70000</v>
      </c>
      <c r="H3" s="2" t="s">
        <v>31</v>
      </c>
      <c r="I3" s="2" t="s">
        <v>32</v>
      </c>
      <c r="J3" s="3">
        <v>0.71875</v>
      </c>
      <c r="K3" s="9">
        <v>0.71388888888888891</v>
      </c>
      <c r="L3" s="3">
        <v>0.54513888888888895</v>
      </c>
      <c r="M3" s="4">
        <v>0.55208333333333337</v>
      </c>
      <c r="N3" s="16" t="s">
        <v>195</v>
      </c>
      <c r="O3" s="16" t="s">
        <v>321</v>
      </c>
      <c r="P3" s="5">
        <v>1014</v>
      </c>
      <c r="Q3" s="5">
        <v>699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8">
        <v>44590</v>
      </c>
      <c r="B4" s="16" t="s">
        <v>21</v>
      </c>
      <c r="C4" s="16" t="s">
        <v>138</v>
      </c>
      <c r="D4" s="16" t="s">
        <v>23</v>
      </c>
      <c r="E4" s="16" t="s">
        <v>322</v>
      </c>
      <c r="F4" s="16" t="s">
        <v>24</v>
      </c>
      <c r="G4" s="24">
        <v>70000</v>
      </c>
      <c r="H4" s="16" t="s">
        <v>139</v>
      </c>
      <c r="I4" s="16" t="s">
        <v>140</v>
      </c>
      <c r="J4" s="17">
        <v>0.9375</v>
      </c>
      <c r="K4" s="15">
        <v>0.9902777777777777</v>
      </c>
      <c r="L4" s="17">
        <v>0.75</v>
      </c>
      <c r="M4" s="15">
        <v>0.75</v>
      </c>
      <c r="N4" s="16" t="s">
        <v>323</v>
      </c>
      <c r="O4" s="16" t="s">
        <v>43</v>
      </c>
      <c r="P4" s="16">
        <v>1108</v>
      </c>
      <c r="Q4" s="16">
        <v>1036</v>
      </c>
      <c r="R4" s="16">
        <v>0</v>
      </c>
      <c r="S4" s="16">
        <v>0</v>
      </c>
      <c r="T4" s="16">
        <v>0</v>
      </c>
      <c r="U4" s="1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J6" sqref="J6"/>
    </sheetView>
  </sheetViews>
  <sheetFormatPr defaultRowHeight="15" x14ac:dyDescent="0.25"/>
  <cols>
    <col min="3" max="3" width="17" customWidth="1"/>
    <col min="6" max="6" width="14.140625" customWidth="1"/>
    <col min="14" max="14" width="10" customWidth="1"/>
    <col min="15" max="15" width="11.140625" customWidth="1"/>
  </cols>
  <sheetData>
    <row r="1" spans="1:21" s="20" customFormat="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16" customFormat="1" ht="15.75" customHeight="1" x14ac:dyDescent="0.25">
      <c r="A2" s="18">
        <v>44591</v>
      </c>
      <c r="B2" s="16" t="s">
        <v>21</v>
      </c>
      <c r="C2" s="16" t="s">
        <v>27</v>
      </c>
      <c r="D2" s="16" t="s">
        <v>23</v>
      </c>
      <c r="E2" s="16" t="s">
        <v>324</v>
      </c>
      <c r="F2" s="16" t="s">
        <v>24</v>
      </c>
      <c r="G2" s="24">
        <v>70000</v>
      </c>
      <c r="H2" s="16" t="s">
        <v>28</v>
      </c>
      <c r="I2" s="16" t="s">
        <v>29</v>
      </c>
      <c r="J2" s="17">
        <v>0.4826388888888889</v>
      </c>
      <c r="K2" s="15">
        <v>0.47569444444444442</v>
      </c>
      <c r="L2" s="17">
        <v>0.33333333333333331</v>
      </c>
      <c r="M2" s="15">
        <v>0.34027777777777773</v>
      </c>
      <c r="N2" s="16" t="s">
        <v>325</v>
      </c>
      <c r="O2" s="16" t="s">
        <v>228</v>
      </c>
      <c r="P2" s="16">
        <v>908</v>
      </c>
      <c r="Q2" s="16">
        <v>769</v>
      </c>
      <c r="R2" s="16">
        <v>0</v>
      </c>
      <c r="S2" s="16">
        <v>0</v>
      </c>
      <c r="T2" s="16">
        <v>0</v>
      </c>
      <c r="U2" s="16">
        <v>0</v>
      </c>
    </row>
    <row r="3" spans="1:21" s="16" customFormat="1" ht="15.75" customHeight="1" x14ac:dyDescent="0.25">
      <c r="A3" s="18">
        <v>44591</v>
      </c>
      <c r="B3" s="16" t="s">
        <v>21</v>
      </c>
      <c r="C3" s="16" t="s">
        <v>33</v>
      </c>
      <c r="D3" s="16" t="s">
        <v>23</v>
      </c>
      <c r="E3" s="16" t="s">
        <v>324</v>
      </c>
      <c r="F3" s="16" t="s">
        <v>24</v>
      </c>
      <c r="G3" s="24">
        <v>70000</v>
      </c>
      <c r="H3" s="16" t="s">
        <v>34</v>
      </c>
      <c r="I3" s="16" t="s">
        <v>35</v>
      </c>
      <c r="J3" s="17">
        <v>0.67708333333333337</v>
      </c>
      <c r="K3" s="15">
        <v>0.68819444444444444</v>
      </c>
      <c r="L3" s="17">
        <v>0.50347222222222221</v>
      </c>
      <c r="M3" s="15">
        <v>0.5083333333333333</v>
      </c>
      <c r="N3" s="16" t="s">
        <v>276</v>
      </c>
      <c r="O3" s="16" t="s">
        <v>326</v>
      </c>
      <c r="P3" s="16">
        <v>972</v>
      </c>
      <c r="Q3" s="16">
        <v>861</v>
      </c>
      <c r="R3" s="16">
        <v>0</v>
      </c>
      <c r="S3" s="16">
        <v>0</v>
      </c>
      <c r="T3" s="16">
        <v>0</v>
      </c>
      <c r="U3" s="16">
        <v>0</v>
      </c>
    </row>
    <row r="4" spans="1:21" s="16" customFormat="1" ht="15.75" customHeight="1" x14ac:dyDescent="0.25">
      <c r="A4" s="18">
        <v>44591</v>
      </c>
      <c r="B4" s="16" t="s">
        <v>21</v>
      </c>
      <c r="C4" s="16" t="s">
        <v>92</v>
      </c>
      <c r="D4" s="16" t="s">
        <v>23</v>
      </c>
      <c r="E4" s="16" t="s">
        <v>324</v>
      </c>
      <c r="F4" s="16" t="s">
        <v>24</v>
      </c>
      <c r="G4" s="24">
        <v>70000</v>
      </c>
      <c r="H4" s="16" t="s">
        <v>93</v>
      </c>
      <c r="I4" s="16" t="s">
        <v>94</v>
      </c>
      <c r="J4" s="17">
        <v>0.91666666666666663</v>
      </c>
      <c r="K4" s="15">
        <v>0.91319444444444453</v>
      </c>
      <c r="L4" s="17">
        <v>0.71180555555555547</v>
      </c>
      <c r="M4" s="15">
        <v>0.72222222222222221</v>
      </c>
      <c r="N4" s="16" t="s">
        <v>327</v>
      </c>
      <c r="O4" s="16" t="s">
        <v>328</v>
      </c>
      <c r="P4" s="16">
        <v>762</v>
      </c>
      <c r="Q4" s="16">
        <v>1426</v>
      </c>
      <c r="R4" s="16">
        <v>0</v>
      </c>
      <c r="S4" s="16">
        <v>0</v>
      </c>
      <c r="T4" s="16">
        <v>0</v>
      </c>
      <c r="U4" s="1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I15" sqref="I15"/>
    </sheetView>
  </sheetViews>
  <sheetFormatPr defaultRowHeight="15" x14ac:dyDescent="0.25"/>
  <cols>
    <col min="1" max="1" width="11" customWidth="1"/>
    <col min="2" max="2" width="12.5703125" bestFit="1" customWidth="1"/>
    <col min="3" max="3" width="16.85546875" bestFit="1" customWidth="1"/>
    <col min="4" max="4" width="7.7109375" customWidth="1"/>
    <col min="5" max="5" width="9.28515625" customWidth="1"/>
    <col min="6" max="6" width="14.140625" customWidth="1"/>
    <col min="10" max="10" width="9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8">
        <v>44592</v>
      </c>
      <c r="B2" s="16" t="s">
        <v>21</v>
      </c>
      <c r="C2" s="16" t="s">
        <v>86</v>
      </c>
      <c r="D2" s="16" t="s">
        <v>23</v>
      </c>
      <c r="E2" s="16" t="s">
        <v>329</v>
      </c>
      <c r="F2" s="16" t="s">
        <v>24</v>
      </c>
      <c r="G2" s="16">
        <v>70000</v>
      </c>
      <c r="H2" s="16" t="s">
        <v>87</v>
      </c>
      <c r="I2" s="16" t="s">
        <v>88</v>
      </c>
      <c r="J2" s="17">
        <v>0.77083333333333337</v>
      </c>
      <c r="K2" s="15">
        <v>0.75624999999999998</v>
      </c>
      <c r="L2" s="17">
        <v>0.31944444444444448</v>
      </c>
      <c r="M2" s="15">
        <v>0.32013888888888892</v>
      </c>
      <c r="N2" s="16" t="s">
        <v>336</v>
      </c>
      <c r="O2" s="16" t="s">
        <v>326</v>
      </c>
      <c r="P2" s="16">
        <v>810</v>
      </c>
      <c r="Q2" s="16">
        <v>687</v>
      </c>
      <c r="R2" s="16">
        <v>0</v>
      </c>
      <c r="S2" s="16">
        <v>0</v>
      </c>
      <c r="T2" s="16">
        <v>0</v>
      </c>
      <c r="U2" s="16">
        <v>0</v>
      </c>
    </row>
    <row r="3" spans="1:21" s="25" customFormat="1" x14ac:dyDescent="0.25">
      <c r="A3" s="18">
        <v>44592</v>
      </c>
      <c r="B3" s="16" t="s">
        <v>334</v>
      </c>
      <c r="C3" s="16" t="s">
        <v>330</v>
      </c>
      <c r="D3" s="16" t="s">
        <v>331</v>
      </c>
      <c r="E3" s="16" t="s">
        <v>332</v>
      </c>
      <c r="F3" s="16" t="s">
        <v>333</v>
      </c>
      <c r="G3" s="16">
        <v>3500</v>
      </c>
      <c r="H3" s="16" t="s">
        <v>55</v>
      </c>
      <c r="I3" s="16" t="s">
        <v>55</v>
      </c>
      <c r="J3" s="17">
        <v>0.41666666666666669</v>
      </c>
      <c r="K3" s="15">
        <v>0.4201388888888889</v>
      </c>
      <c r="L3" s="17">
        <v>0.4375</v>
      </c>
      <c r="M3" s="12">
        <v>0.44375000000000003</v>
      </c>
      <c r="N3" s="16">
        <v>4</v>
      </c>
      <c r="O3" s="16">
        <v>4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8">
        <v>44592</v>
      </c>
      <c r="B4" s="16" t="s">
        <v>334</v>
      </c>
      <c r="C4" s="16" t="s">
        <v>335</v>
      </c>
      <c r="D4" s="16" t="s">
        <v>331</v>
      </c>
      <c r="E4" s="16" t="s">
        <v>332</v>
      </c>
      <c r="F4" s="16" t="s">
        <v>333</v>
      </c>
      <c r="G4" s="16">
        <v>3500</v>
      </c>
      <c r="H4" s="16" t="s">
        <v>55</v>
      </c>
      <c r="I4" s="16" t="s">
        <v>55</v>
      </c>
      <c r="J4" s="17">
        <v>0.5625</v>
      </c>
      <c r="K4" s="15">
        <v>0.56666666666666665</v>
      </c>
      <c r="L4" s="17">
        <v>0.58333333333333337</v>
      </c>
      <c r="M4" s="12">
        <v>0.61111111111111105</v>
      </c>
      <c r="N4" s="16">
        <v>4</v>
      </c>
      <c r="O4" s="16">
        <v>4</v>
      </c>
      <c r="P4" s="16">
        <v>0</v>
      </c>
      <c r="Q4" s="16">
        <v>0</v>
      </c>
      <c r="R4" s="16"/>
      <c r="S4" s="16"/>
      <c r="T4" s="16"/>
      <c r="U4" s="1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2019-01-01T04:46:06Z</dcterms:created>
  <dcterms:modified xsi:type="dcterms:W3CDTF">2022-02-07T11:10:11Z</dcterms:modified>
</cp:coreProperties>
</file>