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725" windowWidth="14805" windowHeight="6390" tabRatio="819" firstSheet="4" activeTab="30"/>
  </bookViews>
  <sheets>
    <sheet name="01" sheetId="51" r:id="rId1"/>
    <sheet name="02" sheetId="52" r:id="rId2"/>
    <sheet name="03" sheetId="53" r:id="rId3"/>
    <sheet name="04" sheetId="54" r:id="rId4"/>
    <sheet name="05" sheetId="55" r:id="rId5"/>
    <sheet name="06" sheetId="56" r:id="rId6"/>
    <sheet name="07" sheetId="58" r:id="rId7"/>
    <sheet name="08" sheetId="59" r:id="rId8"/>
    <sheet name="09" sheetId="60" r:id="rId9"/>
    <sheet name="10" sheetId="61" r:id="rId10"/>
    <sheet name="11" sheetId="62" r:id="rId11"/>
    <sheet name="12" sheetId="63" r:id="rId12"/>
    <sheet name="13" sheetId="64" r:id="rId13"/>
    <sheet name="14" sheetId="65" r:id="rId14"/>
    <sheet name="15" sheetId="66" r:id="rId15"/>
    <sheet name="16" sheetId="67" r:id="rId16"/>
    <sheet name="17" sheetId="68" r:id="rId17"/>
    <sheet name="18" sheetId="69" r:id="rId18"/>
    <sheet name="19" sheetId="70" r:id="rId19"/>
    <sheet name="20" sheetId="71" r:id="rId20"/>
    <sheet name="21" sheetId="72" r:id="rId21"/>
    <sheet name="22" sheetId="73" r:id="rId22"/>
    <sheet name="23" sheetId="74" r:id="rId23"/>
    <sheet name="24" sheetId="75" r:id="rId24"/>
    <sheet name="25" sheetId="76" r:id="rId25"/>
    <sheet name="26" sheetId="77" r:id="rId26"/>
    <sheet name="27" sheetId="78" r:id="rId27"/>
    <sheet name="28" sheetId="79" r:id="rId28"/>
    <sheet name="29" sheetId="80" r:id="rId29"/>
    <sheet name="30" sheetId="81" r:id="rId30"/>
    <sheet name="31" sheetId="82" r:id="rId31"/>
  </sheets>
  <calcPr calcId="145621"/>
</workbook>
</file>

<file path=xl/calcChain.xml><?xml version="1.0" encoding="utf-8"?>
<calcChain xmlns="http://schemas.openxmlformats.org/spreadsheetml/2006/main">
  <c r="I11" i="77" l="1"/>
  <c r="I10" i="77" l="1"/>
  <c r="I8" i="68" l="1"/>
  <c r="H8" i="68"/>
  <c r="E6" i="65" l="1"/>
  <c r="E5" i="65"/>
  <c r="E4" i="65"/>
  <c r="E5" i="61" l="1"/>
  <c r="E7" i="61" s="1"/>
  <c r="E8" i="59" l="1"/>
  <c r="E7" i="59"/>
  <c r="E6" i="59"/>
  <c r="E5" i="59"/>
  <c r="E4" i="59"/>
  <c r="E6" i="54" l="1"/>
  <c r="E5" i="54"/>
  <c r="E4" i="54"/>
  <c r="E3" i="53" l="1"/>
  <c r="E5" i="53" s="1"/>
  <c r="E7" i="53" s="1"/>
</calcChain>
</file>

<file path=xl/sharedStrings.xml><?xml version="1.0" encoding="utf-8"?>
<sst xmlns="http://schemas.openxmlformats.org/spreadsheetml/2006/main" count="2270" uniqueCount="413">
  <si>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</si>
  <si>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</si>
  <si>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</si>
  <si>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</si>
  <si>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</si>
  <si>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</si>
  <si>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</si>
  <si>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</si>
  <si>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</si>
  <si>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</si>
  <si>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</si>
  <si>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</si>
  <si>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</si>
  <si>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</si>
  <si>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</si>
  <si>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</si>
  <si>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</si>
  <si>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</si>
  <si>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</si>
  <si>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</si>
  <si>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</si>
  <si>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</si>
  <si>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TZL-BER-TZL</t>
  </si>
  <si>
    <t>TZL-GOT-TZL</t>
  </si>
  <si>
    <t>TZL-FMM-TZL</t>
  </si>
  <si>
    <t>A320</t>
  </si>
  <si>
    <t>SCHEDULED</t>
  </si>
  <si>
    <t>W64276</t>
  </si>
  <si>
    <t>W64275</t>
  </si>
  <si>
    <t>W64296</t>
  </si>
  <si>
    <t>W64295</t>
  </si>
  <si>
    <t>W64280</t>
  </si>
  <si>
    <t>W64279</t>
  </si>
  <si>
    <t>TZL-VXO-TZL</t>
  </si>
  <si>
    <t>W64611</t>
  </si>
  <si>
    <t>W64612</t>
  </si>
  <si>
    <t>TZL-VIE-TZL</t>
  </si>
  <si>
    <t>TZL-HHN-TZL</t>
  </si>
  <si>
    <t>TZL-MLH-TZL</t>
  </si>
  <si>
    <t>W64286</t>
  </si>
  <si>
    <t>W64284</t>
  </si>
  <si>
    <t>W64294</t>
  </si>
  <si>
    <t>W64285</t>
  </si>
  <si>
    <t>W64283</t>
  </si>
  <si>
    <t>W64293</t>
  </si>
  <si>
    <t>NON-SCHEDULED</t>
  </si>
  <si>
    <t>177+3 INF</t>
  </si>
  <si>
    <t>169+2 INF</t>
  </si>
  <si>
    <t>HA-LYE</t>
  </si>
  <si>
    <t>168+4 INF</t>
  </si>
  <si>
    <t>DUŠAN KORC</t>
  </si>
  <si>
    <t>TEXAN CLUB</t>
  </si>
  <si>
    <t>S5-PEG</t>
  </si>
  <si>
    <t>HA-LPO</t>
  </si>
  <si>
    <t>173+7 INF</t>
  </si>
  <si>
    <t>174+2 INF</t>
  </si>
  <si>
    <t>150+2 INF</t>
  </si>
  <si>
    <t>TZL-MBX</t>
  </si>
  <si>
    <t>HA-LPO/LWO</t>
  </si>
  <si>
    <t>161+8 INF</t>
  </si>
  <si>
    <t>164+4 INF</t>
  </si>
  <si>
    <t>73+0 INF</t>
  </si>
  <si>
    <t>171+1 INF</t>
  </si>
  <si>
    <t>144+2 INF</t>
  </si>
  <si>
    <t>150+4 INF</t>
  </si>
  <si>
    <t>167+2 INF</t>
  </si>
  <si>
    <t>TZL-CGN-TZL</t>
  </si>
  <si>
    <t>W64300</t>
  </si>
  <si>
    <t>W64299</t>
  </si>
  <si>
    <t>TZL-DTM-TZL</t>
  </si>
  <si>
    <t>W64298</t>
  </si>
  <si>
    <t>W64297</t>
  </si>
  <si>
    <t>TZL-FKB-TZL</t>
  </si>
  <si>
    <t>W64618</t>
  </si>
  <si>
    <t>W64617</t>
  </si>
  <si>
    <t>FREEBIRD AIRLINES</t>
  </si>
  <si>
    <t>AYT-TZL-AYT</t>
  </si>
  <si>
    <t>CHARTER</t>
  </si>
  <si>
    <t>FH821</t>
  </si>
  <si>
    <t>FH822</t>
  </si>
  <si>
    <t>HA-LWO</t>
  </si>
  <si>
    <t>157+1 INF</t>
  </si>
  <si>
    <t>179+7 INF</t>
  </si>
  <si>
    <t>167+4 INF</t>
  </si>
  <si>
    <t>TC-FHI</t>
  </si>
  <si>
    <t>165+7 INF</t>
  </si>
  <si>
    <t>157+4 INF</t>
  </si>
  <si>
    <t>169+3 INF</t>
  </si>
  <si>
    <t>157+2 INF</t>
  </si>
  <si>
    <t>TZL-NUE-TZL</t>
  </si>
  <si>
    <t>HA-LYG</t>
  </si>
  <si>
    <t>W64614</t>
  </si>
  <si>
    <t>W64613</t>
  </si>
  <si>
    <t>168+6 INF</t>
  </si>
  <si>
    <t>162+6 INF</t>
  </si>
  <si>
    <t>158+1 INF</t>
  </si>
  <si>
    <t>124+5 INF</t>
  </si>
  <si>
    <t>163+5 INF</t>
  </si>
  <si>
    <t>145+2 INF</t>
  </si>
  <si>
    <t>168+2 INF</t>
  </si>
  <si>
    <t>166+4 INF</t>
  </si>
  <si>
    <t>156+6 INF</t>
  </si>
  <si>
    <t>160+5 INF</t>
  </si>
  <si>
    <t>164+7 INF</t>
  </si>
  <si>
    <t>167+0 INF</t>
  </si>
  <si>
    <t>TZL-MMX-TZL</t>
  </si>
  <si>
    <t>W64292</t>
  </si>
  <si>
    <t>W64291</t>
  </si>
  <si>
    <t>TZL-FDH-TZL</t>
  </si>
  <si>
    <t>W64616</t>
  </si>
  <si>
    <t>W64615</t>
  </si>
  <si>
    <t>TZL-BLL-TZL</t>
  </si>
  <si>
    <t>W64278</t>
  </si>
  <si>
    <t>W64277</t>
  </si>
  <si>
    <t>TZL-NYO-TZL</t>
  </si>
  <si>
    <t>W64282</t>
  </si>
  <si>
    <t>W64281</t>
  </si>
  <si>
    <t>178+4 INF</t>
  </si>
  <si>
    <t>141+5 INF</t>
  </si>
  <si>
    <t>72+0 INF</t>
  </si>
  <si>
    <t>153+6 INF</t>
  </si>
  <si>
    <t>AIRLEC AIR ESPACE</t>
  </si>
  <si>
    <t>BOD-TZL-XCR</t>
  </si>
  <si>
    <t>H25B</t>
  </si>
  <si>
    <t>F-HICU</t>
  </si>
  <si>
    <t>MEDEVAC</t>
  </si>
  <si>
    <t>ARL 127</t>
  </si>
  <si>
    <t>-</t>
  </si>
  <si>
    <t>178+3 INF</t>
  </si>
  <si>
    <t>173+4 INF</t>
  </si>
  <si>
    <t>62+1 INF</t>
  </si>
  <si>
    <t>91+1 INF</t>
  </si>
  <si>
    <t>HA-LYE/LYX</t>
  </si>
  <si>
    <t>166+2 INF</t>
  </si>
  <si>
    <t>180+6 INF</t>
  </si>
  <si>
    <t>TC-FBR</t>
  </si>
  <si>
    <t>180+5 INF</t>
  </si>
  <si>
    <t>175+4 INF</t>
  </si>
  <si>
    <t>REGA SWISS AIR AMBULANCE</t>
  </si>
  <si>
    <t>ZRH-TZL-ZRH</t>
  </si>
  <si>
    <t>CL650</t>
  </si>
  <si>
    <t>HB-JWB</t>
  </si>
  <si>
    <t>SAZ61</t>
  </si>
  <si>
    <t>SAZ62</t>
  </si>
  <si>
    <t>RAPID AVIATION</t>
  </si>
  <si>
    <t>JMK-TZL-LNZ</t>
  </si>
  <si>
    <t>C525</t>
  </si>
  <si>
    <t>T7-ACA</t>
  </si>
  <si>
    <t>INT.NONSCHEDULED</t>
  </si>
  <si>
    <t>155+6 INF</t>
  </si>
  <si>
    <t>71+1 INF</t>
  </si>
  <si>
    <t xml:space="preserve"> 178+3 INF</t>
  </si>
  <si>
    <t xml:space="preserve"> 174+3 INF</t>
  </si>
  <si>
    <t>69+3  INF</t>
  </si>
  <si>
    <t>177+2  INF</t>
  </si>
  <si>
    <t>180+6  INF</t>
  </si>
  <si>
    <t>172+1  INF</t>
  </si>
  <si>
    <t>168+3  INF</t>
  </si>
  <si>
    <t>163+3  INF</t>
  </si>
  <si>
    <t>158+2 INF</t>
  </si>
  <si>
    <t>HALWO</t>
  </si>
  <si>
    <t>HALYX</t>
  </si>
  <si>
    <t>152+5 INF</t>
  </si>
  <si>
    <t>176+5 INF</t>
  </si>
  <si>
    <t>156+2 INF</t>
  </si>
  <si>
    <t>184+4 INF</t>
  </si>
  <si>
    <t>167+5 INF</t>
  </si>
  <si>
    <t>73+2 INF</t>
  </si>
  <si>
    <t>165+4 INF</t>
  </si>
  <si>
    <t>160+3 INF</t>
  </si>
  <si>
    <t>HA-LYX</t>
  </si>
  <si>
    <t>151+5 INF</t>
  </si>
  <si>
    <t>177+1 INF</t>
  </si>
  <si>
    <t>176+3 INF</t>
  </si>
  <si>
    <t>44+1 INF</t>
  </si>
  <si>
    <t>85+5 INF</t>
  </si>
  <si>
    <t>176+1 INF</t>
  </si>
  <si>
    <t>168+5 INF</t>
  </si>
  <si>
    <t>56+2 INF</t>
  </si>
  <si>
    <t>160+1 INF</t>
  </si>
  <si>
    <t>177+4 INF</t>
  </si>
  <si>
    <t>154+7 INF</t>
  </si>
  <si>
    <t>31+1 INF</t>
  </si>
  <si>
    <t>166+5 INF</t>
  </si>
  <si>
    <t>160+2 INF</t>
  </si>
  <si>
    <t>173+5 INF</t>
  </si>
  <si>
    <t>163+7 INF</t>
  </si>
  <si>
    <t>154+3 INF</t>
  </si>
  <si>
    <t>156+5 INF</t>
  </si>
  <si>
    <t>174+5 INF</t>
  </si>
  <si>
    <t>179+3 INF</t>
  </si>
  <si>
    <t>161+7 INF</t>
  </si>
  <si>
    <t>159+3 INF</t>
  </si>
  <si>
    <t>165+3 INF</t>
  </si>
  <si>
    <t>153+8 INF</t>
  </si>
  <si>
    <t>PINK SPARROW</t>
  </si>
  <si>
    <t>TZL-TRS</t>
  </si>
  <si>
    <t>C25A</t>
  </si>
  <si>
    <t>OE-FRS</t>
  </si>
  <si>
    <t>ROP</t>
  </si>
  <si>
    <t>173+6 INF</t>
  </si>
  <si>
    <t>159+2 INF</t>
  </si>
  <si>
    <t>158+7 INF</t>
  </si>
  <si>
    <t>146+2 INF</t>
  </si>
  <si>
    <t>GEN.PVT.</t>
  </si>
  <si>
    <t>159+4 INF</t>
  </si>
  <si>
    <t>156+4 INF</t>
  </si>
  <si>
    <t>175+7 INF</t>
  </si>
  <si>
    <t>165+1 INF</t>
  </si>
  <si>
    <t>164+5 INF</t>
  </si>
  <si>
    <t>159+5 INF</t>
  </si>
  <si>
    <t>165+6 INF</t>
  </si>
  <si>
    <t>180+4 INF</t>
  </si>
  <si>
    <t>56+1 INF</t>
  </si>
  <si>
    <t>172+2 INF</t>
  </si>
  <si>
    <t>165+2 INF</t>
  </si>
  <si>
    <t>180+3 INF</t>
  </si>
  <si>
    <t>171+3 INF</t>
  </si>
  <si>
    <t>93+0 INF</t>
  </si>
  <si>
    <t>67+2 INF</t>
  </si>
  <si>
    <t>HA-LYX/LYE</t>
  </si>
  <si>
    <t>TC-FHK</t>
  </si>
  <si>
    <t>180+7 INF</t>
  </si>
  <si>
    <t>180+2 INF</t>
  </si>
  <si>
    <t>180+8 INF</t>
  </si>
  <si>
    <t>176+2 INF</t>
  </si>
  <si>
    <t>66+3 INF</t>
  </si>
  <si>
    <t>161+3 INF</t>
  </si>
  <si>
    <t>180+1 INF</t>
  </si>
  <si>
    <t>153+0 INF</t>
  </si>
  <si>
    <t>30+1 INF</t>
  </si>
  <si>
    <t>155+4 INF</t>
  </si>
  <si>
    <t>163+4 INF</t>
  </si>
  <si>
    <t>179+5 INF</t>
  </si>
  <si>
    <t>164+2 INF</t>
  </si>
  <si>
    <t>HALYG</t>
  </si>
  <si>
    <t>150+3 INF</t>
  </si>
  <si>
    <t>157+5 INF</t>
  </si>
  <si>
    <t>157+6 INF</t>
  </si>
  <si>
    <t>159+1 INF</t>
  </si>
  <si>
    <t>177+6 INF</t>
  </si>
  <si>
    <t>168+0 INF</t>
  </si>
  <si>
    <t>49+1 INF</t>
  </si>
  <si>
    <t>151+2 INF</t>
  </si>
  <si>
    <t>163+2 INF</t>
  </si>
  <si>
    <t>158+5 INF</t>
  </si>
  <si>
    <t>186+2 INF</t>
  </si>
  <si>
    <t>64+2 INF</t>
  </si>
  <si>
    <t>78+2 INF</t>
  </si>
  <si>
    <t>170+9 INF</t>
  </si>
  <si>
    <t>62+2 INF</t>
  </si>
  <si>
    <t>163+1 INF</t>
  </si>
  <si>
    <t>27+1 INF</t>
  </si>
  <si>
    <t>167+3 INF</t>
  </si>
  <si>
    <t>182+5 INF</t>
  </si>
  <si>
    <t>168+10 INF</t>
  </si>
  <si>
    <t>161+5 INF</t>
  </si>
  <si>
    <t>158+3 INF</t>
  </si>
  <si>
    <t>135+2 INF</t>
  </si>
  <si>
    <t>145+3 INF</t>
  </si>
  <si>
    <t>156+ 7 INF</t>
  </si>
  <si>
    <t>173+2 INF</t>
  </si>
  <si>
    <t>162+ 10 INF</t>
  </si>
  <si>
    <t>148+9 INF</t>
  </si>
  <si>
    <t>148+3 INF</t>
  </si>
  <si>
    <t>169+6 INF</t>
  </si>
  <si>
    <t>KOMPANIJA TAKOVO</t>
  </si>
  <si>
    <t>BEG-TZL-BNX</t>
  </si>
  <si>
    <t>AW109</t>
  </si>
  <si>
    <t>YU-HRD</t>
  </si>
  <si>
    <t>HELICOPTER</t>
  </si>
  <si>
    <t>121+1 INF</t>
  </si>
  <si>
    <t>40+1 INF</t>
  </si>
  <si>
    <t>143+4 INF</t>
  </si>
  <si>
    <t>175+5 INF</t>
  </si>
  <si>
    <t>48+2 INF</t>
  </si>
  <si>
    <t>169+1 INF</t>
  </si>
  <si>
    <t>TC-FHC</t>
  </si>
  <si>
    <t>178+7 INF</t>
  </si>
  <si>
    <t>163+3 INF</t>
  </si>
  <si>
    <t>169+7 INF</t>
  </si>
  <si>
    <t>161+3INF</t>
  </si>
  <si>
    <t>169+10 INF</t>
  </si>
  <si>
    <t>55+1 INF</t>
  </si>
  <si>
    <t>171+7 INF</t>
  </si>
  <si>
    <t>179+6 INF</t>
  </si>
  <si>
    <t>168+3 INF</t>
  </si>
  <si>
    <t>HALYE</t>
  </si>
  <si>
    <t>172+3 INF</t>
  </si>
  <si>
    <t>ZRH-TZL-SOB</t>
  </si>
  <si>
    <t>HB-JWA</t>
  </si>
  <si>
    <t>SAZ51</t>
  </si>
  <si>
    <t>SAZ52</t>
  </si>
  <si>
    <t>FMM-TZL</t>
  </si>
  <si>
    <t>HA-LYT</t>
  </si>
  <si>
    <t>W64638</t>
  </si>
  <si>
    <t>TZL-GOT</t>
  </si>
  <si>
    <t>FERRY OUT</t>
  </si>
  <si>
    <t>W64625</t>
  </si>
  <si>
    <t>171+6 INF</t>
  </si>
  <si>
    <t>177+5INF</t>
  </si>
  <si>
    <t>166+5INF</t>
  </si>
  <si>
    <t>128+9INF</t>
  </si>
  <si>
    <t>63+INF</t>
  </si>
  <si>
    <t>177+4INF</t>
  </si>
  <si>
    <t>178+5 INF</t>
  </si>
  <si>
    <t>61+0 INF</t>
  </si>
  <si>
    <t>66+2 INF</t>
  </si>
  <si>
    <t>HA.LYG</t>
  </si>
  <si>
    <t>176+6 INF</t>
  </si>
  <si>
    <t>167+6 INF</t>
  </si>
  <si>
    <t>122+2 INF</t>
  </si>
  <si>
    <t>47+1 INF</t>
  </si>
  <si>
    <t>172+5 INF</t>
  </si>
  <si>
    <t>170+5 INF</t>
  </si>
  <si>
    <t>171+2 INF</t>
  </si>
  <si>
    <t>174+3 INF</t>
  </si>
  <si>
    <t>133+6 INF</t>
  </si>
  <si>
    <t>19+0 INF</t>
  </si>
  <si>
    <t>149+2 INF</t>
  </si>
  <si>
    <t>143+5 INF</t>
  </si>
  <si>
    <t>118+3 INF</t>
  </si>
  <si>
    <t>176+4 INF</t>
  </si>
  <si>
    <t>105+2 INF</t>
  </si>
  <si>
    <t>175+1 INF</t>
  </si>
  <si>
    <t>153+1 INF</t>
  </si>
  <si>
    <t>127+2 INF</t>
  </si>
  <si>
    <t>176+3INF</t>
  </si>
  <si>
    <t>115+5INF</t>
  </si>
  <si>
    <t>170+6INF</t>
  </si>
  <si>
    <t>141+6 INF</t>
  </si>
  <si>
    <t>104+4 INF</t>
  </si>
  <si>
    <t>151+4 INF</t>
  </si>
  <si>
    <t>169+5 INF</t>
  </si>
  <si>
    <t>ALPAVIA D.O.O.</t>
  </si>
  <si>
    <t>SJJ-TZL</t>
  </si>
  <si>
    <t>C510</t>
  </si>
  <si>
    <t>S5-CMS</t>
  </si>
  <si>
    <t>TEHNICAL FLIGHT</t>
  </si>
  <si>
    <t>113+3 INF</t>
  </si>
  <si>
    <t>131+3 INF</t>
  </si>
  <si>
    <t>164+5INF</t>
  </si>
  <si>
    <t>165+9INF</t>
  </si>
  <si>
    <t>81+1 INF</t>
  </si>
  <si>
    <t>75+1 INF</t>
  </si>
  <si>
    <t>176+4INF</t>
  </si>
  <si>
    <t>74+0 INF</t>
  </si>
  <si>
    <t>78+3 INF</t>
  </si>
  <si>
    <t>73+1 INF</t>
  </si>
  <si>
    <t>22::23</t>
  </si>
  <si>
    <t>169+4 INF</t>
  </si>
  <si>
    <t>170+4 INF</t>
  </si>
  <si>
    <t>178+8 INF</t>
  </si>
  <si>
    <t>TC-FHP</t>
  </si>
  <si>
    <t>155+3 INF</t>
  </si>
  <si>
    <t>179+10 INF</t>
  </si>
  <si>
    <t>JET EXECUTIVE</t>
  </si>
  <si>
    <t>MUC-TZL-FKB</t>
  </si>
  <si>
    <t>LJ55</t>
  </si>
  <si>
    <t>D-CGBR</t>
  </si>
  <si>
    <t>JEI151</t>
  </si>
  <si>
    <t>102+2 INF</t>
  </si>
  <si>
    <t>ALPAVIA</t>
  </si>
  <si>
    <t>TZL-SJJ</t>
  </si>
  <si>
    <t>TECHNICAL/FERRY</t>
  </si>
  <si>
    <t>167+7 INF</t>
  </si>
  <si>
    <t>36+0 INF</t>
  </si>
  <si>
    <t>151+1 INF</t>
  </si>
  <si>
    <t>172+9 INF</t>
  </si>
  <si>
    <t>147+2 INF</t>
  </si>
  <si>
    <t>HALYG/HA-LWV</t>
  </si>
  <si>
    <t>146+3 INF</t>
  </si>
  <si>
    <t>HA-LWV</t>
  </si>
  <si>
    <t>164+3 INF</t>
  </si>
  <si>
    <t>84+0 INF</t>
  </si>
  <si>
    <t>107+4 INF</t>
  </si>
  <si>
    <t>156+3</t>
  </si>
  <si>
    <t>120+1 INF</t>
  </si>
  <si>
    <t>109+5 INF</t>
  </si>
  <si>
    <t>47+0 INF</t>
  </si>
  <si>
    <t>62+0 INF</t>
  </si>
  <si>
    <t>HA-LYE/LYZ</t>
  </si>
  <si>
    <t>154+1 INF</t>
  </si>
  <si>
    <t>137+3 INF</t>
  </si>
  <si>
    <t>46+0 INF</t>
  </si>
  <si>
    <t>170+3 INF</t>
  </si>
  <si>
    <t>LIEBHERR AVIAITON</t>
  </si>
  <si>
    <t>GRZ-TZL</t>
  </si>
  <si>
    <t>E55P</t>
  </si>
  <si>
    <t>D-CLAM</t>
  </si>
  <si>
    <t>GEN.PVT</t>
  </si>
  <si>
    <t>172+7 INF</t>
  </si>
  <si>
    <t>135+1 INF</t>
  </si>
  <si>
    <t>118+4 INF</t>
  </si>
  <si>
    <t>138+2 INF</t>
  </si>
  <si>
    <t>HA-LYZ</t>
  </si>
  <si>
    <t>179+1 INF</t>
  </si>
  <si>
    <t>180+8INF</t>
  </si>
  <si>
    <t>87+4 INF</t>
  </si>
  <si>
    <t>169+5INF</t>
  </si>
  <si>
    <t>TZL-GRZ</t>
  </si>
  <si>
    <t>127+0 INF</t>
  </si>
  <si>
    <t>94+6 INF</t>
  </si>
  <si>
    <t>HA.LYZ</t>
  </si>
  <si>
    <t>119+2 INF</t>
  </si>
  <si>
    <t>164+9 INF</t>
  </si>
  <si>
    <t>163+9 INF</t>
  </si>
  <si>
    <t>103+1 INF</t>
  </si>
  <si>
    <t>78+4 INF</t>
  </si>
  <si>
    <t>158+4 INF</t>
  </si>
  <si>
    <t>168+7 INF</t>
  </si>
  <si>
    <t>108+1 INF</t>
  </si>
  <si>
    <t>127+4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</si>
</sst>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2" fillId="0" borderId="0" xfId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2" fillId="0" borderId="0" xfId="1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</cellXfs>
  <cellStyles count="3">
    <cellStyle name="Normal" xfId="0" builtinId="0"/>
    <cellStyle name="Normal 3 2" xfId="2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F33" sqref="F33"/>
    </sheetView>
  </sheetViews>
  <sheetFormatPr defaultRowHeight="12.75" x14ac:dyDescent="0.2"/>
  <cols>
    <col min="1" max="1" width="10.140625" style="6" bestFit="1" customWidth="1"/>
    <col min="2" max="2" width="20" style="6" customWidth="1"/>
    <col min="3" max="3" width="13.42578125" style="6" bestFit="1" customWidth="1"/>
    <col min="4" max="4" width="14.140625" style="6" customWidth="1"/>
    <col min="5" max="5" width="12.42578125" style="6" customWidth="1"/>
    <col min="6" max="6" width="17" style="6" customWidth="1"/>
    <col min="7" max="16384" width="9.140625" style="6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44774</v>
      </c>
      <c r="B2" s="3" t="s">
        <v>21</v>
      </c>
      <c r="C2" s="3" t="s">
        <v>22</v>
      </c>
      <c r="D2" s="3" t="s">
        <v>25</v>
      </c>
      <c r="E2" s="3" t="s">
        <v>48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0.43402777777777773</v>
      </c>
      <c r="L2" s="4">
        <v>0.25694444444444448</v>
      </c>
      <c r="M2" s="5">
        <v>0.27152777777777776</v>
      </c>
      <c r="N2" s="3" t="s">
        <v>56</v>
      </c>
      <c r="O2" s="3" t="s">
        <v>54</v>
      </c>
      <c r="P2" s="3">
        <v>1042</v>
      </c>
      <c r="Q2" s="3">
        <v>976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v>44774</v>
      </c>
      <c r="B3" s="3" t="s">
        <v>21</v>
      </c>
      <c r="C3" s="3" t="s">
        <v>23</v>
      </c>
      <c r="D3" s="3" t="s">
        <v>25</v>
      </c>
      <c r="E3" s="3" t="s">
        <v>53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0.50902777777777775</v>
      </c>
      <c r="L3" s="4">
        <v>0.28125</v>
      </c>
      <c r="M3" s="5">
        <v>0.28541666666666665</v>
      </c>
      <c r="N3" s="3" t="s">
        <v>47</v>
      </c>
      <c r="O3" s="3" t="s">
        <v>55</v>
      </c>
      <c r="P3" s="3">
        <v>1206</v>
      </c>
      <c r="Q3" s="3">
        <v>1648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">
      <c r="A4" s="2">
        <v>44774</v>
      </c>
      <c r="B4" s="3" t="s">
        <v>21</v>
      </c>
      <c r="C4" s="3" t="s">
        <v>24</v>
      </c>
      <c r="D4" s="3" t="s">
        <v>25</v>
      </c>
      <c r="E4" s="3" t="s">
        <v>48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0.61111111111111105</v>
      </c>
      <c r="K4" s="5">
        <v>0.63263888888888886</v>
      </c>
      <c r="L4" s="4">
        <v>0.46180555555555558</v>
      </c>
      <c r="M4" s="5">
        <v>0.49374999999999997</v>
      </c>
      <c r="N4" s="3" t="s">
        <v>59</v>
      </c>
      <c r="O4" s="3" t="s">
        <v>49</v>
      </c>
      <c r="P4" s="3">
        <v>1271</v>
      </c>
      <c r="Q4" s="3">
        <v>953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2">
        <v>44774</v>
      </c>
      <c r="B5" s="3" t="s">
        <v>21</v>
      </c>
      <c r="C5" s="3" t="s">
        <v>33</v>
      </c>
      <c r="D5" s="3" t="s">
        <v>25</v>
      </c>
      <c r="E5" s="3" t="s">
        <v>53</v>
      </c>
      <c r="F5" s="1" t="s">
        <v>26</v>
      </c>
      <c r="G5" s="3">
        <v>70000</v>
      </c>
      <c r="H5" s="3" t="s">
        <v>35</v>
      </c>
      <c r="I5" s="3" t="s">
        <v>34</v>
      </c>
      <c r="J5" s="4">
        <v>0.75694444444444453</v>
      </c>
      <c r="K5" s="5">
        <v>0.75277777777777777</v>
      </c>
      <c r="L5" s="4">
        <v>0.54166666666666663</v>
      </c>
      <c r="M5" s="5">
        <v>0.56111111111111112</v>
      </c>
      <c r="N5" s="3" t="s">
        <v>61</v>
      </c>
      <c r="O5" s="3" t="s">
        <v>46</v>
      </c>
      <c r="P5" s="3">
        <v>425</v>
      </c>
      <c r="Q5" s="3">
        <v>1827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2">
        <v>44774</v>
      </c>
      <c r="B6" s="3" t="s">
        <v>21</v>
      </c>
      <c r="C6" s="6" t="s">
        <v>36</v>
      </c>
      <c r="D6" s="3" t="s">
        <v>25</v>
      </c>
      <c r="E6" s="3" t="s">
        <v>48</v>
      </c>
      <c r="F6" s="1" t="s">
        <v>26</v>
      </c>
      <c r="G6" s="3">
        <v>70000</v>
      </c>
      <c r="H6" s="6" t="s">
        <v>39</v>
      </c>
      <c r="I6" s="6" t="s">
        <v>42</v>
      </c>
      <c r="J6" s="7">
        <v>0.75694444444444453</v>
      </c>
      <c r="K6" s="8">
        <v>0.78472222222222221</v>
      </c>
      <c r="L6" s="7">
        <v>0.64236111111111105</v>
      </c>
      <c r="M6" s="8">
        <v>0.6694444444444444</v>
      </c>
      <c r="N6" s="3" t="s">
        <v>62</v>
      </c>
      <c r="O6" s="3" t="s">
        <v>60</v>
      </c>
      <c r="P6" s="6">
        <v>522</v>
      </c>
      <c r="Q6" s="6">
        <v>612</v>
      </c>
      <c r="R6" s="6">
        <v>0</v>
      </c>
      <c r="S6" s="6">
        <v>0</v>
      </c>
      <c r="T6" s="6">
        <v>0</v>
      </c>
      <c r="U6" s="6">
        <v>0</v>
      </c>
    </row>
    <row r="7" spans="1:21" x14ac:dyDescent="0.2">
      <c r="A7" s="2">
        <v>44774</v>
      </c>
      <c r="B7" s="3" t="s">
        <v>21</v>
      </c>
      <c r="C7" s="6" t="s">
        <v>37</v>
      </c>
      <c r="D7" s="3" t="s">
        <v>25</v>
      </c>
      <c r="E7" s="3" t="s">
        <v>58</v>
      </c>
      <c r="F7" s="1" t="s">
        <v>26</v>
      </c>
      <c r="G7" s="3">
        <v>70000</v>
      </c>
      <c r="H7" s="6" t="s">
        <v>40</v>
      </c>
      <c r="I7" s="6" t="s">
        <v>43</v>
      </c>
      <c r="J7" s="7">
        <v>0.96180555555555547</v>
      </c>
      <c r="K7" s="8">
        <v>0.98055555555555562</v>
      </c>
      <c r="L7" s="7">
        <v>0.77777777777777779</v>
      </c>
      <c r="M7" s="8">
        <v>0.79305555555555562</v>
      </c>
      <c r="N7" s="3" t="s">
        <v>65</v>
      </c>
      <c r="O7" s="3" t="s">
        <v>63</v>
      </c>
      <c r="P7" s="6">
        <v>994</v>
      </c>
      <c r="Q7" s="6">
        <v>558</v>
      </c>
      <c r="R7" s="6">
        <v>0</v>
      </c>
      <c r="S7" s="6">
        <v>0</v>
      </c>
      <c r="T7" s="6">
        <v>0</v>
      </c>
      <c r="U7" s="6">
        <v>0</v>
      </c>
    </row>
    <row r="8" spans="1:21" x14ac:dyDescent="0.2">
      <c r="A8" s="2">
        <v>44774</v>
      </c>
      <c r="B8" s="3" t="s">
        <v>21</v>
      </c>
      <c r="C8" s="6" t="s">
        <v>38</v>
      </c>
      <c r="D8" s="3" t="s">
        <v>25</v>
      </c>
      <c r="E8" s="3" t="s">
        <v>48</v>
      </c>
      <c r="F8" s="1" t="s">
        <v>26</v>
      </c>
      <c r="G8" s="3">
        <v>70000</v>
      </c>
      <c r="H8" s="6" t="s">
        <v>41</v>
      </c>
      <c r="I8" s="6" t="s">
        <v>44</v>
      </c>
      <c r="J8" s="7">
        <v>0.97569444444444453</v>
      </c>
      <c r="K8" s="8">
        <v>1.3194444444444444E-2</v>
      </c>
      <c r="L8" s="7">
        <v>0.77777777777777779</v>
      </c>
      <c r="M8" s="8">
        <v>0.83124999999999993</v>
      </c>
      <c r="N8" s="3" t="s">
        <v>64</v>
      </c>
      <c r="O8" s="3" t="s">
        <v>46</v>
      </c>
      <c r="P8" s="6">
        <v>1104</v>
      </c>
      <c r="Q8" s="6">
        <v>1257</v>
      </c>
      <c r="R8" s="6">
        <v>0</v>
      </c>
      <c r="S8" s="6">
        <v>0</v>
      </c>
      <c r="T8" s="6">
        <v>0</v>
      </c>
      <c r="U8" s="6">
        <v>0</v>
      </c>
    </row>
    <row r="9" spans="1:21" x14ac:dyDescent="0.2">
      <c r="A9" s="2">
        <v>44774</v>
      </c>
      <c r="B9" s="3" t="s">
        <v>50</v>
      </c>
      <c r="C9" s="6" t="s">
        <v>57</v>
      </c>
      <c r="D9" s="6" t="s">
        <v>51</v>
      </c>
      <c r="E9" s="6" t="s">
        <v>52</v>
      </c>
      <c r="F9" s="9" t="s">
        <v>45</v>
      </c>
      <c r="G9" s="3">
        <v>473</v>
      </c>
      <c r="H9" s="10"/>
      <c r="I9" s="6" t="s">
        <v>52</v>
      </c>
      <c r="J9" s="10"/>
      <c r="K9" s="10"/>
      <c r="L9" s="7">
        <v>0.40972222222222227</v>
      </c>
      <c r="M9" s="8">
        <v>0.40972222222222227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>
      <selection activeCell="H34" sqref="H34"/>
    </sheetView>
  </sheetViews>
  <sheetFormatPr defaultRowHeight="15" x14ac:dyDescent="0.25"/>
  <cols>
    <col min="1" max="1" width="11" bestFit="1" customWidth="1"/>
    <col min="2" max="2" width="19" customWidth="1"/>
    <col min="3" max="3" width="13.42578125" customWidth="1"/>
    <col min="5" max="6" width="12" customWidth="1"/>
    <col min="7" max="7" width="9.42578125" bestFit="1" customWidth="1"/>
    <col min="10" max="10" width="9.42578125" bestFit="1" customWidth="1"/>
    <col min="12" max="12" width="9.42578125" bestFit="1" customWidth="1"/>
    <col min="16" max="21" width="9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spans="1:22" x14ac:dyDescent="0.25">
      <c r="A2" s="2">
        <v>44775</v>
      </c>
      <c r="B2" s="3" t="s">
        <v>21</v>
      </c>
      <c r="C2" s="3" t="s">
        <v>66</v>
      </c>
      <c r="D2" s="3" t="s">
        <v>25</v>
      </c>
      <c r="E2" s="3" t="s">
        <v>48</v>
      </c>
      <c r="F2" s="1" t="s">
        <v>26</v>
      </c>
      <c r="G2" s="3">
        <v>70000</v>
      </c>
      <c r="H2" s="3" t="s">
        <v>67</v>
      </c>
      <c r="I2" s="3" t="s">
        <v>68</v>
      </c>
      <c r="J2" s="4">
        <v>0.47222222222222227</v>
      </c>
      <c r="K2" s="5">
        <v>0.47291666666666665</v>
      </c>
      <c r="L2" s="4">
        <v>0.28125</v>
      </c>
      <c r="M2" s="5">
        <v>0.29166666666666669</v>
      </c>
      <c r="N2" s="3" t="s">
        <v>85</v>
      </c>
      <c r="O2" s="3" t="s">
        <v>81</v>
      </c>
      <c r="P2" s="3">
        <v>1165</v>
      </c>
      <c r="Q2" s="3">
        <v>725</v>
      </c>
      <c r="R2" s="3">
        <v>0</v>
      </c>
      <c r="S2" s="3">
        <v>0</v>
      </c>
      <c r="T2" s="3">
        <v>0</v>
      </c>
      <c r="U2" s="3">
        <v>0</v>
      </c>
    </row>
    <row r="3" spans="1:22" x14ac:dyDescent="0.25">
      <c r="A3" s="2">
        <v>44775</v>
      </c>
      <c r="B3" s="3" t="s">
        <v>21</v>
      </c>
      <c r="C3" s="3" t="s">
        <v>69</v>
      </c>
      <c r="D3" s="3" t="s">
        <v>25</v>
      </c>
      <c r="E3" s="3" t="s">
        <v>80</v>
      </c>
      <c r="F3" s="1" t="s">
        <v>26</v>
      </c>
      <c r="G3" s="3">
        <v>70000</v>
      </c>
      <c r="H3" s="3" t="s">
        <v>70</v>
      </c>
      <c r="I3" s="3" t="s">
        <v>71</v>
      </c>
      <c r="J3" s="4">
        <v>0.82986111111111116</v>
      </c>
      <c r="K3" s="5">
        <v>0.83472222222222225</v>
      </c>
      <c r="L3" s="4">
        <v>0.40972222222222227</v>
      </c>
      <c r="M3" s="5">
        <v>0.41319444444444442</v>
      </c>
      <c r="N3" s="3" t="s">
        <v>87</v>
      </c>
      <c r="O3" s="3" t="s">
        <v>83</v>
      </c>
      <c r="P3" s="3">
        <v>1164</v>
      </c>
      <c r="Q3" s="3">
        <v>955</v>
      </c>
      <c r="R3" s="3">
        <v>0</v>
      </c>
      <c r="S3" s="3">
        <v>0</v>
      </c>
      <c r="T3" s="3">
        <v>0</v>
      </c>
      <c r="U3" s="3">
        <v>0</v>
      </c>
    </row>
    <row r="4" spans="1:22" x14ac:dyDescent="0.25">
      <c r="A4" s="2">
        <v>44775</v>
      </c>
      <c r="B4" s="3" t="s">
        <v>21</v>
      </c>
      <c r="C4" s="3" t="s">
        <v>72</v>
      </c>
      <c r="D4" s="3" t="s">
        <v>25</v>
      </c>
      <c r="E4" s="3" t="s">
        <v>48</v>
      </c>
      <c r="F4" s="1" t="s">
        <v>26</v>
      </c>
      <c r="G4" s="3">
        <v>70000</v>
      </c>
      <c r="H4" s="3" t="s">
        <v>73</v>
      </c>
      <c r="I4" s="3" t="s">
        <v>74</v>
      </c>
      <c r="J4" s="4">
        <v>0.91319444444444453</v>
      </c>
      <c r="K4" s="5">
        <v>0.9</v>
      </c>
      <c r="L4" s="4">
        <v>0.50347222222222221</v>
      </c>
      <c r="M4" s="5">
        <v>0.51458333333333328</v>
      </c>
      <c r="N4" s="3" t="s">
        <v>88</v>
      </c>
      <c r="O4" s="3" t="s">
        <v>86</v>
      </c>
      <c r="P4" s="3">
        <v>1034</v>
      </c>
      <c r="Q4" s="3">
        <v>689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2">
        <v>44775</v>
      </c>
      <c r="B5" s="3" t="s">
        <v>75</v>
      </c>
      <c r="C5" s="3" t="s">
        <v>76</v>
      </c>
      <c r="D5" s="3" t="s">
        <v>25</v>
      </c>
      <c r="E5" s="3" t="s">
        <v>84</v>
      </c>
      <c r="F5" s="1" t="s">
        <v>77</v>
      </c>
      <c r="G5" s="11">
        <v>77000</v>
      </c>
      <c r="H5" s="3" t="s">
        <v>78</v>
      </c>
      <c r="I5" s="3" t="s">
        <v>79</v>
      </c>
      <c r="J5" s="4">
        <v>0.3298611111111111</v>
      </c>
      <c r="K5" s="5">
        <v>0.36388888888888887</v>
      </c>
      <c r="L5" s="4">
        <v>0.37152777777777773</v>
      </c>
      <c r="M5" s="5">
        <v>0.40625</v>
      </c>
      <c r="N5" s="3" t="s">
        <v>82</v>
      </c>
      <c r="O5" s="3" t="s">
        <v>82</v>
      </c>
      <c r="P5" s="3">
        <v>2331</v>
      </c>
      <c r="Q5" s="3">
        <v>2117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2"/>
      <c r="B6" s="3"/>
      <c r="C6" s="3"/>
      <c r="D6" s="3"/>
      <c r="E6" s="3"/>
      <c r="F6" s="9"/>
      <c r="G6" s="3"/>
      <c r="H6" s="3"/>
      <c r="I6" s="3"/>
      <c r="J6" s="4"/>
      <c r="K6" s="5"/>
      <c r="L6" s="4"/>
      <c r="M6" s="5"/>
      <c r="N6" s="3"/>
      <c r="O6" s="3"/>
      <c r="P6" s="3"/>
      <c r="Q6" s="3"/>
      <c r="R6" s="3"/>
      <c r="S6" s="3"/>
      <c r="T6" s="3"/>
      <c r="U6" s="3"/>
    </row>
    <row r="7" spans="1:2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E18" sqref="E18"/>
    </sheetView>
  </sheetViews>
  <sheetFormatPr defaultRowHeight="15" x14ac:dyDescent="0.25"/>
  <cols>
    <col min="2" max="2" width="12.85546875" bestFit="1" customWidth="1"/>
    <col min="3" max="3" width="14.140625" customWidth="1"/>
    <col min="4" max="4" width="12.42578125" bestFit="1" customWidth="1"/>
    <col min="6" max="6" width="14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44776</v>
      </c>
      <c r="B2" s="3" t="s">
        <v>21</v>
      </c>
      <c r="C2" s="3" t="s">
        <v>22</v>
      </c>
      <c r="D2" s="3" t="s">
        <v>25</v>
      </c>
      <c r="E2" s="3" t="s">
        <v>48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0.43055555555555558</v>
      </c>
      <c r="K2" s="5">
        <v>0.42638888888888887</v>
      </c>
      <c r="L2" s="4">
        <v>0.25694444444444448</v>
      </c>
      <c r="M2" s="5">
        <v>0.2638888888888889</v>
      </c>
      <c r="N2" s="3" t="s">
        <v>95</v>
      </c>
      <c r="O2" s="3" t="s">
        <v>93</v>
      </c>
      <c r="P2" s="3">
        <v>678</v>
      </c>
      <c r="Q2" s="3">
        <v>781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44776</v>
      </c>
      <c r="B3" s="3" t="s">
        <v>21</v>
      </c>
      <c r="C3" s="3" t="s">
        <v>24</v>
      </c>
      <c r="D3" s="3" t="s">
        <v>25</v>
      </c>
      <c r="E3" s="3" t="str">
        <f>E2</f>
        <v>HA-LYE</v>
      </c>
      <c r="F3" s="1" t="s">
        <v>26</v>
      </c>
      <c r="G3" s="3">
        <v>70000</v>
      </c>
      <c r="H3" s="3" t="s">
        <v>31</v>
      </c>
      <c r="I3" s="3" t="s">
        <v>32</v>
      </c>
      <c r="J3" s="4">
        <v>0.60069444444444442</v>
      </c>
      <c r="K3" s="5">
        <v>0.60763888888888895</v>
      </c>
      <c r="L3" s="4">
        <v>0.4513888888888889</v>
      </c>
      <c r="M3" s="5">
        <v>0.46249999999999997</v>
      </c>
      <c r="N3" s="3" t="s">
        <v>100</v>
      </c>
      <c r="O3" s="3" t="s">
        <v>94</v>
      </c>
      <c r="P3" s="3">
        <v>1140</v>
      </c>
      <c r="Q3" s="3">
        <v>743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44776</v>
      </c>
      <c r="B4" s="3" t="s">
        <v>21</v>
      </c>
      <c r="C4" s="3" t="s">
        <v>89</v>
      </c>
      <c r="D4" s="3" t="s">
        <v>25</v>
      </c>
      <c r="E4" s="6" t="s">
        <v>90</v>
      </c>
      <c r="F4" s="1" t="s">
        <v>26</v>
      </c>
      <c r="G4" s="3">
        <v>70000</v>
      </c>
      <c r="H4" s="3" t="s">
        <v>91</v>
      </c>
      <c r="I4" s="3" t="s">
        <v>92</v>
      </c>
      <c r="J4" s="4">
        <v>0.69791666666666663</v>
      </c>
      <c r="K4" s="5">
        <v>0.75486111111111109</v>
      </c>
      <c r="L4" s="4">
        <v>0.54166666666666663</v>
      </c>
      <c r="M4" s="5">
        <v>0.58680555555555558</v>
      </c>
      <c r="N4" s="3" t="s">
        <v>101</v>
      </c>
      <c r="O4" s="3" t="s">
        <v>96</v>
      </c>
      <c r="P4" s="3">
        <v>375</v>
      </c>
      <c r="Q4" s="3">
        <v>673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44776</v>
      </c>
      <c r="B5" s="3" t="s">
        <v>21</v>
      </c>
      <c r="C5" s="3" t="s">
        <v>36</v>
      </c>
      <c r="D5" s="3" t="s">
        <v>25</v>
      </c>
      <c r="E5" s="3" t="str">
        <f>E3</f>
        <v>HA-LYE</v>
      </c>
      <c r="F5" s="1" t="s">
        <v>26</v>
      </c>
      <c r="G5" s="3">
        <v>70000</v>
      </c>
      <c r="H5" s="3" t="s">
        <v>39</v>
      </c>
      <c r="I5" s="3" t="s">
        <v>42</v>
      </c>
      <c r="J5" s="4">
        <v>0.74652777777777779</v>
      </c>
      <c r="K5" s="5">
        <v>0.75694444444444453</v>
      </c>
      <c r="L5" s="4">
        <v>0.63194444444444442</v>
      </c>
      <c r="M5" s="5">
        <v>0.64583333333333337</v>
      </c>
      <c r="N5" s="3" t="s">
        <v>102</v>
      </c>
      <c r="O5" s="3" t="s">
        <v>97</v>
      </c>
      <c r="P5" s="3">
        <v>691</v>
      </c>
      <c r="Q5" s="3">
        <v>776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44776</v>
      </c>
      <c r="B6" s="3" t="s">
        <v>21</v>
      </c>
      <c r="C6" s="3" t="s">
        <v>37</v>
      </c>
      <c r="D6" s="3" t="s">
        <v>25</v>
      </c>
      <c r="E6" s="3" t="s">
        <v>90</v>
      </c>
      <c r="F6" s="1" t="s">
        <v>26</v>
      </c>
      <c r="G6" s="3">
        <v>70000</v>
      </c>
      <c r="H6" s="3" t="s">
        <v>40</v>
      </c>
      <c r="I6" s="3" t="s">
        <v>43</v>
      </c>
      <c r="J6" s="4">
        <v>0.90277777777777779</v>
      </c>
      <c r="K6" s="5">
        <v>0.95763888888888893</v>
      </c>
      <c r="L6" s="4">
        <v>0.71875</v>
      </c>
      <c r="M6" s="5">
        <v>0.78680555555555554</v>
      </c>
      <c r="N6" s="3" t="s">
        <v>103</v>
      </c>
      <c r="O6" s="3" t="s">
        <v>98</v>
      </c>
      <c r="P6" s="3">
        <v>1341</v>
      </c>
      <c r="Q6" s="3">
        <v>739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44776</v>
      </c>
      <c r="B7" s="3" t="s">
        <v>21</v>
      </c>
      <c r="C7" s="3" t="s">
        <v>38</v>
      </c>
      <c r="D7" s="3" t="s">
        <v>25</v>
      </c>
      <c r="E7" s="3" t="str">
        <f>E5</f>
        <v>HA-LYE</v>
      </c>
      <c r="F7" s="1" t="s">
        <v>26</v>
      </c>
      <c r="G7" s="3">
        <v>70000</v>
      </c>
      <c r="H7" s="3" t="s">
        <v>41</v>
      </c>
      <c r="I7" s="3" t="s">
        <v>44</v>
      </c>
      <c r="J7" s="4">
        <v>0.9375</v>
      </c>
      <c r="K7" s="5">
        <v>0.95000000000000007</v>
      </c>
      <c r="L7" s="4">
        <v>0.76736111111111116</v>
      </c>
      <c r="M7" s="5">
        <v>0.79999999999999993</v>
      </c>
      <c r="N7" s="3" t="s">
        <v>104</v>
      </c>
      <c r="O7" s="3" t="s">
        <v>99</v>
      </c>
      <c r="P7" s="3">
        <v>800</v>
      </c>
      <c r="Q7" s="3">
        <v>1072</v>
      </c>
      <c r="R7" s="3">
        <v>0</v>
      </c>
      <c r="S7" s="3">
        <v>0</v>
      </c>
      <c r="T7" s="3">
        <v>0</v>
      </c>
      <c r="U7" s="3">
        <v>0</v>
      </c>
    </row>
    <row r="8" spans="1:21" s="6" customFormat="1" ht="12.75" x14ac:dyDescent="0.2">
      <c r="A8" s="2"/>
      <c r="B8" s="3"/>
      <c r="J8" s="7"/>
      <c r="K8" s="8"/>
      <c r="L8" s="12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C23" sqref="C23"/>
    </sheetView>
  </sheetViews>
  <sheetFormatPr defaultRowHeight="15" x14ac:dyDescent="0.25"/>
  <cols>
    <col min="1" max="1" width="10.140625" bestFit="1" customWidth="1"/>
    <col min="2" max="2" width="18.85546875" customWidth="1"/>
    <col min="3" max="3" width="14" customWidth="1"/>
    <col min="6" max="6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44777</v>
      </c>
      <c r="B2" s="3" t="s">
        <v>21</v>
      </c>
      <c r="C2" s="3" t="s">
        <v>105</v>
      </c>
      <c r="D2" s="3" t="s">
        <v>25</v>
      </c>
      <c r="E2" s="3" t="s">
        <v>80</v>
      </c>
      <c r="F2" s="1" t="s">
        <v>26</v>
      </c>
      <c r="G2" s="3">
        <v>70000</v>
      </c>
      <c r="H2" s="3" t="s">
        <v>106</v>
      </c>
      <c r="I2" s="3" t="s">
        <v>107</v>
      </c>
      <c r="J2" s="4">
        <v>0.45833333333333331</v>
      </c>
      <c r="K2" s="5">
        <v>0.45208333333333334</v>
      </c>
      <c r="L2" s="4">
        <v>0.25694444444444448</v>
      </c>
      <c r="M2" s="5">
        <v>0.26319444444444445</v>
      </c>
      <c r="N2" s="3" t="s">
        <v>119</v>
      </c>
      <c r="O2" s="3" t="s">
        <v>117</v>
      </c>
      <c r="P2" s="3">
        <v>485</v>
      </c>
      <c r="Q2" s="3">
        <v>2200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44777</v>
      </c>
      <c r="B3" s="3" t="s">
        <v>21</v>
      </c>
      <c r="C3" s="3" t="s">
        <v>108</v>
      </c>
      <c r="D3" s="3" t="s">
        <v>25</v>
      </c>
      <c r="E3" s="3" t="s">
        <v>48</v>
      </c>
      <c r="F3" s="3" t="s">
        <v>26</v>
      </c>
      <c r="G3" s="11">
        <v>70000</v>
      </c>
      <c r="H3" s="3" t="s">
        <v>109</v>
      </c>
      <c r="I3" s="3" t="s">
        <v>110</v>
      </c>
      <c r="J3" s="4">
        <v>0.43402777777777773</v>
      </c>
      <c r="K3" s="5">
        <v>0.42638888888888887</v>
      </c>
      <c r="L3" s="4">
        <v>0.28472222222222221</v>
      </c>
      <c r="M3" s="5">
        <v>0.2902777777777778</v>
      </c>
      <c r="N3" s="3" t="s">
        <v>120</v>
      </c>
      <c r="O3" s="3" t="s">
        <v>118</v>
      </c>
      <c r="P3" s="3">
        <v>746</v>
      </c>
      <c r="Q3" s="3">
        <v>868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44777</v>
      </c>
      <c r="B4" s="3" t="s">
        <v>21</v>
      </c>
      <c r="C4" s="3" t="s">
        <v>69</v>
      </c>
      <c r="D4" s="3" t="s">
        <v>25</v>
      </c>
      <c r="E4" s="3" t="str">
        <f>E3</f>
        <v>HA-LYE</v>
      </c>
      <c r="F4" s="3" t="s">
        <v>26</v>
      </c>
      <c r="G4" s="11">
        <v>70000</v>
      </c>
      <c r="H4" s="3" t="s">
        <v>70</v>
      </c>
      <c r="I4" s="3" t="s">
        <v>71</v>
      </c>
      <c r="J4" s="4">
        <v>0.67708333333333337</v>
      </c>
      <c r="K4" s="5">
        <v>0.75138888888888899</v>
      </c>
      <c r="L4" s="4">
        <v>0.48958333333333331</v>
      </c>
      <c r="M4" s="5">
        <v>0.51736111111111105</v>
      </c>
      <c r="N4" s="3" t="s">
        <v>100</v>
      </c>
      <c r="O4" s="3" t="s">
        <v>128</v>
      </c>
      <c r="P4" s="3">
        <v>1079</v>
      </c>
      <c r="Q4" s="3">
        <v>1288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44777</v>
      </c>
      <c r="B5" s="3" t="s">
        <v>21</v>
      </c>
      <c r="C5" s="3" t="s">
        <v>111</v>
      </c>
      <c r="D5" s="3" t="s">
        <v>25</v>
      </c>
      <c r="E5" s="3" t="str">
        <f>E2</f>
        <v>HA-LWO</v>
      </c>
      <c r="F5" s="3" t="s">
        <v>26</v>
      </c>
      <c r="G5" s="11">
        <v>70000</v>
      </c>
      <c r="H5" s="3" t="s">
        <v>112</v>
      </c>
      <c r="I5" s="3" t="s">
        <v>113</v>
      </c>
      <c r="J5" s="4">
        <v>0.86805555555555547</v>
      </c>
      <c r="K5" s="5">
        <v>0.8520833333333333</v>
      </c>
      <c r="L5" s="4">
        <v>0.64930555555555558</v>
      </c>
      <c r="M5" s="5">
        <v>0.65069444444444446</v>
      </c>
      <c r="N5" s="3" t="s">
        <v>130</v>
      </c>
      <c r="O5" s="3" t="s">
        <v>129</v>
      </c>
      <c r="P5" s="3">
        <v>292</v>
      </c>
      <c r="Q5" s="3">
        <v>1663</v>
      </c>
      <c r="R5" s="3">
        <v>0</v>
      </c>
      <c r="S5" s="3">
        <v>0</v>
      </c>
      <c r="T5" s="3">
        <v>0</v>
      </c>
      <c r="U5" s="3">
        <v>0</v>
      </c>
    </row>
    <row r="6" spans="1:21" s="3" customFormat="1" ht="12.75" x14ac:dyDescent="0.25">
      <c r="A6" s="2">
        <v>44777</v>
      </c>
      <c r="B6" s="3" t="s">
        <v>21</v>
      </c>
      <c r="C6" s="3" t="s">
        <v>114</v>
      </c>
      <c r="D6" s="3" t="s">
        <v>25</v>
      </c>
      <c r="E6" s="3" t="str">
        <f>E4</f>
        <v>HA-LYE</v>
      </c>
      <c r="F6" s="3" t="s">
        <v>26</v>
      </c>
      <c r="G6" s="11">
        <v>70000</v>
      </c>
      <c r="H6" s="3" t="s">
        <v>115</v>
      </c>
      <c r="I6" s="3" t="s">
        <v>116</v>
      </c>
      <c r="J6" s="4">
        <v>0.93402777777777779</v>
      </c>
      <c r="K6" s="5">
        <v>0.99513888888888891</v>
      </c>
      <c r="L6" s="4">
        <v>0.69791666666666663</v>
      </c>
      <c r="M6" s="5">
        <v>0.78541666666666676</v>
      </c>
      <c r="N6" s="3" t="s">
        <v>131</v>
      </c>
      <c r="O6" s="3" t="s">
        <v>117</v>
      </c>
      <c r="P6" s="3">
        <v>825</v>
      </c>
      <c r="Q6" s="3">
        <v>2054</v>
      </c>
      <c r="R6" s="3">
        <v>0</v>
      </c>
      <c r="S6" s="3">
        <v>0</v>
      </c>
      <c r="T6" s="3">
        <v>0</v>
      </c>
      <c r="U6" s="3">
        <v>0</v>
      </c>
    </row>
    <row r="7" spans="1:21" s="6" customFormat="1" ht="12.75" x14ac:dyDescent="0.2">
      <c r="A7" s="2">
        <v>44777</v>
      </c>
      <c r="B7" s="3" t="s">
        <v>121</v>
      </c>
      <c r="C7" s="3" t="s">
        <v>122</v>
      </c>
      <c r="D7" s="3" t="s">
        <v>123</v>
      </c>
      <c r="E7" s="3" t="s">
        <v>124</v>
      </c>
      <c r="F7" s="3" t="s">
        <v>125</v>
      </c>
      <c r="G7" s="11">
        <v>12701</v>
      </c>
      <c r="H7" s="3" t="s">
        <v>126</v>
      </c>
      <c r="I7" s="6" t="s">
        <v>126</v>
      </c>
      <c r="J7" s="7">
        <v>0.46527777777777773</v>
      </c>
      <c r="K7" s="8">
        <v>0.4770833333333333</v>
      </c>
      <c r="L7" s="7">
        <v>0.54861111111111105</v>
      </c>
      <c r="M7" s="8">
        <v>0.64166666666666672</v>
      </c>
      <c r="N7" s="6">
        <v>0</v>
      </c>
      <c r="O7" s="6">
        <v>1</v>
      </c>
      <c r="P7" s="6" t="s">
        <v>127</v>
      </c>
      <c r="Q7" s="6" t="s">
        <v>127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2"/>
      <c r="B8" s="3"/>
      <c r="C8" s="3"/>
      <c r="D8" s="3"/>
      <c r="E8" s="3"/>
      <c r="F8" s="3"/>
      <c r="G8" s="3"/>
      <c r="H8" s="3"/>
      <c r="I8" s="3"/>
      <c r="J8" s="4"/>
      <c r="K8" s="5"/>
      <c r="L8" s="4"/>
      <c r="M8" s="5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workbookViewId="0">
      <selection activeCell="K34" sqref="K34"/>
    </sheetView>
  </sheetViews>
  <sheetFormatPr defaultRowHeight="15" x14ac:dyDescent="0.25"/>
  <cols>
    <col min="1" max="1" width="9.42578125" customWidth="1"/>
    <col min="2" max="2" width="13.140625" customWidth="1"/>
    <col min="3" max="3" width="13.85546875" customWidth="1"/>
    <col min="6" max="6" width="20" customWidth="1"/>
    <col min="7" max="7" width="9.28515625" bestFit="1" customWidth="1"/>
    <col min="10" max="10" width="9.28515625" bestFit="1" customWidth="1"/>
    <col min="11" max="11" width="7.42578125" customWidth="1"/>
    <col min="12" max="13" width="9.28515625" bestFit="1" customWidth="1"/>
    <col min="16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/>
    </row>
    <row r="2" spans="1:22" x14ac:dyDescent="0.25">
      <c r="A2" s="2">
        <v>44778</v>
      </c>
      <c r="B2" s="3" t="s">
        <v>21</v>
      </c>
      <c r="C2" s="3" t="s">
        <v>22</v>
      </c>
      <c r="D2" s="3" t="s">
        <v>25</v>
      </c>
      <c r="E2" s="3" t="s">
        <v>48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0.43541666666666662</v>
      </c>
      <c r="L2" s="4">
        <v>0.25694444444444448</v>
      </c>
      <c r="M2" s="5">
        <v>0.25763888888888892</v>
      </c>
      <c r="N2" s="3" t="s">
        <v>137</v>
      </c>
      <c r="O2" s="3" t="s">
        <v>133</v>
      </c>
      <c r="P2" s="3">
        <v>993</v>
      </c>
      <c r="Q2" s="3">
        <v>1111</v>
      </c>
      <c r="R2" s="3">
        <v>0</v>
      </c>
      <c r="S2" s="3">
        <v>0</v>
      </c>
      <c r="T2" s="3">
        <v>0</v>
      </c>
      <c r="U2" s="3">
        <v>0</v>
      </c>
      <c r="V2" s="3"/>
    </row>
    <row r="3" spans="1:22" x14ac:dyDescent="0.25">
      <c r="A3" s="2">
        <v>44778</v>
      </c>
      <c r="B3" s="3" t="s">
        <v>21</v>
      </c>
      <c r="C3" s="3" t="s">
        <v>23</v>
      </c>
      <c r="D3" s="3" t="s">
        <v>25</v>
      </c>
      <c r="E3" s="3" t="s">
        <v>80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0.58124999999999993</v>
      </c>
      <c r="L3" s="4">
        <v>0.28125</v>
      </c>
      <c r="M3" s="5">
        <v>0.35694444444444445</v>
      </c>
      <c r="N3" s="3" t="s">
        <v>150</v>
      </c>
      <c r="O3" s="3" t="s">
        <v>129</v>
      </c>
      <c r="P3" s="3">
        <v>478</v>
      </c>
      <c r="Q3" s="3">
        <v>2143</v>
      </c>
      <c r="R3" s="3">
        <v>0</v>
      </c>
      <c r="S3" s="3">
        <v>0</v>
      </c>
      <c r="T3" s="3">
        <v>0</v>
      </c>
      <c r="U3" s="3">
        <v>0</v>
      </c>
      <c r="V3" s="3"/>
    </row>
    <row r="4" spans="1:22" x14ac:dyDescent="0.25">
      <c r="A4" s="2">
        <v>44778</v>
      </c>
      <c r="B4" s="3" t="s">
        <v>75</v>
      </c>
      <c r="C4" s="3" t="s">
        <v>76</v>
      </c>
      <c r="D4" s="3" t="s">
        <v>25</v>
      </c>
      <c r="E4" s="3" t="s">
        <v>135</v>
      </c>
      <c r="F4" s="1" t="s">
        <v>77</v>
      </c>
      <c r="G4" s="11">
        <v>77000</v>
      </c>
      <c r="H4" s="3" t="s">
        <v>78</v>
      </c>
      <c r="I4" s="3" t="s">
        <v>79</v>
      </c>
      <c r="J4" s="4">
        <v>0.3298611111111111</v>
      </c>
      <c r="K4" s="5">
        <v>0.32708333333333334</v>
      </c>
      <c r="L4" s="4">
        <v>0.37152777777777773</v>
      </c>
      <c r="M4" s="5">
        <v>0.3756944444444445</v>
      </c>
      <c r="N4" s="3" t="s">
        <v>134</v>
      </c>
      <c r="O4" s="3" t="s">
        <v>136</v>
      </c>
      <c r="P4" s="3">
        <v>2270</v>
      </c>
      <c r="Q4" s="3">
        <v>2305</v>
      </c>
      <c r="R4" s="3">
        <v>0</v>
      </c>
      <c r="S4" s="3">
        <v>0</v>
      </c>
      <c r="T4" s="3">
        <v>0</v>
      </c>
      <c r="U4" s="3">
        <v>0</v>
      </c>
      <c r="V4" s="3"/>
    </row>
    <row r="5" spans="1:22" x14ac:dyDescent="0.25">
      <c r="A5" s="2">
        <v>44778</v>
      </c>
      <c r="B5" s="3" t="s">
        <v>21</v>
      </c>
      <c r="C5" s="3" t="s">
        <v>24</v>
      </c>
      <c r="D5" s="3" t="s">
        <v>25</v>
      </c>
      <c r="E5" s="3" t="s">
        <v>48</v>
      </c>
      <c r="F5" s="1" t="s">
        <v>26</v>
      </c>
      <c r="G5" s="3">
        <v>70000</v>
      </c>
      <c r="H5" s="3" t="s">
        <v>31</v>
      </c>
      <c r="I5" s="3" t="s">
        <v>32</v>
      </c>
      <c r="J5" s="4">
        <v>0.61111111111111105</v>
      </c>
      <c r="K5" s="5">
        <v>0.60416666666666663</v>
      </c>
      <c r="L5" s="4">
        <v>0.46180555555555558</v>
      </c>
      <c r="M5" s="5">
        <v>0.4694444444444445</v>
      </c>
      <c r="N5" s="3" t="s">
        <v>100</v>
      </c>
      <c r="O5" s="3" t="s">
        <v>149</v>
      </c>
      <c r="P5" s="3">
        <v>1057</v>
      </c>
      <c r="Q5" s="3">
        <v>1211</v>
      </c>
      <c r="R5" s="3">
        <v>0</v>
      </c>
      <c r="S5" s="3">
        <v>0</v>
      </c>
      <c r="T5" s="3">
        <v>0</v>
      </c>
      <c r="U5" s="3">
        <v>0</v>
      </c>
      <c r="V5" s="3"/>
    </row>
    <row r="6" spans="1:22" x14ac:dyDescent="0.25">
      <c r="A6" s="2">
        <v>44778</v>
      </c>
      <c r="B6" s="3" t="s">
        <v>21</v>
      </c>
      <c r="C6" s="3" t="s">
        <v>33</v>
      </c>
      <c r="D6" s="3" t="s">
        <v>25</v>
      </c>
      <c r="E6" s="3" t="s">
        <v>80</v>
      </c>
      <c r="F6" s="1" t="s">
        <v>26</v>
      </c>
      <c r="G6" s="3">
        <v>70000</v>
      </c>
      <c r="H6" s="3" t="s">
        <v>35</v>
      </c>
      <c r="I6" s="3" t="s">
        <v>34</v>
      </c>
      <c r="J6" s="4">
        <v>0.75694444444444453</v>
      </c>
      <c r="K6" s="5">
        <v>0.80555555555555547</v>
      </c>
      <c r="L6" s="4">
        <v>0.54166666666666663</v>
      </c>
      <c r="M6" s="5">
        <v>0.6166666666666667</v>
      </c>
      <c r="N6" s="3" t="s">
        <v>153</v>
      </c>
      <c r="O6" s="3" t="s">
        <v>151</v>
      </c>
      <c r="P6" s="3">
        <v>464</v>
      </c>
      <c r="Q6" s="3">
        <v>2072</v>
      </c>
      <c r="R6" s="3">
        <v>0</v>
      </c>
      <c r="S6" s="3">
        <v>0</v>
      </c>
      <c r="T6" s="3">
        <v>0</v>
      </c>
      <c r="U6" s="3">
        <v>0</v>
      </c>
      <c r="V6" s="3"/>
    </row>
    <row r="7" spans="1:22" x14ac:dyDescent="0.25">
      <c r="A7" s="2">
        <v>44778</v>
      </c>
      <c r="B7" s="3" t="s">
        <v>21</v>
      </c>
      <c r="C7" s="3" t="s">
        <v>36</v>
      </c>
      <c r="D7" s="3" t="s">
        <v>25</v>
      </c>
      <c r="E7" s="3" t="s">
        <v>48</v>
      </c>
      <c r="F7" s="1" t="s">
        <v>26</v>
      </c>
      <c r="G7" s="3">
        <v>70000</v>
      </c>
      <c r="H7" s="3" t="s">
        <v>39</v>
      </c>
      <c r="I7" s="3" t="s">
        <v>42</v>
      </c>
      <c r="J7" s="4">
        <v>0.75694444444444453</v>
      </c>
      <c r="K7" s="5">
        <v>0.76041666666666663</v>
      </c>
      <c r="L7" s="4">
        <v>0.64236111111111105</v>
      </c>
      <c r="M7" s="5">
        <v>0.6430555555555556</v>
      </c>
      <c r="N7" s="3" t="s">
        <v>154</v>
      </c>
      <c r="O7" s="3" t="s">
        <v>152</v>
      </c>
      <c r="P7" s="3">
        <v>681</v>
      </c>
      <c r="Q7" s="3">
        <v>698</v>
      </c>
      <c r="R7" s="3">
        <v>0</v>
      </c>
      <c r="S7" s="3">
        <v>0</v>
      </c>
      <c r="T7" s="3">
        <v>0</v>
      </c>
      <c r="U7" s="3">
        <v>0</v>
      </c>
      <c r="V7" s="3"/>
    </row>
    <row r="8" spans="1:22" x14ac:dyDescent="0.25">
      <c r="A8" s="2">
        <v>44778</v>
      </c>
      <c r="B8" s="3" t="s">
        <v>21</v>
      </c>
      <c r="C8" s="3" t="s">
        <v>37</v>
      </c>
      <c r="D8" s="3" t="s">
        <v>25</v>
      </c>
      <c r="E8" s="3" t="s">
        <v>80</v>
      </c>
      <c r="F8" s="1" t="s">
        <v>26</v>
      </c>
      <c r="G8" s="3">
        <v>70000</v>
      </c>
      <c r="H8" s="3" t="s">
        <v>40</v>
      </c>
      <c r="I8" s="3" t="s">
        <v>43</v>
      </c>
      <c r="J8" s="4">
        <v>0.96180555555555547</v>
      </c>
      <c r="K8" s="5">
        <v>4.3750000000000004E-2</v>
      </c>
      <c r="L8" s="4">
        <v>0.77777777777777779</v>
      </c>
      <c r="M8" s="5">
        <v>0.85625000000000007</v>
      </c>
      <c r="N8" s="3" t="s">
        <v>157</v>
      </c>
      <c r="O8" s="3" t="s">
        <v>156</v>
      </c>
      <c r="P8" s="3">
        <v>900</v>
      </c>
      <c r="Q8" s="3">
        <v>1257</v>
      </c>
      <c r="R8" s="3">
        <v>0</v>
      </c>
      <c r="S8" s="3">
        <v>0</v>
      </c>
      <c r="T8" s="3">
        <v>0</v>
      </c>
      <c r="U8" s="3">
        <v>0</v>
      </c>
      <c r="V8" s="3"/>
    </row>
    <row r="9" spans="1:22" x14ac:dyDescent="0.25">
      <c r="A9" s="2">
        <v>44778</v>
      </c>
      <c r="B9" s="3" t="s">
        <v>21</v>
      </c>
      <c r="C9" s="3" t="s">
        <v>38</v>
      </c>
      <c r="D9" s="3" t="s">
        <v>25</v>
      </c>
      <c r="E9" s="3" t="s">
        <v>132</v>
      </c>
      <c r="F9" s="1" t="s">
        <v>26</v>
      </c>
      <c r="G9" s="3">
        <v>70000</v>
      </c>
      <c r="H9" s="3" t="s">
        <v>41</v>
      </c>
      <c r="I9" s="3" t="s">
        <v>44</v>
      </c>
      <c r="J9" s="4">
        <v>0.97569444444444453</v>
      </c>
      <c r="K9" s="5">
        <v>1.2499999999999999E-2</v>
      </c>
      <c r="L9" s="4">
        <v>0.77777777777777779</v>
      </c>
      <c r="M9" s="5">
        <v>0.81180555555555556</v>
      </c>
      <c r="N9" s="3" t="s">
        <v>158</v>
      </c>
      <c r="O9" s="3" t="s">
        <v>155</v>
      </c>
      <c r="P9" s="3">
        <v>1183</v>
      </c>
      <c r="Q9" s="3">
        <v>1863</v>
      </c>
      <c r="R9" s="3">
        <v>0</v>
      </c>
      <c r="S9" s="3">
        <v>0</v>
      </c>
      <c r="T9" s="3">
        <v>0</v>
      </c>
      <c r="U9" s="3">
        <v>0</v>
      </c>
      <c r="V9" s="3"/>
    </row>
    <row r="10" spans="1:22" x14ac:dyDescent="0.25">
      <c r="A10" s="2">
        <v>44778</v>
      </c>
      <c r="B10" s="3" t="s">
        <v>138</v>
      </c>
      <c r="C10" s="3" t="s">
        <v>139</v>
      </c>
      <c r="D10" s="3" t="s">
        <v>140</v>
      </c>
      <c r="E10" s="3" t="s">
        <v>141</v>
      </c>
      <c r="F10" s="9" t="s">
        <v>125</v>
      </c>
      <c r="G10" s="3">
        <v>21500</v>
      </c>
      <c r="H10" s="3" t="s">
        <v>142</v>
      </c>
      <c r="I10" s="3" t="s">
        <v>143</v>
      </c>
      <c r="J10" s="4">
        <v>0.4513888888888889</v>
      </c>
      <c r="K10" s="5">
        <v>0.43888888888888888</v>
      </c>
      <c r="L10" s="4">
        <v>0.54861111111111105</v>
      </c>
      <c r="M10" s="5">
        <v>0.54236111111111118</v>
      </c>
      <c r="N10" s="3">
        <v>0</v>
      </c>
      <c r="O10" s="3">
        <v>3</v>
      </c>
      <c r="P10" s="3" t="s">
        <v>127</v>
      </c>
      <c r="Q10" s="3" t="s">
        <v>127</v>
      </c>
      <c r="R10" s="3">
        <v>0</v>
      </c>
      <c r="S10" s="3">
        <v>0</v>
      </c>
      <c r="T10" s="3">
        <v>0</v>
      </c>
      <c r="U10" s="3">
        <v>0</v>
      </c>
      <c r="V10" s="3"/>
    </row>
    <row r="11" spans="1:22" x14ac:dyDescent="0.25">
      <c r="A11" s="2">
        <v>44778</v>
      </c>
      <c r="B11" s="3" t="s">
        <v>144</v>
      </c>
      <c r="C11" s="3" t="s">
        <v>145</v>
      </c>
      <c r="D11" s="3" t="s">
        <v>146</v>
      </c>
      <c r="E11" s="3" t="s">
        <v>147</v>
      </c>
      <c r="F11" s="3" t="s">
        <v>148</v>
      </c>
      <c r="G11" s="3">
        <v>4900</v>
      </c>
      <c r="H11" s="3" t="s">
        <v>147</v>
      </c>
      <c r="I11" s="3" t="s">
        <v>147</v>
      </c>
      <c r="J11" s="4">
        <v>0.45833333333333331</v>
      </c>
      <c r="K11" s="5">
        <v>0.5131944444444444</v>
      </c>
      <c r="L11" s="4">
        <v>0.5</v>
      </c>
      <c r="M11" s="5">
        <v>0.55694444444444446</v>
      </c>
      <c r="N11" s="3">
        <v>0</v>
      </c>
      <c r="O11" s="3">
        <v>1</v>
      </c>
      <c r="P11" s="3" t="s">
        <v>127</v>
      </c>
      <c r="Q11" s="3" t="s">
        <v>127</v>
      </c>
      <c r="R11" s="3">
        <v>0</v>
      </c>
      <c r="S11" s="3">
        <v>0</v>
      </c>
      <c r="T11" s="3">
        <v>0</v>
      </c>
      <c r="U11" s="3">
        <v>0</v>
      </c>
      <c r="V11" s="3"/>
    </row>
    <row r="12" spans="1:2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C35" sqref="C35"/>
    </sheetView>
  </sheetViews>
  <sheetFormatPr defaultRowHeight="15" x14ac:dyDescent="0.25"/>
  <cols>
    <col min="1" max="1" width="10" customWidth="1"/>
    <col min="3" max="3" width="15.7109375" customWidth="1"/>
    <col min="6" max="6" width="13.7109375" customWidth="1"/>
    <col min="7" max="7" width="9.28515625" bestFit="1" customWidth="1"/>
    <col min="10" max="10" width="9.28515625" bestFit="1" customWidth="1"/>
    <col min="12" max="12" width="9.28515625" bestFit="1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44779</v>
      </c>
      <c r="B2" s="3" t="s">
        <v>21</v>
      </c>
      <c r="C2" s="3" t="s">
        <v>66</v>
      </c>
      <c r="D2" s="3" t="s">
        <v>25</v>
      </c>
      <c r="E2" s="3" t="s">
        <v>160</v>
      </c>
      <c r="F2" s="1" t="s">
        <v>26</v>
      </c>
      <c r="G2" s="3">
        <v>70000</v>
      </c>
      <c r="H2" s="3" t="s">
        <v>67</v>
      </c>
      <c r="I2" s="3" t="s">
        <v>68</v>
      </c>
      <c r="J2" s="4">
        <v>0.47222222222222227</v>
      </c>
      <c r="K2" s="5">
        <v>0.48958333333333331</v>
      </c>
      <c r="L2" s="4">
        <v>0.28125</v>
      </c>
      <c r="M2" s="5">
        <v>0.28958333333333336</v>
      </c>
      <c r="N2" s="3" t="s">
        <v>162</v>
      </c>
      <c r="O2" s="3" t="s">
        <v>163</v>
      </c>
      <c r="P2" s="3">
        <v>1250</v>
      </c>
      <c r="Q2" s="3">
        <v>1170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44779</v>
      </c>
      <c r="B3" s="3" t="s">
        <v>21</v>
      </c>
      <c r="C3" s="3" t="s">
        <v>69</v>
      </c>
      <c r="D3" s="3" t="s">
        <v>25</v>
      </c>
      <c r="E3" s="3" t="s">
        <v>161</v>
      </c>
      <c r="F3" s="1" t="s">
        <v>26</v>
      </c>
      <c r="G3" s="3">
        <v>70000</v>
      </c>
      <c r="H3" s="3" t="s">
        <v>70</v>
      </c>
      <c r="I3" s="3" t="s">
        <v>71</v>
      </c>
      <c r="J3" s="4">
        <v>0.82986111111111116</v>
      </c>
      <c r="K3" s="5">
        <v>0.84930555555555554</v>
      </c>
      <c r="L3" s="4">
        <v>0.40972222222222227</v>
      </c>
      <c r="M3" s="5">
        <v>0.40902777777777777</v>
      </c>
      <c r="N3" s="3" t="s">
        <v>165</v>
      </c>
      <c r="O3" s="3" t="s">
        <v>159</v>
      </c>
      <c r="P3" s="3">
        <v>1552</v>
      </c>
      <c r="Q3" s="3">
        <v>1334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44779</v>
      </c>
      <c r="B4" s="3" t="s">
        <v>21</v>
      </c>
      <c r="C4" s="3" t="s">
        <v>72</v>
      </c>
      <c r="D4" s="3" t="s">
        <v>25</v>
      </c>
      <c r="E4" s="3" t="s">
        <v>160</v>
      </c>
      <c r="F4" s="1" t="s">
        <v>26</v>
      </c>
      <c r="G4" s="3">
        <v>70000</v>
      </c>
      <c r="H4" s="3" t="s">
        <v>73</v>
      </c>
      <c r="I4" s="3" t="s">
        <v>74</v>
      </c>
      <c r="J4" s="4">
        <v>0.91319444444444453</v>
      </c>
      <c r="K4" s="5">
        <v>0.94027777777777777</v>
      </c>
      <c r="L4" s="4">
        <v>0.50347222222222221</v>
      </c>
      <c r="M4" s="5">
        <v>0.53333333333333333</v>
      </c>
      <c r="N4" s="3" t="s">
        <v>166</v>
      </c>
      <c r="O4" s="3" t="s">
        <v>164</v>
      </c>
      <c r="P4" s="3">
        <v>892</v>
      </c>
      <c r="Q4" s="3">
        <v>800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I15" sqref="I15"/>
    </sheetView>
  </sheetViews>
  <sheetFormatPr defaultRowHeight="15" x14ac:dyDescent="0.25"/>
  <cols>
    <col min="1" max="1" width="10.140625" bestFit="1" customWidth="1"/>
    <col min="2" max="2" width="18.85546875" customWidth="1"/>
    <col min="3" max="3" width="14" customWidth="1"/>
    <col min="6" max="6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44780</v>
      </c>
      <c r="B2" s="3" t="s">
        <v>21</v>
      </c>
      <c r="C2" s="3" t="s">
        <v>105</v>
      </c>
      <c r="D2" s="3" t="s">
        <v>25</v>
      </c>
      <c r="E2" s="3" t="s">
        <v>80</v>
      </c>
      <c r="F2" s="1" t="s">
        <v>26</v>
      </c>
      <c r="G2" s="3">
        <v>70000</v>
      </c>
      <c r="H2" s="3" t="s">
        <v>106</v>
      </c>
      <c r="I2" s="3" t="s">
        <v>107</v>
      </c>
      <c r="J2" s="4">
        <v>0.45833333333333331</v>
      </c>
      <c r="K2" s="5">
        <v>0.48333333333333334</v>
      </c>
      <c r="L2" s="4">
        <v>0.25694444444444448</v>
      </c>
      <c r="M2" s="5">
        <v>0.28888888888888892</v>
      </c>
      <c r="N2" s="3" t="s">
        <v>167</v>
      </c>
      <c r="O2" s="3" t="s">
        <v>117</v>
      </c>
      <c r="P2" s="3">
        <v>679</v>
      </c>
      <c r="Q2" s="3">
        <v>1783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44780</v>
      </c>
      <c r="B3" s="3" t="s">
        <v>21</v>
      </c>
      <c r="C3" s="3" t="s">
        <v>108</v>
      </c>
      <c r="D3" s="3" t="s">
        <v>25</v>
      </c>
      <c r="E3" s="3" t="s">
        <v>170</v>
      </c>
      <c r="F3" s="3" t="s">
        <v>26</v>
      </c>
      <c r="G3" s="11">
        <v>70000</v>
      </c>
      <c r="H3" s="3" t="s">
        <v>109</v>
      </c>
      <c r="I3" s="3" t="s">
        <v>110</v>
      </c>
      <c r="J3" s="4">
        <v>0.43402777777777773</v>
      </c>
      <c r="K3" s="5">
        <v>0.4375</v>
      </c>
      <c r="L3" s="4">
        <v>0.28472222222222221</v>
      </c>
      <c r="M3" s="5">
        <v>0.31111111111111112</v>
      </c>
      <c r="N3" s="3" t="s">
        <v>168</v>
      </c>
      <c r="O3" s="3" t="s">
        <v>55</v>
      </c>
      <c r="P3" s="3">
        <v>726</v>
      </c>
      <c r="Q3" s="3">
        <v>1408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44780</v>
      </c>
      <c r="B4" s="3" t="s">
        <v>21</v>
      </c>
      <c r="C4" s="3" t="s">
        <v>89</v>
      </c>
      <c r="D4" s="3" t="s">
        <v>25</v>
      </c>
      <c r="E4" s="6" t="s">
        <v>80</v>
      </c>
      <c r="F4" s="1" t="s">
        <v>26</v>
      </c>
      <c r="G4" s="3">
        <v>70000</v>
      </c>
      <c r="H4" s="3" t="s">
        <v>91</v>
      </c>
      <c r="I4" s="3" t="s">
        <v>92</v>
      </c>
      <c r="J4" s="4">
        <v>0.64583333333333337</v>
      </c>
      <c r="K4" s="5">
        <v>0.66111111111111109</v>
      </c>
      <c r="L4" s="4">
        <v>0.48958333333333331</v>
      </c>
      <c r="M4" s="5">
        <v>0.51874999999999993</v>
      </c>
      <c r="N4" s="3" t="s">
        <v>171</v>
      </c>
      <c r="O4" s="3" t="s">
        <v>169</v>
      </c>
      <c r="P4" s="3">
        <v>595</v>
      </c>
      <c r="Q4" s="3">
        <v>952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44780</v>
      </c>
      <c r="B5" s="3" t="s">
        <v>21</v>
      </c>
      <c r="C5" s="3" t="s">
        <v>111</v>
      </c>
      <c r="D5" s="3" t="s">
        <v>25</v>
      </c>
      <c r="E5" s="3" t="s">
        <v>170</v>
      </c>
      <c r="F5" s="3" t="s">
        <v>26</v>
      </c>
      <c r="G5" s="11">
        <v>70000</v>
      </c>
      <c r="H5" s="3" t="s">
        <v>112</v>
      </c>
      <c r="I5" s="3" t="s">
        <v>113</v>
      </c>
      <c r="J5" s="4">
        <v>0.86805555555555547</v>
      </c>
      <c r="K5" s="5">
        <v>0.88124999999999998</v>
      </c>
      <c r="L5" s="4">
        <v>0.64930555555555558</v>
      </c>
      <c r="M5" s="5">
        <v>0.65416666666666667</v>
      </c>
      <c r="N5" s="3" t="s">
        <v>174</v>
      </c>
      <c r="O5" s="3" t="s">
        <v>172</v>
      </c>
      <c r="P5" s="3">
        <v>238</v>
      </c>
      <c r="Q5" s="3">
        <v>1757</v>
      </c>
      <c r="R5" s="3">
        <v>0</v>
      </c>
      <c r="S5" s="3">
        <v>0</v>
      </c>
      <c r="T5" s="3">
        <v>0</v>
      </c>
      <c r="U5" s="3">
        <v>0</v>
      </c>
    </row>
    <row r="6" spans="1:21" s="3" customFormat="1" ht="12.75" x14ac:dyDescent="0.25">
      <c r="A6" s="2">
        <v>44780</v>
      </c>
      <c r="B6" s="3" t="s">
        <v>21</v>
      </c>
      <c r="C6" s="3" t="s">
        <v>114</v>
      </c>
      <c r="D6" s="3" t="s">
        <v>25</v>
      </c>
      <c r="E6" s="3" t="s">
        <v>80</v>
      </c>
      <c r="F6" s="3" t="s">
        <v>26</v>
      </c>
      <c r="G6" s="11">
        <v>70000</v>
      </c>
      <c r="H6" s="3" t="s">
        <v>115</v>
      </c>
      <c r="I6" s="3" t="s">
        <v>116</v>
      </c>
      <c r="J6" s="4">
        <v>0.90277777777777779</v>
      </c>
      <c r="K6" s="5">
        <v>0.92083333333333339</v>
      </c>
      <c r="L6" s="4">
        <v>0.66666666666666663</v>
      </c>
      <c r="M6" s="5">
        <v>0.6972222222222223</v>
      </c>
      <c r="N6" s="3" t="s">
        <v>175</v>
      </c>
      <c r="O6" s="3" t="s">
        <v>173</v>
      </c>
      <c r="P6" s="3">
        <v>760</v>
      </c>
      <c r="Q6" s="3">
        <v>1998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C1" workbookViewId="0">
      <selection activeCell="I17" sqref="I17"/>
    </sheetView>
  </sheetViews>
  <sheetFormatPr defaultRowHeight="12.75" x14ac:dyDescent="0.2"/>
  <cols>
    <col min="1" max="1" width="10.140625" style="6" bestFit="1" customWidth="1"/>
    <col min="2" max="2" width="20" style="6" customWidth="1"/>
    <col min="3" max="3" width="13.42578125" style="6" bestFit="1" customWidth="1"/>
    <col min="4" max="4" width="14.140625" style="6" customWidth="1"/>
    <col min="5" max="5" width="12.42578125" style="6" customWidth="1"/>
    <col min="6" max="6" width="17" style="6" customWidth="1"/>
    <col min="7" max="16384" width="9.140625" style="6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44781</v>
      </c>
      <c r="B2" s="3" t="s">
        <v>21</v>
      </c>
      <c r="C2" s="3" t="s">
        <v>22</v>
      </c>
      <c r="D2" s="3" t="s">
        <v>25</v>
      </c>
      <c r="E2" s="3" t="s">
        <v>80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0.4381944444444445</v>
      </c>
      <c r="L2" s="4">
        <v>0.25694444444444448</v>
      </c>
      <c r="M2" s="5">
        <v>0.27708333333333335</v>
      </c>
      <c r="N2" s="3" t="s">
        <v>177</v>
      </c>
      <c r="O2" s="3" t="s">
        <v>137</v>
      </c>
      <c r="P2" s="3">
        <v>943</v>
      </c>
      <c r="Q2" s="3">
        <v>800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v>44781</v>
      </c>
      <c r="B3" s="3" t="s">
        <v>21</v>
      </c>
      <c r="C3" s="3" t="s">
        <v>23</v>
      </c>
      <c r="D3" s="3" t="s">
        <v>25</v>
      </c>
      <c r="E3" s="3" t="s">
        <v>170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0.51180555555555551</v>
      </c>
      <c r="L3" s="4">
        <v>0.28125</v>
      </c>
      <c r="M3" s="5">
        <v>0.2986111111111111</v>
      </c>
      <c r="N3" s="3" t="s">
        <v>178</v>
      </c>
      <c r="O3" s="3" t="s">
        <v>176</v>
      </c>
      <c r="P3" s="3">
        <v>384</v>
      </c>
      <c r="Q3" s="3">
        <v>2025</v>
      </c>
      <c r="R3" s="3">
        <v>0</v>
      </c>
      <c r="S3" s="3">
        <v>0</v>
      </c>
      <c r="T3" s="3">
        <v>0</v>
      </c>
      <c r="U3" s="3">
        <v>0</v>
      </c>
    </row>
    <row r="4" spans="1:21" x14ac:dyDescent="0.2">
      <c r="A4" s="2">
        <v>44781</v>
      </c>
      <c r="B4" s="3" t="s">
        <v>21</v>
      </c>
      <c r="C4" s="3" t="s">
        <v>24</v>
      </c>
      <c r="D4" s="3" t="s">
        <v>25</v>
      </c>
      <c r="E4" s="3" t="str">
        <f>E2</f>
        <v>HA-LWO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0.61111111111111105</v>
      </c>
      <c r="K4" s="5">
        <v>0.60416666666666663</v>
      </c>
      <c r="L4" s="4">
        <v>0.46180555555555558</v>
      </c>
      <c r="M4" s="5">
        <v>0.4694444444444445</v>
      </c>
      <c r="N4" s="3" t="s">
        <v>183</v>
      </c>
      <c r="O4" s="3" t="s">
        <v>179</v>
      </c>
      <c r="P4" s="3">
        <v>957</v>
      </c>
      <c r="Q4" s="3">
        <v>817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2">
        <v>44781</v>
      </c>
      <c r="B5" s="3" t="s">
        <v>21</v>
      </c>
      <c r="C5" s="3" t="s">
        <v>33</v>
      </c>
      <c r="D5" s="3" t="s">
        <v>25</v>
      </c>
      <c r="E5" s="3" t="str">
        <f>E3</f>
        <v>HA-LYX</v>
      </c>
      <c r="F5" s="1" t="s">
        <v>26</v>
      </c>
      <c r="G5" s="3">
        <v>70000</v>
      </c>
      <c r="H5" s="3" t="s">
        <v>35</v>
      </c>
      <c r="I5" s="3" t="s">
        <v>34</v>
      </c>
      <c r="J5" s="4">
        <v>0.75694444444444453</v>
      </c>
      <c r="K5" s="5">
        <v>0.74444444444444446</v>
      </c>
      <c r="L5" s="4">
        <v>0.54166666666666663</v>
      </c>
      <c r="M5" s="5">
        <v>0.54999999999999993</v>
      </c>
      <c r="N5" s="3" t="s">
        <v>182</v>
      </c>
      <c r="O5" s="3" t="s">
        <v>180</v>
      </c>
      <c r="P5" s="3">
        <v>196</v>
      </c>
      <c r="Q5" s="3">
        <v>1738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2">
        <v>44781</v>
      </c>
      <c r="B6" s="3" t="s">
        <v>21</v>
      </c>
      <c r="C6" s="6" t="s">
        <v>36</v>
      </c>
      <c r="D6" s="3" t="s">
        <v>25</v>
      </c>
      <c r="E6" s="3" t="str">
        <f>E4</f>
        <v>HA-LWO</v>
      </c>
      <c r="F6" s="1" t="s">
        <v>26</v>
      </c>
      <c r="G6" s="3">
        <v>70000</v>
      </c>
      <c r="H6" s="6" t="s">
        <v>39</v>
      </c>
      <c r="I6" s="6" t="s">
        <v>42</v>
      </c>
      <c r="J6" s="7">
        <v>0.75694444444444453</v>
      </c>
      <c r="K6" s="8">
        <v>0.74861111111111101</v>
      </c>
      <c r="L6" s="7">
        <v>0.64236111111111105</v>
      </c>
      <c r="M6" s="8">
        <v>0.64097222222222217</v>
      </c>
      <c r="N6" s="3" t="s">
        <v>181</v>
      </c>
      <c r="O6" s="3" t="s">
        <v>184</v>
      </c>
      <c r="P6" s="6">
        <v>760</v>
      </c>
      <c r="Q6" s="6">
        <v>734</v>
      </c>
      <c r="R6" s="6">
        <v>0</v>
      </c>
      <c r="S6" s="6">
        <v>0</v>
      </c>
      <c r="T6" s="6">
        <v>0</v>
      </c>
      <c r="U6" s="6">
        <v>0</v>
      </c>
    </row>
    <row r="7" spans="1:21" x14ac:dyDescent="0.2">
      <c r="A7" s="2">
        <v>44781</v>
      </c>
      <c r="B7" s="3" t="s">
        <v>21</v>
      </c>
      <c r="C7" s="6" t="s">
        <v>37</v>
      </c>
      <c r="D7" s="3" t="s">
        <v>25</v>
      </c>
      <c r="E7" s="3" t="str">
        <f>E5</f>
        <v>HA-LYX</v>
      </c>
      <c r="F7" s="1" t="s">
        <v>26</v>
      </c>
      <c r="G7" s="3">
        <v>70000</v>
      </c>
      <c r="H7" s="6" t="s">
        <v>40</v>
      </c>
      <c r="I7" s="6" t="s">
        <v>43</v>
      </c>
      <c r="J7" s="7">
        <v>0.96180555555555547</v>
      </c>
      <c r="K7" s="8">
        <v>0.99305555555555547</v>
      </c>
      <c r="L7" s="7">
        <v>0.77777777777777779</v>
      </c>
      <c r="M7" s="8">
        <v>0.79861111111111116</v>
      </c>
      <c r="N7" s="3" t="s">
        <v>186</v>
      </c>
      <c r="O7" s="3" t="s">
        <v>185</v>
      </c>
      <c r="P7" s="6">
        <v>851</v>
      </c>
      <c r="Q7" s="6">
        <v>993</v>
      </c>
      <c r="R7" s="6">
        <v>0</v>
      </c>
      <c r="S7" s="6">
        <v>0</v>
      </c>
      <c r="T7" s="6">
        <v>0</v>
      </c>
      <c r="U7" s="6">
        <v>0</v>
      </c>
    </row>
    <row r="8" spans="1:21" x14ac:dyDescent="0.2">
      <c r="A8" s="2">
        <v>44781</v>
      </c>
      <c r="B8" s="3" t="s">
        <v>21</v>
      </c>
      <c r="C8" s="6" t="s">
        <v>38</v>
      </c>
      <c r="D8" s="3" t="s">
        <v>25</v>
      </c>
      <c r="E8" s="3" t="str">
        <f>E6</f>
        <v>HA-LWO</v>
      </c>
      <c r="F8" s="1" t="s">
        <v>26</v>
      </c>
      <c r="G8" s="3">
        <v>70000</v>
      </c>
      <c r="H8" s="6" t="s">
        <v>41</v>
      </c>
      <c r="I8" s="6" t="s">
        <v>44</v>
      </c>
      <c r="J8" s="7">
        <v>0.97569444444444453</v>
      </c>
      <c r="K8" s="8">
        <v>0.91527777777777775</v>
      </c>
      <c r="L8" s="7">
        <v>0.77777777777777779</v>
      </c>
      <c r="M8" s="8">
        <v>0.78819444444444453</v>
      </c>
      <c r="N8" s="3" t="s">
        <v>187</v>
      </c>
      <c r="O8" s="3" t="s">
        <v>180</v>
      </c>
      <c r="P8" s="6">
        <v>736</v>
      </c>
      <c r="Q8" s="6">
        <v>1273</v>
      </c>
      <c r="R8" s="6">
        <v>0</v>
      </c>
      <c r="S8" s="6">
        <v>0</v>
      </c>
      <c r="T8" s="6">
        <v>0</v>
      </c>
      <c r="U8" s="6">
        <v>0</v>
      </c>
    </row>
    <row r="9" spans="1:21" x14ac:dyDescent="0.2">
      <c r="A9" s="2"/>
      <c r="B9" s="3"/>
      <c r="F9" s="9"/>
      <c r="G9" s="3"/>
      <c r="H9" s="13"/>
      <c r="I9" s="13"/>
      <c r="J9" s="13"/>
      <c r="K9" s="13"/>
      <c r="L9" s="7"/>
      <c r="M9" s="8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>
      <selection activeCell="P4" sqref="P4"/>
    </sheetView>
  </sheetViews>
  <sheetFormatPr defaultRowHeight="15" x14ac:dyDescent="0.25"/>
  <cols>
    <col min="1" max="1" width="11" bestFit="1" customWidth="1"/>
    <col min="2" max="2" width="19" customWidth="1"/>
    <col min="3" max="3" width="13.42578125" customWidth="1"/>
    <col min="5" max="6" width="12" customWidth="1"/>
    <col min="7" max="7" width="9.42578125" bestFit="1" customWidth="1"/>
    <col min="10" max="10" width="9.42578125" bestFit="1" customWidth="1"/>
    <col min="12" max="12" width="9.42578125" bestFit="1" customWidth="1"/>
    <col min="16" max="21" width="9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spans="1:22" x14ac:dyDescent="0.25">
      <c r="A2" s="2">
        <v>44782</v>
      </c>
      <c r="B2" s="3" t="s">
        <v>21</v>
      </c>
      <c r="C2" s="3" t="s">
        <v>66</v>
      </c>
      <c r="D2" s="3" t="s">
        <v>25</v>
      </c>
      <c r="E2" s="3" t="s">
        <v>90</v>
      </c>
      <c r="F2" s="1" t="s">
        <v>26</v>
      </c>
      <c r="G2" s="3">
        <v>70000</v>
      </c>
      <c r="H2" s="3" t="s">
        <v>67</v>
      </c>
      <c r="I2" s="3" t="s">
        <v>68</v>
      </c>
      <c r="J2" s="4">
        <v>0.47222222222222227</v>
      </c>
      <c r="K2" s="5">
        <v>0.46319444444444446</v>
      </c>
      <c r="L2" s="4">
        <v>0.28125</v>
      </c>
      <c r="M2" s="5">
        <v>0.29097222222222224</v>
      </c>
      <c r="N2" s="3" t="s">
        <v>191</v>
      </c>
      <c r="O2" s="3" t="s">
        <v>188</v>
      </c>
      <c r="P2" s="3">
        <v>1327</v>
      </c>
      <c r="Q2" s="3">
        <v>1147</v>
      </c>
      <c r="R2" s="3">
        <v>0</v>
      </c>
      <c r="S2" s="3">
        <v>0</v>
      </c>
      <c r="T2" s="3">
        <v>0</v>
      </c>
      <c r="U2" s="3">
        <v>0</v>
      </c>
    </row>
    <row r="3" spans="1:22" x14ac:dyDescent="0.25">
      <c r="A3" s="2">
        <v>44782</v>
      </c>
      <c r="B3" s="3" t="s">
        <v>21</v>
      </c>
      <c r="C3" s="3" t="s">
        <v>69</v>
      </c>
      <c r="D3" s="3" t="s">
        <v>25</v>
      </c>
      <c r="E3" s="3" t="s">
        <v>170</v>
      </c>
      <c r="F3" s="1" t="s">
        <v>26</v>
      </c>
      <c r="G3" s="3">
        <v>70000</v>
      </c>
      <c r="H3" s="3" t="s">
        <v>70</v>
      </c>
      <c r="I3" s="3" t="s">
        <v>71</v>
      </c>
      <c r="J3" s="4">
        <v>0.82986111111111116</v>
      </c>
      <c r="K3" s="5">
        <v>0.87847222222222221</v>
      </c>
      <c r="L3" s="4">
        <v>0.40972222222222227</v>
      </c>
      <c r="M3" s="5">
        <v>0.41805555555555557</v>
      </c>
      <c r="N3" s="3" t="s">
        <v>193</v>
      </c>
      <c r="O3" s="3" t="s">
        <v>169</v>
      </c>
      <c r="P3" s="3">
        <v>1339</v>
      </c>
      <c r="Q3" s="3">
        <v>1451</v>
      </c>
      <c r="R3" s="3">
        <v>0</v>
      </c>
      <c r="S3" s="3">
        <v>0</v>
      </c>
      <c r="T3" s="3">
        <v>0</v>
      </c>
      <c r="U3" s="3">
        <v>0</v>
      </c>
    </row>
    <row r="4" spans="1:22" x14ac:dyDescent="0.25">
      <c r="A4" s="2">
        <v>44782</v>
      </c>
      <c r="B4" s="3" t="s">
        <v>21</v>
      </c>
      <c r="C4" s="3" t="s">
        <v>72</v>
      </c>
      <c r="D4" s="3" t="s">
        <v>25</v>
      </c>
      <c r="E4" s="3" t="s">
        <v>90</v>
      </c>
      <c r="F4" s="1" t="s">
        <v>26</v>
      </c>
      <c r="G4" s="3">
        <v>70000</v>
      </c>
      <c r="H4" s="3" t="s">
        <v>73</v>
      </c>
      <c r="I4" s="3" t="s">
        <v>74</v>
      </c>
      <c r="J4" s="4">
        <v>0.91319444444444453</v>
      </c>
      <c r="K4" s="5">
        <v>0.90486111111111101</v>
      </c>
      <c r="L4" s="4">
        <v>0.50347222222222221</v>
      </c>
      <c r="M4" s="5">
        <v>0.51388888888888895</v>
      </c>
      <c r="N4" s="3" t="s">
        <v>194</v>
      </c>
      <c r="O4" s="3" t="s">
        <v>192</v>
      </c>
      <c r="P4" s="3">
        <v>809</v>
      </c>
      <c r="Q4" s="3">
        <v>789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2">
        <v>44782</v>
      </c>
      <c r="B5" s="3" t="s">
        <v>75</v>
      </c>
      <c r="C5" s="3" t="s">
        <v>76</v>
      </c>
      <c r="D5" s="3" t="s">
        <v>25</v>
      </c>
      <c r="E5" s="3" t="s">
        <v>135</v>
      </c>
      <c r="F5" s="1" t="s">
        <v>77</v>
      </c>
      <c r="G5" s="11">
        <v>77000</v>
      </c>
      <c r="H5" s="3" t="s">
        <v>78</v>
      </c>
      <c r="I5" s="3" t="s">
        <v>79</v>
      </c>
      <c r="J5" s="4">
        <v>0.3298611111111111</v>
      </c>
      <c r="K5" s="5">
        <v>0.3263888888888889</v>
      </c>
      <c r="L5" s="4">
        <v>0.37152777777777773</v>
      </c>
      <c r="M5" s="5">
        <v>0.37152777777777773</v>
      </c>
      <c r="N5" s="3" t="s">
        <v>189</v>
      </c>
      <c r="O5" s="3" t="s">
        <v>190</v>
      </c>
      <c r="P5" s="3">
        <v>2231</v>
      </c>
      <c r="Q5" s="3">
        <v>2174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2"/>
      <c r="B6" s="3"/>
      <c r="C6" s="3"/>
      <c r="D6" s="3"/>
      <c r="E6" s="3"/>
      <c r="F6" s="9"/>
      <c r="G6" s="3"/>
      <c r="H6" s="3"/>
      <c r="I6" s="3"/>
      <c r="J6" s="4"/>
      <c r="K6" s="5"/>
      <c r="L6" s="4"/>
      <c r="M6" s="5"/>
      <c r="N6" s="3"/>
      <c r="O6" s="3"/>
      <c r="P6" s="3"/>
      <c r="Q6" s="3"/>
      <c r="R6" s="3"/>
      <c r="S6" s="3"/>
      <c r="T6" s="3"/>
      <c r="U6" s="3"/>
    </row>
    <row r="7" spans="1:2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C1" workbookViewId="0">
      <selection activeCell="K7" sqref="K7"/>
    </sheetView>
  </sheetViews>
  <sheetFormatPr defaultRowHeight="15" x14ac:dyDescent="0.25"/>
  <cols>
    <col min="2" max="2" width="12.85546875" bestFit="1" customWidth="1"/>
    <col min="3" max="3" width="14.140625" customWidth="1"/>
    <col min="4" max="4" width="12.42578125" bestFit="1" customWidth="1"/>
    <col min="6" max="6" width="14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44783</v>
      </c>
      <c r="B2" s="3" t="s">
        <v>21</v>
      </c>
      <c r="C2" s="3" t="s">
        <v>22</v>
      </c>
      <c r="D2" s="3" t="s">
        <v>25</v>
      </c>
      <c r="E2" s="6" t="s">
        <v>90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0.43055555555555558</v>
      </c>
      <c r="K2" s="5">
        <v>0.45555555555555555</v>
      </c>
      <c r="L2" s="4">
        <v>0.25694444444444448</v>
      </c>
      <c r="M2" s="5">
        <v>0.26944444444444443</v>
      </c>
      <c r="N2" s="3" t="s">
        <v>201</v>
      </c>
      <c r="O2" s="3" t="s">
        <v>200</v>
      </c>
      <c r="P2" s="3">
        <v>984</v>
      </c>
      <c r="Q2" s="3">
        <v>1134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44783</v>
      </c>
      <c r="B3" s="3" t="s">
        <v>21</v>
      </c>
      <c r="C3" s="3" t="s">
        <v>24</v>
      </c>
      <c r="D3" s="3" t="s">
        <v>25</v>
      </c>
      <c r="E3" s="6" t="s">
        <v>90</v>
      </c>
      <c r="F3" s="1" t="s">
        <v>26</v>
      </c>
      <c r="G3" s="3">
        <v>70000</v>
      </c>
      <c r="H3" s="3" t="s">
        <v>31</v>
      </c>
      <c r="I3" s="3" t="s">
        <v>32</v>
      </c>
      <c r="J3" s="4">
        <v>0.60069444444444442</v>
      </c>
      <c r="K3" s="5">
        <v>0.61458333333333337</v>
      </c>
      <c r="L3" s="4">
        <v>0.4513888888888889</v>
      </c>
      <c r="M3" s="5">
        <v>0.48680555555555555</v>
      </c>
      <c r="N3" s="3" t="s">
        <v>205</v>
      </c>
      <c r="O3" s="3" t="s">
        <v>202</v>
      </c>
      <c r="P3" s="3">
        <v>715</v>
      </c>
      <c r="Q3" s="3">
        <v>835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44783</v>
      </c>
      <c r="B4" s="3" t="s">
        <v>21</v>
      </c>
      <c r="C4" s="3" t="s">
        <v>89</v>
      </c>
      <c r="D4" s="3" t="s">
        <v>25</v>
      </c>
      <c r="E4" s="6" t="s">
        <v>170</v>
      </c>
      <c r="F4" s="1" t="s">
        <v>26</v>
      </c>
      <c r="G4" s="3">
        <v>70000</v>
      </c>
      <c r="H4" s="3" t="s">
        <v>91</v>
      </c>
      <c r="I4" s="3" t="s">
        <v>92</v>
      </c>
      <c r="J4" s="4">
        <v>0.69791666666666663</v>
      </c>
      <c r="K4" s="5">
        <v>0.77638888888888891</v>
      </c>
      <c r="L4" s="4">
        <v>0.54166666666666663</v>
      </c>
      <c r="M4" s="5">
        <v>0.63680555555555551</v>
      </c>
      <c r="N4" s="3" t="s">
        <v>208</v>
      </c>
      <c r="O4" s="3" t="s">
        <v>203</v>
      </c>
      <c r="P4" s="3">
        <v>591</v>
      </c>
      <c r="Q4" s="3">
        <v>362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44783</v>
      </c>
      <c r="B5" s="3" t="s">
        <v>21</v>
      </c>
      <c r="C5" s="3" t="s">
        <v>36</v>
      </c>
      <c r="D5" s="3" t="s">
        <v>25</v>
      </c>
      <c r="E5" s="3" t="str">
        <f>E3</f>
        <v>HA-LYG</v>
      </c>
      <c r="F5" s="1" t="s">
        <v>26</v>
      </c>
      <c r="G5" s="3">
        <v>70000</v>
      </c>
      <c r="H5" s="3" t="s">
        <v>39</v>
      </c>
      <c r="I5" s="3" t="s">
        <v>42</v>
      </c>
      <c r="J5" s="4">
        <v>0.74652777777777779</v>
      </c>
      <c r="K5" s="5">
        <v>0.76250000000000007</v>
      </c>
      <c r="L5" s="4">
        <v>0.63194444444444442</v>
      </c>
      <c r="M5" s="5">
        <v>0.65138888888888891</v>
      </c>
      <c r="N5" s="3" t="s">
        <v>209</v>
      </c>
      <c r="O5" s="3" t="s">
        <v>206</v>
      </c>
      <c r="P5" s="3">
        <v>456</v>
      </c>
      <c r="Q5" s="3">
        <v>554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44783</v>
      </c>
      <c r="B6" s="3" t="s">
        <v>21</v>
      </c>
      <c r="C6" s="3" t="s">
        <v>37</v>
      </c>
      <c r="D6" s="3" t="s">
        <v>25</v>
      </c>
      <c r="E6" s="6" t="s">
        <v>170</v>
      </c>
      <c r="F6" s="1" t="s">
        <v>26</v>
      </c>
      <c r="G6" s="3">
        <v>70000</v>
      </c>
      <c r="H6" s="3" t="s">
        <v>40</v>
      </c>
      <c r="I6" s="3" t="s">
        <v>43</v>
      </c>
      <c r="J6" s="4">
        <v>0.90277777777777779</v>
      </c>
      <c r="K6" s="5">
        <v>0.9902777777777777</v>
      </c>
      <c r="L6" s="4">
        <v>0.71875</v>
      </c>
      <c r="M6" s="5">
        <v>0.82291666666666663</v>
      </c>
      <c r="N6" s="3" t="s">
        <v>210</v>
      </c>
      <c r="O6" s="3" t="s">
        <v>94</v>
      </c>
      <c r="P6" s="3">
        <v>869</v>
      </c>
      <c r="Q6" s="3">
        <v>632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44783</v>
      </c>
      <c r="B7" s="3" t="s">
        <v>21</v>
      </c>
      <c r="C7" s="3" t="s">
        <v>38</v>
      </c>
      <c r="D7" s="3" t="s">
        <v>25</v>
      </c>
      <c r="E7" s="3" t="str">
        <f>E5</f>
        <v>HA-LYG</v>
      </c>
      <c r="F7" s="1" t="s">
        <v>26</v>
      </c>
      <c r="G7" s="3">
        <v>70000</v>
      </c>
      <c r="H7" s="3" t="s">
        <v>41</v>
      </c>
      <c r="I7" s="3" t="s">
        <v>44</v>
      </c>
      <c r="J7" s="4">
        <v>0.9375</v>
      </c>
      <c r="K7" s="5">
        <v>0.98333333333333339</v>
      </c>
      <c r="L7" s="4">
        <v>0.76736111111111116</v>
      </c>
      <c r="M7" s="5">
        <v>0.79513888888888884</v>
      </c>
      <c r="N7" s="3" t="s">
        <v>211</v>
      </c>
      <c r="O7" s="3" t="s">
        <v>207</v>
      </c>
      <c r="P7" s="3">
        <v>560</v>
      </c>
      <c r="Q7" s="3">
        <v>1520</v>
      </c>
      <c r="R7" s="3">
        <v>0</v>
      </c>
      <c r="S7" s="3">
        <v>0</v>
      </c>
      <c r="T7" s="3">
        <v>0</v>
      </c>
      <c r="U7" s="3">
        <v>0</v>
      </c>
    </row>
    <row r="8" spans="1:21" s="6" customFormat="1" ht="12.75" x14ac:dyDescent="0.2">
      <c r="A8" s="2">
        <v>44783</v>
      </c>
      <c r="B8" s="3" t="s">
        <v>195</v>
      </c>
      <c r="C8" s="6" t="s">
        <v>196</v>
      </c>
      <c r="D8" s="6" t="s">
        <v>197</v>
      </c>
      <c r="E8" s="6" t="s">
        <v>198</v>
      </c>
      <c r="F8" s="6" t="s">
        <v>204</v>
      </c>
      <c r="G8" s="6">
        <v>5613</v>
      </c>
      <c r="H8" s="6" t="s">
        <v>127</v>
      </c>
      <c r="I8" s="6" t="s">
        <v>127</v>
      </c>
      <c r="J8" s="7" t="s">
        <v>199</v>
      </c>
      <c r="K8" s="8" t="s">
        <v>199</v>
      </c>
      <c r="L8" s="7">
        <v>0.45833333333333331</v>
      </c>
      <c r="M8" s="8">
        <v>0.47152777777777777</v>
      </c>
      <c r="N8" s="6">
        <v>0</v>
      </c>
      <c r="O8" s="6">
        <v>4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U8"/>
    </sheetView>
  </sheetViews>
  <sheetFormatPr defaultRowHeight="15" x14ac:dyDescent="0.25"/>
  <cols>
    <col min="1" max="1" width="10.140625" bestFit="1" customWidth="1"/>
    <col min="2" max="2" width="18.85546875" customWidth="1"/>
    <col min="3" max="3" width="14" customWidth="1"/>
    <col min="6" max="6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44784</v>
      </c>
      <c r="B2" s="3" t="s">
        <v>21</v>
      </c>
      <c r="C2" s="3" t="s">
        <v>105</v>
      </c>
      <c r="D2" s="3" t="s">
        <v>25</v>
      </c>
      <c r="E2" s="3" t="s">
        <v>90</v>
      </c>
      <c r="F2" s="1" t="s">
        <v>26</v>
      </c>
      <c r="G2" s="3">
        <v>70000</v>
      </c>
      <c r="H2" s="3" t="s">
        <v>106</v>
      </c>
      <c r="I2" s="3" t="s">
        <v>107</v>
      </c>
      <c r="J2" s="4">
        <v>0.45833333333333331</v>
      </c>
      <c r="K2" s="5">
        <v>0.46666666666666662</v>
      </c>
      <c r="L2" s="4">
        <v>0.25694444444444448</v>
      </c>
      <c r="M2" s="5">
        <v>0.28055555555555556</v>
      </c>
      <c r="N2" s="3" t="s">
        <v>213</v>
      </c>
      <c r="O2" s="3" t="s">
        <v>212</v>
      </c>
      <c r="P2" s="3">
        <v>507</v>
      </c>
      <c r="Q2" s="3">
        <v>2185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44784</v>
      </c>
      <c r="B3" s="3" t="s">
        <v>21</v>
      </c>
      <c r="C3" s="3" t="s">
        <v>108</v>
      </c>
      <c r="D3" s="3" t="s">
        <v>25</v>
      </c>
      <c r="E3" s="3" t="s">
        <v>170</v>
      </c>
      <c r="F3" s="3" t="s">
        <v>26</v>
      </c>
      <c r="G3" s="11">
        <v>70000</v>
      </c>
      <c r="H3" s="3" t="s">
        <v>109</v>
      </c>
      <c r="I3" s="3" t="s">
        <v>110</v>
      </c>
      <c r="J3" s="4">
        <v>0.43402777777777773</v>
      </c>
      <c r="K3" s="5">
        <v>0.46319444444444446</v>
      </c>
      <c r="L3" s="4">
        <v>0.28472222222222221</v>
      </c>
      <c r="M3" s="5">
        <v>0.31875000000000003</v>
      </c>
      <c r="N3" s="3" t="s">
        <v>87</v>
      </c>
      <c r="O3" s="3" t="s">
        <v>47</v>
      </c>
      <c r="P3" s="3">
        <v>922</v>
      </c>
      <c r="Q3" s="3">
        <v>733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44784</v>
      </c>
      <c r="B4" s="3" t="s">
        <v>21</v>
      </c>
      <c r="C4" s="3" t="s">
        <v>69</v>
      </c>
      <c r="D4" s="3" t="s">
        <v>25</v>
      </c>
      <c r="E4" s="3" t="s">
        <v>90</v>
      </c>
      <c r="F4" s="3" t="s">
        <v>26</v>
      </c>
      <c r="G4" s="11">
        <v>70000</v>
      </c>
      <c r="H4" s="3" t="s">
        <v>70</v>
      </c>
      <c r="I4" s="3" t="s">
        <v>71</v>
      </c>
      <c r="J4" s="4">
        <v>0.67708333333333337</v>
      </c>
      <c r="K4" s="5">
        <v>0.68125000000000002</v>
      </c>
      <c r="L4" s="4">
        <v>0.48958333333333331</v>
      </c>
      <c r="M4" s="5">
        <v>0.50486111111111109</v>
      </c>
      <c r="N4" s="3" t="s">
        <v>217</v>
      </c>
      <c r="O4" s="3" t="s">
        <v>214</v>
      </c>
      <c r="P4" s="3">
        <v>874</v>
      </c>
      <c r="Q4" s="3">
        <v>1308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44784</v>
      </c>
      <c r="B5" s="3" t="s">
        <v>21</v>
      </c>
      <c r="C5" s="3" t="s">
        <v>111</v>
      </c>
      <c r="D5" s="3" t="s">
        <v>25</v>
      </c>
      <c r="E5" s="3" t="s">
        <v>170</v>
      </c>
      <c r="F5" s="3" t="s">
        <v>26</v>
      </c>
      <c r="G5" s="11">
        <v>70000</v>
      </c>
      <c r="H5" s="3" t="s">
        <v>112</v>
      </c>
      <c r="I5" s="3" t="s">
        <v>113</v>
      </c>
      <c r="J5" s="4">
        <v>0.86805555555555547</v>
      </c>
      <c r="K5" s="5">
        <v>0.85486111111111107</v>
      </c>
      <c r="L5" s="4">
        <v>0.64930555555555558</v>
      </c>
      <c r="M5" s="5">
        <v>0.65</v>
      </c>
      <c r="N5" s="3" t="s">
        <v>218</v>
      </c>
      <c r="O5" s="3" t="s">
        <v>215</v>
      </c>
      <c r="P5" s="3">
        <v>450</v>
      </c>
      <c r="Q5" s="3">
        <v>916</v>
      </c>
      <c r="R5" s="3">
        <v>0</v>
      </c>
      <c r="S5" s="3">
        <v>0</v>
      </c>
      <c r="T5" s="3">
        <v>0</v>
      </c>
      <c r="U5" s="3">
        <v>0</v>
      </c>
    </row>
    <row r="6" spans="1:21" s="3" customFormat="1" ht="12.75" x14ac:dyDescent="0.25">
      <c r="A6" s="2">
        <v>44784</v>
      </c>
      <c r="B6" s="3" t="s">
        <v>21</v>
      </c>
      <c r="C6" s="3" t="s">
        <v>114</v>
      </c>
      <c r="D6" s="3" t="s">
        <v>25</v>
      </c>
      <c r="E6" s="3" t="s">
        <v>90</v>
      </c>
      <c r="F6" s="3" t="s">
        <v>26</v>
      </c>
      <c r="G6" s="11">
        <v>70000</v>
      </c>
      <c r="H6" s="3" t="s">
        <v>115</v>
      </c>
      <c r="I6" s="3" t="s">
        <v>116</v>
      </c>
      <c r="J6" s="4">
        <v>0.93402777777777779</v>
      </c>
      <c r="K6" s="5">
        <v>0.93472222222222223</v>
      </c>
      <c r="L6" s="4">
        <v>0.69791666666666663</v>
      </c>
      <c r="M6" s="5">
        <v>0.72291666666666676</v>
      </c>
      <c r="N6" s="3" t="s">
        <v>219</v>
      </c>
      <c r="O6" s="3" t="s">
        <v>216</v>
      </c>
      <c r="P6" s="3">
        <v>494</v>
      </c>
      <c r="Q6" s="3">
        <v>2028</v>
      </c>
      <c r="R6" s="3">
        <v>0</v>
      </c>
      <c r="S6" s="3">
        <v>0</v>
      </c>
      <c r="T6" s="3">
        <v>0</v>
      </c>
      <c r="U6" s="3">
        <v>0</v>
      </c>
    </row>
    <row r="7" spans="1:21" s="6" customFormat="1" ht="12.75" x14ac:dyDescent="0.2">
      <c r="A7" s="2"/>
      <c r="B7" s="3"/>
      <c r="C7" s="3"/>
      <c r="D7" s="3"/>
      <c r="E7" s="3"/>
      <c r="F7" s="3"/>
      <c r="G7" s="11"/>
      <c r="H7" s="3"/>
      <c r="J7" s="7"/>
      <c r="K7" s="8"/>
      <c r="L7" s="7"/>
      <c r="M7" s="8"/>
    </row>
    <row r="8" spans="1:21" x14ac:dyDescent="0.25">
      <c r="A8" s="2"/>
      <c r="B8" s="3"/>
      <c r="C8" s="3"/>
      <c r="D8" s="3"/>
      <c r="E8" s="3"/>
      <c r="F8" s="3"/>
      <c r="G8" s="3"/>
      <c r="H8" s="3"/>
      <c r="I8" s="3"/>
      <c r="J8" s="4"/>
      <c r="K8" s="5"/>
      <c r="L8" s="4"/>
      <c r="M8" s="5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E1" workbookViewId="0">
      <selection sqref="A1:U9"/>
    </sheetView>
  </sheetViews>
  <sheetFormatPr defaultRowHeight="15" x14ac:dyDescent="0.25"/>
  <cols>
    <col min="2" max="2" width="20.5703125" customWidth="1"/>
    <col min="3" max="3" width="16.140625" customWidth="1"/>
    <col min="6" max="6" width="1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44785</v>
      </c>
      <c r="B2" s="3" t="s">
        <v>21</v>
      </c>
      <c r="C2" s="3" t="s">
        <v>22</v>
      </c>
      <c r="D2" s="3" t="s">
        <v>25</v>
      </c>
      <c r="E2" s="3" t="s">
        <v>170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0.44027777777777777</v>
      </c>
      <c r="L2" s="4">
        <v>0.25694444444444448</v>
      </c>
      <c r="M2" s="5">
        <v>0.26805555555555555</v>
      </c>
      <c r="N2" s="3" t="s">
        <v>225</v>
      </c>
      <c r="O2" s="3" t="s">
        <v>222</v>
      </c>
      <c r="P2" s="3">
        <v>933</v>
      </c>
      <c r="Q2" s="3">
        <v>1322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44785</v>
      </c>
      <c r="B3" s="3" t="s">
        <v>21</v>
      </c>
      <c r="C3" s="3" t="s">
        <v>23</v>
      </c>
      <c r="D3" s="3" t="s">
        <v>25</v>
      </c>
      <c r="E3" s="3" t="s">
        <v>90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0.50694444444444442</v>
      </c>
      <c r="L3" s="4">
        <v>0.28125</v>
      </c>
      <c r="M3" s="5">
        <v>0.2951388888888889</v>
      </c>
      <c r="N3" s="3" t="s">
        <v>226</v>
      </c>
      <c r="O3" s="3" t="s">
        <v>223</v>
      </c>
      <c r="P3" s="3">
        <v>461</v>
      </c>
      <c r="Q3" s="3">
        <v>1922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44785</v>
      </c>
      <c r="B4" s="3" t="s">
        <v>75</v>
      </c>
      <c r="C4" s="3" t="s">
        <v>76</v>
      </c>
      <c r="D4" s="3" t="s">
        <v>25</v>
      </c>
      <c r="E4" s="3" t="s">
        <v>221</v>
      </c>
      <c r="F4" s="1" t="s">
        <v>77</v>
      </c>
      <c r="G4" s="11">
        <v>77000</v>
      </c>
      <c r="H4" s="3" t="s">
        <v>78</v>
      </c>
      <c r="I4" s="3" t="s">
        <v>79</v>
      </c>
      <c r="J4" s="4">
        <v>0.3298611111111111</v>
      </c>
      <c r="K4" s="5">
        <v>0.3215277777777778</v>
      </c>
      <c r="L4" s="4">
        <v>0.37152777777777773</v>
      </c>
      <c r="M4" s="5">
        <v>0.3743055555555555</v>
      </c>
      <c r="N4" s="3" t="s">
        <v>222</v>
      </c>
      <c r="O4" s="3" t="s">
        <v>224</v>
      </c>
      <c r="P4" s="3">
        <v>2578</v>
      </c>
      <c r="Q4" s="3">
        <v>2102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44785</v>
      </c>
      <c r="B5" s="3" t="s">
        <v>21</v>
      </c>
      <c r="C5" s="3" t="s">
        <v>24</v>
      </c>
      <c r="D5" s="3" t="s">
        <v>25</v>
      </c>
      <c r="E5" s="3" t="s">
        <v>170</v>
      </c>
      <c r="F5" s="1" t="s">
        <v>26</v>
      </c>
      <c r="G5" s="3">
        <v>70000</v>
      </c>
      <c r="H5" s="3" t="s">
        <v>31</v>
      </c>
      <c r="I5" s="3" t="s">
        <v>32</v>
      </c>
      <c r="J5" s="4">
        <v>0.61111111111111105</v>
      </c>
      <c r="K5" s="5">
        <v>0.59861111111111109</v>
      </c>
      <c r="L5" s="4">
        <v>0.46180555555555558</v>
      </c>
      <c r="M5" s="5">
        <v>0.47222222222222227</v>
      </c>
      <c r="N5" s="3" t="s">
        <v>176</v>
      </c>
      <c r="O5" s="3" t="s">
        <v>227</v>
      </c>
      <c r="P5" s="3">
        <v>1869</v>
      </c>
      <c r="Q5" s="3">
        <v>1011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44785</v>
      </c>
      <c r="B6" s="3" t="s">
        <v>21</v>
      </c>
      <c r="C6" s="3" t="s">
        <v>33</v>
      </c>
      <c r="D6" s="3" t="s">
        <v>25</v>
      </c>
      <c r="E6" s="3" t="s">
        <v>90</v>
      </c>
      <c r="F6" s="1" t="s">
        <v>26</v>
      </c>
      <c r="G6" s="3">
        <v>70000</v>
      </c>
      <c r="H6" s="3" t="s">
        <v>35</v>
      </c>
      <c r="I6" s="3" t="s">
        <v>34</v>
      </c>
      <c r="J6" s="4">
        <v>0.75694444444444453</v>
      </c>
      <c r="K6" s="5">
        <v>0.75069444444444444</v>
      </c>
      <c r="L6" s="4">
        <v>0.54166666666666663</v>
      </c>
      <c r="M6" s="5">
        <v>0.54999999999999993</v>
      </c>
      <c r="N6" s="3" t="s">
        <v>230</v>
      </c>
      <c r="O6" s="3" t="s">
        <v>228</v>
      </c>
      <c r="P6" s="3">
        <v>231</v>
      </c>
      <c r="Q6" s="3">
        <v>2013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44785</v>
      </c>
      <c r="B7" s="3" t="s">
        <v>21</v>
      </c>
      <c r="C7" s="3" t="s">
        <v>36</v>
      </c>
      <c r="D7" s="3" t="s">
        <v>25</v>
      </c>
      <c r="E7" s="3" t="s">
        <v>170</v>
      </c>
      <c r="F7" s="1" t="s">
        <v>26</v>
      </c>
      <c r="G7" s="3">
        <v>70000</v>
      </c>
      <c r="H7" s="3" t="s">
        <v>39</v>
      </c>
      <c r="I7" s="3" t="s">
        <v>42</v>
      </c>
      <c r="J7" s="4">
        <v>0.75694444444444453</v>
      </c>
      <c r="K7" s="5">
        <v>0.77638888888888891</v>
      </c>
      <c r="L7" s="4">
        <v>0.64236111111111105</v>
      </c>
      <c r="M7" s="5">
        <v>0.6430555555555556</v>
      </c>
      <c r="N7" s="3" t="s">
        <v>231</v>
      </c>
      <c r="O7" s="3" t="s">
        <v>229</v>
      </c>
      <c r="P7" s="3">
        <v>415</v>
      </c>
      <c r="Q7" s="3">
        <v>552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44785</v>
      </c>
      <c r="B8" s="3" t="s">
        <v>21</v>
      </c>
      <c r="C8" s="3" t="s">
        <v>37</v>
      </c>
      <c r="D8" s="3" t="s">
        <v>25</v>
      </c>
      <c r="E8" s="3" t="s">
        <v>90</v>
      </c>
      <c r="F8" s="1" t="s">
        <v>26</v>
      </c>
      <c r="G8" s="3">
        <v>70000</v>
      </c>
      <c r="H8" s="3" t="s">
        <v>40</v>
      </c>
      <c r="I8" s="3" t="s">
        <v>43</v>
      </c>
      <c r="J8" s="4">
        <v>0.96180555555555547</v>
      </c>
      <c r="K8" s="5">
        <v>0.98611111111111116</v>
      </c>
      <c r="L8" s="4">
        <v>0.77777777777777779</v>
      </c>
      <c r="M8" s="5">
        <v>0.80069444444444438</v>
      </c>
      <c r="N8" s="3" t="s">
        <v>234</v>
      </c>
      <c r="O8" s="3" t="s">
        <v>232</v>
      </c>
      <c r="P8" s="3">
        <v>1239</v>
      </c>
      <c r="Q8" s="3">
        <v>1105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>
        <v>44785</v>
      </c>
      <c r="B9" s="3" t="s">
        <v>21</v>
      </c>
      <c r="C9" s="3" t="s">
        <v>38</v>
      </c>
      <c r="D9" s="3" t="s">
        <v>25</v>
      </c>
      <c r="E9" s="3" t="s">
        <v>220</v>
      </c>
      <c r="F9" s="1" t="s">
        <v>26</v>
      </c>
      <c r="G9" s="3">
        <v>70000</v>
      </c>
      <c r="H9" s="3" t="s">
        <v>41</v>
      </c>
      <c r="I9" s="3" t="s">
        <v>44</v>
      </c>
      <c r="J9" s="4">
        <v>0.97569444444444453</v>
      </c>
      <c r="K9" s="5">
        <v>0.9916666666666667</v>
      </c>
      <c r="L9" s="4">
        <v>0.77777777777777779</v>
      </c>
      <c r="M9" s="5">
        <v>0.8125</v>
      </c>
      <c r="N9" s="3" t="s">
        <v>225</v>
      </c>
      <c r="O9" s="3" t="s">
        <v>233</v>
      </c>
      <c r="P9" s="3">
        <v>808</v>
      </c>
      <c r="Q9" s="3">
        <v>1754</v>
      </c>
      <c r="R9" s="3">
        <v>0</v>
      </c>
      <c r="S9" s="3">
        <v>0</v>
      </c>
      <c r="T9" s="3">
        <v>0</v>
      </c>
      <c r="U9" s="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P4" sqref="P4"/>
    </sheetView>
  </sheetViews>
  <sheetFormatPr defaultRowHeight="15" x14ac:dyDescent="0.25"/>
  <cols>
    <col min="1" max="1" width="10" customWidth="1"/>
    <col min="3" max="3" width="15.7109375" customWidth="1"/>
    <col min="6" max="6" width="13.7109375" customWidth="1"/>
    <col min="7" max="7" width="9.28515625" bestFit="1" customWidth="1"/>
    <col min="10" max="10" width="9.28515625" bestFit="1" customWidth="1"/>
    <col min="12" max="12" width="9.28515625" bestFit="1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44786</v>
      </c>
      <c r="B2" s="3" t="s">
        <v>21</v>
      </c>
      <c r="C2" s="3" t="s">
        <v>66</v>
      </c>
      <c r="D2" s="3" t="s">
        <v>25</v>
      </c>
      <c r="E2" s="3" t="s">
        <v>235</v>
      </c>
      <c r="F2" s="1" t="s">
        <v>26</v>
      </c>
      <c r="G2" s="3">
        <v>70000</v>
      </c>
      <c r="H2" s="3" t="s">
        <v>67</v>
      </c>
      <c r="I2" s="3" t="s">
        <v>68</v>
      </c>
      <c r="J2" s="4">
        <v>0.47222222222222227</v>
      </c>
      <c r="K2" s="5">
        <v>0.49652777777777773</v>
      </c>
      <c r="L2" s="4">
        <v>0.28125</v>
      </c>
      <c r="M2" s="5">
        <v>0.31527777777777777</v>
      </c>
      <c r="N2" s="3" t="s">
        <v>237</v>
      </c>
      <c r="O2" s="3" t="s">
        <v>236</v>
      </c>
      <c r="P2" s="3">
        <v>1215</v>
      </c>
      <c r="Q2" s="3">
        <v>966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44786</v>
      </c>
      <c r="B3" s="3" t="s">
        <v>21</v>
      </c>
      <c r="C3" s="3" t="s">
        <v>69</v>
      </c>
      <c r="D3" s="3" t="s">
        <v>25</v>
      </c>
      <c r="E3" s="3" t="s">
        <v>161</v>
      </c>
      <c r="F3" s="1" t="s">
        <v>26</v>
      </c>
      <c r="G3" s="3">
        <v>70000</v>
      </c>
      <c r="H3" s="3" t="s">
        <v>70</v>
      </c>
      <c r="I3" s="3" t="s">
        <v>71</v>
      </c>
      <c r="J3" s="4">
        <v>0.82986111111111116</v>
      </c>
      <c r="K3" s="5">
        <v>0.87291666666666667</v>
      </c>
      <c r="L3" s="4">
        <v>0.40972222222222227</v>
      </c>
      <c r="M3" s="5">
        <v>0.43055555555555558</v>
      </c>
      <c r="N3" s="3" t="s">
        <v>239</v>
      </c>
      <c r="O3" s="3" t="s">
        <v>100</v>
      </c>
      <c r="P3" s="3">
        <v>1045</v>
      </c>
      <c r="Q3" s="3">
        <v>1449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44786</v>
      </c>
      <c r="B4" s="3" t="s">
        <v>21</v>
      </c>
      <c r="C4" s="3" t="s">
        <v>72</v>
      </c>
      <c r="D4" s="3" t="s">
        <v>25</v>
      </c>
      <c r="E4" s="3" t="s">
        <v>235</v>
      </c>
      <c r="F4" s="1" t="s">
        <v>26</v>
      </c>
      <c r="G4" s="3">
        <v>70000</v>
      </c>
      <c r="H4" s="3" t="s">
        <v>73</v>
      </c>
      <c r="I4" s="3" t="s">
        <v>74</v>
      </c>
      <c r="J4" s="4">
        <v>0.91319444444444453</v>
      </c>
      <c r="K4" s="5">
        <v>0.97083333333333333</v>
      </c>
      <c r="L4" s="4">
        <v>0.50347222222222221</v>
      </c>
      <c r="M4" s="5">
        <v>0.57152777777777775</v>
      </c>
      <c r="N4" s="3" t="s">
        <v>88</v>
      </c>
      <c r="O4" s="3" t="s">
        <v>238</v>
      </c>
      <c r="P4" s="3">
        <v>629</v>
      </c>
      <c r="Q4" s="3">
        <v>853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7" sqref="K7"/>
    </sheetView>
  </sheetViews>
  <sheetFormatPr defaultRowHeight="15" x14ac:dyDescent="0.25"/>
  <cols>
    <col min="1" max="1" width="10.140625" bestFit="1" customWidth="1"/>
    <col min="2" max="2" width="18.85546875" customWidth="1"/>
    <col min="3" max="3" width="14" customWidth="1"/>
    <col min="6" max="6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44787</v>
      </c>
      <c r="B2" s="3" t="s">
        <v>21</v>
      </c>
      <c r="C2" s="3" t="s">
        <v>105</v>
      </c>
      <c r="D2" s="3" t="s">
        <v>25</v>
      </c>
      <c r="E2" s="3" t="s">
        <v>90</v>
      </c>
      <c r="F2" s="1" t="s">
        <v>26</v>
      </c>
      <c r="G2" s="3">
        <v>70000</v>
      </c>
      <c r="H2" s="3" t="s">
        <v>106</v>
      </c>
      <c r="I2" s="3" t="s">
        <v>107</v>
      </c>
      <c r="J2" s="4">
        <v>0.45833333333333331</v>
      </c>
      <c r="K2" s="5">
        <v>0.45277777777777778</v>
      </c>
      <c r="L2" s="4">
        <v>0.25694444444444448</v>
      </c>
      <c r="M2" s="5">
        <v>0.27499999999999997</v>
      </c>
      <c r="N2" s="3" t="s">
        <v>242</v>
      </c>
      <c r="O2" s="3" t="s">
        <v>240</v>
      </c>
      <c r="P2" s="3">
        <v>222</v>
      </c>
      <c r="Q2" s="3">
        <v>1911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44787</v>
      </c>
      <c r="B3" s="3" t="s">
        <v>21</v>
      </c>
      <c r="C3" s="3" t="s">
        <v>108</v>
      </c>
      <c r="D3" s="3" t="s">
        <v>25</v>
      </c>
      <c r="E3" s="3" t="s">
        <v>170</v>
      </c>
      <c r="F3" s="3" t="s">
        <v>26</v>
      </c>
      <c r="G3" s="11">
        <v>70000</v>
      </c>
      <c r="H3" s="3" t="s">
        <v>109</v>
      </c>
      <c r="I3" s="3" t="s">
        <v>110</v>
      </c>
      <c r="J3" s="4">
        <v>0.43402777777777773</v>
      </c>
      <c r="K3" s="5">
        <v>0.43541666666666662</v>
      </c>
      <c r="L3" s="4">
        <v>0.28472222222222221</v>
      </c>
      <c r="M3" s="5">
        <v>0.29444444444444445</v>
      </c>
      <c r="N3" s="3" t="s">
        <v>243</v>
      </c>
      <c r="O3" s="3" t="s">
        <v>241</v>
      </c>
      <c r="P3" s="3">
        <v>784</v>
      </c>
      <c r="Q3" s="3">
        <v>1389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44787</v>
      </c>
      <c r="B4" s="3" t="s">
        <v>21</v>
      </c>
      <c r="C4" s="3" t="s">
        <v>89</v>
      </c>
      <c r="D4" s="3" t="s">
        <v>25</v>
      </c>
      <c r="E4" s="6" t="str">
        <f>E3</f>
        <v>HA-LYX</v>
      </c>
      <c r="F4" s="1" t="s">
        <v>26</v>
      </c>
      <c r="G4" s="3">
        <v>70000</v>
      </c>
      <c r="H4" s="3" t="s">
        <v>91</v>
      </c>
      <c r="I4" s="3" t="s">
        <v>92</v>
      </c>
      <c r="J4" s="4">
        <v>0.64583333333333337</v>
      </c>
      <c r="K4" s="5">
        <v>0.64166666666666672</v>
      </c>
      <c r="L4" s="4">
        <v>0.48958333333333331</v>
      </c>
      <c r="M4" s="5">
        <v>0.49305555555555558</v>
      </c>
      <c r="N4" s="3" t="s">
        <v>245</v>
      </c>
      <c r="O4" s="3" t="s">
        <v>244</v>
      </c>
      <c r="P4" s="3">
        <v>693</v>
      </c>
      <c r="Q4" s="3">
        <v>584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44787</v>
      </c>
      <c r="B5" s="3" t="s">
        <v>21</v>
      </c>
      <c r="C5" s="3" t="s">
        <v>111</v>
      </c>
      <c r="D5" s="3" t="s">
        <v>25</v>
      </c>
      <c r="E5" s="3" t="str">
        <f>E2</f>
        <v>HA-LYG</v>
      </c>
      <c r="F5" s="3" t="s">
        <v>26</v>
      </c>
      <c r="G5" s="11">
        <v>70000</v>
      </c>
      <c r="H5" s="3" t="s">
        <v>112</v>
      </c>
      <c r="I5" s="3" t="s">
        <v>113</v>
      </c>
      <c r="J5" s="4">
        <v>0.86805555555555547</v>
      </c>
      <c r="K5" s="5">
        <v>0.86458333333333337</v>
      </c>
      <c r="L5" s="4">
        <v>0.64930555555555558</v>
      </c>
      <c r="M5" s="5">
        <v>0.66041666666666665</v>
      </c>
      <c r="N5" s="3" t="s">
        <v>247</v>
      </c>
      <c r="O5" s="3" t="s">
        <v>133</v>
      </c>
      <c r="P5" s="3">
        <v>351</v>
      </c>
      <c r="Q5" s="3">
        <v>1310</v>
      </c>
      <c r="R5" s="3">
        <v>0</v>
      </c>
      <c r="S5" s="3">
        <v>0</v>
      </c>
      <c r="T5" s="3">
        <v>0</v>
      </c>
      <c r="U5" s="3">
        <v>0</v>
      </c>
    </row>
    <row r="6" spans="1:21" s="3" customFormat="1" ht="12.75" x14ac:dyDescent="0.25">
      <c r="A6" s="2">
        <v>44787</v>
      </c>
      <c r="B6" s="3" t="s">
        <v>21</v>
      </c>
      <c r="C6" s="3" t="s">
        <v>114</v>
      </c>
      <c r="D6" s="3" t="s">
        <v>25</v>
      </c>
      <c r="E6" s="3" t="str">
        <f>E4</f>
        <v>HA-LYX</v>
      </c>
      <c r="F6" s="3" t="s">
        <v>26</v>
      </c>
      <c r="G6" s="11">
        <v>70000</v>
      </c>
      <c r="H6" s="3" t="s">
        <v>115</v>
      </c>
      <c r="I6" s="3" t="s">
        <v>116</v>
      </c>
      <c r="J6" s="4">
        <v>0.90277777777777779</v>
      </c>
      <c r="K6" s="5">
        <v>0.89444444444444438</v>
      </c>
      <c r="L6" s="4">
        <v>0.66666666666666663</v>
      </c>
      <c r="M6" s="5">
        <v>0.68541666666666667</v>
      </c>
      <c r="N6" s="3" t="s">
        <v>248</v>
      </c>
      <c r="O6" s="3" t="s">
        <v>246</v>
      </c>
      <c r="P6" s="3">
        <v>690</v>
      </c>
      <c r="Q6" s="3">
        <v>2312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Y8"/>
    </sheetView>
  </sheetViews>
  <sheetFormatPr defaultRowHeight="12.75" x14ac:dyDescent="0.2"/>
  <cols>
    <col min="1" max="1" width="10.140625" style="6" bestFit="1" customWidth="1"/>
    <col min="2" max="2" width="20" style="6" customWidth="1"/>
    <col min="3" max="3" width="13.42578125" style="6" bestFit="1" customWidth="1"/>
    <col min="4" max="4" width="14.140625" style="6" customWidth="1"/>
    <col min="5" max="5" width="12.42578125" style="6" customWidth="1"/>
    <col min="6" max="6" width="17" style="6" customWidth="1"/>
    <col min="7" max="16384" width="9.140625" style="6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44788</v>
      </c>
      <c r="B2" s="3" t="s">
        <v>21</v>
      </c>
      <c r="C2" s="3" t="s">
        <v>22</v>
      </c>
      <c r="D2" s="3" t="s">
        <v>25</v>
      </c>
      <c r="E2" s="14" t="s">
        <v>170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0.4548611111111111</v>
      </c>
      <c r="L2" s="4">
        <v>0.25694444444444448</v>
      </c>
      <c r="M2" s="5">
        <v>0.2638888888888889</v>
      </c>
      <c r="N2" s="3" t="s">
        <v>236</v>
      </c>
      <c r="O2" s="3" t="s">
        <v>249</v>
      </c>
      <c r="P2" s="3">
        <v>809</v>
      </c>
      <c r="Q2" s="3">
        <v>1161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v>44788</v>
      </c>
      <c r="B3" s="3" t="s">
        <v>21</v>
      </c>
      <c r="C3" s="3" t="s">
        <v>23</v>
      </c>
      <c r="D3" s="3" t="s">
        <v>25</v>
      </c>
      <c r="E3" s="15" t="s">
        <v>90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0.50972222222222219</v>
      </c>
      <c r="L3" s="4">
        <v>0.28125</v>
      </c>
      <c r="M3" s="5">
        <v>0.29166666666666669</v>
      </c>
      <c r="N3" s="3" t="s">
        <v>250</v>
      </c>
      <c r="O3" s="3" t="s">
        <v>233</v>
      </c>
      <c r="P3" s="3">
        <v>413</v>
      </c>
      <c r="Q3" s="3">
        <v>1873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">
      <c r="A4" s="2">
        <v>44788</v>
      </c>
      <c r="B4" s="3" t="s">
        <v>21</v>
      </c>
      <c r="C4" s="3" t="s">
        <v>24</v>
      </c>
      <c r="D4" s="3" t="s">
        <v>25</v>
      </c>
      <c r="E4" s="15" t="s">
        <v>170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0.61111111111111105</v>
      </c>
      <c r="K4" s="5">
        <v>0.62152777777777779</v>
      </c>
      <c r="L4" s="4">
        <v>0.46180555555555558</v>
      </c>
      <c r="M4" s="5">
        <v>0.49374999999999997</v>
      </c>
      <c r="N4" s="3" t="s">
        <v>237</v>
      </c>
      <c r="O4" s="3" t="s">
        <v>251</v>
      </c>
      <c r="P4" s="3">
        <v>781</v>
      </c>
      <c r="Q4" s="3">
        <v>587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2">
        <v>44788</v>
      </c>
      <c r="B5" s="3" t="s">
        <v>21</v>
      </c>
      <c r="C5" s="3" t="s">
        <v>33</v>
      </c>
      <c r="D5" s="3" t="s">
        <v>25</v>
      </c>
      <c r="E5" s="14" t="s">
        <v>90</v>
      </c>
      <c r="F5" s="1" t="s">
        <v>26</v>
      </c>
      <c r="G5" s="3">
        <v>70000</v>
      </c>
      <c r="H5" s="3" t="s">
        <v>35</v>
      </c>
      <c r="I5" s="3" t="s">
        <v>34</v>
      </c>
      <c r="J5" s="4">
        <v>0.75694444444444453</v>
      </c>
      <c r="K5" s="5">
        <v>0.76736111111111116</v>
      </c>
      <c r="L5" s="4">
        <v>0.54166666666666663</v>
      </c>
      <c r="M5" s="5">
        <v>0.57013888888888886</v>
      </c>
      <c r="N5" s="3" t="s">
        <v>252</v>
      </c>
      <c r="O5" s="3" t="s">
        <v>99</v>
      </c>
      <c r="P5" s="3">
        <v>76</v>
      </c>
      <c r="Q5" s="3">
        <v>1791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2">
        <v>44788</v>
      </c>
      <c r="B6" s="3" t="s">
        <v>21</v>
      </c>
      <c r="C6" s="6" t="s">
        <v>36</v>
      </c>
      <c r="D6" s="3" t="s">
        <v>25</v>
      </c>
      <c r="E6" s="14" t="s">
        <v>170</v>
      </c>
      <c r="F6" s="1" t="s">
        <v>26</v>
      </c>
      <c r="G6" s="3">
        <v>70000</v>
      </c>
      <c r="H6" s="6" t="s">
        <v>39</v>
      </c>
      <c r="I6" s="6" t="s">
        <v>42</v>
      </c>
      <c r="J6" s="7">
        <v>0.75694444444444453</v>
      </c>
      <c r="K6" s="8">
        <v>0.77083333333333337</v>
      </c>
      <c r="L6" s="7">
        <v>0.64236111111111105</v>
      </c>
      <c r="M6" s="8">
        <v>0.65833333333333333</v>
      </c>
      <c r="N6" s="3" t="s">
        <v>236</v>
      </c>
      <c r="O6" s="3" t="s">
        <v>99</v>
      </c>
      <c r="P6" s="6">
        <v>490</v>
      </c>
      <c r="Q6" s="6">
        <v>755</v>
      </c>
      <c r="R6" s="6">
        <v>0</v>
      </c>
      <c r="S6" s="6">
        <v>0</v>
      </c>
      <c r="T6" s="6">
        <v>0</v>
      </c>
      <c r="U6" s="6">
        <v>0</v>
      </c>
    </row>
    <row r="7" spans="1:21" x14ac:dyDescent="0.2">
      <c r="A7" s="2">
        <v>44788</v>
      </c>
      <c r="B7" s="3" t="s">
        <v>21</v>
      </c>
      <c r="C7" s="6" t="s">
        <v>37</v>
      </c>
      <c r="D7" s="3" t="s">
        <v>25</v>
      </c>
      <c r="E7" s="15" t="s">
        <v>90</v>
      </c>
      <c r="F7" s="1" t="s">
        <v>26</v>
      </c>
      <c r="G7" s="3">
        <v>70000</v>
      </c>
      <c r="H7" s="6" t="s">
        <v>40</v>
      </c>
      <c r="I7" s="6" t="s">
        <v>43</v>
      </c>
      <c r="J7" s="7">
        <v>0.96180555555555547</v>
      </c>
      <c r="K7" s="8">
        <v>6.2499999999999995E-3</v>
      </c>
      <c r="L7" s="7">
        <v>0.77777777777777779</v>
      </c>
      <c r="M7" s="8">
        <v>0.80833333333333324</v>
      </c>
      <c r="N7" s="3" t="s">
        <v>181</v>
      </c>
      <c r="O7" s="3" t="s">
        <v>253</v>
      </c>
      <c r="P7" s="6">
        <v>1076</v>
      </c>
      <c r="Q7" s="6">
        <v>1007</v>
      </c>
      <c r="R7" s="6">
        <v>0</v>
      </c>
      <c r="S7" s="6">
        <v>0</v>
      </c>
      <c r="T7" s="6">
        <v>0</v>
      </c>
      <c r="U7" s="6">
        <v>0</v>
      </c>
    </row>
    <row r="8" spans="1:21" x14ac:dyDescent="0.2">
      <c r="A8" s="2">
        <v>44788</v>
      </c>
      <c r="B8" s="3" t="s">
        <v>21</v>
      </c>
      <c r="C8" s="6" t="s">
        <v>38</v>
      </c>
      <c r="D8" s="3" t="s">
        <v>25</v>
      </c>
      <c r="E8" s="15" t="s">
        <v>220</v>
      </c>
      <c r="F8" s="1" t="s">
        <v>26</v>
      </c>
      <c r="G8" s="3">
        <v>70000</v>
      </c>
      <c r="H8" s="6" t="s">
        <v>41</v>
      </c>
      <c r="I8" s="6" t="s">
        <v>44</v>
      </c>
      <c r="J8" s="7">
        <v>0.97569444444444453</v>
      </c>
      <c r="K8" s="8">
        <v>2.013888888888889E-2</v>
      </c>
      <c r="L8" s="7">
        <v>0.77777777777777779</v>
      </c>
      <c r="M8" s="8">
        <v>0.8354166666666667</v>
      </c>
      <c r="N8" s="3" t="s">
        <v>166</v>
      </c>
      <c r="O8" s="3" t="s">
        <v>254</v>
      </c>
      <c r="P8" s="6">
        <v>997</v>
      </c>
      <c r="Q8" s="6">
        <v>1564</v>
      </c>
      <c r="R8" s="6">
        <v>0</v>
      </c>
      <c r="S8" s="6">
        <v>0</v>
      </c>
      <c r="T8" s="6">
        <v>0</v>
      </c>
      <c r="U8" s="6">
        <v>0</v>
      </c>
    </row>
    <row r="9" spans="1:21" x14ac:dyDescent="0.2">
      <c r="A9" s="2"/>
      <c r="B9" s="3"/>
      <c r="F9" s="9"/>
      <c r="G9" s="3"/>
      <c r="L9" s="7"/>
      <c r="M9" s="8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opLeftCell="C1" workbookViewId="0">
      <selection activeCell="K5" sqref="K5"/>
    </sheetView>
  </sheetViews>
  <sheetFormatPr defaultRowHeight="15" x14ac:dyDescent="0.25"/>
  <cols>
    <col min="1" max="1" width="11" bestFit="1" customWidth="1"/>
    <col min="2" max="2" width="19" customWidth="1"/>
    <col min="3" max="3" width="13.42578125" customWidth="1"/>
    <col min="5" max="6" width="12" customWidth="1"/>
    <col min="7" max="7" width="9.42578125" bestFit="1" customWidth="1"/>
    <col min="10" max="10" width="9.42578125" bestFit="1" customWidth="1"/>
    <col min="12" max="12" width="9.42578125" bestFit="1" customWidth="1"/>
    <col min="16" max="21" width="9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spans="1:22" x14ac:dyDescent="0.25">
      <c r="A2" s="2">
        <v>44789</v>
      </c>
      <c r="B2" s="3" t="s">
        <v>21</v>
      </c>
      <c r="C2" s="3" t="s">
        <v>66</v>
      </c>
      <c r="D2" s="3" t="s">
        <v>25</v>
      </c>
      <c r="E2" s="3" t="s">
        <v>90</v>
      </c>
      <c r="F2" s="1" t="s">
        <v>26</v>
      </c>
      <c r="G2" s="3">
        <v>70000</v>
      </c>
      <c r="H2" s="3" t="s">
        <v>67</v>
      </c>
      <c r="I2" s="3" t="s">
        <v>68</v>
      </c>
      <c r="J2" s="4">
        <v>0.47222222222222227</v>
      </c>
      <c r="K2" s="5">
        <v>0.4916666666666667</v>
      </c>
      <c r="L2" s="4">
        <v>0.28125</v>
      </c>
      <c r="M2" s="5">
        <v>0.29444444444444445</v>
      </c>
      <c r="N2" s="3" t="s">
        <v>256</v>
      </c>
      <c r="O2" s="3" t="s">
        <v>255</v>
      </c>
      <c r="P2" s="3">
        <v>1111</v>
      </c>
      <c r="Q2" s="3">
        <v>1044</v>
      </c>
      <c r="R2" s="3">
        <v>0</v>
      </c>
      <c r="S2" s="3">
        <v>0</v>
      </c>
      <c r="T2" s="3">
        <v>0</v>
      </c>
      <c r="U2" s="3">
        <v>0</v>
      </c>
    </row>
    <row r="3" spans="1:22" x14ac:dyDescent="0.25">
      <c r="A3" s="2">
        <v>44789</v>
      </c>
      <c r="B3" s="3" t="s">
        <v>21</v>
      </c>
      <c r="C3" s="3" t="s">
        <v>69</v>
      </c>
      <c r="D3" s="3" t="s">
        <v>25</v>
      </c>
      <c r="E3" s="3" t="s">
        <v>48</v>
      </c>
      <c r="F3" s="1" t="s">
        <v>26</v>
      </c>
      <c r="G3" s="3">
        <v>70000</v>
      </c>
      <c r="H3" s="3" t="s">
        <v>70</v>
      </c>
      <c r="I3" s="3" t="s">
        <v>71</v>
      </c>
      <c r="J3" s="4">
        <v>0.82986111111111116</v>
      </c>
      <c r="K3" s="5">
        <v>0.88124999999999998</v>
      </c>
      <c r="L3" s="4">
        <v>0.40972222222222227</v>
      </c>
      <c r="M3" s="5">
        <v>0.42569444444444443</v>
      </c>
      <c r="N3" s="3" t="s">
        <v>257</v>
      </c>
      <c r="O3" s="3" t="s">
        <v>100</v>
      </c>
      <c r="P3" s="3">
        <v>1048</v>
      </c>
      <c r="Q3" s="3">
        <v>931</v>
      </c>
      <c r="R3" s="3">
        <v>0</v>
      </c>
      <c r="S3" s="3">
        <v>0</v>
      </c>
      <c r="T3" s="3">
        <v>0</v>
      </c>
      <c r="U3" s="3">
        <v>0</v>
      </c>
    </row>
    <row r="4" spans="1:22" x14ac:dyDescent="0.25">
      <c r="A4" s="2">
        <v>44789</v>
      </c>
      <c r="B4" s="3" t="s">
        <v>21</v>
      </c>
      <c r="C4" s="3" t="s">
        <v>72</v>
      </c>
      <c r="D4" s="3" t="s">
        <v>25</v>
      </c>
      <c r="E4" s="3" t="s">
        <v>90</v>
      </c>
      <c r="F4" s="1" t="s">
        <v>26</v>
      </c>
      <c r="G4" s="3">
        <v>70000</v>
      </c>
      <c r="H4" s="3" t="s">
        <v>73</v>
      </c>
      <c r="I4" s="3" t="s">
        <v>74</v>
      </c>
      <c r="J4" s="4">
        <v>0.91319444444444453</v>
      </c>
      <c r="K4" s="5">
        <v>0.90763888888888899</v>
      </c>
      <c r="L4" s="4">
        <v>0.50347222222222221</v>
      </c>
      <c r="M4" s="5">
        <v>0.52777777777777779</v>
      </c>
      <c r="N4" s="3" t="s">
        <v>258</v>
      </c>
      <c r="O4" s="3" t="s">
        <v>83</v>
      </c>
      <c r="P4" s="3">
        <v>570</v>
      </c>
      <c r="Q4" s="3">
        <v>812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2">
        <v>44789</v>
      </c>
      <c r="B5" s="3" t="s">
        <v>75</v>
      </c>
      <c r="C5" s="3" t="s">
        <v>76</v>
      </c>
      <c r="D5" s="3" t="s">
        <v>25</v>
      </c>
      <c r="E5" s="3" t="s">
        <v>84</v>
      </c>
      <c r="F5" s="1" t="s">
        <v>77</v>
      </c>
      <c r="G5" s="11">
        <v>77000</v>
      </c>
      <c r="H5" s="3" t="s">
        <v>78</v>
      </c>
      <c r="I5" s="3" t="s">
        <v>79</v>
      </c>
      <c r="J5" s="4">
        <v>0.3298611111111111</v>
      </c>
      <c r="K5" s="5">
        <v>0.31527777777777777</v>
      </c>
      <c r="L5" s="4">
        <v>0.37152777777777773</v>
      </c>
      <c r="M5" s="5">
        <v>0.36041666666666666</v>
      </c>
      <c r="N5" s="3" t="s">
        <v>223</v>
      </c>
      <c r="O5" s="3" t="s">
        <v>136</v>
      </c>
      <c r="P5" s="3">
        <v>2282</v>
      </c>
      <c r="Q5" s="3">
        <v>2228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2"/>
      <c r="B6" s="3"/>
      <c r="C6" s="3"/>
      <c r="D6" s="3"/>
      <c r="E6" s="3"/>
      <c r="F6" s="9"/>
      <c r="G6" s="3"/>
      <c r="H6" s="3"/>
      <c r="I6" s="3"/>
      <c r="J6" s="4"/>
      <c r="K6" s="5"/>
      <c r="L6" s="4"/>
      <c r="M6" s="5"/>
      <c r="N6" s="3"/>
      <c r="O6" s="3"/>
      <c r="P6" s="3"/>
      <c r="Q6" s="3"/>
      <c r="R6" s="3"/>
      <c r="S6" s="3"/>
      <c r="T6" s="3"/>
      <c r="U6" s="3"/>
    </row>
    <row r="7" spans="1:2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activeCell="N24" sqref="N24"/>
    </sheetView>
  </sheetViews>
  <sheetFormatPr defaultRowHeight="15" x14ac:dyDescent="0.25"/>
  <cols>
    <col min="2" max="2" width="20.5703125" bestFit="1" customWidth="1"/>
    <col min="3" max="3" width="14.140625" customWidth="1"/>
    <col min="4" max="4" width="12.42578125" bestFit="1" customWidth="1"/>
    <col min="6" max="6" width="14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44790</v>
      </c>
      <c r="B2" s="3" t="s">
        <v>21</v>
      </c>
      <c r="C2" s="3" t="s">
        <v>22</v>
      </c>
      <c r="D2" s="3" t="s">
        <v>25</v>
      </c>
      <c r="E2" s="6" t="s">
        <v>48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0.43055555555555558</v>
      </c>
      <c r="K2" s="5">
        <v>0.41875000000000001</v>
      </c>
      <c r="L2" s="4">
        <v>0.25694444444444448</v>
      </c>
      <c r="M2" s="5">
        <v>0.26319444444444445</v>
      </c>
      <c r="N2" s="3" t="s">
        <v>259</v>
      </c>
      <c r="O2" s="3" t="s">
        <v>134</v>
      </c>
      <c r="P2" s="3">
        <v>685</v>
      </c>
      <c r="Q2" s="3">
        <v>1161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44790</v>
      </c>
      <c r="B3" s="3" t="s">
        <v>21</v>
      </c>
      <c r="C3" s="3" t="s">
        <v>24</v>
      </c>
      <c r="D3" s="3" t="s">
        <v>25</v>
      </c>
      <c r="E3" s="6" t="s">
        <v>48</v>
      </c>
      <c r="F3" s="1" t="s">
        <v>26</v>
      </c>
      <c r="G3" s="3">
        <v>70000</v>
      </c>
      <c r="H3" s="3" t="s">
        <v>31</v>
      </c>
      <c r="I3" s="3" t="s">
        <v>32</v>
      </c>
      <c r="J3" s="4">
        <v>0.60069444444444442</v>
      </c>
      <c r="K3" s="5">
        <v>0.60486111111111118</v>
      </c>
      <c r="L3" s="4">
        <v>0.4513888888888889</v>
      </c>
      <c r="M3" s="5">
        <v>0.4291666666666667</v>
      </c>
      <c r="N3" s="3" t="s">
        <v>262</v>
      </c>
      <c r="O3" s="3" t="s">
        <v>260</v>
      </c>
      <c r="P3" s="3">
        <v>1014</v>
      </c>
      <c r="Q3" s="3">
        <v>956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44790</v>
      </c>
      <c r="B4" s="3" t="s">
        <v>21</v>
      </c>
      <c r="C4" s="3" t="s">
        <v>89</v>
      </c>
      <c r="D4" s="3" t="s">
        <v>25</v>
      </c>
      <c r="E4" s="6" t="s">
        <v>90</v>
      </c>
      <c r="F4" s="1" t="s">
        <v>26</v>
      </c>
      <c r="G4" s="3">
        <v>70000</v>
      </c>
      <c r="H4" s="3" t="s">
        <v>91</v>
      </c>
      <c r="I4" s="3" t="s">
        <v>92</v>
      </c>
      <c r="J4" s="4">
        <v>0.69791666666666663</v>
      </c>
      <c r="K4" s="5">
        <v>0.69236111111111109</v>
      </c>
      <c r="L4" s="4">
        <v>0.54166666666666663</v>
      </c>
      <c r="M4" s="5">
        <v>0.55694444444444446</v>
      </c>
      <c r="N4" s="3" t="s">
        <v>263</v>
      </c>
      <c r="O4" s="3" t="s">
        <v>261</v>
      </c>
      <c r="P4" s="3">
        <v>510</v>
      </c>
      <c r="Q4" s="3">
        <v>836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44790</v>
      </c>
      <c r="B5" s="3" t="s">
        <v>21</v>
      </c>
      <c r="C5" s="3" t="s">
        <v>36</v>
      </c>
      <c r="D5" s="3" t="s">
        <v>25</v>
      </c>
      <c r="E5" s="6" t="s">
        <v>48</v>
      </c>
      <c r="F5" s="1" t="s">
        <v>26</v>
      </c>
      <c r="G5" s="3">
        <v>70000</v>
      </c>
      <c r="H5" s="3" t="s">
        <v>39</v>
      </c>
      <c r="I5" s="3" t="s">
        <v>42</v>
      </c>
      <c r="J5" s="4">
        <v>0.74652777777777779</v>
      </c>
      <c r="K5" s="5">
        <v>0.74097222222222225</v>
      </c>
      <c r="L5" s="4">
        <v>0.63194444444444442</v>
      </c>
      <c r="M5" s="5">
        <v>0.63888888888888895</v>
      </c>
      <c r="N5" s="3" t="s">
        <v>264</v>
      </c>
      <c r="O5" s="3" t="s">
        <v>85</v>
      </c>
      <c r="P5" s="3">
        <v>353</v>
      </c>
      <c r="Q5" s="3">
        <v>568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44790</v>
      </c>
      <c r="B6" s="3" t="s">
        <v>21</v>
      </c>
      <c r="C6" s="3" t="s">
        <v>37</v>
      </c>
      <c r="D6" s="3" t="s">
        <v>25</v>
      </c>
      <c r="E6" s="6" t="s">
        <v>90</v>
      </c>
      <c r="F6" s="1" t="s">
        <v>26</v>
      </c>
      <c r="G6" s="3">
        <v>70000</v>
      </c>
      <c r="H6" s="3" t="s">
        <v>40</v>
      </c>
      <c r="I6" s="3" t="s">
        <v>43</v>
      </c>
      <c r="J6" s="4">
        <v>0.90277777777777779</v>
      </c>
      <c r="K6" s="5">
        <v>0.91388888888888886</v>
      </c>
      <c r="L6" s="4">
        <v>0.71875</v>
      </c>
      <c r="M6" s="5">
        <v>0.72430555555555554</v>
      </c>
      <c r="N6" s="3" t="s">
        <v>162</v>
      </c>
      <c r="O6" s="3" t="s">
        <v>100</v>
      </c>
      <c r="P6" s="3">
        <v>687</v>
      </c>
      <c r="Q6" s="3">
        <v>896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44790</v>
      </c>
      <c r="B7" s="3" t="s">
        <v>21</v>
      </c>
      <c r="C7" s="3" t="s">
        <v>38</v>
      </c>
      <c r="D7" s="3" t="s">
        <v>25</v>
      </c>
      <c r="E7" s="6" t="s">
        <v>48</v>
      </c>
      <c r="F7" s="1" t="s">
        <v>26</v>
      </c>
      <c r="G7" s="3">
        <v>70000</v>
      </c>
      <c r="H7" s="3" t="s">
        <v>41</v>
      </c>
      <c r="I7" s="3" t="s">
        <v>44</v>
      </c>
      <c r="J7" s="4">
        <v>0.9375</v>
      </c>
      <c r="K7" s="5">
        <v>0.95208333333333339</v>
      </c>
      <c r="L7" s="4">
        <v>0.76736111111111116</v>
      </c>
      <c r="M7" s="5">
        <v>0.77916666666666667</v>
      </c>
      <c r="N7" s="3" t="s">
        <v>271</v>
      </c>
      <c r="O7" s="3" t="s">
        <v>265</v>
      </c>
      <c r="P7" s="3">
        <v>509</v>
      </c>
      <c r="Q7" s="3">
        <v>1108</v>
      </c>
      <c r="R7" s="3">
        <v>0</v>
      </c>
      <c r="S7" s="3">
        <v>0</v>
      </c>
      <c r="T7" s="3">
        <v>0</v>
      </c>
      <c r="U7" s="3">
        <v>0</v>
      </c>
    </row>
    <row r="8" spans="1:21" s="6" customFormat="1" ht="12.75" x14ac:dyDescent="0.2">
      <c r="A8" s="2">
        <v>44790</v>
      </c>
      <c r="B8" s="3" t="s">
        <v>266</v>
      </c>
      <c r="C8" s="6" t="s">
        <v>267</v>
      </c>
      <c r="D8" s="6" t="s">
        <v>268</v>
      </c>
      <c r="E8" s="6" t="s">
        <v>269</v>
      </c>
      <c r="F8" s="6" t="s">
        <v>270</v>
      </c>
      <c r="G8" s="6">
        <v>3175</v>
      </c>
      <c r="H8" s="6" t="str">
        <f>E8</f>
        <v>YU-HRD</v>
      </c>
      <c r="I8" s="6" t="str">
        <f>H8</f>
        <v>YU-HRD</v>
      </c>
      <c r="J8" s="7">
        <v>0.79166666666666663</v>
      </c>
      <c r="K8" s="8">
        <v>0.78263888888888899</v>
      </c>
      <c r="L8" s="7">
        <v>0.79861111111111116</v>
      </c>
      <c r="M8" s="8">
        <v>0.79722222222222217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E1" workbookViewId="0">
      <selection sqref="A1:V7"/>
    </sheetView>
  </sheetViews>
  <sheetFormatPr defaultRowHeight="15" x14ac:dyDescent="0.25"/>
  <cols>
    <col min="3" max="3" width="13.85546875" customWidth="1"/>
    <col min="6" max="6" width="13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44791</v>
      </c>
      <c r="B2" s="3" t="s">
        <v>21</v>
      </c>
      <c r="C2" s="3" t="s">
        <v>105</v>
      </c>
      <c r="D2" s="3" t="s">
        <v>25</v>
      </c>
      <c r="E2" s="3" t="s">
        <v>90</v>
      </c>
      <c r="F2" s="1" t="s">
        <v>26</v>
      </c>
      <c r="G2" s="3">
        <v>70000</v>
      </c>
      <c r="H2" s="3" t="s">
        <v>106</v>
      </c>
      <c r="I2" s="3" t="s">
        <v>107</v>
      </c>
      <c r="J2" s="4">
        <v>0.45833333333333331</v>
      </c>
      <c r="K2" s="5">
        <v>0.45208333333333334</v>
      </c>
      <c r="L2" s="4">
        <v>0.25694444444444448</v>
      </c>
      <c r="M2" s="5">
        <v>0.2673611111111111</v>
      </c>
      <c r="N2" s="3" t="s">
        <v>272</v>
      </c>
      <c r="O2" s="3" t="s">
        <v>232</v>
      </c>
      <c r="P2" s="3">
        <v>192</v>
      </c>
      <c r="Q2" s="3">
        <v>1316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44791</v>
      </c>
      <c r="B3" s="3" t="s">
        <v>21</v>
      </c>
      <c r="C3" s="3" t="s">
        <v>108</v>
      </c>
      <c r="D3" s="3" t="s">
        <v>25</v>
      </c>
      <c r="E3" s="3" t="s">
        <v>48</v>
      </c>
      <c r="F3" s="3" t="s">
        <v>26</v>
      </c>
      <c r="G3" s="11">
        <v>70000</v>
      </c>
      <c r="H3" s="3" t="s">
        <v>109</v>
      </c>
      <c r="I3" s="3" t="s">
        <v>110</v>
      </c>
      <c r="J3" s="4">
        <v>0.43402777777777773</v>
      </c>
      <c r="K3" s="5">
        <v>0.43402777777777773</v>
      </c>
      <c r="L3" s="4">
        <v>0.28472222222222221</v>
      </c>
      <c r="M3" s="5">
        <v>0.30208333333333331</v>
      </c>
      <c r="N3" s="3" t="s">
        <v>273</v>
      </c>
      <c r="O3" s="3" t="s">
        <v>87</v>
      </c>
      <c r="P3" s="3">
        <v>476</v>
      </c>
      <c r="Q3" s="3">
        <v>995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44791</v>
      </c>
      <c r="B4" s="3" t="s">
        <v>21</v>
      </c>
      <c r="C4" s="3" t="s">
        <v>69</v>
      </c>
      <c r="D4" s="3" t="s">
        <v>25</v>
      </c>
      <c r="E4" s="3" t="s">
        <v>48</v>
      </c>
      <c r="F4" s="3" t="s">
        <v>26</v>
      </c>
      <c r="G4" s="11">
        <v>70000</v>
      </c>
      <c r="H4" s="3" t="s">
        <v>70</v>
      </c>
      <c r="I4" s="3" t="s">
        <v>71</v>
      </c>
      <c r="J4" s="4">
        <v>0.67708333333333337</v>
      </c>
      <c r="K4" s="5">
        <v>0.68125000000000002</v>
      </c>
      <c r="L4" s="4">
        <v>0.48958333333333331</v>
      </c>
      <c r="M4" s="5">
        <v>0.50347222222222221</v>
      </c>
      <c r="N4" s="3" t="s">
        <v>191</v>
      </c>
      <c r="O4" s="3" t="s">
        <v>274</v>
      </c>
      <c r="P4" s="3">
        <v>826</v>
      </c>
      <c r="Q4" s="3">
        <v>1016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44791</v>
      </c>
      <c r="B5" s="3" t="s">
        <v>21</v>
      </c>
      <c r="C5" s="3" t="s">
        <v>111</v>
      </c>
      <c r="D5" s="3" t="s">
        <v>25</v>
      </c>
      <c r="E5" s="3" t="s">
        <v>90</v>
      </c>
      <c r="F5" s="3" t="s">
        <v>26</v>
      </c>
      <c r="G5" s="11">
        <v>70000</v>
      </c>
      <c r="H5" s="3" t="s">
        <v>112</v>
      </c>
      <c r="I5" s="3" t="s">
        <v>113</v>
      </c>
      <c r="J5" s="4">
        <v>0.86805555555555547</v>
      </c>
      <c r="K5" s="5">
        <v>0.8618055555555556</v>
      </c>
      <c r="L5" s="4">
        <v>0.64930555555555558</v>
      </c>
      <c r="M5" s="5">
        <v>0.65347222222222223</v>
      </c>
      <c r="N5" s="3" t="s">
        <v>275</v>
      </c>
      <c r="O5" s="3" t="s">
        <v>234</v>
      </c>
      <c r="P5" s="3">
        <v>342</v>
      </c>
      <c r="Q5" s="3">
        <v>938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44791</v>
      </c>
      <c r="B6" s="3" t="s">
        <v>21</v>
      </c>
      <c r="C6" s="3" t="s">
        <v>114</v>
      </c>
      <c r="D6" s="3" t="s">
        <v>25</v>
      </c>
      <c r="E6" s="3" t="s">
        <v>48</v>
      </c>
      <c r="F6" s="3" t="s">
        <v>26</v>
      </c>
      <c r="G6" s="11">
        <v>70000</v>
      </c>
      <c r="H6" s="3" t="s">
        <v>115</v>
      </c>
      <c r="I6" s="3" t="s">
        <v>116</v>
      </c>
      <c r="J6" s="4">
        <v>0.93402777777777779</v>
      </c>
      <c r="K6" s="5">
        <v>0.92291666666666661</v>
      </c>
      <c r="L6" s="4">
        <v>0.69791666666666663</v>
      </c>
      <c r="M6" s="5">
        <v>0.71597222222222223</v>
      </c>
      <c r="N6" s="3" t="s">
        <v>213</v>
      </c>
      <c r="O6" s="3" t="s">
        <v>233</v>
      </c>
      <c r="P6" s="3">
        <v>358</v>
      </c>
      <c r="Q6" s="3">
        <v>2041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/>
      <c r="B7" s="3"/>
      <c r="C7" s="3"/>
      <c r="D7" s="3"/>
      <c r="E7" s="3"/>
      <c r="F7" s="3"/>
      <c r="G7" s="11"/>
      <c r="H7" s="3"/>
      <c r="I7" s="6"/>
      <c r="J7" s="7"/>
      <c r="K7" s="8"/>
      <c r="L7" s="7"/>
      <c r="M7" s="8"/>
      <c r="N7" s="6"/>
      <c r="O7" s="6"/>
      <c r="P7" s="6"/>
      <c r="Q7" s="6"/>
      <c r="R7" s="6"/>
      <c r="S7" s="6"/>
      <c r="T7" s="6"/>
      <c r="U7" s="6"/>
    </row>
    <row r="8" spans="1:21" x14ac:dyDescent="0.25">
      <c r="A8" s="2"/>
      <c r="B8" s="3"/>
      <c r="C8" s="3"/>
      <c r="D8" s="3"/>
      <c r="E8" s="3"/>
      <c r="F8" s="3"/>
      <c r="G8" s="3"/>
      <c r="H8" s="3"/>
      <c r="I8" s="3"/>
      <c r="J8" s="4"/>
      <c r="K8" s="5"/>
      <c r="L8" s="4"/>
      <c r="M8" s="5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K8" sqref="K8"/>
    </sheetView>
  </sheetViews>
  <sheetFormatPr defaultRowHeight="15" x14ac:dyDescent="0.25"/>
  <cols>
    <col min="2" max="2" width="20.140625" customWidth="1"/>
    <col min="3" max="3" width="15" customWidth="1"/>
    <col min="4" max="4" width="7.140625" customWidth="1"/>
    <col min="5" max="5" width="10.7109375" customWidth="1"/>
    <col min="6" max="6" width="13.5703125" customWidth="1"/>
    <col min="10" max="10" width="7.7109375" customWidth="1"/>
    <col min="12" max="12" width="6.85546875" customWidth="1"/>
    <col min="15" max="15" width="10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44792</v>
      </c>
      <c r="B2" s="3" t="s">
        <v>21</v>
      </c>
      <c r="C2" s="3" t="s">
        <v>22</v>
      </c>
      <c r="D2" s="3" t="s">
        <v>25</v>
      </c>
      <c r="E2" s="3" t="s">
        <v>90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0.44791666666666669</v>
      </c>
      <c r="L2" s="4">
        <v>0.25694444444444448</v>
      </c>
      <c r="M2" s="5">
        <v>0.27361111111111108</v>
      </c>
      <c r="N2" s="3" t="s">
        <v>279</v>
      </c>
      <c r="O2" s="3" t="s">
        <v>223</v>
      </c>
      <c r="P2" s="3">
        <v>664</v>
      </c>
      <c r="Q2" s="3">
        <v>978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44792</v>
      </c>
      <c r="B3" s="3" t="s">
        <v>21</v>
      </c>
      <c r="C3" s="3" t="s">
        <v>23</v>
      </c>
      <c r="D3" s="3" t="s">
        <v>25</v>
      </c>
      <c r="E3" s="3" t="s">
        <v>48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0.53125</v>
      </c>
      <c r="L3" s="4">
        <v>0.28125</v>
      </c>
      <c r="M3" s="5">
        <v>0.30208333333333331</v>
      </c>
      <c r="N3" s="3" t="s">
        <v>272</v>
      </c>
      <c r="O3" s="3" t="s">
        <v>276</v>
      </c>
      <c r="P3" s="3">
        <v>167</v>
      </c>
      <c r="Q3" s="3">
        <v>1692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44792</v>
      </c>
      <c r="B4" s="3" t="s">
        <v>75</v>
      </c>
      <c r="C4" s="3" t="s">
        <v>76</v>
      </c>
      <c r="D4" s="3" t="s">
        <v>25</v>
      </c>
      <c r="E4" s="3" t="s">
        <v>277</v>
      </c>
      <c r="F4" s="1" t="s">
        <v>77</v>
      </c>
      <c r="G4" s="11">
        <v>77000</v>
      </c>
      <c r="H4" s="3" t="s">
        <v>78</v>
      </c>
      <c r="I4" s="3" t="s">
        <v>79</v>
      </c>
      <c r="J4" s="4">
        <v>0.3298611111111111</v>
      </c>
      <c r="K4" s="5">
        <v>0.33333333333333331</v>
      </c>
      <c r="L4" s="4">
        <v>0.37152777777777773</v>
      </c>
      <c r="M4" s="5">
        <v>0.38611111111111113</v>
      </c>
      <c r="N4" s="3" t="s">
        <v>224</v>
      </c>
      <c r="O4" s="3" t="s">
        <v>278</v>
      </c>
      <c r="P4" s="3">
        <v>2437</v>
      </c>
      <c r="Q4" s="3">
        <v>2084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44792</v>
      </c>
      <c r="B5" s="3" t="s">
        <v>21</v>
      </c>
      <c r="C5" s="3" t="s">
        <v>24</v>
      </c>
      <c r="D5" s="3" t="s">
        <v>25</v>
      </c>
      <c r="E5" s="3" t="s">
        <v>90</v>
      </c>
      <c r="F5" s="1" t="s">
        <v>26</v>
      </c>
      <c r="G5" s="3">
        <v>70000</v>
      </c>
      <c r="H5" s="3" t="s">
        <v>31</v>
      </c>
      <c r="I5" s="3" t="s">
        <v>32</v>
      </c>
      <c r="J5" s="4">
        <v>0.61111111111111105</v>
      </c>
      <c r="K5" s="5">
        <v>0.63680555555555551</v>
      </c>
      <c r="L5" s="4">
        <v>0.46180555555555558</v>
      </c>
      <c r="M5" s="5">
        <v>0.49027777777777781</v>
      </c>
      <c r="N5" s="3" t="s">
        <v>60</v>
      </c>
      <c r="O5" s="3" t="s">
        <v>280</v>
      </c>
      <c r="P5" s="3">
        <v>731</v>
      </c>
      <c r="Q5" s="3">
        <v>964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44792</v>
      </c>
      <c r="B6" s="3" t="s">
        <v>21</v>
      </c>
      <c r="C6" s="3" t="s">
        <v>33</v>
      </c>
      <c r="D6" s="3" t="s">
        <v>25</v>
      </c>
      <c r="E6" s="3" t="s">
        <v>48</v>
      </c>
      <c r="F6" s="1" t="s">
        <v>26</v>
      </c>
      <c r="G6" s="3">
        <v>70000</v>
      </c>
      <c r="H6" s="3" t="s">
        <v>35</v>
      </c>
      <c r="I6" s="3" t="s">
        <v>34</v>
      </c>
      <c r="J6" s="4">
        <v>0.75694444444444453</v>
      </c>
      <c r="K6" s="5">
        <v>0.78055555555555556</v>
      </c>
      <c r="L6" s="4">
        <v>0.54166666666666663</v>
      </c>
      <c r="M6" s="5">
        <v>0.57222222222222219</v>
      </c>
      <c r="N6" s="3" t="s">
        <v>283</v>
      </c>
      <c r="O6" s="3" t="s">
        <v>281</v>
      </c>
      <c r="P6" s="3">
        <v>306</v>
      </c>
      <c r="Q6" s="3">
        <v>1730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44792</v>
      </c>
      <c r="B7" s="3" t="s">
        <v>21</v>
      </c>
      <c r="C7" s="3" t="s">
        <v>36</v>
      </c>
      <c r="D7" s="3" t="s">
        <v>25</v>
      </c>
      <c r="E7" s="3" t="s">
        <v>90</v>
      </c>
      <c r="F7" s="1" t="s">
        <v>26</v>
      </c>
      <c r="G7" s="3">
        <v>70000</v>
      </c>
      <c r="H7" s="3" t="s">
        <v>39</v>
      </c>
      <c r="I7" s="3" t="s">
        <v>42</v>
      </c>
      <c r="J7" s="4">
        <v>0.75694444444444453</v>
      </c>
      <c r="K7" s="5">
        <v>0.8027777777777777</v>
      </c>
      <c r="L7" s="4">
        <v>0.64236111111111105</v>
      </c>
      <c r="M7" s="5">
        <v>0.68680555555555556</v>
      </c>
      <c r="N7" s="3" t="s">
        <v>284</v>
      </c>
      <c r="O7" s="3" t="s">
        <v>282</v>
      </c>
      <c r="P7" s="3">
        <v>489</v>
      </c>
      <c r="Q7" s="3">
        <v>773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44792</v>
      </c>
      <c r="B8" s="3" t="s">
        <v>21</v>
      </c>
      <c r="C8" s="3" t="s">
        <v>37</v>
      </c>
      <c r="D8" s="3" t="s">
        <v>25</v>
      </c>
      <c r="E8" s="3" t="s">
        <v>48</v>
      </c>
      <c r="F8" s="1" t="s">
        <v>26</v>
      </c>
      <c r="G8" s="3">
        <v>70000</v>
      </c>
      <c r="H8" s="3" t="s">
        <v>40</v>
      </c>
      <c r="I8" s="3" t="s">
        <v>43</v>
      </c>
      <c r="J8" s="4">
        <v>0.96180555555555547</v>
      </c>
      <c r="K8" s="5">
        <v>2.9861111111111113E-2</v>
      </c>
      <c r="L8" s="4">
        <v>0.77777777777777779</v>
      </c>
      <c r="M8" s="5">
        <v>0.84305555555555556</v>
      </c>
      <c r="N8" s="3" t="s">
        <v>286</v>
      </c>
      <c r="O8" s="3" t="s">
        <v>285</v>
      </c>
      <c r="P8" s="3">
        <v>665</v>
      </c>
      <c r="Q8" s="3">
        <v>1476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>
        <v>44792</v>
      </c>
      <c r="B9" s="3" t="s">
        <v>21</v>
      </c>
      <c r="C9" s="3" t="s">
        <v>38</v>
      </c>
      <c r="D9" s="3" t="s">
        <v>25</v>
      </c>
      <c r="E9" s="3" t="s">
        <v>90</v>
      </c>
      <c r="F9" s="1" t="s">
        <v>26</v>
      </c>
      <c r="G9" s="3">
        <v>70000</v>
      </c>
      <c r="H9" s="3" t="s">
        <v>41</v>
      </c>
      <c r="I9" s="3" t="s">
        <v>44</v>
      </c>
      <c r="J9" s="4">
        <v>0.97569444444444453</v>
      </c>
      <c r="K9" s="5">
        <v>0.99513888888888891</v>
      </c>
      <c r="L9" s="4">
        <v>0.77777777777777779</v>
      </c>
      <c r="M9" s="5">
        <v>0.83194444444444438</v>
      </c>
      <c r="N9" s="3" t="s">
        <v>286</v>
      </c>
      <c r="O9" s="3" t="s">
        <v>190</v>
      </c>
      <c r="P9" s="3">
        <v>940</v>
      </c>
      <c r="Q9" s="3">
        <v>2067</v>
      </c>
      <c r="R9" s="3">
        <v>0</v>
      </c>
      <c r="S9" s="3">
        <v>0</v>
      </c>
      <c r="T9" s="3">
        <v>0</v>
      </c>
      <c r="U9" s="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C8" sqref="C8"/>
    </sheetView>
  </sheetViews>
  <sheetFormatPr defaultRowHeight="15" x14ac:dyDescent="0.25"/>
  <cols>
    <col min="1" max="1" width="10" customWidth="1"/>
    <col min="2" max="2" width="27.5703125" bestFit="1" customWidth="1"/>
    <col min="3" max="3" width="15.7109375" customWidth="1"/>
    <col min="6" max="6" width="19.7109375" customWidth="1"/>
    <col min="7" max="7" width="9.28515625" bestFit="1" customWidth="1"/>
    <col min="10" max="10" width="9.28515625" bestFit="1" customWidth="1"/>
    <col min="12" max="12" width="9.28515625" bestFit="1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44793</v>
      </c>
      <c r="B2" s="3" t="s">
        <v>21</v>
      </c>
      <c r="C2" s="3" t="s">
        <v>66</v>
      </c>
      <c r="D2" s="3" t="s">
        <v>25</v>
      </c>
      <c r="E2" s="3" t="s">
        <v>287</v>
      </c>
      <c r="F2" s="1" t="s">
        <v>26</v>
      </c>
      <c r="G2" s="3">
        <v>70000</v>
      </c>
      <c r="H2" s="3" t="s">
        <v>67</v>
      </c>
      <c r="I2" s="3" t="s">
        <v>68</v>
      </c>
      <c r="J2" s="4">
        <v>0.47222222222222227</v>
      </c>
      <c r="K2" s="5">
        <v>0.49791666666666662</v>
      </c>
      <c r="L2" s="4">
        <v>0.28125</v>
      </c>
      <c r="M2" s="5">
        <v>0.32569444444444445</v>
      </c>
      <c r="N2" s="3" t="s">
        <v>245</v>
      </c>
      <c r="O2" s="3" t="s">
        <v>288</v>
      </c>
      <c r="P2" s="3">
        <v>950</v>
      </c>
      <c r="Q2" s="3">
        <v>1173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44793</v>
      </c>
      <c r="B3" s="3" t="s">
        <v>21</v>
      </c>
      <c r="C3" s="3" t="s">
        <v>69</v>
      </c>
      <c r="D3" s="3" t="s">
        <v>25</v>
      </c>
      <c r="E3" s="3" t="s">
        <v>235</v>
      </c>
      <c r="F3" s="1" t="s">
        <v>26</v>
      </c>
      <c r="G3" s="3">
        <v>70000</v>
      </c>
      <c r="H3" s="3" t="s">
        <v>70</v>
      </c>
      <c r="I3" s="3" t="s">
        <v>71</v>
      </c>
      <c r="J3" s="4">
        <v>0.82986111111111116</v>
      </c>
      <c r="K3" s="5">
        <v>0.83819444444444446</v>
      </c>
      <c r="L3" s="4">
        <v>0.40972222222222227</v>
      </c>
      <c r="M3" s="5">
        <v>0.41597222222222219</v>
      </c>
      <c r="N3" s="3" t="s">
        <v>299</v>
      </c>
      <c r="O3" s="3" t="s">
        <v>261</v>
      </c>
      <c r="P3" s="3">
        <v>1081</v>
      </c>
      <c r="Q3" s="3">
        <v>1454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44793</v>
      </c>
      <c r="B4" s="3" t="s">
        <v>21</v>
      </c>
      <c r="C4" s="3" t="s">
        <v>72</v>
      </c>
      <c r="D4" s="3" t="s">
        <v>25</v>
      </c>
      <c r="E4" s="3" t="s">
        <v>287</v>
      </c>
      <c r="F4" s="1" t="s">
        <v>26</v>
      </c>
      <c r="G4" s="3">
        <v>70000</v>
      </c>
      <c r="H4" s="3" t="s">
        <v>73</v>
      </c>
      <c r="I4" s="3" t="s">
        <v>74</v>
      </c>
      <c r="J4" s="4">
        <v>0.91319444444444453</v>
      </c>
      <c r="K4" s="5">
        <v>0.9902777777777777</v>
      </c>
      <c r="L4" s="4">
        <v>0.50347222222222221</v>
      </c>
      <c r="M4" s="5">
        <v>0.55208333333333337</v>
      </c>
      <c r="N4" s="3" t="s">
        <v>100</v>
      </c>
      <c r="O4" s="3" t="s">
        <v>284</v>
      </c>
      <c r="P4" s="3">
        <v>1020</v>
      </c>
      <c r="Q4" s="3">
        <v>1156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44793</v>
      </c>
      <c r="B5" s="3" t="s">
        <v>138</v>
      </c>
      <c r="C5" s="3" t="s">
        <v>289</v>
      </c>
      <c r="D5" s="3" t="s">
        <v>140</v>
      </c>
      <c r="E5" s="3" t="s">
        <v>290</v>
      </c>
      <c r="F5" s="3" t="s">
        <v>125</v>
      </c>
      <c r="G5" s="3">
        <v>21863</v>
      </c>
      <c r="H5" s="3" t="s">
        <v>291</v>
      </c>
      <c r="I5" s="3" t="s">
        <v>292</v>
      </c>
      <c r="J5" s="4">
        <v>0.5229166666666667</v>
      </c>
      <c r="K5" s="5">
        <v>0.54236111111111118</v>
      </c>
      <c r="L5" s="4">
        <v>0.625</v>
      </c>
      <c r="M5" s="5">
        <v>0.63194444444444442</v>
      </c>
      <c r="N5" s="3">
        <v>0</v>
      </c>
      <c r="O5" s="3">
        <v>1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44793</v>
      </c>
      <c r="B6" s="3" t="s">
        <v>21</v>
      </c>
      <c r="C6" s="3" t="s">
        <v>293</v>
      </c>
      <c r="D6" s="3" t="s">
        <v>25</v>
      </c>
      <c r="E6" s="3" t="s">
        <v>294</v>
      </c>
      <c r="F6" s="3" t="s">
        <v>148</v>
      </c>
      <c r="G6" s="3">
        <v>70000</v>
      </c>
      <c r="H6" s="3" t="s">
        <v>295</v>
      </c>
      <c r="I6" s="3" t="s">
        <v>127</v>
      </c>
      <c r="J6" s="4">
        <v>0.72916666666666663</v>
      </c>
      <c r="K6" s="5">
        <v>0.72986111111111107</v>
      </c>
      <c r="L6" s="3" t="s">
        <v>127</v>
      </c>
      <c r="M6" s="3" t="s">
        <v>127</v>
      </c>
      <c r="N6" s="3" t="s">
        <v>159</v>
      </c>
      <c r="O6" s="3">
        <v>0</v>
      </c>
      <c r="P6" s="3">
        <v>1014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44793</v>
      </c>
      <c r="B7" s="3" t="s">
        <v>21</v>
      </c>
      <c r="C7" s="3" t="s">
        <v>296</v>
      </c>
      <c r="D7" s="3" t="s">
        <v>25</v>
      </c>
      <c r="E7" s="3" t="s">
        <v>294</v>
      </c>
      <c r="F7" s="3" t="s">
        <v>297</v>
      </c>
      <c r="G7" s="3">
        <v>70000</v>
      </c>
      <c r="H7" s="3" t="s">
        <v>127</v>
      </c>
      <c r="I7" s="3" t="s">
        <v>298</v>
      </c>
      <c r="J7" s="3" t="s">
        <v>127</v>
      </c>
      <c r="K7" s="3" t="s">
        <v>127</v>
      </c>
      <c r="L7" s="4">
        <v>0.76736111111111116</v>
      </c>
      <c r="M7" s="5">
        <v>0.77638888888888891</v>
      </c>
      <c r="N7" s="3" t="s">
        <v>127</v>
      </c>
      <c r="O7" s="3" t="s">
        <v>127</v>
      </c>
      <c r="P7" s="3" t="s">
        <v>127</v>
      </c>
      <c r="Q7" s="3" t="s">
        <v>127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H27" sqref="H27"/>
    </sheetView>
  </sheetViews>
  <sheetFormatPr defaultRowHeight="15" x14ac:dyDescent="0.25"/>
  <cols>
    <col min="3" max="3" width="13" customWidth="1"/>
    <col min="4" max="4" width="10.7109375" customWidth="1"/>
    <col min="6" max="6" width="11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44794</v>
      </c>
      <c r="B2" s="3" t="s">
        <v>21</v>
      </c>
      <c r="C2" s="3" t="s">
        <v>105</v>
      </c>
      <c r="D2" s="3" t="s">
        <v>25</v>
      </c>
      <c r="E2" s="3" t="s">
        <v>90</v>
      </c>
      <c r="F2" s="1" t="s">
        <v>26</v>
      </c>
      <c r="G2" s="3">
        <v>70000</v>
      </c>
      <c r="H2" s="3" t="s">
        <v>106</v>
      </c>
      <c r="I2" s="3" t="s">
        <v>107</v>
      </c>
      <c r="J2" s="4">
        <v>0.45833333333333331</v>
      </c>
      <c r="K2" s="5">
        <v>0.45347222222222222</v>
      </c>
      <c r="L2" s="4">
        <v>0.25694444444444448</v>
      </c>
      <c r="M2" s="5">
        <v>0.26944444444444443</v>
      </c>
      <c r="N2" s="3" t="s">
        <v>303</v>
      </c>
      <c r="O2" s="3" t="s">
        <v>300</v>
      </c>
      <c r="P2" s="3">
        <v>195</v>
      </c>
      <c r="Q2" s="3">
        <v>1493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44794</v>
      </c>
      <c r="B3" s="3" t="s">
        <v>21</v>
      </c>
      <c r="C3" s="3" t="s">
        <v>108</v>
      </c>
      <c r="D3" s="3" t="s">
        <v>25</v>
      </c>
      <c r="E3" s="3" t="s">
        <v>48</v>
      </c>
      <c r="F3" s="3" t="s">
        <v>26</v>
      </c>
      <c r="G3" s="11">
        <v>70000</v>
      </c>
      <c r="H3" s="3" t="s">
        <v>109</v>
      </c>
      <c r="I3" s="3" t="s">
        <v>110</v>
      </c>
      <c r="J3" s="4">
        <v>0.43402777777777773</v>
      </c>
      <c r="K3" s="5">
        <v>0.42499999999999999</v>
      </c>
      <c r="L3" s="4">
        <v>0.28472222222222221</v>
      </c>
      <c r="M3" s="5">
        <v>0.29097222222222224</v>
      </c>
      <c r="N3" s="3" t="s">
        <v>302</v>
      </c>
      <c r="O3" s="3" t="s">
        <v>301</v>
      </c>
      <c r="P3" s="3">
        <v>796</v>
      </c>
      <c r="Q3" s="3">
        <v>966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44794</v>
      </c>
      <c r="B4" s="3" t="s">
        <v>21</v>
      </c>
      <c r="C4" s="3" t="s">
        <v>89</v>
      </c>
      <c r="D4" s="3" t="s">
        <v>25</v>
      </c>
      <c r="E4" s="3" t="s">
        <v>48</v>
      </c>
      <c r="F4" s="3" t="s">
        <v>26</v>
      </c>
      <c r="G4" s="11">
        <v>70000</v>
      </c>
      <c r="H4" s="3" t="s">
        <v>91</v>
      </c>
      <c r="I4" s="3" t="s">
        <v>92</v>
      </c>
      <c r="J4" s="4">
        <v>0.64583333333333337</v>
      </c>
      <c r="K4" s="5">
        <v>0.6479166666666667</v>
      </c>
      <c r="L4" s="4">
        <v>0.48958333333333331</v>
      </c>
      <c r="M4" s="5">
        <v>0.4916666666666667</v>
      </c>
      <c r="N4" s="3" t="s">
        <v>63</v>
      </c>
      <c r="O4" s="3" t="s">
        <v>304</v>
      </c>
      <c r="P4" s="3">
        <v>398</v>
      </c>
      <c r="Q4" s="3">
        <v>1011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44794</v>
      </c>
      <c r="B5" s="3" t="s">
        <v>21</v>
      </c>
      <c r="C5" s="3" t="s">
        <v>111</v>
      </c>
      <c r="D5" s="3" t="s">
        <v>25</v>
      </c>
      <c r="E5" s="3" t="s">
        <v>90</v>
      </c>
      <c r="F5" s="3" t="s">
        <v>26</v>
      </c>
      <c r="G5" s="11">
        <v>70000</v>
      </c>
      <c r="H5" s="3" t="s">
        <v>112</v>
      </c>
      <c r="I5" s="3" t="s">
        <v>113</v>
      </c>
      <c r="J5" s="4">
        <v>0.86805555555555547</v>
      </c>
      <c r="K5" s="5">
        <v>0.85555555555555562</v>
      </c>
      <c r="L5" s="4">
        <v>0.64930555555555558</v>
      </c>
      <c r="M5" s="5">
        <v>0.65694444444444444</v>
      </c>
      <c r="N5" s="3" t="s">
        <v>306</v>
      </c>
      <c r="O5" s="3" t="s">
        <v>233</v>
      </c>
      <c r="P5" s="3">
        <v>273</v>
      </c>
      <c r="Q5" s="3">
        <v>815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44794</v>
      </c>
      <c r="B6" s="3" t="s">
        <v>21</v>
      </c>
      <c r="C6" s="3" t="s">
        <v>114</v>
      </c>
      <c r="D6" s="3" t="s">
        <v>25</v>
      </c>
      <c r="E6" s="3" t="s">
        <v>48</v>
      </c>
      <c r="F6" s="3" t="s">
        <v>26</v>
      </c>
      <c r="G6" s="11">
        <v>70000</v>
      </c>
      <c r="H6" s="3" t="s">
        <v>115</v>
      </c>
      <c r="I6" s="3" t="s">
        <v>116</v>
      </c>
      <c r="J6" s="4">
        <v>0.90277777777777779</v>
      </c>
      <c r="K6" s="5">
        <v>0.90625</v>
      </c>
      <c r="L6" s="4">
        <v>0.66666666666666663</v>
      </c>
      <c r="M6" s="5">
        <v>0.68888888888888899</v>
      </c>
      <c r="N6" s="3" t="s">
        <v>307</v>
      </c>
      <c r="O6" s="3" t="s">
        <v>305</v>
      </c>
      <c r="P6" s="3">
        <v>540</v>
      </c>
      <c r="Q6" s="3">
        <v>1927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/>
      <c r="B7" s="3"/>
      <c r="C7" s="3"/>
      <c r="D7" s="3"/>
      <c r="E7" s="3"/>
      <c r="F7" s="3"/>
      <c r="G7" s="11"/>
      <c r="H7" s="3"/>
      <c r="I7" s="6"/>
      <c r="J7" s="7"/>
      <c r="K7" s="8"/>
      <c r="L7" s="7"/>
      <c r="M7" s="8"/>
      <c r="N7" s="6"/>
      <c r="O7" s="6"/>
      <c r="P7" s="6"/>
      <c r="Q7" s="6"/>
      <c r="R7" s="6"/>
      <c r="S7" s="6"/>
      <c r="T7" s="6"/>
      <c r="U7" s="6"/>
    </row>
    <row r="8" spans="1:21" x14ac:dyDescent="0.25">
      <c r="A8" s="2"/>
      <c r="B8" s="3"/>
      <c r="C8" s="3"/>
      <c r="D8" s="3"/>
      <c r="E8" s="3"/>
      <c r="F8" s="3"/>
      <c r="G8" s="3"/>
      <c r="H8" s="3"/>
      <c r="I8" s="3"/>
      <c r="J8" s="4"/>
      <c r="K8" s="5"/>
      <c r="L8" s="4"/>
      <c r="M8" s="5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workbookViewId="0">
      <selection activeCell="K8" sqref="K8"/>
    </sheetView>
  </sheetViews>
  <sheetFormatPr defaultRowHeight="15" x14ac:dyDescent="0.25"/>
  <cols>
    <col min="3" max="3" width="14.28515625" customWidth="1"/>
    <col min="6" max="6" width="12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/>
      <c r="W1" s="6"/>
      <c r="X1" s="6"/>
      <c r="Y1" s="6"/>
    </row>
    <row r="2" spans="1:25" x14ac:dyDescent="0.25">
      <c r="A2" s="2">
        <v>44795</v>
      </c>
      <c r="B2" s="3" t="s">
        <v>21</v>
      </c>
      <c r="C2" s="3" t="s">
        <v>22</v>
      </c>
      <c r="D2" s="3" t="s">
        <v>25</v>
      </c>
      <c r="E2" s="14" t="s">
        <v>90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0.43194444444444446</v>
      </c>
      <c r="L2" s="4">
        <v>0.25694444444444448</v>
      </c>
      <c r="M2" s="5">
        <v>0.27499999999999997</v>
      </c>
      <c r="N2" s="3" t="s">
        <v>311</v>
      </c>
      <c r="O2" s="3" t="s">
        <v>309</v>
      </c>
      <c r="P2" s="3">
        <v>897</v>
      </c>
      <c r="Q2" s="3">
        <v>920</v>
      </c>
      <c r="R2" s="3">
        <v>0</v>
      </c>
      <c r="S2" s="3">
        <v>0</v>
      </c>
      <c r="T2" s="3">
        <v>0</v>
      </c>
      <c r="U2" s="3">
        <v>0</v>
      </c>
      <c r="V2" s="6"/>
      <c r="W2" s="6"/>
      <c r="X2" s="6"/>
      <c r="Y2" s="6"/>
    </row>
    <row r="3" spans="1:25" x14ac:dyDescent="0.25">
      <c r="A3" s="2">
        <v>44795</v>
      </c>
      <c r="B3" s="3" t="s">
        <v>21</v>
      </c>
      <c r="C3" s="3" t="s">
        <v>23</v>
      </c>
      <c r="D3" s="3" t="s">
        <v>25</v>
      </c>
      <c r="E3" s="15" t="s">
        <v>48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0.51666666666666672</v>
      </c>
      <c r="L3" s="4">
        <v>0.28125</v>
      </c>
      <c r="M3" s="5">
        <v>0.29444444444444445</v>
      </c>
      <c r="N3" s="3" t="s">
        <v>312</v>
      </c>
      <c r="O3" s="3" t="s">
        <v>310</v>
      </c>
      <c r="P3" s="3">
        <v>388</v>
      </c>
      <c r="Q3" s="3">
        <v>1542</v>
      </c>
      <c r="R3" s="3">
        <v>0</v>
      </c>
      <c r="S3" s="3">
        <v>0</v>
      </c>
      <c r="T3" s="3">
        <v>0</v>
      </c>
      <c r="U3" s="3">
        <v>0</v>
      </c>
      <c r="V3" s="6"/>
      <c r="W3" s="6"/>
      <c r="X3" s="6"/>
      <c r="Y3" s="6"/>
    </row>
    <row r="4" spans="1:25" x14ac:dyDescent="0.25">
      <c r="A4" s="2">
        <v>44795</v>
      </c>
      <c r="B4" s="3" t="s">
        <v>21</v>
      </c>
      <c r="C4" s="3" t="s">
        <v>24</v>
      </c>
      <c r="D4" s="3" t="s">
        <v>25</v>
      </c>
      <c r="E4" s="15" t="s">
        <v>90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0.61111111111111105</v>
      </c>
      <c r="K4" s="5">
        <v>0.61736111111111114</v>
      </c>
      <c r="L4" s="4">
        <v>0.46180555555555558</v>
      </c>
      <c r="M4" s="5">
        <v>0.47500000000000003</v>
      </c>
      <c r="N4" s="3" t="s">
        <v>317</v>
      </c>
      <c r="O4" s="3" t="s">
        <v>313</v>
      </c>
      <c r="P4" s="3">
        <v>828</v>
      </c>
      <c r="Q4" s="3">
        <v>847</v>
      </c>
      <c r="R4" s="3">
        <v>0</v>
      </c>
      <c r="S4" s="3">
        <v>0</v>
      </c>
      <c r="T4" s="3">
        <v>0</v>
      </c>
      <c r="U4" s="3">
        <v>0</v>
      </c>
      <c r="V4" s="6"/>
      <c r="W4" s="6"/>
      <c r="X4" s="6"/>
      <c r="Y4" s="6"/>
    </row>
    <row r="5" spans="1:25" x14ac:dyDescent="0.25">
      <c r="A5" s="2">
        <v>44795</v>
      </c>
      <c r="B5" s="3" t="s">
        <v>21</v>
      </c>
      <c r="C5" s="3" t="s">
        <v>33</v>
      </c>
      <c r="D5" s="3" t="s">
        <v>25</v>
      </c>
      <c r="E5" s="14" t="s">
        <v>48</v>
      </c>
      <c r="F5" s="1" t="s">
        <v>26</v>
      </c>
      <c r="G5" s="3">
        <v>70000</v>
      </c>
      <c r="H5" s="3" t="s">
        <v>35</v>
      </c>
      <c r="I5" s="3" t="s">
        <v>34</v>
      </c>
      <c r="J5" s="4">
        <v>0.75694444444444453</v>
      </c>
      <c r="K5" s="5">
        <v>0.75763888888888886</v>
      </c>
      <c r="L5" s="4">
        <v>0.54166666666666663</v>
      </c>
      <c r="M5" s="5">
        <v>0.55972222222222223</v>
      </c>
      <c r="N5" s="3" t="s">
        <v>318</v>
      </c>
      <c r="O5" s="3" t="s">
        <v>314</v>
      </c>
      <c r="P5" s="3">
        <v>182</v>
      </c>
      <c r="Q5" s="3">
        <v>1351</v>
      </c>
      <c r="R5" s="3">
        <v>0</v>
      </c>
      <c r="S5" s="3">
        <v>0</v>
      </c>
      <c r="T5" s="3">
        <v>0</v>
      </c>
      <c r="U5" s="3">
        <v>0</v>
      </c>
      <c r="V5" s="6"/>
      <c r="W5" s="6"/>
      <c r="X5" s="6"/>
      <c r="Y5" s="6"/>
    </row>
    <row r="6" spans="1:25" x14ac:dyDescent="0.25">
      <c r="A6" s="2">
        <v>44795</v>
      </c>
      <c r="B6" s="3" t="s">
        <v>21</v>
      </c>
      <c r="C6" s="6" t="s">
        <v>36</v>
      </c>
      <c r="D6" s="3" t="s">
        <v>25</v>
      </c>
      <c r="E6" s="14" t="s">
        <v>308</v>
      </c>
      <c r="F6" s="1" t="s">
        <v>26</v>
      </c>
      <c r="G6" s="3">
        <v>70000</v>
      </c>
      <c r="H6" s="6" t="s">
        <v>39</v>
      </c>
      <c r="I6" s="6" t="s">
        <v>42</v>
      </c>
      <c r="J6" s="7">
        <v>0.75694444444444453</v>
      </c>
      <c r="K6" s="8">
        <v>0.76250000000000007</v>
      </c>
      <c r="L6" s="7">
        <v>0.64236111111111105</v>
      </c>
      <c r="M6" s="8">
        <v>0.65</v>
      </c>
      <c r="N6" s="3" t="s">
        <v>319</v>
      </c>
      <c r="O6" s="3" t="s">
        <v>62</v>
      </c>
      <c r="P6" s="6">
        <v>376</v>
      </c>
      <c r="Q6" s="6">
        <v>735</v>
      </c>
      <c r="R6" s="6">
        <v>0</v>
      </c>
      <c r="S6" s="6">
        <v>0</v>
      </c>
      <c r="T6" s="6">
        <v>0</v>
      </c>
      <c r="U6" s="6">
        <v>0</v>
      </c>
      <c r="V6" s="6"/>
      <c r="W6" s="6"/>
      <c r="X6" s="6"/>
      <c r="Y6" s="6"/>
    </row>
    <row r="7" spans="1:25" x14ac:dyDescent="0.25">
      <c r="A7" s="2">
        <v>44795</v>
      </c>
      <c r="B7" s="3" t="s">
        <v>21</v>
      </c>
      <c r="C7" s="6" t="s">
        <v>37</v>
      </c>
      <c r="D7" s="3" t="s">
        <v>25</v>
      </c>
      <c r="E7" s="15" t="s">
        <v>48</v>
      </c>
      <c r="F7" s="1" t="s">
        <v>26</v>
      </c>
      <c r="G7" s="3">
        <v>70000</v>
      </c>
      <c r="H7" s="6" t="s">
        <v>40</v>
      </c>
      <c r="I7" s="6" t="s">
        <v>43</v>
      </c>
      <c r="J7" s="7">
        <v>0.96180555555555547</v>
      </c>
      <c r="K7" s="8">
        <v>8.3333333333333332E-3</v>
      </c>
      <c r="L7" s="7">
        <v>0.77777777777777779</v>
      </c>
      <c r="M7" s="8">
        <v>0.80694444444444446</v>
      </c>
      <c r="N7" s="3" t="s">
        <v>320</v>
      </c>
      <c r="O7" s="3" t="s">
        <v>315</v>
      </c>
      <c r="P7" s="6">
        <v>811</v>
      </c>
      <c r="Q7" s="6">
        <v>992</v>
      </c>
      <c r="R7" s="6">
        <v>0</v>
      </c>
      <c r="S7" s="6">
        <v>0</v>
      </c>
      <c r="T7" s="6">
        <v>0</v>
      </c>
      <c r="U7" s="6">
        <v>0</v>
      </c>
      <c r="V7" s="6"/>
      <c r="W7" s="6"/>
      <c r="X7" s="6"/>
      <c r="Y7" s="6"/>
    </row>
    <row r="8" spans="1:25" x14ac:dyDescent="0.25">
      <c r="A8" s="2">
        <v>44795</v>
      </c>
      <c r="B8" s="3" t="s">
        <v>21</v>
      </c>
      <c r="C8" s="6" t="s">
        <v>38</v>
      </c>
      <c r="D8" s="3" t="s">
        <v>25</v>
      </c>
      <c r="E8" s="15" t="s">
        <v>90</v>
      </c>
      <c r="F8" s="1" t="s">
        <v>26</v>
      </c>
      <c r="G8" s="3">
        <v>70000</v>
      </c>
      <c r="H8" s="6" t="s">
        <v>41</v>
      </c>
      <c r="I8" s="6" t="s">
        <v>44</v>
      </c>
      <c r="J8" s="7">
        <v>0.97569444444444453</v>
      </c>
      <c r="K8" s="8">
        <v>0.96250000000000002</v>
      </c>
      <c r="L8" s="7">
        <v>0.77777777777777779</v>
      </c>
      <c r="M8" s="8">
        <v>0.81666666666666676</v>
      </c>
      <c r="N8" s="3" t="s">
        <v>321</v>
      </c>
      <c r="O8" s="3" t="s">
        <v>316</v>
      </c>
      <c r="P8" s="6">
        <v>588</v>
      </c>
      <c r="Q8" s="6">
        <v>1065</v>
      </c>
      <c r="R8" s="6">
        <v>0</v>
      </c>
      <c r="S8" s="6">
        <v>0</v>
      </c>
      <c r="T8" s="6">
        <v>0</v>
      </c>
      <c r="U8" s="6">
        <v>0</v>
      </c>
      <c r="V8" s="6"/>
      <c r="W8" s="6"/>
      <c r="X8" s="6"/>
      <c r="Y8" s="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>
      <selection activeCell="J15" sqref="J15"/>
    </sheetView>
  </sheetViews>
  <sheetFormatPr defaultRowHeight="15" x14ac:dyDescent="0.25"/>
  <cols>
    <col min="1" max="1" width="11" bestFit="1" customWidth="1"/>
    <col min="2" max="2" width="19" customWidth="1"/>
    <col min="3" max="3" width="13.42578125" customWidth="1"/>
    <col min="5" max="6" width="12" customWidth="1"/>
    <col min="7" max="7" width="9.42578125" bestFit="1" customWidth="1"/>
    <col min="10" max="10" width="9.42578125" bestFit="1" customWidth="1"/>
    <col min="12" max="12" width="9.42578125" bestFit="1" customWidth="1"/>
    <col min="16" max="21" width="9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spans="1:22" x14ac:dyDescent="0.25">
      <c r="A2" s="2">
        <v>44796</v>
      </c>
      <c r="B2" s="3" t="s">
        <v>21</v>
      </c>
      <c r="C2" s="3" t="s">
        <v>66</v>
      </c>
      <c r="D2" s="3" t="s">
        <v>25</v>
      </c>
      <c r="E2" s="3" t="s">
        <v>90</v>
      </c>
      <c r="F2" s="1" t="s">
        <v>26</v>
      </c>
      <c r="G2" s="3">
        <v>70000</v>
      </c>
      <c r="H2" s="3" t="s">
        <v>67</v>
      </c>
      <c r="I2" s="3" t="s">
        <v>68</v>
      </c>
      <c r="J2" s="4">
        <v>0.47222222222222227</v>
      </c>
      <c r="K2" s="5">
        <v>0.4694444444444445</v>
      </c>
      <c r="L2" s="4">
        <v>0.28125</v>
      </c>
      <c r="M2" s="5">
        <v>0.29097222222222224</v>
      </c>
      <c r="N2" s="3" t="s">
        <v>323</v>
      </c>
      <c r="O2" s="3" t="s">
        <v>322</v>
      </c>
      <c r="P2" s="3">
        <v>547</v>
      </c>
      <c r="Q2" s="3">
        <v>1084</v>
      </c>
      <c r="R2" s="3">
        <v>0</v>
      </c>
      <c r="S2" s="3">
        <v>0</v>
      </c>
      <c r="T2" s="3">
        <v>0</v>
      </c>
      <c r="U2" s="3">
        <v>0</v>
      </c>
    </row>
    <row r="3" spans="1:22" x14ac:dyDescent="0.25">
      <c r="A3" s="2">
        <v>44796</v>
      </c>
      <c r="B3" s="3" t="s">
        <v>21</v>
      </c>
      <c r="C3" s="3" t="s">
        <v>69</v>
      </c>
      <c r="D3" s="3" t="s">
        <v>25</v>
      </c>
      <c r="E3" s="3" t="s">
        <v>48</v>
      </c>
      <c r="F3" s="1" t="s">
        <v>26</v>
      </c>
      <c r="G3" s="3">
        <v>70000</v>
      </c>
      <c r="H3" s="3" t="s">
        <v>70</v>
      </c>
      <c r="I3" s="3" t="s">
        <v>71</v>
      </c>
      <c r="J3" s="4">
        <v>0.82986111111111116</v>
      </c>
      <c r="K3" s="5">
        <v>0.87083333333333324</v>
      </c>
      <c r="L3" s="4">
        <v>0.40972222222222227</v>
      </c>
      <c r="M3" s="5">
        <v>0.41319444444444442</v>
      </c>
      <c r="N3" s="3" t="s">
        <v>325</v>
      </c>
      <c r="O3" s="3" t="s">
        <v>324</v>
      </c>
      <c r="P3" s="3">
        <v>797</v>
      </c>
      <c r="Q3" s="3">
        <v>924</v>
      </c>
      <c r="R3" s="3">
        <v>0</v>
      </c>
      <c r="S3" s="3">
        <v>0</v>
      </c>
      <c r="T3" s="3">
        <v>0</v>
      </c>
      <c r="U3" s="3">
        <v>0</v>
      </c>
    </row>
    <row r="4" spans="1:22" x14ac:dyDescent="0.25">
      <c r="A4" s="2">
        <v>44796</v>
      </c>
      <c r="B4" s="3" t="s">
        <v>21</v>
      </c>
      <c r="C4" s="3" t="s">
        <v>72</v>
      </c>
      <c r="D4" s="3" t="s">
        <v>25</v>
      </c>
      <c r="E4" s="3" t="s">
        <v>90</v>
      </c>
      <c r="F4" s="1" t="s">
        <v>26</v>
      </c>
      <c r="G4" s="3">
        <v>70000</v>
      </c>
      <c r="H4" s="3" t="s">
        <v>73</v>
      </c>
      <c r="I4" s="3" t="s">
        <v>74</v>
      </c>
      <c r="J4" s="4">
        <v>0.91319444444444453</v>
      </c>
      <c r="K4" s="5">
        <v>0.97916666666666663</v>
      </c>
      <c r="L4" s="4">
        <v>0.50347222222222221</v>
      </c>
      <c r="M4" s="5">
        <v>0.5131944444444444</v>
      </c>
      <c r="N4" s="3" t="s">
        <v>326</v>
      </c>
      <c r="O4" s="3" t="s">
        <v>54</v>
      </c>
      <c r="P4" s="3">
        <v>621</v>
      </c>
      <c r="Q4" s="3">
        <v>1153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2">
        <v>44796</v>
      </c>
      <c r="B5" s="3" t="s">
        <v>75</v>
      </c>
      <c r="C5" s="3" t="s">
        <v>76</v>
      </c>
      <c r="D5" s="3" t="s">
        <v>25</v>
      </c>
      <c r="E5" s="3" t="s">
        <v>84</v>
      </c>
      <c r="F5" s="1" t="s">
        <v>77</v>
      </c>
      <c r="G5" s="11">
        <v>77000</v>
      </c>
      <c r="H5" s="3" t="s">
        <v>78</v>
      </c>
      <c r="I5" s="3" t="s">
        <v>79</v>
      </c>
      <c r="J5" s="4">
        <v>0.3298611111111111</v>
      </c>
      <c r="K5" s="5">
        <v>0.32430555555555557</v>
      </c>
      <c r="L5" s="4">
        <v>0.37152777777777773</v>
      </c>
      <c r="M5" s="5">
        <v>0.38055555555555554</v>
      </c>
      <c r="N5" s="3" t="s">
        <v>233</v>
      </c>
      <c r="O5" s="3" t="s">
        <v>223</v>
      </c>
      <c r="P5" s="3">
        <v>2404</v>
      </c>
      <c r="Q5" s="3">
        <v>1974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2"/>
      <c r="B6" s="3"/>
      <c r="C6" s="3"/>
      <c r="D6" s="3"/>
      <c r="E6" s="3"/>
      <c r="F6" s="9"/>
      <c r="G6" s="3"/>
      <c r="H6" s="3"/>
      <c r="I6" s="3"/>
      <c r="J6" s="4"/>
      <c r="K6" s="5"/>
      <c r="L6" s="4"/>
      <c r="M6" s="5"/>
      <c r="N6" s="3"/>
      <c r="O6" s="3"/>
      <c r="P6" s="3"/>
      <c r="Q6" s="3"/>
      <c r="R6" s="3"/>
      <c r="S6" s="3"/>
      <c r="T6" s="3"/>
      <c r="U6" s="3"/>
    </row>
    <row r="7" spans="1:2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E1" workbookViewId="0">
      <selection sqref="A1:U7"/>
    </sheetView>
  </sheetViews>
  <sheetFormatPr defaultRowHeight="15" x14ac:dyDescent="0.25"/>
  <cols>
    <col min="2" max="2" width="15.140625" customWidth="1"/>
    <col min="3" max="3" width="16.7109375" customWidth="1"/>
    <col min="4" max="4" width="8.28515625" customWidth="1"/>
    <col min="6" max="6" width="17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44797</v>
      </c>
      <c r="B2" s="3" t="s">
        <v>21</v>
      </c>
      <c r="C2" s="3" t="s">
        <v>22</v>
      </c>
      <c r="D2" s="3" t="s">
        <v>25</v>
      </c>
      <c r="E2" s="6" t="s">
        <v>48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0.43055555555555558</v>
      </c>
      <c r="K2" s="5">
        <v>0.42430555555555555</v>
      </c>
      <c r="L2" s="4">
        <v>0.25694444444444448</v>
      </c>
      <c r="M2" s="5">
        <v>0.26319444444444445</v>
      </c>
      <c r="N2" s="3" t="s">
        <v>328</v>
      </c>
      <c r="O2" s="3" t="s">
        <v>327</v>
      </c>
      <c r="P2" s="3">
        <v>576</v>
      </c>
      <c r="Q2" s="3">
        <v>797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44797</v>
      </c>
      <c r="B3" s="3" t="s">
        <v>21</v>
      </c>
      <c r="C3" s="3" t="s">
        <v>24</v>
      </c>
      <c r="D3" s="3" t="s">
        <v>25</v>
      </c>
      <c r="E3" s="6" t="s">
        <v>48</v>
      </c>
      <c r="F3" s="1" t="s">
        <v>26</v>
      </c>
      <c r="G3" s="3">
        <v>70000</v>
      </c>
      <c r="H3" s="3" t="s">
        <v>31</v>
      </c>
      <c r="I3" s="3" t="s">
        <v>32</v>
      </c>
      <c r="J3" s="4">
        <v>0.60069444444444442</v>
      </c>
      <c r="K3" s="5">
        <v>0.59930555555555554</v>
      </c>
      <c r="L3" s="4">
        <v>0.4513888888888889</v>
      </c>
      <c r="M3" s="5">
        <v>0.45902777777777781</v>
      </c>
      <c r="N3" s="3" t="s">
        <v>330</v>
      </c>
      <c r="O3" s="3" t="s">
        <v>329</v>
      </c>
      <c r="P3" s="3">
        <v>616</v>
      </c>
      <c r="Q3" s="3">
        <v>648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44797</v>
      </c>
      <c r="B4" s="3" t="s">
        <v>21</v>
      </c>
      <c r="C4" s="3" t="s">
        <v>89</v>
      </c>
      <c r="D4" s="3" t="s">
        <v>25</v>
      </c>
      <c r="E4" s="6" t="s">
        <v>90</v>
      </c>
      <c r="F4" s="1" t="s">
        <v>26</v>
      </c>
      <c r="G4" s="3">
        <v>70000</v>
      </c>
      <c r="H4" s="3" t="s">
        <v>91</v>
      </c>
      <c r="I4" s="3" t="s">
        <v>92</v>
      </c>
      <c r="J4" s="4">
        <v>0.69791666666666663</v>
      </c>
      <c r="K4" s="5">
        <v>0.74722222222222223</v>
      </c>
      <c r="L4" s="4">
        <v>0.54166666666666663</v>
      </c>
      <c r="M4" s="5">
        <v>0.60555555555555551</v>
      </c>
      <c r="N4" s="3" t="s">
        <v>331</v>
      </c>
      <c r="O4" s="3" t="s">
        <v>133</v>
      </c>
      <c r="P4" s="3">
        <v>388</v>
      </c>
      <c r="Q4" s="3">
        <v>454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44797</v>
      </c>
      <c r="B5" s="3" t="s">
        <v>21</v>
      </c>
      <c r="C5" s="3" t="s">
        <v>36</v>
      </c>
      <c r="D5" s="3" t="s">
        <v>25</v>
      </c>
      <c r="E5" s="6" t="s">
        <v>48</v>
      </c>
      <c r="F5" s="1" t="s">
        <v>26</v>
      </c>
      <c r="G5" s="3">
        <v>70000</v>
      </c>
      <c r="H5" s="3" t="s">
        <v>39</v>
      </c>
      <c r="I5" s="3" t="s">
        <v>42</v>
      </c>
      <c r="J5" s="4">
        <v>0.74652777777777779</v>
      </c>
      <c r="K5" s="5">
        <v>0.7368055555555556</v>
      </c>
      <c r="L5" s="4">
        <v>0.63194444444444442</v>
      </c>
      <c r="M5" s="5">
        <v>0.63402777777777775</v>
      </c>
      <c r="N5" s="3" t="s">
        <v>332</v>
      </c>
      <c r="O5" s="3" t="s">
        <v>133</v>
      </c>
      <c r="P5" s="3">
        <v>640</v>
      </c>
      <c r="Q5" s="3">
        <v>958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44797</v>
      </c>
      <c r="B6" s="3" t="s">
        <v>21</v>
      </c>
      <c r="C6" s="3" t="s">
        <v>37</v>
      </c>
      <c r="D6" s="3" t="s">
        <v>25</v>
      </c>
      <c r="E6" s="6" t="s">
        <v>90</v>
      </c>
      <c r="F6" s="1" t="s">
        <v>26</v>
      </c>
      <c r="G6" s="3">
        <v>70000</v>
      </c>
      <c r="H6" s="3" t="s">
        <v>40</v>
      </c>
      <c r="I6" s="3" t="s">
        <v>43</v>
      </c>
      <c r="J6" s="4">
        <v>0.90277777777777779</v>
      </c>
      <c r="K6" s="5">
        <v>0.94305555555555554</v>
      </c>
      <c r="L6" s="4">
        <v>0.71875</v>
      </c>
      <c r="M6" s="5">
        <v>0.78263888888888899</v>
      </c>
      <c r="N6" s="3" t="s">
        <v>340</v>
      </c>
      <c r="O6" s="3" t="s">
        <v>333</v>
      </c>
      <c r="P6" s="3">
        <v>526</v>
      </c>
      <c r="Q6" s="3">
        <v>1285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44797</v>
      </c>
      <c r="B7" s="3" t="s">
        <v>21</v>
      </c>
      <c r="C7" s="3" t="s">
        <v>38</v>
      </c>
      <c r="D7" s="3" t="s">
        <v>25</v>
      </c>
      <c r="E7" s="6" t="s">
        <v>48</v>
      </c>
      <c r="F7" s="1" t="s">
        <v>26</v>
      </c>
      <c r="G7" s="3">
        <v>70000</v>
      </c>
      <c r="H7" s="3" t="s">
        <v>41</v>
      </c>
      <c r="I7" s="3" t="s">
        <v>44</v>
      </c>
      <c r="J7" s="4">
        <v>0.9375</v>
      </c>
      <c r="K7" s="5">
        <v>0.9291666666666667</v>
      </c>
      <c r="L7" s="4">
        <v>0.76736111111111116</v>
      </c>
      <c r="M7" s="5">
        <v>0.77777777777777779</v>
      </c>
      <c r="N7" s="3" t="s">
        <v>339</v>
      </c>
      <c r="O7" s="3" t="s">
        <v>185</v>
      </c>
      <c r="P7" s="3">
        <v>651</v>
      </c>
      <c r="Q7" s="3">
        <v>1062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44797</v>
      </c>
      <c r="B8" s="3" t="s">
        <v>334</v>
      </c>
      <c r="C8" s="3" t="s">
        <v>335</v>
      </c>
      <c r="D8" s="3" t="s">
        <v>336</v>
      </c>
      <c r="E8" s="6" t="s">
        <v>337</v>
      </c>
      <c r="F8" s="9" t="s">
        <v>338</v>
      </c>
      <c r="G8" s="3">
        <v>3920</v>
      </c>
      <c r="H8" s="3" t="s">
        <v>127</v>
      </c>
      <c r="I8" s="3" t="s">
        <v>127</v>
      </c>
      <c r="J8" s="4">
        <v>0.76041666666666663</v>
      </c>
      <c r="K8" s="5">
        <v>0.7597222222222223</v>
      </c>
      <c r="L8" s="3" t="s">
        <v>199</v>
      </c>
      <c r="M8" s="3" t="s">
        <v>199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I19" sqref="I19"/>
    </sheetView>
  </sheetViews>
  <sheetFormatPr defaultRowHeight="15" x14ac:dyDescent="0.25"/>
  <cols>
    <col min="3" max="3" width="13.5703125" bestFit="1" customWidth="1"/>
    <col min="6" max="6" width="12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44798</v>
      </c>
      <c r="B2" s="3" t="s">
        <v>21</v>
      </c>
      <c r="C2" s="3" t="s">
        <v>105</v>
      </c>
      <c r="D2" s="3" t="s">
        <v>25</v>
      </c>
      <c r="E2" s="3" t="s">
        <v>90</v>
      </c>
      <c r="F2" s="1" t="s">
        <v>26</v>
      </c>
      <c r="G2" s="3">
        <v>70000</v>
      </c>
      <c r="H2" s="3" t="s">
        <v>106</v>
      </c>
      <c r="I2" s="3" t="s">
        <v>107</v>
      </c>
      <c r="J2" s="4">
        <v>0.45833333333333331</v>
      </c>
      <c r="K2" s="5">
        <v>0.46458333333333335</v>
      </c>
      <c r="L2" s="4">
        <v>0.25694444444444448</v>
      </c>
      <c r="M2" s="5">
        <v>0.26319444444444445</v>
      </c>
      <c r="N2" s="3" t="s">
        <v>343</v>
      </c>
      <c r="O2" s="3" t="s">
        <v>341</v>
      </c>
      <c r="P2" s="3">
        <v>236</v>
      </c>
      <c r="Q2" s="3">
        <v>1265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44798</v>
      </c>
      <c r="B3" s="3" t="s">
        <v>21</v>
      </c>
      <c r="C3" s="3" t="s">
        <v>108</v>
      </c>
      <c r="D3" s="3" t="s">
        <v>25</v>
      </c>
      <c r="E3" s="3" t="s">
        <v>48</v>
      </c>
      <c r="F3" s="3" t="s">
        <v>26</v>
      </c>
      <c r="G3" s="11">
        <v>70000</v>
      </c>
      <c r="H3" s="3" t="s">
        <v>109</v>
      </c>
      <c r="I3" s="3" t="s">
        <v>110</v>
      </c>
      <c r="J3" s="4">
        <v>0.43402777777777773</v>
      </c>
      <c r="K3" s="5">
        <v>0.4284722222222222</v>
      </c>
      <c r="L3" s="4">
        <v>0.28472222222222221</v>
      </c>
      <c r="M3" s="5">
        <v>0.29236111111111113</v>
      </c>
      <c r="N3" s="3" t="s">
        <v>344</v>
      </c>
      <c r="O3" s="3" t="s">
        <v>342</v>
      </c>
      <c r="P3" s="3">
        <v>417</v>
      </c>
      <c r="Q3" s="3">
        <v>1061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44798</v>
      </c>
      <c r="B4" s="3" t="s">
        <v>21</v>
      </c>
      <c r="C4" s="3" t="s">
        <v>69</v>
      </c>
      <c r="D4" s="3" t="s">
        <v>25</v>
      </c>
      <c r="E4" s="3" t="s">
        <v>48</v>
      </c>
      <c r="F4" s="3" t="s">
        <v>26</v>
      </c>
      <c r="G4" s="11">
        <v>70000</v>
      </c>
      <c r="H4" s="3" t="s">
        <v>70</v>
      </c>
      <c r="I4" s="3" t="s">
        <v>71</v>
      </c>
      <c r="J4" s="4">
        <v>0.67708333333333337</v>
      </c>
      <c r="K4" s="5">
        <v>0.68680555555555556</v>
      </c>
      <c r="L4" s="4">
        <v>0.48958333333333331</v>
      </c>
      <c r="M4" s="5">
        <v>0.51666666666666672</v>
      </c>
      <c r="N4" s="3" t="s">
        <v>101</v>
      </c>
      <c r="O4" s="3" t="s">
        <v>345</v>
      </c>
      <c r="P4" s="3">
        <v>748</v>
      </c>
      <c r="Q4" s="3">
        <v>1237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44798</v>
      </c>
      <c r="B5" s="3" t="s">
        <v>21</v>
      </c>
      <c r="C5" s="3" t="s">
        <v>111</v>
      </c>
      <c r="D5" s="3" t="s">
        <v>25</v>
      </c>
      <c r="E5" s="3" t="s">
        <v>90</v>
      </c>
      <c r="F5" s="3" t="s">
        <v>26</v>
      </c>
      <c r="G5" s="11">
        <v>70000</v>
      </c>
      <c r="H5" s="3" t="s">
        <v>112</v>
      </c>
      <c r="I5" s="3" t="s">
        <v>113</v>
      </c>
      <c r="J5" s="4">
        <v>0.86805555555555547</v>
      </c>
      <c r="K5" s="5">
        <v>0.8569444444444444</v>
      </c>
      <c r="L5" s="4">
        <v>0.64930555555555558</v>
      </c>
      <c r="M5" s="5">
        <v>0.66388888888888886</v>
      </c>
      <c r="N5" s="3" t="s">
        <v>347</v>
      </c>
      <c r="O5" s="3" t="s">
        <v>346</v>
      </c>
      <c r="P5" s="3">
        <v>201</v>
      </c>
      <c r="Q5" s="3">
        <v>378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44798</v>
      </c>
      <c r="B6" s="3" t="s">
        <v>21</v>
      </c>
      <c r="C6" s="3" t="s">
        <v>114</v>
      </c>
      <c r="D6" s="3" t="s">
        <v>25</v>
      </c>
      <c r="E6" s="3" t="s">
        <v>48</v>
      </c>
      <c r="F6" s="3" t="s">
        <v>26</v>
      </c>
      <c r="G6" s="11">
        <v>70000</v>
      </c>
      <c r="H6" s="3" t="s">
        <v>115</v>
      </c>
      <c r="I6" s="3" t="s">
        <v>116</v>
      </c>
      <c r="J6" s="4">
        <v>0.93402777777777779</v>
      </c>
      <c r="K6" s="5" t="s">
        <v>349</v>
      </c>
      <c r="L6" s="4">
        <v>0.69791666666666663</v>
      </c>
      <c r="M6" s="5">
        <v>0.72361111111111109</v>
      </c>
      <c r="N6" s="3" t="s">
        <v>348</v>
      </c>
      <c r="O6" s="3" t="s">
        <v>166</v>
      </c>
      <c r="P6" s="3">
        <v>287</v>
      </c>
      <c r="Q6" s="3">
        <v>1607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/>
      <c r="B7" s="3"/>
      <c r="C7" s="3"/>
      <c r="D7" s="3"/>
      <c r="E7" s="3"/>
      <c r="F7" s="3"/>
      <c r="G7" s="11"/>
      <c r="H7" s="3"/>
      <c r="I7" s="6"/>
      <c r="J7" s="7"/>
      <c r="K7" s="8"/>
      <c r="L7" s="7"/>
      <c r="M7" s="8"/>
      <c r="N7" s="6"/>
      <c r="O7" s="6"/>
      <c r="P7" s="6"/>
      <c r="Q7" s="6"/>
      <c r="R7" s="6"/>
      <c r="S7" s="6"/>
      <c r="T7" s="6"/>
      <c r="U7" s="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C12" sqref="C12"/>
    </sheetView>
  </sheetViews>
  <sheetFormatPr defaultRowHeight="15" x14ac:dyDescent="0.25"/>
  <cols>
    <col min="2" max="2" width="20.140625" customWidth="1"/>
    <col min="3" max="3" width="15" customWidth="1"/>
    <col min="4" max="4" width="7.140625" customWidth="1"/>
    <col min="5" max="5" width="10.7109375" customWidth="1"/>
    <col min="6" max="6" width="18.7109375" bestFit="1" customWidth="1"/>
    <col min="10" max="10" width="7.7109375" customWidth="1"/>
    <col min="12" max="12" width="6.85546875" customWidth="1"/>
    <col min="15" max="15" width="10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44799</v>
      </c>
      <c r="B2" s="3" t="s">
        <v>21</v>
      </c>
      <c r="C2" s="3" t="s">
        <v>22</v>
      </c>
      <c r="D2" s="3" t="s">
        <v>25</v>
      </c>
      <c r="E2" s="3" t="s">
        <v>90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0.43263888888888885</v>
      </c>
      <c r="L2" s="4">
        <v>0.25694444444444448</v>
      </c>
      <c r="M2" s="5">
        <v>0.27777777777777779</v>
      </c>
      <c r="N2" s="3" t="s">
        <v>354</v>
      </c>
      <c r="O2" s="3" t="s">
        <v>350</v>
      </c>
      <c r="P2" s="3">
        <v>799</v>
      </c>
      <c r="Q2" s="3">
        <v>1190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44799</v>
      </c>
      <c r="B3" s="3" t="s">
        <v>21</v>
      </c>
      <c r="C3" s="3" t="s">
        <v>23</v>
      </c>
      <c r="D3" s="3" t="s">
        <v>25</v>
      </c>
      <c r="E3" s="3" t="s">
        <v>48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0.55138888888888882</v>
      </c>
      <c r="L3" s="4">
        <v>0.28125</v>
      </c>
      <c r="M3" s="5">
        <v>0.33888888888888885</v>
      </c>
      <c r="N3" s="3" t="s">
        <v>361</v>
      </c>
      <c r="O3" s="3" t="s">
        <v>351</v>
      </c>
      <c r="P3" s="3">
        <v>423</v>
      </c>
      <c r="Q3" s="3">
        <v>1378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44799</v>
      </c>
      <c r="B4" s="3" t="s">
        <v>75</v>
      </c>
      <c r="C4" s="3" t="s">
        <v>76</v>
      </c>
      <c r="D4" s="3" t="s">
        <v>25</v>
      </c>
      <c r="E4" s="3" t="s">
        <v>353</v>
      </c>
      <c r="F4" s="1" t="s">
        <v>77</v>
      </c>
      <c r="G4" s="11">
        <v>77000</v>
      </c>
      <c r="H4" s="3" t="s">
        <v>78</v>
      </c>
      <c r="I4" s="3" t="s">
        <v>79</v>
      </c>
      <c r="J4" s="4">
        <v>0.3298611111111111</v>
      </c>
      <c r="K4" s="5">
        <v>0.37291666666666662</v>
      </c>
      <c r="L4" s="4">
        <v>0.37152777777777773</v>
      </c>
      <c r="M4" s="5">
        <v>0.41388888888888892</v>
      </c>
      <c r="N4" s="3" t="s">
        <v>352</v>
      </c>
      <c r="O4" s="3" t="s">
        <v>212</v>
      </c>
      <c r="P4" s="3">
        <v>2272</v>
      </c>
      <c r="Q4" s="3">
        <v>2322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44799</v>
      </c>
      <c r="B5" s="3" t="s">
        <v>21</v>
      </c>
      <c r="C5" s="3" t="s">
        <v>24</v>
      </c>
      <c r="D5" s="3" t="s">
        <v>25</v>
      </c>
      <c r="E5" s="3" t="s">
        <v>90</v>
      </c>
      <c r="F5" s="1" t="s">
        <v>26</v>
      </c>
      <c r="G5" s="3">
        <v>70000</v>
      </c>
      <c r="H5" s="3" t="s">
        <v>31</v>
      </c>
      <c r="I5" s="3" t="s">
        <v>32</v>
      </c>
      <c r="J5" s="4">
        <v>0.61111111111111105</v>
      </c>
      <c r="K5" s="5">
        <v>0.60555555555555551</v>
      </c>
      <c r="L5" s="4">
        <v>0.46180555555555558</v>
      </c>
      <c r="M5" s="5">
        <v>0.47222222222222227</v>
      </c>
      <c r="N5" s="3" t="s">
        <v>365</v>
      </c>
      <c r="O5" s="3" t="s">
        <v>355</v>
      </c>
      <c r="P5" s="3">
        <v>712</v>
      </c>
      <c r="Q5" s="3">
        <v>1058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44799</v>
      </c>
      <c r="B6" s="3" t="s">
        <v>21</v>
      </c>
      <c r="C6" s="3" t="s">
        <v>33</v>
      </c>
      <c r="D6" s="3" t="s">
        <v>25</v>
      </c>
      <c r="E6" s="3" t="s">
        <v>48</v>
      </c>
      <c r="F6" s="1" t="s">
        <v>26</v>
      </c>
      <c r="G6" s="3">
        <v>70000</v>
      </c>
      <c r="H6" s="3" t="s">
        <v>35</v>
      </c>
      <c r="I6" s="3" t="s">
        <v>34</v>
      </c>
      <c r="J6" s="4">
        <v>0.75694444444444453</v>
      </c>
      <c r="K6" s="5">
        <v>0.77361111111111114</v>
      </c>
      <c r="L6" s="4">
        <v>0.54166666666666663</v>
      </c>
      <c r="M6" s="5">
        <v>0.5854166666666667</v>
      </c>
      <c r="N6" s="3" t="s">
        <v>366</v>
      </c>
      <c r="O6" s="3" t="s">
        <v>63</v>
      </c>
      <c r="P6" s="3">
        <v>201</v>
      </c>
      <c r="Q6" s="3">
        <v>1472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44799</v>
      </c>
      <c r="B7" s="3" t="s">
        <v>21</v>
      </c>
      <c r="C7" s="3" t="s">
        <v>36</v>
      </c>
      <c r="D7" s="3" t="s">
        <v>25</v>
      </c>
      <c r="E7" s="3" t="s">
        <v>90</v>
      </c>
      <c r="F7" s="1" t="s">
        <v>26</v>
      </c>
      <c r="G7" s="3">
        <v>70000</v>
      </c>
      <c r="H7" s="3" t="s">
        <v>39</v>
      </c>
      <c r="I7" s="3" t="s">
        <v>42</v>
      </c>
      <c r="J7" s="4">
        <v>0.75694444444444453</v>
      </c>
      <c r="K7" s="5">
        <v>0.74791666666666667</v>
      </c>
      <c r="L7" s="4">
        <v>0.64236111111111105</v>
      </c>
      <c r="M7" s="5">
        <v>0.6430555555555556</v>
      </c>
      <c r="N7" s="3" t="s">
        <v>367</v>
      </c>
      <c r="O7" s="3" t="s">
        <v>238</v>
      </c>
      <c r="P7" s="3">
        <v>363</v>
      </c>
      <c r="Q7" s="3">
        <v>694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44799</v>
      </c>
      <c r="B8" s="3" t="s">
        <v>21</v>
      </c>
      <c r="C8" s="3" t="s">
        <v>37</v>
      </c>
      <c r="D8" s="3" t="s">
        <v>25</v>
      </c>
      <c r="E8" s="3" t="s">
        <v>48</v>
      </c>
      <c r="F8" s="1" t="s">
        <v>26</v>
      </c>
      <c r="G8" s="3">
        <v>70000</v>
      </c>
      <c r="H8" s="3" t="s">
        <v>40</v>
      </c>
      <c r="I8" s="3" t="s">
        <v>43</v>
      </c>
      <c r="J8" s="4">
        <v>0.96180555555555547</v>
      </c>
      <c r="K8" s="5">
        <v>0.9868055555555556</v>
      </c>
      <c r="L8" s="4">
        <v>0.77777777777777779</v>
      </c>
      <c r="M8" s="5">
        <v>0.81111111111111101</v>
      </c>
      <c r="N8" s="3" t="s">
        <v>87</v>
      </c>
      <c r="O8" s="3" t="s">
        <v>368</v>
      </c>
      <c r="P8" s="3">
        <v>759</v>
      </c>
      <c r="Q8" s="3">
        <v>1177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>
        <v>44799</v>
      </c>
      <c r="B9" s="3" t="s">
        <v>21</v>
      </c>
      <c r="C9" s="3" t="s">
        <v>38</v>
      </c>
      <c r="D9" s="3" t="s">
        <v>25</v>
      </c>
      <c r="E9" s="3" t="s">
        <v>90</v>
      </c>
      <c r="F9" s="1" t="s">
        <v>26</v>
      </c>
      <c r="G9" s="3">
        <v>70000</v>
      </c>
      <c r="H9" s="3" t="s">
        <v>41</v>
      </c>
      <c r="I9" s="3" t="s">
        <v>44</v>
      </c>
      <c r="J9" s="4">
        <v>0.97569444444444453</v>
      </c>
      <c r="K9" s="5">
        <v>0.98055555555555562</v>
      </c>
      <c r="L9" s="4">
        <v>0.77777777777777779</v>
      </c>
      <c r="M9" s="5">
        <v>0.79652777777777783</v>
      </c>
      <c r="N9" s="3" t="s">
        <v>367</v>
      </c>
      <c r="O9" s="3" t="s">
        <v>128</v>
      </c>
      <c r="P9" s="3">
        <v>660</v>
      </c>
      <c r="Q9" s="3">
        <v>1242</v>
      </c>
      <c r="R9" s="3">
        <v>0</v>
      </c>
      <c r="S9" s="3">
        <v>0</v>
      </c>
      <c r="T9" s="3">
        <v>0</v>
      </c>
      <c r="U9" s="3">
        <v>0</v>
      </c>
    </row>
    <row r="10" spans="1:21" s="6" customFormat="1" ht="12.75" x14ac:dyDescent="0.2">
      <c r="A10" s="2">
        <v>44799</v>
      </c>
      <c r="B10" s="3" t="s">
        <v>356</v>
      </c>
      <c r="C10" s="6" t="s">
        <v>357</v>
      </c>
      <c r="D10" s="6" t="s">
        <v>358</v>
      </c>
      <c r="E10" s="6" t="s">
        <v>359</v>
      </c>
      <c r="F10" s="6" t="s">
        <v>125</v>
      </c>
      <c r="G10" s="6">
        <v>9752</v>
      </c>
      <c r="H10" s="6" t="s">
        <v>360</v>
      </c>
      <c r="I10" s="6" t="str">
        <f>H10</f>
        <v>JEI151</v>
      </c>
      <c r="J10" s="7">
        <v>0.46527777777777773</v>
      </c>
      <c r="K10" s="8">
        <v>0.46319444444444446</v>
      </c>
      <c r="L10" s="7">
        <v>0.50694444444444442</v>
      </c>
      <c r="M10" s="8">
        <v>0.50486111111111109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</row>
    <row r="11" spans="1:21" s="6" customFormat="1" ht="12.75" x14ac:dyDescent="0.2">
      <c r="A11" s="2">
        <v>44799</v>
      </c>
      <c r="B11" s="3" t="s">
        <v>362</v>
      </c>
      <c r="C11" s="6" t="s">
        <v>363</v>
      </c>
      <c r="D11" s="6" t="s">
        <v>336</v>
      </c>
      <c r="E11" s="6" t="s">
        <v>337</v>
      </c>
      <c r="F11" s="6" t="s">
        <v>364</v>
      </c>
      <c r="G11" s="6">
        <v>3920</v>
      </c>
      <c r="H11" s="6" t="s">
        <v>127</v>
      </c>
      <c r="I11" s="6" t="str">
        <f>E11</f>
        <v>S5-CMS</v>
      </c>
      <c r="J11" s="6" t="s">
        <v>127</v>
      </c>
      <c r="K11" s="6" t="s">
        <v>127</v>
      </c>
      <c r="L11" s="7">
        <v>0.55208333333333337</v>
      </c>
      <c r="M11" s="8">
        <v>0.53749999999999998</v>
      </c>
      <c r="N11" s="6" t="s">
        <v>127</v>
      </c>
      <c r="O11" s="6">
        <v>0</v>
      </c>
      <c r="P11" s="6" t="s">
        <v>127</v>
      </c>
      <c r="Q11" s="6">
        <v>0</v>
      </c>
      <c r="R11" s="6" t="s">
        <v>127</v>
      </c>
      <c r="S11" s="6">
        <v>0</v>
      </c>
      <c r="T11" s="6" t="s">
        <v>127</v>
      </c>
      <c r="U11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5" sqref="K5"/>
    </sheetView>
  </sheetViews>
  <sheetFormatPr defaultRowHeight="15" x14ac:dyDescent="0.25"/>
  <cols>
    <col min="1" max="1" width="9.42578125" customWidth="1"/>
    <col min="2" max="2" width="11.28515625" customWidth="1"/>
    <col min="3" max="3" width="14.85546875" customWidth="1"/>
    <col min="4" max="4" width="7.140625" customWidth="1"/>
    <col min="5" max="5" width="15.85546875" customWidth="1"/>
    <col min="6" max="6" width="14.7109375" customWidth="1"/>
    <col min="7" max="7" width="9.28515625" bestFit="1" customWidth="1"/>
    <col min="10" max="10" width="9.28515625" bestFit="1" customWidth="1"/>
    <col min="12" max="12" width="9.28515625" bestFit="1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44800</v>
      </c>
      <c r="B2" s="3" t="s">
        <v>21</v>
      </c>
      <c r="C2" s="3" t="s">
        <v>66</v>
      </c>
      <c r="D2" s="3" t="s">
        <v>25</v>
      </c>
      <c r="E2" s="3" t="s">
        <v>235</v>
      </c>
      <c r="F2" s="1" t="s">
        <v>26</v>
      </c>
      <c r="G2" s="3">
        <v>70000</v>
      </c>
      <c r="H2" s="3" t="s">
        <v>67</v>
      </c>
      <c r="I2" s="3" t="s">
        <v>68</v>
      </c>
      <c r="J2" s="4">
        <v>0.47222222222222227</v>
      </c>
      <c r="K2" s="5">
        <v>0.49791666666666662</v>
      </c>
      <c r="L2" s="4">
        <v>0.28125</v>
      </c>
      <c r="M2" s="5">
        <v>0.30902777777777779</v>
      </c>
      <c r="N2" s="3" t="s">
        <v>369</v>
      </c>
      <c r="O2" s="3" t="s">
        <v>223</v>
      </c>
      <c r="P2" s="3">
        <v>785</v>
      </c>
      <c r="Q2" s="3">
        <v>1667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44800</v>
      </c>
      <c r="B3" s="3" t="s">
        <v>21</v>
      </c>
      <c r="C3" s="3" t="s">
        <v>69</v>
      </c>
      <c r="D3" s="3" t="s">
        <v>25</v>
      </c>
      <c r="E3" s="3" t="s">
        <v>287</v>
      </c>
      <c r="F3" s="1" t="s">
        <v>26</v>
      </c>
      <c r="G3" s="3">
        <v>70000</v>
      </c>
      <c r="H3" s="3" t="s">
        <v>70</v>
      </c>
      <c r="I3" s="3" t="s">
        <v>71</v>
      </c>
      <c r="J3" s="4">
        <v>0.82986111111111116</v>
      </c>
      <c r="K3" s="5">
        <v>0.87638888888888899</v>
      </c>
      <c r="L3" s="4">
        <v>0.40972222222222227</v>
      </c>
      <c r="M3" s="5">
        <v>0.41388888888888892</v>
      </c>
      <c r="N3" s="3" t="s">
        <v>367</v>
      </c>
      <c r="O3" s="3" t="s">
        <v>274</v>
      </c>
      <c r="P3" s="3">
        <v>652</v>
      </c>
      <c r="Q3" s="3">
        <v>1761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44800</v>
      </c>
      <c r="B4" s="3" t="s">
        <v>21</v>
      </c>
      <c r="C4" s="3" t="s">
        <v>72</v>
      </c>
      <c r="D4" s="3" t="s">
        <v>25</v>
      </c>
      <c r="E4" s="3" t="s">
        <v>370</v>
      </c>
      <c r="F4" s="1" t="s">
        <v>26</v>
      </c>
      <c r="G4" s="3">
        <v>70000</v>
      </c>
      <c r="H4" s="3" t="s">
        <v>73</v>
      </c>
      <c r="I4" s="3" t="s">
        <v>74</v>
      </c>
      <c r="J4" s="4">
        <v>0.91319444444444453</v>
      </c>
      <c r="K4" s="5">
        <v>0.99444444444444446</v>
      </c>
      <c r="L4" s="4">
        <v>0.50347222222222221</v>
      </c>
      <c r="M4" s="5">
        <v>0.55277777777777781</v>
      </c>
      <c r="N4" s="3" t="s">
        <v>371</v>
      </c>
      <c r="O4" s="3" t="s">
        <v>305</v>
      </c>
      <c r="P4" s="3">
        <v>863</v>
      </c>
      <c r="Q4" s="3">
        <v>945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/>
      <c r="B5" s="3"/>
      <c r="C5" s="3"/>
      <c r="D5" s="3"/>
      <c r="E5" s="3"/>
      <c r="F5" s="3"/>
      <c r="G5" s="3"/>
      <c r="H5" s="3"/>
      <c r="I5" s="3"/>
      <c r="J5" s="4"/>
      <c r="K5" s="5"/>
      <c r="L5" s="4"/>
      <c r="M5" s="5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/>
      <c r="B6" s="3"/>
      <c r="C6" s="3"/>
      <c r="D6" s="3"/>
      <c r="E6" s="3"/>
      <c r="F6" s="3"/>
      <c r="G6" s="3"/>
      <c r="H6" s="3"/>
      <c r="I6" s="3"/>
      <c r="J6" s="4"/>
      <c r="K6" s="5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F8" sqref="F8"/>
    </sheetView>
  </sheetViews>
  <sheetFormatPr defaultRowHeight="15" x14ac:dyDescent="0.25"/>
  <cols>
    <col min="3" max="3" width="14.7109375" customWidth="1"/>
    <col min="6" max="6" width="13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44801</v>
      </c>
      <c r="B2" s="3" t="s">
        <v>21</v>
      </c>
      <c r="C2" s="3" t="s">
        <v>105</v>
      </c>
      <c r="D2" s="3" t="s">
        <v>25</v>
      </c>
      <c r="E2" s="3" t="s">
        <v>372</v>
      </c>
      <c r="F2" s="1" t="s">
        <v>26</v>
      </c>
      <c r="G2" s="3">
        <v>70000</v>
      </c>
      <c r="H2" s="3" t="s">
        <v>106</v>
      </c>
      <c r="I2" s="3" t="s">
        <v>107</v>
      </c>
      <c r="J2" s="4">
        <v>0.45833333333333331</v>
      </c>
      <c r="K2" s="5">
        <v>0.44861111111111113</v>
      </c>
      <c r="L2" s="4">
        <v>0.25694444444444448</v>
      </c>
      <c r="M2" s="5">
        <v>0.26111111111111113</v>
      </c>
      <c r="N2" s="3" t="s">
        <v>374</v>
      </c>
      <c r="O2" s="3" t="s">
        <v>95</v>
      </c>
      <c r="P2" s="3">
        <v>393</v>
      </c>
      <c r="Q2" s="3">
        <v>1216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44801</v>
      </c>
      <c r="B3" s="3" t="s">
        <v>21</v>
      </c>
      <c r="C3" s="3" t="s">
        <v>108</v>
      </c>
      <c r="D3" s="3" t="s">
        <v>25</v>
      </c>
      <c r="E3" s="3" t="s">
        <v>48</v>
      </c>
      <c r="F3" s="3" t="s">
        <v>26</v>
      </c>
      <c r="G3" s="11">
        <v>70000</v>
      </c>
      <c r="H3" s="3" t="s">
        <v>109</v>
      </c>
      <c r="I3" s="3" t="s">
        <v>110</v>
      </c>
      <c r="J3" s="4">
        <v>0.43402777777777773</v>
      </c>
      <c r="K3" s="5">
        <v>0.43055555555555558</v>
      </c>
      <c r="L3" s="4">
        <v>0.28472222222222221</v>
      </c>
      <c r="M3" s="5">
        <v>0.2986111111111111</v>
      </c>
      <c r="N3" s="3" t="s">
        <v>375</v>
      </c>
      <c r="O3" s="3" t="s">
        <v>373</v>
      </c>
      <c r="P3" s="3">
        <v>696</v>
      </c>
      <c r="Q3" s="3">
        <v>928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44801</v>
      </c>
      <c r="B4" s="3" t="s">
        <v>21</v>
      </c>
      <c r="C4" s="3" t="s">
        <v>89</v>
      </c>
      <c r="D4" s="3" t="s">
        <v>25</v>
      </c>
      <c r="E4" s="3" t="s">
        <v>48</v>
      </c>
      <c r="F4" s="3" t="s">
        <v>26</v>
      </c>
      <c r="G4" s="11">
        <v>70000</v>
      </c>
      <c r="H4" s="3" t="s">
        <v>91</v>
      </c>
      <c r="I4" s="3" t="s">
        <v>92</v>
      </c>
      <c r="J4" s="4">
        <v>0.64583333333333337</v>
      </c>
      <c r="K4" s="5">
        <v>0.65</v>
      </c>
      <c r="L4" s="4">
        <v>0.48958333333333331</v>
      </c>
      <c r="M4" s="5">
        <v>0.51388888888888895</v>
      </c>
      <c r="N4" s="3" t="s">
        <v>378</v>
      </c>
      <c r="O4" s="3" t="s">
        <v>376</v>
      </c>
      <c r="P4" s="3">
        <v>271</v>
      </c>
      <c r="Q4" s="3">
        <v>437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44801</v>
      </c>
      <c r="B5" s="3" t="s">
        <v>21</v>
      </c>
      <c r="C5" s="3" t="s">
        <v>111</v>
      </c>
      <c r="D5" s="3" t="s">
        <v>25</v>
      </c>
      <c r="E5" s="3" t="s">
        <v>372</v>
      </c>
      <c r="F5" s="3" t="s">
        <v>26</v>
      </c>
      <c r="G5" s="11">
        <v>70000</v>
      </c>
      <c r="H5" s="3" t="s">
        <v>112</v>
      </c>
      <c r="I5" s="3" t="s">
        <v>113</v>
      </c>
      <c r="J5" s="4">
        <v>0.86805555555555547</v>
      </c>
      <c r="K5" s="5">
        <v>0.85763888888888884</v>
      </c>
      <c r="L5" s="4">
        <v>0.64930555555555558</v>
      </c>
      <c r="M5" s="5">
        <v>0.65138888888888891</v>
      </c>
      <c r="N5" s="3" t="s">
        <v>379</v>
      </c>
      <c r="O5" s="3" t="s">
        <v>377</v>
      </c>
      <c r="P5" s="3">
        <v>121</v>
      </c>
      <c r="Q5" s="3">
        <v>707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44801</v>
      </c>
      <c r="B6" s="3" t="s">
        <v>21</v>
      </c>
      <c r="C6" s="3" t="s">
        <v>114</v>
      </c>
      <c r="D6" s="3" t="s">
        <v>25</v>
      </c>
      <c r="E6" s="3" t="s">
        <v>48</v>
      </c>
      <c r="F6" s="3" t="s">
        <v>26</v>
      </c>
      <c r="G6" s="11">
        <v>70000</v>
      </c>
      <c r="H6" s="3" t="s">
        <v>115</v>
      </c>
      <c r="I6" s="3" t="s">
        <v>116</v>
      </c>
      <c r="J6" s="4">
        <v>0.90277777777777779</v>
      </c>
      <c r="K6" s="5">
        <v>0.92708333333333337</v>
      </c>
      <c r="L6" s="4">
        <v>0.66666666666666663</v>
      </c>
      <c r="M6" s="5">
        <v>0.70624999999999993</v>
      </c>
      <c r="N6" s="3" t="s">
        <v>380</v>
      </c>
      <c r="O6" s="3" t="s">
        <v>94</v>
      </c>
      <c r="P6" s="3">
        <v>404</v>
      </c>
      <c r="Q6" s="3">
        <v>1518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workbookViewId="0">
      <selection activeCell="G8" sqref="G8"/>
    </sheetView>
  </sheetViews>
  <sheetFormatPr defaultRowHeight="15" x14ac:dyDescent="0.25"/>
  <cols>
    <col min="2" max="2" width="20.140625" bestFit="1" customWidth="1"/>
    <col min="3" max="3" width="14.28515625" customWidth="1"/>
    <col min="5" max="5" width="12.42578125" bestFit="1" customWidth="1"/>
    <col min="6" max="6" width="12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/>
      <c r="W1" s="6"/>
      <c r="X1" s="6"/>
      <c r="Y1" s="6"/>
    </row>
    <row r="2" spans="1:25" x14ac:dyDescent="0.25">
      <c r="A2" s="2">
        <v>44802</v>
      </c>
      <c r="B2" s="3" t="s">
        <v>21</v>
      </c>
      <c r="C2" s="3" t="s">
        <v>22</v>
      </c>
      <c r="D2" s="3" t="s">
        <v>25</v>
      </c>
      <c r="E2" s="15" t="s">
        <v>48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0.45208333333333334</v>
      </c>
      <c r="L2" s="4">
        <v>0.25694444444444448</v>
      </c>
      <c r="M2" s="5">
        <v>0.30069444444444443</v>
      </c>
      <c r="N2" s="3" t="s">
        <v>383</v>
      </c>
      <c r="O2" s="3" t="s">
        <v>382</v>
      </c>
      <c r="P2" s="3">
        <v>683</v>
      </c>
      <c r="Q2" s="3">
        <v>1002</v>
      </c>
      <c r="R2" s="3">
        <v>0</v>
      </c>
      <c r="S2" s="3">
        <v>0</v>
      </c>
      <c r="T2" s="3">
        <v>0</v>
      </c>
      <c r="U2" s="3">
        <v>0</v>
      </c>
      <c r="V2" s="6"/>
      <c r="W2" s="6"/>
      <c r="X2" s="6"/>
      <c r="Y2" s="6"/>
    </row>
    <row r="3" spans="1:25" x14ac:dyDescent="0.25">
      <c r="A3" s="2">
        <v>44802</v>
      </c>
      <c r="B3" s="3" t="s">
        <v>21</v>
      </c>
      <c r="C3" s="3" t="s">
        <v>23</v>
      </c>
      <c r="D3" s="3" t="s">
        <v>25</v>
      </c>
      <c r="E3" s="15" t="s">
        <v>372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0.52083333333333337</v>
      </c>
      <c r="L3" s="4">
        <v>0.28125</v>
      </c>
      <c r="M3" s="5">
        <v>0.3125</v>
      </c>
      <c r="N3" s="3" t="s">
        <v>384</v>
      </c>
      <c r="O3" s="3" t="s">
        <v>201</v>
      </c>
      <c r="P3" s="3">
        <v>231</v>
      </c>
      <c r="Q3" s="3">
        <v>909</v>
      </c>
      <c r="R3" s="3">
        <v>0</v>
      </c>
      <c r="S3" s="3">
        <v>0</v>
      </c>
      <c r="T3" s="3">
        <v>0</v>
      </c>
      <c r="U3" s="3">
        <v>0</v>
      </c>
      <c r="V3" s="6"/>
      <c r="W3" s="6"/>
      <c r="X3" s="6"/>
      <c r="Y3" s="6"/>
    </row>
    <row r="4" spans="1:25" x14ac:dyDescent="0.25">
      <c r="A4" s="2">
        <v>44802</v>
      </c>
      <c r="B4" s="3" t="s">
        <v>21</v>
      </c>
      <c r="C4" s="3" t="s">
        <v>24</v>
      </c>
      <c r="D4" s="3" t="s">
        <v>25</v>
      </c>
      <c r="E4" s="15" t="s">
        <v>48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0.61111111111111105</v>
      </c>
      <c r="K4" s="5">
        <v>0.63958333333333328</v>
      </c>
      <c r="L4" s="4">
        <v>0.46180555555555558</v>
      </c>
      <c r="M4" s="5">
        <v>0.50763888888888886</v>
      </c>
      <c r="N4" s="3" t="s">
        <v>367</v>
      </c>
      <c r="O4" s="3" t="s">
        <v>385</v>
      </c>
      <c r="P4" s="3">
        <v>459</v>
      </c>
      <c r="Q4" s="3">
        <v>1379</v>
      </c>
      <c r="R4" s="3">
        <v>0</v>
      </c>
      <c r="S4" s="3">
        <v>0</v>
      </c>
      <c r="T4" s="3">
        <v>0</v>
      </c>
      <c r="U4" s="3">
        <v>0</v>
      </c>
      <c r="V4" s="6"/>
      <c r="W4" s="6"/>
      <c r="X4" s="6"/>
      <c r="Y4" s="6"/>
    </row>
    <row r="5" spans="1:25" x14ac:dyDescent="0.25">
      <c r="A5" s="2">
        <v>44802</v>
      </c>
      <c r="B5" s="3" t="s">
        <v>21</v>
      </c>
      <c r="C5" s="6" t="s">
        <v>36</v>
      </c>
      <c r="D5" s="3" t="s">
        <v>25</v>
      </c>
      <c r="E5" s="15" t="s">
        <v>48</v>
      </c>
      <c r="F5" s="1" t="s">
        <v>26</v>
      </c>
      <c r="G5" s="3">
        <v>70000</v>
      </c>
      <c r="H5" s="6" t="s">
        <v>39</v>
      </c>
      <c r="I5" s="6" t="s">
        <v>42</v>
      </c>
      <c r="J5" s="7">
        <v>0.75694444444444453</v>
      </c>
      <c r="K5" s="8">
        <v>0.77708333333333324</v>
      </c>
      <c r="L5" s="7">
        <v>0.64236111111111105</v>
      </c>
      <c r="M5" s="8">
        <v>0.67152777777777783</v>
      </c>
      <c r="N5" s="3" t="s">
        <v>392</v>
      </c>
      <c r="O5" s="3" t="s">
        <v>245</v>
      </c>
      <c r="P5" s="6">
        <v>406</v>
      </c>
      <c r="Q5" s="6">
        <v>522</v>
      </c>
      <c r="R5" s="6">
        <v>0</v>
      </c>
      <c r="S5" s="6">
        <v>0</v>
      </c>
      <c r="T5" s="6">
        <v>0</v>
      </c>
      <c r="U5" s="6">
        <v>0</v>
      </c>
      <c r="V5" s="6"/>
      <c r="W5" s="6"/>
      <c r="X5" s="6"/>
      <c r="Y5" s="6"/>
    </row>
    <row r="6" spans="1:25" x14ac:dyDescent="0.25">
      <c r="A6" s="2">
        <v>44802</v>
      </c>
      <c r="B6" s="3" t="s">
        <v>21</v>
      </c>
      <c r="C6" s="6" t="s">
        <v>37</v>
      </c>
      <c r="D6" s="3" t="s">
        <v>25</v>
      </c>
      <c r="E6" s="15" t="s">
        <v>372</v>
      </c>
      <c r="F6" s="1" t="s">
        <v>26</v>
      </c>
      <c r="G6" s="3">
        <v>70000</v>
      </c>
      <c r="H6" s="6" t="s">
        <v>40</v>
      </c>
      <c r="I6" s="6" t="s">
        <v>43</v>
      </c>
      <c r="J6" s="7">
        <v>0.96180555555555547</v>
      </c>
      <c r="K6" s="8">
        <v>4.2361111111111106E-2</v>
      </c>
      <c r="L6" s="7">
        <v>0.77777777777777779</v>
      </c>
      <c r="M6" s="8">
        <v>0.86458333333333337</v>
      </c>
      <c r="N6" s="3" t="s">
        <v>393</v>
      </c>
      <c r="O6" s="3" t="s">
        <v>391</v>
      </c>
      <c r="P6" s="6">
        <v>580</v>
      </c>
      <c r="Q6" s="6">
        <v>1122</v>
      </c>
      <c r="R6" s="6">
        <v>0</v>
      </c>
      <c r="S6" s="6">
        <v>0</v>
      </c>
      <c r="T6" s="6">
        <v>0</v>
      </c>
      <c r="U6" s="6">
        <v>0</v>
      </c>
      <c r="V6" s="6"/>
      <c r="W6" s="6"/>
      <c r="X6" s="6"/>
      <c r="Y6" s="6"/>
    </row>
    <row r="7" spans="1:25" x14ac:dyDescent="0.25">
      <c r="A7" s="2">
        <v>44802</v>
      </c>
      <c r="B7" s="3" t="s">
        <v>21</v>
      </c>
      <c r="C7" s="6" t="s">
        <v>38</v>
      </c>
      <c r="D7" s="3" t="s">
        <v>25</v>
      </c>
      <c r="E7" s="15" t="s">
        <v>381</v>
      </c>
      <c r="F7" s="1" t="s">
        <v>26</v>
      </c>
      <c r="G7" s="3">
        <v>70000</v>
      </c>
      <c r="H7" s="6" t="s">
        <v>41</v>
      </c>
      <c r="I7" s="6" t="s">
        <v>44</v>
      </c>
      <c r="J7" s="7">
        <v>0.97569444444444453</v>
      </c>
      <c r="K7" s="8">
        <v>0.98263888888888884</v>
      </c>
      <c r="L7" s="7">
        <v>0.77777777777777779</v>
      </c>
      <c r="M7" s="8">
        <v>0.8125</v>
      </c>
      <c r="N7" s="3" t="s">
        <v>394</v>
      </c>
      <c r="O7" s="3" t="s">
        <v>212</v>
      </c>
      <c r="P7" s="6">
        <v>661</v>
      </c>
      <c r="Q7" s="6">
        <v>1018</v>
      </c>
      <c r="R7" s="6">
        <v>0</v>
      </c>
      <c r="S7" s="6">
        <v>0</v>
      </c>
      <c r="T7" s="6">
        <v>0</v>
      </c>
      <c r="U7" s="6">
        <v>0</v>
      </c>
      <c r="V7" s="6"/>
      <c r="W7" s="6"/>
      <c r="X7" s="6"/>
      <c r="Y7" s="6"/>
    </row>
    <row r="8" spans="1:25" x14ac:dyDescent="0.25">
      <c r="A8" s="2">
        <v>44802</v>
      </c>
      <c r="B8" s="3" t="s">
        <v>386</v>
      </c>
      <c r="C8" s="6" t="s">
        <v>387</v>
      </c>
      <c r="D8" s="3" t="s">
        <v>388</v>
      </c>
      <c r="E8" s="15" t="s">
        <v>389</v>
      </c>
      <c r="F8" s="1" t="s">
        <v>390</v>
      </c>
      <c r="G8" s="3">
        <v>9000</v>
      </c>
      <c r="H8" s="6" t="s">
        <v>127</v>
      </c>
      <c r="I8" s="6" t="s">
        <v>127</v>
      </c>
      <c r="J8" s="7">
        <v>0.4826388888888889</v>
      </c>
      <c r="K8" s="8">
        <v>0.47361111111111115</v>
      </c>
      <c r="L8" s="7" t="s">
        <v>199</v>
      </c>
      <c r="M8" s="8" t="s">
        <v>199</v>
      </c>
      <c r="N8" s="3">
        <v>8</v>
      </c>
      <c r="O8" s="3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/>
      <c r="W8" s="6"/>
      <c r="X8" s="6"/>
      <c r="Y8" s="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31" sqref="K31"/>
    </sheetView>
  </sheetViews>
  <sheetFormatPr defaultRowHeight="15" x14ac:dyDescent="0.25"/>
  <cols>
    <col min="2" max="2" width="19.7109375" customWidth="1"/>
    <col min="3" max="3" width="15" customWidth="1"/>
    <col min="4" max="4" width="8.28515625" customWidth="1"/>
    <col min="6" max="6" width="13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44803</v>
      </c>
      <c r="B2" s="3" t="s">
        <v>21</v>
      </c>
      <c r="C2" s="3" t="s">
        <v>66</v>
      </c>
      <c r="D2" s="3" t="s">
        <v>25</v>
      </c>
      <c r="E2" s="3" t="s">
        <v>372</v>
      </c>
      <c r="F2" s="1" t="s">
        <v>26</v>
      </c>
      <c r="G2" s="3">
        <v>70000</v>
      </c>
      <c r="H2" s="3" t="s">
        <v>67</v>
      </c>
      <c r="I2" s="3" t="s">
        <v>68</v>
      </c>
      <c r="J2" s="4">
        <v>0.47222222222222227</v>
      </c>
      <c r="K2" s="5">
        <v>0.46666666666666662</v>
      </c>
      <c r="L2" s="4">
        <v>0.28125</v>
      </c>
      <c r="M2" s="5">
        <v>0.28680555555555554</v>
      </c>
      <c r="N2" s="3" t="s">
        <v>398</v>
      </c>
      <c r="O2" s="3" t="s">
        <v>176</v>
      </c>
      <c r="P2" s="3">
        <v>431</v>
      </c>
      <c r="Q2" s="3">
        <v>1091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44803</v>
      </c>
      <c r="B3" s="3" t="s">
        <v>21</v>
      </c>
      <c r="C3" s="3" t="s">
        <v>69</v>
      </c>
      <c r="D3" s="3" t="s">
        <v>25</v>
      </c>
      <c r="E3" s="3" t="s">
        <v>372</v>
      </c>
      <c r="F3" s="1" t="s">
        <v>26</v>
      </c>
      <c r="G3" s="3">
        <v>70000</v>
      </c>
      <c r="H3" s="3" t="s">
        <v>70</v>
      </c>
      <c r="I3" s="3" t="s">
        <v>71</v>
      </c>
      <c r="J3" s="4">
        <v>0.82986111111111116</v>
      </c>
      <c r="K3" s="5">
        <v>6.9444444444444447E-4</v>
      </c>
      <c r="L3" s="4">
        <v>0.40972222222222227</v>
      </c>
      <c r="M3" s="5">
        <v>0.50208333333333333</v>
      </c>
      <c r="N3" s="3" t="s">
        <v>401</v>
      </c>
      <c r="O3" s="3" t="s">
        <v>201</v>
      </c>
      <c r="P3" s="3">
        <v>585</v>
      </c>
      <c r="Q3" s="3">
        <v>927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44803</v>
      </c>
      <c r="B4" s="3" t="s">
        <v>21</v>
      </c>
      <c r="C4" s="3" t="s">
        <v>72</v>
      </c>
      <c r="D4" s="3" t="s">
        <v>25</v>
      </c>
      <c r="E4" s="3" t="s">
        <v>395</v>
      </c>
      <c r="F4" s="1" t="s">
        <v>26</v>
      </c>
      <c r="G4" s="3">
        <v>70000</v>
      </c>
      <c r="H4" s="3" t="s">
        <v>73</v>
      </c>
      <c r="I4" s="3" t="s">
        <v>74</v>
      </c>
      <c r="J4" s="4">
        <v>0.91319444444444453</v>
      </c>
      <c r="K4" s="5">
        <v>0.95624999999999993</v>
      </c>
      <c r="L4" s="4">
        <v>0.50347222222222221</v>
      </c>
      <c r="M4" s="5">
        <v>0.57847222222222217</v>
      </c>
      <c r="N4" s="3" t="s">
        <v>402</v>
      </c>
      <c r="O4" s="3" t="s">
        <v>399</v>
      </c>
      <c r="P4" s="3">
        <v>440</v>
      </c>
      <c r="Q4" s="3">
        <v>855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44803</v>
      </c>
      <c r="B5" s="3" t="s">
        <v>75</v>
      </c>
      <c r="C5" s="3" t="s">
        <v>76</v>
      </c>
      <c r="D5" s="3" t="s">
        <v>25</v>
      </c>
      <c r="E5" s="3" t="s">
        <v>135</v>
      </c>
      <c r="F5" s="1" t="s">
        <v>77</v>
      </c>
      <c r="G5" s="11">
        <v>77000</v>
      </c>
      <c r="H5" s="3" t="s">
        <v>78</v>
      </c>
      <c r="I5" s="3" t="s">
        <v>79</v>
      </c>
      <c r="J5" s="4">
        <v>0.3298611111111111</v>
      </c>
      <c r="K5" s="5">
        <v>0.3298611111111111</v>
      </c>
      <c r="L5" s="4">
        <v>0.37152777777777773</v>
      </c>
      <c r="M5" s="5">
        <v>0.37986111111111115</v>
      </c>
      <c r="N5" s="3" t="s">
        <v>396</v>
      </c>
      <c r="O5" s="3" t="s">
        <v>397</v>
      </c>
      <c r="P5" s="3">
        <v>2330</v>
      </c>
      <c r="Q5" s="3">
        <v>2145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44803</v>
      </c>
      <c r="B6" s="3" t="s">
        <v>386</v>
      </c>
      <c r="C6" s="3" t="s">
        <v>400</v>
      </c>
      <c r="D6" s="3" t="s">
        <v>388</v>
      </c>
      <c r="E6" s="15" t="s">
        <v>389</v>
      </c>
      <c r="F6" s="1" t="s">
        <v>390</v>
      </c>
      <c r="G6" s="3">
        <v>9000</v>
      </c>
      <c r="H6" s="3" t="s">
        <v>127</v>
      </c>
      <c r="I6" s="3" t="s">
        <v>127</v>
      </c>
      <c r="J6" s="4" t="s">
        <v>199</v>
      </c>
      <c r="K6" s="5" t="s">
        <v>199</v>
      </c>
      <c r="L6" s="4">
        <v>0.60416666666666663</v>
      </c>
      <c r="M6" s="5">
        <v>0.57847222222222217</v>
      </c>
      <c r="N6" s="3">
        <v>0</v>
      </c>
      <c r="O6" s="3">
        <v>8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workbookViewId="0">
      <selection activeCell="K7" sqref="K7"/>
    </sheetView>
  </sheetViews>
  <sheetFormatPr defaultRowHeight="15" x14ac:dyDescent="0.25"/>
  <cols>
    <col min="3" max="3" width="15.5703125" customWidth="1"/>
    <col min="6" max="6" width="12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44804</v>
      </c>
      <c r="B2" s="3" t="s">
        <v>21</v>
      </c>
      <c r="C2" s="3" t="s">
        <v>22</v>
      </c>
      <c r="D2" s="3" t="s">
        <v>25</v>
      </c>
      <c r="E2" s="6" t="s">
        <v>372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0.43055555555555558</v>
      </c>
      <c r="K2" s="5">
        <v>0.43611111111111112</v>
      </c>
      <c r="L2" s="4">
        <v>0.25694444444444448</v>
      </c>
      <c r="M2" s="5">
        <v>0.26458333333333334</v>
      </c>
      <c r="N2" s="3" t="s">
        <v>404</v>
      </c>
      <c r="O2" s="3" t="s">
        <v>86</v>
      </c>
      <c r="P2" s="3">
        <v>466</v>
      </c>
      <c r="Q2" s="3">
        <v>808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44804</v>
      </c>
      <c r="B3" s="3" t="s">
        <v>21</v>
      </c>
      <c r="C3" s="3" t="s">
        <v>24</v>
      </c>
      <c r="D3" s="3" t="s">
        <v>25</v>
      </c>
      <c r="E3" s="6" t="s">
        <v>372</v>
      </c>
      <c r="F3" s="1" t="s">
        <v>26</v>
      </c>
      <c r="G3" s="3">
        <v>70000</v>
      </c>
      <c r="H3" s="3" t="s">
        <v>31</v>
      </c>
      <c r="I3" s="3" t="s">
        <v>32</v>
      </c>
      <c r="J3" s="4">
        <v>0.60069444444444442</v>
      </c>
      <c r="K3" s="5">
        <v>0.60625000000000007</v>
      </c>
      <c r="L3" s="4">
        <v>0.4513888888888889</v>
      </c>
      <c r="M3" s="5">
        <v>0.4694444444444445</v>
      </c>
      <c r="N3" s="3" t="s">
        <v>407</v>
      </c>
      <c r="O3" s="3" t="s">
        <v>405</v>
      </c>
      <c r="P3" s="3">
        <v>499</v>
      </c>
      <c r="Q3" s="3">
        <v>929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44804</v>
      </c>
      <c r="B4" s="3" t="s">
        <v>21</v>
      </c>
      <c r="C4" s="3" t="s">
        <v>89</v>
      </c>
      <c r="D4" s="3" t="s">
        <v>25</v>
      </c>
      <c r="E4" s="6" t="s">
        <v>395</v>
      </c>
      <c r="F4" s="1" t="s">
        <v>26</v>
      </c>
      <c r="G4" s="3">
        <v>70000</v>
      </c>
      <c r="H4" s="3" t="s">
        <v>91</v>
      </c>
      <c r="I4" s="3" t="s">
        <v>92</v>
      </c>
      <c r="J4" s="4">
        <v>0.69791666666666663</v>
      </c>
      <c r="K4" s="5">
        <v>0.67847222222222225</v>
      </c>
      <c r="L4" s="4">
        <v>0.54166666666666663</v>
      </c>
      <c r="M4" s="5">
        <v>0.54583333333333328</v>
      </c>
      <c r="N4" s="3" t="s">
        <v>408</v>
      </c>
      <c r="O4" s="3" t="s">
        <v>406</v>
      </c>
      <c r="P4" s="3">
        <v>279</v>
      </c>
      <c r="Q4" s="3">
        <v>846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44804</v>
      </c>
      <c r="B5" s="3" t="s">
        <v>21</v>
      </c>
      <c r="C5" s="3" t="s">
        <v>36</v>
      </c>
      <c r="D5" s="3" t="s">
        <v>25</v>
      </c>
      <c r="E5" s="6" t="s">
        <v>372</v>
      </c>
      <c r="F5" s="1" t="s">
        <v>26</v>
      </c>
      <c r="G5" s="3">
        <v>70000</v>
      </c>
      <c r="H5" s="3" t="s">
        <v>39</v>
      </c>
      <c r="I5" s="3" t="s">
        <v>42</v>
      </c>
      <c r="J5" s="4">
        <v>0.74652777777777779</v>
      </c>
      <c r="K5" s="5">
        <v>0.75069444444444444</v>
      </c>
      <c r="L5" s="4">
        <v>0.63194444444444442</v>
      </c>
      <c r="M5" s="5">
        <v>0.64722222222222225</v>
      </c>
      <c r="N5" s="3" t="s">
        <v>411</v>
      </c>
      <c r="O5" s="3" t="s">
        <v>409</v>
      </c>
      <c r="P5" s="3">
        <v>325</v>
      </c>
      <c r="Q5" s="3">
        <v>663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44804</v>
      </c>
      <c r="B6" s="3" t="s">
        <v>21</v>
      </c>
      <c r="C6" s="3" t="s">
        <v>37</v>
      </c>
      <c r="D6" s="3" t="s">
        <v>25</v>
      </c>
      <c r="E6" s="6" t="s">
        <v>403</v>
      </c>
      <c r="F6" s="1" t="s">
        <v>26</v>
      </c>
      <c r="G6" s="3">
        <v>70000</v>
      </c>
      <c r="H6" s="3" t="s">
        <v>40</v>
      </c>
      <c r="I6" s="3" t="s">
        <v>43</v>
      </c>
      <c r="J6" s="4">
        <v>0.90277777777777779</v>
      </c>
      <c r="K6" s="5">
        <v>0.89166666666666661</v>
      </c>
      <c r="L6" s="4">
        <v>0.71875</v>
      </c>
      <c r="M6" s="5">
        <v>0.7270833333333333</v>
      </c>
      <c r="N6" s="3" t="s">
        <v>412</v>
      </c>
      <c r="O6" s="3" t="s">
        <v>410</v>
      </c>
      <c r="P6" s="3">
        <v>565</v>
      </c>
      <c r="Q6" s="3">
        <v>1128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44804</v>
      </c>
      <c r="B7" s="3" t="s">
        <v>21</v>
      </c>
      <c r="C7" s="3" t="s">
        <v>38</v>
      </c>
      <c r="D7" s="3" t="s">
        <v>25</v>
      </c>
      <c r="E7" s="6" t="s">
        <v>372</v>
      </c>
      <c r="F7" s="1" t="s">
        <v>26</v>
      </c>
      <c r="G7" s="3">
        <v>70000</v>
      </c>
      <c r="H7" s="3" t="s">
        <v>41</v>
      </c>
      <c r="I7" s="3" t="s">
        <v>44</v>
      </c>
      <c r="J7" s="4">
        <v>0.9375</v>
      </c>
      <c r="K7" s="5">
        <v>0.94166666666666676</v>
      </c>
      <c r="L7" s="4">
        <v>0.76736111111111116</v>
      </c>
      <c r="M7" s="5">
        <v>0.78749999999999998</v>
      </c>
      <c r="N7" s="3" t="s">
        <v>411</v>
      </c>
      <c r="O7" s="3" t="s">
        <v>62</v>
      </c>
      <c r="P7" s="3">
        <v>606</v>
      </c>
      <c r="Q7" s="3">
        <v>821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2022-08-31T20:36:33Z</dcterms:modified>
</cp:coreProperties>
</file>