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 firstSheet="10" activeTab="28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7" r:id="rId25"/>
    <sheet name="26" sheetId="28" r:id="rId26"/>
    <sheet name="27" sheetId="29" r:id="rId27"/>
    <sheet name="28" sheetId="30" r:id="rId28"/>
    <sheet name="29" sheetId="31" r:id="rId29"/>
  </sheets>
  <calcPr calcId="145621"/>
</workbook>
</file>

<file path=xl/calcChain.xml><?xml version="1.0" encoding="utf-8"?>
<calcChain xmlns="http://schemas.openxmlformats.org/spreadsheetml/2006/main">
  <c r="E5" i="31" l="1"/>
  <c r="E4" i="31"/>
  <c r="A7" i="31" l="1"/>
  <c r="A6" i="31"/>
  <c r="A3" i="31"/>
  <c r="A4" i="31" s="1"/>
  <c r="A5" i="31" s="1"/>
  <c r="E7" i="30" l="1"/>
  <c r="E6" i="30"/>
  <c r="E5" i="30"/>
  <c r="A4" i="30"/>
  <c r="A5" i="30" s="1"/>
  <c r="A6" i="30" s="1"/>
  <c r="A7" i="30" s="1"/>
  <c r="A3" i="30"/>
  <c r="A3" i="29" l="1"/>
  <c r="A3" i="28" l="1"/>
  <c r="A4" i="28" s="1"/>
  <c r="A3" i="27" l="1"/>
  <c r="A4" i="27" s="1"/>
  <c r="A5" i="27" s="1"/>
  <c r="G5" i="25" l="1"/>
  <c r="E5" i="25"/>
  <c r="E6" i="25"/>
  <c r="A3" i="25"/>
  <c r="A4" i="25" s="1"/>
  <c r="A5" i="25" s="1"/>
  <c r="A6" i="25" s="1"/>
  <c r="G2" i="25"/>
  <c r="G4" i="24" l="1"/>
  <c r="A3" i="24"/>
  <c r="A4" i="24" s="1"/>
  <c r="A6" i="24" s="1"/>
  <c r="A7" i="24" s="1"/>
  <c r="A8" i="24" s="1"/>
  <c r="A5" i="24" l="1"/>
  <c r="A6" i="23"/>
  <c r="E5" i="23" l="1"/>
  <c r="E4" i="23"/>
  <c r="A3" i="23"/>
  <c r="A4" i="23" s="1"/>
  <c r="A5" i="23" s="1"/>
  <c r="E3" i="21" l="1"/>
  <c r="A3" i="21"/>
  <c r="E4" i="20" l="1"/>
  <c r="A3" i="20"/>
  <c r="A4" i="20" s="1"/>
  <c r="A3" i="19" l="1"/>
  <c r="A4" i="19" s="1"/>
  <c r="A5" i="19" s="1"/>
  <c r="E6" i="18" l="1"/>
  <c r="E5" i="18"/>
  <c r="E4" i="18"/>
  <c r="G5" i="18"/>
  <c r="A3" i="18"/>
  <c r="A4" i="18" s="1"/>
  <c r="A5" i="18" s="1"/>
  <c r="A6" i="18" s="1"/>
  <c r="G2" i="18"/>
  <c r="G4" i="17" l="1"/>
  <c r="E4" i="17"/>
  <c r="A3" i="17"/>
  <c r="A4" i="17" s="1"/>
  <c r="E5" i="16" l="1"/>
  <c r="E4" i="16"/>
  <c r="A3" i="16"/>
  <c r="A4" i="16" s="1"/>
  <c r="A5" i="16" s="1"/>
  <c r="E6" i="15" l="1"/>
  <c r="A3" i="15"/>
  <c r="A4" i="15" s="1"/>
  <c r="A5" i="15" s="1"/>
  <c r="A6" i="15" s="1"/>
  <c r="A7" i="15" s="1"/>
  <c r="E3" i="14" l="1"/>
  <c r="A3" i="14"/>
  <c r="K4" i="13" l="1"/>
  <c r="E4" i="13" l="1"/>
  <c r="A3" i="13"/>
  <c r="A4" i="13" s="1"/>
  <c r="A3" i="12" l="1"/>
  <c r="A4" i="12" s="1"/>
  <c r="A5" i="12" s="1"/>
  <c r="G5" i="11" l="1"/>
  <c r="A3" i="11"/>
  <c r="A4" i="11" s="1"/>
  <c r="A5" i="11" s="1"/>
  <c r="A6" i="11" s="1"/>
  <c r="G2" i="11"/>
  <c r="G4" i="10" l="1"/>
  <c r="E4" i="10"/>
  <c r="A3" i="10"/>
  <c r="A4" i="10" s="1"/>
  <c r="E5" i="9" l="1"/>
  <c r="E4" i="9"/>
  <c r="A3" i="9"/>
  <c r="A4" i="9" s="1"/>
  <c r="A5" i="9" s="1"/>
  <c r="A8" i="8" l="1"/>
  <c r="A7" i="8" l="1"/>
  <c r="E6" i="8" l="1"/>
  <c r="A3" i="8"/>
  <c r="A4" i="8" s="1"/>
  <c r="A5" i="8" s="1"/>
  <c r="A6" i="8" s="1"/>
  <c r="A3" i="7" l="1"/>
  <c r="A3" i="6" l="1"/>
  <c r="A4" i="6" s="1"/>
  <c r="A6" i="4" l="1"/>
  <c r="A3" i="4" l="1"/>
  <c r="A4" i="4" s="1"/>
  <c r="A5" i="4" s="1"/>
  <c r="A4" i="3" l="1"/>
  <c r="A5" i="3" s="1"/>
  <c r="A6" i="3" s="1"/>
  <c r="A3" i="3"/>
  <c r="G5" i="3"/>
  <c r="G2" i="3"/>
  <c r="A5" i="2" l="1"/>
  <c r="G4" i="2" l="1"/>
  <c r="E4" i="2"/>
  <c r="A3" i="2"/>
  <c r="A4" i="2" s="1"/>
  <c r="E5" i="1" l="1"/>
  <c r="E4" i="1"/>
  <c r="A3" i="1"/>
  <c r="A4" i="1" s="1"/>
  <c r="A5" i="1" s="1"/>
</calcChain>
</file>

<file path=xl/sharedStrings.xml><?xml version="1.0" encoding="utf-8"?>
<sst xmlns="http://schemas.openxmlformats.org/spreadsheetml/2006/main" count="1701" uniqueCount="317">
  <si>
    <t>WIZZAIR</t>
  </si>
  <si>
    <t>TZL-HHN-TZL</t>
  </si>
  <si>
    <t>A320</t>
  </si>
  <si>
    <t>SCHEDULED</t>
  </si>
  <si>
    <t>W64284</t>
  </si>
  <si>
    <t>W64283</t>
  </si>
  <si>
    <t>TZL-EIN-TZL</t>
  </si>
  <si>
    <t>HALWG</t>
  </si>
  <si>
    <t>W64290</t>
  </si>
  <si>
    <t>W64289</t>
  </si>
  <si>
    <t>TZL-FMM-TZL</t>
  </si>
  <si>
    <t>W64280</t>
  </si>
  <si>
    <t>W64279</t>
  </si>
  <si>
    <t>TZL-SXF-TZL</t>
  </si>
  <si>
    <t>W64276</t>
  </si>
  <si>
    <t>W64275</t>
  </si>
  <si>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</si>
  <si>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</si>
  <si>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</si>
  <si>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</si>
  <si>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</si>
  <si>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</si>
  <si>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</si>
  <si>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</si>
  <si>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</si>
  <si>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</si>
  <si>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</si>
  <si>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</si>
  <si>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</si>
  <si>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</si>
  <si>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</si>
  <si>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</si>
  <si>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</si>
  <si>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</si>
  <si>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</si>
  <si>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</si>
  <si>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</si>
  <si>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HALPR</t>
  </si>
  <si>
    <t>166+6 INF</t>
  </si>
  <si>
    <t>156+2 INF</t>
  </si>
  <si>
    <t>174+2 INF</t>
  </si>
  <si>
    <t>174+4 INF</t>
  </si>
  <si>
    <t>167+2 INF</t>
  </si>
  <si>
    <t>159+0 INF</t>
  </si>
  <si>
    <t>152+6 INF</t>
  </si>
  <si>
    <t>TZL-MLH-TZL</t>
  </si>
  <si>
    <t>W64294</t>
  </si>
  <si>
    <t>W64293</t>
  </si>
  <si>
    <t>TZL-GOT-TZL</t>
  </si>
  <si>
    <t>HA-LWG</t>
  </si>
  <si>
    <t>W64296</t>
  </si>
  <si>
    <t>W64295</t>
  </si>
  <si>
    <t>TZL-CGN-TZL</t>
  </si>
  <si>
    <t>W64300</t>
  </si>
  <si>
    <t>W64299</t>
  </si>
  <si>
    <t>HA-LPR</t>
  </si>
  <si>
    <t>MIRKO ANZEL</t>
  </si>
  <si>
    <t>BEG-TZL-BEG</t>
  </si>
  <si>
    <t>BE-36</t>
  </si>
  <si>
    <t>T7BEN</t>
  </si>
  <si>
    <t>GP/PRIVATE</t>
  </si>
  <si>
    <t>163+4INF</t>
  </si>
  <si>
    <t>175+6INF</t>
  </si>
  <si>
    <t>CREW ONY</t>
  </si>
  <si>
    <t>146+INF</t>
  </si>
  <si>
    <t>172+2INF</t>
  </si>
  <si>
    <t>178+2INF</t>
  </si>
  <si>
    <t>171+2INF</t>
  </si>
  <si>
    <t>TZL-DTM-TZL</t>
  </si>
  <si>
    <t>W64298</t>
  </si>
  <si>
    <t>W64297</t>
  </si>
  <si>
    <t>TZL-MMX-TZL</t>
  </si>
  <si>
    <t>W64292</t>
  </si>
  <si>
    <t>W64291</t>
  </si>
  <si>
    <t>TZL-FDH-TZL</t>
  </si>
  <si>
    <t>W64616</t>
  </si>
  <si>
    <t>W64615</t>
  </si>
  <si>
    <t>TZL-BLL-TZL</t>
  </si>
  <si>
    <t>W64278</t>
  </si>
  <si>
    <t>W64277</t>
  </si>
  <si>
    <t>TZL-FKB-TZL</t>
  </si>
  <si>
    <t>W64618</t>
  </si>
  <si>
    <t>W64617</t>
  </si>
  <si>
    <t>153+2INF</t>
  </si>
  <si>
    <t>145+2INF</t>
  </si>
  <si>
    <t>156+3INF</t>
  </si>
  <si>
    <t>159+2INF</t>
  </si>
  <si>
    <t>139+2INF</t>
  </si>
  <si>
    <t>146+3 INF</t>
  </si>
  <si>
    <t>137+1 INF</t>
  </si>
  <si>
    <t>114+4 INF</t>
  </si>
  <si>
    <t>86+3 INF</t>
  </si>
  <si>
    <t>127+1 INF</t>
  </si>
  <si>
    <t>HALPR/HALPN</t>
  </si>
  <si>
    <t>HALPN</t>
  </si>
  <si>
    <t>162+5INF</t>
  </si>
  <si>
    <t>157+3INF</t>
  </si>
  <si>
    <t>172+3INF</t>
  </si>
  <si>
    <t>178+5INF</t>
  </si>
  <si>
    <t>DIV TO BEG</t>
  </si>
  <si>
    <t>BEG-TZL</t>
  </si>
  <si>
    <t>FERRY IN</t>
  </si>
  <si>
    <t>-</t>
  </si>
  <si>
    <t>W64280A</t>
  </si>
  <si>
    <t>139+1INF</t>
  </si>
  <si>
    <t>150+3INF</t>
  </si>
  <si>
    <t>179+3INF</t>
  </si>
  <si>
    <t>164+0INF</t>
  </si>
  <si>
    <t>175+2INF</t>
  </si>
  <si>
    <t>156+1INF</t>
  </si>
  <si>
    <t>139+3INF</t>
  </si>
  <si>
    <t>153+0INF</t>
  </si>
  <si>
    <t>A321</t>
  </si>
  <si>
    <t>FERRY OUT</t>
  </si>
  <si>
    <t>CREW</t>
  </si>
  <si>
    <t>BUD-TZL-BUD</t>
  </si>
  <si>
    <t>HALYF</t>
  </si>
  <si>
    <t>W62237</t>
  </si>
  <si>
    <t>W62238</t>
  </si>
  <si>
    <t>130+0INF</t>
  </si>
  <si>
    <t>162+2INF</t>
  </si>
  <si>
    <t>178+2 INF</t>
  </si>
  <si>
    <t>161+3 INF</t>
  </si>
  <si>
    <t>142+1 INF</t>
  </si>
  <si>
    <t>HALWG/HALWJ</t>
  </si>
  <si>
    <t>HALWJ</t>
  </si>
  <si>
    <t>144+2INF</t>
  </si>
  <si>
    <t>KTW-TZL</t>
  </si>
  <si>
    <t>HALPK</t>
  </si>
  <si>
    <t>W6801</t>
  </si>
  <si>
    <t>174+2INF</t>
  </si>
  <si>
    <t>171+3INF</t>
  </si>
  <si>
    <t>TZL-KTW</t>
  </si>
  <si>
    <t>W6802</t>
  </si>
  <si>
    <t>174+0INF</t>
  </si>
  <si>
    <t>165+3INF</t>
  </si>
  <si>
    <t>149+1INF</t>
  </si>
  <si>
    <t>115+1INF</t>
  </si>
  <si>
    <t>146+2INF</t>
  </si>
  <si>
    <t>152+5 INF</t>
  </si>
  <si>
    <t>172+1 INF</t>
  </si>
  <si>
    <t>150+6 INF</t>
  </si>
  <si>
    <t>165+0INF</t>
  </si>
  <si>
    <t>162+3INF</t>
  </si>
  <si>
    <t>163+1INF</t>
  </si>
  <si>
    <t>175+0INF</t>
  </si>
  <si>
    <t>HA-LWJ</t>
  </si>
  <si>
    <t>HA-LPK</t>
  </si>
  <si>
    <t>140+1INF</t>
  </si>
  <si>
    <t>167+1INF</t>
  </si>
  <si>
    <t>166+0INF</t>
  </si>
  <si>
    <t>176+5INF</t>
  </si>
  <si>
    <t>167+0INF</t>
  </si>
  <si>
    <t>144+1 INF</t>
  </si>
  <si>
    <t>153+3 INF</t>
  </si>
  <si>
    <t>157+1 INF</t>
  </si>
  <si>
    <t>155+1 INF</t>
  </si>
  <si>
    <t>155+3 INF</t>
  </si>
  <si>
    <t>137+3INF</t>
  </si>
  <si>
    <t>159+1INF</t>
  </si>
  <si>
    <t>127+1INF</t>
  </si>
  <si>
    <t>118+1INF</t>
  </si>
  <si>
    <t>148+2INF</t>
  </si>
  <si>
    <t>155+2INF</t>
  </si>
  <si>
    <t>166+1INF</t>
  </si>
  <si>
    <t>148+6INF</t>
  </si>
  <si>
    <t>16;43</t>
  </si>
  <si>
    <t>158+1INF</t>
  </si>
  <si>
    <t>162+0INF</t>
  </si>
  <si>
    <t>169+1INF</t>
  </si>
  <si>
    <t>138+2INF</t>
  </si>
  <si>
    <t>143+1INF</t>
  </si>
  <si>
    <t>167+5 INF</t>
  </si>
  <si>
    <t>170+2 INF</t>
  </si>
  <si>
    <t>172+3 INF</t>
  </si>
  <si>
    <t>175+2 INF</t>
  </si>
  <si>
    <t>170+0 INF</t>
  </si>
  <si>
    <t>170+1 INF</t>
  </si>
  <si>
    <t>161+4INF</t>
  </si>
  <si>
    <t>HALWG/HALWU</t>
  </si>
  <si>
    <t>HALWU</t>
  </si>
  <si>
    <t>179+2 INF</t>
  </si>
  <si>
    <t>179+1 INF</t>
  </si>
  <si>
    <t>174+1 INF</t>
  </si>
  <si>
    <t>168+2 INF</t>
  </si>
  <si>
    <t>142+2 INF</t>
  </si>
  <si>
    <t>147+1 INF</t>
  </si>
  <si>
    <t>162+1INF</t>
  </si>
  <si>
    <t>167+3INF</t>
  </si>
  <si>
    <t>149+0INF</t>
  </si>
  <si>
    <t>172+4INF</t>
  </si>
  <si>
    <t>156+2INF</t>
  </si>
  <si>
    <t>178+3 INF</t>
  </si>
  <si>
    <t>169+5 INF</t>
  </si>
  <si>
    <t>168+1 INF</t>
  </si>
  <si>
    <t>170+4 INF</t>
  </si>
  <si>
    <t>160+2 INF</t>
  </si>
  <si>
    <t>175+5 INF</t>
  </si>
  <si>
    <t>156+1 INF</t>
  </si>
  <si>
    <t>168+2INF</t>
  </si>
  <si>
    <t>177+4INF</t>
  </si>
  <si>
    <t>180+1INF</t>
  </si>
  <si>
    <t>164+3INF</t>
  </si>
  <si>
    <t>177+1INF</t>
  </si>
  <si>
    <t>176+2 INF</t>
  </si>
  <si>
    <t>152+4 INF</t>
  </si>
  <si>
    <t>173+1 INF</t>
  </si>
  <si>
    <t>178+0 INF</t>
  </si>
  <si>
    <t>169+4 INF</t>
  </si>
  <si>
    <t>149+2INF</t>
  </si>
  <si>
    <t>160+2INF</t>
  </si>
  <si>
    <t>158+2INF</t>
  </si>
  <si>
    <t>135+2INF</t>
  </si>
  <si>
    <t>155+5INF</t>
  </si>
  <si>
    <t>165+1INF</t>
  </si>
  <si>
    <t>176+3INF</t>
  </si>
  <si>
    <t>168+6INF</t>
  </si>
  <si>
    <t>135+1INF</t>
  </si>
  <si>
    <t>HALPK/HALPN</t>
  </si>
  <si>
    <t>174+3INF</t>
  </si>
  <si>
    <t>154+2INF</t>
  </si>
  <si>
    <t>153+3INF</t>
  </si>
  <si>
    <t>172+0INF</t>
  </si>
  <si>
    <t>AERO-DIENST</t>
  </si>
  <si>
    <t>HRG-TZL-CGN</t>
  </si>
  <si>
    <t>D328JET</t>
  </si>
  <si>
    <t>DBADC</t>
  </si>
  <si>
    <t>MEDEVAC</t>
  </si>
  <si>
    <t>ADN23C</t>
  </si>
  <si>
    <t>2 U TRANZITU</t>
  </si>
  <si>
    <t>1+0INF</t>
  </si>
  <si>
    <t>169+4INF</t>
  </si>
  <si>
    <t>173+3 INF</t>
  </si>
  <si>
    <t>176+1 INF</t>
  </si>
  <si>
    <t>169+3 INF</t>
  </si>
  <si>
    <t>164+0 INF</t>
  </si>
  <si>
    <t>151+2INF</t>
  </si>
  <si>
    <t>164+2INF</t>
  </si>
  <si>
    <t>164+6INF</t>
  </si>
  <si>
    <t>177+7INF</t>
  </si>
  <si>
    <t>163+3INF</t>
  </si>
  <si>
    <t>159+3INF</t>
  </si>
  <si>
    <t>BATAGON AIR SERVICES</t>
  </si>
  <si>
    <t>BEG-TZL-BNX</t>
  </si>
  <si>
    <t>A119</t>
  </si>
  <si>
    <t>S5HDM</t>
  </si>
  <si>
    <t>HELICOPTER</t>
  </si>
  <si>
    <t>T7-BEN</t>
  </si>
  <si>
    <t>GEN. PVT</t>
  </si>
  <si>
    <t>CREW ONLY</t>
  </si>
  <si>
    <t>151+2 INF</t>
  </si>
  <si>
    <t>162+6 INF</t>
  </si>
  <si>
    <t>157+3 INF</t>
  </si>
  <si>
    <t>175+1 INF</t>
  </si>
  <si>
    <t>178+1 INF</t>
  </si>
  <si>
    <t>171+4 INF</t>
  </si>
  <si>
    <t>168+0 INF</t>
  </si>
  <si>
    <t>167+0 INF</t>
  </si>
  <si>
    <t>SLOVENIJA ARMED FORCES</t>
  </si>
  <si>
    <t>HELIMASTER</t>
  </si>
  <si>
    <t>MLADENKO NISANDZIC</t>
  </si>
  <si>
    <t xml:space="preserve">LJU - TZL - KASARNA TUZLA </t>
  </si>
  <si>
    <t xml:space="preserve">KASARNA TUZLA - TZL - LJU </t>
  </si>
  <si>
    <t>CILJUGE - TZL -MBX</t>
  </si>
  <si>
    <t>TREBINJE - TZL - BEG</t>
  </si>
  <si>
    <t>AS532</t>
  </si>
  <si>
    <t>R44</t>
  </si>
  <si>
    <t>CESSNA 177</t>
  </si>
  <si>
    <t>H3-74</t>
  </si>
  <si>
    <t>LSV374</t>
  </si>
  <si>
    <t>YU-TUB</t>
  </si>
  <si>
    <t>E7 - VIP</t>
  </si>
  <si>
    <t>E7-VIP</t>
  </si>
  <si>
    <t>NON - SCHEDULED</t>
  </si>
  <si>
    <t>HALWS</t>
  </si>
  <si>
    <t>159+3 INF</t>
  </si>
  <si>
    <t>171+2 INF</t>
  </si>
  <si>
    <t>178+4 INF</t>
  </si>
  <si>
    <t>135+0 INF</t>
  </si>
  <si>
    <t>83+1 INF</t>
  </si>
  <si>
    <t>160+4 INF</t>
  </si>
  <si>
    <t>176+3 INF</t>
  </si>
  <si>
    <t>176+4 INF</t>
  </si>
  <si>
    <t>173+2 INF</t>
  </si>
  <si>
    <t>152+4INF</t>
  </si>
  <si>
    <t>153+1INF</t>
  </si>
  <si>
    <t>HALWU/HALYH</t>
  </si>
  <si>
    <t>HALYH</t>
  </si>
  <si>
    <t>176+6 INF</t>
  </si>
  <si>
    <t>165+1 INF</t>
  </si>
  <si>
    <t>177+1 INF</t>
  </si>
  <si>
    <t>169+2 INF</t>
  </si>
  <si>
    <t>163+2 INF</t>
  </si>
  <si>
    <t>159+2 INF</t>
  </si>
  <si>
    <t>165+4 INF</t>
  </si>
  <si>
    <t>166+2 INF</t>
  </si>
  <si>
    <t>150+2 INF</t>
  </si>
  <si>
    <t>HALWS/HALWA</t>
  </si>
  <si>
    <t>HALWA</t>
  </si>
  <si>
    <t>171+0INF</t>
  </si>
  <si>
    <t>180+6 INF</t>
  </si>
  <si>
    <t>172+4 INF</t>
  </si>
  <si>
    <t>168+3 INF</t>
  </si>
  <si>
    <t>157+0INF</t>
  </si>
  <si>
    <t>132+3INF</t>
  </si>
  <si>
    <t>121+0INF</t>
  </si>
  <si>
    <t>166+4INF</t>
  </si>
  <si>
    <t>145+2 INF</t>
  </si>
  <si>
    <t>162+3 INF</t>
  </si>
  <si>
    <t>167+4 INF</t>
  </si>
  <si>
    <t>DARKO MADZARAC</t>
  </si>
  <si>
    <t>MARIJAN VEDLIN</t>
  </si>
  <si>
    <t>MBX-TZL-MBX</t>
  </si>
  <si>
    <t>CILJUGE-TZL-MBX</t>
  </si>
  <si>
    <t>C-172</t>
  </si>
  <si>
    <t>C-177</t>
  </si>
  <si>
    <t>S5-DLM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</si>
</sst>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4" fillId="0" borderId="0" xfId="0" applyFont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0" xfId="0" applyNumberFormat="1" applyFont="1" applyFill="1" applyAlignment="1">
      <alignment horizontal="center"/>
    </xf>
    <xf numFmtId="20" fontId="4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4"/>
    <xf numFmtId="0" fontId="4" fillId="0" borderId="0" xfId="4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4" fillId="3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0" fontId="6" fillId="0" borderId="0" xfId="0" applyNumberFormat="1" applyFont="1" applyBorder="1"/>
    <xf numFmtId="0" fontId="0" fillId="0" borderId="0" xfId="0" applyFont="1"/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N25" sqref="N25"/>
    </sheetView>
  </sheetViews>
  <sheetFormatPr defaultRowHeight="15" x14ac:dyDescent="0.25"/>
  <cols>
    <col min="3" max="3" width="13.425781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3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s="4" customFormat="1" ht="12.75" x14ac:dyDescent="0.2">
      <c r="A2" s="5">
        <v>43862</v>
      </c>
      <c r="B2" s="6" t="s">
        <v>0</v>
      </c>
      <c r="C2" s="6" t="s">
        <v>1</v>
      </c>
      <c r="D2" s="6" t="s">
        <v>2</v>
      </c>
      <c r="E2" s="6" t="s">
        <v>37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0.49652777777777773</v>
      </c>
      <c r="L2" s="8">
        <v>0.32291666666666669</v>
      </c>
      <c r="M2" s="9">
        <v>0.3215277777777778</v>
      </c>
      <c r="N2" s="3" t="s">
        <v>39</v>
      </c>
      <c r="O2" s="10" t="s">
        <v>38</v>
      </c>
      <c r="P2" s="10">
        <v>897</v>
      </c>
      <c r="Q2" s="10">
        <v>1084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f>A2</f>
        <v>43862</v>
      </c>
      <c r="B3" s="6" t="s">
        <v>0</v>
      </c>
      <c r="C3" s="6" t="s">
        <v>6</v>
      </c>
      <c r="D3" s="6" t="s">
        <v>2</v>
      </c>
      <c r="E3" s="6" t="s">
        <v>7</v>
      </c>
      <c r="F3" s="6" t="s">
        <v>3</v>
      </c>
      <c r="G3" s="7">
        <v>71500</v>
      </c>
      <c r="H3" s="6" t="s">
        <v>8</v>
      </c>
      <c r="I3" s="6" t="s">
        <v>9</v>
      </c>
      <c r="J3" s="8">
        <v>0.71527777777777779</v>
      </c>
      <c r="K3" s="9">
        <v>0.71250000000000002</v>
      </c>
      <c r="L3" s="8">
        <v>0.5</v>
      </c>
      <c r="M3" s="9">
        <v>0.50486111111111109</v>
      </c>
      <c r="N3" s="3" t="s">
        <v>40</v>
      </c>
      <c r="O3" s="10" t="s">
        <v>40</v>
      </c>
      <c r="P3" s="4">
        <v>1182</v>
      </c>
      <c r="Q3" s="10">
        <v>960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f t="shared" ref="A4:A5" si="0">A3</f>
        <v>43862</v>
      </c>
      <c r="B4" s="3" t="s">
        <v>0</v>
      </c>
      <c r="C4" s="3" t="s">
        <v>10</v>
      </c>
      <c r="D4" s="3" t="s">
        <v>2</v>
      </c>
      <c r="E4" s="6" t="str">
        <f>E2</f>
        <v>HALPR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0.66875000000000007</v>
      </c>
      <c r="L4" s="11">
        <v>0.52777777777777779</v>
      </c>
      <c r="M4" s="12">
        <v>0.53125</v>
      </c>
      <c r="N4" s="3" t="s">
        <v>44</v>
      </c>
      <c r="O4" s="4" t="s">
        <v>41</v>
      </c>
      <c r="P4" s="6">
        <v>983</v>
      </c>
      <c r="Q4" s="10">
        <v>756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f t="shared" si="0"/>
        <v>43862</v>
      </c>
      <c r="B5" s="3" t="s">
        <v>0</v>
      </c>
      <c r="C5" s="3" t="s">
        <v>13</v>
      </c>
      <c r="D5" s="3" t="s">
        <v>2</v>
      </c>
      <c r="E5" s="6" t="str">
        <f>E3</f>
        <v>HALWG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0.93472222222222223</v>
      </c>
      <c r="L5" s="13">
        <v>0.77430555555555547</v>
      </c>
      <c r="M5" s="2">
        <v>0.77708333333333324</v>
      </c>
      <c r="N5" s="3" t="s">
        <v>43</v>
      </c>
      <c r="O5" s="3" t="s">
        <v>42</v>
      </c>
      <c r="P5" s="3">
        <v>592</v>
      </c>
      <c r="Q5" s="10">
        <v>463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1" max="1" width="7" bestFit="1" customWidth="1"/>
    <col min="4" max="4" width="5.7109375" bestFit="1" customWidth="1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43863</v>
      </c>
      <c r="B2" s="6" t="s">
        <v>0</v>
      </c>
      <c r="C2" s="6" t="s">
        <v>45</v>
      </c>
      <c r="D2" s="6" t="s">
        <v>2</v>
      </c>
      <c r="E2" s="6" t="s">
        <v>55</v>
      </c>
      <c r="F2" s="6" t="s">
        <v>3</v>
      </c>
      <c r="G2" s="7">
        <v>71500</v>
      </c>
      <c r="H2" s="6" t="s">
        <v>46</v>
      </c>
      <c r="I2" s="6" t="s">
        <v>47</v>
      </c>
      <c r="J2" s="8">
        <v>0.65972222222222221</v>
      </c>
      <c r="K2" s="2">
        <v>0.65208333333333335</v>
      </c>
      <c r="L2" s="8">
        <v>0.49305555555555558</v>
      </c>
      <c r="M2" s="9">
        <v>0.49652777777777773</v>
      </c>
      <c r="N2" s="3" t="s">
        <v>64</v>
      </c>
      <c r="O2" s="10" t="s">
        <v>61</v>
      </c>
      <c r="P2" s="10">
        <v>936</v>
      </c>
      <c r="Q2" s="10">
        <v>872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43863</v>
      </c>
      <c r="B3" s="6" t="s">
        <v>0</v>
      </c>
      <c r="C3" s="6" t="s">
        <v>48</v>
      </c>
      <c r="D3" s="6" t="s">
        <v>2</v>
      </c>
      <c r="E3" s="6" t="s">
        <v>49</v>
      </c>
      <c r="F3" s="6" t="s">
        <v>3</v>
      </c>
      <c r="G3" s="7">
        <v>71500</v>
      </c>
      <c r="H3" s="6" t="s">
        <v>50</v>
      </c>
      <c r="I3" s="6" t="s">
        <v>51</v>
      </c>
      <c r="J3" s="8">
        <v>0.77083333333333337</v>
      </c>
      <c r="K3" s="2">
        <v>0.75347222222222221</v>
      </c>
      <c r="L3" s="8">
        <v>0.53819444444444442</v>
      </c>
      <c r="M3" s="9">
        <v>0.53611111111111109</v>
      </c>
      <c r="N3" s="3" t="s">
        <v>66</v>
      </c>
      <c r="O3" s="10" t="s">
        <v>62</v>
      </c>
      <c r="P3" s="6">
        <v>1212</v>
      </c>
      <c r="Q3" s="10">
        <v>1421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43863</v>
      </c>
      <c r="B4" s="6" t="s">
        <v>0</v>
      </c>
      <c r="C4" s="3" t="s">
        <v>52</v>
      </c>
      <c r="D4" s="3" t="s">
        <v>2</v>
      </c>
      <c r="E4" s="6" t="str">
        <f>E2</f>
        <v>HA-LPR</v>
      </c>
      <c r="F4" s="3" t="s">
        <v>3</v>
      </c>
      <c r="G4" s="7">
        <f>G2</f>
        <v>71500</v>
      </c>
      <c r="H4" s="3" t="s">
        <v>53</v>
      </c>
      <c r="I4" s="3" t="s">
        <v>54</v>
      </c>
      <c r="J4" s="13">
        <v>0.86805555555555547</v>
      </c>
      <c r="K4" s="2">
        <v>0.86944444444444446</v>
      </c>
      <c r="L4" s="13">
        <v>0.68055555555555547</v>
      </c>
      <c r="M4" s="2">
        <v>0.68541666666666667</v>
      </c>
      <c r="N4" s="3" t="s">
        <v>67</v>
      </c>
      <c r="O4" s="3" t="s">
        <v>65</v>
      </c>
      <c r="P4" s="3">
        <v>972</v>
      </c>
      <c r="Q4" s="10">
        <v>852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>A4</f>
        <v>43863</v>
      </c>
      <c r="B5" s="3" t="s">
        <v>56</v>
      </c>
      <c r="C5" s="3" t="s">
        <v>57</v>
      </c>
      <c r="D5" s="3" t="s">
        <v>58</v>
      </c>
      <c r="E5" s="6" t="s">
        <v>59</v>
      </c>
      <c r="F5" s="3" t="s">
        <v>60</v>
      </c>
      <c r="G5" s="7">
        <v>990</v>
      </c>
      <c r="H5" s="3" t="s">
        <v>59</v>
      </c>
      <c r="I5" s="3" t="s">
        <v>59</v>
      </c>
      <c r="J5" s="13">
        <v>0.47916666666666669</v>
      </c>
      <c r="K5" s="2">
        <v>0.49861111111111112</v>
      </c>
      <c r="L5" s="13">
        <v>0.54166666666666663</v>
      </c>
      <c r="M5" s="2">
        <v>0.59375</v>
      </c>
      <c r="N5" s="3" t="s">
        <v>63</v>
      </c>
      <c r="O5" s="3" t="s">
        <v>63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J23" sqref="J23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s="16" customFormat="1" ht="12.75" x14ac:dyDescent="0.25">
      <c r="A2" s="5">
        <v>43864</v>
      </c>
      <c r="B2" s="6" t="s">
        <v>0</v>
      </c>
      <c r="C2" s="6" t="s">
        <v>68</v>
      </c>
      <c r="D2" s="6" t="s">
        <v>2</v>
      </c>
      <c r="E2" s="6" t="s">
        <v>37</v>
      </c>
      <c r="F2" s="6" t="s">
        <v>3</v>
      </c>
      <c r="G2" s="7">
        <f>G3</f>
        <v>71500</v>
      </c>
      <c r="H2" s="6" t="s">
        <v>69</v>
      </c>
      <c r="I2" s="6" t="s">
        <v>70</v>
      </c>
      <c r="J2" s="8">
        <v>0.46180555555555558</v>
      </c>
      <c r="K2" s="17">
        <v>0.45277777777777778</v>
      </c>
      <c r="L2" s="8">
        <v>0.25694444444444448</v>
      </c>
      <c r="M2" s="17">
        <v>0.25625000000000003</v>
      </c>
      <c r="N2" s="3" t="s">
        <v>85</v>
      </c>
      <c r="O2" s="10" t="s">
        <v>83</v>
      </c>
      <c r="P2" s="10">
        <v>1046</v>
      </c>
      <c r="Q2" s="10">
        <v>807</v>
      </c>
      <c r="R2" s="6">
        <v>0</v>
      </c>
      <c r="S2" s="6">
        <v>0</v>
      </c>
      <c r="T2" s="6">
        <v>0</v>
      </c>
      <c r="U2" s="6">
        <v>0</v>
      </c>
    </row>
    <row r="3" spans="1:21" s="16" customFormat="1" ht="12.75" x14ac:dyDescent="0.2">
      <c r="A3" s="5">
        <f>A2</f>
        <v>43864</v>
      </c>
      <c r="B3" s="6" t="s">
        <v>0</v>
      </c>
      <c r="C3" s="6" t="s">
        <v>71</v>
      </c>
      <c r="D3" s="6" t="s">
        <v>2</v>
      </c>
      <c r="E3" s="6" t="s">
        <v>7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12">
        <v>0.49305555555555558</v>
      </c>
      <c r="L3" s="8">
        <v>0.30208333333333331</v>
      </c>
      <c r="M3" s="17">
        <v>0.30208333333333331</v>
      </c>
      <c r="N3" s="3" t="s">
        <v>86</v>
      </c>
      <c r="O3" s="10" t="s">
        <v>84</v>
      </c>
      <c r="P3" s="6">
        <v>617</v>
      </c>
      <c r="Q3" s="10">
        <v>715</v>
      </c>
      <c r="R3" s="6">
        <v>0</v>
      </c>
      <c r="S3" s="6">
        <v>0</v>
      </c>
      <c r="T3" s="6">
        <v>0</v>
      </c>
      <c r="U3" s="6">
        <v>0</v>
      </c>
    </row>
    <row r="4" spans="1:21" s="3" customFormat="1" ht="12.75" x14ac:dyDescent="0.2">
      <c r="A4" s="5">
        <f t="shared" ref="A4:A6" si="0">A3</f>
        <v>43864</v>
      </c>
      <c r="B4" s="3" t="s">
        <v>0</v>
      </c>
      <c r="C4" s="3" t="s">
        <v>74</v>
      </c>
      <c r="D4" s="3" t="s">
        <v>2</v>
      </c>
      <c r="E4" s="6" t="s">
        <v>37</v>
      </c>
      <c r="F4" s="3" t="s">
        <v>3</v>
      </c>
      <c r="G4" s="7">
        <v>71500</v>
      </c>
      <c r="H4" s="3" t="s">
        <v>75</v>
      </c>
      <c r="I4" s="3" t="s">
        <v>76</v>
      </c>
      <c r="J4" s="13">
        <v>0.68055555555555547</v>
      </c>
      <c r="K4" s="12">
        <v>0.67152777777777783</v>
      </c>
      <c r="L4" s="13">
        <v>0.52777777777777779</v>
      </c>
      <c r="M4" s="12">
        <v>0.52847222222222223</v>
      </c>
      <c r="N4" s="3" t="s">
        <v>88</v>
      </c>
      <c r="O4" s="3" t="s">
        <v>87</v>
      </c>
      <c r="P4" s="3">
        <v>686</v>
      </c>
      <c r="Q4" s="10">
        <v>534</v>
      </c>
      <c r="R4" s="3">
        <v>0</v>
      </c>
      <c r="S4" s="3">
        <v>0</v>
      </c>
      <c r="T4" s="3">
        <v>0</v>
      </c>
      <c r="U4" s="3">
        <v>0</v>
      </c>
    </row>
    <row r="5" spans="1:21" s="16" customFormat="1" ht="12.75" x14ac:dyDescent="0.2">
      <c r="A5" s="5">
        <f t="shared" si="0"/>
        <v>43864</v>
      </c>
      <c r="B5" s="3" t="s">
        <v>0</v>
      </c>
      <c r="C5" s="3" t="s">
        <v>77</v>
      </c>
      <c r="D5" s="3" t="s">
        <v>2</v>
      </c>
      <c r="E5" s="6" t="s">
        <v>7</v>
      </c>
      <c r="F5" s="3" t="s">
        <v>3</v>
      </c>
      <c r="G5" s="7">
        <f>G4</f>
        <v>71500</v>
      </c>
      <c r="H5" s="6" t="s">
        <v>78</v>
      </c>
      <c r="I5" s="6" t="s">
        <v>79</v>
      </c>
      <c r="J5" s="11">
        <v>0.91319444444444453</v>
      </c>
      <c r="K5" s="18">
        <v>0.90347222222222223</v>
      </c>
      <c r="L5" s="11">
        <v>0.69097222222222221</v>
      </c>
      <c r="M5" s="12">
        <v>0.69444444444444453</v>
      </c>
      <c r="N5" s="3" t="s">
        <v>92</v>
      </c>
      <c r="O5" s="4" t="s">
        <v>89</v>
      </c>
      <c r="P5" s="4">
        <v>468</v>
      </c>
      <c r="Q5" s="10">
        <v>533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f t="shared" si="0"/>
        <v>43864</v>
      </c>
      <c r="B6" s="3" t="s">
        <v>0</v>
      </c>
      <c r="C6" s="3" t="s">
        <v>80</v>
      </c>
      <c r="D6" s="3" t="s">
        <v>2</v>
      </c>
      <c r="E6" s="6" t="s">
        <v>37</v>
      </c>
      <c r="F6" s="3" t="s">
        <v>3</v>
      </c>
      <c r="G6" s="7">
        <v>71500</v>
      </c>
      <c r="H6" s="3" t="s">
        <v>81</v>
      </c>
      <c r="I6" s="3" t="s">
        <v>82</v>
      </c>
      <c r="J6" s="13">
        <v>0.88194444444444453</v>
      </c>
      <c r="K6" s="2">
        <v>0.85902777777777783</v>
      </c>
      <c r="L6" s="13">
        <v>0.71180555555555547</v>
      </c>
      <c r="M6" s="2">
        <v>0.7104166666666667</v>
      </c>
      <c r="N6" s="3" t="s">
        <v>91</v>
      </c>
      <c r="O6" s="3" t="s">
        <v>90</v>
      </c>
      <c r="P6" s="3">
        <v>461</v>
      </c>
      <c r="Q6" s="3">
        <v>376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/>
      <c r="B7" s="3"/>
      <c r="C7" s="3"/>
      <c r="D7" s="3"/>
      <c r="E7" s="6"/>
      <c r="F7" s="3"/>
      <c r="G7" s="7"/>
      <c r="H7" s="3"/>
      <c r="I7" s="3"/>
      <c r="J7" s="13"/>
      <c r="K7" s="2"/>
      <c r="L7" s="13"/>
      <c r="M7" s="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G1" workbookViewId="0">
      <selection sqref="A1:U6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140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s="16" customFormat="1" ht="12.75" x14ac:dyDescent="0.25">
      <c r="A2" s="5">
        <v>43865</v>
      </c>
      <c r="B2" s="6" t="s">
        <v>0</v>
      </c>
      <c r="C2" s="6" t="s">
        <v>1</v>
      </c>
      <c r="D2" s="6" t="s">
        <v>2</v>
      </c>
      <c r="E2" s="6" t="s">
        <v>7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0.51388888888888895</v>
      </c>
      <c r="L2" s="8">
        <v>0.32291666666666669</v>
      </c>
      <c r="M2" s="9">
        <v>0.33194444444444443</v>
      </c>
      <c r="N2" s="3" t="s">
        <v>96</v>
      </c>
      <c r="O2" s="10" t="s">
        <v>95</v>
      </c>
      <c r="P2" s="10">
        <v>565</v>
      </c>
      <c r="Q2" s="10">
        <v>702</v>
      </c>
      <c r="R2" s="6">
        <v>0</v>
      </c>
      <c r="S2" s="6">
        <v>0</v>
      </c>
      <c r="T2" s="6">
        <v>0</v>
      </c>
      <c r="U2" s="6">
        <v>0</v>
      </c>
    </row>
    <row r="3" spans="1:21" s="16" customFormat="1" ht="12.75" x14ac:dyDescent="0.2">
      <c r="A3" s="5">
        <f>A2</f>
        <v>43865</v>
      </c>
      <c r="B3" s="6" t="s">
        <v>0</v>
      </c>
      <c r="C3" s="6" t="s">
        <v>6</v>
      </c>
      <c r="D3" s="6" t="s">
        <v>2</v>
      </c>
      <c r="E3" s="6" t="s">
        <v>93</v>
      </c>
      <c r="F3" s="6" t="s">
        <v>3</v>
      </c>
      <c r="G3" s="7">
        <v>71500</v>
      </c>
      <c r="H3" s="6" t="s">
        <v>8</v>
      </c>
      <c r="I3" s="6" t="s">
        <v>9</v>
      </c>
      <c r="J3" s="8">
        <v>0.72916666666666663</v>
      </c>
      <c r="K3" s="9">
        <v>0.71666666666666667</v>
      </c>
      <c r="L3" s="8">
        <v>0.51388888888888895</v>
      </c>
      <c r="M3" s="9">
        <v>0.50972222222222219</v>
      </c>
      <c r="N3" s="3" t="s">
        <v>98</v>
      </c>
      <c r="O3" s="10" t="s">
        <v>65</v>
      </c>
      <c r="P3" s="4">
        <v>907</v>
      </c>
      <c r="Q3" s="10">
        <v>784</v>
      </c>
      <c r="R3" s="6">
        <v>0</v>
      </c>
      <c r="S3" s="6">
        <v>0</v>
      </c>
      <c r="T3" s="6">
        <v>0</v>
      </c>
      <c r="U3" s="6">
        <v>0</v>
      </c>
    </row>
    <row r="4" spans="1:21" s="3" customFormat="1" ht="12.75" x14ac:dyDescent="0.2">
      <c r="A4" s="5">
        <f t="shared" ref="A4:A6" si="0">A3</f>
        <v>43865</v>
      </c>
      <c r="B4" s="3" t="s">
        <v>0</v>
      </c>
      <c r="C4" s="3" t="s">
        <v>10</v>
      </c>
      <c r="D4" s="3" t="s">
        <v>2</v>
      </c>
      <c r="E4" s="6" t="s">
        <v>7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19" t="s">
        <v>99</v>
      </c>
      <c r="L4" s="11">
        <v>0.52777777777777779</v>
      </c>
      <c r="M4" s="12">
        <v>0.54513888888888895</v>
      </c>
      <c r="N4" s="20"/>
      <c r="O4" s="4" t="s">
        <v>97</v>
      </c>
      <c r="P4" s="21"/>
      <c r="Q4" s="10">
        <v>586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43865</v>
      </c>
      <c r="B5" s="3" t="s">
        <v>0</v>
      </c>
      <c r="C5" s="3" t="s">
        <v>13</v>
      </c>
      <c r="D5" s="3" t="s">
        <v>2</v>
      </c>
      <c r="E5" s="6" t="s">
        <v>94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0.94374999999999998</v>
      </c>
      <c r="L5" s="13">
        <v>0.77430555555555547</v>
      </c>
      <c r="M5" s="2">
        <v>0.77083333333333337</v>
      </c>
      <c r="N5" s="3" t="s">
        <v>105</v>
      </c>
      <c r="O5" s="3" t="s">
        <v>104</v>
      </c>
      <c r="P5" s="3">
        <v>697</v>
      </c>
      <c r="Q5" s="10">
        <v>463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43865</v>
      </c>
      <c r="B6" s="3" t="s">
        <v>0</v>
      </c>
      <c r="C6" s="3" t="s">
        <v>100</v>
      </c>
      <c r="D6" s="3" t="s">
        <v>2</v>
      </c>
      <c r="E6" s="6" t="s">
        <v>7</v>
      </c>
      <c r="F6" s="3" t="s">
        <v>101</v>
      </c>
      <c r="G6" s="7">
        <v>71500</v>
      </c>
      <c r="H6" s="3" t="s">
        <v>103</v>
      </c>
      <c r="I6" s="3" t="s">
        <v>102</v>
      </c>
      <c r="J6" s="3" t="s">
        <v>102</v>
      </c>
      <c r="K6" s="9">
        <v>0.77361111111111114</v>
      </c>
      <c r="L6" s="3" t="s">
        <v>102</v>
      </c>
      <c r="M6" s="3" t="s">
        <v>102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F14" sqref="F14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6" customFormat="1" ht="12.75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2" x14ac:dyDescent="0.25">
      <c r="A2" s="5">
        <v>43866</v>
      </c>
      <c r="B2" s="23" t="s">
        <v>0</v>
      </c>
      <c r="C2" s="23" t="s">
        <v>68</v>
      </c>
      <c r="D2" s="23" t="s">
        <v>2</v>
      </c>
      <c r="E2" s="23" t="s">
        <v>94</v>
      </c>
      <c r="F2" s="23" t="s">
        <v>3</v>
      </c>
      <c r="G2" s="24">
        <v>71500</v>
      </c>
      <c r="H2" s="23" t="s">
        <v>69</v>
      </c>
      <c r="I2" s="23" t="s">
        <v>70</v>
      </c>
      <c r="J2" s="25">
        <v>0.46180555555555558</v>
      </c>
      <c r="K2" s="26">
        <v>0.45833333333333331</v>
      </c>
      <c r="L2" s="25">
        <v>0.25694444444444448</v>
      </c>
      <c r="M2" s="26">
        <v>0.26527777777777778</v>
      </c>
      <c r="N2" s="3" t="s">
        <v>106</v>
      </c>
      <c r="O2" s="27" t="s">
        <v>109</v>
      </c>
      <c r="P2" s="27">
        <v>814</v>
      </c>
      <c r="Q2" s="27">
        <v>642</v>
      </c>
      <c r="R2" s="23">
        <v>0</v>
      </c>
      <c r="S2" s="23">
        <v>0</v>
      </c>
      <c r="T2" s="23">
        <v>0</v>
      </c>
      <c r="U2" s="23">
        <v>0</v>
      </c>
      <c r="V2" s="22"/>
    </row>
    <row r="3" spans="1:22" x14ac:dyDescent="0.25">
      <c r="A3" s="5">
        <f>A2</f>
        <v>43866</v>
      </c>
      <c r="B3" s="23" t="s">
        <v>0</v>
      </c>
      <c r="C3" s="23" t="s">
        <v>71</v>
      </c>
      <c r="D3" s="23" t="s">
        <v>2</v>
      </c>
      <c r="E3" s="23" t="s">
        <v>7</v>
      </c>
      <c r="F3" s="23" t="s">
        <v>3</v>
      </c>
      <c r="G3" s="24">
        <v>71500</v>
      </c>
      <c r="H3" s="23" t="s">
        <v>72</v>
      </c>
      <c r="I3" s="23" t="s">
        <v>73</v>
      </c>
      <c r="J3" s="25">
        <v>0.50694444444444442</v>
      </c>
      <c r="K3" s="26">
        <v>0.54375000000000007</v>
      </c>
      <c r="L3" s="25">
        <v>0.30208333333333331</v>
      </c>
      <c r="M3" s="26">
        <v>0.36249999999999999</v>
      </c>
      <c r="N3" s="3" t="s">
        <v>107</v>
      </c>
      <c r="O3" s="27" t="s">
        <v>110</v>
      </c>
      <c r="P3" s="23">
        <v>667</v>
      </c>
      <c r="Q3" s="27">
        <v>1028</v>
      </c>
      <c r="R3" s="23">
        <v>0</v>
      </c>
      <c r="S3" s="23">
        <v>0</v>
      </c>
      <c r="T3" s="23">
        <v>0</v>
      </c>
      <c r="U3" s="23">
        <v>0</v>
      </c>
      <c r="V3" s="22"/>
    </row>
    <row r="4" spans="1:22" x14ac:dyDescent="0.25">
      <c r="A4" s="5">
        <f>A3</f>
        <v>43866</v>
      </c>
      <c r="B4" s="23" t="s">
        <v>0</v>
      </c>
      <c r="C4" s="23" t="s">
        <v>45</v>
      </c>
      <c r="D4" s="23" t="s">
        <v>2</v>
      </c>
      <c r="E4" s="23" t="s">
        <v>94</v>
      </c>
      <c r="F4" s="23" t="s">
        <v>3</v>
      </c>
      <c r="G4" s="24">
        <v>71500</v>
      </c>
      <c r="H4" s="23" t="s">
        <v>46</v>
      </c>
      <c r="I4" s="23" t="s">
        <v>47</v>
      </c>
      <c r="J4" s="25">
        <v>0.65972222222222221</v>
      </c>
      <c r="K4" s="2">
        <v>0.65694444444444444</v>
      </c>
      <c r="L4" s="25">
        <v>0.49305555555555558</v>
      </c>
      <c r="M4" s="26">
        <v>0.49791666666666662</v>
      </c>
      <c r="N4" s="3" t="s">
        <v>108</v>
      </c>
      <c r="O4" s="27" t="s">
        <v>111</v>
      </c>
      <c r="P4" s="27">
        <v>861</v>
      </c>
      <c r="Q4" s="27">
        <v>757</v>
      </c>
      <c r="R4" s="23">
        <v>0</v>
      </c>
      <c r="S4" s="23">
        <v>0</v>
      </c>
      <c r="T4" s="23">
        <v>0</v>
      </c>
      <c r="U4" s="23">
        <v>0</v>
      </c>
      <c r="V4" s="22"/>
    </row>
    <row r="5" spans="1:22" x14ac:dyDescent="0.25">
      <c r="A5" s="5">
        <v>43866</v>
      </c>
      <c r="B5" s="3" t="s">
        <v>0</v>
      </c>
      <c r="C5" s="3" t="s">
        <v>115</v>
      </c>
      <c r="D5" s="3" t="s">
        <v>112</v>
      </c>
      <c r="E5" s="28" t="s">
        <v>116</v>
      </c>
      <c r="F5" s="3" t="s">
        <v>113</v>
      </c>
      <c r="G5" s="29">
        <v>71500</v>
      </c>
      <c r="H5" s="3" t="s">
        <v>117</v>
      </c>
      <c r="I5" s="3" t="s">
        <v>118</v>
      </c>
      <c r="J5" s="30" t="s">
        <v>102</v>
      </c>
      <c r="K5" s="31">
        <v>0.55694444444444446</v>
      </c>
      <c r="L5" s="30">
        <v>0.58333333333333337</v>
      </c>
      <c r="M5" s="31">
        <v>0.59027777777777779</v>
      </c>
      <c r="N5" s="31" t="s">
        <v>119</v>
      </c>
      <c r="O5" s="32" t="s">
        <v>114</v>
      </c>
      <c r="P5" s="28">
        <v>429</v>
      </c>
      <c r="Q5" s="32">
        <v>0</v>
      </c>
      <c r="R5" s="3">
        <v>0</v>
      </c>
      <c r="S5" s="3">
        <v>0</v>
      </c>
      <c r="T5" s="3">
        <v>0</v>
      </c>
      <c r="U5" s="3">
        <v>0</v>
      </c>
      <c r="V5" s="22"/>
    </row>
    <row r="6" spans="1:22" x14ac:dyDescent="0.25">
      <c r="A6" s="5"/>
      <c r="B6" s="31"/>
      <c r="C6" s="31"/>
      <c r="D6" s="31"/>
      <c r="E6" s="31"/>
      <c r="F6" s="31"/>
      <c r="G6" s="29"/>
      <c r="H6" s="31"/>
      <c r="I6" s="31"/>
      <c r="J6" s="31"/>
      <c r="K6" s="31"/>
      <c r="L6" s="31"/>
      <c r="M6" s="31"/>
      <c r="N6" s="28"/>
      <c r="O6" s="28"/>
      <c r="P6" s="28"/>
      <c r="Q6" s="28"/>
      <c r="R6" s="28"/>
      <c r="S6" s="28"/>
      <c r="T6" s="3"/>
      <c r="U6" s="3"/>
      <c r="V6" s="31"/>
    </row>
    <row r="7" spans="1:22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4" sqref="K4"/>
    </sheetView>
  </sheetViews>
  <sheetFormatPr defaultRowHeight="15" x14ac:dyDescent="0.25"/>
  <cols>
    <col min="1" max="1" width="7.85546875" style="33" bestFit="1" customWidth="1"/>
    <col min="2" max="2" width="9.140625" style="33" bestFit="1" customWidth="1"/>
    <col min="3" max="3" width="13.140625" style="33" bestFit="1" customWidth="1"/>
    <col min="4" max="4" width="5.7109375" style="33" bestFit="1" customWidth="1"/>
    <col min="5" max="5" width="7.140625" style="33" bestFit="1" customWidth="1"/>
    <col min="6" max="6" width="12.140625" style="33" bestFit="1" customWidth="1"/>
    <col min="7" max="7" width="9.140625" style="33"/>
    <col min="8" max="9" width="9.7109375" style="33" bestFit="1" customWidth="1"/>
    <col min="10" max="10" width="11" style="33" bestFit="1" customWidth="1"/>
    <col min="11" max="11" width="10.85546875" style="33" bestFit="1" customWidth="1"/>
    <col min="12" max="12" width="11" style="33" bestFit="1" customWidth="1"/>
    <col min="13" max="13" width="10.85546875" style="33" bestFit="1" customWidth="1"/>
    <col min="14" max="15" width="18.42578125" style="33" bestFit="1" customWidth="1"/>
    <col min="16" max="17" width="10.28515625" style="33" bestFit="1" customWidth="1"/>
    <col min="18" max="16384" width="9.140625" style="33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43867</v>
      </c>
      <c r="B2" s="28" t="s">
        <v>0</v>
      </c>
      <c r="C2" s="28" t="s">
        <v>48</v>
      </c>
      <c r="D2" s="28" t="s">
        <v>2</v>
      </c>
      <c r="E2" s="28" t="s">
        <v>94</v>
      </c>
      <c r="F2" s="28" t="s">
        <v>3</v>
      </c>
      <c r="G2" s="29">
        <v>71500</v>
      </c>
      <c r="H2" s="28" t="s">
        <v>50</v>
      </c>
      <c r="I2" s="28" t="s">
        <v>51</v>
      </c>
      <c r="J2" s="34">
        <v>0.65972222222222221</v>
      </c>
      <c r="K2" s="35">
        <v>0.65555555555555556</v>
      </c>
      <c r="L2" s="34">
        <v>0.42708333333333331</v>
      </c>
      <c r="M2" s="35">
        <v>0.43333333333333335</v>
      </c>
      <c r="N2" s="35" t="s">
        <v>121</v>
      </c>
      <c r="O2" s="35" t="s">
        <v>120</v>
      </c>
      <c r="P2" s="32">
        <v>1063</v>
      </c>
      <c r="Q2" s="32">
        <v>986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5">
        <f>A2</f>
        <v>43867</v>
      </c>
      <c r="B3" s="28" t="s">
        <v>0</v>
      </c>
      <c r="C3" s="28" t="s">
        <v>52</v>
      </c>
      <c r="D3" s="28" t="s">
        <v>2</v>
      </c>
      <c r="E3" s="28" t="s">
        <v>94</v>
      </c>
      <c r="F3" s="28" t="s">
        <v>3</v>
      </c>
      <c r="G3" s="29">
        <v>71500</v>
      </c>
      <c r="H3" s="28" t="s">
        <v>53</v>
      </c>
      <c r="I3" s="28" t="s">
        <v>54</v>
      </c>
      <c r="J3" s="34">
        <v>0.86805555555555547</v>
      </c>
      <c r="K3" s="35">
        <v>0.87777777777777777</v>
      </c>
      <c r="L3" s="34">
        <v>0.68055555555555547</v>
      </c>
      <c r="M3" s="35">
        <v>0.6972222222222223</v>
      </c>
      <c r="N3" s="35" t="s">
        <v>123</v>
      </c>
      <c r="O3" s="35" t="s">
        <v>122</v>
      </c>
      <c r="P3" s="32">
        <v>715</v>
      </c>
      <c r="Q3" s="32">
        <v>771</v>
      </c>
      <c r="R3" s="28">
        <v>0</v>
      </c>
      <c r="S3" s="28">
        <v>0</v>
      </c>
      <c r="T3" s="28">
        <v>0</v>
      </c>
      <c r="U3" s="28">
        <v>0</v>
      </c>
    </row>
    <row r="4" spans="1:21" x14ac:dyDescent="0.25">
      <c r="A4" s="5"/>
      <c r="B4" s="28"/>
      <c r="C4" s="28"/>
      <c r="D4" s="28"/>
      <c r="E4" s="28"/>
      <c r="F4" s="28"/>
      <c r="G4" s="29"/>
      <c r="H4" s="28"/>
      <c r="I4" s="28"/>
      <c r="J4" s="34"/>
      <c r="K4" s="35"/>
      <c r="L4" s="34"/>
      <c r="M4" s="35"/>
      <c r="N4" s="35"/>
      <c r="O4" s="35"/>
      <c r="P4" s="32"/>
      <c r="Q4" s="32"/>
      <c r="R4" s="28"/>
      <c r="S4" s="28"/>
      <c r="T4" s="28"/>
      <c r="U4" s="2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K6" sqref="K6"/>
    </sheetView>
  </sheetViews>
  <sheetFormatPr defaultRowHeight="15" x14ac:dyDescent="0.25"/>
  <cols>
    <col min="1" max="1" width="8.140625" bestFit="1" customWidth="1"/>
    <col min="2" max="2" width="7.7109375" customWidth="1"/>
    <col min="4" max="4" width="5.7109375" bestFit="1" customWidth="1"/>
  </cols>
  <sheetData>
    <row r="1" spans="1:22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2" x14ac:dyDescent="0.25">
      <c r="A2" s="5">
        <v>43868</v>
      </c>
      <c r="B2" s="6" t="s">
        <v>0</v>
      </c>
      <c r="C2" s="6" t="s">
        <v>68</v>
      </c>
      <c r="D2" s="6" t="s">
        <v>2</v>
      </c>
      <c r="E2" s="6" t="s">
        <v>124</v>
      </c>
      <c r="F2" s="6" t="s">
        <v>3</v>
      </c>
      <c r="G2" s="7">
        <v>71500</v>
      </c>
      <c r="H2" s="6" t="s">
        <v>69</v>
      </c>
      <c r="I2" s="6" t="s">
        <v>70</v>
      </c>
      <c r="J2" s="8">
        <v>0.46180555555555558</v>
      </c>
      <c r="K2" s="9">
        <v>0.47083333333333338</v>
      </c>
      <c r="L2" s="8">
        <v>0.25694444444444448</v>
      </c>
      <c r="M2" s="9">
        <v>0.28194444444444444</v>
      </c>
      <c r="N2" s="3" t="s">
        <v>130</v>
      </c>
      <c r="O2" s="10" t="s">
        <v>106</v>
      </c>
      <c r="P2" s="10">
        <v>1002</v>
      </c>
      <c r="Q2" s="10">
        <v>1009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f t="shared" ref="A3:A8" si="0">A2</f>
        <v>43868</v>
      </c>
      <c r="B3" s="6" t="s">
        <v>0</v>
      </c>
      <c r="C3" s="6" t="s">
        <v>71</v>
      </c>
      <c r="D3" s="6" t="s">
        <v>2</v>
      </c>
      <c r="E3" s="6" t="s">
        <v>94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9">
        <v>0.62777777777777777</v>
      </c>
      <c r="L3" s="8">
        <v>0.30208333333333331</v>
      </c>
      <c r="M3" s="9">
        <v>0.4381944444444445</v>
      </c>
      <c r="N3" s="3" t="s">
        <v>134</v>
      </c>
      <c r="O3" s="10" t="s">
        <v>126</v>
      </c>
      <c r="P3" s="6">
        <v>867</v>
      </c>
      <c r="Q3" s="10">
        <v>782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f t="shared" si="0"/>
        <v>43868</v>
      </c>
      <c r="B4" s="3" t="s">
        <v>0</v>
      </c>
      <c r="C4" s="3" t="s">
        <v>45</v>
      </c>
      <c r="D4" s="3" t="s">
        <v>2</v>
      </c>
      <c r="E4" s="6" t="s">
        <v>125</v>
      </c>
      <c r="F4" s="3" t="s">
        <v>3</v>
      </c>
      <c r="G4" s="7">
        <v>71500</v>
      </c>
      <c r="H4" s="6" t="s">
        <v>46</v>
      </c>
      <c r="I4" s="6" t="s">
        <v>47</v>
      </c>
      <c r="J4" s="36">
        <v>0.65972222222222221</v>
      </c>
      <c r="K4" s="2">
        <v>0.67083333333333339</v>
      </c>
      <c r="L4" s="36">
        <v>0.49305555555555558</v>
      </c>
      <c r="M4" s="17">
        <v>0.51111111111111118</v>
      </c>
      <c r="N4" s="3" t="s">
        <v>135</v>
      </c>
      <c r="O4" s="16" t="s">
        <v>131</v>
      </c>
      <c r="P4" s="16">
        <v>811</v>
      </c>
      <c r="Q4" s="10">
        <v>609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5">
        <f t="shared" si="0"/>
        <v>43868</v>
      </c>
      <c r="B5" s="3" t="s">
        <v>0</v>
      </c>
      <c r="C5" s="3" t="s">
        <v>74</v>
      </c>
      <c r="D5" s="3" t="s">
        <v>2</v>
      </c>
      <c r="E5" s="6" t="s">
        <v>128</v>
      </c>
      <c r="F5" s="3" t="s">
        <v>3</v>
      </c>
      <c r="G5" s="7">
        <v>71500</v>
      </c>
      <c r="H5" s="3" t="s">
        <v>75</v>
      </c>
      <c r="I5" s="3" t="s">
        <v>76</v>
      </c>
      <c r="J5" s="13">
        <v>0.68055555555555547</v>
      </c>
      <c r="K5" s="2">
        <v>0.67708333333333337</v>
      </c>
      <c r="L5" s="13">
        <v>0.52777777777777779</v>
      </c>
      <c r="M5" s="2">
        <v>0.5444444444444444</v>
      </c>
      <c r="N5" s="3" t="s">
        <v>61</v>
      </c>
      <c r="O5" s="3" t="s">
        <v>85</v>
      </c>
      <c r="P5" s="3">
        <v>758</v>
      </c>
      <c r="Q5" s="10">
        <v>591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5">
        <f t="shared" si="0"/>
        <v>43868</v>
      </c>
      <c r="B6" s="3" t="s">
        <v>0</v>
      </c>
      <c r="C6" s="3" t="s">
        <v>77</v>
      </c>
      <c r="D6" s="3" t="s">
        <v>2</v>
      </c>
      <c r="E6" s="6" t="str">
        <f>E4</f>
        <v>HALWJ</v>
      </c>
      <c r="F6" s="3" t="s">
        <v>3</v>
      </c>
      <c r="G6" s="7">
        <v>71500</v>
      </c>
      <c r="H6" s="6" t="s">
        <v>78</v>
      </c>
      <c r="I6" s="6" t="s">
        <v>79</v>
      </c>
      <c r="J6" s="36">
        <v>0.91319444444444453</v>
      </c>
      <c r="K6" s="2">
        <v>0.93055555555555547</v>
      </c>
      <c r="L6" s="36">
        <v>0.69097222222222221</v>
      </c>
      <c r="M6" s="17">
        <v>0.72430555555555554</v>
      </c>
      <c r="N6" s="3" t="s">
        <v>136</v>
      </c>
      <c r="O6" s="16" t="s">
        <v>137</v>
      </c>
      <c r="P6" s="16">
        <v>805</v>
      </c>
      <c r="Q6" s="10">
        <v>525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5">
        <f t="shared" si="0"/>
        <v>43868</v>
      </c>
      <c r="B7" s="3" t="s">
        <v>0</v>
      </c>
      <c r="C7" s="3" t="s">
        <v>80</v>
      </c>
      <c r="D7" s="3" t="s">
        <v>2</v>
      </c>
      <c r="E7" s="6" t="s">
        <v>128</v>
      </c>
      <c r="F7" s="3" t="s">
        <v>3</v>
      </c>
      <c r="G7" s="7">
        <v>71500</v>
      </c>
      <c r="H7" s="6" t="s">
        <v>81</v>
      </c>
      <c r="I7" s="6" t="s">
        <v>82</v>
      </c>
      <c r="J7" s="36">
        <v>0.88194444444444453</v>
      </c>
      <c r="K7" s="12">
        <v>0.87430555555555556</v>
      </c>
      <c r="L7" s="36">
        <v>0.71180555555555547</v>
      </c>
      <c r="M7" s="12">
        <v>0.71944444444444444</v>
      </c>
      <c r="N7" s="3" t="s">
        <v>130</v>
      </c>
      <c r="O7" s="3" t="s">
        <v>138</v>
      </c>
      <c r="P7" s="3">
        <v>445</v>
      </c>
      <c r="Q7" s="10">
        <v>399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5">
        <f t="shared" si="0"/>
        <v>43868</v>
      </c>
      <c r="B8" s="3" t="s">
        <v>0</v>
      </c>
      <c r="C8" s="3" t="s">
        <v>127</v>
      </c>
      <c r="D8" s="3" t="s">
        <v>2</v>
      </c>
      <c r="E8" s="6" t="s">
        <v>128</v>
      </c>
      <c r="F8" s="3" t="s">
        <v>101</v>
      </c>
      <c r="G8" s="7">
        <v>71500</v>
      </c>
      <c r="H8" s="6" t="s">
        <v>129</v>
      </c>
      <c r="I8" s="6"/>
      <c r="J8" s="36">
        <v>0.51041666666666663</v>
      </c>
      <c r="K8" s="9">
        <v>0.50902777777777775</v>
      </c>
      <c r="L8" s="6" t="s">
        <v>102</v>
      </c>
      <c r="M8" s="6" t="s">
        <v>102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37">
        <v>43868</v>
      </c>
      <c r="B9" s="3" t="s">
        <v>0</v>
      </c>
      <c r="C9" s="3" t="s">
        <v>132</v>
      </c>
      <c r="D9" s="3" t="s">
        <v>2</v>
      </c>
      <c r="E9" s="6" t="s">
        <v>94</v>
      </c>
      <c r="F9" s="3" t="s">
        <v>113</v>
      </c>
      <c r="G9" s="38">
        <v>71500</v>
      </c>
      <c r="H9" s="6"/>
      <c r="I9" s="6" t="s">
        <v>133</v>
      </c>
      <c r="J9" s="4"/>
      <c r="K9" s="4"/>
      <c r="L9" s="12">
        <v>0.65625</v>
      </c>
      <c r="M9" s="12">
        <v>0.65763888888888888</v>
      </c>
      <c r="N9" s="4">
        <v>0</v>
      </c>
      <c r="O9" s="4">
        <v>0</v>
      </c>
      <c r="P9" s="4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F1" workbookViewId="0">
      <selection activeCell="K6" sqref="K6"/>
    </sheetView>
  </sheetViews>
  <sheetFormatPr defaultRowHeight="15" x14ac:dyDescent="0.25"/>
  <cols>
    <col min="3" max="3" width="13.425781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3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s="4" customFormat="1" ht="12.75" x14ac:dyDescent="0.2">
      <c r="A2" s="5">
        <v>43869</v>
      </c>
      <c r="B2" s="6" t="s">
        <v>0</v>
      </c>
      <c r="C2" s="6" t="s">
        <v>1</v>
      </c>
      <c r="D2" s="6" t="s">
        <v>2</v>
      </c>
      <c r="E2" s="6" t="s">
        <v>125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0.50486111111111109</v>
      </c>
      <c r="L2" s="8">
        <v>0.32291666666666669</v>
      </c>
      <c r="M2" s="9">
        <v>0.33263888888888887</v>
      </c>
      <c r="N2" s="3" t="s">
        <v>139</v>
      </c>
      <c r="O2" s="10" t="s">
        <v>135</v>
      </c>
      <c r="P2" s="10">
        <v>767</v>
      </c>
      <c r="Q2" s="10">
        <v>759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f>A2</f>
        <v>43869</v>
      </c>
      <c r="B3" s="6" t="s">
        <v>0</v>
      </c>
      <c r="C3" s="6" t="s">
        <v>6</v>
      </c>
      <c r="D3" s="6" t="s">
        <v>2</v>
      </c>
      <c r="E3" s="6" t="s">
        <v>128</v>
      </c>
      <c r="F3" s="6" t="s">
        <v>3</v>
      </c>
      <c r="G3" s="7">
        <v>71500</v>
      </c>
      <c r="H3" s="6" t="s">
        <v>8</v>
      </c>
      <c r="I3" s="6" t="s">
        <v>9</v>
      </c>
      <c r="J3" s="8">
        <v>0.71527777777777779</v>
      </c>
      <c r="K3" s="9">
        <v>0.70277777777777783</v>
      </c>
      <c r="L3" s="8">
        <v>0.5</v>
      </c>
      <c r="M3" s="9">
        <v>0.50208333333333333</v>
      </c>
      <c r="N3" s="3" t="s">
        <v>142</v>
      </c>
      <c r="O3" s="10" t="s">
        <v>140</v>
      </c>
      <c r="P3" s="4">
        <v>70</v>
      </c>
      <c r="Q3" s="10">
        <v>704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f t="shared" ref="A4:A5" si="0">A3</f>
        <v>43869</v>
      </c>
      <c r="B4" s="3" t="s">
        <v>0</v>
      </c>
      <c r="C4" s="3" t="s">
        <v>10</v>
      </c>
      <c r="D4" s="3" t="s">
        <v>2</v>
      </c>
      <c r="E4" s="6" t="str">
        <f>E2</f>
        <v>HALWJ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0.6694444444444444</v>
      </c>
      <c r="L4" s="11">
        <v>0.52777777777777779</v>
      </c>
      <c r="M4" s="12">
        <v>0.53611111111111109</v>
      </c>
      <c r="N4" s="3" t="s">
        <v>143</v>
      </c>
      <c r="O4" s="4" t="s">
        <v>141</v>
      </c>
      <c r="P4" s="6">
        <v>783</v>
      </c>
      <c r="Q4" s="10">
        <v>740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f t="shared" si="0"/>
        <v>43869</v>
      </c>
      <c r="B5" s="3" t="s">
        <v>0</v>
      </c>
      <c r="C5" s="3" t="s">
        <v>13</v>
      </c>
      <c r="D5" s="3" t="s">
        <v>2</v>
      </c>
      <c r="E5" s="6" t="str">
        <f>E3</f>
        <v>HALPK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0.93888888888888899</v>
      </c>
      <c r="L5" s="13">
        <v>0.77430555555555547</v>
      </c>
      <c r="M5" s="2">
        <v>0.77986111111111101</v>
      </c>
      <c r="N5" s="3" t="s">
        <v>145</v>
      </c>
      <c r="O5" s="3" t="s">
        <v>144</v>
      </c>
      <c r="P5" s="3">
        <v>881</v>
      </c>
      <c r="Q5" s="10">
        <v>599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Q4" sqref="Q4"/>
    </sheetView>
  </sheetViews>
  <sheetFormatPr defaultRowHeight="15" x14ac:dyDescent="0.25"/>
  <cols>
    <col min="1" max="1" width="7" bestFit="1" customWidth="1"/>
    <col min="4" max="4" width="5.7109375" bestFit="1" customWidth="1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43870</v>
      </c>
      <c r="B2" s="6" t="s">
        <v>0</v>
      </c>
      <c r="C2" s="6" t="s">
        <v>45</v>
      </c>
      <c r="D2" s="6" t="s">
        <v>2</v>
      </c>
      <c r="E2" s="6" t="s">
        <v>146</v>
      </c>
      <c r="F2" s="6" t="s">
        <v>3</v>
      </c>
      <c r="G2" s="7">
        <v>71500</v>
      </c>
      <c r="H2" s="6" t="s">
        <v>46</v>
      </c>
      <c r="I2" s="6" t="s">
        <v>47</v>
      </c>
      <c r="J2" s="8">
        <v>0.65972222222222221</v>
      </c>
      <c r="K2" s="2">
        <v>0.64097222222222217</v>
      </c>
      <c r="L2" s="8">
        <v>0.49305555555555558</v>
      </c>
      <c r="M2" s="9">
        <v>0.49305555555555558</v>
      </c>
      <c r="N2" s="3" t="s">
        <v>148</v>
      </c>
      <c r="O2" s="10" t="s">
        <v>150</v>
      </c>
      <c r="P2" s="10">
        <v>675</v>
      </c>
      <c r="Q2" s="10">
        <v>497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43870</v>
      </c>
      <c r="B3" s="6" t="s">
        <v>0</v>
      </c>
      <c r="C3" s="6" t="s">
        <v>48</v>
      </c>
      <c r="D3" s="6" t="s">
        <v>2</v>
      </c>
      <c r="E3" s="6" t="s">
        <v>147</v>
      </c>
      <c r="F3" s="6" t="s">
        <v>3</v>
      </c>
      <c r="G3" s="7">
        <v>71500</v>
      </c>
      <c r="H3" s="6" t="s">
        <v>50</v>
      </c>
      <c r="I3" s="6" t="s">
        <v>51</v>
      </c>
      <c r="J3" s="8">
        <v>0.77083333333333337</v>
      </c>
      <c r="K3" s="2">
        <v>0.77013888888888893</v>
      </c>
      <c r="L3" s="8">
        <v>0.53819444444444442</v>
      </c>
      <c r="M3" s="9">
        <v>0.54027777777777775</v>
      </c>
      <c r="N3" s="3" t="s">
        <v>106</v>
      </c>
      <c r="O3" s="10" t="s">
        <v>151</v>
      </c>
      <c r="P3" s="6">
        <v>1212</v>
      </c>
      <c r="Q3" s="10">
        <v>1103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43870</v>
      </c>
      <c r="B4" s="6" t="s">
        <v>0</v>
      </c>
      <c r="C4" s="3" t="s">
        <v>52</v>
      </c>
      <c r="D4" s="3" t="s">
        <v>2</v>
      </c>
      <c r="E4" s="6" t="str">
        <f>E2</f>
        <v>HA-LWJ</v>
      </c>
      <c r="F4" s="3" t="s">
        <v>3</v>
      </c>
      <c r="G4" s="7">
        <f>G2</f>
        <v>71500</v>
      </c>
      <c r="H4" s="3" t="s">
        <v>53</v>
      </c>
      <c r="I4" s="3" t="s">
        <v>54</v>
      </c>
      <c r="J4" s="13">
        <v>0.86805555555555547</v>
      </c>
      <c r="K4" s="2">
        <v>0.86388888888888893</v>
      </c>
      <c r="L4" s="13">
        <v>0.68055555555555547</v>
      </c>
      <c r="M4" s="2">
        <v>0.67986111111111114</v>
      </c>
      <c r="N4" s="3" t="s">
        <v>149</v>
      </c>
      <c r="O4" s="3" t="s">
        <v>152</v>
      </c>
      <c r="P4" s="3">
        <v>900</v>
      </c>
      <c r="Q4" s="10">
        <v>456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M8" sqref="M8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43871</v>
      </c>
      <c r="B2" s="6" t="s">
        <v>0</v>
      </c>
      <c r="C2" s="6" t="s">
        <v>68</v>
      </c>
      <c r="D2" s="6" t="s">
        <v>2</v>
      </c>
      <c r="E2" s="6" t="s">
        <v>125</v>
      </c>
      <c r="F2" s="6" t="s">
        <v>3</v>
      </c>
      <c r="G2" s="7">
        <f>G3</f>
        <v>71500</v>
      </c>
      <c r="H2" s="6" t="s">
        <v>69</v>
      </c>
      <c r="I2" s="6" t="s">
        <v>70</v>
      </c>
      <c r="J2" s="8">
        <v>0.46180555555555558</v>
      </c>
      <c r="K2" s="17">
        <v>0.48888888888888887</v>
      </c>
      <c r="L2" s="8">
        <v>0.25694444444444448</v>
      </c>
      <c r="M2" s="17">
        <v>0.26527777777777778</v>
      </c>
      <c r="N2" s="3" t="s">
        <v>153</v>
      </c>
      <c r="O2" s="10" t="s">
        <v>155</v>
      </c>
      <c r="P2" s="10">
        <v>943</v>
      </c>
      <c r="Q2" s="10">
        <v>596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43871</v>
      </c>
      <c r="B3" s="6" t="s">
        <v>0</v>
      </c>
      <c r="C3" s="6" t="s">
        <v>71</v>
      </c>
      <c r="D3" s="6" t="s">
        <v>2</v>
      </c>
      <c r="E3" s="6" t="s">
        <v>128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12">
        <v>0.49861111111111112</v>
      </c>
      <c r="L3" s="8">
        <v>0.30208333333333331</v>
      </c>
      <c r="M3" s="17">
        <v>0.30902777777777779</v>
      </c>
      <c r="N3" s="3" t="s">
        <v>154</v>
      </c>
      <c r="O3" s="10" t="s">
        <v>156</v>
      </c>
      <c r="P3" s="6">
        <v>816</v>
      </c>
      <c r="Q3" s="10">
        <v>668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43871</v>
      </c>
      <c r="B4" s="3" t="s">
        <v>0</v>
      </c>
      <c r="C4" s="3" t="s">
        <v>74</v>
      </c>
      <c r="D4" s="3" t="s">
        <v>2</v>
      </c>
      <c r="E4" s="6" t="s">
        <v>7</v>
      </c>
      <c r="F4" s="3" t="s">
        <v>3</v>
      </c>
      <c r="G4" s="7">
        <v>71500</v>
      </c>
      <c r="H4" s="3" t="s">
        <v>75</v>
      </c>
      <c r="I4" s="3" t="s">
        <v>76</v>
      </c>
      <c r="J4" s="13">
        <v>0.68055555555555547</v>
      </c>
      <c r="K4" s="12">
        <v>0.6791666666666667</v>
      </c>
      <c r="L4" s="13">
        <v>0.52777777777777779</v>
      </c>
      <c r="M4" s="12">
        <v>0.53055555555555556</v>
      </c>
      <c r="N4" s="3" t="s">
        <v>158</v>
      </c>
      <c r="O4" s="3" t="s">
        <v>157</v>
      </c>
      <c r="P4" s="3">
        <v>787</v>
      </c>
      <c r="Q4" s="10">
        <v>484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43871</v>
      </c>
      <c r="B5" s="3" t="s">
        <v>0</v>
      </c>
      <c r="C5" s="3" t="s">
        <v>77</v>
      </c>
      <c r="D5" s="3" t="s">
        <v>2</v>
      </c>
      <c r="E5" s="6" t="s">
        <v>128</v>
      </c>
      <c r="F5" s="3" t="s">
        <v>3</v>
      </c>
      <c r="G5" s="7">
        <f>G4</f>
        <v>71500</v>
      </c>
      <c r="H5" s="6" t="s">
        <v>78</v>
      </c>
      <c r="I5" s="6" t="s">
        <v>79</v>
      </c>
      <c r="J5" s="11">
        <v>0.91319444444444453</v>
      </c>
      <c r="K5" s="18">
        <v>0.90277777777777779</v>
      </c>
      <c r="L5" s="11">
        <v>0.69097222222222221</v>
      </c>
      <c r="M5" s="12">
        <v>0.69444444444444453</v>
      </c>
      <c r="N5" s="3" t="s">
        <v>159</v>
      </c>
      <c r="O5" s="4" t="s">
        <v>161</v>
      </c>
      <c r="P5" s="4">
        <v>743</v>
      </c>
      <c r="Q5" s="10">
        <v>578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43871</v>
      </c>
      <c r="B6" s="3" t="s">
        <v>0</v>
      </c>
      <c r="C6" s="3" t="s">
        <v>80</v>
      </c>
      <c r="D6" s="3" t="s">
        <v>2</v>
      </c>
      <c r="E6" s="6" t="s">
        <v>7</v>
      </c>
      <c r="F6" s="3" t="s">
        <v>3</v>
      </c>
      <c r="G6" s="7">
        <v>71500</v>
      </c>
      <c r="H6" s="3" t="s">
        <v>81</v>
      </c>
      <c r="I6" s="3" t="s">
        <v>82</v>
      </c>
      <c r="J6" s="13">
        <v>0.88194444444444453</v>
      </c>
      <c r="K6" s="2">
        <v>0.87291666666666667</v>
      </c>
      <c r="L6" s="13">
        <v>0.71180555555555547</v>
      </c>
      <c r="M6" s="2">
        <v>0.71527777777777779</v>
      </c>
      <c r="N6" s="3" t="s">
        <v>160</v>
      </c>
      <c r="O6" s="3" t="s">
        <v>138</v>
      </c>
      <c r="P6" s="3">
        <v>543</v>
      </c>
      <c r="Q6" s="3">
        <v>349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D1" workbookViewId="0">
      <selection sqref="A1:U5"/>
    </sheetView>
  </sheetViews>
  <sheetFormatPr defaultRowHeight="15" x14ac:dyDescent="0.25"/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43872</v>
      </c>
      <c r="B2" s="6" t="s">
        <v>0</v>
      </c>
      <c r="C2" s="6" t="s">
        <v>1</v>
      </c>
      <c r="D2" s="6" t="s">
        <v>2</v>
      </c>
      <c r="E2" s="6" t="s">
        <v>7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0.51111111111111118</v>
      </c>
      <c r="L2" s="8">
        <v>0.32291666666666669</v>
      </c>
      <c r="M2" s="9">
        <v>0.33124999999999999</v>
      </c>
      <c r="N2" s="3" t="s">
        <v>163</v>
      </c>
      <c r="O2" s="10" t="s">
        <v>162</v>
      </c>
      <c r="P2" s="10">
        <v>880</v>
      </c>
      <c r="Q2" s="10">
        <v>578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43872</v>
      </c>
      <c r="B3" s="6" t="s">
        <v>0</v>
      </c>
      <c r="C3" s="6" t="s">
        <v>6</v>
      </c>
      <c r="D3" s="6" t="s">
        <v>2</v>
      </c>
      <c r="E3" s="6" t="s">
        <v>128</v>
      </c>
      <c r="F3" s="6" t="s">
        <v>3</v>
      </c>
      <c r="G3" s="7">
        <v>71500</v>
      </c>
      <c r="H3" s="6" t="s">
        <v>8</v>
      </c>
      <c r="I3" s="6" t="s">
        <v>9</v>
      </c>
      <c r="J3" s="8">
        <v>0.72916666666666663</v>
      </c>
      <c r="K3" s="9">
        <v>0.71319444444444446</v>
      </c>
      <c r="L3" s="8">
        <v>0.51388888888888895</v>
      </c>
      <c r="M3" s="9">
        <v>0.51874999999999993</v>
      </c>
      <c r="N3" s="3" t="s">
        <v>168</v>
      </c>
      <c r="O3" s="10" t="s">
        <v>164</v>
      </c>
      <c r="P3" s="4">
        <v>1128</v>
      </c>
      <c r="Q3" s="10">
        <v>715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43872</v>
      </c>
      <c r="B4" s="3" t="s">
        <v>0</v>
      </c>
      <c r="C4" s="3" t="s">
        <v>10</v>
      </c>
      <c r="D4" s="3" t="s">
        <v>2</v>
      </c>
      <c r="E4" s="6" t="s">
        <v>7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 t="s">
        <v>166</v>
      </c>
      <c r="L4" s="11">
        <v>0.52777777777777779</v>
      </c>
      <c r="M4" s="12">
        <v>0.54861111111111105</v>
      </c>
      <c r="N4" s="3" t="s">
        <v>169</v>
      </c>
      <c r="O4" s="39" t="s">
        <v>165</v>
      </c>
      <c r="P4" s="6">
        <v>743</v>
      </c>
      <c r="Q4" s="10">
        <v>486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43872</v>
      </c>
      <c r="B5" s="3" t="s">
        <v>0</v>
      </c>
      <c r="C5" s="3" t="s">
        <v>13</v>
      </c>
      <c r="D5" s="3" t="s">
        <v>2</v>
      </c>
      <c r="E5" s="6" t="s">
        <v>128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0.93611111111111101</v>
      </c>
      <c r="L5" s="13">
        <v>0.77430555555555547</v>
      </c>
      <c r="M5" s="2">
        <v>0.77222222222222225</v>
      </c>
      <c r="N5" s="3" t="s">
        <v>170</v>
      </c>
      <c r="O5" s="3" t="s">
        <v>167</v>
      </c>
      <c r="P5" s="3">
        <v>720</v>
      </c>
      <c r="Q5" s="10">
        <v>772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/>
      <c r="B6" s="3"/>
      <c r="C6" s="3"/>
      <c r="D6" s="3"/>
      <c r="E6" s="6"/>
      <c r="F6" s="3"/>
      <c r="G6" s="7"/>
      <c r="H6" s="3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G1" workbookViewId="0">
      <selection sqref="A1:U4"/>
    </sheetView>
  </sheetViews>
  <sheetFormatPr defaultRowHeight="15" x14ac:dyDescent="0.25"/>
  <cols>
    <col min="3" max="3" width="15.85546875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16" customFormat="1" ht="12.75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2" x14ac:dyDescent="0.25">
      <c r="A2" s="5">
        <v>43873</v>
      </c>
      <c r="B2" s="23" t="s">
        <v>0</v>
      </c>
      <c r="C2" s="23" t="s">
        <v>68</v>
      </c>
      <c r="D2" s="23" t="s">
        <v>2</v>
      </c>
      <c r="E2" s="23" t="s">
        <v>7</v>
      </c>
      <c r="F2" s="23" t="s">
        <v>3</v>
      </c>
      <c r="G2" s="24">
        <v>71500</v>
      </c>
      <c r="H2" s="23" t="s">
        <v>69</v>
      </c>
      <c r="I2" s="23" t="s">
        <v>70</v>
      </c>
      <c r="J2" s="25">
        <v>0.46180555555555558</v>
      </c>
      <c r="K2" s="26">
        <v>0.4513888888888889</v>
      </c>
      <c r="L2" s="25">
        <v>0.25694444444444448</v>
      </c>
      <c r="M2" s="26">
        <v>0.26597222222222222</v>
      </c>
      <c r="N2" s="3" t="s">
        <v>172</v>
      </c>
      <c r="O2" s="27" t="s">
        <v>130</v>
      </c>
      <c r="P2" s="27">
        <v>896</v>
      </c>
      <c r="Q2" s="27">
        <v>731</v>
      </c>
      <c r="R2" s="23">
        <v>0</v>
      </c>
      <c r="S2" s="23">
        <v>0</v>
      </c>
      <c r="T2" s="23">
        <v>0</v>
      </c>
      <c r="U2" s="23">
        <v>0</v>
      </c>
      <c r="V2" s="22"/>
    </row>
    <row r="3" spans="1:22" x14ac:dyDescent="0.25">
      <c r="A3" s="5">
        <f>A2</f>
        <v>43873</v>
      </c>
      <c r="B3" s="23" t="s">
        <v>0</v>
      </c>
      <c r="C3" s="23" t="s">
        <v>71</v>
      </c>
      <c r="D3" s="23" t="s">
        <v>2</v>
      </c>
      <c r="E3" s="23" t="s">
        <v>128</v>
      </c>
      <c r="F3" s="23" t="s">
        <v>3</v>
      </c>
      <c r="G3" s="24">
        <v>71500</v>
      </c>
      <c r="H3" s="23" t="s">
        <v>72</v>
      </c>
      <c r="I3" s="23" t="s">
        <v>73</v>
      </c>
      <c r="J3" s="25">
        <v>0.50694444444444442</v>
      </c>
      <c r="K3" s="26">
        <v>0.4916666666666667</v>
      </c>
      <c r="L3" s="25">
        <v>0.30208333333333331</v>
      </c>
      <c r="M3" s="26">
        <v>0.2986111111111111</v>
      </c>
      <c r="N3" s="3" t="s">
        <v>173</v>
      </c>
      <c r="O3" s="27" t="s">
        <v>171</v>
      </c>
      <c r="P3" s="23">
        <v>915</v>
      </c>
      <c r="Q3" s="27">
        <v>659</v>
      </c>
      <c r="R3" s="23">
        <v>0</v>
      </c>
      <c r="S3" s="23">
        <v>0</v>
      </c>
      <c r="T3" s="23">
        <v>0</v>
      </c>
      <c r="U3" s="23">
        <v>0</v>
      </c>
      <c r="V3" s="22"/>
    </row>
    <row r="4" spans="1:22" x14ac:dyDescent="0.25">
      <c r="A4" s="5">
        <f>A3</f>
        <v>43873</v>
      </c>
      <c r="B4" s="23" t="s">
        <v>0</v>
      </c>
      <c r="C4" s="23" t="s">
        <v>45</v>
      </c>
      <c r="D4" s="23" t="s">
        <v>2</v>
      </c>
      <c r="E4" s="23" t="str">
        <f>E2</f>
        <v>HALWG</v>
      </c>
      <c r="F4" s="23" t="s">
        <v>3</v>
      </c>
      <c r="G4" s="24">
        <v>71500</v>
      </c>
      <c r="H4" s="23" t="s">
        <v>46</v>
      </c>
      <c r="I4" s="23" t="s">
        <v>47</v>
      </c>
      <c r="J4" s="25">
        <v>0.65972222222222221</v>
      </c>
      <c r="K4" s="2">
        <f>J4</f>
        <v>0.65972222222222221</v>
      </c>
      <c r="L4" s="25">
        <v>0.49305555555555558</v>
      </c>
      <c r="M4" s="26">
        <v>0.49722222222222223</v>
      </c>
      <c r="N4" s="3" t="s">
        <v>174</v>
      </c>
      <c r="O4" s="27" t="s">
        <v>175</v>
      </c>
      <c r="P4" s="27">
        <v>930</v>
      </c>
      <c r="Q4" s="27">
        <v>616</v>
      </c>
      <c r="R4" s="23">
        <v>0</v>
      </c>
      <c r="S4" s="23">
        <v>0</v>
      </c>
      <c r="T4" s="23">
        <v>0</v>
      </c>
      <c r="U4" s="23">
        <v>0</v>
      </c>
      <c r="V4" s="22"/>
    </row>
    <row r="5" spans="1:22" x14ac:dyDescent="0.25">
      <c r="A5" s="5"/>
      <c r="B5" s="3"/>
      <c r="C5" s="3"/>
      <c r="D5" s="3"/>
      <c r="E5" s="28"/>
      <c r="F5" s="3"/>
      <c r="G5" s="29"/>
      <c r="H5" s="3"/>
      <c r="I5" s="3"/>
      <c r="J5" s="30"/>
      <c r="K5" s="31"/>
      <c r="L5" s="30"/>
      <c r="M5" s="31"/>
      <c r="N5" s="31"/>
      <c r="O5" s="32"/>
      <c r="P5" s="28"/>
      <c r="Q5" s="32"/>
      <c r="R5" s="3"/>
      <c r="S5" s="3"/>
      <c r="T5" s="3"/>
      <c r="U5" s="3"/>
      <c r="V5" s="22"/>
    </row>
    <row r="6" spans="1:22" x14ac:dyDescent="0.25">
      <c r="A6" s="5"/>
      <c r="B6" s="31"/>
      <c r="C6" s="31"/>
      <c r="D6" s="31"/>
      <c r="E6" s="31"/>
      <c r="F6" s="31"/>
      <c r="G6" s="29"/>
      <c r="H6" s="31"/>
      <c r="I6" s="31"/>
      <c r="J6" s="31"/>
      <c r="K6" s="31"/>
      <c r="L6" s="31"/>
      <c r="M6" s="31"/>
      <c r="N6" s="28"/>
      <c r="O6" s="28"/>
      <c r="P6" s="28"/>
      <c r="Q6" s="28"/>
      <c r="R6" s="28"/>
      <c r="S6" s="28"/>
      <c r="T6" s="3"/>
      <c r="U6" s="3"/>
      <c r="V6" s="31"/>
    </row>
    <row r="7" spans="1:22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C1" workbookViewId="0">
      <selection activeCell="K3" sqref="K3"/>
    </sheetView>
  </sheetViews>
  <sheetFormatPr defaultRowHeight="15" x14ac:dyDescent="0.25"/>
  <cols>
    <col min="1" max="1" width="7.85546875" style="33" bestFit="1" customWidth="1"/>
    <col min="2" max="2" width="9.140625" style="33" bestFit="1" customWidth="1"/>
    <col min="3" max="3" width="13.140625" style="33" bestFit="1" customWidth="1"/>
    <col min="4" max="4" width="5.7109375" style="33" bestFit="1" customWidth="1"/>
    <col min="5" max="5" width="7.140625" style="33" bestFit="1" customWidth="1"/>
    <col min="6" max="6" width="12.140625" style="33" bestFit="1" customWidth="1"/>
    <col min="7" max="7" width="9.140625" style="33"/>
    <col min="8" max="9" width="9.7109375" style="33" bestFit="1" customWidth="1"/>
    <col min="10" max="10" width="11" style="33" bestFit="1" customWidth="1"/>
    <col min="11" max="11" width="10.85546875" style="33" bestFit="1" customWidth="1"/>
    <col min="12" max="12" width="11" style="33" bestFit="1" customWidth="1"/>
    <col min="13" max="13" width="10.85546875" style="33" bestFit="1" customWidth="1"/>
    <col min="14" max="15" width="18.42578125" style="33" bestFit="1" customWidth="1"/>
    <col min="16" max="17" width="10.28515625" style="33" bestFit="1" customWidth="1"/>
    <col min="18" max="16384" width="9.140625" style="33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43874</v>
      </c>
      <c r="B2" s="28" t="s">
        <v>0</v>
      </c>
      <c r="C2" s="28" t="s">
        <v>48</v>
      </c>
      <c r="D2" s="28" t="s">
        <v>2</v>
      </c>
      <c r="E2" s="28" t="s">
        <v>128</v>
      </c>
      <c r="F2" s="28" t="s">
        <v>3</v>
      </c>
      <c r="G2" s="29">
        <v>71500</v>
      </c>
      <c r="H2" s="28" t="s">
        <v>50</v>
      </c>
      <c r="I2" s="28" t="s">
        <v>51</v>
      </c>
      <c r="J2" s="34">
        <v>0.65972222222222221</v>
      </c>
      <c r="K2" s="35">
        <v>0.67013888888888884</v>
      </c>
      <c r="L2" s="34">
        <v>0.42708333333333331</v>
      </c>
      <c r="M2" s="35">
        <v>0.4375</v>
      </c>
      <c r="N2" s="35" t="s">
        <v>177</v>
      </c>
      <c r="O2" s="35" t="s">
        <v>176</v>
      </c>
      <c r="P2" s="32">
        <v>1096</v>
      </c>
      <c r="Q2" s="32">
        <v>776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5">
        <f>A2</f>
        <v>43874</v>
      </c>
      <c r="B3" s="28" t="s">
        <v>0</v>
      </c>
      <c r="C3" s="28" t="s">
        <v>52</v>
      </c>
      <c r="D3" s="28" t="s">
        <v>2</v>
      </c>
      <c r="E3" s="28" t="str">
        <f>E2</f>
        <v>HALPK</v>
      </c>
      <c r="F3" s="28" t="s">
        <v>3</v>
      </c>
      <c r="G3" s="29">
        <v>71500</v>
      </c>
      <c r="H3" s="28" t="s">
        <v>53</v>
      </c>
      <c r="I3" s="28" t="s">
        <v>54</v>
      </c>
      <c r="J3" s="34">
        <v>0.86805555555555547</v>
      </c>
      <c r="K3" s="35">
        <v>0.89027777777777783</v>
      </c>
      <c r="L3" s="34">
        <v>0.68055555555555547</v>
      </c>
      <c r="M3" s="35">
        <v>0.70763888888888893</v>
      </c>
      <c r="N3" s="35" t="s">
        <v>108</v>
      </c>
      <c r="O3" s="35" t="s">
        <v>178</v>
      </c>
      <c r="P3" s="32">
        <v>1159</v>
      </c>
      <c r="Q3" s="32">
        <v>747</v>
      </c>
      <c r="R3" s="28">
        <v>0</v>
      </c>
      <c r="S3" s="28">
        <v>0</v>
      </c>
      <c r="T3" s="28">
        <v>0</v>
      </c>
      <c r="U3" s="28">
        <v>0</v>
      </c>
    </row>
    <row r="4" spans="1:21" x14ac:dyDescent="0.25">
      <c r="A4" s="5"/>
      <c r="B4" s="28"/>
      <c r="C4" s="28"/>
      <c r="D4" s="28"/>
      <c r="E4" s="28"/>
      <c r="F4" s="28"/>
      <c r="G4" s="29"/>
      <c r="H4" s="28"/>
      <c r="I4" s="28"/>
      <c r="J4" s="34"/>
      <c r="K4" s="35"/>
      <c r="L4" s="34"/>
      <c r="M4" s="35"/>
      <c r="N4" s="35"/>
      <c r="O4" s="35"/>
      <c r="P4" s="32"/>
      <c r="Q4" s="32"/>
      <c r="R4" s="28"/>
      <c r="S4" s="28"/>
      <c r="T4" s="28"/>
      <c r="U4" s="2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K7" sqref="K7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2" x14ac:dyDescent="0.25">
      <c r="A2" s="5">
        <v>43875</v>
      </c>
      <c r="B2" s="6" t="s">
        <v>0</v>
      </c>
      <c r="C2" s="6" t="s">
        <v>68</v>
      </c>
      <c r="D2" s="6" t="s">
        <v>2</v>
      </c>
      <c r="E2" s="6" t="s">
        <v>179</v>
      </c>
      <c r="F2" s="6" t="s">
        <v>3</v>
      </c>
      <c r="G2" s="7">
        <v>71500</v>
      </c>
      <c r="H2" s="6" t="s">
        <v>69</v>
      </c>
      <c r="I2" s="6" t="s">
        <v>70</v>
      </c>
      <c r="J2" s="8">
        <v>0.46180555555555558</v>
      </c>
      <c r="K2" s="9">
        <v>0.45555555555555555</v>
      </c>
      <c r="L2" s="8">
        <v>0.25694444444444448</v>
      </c>
      <c r="M2" s="9">
        <v>0.2590277777777778</v>
      </c>
      <c r="N2" s="3" t="s">
        <v>181</v>
      </c>
      <c r="O2" s="10" t="s">
        <v>183</v>
      </c>
      <c r="P2" s="10">
        <v>750</v>
      </c>
      <c r="Q2" s="10">
        <v>671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f t="shared" ref="A3:A7" si="0">A2</f>
        <v>43875</v>
      </c>
      <c r="B3" s="6" t="s">
        <v>0</v>
      </c>
      <c r="C3" s="6" t="s">
        <v>71</v>
      </c>
      <c r="D3" s="6" t="s">
        <v>2</v>
      </c>
      <c r="E3" s="6" t="s">
        <v>128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9">
        <v>0.49861111111111112</v>
      </c>
      <c r="L3" s="8">
        <v>0.30208333333333331</v>
      </c>
      <c r="M3" s="9">
        <v>0.30833333333333335</v>
      </c>
      <c r="N3" s="3" t="s">
        <v>182</v>
      </c>
      <c r="O3" s="10" t="s">
        <v>184</v>
      </c>
      <c r="P3" s="6">
        <v>1033</v>
      </c>
      <c r="Q3" s="10">
        <v>869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f t="shared" si="0"/>
        <v>43875</v>
      </c>
      <c r="B4" s="3" t="s">
        <v>0</v>
      </c>
      <c r="C4" s="3" t="s">
        <v>45</v>
      </c>
      <c r="D4" s="3" t="s">
        <v>2</v>
      </c>
      <c r="E4" s="6" t="s">
        <v>180</v>
      </c>
      <c r="F4" s="3" t="s">
        <v>3</v>
      </c>
      <c r="G4" s="7">
        <v>71500</v>
      </c>
      <c r="H4" s="6" t="s">
        <v>46</v>
      </c>
      <c r="I4" s="6" t="s">
        <v>47</v>
      </c>
      <c r="J4" s="36">
        <v>0.65972222222222221</v>
      </c>
      <c r="K4" s="2">
        <v>0.66180555555555554</v>
      </c>
      <c r="L4" s="36">
        <v>0.49305555555555558</v>
      </c>
      <c r="M4" s="17">
        <v>0.50277777777777777</v>
      </c>
      <c r="N4" s="3" t="s">
        <v>187</v>
      </c>
      <c r="O4" s="16" t="s">
        <v>185</v>
      </c>
      <c r="P4" s="16">
        <v>682</v>
      </c>
      <c r="Q4" s="10">
        <v>792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5">
        <f t="shared" si="0"/>
        <v>43875</v>
      </c>
      <c r="B5" s="3" t="s">
        <v>0</v>
      </c>
      <c r="C5" s="3" t="s">
        <v>74</v>
      </c>
      <c r="D5" s="3" t="s">
        <v>2</v>
      </c>
      <c r="E5" s="6" t="s">
        <v>128</v>
      </c>
      <c r="F5" s="3" t="s">
        <v>3</v>
      </c>
      <c r="G5" s="7">
        <v>71500</v>
      </c>
      <c r="H5" s="3" t="s">
        <v>75</v>
      </c>
      <c r="I5" s="3" t="s">
        <v>76</v>
      </c>
      <c r="J5" s="13">
        <v>0.68055555555555547</v>
      </c>
      <c r="K5" s="2">
        <v>0.68125000000000002</v>
      </c>
      <c r="L5" s="13">
        <v>0.52777777777777779</v>
      </c>
      <c r="M5" s="2">
        <v>0.54305555555555551</v>
      </c>
      <c r="N5" s="3" t="s">
        <v>188</v>
      </c>
      <c r="O5" s="3" t="s">
        <v>186</v>
      </c>
      <c r="P5" s="3">
        <v>833</v>
      </c>
      <c r="Q5" s="10">
        <v>454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5">
        <f t="shared" si="0"/>
        <v>43875</v>
      </c>
      <c r="B6" s="3" t="s">
        <v>0</v>
      </c>
      <c r="C6" s="3" t="s">
        <v>77</v>
      </c>
      <c r="D6" s="3" t="s">
        <v>2</v>
      </c>
      <c r="E6" s="6" t="str">
        <f>E4</f>
        <v>HALWU</v>
      </c>
      <c r="F6" s="3" t="s">
        <v>3</v>
      </c>
      <c r="G6" s="7">
        <v>71500</v>
      </c>
      <c r="H6" s="6" t="s">
        <v>78</v>
      </c>
      <c r="I6" s="6" t="s">
        <v>79</v>
      </c>
      <c r="J6" s="36">
        <v>0.91319444444444453</v>
      </c>
      <c r="K6" s="2">
        <v>0.90625</v>
      </c>
      <c r="L6" s="36">
        <v>0.69097222222222221</v>
      </c>
      <c r="M6" s="17">
        <v>0.69097222222222221</v>
      </c>
      <c r="N6" s="3" t="s">
        <v>191</v>
      </c>
      <c r="O6" s="16" t="s">
        <v>189</v>
      </c>
      <c r="P6" s="16">
        <v>798</v>
      </c>
      <c r="Q6" s="10">
        <v>611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5">
        <f t="shared" si="0"/>
        <v>43875</v>
      </c>
      <c r="B7" s="3" t="s">
        <v>0</v>
      </c>
      <c r="C7" s="3" t="s">
        <v>80</v>
      </c>
      <c r="D7" s="3" t="s">
        <v>2</v>
      </c>
      <c r="E7" s="6" t="s">
        <v>128</v>
      </c>
      <c r="F7" s="3" t="s">
        <v>3</v>
      </c>
      <c r="G7" s="7">
        <v>71500</v>
      </c>
      <c r="H7" s="6" t="s">
        <v>81</v>
      </c>
      <c r="I7" s="6" t="s">
        <v>82</v>
      </c>
      <c r="J7" s="36">
        <v>0.88194444444444453</v>
      </c>
      <c r="K7" s="12">
        <v>0.88194444444444453</v>
      </c>
      <c r="L7" s="36">
        <v>0.71180555555555547</v>
      </c>
      <c r="M7" s="12">
        <v>0.72569444444444453</v>
      </c>
      <c r="N7" s="3" t="s">
        <v>120</v>
      </c>
      <c r="O7" s="3" t="s">
        <v>190</v>
      </c>
      <c r="P7" s="3">
        <v>590</v>
      </c>
      <c r="Q7" s="10">
        <v>335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6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7"/>
      <c r="B9" s="3"/>
      <c r="C9" s="3"/>
      <c r="D9" s="3"/>
      <c r="E9" s="6"/>
      <c r="F9" s="3"/>
      <c r="G9" s="38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sqref="A1:U5"/>
    </sheetView>
  </sheetViews>
  <sheetFormatPr defaultRowHeight="15" x14ac:dyDescent="0.25"/>
  <cols>
    <col min="3" max="3" width="13.425781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3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s="4" customFormat="1" ht="12.75" x14ac:dyDescent="0.2">
      <c r="A2" s="5">
        <v>43876</v>
      </c>
      <c r="B2" s="6" t="s">
        <v>0</v>
      </c>
      <c r="C2" s="6" t="s">
        <v>1</v>
      </c>
      <c r="D2" s="6" t="s">
        <v>2</v>
      </c>
      <c r="E2" s="6" t="s">
        <v>128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0.50555555555555554</v>
      </c>
      <c r="L2" s="8">
        <v>0.32291666666666669</v>
      </c>
      <c r="M2" s="9">
        <v>0.32777777777777778</v>
      </c>
      <c r="N2" s="3" t="s">
        <v>192</v>
      </c>
      <c r="O2" s="10" t="s">
        <v>193</v>
      </c>
      <c r="P2" s="10">
        <v>905</v>
      </c>
      <c r="Q2" s="10">
        <v>591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f>A2</f>
        <v>43876</v>
      </c>
      <c r="B3" s="6" t="s">
        <v>0</v>
      </c>
      <c r="C3" s="6" t="s">
        <v>6</v>
      </c>
      <c r="D3" s="6" t="s">
        <v>2</v>
      </c>
      <c r="E3" s="6" t="s">
        <v>180</v>
      </c>
      <c r="F3" s="6" t="s">
        <v>3</v>
      </c>
      <c r="G3" s="7">
        <v>71500</v>
      </c>
      <c r="H3" s="6" t="s">
        <v>8</v>
      </c>
      <c r="I3" s="6" t="s">
        <v>9</v>
      </c>
      <c r="J3" s="8">
        <v>0.71527777777777779</v>
      </c>
      <c r="K3" s="9">
        <v>0.71250000000000002</v>
      </c>
      <c r="L3" s="8">
        <v>0.5</v>
      </c>
      <c r="M3" s="9">
        <v>0.50902777777777775</v>
      </c>
      <c r="N3" s="3" t="s">
        <v>196</v>
      </c>
      <c r="O3" s="10" t="s">
        <v>194</v>
      </c>
      <c r="P3" s="4">
        <v>848</v>
      </c>
      <c r="Q3" s="10">
        <v>772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f t="shared" ref="A4:A5" si="0">A3</f>
        <v>43876</v>
      </c>
      <c r="B4" s="3" t="s">
        <v>0</v>
      </c>
      <c r="C4" s="3" t="s">
        <v>10</v>
      </c>
      <c r="D4" s="3" t="s">
        <v>2</v>
      </c>
      <c r="E4" s="6" t="str">
        <f>E2</f>
        <v>HALPK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0.69444444444444453</v>
      </c>
      <c r="L4" s="11">
        <v>0.52777777777777779</v>
      </c>
      <c r="M4" s="12">
        <v>0.54166666666666663</v>
      </c>
      <c r="N4" s="3" t="s">
        <v>197</v>
      </c>
      <c r="O4" s="4" t="s">
        <v>195</v>
      </c>
      <c r="P4" s="6">
        <v>812</v>
      </c>
      <c r="Q4" s="10">
        <v>866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f t="shared" si="0"/>
        <v>43876</v>
      </c>
      <c r="B5" s="3" t="s">
        <v>0</v>
      </c>
      <c r="C5" s="3" t="s">
        <v>13</v>
      </c>
      <c r="D5" s="3" t="s">
        <v>2</v>
      </c>
      <c r="E5" s="6" t="str">
        <f>E3</f>
        <v>HALWU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0.9375</v>
      </c>
      <c r="L5" s="13">
        <v>0.77430555555555547</v>
      </c>
      <c r="M5" s="2">
        <v>0.77430555555555547</v>
      </c>
      <c r="N5" s="3" t="s">
        <v>122</v>
      </c>
      <c r="O5" s="3" t="s">
        <v>198</v>
      </c>
      <c r="P5" s="3">
        <v>805</v>
      </c>
      <c r="Q5" s="10">
        <v>557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B1" sqref="A1:XFD1048576"/>
    </sheetView>
  </sheetViews>
  <sheetFormatPr defaultRowHeight="15" x14ac:dyDescent="0.25"/>
  <cols>
    <col min="1" max="1" width="7.85546875" bestFit="1" customWidth="1"/>
    <col min="3" max="3" width="13.140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43877</v>
      </c>
      <c r="B2" s="6" t="s">
        <v>0</v>
      </c>
      <c r="C2" s="6" t="s">
        <v>45</v>
      </c>
      <c r="D2" s="6" t="s">
        <v>2</v>
      </c>
      <c r="E2" s="6" t="s">
        <v>128</v>
      </c>
      <c r="F2" s="6" t="s">
        <v>3</v>
      </c>
      <c r="G2" s="7">
        <v>71500</v>
      </c>
      <c r="H2" s="6" t="s">
        <v>46</v>
      </c>
      <c r="I2" s="6" t="s">
        <v>47</v>
      </c>
      <c r="J2" s="8">
        <v>0.65972222222222221</v>
      </c>
      <c r="K2" s="2">
        <v>0.65277777777777779</v>
      </c>
      <c r="L2" s="8">
        <v>0.49305555555555558</v>
      </c>
      <c r="M2" s="9">
        <v>0.4909722222222222</v>
      </c>
      <c r="N2" s="3" t="s">
        <v>200</v>
      </c>
      <c r="O2" s="10" t="s">
        <v>199</v>
      </c>
      <c r="P2" s="10">
        <v>1085</v>
      </c>
      <c r="Q2" s="10">
        <v>549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43877</v>
      </c>
      <c r="B3" s="6" t="s">
        <v>0</v>
      </c>
      <c r="C3" s="6" t="s">
        <v>48</v>
      </c>
      <c r="D3" s="6" t="s">
        <v>2</v>
      </c>
      <c r="E3" s="6" t="s">
        <v>180</v>
      </c>
      <c r="F3" s="6" t="s">
        <v>3</v>
      </c>
      <c r="G3" s="7">
        <v>71500</v>
      </c>
      <c r="H3" s="6" t="s">
        <v>50</v>
      </c>
      <c r="I3" s="6" t="s">
        <v>51</v>
      </c>
      <c r="J3" s="8">
        <v>0.77083333333333337</v>
      </c>
      <c r="K3" s="2">
        <v>0.76666666666666661</v>
      </c>
      <c r="L3" s="8">
        <v>0.53819444444444442</v>
      </c>
      <c r="M3" s="9">
        <v>0.54027777777777775</v>
      </c>
      <c r="N3" s="3" t="s">
        <v>202</v>
      </c>
      <c r="O3" s="10" t="s">
        <v>152</v>
      </c>
      <c r="P3" s="6">
        <v>1055</v>
      </c>
      <c r="Q3" s="10">
        <v>1039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>A3</f>
        <v>43877</v>
      </c>
      <c r="B4" s="6" t="s">
        <v>0</v>
      </c>
      <c r="C4" s="3" t="s">
        <v>52</v>
      </c>
      <c r="D4" s="3" t="s">
        <v>2</v>
      </c>
      <c r="E4" s="6" t="str">
        <f>E2</f>
        <v>HALPK</v>
      </c>
      <c r="F4" s="3" t="s">
        <v>3</v>
      </c>
      <c r="G4" s="7">
        <f>G2</f>
        <v>71500</v>
      </c>
      <c r="H4" s="3" t="s">
        <v>53</v>
      </c>
      <c r="I4" s="3" t="s">
        <v>54</v>
      </c>
      <c r="J4" s="13">
        <v>0.86805555555555547</v>
      </c>
      <c r="K4" s="2">
        <v>0.86458333333333337</v>
      </c>
      <c r="L4" s="13">
        <v>0.68055555555555547</v>
      </c>
      <c r="M4" s="2">
        <v>0.68402777777777779</v>
      </c>
      <c r="N4" s="3" t="s">
        <v>203</v>
      </c>
      <c r="O4" s="3" t="s">
        <v>201</v>
      </c>
      <c r="P4" s="3">
        <v>1188</v>
      </c>
      <c r="Q4" s="10">
        <v>902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/>
      <c r="B5" s="3"/>
      <c r="C5" s="3"/>
      <c r="D5" s="3"/>
      <c r="E5" s="6"/>
      <c r="F5" s="3"/>
      <c r="G5" s="7"/>
      <c r="H5" s="3"/>
      <c r="I5" s="3"/>
      <c r="J5" s="13"/>
      <c r="K5" s="2"/>
      <c r="L5" s="13"/>
      <c r="M5" s="2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K5" sqref="K5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43878</v>
      </c>
      <c r="B2" s="6" t="s">
        <v>0</v>
      </c>
      <c r="C2" s="6" t="s">
        <v>68</v>
      </c>
      <c r="D2" s="6" t="s">
        <v>2</v>
      </c>
      <c r="E2" s="6" t="s">
        <v>128</v>
      </c>
      <c r="F2" s="6" t="s">
        <v>3</v>
      </c>
      <c r="G2" s="7">
        <f>G3</f>
        <v>71500</v>
      </c>
      <c r="H2" s="6" t="s">
        <v>69</v>
      </c>
      <c r="I2" s="6" t="s">
        <v>70</v>
      </c>
      <c r="J2" s="8">
        <v>0.46180555555555558</v>
      </c>
      <c r="K2" s="17">
        <v>0.46249999999999997</v>
      </c>
      <c r="L2" s="8">
        <v>0.25694444444444448</v>
      </c>
      <c r="M2" s="17">
        <v>0.26041666666666669</v>
      </c>
      <c r="N2" s="3" t="s">
        <v>206</v>
      </c>
      <c r="O2" s="10" t="s">
        <v>204</v>
      </c>
      <c r="P2" s="10">
        <v>849</v>
      </c>
      <c r="Q2" s="10">
        <v>774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43878</v>
      </c>
      <c r="B3" s="6" t="s">
        <v>0</v>
      </c>
      <c r="C3" s="6" t="s">
        <v>71</v>
      </c>
      <c r="D3" s="6" t="s">
        <v>2</v>
      </c>
      <c r="E3" s="6" t="s">
        <v>180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12">
        <v>0.49861111111111112</v>
      </c>
      <c r="L3" s="8">
        <v>0.30208333333333331</v>
      </c>
      <c r="M3" s="17">
        <v>0.30763888888888891</v>
      </c>
      <c r="N3" s="3" t="s">
        <v>207</v>
      </c>
      <c r="O3" s="10" t="s">
        <v>205</v>
      </c>
      <c r="P3" s="6">
        <v>861</v>
      </c>
      <c r="Q3" s="10">
        <v>1011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43878</v>
      </c>
      <c r="B4" s="3" t="s">
        <v>0</v>
      </c>
      <c r="C4" s="3" t="s">
        <v>74</v>
      </c>
      <c r="D4" s="3" t="s">
        <v>2</v>
      </c>
      <c r="E4" s="6" t="str">
        <f>E2</f>
        <v>HALPK</v>
      </c>
      <c r="F4" s="3" t="s">
        <v>3</v>
      </c>
      <c r="G4" s="7">
        <v>71500</v>
      </c>
      <c r="H4" s="3" t="s">
        <v>75</v>
      </c>
      <c r="I4" s="3" t="s">
        <v>76</v>
      </c>
      <c r="J4" s="13">
        <v>0.68055555555555547</v>
      </c>
      <c r="K4" s="12">
        <v>0.67152777777777783</v>
      </c>
      <c r="L4" s="13">
        <v>0.52777777777777779</v>
      </c>
      <c r="M4" s="12">
        <v>0.52916666666666667</v>
      </c>
      <c r="N4" s="3" t="s">
        <v>209</v>
      </c>
      <c r="O4" s="3" t="s">
        <v>208</v>
      </c>
      <c r="P4" s="3">
        <v>769</v>
      </c>
      <c r="Q4" s="10">
        <v>634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43878</v>
      </c>
      <c r="B5" s="3" t="s">
        <v>0</v>
      </c>
      <c r="C5" s="3" t="s">
        <v>77</v>
      </c>
      <c r="D5" s="3" t="s">
        <v>2</v>
      </c>
      <c r="E5" s="6" t="str">
        <f>E3</f>
        <v>HALWU</v>
      </c>
      <c r="F5" s="3" t="s">
        <v>3</v>
      </c>
      <c r="G5" s="7">
        <f>G4</f>
        <v>71500</v>
      </c>
      <c r="H5" s="6" t="s">
        <v>78</v>
      </c>
      <c r="I5" s="6" t="s">
        <v>79</v>
      </c>
      <c r="J5" s="11">
        <v>0.91319444444444453</v>
      </c>
      <c r="K5" s="18">
        <v>0.90416666666666667</v>
      </c>
      <c r="L5" s="11">
        <v>0.69097222222222221</v>
      </c>
      <c r="M5" s="12">
        <v>0.69652777777777775</v>
      </c>
      <c r="N5" s="3" t="s">
        <v>212</v>
      </c>
      <c r="O5" s="4" t="s">
        <v>210</v>
      </c>
      <c r="P5" s="4">
        <v>596</v>
      </c>
      <c r="Q5" s="10">
        <v>872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43878</v>
      </c>
      <c r="B6" s="3" t="s">
        <v>0</v>
      </c>
      <c r="C6" s="3" t="s">
        <v>80</v>
      </c>
      <c r="D6" s="3" t="s">
        <v>2</v>
      </c>
      <c r="E6" s="6" t="str">
        <f>E4</f>
        <v>HALPK</v>
      </c>
      <c r="F6" s="3" t="s">
        <v>3</v>
      </c>
      <c r="G6" s="7">
        <v>71500</v>
      </c>
      <c r="H6" s="3" t="s">
        <v>81</v>
      </c>
      <c r="I6" s="3" t="s">
        <v>82</v>
      </c>
      <c r="J6" s="13">
        <v>0.88194444444444453</v>
      </c>
      <c r="K6" s="2">
        <v>0.87708333333333333</v>
      </c>
      <c r="L6" s="13">
        <v>0.71180555555555547</v>
      </c>
      <c r="M6" s="2">
        <v>0.71805555555555556</v>
      </c>
      <c r="N6" s="3" t="s">
        <v>213</v>
      </c>
      <c r="O6" s="3" t="s">
        <v>211</v>
      </c>
      <c r="P6" s="3">
        <v>794</v>
      </c>
      <c r="Q6" s="3">
        <v>473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43879</v>
      </c>
      <c r="B2" s="6" t="s">
        <v>0</v>
      </c>
      <c r="C2" s="6" t="s">
        <v>1</v>
      </c>
      <c r="D2" s="6" t="s">
        <v>2</v>
      </c>
      <c r="E2" s="6" t="s">
        <v>180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</v>
      </c>
      <c r="L2" s="8">
        <v>0.32291666666666669</v>
      </c>
      <c r="M2" s="9">
        <v>0.3347222222222222</v>
      </c>
      <c r="N2" s="3" t="s">
        <v>214</v>
      </c>
      <c r="O2" s="10" t="s">
        <v>135</v>
      </c>
      <c r="P2" s="10">
        <v>819</v>
      </c>
      <c r="Q2" s="10">
        <v>695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43879</v>
      </c>
      <c r="B3" s="6" t="s">
        <v>0</v>
      </c>
      <c r="C3" s="6" t="s">
        <v>6</v>
      </c>
      <c r="D3" s="6" t="s">
        <v>2</v>
      </c>
      <c r="E3" s="6" t="s">
        <v>128</v>
      </c>
      <c r="F3" s="6" t="s">
        <v>3</v>
      </c>
      <c r="G3" s="7">
        <v>71500</v>
      </c>
      <c r="H3" s="6" t="s">
        <v>8</v>
      </c>
      <c r="I3" s="6" t="s">
        <v>9</v>
      </c>
      <c r="J3" s="8">
        <v>0.72916666666666663</v>
      </c>
      <c r="K3" s="9">
        <v>0.71944444444444444</v>
      </c>
      <c r="L3" s="8">
        <v>0.51388888888888895</v>
      </c>
      <c r="M3" s="9">
        <v>0.5180555555555556</v>
      </c>
      <c r="N3" s="3" t="s">
        <v>66</v>
      </c>
      <c r="O3" s="10" t="s">
        <v>145</v>
      </c>
      <c r="P3" s="4">
        <v>1223</v>
      </c>
      <c r="Q3" s="10">
        <v>779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43879</v>
      </c>
      <c r="B4" s="3" t="s">
        <v>0</v>
      </c>
      <c r="C4" s="3" t="s">
        <v>10</v>
      </c>
      <c r="D4" s="3" t="s">
        <v>2</v>
      </c>
      <c r="E4" s="6" t="s">
        <v>180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0.6694444444444444</v>
      </c>
      <c r="L4" s="11">
        <v>0.52777777777777779</v>
      </c>
      <c r="M4" s="12">
        <v>0.53541666666666665</v>
      </c>
      <c r="N4" s="3" t="s">
        <v>216</v>
      </c>
      <c r="O4" s="39" t="s">
        <v>215</v>
      </c>
      <c r="P4" s="6">
        <v>703</v>
      </c>
      <c r="Q4" s="10">
        <v>630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43879</v>
      </c>
      <c r="B5" s="3" t="s">
        <v>0</v>
      </c>
      <c r="C5" s="3" t="s">
        <v>13</v>
      </c>
      <c r="D5" s="3" t="s">
        <v>2</v>
      </c>
      <c r="E5" s="6" t="s">
        <v>128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0.9291666666666667</v>
      </c>
      <c r="L5" s="13">
        <v>0.77430555555555547</v>
      </c>
      <c r="M5" s="2">
        <v>0.7715277777777777</v>
      </c>
      <c r="N5" s="3" t="s">
        <v>137</v>
      </c>
      <c r="O5" s="3" t="s">
        <v>217</v>
      </c>
      <c r="P5" s="3">
        <v>586</v>
      </c>
      <c r="Q5" s="10">
        <v>489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43880</v>
      </c>
      <c r="B2" s="23" t="s">
        <v>0</v>
      </c>
      <c r="C2" s="23" t="s">
        <v>68</v>
      </c>
      <c r="D2" s="23" t="s">
        <v>2</v>
      </c>
      <c r="E2" s="23" t="s">
        <v>218</v>
      </c>
      <c r="F2" s="23" t="s">
        <v>3</v>
      </c>
      <c r="G2" s="24">
        <v>71500</v>
      </c>
      <c r="H2" s="23" t="s">
        <v>69</v>
      </c>
      <c r="I2" s="23" t="s">
        <v>70</v>
      </c>
      <c r="J2" s="25">
        <v>0.46180555555555558</v>
      </c>
      <c r="K2" s="26">
        <v>0.47569444444444442</v>
      </c>
      <c r="L2" s="25">
        <v>0.25694444444444448</v>
      </c>
      <c r="M2" s="26">
        <v>0.26527777777777778</v>
      </c>
      <c r="N2" s="3" t="s">
        <v>201</v>
      </c>
      <c r="O2" s="27" t="s">
        <v>219</v>
      </c>
      <c r="P2" s="27">
        <v>1132</v>
      </c>
      <c r="Q2" s="27">
        <v>686</v>
      </c>
      <c r="R2" s="23">
        <v>0</v>
      </c>
      <c r="S2" s="23">
        <v>0</v>
      </c>
      <c r="T2" s="23">
        <v>0</v>
      </c>
      <c r="U2" s="23">
        <v>0</v>
      </c>
    </row>
    <row r="3" spans="1:21" x14ac:dyDescent="0.25">
      <c r="A3" s="5">
        <f>A2</f>
        <v>43880</v>
      </c>
      <c r="B3" s="23" t="s">
        <v>0</v>
      </c>
      <c r="C3" s="23" t="s">
        <v>71</v>
      </c>
      <c r="D3" s="23" t="s">
        <v>2</v>
      </c>
      <c r="E3" s="23" t="s">
        <v>180</v>
      </c>
      <c r="F3" s="23" t="s">
        <v>3</v>
      </c>
      <c r="G3" s="24">
        <v>71500</v>
      </c>
      <c r="H3" s="23" t="s">
        <v>72</v>
      </c>
      <c r="I3" s="23" t="s">
        <v>73</v>
      </c>
      <c r="J3" s="25">
        <v>0.50694444444444442</v>
      </c>
      <c r="K3" s="26">
        <v>0.48680555555555555</v>
      </c>
      <c r="L3" s="25">
        <v>0.30208333333333331</v>
      </c>
      <c r="M3" s="26">
        <v>0.29930555555555555</v>
      </c>
      <c r="N3" s="3" t="s">
        <v>221</v>
      </c>
      <c r="O3" s="27" t="s">
        <v>220</v>
      </c>
      <c r="P3" s="23">
        <v>1080</v>
      </c>
      <c r="Q3" s="27">
        <v>712</v>
      </c>
      <c r="R3" s="23">
        <v>0</v>
      </c>
      <c r="S3" s="23">
        <v>0</v>
      </c>
      <c r="T3" s="23">
        <v>0</v>
      </c>
      <c r="U3" s="23">
        <v>0</v>
      </c>
    </row>
    <row r="4" spans="1:21" x14ac:dyDescent="0.25">
      <c r="A4" s="5">
        <f>A3</f>
        <v>43880</v>
      </c>
      <c r="B4" s="23" t="s">
        <v>0</v>
      </c>
      <c r="C4" s="23" t="s">
        <v>45</v>
      </c>
      <c r="D4" s="23" t="s">
        <v>2</v>
      </c>
      <c r="E4" s="23" t="str">
        <f>E2</f>
        <v>HALPK/HALPN</v>
      </c>
      <c r="F4" s="23" t="s">
        <v>3</v>
      </c>
      <c r="G4" s="24">
        <v>71500</v>
      </c>
      <c r="H4" s="23" t="s">
        <v>46</v>
      </c>
      <c r="I4" s="23" t="s">
        <v>47</v>
      </c>
      <c r="J4" s="25">
        <v>0.65972222222222221</v>
      </c>
      <c r="K4" s="2">
        <v>0.67152777777777783</v>
      </c>
      <c r="L4" s="25">
        <v>0.49305555555555558</v>
      </c>
      <c r="M4" s="26">
        <v>0.51666666666666672</v>
      </c>
      <c r="N4" s="3" t="s">
        <v>222</v>
      </c>
      <c r="O4" s="27" t="s">
        <v>109</v>
      </c>
      <c r="P4" s="27">
        <v>663</v>
      </c>
      <c r="Q4" s="27">
        <v>748</v>
      </c>
      <c r="R4" s="23">
        <v>0</v>
      </c>
      <c r="S4" s="23">
        <v>0</v>
      </c>
      <c r="T4" s="23">
        <v>0</v>
      </c>
      <c r="U4" s="2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XFD1048576"/>
    </sheetView>
  </sheetViews>
  <sheetFormatPr defaultRowHeight="15" x14ac:dyDescent="0.25"/>
  <cols>
    <col min="1" max="1" width="7.85546875" style="33" bestFit="1" customWidth="1"/>
    <col min="2" max="2" width="9.140625" style="33" bestFit="1" customWidth="1"/>
    <col min="3" max="3" width="13.140625" style="33" bestFit="1" customWidth="1"/>
    <col min="4" max="4" width="5.7109375" style="33" bestFit="1" customWidth="1"/>
    <col min="5" max="5" width="7.140625" style="33" bestFit="1" customWidth="1"/>
    <col min="6" max="6" width="12.140625" style="33" bestFit="1" customWidth="1"/>
    <col min="7" max="7" width="9.140625" style="33"/>
    <col min="8" max="9" width="9.7109375" style="33" bestFit="1" customWidth="1"/>
    <col min="10" max="10" width="11" style="33" bestFit="1" customWidth="1"/>
    <col min="11" max="11" width="10.85546875" style="33" bestFit="1" customWidth="1"/>
    <col min="12" max="12" width="11" style="33" bestFit="1" customWidth="1"/>
    <col min="13" max="13" width="10.85546875" style="33" bestFit="1" customWidth="1"/>
    <col min="14" max="15" width="18.42578125" style="33" bestFit="1" customWidth="1"/>
    <col min="16" max="17" width="10.28515625" style="33" bestFit="1" customWidth="1"/>
    <col min="18" max="16384" width="9.140625" style="33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43881</v>
      </c>
      <c r="B2" s="28" t="s">
        <v>0</v>
      </c>
      <c r="C2" s="28" t="s">
        <v>48</v>
      </c>
      <c r="D2" s="28" t="s">
        <v>2</v>
      </c>
      <c r="E2" s="28" t="s">
        <v>94</v>
      </c>
      <c r="F2" s="28" t="s">
        <v>3</v>
      </c>
      <c r="G2" s="29">
        <v>71500</v>
      </c>
      <c r="H2" s="28" t="s">
        <v>50</v>
      </c>
      <c r="I2" s="28" t="s">
        <v>51</v>
      </c>
      <c r="J2" s="34">
        <v>0.65972222222222221</v>
      </c>
      <c r="K2" s="35">
        <v>0.66249999999999998</v>
      </c>
      <c r="L2" s="34">
        <v>0.42708333333333331</v>
      </c>
      <c r="M2" s="35">
        <v>0.43888888888888888</v>
      </c>
      <c r="N2" s="35" t="s">
        <v>144</v>
      </c>
      <c r="O2" s="35" t="s">
        <v>231</v>
      </c>
      <c r="P2" s="32">
        <v>1047</v>
      </c>
      <c r="Q2" s="32">
        <v>1034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5">
        <f>A2</f>
        <v>43881</v>
      </c>
      <c r="B3" s="28" t="s">
        <v>0</v>
      </c>
      <c r="C3" s="28" t="s">
        <v>52</v>
      </c>
      <c r="D3" s="28" t="s">
        <v>2</v>
      </c>
      <c r="E3" s="28" t="str">
        <f>E2</f>
        <v>HALPN</v>
      </c>
      <c r="F3" s="28" t="s">
        <v>3</v>
      </c>
      <c r="G3" s="29">
        <v>71500</v>
      </c>
      <c r="H3" s="28" t="s">
        <v>53</v>
      </c>
      <c r="I3" s="28" t="s">
        <v>54</v>
      </c>
      <c r="J3" s="34">
        <v>0.86805555555555547</v>
      </c>
      <c r="K3" s="35">
        <v>0.88750000000000007</v>
      </c>
      <c r="L3" s="34">
        <v>0.68055555555555547</v>
      </c>
      <c r="M3" s="35">
        <v>0.69791666666666663</v>
      </c>
      <c r="N3" s="35" t="s">
        <v>204</v>
      </c>
      <c r="O3" s="35" t="s">
        <v>232</v>
      </c>
      <c r="P3" s="32">
        <v>1046</v>
      </c>
      <c r="Q3" s="32">
        <v>682</v>
      </c>
      <c r="R3" s="28">
        <v>0</v>
      </c>
      <c r="S3" s="28">
        <v>0</v>
      </c>
      <c r="T3" s="28">
        <v>0</v>
      </c>
      <c r="U3" s="28">
        <v>0</v>
      </c>
    </row>
    <row r="4" spans="1:21" x14ac:dyDescent="0.25">
      <c r="A4" s="5">
        <v>43881</v>
      </c>
      <c r="B4" s="28" t="s">
        <v>223</v>
      </c>
      <c r="C4" s="28" t="s">
        <v>224</v>
      </c>
      <c r="D4" s="28" t="s">
        <v>225</v>
      </c>
      <c r="E4" s="28" t="s">
        <v>226</v>
      </c>
      <c r="F4" s="28" t="s">
        <v>227</v>
      </c>
      <c r="G4" s="29">
        <v>15660</v>
      </c>
      <c r="H4" s="28" t="s">
        <v>228</v>
      </c>
      <c r="I4" s="28" t="s">
        <v>228</v>
      </c>
      <c r="J4" s="34">
        <v>0.53819444444444442</v>
      </c>
      <c r="K4" s="35">
        <v>0.57361111111111118</v>
      </c>
      <c r="L4" s="34">
        <v>0.56597222222222221</v>
      </c>
      <c r="M4" s="35">
        <v>0.61736111111111114</v>
      </c>
      <c r="N4" s="35" t="s">
        <v>229</v>
      </c>
      <c r="O4" s="35" t="s">
        <v>230</v>
      </c>
      <c r="P4" s="32">
        <v>0</v>
      </c>
      <c r="Q4" s="32">
        <v>0</v>
      </c>
      <c r="R4" s="28">
        <v>0</v>
      </c>
      <c r="S4" s="28">
        <v>0</v>
      </c>
      <c r="T4" s="28">
        <v>0</v>
      </c>
      <c r="U4" s="28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C1" workbookViewId="0">
      <selection activeCell="C4" sqref="C4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2" x14ac:dyDescent="0.25">
      <c r="A2" s="5">
        <v>43882</v>
      </c>
      <c r="B2" s="6" t="s">
        <v>0</v>
      </c>
      <c r="C2" s="6" t="s">
        <v>68</v>
      </c>
      <c r="D2" s="6" t="s">
        <v>2</v>
      </c>
      <c r="E2" s="6" t="s">
        <v>94</v>
      </c>
      <c r="F2" s="6" t="s">
        <v>3</v>
      </c>
      <c r="G2" s="7">
        <v>71500</v>
      </c>
      <c r="H2" s="6" t="s">
        <v>69</v>
      </c>
      <c r="I2" s="6" t="s">
        <v>70</v>
      </c>
      <c r="J2" s="8">
        <v>0.46180555555555558</v>
      </c>
      <c r="K2" s="9">
        <v>0.45555555555555555</v>
      </c>
      <c r="L2" s="8">
        <v>0.25694444444444448</v>
      </c>
      <c r="M2" s="9">
        <v>0.26597222222222222</v>
      </c>
      <c r="N2" s="3" t="s">
        <v>233</v>
      </c>
      <c r="O2" s="10" t="s">
        <v>234</v>
      </c>
      <c r="P2" s="10">
        <v>771</v>
      </c>
      <c r="Q2" s="10">
        <v>477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v>43882</v>
      </c>
      <c r="B3" s="6" t="s">
        <v>0</v>
      </c>
      <c r="C3" s="6" t="s">
        <v>71</v>
      </c>
      <c r="D3" s="6" t="s">
        <v>2</v>
      </c>
      <c r="E3" s="6" t="s">
        <v>180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9">
        <v>0.4826388888888889</v>
      </c>
      <c r="L3" s="8">
        <v>0.30208333333333331</v>
      </c>
      <c r="M3" s="9">
        <v>0.3034722222222222</v>
      </c>
      <c r="N3" s="3" t="s">
        <v>182</v>
      </c>
      <c r="O3" s="10" t="s">
        <v>184</v>
      </c>
      <c r="P3" s="6">
        <v>781</v>
      </c>
      <c r="Q3" s="10">
        <v>865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v>43882</v>
      </c>
      <c r="B4" s="3" t="s">
        <v>0</v>
      </c>
      <c r="C4" s="3" t="s">
        <v>45</v>
      </c>
      <c r="D4" s="3" t="s">
        <v>2</v>
      </c>
      <c r="E4" s="6" t="s">
        <v>94</v>
      </c>
      <c r="F4" s="3" t="s">
        <v>3</v>
      </c>
      <c r="G4" s="7">
        <v>71500</v>
      </c>
      <c r="H4" s="6" t="s">
        <v>46</v>
      </c>
      <c r="I4" s="6" t="s">
        <v>47</v>
      </c>
      <c r="J4" s="36">
        <v>0.65972222222222221</v>
      </c>
      <c r="K4" s="2">
        <v>0.65277777777777779</v>
      </c>
      <c r="L4" s="36">
        <v>0.49305555555555558</v>
      </c>
      <c r="M4" s="17">
        <v>0.49652777777777773</v>
      </c>
      <c r="N4" s="3" t="s">
        <v>130</v>
      </c>
      <c r="O4" s="16" t="s">
        <v>235</v>
      </c>
      <c r="P4" s="16">
        <v>685</v>
      </c>
      <c r="Q4" s="10">
        <v>736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5">
        <v>43882</v>
      </c>
      <c r="B5" s="3" t="s">
        <v>0</v>
      </c>
      <c r="C5" s="3" t="s">
        <v>74</v>
      </c>
      <c r="D5" s="3" t="s">
        <v>2</v>
      </c>
      <c r="E5" s="6" t="s">
        <v>180</v>
      </c>
      <c r="F5" s="3" t="s">
        <v>3</v>
      </c>
      <c r="G5" s="7">
        <v>71500</v>
      </c>
      <c r="H5" s="3" t="s">
        <v>75</v>
      </c>
      <c r="I5" s="3" t="s">
        <v>76</v>
      </c>
      <c r="J5" s="13">
        <v>0.68055555555555547</v>
      </c>
      <c r="K5" s="2">
        <v>0.66805555555555562</v>
      </c>
      <c r="L5" s="13">
        <v>0.52777777777777779</v>
      </c>
      <c r="M5" s="2">
        <v>0.52430555555555558</v>
      </c>
      <c r="N5" s="3" t="s">
        <v>130</v>
      </c>
      <c r="O5" s="3" t="s">
        <v>153</v>
      </c>
      <c r="P5" s="3">
        <v>646</v>
      </c>
      <c r="Q5" s="10">
        <v>670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5">
        <v>43882</v>
      </c>
      <c r="B6" s="3" t="s">
        <v>0</v>
      </c>
      <c r="C6" s="3" t="s">
        <v>77</v>
      </c>
      <c r="D6" s="3" t="s">
        <v>2</v>
      </c>
      <c r="E6" s="6" t="s">
        <v>94</v>
      </c>
      <c r="F6" s="3" t="s">
        <v>3</v>
      </c>
      <c r="G6" s="7">
        <v>71500</v>
      </c>
      <c r="H6" s="6" t="s">
        <v>78</v>
      </c>
      <c r="I6" s="6" t="s">
        <v>79</v>
      </c>
      <c r="J6" s="36">
        <v>0.91319444444444453</v>
      </c>
      <c r="K6" s="2">
        <v>0.90833333333333333</v>
      </c>
      <c r="L6" s="36">
        <v>0.69097222222222221</v>
      </c>
      <c r="M6" s="17">
        <v>0.69027777777777777</v>
      </c>
      <c r="N6" s="3" t="s">
        <v>237</v>
      </c>
      <c r="O6" s="16" t="s">
        <v>163</v>
      </c>
      <c r="P6" s="16">
        <v>727</v>
      </c>
      <c r="Q6" s="10">
        <v>654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5">
        <v>43882</v>
      </c>
      <c r="B7" s="3" t="s">
        <v>0</v>
      </c>
      <c r="C7" s="3" t="s">
        <v>80</v>
      </c>
      <c r="D7" s="3" t="s">
        <v>2</v>
      </c>
      <c r="E7" s="6" t="s">
        <v>180</v>
      </c>
      <c r="F7" s="3" t="s">
        <v>3</v>
      </c>
      <c r="G7" s="7">
        <v>71500</v>
      </c>
      <c r="H7" s="6" t="s">
        <v>81</v>
      </c>
      <c r="I7" s="6" t="s">
        <v>82</v>
      </c>
      <c r="J7" s="36">
        <v>0.88194444444444453</v>
      </c>
      <c r="K7" s="12">
        <v>0.86597222222222225</v>
      </c>
      <c r="L7" s="36">
        <v>0.71180555555555547</v>
      </c>
      <c r="M7" s="12">
        <v>0.70833333333333337</v>
      </c>
      <c r="N7" s="3" t="s">
        <v>130</v>
      </c>
      <c r="O7" s="3" t="s">
        <v>236</v>
      </c>
      <c r="P7" s="3">
        <v>717</v>
      </c>
      <c r="Q7" s="10">
        <v>585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6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7"/>
      <c r="B9" s="3"/>
      <c r="C9" s="3"/>
      <c r="D9" s="3"/>
      <c r="E9" s="6"/>
      <c r="F9" s="3"/>
      <c r="G9" s="38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2" max="2" width="23.140625" bestFit="1" customWidth="1"/>
    <col min="3" max="3" width="12.140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3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x14ac:dyDescent="0.25">
      <c r="A2" s="5">
        <v>43883</v>
      </c>
      <c r="B2" s="6" t="s">
        <v>0</v>
      </c>
      <c r="C2" s="6" t="s">
        <v>1</v>
      </c>
      <c r="D2" s="6" t="s">
        <v>2</v>
      </c>
      <c r="E2" s="6" t="s">
        <v>180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0.50416666666666665</v>
      </c>
      <c r="L2" s="8">
        <v>0.32291666666666669</v>
      </c>
      <c r="M2" s="9">
        <v>0.3298611111111111</v>
      </c>
      <c r="N2" s="3" t="s">
        <v>239</v>
      </c>
      <c r="O2" s="10" t="s">
        <v>238</v>
      </c>
      <c r="P2" s="10">
        <v>848</v>
      </c>
      <c r="Q2" s="10">
        <v>810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43883</v>
      </c>
      <c r="B3" s="6" t="s">
        <v>0</v>
      </c>
      <c r="C3" s="6" t="s">
        <v>6</v>
      </c>
      <c r="D3" s="6" t="s">
        <v>2</v>
      </c>
      <c r="E3" s="6" t="s">
        <v>94</v>
      </c>
      <c r="F3" s="6" t="s">
        <v>3</v>
      </c>
      <c r="G3" s="7">
        <v>71500</v>
      </c>
      <c r="H3" s="6" t="s">
        <v>8</v>
      </c>
      <c r="I3" s="6" t="s">
        <v>9</v>
      </c>
      <c r="J3" s="8">
        <v>0.71527777777777779</v>
      </c>
      <c r="K3" s="9">
        <v>0.69652777777777775</v>
      </c>
      <c r="L3" s="8">
        <v>0.5</v>
      </c>
      <c r="M3" s="9">
        <v>0.50624999999999998</v>
      </c>
      <c r="N3" s="3" t="s">
        <v>194</v>
      </c>
      <c r="O3" s="10" t="s">
        <v>240</v>
      </c>
      <c r="P3" s="4">
        <v>935</v>
      </c>
      <c r="Q3" s="10">
        <v>866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43883</v>
      </c>
      <c r="B4" s="3" t="s">
        <v>0</v>
      </c>
      <c r="C4" s="3" t="s">
        <v>10</v>
      </c>
      <c r="D4" s="3" t="s">
        <v>2</v>
      </c>
      <c r="E4" s="6" t="str">
        <f>E2</f>
        <v>HALWU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0.67708333333333337</v>
      </c>
      <c r="L4" s="11">
        <v>0.52777777777777779</v>
      </c>
      <c r="M4" s="12">
        <v>0.54375000000000007</v>
      </c>
      <c r="N4" s="3" t="s">
        <v>183</v>
      </c>
      <c r="O4" s="4" t="s">
        <v>241</v>
      </c>
      <c r="P4" s="6">
        <v>961</v>
      </c>
      <c r="Q4" s="10">
        <v>651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43883</v>
      </c>
      <c r="B5" s="3" t="s">
        <v>0</v>
      </c>
      <c r="C5" s="3" t="s">
        <v>13</v>
      </c>
      <c r="D5" s="3" t="s">
        <v>2</v>
      </c>
      <c r="E5" s="6" t="str">
        <f>E3</f>
        <v>HALPN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0.92847222222222225</v>
      </c>
      <c r="L5" s="13">
        <v>0.77430555555555547</v>
      </c>
      <c r="M5" s="2">
        <v>0.77013888888888893</v>
      </c>
      <c r="N5" s="3" t="s">
        <v>251</v>
      </c>
      <c r="O5" s="3" t="s">
        <v>250</v>
      </c>
      <c r="P5" s="3">
        <v>952</v>
      </c>
      <c r="Q5" s="10">
        <v>455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43883</v>
      </c>
      <c r="B6" s="3" t="s">
        <v>242</v>
      </c>
      <c r="C6" s="3" t="s">
        <v>243</v>
      </c>
      <c r="D6" s="3" t="s">
        <v>244</v>
      </c>
      <c r="E6" s="6" t="s">
        <v>245</v>
      </c>
      <c r="F6" s="3" t="s">
        <v>246</v>
      </c>
      <c r="G6" s="7">
        <v>2850</v>
      </c>
      <c r="H6" s="3" t="s">
        <v>245</v>
      </c>
      <c r="I6" s="3" t="s">
        <v>245</v>
      </c>
      <c r="J6" s="13">
        <v>0.5</v>
      </c>
      <c r="K6" s="9">
        <v>0.49305555555555558</v>
      </c>
      <c r="L6" s="13">
        <v>0.52083333333333337</v>
      </c>
      <c r="M6" s="9">
        <v>0.51458333333333328</v>
      </c>
      <c r="N6" s="3">
        <v>2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s="40" customFormat="1" ht="12.75" x14ac:dyDescent="0.2">
      <c r="A7" s="37">
        <v>43883</v>
      </c>
      <c r="B7" s="4" t="s">
        <v>56</v>
      </c>
      <c r="C7" s="4" t="s">
        <v>57</v>
      </c>
      <c r="D7" s="4" t="s">
        <v>58</v>
      </c>
      <c r="E7" s="4" t="s">
        <v>247</v>
      </c>
      <c r="F7" s="4" t="s">
        <v>248</v>
      </c>
      <c r="G7" s="38">
        <v>1600</v>
      </c>
      <c r="H7" s="4" t="s">
        <v>102</v>
      </c>
      <c r="I7" s="4" t="s">
        <v>102</v>
      </c>
      <c r="J7" s="11">
        <v>0.58333333333333337</v>
      </c>
      <c r="K7" s="12">
        <v>0.59375</v>
      </c>
      <c r="L7" s="11">
        <v>0.66666666666666663</v>
      </c>
      <c r="M7" s="12">
        <v>0.66388888888888886</v>
      </c>
      <c r="N7" s="4" t="s">
        <v>249</v>
      </c>
      <c r="O7" s="4" t="s">
        <v>249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4" sqref="C24"/>
    </sheetView>
  </sheetViews>
  <sheetFormatPr defaultRowHeight="12.75" x14ac:dyDescent="0.2"/>
  <cols>
    <col min="1" max="1" width="9.140625" style="43" bestFit="1" customWidth="1"/>
    <col min="2" max="2" width="36.42578125" style="43" customWidth="1"/>
    <col min="3" max="3" width="38.7109375" style="43" customWidth="1"/>
    <col min="4" max="4" width="13.85546875" style="43" customWidth="1"/>
    <col min="5" max="5" width="9.140625" style="43"/>
    <col min="6" max="6" width="19.140625" style="43" customWidth="1"/>
    <col min="7" max="7" width="9.28515625" style="43" bestFit="1" customWidth="1"/>
    <col min="8" max="9" width="9.140625" style="43"/>
    <col min="10" max="10" width="11.140625" style="43" bestFit="1" customWidth="1"/>
    <col min="11" max="11" width="11" style="43" bestFit="1" customWidth="1"/>
    <col min="12" max="12" width="11.140625" style="43" bestFit="1" customWidth="1"/>
    <col min="13" max="13" width="11" style="43" bestFit="1" customWidth="1"/>
    <col min="14" max="15" width="18.5703125" style="43" bestFit="1" customWidth="1"/>
    <col min="16" max="21" width="9.28515625" style="43" bestFit="1" customWidth="1"/>
    <col min="22" max="16384" width="9.140625" style="43"/>
  </cols>
  <sheetData>
    <row r="1" spans="1:21" x14ac:dyDescent="0.2">
      <c r="A1" s="42" t="s">
        <v>16</v>
      </c>
      <c r="B1" s="42" t="s">
        <v>17</v>
      </c>
      <c r="C1" s="42" t="s">
        <v>18</v>
      </c>
      <c r="D1" s="42" t="s">
        <v>19</v>
      </c>
      <c r="E1" s="42" t="s">
        <v>20</v>
      </c>
      <c r="F1" s="42" t="s">
        <v>21</v>
      </c>
      <c r="G1" s="42" t="s">
        <v>22</v>
      </c>
      <c r="H1" s="42" t="s">
        <v>23</v>
      </c>
      <c r="I1" s="42" t="s">
        <v>24</v>
      </c>
      <c r="J1" s="42" t="s">
        <v>25</v>
      </c>
      <c r="K1" s="42" t="s">
        <v>26</v>
      </c>
      <c r="L1" s="42" t="s">
        <v>27</v>
      </c>
      <c r="M1" s="42" t="s">
        <v>28</v>
      </c>
      <c r="N1" s="42" t="s">
        <v>29</v>
      </c>
      <c r="O1" s="42" t="s">
        <v>30</v>
      </c>
      <c r="P1" s="42" t="s">
        <v>31</v>
      </c>
      <c r="Q1" s="42" t="s">
        <v>32</v>
      </c>
      <c r="R1" s="42" t="s">
        <v>33</v>
      </c>
      <c r="S1" s="42" t="s">
        <v>34</v>
      </c>
      <c r="T1" s="42" t="s">
        <v>35</v>
      </c>
      <c r="U1" s="42" t="s">
        <v>36</v>
      </c>
    </row>
    <row r="2" spans="1:21" x14ac:dyDescent="0.2">
      <c r="A2" s="44">
        <v>43884</v>
      </c>
      <c r="B2" s="45" t="s">
        <v>0</v>
      </c>
      <c r="C2" s="45" t="s">
        <v>45</v>
      </c>
      <c r="D2" s="45" t="s">
        <v>2</v>
      </c>
      <c r="E2" s="45" t="s">
        <v>94</v>
      </c>
      <c r="F2" s="45" t="s">
        <v>3</v>
      </c>
      <c r="G2" s="46">
        <v>71500</v>
      </c>
      <c r="H2" s="45" t="s">
        <v>46</v>
      </c>
      <c r="I2" s="45" t="s">
        <v>47</v>
      </c>
      <c r="J2" s="47">
        <v>0.65972222222222221</v>
      </c>
      <c r="K2" s="48">
        <v>0.64652777777777781</v>
      </c>
      <c r="L2" s="47">
        <v>0.49305555555555558</v>
      </c>
      <c r="M2" s="49">
        <v>0.49652777777777773</v>
      </c>
      <c r="N2" s="41" t="s">
        <v>255</v>
      </c>
      <c r="O2" s="50" t="s">
        <v>252</v>
      </c>
      <c r="P2" s="50">
        <v>1199</v>
      </c>
      <c r="Q2" s="50">
        <v>610</v>
      </c>
      <c r="R2" s="45">
        <v>0</v>
      </c>
      <c r="S2" s="45">
        <v>0</v>
      </c>
      <c r="T2" s="45">
        <v>0</v>
      </c>
      <c r="U2" s="45">
        <v>0</v>
      </c>
    </row>
    <row r="3" spans="1:21" x14ac:dyDescent="0.2">
      <c r="A3" s="44">
        <f>A2</f>
        <v>43884</v>
      </c>
      <c r="B3" s="45" t="s">
        <v>0</v>
      </c>
      <c r="C3" s="45" t="s">
        <v>48</v>
      </c>
      <c r="D3" s="45" t="s">
        <v>2</v>
      </c>
      <c r="E3" s="45" t="s">
        <v>180</v>
      </c>
      <c r="F3" s="45" t="s">
        <v>3</v>
      </c>
      <c r="G3" s="46">
        <v>71500</v>
      </c>
      <c r="H3" s="45" t="s">
        <v>50</v>
      </c>
      <c r="I3" s="45" t="s">
        <v>51</v>
      </c>
      <c r="J3" s="47">
        <v>0.77083333333333337</v>
      </c>
      <c r="K3" s="48">
        <v>0.76666666666666661</v>
      </c>
      <c r="L3" s="47">
        <v>0.53819444444444442</v>
      </c>
      <c r="M3" s="49">
        <v>0.54166666666666663</v>
      </c>
      <c r="N3" s="41" t="s">
        <v>256</v>
      </c>
      <c r="O3" s="50" t="s">
        <v>253</v>
      </c>
      <c r="P3" s="45">
        <v>1026</v>
      </c>
      <c r="Q3" s="50">
        <v>1341</v>
      </c>
      <c r="R3" s="45">
        <v>0</v>
      </c>
      <c r="S3" s="45">
        <v>0</v>
      </c>
      <c r="T3" s="45">
        <v>0</v>
      </c>
      <c r="U3" s="45">
        <v>0</v>
      </c>
    </row>
    <row r="4" spans="1:21" x14ac:dyDescent="0.2">
      <c r="A4" s="44">
        <f>A3</f>
        <v>43884</v>
      </c>
      <c r="B4" s="45" t="s">
        <v>0</v>
      </c>
      <c r="C4" s="41" t="s">
        <v>52</v>
      </c>
      <c r="D4" s="41" t="s">
        <v>2</v>
      </c>
      <c r="E4" s="45" t="s">
        <v>94</v>
      </c>
      <c r="F4" s="41" t="s">
        <v>3</v>
      </c>
      <c r="G4" s="46">
        <f>G2</f>
        <v>71500</v>
      </c>
      <c r="H4" s="41" t="s">
        <v>53</v>
      </c>
      <c r="I4" s="41" t="s">
        <v>54</v>
      </c>
      <c r="J4" s="51">
        <v>0.86805555555555547</v>
      </c>
      <c r="K4" s="48">
        <v>0.87152777777777779</v>
      </c>
      <c r="L4" s="51">
        <v>0.68055555555555547</v>
      </c>
      <c r="M4" s="48">
        <v>0.68402777777777779</v>
      </c>
      <c r="N4" s="41" t="s">
        <v>257</v>
      </c>
      <c r="O4" s="41" t="s">
        <v>254</v>
      </c>
      <c r="P4" s="41">
        <v>834</v>
      </c>
      <c r="Q4" s="50">
        <v>636</v>
      </c>
      <c r="R4" s="41">
        <v>0</v>
      </c>
      <c r="S4" s="41">
        <v>0</v>
      </c>
      <c r="T4" s="41">
        <v>0</v>
      </c>
      <c r="U4" s="41">
        <v>0</v>
      </c>
    </row>
    <row r="5" spans="1:21" x14ac:dyDescent="0.2">
      <c r="A5" s="44">
        <f>A3</f>
        <v>43884</v>
      </c>
      <c r="B5" s="52" t="s">
        <v>258</v>
      </c>
      <c r="C5" s="41" t="s">
        <v>261</v>
      </c>
      <c r="D5" s="52" t="s">
        <v>265</v>
      </c>
      <c r="E5" s="53" t="s">
        <v>268</v>
      </c>
      <c r="F5" s="41" t="s">
        <v>273</v>
      </c>
      <c r="G5" s="54">
        <v>9</v>
      </c>
      <c r="H5" s="52" t="s">
        <v>269</v>
      </c>
      <c r="I5" s="52" t="s">
        <v>269</v>
      </c>
      <c r="J5" s="51">
        <v>0.41666666666666669</v>
      </c>
      <c r="K5" s="48">
        <v>0.41666666666666669</v>
      </c>
      <c r="L5" s="51">
        <v>0.42708333333333331</v>
      </c>
      <c r="M5" s="48">
        <v>0.4375</v>
      </c>
      <c r="N5" s="41">
        <v>7</v>
      </c>
      <c r="O5" s="55"/>
      <c r="P5" s="41">
        <v>0</v>
      </c>
      <c r="Q5" s="50">
        <v>0</v>
      </c>
      <c r="R5" s="41">
        <v>0</v>
      </c>
      <c r="S5" s="41">
        <v>0</v>
      </c>
      <c r="T5" s="41">
        <v>0</v>
      </c>
      <c r="U5" s="41">
        <v>0</v>
      </c>
    </row>
    <row r="6" spans="1:21" x14ac:dyDescent="0.2">
      <c r="A6" s="44">
        <f>A4</f>
        <v>43884</v>
      </c>
      <c r="B6" s="52" t="s">
        <v>258</v>
      </c>
      <c r="C6" s="41" t="s">
        <v>262</v>
      </c>
      <c r="D6" s="52" t="s">
        <v>265</v>
      </c>
      <c r="E6" s="53" t="s">
        <v>268</v>
      </c>
      <c r="F6" s="41" t="s">
        <v>273</v>
      </c>
      <c r="G6" s="54">
        <v>9</v>
      </c>
      <c r="H6" s="52" t="s">
        <v>269</v>
      </c>
      <c r="I6" s="52" t="s">
        <v>269</v>
      </c>
      <c r="J6" s="51">
        <v>0.45833333333333331</v>
      </c>
      <c r="K6" s="48">
        <v>0.4861111111111111</v>
      </c>
      <c r="L6" s="51">
        <v>0.46875</v>
      </c>
      <c r="M6" s="48">
        <v>0.50347222222222221</v>
      </c>
      <c r="N6" s="55"/>
      <c r="O6" s="41">
        <v>8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</row>
    <row r="7" spans="1:21" x14ac:dyDescent="0.2">
      <c r="A7" s="44">
        <f t="shared" ref="A7:A8" si="0">A6</f>
        <v>43884</v>
      </c>
      <c r="B7" s="52" t="s">
        <v>259</v>
      </c>
      <c r="C7" s="56" t="s">
        <v>264</v>
      </c>
      <c r="D7" s="52" t="s">
        <v>266</v>
      </c>
      <c r="E7" s="52" t="s">
        <v>270</v>
      </c>
      <c r="F7" s="41" t="s">
        <v>273</v>
      </c>
      <c r="G7" s="54">
        <v>2</v>
      </c>
      <c r="H7" s="52" t="s">
        <v>270</v>
      </c>
      <c r="I7" s="52" t="s">
        <v>270</v>
      </c>
      <c r="J7" s="57">
        <v>0.5</v>
      </c>
      <c r="K7" s="57">
        <v>0.49305555555555558</v>
      </c>
      <c r="L7" s="57">
        <v>0.51041666666666663</v>
      </c>
      <c r="M7" s="57">
        <v>0.52083333333333337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</row>
    <row r="8" spans="1:21" x14ac:dyDescent="0.2">
      <c r="A8" s="44">
        <f t="shared" si="0"/>
        <v>43884</v>
      </c>
      <c r="B8" s="52" t="s">
        <v>260</v>
      </c>
      <c r="C8" s="41" t="s">
        <v>263</v>
      </c>
      <c r="D8" s="52" t="s">
        <v>267</v>
      </c>
      <c r="E8" s="53" t="s">
        <v>271</v>
      </c>
      <c r="F8" s="41" t="s">
        <v>273</v>
      </c>
      <c r="G8" s="54">
        <v>2</v>
      </c>
      <c r="H8" s="52" t="s">
        <v>272</v>
      </c>
      <c r="I8" s="52" t="s">
        <v>272</v>
      </c>
      <c r="J8" s="57">
        <v>0.35069444444444442</v>
      </c>
      <c r="K8" s="57">
        <v>0.35902777777777778</v>
      </c>
      <c r="L8" s="57">
        <v>0.375</v>
      </c>
      <c r="M8" s="57">
        <v>0.39027777777777778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K7" sqref="K7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43885</v>
      </c>
      <c r="B2" s="6" t="s">
        <v>0</v>
      </c>
      <c r="C2" s="6" t="s">
        <v>68</v>
      </c>
      <c r="D2" s="6" t="s">
        <v>2</v>
      </c>
      <c r="E2" s="6" t="s">
        <v>94</v>
      </c>
      <c r="F2" s="6" t="s">
        <v>3</v>
      </c>
      <c r="G2" s="7">
        <f>G3</f>
        <v>71500</v>
      </c>
      <c r="H2" s="6" t="s">
        <v>69</v>
      </c>
      <c r="I2" s="6" t="s">
        <v>70</v>
      </c>
      <c r="J2" s="8">
        <v>0.46180555555555558</v>
      </c>
      <c r="K2" s="17">
        <v>0.44861111111111113</v>
      </c>
      <c r="L2" s="8">
        <v>0.25694444444444448</v>
      </c>
      <c r="M2" s="17">
        <v>0.25347222222222221</v>
      </c>
      <c r="N2" s="3" t="s">
        <v>204</v>
      </c>
      <c r="O2" s="10" t="s">
        <v>145</v>
      </c>
      <c r="P2" s="10">
        <v>1050</v>
      </c>
      <c r="Q2" s="10">
        <v>384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43885</v>
      </c>
      <c r="B3" s="6" t="s">
        <v>0</v>
      </c>
      <c r="C3" s="6" t="s">
        <v>71</v>
      </c>
      <c r="D3" s="6" t="s">
        <v>2</v>
      </c>
      <c r="E3" s="6" t="s">
        <v>180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12">
        <v>0.49652777777777773</v>
      </c>
      <c r="L3" s="8">
        <v>0.30208333333333331</v>
      </c>
      <c r="M3" s="17">
        <v>0.3</v>
      </c>
      <c r="N3" s="3" t="s">
        <v>275</v>
      </c>
      <c r="O3" s="10" t="s">
        <v>220</v>
      </c>
      <c r="P3" s="6">
        <v>923</v>
      </c>
      <c r="Q3" s="10">
        <v>868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6" si="0">A3</f>
        <v>43885</v>
      </c>
      <c r="B4" s="3" t="s">
        <v>0</v>
      </c>
      <c r="C4" s="3" t="s">
        <v>74</v>
      </c>
      <c r="D4" s="3" t="s">
        <v>2</v>
      </c>
      <c r="E4" s="6" t="s">
        <v>274</v>
      </c>
      <c r="F4" s="3" t="s">
        <v>3</v>
      </c>
      <c r="G4" s="7">
        <v>71500</v>
      </c>
      <c r="H4" s="3" t="s">
        <v>75</v>
      </c>
      <c r="I4" s="3" t="s">
        <v>76</v>
      </c>
      <c r="J4" s="13">
        <v>0.68055555555555547</v>
      </c>
      <c r="K4" s="12">
        <v>0.67083333333333339</v>
      </c>
      <c r="L4" s="13">
        <v>0.52777777777777779</v>
      </c>
      <c r="M4" s="12">
        <v>0.53125</v>
      </c>
      <c r="N4" s="3" t="s">
        <v>278</v>
      </c>
      <c r="O4" s="3" t="s">
        <v>276</v>
      </c>
      <c r="P4" s="3">
        <v>482</v>
      </c>
      <c r="Q4" s="10">
        <v>492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43885</v>
      </c>
      <c r="B5" s="3" t="s">
        <v>0</v>
      </c>
      <c r="C5" s="3" t="s">
        <v>77</v>
      </c>
      <c r="D5" s="3" t="s">
        <v>2</v>
      </c>
      <c r="E5" s="6" t="str">
        <f>E3</f>
        <v>HALWU</v>
      </c>
      <c r="F5" s="3" t="s">
        <v>3</v>
      </c>
      <c r="G5" s="7">
        <f>G4</f>
        <v>71500</v>
      </c>
      <c r="H5" s="6" t="s">
        <v>78</v>
      </c>
      <c r="I5" s="6" t="s">
        <v>79</v>
      </c>
      <c r="J5" s="11">
        <v>0.91319444444444453</v>
      </c>
      <c r="K5" s="18">
        <v>0.90277777777777779</v>
      </c>
      <c r="L5" s="11">
        <v>0.69097222222222221</v>
      </c>
      <c r="M5" s="12">
        <v>0.69027777777777777</v>
      </c>
      <c r="N5" s="3" t="s">
        <v>279</v>
      </c>
      <c r="O5" s="4" t="s">
        <v>277</v>
      </c>
      <c r="P5" s="4">
        <v>274</v>
      </c>
      <c r="Q5" s="10">
        <v>671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43885</v>
      </c>
      <c r="B6" s="3" t="s">
        <v>0</v>
      </c>
      <c r="C6" s="3" t="s">
        <v>80</v>
      </c>
      <c r="D6" s="3" t="s">
        <v>2</v>
      </c>
      <c r="E6" s="6" t="str">
        <f>E4</f>
        <v>HALWS</v>
      </c>
      <c r="F6" s="3" t="s">
        <v>3</v>
      </c>
      <c r="G6" s="7">
        <v>71500</v>
      </c>
      <c r="H6" s="3" t="s">
        <v>81</v>
      </c>
      <c r="I6" s="3" t="s">
        <v>82</v>
      </c>
      <c r="J6" s="13">
        <v>0.88194444444444453</v>
      </c>
      <c r="K6" s="2">
        <v>0.875</v>
      </c>
      <c r="L6" s="13">
        <v>0.71180555555555547</v>
      </c>
      <c r="M6" s="2">
        <v>0.72013888888888899</v>
      </c>
      <c r="N6" s="3" t="s">
        <v>280</v>
      </c>
      <c r="O6" s="3" t="s">
        <v>195</v>
      </c>
      <c r="P6" s="3">
        <v>651</v>
      </c>
      <c r="Q6" s="3">
        <v>551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G11" sqref="G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43886</v>
      </c>
      <c r="B2" s="6" t="s">
        <v>0</v>
      </c>
      <c r="C2" s="6" t="s">
        <v>1</v>
      </c>
      <c r="D2" s="6" t="s">
        <v>2</v>
      </c>
      <c r="E2" s="6" t="s">
        <v>180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0.5083333333333333</v>
      </c>
      <c r="L2" s="8">
        <v>0.32291666666666669</v>
      </c>
      <c r="M2" s="9">
        <v>0.33402777777777781</v>
      </c>
      <c r="N2" s="3" t="s">
        <v>205</v>
      </c>
      <c r="O2" s="10" t="s">
        <v>281</v>
      </c>
      <c r="P2" s="10">
        <v>905</v>
      </c>
      <c r="Q2" s="10">
        <v>636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43886</v>
      </c>
      <c r="B3" s="6" t="s">
        <v>0</v>
      </c>
      <c r="C3" s="6" t="s">
        <v>6</v>
      </c>
      <c r="D3" s="6" t="s">
        <v>2</v>
      </c>
      <c r="E3" s="6" t="s">
        <v>274</v>
      </c>
      <c r="F3" s="6" t="s">
        <v>3</v>
      </c>
      <c r="G3" s="7">
        <v>71500</v>
      </c>
      <c r="H3" s="6" t="s">
        <v>8</v>
      </c>
      <c r="I3" s="6" t="s">
        <v>9</v>
      </c>
      <c r="J3" s="8">
        <v>0.72916666666666663</v>
      </c>
      <c r="K3" s="9">
        <v>0.71180555555555547</v>
      </c>
      <c r="L3" s="8">
        <v>0.51388888888888895</v>
      </c>
      <c r="M3" s="9">
        <v>0.5180555555555556</v>
      </c>
      <c r="N3" s="3" t="s">
        <v>203</v>
      </c>
      <c r="O3" s="10" t="s">
        <v>282</v>
      </c>
      <c r="P3" s="4">
        <v>1224</v>
      </c>
      <c r="Q3" s="10">
        <v>1001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5" si="0">A3</f>
        <v>43886</v>
      </c>
      <c r="B4" s="3" t="s">
        <v>0</v>
      </c>
      <c r="C4" s="3" t="s">
        <v>10</v>
      </c>
      <c r="D4" s="3" t="s">
        <v>2</v>
      </c>
      <c r="E4" s="6" t="s">
        <v>180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0.6743055555555556</v>
      </c>
      <c r="L4" s="11">
        <v>0.52777777777777779</v>
      </c>
      <c r="M4" s="12">
        <v>0.54097222222222219</v>
      </c>
      <c r="N4" s="3" t="s">
        <v>65</v>
      </c>
      <c r="O4" s="39" t="s">
        <v>283</v>
      </c>
      <c r="P4" s="6">
        <v>813</v>
      </c>
      <c r="Q4" s="10">
        <v>487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43886</v>
      </c>
      <c r="B5" s="3" t="s">
        <v>0</v>
      </c>
      <c r="C5" s="3" t="s">
        <v>13</v>
      </c>
      <c r="D5" s="3" t="s">
        <v>2</v>
      </c>
      <c r="E5" s="6" t="s">
        <v>274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0.93333333333333324</v>
      </c>
      <c r="L5" s="13">
        <v>0.77430555555555547</v>
      </c>
      <c r="M5" s="2">
        <v>0.7729166666666667</v>
      </c>
      <c r="N5" s="3" t="s">
        <v>285</v>
      </c>
      <c r="O5" s="3" t="s">
        <v>284</v>
      </c>
      <c r="P5" s="3">
        <v>874</v>
      </c>
      <c r="Q5" s="10">
        <v>496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10" sqref="K10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25">
      <c r="A2" s="5">
        <v>43887</v>
      </c>
      <c r="B2" s="23" t="s">
        <v>0</v>
      </c>
      <c r="C2" s="23" t="s">
        <v>68</v>
      </c>
      <c r="D2" s="23" t="s">
        <v>2</v>
      </c>
      <c r="E2" s="23" t="s">
        <v>286</v>
      </c>
      <c r="F2" s="23" t="s">
        <v>3</v>
      </c>
      <c r="G2" s="24">
        <v>71500</v>
      </c>
      <c r="H2" s="23" t="s">
        <v>69</v>
      </c>
      <c r="I2" s="23" t="s">
        <v>70</v>
      </c>
      <c r="J2" s="25">
        <v>0.46180555555555558</v>
      </c>
      <c r="K2" s="26">
        <v>0.4909722222222222</v>
      </c>
      <c r="L2" s="25">
        <v>0.25694444444444448</v>
      </c>
      <c r="M2" s="26">
        <v>0.26041666666666669</v>
      </c>
      <c r="N2" s="3" t="s">
        <v>291</v>
      </c>
      <c r="O2" s="27" t="s">
        <v>288</v>
      </c>
      <c r="P2" s="27">
        <v>1031</v>
      </c>
      <c r="Q2" s="27">
        <v>745</v>
      </c>
      <c r="R2" s="23">
        <v>0</v>
      </c>
      <c r="S2" s="23">
        <v>0</v>
      </c>
      <c r="T2" s="23">
        <v>0</v>
      </c>
      <c r="U2" s="23">
        <v>0</v>
      </c>
    </row>
    <row r="3" spans="1:21" x14ac:dyDescent="0.25">
      <c r="A3" s="5">
        <f>A2</f>
        <v>43887</v>
      </c>
      <c r="B3" s="23" t="s">
        <v>0</v>
      </c>
      <c r="C3" s="23" t="s">
        <v>71</v>
      </c>
      <c r="D3" s="23" t="s">
        <v>2</v>
      </c>
      <c r="E3" s="23" t="s">
        <v>274</v>
      </c>
      <c r="F3" s="23" t="s">
        <v>3</v>
      </c>
      <c r="G3" s="24">
        <v>71500</v>
      </c>
      <c r="H3" s="23" t="s">
        <v>72</v>
      </c>
      <c r="I3" s="23" t="s">
        <v>73</v>
      </c>
      <c r="J3" s="25">
        <v>0.50694444444444442</v>
      </c>
      <c r="K3" s="26">
        <v>0.49722222222222223</v>
      </c>
      <c r="L3" s="25">
        <v>0.30208333333333331</v>
      </c>
      <c r="M3" s="26">
        <v>0.30763888888888891</v>
      </c>
      <c r="N3" s="3" t="s">
        <v>289</v>
      </c>
      <c r="O3" s="27" t="s">
        <v>289</v>
      </c>
      <c r="P3" s="23">
        <v>857</v>
      </c>
      <c r="Q3" s="27">
        <v>451</v>
      </c>
      <c r="R3" s="23">
        <v>0</v>
      </c>
      <c r="S3" s="23">
        <v>0</v>
      </c>
      <c r="T3" s="23">
        <v>0</v>
      </c>
      <c r="U3" s="23">
        <v>0</v>
      </c>
    </row>
    <row r="4" spans="1:21" x14ac:dyDescent="0.25">
      <c r="A4" s="5">
        <f>A3</f>
        <v>43887</v>
      </c>
      <c r="B4" s="23" t="s">
        <v>0</v>
      </c>
      <c r="C4" s="23" t="s">
        <v>45</v>
      </c>
      <c r="D4" s="23" t="s">
        <v>2</v>
      </c>
      <c r="E4" s="23" t="s">
        <v>287</v>
      </c>
      <c r="F4" s="23" t="s">
        <v>3</v>
      </c>
      <c r="G4" s="24">
        <v>71500</v>
      </c>
      <c r="H4" s="23" t="s">
        <v>46</v>
      </c>
      <c r="I4" s="23" t="s">
        <v>47</v>
      </c>
      <c r="J4" s="25">
        <v>0.65972222222222221</v>
      </c>
      <c r="K4" s="2">
        <v>0.71388888888888891</v>
      </c>
      <c r="L4" s="25">
        <v>0.49305555555555558</v>
      </c>
      <c r="M4" s="26">
        <v>0.54027777777777775</v>
      </c>
      <c r="N4" s="3" t="s">
        <v>292</v>
      </c>
      <c r="O4" s="27" t="s">
        <v>290</v>
      </c>
      <c r="P4" s="27">
        <v>694</v>
      </c>
      <c r="Q4" s="27">
        <v>689</v>
      </c>
      <c r="R4" s="23">
        <v>0</v>
      </c>
      <c r="S4" s="23">
        <v>0</v>
      </c>
      <c r="T4" s="23">
        <v>0</v>
      </c>
      <c r="U4" s="2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O3" sqref="O3"/>
    </sheetView>
  </sheetViews>
  <sheetFormatPr defaultRowHeight="15" x14ac:dyDescent="0.25"/>
  <cols>
    <col min="1" max="1" width="7.85546875" style="33" bestFit="1" customWidth="1"/>
    <col min="2" max="2" width="9.140625" style="33" bestFit="1" customWidth="1"/>
    <col min="3" max="3" width="13.140625" style="33" bestFit="1" customWidth="1"/>
    <col min="4" max="4" width="5.7109375" style="33" bestFit="1" customWidth="1"/>
    <col min="5" max="5" width="7.140625" style="33" bestFit="1" customWidth="1"/>
    <col min="6" max="6" width="12.140625" style="33" bestFit="1" customWidth="1"/>
    <col min="7" max="7" width="9.140625" style="33"/>
    <col min="8" max="9" width="9.7109375" style="33" bestFit="1" customWidth="1"/>
    <col min="10" max="10" width="11" style="33" bestFit="1" customWidth="1"/>
    <col min="11" max="11" width="10.85546875" style="33" bestFit="1" customWidth="1"/>
    <col min="12" max="12" width="11" style="33" bestFit="1" customWidth="1"/>
    <col min="13" max="13" width="10.85546875" style="33" bestFit="1" customWidth="1"/>
    <col min="14" max="15" width="18.42578125" style="33" bestFit="1" customWidth="1"/>
    <col min="16" max="17" width="10.28515625" style="33" bestFit="1" customWidth="1"/>
    <col min="18" max="16384" width="9.140625" style="33"/>
  </cols>
  <sheetData>
    <row r="1" spans="1:2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</row>
    <row r="2" spans="1:21" x14ac:dyDescent="0.25">
      <c r="A2" s="5">
        <v>43888</v>
      </c>
      <c r="B2" s="28" t="s">
        <v>0</v>
      </c>
      <c r="C2" s="28" t="s">
        <v>48</v>
      </c>
      <c r="D2" s="28" t="s">
        <v>2</v>
      </c>
      <c r="E2" s="28" t="s">
        <v>274</v>
      </c>
      <c r="F2" s="28" t="s">
        <v>3</v>
      </c>
      <c r="G2" s="29">
        <v>71500</v>
      </c>
      <c r="H2" s="28" t="s">
        <v>50</v>
      </c>
      <c r="I2" s="28" t="s">
        <v>51</v>
      </c>
      <c r="J2" s="34">
        <v>0.65972222222222221</v>
      </c>
      <c r="K2" s="35">
        <v>0.64722222222222225</v>
      </c>
      <c r="L2" s="34">
        <v>0.42708333333333331</v>
      </c>
      <c r="M2" s="35">
        <v>0.43263888888888885</v>
      </c>
      <c r="N2" s="35" t="s">
        <v>294</v>
      </c>
      <c r="O2" s="35" t="s">
        <v>293</v>
      </c>
      <c r="P2" s="32">
        <v>725</v>
      </c>
      <c r="Q2" s="32">
        <v>848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5">
        <f>A2</f>
        <v>43888</v>
      </c>
      <c r="B3" s="28" t="s">
        <v>0</v>
      </c>
      <c r="C3" s="28" t="s">
        <v>52</v>
      </c>
      <c r="D3" s="28" t="s">
        <v>2</v>
      </c>
      <c r="E3" s="28" t="s">
        <v>274</v>
      </c>
      <c r="F3" s="28" t="s">
        <v>3</v>
      </c>
      <c r="G3" s="29">
        <v>71500</v>
      </c>
      <c r="H3" s="28" t="s">
        <v>53</v>
      </c>
      <c r="I3" s="28" t="s">
        <v>54</v>
      </c>
      <c r="J3" s="34">
        <v>0.86805555555555547</v>
      </c>
      <c r="K3" s="35">
        <v>0.86388888888888893</v>
      </c>
      <c r="L3" s="34">
        <v>0.68055555555555547</v>
      </c>
      <c r="M3" s="35">
        <v>0.67986111111111114</v>
      </c>
      <c r="N3" s="35" t="s">
        <v>296</v>
      </c>
      <c r="O3" s="35" t="s">
        <v>295</v>
      </c>
      <c r="P3" s="32">
        <v>1135</v>
      </c>
      <c r="Q3" s="32">
        <v>639</v>
      </c>
      <c r="R3" s="28">
        <v>0</v>
      </c>
      <c r="S3" s="28">
        <v>0</v>
      </c>
      <c r="T3" s="28">
        <v>0</v>
      </c>
      <c r="U3" s="28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K7" sqref="K7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2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2" x14ac:dyDescent="0.25">
      <c r="A2" s="5">
        <v>43889</v>
      </c>
      <c r="B2" s="6" t="s">
        <v>0</v>
      </c>
      <c r="C2" s="6" t="s">
        <v>68</v>
      </c>
      <c r="D2" s="6" t="s">
        <v>2</v>
      </c>
      <c r="E2" s="6" t="s">
        <v>297</v>
      </c>
      <c r="F2" s="6" t="s">
        <v>3</v>
      </c>
      <c r="G2" s="7">
        <v>71500</v>
      </c>
      <c r="H2" s="6" t="s">
        <v>69</v>
      </c>
      <c r="I2" s="6" t="s">
        <v>70</v>
      </c>
      <c r="J2" s="8">
        <v>0.46180555555555558</v>
      </c>
      <c r="K2" s="9">
        <v>0.46597222222222223</v>
      </c>
      <c r="L2" s="8">
        <v>0.25694444444444448</v>
      </c>
      <c r="M2" s="9">
        <v>0.26666666666666666</v>
      </c>
      <c r="N2" s="3" t="s">
        <v>300</v>
      </c>
      <c r="O2" s="10" t="s">
        <v>285</v>
      </c>
      <c r="P2" s="10">
        <v>1028</v>
      </c>
      <c r="Q2" s="10">
        <v>700</v>
      </c>
      <c r="R2" s="6">
        <v>0</v>
      </c>
      <c r="S2" s="6">
        <v>0</v>
      </c>
      <c r="T2" s="6">
        <v>0</v>
      </c>
      <c r="U2" s="6">
        <v>0</v>
      </c>
    </row>
    <row r="3" spans="1:22" x14ac:dyDescent="0.25">
      <c r="A3" s="5">
        <f>A2</f>
        <v>43889</v>
      </c>
      <c r="B3" s="6" t="s">
        <v>0</v>
      </c>
      <c r="C3" s="6" t="s">
        <v>71</v>
      </c>
      <c r="D3" s="6" t="s">
        <v>2</v>
      </c>
      <c r="E3" s="6" t="s">
        <v>287</v>
      </c>
      <c r="F3" s="6" t="s">
        <v>3</v>
      </c>
      <c r="G3" s="7">
        <v>71500</v>
      </c>
      <c r="H3" s="6" t="s">
        <v>72</v>
      </c>
      <c r="I3" s="6" t="s">
        <v>73</v>
      </c>
      <c r="J3" s="8">
        <v>0.50694444444444442</v>
      </c>
      <c r="K3" s="9">
        <v>0.4861111111111111</v>
      </c>
      <c r="L3" s="8">
        <v>0.30208333333333331</v>
      </c>
      <c r="M3" s="9">
        <v>0.30208333333333331</v>
      </c>
      <c r="N3" s="3" t="s">
        <v>196</v>
      </c>
      <c r="O3" s="10" t="s">
        <v>299</v>
      </c>
      <c r="P3" s="6">
        <v>828</v>
      </c>
      <c r="Q3" s="10">
        <v>1047</v>
      </c>
      <c r="R3" s="6">
        <v>0</v>
      </c>
      <c r="S3" s="6">
        <v>0</v>
      </c>
      <c r="T3" s="6">
        <v>0</v>
      </c>
      <c r="U3" s="6">
        <v>0</v>
      </c>
    </row>
    <row r="4" spans="1:22" x14ac:dyDescent="0.25">
      <c r="A4" s="5">
        <f t="shared" ref="A4:A7" si="0">A3</f>
        <v>43889</v>
      </c>
      <c r="B4" s="3" t="s">
        <v>0</v>
      </c>
      <c r="C4" s="3" t="s">
        <v>45</v>
      </c>
      <c r="D4" s="3" t="s">
        <v>2</v>
      </c>
      <c r="E4" s="6" t="s">
        <v>298</v>
      </c>
      <c r="F4" s="3" t="s">
        <v>3</v>
      </c>
      <c r="G4" s="7">
        <v>71500</v>
      </c>
      <c r="H4" s="6" t="s">
        <v>46</v>
      </c>
      <c r="I4" s="6" t="s">
        <v>47</v>
      </c>
      <c r="J4" s="36">
        <v>0.65972222222222221</v>
      </c>
      <c r="K4" s="2">
        <v>0.66527777777777775</v>
      </c>
      <c r="L4" s="36">
        <v>0.49305555555555558</v>
      </c>
      <c r="M4" s="17">
        <v>0.50416666666666665</v>
      </c>
      <c r="N4" s="3" t="s">
        <v>303</v>
      </c>
      <c r="O4" s="16" t="s">
        <v>301</v>
      </c>
      <c r="P4" s="16">
        <v>627</v>
      </c>
      <c r="Q4" s="10">
        <v>863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5">
        <f t="shared" si="0"/>
        <v>43889</v>
      </c>
      <c r="B5" s="3" t="s">
        <v>0</v>
      </c>
      <c r="C5" s="3" t="s">
        <v>74</v>
      </c>
      <c r="D5" s="3" t="s">
        <v>2</v>
      </c>
      <c r="E5" s="6" t="str">
        <f>E3</f>
        <v>HALYH</v>
      </c>
      <c r="F5" s="3" t="s">
        <v>3</v>
      </c>
      <c r="G5" s="7">
        <v>71500</v>
      </c>
      <c r="H5" s="3" t="s">
        <v>75</v>
      </c>
      <c r="I5" s="3" t="s">
        <v>76</v>
      </c>
      <c r="J5" s="13">
        <v>0.68055555555555547</v>
      </c>
      <c r="K5" s="2">
        <v>0.67083333333333339</v>
      </c>
      <c r="L5" s="13">
        <v>0.52777777777777779</v>
      </c>
      <c r="M5" s="2">
        <v>0.53055555555555556</v>
      </c>
      <c r="N5" s="3" t="s">
        <v>304</v>
      </c>
      <c r="O5" s="3" t="s">
        <v>302</v>
      </c>
      <c r="P5" s="3">
        <v>613</v>
      </c>
      <c r="Q5" s="10">
        <v>616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5">
        <f t="shared" si="0"/>
        <v>43889</v>
      </c>
      <c r="B6" s="3" t="s">
        <v>0</v>
      </c>
      <c r="C6" s="3" t="s">
        <v>77</v>
      </c>
      <c r="D6" s="3" t="s">
        <v>2</v>
      </c>
      <c r="E6" s="6" t="str">
        <f>E4</f>
        <v>HALWA</v>
      </c>
      <c r="F6" s="3" t="s">
        <v>3</v>
      </c>
      <c r="G6" s="7">
        <v>71500</v>
      </c>
      <c r="H6" s="6" t="s">
        <v>78</v>
      </c>
      <c r="I6" s="6" t="s">
        <v>79</v>
      </c>
      <c r="J6" s="36">
        <v>0.91319444444444453</v>
      </c>
      <c r="K6" s="2">
        <v>0.90486111111111101</v>
      </c>
      <c r="L6" s="36">
        <v>0.69097222222222221</v>
      </c>
      <c r="M6" s="17">
        <v>0.70347222222222217</v>
      </c>
      <c r="N6" s="3" t="s">
        <v>120</v>
      </c>
      <c r="O6" s="16" t="s">
        <v>305</v>
      </c>
      <c r="P6" s="16">
        <v>540</v>
      </c>
      <c r="Q6" s="10">
        <v>442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5">
        <f t="shared" si="0"/>
        <v>43889</v>
      </c>
      <c r="B7" s="3" t="s">
        <v>0</v>
      </c>
      <c r="C7" s="3" t="s">
        <v>80</v>
      </c>
      <c r="D7" s="3" t="s">
        <v>2</v>
      </c>
      <c r="E7" s="6" t="str">
        <f>E5</f>
        <v>HALYH</v>
      </c>
      <c r="F7" s="3" t="s">
        <v>3</v>
      </c>
      <c r="G7" s="7">
        <v>71500</v>
      </c>
      <c r="H7" s="6" t="s">
        <v>81</v>
      </c>
      <c r="I7" s="6" t="s">
        <v>82</v>
      </c>
      <c r="J7" s="36">
        <v>0.88194444444444453</v>
      </c>
      <c r="K7" s="12">
        <v>0.87569444444444444</v>
      </c>
      <c r="L7" s="36">
        <v>0.71180555555555547</v>
      </c>
      <c r="M7" s="12">
        <v>0.71666666666666667</v>
      </c>
      <c r="N7" s="3" t="s">
        <v>219</v>
      </c>
      <c r="O7" s="3" t="s">
        <v>306</v>
      </c>
      <c r="P7" s="3">
        <v>774</v>
      </c>
      <c r="Q7" s="10">
        <v>668</v>
      </c>
      <c r="R7" s="3">
        <v>0</v>
      </c>
      <c r="S7" s="3">
        <v>0</v>
      </c>
      <c r="T7" s="3">
        <v>0</v>
      </c>
      <c r="U7" s="3">
        <v>0</v>
      </c>
      <c r="V7" s="3"/>
    </row>
    <row r="8" spans="1:22" x14ac:dyDescent="0.25">
      <c r="A8" s="5"/>
      <c r="B8" s="3"/>
      <c r="C8" s="3"/>
      <c r="D8" s="3"/>
      <c r="E8" s="6"/>
      <c r="F8" s="3"/>
      <c r="G8" s="7"/>
      <c r="H8" s="6"/>
      <c r="I8" s="6"/>
      <c r="J8" s="36"/>
      <c r="K8" s="9"/>
      <c r="L8" s="6"/>
      <c r="M8" s="6"/>
      <c r="N8" s="3"/>
      <c r="O8" s="3"/>
      <c r="P8" s="3"/>
      <c r="Q8" s="3"/>
      <c r="R8" s="3"/>
      <c r="S8" s="3"/>
      <c r="T8" s="3"/>
      <c r="U8" s="3"/>
    </row>
    <row r="9" spans="1:22" x14ac:dyDescent="0.25">
      <c r="A9" s="37"/>
      <c r="B9" s="3"/>
      <c r="C9" s="3"/>
      <c r="D9" s="3"/>
      <c r="E9" s="6"/>
      <c r="F9" s="3"/>
      <c r="G9" s="38"/>
      <c r="H9" s="6"/>
      <c r="I9" s="6"/>
      <c r="J9" s="4"/>
      <c r="K9" s="4"/>
      <c r="L9" s="12"/>
      <c r="M9" s="12"/>
      <c r="N9" s="4"/>
      <c r="O9" s="4"/>
      <c r="P9" s="4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K6" sqref="K6"/>
    </sheetView>
  </sheetViews>
  <sheetFormatPr defaultRowHeight="15" x14ac:dyDescent="0.25"/>
  <cols>
    <col min="2" max="2" width="20.42578125" customWidth="1"/>
    <col min="3" max="3" width="14.85546875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3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x14ac:dyDescent="0.25">
      <c r="A2" s="5">
        <v>43890</v>
      </c>
      <c r="B2" s="6" t="s">
        <v>0</v>
      </c>
      <c r="C2" s="6" t="s">
        <v>1</v>
      </c>
      <c r="D2" s="6" t="s">
        <v>2</v>
      </c>
      <c r="E2" s="6" t="s">
        <v>298</v>
      </c>
      <c r="F2" s="6" t="s">
        <v>3</v>
      </c>
      <c r="G2" s="7">
        <v>71500</v>
      </c>
      <c r="H2" s="6" t="s">
        <v>4</v>
      </c>
      <c r="I2" s="6" t="s">
        <v>5</v>
      </c>
      <c r="J2" s="8">
        <v>0.50694444444444442</v>
      </c>
      <c r="K2" s="9">
        <v>0.50138888888888888</v>
      </c>
      <c r="L2" s="8">
        <v>0.32291666666666669</v>
      </c>
      <c r="M2" s="9">
        <v>0.33263888888888887</v>
      </c>
      <c r="N2" s="3" t="s">
        <v>307</v>
      </c>
      <c r="O2" s="10" t="s">
        <v>255</v>
      </c>
      <c r="P2" s="10">
        <v>858</v>
      </c>
      <c r="Q2" s="10">
        <v>737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>A2</f>
        <v>43890</v>
      </c>
      <c r="B3" s="6" t="s">
        <v>0</v>
      </c>
      <c r="C3" s="6" t="s">
        <v>6</v>
      </c>
      <c r="D3" s="6" t="s">
        <v>2</v>
      </c>
      <c r="E3" s="6" t="s">
        <v>287</v>
      </c>
      <c r="F3" s="6" t="s">
        <v>3</v>
      </c>
      <c r="G3" s="7">
        <v>71500</v>
      </c>
      <c r="H3" s="6" t="s">
        <v>8</v>
      </c>
      <c r="I3" s="6" t="s">
        <v>9</v>
      </c>
      <c r="J3" s="8">
        <v>0.71527777777777779</v>
      </c>
      <c r="K3" s="9">
        <v>0.70000000000000007</v>
      </c>
      <c r="L3" s="8">
        <v>0.5</v>
      </c>
      <c r="M3" s="9">
        <v>0.50416666666666665</v>
      </c>
      <c r="N3" s="3" t="s">
        <v>281</v>
      </c>
      <c r="O3" s="10" t="s">
        <v>308</v>
      </c>
      <c r="P3" s="4">
        <v>887</v>
      </c>
      <c r="Q3" s="10">
        <v>1012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ref="A4:A7" si="0">A3</f>
        <v>43890</v>
      </c>
      <c r="B4" s="3" t="s">
        <v>0</v>
      </c>
      <c r="C4" s="3" t="s">
        <v>10</v>
      </c>
      <c r="D4" s="3" t="s">
        <v>2</v>
      </c>
      <c r="E4" s="6" t="str">
        <f>E2</f>
        <v>HALWA</v>
      </c>
      <c r="F4" s="3" t="s">
        <v>3</v>
      </c>
      <c r="G4" s="7">
        <v>71500</v>
      </c>
      <c r="H4" s="6" t="s">
        <v>11</v>
      </c>
      <c r="I4" s="6" t="s">
        <v>12</v>
      </c>
      <c r="J4" s="11">
        <v>0.68402777777777779</v>
      </c>
      <c r="K4" s="2">
        <v>0.66875000000000007</v>
      </c>
      <c r="L4" s="11">
        <v>0.52777777777777779</v>
      </c>
      <c r="M4" s="12">
        <v>0.53888888888888886</v>
      </c>
      <c r="N4" s="3" t="s">
        <v>289</v>
      </c>
      <c r="O4" s="4" t="s">
        <v>309</v>
      </c>
      <c r="P4" s="6">
        <v>732</v>
      </c>
      <c r="Q4" s="10">
        <v>916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43890</v>
      </c>
      <c r="B5" s="3" t="s">
        <v>0</v>
      </c>
      <c r="C5" s="3" t="s">
        <v>13</v>
      </c>
      <c r="D5" s="3" t="s">
        <v>2</v>
      </c>
      <c r="E5" s="6" t="str">
        <f>E3</f>
        <v>HALYH</v>
      </c>
      <c r="F5" s="3" t="s">
        <v>3</v>
      </c>
      <c r="G5" s="7">
        <v>71500</v>
      </c>
      <c r="H5" s="3" t="s">
        <v>14</v>
      </c>
      <c r="I5" s="3" t="s">
        <v>15</v>
      </c>
      <c r="J5" s="13">
        <v>0.94444444444444453</v>
      </c>
      <c r="K5" s="2">
        <v>0.93263888888888891</v>
      </c>
      <c r="L5" s="13">
        <v>0.77430555555555547</v>
      </c>
      <c r="M5" s="2">
        <v>0.7715277777777777</v>
      </c>
      <c r="N5" s="3" t="s">
        <v>156</v>
      </c>
      <c r="O5" s="3" t="s">
        <v>174</v>
      </c>
      <c r="P5" s="3">
        <v>861</v>
      </c>
      <c r="Q5" s="10">
        <v>737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43890</v>
      </c>
      <c r="B6" s="3" t="s">
        <v>311</v>
      </c>
      <c r="C6" s="3" t="s">
        <v>312</v>
      </c>
      <c r="D6" s="3" t="s">
        <v>314</v>
      </c>
      <c r="E6" s="6" t="s">
        <v>316</v>
      </c>
      <c r="F6" s="3" t="s">
        <v>273</v>
      </c>
      <c r="G6" s="7">
        <v>2000</v>
      </c>
      <c r="H6" s="6" t="s">
        <v>316</v>
      </c>
      <c r="I6" s="6" t="s">
        <v>316</v>
      </c>
      <c r="J6" s="11">
        <v>0.47222222222222227</v>
      </c>
      <c r="K6" s="12">
        <v>0.4861111111111111</v>
      </c>
      <c r="L6" s="11">
        <v>0.55555555555555558</v>
      </c>
      <c r="M6" s="12">
        <v>0.58472222222222225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f t="shared" si="0"/>
        <v>43890</v>
      </c>
      <c r="B7" s="3" t="s">
        <v>310</v>
      </c>
      <c r="C7" s="3" t="s">
        <v>313</v>
      </c>
      <c r="D7" s="3" t="s">
        <v>315</v>
      </c>
      <c r="E7" s="6" t="s">
        <v>272</v>
      </c>
      <c r="F7" s="3" t="s">
        <v>273</v>
      </c>
      <c r="G7" s="7">
        <v>2000</v>
      </c>
      <c r="H7" s="6" t="s">
        <v>272</v>
      </c>
      <c r="I7" s="6" t="s">
        <v>272</v>
      </c>
      <c r="J7" s="11">
        <v>0.54166666666666663</v>
      </c>
      <c r="K7" s="12">
        <v>0.53472222222222221</v>
      </c>
      <c r="L7" s="11">
        <v>0.55555555555555558</v>
      </c>
      <c r="M7" s="12">
        <v>0.5854166666666667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K8" s="58"/>
      <c r="M8" s="5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2020-02-29T21:24:17Z</dcterms:modified>
</cp:coreProperties>
</file>