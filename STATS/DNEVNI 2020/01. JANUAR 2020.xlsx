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195" windowHeight="11760" tabRatio="789" firstSheet="2" activeTab="30"/>
  </bookViews>
  <sheets>
    <sheet name="1" sheetId="1" r:id="rId1"/>
    <sheet name="2" sheetId="2" r:id="rId2"/>
    <sheet name="3" sheetId="3" r:id="rId3"/>
    <sheet name="4" sheetId="4" r:id="rId4"/>
    <sheet name="5" sheetId="33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34" r:id="rId13"/>
    <sheet name="14" sheetId="35" r:id="rId14"/>
    <sheet name="15" sheetId="15" r:id="rId15"/>
    <sheet name="16" sheetId="16" r:id="rId16"/>
    <sheet name="17" sheetId="17" r:id="rId17"/>
    <sheet name="18" sheetId="36" r:id="rId18"/>
    <sheet name="19" sheetId="38" r:id="rId19"/>
    <sheet name="20" sheetId="20" r:id="rId20"/>
    <sheet name="21" sheetId="39" r:id="rId21"/>
    <sheet name="22" sheetId="22" r:id="rId22"/>
    <sheet name="23" sheetId="40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1" r:id="rId30"/>
    <sheet name="31" sheetId="32" r:id="rId31"/>
  </sheets>
  <calcPr calcId="145621"/>
</workbook>
</file>

<file path=xl/calcChain.xml><?xml version="1.0" encoding="utf-8"?>
<calcChain xmlns="http://schemas.openxmlformats.org/spreadsheetml/2006/main">
  <c r="E6" i="32" l="1"/>
  <c r="A3" i="32"/>
  <c r="A4" i="32" s="1"/>
  <c r="A5" i="32" s="1"/>
  <c r="A6" i="32" s="1"/>
  <c r="E3" i="31" l="1"/>
  <c r="A3" i="31"/>
  <c r="A3" i="29" l="1"/>
  <c r="A4" i="29" s="1"/>
  <c r="A6" i="28" l="1"/>
  <c r="A3" i="28" l="1"/>
  <c r="A4" i="28" s="1"/>
  <c r="A5" i="28" s="1"/>
  <c r="I7" i="27" l="1"/>
  <c r="H7" i="27"/>
  <c r="A7" i="27"/>
  <c r="I6" i="27" l="1"/>
  <c r="H6" i="27"/>
  <c r="A6" i="27"/>
  <c r="G5" i="27" l="1"/>
  <c r="G2" i="27"/>
  <c r="H6" i="26" l="1"/>
  <c r="I6" i="26" s="1"/>
  <c r="A6" i="26"/>
  <c r="A5" i="26" l="1"/>
  <c r="H5" i="26"/>
  <c r="I5" i="26" s="1"/>
  <c r="G4" i="26" l="1"/>
  <c r="E4" i="26"/>
  <c r="A3" i="26"/>
  <c r="A4" i="26" s="1"/>
  <c r="A6" i="25" l="1"/>
  <c r="H6" i="25"/>
  <c r="I6" i="25" s="1"/>
  <c r="E5" i="25" l="1"/>
  <c r="E4" i="25"/>
  <c r="A3" i="25"/>
  <c r="A4" i="25" s="1"/>
  <c r="A5" i="25" s="1"/>
  <c r="O7" i="24" l="1"/>
  <c r="I7" i="24"/>
  <c r="H7" i="24"/>
  <c r="A7" i="24"/>
  <c r="E6" i="24" l="1"/>
  <c r="A3" i="24"/>
  <c r="A4" i="24" s="1"/>
  <c r="A5" i="24" s="1"/>
  <c r="A6" i="24" s="1"/>
  <c r="E3" i="40" l="1"/>
  <c r="A3" i="40"/>
  <c r="A5" i="22" l="1"/>
  <c r="A3" i="22" l="1"/>
  <c r="A4" i="22" s="1"/>
  <c r="A3" i="39" l="1"/>
  <c r="A4" i="39" s="1"/>
  <c r="A5" i="39" s="1"/>
  <c r="A6" i="20" l="1"/>
  <c r="G5" i="20" l="1"/>
  <c r="A3" i="20"/>
  <c r="A4" i="20" s="1"/>
  <c r="A5" i="20" s="1"/>
  <c r="G2" i="20"/>
  <c r="A5" i="38" l="1"/>
  <c r="G5" i="38"/>
  <c r="E4" i="38" l="1"/>
  <c r="G4" i="38"/>
  <c r="A3" i="38"/>
  <c r="A4" i="38" s="1"/>
  <c r="E5" i="36" l="1"/>
  <c r="E4" i="36"/>
  <c r="A3" i="36"/>
  <c r="A4" i="36" s="1"/>
  <c r="A5" i="36" s="1"/>
  <c r="A3" i="17" l="1"/>
  <c r="A4" i="17" s="1"/>
  <c r="A5" i="17" s="1"/>
  <c r="A6" i="17" s="1"/>
  <c r="A3" i="15" l="1"/>
  <c r="A4" i="15" s="1"/>
  <c r="A3" i="35" l="1"/>
  <c r="A4" i="35" s="1"/>
  <c r="A5" i="35" s="1"/>
  <c r="G5" i="34" l="1"/>
  <c r="A4" i="34"/>
  <c r="A5" i="34" s="1"/>
  <c r="A3" i="34"/>
  <c r="G2" i="34"/>
  <c r="G4" i="12" l="1"/>
  <c r="A3" i="12"/>
  <c r="A4" i="12" s="1"/>
  <c r="A4" i="11" l="1"/>
  <c r="A5" i="11" s="1"/>
  <c r="A3" i="11"/>
  <c r="E6" i="10" l="1"/>
  <c r="E4" i="10"/>
  <c r="A3" i="10"/>
  <c r="A4" i="10" s="1"/>
  <c r="A5" i="10" s="1"/>
  <c r="A6" i="10" s="1"/>
  <c r="A3" i="8" l="1"/>
  <c r="A4" i="8" s="1"/>
  <c r="A4" i="7" l="1"/>
  <c r="A5" i="7" s="1"/>
  <c r="A3" i="7"/>
  <c r="A4" i="6" l="1"/>
  <c r="G5" i="6"/>
  <c r="A3" i="6"/>
  <c r="G2" i="6"/>
  <c r="A5" i="6" l="1"/>
  <c r="G6" i="33"/>
  <c r="E5" i="33"/>
  <c r="E4" i="33"/>
  <c r="E6" i="33" s="1"/>
  <c r="A3" i="33"/>
  <c r="A4" i="33" s="1"/>
  <c r="A5" i="33" s="1"/>
  <c r="A6" i="33" s="1"/>
  <c r="A3" i="3" l="1"/>
  <c r="A4" i="3" s="1"/>
  <c r="A5" i="3" s="1"/>
  <c r="A6" i="3" s="1"/>
  <c r="A7" i="3" s="1"/>
  <c r="G6" i="1" l="1"/>
  <c r="E5" i="1"/>
  <c r="E6" i="1"/>
  <c r="A3" i="1"/>
  <c r="A4" i="1" s="1"/>
  <c r="A5" i="1" s="1"/>
  <c r="A6" i="1" s="1"/>
</calcChain>
</file>

<file path=xl/sharedStrings.xml><?xml version="1.0" encoding="utf-8"?>
<sst xmlns="http://schemas.openxmlformats.org/spreadsheetml/2006/main" count="1877" uniqueCount="315">
  <si>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</si>
  <si>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</si>
  <si>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</si>
  <si>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</si>
  <si>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</si>
  <si>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</si>
  <si>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</si>
  <si>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</si>
  <si>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</si>
  <si>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</si>
  <si>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</si>
  <si>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</si>
  <si>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</si>
  <si>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</si>
  <si>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</si>
  <si>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</si>
  <si>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</si>
  <si>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</si>
  <si>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</si>
  <si>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</si>
  <si>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</si>
  <si>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</si>
  <si>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</si>
  <si>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</si>
  <si>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SCHEDULED</t>
  </si>
  <si>
    <t>W64298</t>
  </si>
  <si>
    <t>W64297</t>
  </si>
  <si>
    <t>W64296</t>
  </si>
  <si>
    <t>W64295</t>
  </si>
  <si>
    <t>HALYC</t>
  </si>
  <si>
    <t>TZL-MMX-TZL</t>
  </si>
  <si>
    <t>W64292</t>
  </si>
  <si>
    <t>W64291</t>
  </si>
  <si>
    <t>W64294</t>
  </si>
  <si>
    <t>W64293</t>
  </si>
  <si>
    <t>W64300</t>
  </si>
  <si>
    <t>W64299</t>
  </si>
  <si>
    <t>HALPL</t>
  </si>
  <si>
    <t>158+4INF</t>
  </si>
  <si>
    <t>118+4INF</t>
  </si>
  <si>
    <t>170+5INF</t>
  </si>
  <si>
    <t>156+3INF</t>
  </si>
  <si>
    <t>171+4INF</t>
  </si>
  <si>
    <t>173+1INF</t>
  </si>
  <si>
    <t>166+0 INF</t>
  </si>
  <si>
    <t>159+2INF</t>
  </si>
  <si>
    <t>150+6 INF</t>
  </si>
  <si>
    <t>150+0 INF</t>
  </si>
  <si>
    <t>TZL-MLH-TZL</t>
  </si>
  <si>
    <t>TZL-GOT-TZL</t>
  </si>
  <si>
    <t>TZL-CGN-TZL</t>
  </si>
  <si>
    <t>TZL-HHN-TZL</t>
  </si>
  <si>
    <t>W64284</t>
  </si>
  <si>
    <t>TZL-FMM-TZL</t>
  </si>
  <si>
    <t>W64290</t>
  </si>
  <si>
    <t>W64289</t>
  </si>
  <si>
    <t>TZL-EIN-TZL</t>
  </si>
  <si>
    <t>W64280</t>
  </si>
  <si>
    <t>W64279</t>
  </si>
  <si>
    <t>OTKAZAN</t>
  </si>
  <si>
    <t>TZL-FDH-TZL</t>
  </si>
  <si>
    <t>W64616</t>
  </si>
  <si>
    <t>W64615</t>
  </si>
  <si>
    <t>TZL-BLL-TZL</t>
  </si>
  <si>
    <t>W64278</t>
  </si>
  <si>
    <t>W64277</t>
  </si>
  <si>
    <t>177+3INF</t>
  </si>
  <si>
    <t>176+4INF</t>
  </si>
  <si>
    <t>164+1INF</t>
  </si>
  <si>
    <t>177+4INF</t>
  </si>
  <si>
    <t>173+2INF</t>
  </si>
  <si>
    <t>163+6INF</t>
  </si>
  <si>
    <t>169+2INF</t>
  </si>
  <si>
    <t>140+4INF</t>
  </si>
  <si>
    <t>170+0INF</t>
  </si>
  <si>
    <t>W64283</t>
  </si>
  <si>
    <t>W64276</t>
  </si>
  <si>
    <t>W64275</t>
  </si>
  <si>
    <t>TZL-SXF-TZL</t>
  </si>
  <si>
    <t>174+0 INF</t>
  </si>
  <si>
    <t>169+4 INF</t>
  </si>
  <si>
    <t>179+0 INF</t>
  </si>
  <si>
    <t>169+5 INF</t>
  </si>
  <si>
    <t>174+0INF</t>
  </si>
  <si>
    <t>175+2INF</t>
  </si>
  <si>
    <t>169+3INF</t>
  </si>
  <si>
    <t>174+3INF</t>
  </si>
  <si>
    <t>165+6INF</t>
  </si>
  <si>
    <t>170+4INF</t>
  </si>
  <si>
    <t>176+2INF</t>
  </si>
  <si>
    <t>180+2INF</t>
  </si>
  <si>
    <t>161+1INF</t>
  </si>
  <si>
    <t>171+3INF</t>
  </si>
  <si>
    <t>168+4INF</t>
  </si>
  <si>
    <t>176+3INF</t>
  </si>
  <si>
    <t>169+3 INF</t>
  </si>
  <si>
    <t>176+3 INF</t>
  </si>
  <si>
    <t>170+1 INF</t>
  </si>
  <si>
    <t>167+1 INF</t>
  </si>
  <si>
    <t>HALWJ</t>
  </si>
  <si>
    <t>HALPL/HALWJ</t>
  </si>
  <si>
    <t>152+7INF</t>
  </si>
  <si>
    <t>150+4INF</t>
  </si>
  <si>
    <t>174+2INF</t>
  </si>
  <si>
    <t>139+3INF</t>
  </si>
  <si>
    <t>123+1INF</t>
  </si>
  <si>
    <t>165+2INF</t>
  </si>
  <si>
    <t>TZL - HHN- TZL</t>
  </si>
  <si>
    <t>TZL- EIN - TZL</t>
  </si>
  <si>
    <t>TZL - FMM - TZL</t>
  </si>
  <si>
    <t>168+6INF</t>
  </si>
  <si>
    <t>148+2INF</t>
  </si>
  <si>
    <t>176+8INF</t>
  </si>
  <si>
    <t>157+4INF</t>
  </si>
  <si>
    <t>124+5INF</t>
  </si>
  <si>
    <t>173+0 INF</t>
  </si>
  <si>
    <t>161+2 INF</t>
  </si>
  <si>
    <t>159+1 INF</t>
  </si>
  <si>
    <t>125+1 INF</t>
  </si>
  <si>
    <t>165+3 INF</t>
  </si>
  <si>
    <t>158+5 INF</t>
  </si>
  <si>
    <t>VULKAN AIR</t>
  </si>
  <si>
    <t>BEG-TZL</t>
  </si>
  <si>
    <t>AN26B</t>
  </si>
  <si>
    <t>URCQD</t>
  </si>
  <si>
    <t>TECHNICAL</t>
  </si>
  <si>
    <t>VKA102</t>
  </si>
  <si>
    <t>-</t>
  </si>
  <si>
    <t>ROP</t>
  </si>
  <si>
    <t>CREW</t>
  </si>
  <si>
    <t>176+1INF</t>
  </si>
  <si>
    <t>163+2 INF</t>
  </si>
  <si>
    <t>180+4 INF</t>
  </si>
  <si>
    <t>130+3 INF</t>
  </si>
  <si>
    <t>180+1INF</t>
  </si>
  <si>
    <t>177+2INF</t>
  </si>
  <si>
    <t>152+4INF</t>
  </si>
  <si>
    <t>128+2INF</t>
  </si>
  <si>
    <t>160+4INF</t>
  </si>
  <si>
    <t>171+5INF</t>
  </si>
  <si>
    <t>120+2INF</t>
  </si>
  <si>
    <t>109+1INF</t>
  </si>
  <si>
    <t>115+0INF</t>
  </si>
  <si>
    <t>179+1INF</t>
  </si>
  <si>
    <t>AIR SWISSLION RD</t>
  </si>
  <si>
    <t>BEG-TZL-TREBINJE</t>
  </si>
  <si>
    <t>A109</t>
  </si>
  <si>
    <t>YUHRD</t>
  </si>
  <si>
    <t>HEL</t>
  </si>
  <si>
    <t>168+9INF</t>
  </si>
  <si>
    <t>171+1INF</t>
  </si>
  <si>
    <t>151+0INF</t>
  </si>
  <si>
    <t>166+2INF</t>
  </si>
  <si>
    <t>174+4INF</t>
  </si>
  <si>
    <t>124+3INF</t>
  </si>
  <si>
    <t>173+3 INF</t>
  </si>
  <si>
    <t>177+4 INF</t>
  </si>
  <si>
    <t>171+4 INF</t>
  </si>
  <si>
    <t>162+0 INF</t>
  </si>
  <si>
    <t>171+2 INF</t>
  </si>
  <si>
    <t>147+3 INF</t>
  </si>
  <si>
    <t>159+2 INF</t>
  </si>
  <si>
    <t>DIV TO BEG</t>
  </si>
  <si>
    <t>170+3 INF</t>
  </si>
  <si>
    <t>143+3 INF</t>
  </si>
  <si>
    <t>175+2 INF</t>
  </si>
  <si>
    <t>177+10 INF</t>
  </si>
  <si>
    <t>175+9INF</t>
  </si>
  <si>
    <t>141+1INF</t>
  </si>
  <si>
    <t>118+3INF</t>
  </si>
  <si>
    <t>107+0INF</t>
  </si>
  <si>
    <t>174+6INF</t>
  </si>
  <si>
    <t>171+2INF</t>
  </si>
  <si>
    <t>173+2 INF</t>
  </si>
  <si>
    <t>112+1 INF</t>
  </si>
  <si>
    <t>177+1 INF</t>
  </si>
  <si>
    <t>167+3 INF</t>
  </si>
  <si>
    <t>180+3 INF</t>
  </si>
  <si>
    <t>158+2 INF</t>
  </si>
  <si>
    <t>L410</t>
  </si>
  <si>
    <t>OKWDC</t>
  </si>
  <si>
    <t>NON SCHEDULED</t>
  </si>
  <si>
    <t>RAC9002</t>
  </si>
  <si>
    <t>RAC840P</t>
  </si>
  <si>
    <t>ICAR AIR</t>
  </si>
  <si>
    <t>141+2INF</t>
  </si>
  <si>
    <t>AOI-TZL-AOI</t>
  </si>
  <si>
    <t>RAC841</t>
  </si>
  <si>
    <t>RAC9001</t>
  </si>
  <si>
    <t>FLYBOSNIA</t>
  </si>
  <si>
    <t>A319</t>
  </si>
  <si>
    <t>E7FBA</t>
  </si>
  <si>
    <t>FBS102</t>
  </si>
  <si>
    <t>18+0INF</t>
  </si>
  <si>
    <t>AOI-TZL-BGY</t>
  </si>
  <si>
    <t>RUH-(SJJ)-TZL</t>
  </si>
  <si>
    <t>TZL-PMI</t>
  </si>
  <si>
    <t>177+6INF</t>
  </si>
  <si>
    <t>175+0INF</t>
  </si>
  <si>
    <t>FBS201</t>
  </si>
  <si>
    <t>NON SCHED</t>
  </si>
  <si>
    <t>29+0INF</t>
  </si>
  <si>
    <t>CANCELED</t>
  </si>
  <si>
    <t>TZL-FCO</t>
  </si>
  <si>
    <t>159+6 INF</t>
  </si>
  <si>
    <t>169+2 INF</t>
  </si>
  <si>
    <t>146+2 INF</t>
  </si>
  <si>
    <t>169+4INF</t>
  </si>
  <si>
    <t>FERRY IN</t>
  </si>
  <si>
    <t>W6801</t>
  </si>
  <si>
    <t>178+2INF</t>
  </si>
  <si>
    <t>177+7INF</t>
  </si>
  <si>
    <t>162+1 INF</t>
  </si>
  <si>
    <t>155+1 INF</t>
  </si>
  <si>
    <t>164+3 INF</t>
  </si>
  <si>
    <t>HA-LWJ</t>
  </si>
  <si>
    <t>HA-LYC</t>
  </si>
  <si>
    <t>BUD-TZL-SJJ</t>
  </si>
  <si>
    <t>HA-LYD</t>
  </si>
  <si>
    <t>NON-SCHEDULED</t>
  </si>
  <si>
    <t>W62237</t>
  </si>
  <si>
    <t>W6817</t>
  </si>
  <si>
    <t>140+1 INF</t>
  </si>
  <si>
    <t>167+4 INF</t>
  </si>
  <si>
    <t>151+5 INF</t>
  </si>
  <si>
    <t>170+5 INF</t>
  </si>
  <si>
    <t>165+4INF</t>
  </si>
  <si>
    <t>MIRKO ANZEL</t>
  </si>
  <si>
    <t>BEG-TZL-BEG</t>
  </si>
  <si>
    <t>BE-36</t>
  </si>
  <si>
    <t>T7BEN</t>
  </si>
  <si>
    <t>GP/PRIVATE</t>
  </si>
  <si>
    <t>166+3 INF</t>
  </si>
  <si>
    <t>167+2 INF</t>
  </si>
  <si>
    <t>122+1 INF</t>
  </si>
  <si>
    <t>152+3 INF</t>
  </si>
  <si>
    <t>83+2 INF</t>
  </si>
  <si>
    <t>172+4 INF</t>
  </si>
  <si>
    <t>92+1 INF</t>
  </si>
  <si>
    <t>152+5INF</t>
  </si>
  <si>
    <t>178+7INF</t>
  </si>
  <si>
    <t>178+3INF</t>
  </si>
  <si>
    <t>161+1 INF</t>
  </si>
  <si>
    <t>157+6 INF</t>
  </si>
  <si>
    <t>175+0 INF</t>
  </si>
  <si>
    <t>WZZ801</t>
  </si>
  <si>
    <t>163+2INF</t>
  </si>
  <si>
    <t>172+2INF</t>
  </si>
  <si>
    <t>155+1INF</t>
  </si>
  <si>
    <t>158+7INF</t>
  </si>
  <si>
    <t>105+1INF</t>
  </si>
  <si>
    <t>153+3INF</t>
  </si>
  <si>
    <t>164+3INF</t>
  </si>
  <si>
    <t>154+3INF</t>
  </si>
  <si>
    <t>HALYC/HALWG</t>
  </si>
  <si>
    <t>HALWG</t>
  </si>
  <si>
    <t>166+4 INF</t>
  </si>
  <si>
    <t>164+2 INF</t>
  </si>
  <si>
    <t>157+1 INF</t>
  </si>
  <si>
    <t>165+6 INF</t>
  </si>
  <si>
    <t>156+3 INF</t>
  </si>
  <si>
    <t>140+3 INF</t>
  </si>
  <si>
    <t>151+1 INF</t>
  </si>
  <si>
    <t>BATAGON AIR DOO</t>
  </si>
  <si>
    <t>BNX-TZL-BEG</t>
  </si>
  <si>
    <t>A119</t>
  </si>
  <si>
    <t>S5-HDM</t>
  </si>
  <si>
    <t>HELICOPTER</t>
  </si>
  <si>
    <t>CREW ONLY</t>
  </si>
  <si>
    <t>121+0 INF</t>
  </si>
  <si>
    <t>150+1 INF</t>
  </si>
  <si>
    <t>168+2INF</t>
  </si>
  <si>
    <t>175+1INF</t>
  </si>
  <si>
    <t>BEG-TZL-OSMACI</t>
  </si>
  <si>
    <t>177+3 INF</t>
  </si>
  <si>
    <t>176+0 INF</t>
  </si>
  <si>
    <t>174+2 INF</t>
  </si>
  <si>
    <t>HA-LWG</t>
  </si>
  <si>
    <t>OSMACI-TZL-BEG</t>
  </si>
  <si>
    <t>BEG-TZL-BNX</t>
  </si>
  <si>
    <t>169+0INF</t>
  </si>
  <si>
    <t>179+7INF</t>
  </si>
  <si>
    <t>178+1INF</t>
  </si>
  <si>
    <t>HALWJ/HALPR</t>
  </si>
  <si>
    <t>HALPR</t>
  </si>
  <si>
    <t>165+0 INF</t>
  </si>
  <si>
    <t>171+1 INF</t>
  </si>
  <si>
    <t>DELIC AIR</t>
  </si>
  <si>
    <t>C525</t>
  </si>
  <si>
    <t>T7-ACA</t>
  </si>
  <si>
    <t>NON-SCHEDULED/GP</t>
  </si>
  <si>
    <t>132+1 INF</t>
  </si>
  <si>
    <t>155+5 INF</t>
  </si>
  <si>
    <t>CIA-TZL-LIN</t>
  </si>
  <si>
    <t>143+2INF</t>
  </si>
  <si>
    <t>120+0INF</t>
  </si>
  <si>
    <t>TDG-TZL-CIA</t>
  </si>
  <si>
    <t>168+4 INF</t>
  </si>
  <si>
    <t>154+6 INF</t>
  </si>
  <si>
    <t>161+7 INF</t>
  </si>
  <si>
    <t>128+0 INF</t>
  </si>
  <si>
    <t>168+2 INF</t>
  </si>
  <si>
    <t>174+5INF</t>
  </si>
  <si>
    <t>150+3INF</t>
  </si>
  <si>
    <t>155+3INF</t>
  </si>
  <si>
    <t>124+1INF</t>
  </si>
  <si>
    <t>161+5INF</t>
  </si>
  <si>
    <t>175+3INF</t>
  </si>
  <si>
    <t>166+5INF</t>
  </si>
  <si>
    <t>159+0 INF</t>
  </si>
  <si>
    <t>133+1 INF</t>
  </si>
  <si>
    <t>170+6INF</t>
  </si>
  <si>
    <t>145+0INF</t>
  </si>
  <si>
    <t>69+2INF</t>
  </si>
  <si>
    <t>165+3INF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</si>
</sst>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2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2" fillId="0" borderId="0" xfId="3" applyFont="1" applyFill="1" applyAlignment="1">
      <alignment horizontal="center" vertical="center"/>
    </xf>
    <xf numFmtId="3" fontId="2" fillId="0" borderId="0" xfId="3" applyNumberFormat="1" applyFont="1" applyFill="1" applyAlignment="1">
      <alignment horizontal="center" vertical="center"/>
    </xf>
    <xf numFmtId="20" fontId="3" fillId="0" borderId="0" xfId="3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20" fontId="4" fillId="0" borderId="0" xfId="1" applyNumberFormat="1" applyFont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4" applyFont="1" applyFill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3" fillId="0" borderId="0" xfId="4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5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5" fillId="0" borderId="0" xfId="0" applyFont="1"/>
    <xf numFmtId="20" fontId="3" fillId="0" borderId="0" xfId="6" applyNumberFormat="1" applyFont="1" applyFill="1" applyAlignment="1">
      <alignment horizontal="center" vertical="center"/>
    </xf>
    <xf numFmtId="20" fontId="2" fillId="0" borderId="0" xfId="6" applyNumberFormat="1" applyFont="1" applyFill="1" applyAlignment="1">
      <alignment horizontal="center" vertical="center"/>
    </xf>
    <xf numFmtId="0" fontId="1" fillId="0" borderId="0" xfId="4"/>
    <xf numFmtId="0" fontId="5" fillId="0" borderId="0" xfId="0" applyFont="1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6" applyNumberFormat="1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5" fillId="0" borderId="0" xfId="1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14" fontId="2" fillId="0" borderId="0" xfId="3" applyNumberFormat="1" applyFont="1" applyFill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20" fontId="3" fillId="0" borderId="0" xfId="4" applyNumberFormat="1" applyFont="1" applyAlignment="1">
      <alignment horizontal="center" vertical="center"/>
    </xf>
    <xf numFmtId="20" fontId="2" fillId="0" borderId="0" xfId="4" applyNumberFormat="1" applyFont="1" applyAlignment="1">
      <alignment horizontal="center" vertical="center"/>
    </xf>
    <xf numFmtId="0" fontId="0" fillId="0" borderId="0" xfId="0" applyFill="1"/>
    <xf numFmtId="20" fontId="2" fillId="3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3" borderId="0" xfId="6" applyFont="1" applyFill="1" applyAlignment="1">
      <alignment horizontal="center" vertical="center"/>
    </xf>
    <xf numFmtId="20" fontId="2" fillId="3" borderId="0" xfId="6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0" fontId="5" fillId="3" borderId="0" xfId="0" applyNumberFormat="1" applyFont="1" applyFill="1" applyAlignment="1">
      <alignment horizontal="center"/>
    </xf>
  </cellXfs>
  <cellStyles count="7">
    <cellStyle name="Normal" xfId="0" builtinId="0"/>
    <cellStyle name="Normal 2" xfId="2"/>
    <cellStyle name="Normal 2 2" xfId="5"/>
    <cellStyle name="Normal 3" xfId="3"/>
    <cellStyle name="Normal 3 2" xfId="6"/>
    <cellStyle name="Normal 4" xfId="1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"/>
  <sheetViews>
    <sheetView workbookViewId="0">
      <selection activeCell="N2" sqref="N2:N6"/>
    </sheetView>
  </sheetViews>
  <sheetFormatPr defaultRowHeight="15" x14ac:dyDescent="0.25"/>
  <cols>
    <col min="2" max="2" width="10.140625" customWidth="1"/>
    <col min="3" max="3" width="15" customWidth="1"/>
    <col min="6" max="6" width="13.85546875" customWidth="1"/>
    <col min="10" max="11" width="11.7109375" customWidth="1"/>
    <col min="12" max="13" width="11.5703125" customWidth="1"/>
    <col min="14" max="14" width="18.85546875" customWidth="1"/>
    <col min="15" max="15" width="18.42578125" customWidth="1"/>
    <col min="16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43831</v>
      </c>
      <c r="B2" s="14" t="s">
        <v>21</v>
      </c>
      <c r="C2" s="14" t="s">
        <v>22</v>
      </c>
      <c r="D2" s="14" t="s">
        <v>23</v>
      </c>
      <c r="E2" s="14" t="s">
        <v>37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0.44722222222222219</v>
      </c>
      <c r="L2" s="18">
        <v>0.25694444444444448</v>
      </c>
      <c r="M2" s="19">
        <v>0.26666666666666666</v>
      </c>
      <c r="N2" s="22" t="s">
        <v>38</v>
      </c>
      <c r="O2" s="20" t="s">
        <v>40</v>
      </c>
      <c r="P2" s="20">
        <v>805</v>
      </c>
      <c r="Q2" s="20">
        <v>634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43831</v>
      </c>
      <c r="B3" s="14" t="s">
        <v>21</v>
      </c>
      <c r="C3" s="14" t="s">
        <v>30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0.50069444444444444</v>
      </c>
      <c r="L3" s="18">
        <v>0.30208333333333331</v>
      </c>
      <c r="M3" s="19">
        <v>0.30555555555555552</v>
      </c>
      <c r="N3" s="22" t="s">
        <v>39</v>
      </c>
      <c r="O3" s="20" t="s">
        <v>41</v>
      </c>
      <c r="P3" s="14">
        <v>723</v>
      </c>
      <c r="Q3" s="20">
        <v>744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43831</v>
      </c>
      <c r="B4" s="14" t="s">
        <v>21</v>
      </c>
      <c r="C4" s="14" t="s">
        <v>48</v>
      </c>
      <c r="D4" s="14" t="s">
        <v>23</v>
      </c>
      <c r="E4" s="14" t="s">
        <v>37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0.65069444444444446</v>
      </c>
      <c r="L4" s="18">
        <v>0.49305555555555558</v>
      </c>
      <c r="M4" s="19">
        <v>0.4916666666666667</v>
      </c>
      <c r="N4" s="22" t="s">
        <v>45</v>
      </c>
      <c r="O4" s="20" t="s">
        <v>42</v>
      </c>
      <c r="P4" s="20">
        <v>858</v>
      </c>
      <c r="Q4" s="20">
        <v>936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21">
        <f>A4</f>
        <v>43831</v>
      </c>
      <c r="B5" s="14" t="s">
        <v>21</v>
      </c>
      <c r="C5" s="14" t="s">
        <v>49</v>
      </c>
      <c r="D5" s="14" t="s">
        <v>23</v>
      </c>
      <c r="E5" s="14" t="str">
        <f>E3</f>
        <v>HALYC</v>
      </c>
      <c r="F5" s="14" t="s">
        <v>24</v>
      </c>
      <c r="G5" s="32">
        <v>71500</v>
      </c>
      <c r="H5" s="14" t="s">
        <v>27</v>
      </c>
      <c r="I5" s="14" t="s">
        <v>28</v>
      </c>
      <c r="J5" s="18">
        <v>0.77083333333333337</v>
      </c>
      <c r="K5" s="29">
        <v>0.75694444444444453</v>
      </c>
      <c r="L5" s="18">
        <v>0.53819444444444442</v>
      </c>
      <c r="M5" s="19">
        <v>0.5395833333333333</v>
      </c>
      <c r="N5" s="22" t="s">
        <v>46</v>
      </c>
      <c r="O5" s="20" t="s">
        <v>43</v>
      </c>
      <c r="P5" s="14">
        <v>860</v>
      </c>
      <c r="Q5" s="20">
        <v>980</v>
      </c>
      <c r="R5" s="14">
        <v>0</v>
      </c>
      <c r="S5" s="14">
        <v>0</v>
      </c>
      <c r="T5" s="14">
        <v>0</v>
      </c>
      <c r="U5" s="14">
        <v>0</v>
      </c>
    </row>
    <row r="6" spans="1:21" x14ac:dyDescent="0.25">
      <c r="A6" s="21">
        <f>A5</f>
        <v>43831</v>
      </c>
      <c r="B6" s="14" t="s">
        <v>21</v>
      </c>
      <c r="C6" s="22" t="s">
        <v>50</v>
      </c>
      <c r="D6" s="22" t="s">
        <v>23</v>
      </c>
      <c r="E6" s="14" t="str">
        <f>E4</f>
        <v>HALPL</v>
      </c>
      <c r="F6" s="22" t="s">
        <v>24</v>
      </c>
      <c r="G6" s="32">
        <f>G4</f>
        <v>71500</v>
      </c>
      <c r="H6" s="22" t="s">
        <v>35</v>
      </c>
      <c r="I6" s="22" t="s">
        <v>36</v>
      </c>
      <c r="J6" s="28">
        <v>0.86805555555555547</v>
      </c>
      <c r="K6" s="29">
        <v>0.85486111111111107</v>
      </c>
      <c r="L6" s="28">
        <v>0.68055555555555547</v>
      </c>
      <c r="M6" s="29">
        <v>0.68263888888888891</v>
      </c>
      <c r="N6" s="22" t="s">
        <v>47</v>
      </c>
      <c r="O6" s="22" t="s">
        <v>44</v>
      </c>
      <c r="P6" s="22">
        <v>1035</v>
      </c>
      <c r="Q6" s="20">
        <v>712</v>
      </c>
      <c r="R6" s="22">
        <v>0</v>
      </c>
      <c r="S6" s="22">
        <v>0</v>
      </c>
      <c r="T6" s="22">
        <v>0</v>
      </c>
      <c r="U6" s="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7"/>
  <sheetViews>
    <sheetView workbookViewId="0">
      <selection activeCell="F13" sqref="F13"/>
    </sheetView>
  </sheetViews>
  <sheetFormatPr defaultRowHeight="15" x14ac:dyDescent="0.25"/>
  <cols>
    <col min="3" max="3" width="14.28515625" customWidth="1"/>
    <col min="5" max="5" width="7.5703125" bestFit="1" customWidth="1"/>
    <col min="6" max="6" width="12.140625" bestFit="1" customWidth="1"/>
    <col min="10" max="10" width="11.7109375" customWidth="1"/>
    <col min="11" max="11" width="13.28515625" customWidth="1"/>
    <col min="12" max="13" width="11.5703125" customWidth="1"/>
    <col min="14" max="14" width="19.7109375" customWidth="1"/>
    <col min="15" max="15" width="23.7109375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21">
        <v>43832</v>
      </c>
      <c r="B2" s="14" t="s">
        <v>21</v>
      </c>
      <c r="C2" s="14" t="s">
        <v>51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52</v>
      </c>
      <c r="I2" s="14" t="s">
        <v>34</v>
      </c>
      <c r="J2" s="18">
        <v>0.50694444444444442</v>
      </c>
      <c r="K2" s="50" t="s">
        <v>59</v>
      </c>
      <c r="L2" s="18">
        <v>0.32291666666666669</v>
      </c>
      <c r="M2" s="50" t="s">
        <v>59</v>
      </c>
      <c r="N2" s="22"/>
      <c r="O2" s="20"/>
      <c r="P2" s="20"/>
      <c r="Q2" s="20"/>
      <c r="R2" s="14">
        <v>0</v>
      </c>
      <c r="S2" s="14">
        <v>0</v>
      </c>
      <c r="T2" s="14">
        <v>0</v>
      </c>
      <c r="U2" s="14">
        <v>0</v>
      </c>
    </row>
    <row r="3" spans="1:22" x14ac:dyDescent="0.25">
      <c r="A3" s="21">
        <v>43832</v>
      </c>
      <c r="B3" s="14" t="s">
        <v>21</v>
      </c>
      <c r="C3" s="14" t="s">
        <v>56</v>
      </c>
      <c r="D3" s="14" t="s">
        <v>23</v>
      </c>
      <c r="E3" s="14" t="s">
        <v>37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0.68402777777777779</v>
      </c>
      <c r="K3" s="50" t="s">
        <v>59</v>
      </c>
      <c r="L3" s="18">
        <v>0.46875</v>
      </c>
      <c r="M3" s="50" t="s">
        <v>59</v>
      </c>
      <c r="N3" s="22"/>
      <c r="O3" s="20"/>
      <c r="P3" s="14"/>
      <c r="Q3" s="20"/>
      <c r="R3" s="14">
        <v>0</v>
      </c>
      <c r="S3" s="14">
        <v>0</v>
      </c>
      <c r="T3" s="14">
        <v>0</v>
      </c>
      <c r="U3" s="14">
        <v>0</v>
      </c>
    </row>
    <row r="4" spans="1:22" x14ac:dyDescent="0.25">
      <c r="A4" s="21">
        <v>43832</v>
      </c>
      <c r="B4" s="14" t="s">
        <v>21</v>
      </c>
      <c r="C4" s="14" t="s">
        <v>53</v>
      </c>
      <c r="D4" s="14" t="s">
        <v>23</v>
      </c>
      <c r="E4" s="14" t="s">
        <v>29</v>
      </c>
      <c r="F4" s="14" t="s">
        <v>24</v>
      </c>
      <c r="G4" s="32">
        <v>71500</v>
      </c>
      <c r="H4" s="14" t="s">
        <v>57</v>
      </c>
      <c r="I4" s="14" t="s">
        <v>58</v>
      </c>
      <c r="J4" s="18">
        <v>0.68402777777777779</v>
      </c>
      <c r="K4" s="50" t="s">
        <v>59</v>
      </c>
      <c r="L4" s="18">
        <v>0.52777777777777779</v>
      </c>
      <c r="M4" s="50" t="s">
        <v>59</v>
      </c>
      <c r="N4" s="22"/>
      <c r="O4" s="20"/>
      <c r="P4" s="20"/>
      <c r="Q4" s="20"/>
      <c r="R4" s="14">
        <v>0</v>
      </c>
      <c r="S4" s="14">
        <v>0</v>
      </c>
      <c r="T4" s="14">
        <v>0</v>
      </c>
      <c r="U4" s="14">
        <v>0</v>
      </c>
    </row>
    <row r="5" spans="1:22" x14ac:dyDescent="0.25">
      <c r="A5" s="21">
        <v>43832</v>
      </c>
      <c r="B5" s="14" t="s">
        <v>21</v>
      </c>
      <c r="C5" s="22" t="s">
        <v>30</v>
      </c>
      <c r="D5" s="22" t="s">
        <v>23</v>
      </c>
      <c r="E5" s="14" t="s">
        <v>37</v>
      </c>
      <c r="F5" s="22" t="s">
        <v>24</v>
      </c>
      <c r="G5" s="32">
        <v>71500</v>
      </c>
      <c r="H5" s="22" t="s">
        <v>33</v>
      </c>
      <c r="I5" s="22" t="s">
        <v>34</v>
      </c>
      <c r="J5" s="28">
        <v>0.92013888888888884</v>
      </c>
      <c r="K5" s="50" t="s">
        <v>59</v>
      </c>
      <c r="L5" s="28">
        <v>0.71527777777777779</v>
      </c>
      <c r="M5" s="50" t="s">
        <v>59</v>
      </c>
      <c r="N5" s="22"/>
      <c r="O5" s="22"/>
      <c r="P5" s="22"/>
      <c r="Q5" s="20"/>
      <c r="R5" s="22">
        <v>0</v>
      </c>
      <c r="S5" s="22">
        <v>0</v>
      </c>
      <c r="T5" s="22">
        <v>0</v>
      </c>
      <c r="U5" s="22">
        <v>0</v>
      </c>
    </row>
    <row r="6" spans="1:22" s="27" customFormat="1" ht="12.75" x14ac:dyDescent="0.2">
      <c r="A6" s="21">
        <v>43832</v>
      </c>
      <c r="B6" s="14" t="s">
        <v>21</v>
      </c>
      <c r="C6" s="22" t="s">
        <v>48</v>
      </c>
      <c r="D6" s="22" t="s">
        <v>23</v>
      </c>
      <c r="E6" s="14" t="s">
        <v>29</v>
      </c>
      <c r="F6" s="22" t="s">
        <v>24</v>
      </c>
      <c r="G6" s="32">
        <v>71500</v>
      </c>
      <c r="H6" s="22" t="s">
        <v>33</v>
      </c>
      <c r="I6" s="22" t="s">
        <v>34</v>
      </c>
      <c r="J6" s="28">
        <v>0.94097222222222221</v>
      </c>
      <c r="K6" s="50" t="s">
        <v>59</v>
      </c>
      <c r="L6" s="28">
        <v>0.77430555555555547</v>
      </c>
      <c r="M6" s="50" t="s">
        <v>59</v>
      </c>
      <c r="N6" s="22"/>
      <c r="O6" s="22"/>
      <c r="P6" s="22"/>
      <c r="Q6" s="20"/>
      <c r="R6" s="22">
        <v>0</v>
      </c>
      <c r="S6" s="22">
        <v>0</v>
      </c>
      <c r="T6" s="22">
        <v>0</v>
      </c>
      <c r="U6" s="22">
        <v>0</v>
      </c>
      <c r="V6" s="26"/>
    </row>
    <row r="7" spans="1:22" s="30" customFormat="1" ht="12.75" x14ac:dyDescent="0.2">
      <c r="A7" s="21"/>
      <c r="B7" s="22"/>
      <c r="C7" s="22"/>
      <c r="D7" s="22"/>
      <c r="E7" s="15"/>
      <c r="F7" s="22"/>
      <c r="G7" s="16"/>
      <c r="H7" s="22"/>
      <c r="I7" s="22"/>
      <c r="J7" s="28"/>
      <c r="K7" s="29"/>
      <c r="L7" s="28"/>
      <c r="M7" s="29"/>
      <c r="N7" s="22"/>
      <c r="O7" s="22"/>
      <c r="P7" s="22"/>
      <c r="Q7" s="22"/>
      <c r="R7" s="22"/>
      <c r="S7" s="22"/>
      <c r="T7" s="22"/>
      <c r="U7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11"/>
  <sheetViews>
    <sheetView workbookViewId="0">
      <selection activeCell="N2" sqref="N2:N7"/>
    </sheetView>
  </sheetViews>
  <sheetFormatPr defaultRowHeight="12.75" x14ac:dyDescent="0.2"/>
  <cols>
    <col min="1" max="1" width="10.140625" style="31" bestFit="1" customWidth="1"/>
    <col min="2" max="2" width="9.140625" style="31" bestFit="1" customWidth="1"/>
    <col min="3" max="3" width="15" style="31" customWidth="1"/>
    <col min="4" max="5" width="9.140625" style="31"/>
    <col min="6" max="6" width="12.140625" style="31" bestFit="1" customWidth="1"/>
    <col min="7" max="9" width="9.140625" style="31"/>
    <col min="10" max="10" width="10.5703125" style="31" customWidth="1"/>
    <col min="11" max="11" width="12" style="31" customWidth="1"/>
    <col min="12" max="12" width="12.42578125" style="31" customWidth="1"/>
    <col min="13" max="13" width="11.7109375" style="31" customWidth="1"/>
    <col min="14" max="14" width="18.28515625" style="31" customWidth="1"/>
    <col min="15" max="15" width="19.5703125" style="31" customWidth="1"/>
    <col min="16" max="16" width="16" style="31" customWidth="1"/>
    <col min="17" max="17" width="13.42578125" style="31" customWidth="1"/>
    <col min="18" max="16384" width="9.140625" style="31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customFormat="1" ht="15" x14ac:dyDescent="0.25">
      <c r="A2" s="21">
        <v>43833</v>
      </c>
      <c r="B2" s="14" t="s">
        <v>21</v>
      </c>
      <c r="C2" s="14" t="s">
        <v>22</v>
      </c>
      <c r="D2" s="14" t="s">
        <v>23</v>
      </c>
      <c r="E2" s="14" t="s">
        <v>37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0.4597222222222222</v>
      </c>
      <c r="L2" s="18">
        <v>0.25694444444444448</v>
      </c>
      <c r="M2" s="19">
        <v>0.26319444444444445</v>
      </c>
      <c r="N2" s="22" t="s">
        <v>67</v>
      </c>
      <c r="O2" s="20" t="s">
        <v>66</v>
      </c>
      <c r="P2" s="20">
        <v>1146</v>
      </c>
      <c r="Q2" s="20">
        <v>1188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 t="shared" ref="A3:A7" si="0">A2</f>
        <v>43833</v>
      </c>
      <c r="B3" s="14" t="s">
        <v>21</v>
      </c>
      <c r="C3" s="14" t="s">
        <v>30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0.49305555555555558</v>
      </c>
      <c r="L3" s="18">
        <v>0.30208333333333331</v>
      </c>
      <c r="M3" s="19">
        <v>0.30902777777777779</v>
      </c>
      <c r="N3" s="22" t="s">
        <v>68</v>
      </c>
      <c r="O3" s="20" t="s">
        <v>67</v>
      </c>
      <c r="P3" s="14">
        <v>762</v>
      </c>
      <c r="Q3" s="20">
        <v>1473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si="0"/>
        <v>43833</v>
      </c>
      <c r="B4" s="22" t="s">
        <v>21</v>
      </c>
      <c r="C4" s="22" t="s">
        <v>48</v>
      </c>
      <c r="D4" s="22" t="s">
        <v>23</v>
      </c>
      <c r="E4" s="14" t="s">
        <v>37</v>
      </c>
      <c r="F4" s="22" t="s">
        <v>24</v>
      </c>
      <c r="G4" s="32">
        <v>71500</v>
      </c>
      <c r="H4" s="14" t="s">
        <v>33</v>
      </c>
      <c r="I4" s="14" t="s">
        <v>34</v>
      </c>
      <c r="J4" s="35">
        <v>0.65972222222222221</v>
      </c>
      <c r="K4" s="29">
        <v>0.65763888888888888</v>
      </c>
      <c r="L4" s="35">
        <v>0.49305555555555558</v>
      </c>
      <c r="M4" s="36">
        <v>0.5</v>
      </c>
      <c r="N4" s="22" t="s">
        <v>70</v>
      </c>
      <c r="O4" s="31" t="s">
        <v>43</v>
      </c>
      <c r="P4" s="31">
        <v>1037</v>
      </c>
      <c r="Q4" s="20">
        <v>1430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43833</v>
      </c>
      <c r="B5" s="22" t="s">
        <v>21</v>
      </c>
      <c r="C5" s="22" t="s">
        <v>60</v>
      </c>
      <c r="D5" s="22" t="s">
        <v>23</v>
      </c>
      <c r="E5" s="14" t="s">
        <v>29</v>
      </c>
      <c r="F5" s="22" t="s">
        <v>24</v>
      </c>
      <c r="G5" s="32">
        <v>71500</v>
      </c>
      <c r="H5" s="22" t="s">
        <v>61</v>
      </c>
      <c r="I5" s="22" t="s">
        <v>62</v>
      </c>
      <c r="J5" s="28">
        <v>0.68055555555555547</v>
      </c>
      <c r="K5" s="29">
        <v>0.68263888888888891</v>
      </c>
      <c r="L5" s="28">
        <v>0.52777777777777779</v>
      </c>
      <c r="M5" s="29">
        <v>0.54861111111111105</v>
      </c>
      <c r="N5" s="22" t="s">
        <v>71</v>
      </c>
      <c r="O5" s="22" t="s">
        <v>69</v>
      </c>
      <c r="P5" s="22">
        <v>989</v>
      </c>
      <c r="Q5" s="20">
        <v>1058</v>
      </c>
      <c r="R5" s="22">
        <v>0</v>
      </c>
      <c r="S5" s="22">
        <v>0</v>
      </c>
      <c r="T5" s="22">
        <v>0</v>
      </c>
      <c r="U5" s="22">
        <v>0</v>
      </c>
    </row>
    <row r="6" spans="1:21" customFormat="1" ht="15" x14ac:dyDescent="0.25">
      <c r="A6" s="21">
        <f t="shared" si="0"/>
        <v>43833</v>
      </c>
      <c r="B6" s="22" t="s">
        <v>21</v>
      </c>
      <c r="C6" s="22" t="s">
        <v>63</v>
      </c>
      <c r="D6" s="22" t="s">
        <v>23</v>
      </c>
      <c r="E6" s="14" t="s">
        <v>37</v>
      </c>
      <c r="F6" s="22" t="s">
        <v>24</v>
      </c>
      <c r="G6" s="32">
        <v>71500</v>
      </c>
      <c r="H6" s="14" t="s">
        <v>64</v>
      </c>
      <c r="I6" s="14" t="s">
        <v>65</v>
      </c>
      <c r="J6" s="35">
        <v>0.91319444444444453</v>
      </c>
      <c r="K6" s="29">
        <v>0.91041666666666676</v>
      </c>
      <c r="L6" s="35">
        <v>0.69097222222222221</v>
      </c>
      <c r="M6" s="36">
        <v>0.70347222222222217</v>
      </c>
      <c r="N6" s="22" t="s">
        <v>73</v>
      </c>
      <c r="O6" s="31" t="s">
        <v>42</v>
      </c>
      <c r="P6" s="31">
        <v>499</v>
      </c>
      <c r="Q6" s="20">
        <v>976</v>
      </c>
      <c r="R6" s="22">
        <v>0</v>
      </c>
      <c r="S6" s="22">
        <v>0</v>
      </c>
      <c r="T6" s="22">
        <v>0</v>
      </c>
      <c r="U6" s="22">
        <v>0</v>
      </c>
    </row>
    <row r="7" spans="1:21" customFormat="1" ht="15" x14ac:dyDescent="0.25">
      <c r="A7" s="21">
        <f t="shared" si="0"/>
        <v>43833</v>
      </c>
      <c r="B7" s="22" t="s">
        <v>21</v>
      </c>
      <c r="C7" s="22" t="s">
        <v>49</v>
      </c>
      <c r="D7" s="31" t="s">
        <v>23</v>
      </c>
      <c r="E7" s="14" t="s">
        <v>29</v>
      </c>
      <c r="F7" s="22" t="s">
        <v>24</v>
      </c>
      <c r="G7" s="32">
        <v>71500</v>
      </c>
      <c r="H7" s="14" t="s">
        <v>27</v>
      </c>
      <c r="I7" s="14" t="s">
        <v>28</v>
      </c>
      <c r="J7" s="35">
        <v>0.94444444444444453</v>
      </c>
      <c r="K7" s="36">
        <v>0.94444444444444453</v>
      </c>
      <c r="L7" s="35">
        <v>0.71180555555555547</v>
      </c>
      <c r="M7" s="36">
        <v>0.73055555555555562</v>
      </c>
      <c r="N7" s="22" t="s">
        <v>74</v>
      </c>
      <c r="O7" s="22" t="s">
        <v>72</v>
      </c>
      <c r="P7" s="22">
        <v>1080</v>
      </c>
      <c r="Q7" s="20">
        <v>1231</v>
      </c>
      <c r="R7" s="22">
        <v>0</v>
      </c>
      <c r="S7" s="22">
        <v>0</v>
      </c>
      <c r="T7" s="22">
        <v>0</v>
      </c>
      <c r="U7" s="22">
        <v>0</v>
      </c>
    </row>
    <row r="9" spans="1:21" x14ac:dyDescent="0.2">
      <c r="A9" s="33"/>
      <c r="G9" s="34"/>
      <c r="J9" s="35"/>
      <c r="K9" s="36"/>
      <c r="L9" s="38"/>
      <c r="M9" s="38"/>
      <c r="R9" s="37"/>
      <c r="S9" s="37"/>
      <c r="T9" s="37"/>
      <c r="U9" s="37"/>
    </row>
    <row r="10" spans="1:21" x14ac:dyDescent="0.2">
      <c r="R10" s="37"/>
      <c r="S10" s="37"/>
      <c r="T10" s="37"/>
      <c r="U10" s="37"/>
    </row>
    <row r="11" spans="1:21" x14ac:dyDescent="0.2">
      <c r="R11" s="37"/>
      <c r="S11" s="37"/>
      <c r="T11" s="37"/>
      <c r="U11" s="3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11"/>
  <sheetViews>
    <sheetView workbookViewId="0">
      <selection activeCell="K7" sqref="K7"/>
    </sheetView>
  </sheetViews>
  <sheetFormatPr defaultRowHeight="12.75" x14ac:dyDescent="0.2"/>
  <cols>
    <col min="1" max="1" width="7" style="31" bestFit="1" customWidth="1"/>
    <col min="2" max="2" width="9.140625" style="31" bestFit="1" customWidth="1"/>
    <col min="3" max="3" width="18.5703125" style="31" customWidth="1"/>
    <col min="4" max="4" width="5.7109375" style="31" bestFit="1" customWidth="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17" style="22" customWidth="1"/>
    <col min="15" max="15" width="17.140625" style="31" customWidth="1"/>
    <col min="16" max="16384" width="9.140625" style="31"/>
  </cols>
  <sheetData>
    <row r="1" spans="1:21" customFormat="1" ht="15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customFormat="1" ht="15" x14ac:dyDescent="0.25">
      <c r="A2" s="21">
        <v>43834</v>
      </c>
      <c r="B2" s="14" t="s">
        <v>21</v>
      </c>
      <c r="C2" s="14" t="s">
        <v>51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0.50416666666666665</v>
      </c>
      <c r="L2" s="18">
        <v>0.32291666666666669</v>
      </c>
      <c r="M2" s="19">
        <v>0.32847222222222222</v>
      </c>
      <c r="N2" s="22" t="s">
        <v>80</v>
      </c>
      <c r="O2" s="20" t="s">
        <v>79</v>
      </c>
      <c r="P2" s="20">
        <v>1223</v>
      </c>
      <c r="Q2" s="20">
        <v>998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v>43834</v>
      </c>
      <c r="B3" s="14" t="s">
        <v>21</v>
      </c>
      <c r="C3" s="14" t="s">
        <v>56</v>
      </c>
      <c r="D3" s="14" t="s">
        <v>23</v>
      </c>
      <c r="E3" s="14" t="s">
        <v>37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0.53819444444444442</v>
      </c>
      <c r="L3" s="18">
        <v>0.5</v>
      </c>
      <c r="M3" s="19">
        <v>0.50277777777777777</v>
      </c>
      <c r="N3" s="22" t="s">
        <v>83</v>
      </c>
      <c r="O3" s="20" t="s">
        <v>81</v>
      </c>
      <c r="P3" s="31">
        <v>971</v>
      </c>
      <c r="Q3" s="20">
        <v>1220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v>43834</v>
      </c>
      <c r="B4" s="22" t="s">
        <v>21</v>
      </c>
      <c r="C4" s="22" t="s">
        <v>53</v>
      </c>
      <c r="D4" s="22" t="s">
        <v>23</v>
      </c>
      <c r="E4" s="14" t="s">
        <v>29</v>
      </c>
      <c r="F4" s="22" t="s">
        <v>24</v>
      </c>
      <c r="G4" s="32">
        <v>71000</v>
      </c>
      <c r="H4" s="14" t="s">
        <v>57</v>
      </c>
      <c r="I4" s="14" t="s">
        <v>58</v>
      </c>
      <c r="J4" s="35">
        <v>0.68402777777777779</v>
      </c>
      <c r="K4" s="29">
        <v>0.66875000000000007</v>
      </c>
      <c r="L4" s="35">
        <v>0.52777777777777779</v>
      </c>
      <c r="M4" s="36">
        <v>0.53819444444444442</v>
      </c>
      <c r="N4" s="22" t="s">
        <v>86</v>
      </c>
      <c r="O4" s="31" t="s">
        <v>82</v>
      </c>
      <c r="P4" s="14">
        <v>1036</v>
      </c>
      <c r="Q4" s="20">
        <v>1243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v>43834</v>
      </c>
      <c r="B5" s="22" t="s">
        <v>21</v>
      </c>
      <c r="C5" s="22" t="s">
        <v>22</v>
      </c>
      <c r="D5" s="22" t="s">
        <v>23</v>
      </c>
      <c r="E5" s="14" t="s">
        <v>37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0.9375</v>
      </c>
      <c r="K5" s="29">
        <v>0.9590277777777777</v>
      </c>
      <c r="L5" s="28">
        <v>0.74652777777777779</v>
      </c>
      <c r="M5" s="29">
        <v>0.77083333333333337</v>
      </c>
      <c r="N5" s="22" t="s">
        <v>87</v>
      </c>
      <c r="O5" s="22" t="s">
        <v>84</v>
      </c>
      <c r="P5" s="22">
        <v>1064</v>
      </c>
      <c r="Q5" s="20">
        <v>1305</v>
      </c>
      <c r="R5" s="22">
        <v>0</v>
      </c>
      <c r="S5" s="22">
        <v>0</v>
      </c>
      <c r="T5" s="22">
        <v>0</v>
      </c>
      <c r="U5" s="22">
        <v>0</v>
      </c>
    </row>
    <row r="6" spans="1:21" customFormat="1" ht="15" x14ac:dyDescent="0.25">
      <c r="A6" s="21">
        <v>43834</v>
      </c>
      <c r="B6" s="22" t="s">
        <v>21</v>
      </c>
      <c r="C6" s="22" t="s">
        <v>78</v>
      </c>
      <c r="D6" s="22" t="s">
        <v>23</v>
      </c>
      <c r="E6" s="14" t="s">
        <v>29</v>
      </c>
      <c r="F6" s="22" t="s">
        <v>24</v>
      </c>
      <c r="G6" s="32">
        <v>71500</v>
      </c>
      <c r="H6" s="22" t="s">
        <v>76</v>
      </c>
      <c r="I6" s="22" t="s">
        <v>77</v>
      </c>
      <c r="J6" s="28">
        <v>0.94444444444444453</v>
      </c>
      <c r="K6" s="29">
        <v>0.93333333333333324</v>
      </c>
      <c r="L6" s="28">
        <v>0.77430555555555547</v>
      </c>
      <c r="M6" s="29">
        <v>0.77430555555555547</v>
      </c>
      <c r="N6" s="22" t="s">
        <v>88</v>
      </c>
      <c r="O6" s="22" t="s">
        <v>85</v>
      </c>
      <c r="P6" s="22">
        <v>962</v>
      </c>
      <c r="Q6" s="20">
        <v>956</v>
      </c>
      <c r="R6" s="22">
        <v>0</v>
      </c>
      <c r="S6" s="22">
        <v>0</v>
      </c>
      <c r="T6" s="22">
        <v>0</v>
      </c>
      <c r="U6" s="22">
        <v>0</v>
      </c>
    </row>
    <row r="7" spans="1:21" x14ac:dyDescent="0.2">
      <c r="A7" s="21"/>
      <c r="B7" s="22"/>
      <c r="C7" s="39"/>
      <c r="D7" s="14"/>
      <c r="E7" s="39"/>
      <c r="F7" s="22"/>
      <c r="G7" s="40"/>
      <c r="H7" s="39"/>
      <c r="I7" s="39"/>
      <c r="J7" s="41"/>
      <c r="K7" s="28"/>
      <c r="L7" s="41"/>
      <c r="M7" s="19"/>
      <c r="O7" s="22"/>
      <c r="P7" s="22"/>
      <c r="Q7" s="22"/>
      <c r="R7" s="22"/>
      <c r="S7" s="22"/>
      <c r="T7" s="22"/>
      <c r="U7" s="22"/>
    </row>
    <row r="8" spans="1:21" x14ac:dyDescent="0.2">
      <c r="A8" s="21"/>
      <c r="B8" s="22"/>
      <c r="C8" s="22"/>
      <c r="D8" s="22"/>
      <c r="E8" s="14"/>
      <c r="F8" s="22"/>
      <c r="G8" s="40"/>
      <c r="H8" s="14"/>
      <c r="I8" s="14"/>
      <c r="J8" s="35"/>
      <c r="L8" s="35"/>
      <c r="M8" s="36"/>
      <c r="O8" s="22"/>
      <c r="P8" s="22"/>
      <c r="Q8" s="22"/>
      <c r="R8" s="22"/>
      <c r="S8" s="22"/>
      <c r="T8" s="22"/>
      <c r="U8" s="22"/>
    </row>
    <row r="9" spans="1:21" x14ac:dyDescent="0.2">
      <c r="A9" s="33"/>
      <c r="G9" s="34"/>
      <c r="J9" s="35"/>
    </row>
    <row r="10" spans="1:21" x14ac:dyDescent="0.2">
      <c r="A10" s="33"/>
      <c r="G10" s="34"/>
      <c r="J10" s="35"/>
    </row>
    <row r="11" spans="1:21" x14ac:dyDescent="0.2">
      <c r="A11" s="33"/>
      <c r="G11" s="3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N2" sqref="N2:N6"/>
    </sheetView>
  </sheetViews>
  <sheetFormatPr defaultRowHeight="15" x14ac:dyDescent="0.25"/>
  <cols>
    <col min="3" max="3" width="13.7109375" bestFit="1" customWidth="1"/>
    <col min="4" max="4" width="5.7109375" bestFit="1" customWidth="1"/>
  </cols>
  <sheetData>
    <row r="1" spans="1:2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5">
      <c r="A2" s="21">
        <v>43835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0.44930555555555557</v>
      </c>
      <c r="L2" s="18">
        <v>0.25694444444444448</v>
      </c>
      <c r="M2" s="19">
        <v>0.26319444444444445</v>
      </c>
      <c r="N2" s="22" t="s">
        <v>91</v>
      </c>
      <c r="O2" s="20" t="s">
        <v>89</v>
      </c>
      <c r="P2" s="20">
        <v>959</v>
      </c>
      <c r="Q2" s="20">
        <v>836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43835</v>
      </c>
      <c r="B3" s="14" t="s">
        <v>21</v>
      </c>
      <c r="C3" s="14" t="s">
        <v>30</v>
      </c>
      <c r="D3" s="14" t="s">
        <v>23</v>
      </c>
      <c r="E3" s="14" t="s">
        <v>37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0.50208333333333333</v>
      </c>
      <c r="L3" s="18">
        <v>0.30208333333333331</v>
      </c>
      <c r="M3" s="19">
        <v>0.30694444444444441</v>
      </c>
      <c r="N3" s="22" t="s">
        <v>92</v>
      </c>
      <c r="O3" s="20" t="s">
        <v>90</v>
      </c>
      <c r="P3" s="14">
        <v>963</v>
      </c>
      <c r="Q3" s="20">
        <v>1485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43835</v>
      </c>
      <c r="B4" s="14" t="s">
        <v>21</v>
      </c>
      <c r="C4" s="14" t="s">
        <v>48</v>
      </c>
      <c r="D4" s="14" t="s">
        <v>23</v>
      </c>
      <c r="E4" s="14" t="str">
        <f>E2</f>
        <v>HALYC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0.65625</v>
      </c>
      <c r="L4" s="18">
        <v>0.49305555555555558</v>
      </c>
      <c r="M4" s="19">
        <v>0.49652777777777773</v>
      </c>
      <c r="N4" s="22" t="s">
        <v>95</v>
      </c>
      <c r="O4" s="20" t="s">
        <v>93</v>
      </c>
      <c r="P4" s="20">
        <v>1399</v>
      </c>
      <c r="Q4" s="20">
        <v>1530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21">
        <f>A4</f>
        <v>43835</v>
      </c>
      <c r="B5" s="14" t="s">
        <v>21</v>
      </c>
      <c r="C5" s="14" t="s">
        <v>49</v>
      </c>
      <c r="D5" s="14" t="s">
        <v>23</v>
      </c>
      <c r="E5" s="14" t="str">
        <f>E3</f>
        <v>HALPL</v>
      </c>
      <c r="F5" s="14" t="s">
        <v>24</v>
      </c>
      <c r="G5" s="32">
        <v>71500</v>
      </c>
      <c r="H5" s="14" t="s">
        <v>27</v>
      </c>
      <c r="I5" s="14" t="s">
        <v>28</v>
      </c>
      <c r="J5" s="18">
        <v>0.77083333333333337</v>
      </c>
      <c r="K5" s="29">
        <v>0.76041666666666663</v>
      </c>
      <c r="L5" s="18">
        <v>0.53819444444444442</v>
      </c>
      <c r="M5" s="19">
        <v>0.54097222222222219</v>
      </c>
      <c r="N5" s="22" t="s">
        <v>97</v>
      </c>
      <c r="O5" s="20" t="s">
        <v>94</v>
      </c>
      <c r="P5" s="14">
        <v>1221</v>
      </c>
      <c r="Q5" s="20">
        <v>1572</v>
      </c>
      <c r="R5" s="14">
        <v>0</v>
      </c>
      <c r="S5" s="14">
        <v>0</v>
      </c>
      <c r="T5" s="14">
        <v>0</v>
      </c>
      <c r="U5" s="14">
        <v>0</v>
      </c>
    </row>
    <row r="6" spans="1:21" x14ac:dyDescent="0.25">
      <c r="A6" s="21">
        <f>A5</f>
        <v>43835</v>
      </c>
      <c r="B6" s="14" t="s">
        <v>21</v>
      </c>
      <c r="C6" s="22" t="s">
        <v>50</v>
      </c>
      <c r="D6" s="22" t="s">
        <v>23</v>
      </c>
      <c r="E6" s="14" t="str">
        <f>E4</f>
        <v>HALYC</v>
      </c>
      <c r="F6" s="22" t="s">
        <v>24</v>
      </c>
      <c r="G6" s="32">
        <f>G4</f>
        <v>71500</v>
      </c>
      <c r="H6" s="22" t="s">
        <v>35</v>
      </c>
      <c r="I6" s="22" t="s">
        <v>36</v>
      </c>
      <c r="J6" s="28">
        <v>0.86805555555555547</v>
      </c>
      <c r="K6" s="29">
        <v>0.87569444444444444</v>
      </c>
      <c r="L6" s="28">
        <v>0.68055555555555547</v>
      </c>
      <c r="M6" s="29">
        <v>0.69513888888888886</v>
      </c>
      <c r="N6" s="22" t="s">
        <v>98</v>
      </c>
      <c r="O6" s="22" t="s">
        <v>96</v>
      </c>
      <c r="P6" s="22">
        <v>1077</v>
      </c>
      <c r="Q6" s="20">
        <v>1466</v>
      </c>
      <c r="R6" s="22">
        <v>0</v>
      </c>
      <c r="S6" s="22">
        <v>0</v>
      </c>
      <c r="T6" s="22">
        <v>0</v>
      </c>
      <c r="U6" s="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7"/>
  <sheetViews>
    <sheetView workbookViewId="0">
      <selection activeCell="N2" sqref="N2:N5"/>
    </sheetView>
  </sheetViews>
  <sheetFormatPr defaultRowHeight="15" x14ac:dyDescent="0.25"/>
  <cols>
    <col min="1" max="1" width="7" bestFit="1" customWidth="1"/>
    <col min="2" max="2" width="10.5703125" customWidth="1"/>
    <col min="3" max="3" width="15" customWidth="1"/>
    <col min="4" max="4" width="5.7109375" bestFit="1" customWidth="1"/>
    <col min="5" max="5" width="14" bestFit="1" customWidth="1"/>
    <col min="6" max="6" width="12.140625" bestFit="1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5">
      <c r="A2" s="21">
        <v>43836</v>
      </c>
      <c r="B2" s="14" t="s">
        <v>21</v>
      </c>
      <c r="C2" s="14" t="s">
        <v>22</v>
      </c>
      <c r="D2" s="14" t="s">
        <v>23</v>
      </c>
      <c r="E2" s="14" t="s">
        <v>100</v>
      </c>
      <c r="F2" s="14" t="s">
        <v>24</v>
      </c>
      <c r="G2" s="32">
        <f>G3</f>
        <v>71500</v>
      </c>
      <c r="H2" s="14" t="s">
        <v>25</v>
      </c>
      <c r="I2" s="14" t="s">
        <v>26</v>
      </c>
      <c r="J2" s="18">
        <v>0.46180555555555558</v>
      </c>
      <c r="K2" s="19">
        <v>0.46388888888888885</v>
      </c>
      <c r="L2" s="18">
        <v>0.25694444444444448</v>
      </c>
      <c r="M2" s="19">
        <v>0.26666666666666666</v>
      </c>
      <c r="N2" s="22" t="s">
        <v>101</v>
      </c>
      <c r="O2" s="20" t="s">
        <v>43</v>
      </c>
      <c r="P2" s="20">
        <v>1127</v>
      </c>
      <c r="Q2" s="20">
        <v>986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43836</v>
      </c>
      <c r="B3" s="14" t="s">
        <v>21</v>
      </c>
      <c r="C3" s="14" t="s">
        <v>30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0.48749999999999999</v>
      </c>
      <c r="L3" s="18">
        <v>0.30208333333333331</v>
      </c>
      <c r="M3" s="19">
        <v>0.30138888888888887</v>
      </c>
      <c r="N3" s="22" t="s">
        <v>102</v>
      </c>
      <c r="O3" s="20" t="s">
        <v>66</v>
      </c>
      <c r="P3" s="14">
        <v>869</v>
      </c>
      <c r="Q3" s="20">
        <v>1556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43836</v>
      </c>
      <c r="B4" s="22" t="s">
        <v>21</v>
      </c>
      <c r="C4" s="22" t="s">
        <v>60</v>
      </c>
      <c r="D4" s="22" t="s">
        <v>23</v>
      </c>
      <c r="E4" s="14" t="s">
        <v>29</v>
      </c>
      <c r="F4" s="22" t="s">
        <v>24</v>
      </c>
      <c r="G4" s="32">
        <v>71500</v>
      </c>
      <c r="H4" s="22" t="s">
        <v>61</v>
      </c>
      <c r="I4" s="22" t="s">
        <v>62</v>
      </c>
      <c r="J4" s="28">
        <v>0.68055555555555547</v>
      </c>
      <c r="K4" s="29">
        <v>0.6645833333333333</v>
      </c>
      <c r="L4" s="28">
        <v>0.52777777777777779</v>
      </c>
      <c r="M4" s="29">
        <v>0.52569444444444446</v>
      </c>
      <c r="N4" s="22" t="s">
        <v>104</v>
      </c>
      <c r="O4" s="22" t="s">
        <v>103</v>
      </c>
      <c r="P4" s="22">
        <v>598</v>
      </c>
      <c r="Q4" s="20">
        <v>1292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>A4</f>
        <v>43836</v>
      </c>
      <c r="B5" s="22" t="s">
        <v>21</v>
      </c>
      <c r="C5" s="22" t="s">
        <v>63</v>
      </c>
      <c r="D5" s="22" t="s">
        <v>23</v>
      </c>
      <c r="E5" s="14" t="s">
        <v>99</v>
      </c>
      <c r="F5" s="22" t="s">
        <v>24</v>
      </c>
      <c r="G5" s="32">
        <f>G4</f>
        <v>71500</v>
      </c>
      <c r="H5" s="14" t="s">
        <v>64</v>
      </c>
      <c r="I5" s="14" t="s">
        <v>65</v>
      </c>
      <c r="J5" s="35">
        <v>0.91319444444444453</v>
      </c>
      <c r="K5" s="29">
        <v>0.90555555555555556</v>
      </c>
      <c r="L5" s="35">
        <v>0.69097222222222221</v>
      </c>
      <c r="M5" s="36">
        <v>0.69305555555555554</v>
      </c>
      <c r="N5" s="22" t="s">
        <v>105</v>
      </c>
      <c r="O5" s="31" t="s">
        <v>106</v>
      </c>
      <c r="P5" s="31">
        <v>559</v>
      </c>
      <c r="Q5" s="20">
        <v>985</v>
      </c>
      <c r="R5" s="22">
        <v>0</v>
      </c>
      <c r="S5" s="22">
        <v>0</v>
      </c>
      <c r="T5" s="22">
        <v>0</v>
      </c>
      <c r="U5" s="22">
        <v>0</v>
      </c>
    </row>
    <row r="7" spans="1:21" s="27" customFormat="1" ht="12.75" x14ac:dyDescent="0.2">
      <c r="A7" s="33"/>
      <c r="B7" s="8"/>
      <c r="C7" s="8"/>
      <c r="D7" s="8"/>
      <c r="E7" s="8"/>
      <c r="F7" s="8"/>
      <c r="G7" s="32"/>
      <c r="H7" s="8"/>
      <c r="I7" s="8"/>
      <c r="J7" s="36"/>
      <c r="K7" s="36"/>
      <c r="L7" s="31"/>
      <c r="M7" s="31"/>
      <c r="N7" s="31"/>
      <c r="O7" s="31"/>
      <c r="P7" s="31"/>
      <c r="Q7" s="31"/>
      <c r="R7" s="8"/>
      <c r="S7" s="8"/>
      <c r="T7" s="8"/>
      <c r="U7" s="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7"/>
  <sheetViews>
    <sheetView topLeftCell="C1" workbookViewId="0">
      <selection activeCell="N2" sqref="N2:N5"/>
    </sheetView>
  </sheetViews>
  <sheetFormatPr defaultRowHeight="15" x14ac:dyDescent="0.25"/>
  <cols>
    <col min="2" max="2" width="10.5703125" customWidth="1"/>
    <col min="3" max="3" width="15" customWidth="1"/>
    <col min="5" max="5" width="7.140625" bestFit="1" customWidth="1"/>
    <col min="6" max="6" width="12.140625" bestFit="1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9" t="s">
        <v>10</v>
      </c>
      <c r="L1" s="14" t="s">
        <v>11</v>
      </c>
      <c r="M1" s="14" t="s">
        <v>12</v>
      </c>
      <c r="N1" s="2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21">
        <v>43837</v>
      </c>
      <c r="B2" s="14" t="s">
        <v>21</v>
      </c>
      <c r="C2" s="31" t="s">
        <v>107</v>
      </c>
      <c r="D2" s="31" t="s">
        <v>23</v>
      </c>
      <c r="E2" s="31" t="s">
        <v>29</v>
      </c>
      <c r="F2" s="14" t="s">
        <v>24</v>
      </c>
      <c r="G2" s="34">
        <v>71500</v>
      </c>
      <c r="H2" s="31" t="s">
        <v>52</v>
      </c>
      <c r="I2" s="31" t="s">
        <v>75</v>
      </c>
      <c r="J2" s="35">
        <v>0.50694444444444442</v>
      </c>
      <c r="K2" s="36">
        <v>0.50694444444444442</v>
      </c>
      <c r="L2" s="35">
        <v>0.32291666666666669</v>
      </c>
      <c r="M2" s="36">
        <v>0.33680555555555558</v>
      </c>
      <c r="N2" s="31" t="s">
        <v>111</v>
      </c>
      <c r="O2" s="31" t="s">
        <v>110</v>
      </c>
      <c r="P2" s="31">
        <v>729</v>
      </c>
      <c r="Q2" s="31">
        <v>1209</v>
      </c>
      <c r="R2" s="31">
        <v>0</v>
      </c>
      <c r="S2" s="31">
        <v>0</v>
      </c>
      <c r="T2" s="31">
        <v>0</v>
      </c>
      <c r="U2" s="31">
        <v>0</v>
      </c>
    </row>
    <row r="3" spans="1:21" x14ac:dyDescent="0.25">
      <c r="A3" s="21">
        <f>A2</f>
        <v>43837</v>
      </c>
      <c r="B3" s="14" t="s">
        <v>21</v>
      </c>
      <c r="C3" s="31" t="s">
        <v>108</v>
      </c>
      <c r="D3" s="31" t="s">
        <v>23</v>
      </c>
      <c r="E3" s="31" t="s">
        <v>99</v>
      </c>
      <c r="F3" s="14" t="s">
        <v>24</v>
      </c>
      <c r="G3" s="34">
        <v>71500</v>
      </c>
      <c r="H3" s="31" t="s">
        <v>54</v>
      </c>
      <c r="I3" s="31" t="s">
        <v>55</v>
      </c>
      <c r="J3" s="35">
        <v>0.72916666666666663</v>
      </c>
      <c r="K3" s="36">
        <v>0.70763888888888893</v>
      </c>
      <c r="L3" s="35">
        <v>0.51388888888888895</v>
      </c>
      <c r="M3" s="36">
        <v>0.51250000000000007</v>
      </c>
      <c r="N3" s="31" t="s">
        <v>69</v>
      </c>
      <c r="O3" s="31" t="s">
        <v>86</v>
      </c>
      <c r="P3" s="31">
        <v>1067</v>
      </c>
      <c r="Q3" s="31">
        <v>1090</v>
      </c>
      <c r="R3" s="31">
        <v>0</v>
      </c>
      <c r="S3" s="31">
        <v>0</v>
      </c>
      <c r="T3" s="31">
        <v>0</v>
      </c>
      <c r="U3" s="31">
        <v>0</v>
      </c>
    </row>
    <row r="4" spans="1:21" x14ac:dyDescent="0.25">
      <c r="A4" s="21">
        <f t="shared" ref="A4:A5" si="0">A3</f>
        <v>43837</v>
      </c>
      <c r="B4" s="14" t="s">
        <v>21</v>
      </c>
      <c r="C4" s="31" t="s">
        <v>109</v>
      </c>
      <c r="D4" s="31" t="s">
        <v>23</v>
      </c>
      <c r="E4" s="31" t="s">
        <v>29</v>
      </c>
      <c r="F4" s="14" t="s">
        <v>24</v>
      </c>
      <c r="G4" s="34">
        <v>71500</v>
      </c>
      <c r="H4" s="31" t="s">
        <v>57</v>
      </c>
      <c r="I4" s="31" t="s">
        <v>58</v>
      </c>
      <c r="J4" s="35">
        <v>0.68402777777777779</v>
      </c>
      <c r="K4" s="36">
        <v>0.67222222222222217</v>
      </c>
      <c r="L4" s="35">
        <v>0.52777777777777779</v>
      </c>
      <c r="M4" s="36">
        <v>0.54513888888888895</v>
      </c>
      <c r="N4" s="31" t="s">
        <v>113</v>
      </c>
      <c r="O4" s="31" t="s">
        <v>112</v>
      </c>
      <c r="P4" s="31">
        <v>1060</v>
      </c>
      <c r="Q4" s="31">
        <v>1115</v>
      </c>
      <c r="R4" s="31">
        <v>0</v>
      </c>
      <c r="S4" s="31">
        <v>0</v>
      </c>
      <c r="T4" s="31">
        <v>0</v>
      </c>
      <c r="U4" s="31">
        <v>0</v>
      </c>
    </row>
    <row r="5" spans="1:21" s="37" customFormat="1" ht="12.75" x14ac:dyDescent="0.25">
      <c r="A5" s="21">
        <f t="shared" si="0"/>
        <v>43837</v>
      </c>
      <c r="B5" s="8" t="s">
        <v>21</v>
      </c>
      <c r="C5" s="8" t="s">
        <v>78</v>
      </c>
      <c r="D5" s="8" t="s">
        <v>23</v>
      </c>
      <c r="E5" s="15" t="s">
        <v>99</v>
      </c>
      <c r="F5" s="8" t="s">
        <v>24</v>
      </c>
      <c r="G5" s="16">
        <v>71500</v>
      </c>
      <c r="H5" s="8" t="s">
        <v>76</v>
      </c>
      <c r="I5" s="8" t="s">
        <v>77</v>
      </c>
      <c r="J5" s="10">
        <v>0.94444444444444453</v>
      </c>
      <c r="K5" s="11">
        <v>0.9291666666666667</v>
      </c>
      <c r="L5" s="10">
        <v>0.77430555555555547</v>
      </c>
      <c r="M5" s="24">
        <v>0.76874999999999993</v>
      </c>
      <c r="N5" s="45" t="s">
        <v>114</v>
      </c>
      <c r="O5" s="8" t="s">
        <v>103</v>
      </c>
      <c r="P5" s="45">
        <v>691</v>
      </c>
      <c r="Q5" s="8">
        <v>512</v>
      </c>
      <c r="R5" s="8">
        <v>0</v>
      </c>
      <c r="S5" s="8">
        <v>0</v>
      </c>
      <c r="T5" s="8">
        <v>0</v>
      </c>
      <c r="U5" s="8">
        <v>0</v>
      </c>
    </row>
    <row r="6" spans="1:21" x14ac:dyDescent="0.25">
      <c r="A6" s="44"/>
      <c r="B6" s="8"/>
      <c r="C6" s="8"/>
      <c r="D6" s="8"/>
      <c r="E6" s="15"/>
      <c r="F6" s="8"/>
      <c r="G6" s="16"/>
      <c r="H6" s="8"/>
      <c r="I6" s="8"/>
      <c r="J6" s="23"/>
      <c r="K6" s="24"/>
      <c r="L6" s="23"/>
      <c r="M6" s="24"/>
      <c r="N6" s="8"/>
      <c r="O6" s="8"/>
      <c r="P6" s="8"/>
      <c r="Q6" s="8"/>
      <c r="R6" s="8"/>
      <c r="S6" s="8"/>
      <c r="T6" s="8"/>
      <c r="U6" s="8"/>
    </row>
    <row r="7" spans="1:21" x14ac:dyDescent="0.25">
      <c r="A7" s="44"/>
      <c r="B7" s="46"/>
      <c r="C7" s="46"/>
      <c r="D7" s="46"/>
      <c r="E7" s="15"/>
      <c r="F7" s="46"/>
      <c r="G7" s="40"/>
      <c r="H7" s="46"/>
      <c r="I7" s="15"/>
      <c r="J7" s="47"/>
      <c r="K7" s="48"/>
      <c r="L7" s="17"/>
      <c r="M7" s="24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7"/>
  <sheetViews>
    <sheetView topLeftCell="B1" workbookViewId="0">
      <selection activeCell="N9" sqref="N9"/>
    </sheetView>
  </sheetViews>
  <sheetFormatPr defaultRowHeight="15" x14ac:dyDescent="0.25"/>
  <cols>
    <col min="2" max="2" width="12.28515625" bestFit="1" customWidth="1"/>
    <col min="3" max="3" width="12.7109375" customWidth="1"/>
    <col min="5" max="5" width="14.85546875" bestFit="1" customWidth="1"/>
    <col min="6" max="6" width="30.1406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43838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0.4513888888888889</v>
      </c>
      <c r="L2" s="18">
        <v>0.25694444444444448</v>
      </c>
      <c r="M2" s="19">
        <v>0.26111111111111113</v>
      </c>
      <c r="N2" s="22" t="s">
        <v>117</v>
      </c>
      <c r="O2" s="20" t="s">
        <v>115</v>
      </c>
      <c r="P2" s="20">
        <v>912</v>
      </c>
      <c r="Q2" s="20">
        <v>1161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43838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0.49583333333333335</v>
      </c>
      <c r="L3" s="18">
        <v>0.30208333333333331</v>
      </c>
      <c r="M3" s="19">
        <v>0.30555555555555552</v>
      </c>
      <c r="N3" s="22" t="s">
        <v>118</v>
      </c>
      <c r="O3" s="20" t="s">
        <v>116</v>
      </c>
      <c r="P3" s="14">
        <v>615</v>
      </c>
      <c r="Q3" s="20">
        <v>1240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43838</v>
      </c>
      <c r="B4" s="14" t="s">
        <v>21</v>
      </c>
      <c r="C4" s="14" t="s">
        <v>48</v>
      </c>
      <c r="D4" s="14" t="s">
        <v>23</v>
      </c>
      <c r="E4" s="14" t="s">
        <v>29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0.64652777777777781</v>
      </c>
      <c r="L4" s="18">
        <v>0.49305555555555558</v>
      </c>
      <c r="M4" s="19">
        <v>0.48958333333333331</v>
      </c>
      <c r="N4" s="22" t="s">
        <v>120</v>
      </c>
      <c r="O4" s="20" t="s">
        <v>119</v>
      </c>
      <c r="P4" s="20">
        <v>919</v>
      </c>
      <c r="Q4" s="20">
        <v>1132</v>
      </c>
      <c r="R4" s="14">
        <v>0</v>
      </c>
      <c r="S4" s="14">
        <v>0</v>
      </c>
      <c r="T4" s="14">
        <v>0</v>
      </c>
      <c r="U4" s="14">
        <v>0</v>
      </c>
    </row>
    <row r="5" spans="1:21" s="27" customFormat="1" ht="12.75" x14ac:dyDescent="0.2">
      <c r="A5" s="33">
        <v>43838</v>
      </c>
      <c r="B5" s="22" t="s">
        <v>121</v>
      </c>
      <c r="C5" s="22" t="s">
        <v>122</v>
      </c>
      <c r="D5" s="22" t="s">
        <v>123</v>
      </c>
      <c r="E5" s="14" t="s">
        <v>124</v>
      </c>
      <c r="F5" s="22" t="s">
        <v>125</v>
      </c>
      <c r="G5" s="32">
        <v>24000</v>
      </c>
      <c r="H5" s="31" t="s">
        <v>126</v>
      </c>
      <c r="I5" s="31" t="s">
        <v>126</v>
      </c>
      <c r="J5" s="35" t="s">
        <v>128</v>
      </c>
      <c r="K5" s="36" t="s">
        <v>128</v>
      </c>
      <c r="L5" s="36">
        <v>0.72916666666666663</v>
      </c>
      <c r="M5" s="36">
        <v>0.68680555555555556</v>
      </c>
      <c r="N5" s="22" t="s">
        <v>129</v>
      </c>
      <c r="O5" s="31" t="s">
        <v>127</v>
      </c>
      <c r="P5" s="31">
        <v>0</v>
      </c>
      <c r="Q5" s="31" t="s">
        <v>127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5">
      <c r="A6" s="44"/>
      <c r="B6" s="8"/>
      <c r="C6" s="8"/>
      <c r="D6" s="8"/>
      <c r="E6" s="15"/>
      <c r="F6" s="8"/>
      <c r="G6" s="16"/>
      <c r="H6" s="8"/>
      <c r="I6" s="8"/>
      <c r="J6" s="23"/>
      <c r="K6" s="24"/>
      <c r="L6" s="23"/>
      <c r="M6" s="24"/>
      <c r="N6" s="8"/>
      <c r="O6" s="8"/>
      <c r="P6" s="8"/>
      <c r="Q6" s="8"/>
      <c r="R6" s="8"/>
      <c r="S6" s="8"/>
      <c r="T6" s="8"/>
      <c r="U6" s="8"/>
    </row>
    <row r="7" spans="1:21" x14ac:dyDescent="0.25">
      <c r="A7" s="44"/>
      <c r="B7" s="46"/>
      <c r="C7" s="46"/>
      <c r="D7" s="46"/>
      <c r="E7" s="15"/>
      <c r="F7" s="46"/>
      <c r="G7" s="40"/>
      <c r="H7" s="46"/>
      <c r="I7" s="15"/>
      <c r="J7" s="47"/>
      <c r="K7" s="48"/>
      <c r="L7" s="17"/>
      <c r="M7" s="24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U7"/>
  <sheetViews>
    <sheetView topLeftCell="G1" workbookViewId="0">
      <selection activeCell="N2" sqref="N2:N3"/>
    </sheetView>
  </sheetViews>
  <sheetFormatPr defaultRowHeight="15" x14ac:dyDescent="0.25"/>
  <cols>
    <col min="2" max="2" width="11.28515625" customWidth="1"/>
    <col min="3" max="3" width="12.7109375" customWidth="1"/>
    <col min="5" max="5" width="14.85546875" bestFit="1" customWidth="1"/>
    <col min="6" max="6" width="30.14062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43839</v>
      </c>
      <c r="B2" s="3" t="s">
        <v>21</v>
      </c>
      <c r="C2" s="3" t="s">
        <v>49</v>
      </c>
      <c r="D2" s="3" t="s">
        <v>23</v>
      </c>
      <c r="E2" s="3" t="s">
        <v>29</v>
      </c>
      <c r="F2" s="3" t="s">
        <v>24</v>
      </c>
      <c r="G2" s="4">
        <v>71500</v>
      </c>
      <c r="H2" s="3" t="s">
        <v>27</v>
      </c>
      <c r="I2" s="3" t="s">
        <v>28</v>
      </c>
      <c r="J2" s="5">
        <v>0.65972222222222221</v>
      </c>
      <c r="K2" s="6">
        <v>0.65763888888888888</v>
      </c>
      <c r="L2" s="5">
        <v>0.42708333333333331</v>
      </c>
      <c r="M2" s="6">
        <v>0.44166666666666665</v>
      </c>
      <c r="N2" s="6" t="s">
        <v>131</v>
      </c>
      <c r="O2" s="6" t="s">
        <v>130</v>
      </c>
      <c r="P2" s="7">
        <v>1018</v>
      </c>
      <c r="Q2" s="7">
        <v>1505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43839</v>
      </c>
      <c r="B3" s="3" t="s">
        <v>21</v>
      </c>
      <c r="C3" s="3" t="s">
        <v>50</v>
      </c>
      <c r="D3" s="3" t="s">
        <v>23</v>
      </c>
      <c r="E3" s="3" t="s">
        <v>29</v>
      </c>
      <c r="F3" s="3" t="s">
        <v>24</v>
      </c>
      <c r="G3" s="4">
        <v>71500</v>
      </c>
      <c r="H3" s="3" t="s">
        <v>35</v>
      </c>
      <c r="I3" s="3" t="s">
        <v>36</v>
      </c>
      <c r="J3" s="5">
        <v>0.86805555555555547</v>
      </c>
      <c r="K3" s="6">
        <v>0.86736111111111114</v>
      </c>
      <c r="L3" s="5">
        <v>0.68055555555555547</v>
      </c>
      <c r="M3" s="6">
        <v>0.69374999999999998</v>
      </c>
      <c r="N3" s="6" t="s">
        <v>133</v>
      </c>
      <c r="O3" s="6" t="s">
        <v>132</v>
      </c>
      <c r="P3" s="7">
        <v>968</v>
      </c>
      <c r="Q3" s="7">
        <v>1165</v>
      </c>
      <c r="R3" s="3"/>
      <c r="S3" s="3"/>
      <c r="T3" s="3"/>
      <c r="U3" s="3"/>
    </row>
    <row r="4" spans="1:21" x14ac:dyDescent="0.25">
      <c r="A4" s="2"/>
      <c r="B4" s="8"/>
      <c r="C4" s="8"/>
      <c r="D4" s="8"/>
      <c r="E4" s="3"/>
      <c r="F4" s="8"/>
      <c r="G4" s="4"/>
      <c r="H4" s="8"/>
      <c r="I4" s="8"/>
      <c r="J4" s="10"/>
      <c r="K4" s="11"/>
      <c r="L4" s="10"/>
      <c r="M4" s="11"/>
      <c r="N4" s="7"/>
      <c r="O4" s="7"/>
      <c r="P4" s="3"/>
      <c r="Q4" s="7"/>
      <c r="R4" s="8"/>
      <c r="S4" s="8"/>
      <c r="T4" s="8"/>
      <c r="U4" s="8"/>
    </row>
    <row r="5" spans="1:21" x14ac:dyDescent="0.25">
      <c r="A5" s="2"/>
      <c r="B5" s="8"/>
      <c r="C5" s="8"/>
      <c r="D5" s="8"/>
      <c r="E5" s="3"/>
      <c r="F5" s="8"/>
      <c r="G5" s="4"/>
      <c r="H5" s="8"/>
      <c r="I5" s="8"/>
      <c r="J5" s="12"/>
      <c r="K5" s="13"/>
      <c r="L5" s="12"/>
      <c r="M5" s="13"/>
      <c r="N5" s="13"/>
      <c r="O5" s="7"/>
      <c r="P5" s="3"/>
      <c r="Q5" s="7"/>
      <c r="R5" s="8"/>
      <c r="S5" s="8"/>
      <c r="T5" s="8"/>
      <c r="U5" s="8"/>
    </row>
    <row r="6" spans="1:21" x14ac:dyDescent="0.25">
      <c r="A6" s="44"/>
      <c r="B6" s="8"/>
      <c r="C6" s="8"/>
      <c r="D6" s="8"/>
      <c r="E6" s="15"/>
      <c r="F6" s="8"/>
      <c r="G6" s="16"/>
      <c r="H6" s="8"/>
      <c r="I6" s="8"/>
      <c r="J6" s="23"/>
      <c r="K6" s="24"/>
      <c r="L6" s="23"/>
      <c r="M6" s="24"/>
      <c r="N6" s="8"/>
      <c r="O6" s="8"/>
      <c r="P6" s="8"/>
      <c r="Q6" s="8"/>
      <c r="R6" s="8"/>
      <c r="S6" s="8"/>
      <c r="T6" s="8"/>
      <c r="U6" s="8"/>
    </row>
    <row r="7" spans="1:21" x14ac:dyDescent="0.25">
      <c r="A7" s="44"/>
      <c r="B7" s="46"/>
      <c r="C7" s="46"/>
      <c r="D7" s="46"/>
      <c r="E7" s="15"/>
      <c r="F7" s="46"/>
      <c r="G7" s="40"/>
      <c r="H7" s="46"/>
      <c r="I7" s="15"/>
      <c r="J7" s="47"/>
      <c r="K7" s="48"/>
      <c r="L7" s="17"/>
      <c r="M7" s="24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7"/>
  <sheetViews>
    <sheetView workbookViewId="0">
      <selection activeCell="N2" sqref="N2:N6"/>
    </sheetView>
  </sheetViews>
  <sheetFormatPr defaultRowHeight="12.75" x14ac:dyDescent="0.2"/>
  <cols>
    <col min="1" max="1" width="10.140625" style="31" bestFit="1" customWidth="1"/>
    <col min="2" max="2" width="9.140625" style="31" bestFit="1" customWidth="1"/>
    <col min="3" max="3" width="15" style="31" customWidth="1"/>
    <col min="4" max="4" width="5.7109375" style="31" bestFit="1" customWidth="1"/>
    <col min="5" max="5" width="9.140625" style="31"/>
    <col min="6" max="6" width="12.140625" style="31" bestFit="1" customWidth="1"/>
    <col min="7" max="9" width="9.140625" style="31"/>
    <col min="10" max="10" width="10.5703125" style="31" customWidth="1"/>
    <col min="11" max="11" width="12" style="31" customWidth="1"/>
    <col min="12" max="12" width="12.42578125" style="31" customWidth="1"/>
    <col min="13" max="13" width="11.7109375" style="31" customWidth="1"/>
    <col min="14" max="14" width="18.28515625" style="31" customWidth="1"/>
    <col min="15" max="15" width="19.5703125" style="31" customWidth="1"/>
    <col min="16" max="16" width="16" style="31" customWidth="1"/>
    <col min="17" max="17" width="13.42578125" style="31" customWidth="1"/>
    <col min="18" max="16384" width="9.140625" style="31"/>
  </cols>
  <sheetData>
    <row r="1" spans="1:2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customFormat="1" ht="15" x14ac:dyDescent="0.25">
      <c r="A2" s="21">
        <v>43840</v>
      </c>
      <c r="B2" s="14" t="s">
        <v>21</v>
      </c>
      <c r="C2" s="14" t="s">
        <v>22</v>
      </c>
      <c r="D2" s="14" t="s">
        <v>23</v>
      </c>
      <c r="E2" s="14" t="s">
        <v>99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0.4604166666666667</v>
      </c>
      <c r="L2" s="18">
        <v>0.25694444444444448</v>
      </c>
      <c r="M2" s="19">
        <v>0.27708333333333335</v>
      </c>
      <c r="N2" s="22" t="s">
        <v>136</v>
      </c>
      <c r="O2" s="20" t="s">
        <v>134</v>
      </c>
      <c r="P2" s="20">
        <v>791</v>
      </c>
      <c r="Q2" s="20">
        <v>1172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 t="shared" ref="A3:A6" si="0">A2</f>
        <v>43840</v>
      </c>
      <c r="B3" s="14" t="s">
        <v>21</v>
      </c>
      <c r="C3" s="14" t="s">
        <v>30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0.49722222222222223</v>
      </c>
      <c r="L3" s="18">
        <v>0.30208333333333331</v>
      </c>
      <c r="M3" s="19">
        <v>0.30902777777777779</v>
      </c>
      <c r="N3" s="22" t="s">
        <v>137</v>
      </c>
      <c r="O3" s="20" t="s">
        <v>135</v>
      </c>
      <c r="P3" s="14">
        <v>604</v>
      </c>
      <c r="Q3" s="20">
        <v>1369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si="0"/>
        <v>43840</v>
      </c>
      <c r="B4" s="22" t="s">
        <v>21</v>
      </c>
      <c r="C4" s="22" t="s">
        <v>48</v>
      </c>
      <c r="D4" s="22" t="s">
        <v>23</v>
      </c>
      <c r="E4" s="14" t="str">
        <f>E2</f>
        <v>HALWJ</v>
      </c>
      <c r="F4" s="22" t="s">
        <v>24</v>
      </c>
      <c r="G4" s="32">
        <v>71500</v>
      </c>
      <c r="H4" s="14" t="s">
        <v>33</v>
      </c>
      <c r="I4" s="14" t="s">
        <v>34</v>
      </c>
      <c r="J4" s="35">
        <v>0.65972222222222221</v>
      </c>
      <c r="K4" s="29">
        <v>0.64930555555555558</v>
      </c>
      <c r="L4" s="35">
        <v>0.49305555555555558</v>
      </c>
      <c r="M4" s="36">
        <v>0.4993055555555555</v>
      </c>
      <c r="N4" s="22" t="s">
        <v>140</v>
      </c>
      <c r="O4" s="31" t="s">
        <v>138</v>
      </c>
      <c r="P4" s="31">
        <v>550</v>
      </c>
      <c r="Q4" s="20">
        <v>1001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43840</v>
      </c>
      <c r="B5" s="22" t="s">
        <v>21</v>
      </c>
      <c r="C5" s="22" t="s">
        <v>60</v>
      </c>
      <c r="D5" s="22" t="s">
        <v>23</v>
      </c>
      <c r="E5" s="14" t="s">
        <v>29</v>
      </c>
      <c r="F5" s="22" t="s">
        <v>24</v>
      </c>
      <c r="G5" s="32">
        <v>71500</v>
      </c>
      <c r="H5" s="22" t="s">
        <v>61</v>
      </c>
      <c r="I5" s="22" t="s">
        <v>62</v>
      </c>
      <c r="J5" s="28">
        <v>0.68055555555555547</v>
      </c>
      <c r="K5" s="29">
        <v>0.6694444444444444</v>
      </c>
      <c r="L5" s="28">
        <v>0.52777777777777779</v>
      </c>
      <c r="M5" s="29">
        <v>0.53333333333333333</v>
      </c>
      <c r="N5" s="22" t="s">
        <v>141</v>
      </c>
      <c r="O5" s="22" t="s">
        <v>139</v>
      </c>
      <c r="P5" s="22">
        <v>374</v>
      </c>
      <c r="Q5" s="20">
        <v>873</v>
      </c>
      <c r="R5" s="22">
        <v>0</v>
      </c>
      <c r="S5" s="22">
        <v>0</v>
      </c>
      <c r="T5" s="22">
        <v>0</v>
      </c>
      <c r="U5" s="22">
        <v>0</v>
      </c>
    </row>
    <row r="6" spans="1:21" customFormat="1" ht="15" x14ac:dyDescent="0.25">
      <c r="A6" s="21">
        <f t="shared" si="0"/>
        <v>43840</v>
      </c>
      <c r="B6" s="22" t="s">
        <v>21</v>
      </c>
      <c r="C6" s="22" t="s">
        <v>63</v>
      </c>
      <c r="D6" s="22" t="s">
        <v>23</v>
      </c>
      <c r="E6" s="14" t="str">
        <f>E4</f>
        <v>HALWJ</v>
      </c>
      <c r="F6" s="22" t="s">
        <v>24</v>
      </c>
      <c r="G6" s="32">
        <v>71500</v>
      </c>
      <c r="H6" s="14" t="s">
        <v>64</v>
      </c>
      <c r="I6" s="14" t="s">
        <v>65</v>
      </c>
      <c r="J6" s="35">
        <v>0.91319444444444453</v>
      </c>
      <c r="K6" s="29">
        <v>0.90625</v>
      </c>
      <c r="L6" s="35">
        <v>0.69097222222222221</v>
      </c>
      <c r="M6" s="36">
        <v>0.69652777777777775</v>
      </c>
      <c r="N6" s="22" t="s">
        <v>142</v>
      </c>
      <c r="O6" s="31" t="s">
        <v>143</v>
      </c>
      <c r="P6" s="31">
        <v>285</v>
      </c>
      <c r="Q6" s="20">
        <v>1145</v>
      </c>
      <c r="R6" s="22">
        <v>0</v>
      </c>
      <c r="S6" s="22">
        <v>0</v>
      </c>
      <c r="T6" s="22">
        <v>0</v>
      </c>
      <c r="U6" s="22">
        <v>0</v>
      </c>
    </row>
    <row r="7" spans="1:21" x14ac:dyDescent="0.2">
      <c r="R7" s="37"/>
      <c r="S7" s="37"/>
      <c r="T7" s="37"/>
      <c r="U7" s="3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11"/>
  <sheetViews>
    <sheetView topLeftCell="C1" workbookViewId="0">
      <selection activeCell="N2" sqref="N2:N5"/>
    </sheetView>
  </sheetViews>
  <sheetFormatPr defaultRowHeight="12.75" x14ac:dyDescent="0.2"/>
  <cols>
    <col min="1" max="1" width="10.140625" style="31" bestFit="1" customWidth="1"/>
    <col min="2" max="2" width="17.42578125" style="31" bestFit="1" customWidth="1"/>
    <col min="3" max="3" width="18.5703125" style="31" customWidth="1"/>
    <col min="4" max="4" width="9.140625" style="3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17" style="22" customWidth="1"/>
    <col min="15" max="15" width="17.140625" style="31" customWidth="1"/>
    <col min="16" max="16384" width="9.140625" style="31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customFormat="1" ht="15" x14ac:dyDescent="0.25">
      <c r="A2" s="21">
        <v>43841</v>
      </c>
      <c r="B2" s="14" t="s">
        <v>21</v>
      </c>
      <c r="C2" s="14" t="s">
        <v>51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0.52152777777777781</v>
      </c>
      <c r="L2" s="18">
        <v>0.32291666666666669</v>
      </c>
      <c r="M2" s="19">
        <v>0.33124999999999999</v>
      </c>
      <c r="N2" s="22" t="s">
        <v>149</v>
      </c>
      <c r="O2" s="20" t="s">
        <v>40</v>
      </c>
      <c r="P2" s="20">
        <v>1102</v>
      </c>
      <c r="Q2" s="20">
        <v>1183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>A2</f>
        <v>43841</v>
      </c>
      <c r="B3" s="14" t="s">
        <v>21</v>
      </c>
      <c r="C3" s="14" t="s">
        <v>56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0.70972222222222225</v>
      </c>
      <c r="L3" s="18">
        <v>0.5</v>
      </c>
      <c r="M3" s="19">
        <v>0.50694444444444442</v>
      </c>
      <c r="N3" s="22" t="s">
        <v>151</v>
      </c>
      <c r="O3" s="20" t="s">
        <v>150</v>
      </c>
      <c r="P3" s="31">
        <v>1055</v>
      </c>
      <c r="Q3" s="20">
        <v>1117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ref="A4:A5" si="0">A3</f>
        <v>43841</v>
      </c>
      <c r="B4" s="22" t="s">
        <v>21</v>
      </c>
      <c r="C4" s="22" t="s">
        <v>53</v>
      </c>
      <c r="D4" s="22" t="s">
        <v>23</v>
      </c>
      <c r="E4" s="14" t="s">
        <v>29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0.69097222222222221</v>
      </c>
      <c r="L4" s="35">
        <v>0.52777777777777779</v>
      </c>
      <c r="M4" s="36">
        <v>0.55763888888888891</v>
      </c>
      <c r="N4" s="22" t="s">
        <v>152</v>
      </c>
      <c r="O4" s="31" t="s">
        <v>85</v>
      </c>
      <c r="P4" s="14">
        <v>796</v>
      </c>
      <c r="Q4" s="20">
        <v>1109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43841</v>
      </c>
      <c r="B5" s="22" t="s">
        <v>21</v>
      </c>
      <c r="C5" s="22" t="s">
        <v>78</v>
      </c>
      <c r="D5" s="22" t="s">
        <v>23</v>
      </c>
      <c r="E5" s="14" t="s">
        <v>99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9">
        <v>0.93055555555555547</v>
      </c>
      <c r="L5" s="28">
        <v>0.77430555555555547</v>
      </c>
      <c r="M5" s="29">
        <v>0.77361111111111114</v>
      </c>
      <c r="N5" s="22" t="s">
        <v>154</v>
      </c>
      <c r="O5" s="22" t="s">
        <v>153</v>
      </c>
      <c r="P5" s="22">
        <v>659</v>
      </c>
      <c r="Q5" s="20">
        <v>1088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33">
        <v>43841</v>
      </c>
      <c r="B6" s="31" t="s">
        <v>144</v>
      </c>
      <c r="C6" s="31" t="s">
        <v>145</v>
      </c>
      <c r="D6" s="31" t="s">
        <v>146</v>
      </c>
      <c r="E6" s="31" t="s">
        <v>147</v>
      </c>
      <c r="F6" s="31" t="s">
        <v>148</v>
      </c>
      <c r="G6" s="31">
        <v>3175</v>
      </c>
      <c r="H6" s="31" t="s">
        <v>127</v>
      </c>
      <c r="I6" s="31" t="s">
        <v>127</v>
      </c>
      <c r="J6" s="35">
        <v>0.375</v>
      </c>
      <c r="K6" s="29">
        <v>0.3923611111111111</v>
      </c>
      <c r="L6" s="35">
        <v>0.39583333333333331</v>
      </c>
      <c r="M6" s="36">
        <v>0.41319444444444442</v>
      </c>
      <c r="N6" s="22" t="s">
        <v>129</v>
      </c>
      <c r="O6" s="31" t="s">
        <v>129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</row>
    <row r="7" spans="1:21" x14ac:dyDescent="0.2">
      <c r="A7" s="21"/>
      <c r="B7" s="22"/>
      <c r="C7" s="39"/>
      <c r="D7" s="14"/>
      <c r="E7" s="39"/>
      <c r="F7" s="22"/>
      <c r="G7" s="40"/>
      <c r="H7" s="39"/>
      <c r="I7" s="39"/>
      <c r="J7" s="41"/>
      <c r="K7" s="28"/>
      <c r="L7" s="41"/>
      <c r="M7" s="19"/>
      <c r="O7" s="22"/>
      <c r="P7" s="22"/>
      <c r="Q7" s="22"/>
      <c r="R7" s="22"/>
      <c r="S7" s="22"/>
      <c r="T7" s="22"/>
      <c r="U7" s="22"/>
    </row>
    <row r="8" spans="1:21" x14ac:dyDescent="0.2">
      <c r="A8" s="21"/>
      <c r="B8" s="22"/>
      <c r="C8" s="22"/>
      <c r="D8" s="22"/>
      <c r="E8" s="14"/>
      <c r="F8" s="22"/>
      <c r="G8" s="40"/>
      <c r="H8" s="14"/>
      <c r="I8" s="14"/>
      <c r="J8" s="35"/>
      <c r="L8" s="35"/>
      <c r="M8" s="36"/>
      <c r="O8" s="22"/>
      <c r="P8" s="22"/>
      <c r="Q8" s="22"/>
      <c r="R8" s="22"/>
      <c r="S8" s="22"/>
      <c r="T8" s="22"/>
      <c r="U8" s="22"/>
    </row>
    <row r="9" spans="1:21" x14ac:dyDescent="0.2">
      <c r="A9" s="33"/>
      <c r="G9" s="34"/>
      <c r="J9" s="35"/>
    </row>
    <row r="10" spans="1:21" x14ac:dyDescent="0.2">
      <c r="A10" s="33"/>
      <c r="G10" s="34"/>
      <c r="J10" s="35"/>
    </row>
    <row r="11" spans="1:21" x14ac:dyDescent="0.2">
      <c r="A11" s="33"/>
      <c r="G11" s="3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U6"/>
  <sheetViews>
    <sheetView workbookViewId="0">
      <selection activeCell="N2" sqref="N2:N4"/>
    </sheetView>
  </sheetViews>
  <sheetFormatPr defaultRowHeight="15" x14ac:dyDescent="0.25"/>
  <cols>
    <col min="2" max="2" width="11.85546875" customWidth="1"/>
    <col min="3" max="3" width="15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43842</v>
      </c>
      <c r="B2" s="14" t="s">
        <v>21</v>
      </c>
      <c r="C2" s="14" t="s">
        <v>48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33</v>
      </c>
      <c r="I2" s="14" t="s">
        <v>34</v>
      </c>
      <c r="J2" s="18">
        <v>0.65972222222222221</v>
      </c>
      <c r="K2" s="29">
        <v>0.65416666666666667</v>
      </c>
      <c r="L2" s="18">
        <v>0.49305555555555558</v>
      </c>
      <c r="M2" s="19">
        <v>0.49583333333333335</v>
      </c>
      <c r="N2" s="22" t="s">
        <v>157</v>
      </c>
      <c r="O2" s="20" t="s">
        <v>155</v>
      </c>
      <c r="P2" s="20">
        <v>1275</v>
      </c>
      <c r="Q2" s="20">
        <v>1102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43842</v>
      </c>
      <c r="B3" s="14" t="s">
        <v>21</v>
      </c>
      <c r="C3" s="14" t="s">
        <v>49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27</v>
      </c>
      <c r="I3" s="14" t="s">
        <v>28</v>
      </c>
      <c r="J3" s="18">
        <v>0.77083333333333337</v>
      </c>
      <c r="K3" s="29">
        <v>0.76111111111111107</v>
      </c>
      <c r="L3" s="18">
        <v>0.53819444444444442</v>
      </c>
      <c r="M3" s="19">
        <v>0.53819444444444442</v>
      </c>
      <c r="N3" s="22" t="s">
        <v>158</v>
      </c>
      <c r="O3" s="20" t="s">
        <v>156</v>
      </c>
      <c r="P3" s="14">
        <v>1244</v>
      </c>
      <c r="Q3" s="20">
        <v>1385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43842</v>
      </c>
      <c r="B4" s="14" t="s">
        <v>21</v>
      </c>
      <c r="C4" s="22" t="s">
        <v>50</v>
      </c>
      <c r="D4" s="22" t="s">
        <v>23</v>
      </c>
      <c r="E4" s="14" t="s">
        <v>29</v>
      </c>
      <c r="F4" s="22" t="s">
        <v>24</v>
      </c>
      <c r="G4" s="32">
        <f>G2</f>
        <v>71500</v>
      </c>
      <c r="H4" s="22" t="s">
        <v>35</v>
      </c>
      <c r="I4" s="22" t="s">
        <v>36</v>
      </c>
      <c r="J4" s="28">
        <v>0.86805555555555547</v>
      </c>
      <c r="K4" s="29">
        <v>0.85625000000000007</v>
      </c>
      <c r="L4" s="28">
        <v>0.68055555555555547</v>
      </c>
      <c r="M4" s="29">
        <v>0.68680555555555556</v>
      </c>
      <c r="N4" s="22" t="s">
        <v>160</v>
      </c>
      <c r="O4" s="22" t="s">
        <v>159</v>
      </c>
      <c r="P4" s="22">
        <v>1017</v>
      </c>
      <c r="Q4" s="20">
        <v>1342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"/>
      <c r="B5" s="8"/>
      <c r="C5" s="8"/>
      <c r="D5" s="8"/>
      <c r="E5" s="3"/>
      <c r="F5" s="8"/>
      <c r="G5" s="9"/>
      <c r="H5" s="8"/>
      <c r="I5" s="8"/>
      <c r="J5" s="12"/>
      <c r="K5" s="13"/>
      <c r="L5" s="12"/>
      <c r="M5" s="42"/>
      <c r="N5" s="7"/>
      <c r="O5" s="7"/>
      <c r="P5" s="3"/>
      <c r="Q5" s="7"/>
      <c r="R5" s="8"/>
      <c r="S5" s="8"/>
      <c r="T5" s="8"/>
      <c r="U5" s="8"/>
    </row>
    <row r="6" spans="1:21" x14ac:dyDescent="0.25">
      <c r="A6" s="2"/>
      <c r="B6" s="8"/>
      <c r="C6" s="8"/>
      <c r="D6" s="8"/>
      <c r="E6" s="3"/>
      <c r="F6" s="8"/>
      <c r="G6" s="9"/>
      <c r="H6" s="8"/>
      <c r="I6" s="8"/>
      <c r="J6" s="36"/>
      <c r="K6" s="36"/>
      <c r="L6" s="36"/>
      <c r="M6" s="25"/>
      <c r="N6" s="49"/>
      <c r="O6" s="49"/>
      <c r="P6" s="49"/>
      <c r="Q6" s="49"/>
      <c r="R6" s="8"/>
      <c r="S6" s="8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H1" workbookViewId="0">
      <selection activeCell="N21" sqref="N21"/>
    </sheetView>
  </sheetViews>
  <sheetFormatPr defaultRowHeight="15" x14ac:dyDescent="0.25"/>
  <cols>
    <col min="1" max="1" width="7.85546875" bestFit="1" customWidth="1"/>
    <col min="2" max="2" width="10.5703125" customWidth="1"/>
    <col min="3" max="3" width="15" customWidth="1"/>
    <col min="4" max="4" width="5.7109375" bestFit="1" customWidth="1"/>
    <col min="5" max="5" width="14" bestFit="1" customWidth="1"/>
    <col min="6" max="6" width="12.140625" bestFit="1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5">
      <c r="A2" s="21">
        <v>43843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f>G3</f>
        <v>71500</v>
      </c>
      <c r="H2" s="14" t="s">
        <v>25</v>
      </c>
      <c r="I2" s="14" t="s">
        <v>26</v>
      </c>
      <c r="J2" s="18">
        <v>0.46180555555555558</v>
      </c>
      <c r="K2" s="50" t="s">
        <v>59</v>
      </c>
      <c r="L2" s="18">
        <v>0.25694444444444448</v>
      </c>
      <c r="M2" s="50" t="s">
        <v>59</v>
      </c>
      <c r="N2" s="22" t="s">
        <v>127</v>
      </c>
      <c r="O2" s="20" t="s">
        <v>127</v>
      </c>
      <c r="P2" s="20" t="s">
        <v>127</v>
      </c>
      <c r="Q2" s="20" t="s">
        <v>127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43843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50" t="s">
        <v>162</v>
      </c>
      <c r="L3" s="18">
        <v>0.30208333333333331</v>
      </c>
      <c r="M3" s="19">
        <v>0.58819444444444446</v>
      </c>
      <c r="N3" s="22" t="s">
        <v>127</v>
      </c>
      <c r="O3" s="20" t="s">
        <v>161</v>
      </c>
      <c r="P3" s="14" t="s">
        <v>127</v>
      </c>
      <c r="Q3" s="20">
        <v>1148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43843</v>
      </c>
      <c r="B4" s="22" t="s">
        <v>21</v>
      </c>
      <c r="C4" s="22" t="s">
        <v>60</v>
      </c>
      <c r="D4" s="22" t="s">
        <v>23</v>
      </c>
      <c r="E4" s="14" t="s">
        <v>29</v>
      </c>
      <c r="F4" s="22" t="s">
        <v>24</v>
      </c>
      <c r="G4" s="32">
        <v>71500</v>
      </c>
      <c r="H4" s="22" t="s">
        <v>61</v>
      </c>
      <c r="I4" s="22" t="s">
        <v>62</v>
      </c>
      <c r="J4" s="28">
        <v>0.68055555555555547</v>
      </c>
      <c r="K4" s="50" t="s">
        <v>59</v>
      </c>
      <c r="L4" s="28">
        <v>0.52777777777777779</v>
      </c>
      <c r="M4" s="50" t="s">
        <v>59</v>
      </c>
      <c r="N4" s="22" t="s">
        <v>127</v>
      </c>
      <c r="O4" s="22" t="s">
        <v>127</v>
      </c>
      <c r="P4" s="22" t="s">
        <v>127</v>
      </c>
      <c r="Q4" s="20" t="s">
        <v>127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>A4</f>
        <v>43843</v>
      </c>
      <c r="B5" s="22" t="s">
        <v>21</v>
      </c>
      <c r="C5" s="22" t="s">
        <v>63</v>
      </c>
      <c r="D5" s="22" t="s">
        <v>23</v>
      </c>
      <c r="E5" s="14" t="s">
        <v>99</v>
      </c>
      <c r="F5" s="22" t="s">
        <v>24</v>
      </c>
      <c r="G5" s="32">
        <f>G4</f>
        <v>71500</v>
      </c>
      <c r="H5" s="14" t="s">
        <v>64</v>
      </c>
      <c r="I5" s="14" t="s">
        <v>65</v>
      </c>
      <c r="J5" s="35">
        <v>0.91319444444444453</v>
      </c>
      <c r="K5" s="50" t="s">
        <v>59</v>
      </c>
      <c r="L5" s="35">
        <v>0.69097222222222221</v>
      </c>
      <c r="M5" s="50" t="s">
        <v>59</v>
      </c>
      <c r="N5" s="22" t="s">
        <v>127</v>
      </c>
      <c r="O5" s="31" t="s">
        <v>127</v>
      </c>
      <c r="P5" s="31" t="s">
        <v>127</v>
      </c>
      <c r="Q5" s="20" t="s">
        <v>127</v>
      </c>
      <c r="R5" s="22">
        <v>0</v>
      </c>
      <c r="S5" s="22">
        <v>0</v>
      </c>
      <c r="T5" s="22">
        <v>0</v>
      </c>
      <c r="U5" s="22">
        <v>0</v>
      </c>
    </row>
    <row r="7" spans="1:21" s="27" customFormat="1" ht="12.75" x14ac:dyDescent="0.2">
      <c r="A7" s="33"/>
      <c r="B7" s="8"/>
      <c r="C7" s="8"/>
      <c r="D7" s="8"/>
      <c r="E7" s="8"/>
      <c r="F7" s="8"/>
      <c r="G7" s="32"/>
      <c r="H7" s="8"/>
      <c r="I7" s="8"/>
      <c r="J7" s="36"/>
      <c r="K7" s="36"/>
      <c r="L7" s="31"/>
      <c r="M7" s="31"/>
      <c r="N7" s="31"/>
      <c r="O7" s="31"/>
      <c r="P7" s="31"/>
      <c r="Q7" s="31"/>
      <c r="R7" s="8"/>
      <c r="S7" s="8"/>
      <c r="T7" s="8"/>
      <c r="U7" s="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N2" sqref="N2:N6"/>
    </sheetView>
  </sheetViews>
  <sheetFormatPr defaultRowHeight="12.75" x14ac:dyDescent="0.2"/>
  <cols>
    <col min="1" max="1" width="10.140625" style="31" bestFit="1" customWidth="1"/>
    <col min="2" max="2" width="17.42578125" style="31" bestFit="1" customWidth="1"/>
    <col min="3" max="3" width="18.5703125" style="31" customWidth="1"/>
    <col min="4" max="4" width="9.140625" style="3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17" style="22" customWidth="1"/>
    <col min="15" max="15" width="17.140625" style="31" customWidth="1"/>
    <col min="16" max="16384" width="9.140625" style="31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customFormat="1" ht="15" x14ac:dyDescent="0.25">
      <c r="A2" s="21">
        <v>43844</v>
      </c>
      <c r="B2" s="14" t="s">
        <v>21</v>
      </c>
      <c r="C2" s="14" t="s">
        <v>51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0.53263888888888888</v>
      </c>
      <c r="L2" s="18">
        <v>0.32291666666666669</v>
      </c>
      <c r="M2" s="19">
        <v>0.36736111111111108</v>
      </c>
      <c r="N2" s="22" t="s">
        <v>164</v>
      </c>
      <c r="O2" s="20" t="s">
        <v>163</v>
      </c>
      <c r="P2" s="20">
        <v>926</v>
      </c>
      <c r="Q2" s="20">
        <v>911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>A2</f>
        <v>43844</v>
      </c>
      <c r="B3" s="14" t="s">
        <v>21</v>
      </c>
      <c r="C3" s="14" t="s">
        <v>56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0.70763888888888893</v>
      </c>
      <c r="L3" s="18">
        <v>0.5</v>
      </c>
      <c r="M3" s="19">
        <v>0.5180555555555556</v>
      </c>
      <c r="N3" s="22" t="s">
        <v>168</v>
      </c>
      <c r="O3" s="20" t="s">
        <v>165</v>
      </c>
      <c r="P3" s="31">
        <v>923</v>
      </c>
      <c r="Q3" s="20">
        <v>1012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ref="A4:A5" si="0">A3</f>
        <v>43844</v>
      </c>
      <c r="B4" s="22" t="s">
        <v>21</v>
      </c>
      <c r="C4" s="22" t="s">
        <v>53</v>
      </c>
      <c r="D4" s="22" t="s">
        <v>23</v>
      </c>
      <c r="E4" s="14" t="s">
        <v>29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0.7006944444444444</v>
      </c>
      <c r="L4" s="35">
        <v>0.52777777777777779</v>
      </c>
      <c r="M4" s="36">
        <v>0.57291666666666663</v>
      </c>
      <c r="N4" s="22" t="s">
        <v>169</v>
      </c>
      <c r="O4" s="31" t="s">
        <v>166</v>
      </c>
      <c r="P4" s="14">
        <v>589</v>
      </c>
      <c r="Q4" s="20">
        <v>923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43844</v>
      </c>
      <c r="B5" s="22" t="s">
        <v>21</v>
      </c>
      <c r="C5" s="22" t="s">
        <v>78</v>
      </c>
      <c r="D5" s="22" t="s">
        <v>23</v>
      </c>
      <c r="E5" s="14" t="s">
        <v>99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9">
        <v>0.95694444444444438</v>
      </c>
      <c r="L5" s="28">
        <v>0.77430555555555547</v>
      </c>
      <c r="M5" s="29">
        <v>0.8027777777777777</v>
      </c>
      <c r="N5" s="22" t="s">
        <v>170</v>
      </c>
      <c r="O5" s="22" t="s">
        <v>167</v>
      </c>
      <c r="P5" s="22">
        <v>223</v>
      </c>
      <c r="Q5" s="20">
        <v>764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33"/>
      <c r="J6" s="35"/>
      <c r="L6" s="35"/>
      <c r="M6" s="36"/>
    </row>
    <row r="7" spans="1:21" x14ac:dyDescent="0.2">
      <c r="A7" s="21"/>
      <c r="B7" s="22"/>
      <c r="C7" s="39"/>
      <c r="D7" s="14"/>
      <c r="E7" s="39"/>
      <c r="F7" s="22"/>
      <c r="G7" s="40"/>
      <c r="H7" s="39"/>
      <c r="I7" s="39"/>
      <c r="J7" s="41"/>
      <c r="K7" s="28"/>
      <c r="L7" s="41"/>
      <c r="M7" s="19"/>
      <c r="O7" s="22"/>
      <c r="P7" s="22"/>
      <c r="Q7" s="22"/>
      <c r="R7" s="22"/>
      <c r="S7" s="22"/>
      <c r="T7" s="22"/>
      <c r="U7" s="22"/>
    </row>
    <row r="8" spans="1:21" x14ac:dyDescent="0.2">
      <c r="A8" s="21"/>
      <c r="B8" s="22"/>
      <c r="C8" s="22"/>
      <c r="D8" s="22"/>
      <c r="E8" s="14"/>
      <c r="F8" s="22"/>
      <c r="G8" s="40"/>
      <c r="H8" s="14"/>
      <c r="I8" s="14"/>
      <c r="J8" s="35"/>
      <c r="L8" s="35"/>
      <c r="M8" s="36"/>
      <c r="O8" s="22"/>
      <c r="P8" s="22"/>
      <c r="Q8" s="22"/>
      <c r="R8" s="22"/>
      <c r="S8" s="22"/>
      <c r="T8" s="22"/>
      <c r="U8" s="22"/>
    </row>
    <row r="9" spans="1:21" x14ac:dyDescent="0.2">
      <c r="A9" s="33"/>
      <c r="G9" s="34"/>
      <c r="J9" s="35"/>
    </row>
    <row r="10" spans="1:21" x14ac:dyDescent="0.2">
      <c r="A10" s="33"/>
      <c r="G10" s="34"/>
      <c r="J10" s="35"/>
    </row>
    <row r="11" spans="1:21" x14ac:dyDescent="0.2">
      <c r="A11" s="33"/>
      <c r="G11" s="34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U6"/>
  <sheetViews>
    <sheetView topLeftCell="G1" workbookViewId="0">
      <selection activeCell="N2" sqref="N2:N4"/>
    </sheetView>
  </sheetViews>
  <sheetFormatPr defaultRowHeight="15" x14ac:dyDescent="0.25"/>
  <cols>
    <col min="2" max="2" width="9.140625" bestFit="1" customWidth="1"/>
    <col min="3" max="3" width="19" customWidth="1"/>
    <col min="4" max="4" width="5.7109375" bestFit="1" customWidth="1"/>
    <col min="5" max="5" width="7.140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43845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0.48680555555555555</v>
      </c>
      <c r="L2" s="18">
        <v>0.25694444444444448</v>
      </c>
      <c r="M2" s="19">
        <v>0.3125</v>
      </c>
      <c r="N2" s="22" t="s">
        <v>173</v>
      </c>
      <c r="O2" s="20" t="s">
        <v>171</v>
      </c>
      <c r="P2" s="20">
        <v>1398</v>
      </c>
      <c r="Q2" s="20">
        <v>948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43845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0.50208333333333333</v>
      </c>
      <c r="L3" s="18">
        <v>0.30208333333333331</v>
      </c>
      <c r="M3" s="19">
        <v>0.31805555555555554</v>
      </c>
      <c r="N3" s="22" t="s">
        <v>174</v>
      </c>
      <c r="O3" s="20" t="s">
        <v>172</v>
      </c>
      <c r="P3" s="14">
        <v>490</v>
      </c>
      <c r="Q3" s="20">
        <v>1021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43845</v>
      </c>
      <c r="B4" s="14" t="s">
        <v>21</v>
      </c>
      <c r="C4" s="14" t="s">
        <v>48</v>
      </c>
      <c r="D4" s="14" t="s">
        <v>23</v>
      </c>
      <c r="E4" s="14" t="s">
        <v>29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0.6791666666666667</v>
      </c>
      <c r="L4" s="18">
        <v>0.49305555555555558</v>
      </c>
      <c r="M4" s="19">
        <v>0.52708333333333335</v>
      </c>
      <c r="N4" s="22" t="s">
        <v>176</v>
      </c>
      <c r="O4" s="20" t="s">
        <v>175</v>
      </c>
      <c r="P4" s="20">
        <v>852</v>
      </c>
      <c r="Q4" s="20">
        <v>869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2"/>
      <c r="B5" s="8"/>
      <c r="C5" s="8"/>
      <c r="D5" s="8"/>
      <c r="E5" s="3"/>
      <c r="F5" s="8"/>
      <c r="G5" s="4"/>
      <c r="H5" s="8"/>
      <c r="I5" s="8"/>
      <c r="J5" s="12"/>
      <c r="K5" s="13"/>
      <c r="L5" s="12"/>
      <c r="M5" s="13"/>
      <c r="N5" s="13"/>
      <c r="O5" s="7"/>
      <c r="P5" s="3"/>
      <c r="Q5" s="7"/>
      <c r="R5" s="8"/>
      <c r="S5" s="8"/>
      <c r="T5" s="8"/>
      <c r="U5" s="8"/>
    </row>
    <row r="6" spans="1:21" s="13" customFormat="1" ht="12.75" x14ac:dyDescent="0.25">
      <c r="A6" s="2"/>
      <c r="G6" s="4"/>
      <c r="N6" s="3"/>
      <c r="O6" s="3"/>
      <c r="P6" s="3"/>
      <c r="Q6" s="3"/>
      <c r="R6" s="3"/>
      <c r="S6" s="3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U7"/>
  <sheetViews>
    <sheetView workbookViewId="0">
      <selection activeCell="N2" sqref="N2:N3"/>
    </sheetView>
  </sheetViews>
  <sheetFormatPr defaultRowHeight="15" x14ac:dyDescent="0.25"/>
  <cols>
    <col min="2" max="2" width="20" bestFit="1" customWidth="1"/>
    <col min="3" max="3" width="13.5703125" bestFit="1" customWidth="1"/>
    <col min="6" max="6" width="17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43846</v>
      </c>
      <c r="B2" s="3" t="s">
        <v>21</v>
      </c>
      <c r="C2" s="3" t="s">
        <v>49</v>
      </c>
      <c r="D2" s="3" t="s">
        <v>23</v>
      </c>
      <c r="E2" s="3" t="s">
        <v>99</v>
      </c>
      <c r="F2" s="3" t="s">
        <v>24</v>
      </c>
      <c r="G2" s="4">
        <v>71500</v>
      </c>
      <c r="H2" s="3" t="s">
        <v>27</v>
      </c>
      <c r="I2" s="3" t="s">
        <v>28</v>
      </c>
      <c r="J2" s="5">
        <v>0.65972222222222221</v>
      </c>
      <c r="K2" s="6">
        <v>0.64930555555555558</v>
      </c>
      <c r="L2" s="5">
        <v>0.42708333333333331</v>
      </c>
      <c r="M2" s="6">
        <v>0.43333333333333335</v>
      </c>
      <c r="N2" s="6" t="s">
        <v>178</v>
      </c>
      <c r="O2" s="6" t="s">
        <v>177</v>
      </c>
      <c r="P2" s="7">
        <v>819</v>
      </c>
      <c r="Q2" s="7">
        <v>1061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43846</v>
      </c>
      <c r="B3" s="3" t="s">
        <v>21</v>
      </c>
      <c r="C3" s="3" t="s">
        <v>50</v>
      </c>
      <c r="D3" s="3" t="s">
        <v>23</v>
      </c>
      <c r="E3" s="3" t="s">
        <v>99</v>
      </c>
      <c r="F3" s="3" t="s">
        <v>24</v>
      </c>
      <c r="G3" s="4">
        <v>71500</v>
      </c>
      <c r="H3" s="3" t="s">
        <v>35</v>
      </c>
      <c r="I3" s="3" t="s">
        <v>36</v>
      </c>
      <c r="J3" s="5">
        <v>0.86805555555555547</v>
      </c>
      <c r="K3" s="6">
        <v>0.86319444444444438</v>
      </c>
      <c r="L3" s="5">
        <v>0.68055555555555547</v>
      </c>
      <c r="M3" s="6">
        <v>0.68402777777777779</v>
      </c>
      <c r="N3" s="6" t="s">
        <v>185</v>
      </c>
      <c r="O3" s="6" t="s">
        <v>96</v>
      </c>
      <c r="P3" s="7">
        <v>659</v>
      </c>
      <c r="Q3" s="7">
        <v>888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43846</v>
      </c>
      <c r="B4" s="3" t="s">
        <v>184</v>
      </c>
      <c r="C4" s="3" t="s">
        <v>186</v>
      </c>
      <c r="D4" s="3" t="s">
        <v>179</v>
      </c>
      <c r="E4" s="3" t="s">
        <v>180</v>
      </c>
      <c r="F4" s="3" t="s">
        <v>181</v>
      </c>
      <c r="G4" s="4">
        <v>6600</v>
      </c>
      <c r="H4" s="3" t="s">
        <v>182</v>
      </c>
      <c r="I4" s="3" t="s">
        <v>183</v>
      </c>
      <c r="J4" s="5">
        <v>0.57291666666666663</v>
      </c>
      <c r="K4" s="6">
        <v>0.57430555555555551</v>
      </c>
      <c r="L4" s="5">
        <v>0.60416666666666663</v>
      </c>
      <c r="M4" s="6">
        <v>0.62291666666666667</v>
      </c>
      <c r="N4" s="7">
        <v>0</v>
      </c>
      <c r="O4" s="7">
        <v>0</v>
      </c>
      <c r="P4" s="7">
        <v>0</v>
      </c>
      <c r="Q4" s="7">
        <v>0</v>
      </c>
      <c r="R4" s="3">
        <v>1144</v>
      </c>
      <c r="S4" s="3">
        <v>0</v>
      </c>
      <c r="T4" s="3">
        <v>0</v>
      </c>
      <c r="U4" s="3">
        <v>0</v>
      </c>
    </row>
    <row r="5" spans="1:21" x14ac:dyDescent="0.25">
      <c r="A5" s="2">
        <v>43846</v>
      </c>
      <c r="B5" s="3" t="s">
        <v>184</v>
      </c>
      <c r="C5" s="3" t="s">
        <v>194</v>
      </c>
      <c r="D5" s="3" t="s">
        <v>179</v>
      </c>
      <c r="E5" s="3" t="s">
        <v>180</v>
      </c>
      <c r="F5" s="3" t="s">
        <v>181</v>
      </c>
      <c r="G5" s="4">
        <v>6600</v>
      </c>
      <c r="H5" s="3" t="s">
        <v>187</v>
      </c>
      <c r="I5" s="3" t="s">
        <v>188</v>
      </c>
      <c r="J5" s="5">
        <v>0.77083333333333337</v>
      </c>
      <c r="K5" s="6">
        <v>0.7909722222222223</v>
      </c>
      <c r="L5" s="5">
        <v>0.79166666666666663</v>
      </c>
      <c r="M5" s="6">
        <v>0.84097222222222223</v>
      </c>
      <c r="N5" s="7" t="s">
        <v>129</v>
      </c>
      <c r="O5" s="7" t="s">
        <v>129</v>
      </c>
      <c r="P5" s="7">
        <v>0</v>
      </c>
      <c r="Q5" s="7">
        <v>0</v>
      </c>
      <c r="R5" s="3">
        <v>1266</v>
      </c>
      <c r="S5" s="3">
        <v>0</v>
      </c>
      <c r="T5" s="3">
        <v>0</v>
      </c>
      <c r="U5" s="3">
        <v>0</v>
      </c>
    </row>
    <row r="6" spans="1:21" s="31" customFormat="1" ht="12.75" x14ac:dyDescent="0.2">
      <c r="A6" s="33">
        <v>43846</v>
      </c>
      <c r="B6" s="3" t="s">
        <v>189</v>
      </c>
      <c r="C6" s="3" t="s">
        <v>195</v>
      </c>
      <c r="D6" s="3" t="s">
        <v>190</v>
      </c>
      <c r="E6" s="3" t="s">
        <v>191</v>
      </c>
      <c r="F6" s="3" t="s">
        <v>181</v>
      </c>
      <c r="G6" s="4">
        <v>70000</v>
      </c>
      <c r="H6" s="3" t="s">
        <v>192</v>
      </c>
      <c r="I6" s="3" t="s">
        <v>127</v>
      </c>
      <c r="J6" s="35">
        <v>0.77083333333333337</v>
      </c>
      <c r="K6" s="36">
        <v>0.7631944444444444</v>
      </c>
      <c r="L6" s="38" t="s">
        <v>128</v>
      </c>
      <c r="M6" s="31" t="s">
        <v>128</v>
      </c>
      <c r="N6" s="7" t="s">
        <v>193</v>
      </c>
      <c r="O6" s="31">
        <v>0</v>
      </c>
      <c r="P6" s="7">
        <v>340</v>
      </c>
      <c r="Q6" s="7">
        <v>0</v>
      </c>
      <c r="R6" s="3">
        <v>0</v>
      </c>
      <c r="S6" s="3">
        <v>0</v>
      </c>
      <c r="T6" s="3">
        <v>0</v>
      </c>
      <c r="U6" s="31">
        <v>0</v>
      </c>
    </row>
    <row r="7" spans="1:21" s="27" customFormat="1" ht="12.75" x14ac:dyDescent="0.2">
      <c r="A7" s="33">
        <v>43846</v>
      </c>
      <c r="B7" s="22" t="s">
        <v>121</v>
      </c>
      <c r="C7" s="22" t="s">
        <v>196</v>
      </c>
      <c r="D7" s="22" t="s">
        <v>123</v>
      </c>
      <c r="E7" s="14" t="s">
        <v>124</v>
      </c>
      <c r="F7" s="22" t="s">
        <v>125</v>
      </c>
      <c r="G7" s="32">
        <v>24000</v>
      </c>
      <c r="H7" s="31" t="s">
        <v>127</v>
      </c>
      <c r="I7" s="31" t="s">
        <v>126</v>
      </c>
      <c r="J7" s="35" t="s">
        <v>128</v>
      </c>
      <c r="K7" s="36" t="s">
        <v>128</v>
      </c>
      <c r="L7" s="35">
        <v>0.97916666666666663</v>
      </c>
      <c r="M7" s="36">
        <v>0.9770833333333333</v>
      </c>
      <c r="N7" s="22" t="s">
        <v>127</v>
      </c>
      <c r="O7" s="31" t="s">
        <v>129</v>
      </c>
      <c r="P7" s="31" t="s">
        <v>127</v>
      </c>
      <c r="Q7" s="31">
        <v>0</v>
      </c>
      <c r="R7" s="22">
        <v>0</v>
      </c>
      <c r="S7" s="22">
        <v>0</v>
      </c>
      <c r="T7" s="22">
        <v>0</v>
      </c>
      <c r="U7" s="2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U7"/>
  <sheetViews>
    <sheetView workbookViewId="0">
      <selection activeCell="N5" sqref="N5:N6"/>
    </sheetView>
  </sheetViews>
  <sheetFormatPr defaultRowHeight="15" x14ac:dyDescent="0.25"/>
  <cols>
    <col min="2" max="2" width="11.140625" bestFit="1" customWidth="1"/>
    <col min="3" max="3" width="12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31" customFormat="1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21">
        <v>43847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50"/>
      <c r="L2" s="18">
        <v>0.25694444444444448</v>
      </c>
      <c r="M2" s="19">
        <v>0.28888888888888892</v>
      </c>
      <c r="N2" s="53" t="s">
        <v>162</v>
      </c>
      <c r="O2" s="20" t="s">
        <v>197</v>
      </c>
      <c r="P2" s="52"/>
      <c r="Q2" s="20">
        <v>869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 t="shared" ref="A3:A6" si="0">A2</f>
        <v>43847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50"/>
      <c r="L3" s="18">
        <v>0.30208333333333331</v>
      </c>
      <c r="M3" s="19">
        <v>0.32361111111111113</v>
      </c>
      <c r="N3" s="53" t="s">
        <v>162</v>
      </c>
      <c r="O3" s="20" t="s">
        <v>198</v>
      </c>
      <c r="P3" s="52"/>
      <c r="Q3" s="20">
        <v>975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 t="shared" si="0"/>
        <v>43847</v>
      </c>
      <c r="B4" s="22" t="s">
        <v>21</v>
      </c>
      <c r="C4" s="22" t="s">
        <v>48</v>
      </c>
      <c r="D4" s="22" t="s">
        <v>23</v>
      </c>
      <c r="E4" s="14" t="s">
        <v>29</v>
      </c>
      <c r="F4" s="22" t="s">
        <v>24</v>
      </c>
      <c r="G4" s="32">
        <v>71500</v>
      </c>
      <c r="H4" s="14" t="s">
        <v>33</v>
      </c>
      <c r="I4" s="14" t="s">
        <v>34</v>
      </c>
      <c r="J4" s="35">
        <v>0.65972222222222221</v>
      </c>
      <c r="K4" s="50"/>
      <c r="L4" s="35">
        <v>0.49305555555555558</v>
      </c>
      <c r="M4" s="50"/>
      <c r="N4" s="53" t="s">
        <v>202</v>
      </c>
      <c r="O4" s="53" t="s">
        <v>202</v>
      </c>
      <c r="P4" s="52"/>
      <c r="Q4" s="52"/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 t="shared" si="0"/>
        <v>43847</v>
      </c>
      <c r="B5" s="22" t="s">
        <v>21</v>
      </c>
      <c r="C5" s="22" t="s">
        <v>60</v>
      </c>
      <c r="D5" s="22" t="s">
        <v>23</v>
      </c>
      <c r="E5" s="14" t="s">
        <v>99</v>
      </c>
      <c r="F5" s="22" t="s">
        <v>24</v>
      </c>
      <c r="G5" s="32">
        <v>71500</v>
      </c>
      <c r="H5" s="22" t="s">
        <v>61</v>
      </c>
      <c r="I5" s="22" t="s">
        <v>62</v>
      </c>
      <c r="J5" s="28">
        <v>0.68055555555555547</v>
      </c>
      <c r="K5" s="29">
        <v>0.77361111111111114</v>
      </c>
      <c r="L5" s="28">
        <v>0.52777777777777779</v>
      </c>
      <c r="M5" s="54"/>
      <c r="N5" s="22" t="s">
        <v>204</v>
      </c>
      <c r="O5" s="53" t="s">
        <v>202</v>
      </c>
      <c r="P5" s="22">
        <v>666</v>
      </c>
      <c r="Q5" s="52"/>
      <c r="R5" s="22">
        <v>0</v>
      </c>
      <c r="S5" s="22">
        <v>0</v>
      </c>
      <c r="T5" s="22">
        <v>0</v>
      </c>
      <c r="U5" s="22">
        <v>0</v>
      </c>
    </row>
    <row r="6" spans="1:21" x14ac:dyDescent="0.25">
      <c r="A6" s="21">
        <f t="shared" si="0"/>
        <v>43847</v>
      </c>
      <c r="B6" s="22" t="s">
        <v>21</v>
      </c>
      <c r="C6" s="22" t="s">
        <v>63</v>
      </c>
      <c r="D6" s="22" t="s">
        <v>23</v>
      </c>
      <c r="E6" s="14" t="s">
        <v>99</v>
      </c>
      <c r="F6" s="22" t="s">
        <v>24</v>
      </c>
      <c r="G6" s="32">
        <v>71500</v>
      </c>
      <c r="H6" s="14" t="s">
        <v>64</v>
      </c>
      <c r="I6" s="14" t="s">
        <v>65</v>
      </c>
      <c r="J6" s="35">
        <v>0.91319444444444453</v>
      </c>
      <c r="K6" s="29">
        <v>1.5972222222222224E-2</v>
      </c>
      <c r="L6" s="35">
        <v>0.69097222222222221</v>
      </c>
      <c r="M6" s="36">
        <v>0.76458333333333339</v>
      </c>
      <c r="N6" s="22" t="s">
        <v>206</v>
      </c>
      <c r="O6" s="31" t="s">
        <v>205</v>
      </c>
      <c r="P6" s="31">
        <v>605</v>
      </c>
      <c r="Q6" s="20">
        <v>636</v>
      </c>
      <c r="R6" s="22">
        <v>0</v>
      </c>
      <c r="S6" s="22">
        <v>0</v>
      </c>
      <c r="T6" s="22">
        <v>0</v>
      </c>
      <c r="U6" s="22">
        <v>0</v>
      </c>
    </row>
    <row r="7" spans="1:21" s="31" customFormat="1" ht="12.75" x14ac:dyDescent="0.2">
      <c r="A7" s="33">
        <v>43847</v>
      </c>
      <c r="B7" s="22" t="s">
        <v>189</v>
      </c>
      <c r="C7" s="22" t="s">
        <v>203</v>
      </c>
      <c r="D7" s="22" t="s">
        <v>190</v>
      </c>
      <c r="E7" s="14" t="s">
        <v>191</v>
      </c>
      <c r="F7" s="22" t="s">
        <v>200</v>
      </c>
      <c r="G7" s="32">
        <v>70000</v>
      </c>
      <c r="H7" s="14" t="s">
        <v>127</v>
      </c>
      <c r="I7" s="14" t="s">
        <v>199</v>
      </c>
      <c r="J7" s="51" t="s">
        <v>128</v>
      </c>
      <c r="K7" s="14" t="s">
        <v>128</v>
      </c>
      <c r="L7" s="35">
        <v>0.5</v>
      </c>
      <c r="M7" s="36">
        <v>0.54861111111111105</v>
      </c>
      <c r="N7" s="14" t="s">
        <v>127</v>
      </c>
      <c r="O7" s="14" t="s">
        <v>201</v>
      </c>
      <c r="P7" s="14" t="s">
        <v>127</v>
      </c>
      <c r="Q7" s="31">
        <v>124</v>
      </c>
      <c r="R7" s="22">
        <v>0</v>
      </c>
      <c r="S7" s="22">
        <v>0</v>
      </c>
      <c r="T7" s="22">
        <v>0</v>
      </c>
      <c r="U7" s="2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N2" sqref="N2:N5"/>
    </sheetView>
  </sheetViews>
  <sheetFormatPr defaultRowHeight="12.75" x14ac:dyDescent="0.2"/>
  <cols>
    <col min="1" max="1" width="10.140625" style="31" bestFit="1" customWidth="1"/>
    <col min="2" max="2" width="17.42578125" style="31" bestFit="1" customWidth="1"/>
    <col min="3" max="3" width="18.5703125" style="31" customWidth="1"/>
    <col min="4" max="4" width="9.140625" style="3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17" style="22" customWidth="1"/>
    <col min="15" max="15" width="17.140625" style="31" customWidth="1"/>
    <col min="16" max="16384" width="9.140625" style="31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customFormat="1" ht="15" x14ac:dyDescent="0.25">
      <c r="A2" s="21">
        <v>43848</v>
      </c>
      <c r="B2" s="14" t="s">
        <v>21</v>
      </c>
      <c r="C2" s="14" t="s">
        <v>51</v>
      </c>
      <c r="D2" s="14" t="s">
        <v>23</v>
      </c>
      <c r="E2" s="14" t="s">
        <v>99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0.49722222222222223</v>
      </c>
      <c r="L2" s="18">
        <v>0.32291666666666669</v>
      </c>
      <c r="M2" s="19">
        <v>0.3263888888888889</v>
      </c>
      <c r="N2" s="22" t="s">
        <v>171</v>
      </c>
      <c r="O2" s="20" t="s">
        <v>207</v>
      </c>
      <c r="P2" s="20">
        <v>879</v>
      </c>
      <c r="Q2" s="20">
        <v>677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>A2</f>
        <v>43848</v>
      </c>
      <c r="B3" s="14" t="s">
        <v>21</v>
      </c>
      <c r="C3" s="14" t="s">
        <v>56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0.70000000000000007</v>
      </c>
      <c r="L3" s="18">
        <v>0.5</v>
      </c>
      <c r="M3" s="19">
        <v>0.50624999999999998</v>
      </c>
      <c r="N3" s="22" t="s">
        <v>212</v>
      </c>
      <c r="O3" s="20" t="s">
        <v>210</v>
      </c>
      <c r="P3" s="31">
        <v>956</v>
      </c>
      <c r="Q3" s="20">
        <v>957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ref="A4:A5" si="0">A3</f>
        <v>43848</v>
      </c>
      <c r="B4" s="22" t="s">
        <v>21</v>
      </c>
      <c r="C4" s="22" t="s">
        <v>53</v>
      </c>
      <c r="D4" s="22" t="s">
        <v>23</v>
      </c>
      <c r="E4" s="14" t="str">
        <f>E2</f>
        <v>HALWJ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0.69652777777777775</v>
      </c>
      <c r="L4" s="35">
        <v>0.52777777777777779</v>
      </c>
      <c r="M4" s="36">
        <v>0.53749999999999998</v>
      </c>
      <c r="N4" s="22" t="s">
        <v>213</v>
      </c>
      <c r="O4" s="31" t="s">
        <v>211</v>
      </c>
      <c r="P4" s="14">
        <v>637</v>
      </c>
      <c r="Q4" s="20">
        <v>808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43848</v>
      </c>
      <c r="B5" s="22" t="s">
        <v>21</v>
      </c>
      <c r="C5" s="22" t="s">
        <v>78</v>
      </c>
      <c r="D5" s="22" t="s">
        <v>23</v>
      </c>
      <c r="E5" s="14" t="str">
        <f>E3</f>
        <v>HALYC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9">
        <v>0.93819444444444444</v>
      </c>
      <c r="L5" s="28">
        <v>0.77430555555555547</v>
      </c>
      <c r="M5" s="29">
        <v>0.77638888888888891</v>
      </c>
      <c r="N5" s="22" t="s">
        <v>214</v>
      </c>
      <c r="O5" s="22" t="s">
        <v>159</v>
      </c>
      <c r="P5" s="22">
        <v>821</v>
      </c>
      <c r="Q5" s="20">
        <v>620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33">
        <v>43848</v>
      </c>
      <c r="B6" s="31" t="s">
        <v>21</v>
      </c>
      <c r="C6" s="31" t="s">
        <v>122</v>
      </c>
      <c r="D6" s="31" t="s">
        <v>23</v>
      </c>
      <c r="E6" s="31" t="s">
        <v>29</v>
      </c>
      <c r="F6" s="31" t="s">
        <v>208</v>
      </c>
      <c r="G6" s="31">
        <v>71500</v>
      </c>
      <c r="H6" s="31" t="s">
        <v>209</v>
      </c>
      <c r="I6" s="31" t="s">
        <v>127</v>
      </c>
      <c r="J6" s="35">
        <v>0.37847222222222227</v>
      </c>
      <c r="K6" s="29">
        <v>0.36458333333333331</v>
      </c>
      <c r="L6" s="35" t="s">
        <v>127</v>
      </c>
      <c r="M6" s="36" t="s">
        <v>127</v>
      </c>
      <c r="N6" s="22" t="s">
        <v>129</v>
      </c>
      <c r="O6" s="31" t="s">
        <v>127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</row>
    <row r="7" spans="1:21" x14ac:dyDescent="0.2">
      <c r="A7" s="21"/>
      <c r="B7" s="22"/>
      <c r="C7" s="39"/>
      <c r="D7" s="14"/>
      <c r="E7" s="39"/>
      <c r="F7" s="22"/>
      <c r="G7" s="40"/>
      <c r="H7" s="39"/>
      <c r="I7" s="39"/>
      <c r="J7" s="41"/>
      <c r="K7" s="28"/>
      <c r="L7" s="41"/>
      <c r="M7" s="19"/>
      <c r="O7" s="22"/>
      <c r="P7" s="22"/>
      <c r="Q7" s="22"/>
      <c r="R7" s="22"/>
      <c r="S7" s="22"/>
      <c r="T7" s="22"/>
      <c r="U7" s="22"/>
    </row>
    <row r="8" spans="1:21" x14ac:dyDescent="0.2">
      <c r="A8" s="21"/>
      <c r="B8" s="22"/>
      <c r="C8" s="22"/>
      <c r="D8" s="22"/>
      <c r="E8" s="14"/>
      <c r="F8" s="22"/>
      <c r="G8" s="40"/>
      <c r="H8" s="14"/>
      <c r="I8" s="14"/>
      <c r="J8" s="35"/>
      <c r="L8" s="35"/>
      <c r="M8" s="36"/>
      <c r="O8" s="22"/>
      <c r="P8" s="22"/>
      <c r="Q8" s="22"/>
      <c r="R8" s="22"/>
      <c r="S8" s="22"/>
      <c r="T8" s="22"/>
      <c r="U8" s="22"/>
    </row>
    <row r="9" spans="1:21" x14ac:dyDescent="0.2">
      <c r="A9" s="33"/>
      <c r="G9" s="34"/>
      <c r="J9" s="35"/>
    </row>
    <row r="10" spans="1:21" x14ac:dyDescent="0.2">
      <c r="A10" s="33"/>
      <c r="G10" s="34"/>
      <c r="J10" s="35"/>
    </row>
    <row r="11" spans="1:21" x14ac:dyDescent="0.2">
      <c r="A11" s="33"/>
      <c r="G11" s="34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N2" sqref="N2:N4"/>
    </sheetView>
  </sheetViews>
  <sheetFormatPr defaultRowHeight="15" x14ac:dyDescent="0.25"/>
  <cols>
    <col min="2" max="2" width="11.85546875" customWidth="1"/>
    <col min="3" max="3" width="15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43849</v>
      </c>
      <c r="B2" s="14" t="s">
        <v>21</v>
      </c>
      <c r="C2" s="14" t="s">
        <v>48</v>
      </c>
      <c r="D2" s="14" t="s">
        <v>23</v>
      </c>
      <c r="E2" s="14" t="s">
        <v>215</v>
      </c>
      <c r="F2" s="14" t="s">
        <v>24</v>
      </c>
      <c r="G2" s="32">
        <v>71500</v>
      </c>
      <c r="H2" s="14" t="s">
        <v>33</v>
      </c>
      <c r="I2" s="14" t="s">
        <v>34</v>
      </c>
      <c r="J2" s="18">
        <v>0.65972222222222221</v>
      </c>
      <c r="K2" s="29">
        <v>0.6645833333333333</v>
      </c>
      <c r="L2" s="18">
        <v>0.49305555555555558</v>
      </c>
      <c r="M2" s="19">
        <v>0.50208333333333333</v>
      </c>
      <c r="N2" s="22" t="s">
        <v>223</v>
      </c>
      <c r="O2" s="20" t="s">
        <v>224</v>
      </c>
      <c r="P2" s="20">
        <v>1183</v>
      </c>
      <c r="Q2" s="20">
        <v>1041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43849</v>
      </c>
      <c r="B3" s="14" t="s">
        <v>21</v>
      </c>
      <c r="C3" s="14" t="s">
        <v>49</v>
      </c>
      <c r="D3" s="14" t="s">
        <v>23</v>
      </c>
      <c r="E3" s="14" t="s">
        <v>216</v>
      </c>
      <c r="F3" s="14" t="s">
        <v>24</v>
      </c>
      <c r="G3" s="32">
        <v>71500</v>
      </c>
      <c r="H3" s="14" t="s">
        <v>27</v>
      </c>
      <c r="I3" s="14" t="s">
        <v>28</v>
      </c>
      <c r="J3" s="18">
        <v>0.77083333333333337</v>
      </c>
      <c r="K3" s="29">
        <v>0.75624999999999998</v>
      </c>
      <c r="L3" s="18">
        <v>0.53819444444444442</v>
      </c>
      <c r="M3" s="19">
        <v>0.54027777777777775</v>
      </c>
      <c r="N3" s="22" t="s">
        <v>225</v>
      </c>
      <c r="O3" s="20" t="s">
        <v>159</v>
      </c>
      <c r="P3" s="14">
        <v>1135</v>
      </c>
      <c r="Q3" s="20">
        <v>1220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43849</v>
      </c>
      <c r="B4" s="14" t="s">
        <v>21</v>
      </c>
      <c r="C4" s="22" t="s">
        <v>50</v>
      </c>
      <c r="D4" s="22" t="s">
        <v>23</v>
      </c>
      <c r="E4" s="14" t="str">
        <f>E2</f>
        <v>HA-LWJ</v>
      </c>
      <c r="F4" s="22" t="s">
        <v>24</v>
      </c>
      <c r="G4" s="32">
        <f>G2</f>
        <v>71500</v>
      </c>
      <c r="H4" s="22" t="s">
        <v>35</v>
      </c>
      <c r="I4" s="22" t="s">
        <v>36</v>
      </c>
      <c r="J4" s="28">
        <v>0.86805555555555547</v>
      </c>
      <c r="K4" s="29">
        <v>0.88402777777777775</v>
      </c>
      <c r="L4" s="28">
        <v>0.68055555555555547</v>
      </c>
      <c r="M4" s="29">
        <v>0.70347222222222217</v>
      </c>
      <c r="N4" s="22" t="s">
        <v>226</v>
      </c>
      <c r="O4" s="22" t="s">
        <v>156</v>
      </c>
      <c r="P4" s="22">
        <v>1053</v>
      </c>
      <c r="Q4" s="20">
        <v>866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">
        <f>A4</f>
        <v>43849</v>
      </c>
      <c r="B5" s="14" t="s">
        <v>21</v>
      </c>
      <c r="C5" s="22" t="s">
        <v>217</v>
      </c>
      <c r="D5" s="22" t="s">
        <v>23</v>
      </c>
      <c r="E5" s="14" t="s">
        <v>218</v>
      </c>
      <c r="F5" s="22" t="s">
        <v>219</v>
      </c>
      <c r="G5" s="32">
        <f>G3</f>
        <v>71500</v>
      </c>
      <c r="H5" s="22" t="s">
        <v>220</v>
      </c>
      <c r="I5" s="22" t="s">
        <v>221</v>
      </c>
      <c r="J5" s="28">
        <v>0.55555555555555558</v>
      </c>
      <c r="K5" s="29">
        <v>0.5493055555555556</v>
      </c>
      <c r="L5" s="28">
        <v>0.59722222222222221</v>
      </c>
      <c r="M5" s="29">
        <v>0.59861111111111109</v>
      </c>
      <c r="N5" s="22" t="s">
        <v>222</v>
      </c>
      <c r="O5" s="22">
        <v>0</v>
      </c>
      <c r="P5" s="22">
        <v>638</v>
      </c>
      <c r="Q5" s="20">
        <v>0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5">
      <c r="A6" s="2"/>
      <c r="B6" s="8"/>
      <c r="C6" s="8"/>
      <c r="D6" s="8"/>
      <c r="E6" s="3"/>
      <c r="F6" s="8"/>
      <c r="G6" s="9"/>
      <c r="H6" s="8"/>
      <c r="I6" s="8"/>
      <c r="J6" s="36"/>
      <c r="K6" s="36"/>
      <c r="L6" s="36"/>
      <c r="M6" s="25"/>
      <c r="N6" s="49"/>
      <c r="O6" s="49"/>
      <c r="P6" s="49"/>
      <c r="Q6" s="49"/>
      <c r="R6" s="8"/>
      <c r="S6" s="8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6"/>
  <sheetViews>
    <sheetView topLeftCell="C1" workbookViewId="0">
      <selection activeCell="N2" sqref="N2:N5"/>
    </sheetView>
  </sheetViews>
  <sheetFormatPr defaultRowHeight="12.75" x14ac:dyDescent="0.2"/>
  <cols>
    <col min="1" max="1" width="9.140625" style="31"/>
    <col min="2" max="2" width="14.140625" style="31" bestFit="1" customWidth="1"/>
    <col min="3" max="3" width="15" style="31" customWidth="1"/>
    <col min="4" max="4" width="9.140625" style="31"/>
    <col min="5" max="5" width="15.7109375" style="31" customWidth="1"/>
    <col min="6" max="6" width="23.42578125" style="31" customWidth="1"/>
    <col min="7" max="9" width="9.140625" style="31"/>
    <col min="10" max="10" width="11" style="31" customWidth="1"/>
    <col min="11" max="11" width="12.28515625" style="31" customWidth="1"/>
    <col min="12" max="12" width="11.85546875" style="31" customWidth="1"/>
    <col min="13" max="13" width="13.42578125" style="31" customWidth="1"/>
    <col min="14" max="14" width="19.140625" style="31" customWidth="1"/>
    <col min="15" max="15" width="18.140625" style="31" customWidth="1"/>
    <col min="16" max="16384" width="9.140625" style="31"/>
  </cols>
  <sheetData>
    <row r="1" spans="1:21" s="37" customFormat="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s="37" customFormat="1" x14ac:dyDescent="0.25">
      <c r="A2" s="21">
        <v>43850</v>
      </c>
      <c r="B2" s="14" t="s">
        <v>21</v>
      </c>
      <c r="C2" s="14" t="s">
        <v>22</v>
      </c>
      <c r="D2" s="14" t="s">
        <v>23</v>
      </c>
      <c r="E2" s="14" t="s">
        <v>99</v>
      </c>
      <c r="F2" s="14" t="s">
        <v>24</v>
      </c>
      <c r="G2" s="32">
        <f>G3</f>
        <v>71500</v>
      </c>
      <c r="H2" s="14" t="s">
        <v>25</v>
      </c>
      <c r="I2" s="14" t="s">
        <v>26</v>
      </c>
      <c r="J2" s="18">
        <v>0.46180555555555558</v>
      </c>
      <c r="K2" s="24">
        <v>0.4597222222222222</v>
      </c>
      <c r="L2" s="18">
        <v>0.25694444444444448</v>
      </c>
      <c r="M2" s="24">
        <v>0.26041666666666669</v>
      </c>
      <c r="N2" s="22" t="s">
        <v>233</v>
      </c>
      <c r="O2" s="20" t="s">
        <v>98</v>
      </c>
      <c r="P2" s="20">
        <v>908</v>
      </c>
      <c r="Q2" s="20">
        <v>820</v>
      </c>
      <c r="R2" s="14">
        <v>0</v>
      </c>
      <c r="S2" s="14">
        <v>0</v>
      </c>
      <c r="T2" s="14">
        <v>0</v>
      </c>
      <c r="U2" s="14">
        <v>0</v>
      </c>
    </row>
    <row r="3" spans="1:21" s="37" customFormat="1" x14ac:dyDescent="0.2">
      <c r="A3" s="21">
        <f>A2</f>
        <v>43850</v>
      </c>
      <c r="B3" s="14" t="s">
        <v>21</v>
      </c>
      <c r="C3" s="14" t="s">
        <v>30</v>
      </c>
      <c r="D3" s="14" t="s">
        <v>23</v>
      </c>
      <c r="E3" s="14" t="s">
        <v>29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36">
        <v>0.49861111111111112</v>
      </c>
      <c r="L3" s="18">
        <v>0.30208333333333331</v>
      </c>
      <c r="M3" s="24">
        <v>0.30972222222222223</v>
      </c>
      <c r="N3" s="22" t="s">
        <v>234</v>
      </c>
      <c r="O3" s="20" t="s">
        <v>232</v>
      </c>
      <c r="P3" s="14">
        <v>581</v>
      </c>
      <c r="Q3" s="20">
        <v>883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x14ac:dyDescent="0.2">
      <c r="A4" s="21">
        <f>A3</f>
        <v>43850</v>
      </c>
      <c r="B4" s="22" t="s">
        <v>21</v>
      </c>
      <c r="C4" s="22" t="s">
        <v>60</v>
      </c>
      <c r="D4" s="22" t="s">
        <v>23</v>
      </c>
      <c r="E4" s="14" t="s">
        <v>29</v>
      </c>
      <c r="F4" s="22" t="s">
        <v>24</v>
      </c>
      <c r="G4" s="32">
        <v>71500</v>
      </c>
      <c r="H4" s="22" t="s">
        <v>61</v>
      </c>
      <c r="I4" s="22" t="s">
        <v>62</v>
      </c>
      <c r="J4" s="28">
        <v>0.68055555555555547</v>
      </c>
      <c r="K4" s="36">
        <v>0.67361111111111116</v>
      </c>
      <c r="L4" s="28">
        <v>0.52777777777777779</v>
      </c>
      <c r="M4" s="36">
        <v>0.53611111111111109</v>
      </c>
      <c r="N4" s="22" t="s">
        <v>236</v>
      </c>
      <c r="O4" s="22" t="s">
        <v>235</v>
      </c>
      <c r="P4" s="22">
        <v>408</v>
      </c>
      <c r="Q4" s="20">
        <v>592</v>
      </c>
      <c r="R4" s="22">
        <v>0</v>
      </c>
      <c r="S4" s="22">
        <v>0</v>
      </c>
      <c r="T4" s="22">
        <v>0</v>
      </c>
      <c r="U4" s="22">
        <v>0</v>
      </c>
    </row>
    <row r="5" spans="1:21" s="37" customFormat="1" x14ac:dyDescent="0.2">
      <c r="A5" s="21">
        <f>A4</f>
        <v>43850</v>
      </c>
      <c r="B5" s="22" t="s">
        <v>21</v>
      </c>
      <c r="C5" s="22" t="s">
        <v>63</v>
      </c>
      <c r="D5" s="22" t="s">
        <v>23</v>
      </c>
      <c r="E5" s="14" t="s">
        <v>99</v>
      </c>
      <c r="F5" s="22" t="s">
        <v>24</v>
      </c>
      <c r="G5" s="32">
        <f>G4</f>
        <v>71500</v>
      </c>
      <c r="H5" s="14" t="s">
        <v>64</v>
      </c>
      <c r="I5" s="14" t="s">
        <v>65</v>
      </c>
      <c r="J5" s="35">
        <v>0.91319444444444453</v>
      </c>
      <c r="K5" s="36">
        <v>0.90069444444444446</v>
      </c>
      <c r="L5" s="35">
        <v>0.69097222222222221</v>
      </c>
      <c r="M5" s="36">
        <v>0.68680555555555556</v>
      </c>
      <c r="N5" s="22" t="s">
        <v>238</v>
      </c>
      <c r="O5" s="31" t="s">
        <v>237</v>
      </c>
      <c r="P5" s="31">
        <v>471</v>
      </c>
      <c r="Q5" s="20">
        <v>405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21">
        <f>A5</f>
        <v>43850</v>
      </c>
      <c r="B6" s="22" t="s">
        <v>227</v>
      </c>
      <c r="C6" s="22" t="s">
        <v>228</v>
      </c>
      <c r="D6" s="22" t="s">
        <v>229</v>
      </c>
      <c r="E6" s="14" t="s">
        <v>230</v>
      </c>
      <c r="F6" s="22" t="s">
        <v>231</v>
      </c>
      <c r="G6" s="32">
        <v>990</v>
      </c>
      <c r="H6" s="22" t="s">
        <v>230</v>
      </c>
      <c r="I6" s="22" t="s">
        <v>230</v>
      </c>
      <c r="J6" s="28">
        <v>0.4375</v>
      </c>
      <c r="K6" s="29">
        <v>0.46736111111111112</v>
      </c>
      <c r="L6" s="28">
        <v>0.54166666666666663</v>
      </c>
      <c r="M6" s="29">
        <v>0.50138888888888888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N2" sqref="N2:N4"/>
    </sheetView>
  </sheetViews>
  <sheetFormatPr defaultRowHeight="12.75" x14ac:dyDescent="0.2"/>
  <cols>
    <col min="1" max="1" width="10.140625" style="31" bestFit="1" customWidth="1"/>
    <col min="2" max="2" width="17.42578125" style="31" bestFit="1" customWidth="1"/>
    <col min="3" max="3" width="18.5703125" style="31" customWidth="1"/>
    <col min="4" max="4" width="9.140625" style="3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17" style="22" customWidth="1"/>
    <col min="15" max="15" width="17.140625" style="31" customWidth="1"/>
    <col min="16" max="16384" width="9.140625" style="31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customFormat="1" ht="15" x14ac:dyDescent="0.25">
      <c r="A2" s="21">
        <v>43851</v>
      </c>
      <c r="B2" s="14" t="s">
        <v>21</v>
      </c>
      <c r="C2" s="14" t="s">
        <v>51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0.50624999999999998</v>
      </c>
      <c r="L2" s="18">
        <v>0.32291666666666669</v>
      </c>
      <c r="M2" s="19">
        <v>0.3298611111111111</v>
      </c>
      <c r="N2" s="22" t="s">
        <v>239</v>
      </c>
      <c r="O2" s="20" t="s">
        <v>240</v>
      </c>
      <c r="P2" s="20">
        <v>824</v>
      </c>
      <c r="Q2" s="20">
        <v>503</v>
      </c>
      <c r="R2" s="14">
        <v>0</v>
      </c>
      <c r="S2" s="14">
        <v>0</v>
      </c>
      <c r="T2" s="14">
        <v>0</v>
      </c>
      <c r="U2" s="14">
        <v>0</v>
      </c>
    </row>
    <row r="3" spans="1:21" customFormat="1" ht="15" x14ac:dyDescent="0.25">
      <c r="A3" s="21">
        <f>A2</f>
        <v>43851</v>
      </c>
      <c r="B3" s="14" t="s">
        <v>21</v>
      </c>
      <c r="C3" s="14" t="s">
        <v>56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0.78055555555555556</v>
      </c>
      <c r="L3" s="18">
        <v>0.5</v>
      </c>
      <c r="M3" s="19">
        <v>0.55833333333333335</v>
      </c>
      <c r="N3" s="22" t="s">
        <v>242</v>
      </c>
      <c r="O3" s="20" t="s">
        <v>91</v>
      </c>
      <c r="P3" s="31">
        <v>682</v>
      </c>
      <c r="Q3" s="20">
        <v>624</v>
      </c>
      <c r="R3" s="14">
        <v>0</v>
      </c>
      <c r="S3" s="14">
        <v>0</v>
      </c>
      <c r="T3" s="14">
        <v>0</v>
      </c>
      <c r="U3" s="14">
        <v>0</v>
      </c>
    </row>
    <row r="4" spans="1:21" customFormat="1" ht="15" x14ac:dyDescent="0.25">
      <c r="A4" s="21">
        <f t="shared" ref="A4:A5" si="0">A3</f>
        <v>43851</v>
      </c>
      <c r="B4" s="22" t="s">
        <v>21</v>
      </c>
      <c r="C4" s="22" t="s">
        <v>53</v>
      </c>
      <c r="D4" s="22" t="s">
        <v>23</v>
      </c>
      <c r="E4" s="14" t="s">
        <v>29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0.67361111111111116</v>
      </c>
      <c r="L4" s="35">
        <v>0.52777777777777779</v>
      </c>
      <c r="M4" s="36">
        <v>0.54305555555555551</v>
      </c>
      <c r="N4" s="22" t="s">
        <v>243</v>
      </c>
      <c r="O4" s="31" t="s">
        <v>241</v>
      </c>
      <c r="P4" s="14">
        <v>811</v>
      </c>
      <c r="Q4" s="20">
        <v>641</v>
      </c>
      <c r="R4" s="22">
        <v>0</v>
      </c>
      <c r="S4" s="22">
        <v>0</v>
      </c>
      <c r="T4" s="22">
        <v>0</v>
      </c>
      <c r="U4" s="22">
        <v>0</v>
      </c>
    </row>
    <row r="5" spans="1:21" customFormat="1" ht="15" x14ac:dyDescent="0.25">
      <c r="A5" s="21">
        <f t="shared" si="0"/>
        <v>43851</v>
      </c>
      <c r="B5" s="22" t="s">
        <v>21</v>
      </c>
      <c r="C5" s="22" t="s">
        <v>78</v>
      </c>
      <c r="D5" s="22" t="s">
        <v>23</v>
      </c>
      <c r="E5" s="14" t="s">
        <v>99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2" t="s">
        <v>162</v>
      </c>
      <c r="L5" s="28">
        <v>0.77430555555555547</v>
      </c>
      <c r="M5" s="29">
        <v>0.81319444444444444</v>
      </c>
      <c r="N5" s="22" t="s">
        <v>127</v>
      </c>
      <c r="O5" s="22" t="s">
        <v>244</v>
      </c>
      <c r="P5" s="22" t="s">
        <v>127</v>
      </c>
      <c r="Q5" s="20">
        <v>564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33"/>
      <c r="J6" s="35"/>
      <c r="L6" s="35"/>
      <c r="M6" s="36"/>
    </row>
    <row r="7" spans="1:21" x14ac:dyDescent="0.2">
      <c r="A7" s="21"/>
      <c r="B7" s="22"/>
      <c r="C7" s="39"/>
      <c r="D7" s="14"/>
      <c r="E7" s="39"/>
      <c r="F7" s="22"/>
      <c r="G7" s="40"/>
      <c r="H7" s="39"/>
      <c r="I7" s="39"/>
      <c r="J7" s="41"/>
      <c r="K7" s="28"/>
      <c r="L7" s="41"/>
      <c r="M7" s="19"/>
      <c r="O7" s="22"/>
      <c r="P7" s="22"/>
      <c r="Q7" s="22"/>
      <c r="R7" s="22"/>
      <c r="S7" s="22"/>
      <c r="T7" s="22"/>
      <c r="U7" s="22"/>
    </row>
    <row r="8" spans="1:21" x14ac:dyDescent="0.2">
      <c r="A8" s="21"/>
      <c r="B8" s="22"/>
      <c r="C8" s="22"/>
      <c r="D8" s="22"/>
      <c r="E8" s="14"/>
      <c r="F8" s="22"/>
      <c r="G8" s="40"/>
      <c r="H8" s="14"/>
      <c r="I8" s="14"/>
      <c r="J8" s="35"/>
      <c r="L8" s="35"/>
      <c r="M8" s="36"/>
      <c r="O8" s="22"/>
      <c r="P8" s="22"/>
      <c r="Q8" s="22"/>
      <c r="R8" s="22"/>
      <c r="S8" s="22"/>
      <c r="T8" s="22"/>
      <c r="U8" s="22"/>
    </row>
    <row r="9" spans="1:21" x14ac:dyDescent="0.2">
      <c r="A9" s="33"/>
      <c r="G9" s="34"/>
      <c r="J9" s="35"/>
    </row>
    <row r="10" spans="1:21" x14ac:dyDescent="0.2">
      <c r="A10" s="33"/>
      <c r="G10" s="34"/>
      <c r="J10" s="35"/>
    </row>
    <row r="11" spans="1:21" x14ac:dyDescent="0.2">
      <c r="A11" s="33"/>
      <c r="G11" s="34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6"/>
  <sheetViews>
    <sheetView workbookViewId="0">
      <selection activeCell="N2" sqref="N2:N4"/>
    </sheetView>
  </sheetViews>
  <sheetFormatPr defaultRowHeight="15" x14ac:dyDescent="0.25"/>
  <cols>
    <col min="2" max="2" width="9.140625" bestFit="1" customWidth="1"/>
    <col min="3" max="3" width="19" customWidth="1"/>
    <col min="5" max="5" width="7.140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43852</v>
      </c>
      <c r="B2" s="14" t="s">
        <v>21</v>
      </c>
      <c r="C2" s="14" t="s">
        <v>22</v>
      </c>
      <c r="D2" s="14" t="s">
        <v>23</v>
      </c>
      <c r="E2" s="14" t="s">
        <v>29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0.46666666666666662</v>
      </c>
      <c r="L2" s="18">
        <v>0.25694444444444448</v>
      </c>
      <c r="M2" s="19">
        <v>0.29305555555555557</v>
      </c>
      <c r="N2" s="22" t="s">
        <v>248</v>
      </c>
      <c r="O2" s="20" t="s">
        <v>246</v>
      </c>
      <c r="P2" s="20">
        <v>815</v>
      </c>
      <c r="Q2" s="20">
        <v>607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43852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0.59861111111111109</v>
      </c>
      <c r="L3" s="18">
        <v>0.30208333333333331</v>
      </c>
      <c r="M3" s="19">
        <v>0.4201388888888889</v>
      </c>
      <c r="N3" s="22" t="s">
        <v>250</v>
      </c>
      <c r="O3" s="20" t="s">
        <v>247</v>
      </c>
      <c r="P3" s="14">
        <v>604</v>
      </c>
      <c r="Q3" s="20">
        <v>1047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43852</v>
      </c>
      <c r="B4" s="14" t="s">
        <v>21</v>
      </c>
      <c r="C4" s="14" t="s">
        <v>48</v>
      </c>
      <c r="D4" s="14" t="s">
        <v>23</v>
      </c>
      <c r="E4" s="14" t="s">
        <v>29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0.65625</v>
      </c>
      <c r="L4" s="18">
        <v>0.49305555555555558</v>
      </c>
      <c r="M4" s="19">
        <v>0.50486111111111109</v>
      </c>
      <c r="N4" s="22" t="s">
        <v>251</v>
      </c>
      <c r="O4" s="20" t="s">
        <v>249</v>
      </c>
      <c r="P4" s="20">
        <v>808</v>
      </c>
      <c r="Q4" s="20">
        <v>750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21">
        <f>A4</f>
        <v>43852</v>
      </c>
      <c r="B5" s="14" t="s">
        <v>21</v>
      </c>
      <c r="C5" s="8" t="s">
        <v>122</v>
      </c>
      <c r="D5" s="14" t="s">
        <v>23</v>
      </c>
      <c r="E5" s="14" t="s">
        <v>99</v>
      </c>
      <c r="F5" s="8" t="s">
        <v>208</v>
      </c>
      <c r="G5" s="4">
        <v>71500</v>
      </c>
      <c r="H5" s="8" t="s">
        <v>245</v>
      </c>
      <c r="I5" s="8" t="s">
        <v>127</v>
      </c>
      <c r="J5" s="12">
        <v>0.27083333333333331</v>
      </c>
      <c r="K5" s="13">
        <v>0.3840277777777778</v>
      </c>
      <c r="L5" s="12" t="s">
        <v>127</v>
      </c>
      <c r="M5" s="12" t="s">
        <v>127</v>
      </c>
      <c r="N5" s="12" t="s">
        <v>127</v>
      </c>
      <c r="O5" s="12" t="s">
        <v>127</v>
      </c>
      <c r="P5" s="12" t="s">
        <v>127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</row>
    <row r="6" spans="1:21" s="13" customFormat="1" ht="12.75" x14ac:dyDescent="0.25">
      <c r="A6" s="2"/>
      <c r="G6" s="4"/>
      <c r="N6" s="3"/>
      <c r="O6" s="3"/>
      <c r="P6" s="3"/>
      <c r="Q6" s="3"/>
      <c r="R6" s="3"/>
      <c r="S6" s="3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N2" sqref="N2:N3"/>
    </sheetView>
  </sheetViews>
  <sheetFormatPr defaultRowHeight="15" x14ac:dyDescent="0.25"/>
  <cols>
    <col min="2" max="2" width="11.28515625" customWidth="1"/>
    <col min="3" max="3" width="12.7109375" customWidth="1"/>
    <col min="5" max="5" width="14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43853</v>
      </c>
      <c r="B2" s="3" t="s">
        <v>21</v>
      </c>
      <c r="C2" s="3" t="s">
        <v>49</v>
      </c>
      <c r="D2" s="3" t="s">
        <v>23</v>
      </c>
      <c r="E2" s="3" t="s">
        <v>99</v>
      </c>
      <c r="F2" s="3" t="s">
        <v>24</v>
      </c>
      <c r="G2" s="4">
        <v>71500</v>
      </c>
      <c r="H2" s="3" t="s">
        <v>27</v>
      </c>
      <c r="I2" s="3" t="s">
        <v>28</v>
      </c>
      <c r="J2" s="5">
        <v>0.65972222222222221</v>
      </c>
      <c r="K2" s="6">
        <v>0.67152777777777783</v>
      </c>
      <c r="L2" s="5">
        <v>0.42708333333333331</v>
      </c>
      <c r="M2" s="6">
        <v>0.44513888888888892</v>
      </c>
      <c r="N2" s="6" t="s">
        <v>177</v>
      </c>
      <c r="O2" s="6" t="s">
        <v>79</v>
      </c>
      <c r="P2" s="7">
        <v>991</v>
      </c>
      <c r="Q2" s="7">
        <v>975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43853</v>
      </c>
      <c r="B3" s="3" t="s">
        <v>21</v>
      </c>
      <c r="C3" s="3" t="s">
        <v>50</v>
      </c>
      <c r="D3" s="3" t="s">
        <v>23</v>
      </c>
      <c r="E3" s="3" t="str">
        <f>E2</f>
        <v>HALWJ</v>
      </c>
      <c r="F3" s="3" t="s">
        <v>24</v>
      </c>
      <c r="G3" s="4">
        <v>71500</v>
      </c>
      <c r="H3" s="3" t="s">
        <v>35</v>
      </c>
      <c r="I3" s="3" t="s">
        <v>36</v>
      </c>
      <c r="J3" s="5">
        <v>0.86805555555555547</v>
      </c>
      <c r="K3" s="6">
        <v>0.89236111111111116</v>
      </c>
      <c r="L3" s="5">
        <v>0.68055555555555547</v>
      </c>
      <c r="M3" s="6">
        <v>0.70972222222222225</v>
      </c>
      <c r="N3" s="6" t="s">
        <v>253</v>
      </c>
      <c r="O3" s="6" t="s">
        <v>252</v>
      </c>
      <c r="P3" s="7">
        <v>750</v>
      </c>
      <c r="Q3" s="7">
        <v>870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8"/>
      <c r="C4" s="8"/>
      <c r="D4" s="8"/>
      <c r="E4" s="3"/>
      <c r="F4" s="8"/>
      <c r="G4" s="4"/>
      <c r="H4" s="8"/>
      <c r="I4" s="8"/>
      <c r="J4" s="10"/>
      <c r="K4" s="11"/>
      <c r="L4" s="10"/>
      <c r="M4" s="11"/>
      <c r="N4" s="7"/>
      <c r="O4" s="7"/>
      <c r="P4" s="3"/>
      <c r="Q4" s="7"/>
      <c r="R4" s="8"/>
      <c r="S4" s="8"/>
      <c r="T4" s="8"/>
      <c r="U4" s="8"/>
    </row>
    <row r="5" spans="1:21" x14ac:dyDescent="0.25">
      <c r="A5" s="2"/>
      <c r="B5" s="8"/>
      <c r="C5" s="8"/>
      <c r="D5" s="8"/>
      <c r="E5" s="3"/>
      <c r="F5" s="8"/>
      <c r="G5" s="4"/>
      <c r="H5" s="8"/>
      <c r="I5" s="8"/>
      <c r="J5" s="12"/>
      <c r="K5" s="13"/>
      <c r="L5" s="12"/>
      <c r="M5" s="13"/>
      <c r="N5" s="13"/>
      <c r="O5" s="7"/>
      <c r="P5" s="3"/>
      <c r="Q5" s="7"/>
      <c r="R5" s="8"/>
      <c r="S5" s="8"/>
      <c r="T5" s="8"/>
      <c r="U5" s="8"/>
    </row>
    <row r="6" spans="1:21" x14ac:dyDescent="0.25">
      <c r="A6" s="44"/>
      <c r="B6" s="8"/>
      <c r="C6" s="8"/>
      <c r="D6" s="8"/>
      <c r="E6" s="15"/>
      <c r="F6" s="8"/>
      <c r="G6" s="16"/>
      <c r="H6" s="8"/>
      <c r="I6" s="8"/>
      <c r="J6" s="23"/>
      <c r="K6" s="24"/>
      <c r="L6" s="23"/>
      <c r="M6" s="24"/>
      <c r="N6" s="8"/>
      <c r="O6" s="8"/>
      <c r="P6" s="8"/>
      <c r="Q6" s="8"/>
      <c r="R6" s="8"/>
      <c r="S6" s="8"/>
      <c r="T6" s="8"/>
      <c r="U6" s="8"/>
    </row>
    <row r="7" spans="1:21" x14ac:dyDescent="0.25">
      <c r="A7" s="44"/>
      <c r="B7" s="46"/>
      <c r="C7" s="46"/>
      <c r="D7" s="46"/>
      <c r="E7" s="15"/>
      <c r="F7" s="46"/>
      <c r="G7" s="40"/>
      <c r="H7" s="46"/>
      <c r="I7" s="15"/>
      <c r="J7" s="47"/>
      <c r="K7" s="48"/>
      <c r="L7" s="17"/>
      <c r="M7" s="24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2" sqref="N2:N6"/>
    </sheetView>
  </sheetViews>
  <sheetFormatPr defaultRowHeight="15" x14ac:dyDescent="0.25"/>
  <cols>
    <col min="1" max="1" width="9.140625" style="55"/>
    <col min="2" max="2" width="20.5703125" style="55" customWidth="1"/>
    <col min="3" max="3" width="12.85546875" style="55" bestFit="1" customWidth="1"/>
    <col min="4" max="4" width="9.140625" style="55"/>
    <col min="5" max="5" width="15.140625" style="55" bestFit="1" customWidth="1"/>
    <col min="6" max="6" width="12.140625" style="55" bestFit="1" customWidth="1"/>
    <col min="7" max="9" width="9.7109375" style="55" bestFit="1" customWidth="1"/>
    <col min="10" max="10" width="11" style="55" bestFit="1" customWidth="1"/>
    <col min="11" max="11" width="10.85546875" style="55" bestFit="1" customWidth="1"/>
    <col min="12" max="12" width="11" style="55" bestFit="1" customWidth="1"/>
    <col min="13" max="13" width="10.85546875" style="55" bestFit="1" customWidth="1"/>
    <col min="14" max="15" width="18.42578125" style="55" bestFit="1" customWidth="1"/>
    <col min="16" max="17" width="10.28515625" style="55" bestFit="1" customWidth="1"/>
    <col min="18" max="18" width="9.42578125" style="55" bestFit="1" customWidth="1"/>
    <col min="19" max="16384" width="9.140625" style="55"/>
  </cols>
  <sheetData>
    <row r="1" spans="1:21" s="37" customFormat="1" ht="12.7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21">
        <v>43854</v>
      </c>
      <c r="B2" s="14" t="s">
        <v>21</v>
      </c>
      <c r="C2" s="14" t="s">
        <v>22</v>
      </c>
      <c r="D2" s="14" t="s">
        <v>23</v>
      </c>
      <c r="E2" s="14" t="s">
        <v>254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0.4826388888888889</v>
      </c>
      <c r="L2" s="18">
        <v>0.25694444444444448</v>
      </c>
      <c r="M2" s="19">
        <v>0.29652777777777778</v>
      </c>
      <c r="N2" s="22" t="s">
        <v>257</v>
      </c>
      <c r="O2" s="20" t="s">
        <v>256</v>
      </c>
      <c r="P2" s="20">
        <v>1047</v>
      </c>
      <c r="Q2" s="20">
        <v>806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 t="shared" ref="A3:A6" si="0">A2</f>
        <v>43854</v>
      </c>
      <c r="B3" s="14" t="s">
        <v>21</v>
      </c>
      <c r="C3" s="14" t="s">
        <v>30</v>
      </c>
      <c r="D3" s="14" t="s">
        <v>23</v>
      </c>
      <c r="E3" s="14" t="s">
        <v>99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0.51458333333333328</v>
      </c>
      <c r="L3" s="18">
        <v>0.30208333333333331</v>
      </c>
      <c r="M3" s="19">
        <v>0.32708333333333334</v>
      </c>
      <c r="N3" s="22" t="s">
        <v>258</v>
      </c>
      <c r="O3" s="20" t="s">
        <v>155</v>
      </c>
      <c r="P3" s="14">
        <v>635</v>
      </c>
      <c r="Q3" s="20">
        <v>750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 t="shared" si="0"/>
        <v>43854</v>
      </c>
      <c r="B4" s="22" t="s">
        <v>21</v>
      </c>
      <c r="C4" s="22" t="s">
        <v>48</v>
      </c>
      <c r="D4" s="22" t="s">
        <v>23</v>
      </c>
      <c r="E4" s="14" t="s">
        <v>255</v>
      </c>
      <c r="F4" s="22" t="s">
        <v>24</v>
      </c>
      <c r="G4" s="32">
        <v>71500</v>
      </c>
      <c r="H4" s="14" t="s">
        <v>33</v>
      </c>
      <c r="I4" s="14" t="s">
        <v>34</v>
      </c>
      <c r="J4" s="23">
        <v>0.65972222222222221</v>
      </c>
      <c r="K4" s="29">
        <v>0.66805555555555562</v>
      </c>
      <c r="L4" s="23">
        <v>0.49305555555555558</v>
      </c>
      <c r="M4" s="24">
        <v>0.5180555555555556</v>
      </c>
      <c r="N4" s="22" t="s">
        <v>261</v>
      </c>
      <c r="O4" s="37" t="s">
        <v>259</v>
      </c>
      <c r="P4" s="37">
        <v>508</v>
      </c>
      <c r="Q4" s="20">
        <v>709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 t="shared" si="0"/>
        <v>43854</v>
      </c>
      <c r="B5" s="22" t="s">
        <v>21</v>
      </c>
      <c r="C5" s="22" t="s">
        <v>60</v>
      </c>
      <c r="D5" s="22" t="s">
        <v>23</v>
      </c>
      <c r="E5" s="14" t="s">
        <v>99</v>
      </c>
      <c r="F5" s="22" t="s">
        <v>24</v>
      </c>
      <c r="G5" s="32">
        <v>71500</v>
      </c>
      <c r="H5" s="22" t="s">
        <v>61</v>
      </c>
      <c r="I5" s="22" t="s">
        <v>62</v>
      </c>
      <c r="J5" s="28">
        <v>0.68055555555555547</v>
      </c>
      <c r="K5" s="29">
        <v>0.68541666666666667</v>
      </c>
      <c r="L5" s="28">
        <v>0.52777777777777779</v>
      </c>
      <c r="M5" s="29">
        <v>0.54999999999999993</v>
      </c>
      <c r="N5" s="22" t="s">
        <v>262</v>
      </c>
      <c r="O5" s="22" t="s">
        <v>260</v>
      </c>
      <c r="P5" s="22">
        <v>443</v>
      </c>
      <c r="Q5" s="20">
        <v>602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5">
      <c r="A6" s="21">
        <f t="shared" si="0"/>
        <v>43854</v>
      </c>
      <c r="B6" s="22" t="s">
        <v>21</v>
      </c>
      <c r="C6" s="22" t="s">
        <v>63</v>
      </c>
      <c r="D6" s="22" t="s">
        <v>23</v>
      </c>
      <c r="E6" s="14" t="str">
        <f>E4</f>
        <v>HALWG</v>
      </c>
      <c r="F6" s="22" t="s">
        <v>24</v>
      </c>
      <c r="G6" s="32">
        <v>71500</v>
      </c>
      <c r="H6" s="14" t="s">
        <v>64</v>
      </c>
      <c r="I6" s="14" t="s">
        <v>65</v>
      </c>
      <c r="J6" s="23">
        <v>0.91319444444444453</v>
      </c>
      <c r="K6" s="29">
        <v>0.90833333333333333</v>
      </c>
      <c r="L6" s="23">
        <v>0.69097222222222221</v>
      </c>
      <c r="M6" s="24">
        <v>0.70694444444444438</v>
      </c>
      <c r="N6" s="22" t="s">
        <v>270</v>
      </c>
      <c r="O6" s="37" t="s">
        <v>269</v>
      </c>
      <c r="P6" s="37">
        <v>587</v>
      </c>
      <c r="Q6" s="20">
        <v>658</v>
      </c>
      <c r="R6" s="22">
        <v>0</v>
      </c>
      <c r="S6" s="22">
        <v>0</v>
      </c>
      <c r="T6" s="22">
        <v>0</v>
      </c>
      <c r="U6" s="22">
        <v>0</v>
      </c>
    </row>
    <row r="7" spans="1:21" x14ac:dyDescent="0.25">
      <c r="A7" s="56">
        <f>A6</f>
        <v>43854</v>
      </c>
      <c r="B7" s="37" t="s">
        <v>263</v>
      </c>
      <c r="C7" s="37" t="s">
        <v>264</v>
      </c>
      <c r="D7" s="37" t="s">
        <v>265</v>
      </c>
      <c r="E7" s="37" t="s">
        <v>266</v>
      </c>
      <c r="F7" s="37" t="s">
        <v>267</v>
      </c>
      <c r="G7" s="37">
        <v>2850</v>
      </c>
      <c r="H7" s="37" t="str">
        <f>E7</f>
        <v>S5-HDM</v>
      </c>
      <c r="I7" s="37" t="str">
        <f>H7</f>
        <v>S5-HDM</v>
      </c>
      <c r="J7" s="23">
        <v>0.59027777777777779</v>
      </c>
      <c r="K7" s="24">
        <v>0.59375</v>
      </c>
      <c r="L7" s="23">
        <v>0.625</v>
      </c>
      <c r="M7" s="24">
        <v>0.61944444444444446</v>
      </c>
      <c r="N7" s="37" t="s">
        <v>268</v>
      </c>
      <c r="O7" s="37" t="str">
        <f>N7</f>
        <v>CREW ONLY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N2" sqref="N2:N5"/>
    </sheetView>
  </sheetViews>
  <sheetFormatPr defaultRowHeight="12.75" x14ac:dyDescent="0.2"/>
  <cols>
    <col min="1" max="1" width="7.85546875" style="31" bestFit="1" customWidth="1"/>
    <col min="2" max="2" width="18.7109375" style="31" bestFit="1" customWidth="1"/>
    <col min="3" max="3" width="16.5703125" style="31" bestFit="1" customWidth="1"/>
    <col min="4" max="4" width="5.7109375" style="31" bestFit="1" customWidth="1"/>
    <col min="5" max="5" width="7.140625" style="31" bestFit="1" customWidth="1"/>
    <col min="6" max="6" width="12.140625" style="31" bestFit="1" customWidth="1"/>
    <col min="7" max="9" width="9.140625" style="31"/>
    <col min="10" max="10" width="12.7109375" style="31" customWidth="1"/>
    <col min="11" max="11" width="11.85546875" style="29" customWidth="1"/>
    <col min="12" max="12" width="11.140625" style="31" customWidth="1"/>
    <col min="13" max="13" width="11.42578125" style="31" customWidth="1"/>
    <col min="14" max="14" width="9.5703125" style="22" customWidth="1"/>
    <col min="15" max="15" width="12.42578125" style="31" customWidth="1"/>
    <col min="16" max="16384" width="9.140625" style="31"/>
  </cols>
  <sheetData>
    <row r="1" spans="1:2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29" t="s">
        <v>10</v>
      </c>
      <c r="L1" s="39" t="s">
        <v>11</v>
      </c>
      <c r="M1" s="39" t="s">
        <v>12</v>
      </c>
      <c r="N1" s="22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</row>
    <row r="2" spans="1:21" x14ac:dyDescent="0.2">
      <c r="A2" s="21">
        <v>43855</v>
      </c>
      <c r="B2" s="14" t="s">
        <v>21</v>
      </c>
      <c r="C2" s="14" t="s">
        <v>51</v>
      </c>
      <c r="D2" s="14" t="s">
        <v>23</v>
      </c>
      <c r="E2" s="14" t="s">
        <v>99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0.5083333333333333</v>
      </c>
      <c r="L2" s="18">
        <v>0.32291666666666669</v>
      </c>
      <c r="M2" s="19">
        <v>0.32361111111111113</v>
      </c>
      <c r="N2" s="22" t="s">
        <v>274</v>
      </c>
      <c r="O2" s="20" t="s">
        <v>271</v>
      </c>
      <c r="P2" s="20">
        <v>927</v>
      </c>
      <c r="Q2" s="20">
        <v>852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">
      <c r="A3" s="21">
        <f>A2</f>
        <v>43855</v>
      </c>
      <c r="B3" s="14" t="s">
        <v>21</v>
      </c>
      <c r="C3" s="14" t="s">
        <v>56</v>
      </c>
      <c r="D3" s="14" t="s">
        <v>23</v>
      </c>
      <c r="E3" s="14" t="s">
        <v>255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0.71527777777777779</v>
      </c>
      <c r="K3" s="19">
        <v>0.69791666666666663</v>
      </c>
      <c r="L3" s="18">
        <v>0.5</v>
      </c>
      <c r="M3" s="19">
        <v>0.50347222222222221</v>
      </c>
      <c r="N3" s="22" t="s">
        <v>275</v>
      </c>
      <c r="O3" s="20" t="s">
        <v>272</v>
      </c>
      <c r="P3" s="31">
        <v>859</v>
      </c>
      <c r="Q3" s="20">
        <v>964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">
      <c r="A4" s="21">
        <f t="shared" ref="A4:A6" si="0">A3</f>
        <v>43855</v>
      </c>
      <c r="B4" s="22" t="s">
        <v>21</v>
      </c>
      <c r="C4" s="22" t="s">
        <v>53</v>
      </c>
      <c r="D4" s="22" t="s">
        <v>23</v>
      </c>
      <c r="E4" s="14" t="str">
        <f>E2</f>
        <v>HALWJ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0.68402777777777779</v>
      </c>
      <c r="L4" s="35">
        <v>0.52777777777777779</v>
      </c>
      <c r="M4" s="36">
        <v>0.54305555555555551</v>
      </c>
      <c r="N4" s="22" t="s">
        <v>233</v>
      </c>
      <c r="O4" s="31" t="s">
        <v>42</v>
      </c>
      <c r="P4" s="14">
        <v>986</v>
      </c>
      <c r="Q4" s="20">
        <v>699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">
      <c r="A5" s="21">
        <f t="shared" si="0"/>
        <v>43855</v>
      </c>
      <c r="B5" s="22" t="s">
        <v>21</v>
      </c>
      <c r="C5" s="22" t="s">
        <v>78</v>
      </c>
      <c r="D5" s="22" t="s">
        <v>23</v>
      </c>
      <c r="E5" s="14" t="str">
        <f>E3</f>
        <v>HALWG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9">
        <v>0.93333333333333324</v>
      </c>
      <c r="L5" s="28">
        <v>0.77430555555555547</v>
      </c>
      <c r="M5" s="29">
        <v>0.7680555555555556</v>
      </c>
      <c r="N5" s="22" t="s">
        <v>214</v>
      </c>
      <c r="O5" s="22" t="s">
        <v>276</v>
      </c>
      <c r="P5" s="22">
        <v>531</v>
      </c>
      <c r="Q5" s="20">
        <v>979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">
      <c r="A6" s="21">
        <f t="shared" si="0"/>
        <v>43855</v>
      </c>
      <c r="B6" s="37" t="s">
        <v>263</v>
      </c>
      <c r="C6" s="37" t="s">
        <v>273</v>
      </c>
      <c r="D6" s="37" t="s">
        <v>265</v>
      </c>
      <c r="E6" s="37" t="s">
        <v>266</v>
      </c>
      <c r="F6" s="37" t="s">
        <v>267</v>
      </c>
      <c r="G6" s="57">
        <v>2850</v>
      </c>
      <c r="H6" s="37" t="str">
        <f>E6</f>
        <v>S5-HDM</v>
      </c>
      <c r="I6" s="37" t="str">
        <f>H6</f>
        <v>S5-HDM</v>
      </c>
      <c r="J6" s="23">
        <v>0.55208333333333337</v>
      </c>
      <c r="K6" s="24">
        <v>0.53541666666666665</v>
      </c>
      <c r="L6" s="23">
        <v>0.75</v>
      </c>
      <c r="M6" s="24">
        <v>0.55902777777777779</v>
      </c>
      <c r="N6" s="37">
        <v>3</v>
      </c>
      <c r="O6" s="37">
        <v>3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</row>
    <row r="7" spans="1:21" x14ac:dyDescent="0.2">
      <c r="A7" s="33"/>
      <c r="G7" s="34"/>
      <c r="J7" s="35"/>
    </row>
    <row r="8" spans="1:21" x14ac:dyDescent="0.2">
      <c r="A8" s="33"/>
      <c r="G8" s="34"/>
      <c r="J8" s="35"/>
    </row>
    <row r="9" spans="1:21" x14ac:dyDescent="0.2">
      <c r="A9" s="33"/>
      <c r="G9" s="3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N2" sqref="N2:N4"/>
    </sheetView>
  </sheetViews>
  <sheetFormatPr defaultRowHeight="15" x14ac:dyDescent="0.25"/>
  <cols>
    <col min="1" max="1" width="7.85546875" bestFit="1" customWidth="1"/>
    <col min="2" max="2" width="9.140625" bestFit="1" customWidth="1"/>
    <col min="3" max="3" width="13.140625" bestFit="1" customWidth="1"/>
    <col min="4" max="4" width="5.7109375" bestFit="1" customWidth="1"/>
    <col min="5" max="5" width="7.7109375" bestFit="1" customWidth="1"/>
    <col min="6" max="6" width="12.140625" bestFit="1" customWidth="1"/>
    <col min="7" max="7" width="9" customWidth="1"/>
    <col min="9" max="9" width="10.140625" customWidth="1"/>
    <col min="10" max="10" width="10.5703125" customWidth="1"/>
    <col min="11" max="11" width="10.85546875" customWidth="1"/>
    <col min="12" max="12" width="11.85546875" customWidth="1"/>
    <col min="13" max="13" width="11" customWidth="1"/>
    <col min="14" max="14" width="17" customWidth="1"/>
    <col min="15" max="15" width="16.140625" customWidth="1"/>
    <col min="16" max="16" width="9.85546875" customWidth="1"/>
    <col min="17" max="17" width="10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43856</v>
      </c>
      <c r="B2" s="14" t="s">
        <v>21</v>
      </c>
      <c r="C2" s="14" t="s">
        <v>48</v>
      </c>
      <c r="D2" s="14" t="s">
        <v>23</v>
      </c>
      <c r="E2" s="14" t="s">
        <v>215</v>
      </c>
      <c r="F2" s="14" t="s">
        <v>24</v>
      </c>
      <c r="G2" s="32">
        <v>71500</v>
      </c>
      <c r="H2" s="14" t="s">
        <v>33</v>
      </c>
      <c r="I2" s="14" t="s">
        <v>34</v>
      </c>
      <c r="J2" s="18">
        <v>0.65972222222222221</v>
      </c>
      <c r="K2" s="29">
        <v>0.64583333333333337</v>
      </c>
      <c r="L2" s="18">
        <v>0.49305555555555558</v>
      </c>
      <c r="M2" s="19">
        <v>0.49513888888888885</v>
      </c>
      <c r="N2" s="22" t="s">
        <v>207</v>
      </c>
      <c r="O2" s="20" t="s">
        <v>172</v>
      </c>
      <c r="P2" s="20">
        <v>872</v>
      </c>
      <c r="Q2" s="20">
        <v>763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43856</v>
      </c>
      <c r="B3" s="14" t="s">
        <v>21</v>
      </c>
      <c r="C3" s="14" t="s">
        <v>49</v>
      </c>
      <c r="D3" s="14" t="s">
        <v>23</v>
      </c>
      <c r="E3" s="14" t="s">
        <v>277</v>
      </c>
      <c r="F3" s="14" t="s">
        <v>24</v>
      </c>
      <c r="G3" s="32">
        <v>71500</v>
      </c>
      <c r="H3" s="14" t="s">
        <v>27</v>
      </c>
      <c r="I3" s="14" t="s">
        <v>28</v>
      </c>
      <c r="J3" s="18">
        <v>0.77083333333333337</v>
      </c>
      <c r="K3" s="29">
        <v>0.76527777777777783</v>
      </c>
      <c r="L3" s="18">
        <v>0.53819444444444442</v>
      </c>
      <c r="M3" s="19">
        <v>0.53819444444444442</v>
      </c>
      <c r="N3" s="22" t="s">
        <v>280</v>
      </c>
      <c r="O3" s="20" t="s">
        <v>134</v>
      </c>
      <c r="P3" s="14">
        <v>1174</v>
      </c>
      <c r="Q3" s="20">
        <v>1090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43856</v>
      </c>
      <c r="B4" s="14" t="s">
        <v>21</v>
      </c>
      <c r="C4" s="22" t="s">
        <v>50</v>
      </c>
      <c r="D4" s="22" t="s">
        <v>23</v>
      </c>
      <c r="E4" s="14" t="str">
        <f>E2</f>
        <v>HA-LWJ</v>
      </c>
      <c r="F4" s="22" t="s">
        <v>24</v>
      </c>
      <c r="G4" s="32">
        <f>G2</f>
        <v>71500</v>
      </c>
      <c r="H4" s="22" t="s">
        <v>35</v>
      </c>
      <c r="I4" s="22" t="s">
        <v>36</v>
      </c>
      <c r="J4" s="28">
        <v>0.86805555555555547</v>
      </c>
      <c r="K4" s="29">
        <v>0.85902777777777783</v>
      </c>
      <c r="L4" s="28">
        <v>0.68055555555555547</v>
      </c>
      <c r="M4" s="29">
        <v>0.67986111111111114</v>
      </c>
      <c r="N4" s="22" t="s">
        <v>282</v>
      </c>
      <c r="O4" s="22" t="s">
        <v>281</v>
      </c>
      <c r="P4" s="22">
        <v>893</v>
      </c>
      <c r="Q4" s="20">
        <v>1079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>A4</f>
        <v>43856</v>
      </c>
      <c r="B5" s="37" t="s">
        <v>263</v>
      </c>
      <c r="C5" s="37" t="s">
        <v>278</v>
      </c>
      <c r="D5" s="37" t="s">
        <v>265</v>
      </c>
      <c r="E5" s="37" t="s">
        <v>266</v>
      </c>
      <c r="F5" s="37" t="s">
        <v>267</v>
      </c>
      <c r="G5" s="57">
        <v>2850</v>
      </c>
      <c r="H5" s="37" t="str">
        <f>E5</f>
        <v>S5-HDM</v>
      </c>
      <c r="I5" s="37" t="str">
        <f>H5</f>
        <v>S5-HDM</v>
      </c>
      <c r="J5" s="23">
        <v>0.54166666666666663</v>
      </c>
      <c r="K5" s="24">
        <v>0.55625000000000002</v>
      </c>
      <c r="L5" s="23">
        <v>0.5625</v>
      </c>
      <c r="M5" s="24">
        <v>0.57361111111111118</v>
      </c>
      <c r="N5" s="37">
        <v>3</v>
      </c>
      <c r="O5" s="37">
        <v>3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</row>
    <row r="6" spans="1:21" x14ac:dyDescent="0.25">
      <c r="A6" s="21">
        <f>A5</f>
        <v>43856</v>
      </c>
      <c r="B6" s="37" t="s">
        <v>263</v>
      </c>
      <c r="C6" s="37" t="s">
        <v>279</v>
      </c>
      <c r="D6" s="37" t="s">
        <v>265</v>
      </c>
      <c r="E6" s="37" t="s">
        <v>266</v>
      </c>
      <c r="F6" s="37" t="s">
        <v>267</v>
      </c>
      <c r="G6" s="57">
        <v>2850</v>
      </c>
      <c r="H6" s="37" t="str">
        <f>E6</f>
        <v>S5-HDM</v>
      </c>
      <c r="I6" s="37" t="str">
        <f>H6</f>
        <v>S5-HDM</v>
      </c>
      <c r="J6" s="23">
        <v>0.65972222222222221</v>
      </c>
      <c r="K6" s="24">
        <v>0.65555555555555556</v>
      </c>
      <c r="L6" s="23">
        <v>0.67361111111111116</v>
      </c>
      <c r="M6" s="24">
        <v>0.67013888888888884</v>
      </c>
      <c r="N6" s="37" t="s">
        <v>268</v>
      </c>
      <c r="O6" s="37" t="s">
        <v>268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N2" sqref="N2:N4"/>
    </sheetView>
  </sheetViews>
  <sheetFormatPr defaultRowHeight="15" x14ac:dyDescent="0.25"/>
  <cols>
    <col min="2" max="2" width="10.5703125" customWidth="1"/>
    <col min="3" max="3" width="15" customWidth="1"/>
    <col min="5" max="5" width="15.7109375" customWidth="1"/>
    <col min="6" max="6" width="23.42578125" customWidth="1"/>
    <col min="10" max="10" width="11" customWidth="1"/>
    <col min="11" max="11" width="12.28515625" customWidth="1"/>
    <col min="12" max="12" width="11.85546875" customWidth="1"/>
    <col min="13" max="13" width="13.42578125" customWidth="1"/>
    <col min="14" max="14" width="19.140625" customWidth="1"/>
    <col min="15" max="15" width="18.140625" customWidth="1"/>
  </cols>
  <sheetData>
    <row r="1" spans="1:21" s="37" customFormat="1" ht="12.7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s="37" customFormat="1" ht="12.75" x14ac:dyDescent="0.25">
      <c r="A2" s="21">
        <v>43857</v>
      </c>
      <c r="B2" s="14" t="s">
        <v>21</v>
      </c>
      <c r="C2" s="14" t="s">
        <v>22</v>
      </c>
      <c r="D2" s="14" t="s">
        <v>23</v>
      </c>
      <c r="E2" s="14" t="s">
        <v>283</v>
      </c>
      <c r="F2" s="14" t="s">
        <v>24</v>
      </c>
      <c r="G2" s="32">
        <f>G3</f>
        <v>71500</v>
      </c>
      <c r="H2" s="14" t="s">
        <v>25</v>
      </c>
      <c r="I2" s="14" t="s">
        <v>26</v>
      </c>
      <c r="J2" s="18">
        <v>0.46180555555555558</v>
      </c>
      <c r="K2" s="24">
        <v>0.45</v>
      </c>
      <c r="L2" s="18">
        <v>0.25694444444444448</v>
      </c>
      <c r="M2" s="24">
        <v>0.26111111111111113</v>
      </c>
      <c r="N2" s="22" t="s">
        <v>286</v>
      </c>
      <c r="O2" s="20" t="s">
        <v>205</v>
      </c>
      <c r="P2" s="20">
        <v>711</v>
      </c>
      <c r="Q2" s="20">
        <v>598</v>
      </c>
      <c r="R2" s="14">
        <v>0</v>
      </c>
      <c r="S2" s="14">
        <v>0</v>
      </c>
      <c r="T2" s="14">
        <v>0</v>
      </c>
      <c r="U2" s="14">
        <v>0</v>
      </c>
    </row>
    <row r="3" spans="1:21" s="37" customFormat="1" ht="12.75" x14ac:dyDescent="0.2">
      <c r="A3" s="21">
        <v>43857</v>
      </c>
      <c r="B3" s="14" t="s">
        <v>21</v>
      </c>
      <c r="C3" s="14" t="s">
        <v>30</v>
      </c>
      <c r="D3" s="14" t="s">
        <v>23</v>
      </c>
      <c r="E3" s="14" t="s">
        <v>255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36">
        <v>0.49513888888888885</v>
      </c>
      <c r="L3" s="18">
        <v>0.30208333333333331</v>
      </c>
      <c r="M3" s="24">
        <v>0.30624999999999997</v>
      </c>
      <c r="N3" s="22" t="s">
        <v>291</v>
      </c>
      <c r="O3" s="20" t="s">
        <v>285</v>
      </c>
      <c r="P3" s="14">
        <v>744</v>
      </c>
      <c r="Q3" s="20">
        <v>1010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">
      <c r="A4" s="21">
        <v>43857</v>
      </c>
      <c r="B4" s="22" t="s">
        <v>21</v>
      </c>
      <c r="C4" s="22" t="s">
        <v>60</v>
      </c>
      <c r="D4" s="22" t="s">
        <v>23</v>
      </c>
      <c r="E4" s="14" t="s">
        <v>255</v>
      </c>
      <c r="F4" s="22" t="s">
        <v>24</v>
      </c>
      <c r="G4" s="32">
        <v>71500</v>
      </c>
      <c r="H4" s="22" t="s">
        <v>61</v>
      </c>
      <c r="I4" s="22" t="s">
        <v>62</v>
      </c>
      <c r="J4" s="28">
        <v>0.68055555555555547</v>
      </c>
      <c r="K4" s="36">
        <v>0.67083333333333339</v>
      </c>
      <c r="L4" s="28">
        <v>0.52777777777777779</v>
      </c>
      <c r="M4" s="36">
        <v>0.52847222222222223</v>
      </c>
      <c r="N4" s="22" t="s">
        <v>294</v>
      </c>
      <c r="O4" s="22" t="s">
        <v>292</v>
      </c>
      <c r="P4" s="22">
        <v>543</v>
      </c>
      <c r="Q4" s="20">
        <v>515</v>
      </c>
      <c r="R4" s="22">
        <v>0</v>
      </c>
      <c r="S4" s="22">
        <v>0</v>
      </c>
      <c r="T4" s="22">
        <v>0</v>
      </c>
      <c r="U4" s="22">
        <v>0</v>
      </c>
    </row>
    <row r="5" spans="1:21" s="37" customFormat="1" ht="12.75" x14ac:dyDescent="0.2">
      <c r="A5" s="21">
        <v>43857</v>
      </c>
      <c r="B5" s="22" t="s">
        <v>21</v>
      </c>
      <c r="C5" s="22" t="s">
        <v>63</v>
      </c>
      <c r="D5" s="22" t="s">
        <v>23</v>
      </c>
      <c r="E5" s="14" t="s">
        <v>284</v>
      </c>
      <c r="F5" s="22" t="s">
        <v>24</v>
      </c>
      <c r="G5" s="32">
        <f>G4</f>
        <v>71500</v>
      </c>
      <c r="H5" s="14" t="s">
        <v>64</v>
      </c>
      <c r="I5" s="14" t="s">
        <v>65</v>
      </c>
      <c r="J5" s="35">
        <v>0.91319444444444453</v>
      </c>
      <c r="K5" s="58" t="s">
        <v>162</v>
      </c>
      <c r="L5" s="35">
        <v>0.69097222222222221</v>
      </c>
      <c r="M5" s="36">
        <v>0.6972222222222223</v>
      </c>
      <c r="N5" s="22" t="s">
        <v>127</v>
      </c>
      <c r="O5" s="31" t="s">
        <v>295</v>
      </c>
      <c r="P5" s="31" t="s">
        <v>127</v>
      </c>
      <c r="Q5" s="20">
        <v>335</v>
      </c>
      <c r="R5" s="22">
        <v>0</v>
      </c>
      <c r="S5" s="22">
        <v>0</v>
      </c>
      <c r="T5" s="22">
        <v>0</v>
      </c>
      <c r="U5" s="22">
        <v>0</v>
      </c>
    </row>
    <row r="6" spans="1:21" s="31" customFormat="1" ht="12.75" x14ac:dyDescent="0.2">
      <c r="A6" s="21">
        <f>A5</f>
        <v>43857</v>
      </c>
      <c r="B6" s="22" t="s">
        <v>287</v>
      </c>
      <c r="C6" s="22" t="s">
        <v>293</v>
      </c>
      <c r="D6" s="22" t="s">
        <v>288</v>
      </c>
      <c r="E6" s="14" t="s">
        <v>289</v>
      </c>
      <c r="F6" s="22" t="s">
        <v>290</v>
      </c>
      <c r="G6" s="32">
        <v>4600</v>
      </c>
      <c r="H6" s="22" t="str">
        <f>E6</f>
        <v>T7-ACA</v>
      </c>
      <c r="I6" s="22" t="str">
        <f>H6</f>
        <v>T7-ACA</v>
      </c>
      <c r="J6" s="28">
        <v>0.5</v>
      </c>
      <c r="K6" s="29">
        <v>0.54861111111111105</v>
      </c>
      <c r="L6" s="28">
        <v>0.54166666666666663</v>
      </c>
      <c r="M6" s="29">
        <v>0.58124999999999993</v>
      </c>
      <c r="N6" s="22">
        <v>2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</row>
    <row r="7" spans="1:21" x14ac:dyDescent="0.25">
      <c r="A7" s="21">
        <f>A6</f>
        <v>43857</v>
      </c>
      <c r="B7" s="22" t="s">
        <v>287</v>
      </c>
      <c r="C7" s="22" t="s">
        <v>296</v>
      </c>
      <c r="D7" s="22" t="s">
        <v>288</v>
      </c>
      <c r="E7" s="14" t="s">
        <v>289</v>
      </c>
      <c r="F7" s="22" t="s">
        <v>290</v>
      </c>
      <c r="G7" s="32">
        <v>4600</v>
      </c>
      <c r="H7" s="22" t="str">
        <f>E7</f>
        <v>T7-ACA</v>
      </c>
      <c r="I7" s="22" t="str">
        <f>H7</f>
        <v>T7-ACA</v>
      </c>
      <c r="J7" s="28">
        <v>0.75</v>
      </c>
      <c r="K7" s="29">
        <v>0.76874999999999993</v>
      </c>
      <c r="L7" s="28">
        <v>0.77083333333333337</v>
      </c>
      <c r="M7" s="29">
        <v>0.8125</v>
      </c>
      <c r="N7" s="22">
        <v>0</v>
      </c>
      <c r="O7" s="22">
        <v>2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2" sqref="N2:N5"/>
    </sheetView>
  </sheetViews>
  <sheetFormatPr defaultRowHeight="15" x14ac:dyDescent="0.25"/>
  <cols>
    <col min="3" max="3" width="14" bestFit="1" customWidth="1"/>
    <col min="5" max="5" width="15.42578125" customWidth="1"/>
    <col min="6" max="6" width="12.140625" bestFit="1" customWidth="1"/>
    <col min="7" max="7" width="14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37" customFormat="1" ht="12.7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s="37" customFormat="1" ht="12.75" x14ac:dyDescent="0.25">
      <c r="A2" s="21">
        <v>43858</v>
      </c>
      <c r="B2" s="14" t="s">
        <v>21</v>
      </c>
      <c r="C2" s="14" t="s">
        <v>51</v>
      </c>
      <c r="D2" s="14" t="s">
        <v>23</v>
      </c>
      <c r="E2" s="14" t="s">
        <v>255</v>
      </c>
      <c r="F2" s="14" t="s">
        <v>24</v>
      </c>
      <c r="G2" s="32">
        <v>71500</v>
      </c>
      <c r="H2" s="14" t="s">
        <v>52</v>
      </c>
      <c r="I2" s="14" t="s">
        <v>75</v>
      </c>
      <c r="J2" s="18">
        <v>0.50694444444444442</v>
      </c>
      <c r="K2" s="19">
        <v>0.52708333333333335</v>
      </c>
      <c r="L2" s="18">
        <v>0.32291666666666669</v>
      </c>
      <c r="M2" s="19">
        <v>0.32569444444444445</v>
      </c>
      <c r="N2" s="22" t="s">
        <v>82</v>
      </c>
      <c r="O2" s="20" t="s">
        <v>297</v>
      </c>
      <c r="P2" s="20">
        <v>901</v>
      </c>
      <c r="Q2" s="20">
        <v>713</v>
      </c>
      <c r="R2" s="14">
        <v>0</v>
      </c>
      <c r="S2" s="14">
        <v>0</v>
      </c>
      <c r="T2" s="14">
        <v>0</v>
      </c>
      <c r="U2" s="14">
        <v>0</v>
      </c>
    </row>
    <row r="3" spans="1:21" s="37" customFormat="1" ht="12.75" x14ac:dyDescent="0.2">
      <c r="A3" s="21">
        <f>A2</f>
        <v>43858</v>
      </c>
      <c r="B3" s="14" t="s">
        <v>21</v>
      </c>
      <c r="C3" s="14" t="s">
        <v>56</v>
      </c>
      <c r="D3" s="14" t="s">
        <v>23</v>
      </c>
      <c r="E3" s="14" t="s">
        <v>284</v>
      </c>
      <c r="F3" s="14" t="s">
        <v>24</v>
      </c>
      <c r="G3" s="32">
        <v>71500</v>
      </c>
      <c r="H3" s="14" t="s">
        <v>54</v>
      </c>
      <c r="I3" s="14" t="s">
        <v>55</v>
      </c>
      <c r="J3" s="18">
        <v>0.72916666666666663</v>
      </c>
      <c r="K3" s="19">
        <v>0.72152777777777777</v>
      </c>
      <c r="L3" s="18">
        <v>0.51388888888888895</v>
      </c>
      <c r="M3" s="19">
        <v>0.5229166666666667</v>
      </c>
      <c r="N3" s="22" t="s">
        <v>116</v>
      </c>
      <c r="O3" s="20" t="s">
        <v>176</v>
      </c>
      <c r="P3" s="31">
        <v>1333</v>
      </c>
      <c r="Q3" s="20">
        <v>693</v>
      </c>
      <c r="R3" s="14">
        <v>0</v>
      </c>
      <c r="S3" s="14">
        <v>0</v>
      </c>
      <c r="T3" s="14">
        <v>0</v>
      </c>
      <c r="U3" s="14">
        <v>0</v>
      </c>
    </row>
    <row r="4" spans="1:21" s="8" customFormat="1" ht="12.75" x14ac:dyDescent="0.2">
      <c r="A4" s="21">
        <f t="shared" ref="A4:A5" si="0">A3</f>
        <v>43858</v>
      </c>
      <c r="B4" s="22" t="s">
        <v>21</v>
      </c>
      <c r="C4" s="22" t="s">
        <v>53</v>
      </c>
      <c r="D4" s="22" t="s">
        <v>23</v>
      </c>
      <c r="E4" s="14" t="s">
        <v>255</v>
      </c>
      <c r="F4" s="22" t="s">
        <v>24</v>
      </c>
      <c r="G4" s="32">
        <v>71500</v>
      </c>
      <c r="H4" s="14" t="s">
        <v>57</v>
      </c>
      <c r="I4" s="14" t="s">
        <v>58</v>
      </c>
      <c r="J4" s="35">
        <v>0.68402777777777779</v>
      </c>
      <c r="K4" s="29">
        <v>0.70694444444444438</v>
      </c>
      <c r="L4" s="35">
        <v>0.52777777777777779</v>
      </c>
      <c r="M4" s="36">
        <v>0.56388888888888888</v>
      </c>
      <c r="N4" s="22" t="s">
        <v>299</v>
      </c>
      <c r="O4" s="31" t="s">
        <v>298</v>
      </c>
      <c r="P4" s="14">
        <v>829</v>
      </c>
      <c r="Q4" s="20">
        <v>642</v>
      </c>
      <c r="R4" s="22">
        <v>0</v>
      </c>
      <c r="S4" s="22">
        <v>0</v>
      </c>
      <c r="T4" s="22">
        <v>0</v>
      </c>
      <c r="U4" s="22">
        <v>0</v>
      </c>
    </row>
    <row r="5" spans="1:21" x14ac:dyDescent="0.25">
      <c r="A5" s="21">
        <f t="shared" si="0"/>
        <v>43858</v>
      </c>
      <c r="B5" s="22" t="s">
        <v>21</v>
      </c>
      <c r="C5" s="22" t="s">
        <v>78</v>
      </c>
      <c r="D5" s="22" t="s">
        <v>23</v>
      </c>
      <c r="E5" s="14" t="s">
        <v>284</v>
      </c>
      <c r="F5" s="22" t="s">
        <v>24</v>
      </c>
      <c r="G5" s="32">
        <v>71500</v>
      </c>
      <c r="H5" s="22" t="s">
        <v>76</v>
      </c>
      <c r="I5" s="22" t="s">
        <v>77</v>
      </c>
      <c r="J5" s="28">
        <v>0.94444444444444453</v>
      </c>
      <c r="K5" s="29">
        <v>0.9375</v>
      </c>
      <c r="L5" s="28">
        <v>0.77430555555555547</v>
      </c>
      <c r="M5" s="29">
        <v>0.77361111111111114</v>
      </c>
      <c r="N5" s="22" t="s">
        <v>301</v>
      </c>
      <c r="O5" s="22" t="s">
        <v>300</v>
      </c>
      <c r="P5" s="22">
        <v>633</v>
      </c>
      <c r="Q5" s="20">
        <v>430</v>
      </c>
      <c r="R5" s="22">
        <v>0</v>
      </c>
      <c r="S5" s="22">
        <v>0</v>
      </c>
      <c r="T5" s="22">
        <v>0</v>
      </c>
      <c r="U5" s="22">
        <v>0</v>
      </c>
    </row>
    <row r="6" spans="1:21" x14ac:dyDescent="0.25">
      <c r="A6" s="21">
        <f>A5</f>
        <v>43858</v>
      </c>
      <c r="B6" s="14" t="s">
        <v>21</v>
      </c>
      <c r="C6" s="8" t="s">
        <v>122</v>
      </c>
      <c r="D6" s="14" t="s">
        <v>23</v>
      </c>
      <c r="E6" s="14" t="s">
        <v>284</v>
      </c>
      <c r="F6" s="8" t="s">
        <v>208</v>
      </c>
      <c r="G6" s="4">
        <v>71500</v>
      </c>
      <c r="H6" s="8" t="s">
        <v>245</v>
      </c>
      <c r="I6" s="8" t="s">
        <v>127</v>
      </c>
      <c r="J6" s="12">
        <v>0.48958333333333331</v>
      </c>
      <c r="K6" s="13">
        <v>0.4861111111111111</v>
      </c>
      <c r="L6" s="12" t="s">
        <v>127</v>
      </c>
      <c r="M6" s="12" t="s">
        <v>127</v>
      </c>
      <c r="N6" s="12" t="s">
        <v>127</v>
      </c>
      <c r="O6" s="12" t="s">
        <v>127</v>
      </c>
      <c r="P6" s="12" t="s">
        <v>127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</row>
    <row r="7" spans="1:21" x14ac:dyDescent="0.25">
      <c r="A7" s="44"/>
      <c r="B7" s="46"/>
      <c r="C7" s="46"/>
      <c r="D7" s="46"/>
      <c r="E7" s="15"/>
      <c r="F7" s="8"/>
      <c r="G7" s="40"/>
      <c r="H7" s="46"/>
      <c r="I7" s="15"/>
      <c r="J7" s="47"/>
      <c r="K7" s="48"/>
      <c r="L7" s="17"/>
      <c r="M7" s="24"/>
      <c r="N7" s="8"/>
      <c r="O7" s="8"/>
      <c r="P7" s="8"/>
      <c r="Q7" s="8"/>
      <c r="R7" s="8"/>
      <c r="S7" s="8"/>
      <c r="T7" s="8"/>
      <c r="U7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N2" sqref="N2:N4"/>
    </sheetView>
  </sheetViews>
  <sheetFormatPr defaultRowHeight="15" x14ac:dyDescent="0.25"/>
  <cols>
    <col min="1" max="1" width="7.8554687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7.140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43852</v>
      </c>
      <c r="B2" s="14" t="s">
        <v>21</v>
      </c>
      <c r="C2" s="14" t="s">
        <v>22</v>
      </c>
      <c r="D2" s="14" t="s">
        <v>23</v>
      </c>
      <c r="E2" s="14" t="s">
        <v>284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0.4861111111111111</v>
      </c>
      <c r="L2" s="18">
        <v>0.25694444444444448</v>
      </c>
      <c r="M2" s="19">
        <v>0.29375000000000001</v>
      </c>
      <c r="N2" s="22" t="s">
        <v>304</v>
      </c>
      <c r="O2" s="20" t="s">
        <v>302</v>
      </c>
      <c r="P2" s="20">
        <v>869</v>
      </c>
      <c r="Q2" s="20">
        <v>966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21">
        <f>A2</f>
        <v>43852</v>
      </c>
      <c r="B3" s="14" t="s">
        <v>21</v>
      </c>
      <c r="C3" s="14" t="s">
        <v>30</v>
      </c>
      <c r="D3" s="14" t="s">
        <v>23</v>
      </c>
      <c r="E3" s="14" t="s">
        <v>255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0.50208333333333333</v>
      </c>
      <c r="L3" s="18">
        <v>0.30208333333333331</v>
      </c>
      <c r="M3" s="19">
        <v>0.31666666666666665</v>
      </c>
      <c r="N3" s="22" t="s">
        <v>305</v>
      </c>
      <c r="O3" s="20" t="s">
        <v>303</v>
      </c>
      <c r="P3" s="14">
        <v>732</v>
      </c>
      <c r="Q3" s="20">
        <v>957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21">
        <f>A3</f>
        <v>43852</v>
      </c>
      <c r="B4" s="14" t="s">
        <v>21</v>
      </c>
      <c r="C4" s="14" t="s">
        <v>48</v>
      </c>
      <c r="D4" s="14" t="s">
        <v>23</v>
      </c>
      <c r="E4" s="14" t="s">
        <v>284</v>
      </c>
      <c r="F4" s="14" t="s">
        <v>24</v>
      </c>
      <c r="G4" s="32">
        <v>71500</v>
      </c>
      <c r="H4" s="14" t="s">
        <v>33</v>
      </c>
      <c r="I4" s="14" t="s">
        <v>34</v>
      </c>
      <c r="J4" s="18">
        <v>0.65972222222222221</v>
      </c>
      <c r="K4" s="29">
        <v>0.67986111111111114</v>
      </c>
      <c r="L4" s="18">
        <v>0.49305555555555558</v>
      </c>
      <c r="M4" s="19">
        <v>0.52430555555555558</v>
      </c>
      <c r="N4" s="22" t="s">
        <v>306</v>
      </c>
      <c r="O4" s="20" t="s">
        <v>306</v>
      </c>
      <c r="P4" s="20">
        <v>795</v>
      </c>
      <c r="Q4" s="20">
        <v>608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2"/>
      <c r="B5" s="8"/>
      <c r="C5" s="8"/>
      <c r="D5" s="8"/>
      <c r="E5" s="3"/>
      <c r="F5" s="8"/>
      <c r="G5" s="4"/>
      <c r="H5" s="8"/>
      <c r="I5" s="8"/>
      <c r="J5" s="12"/>
      <c r="K5" s="13"/>
      <c r="L5" s="12"/>
      <c r="M5" s="13"/>
      <c r="N5" s="13"/>
      <c r="O5" s="7"/>
      <c r="P5" s="3"/>
      <c r="Q5" s="7"/>
      <c r="R5" s="8"/>
      <c r="S5" s="8"/>
      <c r="T5" s="8"/>
      <c r="U5" s="8"/>
    </row>
    <row r="6" spans="1:21" s="13" customFormat="1" ht="12.75" x14ac:dyDescent="0.25">
      <c r="A6" s="2"/>
      <c r="G6" s="4"/>
      <c r="N6" s="3"/>
      <c r="O6" s="3"/>
      <c r="P6" s="3"/>
      <c r="Q6" s="3"/>
      <c r="R6" s="3"/>
      <c r="S6" s="3"/>
      <c r="T6" s="8"/>
      <c r="U6" s="8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G1" workbookViewId="0">
      <selection activeCell="N2" sqref="N2:N3"/>
    </sheetView>
  </sheetViews>
  <sheetFormatPr defaultRowHeight="15" x14ac:dyDescent="0.25"/>
  <cols>
    <col min="1" max="1" width="7.85546875" bestFit="1" customWidth="1"/>
    <col min="2" max="2" width="9.140625" bestFit="1" customWidth="1"/>
    <col min="3" max="3" width="13.140625" bestFit="1" customWidth="1"/>
    <col min="4" max="4" width="5.7109375" bestFit="1" customWidth="1"/>
    <col min="5" max="5" width="7.1406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43860</v>
      </c>
      <c r="B2" s="3" t="s">
        <v>21</v>
      </c>
      <c r="C2" s="3" t="s">
        <v>49</v>
      </c>
      <c r="D2" s="3" t="s">
        <v>23</v>
      </c>
      <c r="E2" s="3" t="s">
        <v>255</v>
      </c>
      <c r="F2" s="3" t="s">
        <v>24</v>
      </c>
      <c r="G2" s="4">
        <v>71500</v>
      </c>
      <c r="H2" s="3" t="s">
        <v>27</v>
      </c>
      <c r="I2" s="3" t="s">
        <v>28</v>
      </c>
      <c r="J2" s="5">
        <v>0.65972222222222221</v>
      </c>
      <c r="K2" s="6">
        <v>0.65972222222222221</v>
      </c>
      <c r="L2" s="5">
        <v>0.42708333333333331</v>
      </c>
      <c r="M2" s="6">
        <v>0.43263888888888885</v>
      </c>
      <c r="N2" s="6" t="s">
        <v>119</v>
      </c>
      <c r="O2" s="6" t="s">
        <v>307</v>
      </c>
      <c r="P2" s="7">
        <v>838</v>
      </c>
      <c r="Q2" s="7">
        <v>1088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f>A2</f>
        <v>43860</v>
      </c>
      <c r="B3" s="3" t="s">
        <v>21</v>
      </c>
      <c r="C3" s="3" t="s">
        <v>50</v>
      </c>
      <c r="D3" s="3" t="s">
        <v>23</v>
      </c>
      <c r="E3" s="3" t="str">
        <f>E2</f>
        <v>HALWG</v>
      </c>
      <c r="F3" s="3" t="s">
        <v>24</v>
      </c>
      <c r="G3" s="4">
        <v>71500</v>
      </c>
      <c r="H3" s="3" t="s">
        <v>35</v>
      </c>
      <c r="I3" s="3" t="s">
        <v>36</v>
      </c>
      <c r="J3" s="5">
        <v>0.86805555555555547</v>
      </c>
      <c r="K3" s="6">
        <v>0.87291666666666667</v>
      </c>
      <c r="L3" s="5">
        <v>0.68055555555555547</v>
      </c>
      <c r="M3" s="6">
        <v>0.69374999999999998</v>
      </c>
      <c r="N3" s="6" t="s">
        <v>82</v>
      </c>
      <c r="O3" s="6" t="s">
        <v>158</v>
      </c>
      <c r="P3" s="7">
        <v>1054</v>
      </c>
      <c r="Q3" s="7">
        <v>687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4"/>
      <c r="H4" s="3"/>
      <c r="I4" s="3"/>
      <c r="J4" s="5"/>
      <c r="K4" s="6"/>
      <c r="L4" s="5"/>
      <c r="M4" s="6"/>
      <c r="N4" s="6"/>
      <c r="O4" s="6"/>
      <c r="P4" s="7"/>
      <c r="Q4" s="7"/>
      <c r="R4" s="3"/>
      <c r="S4" s="3"/>
      <c r="T4" s="3"/>
      <c r="U4" s="3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K7" sqref="K7"/>
    </sheetView>
  </sheetViews>
  <sheetFormatPr defaultRowHeight="15" x14ac:dyDescent="0.25"/>
  <cols>
    <col min="2" max="2" width="9.140625" bestFit="1" customWidth="1"/>
    <col min="3" max="3" width="12.855468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31" customFormat="1" ht="12.7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55" customFormat="1" x14ac:dyDescent="0.25">
      <c r="A2" s="21">
        <v>43861</v>
      </c>
      <c r="B2" s="14" t="s">
        <v>21</v>
      </c>
      <c r="C2" s="14" t="s">
        <v>22</v>
      </c>
      <c r="D2" s="14" t="s">
        <v>23</v>
      </c>
      <c r="E2" s="14" t="s">
        <v>255</v>
      </c>
      <c r="F2" s="14" t="s">
        <v>24</v>
      </c>
      <c r="G2" s="32">
        <v>71500</v>
      </c>
      <c r="H2" s="14" t="s">
        <v>25</v>
      </c>
      <c r="I2" s="14" t="s">
        <v>26</v>
      </c>
      <c r="J2" s="18">
        <v>0.46180555555555558</v>
      </c>
      <c r="K2" s="19">
        <v>0.46597222222222223</v>
      </c>
      <c r="L2" s="18">
        <v>0.25694444444444448</v>
      </c>
      <c r="M2" s="19">
        <v>0.26527777777777778</v>
      </c>
      <c r="N2" s="22" t="s">
        <v>309</v>
      </c>
      <c r="O2" s="20" t="s">
        <v>43</v>
      </c>
      <c r="P2" s="20">
        <v>932</v>
      </c>
      <c r="Q2" s="20">
        <v>642</v>
      </c>
      <c r="R2" s="14">
        <v>0</v>
      </c>
      <c r="S2" s="14">
        <v>0</v>
      </c>
      <c r="T2" s="14">
        <v>0</v>
      </c>
      <c r="U2" s="14">
        <v>0</v>
      </c>
    </row>
    <row r="3" spans="1:21" s="55" customFormat="1" x14ac:dyDescent="0.25">
      <c r="A3" s="21">
        <f t="shared" ref="A3:A6" si="0">A2</f>
        <v>43861</v>
      </c>
      <c r="B3" s="14" t="s">
        <v>21</v>
      </c>
      <c r="C3" s="14" t="s">
        <v>30</v>
      </c>
      <c r="D3" s="14" t="s">
        <v>23</v>
      </c>
      <c r="E3" s="14" t="s">
        <v>284</v>
      </c>
      <c r="F3" s="14" t="s">
        <v>24</v>
      </c>
      <c r="G3" s="32">
        <v>71500</v>
      </c>
      <c r="H3" s="14" t="s">
        <v>31</v>
      </c>
      <c r="I3" s="14" t="s">
        <v>32</v>
      </c>
      <c r="J3" s="18">
        <v>0.50694444444444442</v>
      </c>
      <c r="K3" s="19">
        <v>0.49583333333333335</v>
      </c>
      <c r="L3" s="18">
        <v>0.30208333333333331</v>
      </c>
      <c r="M3" s="19">
        <v>0.30486111111111108</v>
      </c>
      <c r="N3" s="22" t="s">
        <v>310</v>
      </c>
      <c r="O3" s="20" t="s">
        <v>308</v>
      </c>
      <c r="P3" s="14">
        <v>541</v>
      </c>
      <c r="Q3" s="20">
        <v>728</v>
      </c>
      <c r="R3" s="14">
        <v>0</v>
      </c>
      <c r="S3" s="14">
        <v>0</v>
      </c>
      <c r="T3" s="14">
        <v>0</v>
      </c>
      <c r="U3" s="14">
        <v>0</v>
      </c>
    </row>
    <row r="4" spans="1:21" s="55" customFormat="1" x14ac:dyDescent="0.25">
      <c r="A4" s="21">
        <f t="shared" si="0"/>
        <v>43861</v>
      </c>
      <c r="B4" s="22" t="s">
        <v>21</v>
      </c>
      <c r="C4" s="22" t="s">
        <v>48</v>
      </c>
      <c r="D4" s="22" t="s">
        <v>23</v>
      </c>
      <c r="E4" s="14" t="s">
        <v>255</v>
      </c>
      <c r="F4" s="22" t="s">
        <v>24</v>
      </c>
      <c r="G4" s="32">
        <v>71500</v>
      </c>
      <c r="H4" s="14" t="s">
        <v>33</v>
      </c>
      <c r="I4" s="14" t="s">
        <v>34</v>
      </c>
      <c r="J4" s="23">
        <v>0.65972222222222221</v>
      </c>
      <c r="K4" s="29">
        <v>0.6479166666666667</v>
      </c>
      <c r="L4" s="23">
        <v>0.49305555555555558</v>
      </c>
      <c r="M4" s="24">
        <v>0.4993055555555555</v>
      </c>
      <c r="N4" s="22" t="s">
        <v>311</v>
      </c>
      <c r="O4" s="37" t="s">
        <v>292</v>
      </c>
      <c r="P4" s="37">
        <v>757</v>
      </c>
      <c r="Q4" s="20">
        <v>734</v>
      </c>
      <c r="R4" s="22">
        <v>0</v>
      </c>
      <c r="S4" s="22">
        <v>0</v>
      </c>
      <c r="T4" s="22">
        <v>0</v>
      </c>
      <c r="U4" s="22">
        <v>0</v>
      </c>
    </row>
    <row r="5" spans="1:21" s="55" customFormat="1" x14ac:dyDescent="0.25">
      <c r="A5" s="21">
        <f t="shared" si="0"/>
        <v>43861</v>
      </c>
      <c r="B5" s="22" t="s">
        <v>21</v>
      </c>
      <c r="C5" s="22" t="s">
        <v>60</v>
      </c>
      <c r="D5" s="22" t="s">
        <v>23</v>
      </c>
      <c r="E5" s="14" t="s">
        <v>284</v>
      </c>
      <c r="F5" s="22" t="s">
        <v>24</v>
      </c>
      <c r="G5" s="32">
        <v>71500</v>
      </c>
      <c r="H5" s="22" t="s">
        <v>61</v>
      </c>
      <c r="I5" s="22" t="s">
        <v>62</v>
      </c>
      <c r="J5" s="28">
        <v>0.68055555555555547</v>
      </c>
      <c r="K5" s="29">
        <v>0.67638888888888893</v>
      </c>
      <c r="L5" s="28">
        <v>0.52777777777777779</v>
      </c>
      <c r="M5" s="29">
        <v>0.53263888888888888</v>
      </c>
      <c r="N5" s="22" t="s">
        <v>312</v>
      </c>
      <c r="O5" s="22" t="s">
        <v>256</v>
      </c>
      <c r="P5" s="22">
        <v>590</v>
      </c>
      <c r="Q5" s="20">
        <v>683</v>
      </c>
      <c r="R5" s="22">
        <v>0</v>
      </c>
      <c r="S5" s="22">
        <v>0</v>
      </c>
      <c r="T5" s="22">
        <v>0</v>
      </c>
      <c r="U5" s="22">
        <v>0</v>
      </c>
    </row>
    <row r="6" spans="1:21" s="55" customFormat="1" x14ac:dyDescent="0.25">
      <c r="A6" s="21">
        <f t="shared" si="0"/>
        <v>43861</v>
      </c>
      <c r="B6" s="22" t="s">
        <v>21</v>
      </c>
      <c r="C6" s="22" t="s">
        <v>63</v>
      </c>
      <c r="D6" s="22" t="s">
        <v>23</v>
      </c>
      <c r="E6" s="14" t="str">
        <f>E4</f>
        <v>HALWG</v>
      </c>
      <c r="F6" s="22" t="s">
        <v>24</v>
      </c>
      <c r="G6" s="32">
        <v>71500</v>
      </c>
      <c r="H6" s="14" t="s">
        <v>64</v>
      </c>
      <c r="I6" s="14" t="s">
        <v>65</v>
      </c>
      <c r="J6" s="23">
        <v>0.91319444444444453</v>
      </c>
      <c r="K6" s="29">
        <v>0.8979166666666667</v>
      </c>
      <c r="L6" s="23">
        <v>0.69097222222222221</v>
      </c>
      <c r="M6" s="24">
        <v>0.68263888888888891</v>
      </c>
      <c r="N6" s="22" t="s">
        <v>314</v>
      </c>
      <c r="O6" s="37" t="s">
        <v>313</v>
      </c>
      <c r="P6" s="37">
        <v>464</v>
      </c>
      <c r="Q6" s="20">
        <v>237</v>
      </c>
      <c r="R6" s="22">
        <v>0</v>
      </c>
      <c r="S6" s="22">
        <v>0</v>
      </c>
      <c r="T6" s="22">
        <v>0</v>
      </c>
      <c r="U6" s="22">
        <v>0</v>
      </c>
    </row>
    <row r="7" spans="1:21" x14ac:dyDescent="0.25">
      <c r="A7" s="33"/>
      <c r="B7" s="31"/>
      <c r="C7" s="31"/>
      <c r="D7" s="31"/>
      <c r="E7" s="31"/>
      <c r="F7" s="31"/>
      <c r="G7" s="34"/>
      <c r="H7" s="31"/>
      <c r="I7" s="31"/>
      <c r="J7" s="35"/>
      <c r="K7" s="29"/>
      <c r="L7" s="31"/>
      <c r="M7" s="31"/>
      <c r="N7" s="22"/>
      <c r="O7" s="31"/>
      <c r="P7" s="31"/>
      <c r="Q7" s="31"/>
      <c r="R7" s="31"/>
      <c r="S7" s="31"/>
      <c r="T7" s="31"/>
      <c r="U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2019-01-01T04:46:06Z</dcterms:created>
  <dcterms:modified xsi:type="dcterms:W3CDTF">2020-01-31T20:34:45Z</dcterms:modified>
</cp:coreProperties>
</file>