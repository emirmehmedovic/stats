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5" activeTab="25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5" sheetId="26" r:id="rId23"/>
    <sheet name="27" sheetId="27" r:id="rId24"/>
    <sheet name="28" sheetId="28" r:id="rId25"/>
    <sheet name="29" sheetId="29" r:id="rId26"/>
  </sheets>
  <calcPr calcId="145621"/>
</workbook>
</file>

<file path=xl/calcChain.xml><?xml version="1.0" encoding="utf-8"?>
<calcChain xmlns="http://schemas.openxmlformats.org/spreadsheetml/2006/main">
  <c r="A3" i="29" l="1"/>
  <c r="G3" i="27" l="1"/>
  <c r="M3" i="24" l="1"/>
  <c r="G3" i="23" l="1"/>
  <c r="G3" i="16" l="1"/>
  <c r="A3" i="16"/>
  <c r="G3" i="11" l="1"/>
  <c r="A3" i="11"/>
  <c r="G3" i="8" l="1"/>
  <c r="G4" i="8" s="1"/>
  <c r="A3" i="8"/>
  <c r="A4" i="8" s="1"/>
</calcChain>
</file>

<file path=xl/sharedStrings.xml><?xml version="1.0" encoding="utf-8"?>
<sst xmlns="http://schemas.openxmlformats.org/spreadsheetml/2006/main" count="1065" uniqueCount="200">
  <si>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</si>
  <si>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</si>
  <si>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</si>
  <si>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</si>
  <si>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</si>
  <si>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</si>
  <si>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</si>
  <si>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</si>
  <si>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</si>
  <si>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</si>
  <si>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</si>
  <si>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</si>
  <si>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</si>
  <si>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</si>
  <si>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</si>
  <si>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</si>
  <si>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</si>
  <si>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</si>
  <si>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</si>
  <si>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</si>
  <si>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</si>
  <si>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</si>
  <si>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TZL-HHN-TZL</t>
  </si>
  <si>
    <t>A320</t>
  </si>
  <si>
    <t>HALSA</t>
  </si>
  <si>
    <t>SCHEDULED</t>
  </si>
  <si>
    <t>W64284</t>
  </si>
  <si>
    <t>W64283</t>
  </si>
  <si>
    <t>TZL-NYO-TZL</t>
  </si>
  <si>
    <t>W64281</t>
  </si>
  <si>
    <t>W64282</t>
  </si>
  <si>
    <t>138+3INF</t>
  </si>
  <si>
    <t>62+4INF</t>
  </si>
  <si>
    <t>103+6INF</t>
  </si>
  <si>
    <t>114+4INF</t>
  </si>
  <si>
    <t>TZL-DTM-TZL</t>
  </si>
  <si>
    <t>TZL-EIN-TZL</t>
  </si>
  <si>
    <t>W64298</t>
  </si>
  <si>
    <t>W64290</t>
  </si>
  <si>
    <t>W64297</t>
  </si>
  <si>
    <t>W64289</t>
  </si>
  <si>
    <t>125+5 INF</t>
  </si>
  <si>
    <t>88+1INF</t>
  </si>
  <si>
    <t>127+0INF</t>
  </si>
  <si>
    <t>JET EXECUTIVE</t>
  </si>
  <si>
    <t>MUC-TZL-DUS</t>
  </si>
  <si>
    <t>LJ35A</t>
  </si>
  <si>
    <t>DCCCA</t>
  </si>
  <si>
    <t>MEDEVAC</t>
  </si>
  <si>
    <t>JEI212</t>
  </si>
  <si>
    <t>CREW</t>
  </si>
  <si>
    <t>1+0INF</t>
  </si>
  <si>
    <t>77+1INF</t>
  </si>
  <si>
    <t>TZL-MMX-TZL</t>
  </si>
  <si>
    <t>W64292</t>
  </si>
  <si>
    <t>W64291</t>
  </si>
  <si>
    <t>TZL-FMM-TZL</t>
  </si>
  <si>
    <t>W64280</t>
  </si>
  <si>
    <t>W64295</t>
  </si>
  <si>
    <t>TZL-GOT-TZL</t>
  </si>
  <si>
    <t>W64296</t>
  </si>
  <si>
    <t>113+4 INF</t>
  </si>
  <si>
    <t>117+6 INF</t>
  </si>
  <si>
    <t>86+3 INF</t>
  </si>
  <si>
    <t>103+1 INF</t>
  </si>
  <si>
    <t>35+0 INF</t>
  </si>
  <si>
    <t>114+2INF</t>
  </si>
  <si>
    <t>59+0 INF</t>
  </si>
  <si>
    <t>77+5INF</t>
  </si>
  <si>
    <t>62+1INF</t>
  </si>
  <si>
    <t>TZL-BER-TZL</t>
  </si>
  <si>
    <t>W64276</t>
  </si>
  <si>
    <t>W64275</t>
  </si>
  <si>
    <t>119+4 INF</t>
  </si>
  <si>
    <t>133+1 INF</t>
  </si>
  <si>
    <t>96+1 INF</t>
  </si>
  <si>
    <t>110+0 INF</t>
  </si>
  <si>
    <t>90+4 INF</t>
  </si>
  <si>
    <t>55+1 INF</t>
  </si>
  <si>
    <t>111+3 INF</t>
  </si>
  <si>
    <t>105+3 INF</t>
  </si>
  <si>
    <t>73+1 INF</t>
  </si>
  <si>
    <t>127+1 INF</t>
  </si>
  <si>
    <t>142+3 INF</t>
  </si>
  <si>
    <t>61+0 INF</t>
  </si>
  <si>
    <t>113+3INF</t>
  </si>
  <si>
    <t>95+4 INF</t>
  </si>
  <si>
    <t>53+1 INF</t>
  </si>
  <si>
    <t>SWISS AIR</t>
  </si>
  <si>
    <t>ZRH-TZL-ZRH</t>
  </si>
  <si>
    <t>CL 650</t>
  </si>
  <si>
    <t>HBJWC</t>
  </si>
  <si>
    <t>NON -SCHEDULED</t>
  </si>
  <si>
    <t>SAZ71</t>
  </si>
  <si>
    <t>SAZ72</t>
  </si>
  <si>
    <t>92+0INF</t>
  </si>
  <si>
    <t>DIV TO BEG</t>
  </si>
  <si>
    <t>OTKAZAN</t>
  </si>
  <si>
    <t>HALPJ</t>
  </si>
  <si>
    <t>BEG-TZL</t>
  </si>
  <si>
    <t>FERRY IN/TEHN</t>
  </si>
  <si>
    <t>W6801</t>
  </si>
  <si>
    <t>W64279</t>
  </si>
  <si>
    <t>-</t>
  </si>
  <si>
    <t>113+6 INF</t>
  </si>
  <si>
    <t>50+0 INF</t>
  </si>
  <si>
    <t>74+2 INF</t>
  </si>
  <si>
    <t>76+2 INF</t>
  </si>
  <si>
    <t>NORTH FLYING</t>
  </si>
  <si>
    <t>AAL-TZL-RKE</t>
  </si>
  <si>
    <t>C650</t>
  </si>
  <si>
    <t>OYNLA</t>
  </si>
  <si>
    <t>NFA052P</t>
  </si>
  <si>
    <t>NFA052</t>
  </si>
  <si>
    <t>2+0INF</t>
  </si>
  <si>
    <t>39+2INF</t>
  </si>
  <si>
    <t>36+0INF</t>
  </si>
  <si>
    <t>ZENITH AVIATION LTD</t>
  </si>
  <si>
    <t>BEG-TZL-OMO</t>
  </si>
  <si>
    <t>LJ75</t>
  </si>
  <si>
    <t>GZNTJ</t>
  </si>
  <si>
    <t>GEN AVI</t>
  </si>
  <si>
    <t>BZE03B</t>
  </si>
  <si>
    <t>BZE03C</t>
  </si>
  <si>
    <t>2 putnika u tranzitu</t>
  </si>
  <si>
    <t>69+2 INF</t>
  </si>
  <si>
    <t>HALSA/HALWP</t>
  </si>
  <si>
    <t>TZL-MLH-TZL</t>
  </si>
  <si>
    <t>HALWP</t>
  </si>
  <si>
    <t>W64294</t>
  </si>
  <si>
    <t>W64293</t>
  </si>
  <si>
    <t>43+0 INF</t>
  </si>
  <si>
    <t>70+0 INF</t>
  </si>
  <si>
    <t>156+5 INF</t>
  </si>
  <si>
    <t>55+0INF</t>
  </si>
  <si>
    <t>75+3 INF</t>
  </si>
  <si>
    <t>106+4INF</t>
  </si>
  <si>
    <t>85+1INF</t>
  </si>
  <si>
    <t>104+0 INF</t>
  </si>
  <si>
    <t>95+0INF</t>
  </si>
  <si>
    <t>114+3 INF</t>
  </si>
  <si>
    <t>88+3 INF</t>
  </si>
  <si>
    <t>115+10 INF</t>
  </si>
  <si>
    <t>SWISS AIR AMBULANCE</t>
  </si>
  <si>
    <t>PRN-TZL-ZRH</t>
  </si>
  <si>
    <t>CL650</t>
  </si>
  <si>
    <t>HBJWB</t>
  </si>
  <si>
    <t>SAZ62</t>
  </si>
  <si>
    <t>1 TRANZIT</t>
  </si>
  <si>
    <t>123+1INF</t>
  </si>
  <si>
    <t>94+3INF</t>
  </si>
  <si>
    <t>SAZ63</t>
  </si>
  <si>
    <t>HAWX</t>
  </si>
  <si>
    <t>NON-SCHEDULED</t>
  </si>
  <si>
    <t>W6803</t>
  </si>
  <si>
    <t>106+2 INF</t>
  </si>
  <si>
    <t>124+7 INF</t>
  </si>
  <si>
    <t>148+4 INF</t>
  </si>
  <si>
    <t>63+1 INF</t>
  </si>
  <si>
    <t>62+2 INF</t>
  </si>
  <si>
    <t>135+4 INF</t>
  </si>
  <si>
    <t>HHN-TZL-HHN</t>
  </si>
  <si>
    <t>HA-LWP</t>
  </si>
  <si>
    <t>119+1 INF</t>
  </si>
  <si>
    <t>68+1 INF</t>
  </si>
  <si>
    <t>67+1 INF</t>
  </si>
  <si>
    <t>48+4 INF</t>
  </si>
  <si>
    <t>113+3 INF</t>
  </si>
  <si>
    <t>132+2 INF</t>
  </si>
  <si>
    <t>119+5INF</t>
  </si>
  <si>
    <t>130+2INF</t>
  </si>
  <si>
    <t>125+1 INF</t>
  </si>
  <si>
    <t>116+2INF</t>
  </si>
  <si>
    <t>48+0 INF</t>
  </si>
  <si>
    <t>110+6 INF</t>
  </si>
  <si>
    <t>86+3INF</t>
  </si>
  <si>
    <t>31+1INF</t>
  </si>
  <si>
    <t>98+5INF</t>
  </si>
  <si>
    <t>HALYR</t>
  </si>
  <si>
    <t>121+2 INF</t>
  </si>
  <si>
    <t>35+1 INF</t>
  </si>
  <si>
    <t>66+3 INF</t>
  </si>
  <si>
    <t>118+5 INF</t>
  </si>
  <si>
    <t>150+3 INF</t>
  </si>
  <si>
    <t>95+1INF</t>
  </si>
  <si>
    <t>137+1INF</t>
  </si>
  <si>
    <t>136+2INF</t>
  </si>
  <si>
    <t>112+7INF</t>
  </si>
  <si>
    <t>153+6INF</t>
  </si>
  <si>
    <t>100+0INF</t>
  </si>
  <si>
    <t>76+1INF</t>
  </si>
  <si>
    <t>73+0INF</t>
  </si>
  <si>
    <t>91+0INF</t>
  </si>
  <si>
    <t>122+6INF</t>
  </si>
  <si>
    <t>90+5INF</t>
  </si>
  <si>
    <t>HALPM</t>
  </si>
  <si>
    <t>101+0 INF</t>
  </si>
  <si>
    <t>137+2 INF</t>
  </si>
  <si>
    <t>82+1 INF</t>
  </si>
  <si>
    <t>96+4INF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</si>
</sst>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1"/>
      <color theme="1"/>
      <name val="Calibri"/>
      <family val="2"/>
      <scheme val="minor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0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3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14" fontId="3" fillId="0" borderId="0" xfId="3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4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center" vertical="center"/>
    </xf>
    <xf numFmtId="20" fontId="6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5" fillId="0" borderId="0" xfId="5" applyFont="1" applyAlignment="1">
      <alignment horizontal="center"/>
    </xf>
    <xf numFmtId="0" fontId="5" fillId="0" borderId="0" xfId="2" applyFont="1" applyAlignment="1">
      <alignment horizontal="center"/>
    </xf>
    <xf numFmtId="3" fontId="5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3" fillId="0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3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0" fontId="3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3" fillId="0" borderId="0" xfId="4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3" fillId="0" borderId="0" xfId="5" applyFont="1" applyFill="1" applyAlignment="1">
      <alignment horizontal="center" vertical="center"/>
    </xf>
    <xf numFmtId="20" fontId="7" fillId="0" borderId="0" xfId="5" applyNumberFormat="1" applyFont="1" applyFill="1" applyAlignment="1">
      <alignment horizontal="center" vertical="center"/>
    </xf>
    <xf numFmtId="20" fontId="3" fillId="0" borderId="0" xfId="5" applyNumberFormat="1" applyFont="1" applyFill="1" applyAlignment="1">
      <alignment horizontal="center" vertical="center"/>
    </xf>
    <xf numFmtId="0" fontId="3" fillId="0" borderId="0" xfId="5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/>
    </xf>
    <xf numFmtId="20" fontId="3" fillId="2" borderId="0" xfId="1" applyNumberFormat="1" applyFont="1" applyFill="1" applyAlignment="1">
      <alignment horizontal="center" vertical="center"/>
    </xf>
    <xf numFmtId="20" fontId="3" fillId="2" borderId="0" xfId="4" applyNumberFormat="1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3" fillId="2" borderId="0" xfId="5" applyNumberFormat="1" applyFont="1" applyFill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0" fontId="0" fillId="3" borderId="0" xfId="0" applyFill="1"/>
    <xf numFmtId="0" fontId="5" fillId="0" borderId="0" xfId="2" applyFont="1" applyFill="1" applyAlignment="1">
      <alignment horizontal="center"/>
    </xf>
    <xf numFmtId="0" fontId="0" fillId="4" borderId="0" xfId="0" applyFill="1"/>
  </cellXfs>
  <cellStyles count="6">
    <cellStyle name="Normal" xfId="0" builtinId="0"/>
    <cellStyle name="Normal 2" xfId="2"/>
    <cellStyle name="Normal 2 2" xfId="3"/>
    <cellStyle name="Normal 2 3" xfId="5"/>
    <cellStyle name="Normal 3 2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3" sqref="K3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44136</v>
      </c>
      <c r="B2" s="4" t="s">
        <v>21</v>
      </c>
      <c r="C2" s="5" t="s">
        <v>28</v>
      </c>
      <c r="D2" s="4" t="s">
        <v>23</v>
      </c>
      <c r="E2" s="4" t="s">
        <v>24</v>
      </c>
      <c r="F2" s="6" t="s">
        <v>25</v>
      </c>
      <c r="G2" s="7">
        <v>70000</v>
      </c>
      <c r="H2" s="5" t="s">
        <v>30</v>
      </c>
      <c r="I2" s="5" t="s">
        <v>29</v>
      </c>
      <c r="J2" s="8">
        <v>0.53472222222222221</v>
      </c>
      <c r="K2" s="9">
        <v>0.51458333333333328</v>
      </c>
      <c r="L2" s="8">
        <v>0.2986111111111111</v>
      </c>
      <c r="M2" s="9">
        <v>0.3</v>
      </c>
      <c r="N2" s="9" t="s">
        <v>32</v>
      </c>
      <c r="O2" s="10" t="s">
        <v>31</v>
      </c>
      <c r="P2" s="4">
        <v>650</v>
      </c>
      <c r="Q2" s="10">
        <v>1476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>
        <v>44136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3">
        <v>70000</v>
      </c>
      <c r="H3" s="4" t="s">
        <v>26</v>
      </c>
      <c r="I3" s="4" t="s">
        <v>27</v>
      </c>
      <c r="J3" s="14">
        <v>0.99305555555555547</v>
      </c>
      <c r="K3" s="15">
        <v>0.98888888888888893</v>
      </c>
      <c r="L3" s="14">
        <v>0.56597222222222221</v>
      </c>
      <c r="M3" s="15">
        <v>0.56527777777777777</v>
      </c>
      <c r="N3" s="10" t="s">
        <v>34</v>
      </c>
      <c r="O3" s="10" t="s">
        <v>33</v>
      </c>
      <c r="P3" s="12">
        <v>943</v>
      </c>
      <c r="Q3" s="10">
        <v>903</v>
      </c>
      <c r="R3" s="4">
        <v>0</v>
      </c>
      <c r="S3" s="4">
        <v>0</v>
      </c>
      <c r="T3" s="4">
        <v>0</v>
      </c>
      <c r="U3" s="4">
        <v>0</v>
      </c>
      <c r="V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M4" sqref="M4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44137</v>
      </c>
      <c r="B2" s="4" t="s">
        <v>21</v>
      </c>
      <c r="C2" s="5" t="s">
        <v>35</v>
      </c>
      <c r="D2" s="4" t="s">
        <v>23</v>
      </c>
      <c r="E2" s="4" t="s">
        <v>24</v>
      </c>
      <c r="F2" s="6" t="s">
        <v>25</v>
      </c>
      <c r="G2" s="7">
        <v>70000</v>
      </c>
      <c r="H2" s="5" t="s">
        <v>37</v>
      </c>
      <c r="I2" s="5" t="s">
        <v>39</v>
      </c>
      <c r="J2" s="8">
        <v>0.47569444444444442</v>
      </c>
      <c r="K2" s="9">
        <v>0.46388888888888885</v>
      </c>
      <c r="L2" s="8">
        <v>0.27430555555555552</v>
      </c>
      <c r="M2" s="9">
        <v>0.27777777777777779</v>
      </c>
      <c r="N2" s="9" t="s">
        <v>42</v>
      </c>
      <c r="O2" s="10" t="s">
        <v>41</v>
      </c>
      <c r="P2" s="4">
        <v>928</v>
      </c>
      <c r="Q2" s="10">
        <v>1037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>
        <v>44137</v>
      </c>
      <c r="B3" s="4" t="s">
        <v>21</v>
      </c>
      <c r="C3" s="4" t="s">
        <v>36</v>
      </c>
      <c r="D3" s="4" t="s">
        <v>23</v>
      </c>
      <c r="E3" s="4" t="s">
        <v>24</v>
      </c>
      <c r="F3" s="4" t="s">
        <v>25</v>
      </c>
      <c r="G3" s="13">
        <v>70000</v>
      </c>
      <c r="H3" s="4" t="s">
        <v>38</v>
      </c>
      <c r="I3" s="4" t="s">
        <v>40</v>
      </c>
      <c r="J3" s="14">
        <v>0.74305555555555547</v>
      </c>
      <c r="K3" s="15">
        <v>0.73541666666666661</v>
      </c>
      <c r="L3" s="14">
        <v>0.53472222222222221</v>
      </c>
      <c r="M3" s="15">
        <v>0.53263888888888888</v>
      </c>
      <c r="N3" s="10" t="s">
        <v>52</v>
      </c>
      <c r="O3" s="10" t="s">
        <v>43</v>
      </c>
      <c r="P3" s="12">
        <v>557</v>
      </c>
      <c r="Q3" s="10">
        <v>510</v>
      </c>
      <c r="R3" s="4">
        <v>0</v>
      </c>
      <c r="S3" s="4">
        <v>0</v>
      </c>
      <c r="T3" s="4">
        <v>0</v>
      </c>
      <c r="U3" s="4">
        <v>0</v>
      </c>
      <c r="V3" s="11"/>
    </row>
    <row r="4" spans="1:22" s="17" customFormat="1" ht="12.75" x14ac:dyDescent="0.25">
      <c r="A4" s="16">
        <v>44137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17">
        <v>8900</v>
      </c>
      <c r="H4" s="4" t="s">
        <v>49</v>
      </c>
      <c r="I4" s="4" t="s">
        <v>49</v>
      </c>
      <c r="J4" s="18">
        <v>0.73263888888888884</v>
      </c>
      <c r="K4" s="19">
        <v>0.72291666666666676</v>
      </c>
      <c r="L4" s="18">
        <v>0.79166666666666663</v>
      </c>
      <c r="M4" s="19">
        <v>0.78819444444444453</v>
      </c>
      <c r="N4" s="17" t="s">
        <v>50</v>
      </c>
      <c r="O4" s="10" t="s">
        <v>51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H23" sqref="H23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44138</v>
      </c>
      <c r="B2" s="6" t="s">
        <v>21</v>
      </c>
      <c r="C2" s="6" t="s">
        <v>53</v>
      </c>
      <c r="D2" s="6" t="s">
        <v>23</v>
      </c>
      <c r="E2" s="6" t="s">
        <v>24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0.47569444444444442</v>
      </c>
      <c r="L2" s="23">
        <v>0.27430555555555552</v>
      </c>
      <c r="M2" s="25">
        <v>0.27847222222222223</v>
      </c>
      <c r="N2" s="5">
        <v>51</v>
      </c>
      <c r="O2" s="26" t="s">
        <v>61</v>
      </c>
      <c r="P2" s="27">
        <v>238</v>
      </c>
      <c r="Q2" s="26">
        <v>958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44138</v>
      </c>
      <c r="B3" s="6" t="s">
        <v>21</v>
      </c>
      <c r="C3" s="5" t="s">
        <v>56</v>
      </c>
      <c r="D3" s="5" t="s">
        <v>23</v>
      </c>
      <c r="E3" s="6" t="s">
        <v>24</v>
      </c>
      <c r="F3" s="6" t="s">
        <v>25</v>
      </c>
      <c r="G3" s="22">
        <v>70000</v>
      </c>
      <c r="H3" s="6" t="s">
        <v>57</v>
      </c>
      <c r="I3" s="6" t="s">
        <v>58</v>
      </c>
      <c r="J3" s="28">
        <v>0.64930555555555558</v>
      </c>
      <c r="K3" s="29">
        <v>0.63888888888888895</v>
      </c>
      <c r="L3" s="28">
        <v>0.5</v>
      </c>
      <c r="M3" s="25">
        <v>0.50694444444444442</v>
      </c>
      <c r="N3" s="5" t="s">
        <v>63</v>
      </c>
      <c r="O3" s="30" t="s">
        <v>62</v>
      </c>
      <c r="P3" s="6">
        <v>554</v>
      </c>
      <c r="Q3" s="26">
        <v>803</v>
      </c>
      <c r="R3" s="5">
        <v>0</v>
      </c>
      <c r="S3" s="5">
        <v>0</v>
      </c>
      <c r="T3" s="5">
        <v>0</v>
      </c>
      <c r="U3" s="5">
        <v>0</v>
      </c>
    </row>
    <row r="4" spans="1:21" s="21" customFormat="1" x14ac:dyDescent="0.25">
      <c r="A4" s="3">
        <v>44138</v>
      </c>
      <c r="B4" s="4" t="s">
        <v>21</v>
      </c>
      <c r="C4" s="31" t="s">
        <v>59</v>
      </c>
      <c r="D4" s="4" t="s">
        <v>23</v>
      </c>
      <c r="E4" s="4" t="s">
        <v>24</v>
      </c>
      <c r="F4" s="4" t="s">
        <v>25</v>
      </c>
      <c r="G4" s="7">
        <v>70000</v>
      </c>
      <c r="H4" s="4" t="s">
        <v>60</v>
      </c>
      <c r="I4" s="31" t="s">
        <v>29</v>
      </c>
      <c r="J4" s="32">
        <v>0.94791666666666663</v>
      </c>
      <c r="K4" s="29">
        <v>0.93958333333333333</v>
      </c>
      <c r="L4" s="32">
        <v>0.71527777777777779</v>
      </c>
      <c r="M4" s="33">
        <v>0.71111111111111114</v>
      </c>
      <c r="N4" s="5" t="s">
        <v>65</v>
      </c>
      <c r="O4" s="34" t="s">
        <v>64</v>
      </c>
      <c r="P4" s="34">
        <v>220</v>
      </c>
      <c r="Q4" s="34">
        <v>1049</v>
      </c>
      <c r="R4" s="4">
        <v>0</v>
      </c>
      <c r="S4" s="4">
        <v>0</v>
      </c>
      <c r="T4" s="4">
        <v>0</v>
      </c>
      <c r="U4" s="4">
        <v>0</v>
      </c>
    </row>
    <row r="5" spans="1:21" s="21" customFormat="1" x14ac:dyDescent="0.25">
      <c r="A5" s="3"/>
      <c r="B5" s="5"/>
      <c r="C5" s="5"/>
      <c r="D5" s="5"/>
      <c r="E5" s="6"/>
      <c r="F5" s="5"/>
      <c r="G5" s="22"/>
      <c r="H5" s="5"/>
      <c r="I5" s="5"/>
      <c r="J5" s="35"/>
      <c r="K5" s="24"/>
      <c r="L5" s="35"/>
      <c r="M5" s="25"/>
      <c r="N5" s="5"/>
      <c r="O5" s="5"/>
      <c r="P5" s="5"/>
      <c r="Q5" s="5"/>
      <c r="R5" s="5"/>
      <c r="S5" s="5"/>
      <c r="T5" s="5"/>
      <c r="U5" s="5"/>
    </row>
    <row r="6" spans="1:21" s="21" customFormat="1" x14ac:dyDescent="0.25">
      <c r="A6" s="3"/>
      <c r="B6" s="27"/>
      <c r="C6" s="27"/>
      <c r="D6" s="27"/>
      <c r="E6" s="6"/>
      <c r="F6" s="27"/>
      <c r="G6" s="22"/>
      <c r="H6" s="27"/>
      <c r="I6" s="27"/>
      <c r="J6" s="28"/>
      <c r="K6" s="25"/>
      <c r="L6" s="28"/>
      <c r="M6" s="25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opLeftCell="D1" workbookViewId="0">
      <selection activeCell="D1"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44139</v>
      </c>
      <c r="B2" s="4" t="s">
        <v>21</v>
      </c>
      <c r="C2" s="5" t="s">
        <v>28</v>
      </c>
      <c r="D2" s="4" t="s">
        <v>23</v>
      </c>
      <c r="E2" s="4" t="s">
        <v>24</v>
      </c>
      <c r="F2" s="6" t="s">
        <v>25</v>
      </c>
      <c r="G2" s="7">
        <v>70000</v>
      </c>
      <c r="H2" s="5" t="s">
        <v>30</v>
      </c>
      <c r="I2" s="5" t="s">
        <v>29</v>
      </c>
      <c r="J2" s="8">
        <v>0.74305555555555547</v>
      </c>
      <c r="K2" s="9">
        <v>0.72777777777777775</v>
      </c>
      <c r="L2" s="8">
        <v>0.50694444444444442</v>
      </c>
      <c r="M2" s="9">
        <v>0.50347222222222221</v>
      </c>
      <c r="N2" s="9" t="s">
        <v>67</v>
      </c>
      <c r="O2" s="10" t="s">
        <v>66</v>
      </c>
      <c r="P2" s="4">
        <v>689</v>
      </c>
      <c r="Q2" s="10">
        <v>1222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/>
      <c r="B3" s="4"/>
      <c r="C3" s="4"/>
      <c r="D3" s="4"/>
      <c r="E3" s="4"/>
      <c r="F3" s="4"/>
      <c r="G3" s="13"/>
      <c r="H3" s="4"/>
      <c r="I3" s="4"/>
      <c r="J3" s="14"/>
      <c r="K3" s="15"/>
      <c r="L3" s="14"/>
      <c r="M3" s="15"/>
      <c r="N3" s="10"/>
      <c r="O3" s="10"/>
      <c r="Q3" s="10"/>
      <c r="R3" s="4"/>
      <c r="S3" s="4"/>
      <c r="T3" s="4"/>
      <c r="U3" s="4"/>
      <c r="V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2" sqref="K2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44140</v>
      </c>
      <c r="B2" s="4" t="s">
        <v>21</v>
      </c>
      <c r="C2" s="5" t="s">
        <v>22</v>
      </c>
      <c r="D2" s="4" t="s">
        <v>23</v>
      </c>
      <c r="E2" s="4" t="s">
        <v>24</v>
      </c>
      <c r="F2" s="6" t="s">
        <v>25</v>
      </c>
      <c r="G2" s="7">
        <v>70000</v>
      </c>
      <c r="H2" s="5" t="s">
        <v>26</v>
      </c>
      <c r="I2" s="5" t="s">
        <v>27</v>
      </c>
      <c r="J2" s="8">
        <v>0.45833333333333331</v>
      </c>
      <c r="K2" s="9">
        <v>0.45416666666666666</v>
      </c>
      <c r="L2" s="8">
        <v>0.27430555555555552</v>
      </c>
      <c r="M2" s="9">
        <v>0.28194444444444444</v>
      </c>
      <c r="N2" s="9" t="s">
        <v>69</v>
      </c>
      <c r="O2" s="10" t="s">
        <v>68</v>
      </c>
      <c r="P2" s="4">
        <v>510</v>
      </c>
      <c r="Q2" s="10">
        <v>559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/>
      <c r="B3" s="4"/>
      <c r="C3" s="4"/>
      <c r="D3" s="4"/>
      <c r="E3" s="4"/>
      <c r="F3" s="4"/>
      <c r="G3" s="13"/>
      <c r="H3" s="4"/>
      <c r="I3" s="4"/>
      <c r="J3" s="14"/>
      <c r="K3" s="15"/>
      <c r="L3" s="14"/>
      <c r="M3" s="15"/>
      <c r="N3" s="10"/>
      <c r="O3" s="10"/>
      <c r="Q3" s="10"/>
      <c r="R3" s="4"/>
      <c r="S3" s="4"/>
      <c r="T3" s="4"/>
      <c r="U3" s="4"/>
      <c r="V3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N13" sqref="N13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44141</v>
      </c>
      <c r="B2" s="4" t="s">
        <v>21</v>
      </c>
      <c r="C2" s="4" t="s">
        <v>35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15">
        <v>0.4597222222222222</v>
      </c>
      <c r="L2" s="14">
        <v>0.25694444444444448</v>
      </c>
      <c r="M2" s="15">
        <v>0.2673611111111111</v>
      </c>
      <c r="N2" s="15" t="s">
        <v>74</v>
      </c>
      <c r="O2" s="15" t="s">
        <v>73</v>
      </c>
      <c r="P2" s="10">
        <v>1148</v>
      </c>
      <c r="Q2" s="10">
        <v>902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>
        <f>A2</f>
        <v>44141</v>
      </c>
      <c r="B3" s="5" t="s">
        <v>21</v>
      </c>
      <c r="C3" s="5" t="s">
        <v>36</v>
      </c>
      <c r="D3" s="5" t="s">
        <v>23</v>
      </c>
      <c r="E3" s="4" t="s">
        <v>24</v>
      </c>
      <c r="F3" s="5" t="s">
        <v>25</v>
      </c>
      <c r="G3" s="22">
        <f>G2</f>
        <v>70000</v>
      </c>
      <c r="H3" s="5" t="s">
        <v>38</v>
      </c>
      <c r="I3" s="5" t="s">
        <v>40</v>
      </c>
      <c r="J3" s="35">
        <v>0.74305555555555547</v>
      </c>
      <c r="K3" s="29">
        <v>0.73888888888888893</v>
      </c>
      <c r="L3" s="35">
        <v>0.53472222222222221</v>
      </c>
      <c r="M3" s="25">
        <v>0.53541666666666665</v>
      </c>
      <c r="N3" s="5" t="s">
        <v>76</v>
      </c>
      <c r="O3" s="5" t="s">
        <v>75</v>
      </c>
      <c r="P3" s="5">
        <v>569</v>
      </c>
      <c r="Q3" s="26">
        <v>532</v>
      </c>
      <c r="R3" s="5">
        <v>0</v>
      </c>
      <c r="S3" s="5">
        <v>0</v>
      </c>
      <c r="T3" s="5">
        <v>0</v>
      </c>
      <c r="U3" s="5">
        <v>0</v>
      </c>
    </row>
    <row r="4" spans="1:22" s="12" customFormat="1" ht="12.75" x14ac:dyDescent="0.2">
      <c r="A4" s="3">
        <f>A3</f>
        <v>44141</v>
      </c>
      <c r="B4" s="5" t="s">
        <v>21</v>
      </c>
      <c r="C4" s="4" t="s">
        <v>70</v>
      </c>
      <c r="D4" s="5" t="s">
        <v>23</v>
      </c>
      <c r="E4" s="4" t="s">
        <v>24</v>
      </c>
      <c r="F4" s="5" t="s">
        <v>25</v>
      </c>
      <c r="G4" s="22">
        <f>G3</f>
        <v>70000</v>
      </c>
      <c r="H4" s="4" t="s">
        <v>71</v>
      </c>
      <c r="I4" s="4" t="s">
        <v>72</v>
      </c>
      <c r="J4" s="14">
        <v>0.9375</v>
      </c>
      <c r="K4" s="15">
        <v>0.93263888888888891</v>
      </c>
      <c r="L4" s="14">
        <v>0.76388888888888884</v>
      </c>
      <c r="M4" s="15">
        <v>0.77083333333333337</v>
      </c>
      <c r="N4" s="10" t="s">
        <v>78</v>
      </c>
      <c r="O4" s="10" t="s">
        <v>77</v>
      </c>
      <c r="P4" s="12">
        <v>482</v>
      </c>
      <c r="Q4" s="10">
        <v>732</v>
      </c>
      <c r="R4" s="4">
        <v>0</v>
      </c>
      <c r="S4" s="4">
        <v>0</v>
      </c>
      <c r="T4" s="4">
        <v>0</v>
      </c>
      <c r="U4" s="4">
        <v>0</v>
      </c>
      <c r="V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M26" sqref="M2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44142</v>
      </c>
      <c r="B2" s="6" t="s">
        <v>21</v>
      </c>
      <c r="C2" s="6" t="s">
        <v>53</v>
      </c>
      <c r="D2" s="6" t="s">
        <v>23</v>
      </c>
      <c r="E2" s="6" t="s">
        <v>24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0.53333333333333333</v>
      </c>
      <c r="L2" s="23">
        <v>0.27430555555555552</v>
      </c>
      <c r="M2" s="25">
        <v>0.34930555555555554</v>
      </c>
      <c r="N2" s="5" t="s">
        <v>81</v>
      </c>
      <c r="O2" s="26" t="s">
        <v>79</v>
      </c>
      <c r="P2" s="27">
        <v>449</v>
      </c>
      <c r="Q2" s="26">
        <v>1187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44142</v>
      </c>
      <c r="B3" s="6" t="s">
        <v>21</v>
      </c>
      <c r="C3" s="5" t="s">
        <v>56</v>
      </c>
      <c r="D3" s="5" t="s">
        <v>23</v>
      </c>
      <c r="E3" s="6" t="s">
        <v>24</v>
      </c>
      <c r="F3" s="6" t="s">
        <v>25</v>
      </c>
      <c r="G3" s="22">
        <v>70000</v>
      </c>
      <c r="H3" s="6" t="s">
        <v>57</v>
      </c>
      <c r="I3" s="6" t="s">
        <v>58</v>
      </c>
      <c r="J3" s="28">
        <v>0.64930555555555558</v>
      </c>
      <c r="K3" s="29">
        <v>0.69791666666666663</v>
      </c>
      <c r="L3" s="28">
        <v>0.5</v>
      </c>
      <c r="M3" s="25">
        <v>0.56597222222222221</v>
      </c>
      <c r="N3" s="5" t="s">
        <v>82</v>
      </c>
      <c r="O3" s="30" t="s">
        <v>80</v>
      </c>
      <c r="P3" s="6">
        <v>1075</v>
      </c>
      <c r="Q3" s="26">
        <v>749</v>
      </c>
      <c r="R3" s="5">
        <v>0</v>
      </c>
      <c r="S3" s="5">
        <v>0</v>
      </c>
      <c r="T3" s="5">
        <v>0</v>
      </c>
      <c r="U3" s="5">
        <v>0</v>
      </c>
    </row>
    <row r="4" spans="1:21" s="21" customFormat="1" x14ac:dyDescent="0.25">
      <c r="A4" s="3">
        <v>44142</v>
      </c>
      <c r="B4" s="4" t="s">
        <v>21</v>
      </c>
      <c r="C4" s="31" t="s">
        <v>59</v>
      </c>
      <c r="D4" s="4" t="s">
        <v>23</v>
      </c>
      <c r="E4" s="4" t="s">
        <v>24</v>
      </c>
      <c r="F4" s="4" t="s">
        <v>25</v>
      </c>
      <c r="G4" s="7">
        <v>70000</v>
      </c>
      <c r="H4" s="4" t="s">
        <v>60</v>
      </c>
      <c r="I4" s="31" t="s">
        <v>29</v>
      </c>
      <c r="J4" s="32">
        <v>0.94791666666666663</v>
      </c>
      <c r="K4" s="29">
        <v>0.94930555555555562</v>
      </c>
      <c r="L4" s="32">
        <v>0.71527777777777779</v>
      </c>
      <c r="M4" s="33">
        <v>0.73333333333333339</v>
      </c>
      <c r="N4" s="5" t="s">
        <v>84</v>
      </c>
      <c r="O4" s="34" t="s">
        <v>83</v>
      </c>
      <c r="P4" s="34">
        <v>284</v>
      </c>
      <c r="Q4" s="34">
        <v>1492</v>
      </c>
      <c r="R4" s="4">
        <v>0</v>
      </c>
      <c r="S4" s="4">
        <v>0</v>
      </c>
      <c r="T4" s="4">
        <v>0</v>
      </c>
      <c r="U4" s="4">
        <v>0</v>
      </c>
    </row>
    <row r="5" spans="1:21" s="21" customFormat="1" x14ac:dyDescent="0.25">
      <c r="A5" s="3"/>
      <c r="B5" s="5"/>
      <c r="C5" s="5"/>
      <c r="D5" s="5"/>
      <c r="E5" s="6"/>
      <c r="F5" s="5"/>
      <c r="G5" s="22"/>
      <c r="H5" s="5"/>
      <c r="I5" s="5"/>
      <c r="J5" s="35"/>
      <c r="K5" s="24"/>
      <c r="L5" s="35"/>
      <c r="M5" s="25"/>
      <c r="N5" s="5"/>
      <c r="O5" s="5"/>
      <c r="P5" s="5"/>
      <c r="Q5" s="5"/>
      <c r="R5" s="5"/>
      <c r="S5" s="5"/>
      <c r="T5" s="5"/>
      <c r="U5" s="5"/>
    </row>
    <row r="6" spans="1:21" s="21" customFormat="1" x14ac:dyDescent="0.25">
      <c r="A6" s="3"/>
      <c r="B6" s="27"/>
      <c r="C6" s="27"/>
      <c r="D6" s="27"/>
      <c r="E6" s="6"/>
      <c r="F6" s="27"/>
      <c r="G6" s="22"/>
      <c r="H6" s="27"/>
      <c r="I6" s="27"/>
      <c r="J6" s="28"/>
      <c r="K6" s="25"/>
      <c r="L6" s="28"/>
      <c r="M6" s="25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44143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3">
        <v>70000</v>
      </c>
      <c r="H2" s="4" t="s">
        <v>26</v>
      </c>
      <c r="I2" s="4" t="s">
        <v>27</v>
      </c>
      <c r="J2" s="14">
        <v>0.45833333333333331</v>
      </c>
      <c r="K2" s="15">
        <v>0.47916666666666669</v>
      </c>
      <c r="L2" s="14">
        <v>0.27430555555555552</v>
      </c>
      <c r="M2" s="15">
        <v>0.27986111111111112</v>
      </c>
      <c r="N2" s="10" t="s">
        <v>67</v>
      </c>
      <c r="O2" s="10" t="s">
        <v>85</v>
      </c>
      <c r="P2" s="12">
        <v>557</v>
      </c>
      <c r="Q2" s="10">
        <v>784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12" customFormat="1" ht="12.75" x14ac:dyDescent="0.2">
      <c r="A3" s="3">
        <v>44143</v>
      </c>
      <c r="B3" s="4" t="s">
        <v>21</v>
      </c>
      <c r="C3" s="5" t="s">
        <v>28</v>
      </c>
      <c r="D3" s="4" t="s">
        <v>23</v>
      </c>
      <c r="E3" s="4" t="s">
        <v>24</v>
      </c>
      <c r="F3" s="6" t="s">
        <v>25</v>
      </c>
      <c r="G3" s="7">
        <v>70000</v>
      </c>
      <c r="H3" s="5" t="s">
        <v>30</v>
      </c>
      <c r="I3" s="5" t="s">
        <v>29</v>
      </c>
      <c r="J3" s="8">
        <v>0.74305555555555547</v>
      </c>
      <c r="K3" s="9">
        <v>0.7284722222222223</v>
      </c>
      <c r="L3" s="8">
        <v>0.50694444444444442</v>
      </c>
      <c r="M3" s="9">
        <v>0.51458333333333328</v>
      </c>
      <c r="N3" s="9" t="s">
        <v>87</v>
      </c>
      <c r="O3" s="10" t="s">
        <v>86</v>
      </c>
      <c r="P3" s="4">
        <v>439</v>
      </c>
      <c r="Q3" s="10">
        <v>1351</v>
      </c>
      <c r="R3" s="5">
        <v>0</v>
      </c>
      <c r="S3" s="5">
        <v>0</v>
      </c>
      <c r="T3" s="5">
        <v>0</v>
      </c>
      <c r="U3" s="5">
        <v>0</v>
      </c>
      <c r="V3" s="11"/>
    </row>
    <row r="4" spans="1:22" x14ac:dyDescent="0.25">
      <c r="A4" s="3">
        <v>44143</v>
      </c>
      <c r="B4" s="4" t="s">
        <v>88</v>
      </c>
      <c r="C4" s="5" t="s">
        <v>89</v>
      </c>
      <c r="D4" s="4" t="s">
        <v>90</v>
      </c>
      <c r="E4" s="4" t="s">
        <v>91</v>
      </c>
      <c r="F4" s="6" t="s">
        <v>92</v>
      </c>
      <c r="G4" s="7">
        <v>23</v>
      </c>
      <c r="H4" s="5" t="s">
        <v>93</v>
      </c>
      <c r="I4" s="5" t="s">
        <v>94</v>
      </c>
      <c r="J4" s="8">
        <v>0.61805555555555558</v>
      </c>
      <c r="K4" s="9">
        <v>0.59722222222222221</v>
      </c>
      <c r="L4" s="8">
        <v>0.6875</v>
      </c>
      <c r="M4" s="9">
        <v>0.65625</v>
      </c>
      <c r="N4" s="36">
        <v>0</v>
      </c>
      <c r="O4" s="10">
        <v>1</v>
      </c>
      <c r="P4" s="4">
        <v>0</v>
      </c>
      <c r="Q4" s="10">
        <v>0</v>
      </c>
      <c r="R4" s="5">
        <v>0</v>
      </c>
      <c r="S4" s="5">
        <v>0</v>
      </c>
      <c r="T4" s="5">
        <v>0</v>
      </c>
      <c r="U4" s="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L13" sqref="L13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44144</v>
      </c>
      <c r="B2" s="4" t="s">
        <v>21</v>
      </c>
      <c r="C2" s="4" t="s">
        <v>35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38" t="s">
        <v>96</v>
      </c>
      <c r="L2" s="14">
        <v>0.25694444444444448</v>
      </c>
      <c r="M2" s="15">
        <v>0.25833333333333336</v>
      </c>
      <c r="N2" s="38"/>
      <c r="O2" s="15" t="s">
        <v>95</v>
      </c>
      <c r="P2" s="37"/>
      <c r="Q2" s="10">
        <v>858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>
        <f>A2</f>
        <v>44144</v>
      </c>
      <c r="B3" s="5" t="s">
        <v>21</v>
      </c>
      <c r="C3" s="5" t="s">
        <v>36</v>
      </c>
      <c r="D3" s="5" t="s">
        <v>23</v>
      </c>
      <c r="E3" s="4" t="s">
        <v>24</v>
      </c>
      <c r="F3" s="5" t="s">
        <v>25</v>
      </c>
      <c r="G3" s="22">
        <f>G2</f>
        <v>70000</v>
      </c>
      <c r="H3" s="5" t="s">
        <v>38</v>
      </c>
      <c r="I3" s="5" t="s">
        <v>40</v>
      </c>
      <c r="J3" s="35">
        <v>0.89236111111111116</v>
      </c>
      <c r="K3" s="39" t="s">
        <v>97</v>
      </c>
      <c r="L3" s="35">
        <v>0.50694444444444442</v>
      </c>
      <c r="M3" s="40" t="s">
        <v>97</v>
      </c>
      <c r="N3" s="5"/>
      <c r="O3" s="5"/>
      <c r="P3" s="5"/>
      <c r="Q3" s="26"/>
      <c r="R3" s="5">
        <v>0</v>
      </c>
      <c r="S3" s="5">
        <v>0</v>
      </c>
      <c r="T3" s="5">
        <v>0</v>
      </c>
      <c r="U3" s="5">
        <v>0</v>
      </c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2" max="2" width="22.42578125" bestFit="1" customWidth="1"/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44145</v>
      </c>
      <c r="B2" s="6" t="s">
        <v>21</v>
      </c>
      <c r="C2" s="6" t="s">
        <v>53</v>
      </c>
      <c r="D2" s="6" t="s">
        <v>23</v>
      </c>
      <c r="E2" s="6" t="s">
        <v>98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0.46249999999999997</v>
      </c>
      <c r="L2" s="23">
        <v>0.27430555555555552</v>
      </c>
      <c r="M2" s="25">
        <v>0.26874999999999999</v>
      </c>
      <c r="N2" s="5" t="s">
        <v>105</v>
      </c>
      <c r="O2" s="26" t="s">
        <v>104</v>
      </c>
      <c r="P2" s="27">
        <v>253</v>
      </c>
      <c r="Q2" s="26">
        <v>875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44145</v>
      </c>
      <c r="B3" s="6" t="s">
        <v>21</v>
      </c>
      <c r="C3" s="6" t="s">
        <v>99</v>
      </c>
      <c r="D3" s="6" t="s">
        <v>23</v>
      </c>
      <c r="E3" s="6" t="s">
        <v>24</v>
      </c>
      <c r="F3" s="6" t="s">
        <v>100</v>
      </c>
      <c r="G3" s="22">
        <v>70000</v>
      </c>
      <c r="H3" s="6" t="s">
        <v>101</v>
      </c>
      <c r="I3" s="6" t="s">
        <v>103</v>
      </c>
      <c r="J3" s="23">
        <v>0.45833333333333331</v>
      </c>
      <c r="K3" s="24">
        <v>0.41805555555555557</v>
      </c>
      <c r="L3" s="23" t="s">
        <v>103</v>
      </c>
      <c r="M3" s="25" t="s">
        <v>103</v>
      </c>
      <c r="N3" s="5">
        <v>0</v>
      </c>
      <c r="O3" s="26" t="s">
        <v>103</v>
      </c>
      <c r="P3" s="27">
        <v>0</v>
      </c>
      <c r="Q3" s="26" t="s">
        <v>103</v>
      </c>
      <c r="R3" s="6">
        <v>0</v>
      </c>
      <c r="S3" s="6" t="s">
        <v>103</v>
      </c>
      <c r="T3" s="6">
        <v>0</v>
      </c>
      <c r="U3" s="6" t="s">
        <v>103</v>
      </c>
    </row>
    <row r="4" spans="1:21" s="21" customFormat="1" x14ac:dyDescent="0.25">
      <c r="A4" s="3">
        <v>44145</v>
      </c>
      <c r="B4" s="6" t="s">
        <v>21</v>
      </c>
      <c r="C4" s="5" t="s">
        <v>36</v>
      </c>
      <c r="D4" s="5" t="s">
        <v>23</v>
      </c>
      <c r="E4" s="6" t="s">
        <v>24</v>
      </c>
      <c r="F4" s="6" t="s">
        <v>25</v>
      </c>
      <c r="G4" s="22">
        <v>70000</v>
      </c>
      <c r="H4" s="6" t="s">
        <v>38</v>
      </c>
      <c r="I4" s="6" t="s">
        <v>40</v>
      </c>
      <c r="J4" s="28">
        <v>0.6875</v>
      </c>
      <c r="K4" s="29">
        <v>0.66666666666666663</v>
      </c>
      <c r="L4" s="28">
        <v>0.47916666666666669</v>
      </c>
      <c r="M4" s="25">
        <v>0.47152777777777777</v>
      </c>
      <c r="N4" s="5" t="s">
        <v>116</v>
      </c>
      <c r="O4" s="30" t="s">
        <v>106</v>
      </c>
      <c r="P4" s="6">
        <v>310</v>
      </c>
      <c r="Q4" s="26">
        <v>521</v>
      </c>
      <c r="R4" s="5">
        <v>0</v>
      </c>
      <c r="S4" s="5">
        <v>0</v>
      </c>
      <c r="T4" s="5">
        <v>0</v>
      </c>
      <c r="U4" s="5">
        <v>0</v>
      </c>
    </row>
    <row r="5" spans="1:21" s="21" customFormat="1" x14ac:dyDescent="0.25">
      <c r="A5" s="3">
        <v>44145</v>
      </c>
      <c r="B5" s="4" t="s">
        <v>21</v>
      </c>
      <c r="C5" s="31" t="s">
        <v>56</v>
      </c>
      <c r="D5" s="4" t="s">
        <v>23</v>
      </c>
      <c r="E5" s="6" t="s">
        <v>98</v>
      </c>
      <c r="F5" s="4" t="s">
        <v>25</v>
      </c>
      <c r="G5" s="7">
        <v>70000</v>
      </c>
      <c r="H5" s="4" t="s">
        <v>57</v>
      </c>
      <c r="I5" s="31" t="s">
        <v>102</v>
      </c>
      <c r="J5" s="32">
        <v>0.64930555555555558</v>
      </c>
      <c r="K5" s="29">
        <v>0.63263888888888886</v>
      </c>
      <c r="L5" s="32">
        <v>0.5</v>
      </c>
      <c r="M5" s="33">
        <v>0.49791666666666662</v>
      </c>
      <c r="N5" s="5" t="s">
        <v>115</v>
      </c>
      <c r="O5" s="34" t="s">
        <v>107</v>
      </c>
      <c r="P5" s="34">
        <v>339</v>
      </c>
      <c r="Q5" s="34">
        <v>607</v>
      </c>
      <c r="R5" s="4">
        <v>0</v>
      </c>
      <c r="S5" s="4">
        <v>0</v>
      </c>
      <c r="T5" s="4">
        <v>0</v>
      </c>
      <c r="U5" s="4">
        <v>0</v>
      </c>
    </row>
    <row r="6" spans="1:21" s="21" customFormat="1" x14ac:dyDescent="0.25">
      <c r="A6" s="3">
        <v>44145</v>
      </c>
      <c r="B6" s="5" t="s">
        <v>108</v>
      </c>
      <c r="C6" s="5" t="s">
        <v>109</v>
      </c>
      <c r="D6" s="5" t="s">
        <v>110</v>
      </c>
      <c r="E6" s="6" t="s">
        <v>111</v>
      </c>
      <c r="F6" s="5" t="s">
        <v>48</v>
      </c>
      <c r="G6" s="22">
        <v>9752</v>
      </c>
      <c r="H6" s="5" t="s">
        <v>112</v>
      </c>
      <c r="I6" s="5" t="s">
        <v>113</v>
      </c>
      <c r="J6" s="35">
        <v>0.59375</v>
      </c>
      <c r="K6" s="24">
        <v>0.6</v>
      </c>
      <c r="L6" s="35">
        <v>0.64583333333333337</v>
      </c>
      <c r="M6" s="25">
        <v>0.6479166666666667</v>
      </c>
      <c r="N6" s="5" t="s">
        <v>50</v>
      </c>
      <c r="O6" s="5" t="s">
        <v>114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</row>
    <row r="7" spans="1:21" s="21" customFormat="1" x14ac:dyDescent="0.25">
      <c r="A7" s="3">
        <v>44145</v>
      </c>
      <c r="B7" s="27" t="s">
        <v>117</v>
      </c>
      <c r="C7" s="27" t="s">
        <v>118</v>
      </c>
      <c r="D7" s="27" t="s">
        <v>119</v>
      </c>
      <c r="E7" s="6" t="s">
        <v>120</v>
      </c>
      <c r="F7" s="27" t="s">
        <v>121</v>
      </c>
      <c r="G7" s="22">
        <v>9752</v>
      </c>
      <c r="H7" s="27" t="s">
        <v>122</v>
      </c>
      <c r="I7" s="27" t="s">
        <v>123</v>
      </c>
      <c r="J7" s="28">
        <v>0.77430555555555547</v>
      </c>
      <c r="K7" s="25">
        <v>0.74861111111111101</v>
      </c>
      <c r="L7" s="28">
        <v>0.81597222222222221</v>
      </c>
      <c r="M7" s="25">
        <v>0.76944444444444438</v>
      </c>
      <c r="N7" s="27" t="s">
        <v>114</v>
      </c>
      <c r="O7" s="27" t="s">
        <v>124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A3" sqref="A3:XFD3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44146</v>
      </c>
      <c r="B2" s="4" t="s">
        <v>21</v>
      </c>
      <c r="C2" s="5" t="s">
        <v>28</v>
      </c>
      <c r="D2" s="4" t="s">
        <v>23</v>
      </c>
      <c r="E2" s="4" t="s">
        <v>126</v>
      </c>
      <c r="F2" s="6" t="s">
        <v>25</v>
      </c>
      <c r="G2" s="7">
        <v>70000</v>
      </c>
      <c r="H2" s="5" t="s">
        <v>30</v>
      </c>
      <c r="I2" s="5" t="s">
        <v>29</v>
      </c>
      <c r="J2" s="8">
        <v>0.74305555555555547</v>
      </c>
      <c r="K2" s="9">
        <v>0.7416666666666667</v>
      </c>
      <c r="L2" s="8">
        <v>0.50694444444444442</v>
      </c>
      <c r="M2" s="9">
        <v>0.50902777777777775</v>
      </c>
      <c r="N2" s="9" t="s">
        <v>131</v>
      </c>
      <c r="O2" s="10" t="s">
        <v>125</v>
      </c>
      <c r="P2" s="4">
        <v>412</v>
      </c>
      <c r="Q2" s="10">
        <v>907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>
        <v>44146</v>
      </c>
      <c r="B3" s="4" t="s">
        <v>21</v>
      </c>
      <c r="C3" s="4" t="s">
        <v>127</v>
      </c>
      <c r="D3" s="4" t="s">
        <v>23</v>
      </c>
      <c r="E3" s="4" t="s">
        <v>128</v>
      </c>
      <c r="F3" s="6" t="s">
        <v>25</v>
      </c>
      <c r="G3" s="7">
        <v>70000</v>
      </c>
      <c r="H3" s="4" t="s">
        <v>129</v>
      </c>
      <c r="I3" s="4" t="s">
        <v>130</v>
      </c>
      <c r="J3" s="14">
        <v>0.93055555555555547</v>
      </c>
      <c r="K3" s="15">
        <v>0.93055555555555547</v>
      </c>
      <c r="L3" s="14">
        <v>0.76388888888888884</v>
      </c>
      <c r="M3" s="15">
        <v>0.77222222222222225</v>
      </c>
      <c r="N3" s="10" t="s">
        <v>133</v>
      </c>
      <c r="O3" s="10" t="s">
        <v>132</v>
      </c>
      <c r="P3" s="12">
        <v>1060</v>
      </c>
      <c r="Q3" s="10">
        <v>649</v>
      </c>
      <c r="R3" s="4">
        <v>0</v>
      </c>
      <c r="S3" s="4">
        <v>0</v>
      </c>
      <c r="T3" s="4">
        <v>0</v>
      </c>
      <c r="U3" s="4">
        <v>0</v>
      </c>
      <c r="V3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N11" sqref="N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44147</v>
      </c>
      <c r="B2" s="4" t="s">
        <v>21</v>
      </c>
      <c r="C2" s="5" t="s">
        <v>22</v>
      </c>
      <c r="D2" s="4" t="s">
        <v>23</v>
      </c>
      <c r="E2" s="4" t="s">
        <v>98</v>
      </c>
      <c r="F2" s="6" t="s">
        <v>25</v>
      </c>
      <c r="G2" s="7">
        <v>70000</v>
      </c>
      <c r="H2" s="5" t="s">
        <v>26</v>
      </c>
      <c r="I2" s="5" t="s">
        <v>27</v>
      </c>
      <c r="J2" s="8">
        <v>0.45833333333333331</v>
      </c>
      <c r="K2" s="9">
        <v>0.44097222222222227</v>
      </c>
      <c r="L2" s="8">
        <v>0.27430555555555552</v>
      </c>
      <c r="M2" s="9">
        <v>0.27361111111111108</v>
      </c>
      <c r="N2" s="9" t="s">
        <v>135</v>
      </c>
      <c r="O2" s="10" t="s">
        <v>134</v>
      </c>
      <c r="P2" s="4">
        <v>495</v>
      </c>
      <c r="Q2" s="10">
        <v>507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/>
      <c r="B3" s="4"/>
      <c r="C3" s="4"/>
      <c r="D3" s="4"/>
      <c r="E3" s="4"/>
      <c r="F3" s="4"/>
      <c r="G3" s="13"/>
      <c r="H3" s="4"/>
      <c r="I3" s="4"/>
      <c r="J3" s="14"/>
      <c r="K3" s="15"/>
      <c r="L3" s="14"/>
      <c r="M3" s="15"/>
      <c r="N3" s="10"/>
      <c r="O3" s="10"/>
      <c r="Q3" s="10"/>
      <c r="R3" s="4"/>
      <c r="S3" s="4"/>
      <c r="T3" s="4"/>
      <c r="U3" s="4"/>
      <c r="V3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G32" sqref="G32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44148</v>
      </c>
      <c r="B2" s="4" t="s">
        <v>21</v>
      </c>
      <c r="C2" s="4" t="s">
        <v>35</v>
      </c>
      <c r="D2" s="4" t="s">
        <v>23</v>
      </c>
      <c r="E2" s="4" t="s">
        <v>128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15">
        <v>0.44513888888888892</v>
      </c>
      <c r="L2" s="14">
        <v>0.25694444444444448</v>
      </c>
      <c r="M2" s="15">
        <v>0.25694444444444448</v>
      </c>
      <c r="N2" s="15" t="s">
        <v>137</v>
      </c>
      <c r="O2" s="15" t="s">
        <v>136</v>
      </c>
      <c r="P2" s="10">
        <v>687</v>
      </c>
      <c r="Q2" s="10">
        <v>1033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>
        <f>A2</f>
        <v>44148</v>
      </c>
      <c r="B3" s="5" t="s">
        <v>21</v>
      </c>
      <c r="C3" s="5" t="s">
        <v>36</v>
      </c>
      <c r="D3" s="5" t="s">
        <v>23</v>
      </c>
      <c r="E3" s="4" t="s">
        <v>98</v>
      </c>
      <c r="F3" s="5" t="s">
        <v>25</v>
      </c>
      <c r="G3" s="22">
        <f>G2</f>
        <v>70000</v>
      </c>
      <c r="H3" s="5" t="s">
        <v>38</v>
      </c>
      <c r="I3" s="5" t="s">
        <v>40</v>
      </c>
      <c r="J3" s="35">
        <v>0.86458333333333337</v>
      </c>
      <c r="K3" s="29">
        <v>0.85763888888888884</v>
      </c>
      <c r="L3" s="35">
        <v>0.4861111111111111</v>
      </c>
      <c r="M3" s="41">
        <v>0.49305555555555558</v>
      </c>
      <c r="N3" s="5" t="s">
        <v>139</v>
      </c>
      <c r="O3" s="5" t="s">
        <v>138</v>
      </c>
      <c r="P3" s="5">
        <v>623</v>
      </c>
      <c r="Q3" s="26">
        <v>659</v>
      </c>
      <c r="R3" s="5">
        <v>0</v>
      </c>
      <c r="S3" s="5">
        <v>0</v>
      </c>
      <c r="T3" s="5">
        <v>0</v>
      </c>
      <c r="U3" s="5">
        <v>0</v>
      </c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4" sqref="K4"/>
    </sheetView>
  </sheetViews>
  <sheetFormatPr defaultRowHeight="15" x14ac:dyDescent="0.25"/>
  <cols>
    <col min="2" max="2" width="21.85546875" bestFit="1" customWidth="1"/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2.42578125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44149</v>
      </c>
      <c r="B2" s="6" t="s">
        <v>21</v>
      </c>
      <c r="C2" s="6" t="s">
        <v>53</v>
      </c>
      <c r="D2" s="6" t="s">
        <v>23</v>
      </c>
      <c r="E2" s="6" t="s">
        <v>98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0.47152777777777777</v>
      </c>
      <c r="L2" s="23">
        <v>0.27430555555555552</v>
      </c>
      <c r="M2" s="25">
        <v>0.27777777777777779</v>
      </c>
      <c r="N2" s="5" t="s">
        <v>141</v>
      </c>
      <c r="O2" s="26" t="s">
        <v>140</v>
      </c>
      <c r="P2" s="27">
        <v>680</v>
      </c>
      <c r="Q2" s="26">
        <v>1107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44149</v>
      </c>
      <c r="B3" s="6" t="s">
        <v>21</v>
      </c>
      <c r="C3" s="5" t="s">
        <v>56</v>
      </c>
      <c r="D3" s="5" t="s">
        <v>23</v>
      </c>
      <c r="E3" s="6" t="s">
        <v>98</v>
      </c>
      <c r="F3" s="6" t="s">
        <v>25</v>
      </c>
      <c r="G3" s="22">
        <v>70000</v>
      </c>
      <c r="H3" s="6" t="s">
        <v>57</v>
      </c>
      <c r="I3" s="6" t="s">
        <v>58</v>
      </c>
      <c r="J3" s="28">
        <v>0.64930555555555558</v>
      </c>
      <c r="K3" s="29">
        <v>0.63680555555555551</v>
      </c>
      <c r="L3" s="28">
        <v>0.5</v>
      </c>
      <c r="M3" s="25">
        <v>0.50486111111111109</v>
      </c>
      <c r="N3" s="5" t="s">
        <v>149</v>
      </c>
      <c r="O3" s="30" t="s">
        <v>142</v>
      </c>
      <c r="P3" s="6">
        <v>789</v>
      </c>
      <c r="Q3" s="26">
        <v>1077</v>
      </c>
      <c r="R3" s="5">
        <v>0</v>
      </c>
      <c r="S3" s="5">
        <v>0</v>
      </c>
      <c r="T3" s="5">
        <v>0</v>
      </c>
      <c r="U3" s="5">
        <v>0</v>
      </c>
    </row>
    <row r="4" spans="1:21" s="21" customFormat="1" x14ac:dyDescent="0.25">
      <c r="A4" s="3">
        <v>44149</v>
      </c>
      <c r="B4" s="4" t="s">
        <v>21</v>
      </c>
      <c r="C4" s="31" t="s">
        <v>59</v>
      </c>
      <c r="D4" s="4" t="s">
        <v>23</v>
      </c>
      <c r="E4" s="6" t="s">
        <v>98</v>
      </c>
      <c r="F4" s="4" t="s">
        <v>25</v>
      </c>
      <c r="G4" s="7">
        <v>70000</v>
      </c>
      <c r="H4" s="4" t="s">
        <v>60</v>
      </c>
      <c r="I4" s="31" t="s">
        <v>29</v>
      </c>
      <c r="J4" s="32">
        <v>0.94791666666666663</v>
      </c>
      <c r="K4" s="39" t="s">
        <v>96</v>
      </c>
      <c r="L4" s="32">
        <v>0.71527777777777779</v>
      </c>
      <c r="M4" s="33">
        <v>0.71319444444444446</v>
      </c>
      <c r="N4" s="43"/>
      <c r="O4" s="34" t="s">
        <v>150</v>
      </c>
      <c r="P4" s="42"/>
      <c r="Q4" s="34">
        <v>1060</v>
      </c>
      <c r="R4" s="4">
        <v>0</v>
      </c>
      <c r="S4" s="4">
        <v>0</v>
      </c>
      <c r="T4" s="4">
        <v>0</v>
      </c>
      <c r="U4" s="4">
        <v>0</v>
      </c>
    </row>
    <row r="5" spans="1:21" s="21" customFormat="1" x14ac:dyDescent="0.25">
      <c r="A5" s="3">
        <v>44149</v>
      </c>
      <c r="B5" s="5" t="s">
        <v>143</v>
      </c>
      <c r="C5" s="5" t="s">
        <v>144</v>
      </c>
      <c r="D5" s="5" t="s">
        <v>145</v>
      </c>
      <c r="E5" s="6" t="s">
        <v>146</v>
      </c>
      <c r="F5" s="5" t="s">
        <v>48</v>
      </c>
      <c r="G5" s="22">
        <v>21863</v>
      </c>
      <c r="H5" s="5" t="s">
        <v>147</v>
      </c>
      <c r="I5" s="5" t="s">
        <v>151</v>
      </c>
      <c r="J5" s="35">
        <v>0.77777777777777779</v>
      </c>
      <c r="K5" s="24">
        <v>0.77430555555555547</v>
      </c>
      <c r="L5" s="35">
        <v>0.84027777777777779</v>
      </c>
      <c r="M5" s="25">
        <v>0.8125</v>
      </c>
      <c r="N5" s="5" t="s">
        <v>148</v>
      </c>
      <c r="O5" s="5" t="s">
        <v>51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 s="21" customFormat="1" x14ac:dyDescent="0.25">
      <c r="A6" s="3"/>
      <c r="B6" s="27"/>
      <c r="C6" s="27"/>
      <c r="D6" s="27"/>
      <c r="E6" s="6"/>
      <c r="F6" s="27"/>
      <c r="G6" s="22"/>
      <c r="H6" s="27"/>
      <c r="I6" s="27"/>
      <c r="J6" s="28"/>
      <c r="K6" s="25"/>
      <c r="L6" s="28"/>
      <c r="M6" s="25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J4" sqref="J4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7.5703125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44150</v>
      </c>
      <c r="B2" s="4" t="s">
        <v>21</v>
      </c>
      <c r="C2" s="5" t="s">
        <v>28</v>
      </c>
      <c r="D2" s="4" t="s">
        <v>23</v>
      </c>
      <c r="E2" s="4" t="s">
        <v>98</v>
      </c>
      <c r="F2" s="4" t="s">
        <v>25</v>
      </c>
      <c r="G2" s="13">
        <v>70000</v>
      </c>
      <c r="H2" s="4" t="s">
        <v>26</v>
      </c>
      <c r="I2" s="4" t="s">
        <v>27</v>
      </c>
      <c r="J2" s="14">
        <v>0.50694444444444442</v>
      </c>
      <c r="K2" s="15">
        <v>0.50555555555555554</v>
      </c>
      <c r="L2" s="14">
        <v>0.27430555555555552</v>
      </c>
      <c r="M2" s="15">
        <v>0.27430555555555552</v>
      </c>
      <c r="N2" s="10" t="s">
        <v>158</v>
      </c>
      <c r="O2" s="10" t="s">
        <v>155</v>
      </c>
      <c r="P2" s="12">
        <v>331</v>
      </c>
      <c r="Q2" s="10">
        <v>1266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12" customFormat="1" ht="12.75" x14ac:dyDescent="0.2">
      <c r="A3" s="3">
        <v>44150</v>
      </c>
      <c r="B3" s="4" t="s">
        <v>21</v>
      </c>
      <c r="C3" s="5" t="s">
        <v>161</v>
      </c>
      <c r="D3" s="4" t="s">
        <v>23</v>
      </c>
      <c r="E3" s="4" t="s">
        <v>152</v>
      </c>
      <c r="F3" s="6" t="s">
        <v>25</v>
      </c>
      <c r="G3" s="7">
        <v>70000</v>
      </c>
      <c r="H3" s="5" t="s">
        <v>30</v>
      </c>
      <c r="I3" s="5" t="s">
        <v>29</v>
      </c>
      <c r="J3" s="8">
        <v>0.50347222222222221</v>
      </c>
      <c r="K3" s="9">
        <v>0.50138888888888888</v>
      </c>
      <c r="L3" s="8">
        <v>0.50694444444444442</v>
      </c>
      <c r="M3" s="9">
        <v>0.54097222222222219</v>
      </c>
      <c r="N3" s="9" t="s">
        <v>159</v>
      </c>
      <c r="O3" s="10" t="s">
        <v>156</v>
      </c>
      <c r="P3" s="4">
        <v>539</v>
      </c>
      <c r="Q3" s="10">
        <v>894</v>
      </c>
      <c r="R3" s="5">
        <v>0</v>
      </c>
      <c r="S3" s="5">
        <v>0</v>
      </c>
      <c r="T3" s="5">
        <v>0</v>
      </c>
      <c r="U3" s="5">
        <v>0</v>
      </c>
      <c r="V3" s="11"/>
    </row>
    <row r="4" spans="1:22" s="12" customFormat="1" ht="12.75" x14ac:dyDescent="0.2">
      <c r="A4" s="3">
        <v>44150</v>
      </c>
      <c r="B4" s="4" t="s">
        <v>21</v>
      </c>
      <c r="C4" s="4" t="s">
        <v>127</v>
      </c>
      <c r="D4" s="4" t="s">
        <v>23</v>
      </c>
      <c r="E4" s="4" t="s">
        <v>128</v>
      </c>
      <c r="F4" s="6" t="s">
        <v>25</v>
      </c>
      <c r="G4" s="7">
        <v>70000</v>
      </c>
      <c r="H4" s="4" t="s">
        <v>129</v>
      </c>
      <c r="I4" s="4" t="s">
        <v>130</v>
      </c>
      <c r="J4" s="14">
        <v>0.9375</v>
      </c>
      <c r="K4" s="15">
        <v>0.94027777777777777</v>
      </c>
      <c r="L4" s="14">
        <v>0.54166666666666663</v>
      </c>
      <c r="M4" s="15">
        <v>0.56319444444444444</v>
      </c>
      <c r="N4" s="10" t="s">
        <v>160</v>
      </c>
      <c r="O4" s="10" t="s">
        <v>157</v>
      </c>
      <c r="P4" s="12">
        <v>745</v>
      </c>
      <c r="Q4" s="10">
        <v>835</v>
      </c>
      <c r="R4" s="4">
        <v>0</v>
      </c>
      <c r="S4" s="4">
        <v>0</v>
      </c>
      <c r="T4" s="4">
        <v>0</v>
      </c>
      <c r="U4" s="4">
        <v>0</v>
      </c>
      <c r="V4" s="11"/>
    </row>
    <row r="5" spans="1:22" x14ac:dyDescent="0.25">
      <c r="A5" s="3">
        <v>44150</v>
      </c>
      <c r="B5" s="4" t="s">
        <v>21</v>
      </c>
      <c r="C5" s="4" t="s">
        <v>99</v>
      </c>
      <c r="D5" s="4" t="s">
        <v>23</v>
      </c>
      <c r="E5" s="4" t="s">
        <v>128</v>
      </c>
      <c r="F5" s="6" t="s">
        <v>153</v>
      </c>
      <c r="G5" s="7">
        <v>70000</v>
      </c>
      <c r="H5" s="4" t="s">
        <v>154</v>
      </c>
      <c r="I5" s="44"/>
      <c r="J5" s="28">
        <v>0.53472222222222221</v>
      </c>
      <c r="K5" s="25">
        <v>0.52083333333333337</v>
      </c>
      <c r="L5" s="44"/>
      <c r="M5" s="44"/>
      <c r="N5" s="44"/>
      <c r="O5" s="44"/>
      <c r="P5" s="44"/>
      <c r="Q5" s="44"/>
      <c r="R5" s="44"/>
      <c r="S5" s="44"/>
      <c r="T5" s="44"/>
      <c r="U5" s="4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D1" workbookViewId="0">
      <selection activeCell="P2" sqref="P2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44151</v>
      </c>
      <c r="B2" s="4" t="s">
        <v>21</v>
      </c>
      <c r="C2" s="4" t="s">
        <v>35</v>
      </c>
      <c r="D2" s="4" t="s">
        <v>23</v>
      </c>
      <c r="E2" s="4" t="s">
        <v>162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15">
        <v>0.48958333333333331</v>
      </c>
      <c r="L2" s="14">
        <v>0.25694444444444448</v>
      </c>
      <c r="M2" s="15">
        <v>0.2986111111111111</v>
      </c>
      <c r="N2" s="15" t="s">
        <v>164</v>
      </c>
      <c r="O2" s="15" t="s">
        <v>163</v>
      </c>
      <c r="P2" s="10">
        <v>542</v>
      </c>
      <c r="Q2" s="10">
        <v>1141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/>
      <c r="B3" s="5"/>
      <c r="C3" s="5"/>
      <c r="D3" s="5"/>
      <c r="E3" s="4"/>
      <c r="F3" s="5"/>
      <c r="G3" s="22"/>
      <c r="H3" s="5"/>
      <c r="I3" s="5"/>
      <c r="J3" s="35"/>
      <c r="K3" s="29"/>
      <c r="L3" s="35"/>
      <c r="M3" s="41"/>
      <c r="N3" s="5"/>
      <c r="O3" s="5"/>
      <c r="P3" s="5"/>
      <c r="Q3" s="26"/>
      <c r="R3" s="5"/>
      <c r="S3" s="5"/>
      <c r="T3" s="5"/>
      <c r="U3" s="5"/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P4" s="45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C1" workbookViewId="0">
      <selection activeCell="K3" sqref="K3"/>
    </sheetView>
  </sheetViews>
  <sheetFormatPr defaultRowHeight="15" x14ac:dyDescent="0.25"/>
  <cols>
    <col min="2" max="2" width="22.42578125" bestFit="1" customWidth="1"/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44152</v>
      </c>
      <c r="B2" s="4" t="s">
        <v>21</v>
      </c>
      <c r="C2" s="31" t="s">
        <v>56</v>
      </c>
      <c r="D2" s="4" t="s">
        <v>23</v>
      </c>
      <c r="E2" s="6" t="s">
        <v>98</v>
      </c>
      <c r="F2" s="4" t="s">
        <v>25</v>
      </c>
      <c r="G2" s="7">
        <v>70000</v>
      </c>
      <c r="H2" s="4" t="s">
        <v>57</v>
      </c>
      <c r="I2" s="31" t="s">
        <v>102</v>
      </c>
      <c r="J2" s="32">
        <v>0.64930555555555558</v>
      </c>
      <c r="K2" s="29">
        <v>0.64166666666666672</v>
      </c>
      <c r="L2" s="32">
        <v>0.5</v>
      </c>
      <c r="M2" s="33">
        <v>0.50069444444444444</v>
      </c>
      <c r="N2" s="5" t="s">
        <v>166</v>
      </c>
      <c r="O2" s="34" t="s">
        <v>165</v>
      </c>
      <c r="P2" s="34">
        <v>536</v>
      </c>
      <c r="Q2" s="34">
        <v>449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P24" sqref="P24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44153</v>
      </c>
      <c r="B2" s="4" t="s">
        <v>21</v>
      </c>
      <c r="C2" s="4" t="s">
        <v>127</v>
      </c>
      <c r="D2" s="4" t="s">
        <v>23</v>
      </c>
      <c r="E2" s="4" t="s">
        <v>128</v>
      </c>
      <c r="F2" s="6" t="s">
        <v>25</v>
      </c>
      <c r="G2" s="7">
        <v>70000</v>
      </c>
      <c r="H2" s="4" t="s">
        <v>129</v>
      </c>
      <c r="I2" s="4" t="s">
        <v>130</v>
      </c>
      <c r="J2" s="14">
        <v>0.93055555555555547</v>
      </c>
      <c r="K2" s="15">
        <v>0.93819444444444444</v>
      </c>
      <c r="L2" s="14">
        <v>0.76388888888888884</v>
      </c>
      <c r="M2" s="15">
        <v>0.76736111111111116</v>
      </c>
      <c r="N2" s="10" t="s">
        <v>168</v>
      </c>
      <c r="O2" s="10" t="s">
        <v>167</v>
      </c>
      <c r="P2" s="12">
        <v>873</v>
      </c>
      <c r="Q2" s="10">
        <v>735</v>
      </c>
      <c r="R2" s="4">
        <v>0</v>
      </c>
      <c r="S2" s="4">
        <v>0</v>
      </c>
      <c r="T2" s="4">
        <v>0</v>
      </c>
      <c r="U2" s="4">
        <v>0</v>
      </c>
      <c r="V2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M19" sqref="M19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/>
      <c r="B2" s="4"/>
      <c r="C2" s="4"/>
      <c r="D2" s="4"/>
      <c r="E2" s="4"/>
      <c r="F2" s="4"/>
      <c r="G2" s="7"/>
      <c r="H2" s="4"/>
      <c r="I2" s="4"/>
      <c r="J2" s="14"/>
      <c r="K2" s="15"/>
      <c r="L2" s="14"/>
      <c r="M2" s="15"/>
      <c r="N2" s="15"/>
      <c r="O2" s="15"/>
      <c r="P2" s="10"/>
      <c r="Q2" s="10"/>
      <c r="R2" s="4"/>
      <c r="S2" s="4"/>
      <c r="T2" s="4"/>
      <c r="U2" s="4"/>
      <c r="V2" s="11"/>
    </row>
    <row r="3" spans="1:22" s="21" customFormat="1" x14ac:dyDescent="0.25">
      <c r="A3" s="3"/>
      <c r="B3" s="5"/>
      <c r="C3" s="5"/>
      <c r="D3" s="5"/>
      <c r="E3" s="4"/>
      <c r="F3" s="5"/>
      <c r="G3" s="22"/>
      <c r="H3" s="5"/>
      <c r="I3" s="5"/>
      <c r="J3" s="35"/>
      <c r="K3" s="29"/>
      <c r="L3" s="35"/>
      <c r="M3" s="41"/>
      <c r="N3" s="5"/>
      <c r="O3" s="5"/>
      <c r="P3" s="5"/>
      <c r="Q3" s="26"/>
      <c r="R3" s="5"/>
      <c r="S3" s="5"/>
      <c r="T3" s="5"/>
      <c r="U3" s="5"/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O12" sqref="O12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44155</v>
      </c>
      <c r="B2" s="4" t="s">
        <v>21</v>
      </c>
      <c r="C2" s="4" t="s">
        <v>35</v>
      </c>
      <c r="D2" s="4" t="s">
        <v>23</v>
      </c>
      <c r="E2" s="4" t="s">
        <v>98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15">
        <v>0.4513888888888889</v>
      </c>
      <c r="L2" s="14">
        <v>0.25694444444444448</v>
      </c>
      <c r="M2" s="15">
        <v>0.26180555555555557</v>
      </c>
      <c r="N2" s="15" t="s">
        <v>170</v>
      </c>
      <c r="O2" s="15" t="s">
        <v>169</v>
      </c>
      <c r="P2" s="10">
        <v>1328</v>
      </c>
      <c r="Q2" s="10">
        <v>1208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>
        <v>44155</v>
      </c>
      <c r="B3" s="5" t="s">
        <v>21</v>
      </c>
      <c r="C3" s="5" t="s">
        <v>36</v>
      </c>
      <c r="D3" s="5" t="s">
        <v>23</v>
      </c>
      <c r="E3" s="4" t="s">
        <v>128</v>
      </c>
      <c r="F3" s="5" t="s">
        <v>25</v>
      </c>
      <c r="G3" s="22">
        <f>G2</f>
        <v>70000</v>
      </c>
      <c r="H3" s="5" t="s">
        <v>38</v>
      </c>
      <c r="I3" s="5" t="s">
        <v>40</v>
      </c>
      <c r="J3" s="35">
        <v>0.74305555555555547</v>
      </c>
      <c r="K3" s="29">
        <v>0.73958333333333337</v>
      </c>
      <c r="L3" s="35">
        <v>0.53472222222222221</v>
      </c>
      <c r="M3" s="41">
        <v>0.53194444444444444</v>
      </c>
      <c r="N3" s="5">
        <v>64</v>
      </c>
      <c r="O3" s="5" t="s">
        <v>171</v>
      </c>
      <c r="P3" s="5">
        <v>331</v>
      </c>
      <c r="Q3" s="26">
        <v>1151</v>
      </c>
      <c r="R3" s="5">
        <v>0</v>
      </c>
      <c r="S3" s="5">
        <v>0</v>
      </c>
      <c r="T3" s="5">
        <v>0</v>
      </c>
      <c r="U3" s="5">
        <v>0</v>
      </c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4" sqref="K4"/>
    </sheetView>
  </sheetViews>
  <sheetFormatPr defaultRowHeight="15" x14ac:dyDescent="0.25"/>
  <cols>
    <col min="2" max="2" width="21.85546875" bestFit="1" customWidth="1"/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2.42578125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44156</v>
      </c>
      <c r="B2" s="6" t="s">
        <v>21</v>
      </c>
      <c r="C2" s="6" t="s">
        <v>53</v>
      </c>
      <c r="D2" s="6" t="s">
        <v>23</v>
      </c>
      <c r="E2" s="6" t="s">
        <v>98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0.46597222222222223</v>
      </c>
      <c r="L2" s="23">
        <v>0.27430555555555552</v>
      </c>
      <c r="M2" s="25">
        <v>0.27291666666666664</v>
      </c>
      <c r="N2" s="5" t="s">
        <v>173</v>
      </c>
      <c r="O2" s="26" t="s">
        <v>172</v>
      </c>
      <c r="P2" s="27">
        <v>322</v>
      </c>
      <c r="Q2" s="26">
        <v>878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44156</v>
      </c>
      <c r="B3" s="6" t="s">
        <v>21</v>
      </c>
      <c r="C3" s="5" t="s">
        <v>56</v>
      </c>
      <c r="D3" s="5" t="s">
        <v>23</v>
      </c>
      <c r="E3" s="6" t="s">
        <v>98</v>
      </c>
      <c r="F3" s="6" t="s">
        <v>25</v>
      </c>
      <c r="G3" s="22">
        <v>70000</v>
      </c>
      <c r="H3" s="6" t="s">
        <v>57</v>
      </c>
      <c r="I3" s="6" t="s">
        <v>58</v>
      </c>
      <c r="J3" s="28">
        <v>0.64930555555555558</v>
      </c>
      <c r="K3" s="29">
        <v>0.64236111111111105</v>
      </c>
      <c r="L3" s="28">
        <v>0.5</v>
      </c>
      <c r="M3" s="25">
        <f>L3</f>
        <v>0.5</v>
      </c>
      <c r="N3" s="5" t="s">
        <v>175</v>
      </c>
      <c r="O3" s="30" t="s">
        <v>174</v>
      </c>
      <c r="P3" s="6">
        <v>841</v>
      </c>
      <c r="Q3" s="26">
        <v>861</v>
      </c>
      <c r="R3" s="5">
        <v>0</v>
      </c>
      <c r="S3" s="5">
        <v>0</v>
      </c>
      <c r="T3" s="5">
        <v>0</v>
      </c>
      <c r="U3" s="5">
        <v>0</v>
      </c>
    </row>
    <row r="4" spans="1:21" s="21" customFormat="1" x14ac:dyDescent="0.25">
      <c r="A4" s="3">
        <v>44156</v>
      </c>
      <c r="B4" s="4" t="s">
        <v>21</v>
      </c>
      <c r="C4" s="31" t="s">
        <v>59</v>
      </c>
      <c r="D4" s="4" t="s">
        <v>23</v>
      </c>
      <c r="E4" s="6" t="s">
        <v>128</v>
      </c>
      <c r="F4" s="4" t="s">
        <v>25</v>
      </c>
      <c r="G4" s="7">
        <v>70000</v>
      </c>
      <c r="H4" s="4" t="s">
        <v>60</v>
      </c>
      <c r="I4" s="31" t="s">
        <v>29</v>
      </c>
      <c r="J4" s="32">
        <v>0.94791666666666663</v>
      </c>
      <c r="K4" s="29">
        <v>0.93263888888888891</v>
      </c>
      <c r="L4" s="32">
        <v>0.71527777777777779</v>
      </c>
      <c r="M4" s="33">
        <v>0.71319444444444446</v>
      </c>
      <c r="N4" s="5" t="s">
        <v>176</v>
      </c>
      <c r="O4" s="34" t="s">
        <v>177</v>
      </c>
      <c r="P4" s="34">
        <v>225</v>
      </c>
      <c r="Q4" s="34">
        <v>1053</v>
      </c>
      <c r="R4" s="4">
        <v>0</v>
      </c>
      <c r="S4" s="4">
        <v>0</v>
      </c>
      <c r="T4" s="4">
        <v>0</v>
      </c>
      <c r="U4" s="4">
        <v>0</v>
      </c>
    </row>
    <row r="5" spans="1:21" s="21" customFormat="1" x14ac:dyDescent="0.25">
      <c r="A5" s="3"/>
      <c r="B5" s="5"/>
      <c r="C5" s="5"/>
      <c r="D5" s="5"/>
      <c r="E5" s="6"/>
      <c r="F5" s="5"/>
      <c r="G5" s="22"/>
      <c r="H5" s="5"/>
      <c r="I5" s="5"/>
      <c r="J5" s="35"/>
      <c r="K5" s="24"/>
      <c r="L5" s="35"/>
      <c r="M5" s="25"/>
      <c r="N5" s="5"/>
      <c r="O5" s="5"/>
      <c r="P5" s="5"/>
      <c r="Q5" s="5"/>
      <c r="R5" s="5"/>
      <c r="S5" s="5"/>
      <c r="T5" s="5"/>
      <c r="U5" s="5"/>
    </row>
    <row r="6" spans="1:21" s="21" customFormat="1" x14ac:dyDescent="0.25">
      <c r="A6" s="3"/>
      <c r="B6" s="27"/>
      <c r="C6" s="27"/>
      <c r="D6" s="27"/>
      <c r="E6" s="6"/>
      <c r="F6" s="27"/>
      <c r="G6" s="22"/>
      <c r="H6" s="27"/>
      <c r="I6" s="27"/>
      <c r="J6" s="28"/>
      <c r="K6" s="25"/>
      <c r="L6" s="28"/>
      <c r="M6" s="25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K4" sqref="K4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7.5703125" customWidth="1"/>
    <col min="12" max="12" width="11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44157</v>
      </c>
      <c r="B2" s="4" t="s">
        <v>21</v>
      </c>
      <c r="C2" s="5" t="s">
        <v>28</v>
      </c>
      <c r="D2" s="4" t="s">
        <v>23</v>
      </c>
      <c r="E2" s="4" t="s">
        <v>98</v>
      </c>
      <c r="F2" s="4" t="s">
        <v>25</v>
      </c>
      <c r="G2" s="13">
        <v>70000</v>
      </c>
      <c r="H2" s="4" t="s">
        <v>26</v>
      </c>
      <c r="I2" s="4" t="s">
        <v>27</v>
      </c>
      <c r="J2" s="14">
        <v>0.50694444444444442</v>
      </c>
      <c r="K2" s="15">
        <v>0.48819444444444443</v>
      </c>
      <c r="L2" s="14">
        <v>0.27430555555555552</v>
      </c>
      <c r="M2" s="15">
        <v>0.27013888888888887</v>
      </c>
      <c r="N2" s="10" t="s">
        <v>180</v>
      </c>
      <c r="O2" s="10" t="s">
        <v>179</v>
      </c>
      <c r="P2" s="12">
        <v>238</v>
      </c>
      <c r="Q2" s="10">
        <v>1371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12" customFormat="1" ht="12.75" x14ac:dyDescent="0.2">
      <c r="A3" s="3">
        <v>44157</v>
      </c>
      <c r="B3" s="4" t="s">
        <v>21</v>
      </c>
      <c r="C3" s="5" t="s">
        <v>161</v>
      </c>
      <c r="D3" s="4" t="s">
        <v>23</v>
      </c>
      <c r="E3" s="4" t="s">
        <v>178</v>
      </c>
      <c r="F3" s="6" t="s">
        <v>25</v>
      </c>
      <c r="G3" s="7">
        <v>70000</v>
      </c>
      <c r="H3" s="5" t="s">
        <v>30</v>
      </c>
      <c r="I3" s="5" t="s">
        <v>29</v>
      </c>
      <c r="J3" s="8">
        <v>0.50347222222222221</v>
      </c>
      <c r="K3" s="9">
        <v>0.4916666666666667</v>
      </c>
      <c r="L3" s="8">
        <v>0.52430555555555558</v>
      </c>
      <c r="M3" s="9">
        <v>0.5229166666666667</v>
      </c>
      <c r="N3" s="9" t="s">
        <v>181</v>
      </c>
      <c r="O3" s="10" t="s">
        <v>182</v>
      </c>
      <c r="P3" s="4">
        <v>595</v>
      </c>
      <c r="Q3" s="10">
        <v>1006</v>
      </c>
      <c r="R3" s="5">
        <v>0</v>
      </c>
      <c r="S3" s="5">
        <v>0</v>
      </c>
      <c r="T3" s="5">
        <v>0</v>
      </c>
      <c r="U3" s="5">
        <v>0</v>
      </c>
      <c r="V3" s="11"/>
    </row>
    <row r="4" spans="1:22" s="12" customFormat="1" ht="12.75" x14ac:dyDescent="0.2">
      <c r="A4" s="3">
        <v>44157</v>
      </c>
      <c r="B4" s="4" t="s">
        <v>21</v>
      </c>
      <c r="C4" s="4" t="s">
        <v>127</v>
      </c>
      <c r="D4" s="4" t="s">
        <v>23</v>
      </c>
      <c r="E4" s="4" t="s">
        <v>128</v>
      </c>
      <c r="F4" s="6" t="s">
        <v>25</v>
      </c>
      <c r="G4" s="7">
        <v>70000</v>
      </c>
      <c r="H4" s="4" t="s">
        <v>129</v>
      </c>
      <c r="I4" s="4" t="s">
        <v>130</v>
      </c>
      <c r="J4" s="14">
        <v>0.9375</v>
      </c>
      <c r="K4" s="15">
        <v>0.92083333333333339</v>
      </c>
      <c r="L4" s="14">
        <v>0.54166666666666663</v>
      </c>
      <c r="M4" s="15">
        <v>0.55763888888888891</v>
      </c>
      <c r="N4" s="10" t="s">
        <v>184</v>
      </c>
      <c r="O4" s="10" t="s">
        <v>183</v>
      </c>
      <c r="P4" s="12">
        <v>510</v>
      </c>
      <c r="Q4" s="10">
        <v>1057</v>
      </c>
      <c r="R4" s="4">
        <v>0</v>
      </c>
      <c r="S4" s="4">
        <v>0</v>
      </c>
      <c r="T4" s="4">
        <v>0</v>
      </c>
      <c r="U4" s="4">
        <v>0</v>
      </c>
      <c r="V4" s="11"/>
    </row>
    <row r="5" spans="1:22" x14ac:dyDescent="0.25">
      <c r="A5" s="3"/>
      <c r="B5" s="4"/>
      <c r="C5" s="4"/>
      <c r="D5" s="4"/>
      <c r="E5" s="4"/>
      <c r="F5" s="6"/>
      <c r="G5" s="7"/>
      <c r="H5" s="4"/>
      <c r="I5" s="46"/>
      <c r="J5" s="28"/>
      <c r="K5" s="25"/>
      <c r="L5" s="46"/>
      <c r="M5" s="46"/>
      <c r="N5" s="46"/>
      <c r="O5" s="46"/>
      <c r="P5" s="46"/>
      <c r="Q5" s="46"/>
      <c r="R5" s="46"/>
      <c r="S5" s="46"/>
      <c r="T5" s="46"/>
      <c r="U5" s="46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K2" sqref="K2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44160</v>
      </c>
      <c r="B2" s="4" t="s">
        <v>21</v>
      </c>
      <c r="C2" s="4" t="s">
        <v>127</v>
      </c>
      <c r="D2" s="4" t="s">
        <v>23</v>
      </c>
      <c r="E2" s="4" t="s">
        <v>128</v>
      </c>
      <c r="F2" s="6" t="s">
        <v>25</v>
      </c>
      <c r="G2" s="7">
        <v>70000</v>
      </c>
      <c r="H2" s="4" t="s">
        <v>129</v>
      </c>
      <c r="I2" s="4" t="s">
        <v>130</v>
      </c>
      <c r="J2" s="14">
        <v>0.93055555555555547</v>
      </c>
      <c r="K2" s="15">
        <v>0.92569444444444438</v>
      </c>
      <c r="L2" s="14">
        <v>0.76388888888888884</v>
      </c>
      <c r="M2" s="15">
        <v>0.76666666666666661</v>
      </c>
      <c r="N2" s="10" t="s">
        <v>185</v>
      </c>
      <c r="O2" s="10" t="s">
        <v>186</v>
      </c>
      <c r="P2" s="12">
        <v>850</v>
      </c>
      <c r="Q2" s="10">
        <v>776</v>
      </c>
      <c r="R2" s="4">
        <v>0</v>
      </c>
      <c r="S2" s="4">
        <v>0</v>
      </c>
      <c r="T2" s="4">
        <v>0</v>
      </c>
      <c r="U2" s="4">
        <v>0</v>
      </c>
      <c r="V2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D1" workbookViewId="0">
      <selection activeCell="K3" sqref="K3"/>
    </sheetView>
  </sheetViews>
  <sheetFormatPr defaultRowHeight="15" x14ac:dyDescent="0.25"/>
  <cols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44162</v>
      </c>
      <c r="B2" s="4" t="s">
        <v>21</v>
      </c>
      <c r="C2" s="4" t="s">
        <v>35</v>
      </c>
      <c r="D2" s="4" t="s">
        <v>23</v>
      </c>
      <c r="E2" s="4" t="s">
        <v>98</v>
      </c>
      <c r="F2" s="4" t="s">
        <v>25</v>
      </c>
      <c r="G2" s="7">
        <v>70000</v>
      </c>
      <c r="H2" s="4" t="s">
        <v>37</v>
      </c>
      <c r="I2" s="4" t="s">
        <v>39</v>
      </c>
      <c r="J2" s="14">
        <v>0.45833333333333331</v>
      </c>
      <c r="K2" s="15">
        <v>0.45</v>
      </c>
      <c r="L2" s="14">
        <v>0.25694444444444448</v>
      </c>
      <c r="M2" s="15">
        <v>0.2673611111111111</v>
      </c>
      <c r="N2" s="15" t="s">
        <v>187</v>
      </c>
      <c r="O2" s="15" t="s">
        <v>188</v>
      </c>
      <c r="P2" s="10">
        <v>968</v>
      </c>
      <c r="Q2" s="10">
        <v>1311</v>
      </c>
      <c r="R2" s="4">
        <v>0</v>
      </c>
      <c r="S2" s="4">
        <v>0</v>
      </c>
      <c r="T2" s="4">
        <v>0</v>
      </c>
      <c r="U2" s="4">
        <v>0</v>
      </c>
      <c r="V2" s="11"/>
    </row>
    <row r="3" spans="1:22" s="21" customFormat="1" x14ac:dyDescent="0.25">
      <c r="A3" s="3">
        <v>44162</v>
      </c>
      <c r="B3" s="5" t="s">
        <v>21</v>
      </c>
      <c r="C3" s="5" t="s">
        <v>36</v>
      </c>
      <c r="D3" s="5" t="s">
        <v>23</v>
      </c>
      <c r="E3" s="4" t="s">
        <v>128</v>
      </c>
      <c r="F3" s="5" t="s">
        <v>25</v>
      </c>
      <c r="G3" s="22">
        <f>G2</f>
        <v>70000</v>
      </c>
      <c r="H3" s="5" t="s">
        <v>38</v>
      </c>
      <c r="I3" s="5" t="s">
        <v>40</v>
      </c>
      <c r="J3" s="35">
        <v>0.74305555555555547</v>
      </c>
      <c r="K3" s="29">
        <v>0.73402777777777783</v>
      </c>
      <c r="L3" s="35">
        <v>0.53472222222222221</v>
      </c>
      <c r="M3" s="41">
        <v>0.53402777777777777</v>
      </c>
      <c r="N3" s="5" t="s">
        <v>190</v>
      </c>
      <c r="O3" s="5" t="s">
        <v>189</v>
      </c>
      <c r="P3" s="5">
        <v>610</v>
      </c>
      <c r="Q3" s="26">
        <v>664</v>
      </c>
      <c r="R3" s="5">
        <v>0</v>
      </c>
      <c r="S3" s="5">
        <v>0</v>
      </c>
      <c r="T3" s="5">
        <v>0</v>
      </c>
      <c r="U3" s="5">
        <v>0</v>
      </c>
    </row>
    <row r="4" spans="1:22" s="12" customFormat="1" ht="12.75" x14ac:dyDescent="0.2">
      <c r="A4" s="3"/>
      <c r="B4" s="5"/>
      <c r="C4" s="4"/>
      <c r="D4" s="5"/>
      <c r="E4" s="4"/>
      <c r="F4" s="5"/>
      <c r="G4" s="22"/>
      <c r="H4" s="4"/>
      <c r="I4" s="4"/>
      <c r="J4" s="14"/>
      <c r="K4" s="15"/>
      <c r="L4" s="14"/>
      <c r="M4" s="15"/>
      <c r="N4" s="10"/>
      <c r="O4" s="10"/>
      <c r="Q4" s="10"/>
      <c r="R4" s="4"/>
      <c r="S4" s="4"/>
      <c r="T4" s="4"/>
      <c r="U4" s="4"/>
      <c r="V4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D1" workbookViewId="0">
      <selection activeCell="K3" sqref="K3"/>
    </sheetView>
  </sheetViews>
  <sheetFormatPr defaultRowHeight="15" x14ac:dyDescent="0.25"/>
  <cols>
    <col min="2" max="2" width="21.85546875" bestFit="1" customWidth="1"/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2.42578125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s="21" customFormat="1" x14ac:dyDescent="0.25">
      <c r="A2" s="3">
        <v>44163</v>
      </c>
      <c r="B2" s="6" t="s">
        <v>21</v>
      </c>
      <c r="C2" s="6" t="s">
        <v>53</v>
      </c>
      <c r="D2" s="6" t="s">
        <v>23</v>
      </c>
      <c r="E2" s="6" t="s">
        <v>98</v>
      </c>
      <c r="F2" s="6" t="s">
        <v>25</v>
      </c>
      <c r="G2" s="22">
        <v>70000</v>
      </c>
      <c r="H2" s="6" t="s">
        <v>54</v>
      </c>
      <c r="I2" s="6" t="s">
        <v>55</v>
      </c>
      <c r="J2" s="23">
        <v>0.47916666666666669</v>
      </c>
      <c r="K2" s="24">
        <v>0.47638888888888892</v>
      </c>
      <c r="L2" s="23">
        <v>0.27430555555555552</v>
      </c>
      <c r="M2" s="25">
        <v>0.28819444444444448</v>
      </c>
      <c r="N2" s="5" t="s">
        <v>192</v>
      </c>
      <c r="O2" s="26" t="s">
        <v>191</v>
      </c>
      <c r="P2" s="27">
        <v>698</v>
      </c>
      <c r="Q2" s="26">
        <v>614</v>
      </c>
      <c r="R2" s="6">
        <v>0</v>
      </c>
      <c r="S2" s="6">
        <v>0</v>
      </c>
      <c r="T2" s="6">
        <v>0</v>
      </c>
      <c r="U2" s="6">
        <v>0</v>
      </c>
    </row>
    <row r="3" spans="1:21" s="21" customFormat="1" x14ac:dyDescent="0.25">
      <c r="A3" s="3">
        <v>44163</v>
      </c>
      <c r="B3" s="6" t="s">
        <v>21</v>
      </c>
      <c r="C3" s="5" t="s">
        <v>56</v>
      </c>
      <c r="D3" s="5" t="s">
        <v>23</v>
      </c>
      <c r="E3" s="6" t="s">
        <v>98</v>
      </c>
      <c r="F3" s="6" t="s">
        <v>25</v>
      </c>
      <c r="G3" s="22">
        <v>70000</v>
      </c>
      <c r="H3" s="6" t="s">
        <v>57</v>
      </c>
      <c r="I3" s="6" t="s">
        <v>58</v>
      </c>
      <c r="J3" s="28">
        <v>0.64930555555555558</v>
      </c>
      <c r="K3" s="29">
        <v>0.64444444444444449</v>
      </c>
      <c r="L3" s="28">
        <v>0.5</v>
      </c>
      <c r="M3" s="25">
        <v>0.50972222222222219</v>
      </c>
      <c r="N3" s="5" t="s">
        <v>194</v>
      </c>
      <c r="O3" s="30" t="s">
        <v>193</v>
      </c>
      <c r="P3" s="6">
        <v>874</v>
      </c>
      <c r="Q3" s="26">
        <v>1082</v>
      </c>
      <c r="R3" s="5">
        <v>0</v>
      </c>
      <c r="S3" s="5">
        <v>0</v>
      </c>
      <c r="T3" s="5">
        <v>0</v>
      </c>
      <c r="U3" s="5">
        <v>0</v>
      </c>
    </row>
    <row r="4" spans="1:21" s="21" customFormat="1" x14ac:dyDescent="0.25">
      <c r="A4" s="3"/>
      <c r="B4" s="4"/>
      <c r="C4" s="31"/>
      <c r="D4" s="4"/>
      <c r="E4" s="6"/>
      <c r="F4" s="4"/>
      <c r="G4" s="7"/>
      <c r="H4" s="4"/>
      <c r="I4" s="31"/>
      <c r="J4" s="32"/>
      <c r="K4" s="29"/>
      <c r="L4" s="32"/>
      <c r="M4" s="33"/>
      <c r="N4" s="5"/>
      <c r="O4" s="34"/>
      <c r="P4" s="34"/>
      <c r="Q4" s="34"/>
      <c r="R4" s="4"/>
      <c r="S4" s="4"/>
      <c r="T4" s="4"/>
      <c r="U4" s="4"/>
    </row>
    <row r="5" spans="1:21" s="21" customFormat="1" x14ac:dyDescent="0.25">
      <c r="A5" s="3"/>
      <c r="B5" s="5"/>
      <c r="C5" s="5"/>
      <c r="D5" s="5"/>
      <c r="E5" s="6"/>
      <c r="F5" s="5"/>
      <c r="G5" s="22"/>
      <c r="H5" s="5"/>
      <c r="I5" s="5"/>
      <c r="J5" s="35"/>
      <c r="K5" s="24"/>
      <c r="L5" s="35"/>
      <c r="M5" s="25"/>
      <c r="N5" s="5"/>
      <c r="O5" s="5"/>
      <c r="P5" s="5"/>
      <c r="Q5" s="5"/>
      <c r="R5" s="5"/>
      <c r="S5" s="5"/>
      <c r="T5" s="5"/>
      <c r="U5" s="5"/>
    </row>
    <row r="6" spans="1:21" s="21" customFormat="1" x14ac:dyDescent="0.25">
      <c r="A6" s="3"/>
      <c r="B6" s="27"/>
      <c r="C6" s="27"/>
      <c r="D6" s="27"/>
      <c r="E6" s="6"/>
      <c r="F6" s="27"/>
      <c r="G6" s="22"/>
      <c r="H6" s="27"/>
      <c r="I6" s="27"/>
      <c r="J6" s="28"/>
      <c r="K6" s="25"/>
      <c r="L6" s="28"/>
      <c r="M6" s="25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K3" sqref="K3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7.5703125" customWidth="1"/>
    <col min="12" max="12" width="11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2" customFormat="1" ht="12.75" x14ac:dyDescent="0.2">
      <c r="A2" s="3">
        <v>44164</v>
      </c>
      <c r="B2" s="4" t="s">
        <v>21</v>
      </c>
      <c r="C2" s="5" t="s">
        <v>161</v>
      </c>
      <c r="D2" s="4" t="s">
        <v>23</v>
      </c>
      <c r="E2" s="4" t="s">
        <v>195</v>
      </c>
      <c r="F2" s="6" t="s">
        <v>25</v>
      </c>
      <c r="G2" s="7">
        <v>70000</v>
      </c>
      <c r="H2" s="5" t="s">
        <v>26</v>
      </c>
      <c r="I2" s="5" t="s">
        <v>27</v>
      </c>
      <c r="J2" s="8">
        <v>0.51736111111111105</v>
      </c>
      <c r="K2" s="9">
        <v>0.52013888888888882</v>
      </c>
      <c r="L2" s="8">
        <v>0.54166666666666663</v>
      </c>
      <c r="M2" s="9">
        <v>0.57013888888888886</v>
      </c>
      <c r="N2" s="9" t="s">
        <v>196</v>
      </c>
      <c r="O2" s="10" t="s">
        <v>198</v>
      </c>
      <c r="P2" s="4">
        <v>1108</v>
      </c>
      <c r="Q2" s="10">
        <v>595</v>
      </c>
      <c r="R2" s="5">
        <v>0</v>
      </c>
      <c r="S2" s="5">
        <v>0</v>
      </c>
      <c r="T2" s="5">
        <v>0</v>
      </c>
      <c r="U2" s="5">
        <v>0</v>
      </c>
      <c r="V2" s="11"/>
    </row>
    <row r="3" spans="1:22" s="12" customFormat="1" ht="12.75" x14ac:dyDescent="0.2">
      <c r="A3" s="3">
        <f>A2</f>
        <v>44164</v>
      </c>
      <c r="B3" s="4" t="s">
        <v>21</v>
      </c>
      <c r="C3" s="4" t="s">
        <v>127</v>
      </c>
      <c r="D3" s="4" t="s">
        <v>23</v>
      </c>
      <c r="E3" s="4" t="s">
        <v>98</v>
      </c>
      <c r="F3" s="6" t="s">
        <v>25</v>
      </c>
      <c r="G3" s="7">
        <v>70000</v>
      </c>
      <c r="H3" s="4" t="s">
        <v>129</v>
      </c>
      <c r="I3" s="4" t="s">
        <v>130</v>
      </c>
      <c r="J3" s="14">
        <v>0.9375</v>
      </c>
      <c r="K3" s="15">
        <v>0.92499999999999993</v>
      </c>
      <c r="L3" s="14">
        <v>0.54166666666666663</v>
      </c>
      <c r="M3" s="15">
        <v>0.55277777777777781</v>
      </c>
      <c r="N3" s="10" t="s">
        <v>199</v>
      </c>
      <c r="O3" s="10" t="s">
        <v>197</v>
      </c>
      <c r="P3" s="12">
        <v>652</v>
      </c>
      <c r="Q3" s="10">
        <v>774</v>
      </c>
      <c r="R3" s="4">
        <v>0</v>
      </c>
      <c r="S3" s="4">
        <v>0</v>
      </c>
      <c r="T3" s="4">
        <v>0</v>
      </c>
      <c r="U3" s="4">
        <v>0</v>
      </c>
      <c r="V3" s="11"/>
    </row>
    <row r="4" spans="1:22" x14ac:dyDescent="0.25">
      <c r="A4" s="3"/>
      <c r="B4" s="4"/>
      <c r="C4" s="4"/>
      <c r="D4" s="4"/>
      <c r="E4" s="4"/>
      <c r="F4" s="6"/>
      <c r="G4" s="7"/>
      <c r="H4" s="4"/>
      <c r="I4" s="46"/>
      <c r="J4" s="28"/>
      <c r="K4" s="25"/>
      <c r="L4" s="46"/>
      <c r="M4" s="46"/>
      <c r="N4" s="46"/>
      <c r="O4" s="46"/>
      <c r="P4" s="46"/>
      <c r="Q4" s="46"/>
      <c r="R4" s="46"/>
      <c r="S4" s="46"/>
      <c r="T4" s="46"/>
      <c r="U4" s="4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25</vt:lpstr>
      <vt:lpstr>27</vt:lpstr>
      <vt:lpstr>28</vt:lpstr>
      <vt:lpstr>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2020-11-01T04:48:46Z</dcterms:created>
  <dcterms:modified xsi:type="dcterms:W3CDTF">2020-11-29T21:13:18Z</dcterms:modified>
</cp:coreProperties>
</file>