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firstSheet="8" activeTab="27"/>
  </bookViews>
  <sheets>
    <sheet name="2" sheetId="30" r:id="rId1"/>
    <sheet name="3" sheetId="31" r:id="rId2"/>
    <sheet name="4" sheetId="32" r:id="rId3"/>
    <sheet name="5" sheetId="35" r:id="rId4"/>
    <sheet name="6" sheetId="34" r:id="rId5"/>
    <sheet name="7" sheetId="36" r:id="rId6"/>
    <sheet name="9" sheetId="37" r:id="rId7"/>
    <sheet name="11" sheetId="39" r:id="rId8"/>
    <sheet name="12" sheetId="40" r:id="rId9"/>
    <sheet name="13" sheetId="41" r:id="rId10"/>
    <sheet name="14" sheetId="42" r:id="rId11"/>
    <sheet name="15" sheetId="43" r:id="rId12"/>
    <sheet name="16" sheetId="44" r:id="rId13"/>
    <sheet name="17" sheetId="45" r:id="rId14"/>
    <sheet name="18" sheetId="46" r:id="rId15"/>
    <sheet name="19" sheetId="47" r:id="rId16"/>
    <sheet name="20" sheetId="48" r:id="rId17"/>
    <sheet name="21" sheetId="49" r:id="rId18"/>
    <sheet name="22" sheetId="50" r:id="rId19"/>
    <sheet name="23" sheetId="51" r:id="rId20"/>
    <sheet name="24" sheetId="52" r:id="rId21"/>
    <sheet name="25" sheetId="53" r:id="rId22"/>
    <sheet name="26" sheetId="54" r:id="rId23"/>
    <sheet name="27" sheetId="55" r:id="rId24"/>
    <sheet name="28" sheetId="56" r:id="rId25"/>
    <sheet name="29" sheetId="57" r:id="rId26"/>
    <sheet name="30" sheetId="58" r:id="rId27"/>
    <sheet name="31" sheetId="59" r:id="rId28"/>
  </sheets>
  <calcPr calcId="145621"/>
</workbook>
</file>

<file path=xl/calcChain.xml><?xml version="1.0" encoding="utf-8"?>
<calcChain xmlns="http://schemas.openxmlformats.org/spreadsheetml/2006/main">
  <c r="E3" i="59" l="1"/>
  <c r="A3" i="59"/>
  <c r="A4" i="51" l="1"/>
  <c r="G3" i="51"/>
  <c r="G2" i="51" s="1"/>
  <c r="M3" i="48" l="1"/>
  <c r="G2" i="44" l="1"/>
  <c r="E2" i="44"/>
  <c r="A3" i="44"/>
</calcChain>
</file>

<file path=xl/sharedStrings.xml><?xml version="1.0" encoding="utf-8"?>
<sst xmlns="http://schemas.openxmlformats.org/spreadsheetml/2006/main" count="1244" uniqueCount="241">
  <si>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</si>
  <si>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</si>
  <si>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</si>
  <si>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</si>
  <si>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</si>
  <si>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</si>
  <si>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</si>
  <si>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</si>
  <si>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</si>
  <si>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</si>
  <si>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</si>
  <si>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</si>
  <si>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</si>
  <si>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</si>
  <si>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</si>
  <si>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</si>
  <si>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</si>
  <si>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</si>
  <si>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</si>
  <si>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</si>
  <si>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</si>
  <si>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</si>
  <si>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A320</t>
  </si>
  <si>
    <t>SCHEDULED</t>
  </si>
  <si>
    <t>HALPJ</t>
  </si>
  <si>
    <t>TZL-MLH-TZL</t>
  </si>
  <si>
    <t>W64294</t>
  </si>
  <si>
    <t>W64293</t>
  </si>
  <si>
    <t>TZL-DTM-TZL</t>
  </si>
  <si>
    <t>TZL-EIN-TZL</t>
  </si>
  <si>
    <t>HALWP/HALWY</t>
  </si>
  <si>
    <t>W64298</t>
  </si>
  <si>
    <t>W64297</t>
  </si>
  <si>
    <t>W64290</t>
  </si>
  <si>
    <t>W64289</t>
  </si>
  <si>
    <t>119+3 INF</t>
  </si>
  <si>
    <t>AIR PINK</t>
  </si>
  <si>
    <t>TIA-TZL-TIA</t>
  </si>
  <si>
    <t>C525</t>
  </si>
  <si>
    <t>YUMTU</t>
  </si>
  <si>
    <t>GEN AVI</t>
  </si>
  <si>
    <t>-</t>
  </si>
  <si>
    <t>3+0INF</t>
  </si>
  <si>
    <t>131+3INF</t>
  </si>
  <si>
    <t>94+0INF</t>
  </si>
  <si>
    <t>84+1INF</t>
  </si>
  <si>
    <t>TZL-MMX-TZL</t>
  </si>
  <si>
    <t>HALWY</t>
  </si>
  <si>
    <t>W64292</t>
  </si>
  <si>
    <t>W64291</t>
  </si>
  <si>
    <t>90+6 INF</t>
  </si>
  <si>
    <t>TZL-FMM-TZL</t>
  </si>
  <si>
    <t>W64280</t>
  </si>
  <si>
    <t>W64279</t>
  </si>
  <si>
    <t>95+1 INF</t>
  </si>
  <si>
    <t>107+7 INF</t>
  </si>
  <si>
    <t>AIR SWISSLION</t>
  </si>
  <si>
    <t>BEG-TZL-TREBINJE</t>
  </si>
  <si>
    <t>AW 109</t>
  </si>
  <si>
    <t>YUHRD</t>
  </si>
  <si>
    <t>TECH</t>
  </si>
  <si>
    <t>CREW ONLY</t>
  </si>
  <si>
    <t>HHN-TZL-HHN</t>
  </si>
  <si>
    <t>W64284</t>
  </si>
  <si>
    <t>W64283</t>
  </si>
  <si>
    <t>HALVH</t>
  </si>
  <si>
    <t>71+3INF</t>
  </si>
  <si>
    <t>70+2INF</t>
  </si>
  <si>
    <t>136+1INF</t>
  </si>
  <si>
    <t>80+2 INF</t>
  </si>
  <si>
    <t>40+0INF</t>
  </si>
  <si>
    <t>61+3INF</t>
  </si>
  <si>
    <t>SWISS AIR AMBULANCE</t>
  </si>
  <si>
    <t>ZRH-TZL-ZRH</t>
  </si>
  <si>
    <t>CL650</t>
  </si>
  <si>
    <t>MEDEVAC</t>
  </si>
  <si>
    <t>HBJWA</t>
  </si>
  <si>
    <t>SAZ51</t>
  </si>
  <si>
    <t>SAZ52</t>
  </si>
  <si>
    <t>HB-JWB</t>
  </si>
  <si>
    <t>SAZ64</t>
  </si>
  <si>
    <t>SAZ65</t>
  </si>
  <si>
    <t>113+3INF</t>
  </si>
  <si>
    <t>80+1INF</t>
  </si>
  <si>
    <t>94+2 INF</t>
  </si>
  <si>
    <t>144+0 INF</t>
  </si>
  <si>
    <t>143+3INF</t>
  </si>
  <si>
    <t>57+1INF</t>
  </si>
  <si>
    <t>TZL-GOT-TZL</t>
  </si>
  <si>
    <t>W64296</t>
  </si>
  <si>
    <t>W64295</t>
  </si>
  <si>
    <t>82+5 INF</t>
  </si>
  <si>
    <t>97+1 INF</t>
  </si>
  <si>
    <t>66+3 INF</t>
  </si>
  <si>
    <t>130+8 INF</t>
  </si>
  <si>
    <t>56+1 INF</t>
  </si>
  <si>
    <t>96+1 INF</t>
  </si>
  <si>
    <t>TZL-NYO-TZL</t>
  </si>
  <si>
    <t>A321</t>
  </si>
  <si>
    <t>W64282</t>
  </si>
  <si>
    <t>W64281</t>
  </si>
  <si>
    <t>43+0INF</t>
  </si>
  <si>
    <t>115+2INF</t>
  </si>
  <si>
    <t>148+10INF</t>
  </si>
  <si>
    <t>65+4INF</t>
  </si>
  <si>
    <t>131+6INF</t>
  </si>
  <si>
    <t>QUICK AIR</t>
  </si>
  <si>
    <t>CGN-TZL-CGN</t>
  </si>
  <si>
    <t>LJ45</t>
  </si>
  <si>
    <t>DCQAA</t>
  </si>
  <si>
    <t>139+4 INF</t>
  </si>
  <si>
    <t>96+2INF</t>
  </si>
  <si>
    <t>140+7INF</t>
  </si>
  <si>
    <t>97+2 INF</t>
  </si>
  <si>
    <t>58+1 INF</t>
  </si>
  <si>
    <t>24+2 INF</t>
  </si>
  <si>
    <t>64+0 INF</t>
  </si>
  <si>
    <t>61+2INF</t>
  </si>
  <si>
    <t>124+6INF</t>
  </si>
  <si>
    <t>34+1INF</t>
  </si>
  <si>
    <t>107+2 INF</t>
  </si>
  <si>
    <t>70+1INF</t>
  </si>
  <si>
    <t>DIV TO BEG</t>
  </si>
  <si>
    <t>TZL-HHN-TZL</t>
  </si>
  <si>
    <t>28+0INF</t>
  </si>
  <si>
    <t>150+7 INF</t>
  </si>
  <si>
    <t>26+0 INF</t>
  </si>
  <si>
    <t>27+0 INF</t>
  </si>
  <si>
    <t>VIE-TZL-VIE</t>
  </si>
  <si>
    <t>FERRY IN/OUT /TECH.</t>
  </si>
  <si>
    <t>W6817</t>
  </si>
  <si>
    <t>W6818</t>
  </si>
  <si>
    <t>FLY DUBAI</t>
  </si>
  <si>
    <t>DXB-TZL-DXB</t>
  </si>
  <si>
    <t>B737</t>
  </si>
  <si>
    <t>A6FER</t>
  </si>
  <si>
    <t>INT. NON SCHEDULED</t>
  </si>
  <si>
    <t>FZ761</t>
  </si>
  <si>
    <t>155+2 INF</t>
  </si>
  <si>
    <t>ICAR AIR</t>
  </si>
  <si>
    <t>ZAG-TZL-ZAG</t>
  </si>
  <si>
    <t>L410</t>
  </si>
  <si>
    <t>OKWDC</t>
  </si>
  <si>
    <t>INT. NON SCHEDULED/CARGO</t>
  </si>
  <si>
    <t>RAC9002</t>
  </si>
  <si>
    <t>RAC9004</t>
  </si>
  <si>
    <t>110+3 INF</t>
  </si>
  <si>
    <t>123+2 INF</t>
  </si>
  <si>
    <t>E7MEL</t>
  </si>
  <si>
    <t>121+3INF</t>
  </si>
  <si>
    <t>150+1INF</t>
  </si>
  <si>
    <t>63+0INF</t>
  </si>
  <si>
    <t>E7-MEL</t>
  </si>
  <si>
    <t>RAC902</t>
  </si>
  <si>
    <t>RAC903</t>
  </si>
  <si>
    <t>36+1 INF</t>
  </si>
  <si>
    <t>146+2 INF</t>
  </si>
  <si>
    <t>147+3 INF</t>
  </si>
  <si>
    <t>US AIR FORCE</t>
  </si>
  <si>
    <t>OAI-TZL-SPM</t>
  </si>
  <si>
    <t>C17</t>
  </si>
  <si>
    <t>RCH900</t>
  </si>
  <si>
    <t>35+0 INF</t>
  </si>
  <si>
    <t>149+1 INF</t>
  </si>
  <si>
    <t>64+3 INF</t>
  </si>
  <si>
    <t>153+4INF</t>
  </si>
  <si>
    <t>134+1INF</t>
  </si>
  <si>
    <t>36+0INF</t>
  </si>
  <si>
    <t>PEGASUS</t>
  </si>
  <si>
    <t>SAW-TZL-SAW</t>
  </si>
  <si>
    <t>TC-NCN</t>
  </si>
  <si>
    <t>NONSCHEDULED</t>
  </si>
  <si>
    <t>PC291</t>
  </si>
  <si>
    <t>PC292</t>
  </si>
  <si>
    <t>121+1INF</t>
  </si>
  <si>
    <t>100+1INF</t>
  </si>
  <si>
    <t>A6FEV</t>
  </si>
  <si>
    <t>148+2INF</t>
  </si>
  <si>
    <t>DXB-TZL</t>
  </si>
  <si>
    <t>TZL-SJJ</t>
  </si>
  <si>
    <t>TEHN</t>
  </si>
  <si>
    <t>70+2 INF</t>
  </si>
  <si>
    <t>139+3 INF</t>
  </si>
  <si>
    <t>59+1 INF</t>
  </si>
  <si>
    <t>135+3 INF</t>
  </si>
  <si>
    <t>128+1 INF</t>
  </si>
  <si>
    <t>151+3 INF</t>
  </si>
  <si>
    <t>60+2INF</t>
  </si>
  <si>
    <t>158+3INF</t>
  </si>
  <si>
    <t>54+1 INF</t>
  </si>
  <si>
    <t>128+2 INF</t>
  </si>
  <si>
    <t>25+1INF</t>
  </si>
  <si>
    <t>123+3INF</t>
  </si>
  <si>
    <t>72+2INF</t>
  </si>
  <si>
    <t>131+4 INF</t>
  </si>
  <si>
    <t>28+2 INF</t>
  </si>
  <si>
    <t>ZIMEX</t>
  </si>
  <si>
    <t>PRN-TZL-PRN</t>
  </si>
  <si>
    <t>B747</t>
  </si>
  <si>
    <t>AT42</t>
  </si>
  <si>
    <t>NON - SCHEDULED</t>
  </si>
  <si>
    <t>TCCPZ</t>
  </si>
  <si>
    <t>JGH062</t>
  </si>
  <si>
    <t>100+2 INF</t>
  </si>
  <si>
    <t>HALSA</t>
  </si>
  <si>
    <t>74+1 INF</t>
  </si>
  <si>
    <t>134+1 INF</t>
  </si>
  <si>
    <t>138+5INF</t>
  </si>
  <si>
    <t>167+2INF</t>
  </si>
  <si>
    <t>109+1INF</t>
  </si>
  <si>
    <t>48+2 INF</t>
  </si>
  <si>
    <t>131+5 INF</t>
  </si>
  <si>
    <t>65+2 INF</t>
  </si>
  <si>
    <t>123+1 INF</t>
  </si>
  <si>
    <t>109+2INF</t>
  </si>
  <si>
    <t>133+1 INF</t>
  </si>
  <si>
    <t>111+1INF</t>
  </si>
  <si>
    <t>91+0 INF</t>
  </si>
  <si>
    <t>118+4 INF</t>
  </si>
  <si>
    <t>119+4 INF</t>
  </si>
  <si>
    <t>127+4 INF</t>
  </si>
  <si>
    <t>87+1 INF</t>
  </si>
  <si>
    <t>118+2INF</t>
  </si>
  <si>
    <t>154+1INF</t>
  </si>
  <si>
    <t>130+3INF</t>
  </si>
  <si>
    <t>126+6 INF</t>
  </si>
  <si>
    <t>TCCRF</t>
  </si>
  <si>
    <t>88+2 INF</t>
  </si>
  <si>
    <t>80+1 INF</t>
  </si>
  <si>
    <t>111+3 INF</t>
  </si>
  <si>
    <t>134+5 INF</t>
  </si>
  <si>
    <t>131+1 INF</t>
  </si>
  <si>
    <t>140+1INF</t>
  </si>
  <si>
    <t>123+2INF</t>
  </si>
  <si>
    <t>137+6 INF</t>
  </si>
  <si>
    <t>BUD-TZL</t>
  </si>
  <si>
    <t>HA-LWH</t>
  </si>
  <si>
    <t>FERRY IN</t>
  </si>
  <si>
    <t>W6803</t>
  </si>
  <si>
    <t>116+2 INF</t>
  </si>
  <si>
    <t>147+1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</si>
</sst>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1"/>
      <color theme="1"/>
      <name val="Calibri"/>
      <family val="2"/>
      <scheme val="minor"/>
    </font>
    <font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1" fillId="0" borderId="0"/>
  </cellStyleXfs>
  <cellXfs count="35">
    <xf numFmtId="0" fontId="0" fillId="0" borderId="0" xfId="0"/>
    <xf numFmtId="0" fontId="3" fillId="0" borderId="0" xfId="1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14" fontId="3" fillId="0" borderId="0" xfId="3" applyNumberFormat="1" applyFont="1" applyFill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3" fontId="3" fillId="0" borderId="0" xfId="1" applyNumberFormat="1" applyFont="1" applyFill="1" applyAlignment="1">
      <alignment horizontal="center" vertical="center"/>
    </xf>
    <xf numFmtId="0" fontId="3" fillId="0" borderId="0" xfId="1" applyNumberFormat="1" applyFont="1" applyFill="1" applyAlignment="1">
      <alignment horizontal="center" vertical="center"/>
    </xf>
    <xf numFmtId="0" fontId="5" fillId="0" borderId="0" xfId="5" applyFont="1" applyAlignment="1">
      <alignment horizontal="center"/>
    </xf>
    <xf numFmtId="0" fontId="5" fillId="0" borderId="0" xfId="2" applyFont="1" applyAlignment="1">
      <alignment horizontal="center"/>
    </xf>
    <xf numFmtId="20" fontId="6" fillId="0" borderId="0" xfId="1" applyNumberFormat="1" applyFont="1" applyFill="1" applyAlignment="1">
      <alignment horizontal="center" vertical="center"/>
    </xf>
    <xf numFmtId="20" fontId="3" fillId="0" borderId="0" xfId="1" applyNumberFormat="1" applyFont="1" applyFill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20" fontId="7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0" fontId="8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NumberFormat="1" applyFont="1" applyAlignment="1">
      <alignment horizontal="center"/>
    </xf>
    <xf numFmtId="20" fontId="9" fillId="0" borderId="0" xfId="0" applyNumberFormat="1" applyFont="1" applyAlignment="1">
      <alignment horizontal="center"/>
    </xf>
    <xf numFmtId="0" fontId="5" fillId="0" borderId="0" xfId="0" applyFont="1"/>
    <xf numFmtId="3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/>
    </xf>
    <xf numFmtId="14" fontId="3" fillId="0" borderId="0" xfId="1" applyNumberFormat="1" applyFont="1" applyAlignment="1">
      <alignment horizontal="center" vertical="center"/>
    </xf>
    <xf numFmtId="3" fontId="3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20" fontId="6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20" fontId="5" fillId="2" borderId="0" xfId="0" applyNumberFormat="1" applyFont="1" applyFill="1" applyAlignment="1">
      <alignment horizontal="center"/>
    </xf>
    <xf numFmtId="0" fontId="0" fillId="2" borderId="0" xfId="0" applyFill="1"/>
    <xf numFmtId="0" fontId="5" fillId="2" borderId="0" xfId="0" applyFont="1" applyFill="1" applyAlignment="1">
      <alignment horizontal="center"/>
    </xf>
  </cellXfs>
  <cellStyles count="6">
    <cellStyle name="Normal" xfId="0" builtinId="0"/>
    <cellStyle name="Normal 2" xfId="2"/>
    <cellStyle name="Normal 2 2" xfId="3"/>
    <cellStyle name="Normal 2 3" xfId="5"/>
    <cellStyle name="Normal 3 2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opLeftCell="B1" workbookViewId="0">
      <selection activeCell="C6" sqref="C6"/>
    </sheetView>
  </sheetViews>
  <sheetFormatPr defaultRowHeight="15" x14ac:dyDescent="0.25"/>
  <cols>
    <col min="3" max="3" width="13.42578125" bestFit="1" customWidth="1"/>
    <col min="4" max="4" width="5.7109375" bestFit="1" customWidth="1"/>
    <col min="5" max="5" width="14.425781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ht="12.75" x14ac:dyDescent="0.2">
      <c r="A2" s="3">
        <v>44167</v>
      </c>
      <c r="B2" s="4" t="s">
        <v>21</v>
      </c>
      <c r="C2" s="4" t="s">
        <v>25</v>
      </c>
      <c r="D2" s="4" t="s">
        <v>22</v>
      </c>
      <c r="E2" s="4" t="s">
        <v>24</v>
      </c>
      <c r="F2" s="5" t="s">
        <v>23</v>
      </c>
      <c r="G2" s="6">
        <v>70000</v>
      </c>
      <c r="H2" s="4" t="s">
        <v>26</v>
      </c>
      <c r="I2" s="4" t="s">
        <v>27</v>
      </c>
      <c r="J2" s="10">
        <v>0.93055555555555547</v>
      </c>
      <c r="K2" s="11">
        <v>0.92638888888888893</v>
      </c>
      <c r="L2" s="10">
        <v>0.76388888888888884</v>
      </c>
      <c r="M2" s="11">
        <v>0.76736111111111116</v>
      </c>
      <c r="N2" s="7">
        <v>128</v>
      </c>
      <c r="O2" s="7">
        <v>115</v>
      </c>
      <c r="P2" s="9">
        <v>748</v>
      </c>
      <c r="Q2" s="7">
        <v>690</v>
      </c>
      <c r="R2" s="4">
        <v>0</v>
      </c>
      <c r="S2" s="4">
        <v>0</v>
      </c>
      <c r="T2" s="4">
        <v>0</v>
      </c>
      <c r="U2" s="4">
        <v>0</v>
      </c>
      <c r="V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topLeftCell="B1" workbookViewId="0">
      <selection activeCell="F9" sqref="F9"/>
    </sheetView>
  </sheetViews>
  <sheetFormatPr defaultRowHeight="15" x14ac:dyDescent="0.25"/>
  <cols>
    <col min="3" max="3" width="13.42578125" bestFit="1" customWidth="1"/>
    <col min="4" max="4" width="5.7109375" bestFit="1" customWidth="1"/>
    <col min="5" max="5" width="14.425781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ht="12.75" x14ac:dyDescent="0.2">
      <c r="A2" s="3"/>
      <c r="B2" s="4"/>
      <c r="C2" s="4"/>
      <c r="D2" s="4"/>
      <c r="E2" s="4"/>
      <c r="F2" s="5"/>
      <c r="G2" s="6"/>
      <c r="H2" s="4"/>
      <c r="I2" s="4"/>
      <c r="J2" s="10"/>
      <c r="K2" s="11"/>
      <c r="L2" s="10"/>
      <c r="M2" s="11"/>
      <c r="N2" s="7"/>
      <c r="O2" s="7"/>
      <c r="Q2" s="7"/>
      <c r="R2" s="4"/>
      <c r="S2" s="4"/>
      <c r="T2" s="4"/>
      <c r="U2" s="4"/>
      <c r="V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E34" sqref="E34"/>
    </sheetView>
  </sheetViews>
  <sheetFormatPr defaultRowHeight="15" x14ac:dyDescent="0.25"/>
  <cols>
    <col min="1" max="1" width="10.140625" bestFit="1" customWidth="1"/>
    <col min="3" max="3" width="13.42578125" bestFit="1" customWidth="1"/>
    <col min="4" max="4" width="5.7109375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ht="12.75" x14ac:dyDescent="0.2">
      <c r="A2" s="3">
        <v>44169</v>
      </c>
      <c r="B2" s="4" t="s">
        <v>21</v>
      </c>
      <c r="C2" s="4" t="s">
        <v>28</v>
      </c>
      <c r="D2" s="4" t="s">
        <v>22</v>
      </c>
      <c r="E2" s="4" t="s">
        <v>30</v>
      </c>
      <c r="F2" s="5" t="s">
        <v>23</v>
      </c>
      <c r="G2" s="6">
        <v>70000</v>
      </c>
      <c r="H2" s="4" t="s">
        <v>31</v>
      </c>
      <c r="I2" s="4" t="s">
        <v>32</v>
      </c>
      <c r="J2" s="10">
        <v>0.45833333333333331</v>
      </c>
      <c r="K2" s="11">
        <v>0.54999999999999993</v>
      </c>
      <c r="L2" s="10">
        <v>0.25694444444444448</v>
      </c>
      <c r="M2" s="11">
        <v>0.3666666666666667</v>
      </c>
      <c r="N2" s="7" t="s">
        <v>43</v>
      </c>
      <c r="O2" s="7" t="s">
        <v>35</v>
      </c>
      <c r="P2" s="9">
        <v>1463</v>
      </c>
      <c r="Q2" s="7">
        <v>1150</v>
      </c>
      <c r="R2" s="4">
        <v>0</v>
      </c>
      <c r="S2" s="4">
        <v>0</v>
      </c>
      <c r="T2" s="4">
        <v>0</v>
      </c>
      <c r="U2" s="4">
        <v>0</v>
      </c>
      <c r="V2" s="8"/>
    </row>
    <row r="3" spans="1:22" s="13" customFormat="1" ht="12.75" x14ac:dyDescent="0.2">
      <c r="A3" s="12">
        <v>44169</v>
      </c>
      <c r="B3" s="13" t="s">
        <v>21</v>
      </c>
      <c r="C3" s="13" t="s">
        <v>29</v>
      </c>
      <c r="D3" s="13" t="s">
        <v>22</v>
      </c>
      <c r="E3" s="13" t="s">
        <v>24</v>
      </c>
      <c r="F3" s="13" t="s">
        <v>23</v>
      </c>
      <c r="G3" s="13">
        <v>70000</v>
      </c>
      <c r="H3" s="13" t="s">
        <v>33</v>
      </c>
      <c r="I3" s="13" t="s">
        <v>34</v>
      </c>
      <c r="J3" s="14">
        <v>0.74305555555555547</v>
      </c>
      <c r="K3" s="15">
        <v>0.74305555555555547</v>
      </c>
      <c r="L3" s="14">
        <v>0.53472222222222221</v>
      </c>
      <c r="M3" s="15">
        <v>0.55347222222222225</v>
      </c>
      <c r="N3" s="13" t="s">
        <v>45</v>
      </c>
      <c r="O3" s="13" t="s">
        <v>44</v>
      </c>
      <c r="P3" s="13">
        <v>710</v>
      </c>
      <c r="Q3" s="13">
        <v>680</v>
      </c>
      <c r="R3" s="13">
        <v>0</v>
      </c>
      <c r="S3" s="13">
        <v>0</v>
      </c>
      <c r="T3" s="13">
        <v>0</v>
      </c>
      <c r="U3" s="13">
        <v>0</v>
      </c>
    </row>
    <row r="4" spans="1:22" s="13" customFormat="1" ht="12.75" x14ac:dyDescent="0.2">
      <c r="A4" s="12">
        <v>44169</v>
      </c>
      <c r="B4" s="13" t="s">
        <v>36</v>
      </c>
      <c r="C4" s="13" t="s">
        <v>37</v>
      </c>
      <c r="D4" s="13" t="s">
        <v>38</v>
      </c>
      <c r="E4" s="13" t="s">
        <v>39</v>
      </c>
      <c r="F4" s="13" t="s">
        <v>40</v>
      </c>
      <c r="G4" s="13">
        <v>4600</v>
      </c>
      <c r="H4" s="13" t="s">
        <v>41</v>
      </c>
      <c r="I4" s="13" t="s">
        <v>41</v>
      </c>
      <c r="J4" s="14">
        <v>0.47916666666666669</v>
      </c>
      <c r="K4" s="15">
        <v>0.4909722222222222</v>
      </c>
      <c r="L4" s="14">
        <v>0.70833333333333337</v>
      </c>
      <c r="M4" s="15">
        <v>0.73958333333333337</v>
      </c>
      <c r="N4" s="13" t="s">
        <v>42</v>
      </c>
      <c r="O4" s="13" t="s">
        <v>42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C30" sqref="C30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ht="12.75" x14ac:dyDescent="0.2">
      <c r="A2" s="3">
        <v>44170</v>
      </c>
      <c r="B2" s="4" t="s">
        <v>21</v>
      </c>
      <c r="C2" s="4" t="s">
        <v>46</v>
      </c>
      <c r="D2" s="4" t="s">
        <v>22</v>
      </c>
      <c r="E2" s="4" t="s">
        <v>47</v>
      </c>
      <c r="F2" s="5" t="s">
        <v>23</v>
      </c>
      <c r="G2" s="6">
        <v>70000</v>
      </c>
      <c r="H2" s="4" t="s">
        <v>48</v>
      </c>
      <c r="I2" s="4" t="s">
        <v>49</v>
      </c>
      <c r="J2" s="10">
        <v>0.47916666666666669</v>
      </c>
      <c r="K2" s="11">
        <v>0.4694444444444445</v>
      </c>
      <c r="L2" s="10">
        <v>0.27430555555555552</v>
      </c>
      <c r="M2" s="11">
        <v>0.27777777777777779</v>
      </c>
      <c r="N2" s="7" t="s">
        <v>50</v>
      </c>
      <c r="O2" s="7">
        <v>84</v>
      </c>
      <c r="P2" s="9">
        <v>743</v>
      </c>
      <c r="Q2" s="7">
        <v>842</v>
      </c>
      <c r="R2" s="4">
        <v>0</v>
      </c>
      <c r="S2" s="4">
        <v>0</v>
      </c>
      <c r="T2" s="4">
        <v>0</v>
      </c>
      <c r="U2" s="4">
        <v>0</v>
      </c>
      <c r="V2" s="8"/>
    </row>
    <row r="3" spans="1:22" s="18" customFormat="1" ht="12.75" x14ac:dyDescent="0.2">
      <c r="A3" s="3">
        <v>44170</v>
      </c>
      <c r="B3" s="4" t="s">
        <v>21</v>
      </c>
      <c r="C3" s="16" t="s">
        <v>51</v>
      </c>
      <c r="D3" s="4" t="s">
        <v>22</v>
      </c>
      <c r="E3" s="4" t="s">
        <v>47</v>
      </c>
      <c r="F3" s="5" t="s">
        <v>23</v>
      </c>
      <c r="G3" s="6">
        <v>70000</v>
      </c>
      <c r="H3" s="5" t="s">
        <v>52</v>
      </c>
      <c r="I3" s="5" t="s">
        <v>53</v>
      </c>
      <c r="J3" s="20">
        <v>0.64930555555555558</v>
      </c>
      <c r="K3" s="17">
        <v>0.64097222222222217</v>
      </c>
      <c r="L3" s="20">
        <v>0.5</v>
      </c>
      <c r="M3" s="17">
        <v>0.49861111111111112</v>
      </c>
      <c r="N3" s="16" t="s">
        <v>55</v>
      </c>
      <c r="O3" s="16" t="s">
        <v>54</v>
      </c>
      <c r="P3" s="16">
        <v>1110</v>
      </c>
      <c r="Q3" s="16">
        <v>1110</v>
      </c>
      <c r="R3" s="16">
        <v>0</v>
      </c>
      <c r="S3" s="16">
        <v>0</v>
      </c>
      <c r="T3" s="16">
        <v>0</v>
      </c>
      <c r="U3" s="16">
        <v>0</v>
      </c>
    </row>
    <row r="4" spans="1:22" s="16" customFormat="1" ht="12.75" x14ac:dyDescent="0.2">
      <c r="A4" s="3">
        <v>44170</v>
      </c>
      <c r="B4" s="4" t="s">
        <v>56</v>
      </c>
      <c r="C4" s="16" t="s">
        <v>57</v>
      </c>
      <c r="D4" s="4" t="s">
        <v>58</v>
      </c>
      <c r="E4" s="4" t="s">
        <v>59</v>
      </c>
      <c r="F4" s="5" t="s">
        <v>60</v>
      </c>
      <c r="G4" s="16">
        <v>3.1749999999999998</v>
      </c>
      <c r="H4" s="5" t="s">
        <v>41</v>
      </c>
      <c r="I4" s="5" t="s">
        <v>41</v>
      </c>
      <c r="J4" s="20">
        <v>0.59027777777777779</v>
      </c>
      <c r="K4" s="17">
        <v>0.58750000000000002</v>
      </c>
      <c r="L4" s="20">
        <v>0.60069444444444442</v>
      </c>
      <c r="M4" s="17">
        <v>0.61111111111111105</v>
      </c>
      <c r="N4" s="16" t="s">
        <v>61</v>
      </c>
      <c r="O4" s="16" t="s">
        <v>61</v>
      </c>
      <c r="P4" s="19">
        <v>0</v>
      </c>
      <c r="Q4" s="19">
        <v>0</v>
      </c>
      <c r="R4" s="19">
        <v>0</v>
      </c>
      <c r="S4" s="16">
        <v>0</v>
      </c>
      <c r="T4" s="16">
        <v>0</v>
      </c>
      <c r="U4" s="1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O12" sqref="O12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ht="12.75" x14ac:dyDescent="0.2">
      <c r="A2" s="3">
        <v>44171</v>
      </c>
      <c r="B2" s="4" t="s">
        <v>21</v>
      </c>
      <c r="C2" s="4" t="s">
        <v>62</v>
      </c>
      <c r="D2" s="4" t="s">
        <v>22</v>
      </c>
      <c r="E2" s="4" t="s">
        <v>65</v>
      </c>
      <c r="F2" s="5" t="s">
        <v>23</v>
      </c>
      <c r="G2" s="6">
        <v>89000</v>
      </c>
      <c r="H2" s="4" t="s">
        <v>63</v>
      </c>
      <c r="I2" s="4" t="s">
        <v>64</v>
      </c>
      <c r="J2" s="10">
        <v>0.52083333333333337</v>
      </c>
      <c r="K2" s="11">
        <v>0.53333333333333333</v>
      </c>
      <c r="L2" s="10">
        <v>0.54513888888888895</v>
      </c>
      <c r="M2" s="11">
        <v>0.5708333333333333</v>
      </c>
      <c r="N2" s="7" t="s">
        <v>66</v>
      </c>
      <c r="O2" s="7" t="s">
        <v>67</v>
      </c>
      <c r="P2" s="9">
        <v>786</v>
      </c>
      <c r="Q2" s="7">
        <v>476</v>
      </c>
      <c r="R2" s="4">
        <v>0</v>
      </c>
      <c r="S2" s="4">
        <v>0</v>
      </c>
      <c r="T2" s="4">
        <v>0</v>
      </c>
      <c r="U2" s="4">
        <v>0</v>
      </c>
      <c r="V2" s="8"/>
    </row>
    <row r="3" spans="1:22" s="18" customFormat="1" ht="12.75" x14ac:dyDescent="0.2">
      <c r="A3" s="3">
        <v>44171</v>
      </c>
      <c r="B3" s="4" t="s">
        <v>21</v>
      </c>
      <c r="C3" s="16" t="s">
        <v>25</v>
      </c>
      <c r="D3" s="4" t="s">
        <v>22</v>
      </c>
      <c r="E3" s="4" t="s">
        <v>24</v>
      </c>
      <c r="F3" s="5" t="s">
        <v>23</v>
      </c>
      <c r="G3" s="6">
        <v>70000</v>
      </c>
      <c r="H3" s="5" t="s">
        <v>26</v>
      </c>
      <c r="I3" s="5" t="s">
        <v>27</v>
      </c>
      <c r="J3" s="20">
        <v>0.9375</v>
      </c>
      <c r="K3" s="17">
        <v>0.93611111111111101</v>
      </c>
      <c r="L3" s="20">
        <v>0.54166666666666663</v>
      </c>
      <c r="M3" s="17">
        <v>0.5395833333333333</v>
      </c>
      <c r="N3" s="16" t="s">
        <v>69</v>
      </c>
      <c r="O3" s="16" t="s">
        <v>68</v>
      </c>
      <c r="P3" s="16">
        <v>513</v>
      </c>
      <c r="Q3" s="16">
        <v>851</v>
      </c>
      <c r="R3" s="16">
        <v>0</v>
      </c>
      <c r="S3" s="16">
        <v>0</v>
      </c>
      <c r="T3" s="16">
        <v>0</v>
      </c>
      <c r="U3" s="16">
        <v>0</v>
      </c>
    </row>
    <row r="4" spans="1:22" s="16" customFormat="1" ht="12.75" x14ac:dyDescent="0.2">
      <c r="A4" s="3"/>
      <c r="B4" s="4"/>
      <c r="D4" s="4"/>
      <c r="E4" s="4"/>
      <c r="F4" s="5"/>
      <c r="H4" s="5"/>
      <c r="I4" s="5"/>
      <c r="J4" s="20"/>
      <c r="K4" s="17"/>
      <c r="L4" s="20"/>
      <c r="M4" s="17"/>
      <c r="P4" s="19"/>
      <c r="Q4" s="19"/>
      <c r="R4" s="19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K2" sqref="K2"/>
    </sheetView>
  </sheetViews>
  <sheetFormatPr defaultRowHeight="15" x14ac:dyDescent="0.25"/>
  <cols>
    <col min="1" max="1" width="10.140625" bestFit="1" customWidth="1"/>
    <col min="3" max="3" width="13.42578125" bestFit="1" customWidth="1"/>
    <col min="4" max="4" width="5.7109375" bestFit="1" customWidth="1"/>
    <col min="5" max="5" width="14.425781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ht="12.75" x14ac:dyDescent="0.2">
      <c r="A2" s="3">
        <v>44172</v>
      </c>
      <c r="B2" s="4" t="s">
        <v>21</v>
      </c>
      <c r="C2" s="4" t="s">
        <v>28</v>
      </c>
      <c r="D2" s="4" t="s">
        <v>22</v>
      </c>
      <c r="E2" s="4" t="s">
        <v>47</v>
      </c>
      <c r="F2" s="5" t="s">
        <v>23</v>
      </c>
      <c r="G2" s="6">
        <v>70000</v>
      </c>
      <c r="H2" s="4" t="s">
        <v>31</v>
      </c>
      <c r="I2" s="4" t="s">
        <v>32</v>
      </c>
      <c r="J2" s="10">
        <v>0.4861111111111111</v>
      </c>
      <c r="K2" s="11">
        <v>0.4770833333333333</v>
      </c>
      <c r="L2" s="10">
        <v>0.28472222222222221</v>
      </c>
      <c r="M2" s="11">
        <v>0.28541666666666665</v>
      </c>
      <c r="N2" s="7" t="s">
        <v>71</v>
      </c>
      <c r="O2" s="7" t="s">
        <v>70</v>
      </c>
      <c r="P2" s="9">
        <v>482</v>
      </c>
      <c r="Q2" s="7">
        <v>177</v>
      </c>
      <c r="R2" s="4">
        <v>0</v>
      </c>
      <c r="S2" s="4">
        <v>0</v>
      </c>
      <c r="T2" s="4">
        <v>0</v>
      </c>
      <c r="U2" s="4">
        <v>0</v>
      </c>
      <c r="V2" s="8"/>
    </row>
    <row r="3" spans="1:22" x14ac:dyDescent="0.25">
      <c r="A3" s="12">
        <v>44172</v>
      </c>
      <c r="B3" s="13" t="s">
        <v>72</v>
      </c>
      <c r="C3" s="13" t="s">
        <v>73</v>
      </c>
      <c r="D3" s="13" t="s">
        <v>74</v>
      </c>
      <c r="E3" s="13" t="s">
        <v>76</v>
      </c>
      <c r="F3" s="13" t="s">
        <v>75</v>
      </c>
      <c r="G3" s="22">
        <v>21863</v>
      </c>
      <c r="H3" s="13" t="s">
        <v>77</v>
      </c>
      <c r="I3" s="13" t="s">
        <v>78</v>
      </c>
      <c r="J3" s="15">
        <v>0.88958333333333339</v>
      </c>
      <c r="K3" s="15">
        <v>0.88541666666666663</v>
      </c>
      <c r="L3" s="15">
        <v>0.97222222222222221</v>
      </c>
      <c r="M3" s="15">
        <v>0.97916666666666663</v>
      </c>
      <c r="N3" s="13">
        <v>0</v>
      </c>
      <c r="O3" s="13">
        <v>1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</row>
    <row r="4" spans="1:22" x14ac:dyDescent="0.25">
      <c r="A4" s="21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J2" sqref="J2"/>
    </sheetView>
  </sheetViews>
  <sheetFormatPr defaultRowHeight="15" x14ac:dyDescent="0.25"/>
  <cols>
    <col min="2" max="2" width="21.85546875" bestFit="1" customWidth="1"/>
    <col min="3" max="3" width="13.42578125" bestFit="1" customWidth="1"/>
    <col min="4" max="4" width="5.7109375" bestFit="1" customWidth="1"/>
    <col min="5" max="5" width="14.425781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ht="12.75" x14ac:dyDescent="0.2">
      <c r="A2" s="3">
        <v>44174</v>
      </c>
      <c r="B2" s="4" t="s">
        <v>21</v>
      </c>
      <c r="C2" s="4" t="s">
        <v>25</v>
      </c>
      <c r="D2" s="4" t="s">
        <v>22</v>
      </c>
      <c r="E2" s="4" t="s">
        <v>47</v>
      </c>
      <c r="F2" s="5" t="s">
        <v>23</v>
      </c>
      <c r="G2" s="6">
        <v>70000</v>
      </c>
      <c r="H2" s="4" t="s">
        <v>26</v>
      </c>
      <c r="I2" s="4" t="s">
        <v>27</v>
      </c>
      <c r="J2" s="10">
        <v>0.93055555555555547</v>
      </c>
      <c r="K2" s="11">
        <v>0.93541666666666667</v>
      </c>
      <c r="L2" s="10">
        <v>0.76388888888888884</v>
      </c>
      <c r="M2" s="11">
        <v>0.76527777777777783</v>
      </c>
      <c r="N2" s="7" t="s">
        <v>82</v>
      </c>
      <c r="O2" s="7" t="s">
        <v>83</v>
      </c>
      <c r="P2" s="9">
        <v>828</v>
      </c>
      <c r="Q2" s="7">
        <v>544</v>
      </c>
      <c r="R2" s="4">
        <v>0</v>
      </c>
      <c r="S2" s="4">
        <v>0</v>
      </c>
      <c r="T2" s="4">
        <v>0</v>
      </c>
      <c r="U2" s="4">
        <v>0</v>
      </c>
      <c r="V2" s="8"/>
    </row>
    <row r="3" spans="1:22" s="13" customFormat="1" ht="12.75" x14ac:dyDescent="0.2">
      <c r="A3" s="3">
        <v>44174</v>
      </c>
      <c r="B3" s="13" t="s">
        <v>72</v>
      </c>
      <c r="C3" s="13" t="s">
        <v>73</v>
      </c>
      <c r="D3" s="13" t="s">
        <v>74</v>
      </c>
      <c r="E3" s="13" t="s">
        <v>79</v>
      </c>
      <c r="F3" s="13" t="s">
        <v>75</v>
      </c>
      <c r="G3" s="22">
        <v>21863</v>
      </c>
      <c r="H3" s="13" t="s">
        <v>80</v>
      </c>
      <c r="I3" s="13" t="s">
        <v>81</v>
      </c>
      <c r="J3" s="15">
        <v>0.73611111111111116</v>
      </c>
      <c r="K3" s="15">
        <v>0.73333333333333339</v>
      </c>
      <c r="L3" s="15">
        <v>0.82291666666666663</v>
      </c>
      <c r="M3" s="15">
        <v>0.77430555555555547</v>
      </c>
      <c r="N3" s="13">
        <v>0</v>
      </c>
      <c r="O3" s="13">
        <v>1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sqref="A1:U4"/>
    </sheetView>
  </sheetViews>
  <sheetFormatPr defaultRowHeight="15" x14ac:dyDescent="0.25"/>
  <cols>
    <col min="1" max="1" width="10.140625" bestFit="1" customWidth="1"/>
    <col min="3" max="3" width="13.42578125" bestFit="1" customWidth="1"/>
    <col min="4" max="4" width="5.7109375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ht="12.75" x14ac:dyDescent="0.2">
      <c r="A2" s="3">
        <v>44176</v>
      </c>
      <c r="B2" s="4" t="s">
        <v>21</v>
      </c>
      <c r="C2" s="4" t="s">
        <v>28</v>
      </c>
      <c r="D2" s="4" t="s">
        <v>22</v>
      </c>
      <c r="E2" s="13" t="s">
        <v>24</v>
      </c>
      <c r="F2" s="5" t="s">
        <v>23</v>
      </c>
      <c r="G2" s="6">
        <v>70000</v>
      </c>
      <c r="H2" s="4" t="s">
        <v>31</v>
      </c>
      <c r="I2" s="4" t="s">
        <v>32</v>
      </c>
      <c r="J2" s="10">
        <v>0.45833333333333331</v>
      </c>
      <c r="K2" s="11">
        <v>0.45416666666666666</v>
      </c>
      <c r="L2" s="10">
        <v>0.25694444444444448</v>
      </c>
      <c r="M2" s="11">
        <v>0.26041666666666669</v>
      </c>
      <c r="N2" s="7" t="s">
        <v>85</v>
      </c>
      <c r="O2" s="7" t="s">
        <v>84</v>
      </c>
      <c r="P2" s="9">
        <v>1208</v>
      </c>
      <c r="Q2" s="7">
        <v>726</v>
      </c>
      <c r="R2" s="4">
        <v>0</v>
      </c>
      <c r="S2" s="4">
        <v>0</v>
      </c>
      <c r="T2" s="4">
        <v>0</v>
      </c>
      <c r="U2" s="4">
        <v>0</v>
      </c>
      <c r="V2" s="8"/>
    </row>
    <row r="3" spans="1:22" s="13" customFormat="1" ht="12.75" x14ac:dyDescent="0.2">
      <c r="A3" s="3">
        <v>44176</v>
      </c>
      <c r="B3" s="13" t="s">
        <v>21</v>
      </c>
      <c r="C3" s="13" t="s">
        <v>29</v>
      </c>
      <c r="D3" s="13" t="s">
        <v>22</v>
      </c>
      <c r="E3" s="13" t="s">
        <v>47</v>
      </c>
      <c r="F3" s="13" t="s">
        <v>23</v>
      </c>
      <c r="G3" s="22">
        <v>70000</v>
      </c>
      <c r="H3" s="13" t="s">
        <v>33</v>
      </c>
      <c r="I3" s="13" t="s">
        <v>34</v>
      </c>
      <c r="J3" s="14">
        <v>0.74305555555555547</v>
      </c>
      <c r="K3" s="15">
        <v>0.73888888888888893</v>
      </c>
      <c r="L3" s="14">
        <v>0.53472222222222221</v>
      </c>
      <c r="M3" s="15">
        <v>0.53333333333333333</v>
      </c>
      <c r="N3" s="13" t="s">
        <v>86</v>
      </c>
      <c r="O3" s="13" t="s">
        <v>87</v>
      </c>
      <c r="P3" s="13">
        <v>1102</v>
      </c>
      <c r="Q3" s="13">
        <v>463</v>
      </c>
      <c r="R3" s="13">
        <v>0</v>
      </c>
      <c r="S3" s="13">
        <v>0</v>
      </c>
      <c r="T3" s="13">
        <v>0</v>
      </c>
      <c r="U3" s="13">
        <v>0</v>
      </c>
    </row>
    <row r="4" spans="1:22" s="13" customFormat="1" ht="12.75" x14ac:dyDescent="0.2">
      <c r="A4" s="12"/>
      <c r="J4" s="14"/>
      <c r="K4" s="15"/>
      <c r="L4" s="14"/>
      <c r="M4" s="15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K9" sqref="K9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ht="12.75" x14ac:dyDescent="0.2">
      <c r="A2" s="3">
        <v>44177</v>
      </c>
      <c r="B2" s="4" t="s">
        <v>21</v>
      </c>
      <c r="C2" s="4" t="s">
        <v>46</v>
      </c>
      <c r="D2" s="4" t="s">
        <v>22</v>
      </c>
      <c r="E2" s="4" t="s">
        <v>47</v>
      </c>
      <c r="F2" s="5" t="s">
        <v>23</v>
      </c>
      <c r="G2" s="6">
        <v>70000</v>
      </c>
      <c r="H2" s="4" t="s">
        <v>48</v>
      </c>
      <c r="I2" s="4" t="s">
        <v>49</v>
      </c>
      <c r="J2" s="10">
        <v>0.47916666666666669</v>
      </c>
      <c r="K2" s="11">
        <v>0.46388888888888885</v>
      </c>
      <c r="L2" s="10">
        <v>0.27430555555555552</v>
      </c>
      <c r="M2" s="11">
        <v>0.27569444444444446</v>
      </c>
      <c r="N2" s="7" t="s">
        <v>92</v>
      </c>
      <c r="O2" s="7" t="s">
        <v>91</v>
      </c>
      <c r="P2" s="9">
        <v>716</v>
      </c>
      <c r="Q2" s="7">
        <v>631</v>
      </c>
      <c r="R2" s="4">
        <v>0</v>
      </c>
      <c r="S2" s="4">
        <v>0</v>
      </c>
      <c r="T2" s="4">
        <v>0</v>
      </c>
      <c r="U2" s="4">
        <v>0</v>
      </c>
      <c r="V2" s="8"/>
    </row>
    <row r="3" spans="1:22" s="18" customFormat="1" ht="12.75" x14ac:dyDescent="0.2">
      <c r="A3" s="3">
        <v>44177</v>
      </c>
      <c r="B3" s="4" t="s">
        <v>21</v>
      </c>
      <c r="C3" s="13" t="s">
        <v>51</v>
      </c>
      <c r="D3" s="4" t="s">
        <v>22</v>
      </c>
      <c r="E3" s="4" t="s">
        <v>47</v>
      </c>
      <c r="F3" s="5" t="s">
        <v>23</v>
      </c>
      <c r="G3" s="6">
        <v>70000</v>
      </c>
      <c r="H3" s="5" t="s">
        <v>52</v>
      </c>
      <c r="I3" s="5" t="s">
        <v>53</v>
      </c>
      <c r="J3" s="14">
        <v>0.64930555555555558</v>
      </c>
      <c r="K3" s="15">
        <v>0.6430555555555556</v>
      </c>
      <c r="L3" s="14">
        <v>0.5</v>
      </c>
      <c r="M3" s="15">
        <v>0.50138888888888888</v>
      </c>
      <c r="N3" s="13" t="s">
        <v>94</v>
      </c>
      <c r="O3" s="13" t="s">
        <v>93</v>
      </c>
      <c r="P3" s="13">
        <v>1374</v>
      </c>
      <c r="Q3" s="13">
        <v>555</v>
      </c>
      <c r="R3" s="13">
        <v>0</v>
      </c>
      <c r="S3" s="13">
        <v>0</v>
      </c>
      <c r="T3" s="13">
        <v>0</v>
      </c>
      <c r="U3" s="13">
        <v>0</v>
      </c>
    </row>
    <row r="4" spans="1:22" s="16" customFormat="1" ht="12.75" x14ac:dyDescent="0.2">
      <c r="A4" s="3">
        <v>44177</v>
      </c>
      <c r="B4" s="4" t="s">
        <v>21</v>
      </c>
      <c r="C4" s="13" t="s">
        <v>88</v>
      </c>
      <c r="D4" s="4" t="s">
        <v>22</v>
      </c>
      <c r="E4" s="4" t="s">
        <v>47</v>
      </c>
      <c r="F4" s="5" t="s">
        <v>23</v>
      </c>
      <c r="G4" s="22">
        <v>70000</v>
      </c>
      <c r="H4" s="5" t="s">
        <v>89</v>
      </c>
      <c r="I4" s="5" t="s">
        <v>90</v>
      </c>
      <c r="J4" s="14">
        <v>0.94791666666666663</v>
      </c>
      <c r="K4" s="15">
        <v>0.93888888888888899</v>
      </c>
      <c r="L4" s="14">
        <v>0.71527777777777779</v>
      </c>
      <c r="M4" s="15">
        <v>0.70972222222222225</v>
      </c>
      <c r="N4" s="13" t="s">
        <v>96</v>
      </c>
      <c r="O4" s="13" t="s">
        <v>95</v>
      </c>
      <c r="P4" s="23">
        <v>656</v>
      </c>
      <c r="Q4" s="23">
        <v>741</v>
      </c>
      <c r="R4" s="23">
        <v>0</v>
      </c>
      <c r="S4" s="13">
        <v>0</v>
      </c>
      <c r="T4" s="13">
        <v>0</v>
      </c>
      <c r="U4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H32" sqref="H32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ht="12.75" x14ac:dyDescent="0.2">
      <c r="A2" s="24">
        <v>44178</v>
      </c>
      <c r="B2" s="1" t="s">
        <v>21</v>
      </c>
      <c r="C2" s="1" t="s">
        <v>97</v>
      </c>
      <c r="D2" s="1" t="s">
        <v>22</v>
      </c>
      <c r="E2" s="1" t="s">
        <v>24</v>
      </c>
      <c r="F2" s="1" t="s">
        <v>23</v>
      </c>
      <c r="G2" s="25">
        <v>70000</v>
      </c>
      <c r="H2" s="1" t="s">
        <v>99</v>
      </c>
      <c r="I2" s="1" t="s">
        <v>100</v>
      </c>
      <c r="J2" s="27">
        <v>0.50694444444444442</v>
      </c>
      <c r="K2" s="26">
        <v>0.48958333333333331</v>
      </c>
      <c r="L2" s="27">
        <v>0.27083333333333331</v>
      </c>
      <c r="M2" s="26">
        <v>0.27083333333333331</v>
      </c>
      <c r="N2" s="1" t="s">
        <v>102</v>
      </c>
      <c r="O2" s="1" t="s">
        <v>101</v>
      </c>
      <c r="P2" s="1">
        <v>1192</v>
      </c>
      <c r="Q2" s="1">
        <v>781</v>
      </c>
      <c r="R2" s="1">
        <v>0</v>
      </c>
      <c r="S2" s="1">
        <v>0</v>
      </c>
      <c r="T2" s="1">
        <v>0</v>
      </c>
      <c r="U2" s="1">
        <v>0</v>
      </c>
      <c r="V2" s="8"/>
    </row>
    <row r="3" spans="1:22" s="18" customFormat="1" ht="12.75" x14ac:dyDescent="0.2">
      <c r="A3" s="3">
        <v>44178</v>
      </c>
      <c r="B3" s="4" t="s">
        <v>21</v>
      </c>
      <c r="C3" s="4" t="s">
        <v>62</v>
      </c>
      <c r="D3" s="4" t="s">
        <v>98</v>
      </c>
      <c r="E3" s="4" t="s">
        <v>65</v>
      </c>
      <c r="F3" s="5" t="s">
        <v>23</v>
      </c>
      <c r="G3" s="6">
        <v>89000</v>
      </c>
      <c r="H3" s="4" t="s">
        <v>63</v>
      </c>
      <c r="I3" s="4" t="s">
        <v>64</v>
      </c>
      <c r="J3" s="10">
        <v>0.52083333333333337</v>
      </c>
      <c r="K3" s="11">
        <v>0.5229166666666667</v>
      </c>
      <c r="L3" s="10">
        <v>0.54513888888888895</v>
      </c>
      <c r="M3" s="11">
        <v>0.55694444444444446</v>
      </c>
      <c r="N3" s="7" t="s">
        <v>103</v>
      </c>
      <c r="O3" s="7" t="s">
        <v>104</v>
      </c>
      <c r="P3" s="9">
        <v>1587</v>
      </c>
      <c r="Q3" s="7">
        <v>418</v>
      </c>
      <c r="R3" s="4">
        <v>0</v>
      </c>
      <c r="S3" s="4">
        <v>0</v>
      </c>
      <c r="T3" s="4">
        <v>0</v>
      </c>
      <c r="U3" s="4">
        <v>0</v>
      </c>
    </row>
    <row r="4" spans="1:22" s="16" customFormat="1" ht="12.75" x14ac:dyDescent="0.2">
      <c r="A4" s="3">
        <v>44178</v>
      </c>
      <c r="B4" s="4" t="s">
        <v>21</v>
      </c>
      <c r="C4" s="16" t="s">
        <v>25</v>
      </c>
      <c r="D4" s="4" t="s">
        <v>22</v>
      </c>
      <c r="E4" s="4" t="s">
        <v>47</v>
      </c>
      <c r="F4" s="5" t="s">
        <v>23</v>
      </c>
      <c r="G4" s="6">
        <v>70000</v>
      </c>
      <c r="H4" s="5" t="s">
        <v>26</v>
      </c>
      <c r="I4" s="5" t="s">
        <v>27</v>
      </c>
      <c r="J4" s="20">
        <v>0.9375</v>
      </c>
      <c r="K4" s="17">
        <v>0.92569444444444438</v>
      </c>
      <c r="L4" s="20">
        <v>0.53819444444444442</v>
      </c>
      <c r="M4" s="17">
        <v>0.54861111111111105</v>
      </c>
      <c r="N4" s="16" t="s">
        <v>110</v>
      </c>
      <c r="O4" s="16" t="s">
        <v>105</v>
      </c>
      <c r="P4" s="16">
        <v>1151</v>
      </c>
      <c r="Q4" s="16">
        <v>971</v>
      </c>
      <c r="R4" s="16">
        <v>0</v>
      </c>
      <c r="S4" s="16">
        <v>0</v>
      </c>
      <c r="T4" s="16">
        <v>0</v>
      </c>
      <c r="U4" s="16">
        <v>0</v>
      </c>
    </row>
    <row r="5" spans="1:22" x14ac:dyDescent="0.25">
      <c r="A5" s="3">
        <v>44178</v>
      </c>
      <c r="B5" s="4" t="s">
        <v>106</v>
      </c>
      <c r="C5" s="16" t="s">
        <v>107</v>
      </c>
      <c r="D5" s="4" t="s">
        <v>108</v>
      </c>
      <c r="E5" s="4" t="s">
        <v>109</v>
      </c>
      <c r="F5" s="5" t="s">
        <v>75</v>
      </c>
      <c r="G5" s="16">
        <v>9.7520000000000007</v>
      </c>
      <c r="H5" s="5" t="s">
        <v>41</v>
      </c>
      <c r="I5" s="5" t="s">
        <v>41</v>
      </c>
      <c r="J5" s="20">
        <v>0.52083333333333337</v>
      </c>
      <c r="K5" s="17">
        <v>0.52222222222222225</v>
      </c>
      <c r="L5" s="20">
        <v>0.60416666666666663</v>
      </c>
      <c r="M5" s="17">
        <v>0.16666666666666666</v>
      </c>
      <c r="N5" s="16">
        <v>0</v>
      </c>
      <c r="O5" s="16">
        <v>1</v>
      </c>
      <c r="P5" s="19">
        <v>0</v>
      </c>
      <c r="Q5" s="19">
        <v>0</v>
      </c>
      <c r="R5" s="19">
        <v>0</v>
      </c>
      <c r="S5" s="16">
        <v>0</v>
      </c>
      <c r="T5" s="16">
        <v>0</v>
      </c>
      <c r="U5" s="16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N3" sqref="N3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44179</v>
      </c>
      <c r="B2" s="4" t="s">
        <v>21</v>
      </c>
      <c r="C2" s="4" t="s">
        <v>28</v>
      </c>
      <c r="D2" s="4" t="s">
        <v>22</v>
      </c>
      <c r="E2" s="4" t="s">
        <v>24</v>
      </c>
      <c r="F2" s="5" t="s">
        <v>23</v>
      </c>
      <c r="G2" s="6">
        <v>70000</v>
      </c>
      <c r="H2" s="4" t="s">
        <v>31</v>
      </c>
      <c r="I2" s="4" t="s">
        <v>32</v>
      </c>
      <c r="J2" s="10">
        <v>0.45833333333333331</v>
      </c>
      <c r="K2" s="11">
        <v>0.45208333333333334</v>
      </c>
      <c r="L2" s="10">
        <v>0.25694444444444448</v>
      </c>
      <c r="M2" s="11">
        <v>0.25694444444444448</v>
      </c>
      <c r="N2" s="7" t="s">
        <v>112</v>
      </c>
      <c r="O2" s="7" t="s">
        <v>111</v>
      </c>
      <c r="P2" s="9">
        <v>1322</v>
      </c>
      <c r="Q2" s="7">
        <v>785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v>44179</v>
      </c>
      <c r="B3" s="13" t="s">
        <v>21</v>
      </c>
      <c r="C3" s="13" t="s">
        <v>29</v>
      </c>
      <c r="D3" s="13" t="s">
        <v>22</v>
      </c>
      <c r="E3" s="13" t="s">
        <v>47</v>
      </c>
      <c r="F3" s="13" t="s">
        <v>23</v>
      </c>
      <c r="G3" s="13">
        <v>70000</v>
      </c>
      <c r="H3" s="13" t="s">
        <v>33</v>
      </c>
      <c r="I3" s="13" t="s">
        <v>34</v>
      </c>
      <c r="J3" s="14">
        <v>0.74305555555555547</v>
      </c>
      <c r="K3" s="15">
        <v>0.72916666666666663</v>
      </c>
      <c r="L3" s="14">
        <v>0.53472222222222221</v>
      </c>
      <c r="M3" s="15">
        <v>0.53402777777777777</v>
      </c>
      <c r="N3" s="13" t="s">
        <v>114</v>
      </c>
      <c r="O3" s="13" t="s">
        <v>113</v>
      </c>
      <c r="P3" s="13">
        <v>589</v>
      </c>
      <c r="Q3" s="13">
        <v>590</v>
      </c>
      <c r="R3" s="13">
        <v>0</v>
      </c>
      <c r="S3" s="13">
        <v>0</v>
      </c>
      <c r="T3" s="13">
        <v>0</v>
      </c>
      <c r="U3" s="1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M11" sqref="M11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ht="12.75" x14ac:dyDescent="0.2">
      <c r="A2" s="3">
        <v>44180</v>
      </c>
      <c r="B2" s="4" t="s">
        <v>21</v>
      </c>
      <c r="C2" s="4" t="s">
        <v>46</v>
      </c>
      <c r="D2" s="4" t="s">
        <v>22</v>
      </c>
      <c r="E2" s="4" t="s">
        <v>24</v>
      </c>
      <c r="F2" s="5" t="s">
        <v>23</v>
      </c>
      <c r="G2" s="6">
        <v>70000</v>
      </c>
      <c r="H2" s="4" t="s">
        <v>48</v>
      </c>
      <c r="I2" s="4" t="s">
        <v>49</v>
      </c>
      <c r="J2" s="10">
        <v>0.47916666666666669</v>
      </c>
      <c r="K2" s="11">
        <v>0.4861111111111111</v>
      </c>
      <c r="L2" s="10">
        <v>0.27430555555555552</v>
      </c>
      <c r="M2" s="11">
        <v>0.29375000000000001</v>
      </c>
      <c r="N2" s="7" t="s">
        <v>116</v>
      </c>
      <c r="O2" s="7" t="s">
        <v>115</v>
      </c>
      <c r="P2" s="9">
        <v>579</v>
      </c>
      <c r="Q2" s="7">
        <v>193</v>
      </c>
      <c r="R2" s="4">
        <v>0</v>
      </c>
      <c r="S2" s="4">
        <v>0</v>
      </c>
      <c r="T2" s="4">
        <v>0</v>
      </c>
      <c r="U2" s="4">
        <v>0</v>
      </c>
      <c r="V2" s="8"/>
    </row>
    <row r="3" spans="1:22" s="18" customFormat="1" ht="12.75" x14ac:dyDescent="0.2">
      <c r="A3" s="3">
        <v>44180</v>
      </c>
      <c r="B3" s="4" t="s">
        <v>21</v>
      </c>
      <c r="C3" s="16" t="s">
        <v>51</v>
      </c>
      <c r="D3" s="4" t="s">
        <v>22</v>
      </c>
      <c r="E3" s="4" t="s">
        <v>24</v>
      </c>
      <c r="F3" s="5" t="s">
        <v>23</v>
      </c>
      <c r="G3" s="6">
        <v>70000</v>
      </c>
      <c r="H3" s="5" t="s">
        <v>52</v>
      </c>
      <c r="I3" s="5" t="s">
        <v>53</v>
      </c>
      <c r="J3" s="14">
        <v>0.64930555555555558</v>
      </c>
      <c r="K3" s="15">
        <v>0.6381944444444444</v>
      </c>
      <c r="L3" s="14">
        <v>0.5</v>
      </c>
      <c r="M3" s="15">
        <v>0.50972222222222219</v>
      </c>
      <c r="N3" s="16" t="s">
        <v>118</v>
      </c>
      <c r="O3" s="16" t="s">
        <v>117</v>
      </c>
      <c r="P3" s="16">
        <v>1205</v>
      </c>
      <c r="Q3" s="16">
        <v>506</v>
      </c>
      <c r="R3" s="16">
        <v>0</v>
      </c>
      <c r="S3" s="16">
        <v>0</v>
      </c>
      <c r="T3" s="16">
        <v>0</v>
      </c>
      <c r="U3" s="16">
        <v>0</v>
      </c>
    </row>
    <row r="4" spans="1:22" s="16" customFormat="1" ht="12.75" x14ac:dyDescent="0.2">
      <c r="A4" s="3"/>
      <c r="B4" s="4"/>
      <c r="D4" s="4"/>
      <c r="E4" s="4"/>
      <c r="F4" s="5"/>
      <c r="H4" s="5"/>
      <c r="I4" s="5"/>
      <c r="J4" s="20"/>
      <c r="K4" s="17"/>
      <c r="L4" s="20"/>
      <c r="M4" s="17"/>
      <c r="P4" s="19"/>
      <c r="Q4" s="19"/>
      <c r="R4" s="19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E30" sqref="E30"/>
    </sheetView>
  </sheetViews>
  <sheetFormatPr defaultRowHeight="15" x14ac:dyDescent="0.25"/>
  <cols>
    <col min="2" max="2" width="21.85546875" bestFit="1" customWidth="1"/>
    <col min="3" max="3" width="13.42578125" bestFit="1" customWidth="1"/>
    <col min="4" max="4" width="5.7109375" bestFit="1" customWidth="1"/>
    <col min="5" max="5" width="14.42578125" bestFit="1" customWidth="1"/>
    <col min="6" max="6" width="12.140625" bestFit="1" customWidth="1"/>
    <col min="9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2" customFormat="1" ht="12.75" x14ac:dyDescent="0.25">
      <c r="A2" s="24">
        <v>44181</v>
      </c>
      <c r="B2" s="1" t="s">
        <v>21</v>
      </c>
      <c r="C2" s="1" t="s">
        <v>97</v>
      </c>
      <c r="D2" s="1" t="s">
        <v>22</v>
      </c>
      <c r="E2" s="1" t="str">
        <f>E3</f>
        <v>HALWY</v>
      </c>
      <c r="F2" s="1" t="s">
        <v>23</v>
      </c>
      <c r="G2" s="25">
        <f>G3</f>
        <v>70000</v>
      </c>
      <c r="H2" s="1" t="s">
        <v>99</v>
      </c>
      <c r="I2" s="1" t="s">
        <v>100</v>
      </c>
      <c r="J2" s="27">
        <v>0.74305555555555547</v>
      </c>
      <c r="K2" s="26">
        <v>0.7319444444444444</v>
      </c>
      <c r="L2" s="27">
        <v>0.50694444444444442</v>
      </c>
      <c r="M2" s="26">
        <v>0.50624999999999998</v>
      </c>
      <c r="N2" s="1" t="s">
        <v>120</v>
      </c>
      <c r="O2" s="1" t="s">
        <v>119</v>
      </c>
      <c r="P2" s="1">
        <v>862</v>
      </c>
      <c r="Q2" s="1">
        <v>466</v>
      </c>
      <c r="R2" s="1">
        <v>0</v>
      </c>
      <c r="S2" s="1">
        <v>0</v>
      </c>
      <c r="T2" s="1">
        <v>0</v>
      </c>
      <c r="U2" s="1">
        <v>0</v>
      </c>
    </row>
    <row r="3" spans="1:22" s="9" customFormat="1" ht="12.75" x14ac:dyDescent="0.2">
      <c r="A3" s="3">
        <f>A2</f>
        <v>44181</v>
      </c>
      <c r="B3" s="4" t="s">
        <v>21</v>
      </c>
      <c r="C3" s="4" t="s">
        <v>25</v>
      </c>
      <c r="D3" s="4" t="s">
        <v>22</v>
      </c>
      <c r="E3" s="4" t="s">
        <v>47</v>
      </c>
      <c r="F3" s="5" t="s">
        <v>23</v>
      </c>
      <c r="G3" s="6">
        <v>70000</v>
      </c>
      <c r="H3" s="4" t="s">
        <v>26</v>
      </c>
      <c r="I3" s="4" t="s">
        <v>27</v>
      </c>
      <c r="J3" s="10">
        <v>0.93055555555555547</v>
      </c>
      <c r="K3" s="11" t="s">
        <v>122</v>
      </c>
      <c r="L3" s="10">
        <v>0.76388888888888884</v>
      </c>
      <c r="M3" s="11">
        <v>0.76666666666666661</v>
      </c>
      <c r="N3" s="7"/>
      <c r="O3" s="7" t="s">
        <v>121</v>
      </c>
      <c r="Q3" s="7">
        <v>596</v>
      </c>
      <c r="R3" s="4">
        <v>0</v>
      </c>
      <c r="S3" s="4">
        <v>0</v>
      </c>
      <c r="T3" s="4">
        <v>0</v>
      </c>
      <c r="U3" s="4">
        <v>0</v>
      </c>
      <c r="V3" s="8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E27" sqref="E27"/>
    </sheetView>
  </sheetViews>
  <sheetFormatPr defaultRowHeight="15" x14ac:dyDescent="0.25"/>
  <cols>
    <col min="2" max="2" width="14.7109375" customWidth="1"/>
    <col min="3" max="3" width="16" customWidth="1"/>
    <col min="4" max="4" width="5.7109375" bestFit="1" customWidth="1"/>
    <col min="5" max="5" width="8.28515625" customWidth="1"/>
    <col min="6" max="6" width="26.140625" customWidth="1"/>
    <col min="11" max="11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44182</v>
      </c>
      <c r="B2" s="4" t="s">
        <v>21</v>
      </c>
      <c r="C2" s="4" t="s">
        <v>123</v>
      </c>
      <c r="D2" s="4" t="s">
        <v>22</v>
      </c>
      <c r="E2" s="4" t="s">
        <v>24</v>
      </c>
      <c r="F2" s="5" t="s">
        <v>23</v>
      </c>
      <c r="G2" s="6">
        <v>70000</v>
      </c>
      <c r="H2" s="4" t="s">
        <v>63</v>
      </c>
      <c r="I2" s="4" t="s">
        <v>64</v>
      </c>
      <c r="J2" s="10">
        <v>0.45833333333333331</v>
      </c>
      <c r="K2" s="11">
        <v>0.57986111111111105</v>
      </c>
      <c r="L2" s="10">
        <v>0.27430555555555552</v>
      </c>
      <c r="M2" s="11">
        <v>0.2902777777777778</v>
      </c>
      <c r="N2" s="7" t="s">
        <v>125</v>
      </c>
      <c r="O2" s="7" t="s">
        <v>124</v>
      </c>
      <c r="P2" s="9">
        <v>1421</v>
      </c>
      <c r="Q2" s="7">
        <v>262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44182</v>
      </c>
      <c r="B3" s="4" t="s">
        <v>21</v>
      </c>
      <c r="C3" s="13" t="s">
        <v>46</v>
      </c>
      <c r="D3" s="4" t="s">
        <v>22</v>
      </c>
      <c r="E3" s="4" t="s">
        <v>47</v>
      </c>
      <c r="F3" s="5" t="s">
        <v>23</v>
      </c>
      <c r="G3" s="6">
        <v>70000</v>
      </c>
      <c r="H3" s="5" t="s">
        <v>48</v>
      </c>
      <c r="I3" s="5" t="s">
        <v>49</v>
      </c>
      <c r="J3" s="14">
        <v>0.69444444444444453</v>
      </c>
      <c r="K3" s="15">
        <v>0.90277777777777779</v>
      </c>
      <c r="L3" s="14">
        <v>0.48958333333333331</v>
      </c>
      <c r="M3" s="15">
        <v>0.71319444444444446</v>
      </c>
      <c r="N3" s="13" t="s">
        <v>146</v>
      </c>
      <c r="O3" s="13" t="s">
        <v>126</v>
      </c>
      <c r="P3" s="13">
        <v>578</v>
      </c>
      <c r="Q3" s="13">
        <v>411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3">
        <v>44182</v>
      </c>
      <c r="B4" s="4" t="s">
        <v>21</v>
      </c>
      <c r="C4" s="13" t="s">
        <v>88</v>
      </c>
      <c r="D4" s="4" t="s">
        <v>22</v>
      </c>
      <c r="E4" s="4" t="s">
        <v>24</v>
      </c>
      <c r="F4" s="5" t="s">
        <v>23</v>
      </c>
      <c r="G4" s="22">
        <v>70000</v>
      </c>
      <c r="H4" s="5" t="s">
        <v>89</v>
      </c>
      <c r="I4" s="5" t="s">
        <v>90</v>
      </c>
      <c r="J4" s="14">
        <v>0.94791666666666663</v>
      </c>
      <c r="K4" s="15">
        <v>0.94374999999999998</v>
      </c>
      <c r="L4" s="14">
        <v>0.71527777777777779</v>
      </c>
      <c r="M4" s="15">
        <v>0.72499999999999998</v>
      </c>
      <c r="N4" s="13" t="s">
        <v>147</v>
      </c>
      <c r="O4" s="13" t="s">
        <v>127</v>
      </c>
      <c r="P4" s="23">
        <v>572</v>
      </c>
      <c r="Q4" s="23">
        <v>224</v>
      </c>
      <c r="R4" s="23">
        <v>0</v>
      </c>
      <c r="S4" s="13">
        <v>0</v>
      </c>
      <c r="T4" s="13">
        <v>0</v>
      </c>
      <c r="U4" s="13">
        <v>0</v>
      </c>
    </row>
    <row r="5" spans="1:21" s="28" customFormat="1" x14ac:dyDescent="0.25">
      <c r="A5" s="3">
        <v>44182</v>
      </c>
      <c r="B5" s="4" t="s">
        <v>21</v>
      </c>
      <c r="C5" s="28" t="s">
        <v>128</v>
      </c>
      <c r="D5" s="4" t="s">
        <v>22</v>
      </c>
      <c r="E5" s="4" t="s">
        <v>47</v>
      </c>
      <c r="F5" s="28" t="s">
        <v>129</v>
      </c>
      <c r="G5" s="22">
        <v>70000</v>
      </c>
      <c r="H5" s="28" t="s">
        <v>130</v>
      </c>
      <c r="I5" s="28" t="s">
        <v>131</v>
      </c>
      <c r="J5" s="29">
        <v>0.68402777777777779</v>
      </c>
      <c r="K5" s="29">
        <v>0.68541666666666667</v>
      </c>
      <c r="L5" s="29">
        <v>0.9375</v>
      </c>
      <c r="M5" s="29">
        <v>0.9506944444444444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</row>
    <row r="6" spans="1:21" s="13" customFormat="1" ht="12.75" x14ac:dyDescent="0.2">
      <c r="A6" s="3">
        <v>44182</v>
      </c>
      <c r="B6" s="13" t="s">
        <v>132</v>
      </c>
      <c r="C6" s="13" t="s">
        <v>133</v>
      </c>
      <c r="D6" s="13" t="s">
        <v>134</v>
      </c>
      <c r="E6" s="13" t="s">
        <v>135</v>
      </c>
      <c r="F6" s="13" t="s">
        <v>136</v>
      </c>
      <c r="G6" s="22">
        <v>79000</v>
      </c>
      <c r="H6" s="13" t="s">
        <v>137</v>
      </c>
      <c r="I6" s="13" t="s">
        <v>137</v>
      </c>
      <c r="J6" s="15">
        <v>0.66666666666666663</v>
      </c>
      <c r="K6" s="15">
        <v>0.67361111111111116</v>
      </c>
      <c r="L6" s="15">
        <v>0.72916666666666663</v>
      </c>
      <c r="M6" s="15">
        <v>0.74375000000000002</v>
      </c>
      <c r="N6" s="13" t="s">
        <v>138</v>
      </c>
      <c r="O6" s="13">
        <v>0</v>
      </c>
      <c r="P6" s="13">
        <v>3455</v>
      </c>
      <c r="Q6" s="13">
        <v>0</v>
      </c>
      <c r="R6" s="13">
        <v>97</v>
      </c>
      <c r="S6" s="13">
        <v>0</v>
      </c>
      <c r="T6" s="13">
        <v>0</v>
      </c>
      <c r="U6" s="13">
        <v>0</v>
      </c>
    </row>
    <row r="7" spans="1:21" s="13" customFormat="1" ht="12.75" x14ac:dyDescent="0.2">
      <c r="A7" s="3">
        <v>44182</v>
      </c>
      <c r="B7" s="13" t="s">
        <v>139</v>
      </c>
      <c r="C7" s="13" t="s">
        <v>140</v>
      </c>
      <c r="D7" s="13" t="s">
        <v>141</v>
      </c>
      <c r="E7" s="13" t="s">
        <v>148</v>
      </c>
      <c r="F7" s="13" t="s">
        <v>143</v>
      </c>
      <c r="G7" s="22">
        <v>6600</v>
      </c>
      <c r="H7" s="13" t="s">
        <v>144</v>
      </c>
      <c r="I7" s="13" t="s">
        <v>144</v>
      </c>
      <c r="J7" s="15">
        <v>0.625</v>
      </c>
      <c r="K7" s="15">
        <v>0.64513888888888882</v>
      </c>
      <c r="L7" s="15">
        <v>0.70833333333333337</v>
      </c>
      <c r="M7" s="15">
        <v>0.71527777777777779</v>
      </c>
      <c r="N7" s="13">
        <v>0</v>
      </c>
      <c r="O7" s="13">
        <v>0</v>
      </c>
      <c r="P7" s="13">
        <v>0</v>
      </c>
      <c r="Q7" s="13">
        <v>0</v>
      </c>
      <c r="R7" s="13">
        <v>1368</v>
      </c>
      <c r="S7" s="13">
        <v>0</v>
      </c>
      <c r="T7" s="13">
        <v>0</v>
      </c>
      <c r="U7" s="13">
        <v>0</v>
      </c>
    </row>
    <row r="8" spans="1:21" s="13" customFormat="1" ht="12.75" x14ac:dyDescent="0.2">
      <c r="A8" s="3">
        <v>44182</v>
      </c>
      <c r="B8" s="13" t="s">
        <v>139</v>
      </c>
      <c r="C8" s="13" t="s">
        <v>140</v>
      </c>
      <c r="D8" s="13" t="s">
        <v>141</v>
      </c>
      <c r="E8" s="13" t="s">
        <v>142</v>
      </c>
      <c r="F8" s="13" t="s">
        <v>143</v>
      </c>
      <c r="G8" s="22">
        <v>6600</v>
      </c>
      <c r="H8" s="13" t="s">
        <v>145</v>
      </c>
      <c r="I8" s="13" t="s">
        <v>145</v>
      </c>
      <c r="J8" s="15">
        <v>0.625</v>
      </c>
      <c r="K8" s="15">
        <v>0.65069444444444446</v>
      </c>
      <c r="L8" s="15">
        <v>0.70833333333333337</v>
      </c>
      <c r="M8" s="15">
        <v>0.72916666666666663</v>
      </c>
      <c r="N8" s="13">
        <v>0</v>
      </c>
      <c r="O8" s="13">
        <v>0</v>
      </c>
      <c r="P8" s="13">
        <v>0</v>
      </c>
      <c r="Q8" s="13">
        <v>0</v>
      </c>
      <c r="R8" s="13">
        <v>1156</v>
      </c>
      <c r="S8" s="13">
        <v>0</v>
      </c>
      <c r="T8" s="13">
        <v>0</v>
      </c>
      <c r="U8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F12" sqref="F12"/>
    </sheetView>
  </sheetViews>
  <sheetFormatPr defaultRowHeight="15" x14ac:dyDescent="0.25"/>
  <cols>
    <col min="1" max="1" width="10.140625" bestFit="1" customWidth="1"/>
    <col min="3" max="3" width="13.42578125" bestFit="1" customWidth="1"/>
    <col min="4" max="4" width="5.7109375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ht="12.75" x14ac:dyDescent="0.2">
      <c r="A2" s="3">
        <v>44183</v>
      </c>
      <c r="B2" s="4" t="s">
        <v>21</v>
      </c>
      <c r="C2" s="4" t="s">
        <v>28</v>
      </c>
      <c r="D2" s="4" t="s">
        <v>22</v>
      </c>
      <c r="E2" s="13" t="s">
        <v>24</v>
      </c>
      <c r="F2" s="5" t="s">
        <v>23</v>
      </c>
      <c r="G2" s="6">
        <v>70000</v>
      </c>
      <c r="H2" s="4" t="s">
        <v>31</v>
      </c>
      <c r="I2" s="4" t="s">
        <v>32</v>
      </c>
      <c r="J2" s="10">
        <v>0.45833333333333331</v>
      </c>
      <c r="K2" s="11">
        <v>0.47361111111111115</v>
      </c>
      <c r="L2" s="10">
        <v>0.25694444444444448</v>
      </c>
      <c r="M2" s="11">
        <v>0.28680555555555554</v>
      </c>
      <c r="N2" s="7" t="s">
        <v>150</v>
      </c>
      <c r="O2" s="7" t="s">
        <v>149</v>
      </c>
      <c r="P2" s="9">
        <v>1183</v>
      </c>
      <c r="Q2" s="7">
        <v>1060</v>
      </c>
      <c r="R2" s="4">
        <v>0</v>
      </c>
      <c r="S2" s="4">
        <v>0</v>
      </c>
      <c r="T2" s="4">
        <v>0</v>
      </c>
      <c r="U2" s="4">
        <v>0</v>
      </c>
      <c r="V2" s="8"/>
    </row>
    <row r="3" spans="1:22" s="13" customFormat="1" ht="12.75" x14ac:dyDescent="0.2">
      <c r="A3" s="3">
        <v>44183</v>
      </c>
      <c r="B3" s="13" t="s">
        <v>21</v>
      </c>
      <c r="C3" s="13" t="s">
        <v>29</v>
      </c>
      <c r="D3" s="13" t="s">
        <v>22</v>
      </c>
      <c r="E3" s="13" t="s">
        <v>24</v>
      </c>
      <c r="F3" s="13" t="s">
        <v>23</v>
      </c>
      <c r="G3" s="22">
        <v>70000</v>
      </c>
      <c r="H3" s="13" t="s">
        <v>33</v>
      </c>
      <c r="I3" s="13" t="s">
        <v>34</v>
      </c>
      <c r="J3" s="14">
        <v>0.74305555555555547</v>
      </c>
      <c r="K3" s="15">
        <v>0.73888888888888893</v>
      </c>
      <c r="L3" s="14">
        <v>0.53472222222222221</v>
      </c>
      <c r="M3" s="15">
        <v>0.53194444444444444</v>
      </c>
      <c r="N3" s="13" t="s">
        <v>156</v>
      </c>
      <c r="O3" s="13" t="s">
        <v>151</v>
      </c>
      <c r="P3" s="13">
        <v>864</v>
      </c>
      <c r="Q3" s="13">
        <v>457</v>
      </c>
      <c r="R3" s="13">
        <v>0</v>
      </c>
      <c r="S3" s="13">
        <v>0</v>
      </c>
      <c r="T3" s="13">
        <v>0</v>
      </c>
      <c r="U3" s="13">
        <v>0</v>
      </c>
    </row>
    <row r="4" spans="1:22" s="13" customFormat="1" ht="12.75" x14ac:dyDescent="0.2">
      <c r="A4" s="12">
        <v>44183</v>
      </c>
      <c r="B4" s="13" t="s">
        <v>21</v>
      </c>
      <c r="C4" s="13" t="s">
        <v>25</v>
      </c>
      <c r="D4" s="13" t="s">
        <v>22</v>
      </c>
      <c r="E4" s="13" t="s">
        <v>24</v>
      </c>
      <c r="F4" s="13" t="s">
        <v>23</v>
      </c>
      <c r="G4" s="22">
        <v>70000</v>
      </c>
      <c r="H4" s="13" t="s">
        <v>26</v>
      </c>
      <c r="I4" s="13" t="s">
        <v>27</v>
      </c>
      <c r="J4" s="14">
        <v>0.93055555555555547</v>
      </c>
      <c r="K4" s="15">
        <v>0.93125000000000002</v>
      </c>
      <c r="L4" s="14">
        <v>0.76388888888888884</v>
      </c>
      <c r="M4" s="15">
        <v>0.76458333333333339</v>
      </c>
      <c r="N4" s="13" t="s">
        <v>157</v>
      </c>
      <c r="O4" s="13" t="s">
        <v>155</v>
      </c>
      <c r="P4" s="13">
        <v>1392</v>
      </c>
      <c r="Q4" s="13">
        <v>259</v>
      </c>
      <c r="R4" s="13">
        <v>0</v>
      </c>
      <c r="S4" s="13">
        <v>0</v>
      </c>
      <c r="T4" s="13">
        <v>0</v>
      </c>
      <c r="U4" s="13">
        <v>0</v>
      </c>
    </row>
    <row r="5" spans="1:22" x14ac:dyDescent="0.25">
      <c r="A5" s="3">
        <v>44183</v>
      </c>
      <c r="B5" s="13" t="s">
        <v>139</v>
      </c>
      <c r="C5" s="13" t="s">
        <v>140</v>
      </c>
      <c r="D5" s="13" t="s">
        <v>141</v>
      </c>
      <c r="E5" s="13" t="s">
        <v>152</v>
      </c>
      <c r="F5" s="13" t="s">
        <v>143</v>
      </c>
      <c r="G5" s="22">
        <v>7000</v>
      </c>
      <c r="H5" s="13" t="s">
        <v>153</v>
      </c>
      <c r="I5" s="13" t="s">
        <v>154</v>
      </c>
      <c r="J5" s="15">
        <v>0.5</v>
      </c>
      <c r="K5" s="15">
        <v>0.51458333333333328</v>
      </c>
      <c r="L5" s="15">
        <v>0.54166666666666663</v>
      </c>
      <c r="M5" s="15">
        <v>0.54652777777777783</v>
      </c>
      <c r="N5" s="13">
        <v>0</v>
      </c>
      <c r="O5" s="13">
        <v>0</v>
      </c>
      <c r="P5" s="13">
        <v>0</v>
      </c>
      <c r="Q5" s="13">
        <v>0</v>
      </c>
      <c r="R5" s="13">
        <v>1187</v>
      </c>
      <c r="S5" s="13">
        <v>0</v>
      </c>
      <c r="T5" s="13">
        <v>0</v>
      </c>
      <c r="U5" s="13">
        <v>0</v>
      </c>
    </row>
    <row r="6" spans="1:22" x14ac:dyDescent="0.25">
      <c r="A6" s="3">
        <v>44183</v>
      </c>
      <c r="B6" s="13" t="s">
        <v>139</v>
      </c>
      <c r="C6" s="13" t="s">
        <v>140</v>
      </c>
      <c r="D6" s="13" t="s">
        <v>141</v>
      </c>
      <c r="E6" s="13" t="s">
        <v>152</v>
      </c>
      <c r="F6" s="13" t="s">
        <v>143</v>
      </c>
      <c r="G6" s="22">
        <v>7000</v>
      </c>
      <c r="H6" s="13" t="s">
        <v>153</v>
      </c>
      <c r="I6" s="13" t="s">
        <v>154</v>
      </c>
      <c r="J6" s="15">
        <v>0.65277777777777779</v>
      </c>
      <c r="K6" s="15">
        <v>0.65277777777777779</v>
      </c>
      <c r="L6" s="15">
        <v>0.68055555555555547</v>
      </c>
      <c r="M6" s="15">
        <v>0.6875</v>
      </c>
      <c r="N6" s="13">
        <v>0</v>
      </c>
      <c r="O6" s="13">
        <v>0</v>
      </c>
      <c r="P6" s="13">
        <v>0</v>
      </c>
      <c r="Q6" s="13">
        <v>0</v>
      </c>
      <c r="R6" s="13">
        <v>1361</v>
      </c>
      <c r="S6" s="13">
        <v>0</v>
      </c>
      <c r="T6" s="13">
        <v>0</v>
      </c>
      <c r="U6" s="13">
        <v>0</v>
      </c>
    </row>
    <row r="7" spans="1:22" x14ac:dyDescent="0.25">
      <c r="A7" s="3">
        <v>44183</v>
      </c>
      <c r="B7" s="13" t="s">
        <v>158</v>
      </c>
      <c r="C7" s="13" t="s">
        <v>159</v>
      </c>
      <c r="D7" s="13" t="s">
        <v>160</v>
      </c>
      <c r="E7" s="13">
        <v>77178</v>
      </c>
      <c r="F7" s="13" t="s">
        <v>143</v>
      </c>
      <c r="G7" s="22">
        <v>265</v>
      </c>
      <c r="H7" s="13" t="s">
        <v>161</v>
      </c>
      <c r="I7" s="13" t="s">
        <v>161</v>
      </c>
      <c r="J7" s="15">
        <v>0.63194444444444442</v>
      </c>
      <c r="K7" s="15">
        <v>0.6333333333333333</v>
      </c>
      <c r="L7" s="15">
        <v>0.74652777777777779</v>
      </c>
      <c r="M7" s="15">
        <v>0.72083333333333333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opLeftCell="D1" workbookViewId="0">
      <selection activeCell="O7" sqref="O7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ht="12.75" x14ac:dyDescent="0.2">
      <c r="A2" s="3">
        <v>44184</v>
      </c>
      <c r="B2" s="4" t="s">
        <v>21</v>
      </c>
      <c r="C2" s="4" t="s">
        <v>46</v>
      </c>
      <c r="D2" s="4" t="s">
        <v>22</v>
      </c>
      <c r="E2" s="4" t="s">
        <v>24</v>
      </c>
      <c r="F2" s="5" t="s">
        <v>23</v>
      </c>
      <c r="G2" s="6">
        <v>70000</v>
      </c>
      <c r="H2" s="4" t="s">
        <v>48</v>
      </c>
      <c r="I2" s="4" t="s">
        <v>49</v>
      </c>
      <c r="J2" s="10">
        <v>0.47916666666666669</v>
      </c>
      <c r="K2" s="11">
        <v>0.47847222222222219</v>
      </c>
      <c r="L2" s="10">
        <v>0.27430555555555552</v>
      </c>
      <c r="M2" s="11">
        <v>0.27291666666666664</v>
      </c>
      <c r="N2" s="7" t="s">
        <v>163</v>
      </c>
      <c r="O2" s="7" t="s">
        <v>162</v>
      </c>
      <c r="P2" s="9">
        <v>932</v>
      </c>
      <c r="Q2" s="7">
        <v>363</v>
      </c>
      <c r="R2" s="4">
        <v>0</v>
      </c>
      <c r="S2" s="4">
        <v>0</v>
      </c>
      <c r="T2" s="4">
        <v>0</v>
      </c>
      <c r="U2" s="4">
        <v>0</v>
      </c>
      <c r="V2" s="8"/>
    </row>
    <row r="3" spans="1:22" s="18" customFormat="1" ht="12.75" x14ac:dyDescent="0.2">
      <c r="A3" s="3">
        <v>44184</v>
      </c>
      <c r="B3" s="4" t="s">
        <v>21</v>
      </c>
      <c r="C3" s="13" t="s">
        <v>51</v>
      </c>
      <c r="D3" s="4" t="s">
        <v>22</v>
      </c>
      <c r="E3" s="4" t="s">
        <v>24</v>
      </c>
      <c r="F3" s="5" t="s">
        <v>23</v>
      </c>
      <c r="G3" s="6">
        <v>70000</v>
      </c>
      <c r="H3" s="5" t="s">
        <v>52</v>
      </c>
      <c r="I3" s="5" t="s">
        <v>53</v>
      </c>
      <c r="J3" s="14">
        <v>0.64930555555555558</v>
      </c>
      <c r="K3" s="15">
        <v>0.6381944444444444</v>
      </c>
      <c r="L3" s="14">
        <v>0.5</v>
      </c>
      <c r="M3" s="15">
        <v>0.50694444444444442</v>
      </c>
      <c r="N3" s="13" t="s">
        <v>165</v>
      </c>
      <c r="O3" s="13" t="s">
        <v>164</v>
      </c>
      <c r="P3" s="13">
        <v>1605</v>
      </c>
      <c r="Q3" s="13">
        <v>581</v>
      </c>
      <c r="R3" s="13">
        <v>0</v>
      </c>
      <c r="S3" s="13">
        <v>0</v>
      </c>
      <c r="T3" s="13">
        <v>0</v>
      </c>
      <c r="U3" s="13">
        <v>0</v>
      </c>
    </row>
    <row r="4" spans="1:22" s="16" customFormat="1" ht="12.75" x14ac:dyDescent="0.2">
      <c r="A4" s="3">
        <v>44184</v>
      </c>
      <c r="B4" s="4" t="s">
        <v>21</v>
      </c>
      <c r="C4" s="13" t="s">
        <v>88</v>
      </c>
      <c r="D4" s="4" t="s">
        <v>22</v>
      </c>
      <c r="E4" s="4" t="s">
        <v>24</v>
      </c>
      <c r="F4" s="5" t="s">
        <v>23</v>
      </c>
      <c r="G4" s="22">
        <v>70000</v>
      </c>
      <c r="H4" s="5" t="s">
        <v>89</v>
      </c>
      <c r="I4" s="5" t="s">
        <v>90</v>
      </c>
      <c r="J4" s="14">
        <v>0.94791666666666663</v>
      </c>
      <c r="K4" s="15">
        <v>0.94444444444444453</v>
      </c>
      <c r="L4" s="14">
        <v>0.71527777777777779</v>
      </c>
      <c r="M4" s="15">
        <v>0.70833333333333337</v>
      </c>
      <c r="N4" s="13" t="s">
        <v>166</v>
      </c>
      <c r="O4" s="13" t="s">
        <v>167</v>
      </c>
      <c r="P4" s="23">
        <v>703</v>
      </c>
      <c r="Q4" s="23">
        <v>355</v>
      </c>
      <c r="R4" s="23">
        <v>0</v>
      </c>
      <c r="S4" s="13">
        <v>0</v>
      </c>
      <c r="T4" s="13">
        <v>0</v>
      </c>
      <c r="U4" s="13">
        <v>0</v>
      </c>
    </row>
    <row r="5" spans="1:22" x14ac:dyDescent="0.25">
      <c r="A5" s="12">
        <v>44184</v>
      </c>
      <c r="B5" s="4" t="s">
        <v>168</v>
      </c>
      <c r="C5" s="13" t="s">
        <v>169</v>
      </c>
      <c r="D5" s="4" t="s">
        <v>22</v>
      </c>
      <c r="E5" s="4" t="s">
        <v>170</v>
      </c>
      <c r="F5" s="5" t="s">
        <v>171</v>
      </c>
      <c r="G5" s="22">
        <v>75000</v>
      </c>
      <c r="H5" s="5" t="s">
        <v>172</v>
      </c>
      <c r="I5" s="5" t="s">
        <v>173</v>
      </c>
      <c r="J5" s="15">
        <v>0.55902777777777779</v>
      </c>
      <c r="K5" s="15">
        <v>0.56111111111111112</v>
      </c>
      <c r="L5" s="15">
        <v>0.64583333333333337</v>
      </c>
      <c r="M5" s="15">
        <v>0.75555555555555554</v>
      </c>
      <c r="N5" s="13" t="s">
        <v>174</v>
      </c>
      <c r="O5" s="13" t="s">
        <v>175</v>
      </c>
      <c r="P5" s="23">
        <v>1897</v>
      </c>
      <c r="Q5" s="13">
        <v>1241</v>
      </c>
      <c r="R5" s="23">
        <v>0</v>
      </c>
      <c r="S5" s="23">
        <v>0</v>
      </c>
      <c r="T5" s="23">
        <v>0</v>
      </c>
      <c r="U5" s="23">
        <v>0</v>
      </c>
    </row>
    <row r="6" spans="1:22" x14ac:dyDescent="0.25">
      <c r="A6" s="3">
        <v>44184</v>
      </c>
      <c r="B6" s="13" t="s">
        <v>132</v>
      </c>
      <c r="C6" s="13" t="s">
        <v>178</v>
      </c>
      <c r="D6" s="13" t="s">
        <v>134</v>
      </c>
      <c r="E6" s="13" t="s">
        <v>176</v>
      </c>
      <c r="F6" s="13" t="s">
        <v>136</v>
      </c>
      <c r="G6" s="22">
        <v>79000</v>
      </c>
      <c r="H6" s="13" t="s">
        <v>137</v>
      </c>
      <c r="I6" s="13"/>
      <c r="J6" s="15">
        <v>0.68055555555555547</v>
      </c>
      <c r="K6" s="15">
        <v>0.67361111111111116</v>
      </c>
      <c r="L6" s="15"/>
      <c r="M6" s="15"/>
      <c r="N6" s="13" t="s">
        <v>177</v>
      </c>
      <c r="P6" s="23">
        <v>3331</v>
      </c>
      <c r="R6" s="23">
        <v>0</v>
      </c>
      <c r="S6" s="23">
        <v>0</v>
      </c>
      <c r="T6" s="23">
        <v>0</v>
      </c>
      <c r="U6" s="2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8576"/>
  <sheetViews>
    <sheetView workbookViewId="0">
      <selection activeCell="P33" sqref="P33"/>
    </sheetView>
  </sheetViews>
  <sheetFormatPr defaultRowHeight="15" x14ac:dyDescent="0.25"/>
  <cols>
    <col min="1" max="1" width="10.140625" bestFit="1" customWidth="1"/>
    <col min="2" max="2" width="9.85546875" bestFit="1" customWidth="1"/>
    <col min="3" max="3" width="12.140625" bestFit="1" customWidth="1"/>
    <col min="6" max="6" width="15.2851562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0">
        <v>44185</v>
      </c>
      <c r="B2" s="28" t="s">
        <v>21</v>
      </c>
      <c r="C2" s="28" t="s">
        <v>123</v>
      </c>
      <c r="D2" s="28" t="s">
        <v>22</v>
      </c>
      <c r="E2" s="28" t="s">
        <v>24</v>
      </c>
      <c r="F2" s="28" t="s">
        <v>23</v>
      </c>
      <c r="G2" s="31">
        <v>70000</v>
      </c>
      <c r="H2" s="28" t="s">
        <v>63</v>
      </c>
      <c r="I2" s="28" t="s">
        <v>64</v>
      </c>
      <c r="J2" s="29">
        <v>0.45833333333333331</v>
      </c>
      <c r="K2" s="29">
        <v>0.45624999999999999</v>
      </c>
      <c r="L2" s="29">
        <v>0.27430555555555552</v>
      </c>
      <c r="M2" s="29">
        <v>0.27986111111111112</v>
      </c>
      <c r="N2" s="28" t="s">
        <v>182</v>
      </c>
      <c r="O2" s="28" t="s">
        <v>181</v>
      </c>
      <c r="P2" s="28">
        <v>1083</v>
      </c>
      <c r="Q2" s="28">
        <v>472</v>
      </c>
      <c r="R2" s="28">
        <v>0</v>
      </c>
      <c r="S2" s="28">
        <v>0</v>
      </c>
      <c r="T2" s="28">
        <v>0</v>
      </c>
      <c r="U2" s="28">
        <v>0</v>
      </c>
    </row>
    <row r="3" spans="1:21" x14ac:dyDescent="0.25">
      <c r="A3" s="30">
        <v>44185</v>
      </c>
      <c r="B3" s="28" t="s">
        <v>21</v>
      </c>
      <c r="C3" s="28" t="s">
        <v>97</v>
      </c>
      <c r="D3" s="28" t="s">
        <v>22</v>
      </c>
      <c r="E3" s="28" t="s">
        <v>24</v>
      </c>
      <c r="F3" s="28" t="s">
        <v>23</v>
      </c>
      <c r="G3" s="31">
        <v>70000</v>
      </c>
      <c r="H3" s="28" t="s">
        <v>99</v>
      </c>
      <c r="I3" s="28" t="s">
        <v>100</v>
      </c>
      <c r="J3" s="29">
        <v>0.74305555555555547</v>
      </c>
      <c r="K3" s="29">
        <v>0.73611111111111116</v>
      </c>
      <c r="L3" s="29">
        <v>0.50694444444444442</v>
      </c>
      <c r="M3" s="29">
        <f>L3</f>
        <v>0.50694444444444442</v>
      </c>
      <c r="N3" s="28" t="s">
        <v>184</v>
      </c>
      <c r="O3" s="28" t="s">
        <v>183</v>
      </c>
      <c r="P3" s="28">
        <v>1161</v>
      </c>
      <c r="Q3" s="28">
        <v>663</v>
      </c>
      <c r="R3" s="28">
        <v>0</v>
      </c>
      <c r="S3" s="28">
        <v>0</v>
      </c>
      <c r="T3" s="28">
        <v>0</v>
      </c>
      <c r="U3" s="28">
        <v>0</v>
      </c>
    </row>
    <row r="4" spans="1:21" x14ac:dyDescent="0.25">
      <c r="A4" s="30">
        <v>44185</v>
      </c>
      <c r="B4" s="28" t="s">
        <v>21</v>
      </c>
      <c r="C4" s="28" t="s">
        <v>25</v>
      </c>
      <c r="D4" s="28" t="s">
        <v>22</v>
      </c>
      <c r="E4" s="28" t="s">
        <v>24</v>
      </c>
      <c r="F4" s="28" t="s">
        <v>23</v>
      </c>
      <c r="G4" s="31">
        <v>70000</v>
      </c>
      <c r="H4" s="28" t="s">
        <v>26</v>
      </c>
      <c r="I4" s="28" t="s">
        <v>27</v>
      </c>
      <c r="J4" s="29">
        <v>0.93055555555555547</v>
      </c>
      <c r="K4" s="29">
        <v>0.93958333333333333</v>
      </c>
      <c r="L4" s="29">
        <v>0.76388888888888884</v>
      </c>
      <c r="M4" s="29">
        <v>0.76874999999999993</v>
      </c>
      <c r="N4" s="28" t="s">
        <v>186</v>
      </c>
      <c r="O4" s="28" t="s">
        <v>185</v>
      </c>
      <c r="P4" s="28">
        <v>1631</v>
      </c>
      <c r="Q4" s="28">
        <v>639</v>
      </c>
      <c r="R4" s="28">
        <v>0</v>
      </c>
      <c r="S4" s="28">
        <v>0</v>
      </c>
      <c r="T4" s="28">
        <v>0</v>
      </c>
      <c r="U4" s="28">
        <v>0</v>
      </c>
    </row>
    <row r="5" spans="1:21" x14ac:dyDescent="0.25">
      <c r="A5" s="30">
        <v>44185</v>
      </c>
      <c r="B5" s="28" t="s">
        <v>132</v>
      </c>
      <c r="C5" s="28" t="s">
        <v>179</v>
      </c>
      <c r="D5" s="28" t="s">
        <v>134</v>
      </c>
      <c r="E5" s="28" t="s">
        <v>176</v>
      </c>
      <c r="F5" s="28" t="s">
        <v>180</v>
      </c>
      <c r="G5" s="31">
        <v>79015</v>
      </c>
      <c r="H5" s="28" t="s">
        <v>41</v>
      </c>
      <c r="I5" s="28" t="s">
        <v>137</v>
      </c>
      <c r="J5" s="28" t="s">
        <v>41</v>
      </c>
      <c r="K5" s="28" t="s">
        <v>41</v>
      </c>
      <c r="L5" s="29">
        <v>0.45833333333333331</v>
      </c>
      <c r="M5" s="29">
        <v>0.4909722222222222</v>
      </c>
      <c r="N5" s="28" t="s">
        <v>41</v>
      </c>
      <c r="O5" s="28">
        <v>0</v>
      </c>
      <c r="P5" s="28" t="s">
        <v>41</v>
      </c>
      <c r="Q5" s="28">
        <v>0</v>
      </c>
      <c r="R5" s="28">
        <v>0</v>
      </c>
      <c r="S5" s="28">
        <v>98</v>
      </c>
      <c r="T5" s="28">
        <v>0</v>
      </c>
      <c r="U5" s="28">
        <v>0</v>
      </c>
    </row>
    <row r="1048576" spans="4:4" x14ac:dyDescent="0.25">
      <c r="D1048576" s="28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J3" sqref="J3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44186</v>
      </c>
      <c r="B2" s="4" t="s">
        <v>21</v>
      </c>
      <c r="C2" s="4" t="s">
        <v>28</v>
      </c>
      <c r="D2" s="4" t="s">
        <v>22</v>
      </c>
      <c r="E2" s="4" t="s">
        <v>24</v>
      </c>
      <c r="F2" s="5" t="s">
        <v>23</v>
      </c>
      <c r="G2" s="6">
        <v>70000</v>
      </c>
      <c r="H2" s="4" t="s">
        <v>31</v>
      </c>
      <c r="I2" s="4" t="s">
        <v>32</v>
      </c>
      <c r="J2" s="10">
        <v>0.45833333333333331</v>
      </c>
      <c r="K2" s="11">
        <v>0.44444444444444442</v>
      </c>
      <c r="L2" s="10">
        <v>0.25694444444444448</v>
      </c>
      <c r="M2" s="11">
        <v>0.25277777777777777</v>
      </c>
      <c r="N2" s="7" t="s">
        <v>188</v>
      </c>
      <c r="O2" s="7" t="s">
        <v>187</v>
      </c>
      <c r="P2" s="9">
        <v>1508</v>
      </c>
      <c r="Q2" s="7">
        <v>539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v>44186</v>
      </c>
      <c r="B3" s="13" t="s">
        <v>21</v>
      </c>
      <c r="C3" s="13" t="s">
        <v>29</v>
      </c>
      <c r="D3" s="13" t="s">
        <v>22</v>
      </c>
      <c r="E3" s="13" t="s">
        <v>24</v>
      </c>
      <c r="F3" s="13" t="s">
        <v>23</v>
      </c>
      <c r="G3" s="13">
        <v>70000</v>
      </c>
      <c r="H3" s="13" t="s">
        <v>33</v>
      </c>
      <c r="I3" s="13" t="s">
        <v>34</v>
      </c>
      <c r="J3" s="14">
        <v>0.74305555555555547</v>
      </c>
      <c r="K3" s="15">
        <v>0.73402777777777783</v>
      </c>
      <c r="L3" s="14">
        <v>0.53472222222222221</v>
      </c>
      <c r="M3" s="15">
        <v>0.53125</v>
      </c>
      <c r="N3" s="13" t="s">
        <v>190</v>
      </c>
      <c r="O3" s="13" t="s">
        <v>189</v>
      </c>
      <c r="P3" s="13">
        <v>932</v>
      </c>
      <c r="Q3" s="13">
        <v>694</v>
      </c>
      <c r="R3" s="13">
        <v>0</v>
      </c>
      <c r="S3" s="13">
        <v>0</v>
      </c>
      <c r="T3" s="13">
        <v>0</v>
      </c>
      <c r="U3" s="1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sqref="A1:XFD1048576"/>
    </sheetView>
  </sheetViews>
  <sheetFormatPr defaultRowHeight="12.75" x14ac:dyDescent="0.2"/>
  <cols>
    <col min="1" max="1" width="10.140625" style="16" bestFit="1" customWidth="1"/>
    <col min="2" max="2" width="14.28515625" style="16" bestFit="1" customWidth="1"/>
    <col min="3" max="3" width="16.85546875" style="16" bestFit="1" customWidth="1"/>
    <col min="4" max="4" width="7" style="16" bestFit="1" customWidth="1"/>
    <col min="5" max="5" width="15.28515625" style="16" bestFit="1" customWidth="1"/>
    <col min="6" max="6" width="19.7109375" style="16" customWidth="1"/>
    <col min="7" max="10" width="9.140625" style="16"/>
    <col min="11" max="11" width="10.85546875" style="16" bestFit="1" customWidth="1"/>
    <col min="12" max="12" width="9.140625" style="16"/>
    <col min="13" max="13" width="10.85546875" style="16" bestFit="1" customWidth="1"/>
    <col min="14" max="15" width="18.42578125" style="16" bestFit="1" customWidth="1"/>
    <col min="16" max="16384" width="9.140625" style="16"/>
  </cols>
  <sheetData>
    <row r="1" spans="1:22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x14ac:dyDescent="0.2">
      <c r="A2" s="3">
        <v>44187</v>
      </c>
      <c r="B2" s="4" t="s">
        <v>21</v>
      </c>
      <c r="C2" s="4" t="s">
        <v>46</v>
      </c>
      <c r="D2" s="4" t="s">
        <v>22</v>
      </c>
      <c r="E2" s="4" t="s">
        <v>24</v>
      </c>
      <c r="F2" s="5" t="s">
        <v>23</v>
      </c>
      <c r="G2" s="6">
        <v>70000</v>
      </c>
      <c r="H2" s="4" t="s">
        <v>48</v>
      </c>
      <c r="I2" s="4" t="s">
        <v>49</v>
      </c>
      <c r="J2" s="10">
        <v>0.47916666666666669</v>
      </c>
      <c r="K2" s="11">
        <v>0.48958333333333331</v>
      </c>
      <c r="L2" s="10">
        <v>0.27430555555555552</v>
      </c>
      <c r="M2" s="11">
        <v>0.2722222222222222</v>
      </c>
      <c r="N2" s="7" t="s">
        <v>192</v>
      </c>
      <c r="O2" s="7" t="s">
        <v>191</v>
      </c>
      <c r="P2" s="9">
        <v>742</v>
      </c>
      <c r="Q2" s="7">
        <v>204</v>
      </c>
      <c r="R2" s="4">
        <v>0</v>
      </c>
      <c r="S2" s="4">
        <v>0</v>
      </c>
      <c r="T2" s="4">
        <v>0</v>
      </c>
      <c r="U2" s="4">
        <v>0</v>
      </c>
      <c r="V2" s="8"/>
    </row>
    <row r="3" spans="1:22" x14ac:dyDescent="0.2">
      <c r="A3" s="3">
        <v>44187</v>
      </c>
      <c r="B3" s="4" t="s">
        <v>21</v>
      </c>
      <c r="C3" s="13" t="s">
        <v>51</v>
      </c>
      <c r="D3" s="4" t="s">
        <v>22</v>
      </c>
      <c r="E3" s="4" t="s">
        <v>24</v>
      </c>
      <c r="F3" s="5" t="s">
        <v>23</v>
      </c>
      <c r="G3" s="6">
        <v>70000</v>
      </c>
      <c r="H3" s="5" t="s">
        <v>52</v>
      </c>
      <c r="I3" s="5" t="s">
        <v>53</v>
      </c>
      <c r="J3" s="14">
        <v>0.64930555555555558</v>
      </c>
      <c r="K3" s="15">
        <v>0.65277777777777779</v>
      </c>
      <c r="L3" s="14">
        <v>0.5</v>
      </c>
      <c r="M3" s="15">
        <v>0.51944444444444449</v>
      </c>
      <c r="N3" s="13" t="s">
        <v>194</v>
      </c>
      <c r="O3" s="13" t="s">
        <v>193</v>
      </c>
      <c r="P3" s="13">
        <v>1177</v>
      </c>
      <c r="Q3" s="13">
        <v>633</v>
      </c>
      <c r="R3" s="13">
        <v>0</v>
      </c>
      <c r="S3" s="13">
        <v>0</v>
      </c>
      <c r="T3" s="13">
        <v>0</v>
      </c>
      <c r="U3" s="13">
        <v>0</v>
      </c>
    </row>
    <row r="4" spans="1:22" x14ac:dyDescent="0.2">
      <c r="A4" s="3">
        <v>44187</v>
      </c>
      <c r="B4" s="4" t="s">
        <v>21</v>
      </c>
      <c r="C4" s="13" t="s">
        <v>88</v>
      </c>
      <c r="D4" s="4" t="s">
        <v>22</v>
      </c>
      <c r="E4" s="4" t="s">
        <v>24</v>
      </c>
      <c r="F4" s="5" t="s">
        <v>23</v>
      </c>
      <c r="G4" s="22">
        <v>70000</v>
      </c>
      <c r="H4" s="5" t="s">
        <v>89</v>
      </c>
      <c r="I4" s="5" t="s">
        <v>90</v>
      </c>
      <c r="J4" s="14">
        <v>0.94791666666666663</v>
      </c>
      <c r="K4" s="15">
        <v>0.9458333333333333</v>
      </c>
      <c r="L4" s="14">
        <v>0.71527777777777779</v>
      </c>
      <c r="M4" s="15">
        <v>0.71666666666666667</v>
      </c>
      <c r="N4" s="13">
        <v>153</v>
      </c>
      <c r="O4" s="13" t="s">
        <v>195</v>
      </c>
      <c r="P4" s="23">
        <v>867</v>
      </c>
      <c r="Q4" s="23">
        <v>291</v>
      </c>
      <c r="R4" s="23">
        <v>0</v>
      </c>
      <c r="S4" s="13">
        <v>0</v>
      </c>
      <c r="T4" s="13">
        <v>0</v>
      </c>
      <c r="U4" s="13">
        <v>0</v>
      </c>
    </row>
    <row r="5" spans="1:22" x14ac:dyDescent="0.2">
      <c r="A5" s="3">
        <v>44187</v>
      </c>
      <c r="B5" s="4" t="s">
        <v>168</v>
      </c>
      <c r="C5" s="13" t="s">
        <v>169</v>
      </c>
      <c r="D5" s="4" t="s">
        <v>198</v>
      </c>
      <c r="E5" s="4" t="s">
        <v>201</v>
      </c>
      <c r="F5" s="5" t="s">
        <v>200</v>
      </c>
      <c r="G5" s="13">
        <v>77</v>
      </c>
      <c r="H5" s="5" t="s">
        <v>172</v>
      </c>
      <c r="I5" s="5" t="s">
        <v>173</v>
      </c>
      <c r="J5" s="14">
        <v>0.64583333333333337</v>
      </c>
      <c r="K5" s="15">
        <v>0.63888888888888895</v>
      </c>
      <c r="L5" s="14">
        <v>0.85416666666666663</v>
      </c>
      <c r="M5" s="15">
        <v>0.85555555555555562</v>
      </c>
      <c r="N5" s="23">
        <v>94</v>
      </c>
      <c r="O5" s="13" t="s">
        <v>203</v>
      </c>
      <c r="P5" s="23">
        <v>1105</v>
      </c>
      <c r="Q5" s="13">
        <v>1050</v>
      </c>
      <c r="R5" s="23">
        <v>0</v>
      </c>
      <c r="S5" s="13">
        <v>0</v>
      </c>
      <c r="T5" s="13">
        <v>0</v>
      </c>
      <c r="U5" s="13">
        <v>0</v>
      </c>
    </row>
    <row r="6" spans="1:22" x14ac:dyDescent="0.2">
      <c r="A6" s="3">
        <v>44187</v>
      </c>
      <c r="B6" s="4" t="s">
        <v>196</v>
      </c>
      <c r="C6" s="13" t="s">
        <v>197</v>
      </c>
      <c r="D6" s="4" t="s">
        <v>199</v>
      </c>
      <c r="E6" s="4" t="s">
        <v>201</v>
      </c>
      <c r="F6" s="5" t="s">
        <v>200</v>
      </c>
      <c r="G6" s="13">
        <v>19</v>
      </c>
      <c r="H6" s="5" t="s">
        <v>202</v>
      </c>
      <c r="I6" s="5" t="s">
        <v>202</v>
      </c>
      <c r="J6" s="14">
        <v>0.61111111111111105</v>
      </c>
      <c r="K6" s="15">
        <v>0.6166666666666667</v>
      </c>
      <c r="L6" s="14">
        <v>0.66666666666666663</v>
      </c>
      <c r="M6" s="15">
        <v>0.67361111111111116</v>
      </c>
      <c r="N6" s="23">
        <v>5</v>
      </c>
      <c r="O6" s="23">
        <v>5</v>
      </c>
      <c r="P6" s="23">
        <v>650</v>
      </c>
      <c r="Q6" s="13">
        <v>450</v>
      </c>
      <c r="R6" s="23">
        <v>0</v>
      </c>
      <c r="S6" s="13">
        <v>0</v>
      </c>
      <c r="T6" s="13">
        <v>0</v>
      </c>
      <c r="U6" s="1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K4" sqref="K4"/>
    </sheetView>
  </sheetViews>
  <sheetFormatPr defaultRowHeight="15" x14ac:dyDescent="0.25"/>
  <cols>
    <col min="2" max="2" width="21.85546875" bestFit="1" customWidth="1"/>
    <col min="3" max="3" width="13.42578125" bestFit="1" customWidth="1"/>
    <col min="4" max="4" width="5.7109375" bestFit="1" customWidth="1"/>
    <col min="5" max="5" width="14.42578125" bestFit="1" customWidth="1"/>
    <col min="6" max="6" width="12.140625" bestFit="1" customWidth="1"/>
    <col min="9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2" customFormat="1" ht="12.75" x14ac:dyDescent="0.25">
      <c r="A2" s="24">
        <v>44188</v>
      </c>
      <c r="B2" s="1" t="s">
        <v>21</v>
      </c>
      <c r="C2" s="1" t="s">
        <v>28</v>
      </c>
      <c r="D2" s="1" t="s">
        <v>22</v>
      </c>
      <c r="E2" s="1" t="s">
        <v>24</v>
      </c>
      <c r="F2" s="1" t="s">
        <v>23</v>
      </c>
      <c r="G2" s="25">
        <f>G3</f>
        <v>70000</v>
      </c>
      <c r="H2" s="1" t="s">
        <v>31</v>
      </c>
      <c r="I2" s="1" t="s">
        <v>32</v>
      </c>
      <c r="J2" s="27">
        <v>0.45833333333333331</v>
      </c>
      <c r="K2" s="26">
        <v>0.44930555555555557</v>
      </c>
      <c r="L2" s="27">
        <v>0.25694444444444448</v>
      </c>
      <c r="M2" s="26">
        <v>0.26319444444444445</v>
      </c>
      <c r="N2" s="1" t="s">
        <v>206</v>
      </c>
      <c r="O2" s="1" t="s">
        <v>205</v>
      </c>
      <c r="P2" s="1">
        <v>1265</v>
      </c>
      <c r="Q2" s="1">
        <v>439</v>
      </c>
      <c r="R2" s="1">
        <v>0</v>
      </c>
      <c r="S2" s="1">
        <v>0</v>
      </c>
      <c r="T2" s="1">
        <v>0</v>
      </c>
      <c r="U2" s="1">
        <v>0</v>
      </c>
    </row>
    <row r="3" spans="1:22" s="2" customFormat="1" ht="12.75" x14ac:dyDescent="0.25">
      <c r="A3" s="24">
        <v>44188</v>
      </c>
      <c r="B3" s="1" t="s">
        <v>21</v>
      </c>
      <c r="C3" s="1" t="s">
        <v>97</v>
      </c>
      <c r="D3" s="1" t="s">
        <v>22</v>
      </c>
      <c r="E3" s="1" t="s">
        <v>204</v>
      </c>
      <c r="F3" s="1" t="s">
        <v>23</v>
      </c>
      <c r="G3" s="25">
        <f>G4</f>
        <v>70000</v>
      </c>
      <c r="H3" s="1" t="s">
        <v>99</v>
      </c>
      <c r="I3" s="1" t="s">
        <v>100</v>
      </c>
      <c r="J3" s="27">
        <v>0.74305555555555547</v>
      </c>
      <c r="K3" s="26">
        <v>0.73888888888888893</v>
      </c>
      <c r="L3" s="27">
        <v>0.50694444444444442</v>
      </c>
      <c r="M3" s="26">
        <v>0.51111111111111118</v>
      </c>
      <c r="N3" s="1" t="s">
        <v>207</v>
      </c>
      <c r="O3" s="1" t="s">
        <v>155</v>
      </c>
      <c r="P3" s="1">
        <v>1248</v>
      </c>
      <c r="Q3" s="1">
        <v>345</v>
      </c>
      <c r="R3" s="1">
        <v>0</v>
      </c>
      <c r="S3" s="1">
        <v>0</v>
      </c>
      <c r="T3" s="1">
        <v>0</v>
      </c>
      <c r="U3" s="1">
        <v>0</v>
      </c>
    </row>
    <row r="4" spans="1:22" s="9" customFormat="1" ht="12.75" x14ac:dyDescent="0.2">
      <c r="A4" s="3">
        <f>A3</f>
        <v>44188</v>
      </c>
      <c r="B4" s="4" t="s">
        <v>21</v>
      </c>
      <c r="C4" s="4" t="s">
        <v>25</v>
      </c>
      <c r="D4" s="4" t="s">
        <v>22</v>
      </c>
      <c r="E4" s="4" t="s">
        <v>204</v>
      </c>
      <c r="F4" s="5" t="s">
        <v>23</v>
      </c>
      <c r="G4" s="6">
        <v>70000</v>
      </c>
      <c r="H4" s="4" t="s">
        <v>26</v>
      </c>
      <c r="I4" s="4" t="s">
        <v>27</v>
      </c>
      <c r="J4" s="10">
        <v>0.93055555555555547</v>
      </c>
      <c r="K4" s="11">
        <v>0.93819444444444444</v>
      </c>
      <c r="L4" s="10">
        <v>0.76388888888888884</v>
      </c>
      <c r="M4" s="11">
        <v>0.77083333333333337</v>
      </c>
      <c r="N4" s="7" t="s">
        <v>208</v>
      </c>
      <c r="O4" s="7" t="s">
        <v>209</v>
      </c>
      <c r="P4" s="9">
        <v>1684</v>
      </c>
      <c r="Q4" s="7">
        <v>799</v>
      </c>
      <c r="R4" s="4">
        <v>0</v>
      </c>
      <c r="S4" s="4">
        <v>0</v>
      </c>
      <c r="T4" s="4">
        <v>0</v>
      </c>
      <c r="U4" s="4">
        <v>0</v>
      </c>
      <c r="V4" s="8"/>
    </row>
    <row r="6" spans="1:22" s="2" customFormat="1" ht="12.75" x14ac:dyDescent="0.25">
      <c r="A6" s="24"/>
      <c r="B6" s="1"/>
      <c r="C6" s="1"/>
      <c r="D6" s="1"/>
      <c r="E6" s="1"/>
      <c r="F6" s="1"/>
      <c r="G6" s="25"/>
      <c r="H6" s="1"/>
      <c r="I6" s="1"/>
      <c r="J6" s="27"/>
      <c r="K6" s="26"/>
      <c r="L6" s="27"/>
      <c r="M6" s="26"/>
      <c r="N6" s="1"/>
      <c r="O6" s="1"/>
      <c r="P6" s="1"/>
      <c r="Q6" s="1"/>
      <c r="R6" s="1"/>
      <c r="S6" s="1"/>
      <c r="T6" s="1"/>
      <c r="U6" s="1"/>
    </row>
    <row r="7" spans="1:22" s="9" customFormat="1" ht="12.75" x14ac:dyDescent="0.2">
      <c r="A7" s="3"/>
      <c r="B7" s="4"/>
      <c r="C7" s="4"/>
      <c r="D7" s="4"/>
      <c r="E7" s="4"/>
      <c r="F7" s="5"/>
      <c r="G7" s="6"/>
      <c r="H7" s="4"/>
      <c r="I7" s="4"/>
      <c r="J7" s="10"/>
      <c r="K7" s="11"/>
      <c r="L7" s="10"/>
      <c r="M7" s="11"/>
      <c r="N7" s="7"/>
      <c r="O7" s="7"/>
      <c r="Q7" s="7"/>
      <c r="R7" s="4"/>
      <c r="S7" s="4"/>
      <c r="T7" s="4"/>
      <c r="U7" s="4"/>
      <c r="V7" s="8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H31" sqref="H31"/>
    </sheetView>
  </sheetViews>
  <sheetFormatPr defaultRowHeight="15" x14ac:dyDescent="0.25"/>
  <cols>
    <col min="2" max="2" width="14.7109375" customWidth="1"/>
    <col min="3" max="3" width="16" customWidth="1"/>
    <col min="4" max="4" width="5.7109375" bestFit="1" customWidth="1"/>
    <col min="5" max="5" width="8.28515625" customWidth="1"/>
    <col min="6" max="6" width="26.140625" customWidth="1"/>
    <col min="11" max="11" width="11.7109375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44189</v>
      </c>
      <c r="B2" s="4" t="s">
        <v>21</v>
      </c>
      <c r="C2" s="4" t="s">
        <v>123</v>
      </c>
      <c r="D2" s="4" t="s">
        <v>22</v>
      </c>
      <c r="E2" s="4" t="s">
        <v>204</v>
      </c>
      <c r="F2" s="5" t="s">
        <v>23</v>
      </c>
      <c r="G2" s="6">
        <v>70000</v>
      </c>
      <c r="H2" s="4" t="s">
        <v>63</v>
      </c>
      <c r="I2" s="4" t="s">
        <v>64</v>
      </c>
      <c r="J2" s="10">
        <v>0.45833333333333331</v>
      </c>
      <c r="K2" s="11">
        <v>0.44722222222222219</v>
      </c>
      <c r="L2" s="10">
        <v>0.27430555555555552</v>
      </c>
      <c r="M2" s="11">
        <v>0.28194444444444444</v>
      </c>
      <c r="N2" s="7" t="s">
        <v>211</v>
      </c>
      <c r="O2" s="7" t="s">
        <v>210</v>
      </c>
      <c r="P2" s="9">
        <v>833</v>
      </c>
      <c r="Q2" s="7">
        <v>344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44189</v>
      </c>
      <c r="B3" s="4" t="s">
        <v>21</v>
      </c>
      <c r="C3" s="13" t="s">
        <v>46</v>
      </c>
      <c r="D3" s="4" t="s">
        <v>22</v>
      </c>
      <c r="E3" s="4" t="s">
        <v>204</v>
      </c>
      <c r="F3" s="5" t="s">
        <v>23</v>
      </c>
      <c r="G3" s="6">
        <v>70000</v>
      </c>
      <c r="H3" s="5" t="s">
        <v>48</v>
      </c>
      <c r="I3" s="5" t="s">
        <v>49</v>
      </c>
      <c r="J3" s="14">
        <v>0.69444444444444453</v>
      </c>
      <c r="K3" s="15">
        <v>0.6875</v>
      </c>
      <c r="L3" s="14">
        <v>0.48958333333333331</v>
      </c>
      <c r="M3" s="15">
        <v>0.49513888888888885</v>
      </c>
      <c r="N3" s="13" t="s">
        <v>213</v>
      </c>
      <c r="O3" s="13" t="s">
        <v>212</v>
      </c>
      <c r="P3" s="13">
        <v>782</v>
      </c>
      <c r="Q3" s="13">
        <v>545</v>
      </c>
      <c r="R3" s="13">
        <v>0</v>
      </c>
      <c r="S3" s="13">
        <v>0</v>
      </c>
      <c r="T3" s="13">
        <v>0</v>
      </c>
      <c r="U3" s="13">
        <v>0</v>
      </c>
    </row>
    <row r="4" spans="1:21" x14ac:dyDescent="0.25">
      <c r="A4" s="3"/>
      <c r="B4" s="4"/>
      <c r="C4" s="13"/>
      <c r="D4" s="4"/>
      <c r="E4" s="4"/>
      <c r="F4" s="5"/>
      <c r="G4" s="22"/>
      <c r="H4" s="5"/>
      <c r="I4" s="5"/>
      <c r="J4" s="14"/>
      <c r="K4" s="15"/>
      <c r="L4" s="14"/>
      <c r="M4" s="15"/>
      <c r="N4" s="13"/>
      <c r="O4" s="13"/>
      <c r="P4" s="23"/>
      <c r="Q4" s="23"/>
      <c r="R4" s="23"/>
      <c r="S4" s="13"/>
      <c r="T4" s="13"/>
      <c r="U4" s="13"/>
    </row>
    <row r="5" spans="1:21" s="28" customFormat="1" x14ac:dyDescent="0.25">
      <c r="A5" s="3"/>
      <c r="B5" s="4"/>
      <c r="D5" s="4"/>
      <c r="E5" s="4"/>
      <c r="G5" s="22"/>
      <c r="J5" s="29"/>
      <c r="K5" s="29"/>
      <c r="L5" s="29"/>
      <c r="M5" s="29"/>
    </row>
    <row r="6" spans="1:21" s="13" customFormat="1" ht="12.75" x14ac:dyDescent="0.2">
      <c r="A6" s="3"/>
      <c r="G6" s="22"/>
      <c r="J6" s="15"/>
      <c r="K6" s="15"/>
      <c r="L6" s="15"/>
      <c r="M6" s="15"/>
    </row>
    <row r="7" spans="1:21" s="13" customFormat="1" ht="12.75" x14ac:dyDescent="0.2">
      <c r="A7" s="3"/>
      <c r="G7" s="22"/>
      <c r="J7" s="15"/>
      <c r="K7" s="15"/>
      <c r="L7" s="15"/>
      <c r="M7" s="15"/>
    </row>
    <row r="8" spans="1:21" s="13" customFormat="1" ht="12.75" x14ac:dyDescent="0.2">
      <c r="A8" s="3"/>
      <c r="G8" s="22"/>
      <c r="J8" s="15"/>
      <c r="K8" s="15"/>
      <c r="L8" s="15"/>
      <c r="M8" s="15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A2" sqref="A2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44190</v>
      </c>
      <c r="B2" s="13" t="s">
        <v>21</v>
      </c>
      <c r="C2" s="13" t="s">
        <v>29</v>
      </c>
      <c r="D2" s="13" t="s">
        <v>22</v>
      </c>
      <c r="E2" s="13" t="s">
        <v>204</v>
      </c>
      <c r="F2" s="13" t="s">
        <v>23</v>
      </c>
      <c r="G2" s="22">
        <v>70000</v>
      </c>
      <c r="H2" s="13" t="s">
        <v>33</v>
      </c>
      <c r="I2" s="13" t="s">
        <v>34</v>
      </c>
      <c r="J2" s="14">
        <v>0.74305555555555547</v>
      </c>
      <c r="K2" s="15">
        <v>0.73333333333333339</v>
      </c>
      <c r="L2" s="14">
        <v>0.53472222222222221</v>
      </c>
      <c r="M2" s="15">
        <v>0.53611111111111109</v>
      </c>
      <c r="N2" s="13" t="s">
        <v>215</v>
      </c>
      <c r="O2" s="13" t="s">
        <v>214</v>
      </c>
      <c r="P2" s="13">
        <v>826</v>
      </c>
      <c r="Q2" s="13">
        <v>913</v>
      </c>
      <c r="R2" s="13">
        <v>0</v>
      </c>
      <c r="S2" s="13">
        <v>0</v>
      </c>
      <c r="T2" s="13">
        <v>0</v>
      </c>
      <c r="U2" s="13">
        <v>0</v>
      </c>
    </row>
    <row r="3" spans="1:21" x14ac:dyDescent="0.25">
      <c r="A3" s="3"/>
      <c r="B3" s="13"/>
      <c r="C3" s="13"/>
      <c r="D3" s="13"/>
      <c r="E3" s="13"/>
      <c r="F3" s="13"/>
      <c r="G3" s="22"/>
      <c r="H3" s="13"/>
      <c r="I3" s="13"/>
      <c r="J3" s="14"/>
      <c r="K3" s="15"/>
      <c r="L3" s="14"/>
      <c r="M3" s="15"/>
      <c r="N3" s="13"/>
      <c r="O3" s="13"/>
      <c r="P3" s="13"/>
      <c r="Q3" s="13"/>
      <c r="R3" s="13"/>
      <c r="S3" s="13"/>
      <c r="T3" s="13"/>
      <c r="U3" s="13"/>
    </row>
    <row r="4" spans="1:21" x14ac:dyDescent="0.25">
      <c r="A4" s="12"/>
      <c r="B4" s="13"/>
      <c r="C4" s="13"/>
      <c r="D4" s="13"/>
      <c r="E4" s="13"/>
      <c r="F4" s="13"/>
      <c r="G4" s="13"/>
      <c r="H4" s="13"/>
      <c r="I4" s="13"/>
      <c r="J4" s="14"/>
      <c r="K4" s="15"/>
      <c r="L4" s="14"/>
      <c r="M4" s="15"/>
      <c r="N4" s="13"/>
      <c r="O4" s="13"/>
      <c r="P4" s="13"/>
      <c r="Q4" s="13"/>
      <c r="R4" s="13"/>
      <c r="S4" s="13"/>
      <c r="T4" s="13"/>
      <c r="U4" s="1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opLeftCell="G1" workbookViewId="0">
      <selection activeCell="N11" sqref="N11"/>
    </sheetView>
  </sheetViews>
  <sheetFormatPr defaultRowHeight="15" x14ac:dyDescent="0.25"/>
  <cols>
    <col min="1" max="1" width="10.140625" bestFit="1" customWidth="1"/>
    <col min="2" max="2" width="14.28515625" bestFit="1" customWidth="1"/>
    <col min="3" max="3" width="16.85546875" bestFit="1" customWidth="1"/>
    <col min="4" max="4" width="7" bestFit="1" customWidth="1"/>
    <col min="5" max="5" width="15.28515625" bestFit="1" customWidth="1"/>
    <col min="6" max="6" width="12.140625" bestFit="1" customWidth="1"/>
    <col min="11" max="11" width="10.85546875" bestFit="1" customWidth="1"/>
    <col min="13" max="13" width="10.85546875" bestFit="1" customWidth="1"/>
    <col min="14" max="15" width="18.42578125" bestFit="1" customWidth="1"/>
  </cols>
  <sheetData>
    <row r="1" spans="1:22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ht="12.75" x14ac:dyDescent="0.2">
      <c r="A2" s="3">
        <v>44191</v>
      </c>
      <c r="B2" s="4" t="s">
        <v>21</v>
      </c>
      <c r="C2" s="13" t="s">
        <v>51</v>
      </c>
      <c r="D2" s="4" t="s">
        <v>22</v>
      </c>
      <c r="E2" s="4" t="s">
        <v>204</v>
      </c>
      <c r="F2" s="5" t="s">
        <v>23</v>
      </c>
      <c r="G2" s="6">
        <v>70000</v>
      </c>
      <c r="H2" s="5" t="s">
        <v>52</v>
      </c>
      <c r="I2" s="5" t="s">
        <v>53</v>
      </c>
      <c r="J2" s="14">
        <v>0.64930555555555558</v>
      </c>
      <c r="K2" s="15">
        <v>0.66180555555555554</v>
      </c>
      <c r="L2" s="14">
        <v>0.5</v>
      </c>
      <c r="M2" s="15">
        <v>0.32777777777777778</v>
      </c>
      <c r="N2" s="13" t="s">
        <v>218</v>
      </c>
      <c r="O2" s="13" t="s">
        <v>216</v>
      </c>
      <c r="P2" s="13">
        <v>930</v>
      </c>
      <c r="Q2" s="13">
        <v>734</v>
      </c>
      <c r="R2" s="13">
        <v>0</v>
      </c>
      <c r="S2" s="13">
        <v>0</v>
      </c>
      <c r="T2" s="4">
        <v>0</v>
      </c>
      <c r="U2" s="4">
        <v>0</v>
      </c>
      <c r="V2" s="8"/>
    </row>
    <row r="3" spans="1:22" s="18" customFormat="1" ht="12.75" x14ac:dyDescent="0.2">
      <c r="A3" s="3">
        <v>44191</v>
      </c>
      <c r="B3" s="4" t="s">
        <v>21</v>
      </c>
      <c r="C3" s="13" t="s">
        <v>88</v>
      </c>
      <c r="D3" s="4" t="s">
        <v>22</v>
      </c>
      <c r="E3" s="4" t="s">
        <v>204</v>
      </c>
      <c r="F3" s="5" t="s">
        <v>23</v>
      </c>
      <c r="G3" s="22">
        <v>70000</v>
      </c>
      <c r="H3" s="5" t="s">
        <v>89</v>
      </c>
      <c r="I3" s="5" t="s">
        <v>90</v>
      </c>
      <c r="J3" s="14">
        <v>0.94791666666666663</v>
      </c>
      <c r="K3" s="15">
        <v>0.95624999999999993</v>
      </c>
      <c r="L3" s="14">
        <v>0.71527777777777779</v>
      </c>
      <c r="M3" s="15">
        <v>0.72777777777777775</v>
      </c>
      <c r="N3" s="13" t="s">
        <v>206</v>
      </c>
      <c r="O3" s="13" t="s">
        <v>217</v>
      </c>
      <c r="P3" s="23">
        <v>839</v>
      </c>
      <c r="Q3" s="23">
        <v>855</v>
      </c>
      <c r="R3" s="23">
        <v>0</v>
      </c>
      <c r="S3" s="13">
        <v>0</v>
      </c>
      <c r="T3" s="13">
        <v>0</v>
      </c>
      <c r="U3" s="13">
        <v>0</v>
      </c>
    </row>
    <row r="4" spans="1:22" s="16" customFormat="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 s="13"/>
      <c r="U4" s="13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8576"/>
  <sheetViews>
    <sheetView workbookViewId="0">
      <selection activeCell="K4" sqref="K4"/>
    </sheetView>
  </sheetViews>
  <sheetFormatPr defaultRowHeight="15" x14ac:dyDescent="0.25"/>
  <cols>
    <col min="1" max="1" width="10.140625" bestFit="1" customWidth="1"/>
    <col min="2" max="2" width="9.85546875" bestFit="1" customWidth="1"/>
    <col min="3" max="3" width="12.140625" bestFit="1" customWidth="1"/>
    <col min="6" max="6" width="15.28515625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2" customFormat="1" ht="1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0">
        <v>44192</v>
      </c>
      <c r="B2" s="28" t="s">
        <v>21</v>
      </c>
      <c r="C2" s="28" t="s">
        <v>123</v>
      </c>
      <c r="D2" s="28" t="s">
        <v>22</v>
      </c>
      <c r="E2" s="28" t="s">
        <v>204</v>
      </c>
      <c r="F2" s="28" t="s">
        <v>23</v>
      </c>
      <c r="G2" s="31">
        <v>70000</v>
      </c>
      <c r="H2" s="28" t="s">
        <v>63</v>
      </c>
      <c r="I2" s="28" t="s">
        <v>64</v>
      </c>
      <c r="J2" s="29">
        <v>0.45833333333333331</v>
      </c>
      <c r="K2" s="29">
        <v>0.48125000000000001</v>
      </c>
      <c r="L2" s="29">
        <v>0.27430555555555552</v>
      </c>
      <c r="M2" s="29">
        <v>0.29166666666666669</v>
      </c>
      <c r="N2" s="28" t="s">
        <v>220</v>
      </c>
      <c r="O2" s="28" t="s">
        <v>219</v>
      </c>
      <c r="P2" s="28">
        <v>835</v>
      </c>
      <c r="Q2" s="28">
        <v>713</v>
      </c>
      <c r="R2" s="28">
        <v>0</v>
      </c>
      <c r="S2" s="28">
        <v>0</v>
      </c>
      <c r="T2" s="28">
        <v>0</v>
      </c>
      <c r="U2" s="28">
        <v>0</v>
      </c>
    </row>
    <row r="3" spans="1:21" x14ac:dyDescent="0.25">
      <c r="A3" s="30">
        <v>44192</v>
      </c>
      <c r="B3" s="28" t="s">
        <v>21</v>
      </c>
      <c r="C3" s="28" t="s">
        <v>97</v>
      </c>
      <c r="D3" s="28" t="s">
        <v>22</v>
      </c>
      <c r="E3" s="28" t="s">
        <v>204</v>
      </c>
      <c r="F3" s="28" t="s">
        <v>23</v>
      </c>
      <c r="G3" s="31">
        <v>70000</v>
      </c>
      <c r="H3" s="28" t="s">
        <v>99</v>
      </c>
      <c r="I3" s="28" t="s">
        <v>100</v>
      </c>
      <c r="J3" s="29">
        <v>0.74305555555555547</v>
      </c>
      <c r="K3" s="29">
        <v>0.74583333333333324</v>
      </c>
      <c r="L3" s="29">
        <v>0.50694444444444442</v>
      </c>
      <c r="M3" s="29">
        <v>0.51874999999999993</v>
      </c>
      <c r="N3" s="28" t="s">
        <v>222</v>
      </c>
      <c r="O3" s="28" t="s">
        <v>221</v>
      </c>
      <c r="P3" s="28">
        <v>960</v>
      </c>
      <c r="Q3" s="28">
        <v>870</v>
      </c>
      <c r="R3" s="28">
        <v>0</v>
      </c>
      <c r="S3" s="28">
        <v>0</v>
      </c>
      <c r="T3" s="28">
        <v>0</v>
      </c>
      <c r="U3" s="28">
        <v>0</v>
      </c>
    </row>
    <row r="4" spans="1:21" x14ac:dyDescent="0.25">
      <c r="A4" s="30">
        <v>44192</v>
      </c>
      <c r="B4" s="28" t="s">
        <v>21</v>
      </c>
      <c r="C4" s="28" t="s">
        <v>25</v>
      </c>
      <c r="D4" s="28" t="s">
        <v>22</v>
      </c>
      <c r="E4" s="28" t="s">
        <v>204</v>
      </c>
      <c r="F4" s="28" t="s">
        <v>23</v>
      </c>
      <c r="G4" s="31">
        <v>70000</v>
      </c>
      <c r="H4" s="28" t="s">
        <v>26</v>
      </c>
      <c r="I4" s="28" t="s">
        <v>27</v>
      </c>
      <c r="J4" s="29">
        <v>0.93055555555555547</v>
      </c>
      <c r="K4" s="29">
        <v>0.94305555555555554</v>
      </c>
      <c r="L4" s="29">
        <v>0.76388888888888884</v>
      </c>
      <c r="M4" s="29">
        <v>0.78125</v>
      </c>
      <c r="N4" s="28" t="s">
        <v>223</v>
      </c>
      <c r="O4" s="28" t="s">
        <v>224</v>
      </c>
      <c r="P4" s="28">
        <v>1377</v>
      </c>
      <c r="Q4" s="28">
        <v>1226</v>
      </c>
      <c r="R4" s="28">
        <v>0</v>
      </c>
      <c r="S4" s="28">
        <v>0</v>
      </c>
      <c r="T4" s="28">
        <v>0</v>
      </c>
      <c r="U4" s="28">
        <v>0</v>
      </c>
    </row>
    <row r="5" spans="1:21" x14ac:dyDescent="0.25">
      <c r="A5" s="30"/>
      <c r="B5" s="28"/>
      <c r="C5" s="28"/>
      <c r="D5" s="28"/>
      <c r="E5" s="28"/>
      <c r="F5" s="28"/>
      <c r="G5" s="31"/>
      <c r="H5" s="28"/>
      <c r="I5" s="28"/>
      <c r="J5" s="28"/>
      <c r="K5" s="28"/>
      <c r="L5" s="29"/>
      <c r="M5" s="29"/>
      <c r="N5" s="28"/>
      <c r="O5" s="28"/>
      <c r="P5" s="28"/>
      <c r="Q5" s="28"/>
      <c r="R5" s="28"/>
      <c r="S5" s="28"/>
      <c r="T5" s="28"/>
      <c r="U5" s="28"/>
    </row>
    <row r="1048576" spans="4:4" x14ac:dyDescent="0.25">
      <c r="D1048576" s="28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F11" sqref="F11"/>
    </sheetView>
  </sheetViews>
  <sheetFormatPr defaultRowHeight="15" x14ac:dyDescent="0.25"/>
  <cols>
    <col min="3" max="3" width="22.7109375" customWidth="1"/>
    <col min="6" max="6" width="18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6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44193</v>
      </c>
      <c r="B2" s="4" t="s">
        <v>21</v>
      </c>
      <c r="C2" s="4" t="s">
        <v>28</v>
      </c>
      <c r="D2" s="4" t="s">
        <v>22</v>
      </c>
      <c r="E2" s="4" t="s">
        <v>204</v>
      </c>
      <c r="F2" s="5" t="s">
        <v>23</v>
      </c>
      <c r="G2" s="6">
        <v>70000</v>
      </c>
      <c r="H2" s="4" t="s">
        <v>31</v>
      </c>
      <c r="I2" s="4" t="s">
        <v>32</v>
      </c>
      <c r="J2" s="10">
        <v>0.45833333333333331</v>
      </c>
      <c r="K2" s="11">
        <v>0.47569444444444442</v>
      </c>
      <c r="L2" s="10">
        <v>0.25694444444444448</v>
      </c>
      <c r="M2" s="11">
        <v>0.29375000000000001</v>
      </c>
      <c r="N2" s="7" t="s">
        <v>225</v>
      </c>
      <c r="O2" s="7" t="s">
        <v>147</v>
      </c>
      <c r="P2" s="9">
        <v>1165</v>
      </c>
      <c r="Q2" s="7">
        <v>726</v>
      </c>
      <c r="R2" s="4">
        <v>0</v>
      </c>
      <c r="S2" s="4">
        <v>0</v>
      </c>
      <c r="T2" s="4">
        <v>0</v>
      </c>
      <c r="U2" s="4">
        <v>0</v>
      </c>
    </row>
    <row r="3" spans="1:21" s="16" customFormat="1" ht="12.75" x14ac:dyDescent="0.2">
      <c r="A3" s="3">
        <v>44193</v>
      </c>
      <c r="B3" s="4" t="s">
        <v>168</v>
      </c>
      <c r="C3" s="13" t="s">
        <v>169</v>
      </c>
      <c r="D3" s="4">
        <v>737</v>
      </c>
      <c r="E3" s="4" t="s">
        <v>226</v>
      </c>
      <c r="F3" s="5" t="s">
        <v>200</v>
      </c>
      <c r="G3" s="13">
        <v>77</v>
      </c>
      <c r="H3" s="5" t="s">
        <v>172</v>
      </c>
      <c r="I3" s="5" t="s">
        <v>173</v>
      </c>
      <c r="J3" s="14">
        <v>0.48958333333333331</v>
      </c>
      <c r="K3" s="15">
        <v>0.48819444444444443</v>
      </c>
      <c r="L3" s="14">
        <v>0.85416666666666663</v>
      </c>
      <c r="M3" s="15">
        <v>0.66666666666666663</v>
      </c>
      <c r="N3" s="23" t="s">
        <v>227</v>
      </c>
      <c r="O3" s="13" t="s">
        <v>228</v>
      </c>
      <c r="P3" s="23">
        <v>1095</v>
      </c>
      <c r="Q3" s="13">
        <v>920</v>
      </c>
      <c r="R3" s="23">
        <v>0</v>
      </c>
      <c r="S3" s="13">
        <v>0</v>
      </c>
      <c r="T3" s="13">
        <v>0</v>
      </c>
      <c r="U3" s="1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activeCell="J3" sqref="J3"/>
    </sheetView>
  </sheetViews>
  <sheetFormatPr defaultRowHeight="12.75" x14ac:dyDescent="0.2"/>
  <cols>
    <col min="1" max="1" width="10.140625" style="16" bestFit="1" customWidth="1"/>
    <col min="2" max="2" width="14.28515625" style="16" bestFit="1" customWidth="1"/>
    <col min="3" max="3" width="16.85546875" style="16" bestFit="1" customWidth="1"/>
    <col min="4" max="4" width="7" style="16" bestFit="1" customWidth="1"/>
    <col min="5" max="5" width="15.28515625" style="16" bestFit="1" customWidth="1"/>
    <col min="6" max="6" width="19.7109375" style="16" customWidth="1"/>
    <col min="7" max="10" width="9.140625" style="16"/>
    <col min="11" max="11" width="10.85546875" style="16" bestFit="1" customWidth="1"/>
    <col min="12" max="12" width="9.140625" style="16"/>
    <col min="13" max="13" width="10.85546875" style="16" bestFit="1" customWidth="1"/>
    <col min="14" max="15" width="18.42578125" style="16" bestFit="1" customWidth="1"/>
    <col min="16" max="16384" width="9.140625" style="16"/>
  </cols>
  <sheetData>
    <row r="1" spans="1:22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9" customFormat="1" x14ac:dyDescent="0.2">
      <c r="A2" s="3">
        <v>44194</v>
      </c>
      <c r="B2" s="4" t="s">
        <v>21</v>
      </c>
      <c r="C2" s="4" t="s">
        <v>46</v>
      </c>
      <c r="D2" s="4" t="s">
        <v>22</v>
      </c>
      <c r="E2" s="4" t="s">
        <v>204</v>
      </c>
      <c r="F2" s="5" t="s">
        <v>23</v>
      </c>
      <c r="G2" s="6">
        <v>70000</v>
      </c>
      <c r="H2" s="4" t="s">
        <v>48</v>
      </c>
      <c r="I2" s="4" t="s">
        <v>49</v>
      </c>
      <c r="J2" s="10">
        <v>0.47916666666666669</v>
      </c>
      <c r="K2" s="11">
        <v>0.47986111111111113</v>
      </c>
      <c r="L2" s="10">
        <v>0.27430555555555552</v>
      </c>
      <c r="M2" s="11">
        <v>0.28125</v>
      </c>
      <c r="N2" s="7" t="s">
        <v>229</v>
      </c>
      <c r="O2" s="7">
        <v>110</v>
      </c>
      <c r="P2" s="9">
        <v>805</v>
      </c>
      <c r="Q2" s="7">
        <v>995</v>
      </c>
      <c r="R2" s="4">
        <v>0</v>
      </c>
      <c r="S2" s="4">
        <v>0</v>
      </c>
      <c r="T2" s="4">
        <v>0</v>
      </c>
      <c r="U2" s="4">
        <v>0</v>
      </c>
      <c r="V2" s="8"/>
    </row>
    <row r="3" spans="1:22" x14ac:dyDescent="0.2">
      <c r="A3" s="3">
        <v>44194</v>
      </c>
      <c r="B3" s="4" t="s">
        <v>21</v>
      </c>
      <c r="C3" s="13" t="s">
        <v>51</v>
      </c>
      <c r="D3" s="4" t="s">
        <v>22</v>
      </c>
      <c r="E3" s="4" t="s">
        <v>204</v>
      </c>
      <c r="F3" s="5" t="s">
        <v>23</v>
      </c>
      <c r="G3" s="6">
        <v>70000</v>
      </c>
      <c r="H3" s="5" t="s">
        <v>52</v>
      </c>
      <c r="I3" s="5" t="s">
        <v>53</v>
      </c>
      <c r="J3" s="14">
        <v>0.64930555555555558</v>
      </c>
      <c r="K3" s="15">
        <v>0.65208333333333335</v>
      </c>
      <c r="L3" s="14">
        <v>0.5</v>
      </c>
      <c r="M3" s="15">
        <v>0.5131944444444444</v>
      </c>
      <c r="N3" s="13" t="s">
        <v>231</v>
      </c>
      <c r="O3" s="13" t="s">
        <v>230</v>
      </c>
      <c r="P3" s="13">
        <v>1046</v>
      </c>
      <c r="Q3" s="13">
        <v>1191</v>
      </c>
      <c r="R3" s="13">
        <v>0</v>
      </c>
      <c r="S3" s="13">
        <v>0</v>
      </c>
      <c r="T3" s="13">
        <v>0</v>
      </c>
      <c r="U3" s="13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L10" sqref="L10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44195</v>
      </c>
      <c r="B2" s="4" t="s">
        <v>21</v>
      </c>
      <c r="C2" s="4" t="s">
        <v>28</v>
      </c>
      <c r="D2" s="4" t="s">
        <v>22</v>
      </c>
      <c r="E2" s="4" t="s">
        <v>204</v>
      </c>
      <c r="F2" s="5" t="s">
        <v>23</v>
      </c>
      <c r="G2" s="6">
        <v>70000</v>
      </c>
      <c r="H2" s="4" t="s">
        <v>31</v>
      </c>
      <c r="I2" s="4" t="s">
        <v>32</v>
      </c>
      <c r="J2" s="10">
        <v>0.45833333333333331</v>
      </c>
      <c r="K2" s="11">
        <v>0.44513888888888892</v>
      </c>
      <c r="L2" s="10">
        <v>0.25694444444444448</v>
      </c>
      <c r="M2" s="11">
        <v>0.25416666666666665</v>
      </c>
      <c r="N2" s="7" t="s">
        <v>232</v>
      </c>
      <c r="O2" s="7" t="s">
        <v>233</v>
      </c>
      <c r="P2" s="9">
        <v>1154</v>
      </c>
      <c r="Q2" s="7">
        <v>999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2">
        <v>44195</v>
      </c>
      <c r="B3" s="13" t="s">
        <v>21</v>
      </c>
      <c r="C3" s="13" t="s">
        <v>25</v>
      </c>
      <c r="D3" s="13" t="s">
        <v>22</v>
      </c>
      <c r="E3" s="13" t="s">
        <v>204</v>
      </c>
      <c r="F3" s="13" t="s">
        <v>23</v>
      </c>
      <c r="G3" s="13">
        <v>70000</v>
      </c>
      <c r="H3" s="13" t="s">
        <v>26</v>
      </c>
      <c r="I3" s="13" t="s">
        <v>27</v>
      </c>
      <c r="J3" s="14">
        <v>0.93055555555555547</v>
      </c>
      <c r="K3" s="32"/>
      <c r="L3" s="14">
        <v>0.76388888888888884</v>
      </c>
      <c r="M3" s="15">
        <v>0.76041666666666663</v>
      </c>
      <c r="N3" s="33"/>
      <c r="O3" s="13" t="s">
        <v>234</v>
      </c>
      <c r="P3" s="34"/>
      <c r="Q3" s="13">
        <v>1313</v>
      </c>
      <c r="R3" s="13">
        <v>0</v>
      </c>
      <c r="S3" s="13">
        <v>0</v>
      </c>
      <c r="T3" s="13">
        <v>0</v>
      </c>
      <c r="U3" s="13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abSelected="1" topLeftCell="G1" workbookViewId="0">
      <selection activeCell="K3" sqref="K3"/>
    </sheetView>
  </sheetViews>
  <sheetFormatPr defaultRowHeight="15" x14ac:dyDescent="0.25"/>
  <cols>
    <col min="2" max="2" width="14.7109375" customWidth="1"/>
    <col min="3" max="3" width="16" customWidth="1"/>
    <col min="4" max="4" width="5.7109375" bestFit="1" customWidth="1"/>
    <col min="5" max="5" width="8.28515625" customWidth="1"/>
    <col min="6" max="6" width="26.140625" customWidth="1"/>
    <col min="11" max="11" width="11.7109375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44196</v>
      </c>
      <c r="B2" s="4" t="s">
        <v>21</v>
      </c>
      <c r="C2" s="13" t="s">
        <v>235</v>
      </c>
      <c r="D2" s="4" t="s">
        <v>22</v>
      </c>
      <c r="E2" s="4" t="s">
        <v>236</v>
      </c>
      <c r="F2" s="5" t="s">
        <v>237</v>
      </c>
      <c r="G2" s="6">
        <v>70000</v>
      </c>
      <c r="H2" s="5" t="s">
        <v>238</v>
      </c>
      <c r="I2" s="5" t="s">
        <v>41</v>
      </c>
      <c r="J2" s="14">
        <v>0.26041666666666669</v>
      </c>
      <c r="K2" s="15">
        <v>0.3298611111111111</v>
      </c>
      <c r="L2" s="14" t="s">
        <v>41</v>
      </c>
      <c r="M2" s="15" t="s">
        <v>41</v>
      </c>
      <c r="N2" s="13">
        <v>0</v>
      </c>
      <c r="O2" s="13" t="s">
        <v>41</v>
      </c>
      <c r="P2" s="13">
        <v>0</v>
      </c>
      <c r="Q2" s="13" t="s">
        <v>41</v>
      </c>
      <c r="R2" s="13">
        <v>0</v>
      </c>
      <c r="S2" s="13" t="s">
        <v>41</v>
      </c>
      <c r="T2" s="13">
        <v>0</v>
      </c>
      <c r="U2" s="13" t="s">
        <v>41</v>
      </c>
    </row>
    <row r="3" spans="1:21" x14ac:dyDescent="0.25">
      <c r="A3" s="3">
        <f>A2</f>
        <v>44196</v>
      </c>
      <c r="B3" s="4" t="s">
        <v>21</v>
      </c>
      <c r="C3" s="4" t="s">
        <v>123</v>
      </c>
      <c r="D3" s="4" t="s">
        <v>22</v>
      </c>
      <c r="E3" s="4" t="str">
        <f>E2</f>
        <v>HA-LWH</v>
      </c>
      <c r="F3" s="5" t="s">
        <v>23</v>
      </c>
      <c r="G3" s="6">
        <v>70000</v>
      </c>
      <c r="H3" s="4" t="s">
        <v>63</v>
      </c>
      <c r="I3" s="4" t="s">
        <v>64</v>
      </c>
      <c r="J3" s="10">
        <v>0.45833333333333331</v>
      </c>
      <c r="K3" s="11">
        <v>0.56944444444444442</v>
      </c>
      <c r="L3" s="10">
        <v>0.28125</v>
      </c>
      <c r="M3" s="11">
        <v>0.35972222222222222</v>
      </c>
      <c r="N3" s="7" t="s">
        <v>240</v>
      </c>
      <c r="O3" s="7" t="s">
        <v>239</v>
      </c>
      <c r="P3" s="9">
        <v>838</v>
      </c>
      <c r="Q3" s="7">
        <v>728</v>
      </c>
      <c r="R3" s="4">
        <v>0</v>
      </c>
      <c r="S3" s="4">
        <v>0</v>
      </c>
      <c r="T3" s="4">
        <v>0</v>
      </c>
      <c r="U3" s="4">
        <v>0</v>
      </c>
    </row>
    <row r="5" spans="1:21" x14ac:dyDescent="0.25">
      <c r="A5" s="3"/>
      <c r="B5" s="4"/>
      <c r="C5" s="13"/>
      <c r="D5" s="4"/>
      <c r="E5" s="4"/>
      <c r="F5" s="5"/>
      <c r="G5" s="22"/>
      <c r="H5" s="5"/>
      <c r="I5" s="5"/>
      <c r="J5" s="14"/>
      <c r="K5" s="15"/>
      <c r="L5" s="14"/>
      <c r="M5" s="15"/>
      <c r="N5" s="13"/>
      <c r="O5" s="13"/>
      <c r="P5" s="23"/>
      <c r="Q5" s="23"/>
      <c r="R5" s="23"/>
      <c r="S5" s="13"/>
      <c r="T5" s="13"/>
      <c r="U5" s="13"/>
    </row>
    <row r="6" spans="1:21" s="28" customFormat="1" x14ac:dyDescent="0.25">
      <c r="A6" s="3"/>
      <c r="B6" s="4"/>
      <c r="D6" s="4"/>
      <c r="E6" s="4"/>
      <c r="G6" s="22"/>
      <c r="J6" s="29"/>
      <c r="K6" s="29"/>
      <c r="L6" s="29"/>
      <c r="M6" s="29"/>
    </row>
    <row r="7" spans="1:21" s="13" customFormat="1" ht="12.75" x14ac:dyDescent="0.2">
      <c r="A7" s="3"/>
      <c r="G7" s="22"/>
      <c r="J7" s="15"/>
      <c r="K7" s="15"/>
      <c r="L7" s="15"/>
      <c r="M7" s="15"/>
    </row>
    <row r="8" spans="1:21" s="13" customFormat="1" ht="12.75" x14ac:dyDescent="0.2">
      <c r="A8" s="3"/>
      <c r="G8" s="22"/>
      <c r="J8" s="15"/>
      <c r="K8" s="15"/>
      <c r="L8" s="15"/>
      <c r="M8" s="15"/>
    </row>
    <row r="9" spans="1:21" s="13" customFormat="1" ht="12.75" x14ac:dyDescent="0.2">
      <c r="A9" s="3"/>
      <c r="G9" s="22"/>
      <c r="J9" s="15"/>
      <c r="K9" s="15"/>
      <c r="L9" s="15"/>
      <c r="M9" s="1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2</vt:lpstr>
      <vt:lpstr>3</vt:lpstr>
      <vt:lpstr>4</vt:lpstr>
      <vt:lpstr>5</vt:lpstr>
      <vt:lpstr>6</vt:lpstr>
      <vt:lpstr>7</vt:lpstr>
      <vt:lpstr>9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2020-11-01T04:48:46Z</dcterms:created>
  <dcterms:modified xsi:type="dcterms:W3CDTF">2020-12-31T15:26:56Z</dcterms:modified>
</cp:coreProperties>
</file>