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95" windowWidth="18195" windowHeight="11700" firstSheet="11" activeTab="29"/>
  </bookViews>
  <sheets>
    <sheet name="1" sheetId="1" r:id="rId1"/>
    <sheet name="2" sheetId="4" r:id="rId2"/>
    <sheet name="3" sheetId="3" r:id="rId3"/>
    <sheet name="4" sheetId="5" r:id="rId4"/>
    <sheet name="5" sheetId="6" r:id="rId5"/>
    <sheet name="6" sheetId="7" r:id="rId6"/>
    <sheet name="8" sheetId="9" r:id="rId7"/>
    <sheet name="9" sheetId="10" r:id="rId8"/>
    <sheet name="10" sheetId="11" r:id="rId9"/>
    <sheet name="11" sheetId="12" r:id="rId10"/>
    <sheet name="12" sheetId="13" r:id="rId11"/>
    <sheet name="13" sheetId="14" r:id="rId12"/>
    <sheet name="14" sheetId="8" r:id="rId13"/>
    <sheet name="15" sheetId="15" r:id="rId14"/>
    <sheet name="16" sheetId="16" r:id="rId15"/>
    <sheet name="17" sheetId="17" r:id="rId16"/>
    <sheet name="18" sheetId="18" r:id="rId17"/>
    <sheet name="19" sheetId="19" r:id="rId18"/>
    <sheet name="20" sheetId="20" r:id="rId19"/>
    <sheet name="21" sheetId="21" r:id="rId20"/>
    <sheet name="22" sheetId="22" r:id="rId21"/>
    <sheet name="23" sheetId="23" r:id="rId22"/>
    <sheet name="24" sheetId="24" r:id="rId23"/>
    <sheet name="25" sheetId="25" r:id="rId24"/>
    <sheet name="26" sheetId="26" r:id="rId25"/>
    <sheet name="27" sheetId="27" r:id="rId26"/>
    <sheet name="28" sheetId="28" r:id="rId27"/>
    <sheet name="29" sheetId="29" r:id="rId28"/>
    <sheet name="30" sheetId="30" r:id="rId29"/>
    <sheet name="31" sheetId="31" r:id="rId30"/>
  </sheets>
  <calcPr calcId="145621"/>
</workbook>
</file>

<file path=xl/calcChain.xml><?xml version="1.0" encoding="utf-8"?>
<calcChain xmlns="http://schemas.openxmlformats.org/spreadsheetml/2006/main">
  <c r="A4" i="31" l="1"/>
  <c r="A3" i="31" l="1"/>
  <c r="G4" i="30" l="1"/>
  <c r="G6" i="29" l="1"/>
  <c r="E5" i="29"/>
  <c r="E6" i="29" s="1"/>
  <c r="E4" i="29"/>
  <c r="A4" i="29"/>
  <c r="A5" i="29" s="1"/>
  <c r="A6" i="29" s="1"/>
  <c r="A3" i="29"/>
  <c r="E7" i="28" l="1"/>
  <c r="E5" i="28"/>
  <c r="A3" i="28"/>
  <c r="A4" i="28" s="1"/>
  <c r="A5" i="28" s="1"/>
  <c r="A6" i="28" s="1"/>
  <c r="A7" i="28" s="1"/>
  <c r="A8" i="28" s="1"/>
  <c r="A3" i="27" l="1"/>
  <c r="G2" i="27"/>
  <c r="K7" i="26" l="1"/>
  <c r="I7" i="26"/>
  <c r="A7" i="26"/>
  <c r="G6" i="25" l="1"/>
  <c r="G5" i="25"/>
  <c r="E5" i="25"/>
  <c r="E6" i="25" s="1"/>
  <c r="A3" i="25"/>
  <c r="A4" i="25" s="1"/>
  <c r="A5" i="25" s="1"/>
  <c r="A6" i="25" s="1"/>
  <c r="E6" i="24" l="1"/>
  <c r="E5" i="24"/>
  <c r="E4" i="24"/>
  <c r="A3" i="24"/>
  <c r="A4" i="24" s="1"/>
  <c r="A5" i="24" s="1"/>
  <c r="A6" i="24" s="1"/>
  <c r="G4" i="23" l="1"/>
  <c r="A3" i="23"/>
  <c r="A4" i="23" s="1"/>
  <c r="A5" i="23" s="1"/>
  <c r="A6" i="23" s="1"/>
  <c r="G6" i="22" l="1"/>
  <c r="E6" i="22"/>
  <c r="E5" i="22"/>
  <c r="E4" i="22"/>
  <c r="A3" i="22"/>
  <c r="A4" i="22" s="1"/>
  <c r="A5" i="22" s="1"/>
  <c r="A6" i="22" s="1"/>
  <c r="A4" i="21" l="1"/>
  <c r="A5" i="21" s="1"/>
  <c r="A6" i="21" s="1"/>
  <c r="A7" i="21" s="1"/>
  <c r="A8" i="21" s="1"/>
  <c r="A3" i="21"/>
  <c r="G4" i="20" l="1"/>
  <c r="A3" i="20"/>
  <c r="A4" i="20" s="1"/>
  <c r="G2" i="20"/>
  <c r="A3" i="19" l="1"/>
  <c r="A4" i="19" s="1"/>
  <c r="A5" i="19" s="1"/>
  <c r="A6" i="19" s="1"/>
  <c r="A7" i="19" s="1"/>
  <c r="G5" i="18" l="1"/>
  <c r="G6" i="18" s="1"/>
  <c r="E5" i="18"/>
  <c r="E6" i="18" s="1"/>
  <c r="A3" i="18"/>
  <c r="A4" i="18" s="1"/>
  <c r="A5" i="18" s="1"/>
  <c r="A6" i="18" s="1"/>
  <c r="E5" i="17" l="1"/>
  <c r="E6" i="17"/>
  <c r="E4" i="17"/>
  <c r="A4" i="17"/>
  <c r="A5" i="17"/>
  <c r="A6" i="17" s="1"/>
  <c r="A3" i="17"/>
  <c r="G4" i="16" l="1"/>
  <c r="A3" i="16"/>
  <c r="A4" i="16" s="1"/>
  <c r="A5" i="16" s="1"/>
  <c r="A6" i="16" s="1"/>
  <c r="G7" i="15" l="1"/>
  <c r="G8" i="15"/>
  <c r="E7" i="15"/>
  <c r="E5" i="15"/>
  <c r="G4" i="14" l="1"/>
  <c r="G2" i="14"/>
  <c r="E4" i="14"/>
  <c r="A3" i="14"/>
  <c r="A4" i="14" s="1"/>
  <c r="A3" i="13" l="1"/>
  <c r="A4" i="13" s="1"/>
  <c r="A5" i="13" s="1"/>
  <c r="A6" i="13" s="1"/>
  <c r="A7" i="13" s="1"/>
  <c r="G5" i="12" l="1"/>
  <c r="G6" i="12" s="1"/>
  <c r="E5" i="12"/>
  <c r="E6" i="12" s="1"/>
  <c r="A3" i="12"/>
  <c r="A4" i="12" s="1"/>
  <c r="A5" i="12" s="1"/>
  <c r="A6" i="12" s="1"/>
  <c r="A9" i="10" l="1"/>
  <c r="A8" i="10" l="1"/>
  <c r="A7" i="10" l="1"/>
  <c r="A4" i="10"/>
  <c r="A5" i="10" s="1"/>
  <c r="A6" i="10" s="1"/>
  <c r="A3" i="10"/>
  <c r="G4" i="10"/>
  <c r="E4" i="9" l="1"/>
  <c r="A4" i="9"/>
  <c r="A5" i="9" s="1"/>
  <c r="A6" i="9" s="1"/>
  <c r="A3" i="7" l="1"/>
  <c r="A4" i="7" s="1"/>
  <c r="A4" i="6" l="1"/>
  <c r="A5" i="6" s="1"/>
  <c r="A6" i="6" s="1"/>
  <c r="A7" i="6" s="1"/>
  <c r="A3" i="6"/>
  <c r="M2" i="5" l="1"/>
  <c r="G6" i="5" l="1"/>
  <c r="G5" i="5"/>
  <c r="E6" i="5"/>
  <c r="E5" i="5"/>
  <c r="A3" i="5"/>
  <c r="A4" i="5" s="1"/>
  <c r="A5" i="5" s="1"/>
  <c r="A6" i="5" s="1"/>
  <c r="G4" i="4" l="1"/>
  <c r="E6" i="1" l="1"/>
  <c r="E4" i="1"/>
  <c r="A4" i="1"/>
  <c r="A5" i="1" s="1"/>
  <c r="A6" i="1" s="1"/>
  <c r="A3" i="1"/>
</calcChain>
</file>

<file path=xl/sharedStrings.xml><?xml version="1.0" encoding="utf-8"?>
<sst xmlns="http://schemas.openxmlformats.org/spreadsheetml/2006/main" count="2053" uniqueCount="422">
  <si>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</si>
  <si>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</si>
  <si>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</si>
  <si>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</si>
  <si>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</si>
  <si>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</si>
  <si>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</si>
  <si>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</si>
  <si>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</si>
  <si>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</si>
  <si>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</si>
  <si>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</si>
  <si>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</si>
  <si>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</si>
  <si>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</si>
  <si>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</si>
  <si>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</si>
  <si>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</si>
  <si>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</si>
  <si>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</si>
  <si>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</si>
  <si>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</si>
  <si>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TZL-SXF-TZL</t>
  </si>
  <si>
    <t>A320</t>
  </si>
  <si>
    <t>SCHEDULED</t>
  </si>
  <si>
    <t>W68276</t>
  </si>
  <si>
    <t>W64275</t>
  </si>
  <si>
    <t>TZL-FMM-TZL</t>
  </si>
  <si>
    <t>HALWL</t>
  </si>
  <si>
    <t>W64280</t>
  </si>
  <si>
    <t>W64279</t>
  </si>
  <si>
    <t>TZL-EIN-TZL</t>
  </si>
  <si>
    <t>W68290</t>
  </si>
  <si>
    <t>W64289</t>
  </si>
  <si>
    <t>TZL-FKB-TZL</t>
  </si>
  <si>
    <t>W64618</t>
  </si>
  <si>
    <t>W64617</t>
  </si>
  <si>
    <t>TZL-BLL-TZL</t>
  </si>
  <si>
    <t>W64278</t>
  </si>
  <si>
    <t>W64277</t>
  </si>
  <si>
    <t>HALYR</t>
  </si>
  <si>
    <t>134+8INF</t>
  </si>
  <si>
    <t>79+4INF</t>
  </si>
  <si>
    <t>133+2INF</t>
  </si>
  <si>
    <t>142+2INF</t>
  </si>
  <si>
    <t>136+6INF</t>
  </si>
  <si>
    <t>116+2INF</t>
  </si>
  <si>
    <t>131+1INF</t>
  </si>
  <si>
    <t>50+0INF</t>
  </si>
  <si>
    <t>80+3INF</t>
  </si>
  <si>
    <t>148+3INF</t>
  </si>
  <si>
    <t>TZL-DTM-TZL</t>
  </si>
  <si>
    <t>W64298</t>
  </si>
  <si>
    <t>W64297</t>
  </si>
  <si>
    <t>TZL-GOT-TZL</t>
  </si>
  <si>
    <t>W64296</t>
  </si>
  <si>
    <t>W64295</t>
  </si>
  <si>
    <t>TZL-NYO-TZL</t>
  </si>
  <si>
    <t>W64282</t>
  </si>
  <si>
    <t>W64281</t>
  </si>
  <si>
    <t>TZL-CGN-TZL</t>
  </si>
  <si>
    <t>W642300</t>
  </si>
  <si>
    <t>W64299</t>
  </si>
  <si>
    <t>TZL-MLH-TZL</t>
  </si>
  <si>
    <t>W64294</t>
  </si>
  <si>
    <t>W64293</t>
  </si>
  <si>
    <t>129+0 INF</t>
  </si>
  <si>
    <t>84+4 INF</t>
  </si>
  <si>
    <t>169+1 INF</t>
  </si>
  <si>
    <t>174+4 INF</t>
  </si>
  <si>
    <t>102+1INF</t>
  </si>
  <si>
    <t>142+1INF</t>
  </si>
  <si>
    <t>130+4INF</t>
  </si>
  <si>
    <t>81+4INF</t>
  </si>
  <si>
    <t>87+2INF</t>
  </si>
  <si>
    <t>26+0INF</t>
  </si>
  <si>
    <t>TZL-MMX-TZL</t>
  </si>
  <si>
    <t>W64292</t>
  </si>
  <si>
    <t>W64291</t>
  </si>
  <si>
    <t>HA-LWL</t>
  </si>
  <si>
    <t>TZL-VXO-TZL</t>
  </si>
  <si>
    <t>W64612</t>
  </si>
  <si>
    <t>W64611</t>
  </si>
  <si>
    <t>TZL-FDH-TZL</t>
  </si>
  <si>
    <t>W64616</t>
  </si>
  <si>
    <t>W64615</t>
  </si>
  <si>
    <t>HA-LYR</t>
  </si>
  <si>
    <t>131+3 INF</t>
  </si>
  <si>
    <t>167+2 INF</t>
  </si>
  <si>
    <t>114+3 INF</t>
  </si>
  <si>
    <t>82+2 INF</t>
  </si>
  <si>
    <t>HALPX</t>
  </si>
  <si>
    <t>BEG-TZL-BEG</t>
  </si>
  <si>
    <t>FERRY IN/OUT</t>
  </si>
  <si>
    <t>W6801</t>
  </si>
  <si>
    <t>W6802</t>
  </si>
  <si>
    <t>51+2 INF</t>
  </si>
  <si>
    <t>77+4 INF</t>
  </si>
  <si>
    <t>54+2 INF</t>
  </si>
  <si>
    <t>38+0 INF</t>
  </si>
  <si>
    <t>68+3 INF</t>
  </si>
  <si>
    <t>33+0 INF</t>
  </si>
  <si>
    <t>FREEBIRD</t>
  </si>
  <si>
    <t>AYT-TZL-AYT</t>
  </si>
  <si>
    <t>TCFHN</t>
  </si>
  <si>
    <t>NONSCH/CHARTER</t>
  </si>
  <si>
    <t>FHY821</t>
  </si>
  <si>
    <t>FHY822</t>
  </si>
  <si>
    <t>TZL-HHN-TZL</t>
  </si>
  <si>
    <t>W64284</t>
  </si>
  <si>
    <t>W64283</t>
  </si>
  <si>
    <t>W64290</t>
  </si>
  <si>
    <t>69+2 INF</t>
  </si>
  <si>
    <t>62+2 INF</t>
  </si>
  <si>
    <t>151+4 INF</t>
  </si>
  <si>
    <t>92+4 INF</t>
  </si>
  <si>
    <t>124+3 INF</t>
  </si>
  <si>
    <t>106+1 INF</t>
  </si>
  <si>
    <t>128+2 INF</t>
  </si>
  <si>
    <t>W64300</t>
  </si>
  <si>
    <t>155+7INF</t>
  </si>
  <si>
    <t>125+2INF</t>
  </si>
  <si>
    <t>56+4INF</t>
  </si>
  <si>
    <t>60+3INF</t>
  </si>
  <si>
    <t>171+6INF</t>
  </si>
  <si>
    <t>171+2INF</t>
  </si>
  <si>
    <t>154+5 INF</t>
  </si>
  <si>
    <t>60+0 INF</t>
  </si>
  <si>
    <t>63+0 INF</t>
  </si>
  <si>
    <t>49+0 INF</t>
  </si>
  <si>
    <t>42+0 INF</t>
  </si>
  <si>
    <t>108+6 INF</t>
  </si>
  <si>
    <t>97+0 INF</t>
  </si>
  <si>
    <t>113+3 INF</t>
  </si>
  <si>
    <t>55+1 INF</t>
  </si>
  <si>
    <t>65+2 INF</t>
  </si>
  <si>
    <t>24+0 INF</t>
  </si>
  <si>
    <t>TC-FHM</t>
  </si>
  <si>
    <t>HELIMASTER</t>
  </si>
  <si>
    <t>BEG-TZL-TREBINJE</t>
  </si>
  <si>
    <t>R44</t>
  </si>
  <si>
    <t>YU-HTB</t>
  </si>
  <si>
    <t>NONSCHEDULED</t>
  </si>
  <si>
    <t>135+4INF</t>
  </si>
  <si>
    <t>137+3INF</t>
  </si>
  <si>
    <t>145+3INF</t>
  </si>
  <si>
    <t>116+8INF</t>
  </si>
  <si>
    <t>127+1INF</t>
  </si>
  <si>
    <t>97+2 INF</t>
  </si>
  <si>
    <t>130+3 INF</t>
  </si>
  <si>
    <t>BATAGON AIR</t>
  </si>
  <si>
    <t>FAI RENT A JET</t>
  </si>
  <si>
    <t>OSMAK-TZL-BEG</t>
  </si>
  <si>
    <t>KDH-TZL-NUE</t>
  </si>
  <si>
    <t>A119</t>
  </si>
  <si>
    <t>C664</t>
  </si>
  <si>
    <t>S5HDM</t>
  </si>
  <si>
    <t>DAFAG</t>
  </si>
  <si>
    <t>IFA1328</t>
  </si>
  <si>
    <t>HALPK</t>
  </si>
  <si>
    <t>HALWL/HALPK</t>
  </si>
  <si>
    <t>70000/71500</t>
  </si>
  <si>
    <t>AERO-DIENST</t>
  </si>
  <si>
    <t>NUE-TZL-ZAG</t>
  </si>
  <si>
    <t>D328</t>
  </si>
  <si>
    <t>ABADC</t>
  </si>
  <si>
    <t>MEDEVAC</t>
  </si>
  <si>
    <t>ADN27C</t>
  </si>
  <si>
    <t>143+3 INF</t>
  </si>
  <si>
    <t>96+1INF</t>
  </si>
  <si>
    <t>CREW</t>
  </si>
  <si>
    <t>1+0INF</t>
  </si>
  <si>
    <t>BEG-TZL-JAHORINA</t>
  </si>
  <si>
    <t>HELICOPTER</t>
  </si>
  <si>
    <t>169+2INF</t>
  </si>
  <si>
    <t>177+3INF</t>
  </si>
  <si>
    <t>54+0INF</t>
  </si>
  <si>
    <t>98+1INF</t>
  </si>
  <si>
    <t>56+0INF</t>
  </si>
  <si>
    <t>38+2INF</t>
  </si>
  <si>
    <t>143+5INF</t>
  </si>
  <si>
    <t>78+0INF</t>
  </si>
  <si>
    <t>BIJELJINA-TZL-BEG</t>
  </si>
  <si>
    <t>HA-LPK</t>
  </si>
  <si>
    <t>134+1 INF</t>
  </si>
  <si>
    <t>63+1 INF</t>
  </si>
  <si>
    <t>151+2 INF</t>
  </si>
  <si>
    <t>102+3 INF</t>
  </si>
  <si>
    <t>32+0INF</t>
  </si>
  <si>
    <t>22+1INF</t>
  </si>
  <si>
    <t>58+1INF</t>
  </si>
  <si>
    <t>44+2INF</t>
  </si>
  <si>
    <t>39+2INF</t>
  </si>
  <si>
    <t>25+1INF</t>
  </si>
  <si>
    <t>146+6 INF</t>
  </si>
  <si>
    <t>171+3 INF</t>
  </si>
  <si>
    <t>113+2 INF</t>
  </si>
  <si>
    <t>60+3 INF</t>
  </si>
  <si>
    <t>120+2 INF</t>
  </si>
  <si>
    <t>TCFBO</t>
  </si>
  <si>
    <t>45+0 INF</t>
  </si>
  <si>
    <t>68+1 INF</t>
  </si>
  <si>
    <t>86+2 INF</t>
  </si>
  <si>
    <t>79+2 INF</t>
  </si>
  <si>
    <t>133+4 INF</t>
  </si>
  <si>
    <t>127+5INF</t>
  </si>
  <si>
    <t>93+1INF</t>
  </si>
  <si>
    <t>38+0INF</t>
  </si>
  <si>
    <t>65+4INF</t>
  </si>
  <si>
    <t>158+1INF</t>
  </si>
  <si>
    <t>178+4INF</t>
  </si>
  <si>
    <t>58+1 INF</t>
  </si>
  <si>
    <t>59+1 INF</t>
  </si>
  <si>
    <t>117+2 INF</t>
  </si>
  <si>
    <t>35+1 INF</t>
  </si>
  <si>
    <t>111+3 INF</t>
  </si>
  <si>
    <t>109+1 INF</t>
  </si>
  <si>
    <t>84+2INF</t>
  </si>
  <si>
    <t>27+0INF</t>
  </si>
  <si>
    <t>53+2INF</t>
  </si>
  <si>
    <t>HA-LWV</t>
  </si>
  <si>
    <t>138+5 INF</t>
  </si>
  <si>
    <t>93+5 INF</t>
  </si>
  <si>
    <t>158+0 INF</t>
  </si>
  <si>
    <t>166+1 INF</t>
  </si>
  <si>
    <t>162+0 INF</t>
  </si>
  <si>
    <t>100+1 INF</t>
  </si>
  <si>
    <t>47+0 INF</t>
  </si>
  <si>
    <t>80+1 INF</t>
  </si>
  <si>
    <t>94+2NF</t>
  </si>
  <si>
    <t>33+0INF</t>
  </si>
  <si>
    <t>64+1INF</t>
  </si>
  <si>
    <t>59+3INF</t>
  </si>
  <si>
    <t>54+1INF</t>
  </si>
  <si>
    <t>HALWV</t>
  </si>
  <si>
    <t>124+5 INF</t>
  </si>
  <si>
    <t>141+5 INF</t>
  </si>
  <si>
    <t xml:space="preserve">158+5 INF </t>
  </si>
  <si>
    <t>115+4 INF</t>
  </si>
  <si>
    <t>90+2 INF</t>
  </si>
  <si>
    <t>88+4 INF</t>
  </si>
  <si>
    <t>123+4 INF</t>
  </si>
  <si>
    <t>114+5 INF</t>
  </si>
  <si>
    <t>148+3 INF</t>
  </si>
  <si>
    <t>SKP-TZL-SKP</t>
  </si>
  <si>
    <t>HA-LWQ</t>
  </si>
  <si>
    <t>TZL-VAR</t>
  </si>
  <si>
    <t>TECHNICAL</t>
  </si>
  <si>
    <t>W6809</t>
  </si>
  <si>
    <t>W6810</t>
  </si>
  <si>
    <t>-</t>
  </si>
  <si>
    <t>W6812</t>
  </si>
  <si>
    <t>HALPK/HALWJ</t>
  </si>
  <si>
    <t>HALWJ</t>
  </si>
  <si>
    <t>HALWV/HALPR</t>
  </si>
  <si>
    <t>92+6INF</t>
  </si>
  <si>
    <t>108+1INF</t>
  </si>
  <si>
    <t>156+2INF</t>
  </si>
  <si>
    <t>FMM-TZL</t>
  </si>
  <si>
    <t>FERRY IN</t>
  </si>
  <si>
    <t>W6805</t>
  </si>
  <si>
    <t>68+4 INF</t>
  </si>
  <si>
    <t>156+2 INF</t>
  </si>
  <si>
    <t>158+1 INF</t>
  </si>
  <si>
    <t>HALPR</t>
  </si>
  <si>
    <t>120+2INF</t>
  </si>
  <si>
    <t>57+2INF</t>
  </si>
  <si>
    <t>145+2INF</t>
  </si>
  <si>
    <t>75+2INF</t>
  </si>
  <si>
    <t>29+0INF</t>
  </si>
  <si>
    <t>31+2INF</t>
  </si>
  <si>
    <t>14+0INF</t>
  </si>
  <si>
    <t>61+3INF</t>
  </si>
  <si>
    <t>REDSTAR</t>
  </si>
  <si>
    <t>TBS-TZL</t>
  </si>
  <si>
    <t>LJ45</t>
  </si>
  <si>
    <t>TCRSC</t>
  </si>
  <si>
    <t>60+1 INF</t>
  </si>
  <si>
    <t>147+1 INF</t>
  </si>
  <si>
    <t>95+3 INF</t>
  </si>
  <si>
    <t>161+4 INF</t>
  </si>
  <si>
    <t>131+4 INF</t>
  </si>
  <si>
    <t>90+4INF</t>
  </si>
  <si>
    <t>TZL-TIA</t>
  </si>
  <si>
    <t>ROP</t>
  </si>
  <si>
    <t>41+0INF</t>
  </si>
  <si>
    <t>32+2INF</t>
  </si>
  <si>
    <t>123+8INF</t>
  </si>
  <si>
    <t>55+3INF</t>
  </si>
  <si>
    <t>69+0INF</t>
  </si>
  <si>
    <t>46+0INF</t>
  </si>
  <si>
    <t>60+1INF</t>
  </si>
  <si>
    <t>146+4INF</t>
  </si>
  <si>
    <t>154+0INF</t>
  </si>
  <si>
    <t>SMARTWINGS</t>
  </si>
  <si>
    <t>NCE-TZL-PUY</t>
  </si>
  <si>
    <t>C680</t>
  </si>
  <si>
    <t>OKSEM</t>
  </si>
  <si>
    <t>GEN AVI</t>
  </si>
  <si>
    <t>TVS38J</t>
  </si>
  <si>
    <t>TVS39J</t>
  </si>
  <si>
    <t>67+1INF</t>
  </si>
  <si>
    <t>68+1INF</t>
  </si>
  <si>
    <t>29+1INF</t>
  </si>
  <si>
    <t>58+0INF</t>
  </si>
  <si>
    <t>29+2INF</t>
  </si>
  <si>
    <t>13.59</t>
  </si>
  <si>
    <t>74+2INF</t>
  </si>
  <si>
    <t>16+0INF</t>
  </si>
  <si>
    <t>138+2INF</t>
  </si>
  <si>
    <t>89+2INF</t>
  </si>
  <si>
    <t>41+2INF</t>
  </si>
  <si>
    <t>HALPT</t>
  </si>
  <si>
    <t>175+2INF</t>
  </si>
  <si>
    <t>91+2INF</t>
  </si>
  <si>
    <t>77+3INF</t>
  </si>
  <si>
    <t>96+2 INF</t>
  </si>
  <si>
    <t>68+0 INF</t>
  </si>
  <si>
    <t>136+5 INF</t>
  </si>
  <si>
    <t>57+2 INF</t>
  </si>
  <si>
    <t>137+5 INF</t>
  </si>
  <si>
    <t>TC-FHN</t>
  </si>
  <si>
    <t>71+1INF</t>
  </si>
  <si>
    <t>37+0INF</t>
  </si>
  <si>
    <t>31+3INF</t>
  </si>
  <si>
    <t>30+0INF</t>
  </si>
  <si>
    <t>54+2INF</t>
  </si>
  <si>
    <t>112+9 INF</t>
  </si>
  <si>
    <t>158+6 INF</t>
  </si>
  <si>
    <t>122+2 INF</t>
  </si>
  <si>
    <t>95+1 INF</t>
  </si>
  <si>
    <t>103+4 INF</t>
  </si>
  <si>
    <t>113+2INF</t>
  </si>
  <si>
    <t>95+1INF</t>
  </si>
  <si>
    <t>137+4INF</t>
  </si>
  <si>
    <t>70+3INF</t>
  </si>
  <si>
    <t>73+2INF</t>
  </si>
  <si>
    <t>139+4INF</t>
  </si>
  <si>
    <t>159+4INF</t>
  </si>
  <si>
    <t>TYROL AIR AMBULANCE</t>
  </si>
  <si>
    <t>INN-TZL-LNZ</t>
  </si>
  <si>
    <t>C55B</t>
  </si>
  <si>
    <t>OE-GPS</t>
  </si>
  <si>
    <t>TYN846S</t>
  </si>
  <si>
    <t>TYN847S</t>
  </si>
  <si>
    <t>77+2INF</t>
  </si>
  <si>
    <t>79+0INF</t>
  </si>
  <si>
    <t>125+4INF</t>
  </si>
  <si>
    <t>68+0INF</t>
  </si>
  <si>
    <t>40+3INF</t>
  </si>
  <si>
    <t>48+0INF</t>
  </si>
  <si>
    <t>88+2INF</t>
  </si>
  <si>
    <t>73+0INF</t>
  </si>
  <si>
    <t>69+1INF</t>
  </si>
  <si>
    <t>18+1 INF</t>
  </si>
  <si>
    <t>64+1 INF</t>
  </si>
  <si>
    <t>33+2 INF</t>
  </si>
  <si>
    <t>24+2 INF</t>
  </si>
  <si>
    <t>HALWH</t>
  </si>
  <si>
    <t>103+6INF</t>
  </si>
  <si>
    <t>143+4INF</t>
  </si>
  <si>
    <t>31+1 INF</t>
  </si>
  <si>
    <t>72+1INF</t>
  </si>
  <si>
    <t>35+0INF</t>
  </si>
  <si>
    <t>21+3INF</t>
  </si>
  <si>
    <t>42+0INF</t>
  </si>
  <si>
    <t>107+4INF</t>
  </si>
  <si>
    <t>126+2INF</t>
  </si>
  <si>
    <t>PANJET</t>
  </si>
  <si>
    <t>ESB-TZL-ISL</t>
  </si>
  <si>
    <t>C550</t>
  </si>
  <si>
    <t>TC-AHE</t>
  </si>
  <si>
    <t>NONSCH/MEDEVAC</t>
  </si>
  <si>
    <t>HALYP</t>
  </si>
  <si>
    <t>35+0 INF</t>
  </si>
  <si>
    <t>95+2 INF</t>
  </si>
  <si>
    <t>65+3 INF</t>
  </si>
  <si>
    <t>PRINCE AVIATION</t>
  </si>
  <si>
    <t>BEG-TZL-DBV</t>
  </si>
  <si>
    <t>C525</t>
  </si>
  <si>
    <t>YU-SCJ</t>
  </si>
  <si>
    <t>NON-SCHEDULED/GA</t>
  </si>
  <si>
    <t>PNC9CJ</t>
  </si>
  <si>
    <t>88+2 INF</t>
  </si>
  <si>
    <t>139+4 INF</t>
  </si>
  <si>
    <t>56+1INF</t>
  </si>
  <si>
    <t>65+1INF</t>
  </si>
  <si>
    <t>86+1INF</t>
  </si>
  <si>
    <t>4+0INF</t>
  </si>
  <si>
    <t>134+9INF</t>
  </si>
  <si>
    <t>78+1INF</t>
  </si>
  <si>
    <t>22+0INF</t>
  </si>
  <si>
    <t>73+0 INF</t>
  </si>
  <si>
    <t>176+5 INF</t>
  </si>
  <si>
    <t>92+1 INF</t>
  </si>
  <si>
    <t>51+1 INF</t>
  </si>
  <si>
    <t>75+1 INF</t>
  </si>
  <si>
    <t>76+3 INF</t>
  </si>
  <si>
    <t>96+3 INF</t>
  </si>
  <si>
    <t>36+2 INF</t>
  </si>
  <si>
    <t>134+2INF</t>
  </si>
  <si>
    <t>95+2INF</t>
  </si>
  <si>
    <t>139+2INF</t>
  </si>
  <si>
    <t>97+5INF</t>
  </si>
  <si>
    <t>137+2 INF</t>
  </si>
  <si>
    <t>153+4 INF</t>
  </si>
  <si>
    <t>57+1 INF</t>
  </si>
  <si>
    <t>58+3 INF</t>
  </si>
  <si>
    <t>125+8 INF</t>
  </si>
  <si>
    <t>HALPM</t>
  </si>
  <si>
    <t>118+2 INF</t>
  </si>
  <si>
    <t>90+1 INF</t>
  </si>
  <si>
    <t>143+2 INF</t>
  </si>
  <si>
    <t>161+5 INF</t>
  </si>
  <si>
    <t>97+2INF</t>
  </si>
  <si>
    <t>124+1INF</t>
  </si>
  <si>
    <t>89+3INF</t>
  </si>
  <si>
    <t>37+2INF</t>
  </si>
  <si>
    <t>57+1IF</t>
  </si>
  <si>
    <t>109+2 INF</t>
  </si>
  <si>
    <t>67+4INF</t>
  </si>
  <si>
    <t>35+1INF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</si>
</sst>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 count="80">
    <xf numFmtId="0" fontId="0" fillId="0" borderId="0" xfId="0"/>
    <xf numFmtId="0" fontId="2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2" fillId="0" borderId="0" xfId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0" fontId="2" fillId="0" borderId="0" xfId="2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2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20" fontId="3" fillId="0" borderId="0" xfId="2" applyNumberFormat="1" applyFont="1" applyFill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3" fontId="2" fillId="0" borderId="0" xfId="3" applyNumberFormat="1" applyFont="1" applyFill="1" applyAlignment="1">
      <alignment horizontal="center" vertical="center"/>
    </xf>
    <xf numFmtId="20" fontId="3" fillId="0" borderId="0" xfId="3" applyNumberFormat="1" applyFont="1" applyFill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0" fontId="2" fillId="0" borderId="0" xfId="3" applyNumberFormat="1" applyFont="1" applyFill="1" applyAlignment="1">
      <alignment horizontal="center" vertical="center"/>
    </xf>
    <xf numFmtId="0" fontId="4" fillId="0" borderId="0" xfId="5" applyFont="1" applyAlignment="1">
      <alignment horizontal="center"/>
    </xf>
    <xf numFmtId="0" fontId="4" fillId="0" borderId="0" xfId="4" applyFont="1" applyAlignment="1">
      <alignment horizontal="center"/>
    </xf>
    <xf numFmtId="20" fontId="5" fillId="0" borderId="0" xfId="3" applyNumberFormat="1" applyFont="1" applyAlignment="1">
      <alignment horizontal="center" vertical="center"/>
    </xf>
    <xf numFmtId="20" fontId="4" fillId="0" borderId="0" xfId="3" applyNumberFormat="1" applyFont="1" applyAlignment="1">
      <alignment horizontal="center" vertical="center"/>
    </xf>
    <xf numFmtId="0" fontId="2" fillId="0" borderId="0" xfId="5" applyFont="1" applyFill="1" applyAlignment="1">
      <alignment horizontal="center" vertical="center"/>
    </xf>
    <xf numFmtId="20" fontId="3" fillId="0" borderId="0" xfId="5" applyNumberFormat="1" applyFont="1" applyFill="1" applyAlignment="1">
      <alignment horizontal="center" vertical="center"/>
    </xf>
    <xf numFmtId="20" fontId="2" fillId="0" borderId="0" xfId="5" applyNumberFormat="1" applyFont="1" applyFill="1" applyAlignment="1">
      <alignment horizontal="center" vertical="center"/>
    </xf>
    <xf numFmtId="0" fontId="2" fillId="0" borderId="0" xfId="5" applyNumberFormat="1" applyFont="1" applyFill="1" applyAlignment="1">
      <alignment horizontal="center" vertical="center"/>
    </xf>
    <xf numFmtId="20" fontId="5" fillId="0" borderId="0" xfId="5" applyNumberFormat="1" applyFont="1" applyAlignment="1">
      <alignment horizontal="center"/>
    </xf>
    <xf numFmtId="20" fontId="4" fillId="0" borderId="0" xfId="5" applyNumberFormat="1" applyFont="1" applyAlignment="1">
      <alignment horizontal="center"/>
    </xf>
    <xf numFmtId="14" fontId="4" fillId="0" borderId="0" xfId="4" applyNumberFormat="1" applyFont="1" applyAlignment="1">
      <alignment horizontal="center"/>
    </xf>
    <xf numFmtId="20" fontId="5" fillId="0" borderId="0" xfId="4" applyNumberFormat="1" applyFont="1" applyAlignment="1">
      <alignment horizontal="center"/>
    </xf>
    <xf numFmtId="20" fontId="4" fillId="0" borderId="0" xfId="4" applyNumberFormat="1" applyFont="1" applyAlignment="1">
      <alignment horizontal="center"/>
    </xf>
    <xf numFmtId="14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2" fillId="0" borderId="0" xfId="2" applyFont="1" applyFill="1" applyBorder="1" applyAlignment="1">
      <alignment horizontal="center" vertical="center"/>
    </xf>
    <xf numFmtId="20" fontId="3" fillId="0" borderId="0" xfId="0" applyNumberFormat="1" applyFont="1" applyFill="1" applyBorder="1" applyAlignment="1">
      <alignment horizontal="center" vertical="center"/>
    </xf>
    <xf numFmtId="20" fontId="2" fillId="0" borderId="0" xfId="2" applyNumberFormat="1" applyFont="1" applyFill="1" applyBorder="1" applyAlignment="1">
      <alignment horizontal="center" vertical="center"/>
    </xf>
    <xf numFmtId="20" fontId="2" fillId="0" borderId="0" xfId="0" applyNumberFormat="1" applyFont="1" applyFill="1" applyBorder="1" applyAlignment="1">
      <alignment horizontal="center" vertical="center"/>
    </xf>
    <xf numFmtId="20" fontId="3" fillId="0" borderId="0" xfId="2" applyNumberFormat="1" applyFont="1" applyFill="1" applyBorder="1" applyAlignment="1">
      <alignment horizontal="center" vertical="center"/>
    </xf>
    <xf numFmtId="0" fontId="6" fillId="0" borderId="0" xfId="9"/>
    <xf numFmtId="0" fontId="4" fillId="0" borderId="0" xfId="9" applyFont="1" applyAlignment="1">
      <alignment horizontal="center"/>
    </xf>
    <xf numFmtId="20" fontId="4" fillId="0" borderId="0" xfId="9" applyNumberFormat="1" applyFont="1" applyAlignment="1">
      <alignment horizontal="center"/>
    </xf>
    <xf numFmtId="0" fontId="7" fillId="0" borderId="0" xfId="4"/>
    <xf numFmtId="0" fontId="2" fillId="0" borderId="0" xfId="4" applyFont="1" applyFill="1" applyAlignment="1">
      <alignment horizontal="center" vertical="center"/>
    </xf>
    <xf numFmtId="3" fontId="2" fillId="0" borderId="0" xfId="4" applyNumberFormat="1" applyFont="1" applyFill="1" applyAlignment="1">
      <alignment horizontal="center" vertical="center"/>
    </xf>
    <xf numFmtId="20" fontId="3" fillId="0" borderId="0" xfId="4" applyNumberFormat="1" applyFont="1" applyFill="1" applyAlignment="1">
      <alignment horizontal="center" vertical="center"/>
    </xf>
    <xf numFmtId="3" fontId="4" fillId="0" borderId="0" xfId="4" applyNumberFormat="1" applyFont="1" applyAlignment="1">
      <alignment horizontal="center"/>
    </xf>
    <xf numFmtId="0" fontId="2" fillId="0" borderId="0" xfId="3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 applyProtection="1">
      <alignment horizontal="center"/>
    </xf>
    <xf numFmtId="0" fontId="2" fillId="2" borderId="0" xfId="2" applyFont="1" applyFill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20" fontId="5" fillId="0" borderId="0" xfId="0" applyNumberFormat="1" applyFont="1" applyBorder="1" applyAlignment="1">
      <alignment horizontal="center" vertical="center"/>
    </xf>
    <xf numFmtId="2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3" borderId="0" xfId="0" applyFill="1"/>
    <xf numFmtId="20" fontId="4" fillId="3" borderId="0" xfId="0" applyNumberFormat="1" applyFont="1" applyFill="1" applyAlignment="1">
      <alignment horizontal="center"/>
    </xf>
    <xf numFmtId="20" fontId="5" fillId="0" borderId="0" xfId="9" applyNumberFormat="1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/>
  </cellXfs>
  <cellStyles count="10">
    <cellStyle name="Normal" xfId="0" builtinId="0"/>
    <cellStyle name="Normal 2" xfId="4"/>
    <cellStyle name="Normal 2 2" xfId="1"/>
    <cellStyle name="Normal 2 3" xfId="5"/>
    <cellStyle name="Normal 3" xfId="6"/>
    <cellStyle name="Normal 3 2" xfId="2"/>
    <cellStyle name="Normal 4" xfId="3"/>
    <cellStyle name="Normal 5" xfId="7"/>
    <cellStyle name="Normal 6" xfId="8"/>
    <cellStyle name="Normal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6"/>
  <sheetViews>
    <sheetView topLeftCell="B1" workbookViewId="0">
      <selection activeCell="K6" sqref="K6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44044</v>
      </c>
      <c r="B2" s="4" t="s">
        <v>21</v>
      </c>
      <c r="C2" s="4" t="s">
        <v>22</v>
      </c>
      <c r="D2" s="4" t="s">
        <v>23</v>
      </c>
      <c r="E2" s="4" t="s">
        <v>40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0.45</v>
      </c>
      <c r="L2" s="6">
        <v>0.28125</v>
      </c>
      <c r="M2" s="8">
        <v>0.28888888888888892</v>
      </c>
      <c r="N2" s="9" t="s">
        <v>43</v>
      </c>
      <c r="O2" s="10" t="s">
        <v>41</v>
      </c>
      <c r="P2" s="11">
        <v>865</v>
      </c>
      <c r="Q2" s="10">
        <v>909</v>
      </c>
      <c r="R2" s="4">
        <v>0</v>
      </c>
      <c r="S2" s="4">
        <v>0</v>
      </c>
      <c r="T2" s="4">
        <v>0</v>
      </c>
      <c r="U2" s="4">
        <v>0</v>
      </c>
    </row>
    <row r="3" spans="1:21" s="2" customFormat="1" x14ac:dyDescent="0.25">
      <c r="A3" s="3">
        <f>A2</f>
        <v>44044</v>
      </c>
      <c r="B3" s="9" t="s">
        <v>21</v>
      </c>
      <c r="C3" s="9" t="s">
        <v>27</v>
      </c>
      <c r="D3" s="9" t="s">
        <v>23</v>
      </c>
      <c r="E3" s="4" t="s">
        <v>28</v>
      </c>
      <c r="F3" s="9" t="s">
        <v>24</v>
      </c>
      <c r="G3" s="5">
        <v>70000</v>
      </c>
      <c r="H3" s="4" t="s">
        <v>29</v>
      </c>
      <c r="I3" s="4" t="s">
        <v>30</v>
      </c>
      <c r="J3" s="12">
        <v>0.54166666666666663</v>
      </c>
      <c r="K3" s="13">
        <v>0.53333333333333333</v>
      </c>
      <c r="L3" s="12">
        <v>0.39583333333333331</v>
      </c>
      <c r="M3" s="8">
        <v>0.40069444444444446</v>
      </c>
      <c r="N3" s="9" t="s">
        <v>45</v>
      </c>
      <c r="O3" s="14" t="s">
        <v>42</v>
      </c>
      <c r="P3" s="4">
        <v>793</v>
      </c>
      <c r="Q3" s="10">
        <v>599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 t="shared" ref="A4:A6" si="0">A3</f>
        <v>44044</v>
      </c>
      <c r="B4" s="9" t="s">
        <v>21</v>
      </c>
      <c r="C4" s="9" t="s">
        <v>31</v>
      </c>
      <c r="D4" s="9" t="s">
        <v>23</v>
      </c>
      <c r="E4" s="4" t="str">
        <f>E2</f>
        <v>HALYR</v>
      </c>
      <c r="F4" s="9" t="s">
        <v>24</v>
      </c>
      <c r="G4" s="5">
        <v>71500</v>
      </c>
      <c r="H4" s="9" t="s">
        <v>32</v>
      </c>
      <c r="I4" s="9" t="s">
        <v>33</v>
      </c>
      <c r="J4" s="15">
        <v>0.69444444444444453</v>
      </c>
      <c r="K4" s="13">
        <v>0.69791666666666663</v>
      </c>
      <c r="L4" s="15">
        <v>0.49652777777777773</v>
      </c>
      <c r="M4" s="8">
        <v>0.49861111111111112</v>
      </c>
      <c r="N4" s="9" t="s">
        <v>46</v>
      </c>
      <c r="O4" s="9" t="s">
        <v>44</v>
      </c>
      <c r="P4" s="9">
        <v>861</v>
      </c>
      <c r="Q4" s="10">
        <v>762</v>
      </c>
      <c r="R4" s="9">
        <v>0</v>
      </c>
      <c r="S4" s="9">
        <v>0</v>
      </c>
      <c r="T4" s="9">
        <v>0</v>
      </c>
      <c r="U4" s="9">
        <v>0</v>
      </c>
    </row>
    <row r="5" spans="1:21" s="2" customFormat="1" x14ac:dyDescent="0.25">
      <c r="A5" s="3">
        <f t="shared" si="0"/>
        <v>44044</v>
      </c>
      <c r="B5" s="9" t="s">
        <v>21</v>
      </c>
      <c r="C5" s="9" t="s">
        <v>34</v>
      </c>
      <c r="D5" s="9" t="s">
        <v>23</v>
      </c>
      <c r="E5" s="4" t="s">
        <v>28</v>
      </c>
      <c r="F5" s="9" t="s">
        <v>24</v>
      </c>
      <c r="G5" s="5">
        <v>70000</v>
      </c>
      <c r="H5" s="9" t="s">
        <v>35</v>
      </c>
      <c r="I5" s="9" t="s">
        <v>36</v>
      </c>
      <c r="J5" s="15">
        <v>0.73958333333333337</v>
      </c>
      <c r="K5" s="7">
        <v>0.77638888888888891</v>
      </c>
      <c r="L5" s="15">
        <v>0.57291666666666663</v>
      </c>
      <c r="M5" s="8">
        <v>0.61805555555555558</v>
      </c>
      <c r="N5" s="9" t="s">
        <v>47</v>
      </c>
      <c r="O5" s="9" t="s">
        <v>49</v>
      </c>
      <c r="P5" s="9">
        <v>863</v>
      </c>
      <c r="Q5" s="9">
        <v>574</v>
      </c>
      <c r="R5" s="9">
        <v>0</v>
      </c>
      <c r="S5" s="9">
        <v>0</v>
      </c>
      <c r="T5" s="9">
        <v>0</v>
      </c>
      <c r="U5" s="9">
        <v>0</v>
      </c>
    </row>
    <row r="6" spans="1:21" s="2" customFormat="1" x14ac:dyDescent="0.25">
      <c r="A6" s="3">
        <f t="shared" si="0"/>
        <v>44044</v>
      </c>
      <c r="B6" s="11" t="s">
        <v>21</v>
      </c>
      <c r="C6" s="11" t="s">
        <v>37</v>
      </c>
      <c r="D6" s="11" t="s">
        <v>23</v>
      </c>
      <c r="E6" s="4" t="str">
        <f>E2</f>
        <v>HALYR</v>
      </c>
      <c r="F6" s="11" t="s">
        <v>24</v>
      </c>
      <c r="G6" s="5">
        <v>71500</v>
      </c>
      <c r="H6" s="11" t="s">
        <v>38</v>
      </c>
      <c r="I6" s="11" t="s">
        <v>39</v>
      </c>
      <c r="J6" s="12">
        <v>0.94097222222222221</v>
      </c>
      <c r="K6" s="8">
        <v>0.9375</v>
      </c>
      <c r="L6" s="12">
        <v>0.72222222222222221</v>
      </c>
      <c r="M6" s="8">
        <v>0.72916666666666663</v>
      </c>
      <c r="N6" s="11" t="s">
        <v>48</v>
      </c>
      <c r="O6" s="11" t="s">
        <v>50</v>
      </c>
      <c r="P6" s="11">
        <v>429</v>
      </c>
      <c r="Q6" s="11">
        <v>1505</v>
      </c>
      <c r="R6" s="11">
        <v>0</v>
      </c>
      <c r="S6" s="11">
        <v>0</v>
      </c>
      <c r="T6" s="11">
        <v>0</v>
      </c>
      <c r="U6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8"/>
  <sheetViews>
    <sheetView workbookViewId="0">
      <selection activeCell="K5" sqref="K5"/>
    </sheetView>
  </sheetViews>
  <sheetFormatPr defaultRowHeight="12.75" x14ac:dyDescent="0.2"/>
  <cols>
    <col min="1" max="1" width="9.140625" style="24"/>
    <col min="2" max="2" width="12.7109375" style="24" bestFit="1" customWidth="1"/>
    <col min="3" max="3" width="15.85546875" style="24" customWidth="1"/>
    <col min="4" max="5" width="9.140625" style="24"/>
    <col min="6" max="6" width="12.140625" style="24" bestFit="1" customWidth="1"/>
    <col min="7" max="9" width="9.140625" style="24"/>
    <col min="10" max="10" width="11" style="24" bestFit="1" customWidth="1"/>
    <col min="11" max="11" width="10.85546875" style="24" bestFit="1" customWidth="1"/>
    <col min="12" max="12" width="11" style="24" bestFit="1" customWidth="1"/>
    <col min="13" max="13" width="9.140625" style="24"/>
    <col min="14" max="15" width="18.42578125" style="24" bestFit="1" customWidth="1"/>
    <col min="16" max="16384" width="9.140625" style="24"/>
  </cols>
  <sheetData>
    <row r="1" spans="1:22" s="17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">
      <c r="A2" s="3">
        <v>44045</v>
      </c>
      <c r="B2" s="18" t="s">
        <v>21</v>
      </c>
      <c r="C2" s="18" t="s">
        <v>51</v>
      </c>
      <c r="D2" s="18" t="s">
        <v>23</v>
      </c>
      <c r="E2" s="18" t="s">
        <v>28</v>
      </c>
      <c r="F2" s="18" t="s">
        <v>24</v>
      </c>
      <c r="G2" s="19">
        <v>70000</v>
      </c>
      <c r="H2" s="18" t="s">
        <v>52</v>
      </c>
      <c r="I2" s="18" t="s">
        <v>53</v>
      </c>
      <c r="J2" s="20">
        <v>0.47569444444444442</v>
      </c>
      <c r="K2" s="21">
        <v>0.46111111111111108</v>
      </c>
      <c r="L2" s="20">
        <v>0.27430555555555552</v>
      </c>
      <c r="M2" s="21">
        <v>0.27430555555555552</v>
      </c>
      <c r="N2" s="21" t="s">
        <v>67</v>
      </c>
      <c r="O2" s="21" t="s">
        <v>66</v>
      </c>
      <c r="P2" s="22">
        <v>594</v>
      </c>
      <c r="Q2" s="22">
        <v>864</v>
      </c>
      <c r="R2" s="18">
        <v>0</v>
      </c>
      <c r="S2" s="18">
        <v>0</v>
      </c>
      <c r="T2" s="18">
        <v>0</v>
      </c>
      <c r="U2" s="18">
        <v>0</v>
      </c>
      <c r="V2" s="23"/>
    </row>
    <row r="3" spans="1:22" x14ac:dyDescent="0.2">
      <c r="A3" s="3">
        <v>44045</v>
      </c>
      <c r="B3" s="18" t="s">
        <v>21</v>
      </c>
      <c r="C3" s="9" t="s">
        <v>54</v>
      </c>
      <c r="D3" s="18" t="s">
        <v>23</v>
      </c>
      <c r="E3" s="18" t="s">
        <v>40</v>
      </c>
      <c r="F3" s="18" t="s">
        <v>24</v>
      </c>
      <c r="G3" s="19">
        <v>70000</v>
      </c>
      <c r="H3" s="9" t="s">
        <v>55</v>
      </c>
      <c r="I3" s="9" t="s">
        <v>56</v>
      </c>
      <c r="J3" s="25">
        <v>0.72569444444444453</v>
      </c>
      <c r="K3" s="26">
        <v>0.73125000000000007</v>
      </c>
      <c r="L3" s="25">
        <v>0.5</v>
      </c>
      <c r="M3" s="26">
        <v>0.50694444444444442</v>
      </c>
      <c r="N3" s="26" t="s">
        <v>70</v>
      </c>
      <c r="O3" s="22" t="s">
        <v>68</v>
      </c>
      <c r="P3" s="18">
        <v>838</v>
      </c>
      <c r="Q3" s="22">
        <v>1925</v>
      </c>
      <c r="R3" s="9">
        <v>0</v>
      </c>
      <c r="S3" s="9">
        <v>0</v>
      </c>
      <c r="T3" s="9">
        <v>0</v>
      </c>
      <c r="U3" s="9">
        <v>0</v>
      </c>
      <c r="V3" s="23"/>
    </row>
    <row r="4" spans="1:22" x14ac:dyDescent="0.2">
      <c r="A4" s="3">
        <v>44045</v>
      </c>
      <c r="B4" s="18" t="s">
        <v>21</v>
      </c>
      <c r="C4" s="27" t="s">
        <v>57</v>
      </c>
      <c r="D4" s="18" t="s">
        <v>23</v>
      </c>
      <c r="E4" s="26" t="s">
        <v>28</v>
      </c>
      <c r="F4" s="18" t="s">
        <v>24</v>
      </c>
      <c r="G4" s="19">
        <f>G3</f>
        <v>70000</v>
      </c>
      <c r="H4" s="18" t="s">
        <v>58</v>
      </c>
      <c r="I4" s="27" t="s">
        <v>59</v>
      </c>
      <c r="J4" s="28">
        <v>0.75</v>
      </c>
      <c r="K4" s="13">
        <v>0.74375000000000002</v>
      </c>
      <c r="L4" s="28">
        <v>0.51388888888888895</v>
      </c>
      <c r="M4" s="29">
        <v>0.52083333333333337</v>
      </c>
      <c r="N4" s="9" t="s">
        <v>71</v>
      </c>
      <c r="O4" s="30" t="s">
        <v>69</v>
      </c>
      <c r="P4" s="30">
        <v>1494</v>
      </c>
      <c r="Q4" s="30">
        <v>2263</v>
      </c>
      <c r="R4" s="18">
        <v>0</v>
      </c>
      <c r="S4" s="18">
        <v>0</v>
      </c>
      <c r="T4" s="18">
        <v>0</v>
      </c>
      <c r="U4" s="18">
        <v>0</v>
      </c>
      <c r="V4" s="23"/>
    </row>
    <row r="5" spans="1:22" x14ac:dyDescent="0.2">
      <c r="A5" s="3">
        <v>44045</v>
      </c>
      <c r="B5" s="18" t="s">
        <v>21</v>
      </c>
      <c r="C5" s="26" t="s">
        <v>60</v>
      </c>
      <c r="D5" s="18" t="s">
        <v>23</v>
      </c>
      <c r="E5" s="26" t="s">
        <v>40</v>
      </c>
      <c r="F5" s="18" t="s">
        <v>24</v>
      </c>
      <c r="G5" s="19">
        <v>71500</v>
      </c>
      <c r="H5" s="26" t="s">
        <v>61</v>
      </c>
      <c r="I5" s="26" t="s">
        <v>62</v>
      </c>
      <c r="J5" s="25">
        <v>0.9375</v>
      </c>
      <c r="K5" s="26">
        <v>0.94791666666666663</v>
      </c>
      <c r="L5" s="25">
        <v>0.74652777777777779</v>
      </c>
      <c r="M5" s="26">
        <v>0.77222222222222225</v>
      </c>
      <c r="N5" s="18" t="s">
        <v>74</v>
      </c>
      <c r="O5" s="18" t="s">
        <v>72</v>
      </c>
      <c r="P5" s="18">
        <v>841</v>
      </c>
      <c r="Q5" s="18">
        <v>1071</v>
      </c>
      <c r="R5" s="18">
        <v>0</v>
      </c>
      <c r="S5" s="18">
        <v>0</v>
      </c>
      <c r="T5" s="9">
        <v>0</v>
      </c>
      <c r="U5" s="9">
        <v>0</v>
      </c>
      <c r="V5" s="23"/>
    </row>
    <row r="6" spans="1:22" x14ac:dyDescent="0.2">
      <c r="A6" s="3">
        <v>44045</v>
      </c>
      <c r="B6" s="18" t="s">
        <v>21</v>
      </c>
      <c r="C6" s="23" t="s">
        <v>63</v>
      </c>
      <c r="D6" s="18" t="s">
        <v>23</v>
      </c>
      <c r="E6" s="23" t="s">
        <v>28</v>
      </c>
      <c r="F6" s="18" t="s">
        <v>24</v>
      </c>
      <c r="G6" s="19">
        <v>70000</v>
      </c>
      <c r="H6" s="23" t="s">
        <v>64</v>
      </c>
      <c r="I6" s="23" t="s">
        <v>65</v>
      </c>
      <c r="J6" s="31">
        <v>0.94097222222222221</v>
      </c>
      <c r="K6" s="32">
        <v>0.9243055555555556</v>
      </c>
      <c r="L6" s="31">
        <v>0.77083333333333337</v>
      </c>
      <c r="M6" s="32">
        <v>0.77638888888888891</v>
      </c>
      <c r="N6" s="23" t="s">
        <v>75</v>
      </c>
      <c r="O6" s="23" t="s">
        <v>73</v>
      </c>
      <c r="P6" s="23">
        <v>143</v>
      </c>
      <c r="Q6" s="23">
        <v>811</v>
      </c>
      <c r="R6" s="23">
        <v>0</v>
      </c>
      <c r="S6" s="23">
        <v>0</v>
      </c>
      <c r="T6" s="23">
        <v>0</v>
      </c>
      <c r="U6" s="23">
        <v>0</v>
      </c>
      <c r="V6" s="26"/>
    </row>
    <row r="7" spans="1:22" x14ac:dyDescent="0.2">
      <c r="A7" s="3"/>
      <c r="B7" s="18"/>
      <c r="C7" s="23"/>
      <c r="D7" s="18"/>
      <c r="E7" s="23"/>
      <c r="F7" s="18"/>
      <c r="G7" s="19"/>
      <c r="H7" s="23"/>
      <c r="I7" s="23"/>
      <c r="J7" s="31"/>
      <c r="K7" s="32"/>
      <c r="L7" s="31"/>
      <c r="M7" s="32"/>
      <c r="N7" s="23"/>
      <c r="O7" s="23"/>
      <c r="P7" s="23"/>
      <c r="Q7" s="23"/>
      <c r="R7" s="23"/>
      <c r="S7" s="23"/>
      <c r="T7" s="23"/>
      <c r="U7" s="23"/>
      <c r="V7" s="23"/>
    </row>
    <row r="8" spans="1:22" x14ac:dyDescent="0.2">
      <c r="A8" s="33"/>
      <c r="J8" s="34"/>
      <c r="K8" s="35"/>
      <c r="L8" s="34"/>
      <c r="M8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7"/>
  <sheetViews>
    <sheetView workbookViewId="0">
      <selection activeCell="K16" sqref="K16"/>
    </sheetView>
  </sheetViews>
  <sheetFormatPr defaultRowHeight="15" x14ac:dyDescent="0.25"/>
  <cols>
    <col min="1" max="1" width="7.85546875" style="46" bestFit="1" customWidth="1"/>
    <col min="2" max="2" width="9.140625" style="46" bestFit="1" customWidth="1"/>
    <col min="3" max="3" width="13.5703125" style="46" bestFit="1" customWidth="1"/>
    <col min="4" max="4" width="5.7109375" style="46" bestFit="1" customWidth="1"/>
    <col min="5" max="5" width="14.5703125" style="46" bestFit="1" customWidth="1"/>
    <col min="6" max="6" width="14.42578125" style="46" bestFit="1" customWidth="1"/>
    <col min="7" max="9" width="9.7109375" style="46" bestFit="1" customWidth="1"/>
    <col min="10" max="10" width="11" style="46" bestFit="1" customWidth="1"/>
    <col min="11" max="11" width="10.85546875" style="46" bestFit="1" customWidth="1"/>
    <col min="12" max="12" width="11" style="46" bestFit="1" customWidth="1"/>
    <col min="13" max="13" width="10.85546875" style="46" bestFit="1" customWidth="1"/>
    <col min="14" max="15" width="18.42578125" style="46" bestFit="1" customWidth="1"/>
    <col min="16" max="17" width="10.28515625" style="46" bestFit="1" customWidth="1"/>
    <col min="18" max="16384" width="9.140625" style="46"/>
  </cols>
  <sheetData>
    <row r="1" spans="1:2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40" customFormat="1" ht="12.75" x14ac:dyDescent="0.2">
      <c r="A2" s="36">
        <v>44046</v>
      </c>
      <c r="B2" s="37" t="s">
        <v>21</v>
      </c>
      <c r="C2" s="11" t="s">
        <v>76</v>
      </c>
      <c r="D2" s="1" t="s">
        <v>23</v>
      </c>
      <c r="E2" s="11" t="s">
        <v>86</v>
      </c>
      <c r="F2" s="11" t="s">
        <v>24</v>
      </c>
      <c r="G2" s="38">
        <v>71500</v>
      </c>
      <c r="H2" s="11" t="s">
        <v>77</v>
      </c>
      <c r="I2" s="11" t="s">
        <v>78</v>
      </c>
      <c r="J2" s="8">
        <v>0.46180555555555558</v>
      </c>
      <c r="K2" s="8">
        <v>0.4513888888888889</v>
      </c>
      <c r="L2" s="8">
        <v>0.26041666666666669</v>
      </c>
      <c r="M2" s="8">
        <v>0.26041666666666669</v>
      </c>
      <c r="N2" s="8" t="s">
        <v>90</v>
      </c>
      <c r="O2" s="39" t="s">
        <v>87</v>
      </c>
      <c r="P2" s="39">
        <v>669</v>
      </c>
      <c r="Q2" s="39">
        <v>1246</v>
      </c>
      <c r="R2" s="37">
        <v>0</v>
      </c>
      <c r="S2" s="37">
        <v>0</v>
      </c>
      <c r="T2" s="37">
        <v>0</v>
      </c>
      <c r="U2" s="37">
        <v>0</v>
      </c>
    </row>
    <row r="3" spans="1:21" s="40" customFormat="1" ht="12.75" x14ac:dyDescent="0.2">
      <c r="A3" s="36">
        <v>44046</v>
      </c>
      <c r="B3" s="37" t="s">
        <v>21</v>
      </c>
      <c r="C3" s="11" t="s">
        <v>54</v>
      </c>
      <c r="D3" s="1" t="s">
        <v>23</v>
      </c>
      <c r="E3" s="11" t="s">
        <v>79</v>
      </c>
      <c r="F3" s="11" t="s">
        <v>24</v>
      </c>
      <c r="G3" s="38">
        <v>70000</v>
      </c>
      <c r="H3" s="11" t="s">
        <v>55</v>
      </c>
      <c r="I3" s="11" t="s">
        <v>56</v>
      </c>
      <c r="J3" s="8">
        <v>0.72569444444444453</v>
      </c>
      <c r="K3" s="8">
        <v>0.72430555555555554</v>
      </c>
      <c r="L3" s="8">
        <v>0.5</v>
      </c>
      <c r="M3" s="8">
        <v>0.50416666666666665</v>
      </c>
      <c r="N3" s="41" t="s">
        <v>96</v>
      </c>
      <c r="O3" s="39" t="s">
        <v>88</v>
      </c>
      <c r="P3" s="39">
        <v>280</v>
      </c>
      <c r="Q3" s="39">
        <v>1454</v>
      </c>
      <c r="R3" s="37">
        <v>0</v>
      </c>
      <c r="S3" s="37">
        <v>0</v>
      </c>
      <c r="T3" s="37">
        <v>0</v>
      </c>
      <c r="U3" s="37">
        <v>0</v>
      </c>
    </row>
    <row r="4" spans="1:21" customFormat="1" x14ac:dyDescent="0.25">
      <c r="A4" s="36">
        <v>44046</v>
      </c>
      <c r="B4" s="37" t="s">
        <v>21</v>
      </c>
      <c r="C4" s="11" t="s">
        <v>80</v>
      </c>
      <c r="D4" s="1" t="s">
        <v>23</v>
      </c>
      <c r="E4" s="18" t="s">
        <v>40</v>
      </c>
      <c r="F4" s="11" t="s">
        <v>24</v>
      </c>
      <c r="G4" s="38">
        <v>71500</v>
      </c>
      <c r="H4" s="11" t="s">
        <v>81</v>
      </c>
      <c r="I4" s="11" t="s">
        <v>82</v>
      </c>
      <c r="J4" s="8">
        <v>0.75</v>
      </c>
      <c r="K4" s="8">
        <v>0.91527777777777775</v>
      </c>
      <c r="L4" s="8">
        <v>0.53472222222222221</v>
      </c>
      <c r="M4" s="8">
        <v>0.54097222222222219</v>
      </c>
      <c r="N4" s="41" t="s">
        <v>99</v>
      </c>
      <c r="O4" s="39" t="s">
        <v>89</v>
      </c>
      <c r="P4" s="37">
        <v>288</v>
      </c>
      <c r="Q4" s="39">
        <v>1187</v>
      </c>
      <c r="R4" s="37">
        <v>0</v>
      </c>
      <c r="S4" s="37">
        <v>0</v>
      </c>
      <c r="T4" s="37">
        <v>0</v>
      </c>
      <c r="U4" s="37">
        <v>0</v>
      </c>
    </row>
    <row r="5" spans="1:21" customFormat="1" x14ac:dyDescent="0.25">
      <c r="A5" s="36">
        <v>44046</v>
      </c>
      <c r="B5" s="37" t="s">
        <v>21</v>
      </c>
      <c r="C5" s="37" t="s">
        <v>83</v>
      </c>
      <c r="D5" s="37" t="s">
        <v>23</v>
      </c>
      <c r="E5" s="11" t="s">
        <v>28</v>
      </c>
      <c r="F5" s="37" t="s">
        <v>24</v>
      </c>
      <c r="G5" s="38">
        <v>70000</v>
      </c>
      <c r="H5" s="37" t="s">
        <v>84</v>
      </c>
      <c r="I5" s="37" t="s">
        <v>85</v>
      </c>
      <c r="J5" s="42">
        <v>0.89930555555555547</v>
      </c>
      <c r="K5" s="43">
        <v>0.8881944444444444</v>
      </c>
      <c r="L5" s="42">
        <v>0.75</v>
      </c>
      <c r="M5" s="44">
        <v>0.75486111111111109</v>
      </c>
      <c r="N5" s="41" t="s">
        <v>100</v>
      </c>
      <c r="O5" s="39" t="s">
        <v>97</v>
      </c>
      <c r="P5" s="37">
        <v>354</v>
      </c>
      <c r="Q5" s="39">
        <v>655</v>
      </c>
      <c r="R5" s="37">
        <v>0</v>
      </c>
      <c r="S5" s="37">
        <v>0</v>
      </c>
      <c r="T5" s="37">
        <v>0</v>
      </c>
      <c r="U5" s="37">
        <v>0</v>
      </c>
    </row>
    <row r="6" spans="1:21" customFormat="1" x14ac:dyDescent="0.25">
      <c r="A6" s="36">
        <v>44046</v>
      </c>
      <c r="B6" s="37" t="s">
        <v>21</v>
      </c>
      <c r="C6" s="41" t="s">
        <v>63</v>
      </c>
      <c r="D6" s="37" t="s">
        <v>23</v>
      </c>
      <c r="E6" s="18" t="s">
        <v>91</v>
      </c>
      <c r="F6" s="37" t="s">
        <v>24</v>
      </c>
      <c r="G6" s="38">
        <v>71500</v>
      </c>
      <c r="H6" s="41" t="s">
        <v>64</v>
      </c>
      <c r="I6" s="41" t="s">
        <v>65</v>
      </c>
      <c r="J6" s="45">
        <v>0.94097222222222221</v>
      </c>
      <c r="K6" s="43">
        <v>0.94097222222222221</v>
      </c>
      <c r="L6" s="45">
        <v>0.77083333333333337</v>
      </c>
      <c r="M6" s="43">
        <v>0.79583333333333339</v>
      </c>
      <c r="N6" s="41" t="s">
        <v>101</v>
      </c>
      <c r="O6" s="41" t="s">
        <v>98</v>
      </c>
      <c r="P6" s="41">
        <v>252</v>
      </c>
      <c r="Q6" s="39">
        <v>356</v>
      </c>
      <c r="R6" s="41">
        <v>0</v>
      </c>
      <c r="S6" s="41">
        <v>0</v>
      </c>
      <c r="T6" s="41">
        <v>0</v>
      </c>
      <c r="U6" s="41">
        <v>0</v>
      </c>
    </row>
    <row r="7" spans="1:21" s="47" customFormat="1" ht="12.75" x14ac:dyDescent="0.2">
      <c r="A7" s="36">
        <v>44046</v>
      </c>
      <c r="B7" s="37" t="s">
        <v>21</v>
      </c>
      <c r="C7" s="47" t="s">
        <v>92</v>
      </c>
      <c r="D7" s="37" t="s">
        <v>23</v>
      </c>
      <c r="E7" s="18" t="s">
        <v>91</v>
      </c>
      <c r="F7" s="47" t="s">
        <v>93</v>
      </c>
      <c r="G7" s="38">
        <v>71500</v>
      </c>
      <c r="H7" s="47" t="s">
        <v>94</v>
      </c>
      <c r="I7" s="47" t="s">
        <v>95</v>
      </c>
      <c r="J7" s="48">
        <v>0.77777777777777779</v>
      </c>
      <c r="K7" s="48">
        <v>0.77500000000000002</v>
      </c>
      <c r="L7" s="48">
        <v>0.99305555555555547</v>
      </c>
      <c r="M7" s="48">
        <v>0.97152777777777777</v>
      </c>
      <c r="N7" s="11">
        <v>0</v>
      </c>
      <c r="O7" s="11">
        <v>0</v>
      </c>
      <c r="P7" s="11">
        <v>0</v>
      </c>
      <c r="Q7" s="11">
        <v>0</v>
      </c>
      <c r="R7" s="47">
        <v>0</v>
      </c>
      <c r="S7" s="47">
        <v>0</v>
      </c>
      <c r="T7" s="47">
        <v>0</v>
      </c>
      <c r="U7" s="4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8"/>
  <sheetViews>
    <sheetView topLeftCell="F1" workbookViewId="0">
      <selection activeCell="G24" sqref="G24"/>
    </sheetView>
  </sheetViews>
  <sheetFormatPr defaultRowHeight="15" x14ac:dyDescent="0.25"/>
  <cols>
    <col min="1" max="2" width="9.140625" style="49"/>
    <col min="3" max="3" width="13.5703125" style="49" bestFit="1" customWidth="1"/>
    <col min="4" max="5" width="9.140625" style="49"/>
    <col min="6" max="6" width="18.5703125" style="49" bestFit="1" customWidth="1"/>
    <col min="7" max="7" width="9.7109375" style="49" bestFit="1" customWidth="1"/>
    <col min="8" max="12" width="9.140625" style="49"/>
    <col min="13" max="13" width="10.85546875" style="49" bestFit="1" customWidth="1"/>
    <col min="14" max="15" width="18.42578125" style="49" bestFit="1" customWidth="1"/>
    <col min="16" max="16384" width="9.140625" style="49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4" customFormat="1" ht="12.75" x14ac:dyDescent="0.2">
      <c r="A2" s="3">
        <v>44047</v>
      </c>
      <c r="B2" s="50" t="s">
        <v>21</v>
      </c>
      <c r="C2" s="50" t="s">
        <v>22</v>
      </c>
      <c r="D2" s="50" t="s">
        <v>23</v>
      </c>
      <c r="E2" s="50" t="s">
        <v>40</v>
      </c>
      <c r="F2" s="50" t="s">
        <v>24</v>
      </c>
      <c r="G2" s="51">
        <v>71500</v>
      </c>
      <c r="H2" s="50" t="s">
        <v>25</v>
      </c>
      <c r="I2" s="50" t="s">
        <v>26</v>
      </c>
      <c r="J2" s="52">
        <v>0.4548611111111111</v>
      </c>
      <c r="K2" s="35">
        <v>0.44236111111111115</v>
      </c>
      <c r="L2" s="52">
        <v>0.28125</v>
      </c>
      <c r="M2" s="35">
        <f>L2</f>
        <v>0.28125</v>
      </c>
      <c r="N2" s="24" t="s">
        <v>112</v>
      </c>
      <c r="O2" s="24" t="s">
        <v>114</v>
      </c>
      <c r="P2" s="24">
        <v>704</v>
      </c>
      <c r="Q2" s="24">
        <v>633</v>
      </c>
      <c r="R2" s="50">
        <v>0</v>
      </c>
      <c r="S2" s="50">
        <v>0</v>
      </c>
      <c r="T2" s="50">
        <v>0</v>
      </c>
      <c r="U2" s="50">
        <v>0</v>
      </c>
    </row>
    <row r="3" spans="1:21" s="24" customFormat="1" ht="12.75" x14ac:dyDescent="0.2">
      <c r="A3" s="3">
        <f>A2</f>
        <v>44047</v>
      </c>
      <c r="B3" s="50" t="s">
        <v>102</v>
      </c>
      <c r="C3" s="50" t="s">
        <v>103</v>
      </c>
      <c r="D3" s="50" t="s">
        <v>23</v>
      </c>
      <c r="E3" s="50" t="s">
        <v>104</v>
      </c>
      <c r="F3" s="50" t="s">
        <v>105</v>
      </c>
      <c r="G3" s="51">
        <v>77000</v>
      </c>
      <c r="H3" s="50" t="s">
        <v>106</v>
      </c>
      <c r="I3" s="50" t="s">
        <v>107</v>
      </c>
      <c r="J3" s="52">
        <v>0.3298611111111111</v>
      </c>
      <c r="K3" s="35">
        <v>0.31388888888888888</v>
      </c>
      <c r="L3" s="52">
        <v>0.37152777777777773</v>
      </c>
      <c r="M3" s="35">
        <v>0.37291666666666662</v>
      </c>
      <c r="N3" s="24" t="s">
        <v>113</v>
      </c>
      <c r="O3" s="24" t="s">
        <v>87</v>
      </c>
      <c r="P3" s="24">
        <v>968</v>
      </c>
      <c r="Q3" s="24">
        <v>1612</v>
      </c>
      <c r="R3" s="50">
        <v>0</v>
      </c>
      <c r="S3" s="50">
        <v>0</v>
      </c>
      <c r="T3" s="50">
        <v>0</v>
      </c>
      <c r="U3" s="50">
        <v>0</v>
      </c>
    </row>
    <row r="4" spans="1:21" s="24" customFormat="1" ht="12.75" x14ac:dyDescent="0.2">
      <c r="A4" s="3">
        <f>A3</f>
        <v>44047</v>
      </c>
      <c r="B4" s="9" t="s">
        <v>21</v>
      </c>
      <c r="C4" s="9" t="s">
        <v>31</v>
      </c>
      <c r="D4" s="9" t="s">
        <v>23</v>
      </c>
      <c r="E4" s="50" t="s">
        <v>28</v>
      </c>
      <c r="F4" s="9" t="s">
        <v>24</v>
      </c>
      <c r="G4" s="51">
        <v>70000</v>
      </c>
      <c r="H4" s="50" t="s">
        <v>111</v>
      </c>
      <c r="I4" s="50" t="s">
        <v>33</v>
      </c>
      <c r="J4" s="34">
        <v>0.70138888888888884</v>
      </c>
      <c r="K4" s="35">
        <v>0.70277777777777783</v>
      </c>
      <c r="L4" s="34">
        <v>0.49652777777777773</v>
      </c>
      <c r="M4" s="35">
        <v>0.49374999999999997</v>
      </c>
      <c r="N4" s="24" t="s">
        <v>117</v>
      </c>
      <c r="O4" s="24" t="s">
        <v>89</v>
      </c>
      <c r="P4" s="24">
        <v>791</v>
      </c>
      <c r="Q4" s="24">
        <v>656</v>
      </c>
      <c r="R4" s="9">
        <v>0</v>
      </c>
      <c r="S4" s="9">
        <v>0</v>
      </c>
      <c r="T4" s="9">
        <v>0</v>
      </c>
      <c r="U4" s="9">
        <v>0</v>
      </c>
    </row>
    <row r="5" spans="1:21" s="24" customFormat="1" ht="12.75" x14ac:dyDescent="0.2">
      <c r="A5" s="3">
        <f>A4</f>
        <v>44047</v>
      </c>
      <c r="B5" s="9" t="s">
        <v>21</v>
      </c>
      <c r="C5" s="9" t="s">
        <v>34</v>
      </c>
      <c r="D5" s="9" t="s">
        <v>23</v>
      </c>
      <c r="E5" s="50" t="str">
        <f>E2</f>
        <v>HALYR</v>
      </c>
      <c r="F5" s="9" t="s">
        <v>24</v>
      </c>
      <c r="G5" s="53">
        <f>G2</f>
        <v>71500</v>
      </c>
      <c r="H5" s="9" t="s">
        <v>35</v>
      </c>
      <c r="I5" s="9" t="s">
        <v>36</v>
      </c>
      <c r="J5" s="15">
        <v>0.73958333333333337</v>
      </c>
      <c r="K5" s="35">
        <v>0.76458333333333339</v>
      </c>
      <c r="L5" s="15">
        <v>0.57291666666666663</v>
      </c>
      <c r="M5" s="35">
        <v>0.57430555555555551</v>
      </c>
      <c r="N5" s="24">
        <v>85</v>
      </c>
      <c r="O5" s="24" t="s">
        <v>115</v>
      </c>
      <c r="P5" s="24">
        <v>504</v>
      </c>
      <c r="Q5" s="24">
        <v>608</v>
      </c>
      <c r="R5" s="9">
        <v>0</v>
      </c>
      <c r="S5" s="9">
        <v>0</v>
      </c>
      <c r="T5" s="9">
        <v>0</v>
      </c>
      <c r="U5" s="9">
        <v>0</v>
      </c>
    </row>
    <row r="6" spans="1:21" s="24" customFormat="1" ht="12.75" x14ac:dyDescent="0.2">
      <c r="A6" s="3">
        <f>A5</f>
        <v>44047</v>
      </c>
      <c r="B6" s="24" t="s">
        <v>21</v>
      </c>
      <c r="C6" s="24" t="s">
        <v>108</v>
      </c>
      <c r="D6" s="24" t="s">
        <v>23</v>
      </c>
      <c r="E6" s="50" t="str">
        <f>E5</f>
        <v>HALYR</v>
      </c>
      <c r="F6" s="24" t="s">
        <v>24</v>
      </c>
      <c r="G6" s="51">
        <f>G5</f>
        <v>71500</v>
      </c>
      <c r="H6" s="24" t="s">
        <v>109</v>
      </c>
      <c r="I6" s="24" t="s">
        <v>110</v>
      </c>
      <c r="J6" s="34">
        <v>0.95486111111111116</v>
      </c>
      <c r="K6" s="35">
        <v>0.99444444444444446</v>
      </c>
      <c r="L6" s="34">
        <v>0.77777777777777779</v>
      </c>
      <c r="M6" s="35">
        <v>0.80138888888888893</v>
      </c>
      <c r="N6" s="24" t="s">
        <v>118</v>
      </c>
      <c r="O6" s="24" t="s">
        <v>116</v>
      </c>
      <c r="P6" s="24">
        <v>884</v>
      </c>
      <c r="Q6" s="24">
        <v>750</v>
      </c>
      <c r="R6" s="24">
        <v>0</v>
      </c>
      <c r="S6" s="24">
        <v>0</v>
      </c>
      <c r="T6" s="24">
        <v>0</v>
      </c>
      <c r="U6" s="24">
        <v>0</v>
      </c>
    </row>
    <row r="7" spans="1:21" s="24" customFormat="1" ht="12.75" x14ac:dyDescent="0.2">
      <c r="A7" s="3"/>
      <c r="E7" s="50"/>
      <c r="G7" s="51"/>
      <c r="J7" s="34"/>
      <c r="K7" s="35"/>
      <c r="L7" s="34"/>
      <c r="M7" s="35"/>
    </row>
    <row r="8" spans="1:21" s="24" customFormat="1" ht="12.75" x14ac:dyDescent="0.2">
      <c r="A8" s="3"/>
      <c r="E8" s="50"/>
      <c r="G8" s="51"/>
      <c r="J8" s="34"/>
      <c r="K8" s="35"/>
      <c r="L8" s="34"/>
      <c r="M8" s="3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7"/>
  <sheetViews>
    <sheetView topLeftCell="C1" workbookViewId="0">
      <selection activeCell="P7" sqref="P7"/>
    </sheetView>
  </sheetViews>
  <sheetFormatPr defaultRowHeight="15" x14ac:dyDescent="0.25"/>
  <cols>
    <col min="3" max="3" width="13.5703125" bestFit="1" customWidth="1"/>
    <col min="5" max="5" width="7.42578125" bestFit="1" customWidth="1"/>
    <col min="6" max="6" width="12.140625" bestFit="1" customWidth="1"/>
    <col min="7" max="7" width="10.5703125" bestFit="1" customWidth="1"/>
    <col min="14" max="15" width="18.42578125" bestFit="1" customWidth="1"/>
  </cols>
  <sheetData>
    <row r="1" spans="1:21" s="40" customFormat="1" ht="12.75" x14ac:dyDescent="0.2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</row>
    <row r="2" spans="1:21" s="40" customFormat="1" ht="12.75" x14ac:dyDescent="0.2">
      <c r="A2" s="55">
        <v>44048</v>
      </c>
      <c r="B2" s="37" t="s">
        <v>21</v>
      </c>
      <c r="C2" s="56" t="s">
        <v>76</v>
      </c>
      <c r="D2" s="56" t="s">
        <v>23</v>
      </c>
      <c r="E2" s="56" t="s">
        <v>40</v>
      </c>
      <c r="F2" s="56" t="s">
        <v>24</v>
      </c>
      <c r="G2" s="57">
        <v>71500</v>
      </c>
      <c r="H2" s="56" t="s">
        <v>77</v>
      </c>
      <c r="I2" s="56" t="s">
        <v>78</v>
      </c>
      <c r="J2" s="58">
        <v>0.46180555555555558</v>
      </c>
      <c r="K2" s="59">
        <v>0.44861111111111113</v>
      </c>
      <c r="L2" s="58">
        <v>0.26041666666666669</v>
      </c>
      <c r="M2" s="59">
        <v>0.26666666666666666</v>
      </c>
      <c r="N2" s="56" t="s">
        <v>122</v>
      </c>
      <c r="O2" s="56" t="s">
        <v>120</v>
      </c>
      <c r="P2" s="56">
        <v>288</v>
      </c>
      <c r="Q2" s="56">
        <v>1465</v>
      </c>
      <c r="R2" s="56">
        <v>0</v>
      </c>
      <c r="S2" s="56">
        <v>0</v>
      </c>
      <c r="T2" s="56">
        <v>0</v>
      </c>
      <c r="U2" s="56">
        <v>0</v>
      </c>
    </row>
    <row r="3" spans="1:21" s="40" customFormat="1" ht="12.75" x14ac:dyDescent="0.2">
      <c r="A3" s="55">
        <f>A2</f>
        <v>44048</v>
      </c>
      <c r="B3" s="37" t="s">
        <v>21</v>
      </c>
      <c r="C3" s="56" t="s">
        <v>51</v>
      </c>
      <c r="D3" s="56" t="s">
        <v>23</v>
      </c>
      <c r="E3" s="60" t="s">
        <v>28</v>
      </c>
      <c r="F3" s="56" t="s">
        <v>24</v>
      </c>
      <c r="G3" s="57">
        <v>70000</v>
      </c>
      <c r="H3" s="56" t="s">
        <v>52</v>
      </c>
      <c r="I3" s="56" t="s">
        <v>53</v>
      </c>
      <c r="J3" s="58">
        <v>0.4826388888888889</v>
      </c>
      <c r="K3" s="59">
        <v>0.47569444444444442</v>
      </c>
      <c r="L3" s="58">
        <v>0.27430555555555552</v>
      </c>
      <c r="M3" s="59">
        <v>0.28333333333333333</v>
      </c>
      <c r="N3" s="56" t="s">
        <v>123</v>
      </c>
      <c r="O3" s="56" t="s">
        <v>121</v>
      </c>
      <c r="P3" s="56">
        <v>498</v>
      </c>
      <c r="Q3" s="56">
        <v>763</v>
      </c>
      <c r="R3" s="56">
        <v>0</v>
      </c>
      <c r="S3" s="56">
        <v>0</v>
      </c>
      <c r="T3" s="56">
        <v>0</v>
      </c>
      <c r="U3" s="56">
        <v>0</v>
      </c>
    </row>
    <row r="4" spans="1:21" s="40" customFormat="1" ht="12.75" x14ac:dyDescent="0.2">
      <c r="A4" s="55">
        <f t="shared" ref="A4:A7" si="0">A3</f>
        <v>44048</v>
      </c>
      <c r="B4" s="37" t="s">
        <v>21</v>
      </c>
      <c r="C4" s="41" t="s">
        <v>54</v>
      </c>
      <c r="D4" s="56" t="s">
        <v>23</v>
      </c>
      <c r="E4" s="56" t="s">
        <v>40</v>
      </c>
      <c r="F4" s="56" t="s">
        <v>24</v>
      </c>
      <c r="G4" s="57">
        <v>71500</v>
      </c>
      <c r="H4" s="61" t="s">
        <v>55</v>
      </c>
      <c r="I4" s="61" t="s">
        <v>56</v>
      </c>
      <c r="J4" s="45">
        <v>0.73263888888888884</v>
      </c>
      <c r="K4" s="43">
        <v>0.73263888888888884</v>
      </c>
      <c r="L4" s="45">
        <v>0.50694444444444442</v>
      </c>
      <c r="M4" s="43">
        <v>0.51041666666666663</v>
      </c>
      <c r="N4" s="56" t="s">
        <v>96</v>
      </c>
      <c r="O4" s="62" t="s">
        <v>124</v>
      </c>
      <c r="P4" s="41">
        <v>389</v>
      </c>
      <c r="Q4" s="39">
        <v>1770</v>
      </c>
      <c r="R4" s="41">
        <v>0</v>
      </c>
      <c r="S4" s="41">
        <v>0</v>
      </c>
      <c r="T4" s="41">
        <v>0</v>
      </c>
      <c r="U4" s="41">
        <v>0</v>
      </c>
    </row>
    <row r="5" spans="1:21" s="40" customFormat="1" ht="12.75" x14ac:dyDescent="0.2">
      <c r="A5" s="55">
        <f t="shared" si="0"/>
        <v>44048</v>
      </c>
      <c r="B5" s="37" t="s">
        <v>21</v>
      </c>
      <c r="C5" s="41" t="s">
        <v>57</v>
      </c>
      <c r="D5" s="56" t="s">
        <v>23</v>
      </c>
      <c r="E5" s="56" t="s">
        <v>28</v>
      </c>
      <c r="F5" s="56" t="s">
        <v>24</v>
      </c>
      <c r="G5" s="57">
        <v>70000</v>
      </c>
      <c r="H5" s="41" t="s">
        <v>58</v>
      </c>
      <c r="I5" s="41" t="s">
        <v>59</v>
      </c>
      <c r="J5" s="45">
        <v>0.75</v>
      </c>
      <c r="K5" s="43">
        <v>0.74305555555555547</v>
      </c>
      <c r="L5" s="45">
        <v>0.51388888888888895</v>
      </c>
      <c r="M5" s="43">
        <v>0.52500000000000002</v>
      </c>
      <c r="N5" s="41" t="s">
        <v>128</v>
      </c>
      <c r="O5" s="41" t="s">
        <v>125</v>
      </c>
      <c r="P5" s="41">
        <v>450</v>
      </c>
      <c r="Q5" s="39">
        <v>2301</v>
      </c>
      <c r="R5" s="41">
        <v>0</v>
      </c>
      <c r="S5" s="41">
        <v>0</v>
      </c>
      <c r="T5" s="41">
        <v>0</v>
      </c>
      <c r="U5" s="41">
        <v>0</v>
      </c>
    </row>
    <row r="6" spans="1:21" s="40" customFormat="1" ht="12.75" x14ac:dyDescent="0.2">
      <c r="A6" s="55">
        <f t="shared" si="0"/>
        <v>44048</v>
      </c>
      <c r="B6" s="37" t="s">
        <v>21</v>
      </c>
      <c r="C6" s="41" t="s">
        <v>60</v>
      </c>
      <c r="D6" s="56" t="s">
        <v>23</v>
      </c>
      <c r="E6" s="56" t="s">
        <v>40</v>
      </c>
      <c r="F6" s="56" t="s">
        <v>24</v>
      </c>
      <c r="G6" s="57">
        <v>71500</v>
      </c>
      <c r="H6" s="61" t="s">
        <v>119</v>
      </c>
      <c r="I6" s="61" t="s">
        <v>62</v>
      </c>
      <c r="J6" s="45">
        <v>0.94444444444444453</v>
      </c>
      <c r="K6" s="43">
        <v>0.94027777777777777</v>
      </c>
      <c r="L6" s="45">
        <v>0.75347222222222221</v>
      </c>
      <c r="M6" s="43">
        <v>0.76874999999999993</v>
      </c>
      <c r="N6" s="56" t="s">
        <v>129</v>
      </c>
      <c r="O6" s="41" t="s">
        <v>126</v>
      </c>
      <c r="P6" s="41">
        <v>370</v>
      </c>
      <c r="Q6" s="41">
        <v>1198</v>
      </c>
      <c r="R6" s="41">
        <v>0</v>
      </c>
      <c r="S6" s="41">
        <v>0</v>
      </c>
      <c r="T6" s="41">
        <v>0</v>
      </c>
      <c r="U6" s="41">
        <v>0</v>
      </c>
    </row>
    <row r="7" spans="1:21" s="70" customFormat="1" ht="12.75" x14ac:dyDescent="0.25">
      <c r="A7" s="64">
        <f t="shared" si="0"/>
        <v>44048</v>
      </c>
      <c r="B7" s="37" t="s">
        <v>21</v>
      </c>
      <c r="C7" s="63" t="s">
        <v>63</v>
      </c>
      <c r="D7" s="65" t="s">
        <v>23</v>
      </c>
      <c r="E7" s="65" t="s">
        <v>28</v>
      </c>
      <c r="F7" s="65" t="s">
        <v>24</v>
      </c>
      <c r="G7" s="66">
        <v>70000</v>
      </c>
      <c r="H7" s="67" t="s">
        <v>64</v>
      </c>
      <c r="I7" s="67" t="s">
        <v>65</v>
      </c>
      <c r="J7" s="68">
        <v>0.94097222222222221</v>
      </c>
      <c r="K7" s="69">
        <v>0.92638888888888893</v>
      </c>
      <c r="L7" s="68">
        <v>0.77083333333333337</v>
      </c>
      <c r="M7" s="69">
        <v>0.78333333333333333</v>
      </c>
      <c r="N7" s="65" t="s">
        <v>130</v>
      </c>
      <c r="O7" s="41" t="s">
        <v>127</v>
      </c>
      <c r="P7" s="41">
        <v>295</v>
      </c>
      <c r="Q7" s="41">
        <v>582</v>
      </c>
      <c r="R7" s="41">
        <v>0</v>
      </c>
      <c r="S7" s="41">
        <v>0</v>
      </c>
      <c r="T7" s="41">
        <v>0</v>
      </c>
      <c r="U7" s="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4"/>
  <sheetViews>
    <sheetView workbookViewId="0">
      <selection activeCell="K10" sqref="K10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44049</v>
      </c>
      <c r="B2" s="9" t="s">
        <v>21</v>
      </c>
      <c r="C2" s="9" t="s">
        <v>27</v>
      </c>
      <c r="D2" s="9" t="s">
        <v>23</v>
      </c>
      <c r="E2" s="4" t="s">
        <v>28</v>
      </c>
      <c r="F2" s="9" t="s">
        <v>24</v>
      </c>
      <c r="G2" s="5">
        <v>70000</v>
      </c>
      <c r="H2" s="4" t="s">
        <v>29</v>
      </c>
      <c r="I2" s="4" t="s">
        <v>30</v>
      </c>
      <c r="J2" s="12">
        <v>0.55555555555555558</v>
      </c>
      <c r="K2" s="13">
        <v>0.56041666666666667</v>
      </c>
      <c r="L2" s="12">
        <v>0.40972222222222227</v>
      </c>
      <c r="M2" s="8">
        <v>0.41180555555555554</v>
      </c>
      <c r="N2" s="9" t="s">
        <v>133</v>
      </c>
      <c r="O2" s="14" t="s">
        <v>131</v>
      </c>
      <c r="P2" s="4">
        <v>635</v>
      </c>
      <c r="Q2" s="10">
        <v>686</v>
      </c>
      <c r="R2" s="9">
        <v>0</v>
      </c>
      <c r="S2" s="9">
        <v>0</v>
      </c>
      <c r="T2" s="9">
        <v>0</v>
      </c>
      <c r="U2" s="9">
        <v>0</v>
      </c>
    </row>
    <row r="3" spans="1:21" s="2" customFormat="1" x14ac:dyDescent="0.25">
      <c r="A3" s="3">
        <f t="shared" ref="A3:A4" si="0">A2</f>
        <v>44049</v>
      </c>
      <c r="B3" s="9" t="s">
        <v>21</v>
      </c>
      <c r="C3" s="9" t="s">
        <v>31</v>
      </c>
      <c r="D3" s="9" t="s">
        <v>23</v>
      </c>
      <c r="E3" s="4" t="s">
        <v>86</v>
      </c>
      <c r="F3" s="9" t="s">
        <v>24</v>
      </c>
      <c r="G3" s="5">
        <v>71500</v>
      </c>
      <c r="H3" s="9" t="s">
        <v>32</v>
      </c>
      <c r="I3" s="9" t="s">
        <v>33</v>
      </c>
      <c r="J3" s="15">
        <v>0.70138888888888884</v>
      </c>
      <c r="K3" s="13">
        <v>0.69097222222222221</v>
      </c>
      <c r="L3" s="15">
        <v>0.49652777777777773</v>
      </c>
      <c r="M3" s="8">
        <v>0.49513888888888885</v>
      </c>
      <c r="N3" s="9" t="s">
        <v>134</v>
      </c>
      <c r="O3" s="9" t="s">
        <v>132</v>
      </c>
      <c r="P3" s="9">
        <v>203</v>
      </c>
      <c r="Q3" s="10">
        <v>571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 t="shared" si="0"/>
        <v>44049</v>
      </c>
      <c r="B4" s="9" t="s">
        <v>21</v>
      </c>
      <c r="C4" s="9" t="s">
        <v>63</v>
      </c>
      <c r="D4" s="9" t="s">
        <v>23</v>
      </c>
      <c r="E4" s="4" t="s">
        <v>28</v>
      </c>
      <c r="F4" s="9" t="s">
        <v>24</v>
      </c>
      <c r="G4" s="5">
        <v>70000</v>
      </c>
      <c r="H4" s="9" t="s">
        <v>64</v>
      </c>
      <c r="I4" s="9" t="s">
        <v>65</v>
      </c>
      <c r="J4" s="15">
        <v>0.75694444444444453</v>
      </c>
      <c r="K4" s="7">
        <v>0.74305555555555547</v>
      </c>
      <c r="L4" s="15">
        <v>0.58680555555555558</v>
      </c>
      <c r="M4" s="8">
        <v>0.58888888888888891</v>
      </c>
      <c r="N4" s="9" t="s">
        <v>136</v>
      </c>
      <c r="O4" s="9" t="s">
        <v>135</v>
      </c>
      <c r="P4" s="9">
        <v>154</v>
      </c>
      <c r="Q4" s="9">
        <v>425</v>
      </c>
      <c r="R4" s="9">
        <v>0</v>
      </c>
      <c r="S4" s="9">
        <v>0</v>
      </c>
      <c r="T4" s="9">
        <v>0</v>
      </c>
      <c r="U4" s="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9"/>
  <sheetViews>
    <sheetView workbookViewId="0">
      <selection activeCell="B7" sqref="B7:O7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44051</v>
      </c>
      <c r="B2" s="4" t="s">
        <v>21</v>
      </c>
      <c r="C2" s="4" t="s">
        <v>22</v>
      </c>
      <c r="D2" s="4" t="s">
        <v>23</v>
      </c>
      <c r="E2" s="4" t="s">
        <v>40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0.44722222222222219</v>
      </c>
      <c r="L2" s="6">
        <v>0.28125</v>
      </c>
      <c r="M2" s="8">
        <v>0.28541666666666665</v>
      </c>
      <c r="N2" s="9" t="s">
        <v>143</v>
      </c>
      <c r="O2" s="10" t="s">
        <v>145</v>
      </c>
      <c r="P2" s="11">
        <v>1078</v>
      </c>
      <c r="Q2" s="10">
        <v>829</v>
      </c>
      <c r="R2" s="4">
        <v>0</v>
      </c>
      <c r="S2" s="4">
        <v>0</v>
      </c>
      <c r="T2" s="4">
        <v>0</v>
      </c>
      <c r="U2" s="4">
        <v>0</v>
      </c>
    </row>
    <row r="3" spans="1:21" s="2" customFormat="1" x14ac:dyDescent="0.25">
      <c r="A3" s="3">
        <v>44051</v>
      </c>
      <c r="B3" s="9" t="s">
        <v>21</v>
      </c>
      <c r="C3" s="9" t="s">
        <v>27</v>
      </c>
      <c r="D3" s="9" t="s">
        <v>23</v>
      </c>
      <c r="E3" s="4" t="s">
        <v>28</v>
      </c>
      <c r="F3" s="9" t="s">
        <v>24</v>
      </c>
      <c r="G3" s="5">
        <v>70000</v>
      </c>
      <c r="H3" s="4" t="s">
        <v>29</v>
      </c>
      <c r="I3" s="4" t="s">
        <v>30</v>
      </c>
      <c r="J3" s="12">
        <v>0.54166666666666663</v>
      </c>
      <c r="K3" s="13">
        <v>0.53194444444444444</v>
      </c>
      <c r="L3" s="12">
        <v>0.39583333333333331</v>
      </c>
      <c r="M3" s="8">
        <v>0.39999999999999997</v>
      </c>
      <c r="N3" s="9" t="s">
        <v>144</v>
      </c>
      <c r="O3" s="14" t="s">
        <v>146</v>
      </c>
      <c r="P3" s="4">
        <v>869</v>
      </c>
      <c r="Q3" s="10">
        <v>718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 t="shared" ref="A4:A6" si="0">A3</f>
        <v>44051</v>
      </c>
      <c r="B4" s="9" t="s">
        <v>21</v>
      </c>
      <c r="C4" s="9" t="s">
        <v>31</v>
      </c>
      <c r="D4" s="9" t="s">
        <v>23</v>
      </c>
      <c r="E4" s="4" t="str">
        <f>E2</f>
        <v>HALYR</v>
      </c>
      <c r="F4" s="9" t="s">
        <v>24</v>
      </c>
      <c r="G4" s="5">
        <v>71500</v>
      </c>
      <c r="H4" s="9" t="s">
        <v>32</v>
      </c>
      <c r="I4" s="9" t="s">
        <v>33</v>
      </c>
      <c r="J4" s="15">
        <v>0.69444444444444453</v>
      </c>
      <c r="K4" s="13">
        <v>0.6875</v>
      </c>
      <c r="L4" s="15">
        <v>0.49652777777777773</v>
      </c>
      <c r="M4" s="8">
        <v>0.49513888888888885</v>
      </c>
      <c r="N4" s="9">
        <v>78</v>
      </c>
      <c r="O4" s="9" t="s">
        <v>147</v>
      </c>
      <c r="P4" s="9">
        <v>268</v>
      </c>
      <c r="Q4" s="10">
        <v>640</v>
      </c>
      <c r="R4" s="9">
        <v>0</v>
      </c>
      <c r="S4" s="9">
        <v>0</v>
      </c>
      <c r="T4" s="9">
        <v>0</v>
      </c>
      <c r="U4" s="9">
        <v>0</v>
      </c>
    </row>
    <row r="5" spans="1:21" s="2" customFormat="1" x14ac:dyDescent="0.25">
      <c r="A5" s="3">
        <f t="shared" si="0"/>
        <v>44051</v>
      </c>
      <c r="B5" s="9" t="s">
        <v>21</v>
      </c>
      <c r="C5" s="9" t="s">
        <v>34</v>
      </c>
      <c r="D5" s="9" t="s">
        <v>23</v>
      </c>
      <c r="E5" s="4" t="s">
        <v>28</v>
      </c>
      <c r="F5" s="9" t="s">
        <v>24</v>
      </c>
      <c r="G5" s="5">
        <v>70000</v>
      </c>
      <c r="H5" s="9" t="s">
        <v>35</v>
      </c>
      <c r="I5" s="9" t="s">
        <v>36</v>
      </c>
      <c r="J5" s="15">
        <v>0.73958333333333337</v>
      </c>
      <c r="K5" s="7">
        <v>0.73611111111111116</v>
      </c>
      <c r="L5" s="15">
        <v>0.57291666666666663</v>
      </c>
      <c r="M5" s="8">
        <v>0.57777777777777783</v>
      </c>
      <c r="N5" s="9" t="s">
        <v>133</v>
      </c>
      <c r="O5" s="9" t="s">
        <v>148</v>
      </c>
      <c r="P5" s="9">
        <v>575</v>
      </c>
      <c r="Q5" s="9">
        <v>605</v>
      </c>
      <c r="R5" s="9">
        <v>0</v>
      </c>
      <c r="S5" s="9">
        <v>0</v>
      </c>
      <c r="T5" s="9">
        <v>0</v>
      </c>
      <c r="U5" s="9">
        <v>0</v>
      </c>
    </row>
    <row r="6" spans="1:21" s="2" customFormat="1" x14ac:dyDescent="0.25">
      <c r="A6" s="3">
        <f t="shared" si="0"/>
        <v>44051</v>
      </c>
      <c r="B6" s="11" t="s">
        <v>21</v>
      </c>
      <c r="C6" s="11" t="s">
        <v>108</v>
      </c>
      <c r="D6" s="11" t="s">
        <v>23</v>
      </c>
      <c r="E6" s="4" t="s">
        <v>28</v>
      </c>
      <c r="F6" s="11" t="s">
        <v>24</v>
      </c>
      <c r="G6" s="5">
        <v>70000</v>
      </c>
      <c r="H6" s="11" t="s">
        <v>109</v>
      </c>
      <c r="I6" s="11" t="s">
        <v>110</v>
      </c>
      <c r="J6" s="12">
        <v>0.95486111111111116</v>
      </c>
      <c r="K6" s="8">
        <v>0.94791666666666663</v>
      </c>
      <c r="L6" s="12">
        <v>0.77777777777777779</v>
      </c>
      <c r="M6" s="8">
        <v>0.78055555555555556</v>
      </c>
      <c r="N6" s="11" t="s">
        <v>116</v>
      </c>
      <c r="O6" s="11" t="s">
        <v>149</v>
      </c>
      <c r="P6" s="11">
        <v>826</v>
      </c>
      <c r="Q6" s="11">
        <v>1097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72">
        <v>44051</v>
      </c>
      <c r="B7" s="9" t="s">
        <v>138</v>
      </c>
      <c r="C7" s="9" t="s">
        <v>139</v>
      </c>
      <c r="D7" s="9" t="s">
        <v>140</v>
      </c>
      <c r="E7" s="4" t="s">
        <v>141</v>
      </c>
      <c r="F7" s="9" t="s">
        <v>142</v>
      </c>
      <c r="G7" s="5">
        <v>1134</v>
      </c>
      <c r="H7" s="11"/>
      <c r="I7" s="11"/>
      <c r="J7" s="8">
        <v>0.41666666666666669</v>
      </c>
      <c r="K7" s="8">
        <v>0.43194444444444446</v>
      </c>
      <c r="L7" s="8">
        <v>0.43402777777777773</v>
      </c>
      <c r="M7" s="8">
        <v>0.44444444444444442</v>
      </c>
      <c r="N7" s="73"/>
      <c r="O7" s="74"/>
      <c r="P7" s="73"/>
      <c r="Q7" s="73"/>
      <c r="R7" s="73"/>
      <c r="S7" s="73"/>
      <c r="T7" s="73"/>
      <c r="U7" s="73"/>
    </row>
    <row r="8" spans="1:21" x14ac:dyDescent="0.25">
      <c r="A8" s="72">
        <v>44051</v>
      </c>
      <c r="B8" s="9" t="s">
        <v>150</v>
      </c>
      <c r="C8" s="9" t="s">
        <v>152</v>
      </c>
      <c r="D8" s="9" t="s">
        <v>154</v>
      </c>
      <c r="E8" s="4" t="s">
        <v>156</v>
      </c>
      <c r="F8" s="9" t="s">
        <v>142</v>
      </c>
      <c r="G8" s="5">
        <v>3</v>
      </c>
      <c r="H8" s="4" t="s">
        <v>156</v>
      </c>
      <c r="I8" s="4" t="s">
        <v>156</v>
      </c>
      <c r="J8" s="8">
        <v>0.76388888888888884</v>
      </c>
      <c r="K8" s="8">
        <v>0.78819444444444453</v>
      </c>
      <c r="L8" s="8">
        <v>0.77083333333333337</v>
      </c>
      <c r="M8" s="8">
        <v>0.80208333333333337</v>
      </c>
      <c r="N8" s="11">
        <v>1</v>
      </c>
      <c r="O8" s="11">
        <v>1</v>
      </c>
      <c r="P8" s="73"/>
      <c r="Q8" s="73"/>
      <c r="R8" s="73"/>
      <c r="S8" s="73"/>
      <c r="T8" s="73"/>
      <c r="U8" s="73"/>
    </row>
    <row r="9" spans="1:21" x14ac:dyDescent="0.25">
      <c r="A9" s="72">
        <v>44051</v>
      </c>
      <c r="B9" s="9" t="s">
        <v>151</v>
      </c>
      <c r="C9" s="9" t="s">
        <v>153</v>
      </c>
      <c r="D9" s="9" t="s">
        <v>155</v>
      </c>
      <c r="E9" s="4" t="s">
        <v>157</v>
      </c>
      <c r="F9" s="9" t="s">
        <v>142</v>
      </c>
      <c r="G9" s="5">
        <v>23</v>
      </c>
      <c r="H9" s="4" t="s">
        <v>158</v>
      </c>
      <c r="I9" s="4" t="s">
        <v>158</v>
      </c>
      <c r="J9" s="8">
        <v>0.94791666666666663</v>
      </c>
      <c r="K9" s="8">
        <v>0.91666666666666663</v>
      </c>
      <c r="L9" s="8">
        <v>0.98958333333333337</v>
      </c>
      <c r="M9" s="8">
        <v>0.94930555555555562</v>
      </c>
      <c r="N9" s="11">
        <v>1</v>
      </c>
      <c r="O9" s="11">
        <v>0</v>
      </c>
      <c r="P9" s="73"/>
      <c r="Q9" s="73"/>
      <c r="R9" s="73"/>
      <c r="S9" s="73"/>
      <c r="T9" s="73"/>
      <c r="U9" s="73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9"/>
  <sheetViews>
    <sheetView workbookViewId="0">
      <selection activeCell="C9" sqref="C9"/>
    </sheetView>
  </sheetViews>
  <sheetFormatPr defaultRowHeight="12.75" x14ac:dyDescent="0.2"/>
  <cols>
    <col min="1" max="1" width="9.140625" style="24"/>
    <col min="2" max="2" width="13.85546875" style="24" bestFit="1" customWidth="1"/>
    <col min="3" max="3" width="19.140625" style="24" bestFit="1" customWidth="1"/>
    <col min="4" max="4" width="9.140625" style="24"/>
    <col min="5" max="5" width="14.7109375" style="24" bestFit="1" customWidth="1"/>
    <col min="6" max="6" width="12.140625" style="24" bestFit="1" customWidth="1"/>
    <col min="7" max="7" width="10.5703125" style="24" bestFit="1" customWidth="1"/>
    <col min="8" max="9" width="9.140625" style="24"/>
    <col min="10" max="10" width="11" style="24" bestFit="1" customWidth="1"/>
    <col min="11" max="11" width="10.85546875" style="24" bestFit="1" customWidth="1"/>
    <col min="12" max="12" width="11" style="24" bestFit="1" customWidth="1"/>
    <col min="13" max="13" width="9.140625" style="24"/>
    <col min="14" max="15" width="18.42578125" style="24" bestFit="1" customWidth="1"/>
    <col min="16" max="16384" width="9.140625" style="24"/>
  </cols>
  <sheetData>
    <row r="1" spans="1:22" s="17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">
      <c r="A2" s="3">
        <v>44052</v>
      </c>
      <c r="B2" s="18" t="s">
        <v>21</v>
      </c>
      <c r="C2" s="18" t="s">
        <v>51</v>
      </c>
      <c r="D2" s="18" t="s">
        <v>23</v>
      </c>
      <c r="E2" s="18" t="s">
        <v>160</v>
      </c>
      <c r="F2" s="18" t="s">
        <v>24</v>
      </c>
      <c r="G2" s="19" t="s">
        <v>161</v>
      </c>
      <c r="H2" s="18" t="s">
        <v>52</v>
      </c>
      <c r="I2" s="18" t="s">
        <v>53</v>
      </c>
      <c r="J2" s="20">
        <v>0.4826388888888889</v>
      </c>
      <c r="K2" s="21">
        <v>0.47083333333333338</v>
      </c>
      <c r="L2" s="20">
        <v>0.27430555555555552</v>
      </c>
      <c r="M2" s="21">
        <v>0.28611111111111115</v>
      </c>
      <c r="N2" s="21" t="s">
        <v>169</v>
      </c>
      <c r="O2" s="21" t="s">
        <v>168</v>
      </c>
      <c r="P2" s="22">
        <v>672</v>
      </c>
      <c r="Q2" s="22">
        <v>1087</v>
      </c>
      <c r="R2" s="18">
        <v>0</v>
      </c>
      <c r="S2" s="18">
        <v>0</v>
      </c>
      <c r="T2" s="18">
        <v>0</v>
      </c>
      <c r="U2" s="18">
        <v>0</v>
      </c>
      <c r="V2" s="23"/>
    </row>
    <row r="3" spans="1:22" x14ac:dyDescent="0.2">
      <c r="A3" s="3">
        <f>A2</f>
        <v>44052</v>
      </c>
      <c r="B3" s="18" t="s">
        <v>21</v>
      </c>
      <c r="C3" s="9" t="s">
        <v>54</v>
      </c>
      <c r="D3" s="18" t="s">
        <v>23</v>
      </c>
      <c r="E3" s="18" t="s">
        <v>40</v>
      </c>
      <c r="F3" s="18" t="s">
        <v>24</v>
      </c>
      <c r="G3" s="19">
        <v>71500</v>
      </c>
      <c r="H3" s="9" t="s">
        <v>55</v>
      </c>
      <c r="I3" s="9" t="s">
        <v>56</v>
      </c>
      <c r="J3" s="25">
        <v>0.73263888888888884</v>
      </c>
      <c r="K3" s="26">
        <v>0.73055555555555562</v>
      </c>
      <c r="L3" s="25">
        <v>0.50694444444444442</v>
      </c>
      <c r="M3" s="26">
        <v>0.50555555555555554</v>
      </c>
      <c r="N3" s="26" t="s">
        <v>176</v>
      </c>
      <c r="O3" s="22" t="s">
        <v>174</v>
      </c>
      <c r="P3" s="18">
        <v>302</v>
      </c>
      <c r="Q3" s="22">
        <v>1870</v>
      </c>
      <c r="R3" s="9">
        <v>0</v>
      </c>
      <c r="S3" s="9">
        <v>0</v>
      </c>
      <c r="T3" s="9">
        <v>0</v>
      </c>
      <c r="U3" s="9">
        <v>0</v>
      </c>
      <c r="V3" s="23"/>
    </row>
    <row r="4" spans="1:22" x14ac:dyDescent="0.2">
      <c r="A4" s="3">
        <f t="shared" ref="A4:A9" si="0">A3</f>
        <v>44052</v>
      </c>
      <c r="B4" s="18" t="s">
        <v>21</v>
      </c>
      <c r="C4" s="27" t="s">
        <v>57</v>
      </c>
      <c r="D4" s="18" t="s">
        <v>23</v>
      </c>
      <c r="E4" s="26" t="s">
        <v>159</v>
      </c>
      <c r="F4" s="18" t="s">
        <v>24</v>
      </c>
      <c r="G4" s="19">
        <f>G3</f>
        <v>71500</v>
      </c>
      <c r="H4" s="18" t="s">
        <v>58</v>
      </c>
      <c r="I4" s="27" t="s">
        <v>59</v>
      </c>
      <c r="J4" s="28">
        <v>0.75</v>
      </c>
      <c r="K4" s="13">
        <v>0.7416666666666667</v>
      </c>
      <c r="L4" s="28">
        <v>0.51388888888888895</v>
      </c>
      <c r="M4" s="29">
        <v>0.51736111111111105</v>
      </c>
      <c r="N4" s="9" t="s">
        <v>177</v>
      </c>
      <c r="O4" s="30" t="s">
        <v>175</v>
      </c>
      <c r="P4" s="30">
        <v>1064</v>
      </c>
      <c r="Q4" s="30">
        <v>2435</v>
      </c>
      <c r="R4" s="18">
        <v>0</v>
      </c>
      <c r="S4" s="18">
        <v>0</v>
      </c>
      <c r="T4" s="18">
        <v>0</v>
      </c>
      <c r="U4" s="18">
        <v>0</v>
      </c>
      <c r="V4" s="23"/>
    </row>
    <row r="5" spans="1:22" x14ac:dyDescent="0.2">
      <c r="A5" s="3">
        <f t="shared" si="0"/>
        <v>44052</v>
      </c>
      <c r="B5" s="18" t="s">
        <v>21</v>
      </c>
      <c r="C5" s="26" t="s">
        <v>60</v>
      </c>
      <c r="D5" s="18" t="s">
        <v>23</v>
      </c>
      <c r="E5" s="26" t="s">
        <v>40</v>
      </c>
      <c r="F5" s="18" t="s">
        <v>24</v>
      </c>
      <c r="G5" s="19">
        <v>71500</v>
      </c>
      <c r="H5" s="26" t="s">
        <v>61</v>
      </c>
      <c r="I5" s="26" t="s">
        <v>62</v>
      </c>
      <c r="J5" s="25">
        <v>0.94444444444444453</v>
      </c>
      <c r="K5" s="26">
        <v>0.95138888888888884</v>
      </c>
      <c r="L5" s="25">
        <v>0.75347222222222221</v>
      </c>
      <c r="M5" s="26">
        <v>0.76666666666666661</v>
      </c>
      <c r="N5" s="18" t="s">
        <v>178</v>
      </c>
      <c r="O5" s="18" t="s">
        <v>180</v>
      </c>
      <c r="P5" s="18">
        <v>556</v>
      </c>
      <c r="Q5" s="18">
        <v>1246</v>
      </c>
      <c r="R5" s="18">
        <v>0</v>
      </c>
      <c r="S5" s="18">
        <v>0</v>
      </c>
      <c r="T5" s="9">
        <v>0</v>
      </c>
      <c r="U5" s="9">
        <v>0</v>
      </c>
      <c r="V5" s="23"/>
    </row>
    <row r="6" spans="1:22" x14ac:dyDescent="0.2">
      <c r="A6" s="3">
        <f t="shared" si="0"/>
        <v>44052</v>
      </c>
      <c r="B6" s="18" t="s">
        <v>21</v>
      </c>
      <c r="C6" s="23" t="s">
        <v>63</v>
      </c>
      <c r="D6" s="18" t="s">
        <v>23</v>
      </c>
      <c r="E6" s="23" t="s">
        <v>159</v>
      </c>
      <c r="F6" s="18" t="s">
        <v>24</v>
      </c>
      <c r="G6" s="19">
        <v>71500</v>
      </c>
      <c r="H6" s="23" t="s">
        <v>64</v>
      </c>
      <c r="I6" s="23" t="s">
        <v>65</v>
      </c>
      <c r="J6" s="31">
        <v>0.94097222222222221</v>
      </c>
      <c r="K6" s="32">
        <v>0.9291666666666667</v>
      </c>
      <c r="L6" s="31">
        <v>0.77083333333333337</v>
      </c>
      <c r="M6" s="32">
        <v>0.77222222222222225</v>
      </c>
      <c r="N6" s="23" t="s">
        <v>179</v>
      </c>
      <c r="O6" s="23" t="s">
        <v>181</v>
      </c>
      <c r="P6" s="23">
        <v>242</v>
      </c>
      <c r="Q6" s="23">
        <v>480</v>
      </c>
      <c r="R6" s="23">
        <v>0</v>
      </c>
      <c r="S6" s="23">
        <v>0</v>
      </c>
      <c r="T6" s="23">
        <v>0</v>
      </c>
      <c r="U6" s="23">
        <v>0</v>
      </c>
      <c r="V6" s="26"/>
    </row>
    <row r="7" spans="1:22" x14ac:dyDescent="0.2">
      <c r="A7" s="3">
        <f t="shared" si="0"/>
        <v>44052</v>
      </c>
      <c r="B7" s="18" t="s">
        <v>162</v>
      </c>
      <c r="C7" s="23" t="s">
        <v>163</v>
      </c>
      <c r="D7" s="18" t="s">
        <v>164</v>
      </c>
      <c r="E7" s="23" t="s">
        <v>165</v>
      </c>
      <c r="F7" s="18" t="s">
        <v>166</v>
      </c>
      <c r="G7" s="19">
        <v>15660</v>
      </c>
      <c r="H7" s="23" t="s">
        <v>167</v>
      </c>
      <c r="I7" s="23" t="s">
        <v>167</v>
      </c>
      <c r="J7" s="31">
        <v>0.46180555555555558</v>
      </c>
      <c r="K7" s="32">
        <v>0.45833333333333331</v>
      </c>
      <c r="L7" s="31">
        <v>0.48958333333333331</v>
      </c>
      <c r="M7" s="32"/>
      <c r="N7" s="23" t="s">
        <v>170</v>
      </c>
      <c r="O7" s="23" t="s">
        <v>171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/>
    </row>
    <row r="8" spans="1:22" customFormat="1" ht="15" x14ac:dyDescent="0.25">
      <c r="A8" s="3">
        <f t="shared" si="0"/>
        <v>44052</v>
      </c>
      <c r="B8" s="9" t="s">
        <v>150</v>
      </c>
      <c r="C8" s="9" t="s">
        <v>172</v>
      </c>
      <c r="D8" s="9" t="s">
        <v>154</v>
      </c>
      <c r="E8" s="4" t="s">
        <v>156</v>
      </c>
      <c r="F8" s="9" t="s">
        <v>173</v>
      </c>
      <c r="G8" s="5">
        <v>3</v>
      </c>
      <c r="H8" s="4" t="s">
        <v>156</v>
      </c>
      <c r="I8" s="4" t="s">
        <v>156</v>
      </c>
      <c r="J8" s="12">
        <v>0.54166666666666663</v>
      </c>
      <c r="K8" s="8">
        <v>0.53680555555555554</v>
      </c>
      <c r="L8" s="12">
        <v>0.58333333333333337</v>
      </c>
      <c r="M8" s="8">
        <v>0.55902777777777779</v>
      </c>
      <c r="N8" s="11" t="s">
        <v>171</v>
      </c>
      <c r="O8" s="11" t="s">
        <v>171</v>
      </c>
      <c r="P8" s="73"/>
      <c r="Q8" s="73"/>
      <c r="R8" s="73"/>
      <c r="S8" s="73"/>
      <c r="T8" s="73"/>
      <c r="U8" s="73"/>
    </row>
    <row r="9" spans="1:22" ht="15" x14ac:dyDescent="0.25">
      <c r="A9" s="3">
        <f t="shared" si="0"/>
        <v>44052</v>
      </c>
      <c r="B9" s="9" t="s">
        <v>150</v>
      </c>
      <c r="C9" s="9" t="s">
        <v>182</v>
      </c>
      <c r="D9" s="9" t="s">
        <v>154</v>
      </c>
      <c r="E9" s="4" t="s">
        <v>156</v>
      </c>
      <c r="F9" s="9" t="s">
        <v>173</v>
      </c>
      <c r="G9" s="5">
        <v>3</v>
      </c>
      <c r="H9" s="4" t="s">
        <v>156</v>
      </c>
      <c r="I9" s="4" t="s">
        <v>156</v>
      </c>
      <c r="J9" s="12">
        <v>0.60416666666666663</v>
      </c>
      <c r="K9" s="8">
        <v>0.61111111111111105</v>
      </c>
      <c r="L9" s="12">
        <v>0.625</v>
      </c>
      <c r="M9" s="8">
        <v>0.63402777777777775</v>
      </c>
      <c r="N9" s="11" t="s">
        <v>171</v>
      </c>
      <c r="O9" s="11" t="s">
        <v>171</v>
      </c>
      <c r="P9" s="73"/>
      <c r="Q9" s="73"/>
      <c r="R9" s="73"/>
      <c r="S9" s="73"/>
      <c r="T9" s="73"/>
      <c r="U9" s="73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U7"/>
  <sheetViews>
    <sheetView topLeftCell="D1" workbookViewId="0">
      <selection activeCell="K6" sqref="K6"/>
    </sheetView>
  </sheetViews>
  <sheetFormatPr defaultRowHeight="15" x14ac:dyDescent="0.25"/>
  <cols>
    <col min="1" max="1" width="7.85546875" style="46" bestFit="1" customWidth="1"/>
    <col min="2" max="2" width="9.140625" style="46" bestFit="1" customWidth="1"/>
    <col min="3" max="3" width="13.5703125" style="46" bestFit="1" customWidth="1"/>
    <col min="4" max="4" width="5.7109375" style="46" bestFit="1" customWidth="1"/>
    <col min="5" max="5" width="14.5703125" style="46" bestFit="1" customWidth="1"/>
    <col min="6" max="6" width="14.42578125" style="46" bestFit="1" customWidth="1"/>
    <col min="7" max="9" width="9.7109375" style="46" bestFit="1" customWidth="1"/>
    <col min="10" max="10" width="11" style="46" bestFit="1" customWidth="1"/>
    <col min="11" max="11" width="10.85546875" style="46" bestFit="1" customWidth="1"/>
    <col min="12" max="12" width="11" style="46" bestFit="1" customWidth="1"/>
    <col min="13" max="13" width="10.85546875" style="46" bestFit="1" customWidth="1"/>
    <col min="14" max="15" width="18.42578125" style="46" bestFit="1" customWidth="1"/>
    <col min="16" max="17" width="10.28515625" style="46" bestFit="1" customWidth="1"/>
    <col min="18" max="16384" width="9.140625" style="46"/>
  </cols>
  <sheetData>
    <row r="1" spans="1:2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40" customFormat="1" ht="12.75" x14ac:dyDescent="0.2">
      <c r="A2" s="36">
        <v>44053</v>
      </c>
      <c r="B2" s="37" t="s">
        <v>21</v>
      </c>
      <c r="C2" s="11" t="s">
        <v>76</v>
      </c>
      <c r="D2" s="1" t="s">
        <v>23</v>
      </c>
      <c r="E2" s="11" t="s">
        <v>86</v>
      </c>
      <c r="F2" s="11" t="s">
        <v>24</v>
      </c>
      <c r="G2" s="38">
        <v>71500</v>
      </c>
      <c r="H2" s="11" t="s">
        <v>77</v>
      </c>
      <c r="I2" s="11" t="s">
        <v>78</v>
      </c>
      <c r="J2" s="12">
        <v>0.46180555555555558</v>
      </c>
      <c r="K2" s="8">
        <v>0.44861111111111113</v>
      </c>
      <c r="L2" s="12">
        <v>0.26041666666666669</v>
      </c>
      <c r="M2" s="8">
        <v>0.26458333333333334</v>
      </c>
      <c r="N2" s="8" t="s">
        <v>185</v>
      </c>
      <c r="O2" s="39" t="s">
        <v>184</v>
      </c>
      <c r="P2" s="39">
        <v>416</v>
      </c>
      <c r="Q2" s="39">
        <v>1219</v>
      </c>
      <c r="R2" s="37">
        <v>0</v>
      </c>
      <c r="S2" s="37">
        <v>0</v>
      </c>
      <c r="T2" s="37">
        <v>0</v>
      </c>
      <c r="U2" s="37">
        <v>0</v>
      </c>
    </row>
    <row r="3" spans="1:21" s="40" customFormat="1" ht="12.75" x14ac:dyDescent="0.2">
      <c r="A3" s="36">
        <v>44053</v>
      </c>
      <c r="B3" s="37" t="s">
        <v>21</v>
      </c>
      <c r="C3" s="11" t="s">
        <v>54</v>
      </c>
      <c r="D3" s="1" t="s">
        <v>23</v>
      </c>
      <c r="E3" s="11" t="s">
        <v>86</v>
      </c>
      <c r="F3" s="11" t="s">
        <v>24</v>
      </c>
      <c r="G3" s="38">
        <v>71500</v>
      </c>
      <c r="H3" s="11" t="s">
        <v>55</v>
      </c>
      <c r="I3" s="11" t="s">
        <v>56</v>
      </c>
      <c r="J3" s="12">
        <v>0.72569444444444453</v>
      </c>
      <c r="K3" s="8">
        <v>0.71527777777777779</v>
      </c>
      <c r="L3" s="12">
        <v>0.5</v>
      </c>
      <c r="M3" s="8">
        <v>0.49861111111111112</v>
      </c>
      <c r="N3" s="41" t="s">
        <v>188</v>
      </c>
      <c r="O3" s="39" t="s">
        <v>186</v>
      </c>
      <c r="P3" s="39">
        <v>201</v>
      </c>
      <c r="Q3" s="39">
        <v>1349</v>
      </c>
      <c r="R3" s="37">
        <v>0</v>
      </c>
      <c r="S3" s="37">
        <v>0</v>
      </c>
      <c r="T3" s="37">
        <v>0</v>
      </c>
      <c r="U3" s="37">
        <v>0</v>
      </c>
    </row>
    <row r="4" spans="1:21" customFormat="1" x14ac:dyDescent="0.25">
      <c r="A4" s="36">
        <v>44053</v>
      </c>
      <c r="B4" s="37" t="s">
        <v>21</v>
      </c>
      <c r="C4" s="11" t="s">
        <v>80</v>
      </c>
      <c r="D4" s="1" t="s">
        <v>23</v>
      </c>
      <c r="E4" s="18" t="s">
        <v>183</v>
      </c>
      <c r="F4" s="11" t="s">
        <v>24</v>
      </c>
      <c r="G4" s="38">
        <v>71500</v>
      </c>
      <c r="H4" s="11" t="s">
        <v>81</v>
      </c>
      <c r="I4" s="11" t="s">
        <v>82</v>
      </c>
      <c r="J4" s="12">
        <v>0.75</v>
      </c>
      <c r="K4" s="8">
        <v>0.72777777777777775</v>
      </c>
      <c r="L4" s="12">
        <v>0.53472222222222221</v>
      </c>
      <c r="M4" s="8">
        <v>0.53194444444444444</v>
      </c>
      <c r="N4" s="41" t="s">
        <v>189</v>
      </c>
      <c r="O4" s="39" t="s">
        <v>187</v>
      </c>
      <c r="P4" s="37">
        <v>184</v>
      </c>
      <c r="Q4" s="39">
        <v>1098</v>
      </c>
      <c r="R4" s="37">
        <v>0</v>
      </c>
      <c r="S4" s="37">
        <v>0</v>
      </c>
      <c r="T4" s="37">
        <v>0</v>
      </c>
      <c r="U4" s="37">
        <v>0</v>
      </c>
    </row>
    <row r="5" spans="1:21" customFormat="1" x14ac:dyDescent="0.25">
      <c r="A5" s="36">
        <v>44053</v>
      </c>
      <c r="B5" s="37" t="s">
        <v>21</v>
      </c>
      <c r="C5" s="37" t="s">
        <v>83</v>
      </c>
      <c r="D5" s="37" t="s">
        <v>23</v>
      </c>
      <c r="E5" s="11" t="s">
        <v>40</v>
      </c>
      <c r="F5" s="37" t="s">
        <v>24</v>
      </c>
      <c r="G5" s="38">
        <v>71500</v>
      </c>
      <c r="H5" s="37" t="s">
        <v>84</v>
      </c>
      <c r="I5" s="37" t="s">
        <v>85</v>
      </c>
      <c r="J5" s="42">
        <v>0.89930555555555547</v>
      </c>
      <c r="K5" s="43">
        <v>0.87986111111111109</v>
      </c>
      <c r="L5" s="42">
        <v>0.75</v>
      </c>
      <c r="M5" s="44">
        <v>0.74583333333333324</v>
      </c>
      <c r="N5" s="41" t="s">
        <v>192</v>
      </c>
      <c r="O5" s="39" t="s">
        <v>190</v>
      </c>
      <c r="P5" s="37">
        <v>166</v>
      </c>
      <c r="Q5" s="39">
        <v>367</v>
      </c>
      <c r="R5" s="37">
        <v>0</v>
      </c>
      <c r="S5" s="37">
        <v>0</v>
      </c>
      <c r="T5" s="37">
        <v>0</v>
      </c>
      <c r="U5" s="37">
        <v>0</v>
      </c>
    </row>
    <row r="6" spans="1:21" customFormat="1" x14ac:dyDescent="0.25">
      <c r="A6" s="36">
        <v>44053</v>
      </c>
      <c r="B6" s="37" t="s">
        <v>21</v>
      </c>
      <c r="C6" s="41" t="s">
        <v>63</v>
      </c>
      <c r="D6" s="37" t="s">
        <v>23</v>
      </c>
      <c r="E6" s="18" t="s">
        <v>159</v>
      </c>
      <c r="F6" s="37" t="s">
        <v>24</v>
      </c>
      <c r="G6" s="38">
        <v>71500</v>
      </c>
      <c r="H6" s="41" t="s">
        <v>64</v>
      </c>
      <c r="I6" s="41" t="s">
        <v>65</v>
      </c>
      <c r="J6" s="45">
        <v>0.94097222222222221</v>
      </c>
      <c r="K6" s="43">
        <v>0.92222222222222217</v>
      </c>
      <c r="L6" s="45">
        <v>0.77083333333333337</v>
      </c>
      <c r="M6" s="43">
        <v>0.76874999999999993</v>
      </c>
      <c r="N6" s="41" t="s">
        <v>193</v>
      </c>
      <c r="O6" s="41" t="s">
        <v>191</v>
      </c>
      <c r="P6" s="41">
        <v>188</v>
      </c>
      <c r="Q6" s="39">
        <v>356</v>
      </c>
      <c r="R6" s="41">
        <v>0</v>
      </c>
      <c r="S6" s="41">
        <v>0</v>
      </c>
      <c r="T6" s="41">
        <v>0</v>
      </c>
      <c r="U6" s="41">
        <v>0</v>
      </c>
    </row>
    <row r="7" spans="1:21" s="47" customFormat="1" ht="12.75" x14ac:dyDescent="0.2">
      <c r="A7" s="36"/>
      <c r="B7" s="37"/>
      <c r="D7" s="37"/>
      <c r="E7" s="18"/>
      <c r="G7" s="38"/>
      <c r="J7" s="48"/>
      <c r="K7" s="48"/>
      <c r="L7" s="48"/>
      <c r="M7" s="48"/>
      <c r="N7" s="11"/>
      <c r="O7" s="11"/>
      <c r="P7" s="11"/>
      <c r="Q7" s="11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8"/>
  <sheetViews>
    <sheetView topLeftCell="D1" workbookViewId="0">
      <selection activeCell="M34" sqref="M34"/>
    </sheetView>
  </sheetViews>
  <sheetFormatPr defaultRowHeight="15" x14ac:dyDescent="0.25"/>
  <cols>
    <col min="1" max="2" width="9.140625" style="49"/>
    <col min="3" max="3" width="13.5703125" style="49" bestFit="1" customWidth="1"/>
    <col min="4" max="5" width="9.140625" style="49"/>
    <col min="6" max="6" width="18.5703125" style="49" bestFit="1" customWidth="1"/>
    <col min="7" max="7" width="9.7109375" style="49" bestFit="1" customWidth="1"/>
    <col min="8" max="12" width="9.140625" style="49"/>
    <col min="13" max="13" width="10.85546875" style="49" bestFit="1" customWidth="1"/>
    <col min="14" max="15" width="18.42578125" style="49" bestFit="1" customWidth="1"/>
    <col min="16" max="16384" width="9.140625" style="49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4" customFormat="1" ht="12.75" x14ac:dyDescent="0.2">
      <c r="A2" s="3">
        <v>44054</v>
      </c>
      <c r="B2" s="50" t="s">
        <v>21</v>
      </c>
      <c r="C2" s="50" t="s">
        <v>22</v>
      </c>
      <c r="D2" s="50" t="s">
        <v>23</v>
      </c>
      <c r="E2" s="50" t="s">
        <v>40</v>
      </c>
      <c r="F2" s="50" t="s">
        <v>24</v>
      </c>
      <c r="G2" s="51">
        <v>71500</v>
      </c>
      <c r="H2" s="50" t="s">
        <v>25</v>
      </c>
      <c r="I2" s="50" t="s">
        <v>26</v>
      </c>
      <c r="J2" s="52">
        <v>0.4548611111111111</v>
      </c>
      <c r="K2" s="35">
        <v>0.56805555555555554</v>
      </c>
      <c r="L2" s="52">
        <v>0.28125</v>
      </c>
      <c r="M2" s="35">
        <v>0.4069444444444445</v>
      </c>
      <c r="N2" s="24" t="s">
        <v>197</v>
      </c>
      <c r="O2" s="24" t="s">
        <v>194</v>
      </c>
      <c r="P2" s="24">
        <v>374</v>
      </c>
      <c r="Q2" s="24">
        <v>927</v>
      </c>
      <c r="R2" s="50">
        <v>0</v>
      </c>
      <c r="S2" s="50">
        <v>0</v>
      </c>
      <c r="T2" s="50">
        <v>0</v>
      </c>
      <c r="U2" s="50">
        <v>0</v>
      </c>
    </row>
    <row r="3" spans="1:21" s="24" customFormat="1" ht="12.75" x14ac:dyDescent="0.2">
      <c r="A3" s="3">
        <f>A2</f>
        <v>44054</v>
      </c>
      <c r="B3" s="50" t="s">
        <v>102</v>
      </c>
      <c r="C3" s="50" t="s">
        <v>103</v>
      </c>
      <c r="D3" s="50" t="s">
        <v>23</v>
      </c>
      <c r="E3" s="50" t="s">
        <v>199</v>
      </c>
      <c r="F3" s="50" t="s">
        <v>105</v>
      </c>
      <c r="G3" s="51">
        <v>77000</v>
      </c>
      <c r="H3" s="50" t="s">
        <v>106</v>
      </c>
      <c r="I3" s="50" t="s">
        <v>107</v>
      </c>
      <c r="J3" s="52">
        <v>0.3298611111111111</v>
      </c>
      <c r="K3" s="35">
        <v>0.34375</v>
      </c>
      <c r="L3" s="52">
        <v>0.37152777777777773</v>
      </c>
      <c r="M3" s="35">
        <v>0.40277777777777773</v>
      </c>
      <c r="N3" s="24" t="s">
        <v>198</v>
      </c>
      <c r="O3" s="24" t="s">
        <v>195</v>
      </c>
      <c r="P3" s="24">
        <v>1748</v>
      </c>
      <c r="Q3" s="24">
        <v>2029</v>
      </c>
      <c r="R3" s="50">
        <v>0</v>
      </c>
      <c r="S3" s="50">
        <v>0</v>
      </c>
      <c r="T3" s="50">
        <v>0</v>
      </c>
      <c r="U3" s="50">
        <v>0</v>
      </c>
    </row>
    <row r="4" spans="1:21" s="24" customFormat="1" ht="12.75" x14ac:dyDescent="0.2">
      <c r="A4" s="3">
        <f>A3</f>
        <v>44054</v>
      </c>
      <c r="B4" s="9" t="s">
        <v>21</v>
      </c>
      <c r="C4" s="9" t="s">
        <v>31</v>
      </c>
      <c r="D4" s="9" t="s">
        <v>23</v>
      </c>
      <c r="E4" s="50" t="s">
        <v>159</v>
      </c>
      <c r="F4" s="9" t="s">
        <v>24</v>
      </c>
      <c r="G4" s="51">
        <v>71500</v>
      </c>
      <c r="H4" s="50" t="s">
        <v>111</v>
      </c>
      <c r="I4" s="50" t="s">
        <v>33</v>
      </c>
      <c r="J4" s="34">
        <v>0.70138888888888884</v>
      </c>
      <c r="K4" s="35">
        <v>0.69513888888888886</v>
      </c>
      <c r="L4" s="34">
        <v>0.49652777777777773</v>
      </c>
      <c r="M4" s="35">
        <v>0.5</v>
      </c>
      <c r="N4" s="24" t="s">
        <v>200</v>
      </c>
      <c r="O4" s="24" t="s">
        <v>196</v>
      </c>
      <c r="P4" s="24">
        <v>252</v>
      </c>
      <c r="Q4" s="24">
        <v>835</v>
      </c>
      <c r="R4" s="9">
        <v>0</v>
      </c>
      <c r="S4" s="9">
        <v>0</v>
      </c>
      <c r="T4" s="9">
        <v>0</v>
      </c>
      <c r="U4" s="9">
        <v>0</v>
      </c>
    </row>
    <row r="5" spans="1:21" s="24" customFormat="1" ht="12.75" x14ac:dyDescent="0.2">
      <c r="A5" s="3">
        <f>A4</f>
        <v>44054</v>
      </c>
      <c r="B5" s="9" t="s">
        <v>21</v>
      </c>
      <c r="C5" s="9" t="s">
        <v>34</v>
      </c>
      <c r="D5" s="9" t="s">
        <v>23</v>
      </c>
      <c r="E5" s="50" t="str">
        <f>E2</f>
        <v>HALYR</v>
      </c>
      <c r="F5" s="9" t="s">
        <v>24</v>
      </c>
      <c r="G5" s="53">
        <f>G2</f>
        <v>71500</v>
      </c>
      <c r="H5" s="9" t="s">
        <v>35</v>
      </c>
      <c r="I5" s="9" t="s">
        <v>36</v>
      </c>
      <c r="J5" s="15">
        <v>0.73958333333333337</v>
      </c>
      <c r="K5" s="35">
        <v>0.75763888888888886</v>
      </c>
      <c r="L5" s="15">
        <v>0.57291666666666663</v>
      </c>
      <c r="M5" s="35">
        <v>0.59861111111111109</v>
      </c>
      <c r="N5" s="24" t="s">
        <v>201</v>
      </c>
      <c r="O5" s="24" t="s">
        <v>203</v>
      </c>
      <c r="P5" s="24">
        <v>514</v>
      </c>
      <c r="Q5" s="24">
        <v>491</v>
      </c>
      <c r="R5" s="9">
        <v>0</v>
      </c>
      <c r="S5" s="9">
        <v>0</v>
      </c>
      <c r="T5" s="9">
        <v>0</v>
      </c>
      <c r="U5" s="9">
        <v>0</v>
      </c>
    </row>
    <row r="6" spans="1:21" s="24" customFormat="1" ht="12.75" x14ac:dyDescent="0.2">
      <c r="A6" s="3">
        <f>A5</f>
        <v>44054</v>
      </c>
      <c r="B6" s="24" t="s">
        <v>21</v>
      </c>
      <c r="C6" s="24" t="s">
        <v>108</v>
      </c>
      <c r="D6" s="24" t="s">
        <v>23</v>
      </c>
      <c r="E6" s="50" t="str">
        <f>E5</f>
        <v>HALYR</v>
      </c>
      <c r="F6" s="24" t="s">
        <v>24</v>
      </c>
      <c r="G6" s="51">
        <f>G5</f>
        <v>71500</v>
      </c>
      <c r="H6" s="24" t="s">
        <v>109</v>
      </c>
      <c r="I6" s="24" t="s">
        <v>110</v>
      </c>
      <c r="J6" s="34">
        <v>0.95486111111111116</v>
      </c>
      <c r="K6" s="35">
        <v>5.8333333333333327E-2</v>
      </c>
      <c r="L6" s="34">
        <v>0.77777777777777779</v>
      </c>
      <c r="M6" s="35">
        <v>0.78680555555555554</v>
      </c>
      <c r="N6" s="24" t="s">
        <v>202</v>
      </c>
      <c r="O6" s="24" t="s">
        <v>204</v>
      </c>
      <c r="P6" s="24">
        <v>566</v>
      </c>
      <c r="Q6" s="24">
        <v>1094</v>
      </c>
      <c r="R6" s="24">
        <v>0</v>
      </c>
      <c r="S6" s="24">
        <v>0</v>
      </c>
      <c r="T6" s="24">
        <v>0</v>
      </c>
      <c r="U6" s="24">
        <v>0</v>
      </c>
    </row>
    <row r="7" spans="1:21" s="24" customFormat="1" ht="12.75" x14ac:dyDescent="0.2">
      <c r="A7" s="3"/>
      <c r="E7" s="50"/>
      <c r="G7" s="51"/>
      <c r="J7" s="34"/>
      <c r="K7" s="35"/>
      <c r="L7" s="34"/>
      <c r="M7" s="35"/>
    </row>
    <row r="8" spans="1:21" s="24" customFormat="1" ht="12.75" x14ac:dyDescent="0.2">
      <c r="A8" s="3"/>
      <c r="E8" s="50"/>
      <c r="G8" s="51"/>
      <c r="J8" s="34"/>
      <c r="K8" s="35"/>
      <c r="L8" s="34"/>
      <c r="M8" s="3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7"/>
  <sheetViews>
    <sheetView workbookViewId="0">
      <selection activeCell="M15" sqref="M15"/>
    </sheetView>
  </sheetViews>
  <sheetFormatPr defaultRowHeight="15" x14ac:dyDescent="0.25"/>
  <cols>
    <col min="3" max="3" width="13.5703125" bestFit="1" customWidth="1"/>
    <col min="5" max="5" width="7.42578125" bestFit="1" customWidth="1"/>
    <col min="6" max="6" width="12.140625" bestFit="1" customWidth="1"/>
    <col min="7" max="7" width="10.5703125" bestFit="1" customWidth="1"/>
    <col min="14" max="15" width="18.42578125" bestFit="1" customWidth="1"/>
  </cols>
  <sheetData>
    <row r="1" spans="1:21" s="40" customFormat="1" ht="12.75" x14ac:dyDescent="0.2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</row>
    <row r="2" spans="1:21" s="40" customFormat="1" ht="12.75" x14ac:dyDescent="0.2">
      <c r="A2" s="55">
        <v>44055</v>
      </c>
      <c r="B2" s="37" t="s">
        <v>21</v>
      </c>
      <c r="C2" s="56" t="s">
        <v>76</v>
      </c>
      <c r="D2" s="56" t="s">
        <v>23</v>
      </c>
      <c r="E2" s="56" t="s">
        <v>40</v>
      </c>
      <c r="F2" s="56" t="s">
        <v>24</v>
      </c>
      <c r="G2" s="57">
        <v>71500</v>
      </c>
      <c r="H2" s="56" t="s">
        <v>77</v>
      </c>
      <c r="I2" s="56" t="s">
        <v>78</v>
      </c>
      <c r="J2" s="58">
        <v>0.46180555555555558</v>
      </c>
      <c r="K2" s="59">
        <v>0.44722222222222219</v>
      </c>
      <c r="L2" s="58">
        <v>0.26041666666666669</v>
      </c>
      <c r="M2" s="59">
        <v>0.26250000000000001</v>
      </c>
      <c r="N2" s="56" t="s">
        <v>207</v>
      </c>
      <c r="O2" s="56" t="s">
        <v>205</v>
      </c>
      <c r="P2" s="56">
        <v>173</v>
      </c>
      <c r="Q2" s="56">
        <v>1239</v>
      </c>
      <c r="R2" s="56">
        <v>0</v>
      </c>
      <c r="S2" s="56">
        <v>0</v>
      </c>
      <c r="T2" s="56">
        <v>0</v>
      </c>
      <c r="U2" s="56">
        <v>0</v>
      </c>
    </row>
    <row r="3" spans="1:21" s="40" customFormat="1" ht="12.75" x14ac:dyDescent="0.2">
      <c r="A3" s="55">
        <f>A2</f>
        <v>44055</v>
      </c>
      <c r="B3" s="37" t="s">
        <v>21</v>
      </c>
      <c r="C3" s="56" t="s">
        <v>51</v>
      </c>
      <c r="D3" s="56" t="s">
        <v>23</v>
      </c>
      <c r="E3" s="60" t="s">
        <v>159</v>
      </c>
      <c r="F3" s="56" t="s">
        <v>24</v>
      </c>
      <c r="G3" s="57">
        <v>71500</v>
      </c>
      <c r="H3" s="56" t="s">
        <v>52</v>
      </c>
      <c r="I3" s="56" t="s">
        <v>53</v>
      </c>
      <c r="J3" s="58">
        <v>0.4826388888888889</v>
      </c>
      <c r="K3" s="59">
        <v>0.46527777777777773</v>
      </c>
      <c r="L3" s="58">
        <v>0.27430555555555552</v>
      </c>
      <c r="M3" s="59">
        <v>0.27638888888888885</v>
      </c>
      <c r="N3" s="56" t="s">
        <v>208</v>
      </c>
      <c r="O3" s="56" t="s">
        <v>206</v>
      </c>
      <c r="P3" s="56">
        <v>466</v>
      </c>
      <c r="Q3" s="56">
        <v>656</v>
      </c>
      <c r="R3" s="56">
        <v>0</v>
      </c>
      <c r="S3" s="56">
        <v>0</v>
      </c>
      <c r="T3" s="56">
        <v>0</v>
      </c>
      <c r="U3" s="56">
        <v>0</v>
      </c>
    </row>
    <row r="4" spans="1:21" s="40" customFormat="1" ht="12.75" x14ac:dyDescent="0.2">
      <c r="A4" s="55">
        <f t="shared" ref="A4:A7" si="0">A3</f>
        <v>44055</v>
      </c>
      <c r="B4" s="37" t="s">
        <v>21</v>
      </c>
      <c r="C4" s="41" t="s">
        <v>54</v>
      </c>
      <c r="D4" s="56" t="s">
        <v>23</v>
      </c>
      <c r="E4" s="56" t="s">
        <v>40</v>
      </c>
      <c r="F4" s="56" t="s">
        <v>24</v>
      </c>
      <c r="G4" s="57">
        <v>71500</v>
      </c>
      <c r="H4" s="61" t="s">
        <v>55</v>
      </c>
      <c r="I4" s="61" t="s">
        <v>56</v>
      </c>
      <c r="J4" s="45">
        <v>0.73263888888888884</v>
      </c>
      <c r="K4" s="43">
        <v>0.72986111111111107</v>
      </c>
      <c r="L4" s="45">
        <v>0.50694444444444442</v>
      </c>
      <c r="M4" s="43">
        <v>0.51944444444444449</v>
      </c>
      <c r="N4" s="56" t="s">
        <v>211</v>
      </c>
      <c r="O4" s="62" t="s">
        <v>209</v>
      </c>
      <c r="P4" s="41">
        <v>377</v>
      </c>
      <c r="Q4" s="39">
        <v>1242</v>
      </c>
      <c r="R4" s="41">
        <v>0</v>
      </c>
      <c r="S4" s="41">
        <v>0</v>
      </c>
      <c r="T4" s="41">
        <v>0</v>
      </c>
      <c r="U4" s="41">
        <v>0</v>
      </c>
    </row>
    <row r="5" spans="1:21" s="40" customFormat="1" ht="12.75" x14ac:dyDescent="0.2">
      <c r="A5" s="55">
        <f t="shared" si="0"/>
        <v>44055</v>
      </c>
      <c r="B5" s="37" t="s">
        <v>21</v>
      </c>
      <c r="C5" s="41" t="s">
        <v>57</v>
      </c>
      <c r="D5" s="56" t="s">
        <v>23</v>
      </c>
      <c r="E5" s="56" t="s">
        <v>159</v>
      </c>
      <c r="F5" s="56" t="s">
        <v>24</v>
      </c>
      <c r="G5" s="57">
        <v>71500</v>
      </c>
      <c r="H5" s="41" t="s">
        <v>58</v>
      </c>
      <c r="I5" s="41" t="s">
        <v>59</v>
      </c>
      <c r="J5" s="45">
        <v>0.75</v>
      </c>
      <c r="K5" s="43">
        <v>0.76250000000000007</v>
      </c>
      <c r="L5" s="45">
        <v>0.51388888888888895</v>
      </c>
      <c r="M5" s="43">
        <v>0.5444444444444444</v>
      </c>
      <c r="N5" s="41" t="s">
        <v>212</v>
      </c>
      <c r="O5" s="41" t="s">
        <v>210</v>
      </c>
      <c r="P5" s="41">
        <v>412</v>
      </c>
      <c r="Q5" s="39">
        <v>2028</v>
      </c>
      <c r="R5" s="41">
        <v>0</v>
      </c>
      <c r="S5" s="41">
        <v>0</v>
      </c>
      <c r="T5" s="41">
        <v>0</v>
      </c>
      <c r="U5" s="41">
        <v>0</v>
      </c>
    </row>
    <row r="6" spans="1:21" s="40" customFormat="1" ht="12.75" x14ac:dyDescent="0.2">
      <c r="A6" s="55">
        <f t="shared" si="0"/>
        <v>44055</v>
      </c>
      <c r="B6" s="37" t="s">
        <v>21</v>
      </c>
      <c r="C6" s="41" t="s">
        <v>60</v>
      </c>
      <c r="D6" s="56" t="s">
        <v>23</v>
      </c>
      <c r="E6" s="56" t="s">
        <v>40</v>
      </c>
      <c r="F6" s="56" t="s">
        <v>24</v>
      </c>
      <c r="G6" s="57">
        <v>71500</v>
      </c>
      <c r="H6" s="61" t="s">
        <v>119</v>
      </c>
      <c r="I6" s="61" t="s">
        <v>62</v>
      </c>
      <c r="J6" s="45">
        <v>0.94444444444444453</v>
      </c>
      <c r="K6" s="43">
        <v>0.95000000000000007</v>
      </c>
      <c r="L6" s="45">
        <v>0.75347222222222221</v>
      </c>
      <c r="M6" s="43">
        <v>0.76388888888888884</v>
      </c>
      <c r="N6" s="56">
        <v>53</v>
      </c>
      <c r="O6" s="41" t="s">
        <v>213</v>
      </c>
      <c r="P6" s="41">
        <v>436</v>
      </c>
      <c r="Q6" s="41">
        <v>794</v>
      </c>
      <c r="R6" s="41">
        <v>0</v>
      </c>
      <c r="S6" s="41">
        <v>0</v>
      </c>
      <c r="T6" s="41">
        <v>0</v>
      </c>
      <c r="U6" s="41">
        <v>0</v>
      </c>
    </row>
    <row r="7" spans="1:21" s="70" customFormat="1" ht="12.75" x14ac:dyDescent="0.25">
      <c r="A7" s="64">
        <f t="shared" si="0"/>
        <v>44055</v>
      </c>
      <c r="B7" s="37" t="s">
        <v>21</v>
      </c>
      <c r="C7" s="63" t="s">
        <v>63</v>
      </c>
      <c r="D7" s="65" t="s">
        <v>23</v>
      </c>
      <c r="E7" s="65" t="s">
        <v>159</v>
      </c>
      <c r="F7" s="65" t="s">
        <v>24</v>
      </c>
      <c r="G7" s="66">
        <v>71500</v>
      </c>
      <c r="H7" s="67" t="s">
        <v>64</v>
      </c>
      <c r="I7" s="67" t="s">
        <v>65</v>
      </c>
      <c r="J7" s="68">
        <v>0.94097222222222221</v>
      </c>
      <c r="K7" s="69">
        <v>0.9375</v>
      </c>
      <c r="L7" s="68">
        <v>0.77083333333333337</v>
      </c>
      <c r="M7" s="69">
        <v>0.7909722222222223</v>
      </c>
      <c r="N7" s="65">
        <v>21</v>
      </c>
      <c r="O7" s="41" t="s">
        <v>214</v>
      </c>
      <c r="P7" s="41">
        <v>56</v>
      </c>
      <c r="Q7" s="41">
        <v>309</v>
      </c>
      <c r="R7" s="41">
        <v>0</v>
      </c>
      <c r="S7" s="41">
        <v>0</v>
      </c>
      <c r="T7" s="41">
        <v>0</v>
      </c>
      <c r="U7" s="4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4"/>
  <sheetViews>
    <sheetView topLeftCell="D1" workbookViewId="0">
      <selection activeCell="K4" sqref="K4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44056</v>
      </c>
      <c r="B2" s="9" t="s">
        <v>21</v>
      </c>
      <c r="C2" s="9" t="s">
        <v>27</v>
      </c>
      <c r="D2" s="9" t="s">
        <v>23</v>
      </c>
      <c r="E2" s="4" t="s">
        <v>159</v>
      </c>
      <c r="F2" s="9" t="s">
        <v>24</v>
      </c>
      <c r="G2" s="5">
        <f>G3</f>
        <v>71500</v>
      </c>
      <c r="H2" s="4" t="s">
        <v>29</v>
      </c>
      <c r="I2" s="4" t="s">
        <v>30</v>
      </c>
      <c r="J2" s="12">
        <v>0.55555555555555558</v>
      </c>
      <c r="K2" s="13">
        <v>0.5444444444444444</v>
      </c>
      <c r="L2" s="12">
        <v>0.40972222222222227</v>
      </c>
      <c r="M2" s="8">
        <v>0.40763888888888888</v>
      </c>
      <c r="N2" s="9" t="s">
        <v>217</v>
      </c>
      <c r="O2" s="14" t="s">
        <v>215</v>
      </c>
      <c r="P2" s="4">
        <v>430</v>
      </c>
      <c r="Q2" s="10">
        <v>748</v>
      </c>
      <c r="R2" s="9">
        <v>0</v>
      </c>
      <c r="S2" s="9">
        <v>0</v>
      </c>
      <c r="T2" s="9">
        <v>0</v>
      </c>
      <c r="U2" s="9">
        <v>0</v>
      </c>
    </row>
    <row r="3" spans="1:21" s="2" customFormat="1" x14ac:dyDescent="0.25">
      <c r="A3" s="3">
        <f t="shared" ref="A3:A4" si="0">A2</f>
        <v>44056</v>
      </c>
      <c r="B3" s="9" t="s">
        <v>21</v>
      </c>
      <c r="C3" s="9" t="s">
        <v>31</v>
      </c>
      <c r="D3" s="9" t="s">
        <v>23</v>
      </c>
      <c r="E3" s="4" t="s">
        <v>86</v>
      </c>
      <c r="F3" s="9" t="s">
        <v>24</v>
      </c>
      <c r="G3" s="5">
        <v>71500</v>
      </c>
      <c r="H3" s="9" t="s">
        <v>32</v>
      </c>
      <c r="I3" s="9" t="s">
        <v>33</v>
      </c>
      <c r="J3" s="15">
        <v>0.70138888888888884</v>
      </c>
      <c r="K3" s="13">
        <v>0.68888888888888899</v>
      </c>
      <c r="L3" s="15">
        <v>0.49652777777777773</v>
      </c>
      <c r="M3" s="8">
        <v>0.50069444444444444</v>
      </c>
      <c r="N3" s="9" t="s">
        <v>218</v>
      </c>
      <c r="O3" s="9" t="s">
        <v>216</v>
      </c>
      <c r="P3" s="9">
        <v>33</v>
      </c>
      <c r="Q3" s="10">
        <v>775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 t="shared" si="0"/>
        <v>44056</v>
      </c>
      <c r="B4" s="9" t="s">
        <v>21</v>
      </c>
      <c r="C4" s="9" t="s">
        <v>63</v>
      </c>
      <c r="D4" s="9" t="s">
        <v>23</v>
      </c>
      <c r="E4" s="4" t="str">
        <f>E2</f>
        <v>HALPK</v>
      </c>
      <c r="F4" s="9" t="s">
        <v>24</v>
      </c>
      <c r="G4" s="5">
        <f>G3</f>
        <v>71500</v>
      </c>
      <c r="H4" s="9" t="s">
        <v>64</v>
      </c>
      <c r="I4" s="9" t="s">
        <v>65</v>
      </c>
      <c r="J4" s="15">
        <v>0.75694444444444453</v>
      </c>
      <c r="K4" s="7">
        <v>0.73749999999999993</v>
      </c>
      <c r="L4" s="15">
        <v>0.58680555555555558</v>
      </c>
      <c r="M4" s="8">
        <v>0.57847222222222217</v>
      </c>
      <c r="N4" s="9" t="s">
        <v>188</v>
      </c>
      <c r="O4" s="9" t="s">
        <v>219</v>
      </c>
      <c r="P4" s="9">
        <v>179</v>
      </c>
      <c r="Q4" s="9">
        <v>618</v>
      </c>
      <c r="R4" s="9">
        <v>0</v>
      </c>
      <c r="S4" s="9">
        <v>0</v>
      </c>
      <c r="T4" s="9">
        <v>0</v>
      </c>
      <c r="U4" s="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10"/>
  <sheetViews>
    <sheetView topLeftCell="H1" workbookViewId="0">
      <selection activeCell="K7" sqref="K7"/>
    </sheetView>
  </sheetViews>
  <sheetFormatPr defaultRowHeight="12.75" x14ac:dyDescent="0.2"/>
  <cols>
    <col min="1" max="1" width="9.140625" style="71"/>
    <col min="2" max="2" width="10.140625" style="71" bestFit="1" customWidth="1"/>
    <col min="3" max="3" width="13.5703125" style="71" bestFit="1" customWidth="1"/>
    <col min="4" max="5" width="9.140625" style="71"/>
    <col min="6" max="6" width="14.42578125" style="71" bestFit="1" customWidth="1"/>
    <col min="7" max="7" width="9.7109375" style="71" bestFit="1" customWidth="1"/>
    <col min="8" max="9" width="9.140625" style="71"/>
    <col min="10" max="10" width="11" style="71" bestFit="1" customWidth="1"/>
    <col min="11" max="11" width="10.85546875" style="71" bestFit="1" customWidth="1"/>
    <col min="12" max="12" width="9.140625" style="71"/>
    <col min="13" max="13" width="10.85546875" style="71" bestFit="1" customWidth="1"/>
    <col min="14" max="15" width="18.42578125" style="71" bestFit="1" customWidth="1"/>
    <col min="16" max="16384" width="9.140625" style="7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44057</v>
      </c>
      <c r="B2" s="37" t="s">
        <v>21</v>
      </c>
      <c r="C2" s="11" t="s">
        <v>76</v>
      </c>
      <c r="D2" s="1" t="s">
        <v>23</v>
      </c>
      <c r="E2" s="11" t="s">
        <v>183</v>
      </c>
      <c r="F2" s="11" t="s">
        <v>24</v>
      </c>
      <c r="G2" s="38">
        <v>71500</v>
      </c>
      <c r="H2" s="11" t="s">
        <v>77</v>
      </c>
      <c r="I2" s="11" t="s">
        <v>78</v>
      </c>
      <c r="J2" s="8">
        <v>0.46180555555555558</v>
      </c>
      <c r="K2" s="8">
        <v>0.45</v>
      </c>
      <c r="L2" s="8">
        <v>0.26041666666666669</v>
      </c>
      <c r="M2" s="8">
        <v>0.26041666666666669</v>
      </c>
      <c r="N2" s="11" t="s">
        <v>227</v>
      </c>
      <c r="O2" s="11" t="s">
        <v>221</v>
      </c>
      <c r="P2" s="11">
        <v>315</v>
      </c>
      <c r="Q2" s="11">
        <v>1199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3">
        <v>44057</v>
      </c>
      <c r="B3" s="37" t="s">
        <v>21</v>
      </c>
      <c r="C3" s="11" t="s">
        <v>51</v>
      </c>
      <c r="D3" s="1" t="s">
        <v>23</v>
      </c>
      <c r="E3" s="11" t="s">
        <v>86</v>
      </c>
      <c r="F3" s="11" t="s">
        <v>24</v>
      </c>
      <c r="G3" s="38">
        <v>71500</v>
      </c>
      <c r="H3" s="11" t="s">
        <v>52</v>
      </c>
      <c r="I3" s="11" t="s">
        <v>53</v>
      </c>
      <c r="J3" s="8">
        <v>0.47569444444444442</v>
      </c>
      <c r="K3" s="8">
        <v>0.4680555555555555</v>
      </c>
      <c r="L3" s="8">
        <v>0.27430555555555552</v>
      </c>
      <c r="M3" s="8">
        <v>0.27361111111111108</v>
      </c>
      <c r="N3" s="11" t="s">
        <v>228</v>
      </c>
      <c r="O3" s="11" t="s">
        <v>222</v>
      </c>
      <c r="P3" s="11">
        <v>383</v>
      </c>
      <c r="Q3" s="11">
        <v>557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v>44057</v>
      </c>
      <c r="B4" s="37" t="s">
        <v>21</v>
      </c>
      <c r="C4" s="11" t="s">
        <v>54</v>
      </c>
      <c r="D4" s="1" t="s">
        <v>23</v>
      </c>
      <c r="E4" s="11" t="s">
        <v>183</v>
      </c>
      <c r="F4" s="11" t="s">
        <v>24</v>
      </c>
      <c r="G4" s="38">
        <v>71500</v>
      </c>
      <c r="H4" s="11" t="s">
        <v>55</v>
      </c>
      <c r="I4" s="11" t="s">
        <v>56</v>
      </c>
      <c r="J4" s="8">
        <v>0.72569444444444453</v>
      </c>
      <c r="K4" s="8">
        <v>0.71805555555555556</v>
      </c>
      <c r="L4" s="8">
        <v>0.5</v>
      </c>
      <c r="M4" s="8">
        <v>0.50069444444444444</v>
      </c>
      <c r="N4" s="11" t="s">
        <v>229</v>
      </c>
      <c r="O4" s="11" t="s">
        <v>225</v>
      </c>
      <c r="P4" s="11">
        <v>743</v>
      </c>
      <c r="Q4" s="11">
        <v>1504</v>
      </c>
      <c r="R4" s="9">
        <v>0</v>
      </c>
      <c r="S4" s="9">
        <v>0</v>
      </c>
      <c r="T4" s="9">
        <v>0</v>
      </c>
      <c r="U4" s="9">
        <v>0</v>
      </c>
    </row>
    <row r="5" spans="1:21" x14ac:dyDescent="0.2">
      <c r="A5" s="3">
        <v>44057</v>
      </c>
      <c r="B5" s="37" t="s">
        <v>21</v>
      </c>
      <c r="C5" s="11" t="s">
        <v>80</v>
      </c>
      <c r="D5" s="1" t="s">
        <v>23</v>
      </c>
      <c r="E5" s="11" t="s">
        <v>220</v>
      </c>
      <c r="F5" s="11" t="s">
        <v>24</v>
      </c>
      <c r="G5" s="38">
        <v>71500</v>
      </c>
      <c r="H5" s="11" t="s">
        <v>81</v>
      </c>
      <c r="I5" s="11" t="s">
        <v>82</v>
      </c>
      <c r="J5" s="8">
        <v>0.75</v>
      </c>
      <c r="K5" s="8">
        <v>0.73402777777777783</v>
      </c>
      <c r="L5" s="8">
        <v>0.53472222222222221</v>
      </c>
      <c r="M5" s="8">
        <v>0.5395833333333333</v>
      </c>
      <c r="N5" s="11" t="s">
        <v>230</v>
      </c>
      <c r="O5" s="11" t="s">
        <v>226</v>
      </c>
      <c r="P5" s="11">
        <v>219</v>
      </c>
      <c r="Q5" s="11">
        <v>907</v>
      </c>
      <c r="R5" s="9">
        <v>0</v>
      </c>
      <c r="S5" s="9">
        <v>0</v>
      </c>
      <c r="T5" s="9">
        <v>0</v>
      </c>
      <c r="U5" s="9">
        <v>0</v>
      </c>
    </row>
    <row r="6" spans="1:21" s="11" customFormat="1" x14ac:dyDescent="0.2">
      <c r="A6" s="3">
        <v>44057</v>
      </c>
      <c r="B6" s="37" t="s">
        <v>21</v>
      </c>
      <c r="C6" s="11" t="s">
        <v>83</v>
      </c>
      <c r="D6" s="1" t="s">
        <v>23</v>
      </c>
      <c r="E6" s="11" t="s">
        <v>183</v>
      </c>
      <c r="F6" s="11" t="s">
        <v>24</v>
      </c>
      <c r="G6" s="38">
        <v>71500</v>
      </c>
      <c r="H6" s="11" t="s">
        <v>84</v>
      </c>
      <c r="I6" s="11" t="s">
        <v>85</v>
      </c>
      <c r="J6" s="8">
        <v>0.89930555555555547</v>
      </c>
      <c r="K6" s="8">
        <v>0.88611111111111107</v>
      </c>
      <c r="L6" s="8">
        <v>0.75</v>
      </c>
      <c r="M6" s="8">
        <v>0.75416666666666676</v>
      </c>
      <c r="N6" s="11" t="s">
        <v>233</v>
      </c>
      <c r="O6" s="11" t="s">
        <v>231</v>
      </c>
      <c r="P6" s="11">
        <v>264</v>
      </c>
      <c r="Q6" s="11">
        <v>472</v>
      </c>
      <c r="R6" s="9">
        <v>0</v>
      </c>
      <c r="S6" s="9">
        <v>0</v>
      </c>
      <c r="T6" s="9">
        <v>0</v>
      </c>
      <c r="U6" s="9">
        <v>0</v>
      </c>
    </row>
    <row r="7" spans="1:21" x14ac:dyDescent="0.2">
      <c r="A7" s="3">
        <v>44057</v>
      </c>
      <c r="B7" s="37" t="s">
        <v>21</v>
      </c>
      <c r="C7" s="11" t="s">
        <v>63</v>
      </c>
      <c r="D7" s="1" t="s">
        <v>23</v>
      </c>
      <c r="E7" s="11" t="s">
        <v>220</v>
      </c>
      <c r="F7" s="11" t="s">
        <v>24</v>
      </c>
      <c r="G7" s="38">
        <v>71500</v>
      </c>
      <c r="H7" s="11" t="s">
        <v>64</v>
      </c>
      <c r="I7" s="11" t="s">
        <v>65</v>
      </c>
      <c r="J7" s="8">
        <v>0.94097222222222221</v>
      </c>
      <c r="K7" s="8">
        <v>0.92708333333333337</v>
      </c>
      <c r="L7" s="8">
        <v>0.77083333333333337</v>
      </c>
      <c r="M7" s="8">
        <v>0.76736111111111116</v>
      </c>
      <c r="N7" s="11" t="s">
        <v>218</v>
      </c>
      <c r="O7" s="11" t="s">
        <v>232</v>
      </c>
      <c r="P7" s="11">
        <v>216</v>
      </c>
      <c r="Q7" s="11">
        <v>408</v>
      </c>
      <c r="R7" s="9">
        <v>0</v>
      </c>
      <c r="S7" s="9">
        <v>0</v>
      </c>
      <c r="T7" s="9">
        <v>0</v>
      </c>
      <c r="U7" s="9">
        <v>0</v>
      </c>
    </row>
    <row r="8" spans="1:21" x14ac:dyDescent="0.2">
      <c r="A8" s="3">
        <v>44057</v>
      </c>
      <c r="B8" s="4" t="s">
        <v>102</v>
      </c>
      <c r="C8" s="4" t="s">
        <v>103</v>
      </c>
      <c r="D8" s="4" t="s">
        <v>23</v>
      </c>
      <c r="E8" s="4" t="s">
        <v>137</v>
      </c>
      <c r="F8" s="4" t="s">
        <v>105</v>
      </c>
      <c r="G8" s="5">
        <v>77000</v>
      </c>
      <c r="H8" s="4" t="s">
        <v>106</v>
      </c>
      <c r="I8" s="4" t="s">
        <v>107</v>
      </c>
      <c r="J8" s="6">
        <v>0.3298611111111111</v>
      </c>
      <c r="K8" s="8">
        <v>0.30902777777777779</v>
      </c>
      <c r="L8" s="6">
        <v>0.37152777777777773</v>
      </c>
      <c r="M8" s="8">
        <v>0.38750000000000001</v>
      </c>
      <c r="N8" s="11" t="s">
        <v>223</v>
      </c>
      <c r="O8" s="11" t="s">
        <v>224</v>
      </c>
      <c r="P8" s="11">
        <v>2285</v>
      </c>
      <c r="Q8" s="11">
        <v>1850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72"/>
      <c r="B9" s="11"/>
      <c r="C9" s="11"/>
      <c r="D9" s="11"/>
      <c r="E9" s="11"/>
      <c r="F9" s="11"/>
      <c r="G9" s="38"/>
      <c r="H9" s="11"/>
      <c r="I9" s="11"/>
      <c r="J9" s="12"/>
      <c r="K9" s="8"/>
      <c r="L9" s="12"/>
      <c r="M9" s="8"/>
      <c r="N9" s="11"/>
      <c r="O9" s="11"/>
      <c r="P9" s="11"/>
      <c r="Q9" s="11"/>
      <c r="R9" s="4"/>
      <c r="S9" s="4"/>
      <c r="T9" s="4"/>
      <c r="U9" s="4"/>
    </row>
    <row r="10" spans="1:21" x14ac:dyDescent="0.2">
      <c r="A10" s="72"/>
      <c r="B10" s="11"/>
      <c r="C10" s="11"/>
      <c r="D10" s="11"/>
      <c r="E10" s="11"/>
      <c r="F10" s="11"/>
      <c r="G10" s="38"/>
      <c r="H10" s="11"/>
      <c r="I10" s="11"/>
      <c r="J10" s="12"/>
      <c r="K10" s="8"/>
      <c r="L10" s="12"/>
      <c r="M10" s="8"/>
      <c r="N10" s="11"/>
      <c r="O10" s="11"/>
      <c r="P10" s="11"/>
      <c r="Q10" s="11"/>
      <c r="R10" s="11"/>
      <c r="S10" s="11"/>
      <c r="T10" s="11"/>
      <c r="U10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U8"/>
  <sheetViews>
    <sheetView topLeftCell="D1" workbookViewId="0">
      <selection activeCell="M9" sqref="M9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44058</v>
      </c>
      <c r="B2" s="4" t="s">
        <v>21</v>
      </c>
      <c r="C2" s="4" t="s">
        <v>22</v>
      </c>
      <c r="D2" s="4" t="s">
        <v>23</v>
      </c>
      <c r="E2" s="4" t="s">
        <v>159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0.44930555555555557</v>
      </c>
      <c r="L2" s="6">
        <v>0.28125</v>
      </c>
      <c r="M2" s="8">
        <v>0.28750000000000003</v>
      </c>
      <c r="N2" s="9" t="s">
        <v>235</v>
      </c>
      <c r="O2" s="10" t="s">
        <v>237</v>
      </c>
      <c r="P2" s="11">
        <v>977</v>
      </c>
      <c r="Q2" s="10">
        <v>977</v>
      </c>
      <c r="R2" s="4">
        <v>0</v>
      </c>
      <c r="S2" s="4">
        <v>0</v>
      </c>
      <c r="T2" s="4">
        <v>0</v>
      </c>
      <c r="U2" s="4">
        <v>0</v>
      </c>
    </row>
    <row r="3" spans="1:21" s="2" customFormat="1" x14ac:dyDescent="0.25">
      <c r="A3" s="3">
        <v>44058</v>
      </c>
      <c r="B3" s="9" t="s">
        <v>21</v>
      </c>
      <c r="C3" s="9" t="s">
        <v>27</v>
      </c>
      <c r="D3" s="9" t="s">
        <v>23</v>
      </c>
      <c r="E3" s="4" t="s">
        <v>234</v>
      </c>
      <c r="F3" s="9" t="s">
        <v>24</v>
      </c>
      <c r="G3" s="5">
        <v>71500</v>
      </c>
      <c r="H3" s="4" t="s">
        <v>29</v>
      </c>
      <c r="I3" s="4" t="s">
        <v>30</v>
      </c>
      <c r="J3" s="12">
        <v>0.54166666666666663</v>
      </c>
      <c r="K3" s="13">
        <v>0.94236111111111109</v>
      </c>
      <c r="L3" s="12">
        <v>0.39583333333333331</v>
      </c>
      <c r="M3" s="8">
        <v>0.39999999999999997</v>
      </c>
      <c r="N3" s="9" t="s">
        <v>238</v>
      </c>
      <c r="O3" s="14" t="s">
        <v>236</v>
      </c>
      <c r="P3" s="4">
        <v>1150</v>
      </c>
      <c r="Q3" s="10">
        <v>822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v>44058</v>
      </c>
      <c r="B4" s="9" t="s">
        <v>21</v>
      </c>
      <c r="C4" s="9" t="s">
        <v>31</v>
      </c>
      <c r="D4" s="9" t="s">
        <v>23</v>
      </c>
      <c r="E4" s="4" t="s">
        <v>159</v>
      </c>
      <c r="F4" s="9" t="s">
        <v>24</v>
      </c>
      <c r="G4" s="5">
        <v>71500</v>
      </c>
      <c r="H4" s="9" t="s">
        <v>32</v>
      </c>
      <c r="I4" s="9" t="s">
        <v>33</v>
      </c>
      <c r="J4" s="15">
        <v>0.69444444444444453</v>
      </c>
      <c r="K4" s="13">
        <v>0.69513888888888886</v>
      </c>
      <c r="L4" s="15">
        <v>0.49652777777777773</v>
      </c>
      <c r="M4" s="8"/>
      <c r="N4" s="9" t="s">
        <v>239</v>
      </c>
      <c r="O4" s="9" t="s">
        <v>237</v>
      </c>
      <c r="P4" s="9">
        <v>407</v>
      </c>
      <c r="Q4" s="10">
        <v>1289</v>
      </c>
      <c r="R4" s="9">
        <v>0</v>
      </c>
      <c r="S4" s="9">
        <v>0</v>
      </c>
      <c r="T4" s="9">
        <v>0</v>
      </c>
      <c r="U4" s="9">
        <v>0</v>
      </c>
    </row>
    <row r="5" spans="1:21" s="2" customFormat="1" x14ac:dyDescent="0.25">
      <c r="A5" s="3">
        <v>44058</v>
      </c>
      <c r="B5" s="9" t="s">
        <v>21</v>
      </c>
      <c r="C5" s="9" t="s">
        <v>34</v>
      </c>
      <c r="D5" s="9" t="s">
        <v>23</v>
      </c>
      <c r="E5" s="4" t="str">
        <f>E4</f>
        <v>HALPK</v>
      </c>
      <c r="F5" s="9" t="s">
        <v>24</v>
      </c>
      <c r="G5" s="5">
        <v>71500</v>
      </c>
      <c r="H5" s="9" t="s">
        <v>35</v>
      </c>
      <c r="I5" s="9" t="s">
        <v>36</v>
      </c>
      <c r="J5" s="15">
        <v>0.73958333333333337</v>
      </c>
      <c r="K5" s="7">
        <v>0.8833333333333333</v>
      </c>
      <c r="L5" s="15">
        <v>0.57291666666666663</v>
      </c>
      <c r="M5" s="8">
        <v>0.73611111111111116</v>
      </c>
      <c r="N5" s="9" t="s">
        <v>240</v>
      </c>
      <c r="O5" s="9" t="s">
        <v>242</v>
      </c>
      <c r="P5" s="9">
        <v>657</v>
      </c>
      <c r="Q5" s="9">
        <v>802</v>
      </c>
      <c r="R5" s="9">
        <v>0</v>
      </c>
      <c r="S5" s="9">
        <v>0</v>
      </c>
      <c r="T5" s="9">
        <v>0</v>
      </c>
      <c r="U5" s="9">
        <v>0</v>
      </c>
    </row>
    <row r="6" spans="1:21" s="2" customFormat="1" x14ac:dyDescent="0.25">
      <c r="A6" s="3">
        <v>44058</v>
      </c>
      <c r="B6" s="11" t="s">
        <v>21</v>
      </c>
      <c r="C6" s="11" t="s">
        <v>108</v>
      </c>
      <c r="D6" s="11" t="s">
        <v>23</v>
      </c>
      <c r="E6" s="4" t="s">
        <v>79</v>
      </c>
      <c r="F6" s="11" t="s">
        <v>24</v>
      </c>
      <c r="G6" s="5">
        <v>70000</v>
      </c>
      <c r="H6" s="11" t="s">
        <v>109</v>
      </c>
      <c r="I6" s="11" t="s">
        <v>110</v>
      </c>
      <c r="J6" s="12">
        <v>0.95486111111111116</v>
      </c>
      <c r="K6" s="8">
        <v>0.94652777777777775</v>
      </c>
      <c r="L6" s="12">
        <v>0.77777777777777779</v>
      </c>
      <c r="M6" s="8">
        <v>0.78749999999999998</v>
      </c>
      <c r="N6" s="11" t="s">
        <v>241</v>
      </c>
      <c r="O6" s="11" t="s">
        <v>243</v>
      </c>
      <c r="P6" s="11">
        <v>793</v>
      </c>
      <c r="Q6" s="11">
        <v>1250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3">
        <v>44058</v>
      </c>
      <c r="B7" s="9" t="s">
        <v>21</v>
      </c>
      <c r="C7" s="9" t="s">
        <v>244</v>
      </c>
      <c r="D7" s="9" t="s">
        <v>23</v>
      </c>
      <c r="E7" s="4" t="str">
        <f>E6</f>
        <v>HA-LWL</v>
      </c>
      <c r="F7" s="9" t="s">
        <v>247</v>
      </c>
      <c r="G7" s="5">
        <f>G6</f>
        <v>70000</v>
      </c>
      <c r="H7" s="9" t="s">
        <v>248</v>
      </c>
      <c r="I7" s="9" t="s">
        <v>249</v>
      </c>
      <c r="J7" s="15">
        <v>0.75694444444444453</v>
      </c>
      <c r="K7" s="7">
        <v>0.75277777777777777</v>
      </c>
      <c r="L7" s="15">
        <v>0.97916666666666663</v>
      </c>
      <c r="M7" s="8">
        <v>0.98125000000000007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 x14ac:dyDescent="0.25">
      <c r="A8" s="3">
        <v>44058</v>
      </c>
      <c r="B8" s="11" t="s">
        <v>21</v>
      </c>
      <c r="C8" s="11" t="s">
        <v>246</v>
      </c>
      <c r="D8" s="11" t="s">
        <v>23</v>
      </c>
      <c r="E8" s="4" t="s">
        <v>245</v>
      </c>
      <c r="F8" s="11" t="s">
        <v>247</v>
      </c>
      <c r="G8" s="5">
        <f>G5</f>
        <v>71500</v>
      </c>
      <c r="H8" s="11" t="s">
        <v>250</v>
      </c>
      <c r="I8" s="11" t="s">
        <v>251</v>
      </c>
      <c r="J8" s="12" t="s">
        <v>250</v>
      </c>
      <c r="K8" s="8" t="s">
        <v>250</v>
      </c>
      <c r="L8" s="12">
        <v>0.95833333333333337</v>
      </c>
      <c r="M8" s="8">
        <v>0.97291666666666676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V9"/>
  <sheetViews>
    <sheetView workbookViewId="0">
      <selection activeCell="N13" sqref="N13"/>
    </sheetView>
  </sheetViews>
  <sheetFormatPr defaultRowHeight="12.75" x14ac:dyDescent="0.2"/>
  <cols>
    <col min="1" max="1" width="9.140625" style="24"/>
    <col min="2" max="2" width="13.85546875" style="24" bestFit="1" customWidth="1"/>
    <col min="3" max="3" width="19.140625" style="24" bestFit="1" customWidth="1"/>
    <col min="4" max="4" width="9.140625" style="24"/>
    <col min="5" max="5" width="14.7109375" style="24" bestFit="1" customWidth="1"/>
    <col min="6" max="6" width="12.140625" style="24" bestFit="1" customWidth="1"/>
    <col min="7" max="7" width="10.5703125" style="24" bestFit="1" customWidth="1"/>
    <col min="8" max="9" width="9.140625" style="24"/>
    <col min="10" max="10" width="11" style="24" bestFit="1" customWidth="1"/>
    <col min="11" max="11" width="10.85546875" style="24" bestFit="1" customWidth="1"/>
    <col min="12" max="12" width="11" style="24" bestFit="1" customWidth="1"/>
    <col min="13" max="13" width="9.140625" style="24"/>
    <col min="14" max="15" width="18.42578125" style="24" bestFit="1" customWidth="1"/>
    <col min="16" max="16384" width="9.140625" style="24"/>
  </cols>
  <sheetData>
    <row r="1" spans="1:22" s="17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">
      <c r="A2" s="3">
        <v>44059</v>
      </c>
      <c r="B2" s="18" t="s">
        <v>21</v>
      </c>
      <c r="C2" s="18" t="s">
        <v>51</v>
      </c>
      <c r="D2" s="18" t="s">
        <v>23</v>
      </c>
      <c r="E2" s="18" t="s">
        <v>252</v>
      </c>
      <c r="F2" s="18" t="s">
        <v>24</v>
      </c>
      <c r="G2" s="19">
        <v>715000</v>
      </c>
      <c r="H2" s="18" t="s">
        <v>52</v>
      </c>
      <c r="I2" s="18" t="s">
        <v>53</v>
      </c>
      <c r="J2" s="20">
        <v>0.4826388888888889</v>
      </c>
      <c r="K2" s="21">
        <v>0.47638888888888892</v>
      </c>
      <c r="L2" s="20">
        <v>0.27430555555555552</v>
      </c>
      <c r="M2" s="21">
        <v>0.27499999999999997</v>
      </c>
      <c r="N2" s="21" t="s">
        <v>255</v>
      </c>
      <c r="O2" s="21" t="s">
        <v>256</v>
      </c>
      <c r="P2" s="22">
        <v>693</v>
      </c>
      <c r="Q2" s="22">
        <v>760</v>
      </c>
      <c r="R2" s="18">
        <v>0</v>
      </c>
      <c r="S2" s="18">
        <v>0</v>
      </c>
      <c r="T2" s="18">
        <v>0</v>
      </c>
      <c r="U2" s="18">
        <v>0</v>
      </c>
      <c r="V2" s="23"/>
    </row>
    <row r="3" spans="1:22" x14ac:dyDescent="0.2">
      <c r="A3" s="3">
        <f>A2</f>
        <v>44059</v>
      </c>
      <c r="B3" s="18" t="s">
        <v>21</v>
      </c>
      <c r="C3" s="9" t="s">
        <v>54</v>
      </c>
      <c r="D3" s="18" t="s">
        <v>23</v>
      </c>
      <c r="E3" s="18" t="s">
        <v>253</v>
      </c>
      <c r="F3" s="18" t="s">
        <v>24</v>
      </c>
      <c r="G3" s="19">
        <v>71500</v>
      </c>
      <c r="H3" s="9" t="s">
        <v>55</v>
      </c>
      <c r="I3" s="9" t="s">
        <v>56</v>
      </c>
      <c r="J3" s="25">
        <v>0.73263888888888884</v>
      </c>
      <c r="K3" s="26">
        <v>0.73263888888888884</v>
      </c>
      <c r="L3" s="25">
        <v>0.50694444444444442</v>
      </c>
      <c r="M3" s="26">
        <v>0.51597222222222217</v>
      </c>
      <c r="N3" s="26" t="s">
        <v>262</v>
      </c>
      <c r="O3" s="22" t="s">
        <v>257</v>
      </c>
      <c r="P3" s="18">
        <v>487</v>
      </c>
      <c r="Q3" s="22">
        <v>1697</v>
      </c>
      <c r="R3" s="9">
        <v>0</v>
      </c>
      <c r="S3" s="9">
        <v>0</v>
      </c>
      <c r="T3" s="9">
        <v>0</v>
      </c>
      <c r="U3" s="9">
        <v>0</v>
      </c>
      <c r="V3" s="23"/>
    </row>
    <row r="4" spans="1:22" x14ac:dyDescent="0.2">
      <c r="A4" s="3">
        <f t="shared" ref="A4:A6" si="0">A3</f>
        <v>44059</v>
      </c>
      <c r="B4" s="18" t="s">
        <v>21</v>
      </c>
      <c r="C4" s="27" t="s">
        <v>57</v>
      </c>
      <c r="D4" s="18" t="s">
        <v>23</v>
      </c>
      <c r="E4" s="26" t="s">
        <v>234</v>
      </c>
      <c r="F4" s="18" t="s">
        <v>24</v>
      </c>
      <c r="G4" s="19">
        <f>G3</f>
        <v>71500</v>
      </c>
      <c r="H4" s="18" t="s">
        <v>58</v>
      </c>
      <c r="I4" s="27" t="s">
        <v>59</v>
      </c>
      <c r="J4" s="28">
        <v>0.75</v>
      </c>
      <c r="K4" s="13">
        <v>0.77430555555555547</v>
      </c>
      <c r="L4" s="28">
        <v>0.51388888888888895</v>
      </c>
      <c r="M4" s="29">
        <v>0.54791666666666672</v>
      </c>
      <c r="N4" s="9" t="s">
        <v>263</v>
      </c>
      <c r="O4" s="30" t="s">
        <v>209</v>
      </c>
      <c r="P4" s="30">
        <v>1040</v>
      </c>
      <c r="Q4" s="30">
        <v>2077</v>
      </c>
      <c r="R4" s="18">
        <v>0</v>
      </c>
      <c r="S4" s="18">
        <v>0</v>
      </c>
      <c r="T4" s="18">
        <v>0</v>
      </c>
      <c r="U4" s="18">
        <v>0</v>
      </c>
      <c r="V4" s="23"/>
    </row>
    <row r="5" spans="1:22" x14ac:dyDescent="0.2">
      <c r="A5" s="3">
        <f t="shared" si="0"/>
        <v>44059</v>
      </c>
      <c r="B5" s="18" t="s">
        <v>21</v>
      </c>
      <c r="C5" s="26" t="s">
        <v>60</v>
      </c>
      <c r="D5" s="18" t="s">
        <v>23</v>
      </c>
      <c r="E5" s="26" t="s">
        <v>253</v>
      </c>
      <c r="F5" s="18" t="s">
        <v>24</v>
      </c>
      <c r="G5" s="19">
        <v>71500</v>
      </c>
      <c r="H5" s="26" t="s">
        <v>61</v>
      </c>
      <c r="I5" s="26" t="s">
        <v>62</v>
      </c>
      <c r="J5" s="25">
        <v>0.94444444444444453</v>
      </c>
      <c r="K5" s="26">
        <v>0.92361111111111116</v>
      </c>
      <c r="L5" s="25">
        <v>0.75347222222222221</v>
      </c>
      <c r="M5" s="26">
        <v>0.76388888888888884</v>
      </c>
      <c r="N5" s="18" t="s">
        <v>243</v>
      </c>
      <c r="O5" s="18" t="s">
        <v>243</v>
      </c>
      <c r="P5" s="18">
        <v>712</v>
      </c>
      <c r="Q5" s="18">
        <v>1376</v>
      </c>
      <c r="R5" s="18">
        <v>0</v>
      </c>
      <c r="S5" s="18">
        <v>0</v>
      </c>
      <c r="T5" s="9">
        <v>0</v>
      </c>
      <c r="U5" s="9">
        <v>0</v>
      </c>
      <c r="V5" s="23"/>
    </row>
    <row r="6" spans="1:22" x14ac:dyDescent="0.2">
      <c r="A6" s="3">
        <f t="shared" si="0"/>
        <v>44059</v>
      </c>
      <c r="B6" s="18" t="s">
        <v>21</v>
      </c>
      <c r="C6" s="23" t="s">
        <v>63</v>
      </c>
      <c r="D6" s="18" t="s">
        <v>23</v>
      </c>
      <c r="E6" s="23" t="s">
        <v>254</v>
      </c>
      <c r="F6" s="18" t="s">
        <v>24</v>
      </c>
      <c r="G6" s="19">
        <v>71500</v>
      </c>
      <c r="H6" s="23" t="s">
        <v>64</v>
      </c>
      <c r="I6" s="23" t="s">
        <v>65</v>
      </c>
      <c r="J6" s="31">
        <v>0.94097222222222221</v>
      </c>
      <c r="K6" s="32">
        <v>0.9194444444444444</v>
      </c>
      <c r="L6" s="31">
        <v>0.77083333333333337</v>
      </c>
      <c r="M6" s="32">
        <v>0.79305555555555562</v>
      </c>
      <c r="N6" s="23" t="s">
        <v>261</v>
      </c>
      <c r="O6" s="23" t="s">
        <v>261</v>
      </c>
      <c r="P6" s="23">
        <v>267</v>
      </c>
      <c r="Q6" s="23">
        <v>547</v>
      </c>
      <c r="R6" s="23">
        <v>0</v>
      </c>
      <c r="S6" s="23">
        <v>0</v>
      </c>
      <c r="T6" s="23">
        <v>0</v>
      </c>
      <c r="U6" s="23">
        <v>0</v>
      </c>
      <c r="V6" s="26"/>
    </row>
    <row r="7" spans="1:22" x14ac:dyDescent="0.2">
      <c r="A7" s="36">
        <v>44059</v>
      </c>
      <c r="B7" s="37" t="s">
        <v>21</v>
      </c>
      <c r="C7" s="47" t="s">
        <v>258</v>
      </c>
      <c r="D7" s="37" t="s">
        <v>23</v>
      </c>
      <c r="E7" s="18" t="s">
        <v>234</v>
      </c>
      <c r="F7" s="47" t="s">
        <v>259</v>
      </c>
      <c r="G7" s="38">
        <v>71500</v>
      </c>
      <c r="H7" s="47" t="s">
        <v>260</v>
      </c>
      <c r="I7" s="47"/>
      <c r="J7" s="48">
        <v>0.52083333333333337</v>
      </c>
      <c r="K7" s="48">
        <v>0.50694444444444442</v>
      </c>
      <c r="L7" s="48"/>
      <c r="M7" s="48"/>
      <c r="N7" s="11">
        <v>0</v>
      </c>
      <c r="O7" s="11">
        <v>0</v>
      </c>
      <c r="P7" s="11">
        <v>0</v>
      </c>
      <c r="Q7" s="11">
        <v>0</v>
      </c>
      <c r="R7" s="47">
        <v>0</v>
      </c>
      <c r="S7" s="47">
        <v>0</v>
      </c>
      <c r="T7" s="47">
        <v>0</v>
      </c>
      <c r="U7" s="47">
        <v>0</v>
      </c>
      <c r="V7" s="23"/>
    </row>
    <row r="8" spans="1:22" customFormat="1" ht="15" x14ac:dyDescent="0.25">
      <c r="A8" s="3"/>
      <c r="B8" s="9"/>
      <c r="C8" s="9"/>
      <c r="D8" s="9"/>
      <c r="E8" s="4"/>
      <c r="F8" s="9"/>
      <c r="G8" s="5"/>
      <c r="H8" s="4"/>
      <c r="I8" s="4"/>
      <c r="J8" s="12"/>
      <c r="K8" s="8"/>
      <c r="L8" s="12"/>
      <c r="M8" s="8"/>
      <c r="N8" s="11"/>
      <c r="O8" s="11"/>
      <c r="P8" s="73"/>
      <c r="Q8" s="73"/>
      <c r="R8" s="73"/>
      <c r="S8" s="73"/>
      <c r="T8" s="73"/>
      <c r="U8" s="73"/>
    </row>
    <row r="9" spans="1:22" ht="15" x14ac:dyDescent="0.25">
      <c r="A9" s="3"/>
      <c r="B9" s="9"/>
      <c r="C9" s="9"/>
      <c r="D9" s="9"/>
      <c r="E9" s="4"/>
      <c r="F9" s="9"/>
      <c r="G9" s="5"/>
      <c r="H9" s="4"/>
      <c r="I9" s="4"/>
      <c r="J9" s="12"/>
      <c r="K9" s="8"/>
      <c r="L9" s="12"/>
      <c r="M9" s="8"/>
      <c r="N9" s="11"/>
      <c r="O9" s="11"/>
      <c r="P9" s="73"/>
      <c r="Q9" s="73"/>
      <c r="R9" s="73"/>
      <c r="S9" s="73"/>
      <c r="T9" s="73"/>
      <c r="U9" s="73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7"/>
  <sheetViews>
    <sheetView workbookViewId="0">
      <selection activeCell="M33" sqref="M33"/>
    </sheetView>
  </sheetViews>
  <sheetFormatPr defaultRowHeight="15" x14ac:dyDescent="0.25"/>
  <cols>
    <col min="1" max="1" width="7.85546875" style="46" bestFit="1" customWidth="1"/>
    <col min="2" max="2" width="9.140625" style="46" bestFit="1" customWidth="1"/>
    <col min="3" max="3" width="13.5703125" style="46" bestFit="1" customWidth="1"/>
    <col min="4" max="4" width="5.7109375" style="46" bestFit="1" customWidth="1"/>
    <col min="5" max="5" width="14.5703125" style="46" bestFit="1" customWidth="1"/>
    <col min="6" max="6" width="14.42578125" style="46" bestFit="1" customWidth="1"/>
    <col min="7" max="9" width="9.7109375" style="46" bestFit="1" customWidth="1"/>
    <col min="10" max="10" width="11" style="46" bestFit="1" customWidth="1"/>
    <col min="11" max="11" width="10.85546875" style="46" bestFit="1" customWidth="1"/>
    <col min="12" max="12" width="11" style="46" bestFit="1" customWidth="1"/>
    <col min="13" max="13" width="10.85546875" style="46" bestFit="1" customWidth="1"/>
    <col min="14" max="15" width="18.42578125" style="46" bestFit="1" customWidth="1"/>
    <col min="16" max="17" width="10.28515625" style="46" bestFit="1" customWidth="1"/>
    <col min="18" max="16384" width="9.140625" style="46"/>
  </cols>
  <sheetData>
    <row r="1" spans="1:2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40" customFormat="1" ht="12.75" x14ac:dyDescent="0.2">
      <c r="A2" s="36">
        <v>44060</v>
      </c>
      <c r="B2" s="37" t="s">
        <v>21</v>
      </c>
      <c r="C2" s="11" t="s">
        <v>76</v>
      </c>
      <c r="D2" s="1" t="s">
        <v>23</v>
      </c>
      <c r="E2" s="11" t="s">
        <v>253</v>
      </c>
      <c r="F2" s="11" t="s">
        <v>24</v>
      </c>
      <c r="G2" s="38">
        <v>71500</v>
      </c>
      <c r="H2" s="11" t="s">
        <v>77</v>
      </c>
      <c r="I2" s="11" t="s">
        <v>78</v>
      </c>
      <c r="J2" s="12">
        <v>0.46180555555555558</v>
      </c>
      <c r="K2" s="8">
        <v>0.4458333333333333</v>
      </c>
      <c r="L2" s="12">
        <v>0.26041666666666669</v>
      </c>
      <c r="M2" s="8">
        <v>0.26180555555555557</v>
      </c>
      <c r="N2" s="8" t="s">
        <v>266</v>
      </c>
      <c r="O2" s="39" t="s">
        <v>265</v>
      </c>
      <c r="P2" s="39">
        <v>331</v>
      </c>
      <c r="Q2" s="39">
        <v>1151</v>
      </c>
      <c r="R2" s="37">
        <v>0</v>
      </c>
      <c r="S2" s="37">
        <v>0</v>
      </c>
      <c r="T2" s="37">
        <v>0</v>
      </c>
      <c r="U2" s="37">
        <v>0</v>
      </c>
    </row>
    <row r="3" spans="1:21" s="40" customFormat="1" ht="12.75" x14ac:dyDescent="0.2">
      <c r="A3" s="36">
        <f>A2</f>
        <v>44060</v>
      </c>
      <c r="B3" s="37" t="s">
        <v>21</v>
      </c>
      <c r="C3" s="11" t="s">
        <v>54</v>
      </c>
      <c r="D3" s="1" t="s">
        <v>23</v>
      </c>
      <c r="E3" s="11" t="s">
        <v>264</v>
      </c>
      <c r="F3" s="11" t="s">
        <v>24</v>
      </c>
      <c r="G3" s="38">
        <v>71500</v>
      </c>
      <c r="H3" s="11" t="s">
        <v>55</v>
      </c>
      <c r="I3" s="11" t="s">
        <v>56</v>
      </c>
      <c r="J3" s="12">
        <v>0.72569444444444453</v>
      </c>
      <c r="K3" s="8">
        <v>0.72986111111111107</v>
      </c>
      <c r="L3" s="12">
        <v>0.5</v>
      </c>
      <c r="M3" s="8">
        <v>0.50208333333333333</v>
      </c>
      <c r="N3" s="41" t="s">
        <v>269</v>
      </c>
      <c r="O3" s="39" t="s">
        <v>267</v>
      </c>
      <c r="P3" s="39">
        <v>177</v>
      </c>
      <c r="Q3" s="39">
        <v>1150</v>
      </c>
      <c r="R3" s="37">
        <v>0</v>
      </c>
      <c r="S3" s="37">
        <v>0</v>
      </c>
      <c r="T3" s="37">
        <v>0</v>
      </c>
      <c r="U3" s="37">
        <v>0</v>
      </c>
    </row>
    <row r="4" spans="1:21" customFormat="1" x14ac:dyDescent="0.25">
      <c r="A4" s="36">
        <f t="shared" ref="A4:A6" si="0">A3</f>
        <v>44060</v>
      </c>
      <c r="B4" s="37" t="s">
        <v>21</v>
      </c>
      <c r="C4" s="11" t="s">
        <v>80</v>
      </c>
      <c r="D4" s="1" t="s">
        <v>23</v>
      </c>
      <c r="E4" s="18" t="str">
        <f>E2</f>
        <v>HALWJ</v>
      </c>
      <c r="F4" s="11" t="s">
        <v>24</v>
      </c>
      <c r="G4" s="38">
        <v>71500</v>
      </c>
      <c r="H4" s="11" t="s">
        <v>81</v>
      </c>
      <c r="I4" s="11" t="s">
        <v>82</v>
      </c>
      <c r="J4" s="12">
        <v>0.75</v>
      </c>
      <c r="K4" s="8">
        <v>0.73402777777777783</v>
      </c>
      <c r="L4" s="12">
        <v>0.53472222222222221</v>
      </c>
      <c r="M4" s="8">
        <v>0.53402777777777777</v>
      </c>
      <c r="N4" s="41" t="s">
        <v>189</v>
      </c>
      <c r="O4" s="39" t="s">
        <v>268</v>
      </c>
      <c r="P4" s="37">
        <v>136</v>
      </c>
      <c r="Q4" s="39">
        <v>761</v>
      </c>
      <c r="R4" s="37">
        <v>0</v>
      </c>
      <c r="S4" s="37">
        <v>0</v>
      </c>
      <c r="T4" s="37">
        <v>0</v>
      </c>
      <c r="U4" s="37">
        <v>0</v>
      </c>
    </row>
    <row r="5" spans="1:21" customFormat="1" x14ac:dyDescent="0.25">
      <c r="A5" s="36">
        <f t="shared" si="0"/>
        <v>44060</v>
      </c>
      <c r="B5" s="37" t="s">
        <v>21</v>
      </c>
      <c r="C5" s="37" t="s">
        <v>83</v>
      </c>
      <c r="D5" s="37" t="s">
        <v>23</v>
      </c>
      <c r="E5" s="11" t="str">
        <f>E3</f>
        <v>HALPR</v>
      </c>
      <c r="F5" s="37" t="s">
        <v>24</v>
      </c>
      <c r="G5" s="38">
        <v>71500</v>
      </c>
      <c r="H5" s="37" t="s">
        <v>84</v>
      </c>
      <c r="I5" s="37" t="s">
        <v>85</v>
      </c>
      <c r="J5" s="42">
        <v>0.89930555555555547</v>
      </c>
      <c r="K5" s="43">
        <v>0.88958333333333339</v>
      </c>
      <c r="L5" s="42">
        <v>0.75</v>
      </c>
      <c r="M5" s="44">
        <v>0.76041666666666663</v>
      </c>
      <c r="N5" s="41" t="s">
        <v>270</v>
      </c>
      <c r="O5" s="39" t="s">
        <v>231</v>
      </c>
      <c r="P5" s="37">
        <v>282</v>
      </c>
      <c r="Q5" s="39">
        <v>381</v>
      </c>
      <c r="R5" s="37">
        <v>0</v>
      </c>
      <c r="S5" s="37">
        <v>0</v>
      </c>
      <c r="T5" s="37">
        <v>0</v>
      </c>
      <c r="U5" s="37">
        <v>0</v>
      </c>
    </row>
    <row r="6" spans="1:21" customFormat="1" x14ac:dyDescent="0.25">
      <c r="A6" s="36">
        <f t="shared" si="0"/>
        <v>44060</v>
      </c>
      <c r="B6" s="37" t="s">
        <v>21</v>
      </c>
      <c r="C6" s="41" t="s">
        <v>63</v>
      </c>
      <c r="D6" s="37" t="s">
        <v>23</v>
      </c>
      <c r="E6" s="18" t="str">
        <f>E4</f>
        <v>HALWJ</v>
      </c>
      <c r="F6" s="37" t="s">
        <v>24</v>
      </c>
      <c r="G6" s="38">
        <v>71500</v>
      </c>
      <c r="H6" s="41" t="s">
        <v>64</v>
      </c>
      <c r="I6" s="41" t="s">
        <v>65</v>
      </c>
      <c r="J6" s="45">
        <v>0.94097222222222221</v>
      </c>
      <c r="K6" s="43">
        <v>0.92152777777777783</v>
      </c>
      <c r="L6" s="45">
        <v>0.77083333333333337</v>
      </c>
      <c r="M6" s="43">
        <v>0.76527777777777783</v>
      </c>
      <c r="N6" s="41" t="s">
        <v>271</v>
      </c>
      <c r="O6" s="41" t="s">
        <v>272</v>
      </c>
      <c r="P6" s="41">
        <v>65</v>
      </c>
      <c r="Q6" s="39">
        <v>615</v>
      </c>
      <c r="R6" s="41">
        <v>0</v>
      </c>
      <c r="S6" s="41">
        <v>0</v>
      </c>
      <c r="T6" s="41">
        <v>0</v>
      </c>
      <c r="U6" s="41">
        <v>0</v>
      </c>
    </row>
    <row r="7" spans="1:21" s="47" customFormat="1" ht="12.75" x14ac:dyDescent="0.2">
      <c r="A7" s="36">
        <v>44060</v>
      </c>
      <c r="B7" s="37" t="s">
        <v>273</v>
      </c>
      <c r="C7" s="47" t="s">
        <v>274</v>
      </c>
      <c r="D7" s="37" t="s">
        <v>275</v>
      </c>
      <c r="E7" s="18" t="s">
        <v>276</v>
      </c>
      <c r="F7" s="47" t="s">
        <v>142</v>
      </c>
      <c r="G7" s="38">
        <v>9700</v>
      </c>
      <c r="J7" s="48">
        <v>9.0277777777777776E-2</v>
      </c>
      <c r="K7" s="48">
        <v>6.6666666666666666E-2</v>
      </c>
      <c r="L7" s="48"/>
      <c r="M7" s="48"/>
      <c r="N7" s="11">
        <v>1</v>
      </c>
      <c r="O7" s="11"/>
      <c r="P7" s="11"/>
      <c r="Q7" s="11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K6" sqref="K6"/>
    </sheetView>
  </sheetViews>
  <sheetFormatPr defaultRowHeight="15" x14ac:dyDescent="0.25"/>
  <cols>
    <col min="1" max="2" width="9.140625" style="49"/>
    <col min="3" max="3" width="13.5703125" style="49" bestFit="1" customWidth="1"/>
    <col min="4" max="5" width="9.140625" style="49"/>
    <col min="6" max="6" width="18.5703125" style="49" bestFit="1" customWidth="1"/>
    <col min="7" max="7" width="9.7109375" style="49" bestFit="1" customWidth="1"/>
    <col min="8" max="12" width="9.140625" style="49"/>
    <col min="13" max="13" width="10.85546875" style="49" bestFit="1" customWidth="1"/>
    <col min="14" max="15" width="18.42578125" style="49" bestFit="1" customWidth="1"/>
    <col min="16" max="16384" width="9.140625" style="49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4" customFormat="1" ht="12.75" x14ac:dyDescent="0.2">
      <c r="A2" s="3">
        <v>44061</v>
      </c>
      <c r="B2" s="50" t="s">
        <v>21</v>
      </c>
      <c r="C2" s="50" t="s">
        <v>22</v>
      </c>
      <c r="D2" s="50" t="s">
        <v>23</v>
      </c>
      <c r="E2" s="50" t="s">
        <v>264</v>
      </c>
      <c r="F2" s="50" t="s">
        <v>24</v>
      </c>
      <c r="G2" s="51">
        <v>71500</v>
      </c>
      <c r="H2" s="50" t="s">
        <v>25</v>
      </c>
      <c r="I2" s="50" t="s">
        <v>26</v>
      </c>
      <c r="J2" s="52">
        <v>0.4548611111111111</v>
      </c>
      <c r="K2" s="35">
        <v>0.44027777777777777</v>
      </c>
      <c r="L2" s="52">
        <v>0.28125</v>
      </c>
      <c r="M2" s="35">
        <v>0.27986111111111112</v>
      </c>
      <c r="N2" s="24" t="s">
        <v>277</v>
      </c>
      <c r="O2" s="24" t="s">
        <v>279</v>
      </c>
      <c r="P2" s="24">
        <v>414</v>
      </c>
      <c r="Q2" s="24">
        <v>682</v>
      </c>
      <c r="R2" s="50">
        <v>0</v>
      </c>
      <c r="S2" s="50">
        <v>0</v>
      </c>
      <c r="T2" s="50">
        <v>0</v>
      </c>
      <c r="U2" s="50">
        <v>0</v>
      </c>
    </row>
    <row r="3" spans="1:21" s="24" customFormat="1" ht="12.75" x14ac:dyDescent="0.2">
      <c r="A3" s="3">
        <f>A2</f>
        <v>44061</v>
      </c>
      <c r="B3" s="50" t="s">
        <v>102</v>
      </c>
      <c r="C3" s="50" t="s">
        <v>103</v>
      </c>
      <c r="D3" s="50" t="s">
        <v>23</v>
      </c>
      <c r="E3" s="50" t="s">
        <v>104</v>
      </c>
      <c r="F3" s="50" t="s">
        <v>105</v>
      </c>
      <c r="G3" s="51">
        <v>77000</v>
      </c>
      <c r="H3" s="50" t="s">
        <v>106</v>
      </c>
      <c r="I3" s="50" t="s">
        <v>107</v>
      </c>
      <c r="J3" s="52">
        <v>0.3298611111111111</v>
      </c>
      <c r="K3" s="35">
        <v>0.31111111111111112</v>
      </c>
      <c r="L3" s="52">
        <v>0.37152777777777773</v>
      </c>
      <c r="M3" s="35">
        <v>0.40277777777777773</v>
      </c>
      <c r="N3" s="24" t="s">
        <v>278</v>
      </c>
      <c r="O3" s="24" t="s">
        <v>280</v>
      </c>
      <c r="P3" s="24">
        <v>1993</v>
      </c>
      <c r="Q3" s="24">
        <v>2005</v>
      </c>
      <c r="R3" s="50">
        <v>0</v>
      </c>
      <c r="S3" s="50">
        <v>0</v>
      </c>
      <c r="T3" s="50">
        <v>0</v>
      </c>
      <c r="U3" s="50">
        <v>0</v>
      </c>
    </row>
    <row r="4" spans="1:21" s="24" customFormat="1" ht="12.75" x14ac:dyDescent="0.2">
      <c r="A4" s="3">
        <f>A3</f>
        <v>44061</v>
      </c>
      <c r="B4" s="9" t="s">
        <v>21</v>
      </c>
      <c r="C4" s="9" t="s">
        <v>31</v>
      </c>
      <c r="D4" s="9" t="s">
        <v>23</v>
      </c>
      <c r="E4" s="50" t="s">
        <v>253</v>
      </c>
      <c r="F4" s="9" t="s">
        <v>24</v>
      </c>
      <c r="G4" s="51">
        <v>71500</v>
      </c>
      <c r="H4" s="50" t="s">
        <v>111</v>
      </c>
      <c r="I4" s="50" t="s">
        <v>33</v>
      </c>
      <c r="J4" s="34">
        <v>0.70138888888888884</v>
      </c>
      <c r="K4" s="35">
        <v>0.70277777777777783</v>
      </c>
      <c r="L4" s="34">
        <v>0.49652777777777773</v>
      </c>
      <c r="M4" s="35">
        <v>0.50208333333333333</v>
      </c>
      <c r="N4" s="24" t="s">
        <v>285</v>
      </c>
      <c r="O4" s="24" t="s">
        <v>281</v>
      </c>
      <c r="P4" s="24">
        <v>363</v>
      </c>
      <c r="Q4" s="24">
        <v>695</v>
      </c>
      <c r="R4" s="9">
        <v>0</v>
      </c>
      <c r="S4" s="9">
        <v>0</v>
      </c>
      <c r="T4" s="9">
        <v>0</v>
      </c>
      <c r="U4" s="9">
        <v>0</v>
      </c>
    </row>
    <row r="5" spans="1:21" s="24" customFormat="1" ht="12.75" x14ac:dyDescent="0.2">
      <c r="A5" s="3">
        <f>A4</f>
        <v>44061</v>
      </c>
      <c r="B5" s="9" t="s">
        <v>21</v>
      </c>
      <c r="C5" s="9" t="s">
        <v>34</v>
      </c>
      <c r="D5" s="9" t="s">
        <v>23</v>
      </c>
      <c r="E5" s="50" t="str">
        <f>E2</f>
        <v>HALPR</v>
      </c>
      <c r="F5" s="9" t="s">
        <v>24</v>
      </c>
      <c r="G5" s="53">
        <f>G2</f>
        <v>71500</v>
      </c>
      <c r="H5" s="9" t="s">
        <v>35</v>
      </c>
      <c r="I5" s="9" t="s">
        <v>36</v>
      </c>
      <c r="J5" s="15">
        <v>0.73958333333333337</v>
      </c>
      <c r="K5" s="35">
        <v>0.74236111111111114</v>
      </c>
      <c r="L5" s="15">
        <v>0.57291666666666663</v>
      </c>
      <c r="M5" s="35">
        <v>0.57430555555555551</v>
      </c>
      <c r="N5" s="24" t="s">
        <v>286</v>
      </c>
      <c r="O5" s="24" t="s">
        <v>282</v>
      </c>
      <c r="P5" s="24">
        <v>203</v>
      </c>
      <c r="Q5" s="24">
        <v>833</v>
      </c>
      <c r="R5" s="9">
        <v>0</v>
      </c>
      <c r="S5" s="9">
        <v>0</v>
      </c>
      <c r="T5" s="9">
        <v>0</v>
      </c>
      <c r="U5" s="9">
        <v>0</v>
      </c>
    </row>
    <row r="6" spans="1:21" s="24" customFormat="1" ht="12.75" x14ac:dyDescent="0.2">
      <c r="A6" s="3">
        <f>A5</f>
        <v>44061</v>
      </c>
      <c r="B6" s="24" t="s">
        <v>21</v>
      </c>
      <c r="C6" s="24" t="s">
        <v>108</v>
      </c>
      <c r="D6" s="24" t="s">
        <v>23</v>
      </c>
      <c r="E6" s="50" t="str">
        <f>E5</f>
        <v>HALPR</v>
      </c>
      <c r="F6" s="24" t="s">
        <v>24</v>
      </c>
      <c r="G6" s="51">
        <f>G5</f>
        <v>71500</v>
      </c>
      <c r="H6" s="24" t="s">
        <v>109</v>
      </c>
      <c r="I6" s="24" t="s">
        <v>110</v>
      </c>
      <c r="J6" s="34">
        <v>0.95486111111111116</v>
      </c>
      <c r="K6" s="35">
        <v>0.94861111111111107</v>
      </c>
      <c r="L6" s="34">
        <v>0.77777777777777779</v>
      </c>
      <c r="M6" s="35">
        <v>0.77916666666666667</v>
      </c>
      <c r="N6" s="24" t="s">
        <v>288</v>
      </c>
      <c r="O6" s="24" t="s">
        <v>287</v>
      </c>
      <c r="P6" s="24">
        <v>344</v>
      </c>
      <c r="Q6" s="24">
        <v>892</v>
      </c>
      <c r="R6" s="24">
        <v>0</v>
      </c>
      <c r="S6" s="24">
        <v>0</v>
      </c>
      <c r="T6" s="24">
        <v>0</v>
      </c>
      <c r="U6" s="24">
        <v>0</v>
      </c>
    </row>
    <row r="7" spans="1:21" s="47" customFormat="1" ht="12.75" x14ac:dyDescent="0.2">
      <c r="A7" s="36">
        <v>44061</v>
      </c>
      <c r="B7" s="37" t="s">
        <v>273</v>
      </c>
      <c r="C7" s="47" t="s">
        <v>283</v>
      </c>
      <c r="D7" s="37" t="s">
        <v>275</v>
      </c>
      <c r="E7" s="18" t="s">
        <v>276</v>
      </c>
      <c r="F7" s="47" t="s">
        <v>142</v>
      </c>
      <c r="G7" s="38">
        <v>9700</v>
      </c>
      <c r="H7" s="47" t="s">
        <v>250</v>
      </c>
      <c r="I7" s="47" t="s">
        <v>250</v>
      </c>
      <c r="J7" s="75" t="s">
        <v>284</v>
      </c>
      <c r="K7" s="48" t="s">
        <v>284</v>
      </c>
      <c r="L7" s="75">
        <v>0.89583333333333337</v>
      </c>
      <c r="M7" s="48">
        <v>0.88888888888888884</v>
      </c>
      <c r="N7" s="11" t="s">
        <v>250</v>
      </c>
      <c r="O7" s="11" t="s">
        <v>170</v>
      </c>
      <c r="P7" s="11">
        <v>0</v>
      </c>
      <c r="Q7" s="11">
        <v>0</v>
      </c>
      <c r="R7" s="47">
        <v>0</v>
      </c>
      <c r="S7" s="47">
        <v>0</v>
      </c>
      <c r="T7" s="47">
        <v>0</v>
      </c>
      <c r="U7" s="47">
        <v>0</v>
      </c>
    </row>
    <row r="8" spans="1:21" s="24" customFormat="1" ht="12.75" x14ac:dyDescent="0.2">
      <c r="A8" s="3"/>
      <c r="E8" s="50"/>
      <c r="G8" s="51"/>
      <c r="J8" s="34"/>
      <c r="K8" s="35"/>
      <c r="L8" s="34"/>
      <c r="M8" s="35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7" sqref="K7"/>
    </sheetView>
  </sheetViews>
  <sheetFormatPr defaultRowHeight="15" x14ac:dyDescent="0.25"/>
  <cols>
    <col min="2" max="2" width="13.28515625" bestFit="1" customWidth="1"/>
    <col min="3" max="3" width="13.5703125" bestFit="1" customWidth="1"/>
    <col min="5" max="5" width="7.42578125" bestFit="1" customWidth="1"/>
    <col min="6" max="6" width="12.140625" bestFit="1" customWidth="1"/>
    <col min="7" max="7" width="10.5703125" bestFit="1" customWidth="1"/>
    <col min="14" max="15" width="18.42578125" bestFit="1" customWidth="1"/>
  </cols>
  <sheetData>
    <row r="1" spans="1:21" s="40" customFormat="1" ht="12.75" x14ac:dyDescent="0.2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</row>
    <row r="2" spans="1:21" s="40" customFormat="1" ht="12.75" x14ac:dyDescent="0.2">
      <c r="A2" s="55">
        <v>44062</v>
      </c>
      <c r="B2" s="37" t="s">
        <v>21</v>
      </c>
      <c r="C2" s="56" t="s">
        <v>76</v>
      </c>
      <c r="D2" s="56" t="s">
        <v>23</v>
      </c>
      <c r="E2" s="56" t="s">
        <v>253</v>
      </c>
      <c r="F2" s="56" t="s">
        <v>24</v>
      </c>
      <c r="G2" s="57">
        <v>71500</v>
      </c>
      <c r="H2" s="56" t="s">
        <v>77</v>
      </c>
      <c r="I2" s="56" t="s">
        <v>78</v>
      </c>
      <c r="J2" s="58">
        <v>0.46180555555555558</v>
      </c>
      <c r="K2" s="59">
        <v>0.44791666666666669</v>
      </c>
      <c r="L2" s="58">
        <v>0.26041666666666669</v>
      </c>
      <c r="M2" s="59">
        <v>0.25972222222222224</v>
      </c>
      <c r="N2" s="56" t="s">
        <v>290</v>
      </c>
      <c r="O2" s="56" t="s">
        <v>268</v>
      </c>
      <c r="P2" s="56">
        <v>385</v>
      </c>
      <c r="Q2" s="56">
        <v>659</v>
      </c>
      <c r="R2" s="56">
        <v>0</v>
      </c>
      <c r="S2" s="56">
        <v>0</v>
      </c>
      <c r="T2" s="56">
        <v>0</v>
      </c>
      <c r="U2" s="56">
        <v>0</v>
      </c>
    </row>
    <row r="3" spans="1:21" s="40" customFormat="1" ht="12.75" x14ac:dyDescent="0.2">
      <c r="A3" s="55">
        <f>A2</f>
        <v>44062</v>
      </c>
      <c r="B3" s="37" t="s">
        <v>21</v>
      </c>
      <c r="C3" s="56" t="s">
        <v>51</v>
      </c>
      <c r="D3" s="56" t="s">
        <v>23</v>
      </c>
      <c r="E3" s="60" t="s">
        <v>264</v>
      </c>
      <c r="F3" s="56" t="s">
        <v>24</v>
      </c>
      <c r="G3" s="57">
        <v>71500</v>
      </c>
      <c r="H3" s="56" t="s">
        <v>52</v>
      </c>
      <c r="I3" s="56" t="s">
        <v>53</v>
      </c>
      <c r="J3" s="58">
        <v>0.4826388888888889</v>
      </c>
      <c r="K3" s="59">
        <v>0.47152777777777777</v>
      </c>
      <c r="L3" s="58">
        <v>0.27430555555555552</v>
      </c>
      <c r="M3" s="59">
        <v>0.27291666666666664</v>
      </c>
      <c r="N3" s="56" t="s">
        <v>291</v>
      </c>
      <c r="O3" s="56" t="s">
        <v>289</v>
      </c>
      <c r="P3" s="56">
        <v>406</v>
      </c>
      <c r="Q3" s="56">
        <v>506</v>
      </c>
      <c r="R3" s="56">
        <v>0</v>
      </c>
      <c r="S3" s="56">
        <v>0</v>
      </c>
      <c r="T3" s="56">
        <v>0</v>
      </c>
      <c r="U3" s="56">
        <v>0</v>
      </c>
    </row>
    <row r="4" spans="1:21" s="40" customFormat="1" ht="12.75" x14ac:dyDescent="0.2">
      <c r="A4" s="55">
        <f t="shared" ref="A4:A7" si="0">A3</f>
        <v>44062</v>
      </c>
      <c r="B4" s="37" t="s">
        <v>21</v>
      </c>
      <c r="C4" s="41" t="s">
        <v>54</v>
      </c>
      <c r="D4" s="56" t="s">
        <v>23</v>
      </c>
      <c r="E4" s="56" t="s">
        <v>253</v>
      </c>
      <c r="F4" s="56" t="s">
        <v>24</v>
      </c>
      <c r="G4" s="57">
        <v>71500</v>
      </c>
      <c r="H4" s="61" t="s">
        <v>55</v>
      </c>
      <c r="I4" s="61" t="s">
        <v>56</v>
      </c>
      <c r="J4" s="45">
        <v>0.73263888888888884</v>
      </c>
      <c r="K4" s="43">
        <v>0.72361111111111109</v>
      </c>
      <c r="L4" s="45">
        <v>0.50694444444444442</v>
      </c>
      <c r="M4" s="43">
        <v>0.50902777777777775</v>
      </c>
      <c r="N4" s="56" t="s">
        <v>207</v>
      </c>
      <c r="O4" s="62" t="s">
        <v>292</v>
      </c>
      <c r="P4" s="41">
        <v>183</v>
      </c>
      <c r="Q4" s="39">
        <v>1095</v>
      </c>
      <c r="R4" s="41">
        <v>0</v>
      </c>
      <c r="S4" s="41">
        <v>0</v>
      </c>
      <c r="T4" s="41">
        <v>0</v>
      </c>
      <c r="U4" s="41">
        <v>0</v>
      </c>
    </row>
    <row r="5" spans="1:21" s="40" customFormat="1" ht="12.75" x14ac:dyDescent="0.2">
      <c r="A5" s="55">
        <f t="shared" si="0"/>
        <v>44062</v>
      </c>
      <c r="B5" s="37" t="s">
        <v>21</v>
      </c>
      <c r="C5" s="41" t="s">
        <v>57</v>
      </c>
      <c r="D5" s="56" t="s">
        <v>23</v>
      </c>
      <c r="E5" s="56" t="s">
        <v>264</v>
      </c>
      <c r="F5" s="56" t="s">
        <v>24</v>
      </c>
      <c r="G5" s="57">
        <v>71500</v>
      </c>
      <c r="H5" s="41" t="s">
        <v>58</v>
      </c>
      <c r="I5" s="41" t="s">
        <v>59</v>
      </c>
      <c r="J5" s="45">
        <v>0.75</v>
      </c>
      <c r="K5" s="43">
        <v>0.73333333333333339</v>
      </c>
      <c r="L5" s="45">
        <v>0.51388888888888895</v>
      </c>
      <c r="M5" s="43">
        <v>0.51666666666666672</v>
      </c>
      <c r="N5" s="41" t="s">
        <v>301</v>
      </c>
      <c r="O5" s="41" t="s">
        <v>293</v>
      </c>
      <c r="P5" s="41">
        <v>382</v>
      </c>
      <c r="Q5" s="39">
        <v>1820</v>
      </c>
      <c r="R5" s="41">
        <v>0</v>
      </c>
      <c r="S5" s="41">
        <v>0</v>
      </c>
      <c r="T5" s="41">
        <v>0</v>
      </c>
      <c r="U5" s="41">
        <v>0</v>
      </c>
    </row>
    <row r="6" spans="1:21" s="40" customFormat="1" ht="12.75" x14ac:dyDescent="0.2">
      <c r="A6" s="55">
        <f t="shared" si="0"/>
        <v>44062</v>
      </c>
      <c r="B6" s="37" t="s">
        <v>21</v>
      </c>
      <c r="C6" s="41" t="s">
        <v>60</v>
      </c>
      <c r="D6" s="56" t="s">
        <v>23</v>
      </c>
      <c r="E6" s="56" t="s">
        <v>253</v>
      </c>
      <c r="F6" s="56" t="s">
        <v>24</v>
      </c>
      <c r="G6" s="57">
        <v>71500</v>
      </c>
      <c r="H6" s="61" t="s">
        <v>119</v>
      </c>
      <c r="I6" s="61" t="s">
        <v>62</v>
      </c>
      <c r="J6" s="45">
        <v>0.94444444444444453</v>
      </c>
      <c r="K6" s="43">
        <v>0.92708333333333337</v>
      </c>
      <c r="L6" s="45">
        <v>0.75347222222222221</v>
      </c>
      <c r="M6" s="43">
        <v>0.75555555555555554</v>
      </c>
      <c r="N6" s="56" t="s">
        <v>304</v>
      </c>
      <c r="O6" s="41" t="s">
        <v>302</v>
      </c>
      <c r="P6" s="41">
        <v>601</v>
      </c>
      <c r="Q6" s="41">
        <v>427</v>
      </c>
      <c r="R6" s="41">
        <v>0</v>
      </c>
      <c r="S6" s="41">
        <v>0</v>
      </c>
      <c r="T6" s="41">
        <v>0</v>
      </c>
      <c r="U6" s="41">
        <v>0</v>
      </c>
    </row>
    <row r="7" spans="1:21" s="70" customFormat="1" ht="12.75" x14ac:dyDescent="0.25">
      <c r="A7" s="64">
        <f t="shared" si="0"/>
        <v>44062</v>
      </c>
      <c r="B7" s="37" t="s">
        <v>21</v>
      </c>
      <c r="C7" s="63" t="s">
        <v>63</v>
      </c>
      <c r="D7" s="65" t="s">
        <v>23</v>
      </c>
      <c r="E7" s="65" t="s">
        <v>264</v>
      </c>
      <c r="F7" s="65" t="s">
        <v>24</v>
      </c>
      <c r="G7" s="66">
        <v>71500</v>
      </c>
      <c r="H7" s="67" t="s">
        <v>64</v>
      </c>
      <c r="I7" s="67" t="s">
        <v>65</v>
      </c>
      <c r="J7" s="68">
        <v>0.94097222222222221</v>
      </c>
      <c r="K7" s="69">
        <v>0.92361111111111116</v>
      </c>
      <c r="L7" s="68">
        <v>0.77083333333333337</v>
      </c>
      <c r="M7" s="69">
        <v>0.76944444444444438</v>
      </c>
      <c r="N7" s="65" t="s">
        <v>305</v>
      </c>
      <c r="O7" s="41" t="s">
        <v>303</v>
      </c>
      <c r="P7" s="41">
        <v>152</v>
      </c>
      <c r="Q7" s="41">
        <v>289</v>
      </c>
      <c r="R7" s="41">
        <v>0</v>
      </c>
      <c r="S7" s="41">
        <v>0</v>
      </c>
      <c r="T7" s="41">
        <v>0</v>
      </c>
      <c r="U7" s="41">
        <v>0</v>
      </c>
    </row>
    <row r="8" spans="1:21" s="2" customFormat="1" x14ac:dyDescent="0.25">
      <c r="A8" s="78">
        <v>44062</v>
      </c>
      <c r="B8" s="37" t="s">
        <v>294</v>
      </c>
      <c r="C8" s="41" t="s">
        <v>295</v>
      </c>
      <c r="D8" s="76" t="s">
        <v>296</v>
      </c>
      <c r="E8" s="76" t="s">
        <v>297</v>
      </c>
      <c r="F8" s="76" t="s">
        <v>298</v>
      </c>
      <c r="G8" s="77">
        <v>14000</v>
      </c>
      <c r="H8" s="76" t="s">
        <v>299</v>
      </c>
      <c r="I8" s="76" t="s">
        <v>300</v>
      </c>
      <c r="J8" s="12">
        <v>0.69097222222222221</v>
      </c>
      <c r="K8" s="8">
        <v>0.6958333333333333</v>
      </c>
      <c r="L8" s="12">
        <v>0.70833333333333337</v>
      </c>
      <c r="M8" s="8">
        <v>0.70972222222222225</v>
      </c>
      <c r="N8" s="11" t="s">
        <v>171</v>
      </c>
      <c r="O8" s="41" t="s">
        <v>170</v>
      </c>
      <c r="P8" s="2">
        <v>50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4" sqref="K4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44063</v>
      </c>
      <c r="B2" s="9" t="s">
        <v>21</v>
      </c>
      <c r="C2" s="9" t="s">
        <v>27</v>
      </c>
      <c r="D2" s="9" t="s">
        <v>23</v>
      </c>
      <c r="E2" s="4" t="s">
        <v>264</v>
      </c>
      <c r="F2" s="9" t="s">
        <v>24</v>
      </c>
      <c r="G2" s="5">
        <f>G3</f>
        <v>71500</v>
      </c>
      <c r="H2" s="4" t="s">
        <v>29</v>
      </c>
      <c r="I2" s="4" t="s">
        <v>30</v>
      </c>
      <c r="J2" s="12">
        <v>0.55555555555555558</v>
      </c>
      <c r="K2" s="13">
        <v>0.54999999999999993</v>
      </c>
      <c r="L2" s="12">
        <v>0.40972222222222227</v>
      </c>
      <c r="M2" s="8">
        <v>0.41041666666666665</v>
      </c>
      <c r="N2" s="9" t="s">
        <v>307</v>
      </c>
      <c r="O2" s="14" t="s">
        <v>309</v>
      </c>
      <c r="P2" s="4">
        <v>379</v>
      </c>
      <c r="Q2" s="10">
        <v>693</v>
      </c>
      <c r="R2" s="9">
        <v>0</v>
      </c>
      <c r="S2" s="9">
        <v>0</v>
      </c>
      <c r="T2" s="9">
        <v>0</v>
      </c>
      <c r="U2" s="9">
        <v>0</v>
      </c>
    </row>
    <row r="3" spans="1:21" s="2" customFormat="1" x14ac:dyDescent="0.25">
      <c r="A3" s="3">
        <f t="shared" ref="A3:A4" si="0">A2</f>
        <v>44063</v>
      </c>
      <c r="B3" s="9" t="s">
        <v>21</v>
      </c>
      <c r="C3" s="9" t="s">
        <v>31</v>
      </c>
      <c r="D3" s="9" t="s">
        <v>23</v>
      </c>
      <c r="E3" s="4" t="s">
        <v>253</v>
      </c>
      <c r="F3" s="9" t="s">
        <v>24</v>
      </c>
      <c r="G3" s="5">
        <v>71500</v>
      </c>
      <c r="H3" s="9" t="s">
        <v>32</v>
      </c>
      <c r="I3" s="9" t="s">
        <v>33</v>
      </c>
      <c r="J3" s="15">
        <v>0.70138888888888884</v>
      </c>
      <c r="K3" s="13">
        <v>0.68194444444444446</v>
      </c>
      <c r="L3" s="15">
        <v>0.49652777777777773</v>
      </c>
      <c r="M3" s="8">
        <v>0.48888888888888887</v>
      </c>
      <c r="N3" s="9" t="s">
        <v>188</v>
      </c>
      <c r="O3" s="9" t="s">
        <v>310</v>
      </c>
      <c r="P3" s="9">
        <v>135</v>
      </c>
      <c r="Q3" s="10">
        <v>985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 t="shared" si="0"/>
        <v>44063</v>
      </c>
      <c r="B4" s="9" t="s">
        <v>21</v>
      </c>
      <c r="C4" s="9" t="s">
        <v>63</v>
      </c>
      <c r="D4" s="9" t="s">
        <v>23</v>
      </c>
      <c r="E4" s="4" t="s">
        <v>264</v>
      </c>
      <c r="F4" s="9" t="s">
        <v>24</v>
      </c>
      <c r="G4" s="5">
        <f>G3</f>
        <v>71500</v>
      </c>
      <c r="H4" s="9" t="s">
        <v>64</v>
      </c>
      <c r="I4" s="9" t="s">
        <v>65</v>
      </c>
      <c r="J4" s="15">
        <v>0.75694444444444453</v>
      </c>
      <c r="K4" s="7">
        <v>0.73888888888888893</v>
      </c>
      <c r="L4" s="15">
        <v>0.58680555555555558</v>
      </c>
      <c r="M4" s="8" t="s">
        <v>306</v>
      </c>
      <c r="N4" s="9" t="s">
        <v>308</v>
      </c>
      <c r="O4" s="9" t="s">
        <v>311</v>
      </c>
      <c r="P4" s="9">
        <v>139</v>
      </c>
      <c r="Q4" s="9">
        <v>298</v>
      </c>
      <c r="R4" s="9">
        <v>0</v>
      </c>
      <c r="S4" s="9">
        <v>0</v>
      </c>
      <c r="T4" s="9">
        <v>0</v>
      </c>
      <c r="U4" s="9">
        <v>0</v>
      </c>
    </row>
    <row r="5" spans="1:21" x14ac:dyDescent="0.25">
      <c r="A5" s="72">
        <v>44063</v>
      </c>
      <c r="B5" s="9" t="s">
        <v>138</v>
      </c>
      <c r="C5" s="9" t="s">
        <v>139</v>
      </c>
      <c r="D5" s="9" t="s">
        <v>140</v>
      </c>
      <c r="E5" s="4" t="s">
        <v>141</v>
      </c>
      <c r="F5" s="9" t="s">
        <v>142</v>
      </c>
      <c r="G5" s="5">
        <v>1134</v>
      </c>
      <c r="H5" s="11"/>
      <c r="I5" s="8"/>
      <c r="J5" s="8">
        <v>0.54166666666666663</v>
      </c>
      <c r="K5" s="8">
        <v>0.54652777777777783</v>
      </c>
      <c r="L5" s="8">
        <v>0.55902777777777779</v>
      </c>
      <c r="M5" s="8">
        <v>0.56388888888888888</v>
      </c>
      <c r="N5" s="73"/>
      <c r="O5" s="74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F1" workbookViewId="0">
      <selection activeCell="K9" sqref="K9"/>
    </sheetView>
  </sheetViews>
  <sheetFormatPr defaultRowHeight="12.75" x14ac:dyDescent="0.2"/>
  <cols>
    <col min="1" max="1" width="9.140625" style="71"/>
    <col min="2" max="2" width="10.140625" style="71" bestFit="1" customWidth="1"/>
    <col min="3" max="3" width="13.5703125" style="71" bestFit="1" customWidth="1"/>
    <col min="4" max="5" width="9.140625" style="71"/>
    <col min="6" max="6" width="14.42578125" style="71" bestFit="1" customWidth="1"/>
    <col min="7" max="7" width="9.7109375" style="71" bestFit="1" customWidth="1"/>
    <col min="8" max="9" width="9.140625" style="71"/>
    <col min="10" max="10" width="11" style="71" bestFit="1" customWidth="1"/>
    <col min="11" max="11" width="10.85546875" style="71" bestFit="1" customWidth="1"/>
    <col min="12" max="12" width="9.140625" style="71"/>
    <col min="13" max="13" width="10.85546875" style="71" bestFit="1" customWidth="1"/>
    <col min="14" max="15" width="18.42578125" style="71" bestFit="1" customWidth="1"/>
    <col min="16" max="16384" width="9.140625" style="7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44064</v>
      </c>
      <c r="B2" s="37" t="s">
        <v>21</v>
      </c>
      <c r="C2" s="11" t="s">
        <v>76</v>
      </c>
      <c r="D2" s="1" t="s">
        <v>23</v>
      </c>
      <c r="E2" s="11" t="s">
        <v>264</v>
      </c>
      <c r="F2" s="11" t="s">
        <v>24</v>
      </c>
      <c r="G2" s="38">
        <v>71500</v>
      </c>
      <c r="H2" s="11" t="s">
        <v>77</v>
      </c>
      <c r="I2" s="11" t="s">
        <v>78</v>
      </c>
      <c r="J2" s="12">
        <v>0.46180555555555558</v>
      </c>
      <c r="K2" s="8">
        <v>0.45347222222222222</v>
      </c>
      <c r="L2" s="12">
        <v>0.26041666666666669</v>
      </c>
      <c r="M2" s="8">
        <v>0.2590277777777778</v>
      </c>
      <c r="N2" s="11" t="s">
        <v>316</v>
      </c>
      <c r="O2" s="11" t="s">
        <v>314</v>
      </c>
      <c r="P2" s="11">
        <v>588</v>
      </c>
      <c r="Q2" s="11">
        <v>858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3">
        <f>A2</f>
        <v>44064</v>
      </c>
      <c r="B3" s="37" t="s">
        <v>21</v>
      </c>
      <c r="C3" s="11" t="s">
        <v>51</v>
      </c>
      <c r="D3" s="1" t="s">
        <v>23</v>
      </c>
      <c r="E3" s="11" t="s">
        <v>253</v>
      </c>
      <c r="F3" s="11" t="s">
        <v>24</v>
      </c>
      <c r="G3" s="38">
        <v>71500</v>
      </c>
      <c r="H3" s="11" t="s">
        <v>52</v>
      </c>
      <c r="I3" s="11" t="s">
        <v>53</v>
      </c>
      <c r="J3" s="12">
        <v>0.47569444444444442</v>
      </c>
      <c r="K3" s="8">
        <v>0.48402777777777778</v>
      </c>
      <c r="L3" s="12">
        <v>0.27430555555555552</v>
      </c>
      <c r="M3" s="8">
        <v>0.27569444444444446</v>
      </c>
      <c r="N3" s="11" t="s">
        <v>317</v>
      </c>
      <c r="O3" s="11" t="s">
        <v>315</v>
      </c>
      <c r="P3" s="11">
        <v>324</v>
      </c>
      <c r="Q3" s="11">
        <v>570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f t="shared" ref="A4:A8" si="0">A3</f>
        <v>44064</v>
      </c>
      <c r="B4" s="37" t="s">
        <v>21</v>
      </c>
      <c r="C4" s="11" t="s">
        <v>54</v>
      </c>
      <c r="D4" s="1" t="s">
        <v>23</v>
      </c>
      <c r="E4" s="11" t="s">
        <v>264</v>
      </c>
      <c r="F4" s="11" t="s">
        <v>24</v>
      </c>
      <c r="G4" s="38">
        <v>71500</v>
      </c>
      <c r="H4" s="11" t="s">
        <v>55</v>
      </c>
      <c r="I4" s="11" t="s">
        <v>56</v>
      </c>
      <c r="J4" s="12">
        <v>0.72569444444444453</v>
      </c>
      <c r="K4" s="8">
        <v>0.71805555555555556</v>
      </c>
      <c r="L4" s="12">
        <v>0.5</v>
      </c>
      <c r="M4" s="8">
        <v>0.50486111111111109</v>
      </c>
      <c r="N4" s="11" t="s">
        <v>322</v>
      </c>
      <c r="O4" s="11" t="s">
        <v>318</v>
      </c>
      <c r="P4" s="11">
        <v>542</v>
      </c>
      <c r="Q4" s="11">
        <v>1340</v>
      </c>
      <c r="R4" s="9">
        <v>0</v>
      </c>
      <c r="S4" s="9">
        <v>0</v>
      </c>
      <c r="T4" s="9">
        <v>0</v>
      </c>
      <c r="U4" s="9">
        <v>0</v>
      </c>
    </row>
    <row r="5" spans="1:21" x14ac:dyDescent="0.2">
      <c r="A5" s="3">
        <f t="shared" si="0"/>
        <v>44064</v>
      </c>
      <c r="B5" s="37" t="s">
        <v>21</v>
      </c>
      <c r="C5" s="11" t="s">
        <v>80</v>
      </c>
      <c r="D5" s="1" t="s">
        <v>23</v>
      </c>
      <c r="E5" s="11" t="s">
        <v>312</v>
      </c>
      <c r="F5" s="11" t="s">
        <v>24</v>
      </c>
      <c r="G5" s="38">
        <v>71500</v>
      </c>
      <c r="H5" s="11" t="s">
        <v>81</v>
      </c>
      <c r="I5" s="11" t="s">
        <v>82</v>
      </c>
      <c r="J5" s="12">
        <v>0.75</v>
      </c>
      <c r="K5" s="8">
        <v>0.72638888888888886</v>
      </c>
      <c r="L5" s="12">
        <v>0.53472222222222221</v>
      </c>
      <c r="M5" s="8">
        <v>0.52916666666666667</v>
      </c>
      <c r="N5" s="11" t="s">
        <v>323</v>
      </c>
      <c r="O5" s="11" t="s">
        <v>319</v>
      </c>
      <c r="P5" s="11">
        <v>127</v>
      </c>
      <c r="Q5" s="11">
        <v>649</v>
      </c>
      <c r="R5" s="9">
        <v>0</v>
      </c>
      <c r="S5" s="9">
        <v>0</v>
      </c>
      <c r="T5" s="9">
        <v>0</v>
      </c>
      <c r="U5" s="9">
        <v>0</v>
      </c>
    </row>
    <row r="6" spans="1:21" s="11" customFormat="1" x14ac:dyDescent="0.2">
      <c r="A6" s="3">
        <f t="shared" si="0"/>
        <v>44064</v>
      </c>
      <c r="B6" s="37" t="s">
        <v>21</v>
      </c>
      <c r="C6" s="11" t="s">
        <v>83</v>
      </c>
      <c r="D6" s="1" t="s">
        <v>23</v>
      </c>
      <c r="E6" s="11" t="s">
        <v>264</v>
      </c>
      <c r="F6" s="11" t="s">
        <v>24</v>
      </c>
      <c r="G6" s="38">
        <v>71500</v>
      </c>
      <c r="H6" s="11" t="s">
        <v>84</v>
      </c>
      <c r="I6" s="11" t="s">
        <v>85</v>
      </c>
      <c r="J6" s="12">
        <v>0.89930555555555547</v>
      </c>
      <c r="K6" s="8">
        <v>0.88402777777777775</v>
      </c>
      <c r="L6" s="12">
        <v>0.75</v>
      </c>
      <c r="M6" s="8">
        <v>0.75277777777777777</v>
      </c>
      <c r="N6" s="11" t="s">
        <v>324</v>
      </c>
      <c r="O6" s="11" t="s">
        <v>42</v>
      </c>
      <c r="P6" s="11">
        <v>223</v>
      </c>
      <c r="Q6" s="11">
        <v>455</v>
      </c>
      <c r="R6" s="9">
        <v>0</v>
      </c>
      <c r="S6" s="9">
        <v>0</v>
      </c>
      <c r="T6" s="9">
        <v>0</v>
      </c>
      <c r="U6" s="9">
        <v>0</v>
      </c>
    </row>
    <row r="7" spans="1:21" x14ac:dyDescent="0.2">
      <c r="A7" s="3">
        <f t="shared" si="0"/>
        <v>44064</v>
      </c>
      <c r="B7" s="37" t="s">
        <v>21</v>
      </c>
      <c r="C7" s="11" t="s">
        <v>63</v>
      </c>
      <c r="D7" s="1" t="s">
        <v>23</v>
      </c>
      <c r="E7" s="11" t="s">
        <v>312</v>
      </c>
      <c r="F7" s="11" t="s">
        <v>24</v>
      </c>
      <c r="G7" s="38">
        <v>71500</v>
      </c>
      <c r="H7" s="11" t="s">
        <v>64</v>
      </c>
      <c r="I7" s="11" t="s">
        <v>65</v>
      </c>
      <c r="J7" s="12">
        <v>0.94097222222222221</v>
      </c>
      <c r="K7" s="8">
        <v>0.92499999999999993</v>
      </c>
      <c r="L7" s="12">
        <v>0.77083333333333337</v>
      </c>
      <c r="M7" s="8">
        <v>0.7680555555555556</v>
      </c>
      <c r="N7" s="11" t="s">
        <v>325</v>
      </c>
      <c r="O7" s="11" t="s">
        <v>326</v>
      </c>
      <c r="P7" s="11">
        <v>177</v>
      </c>
      <c r="Q7" s="11">
        <v>378</v>
      </c>
      <c r="R7" s="9">
        <v>0</v>
      </c>
      <c r="S7" s="9">
        <v>0</v>
      </c>
      <c r="T7" s="9">
        <v>0</v>
      </c>
      <c r="U7" s="9">
        <v>0</v>
      </c>
    </row>
    <row r="8" spans="1:21" x14ac:dyDescent="0.2">
      <c r="A8" s="3">
        <f t="shared" si="0"/>
        <v>44064</v>
      </c>
      <c r="B8" s="4" t="s">
        <v>102</v>
      </c>
      <c r="C8" s="4" t="s">
        <v>103</v>
      </c>
      <c r="D8" s="4" t="s">
        <v>23</v>
      </c>
      <c r="E8" s="4" t="s">
        <v>321</v>
      </c>
      <c r="F8" s="4" t="s">
        <v>105</v>
      </c>
      <c r="G8" s="5">
        <v>77000</v>
      </c>
      <c r="H8" s="4" t="s">
        <v>106</v>
      </c>
      <c r="I8" s="4" t="s">
        <v>107</v>
      </c>
      <c r="J8" s="6">
        <v>0.3298611111111111</v>
      </c>
      <c r="K8" s="8">
        <v>0.31388888888888888</v>
      </c>
      <c r="L8" s="6">
        <v>0.37152777777777773</v>
      </c>
      <c r="M8" s="8">
        <v>0.36736111111111108</v>
      </c>
      <c r="N8" s="11" t="s">
        <v>313</v>
      </c>
      <c r="O8" s="11" t="s">
        <v>320</v>
      </c>
      <c r="P8" s="11">
        <v>2374</v>
      </c>
      <c r="Q8" s="11">
        <v>1625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72"/>
      <c r="B9" s="11"/>
      <c r="C9" s="11"/>
      <c r="D9" s="11"/>
      <c r="E9" s="11"/>
      <c r="F9" s="11"/>
      <c r="G9" s="38"/>
      <c r="H9" s="11"/>
      <c r="I9" s="11"/>
      <c r="J9" s="12"/>
      <c r="K9" s="8"/>
      <c r="L9" s="12"/>
      <c r="M9" s="8"/>
      <c r="N9" s="11"/>
      <c r="O9" s="11"/>
      <c r="P9" s="11"/>
      <c r="Q9" s="11"/>
      <c r="R9" s="4"/>
      <c r="S9" s="4"/>
      <c r="T9" s="4"/>
      <c r="U9" s="4"/>
    </row>
    <row r="10" spans="1:21" x14ac:dyDescent="0.2">
      <c r="A10" s="72"/>
      <c r="B10" s="11"/>
      <c r="C10" s="11"/>
      <c r="D10" s="11"/>
      <c r="E10" s="11"/>
      <c r="F10" s="11"/>
      <c r="G10" s="38"/>
      <c r="H10" s="11"/>
      <c r="I10" s="11"/>
      <c r="J10" s="12"/>
      <c r="K10" s="8"/>
      <c r="L10" s="12"/>
      <c r="M10" s="8"/>
      <c r="N10" s="11"/>
      <c r="O10" s="11"/>
      <c r="P10" s="11"/>
      <c r="Q10" s="11"/>
      <c r="R10" s="11"/>
      <c r="S10" s="11"/>
      <c r="T10" s="11"/>
      <c r="U10" s="11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K36" sqref="K36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44065</v>
      </c>
      <c r="B2" s="4" t="s">
        <v>21</v>
      </c>
      <c r="C2" s="4" t="s">
        <v>22</v>
      </c>
      <c r="D2" s="4" t="s">
        <v>23</v>
      </c>
      <c r="E2" s="4" t="s">
        <v>264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0.44791666666666669</v>
      </c>
      <c r="L2" s="6">
        <v>0.28125</v>
      </c>
      <c r="M2" s="8">
        <v>0.28194444444444444</v>
      </c>
      <c r="N2" s="9" t="s">
        <v>330</v>
      </c>
      <c r="O2" s="10" t="s">
        <v>327</v>
      </c>
      <c r="P2" s="11">
        <v>644</v>
      </c>
      <c r="Q2" s="10">
        <v>908</v>
      </c>
      <c r="R2" s="4">
        <v>0</v>
      </c>
      <c r="S2" s="4">
        <v>0</v>
      </c>
      <c r="T2" s="4">
        <v>0</v>
      </c>
      <c r="U2" s="4">
        <v>0</v>
      </c>
    </row>
    <row r="3" spans="1:21" s="2" customFormat="1" x14ac:dyDescent="0.25">
      <c r="A3" s="3">
        <f>A2</f>
        <v>44065</v>
      </c>
      <c r="B3" s="9" t="s">
        <v>21</v>
      </c>
      <c r="C3" s="9" t="s">
        <v>27</v>
      </c>
      <c r="D3" s="9" t="s">
        <v>23</v>
      </c>
      <c r="E3" s="4" t="s">
        <v>312</v>
      </c>
      <c r="F3" s="9" t="s">
        <v>24</v>
      </c>
      <c r="G3" s="5">
        <v>71500</v>
      </c>
      <c r="H3" s="4" t="s">
        <v>29</v>
      </c>
      <c r="I3" s="4" t="s">
        <v>30</v>
      </c>
      <c r="J3" s="12">
        <v>0.54166666666666663</v>
      </c>
      <c r="K3" s="13">
        <v>0.52916666666666667</v>
      </c>
      <c r="L3" s="12">
        <v>0.39583333333333331</v>
      </c>
      <c r="M3" s="8">
        <v>0.39305555555555555</v>
      </c>
      <c r="N3" s="9" t="s">
        <v>331</v>
      </c>
      <c r="O3" s="14" t="s">
        <v>328</v>
      </c>
      <c r="P3" s="4">
        <v>653</v>
      </c>
      <c r="Q3" s="10">
        <v>1185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>A3</f>
        <v>44065</v>
      </c>
      <c r="B4" s="9" t="s">
        <v>21</v>
      </c>
      <c r="C4" s="9" t="s">
        <v>31</v>
      </c>
      <c r="D4" s="9" t="s">
        <v>23</v>
      </c>
      <c r="E4" s="4" t="str">
        <f>E2</f>
        <v>HALPR</v>
      </c>
      <c r="F4" s="9" t="s">
        <v>24</v>
      </c>
      <c r="G4" s="5">
        <v>71500</v>
      </c>
      <c r="H4" s="9" t="s">
        <v>32</v>
      </c>
      <c r="I4" s="9" t="s">
        <v>33</v>
      </c>
      <c r="J4" s="15">
        <v>0.69444444444444453</v>
      </c>
      <c r="K4" s="13">
        <v>0.69652777777777775</v>
      </c>
      <c r="L4" s="15">
        <v>0.49652777777777773</v>
      </c>
      <c r="M4" s="8">
        <v>0.49861111111111112</v>
      </c>
      <c r="N4" s="9" t="s">
        <v>181</v>
      </c>
      <c r="O4" s="9" t="s">
        <v>329</v>
      </c>
      <c r="P4" s="9">
        <v>429</v>
      </c>
      <c r="Q4" s="10">
        <v>998</v>
      </c>
      <c r="R4" s="9">
        <v>0</v>
      </c>
      <c r="S4" s="9">
        <v>0</v>
      </c>
      <c r="T4" s="9">
        <v>0</v>
      </c>
      <c r="U4" s="9">
        <v>0</v>
      </c>
    </row>
    <row r="5" spans="1:21" s="2" customFormat="1" x14ac:dyDescent="0.25">
      <c r="A5" s="3">
        <f>A4</f>
        <v>44065</v>
      </c>
      <c r="B5" s="9" t="s">
        <v>21</v>
      </c>
      <c r="C5" s="9" t="s">
        <v>34</v>
      </c>
      <c r="D5" s="9" t="s">
        <v>23</v>
      </c>
      <c r="E5" s="4" t="str">
        <f>E3</f>
        <v>HALPT</v>
      </c>
      <c r="F5" s="9" t="s">
        <v>24</v>
      </c>
      <c r="G5" s="5">
        <v>71500</v>
      </c>
      <c r="H5" s="9" t="s">
        <v>35</v>
      </c>
      <c r="I5" s="9" t="s">
        <v>36</v>
      </c>
      <c r="J5" s="15">
        <v>0.73958333333333337</v>
      </c>
      <c r="K5" s="7">
        <v>0.72569444444444453</v>
      </c>
      <c r="L5" s="15">
        <v>0.57291666666666663</v>
      </c>
      <c r="M5" s="8">
        <v>0.57291666666666663</v>
      </c>
      <c r="N5" s="9" t="s">
        <v>333</v>
      </c>
      <c r="O5" s="9" t="s">
        <v>332</v>
      </c>
      <c r="P5" s="9">
        <v>463</v>
      </c>
      <c r="Q5" s="9">
        <v>877</v>
      </c>
      <c r="R5" s="9">
        <v>0</v>
      </c>
      <c r="S5" s="9">
        <v>0</v>
      </c>
      <c r="T5" s="9">
        <v>0</v>
      </c>
      <c r="U5" s="9">
        <v>0</v>
      </c>
    </row>
    <row r="6" spans="1:21" s="2" customFormat="1" x14ac:dyDescent="0.25">
      <c r="A6" s="3">
        <f>A5</f>
        <v>44065</v>
      </c>
      <c r="B6" s="11" t="s">
        <v>21</v>
      </c>
      <c r="C6" s="11" t="s">
        <v>108</v>
      </c>
      <c r="D6" s="11" t="s">
        <v>23</v>
      </c>
      <c r="E6" s="4" t="str">
        <f>E5</f>
        <v>HALPT</v>
      </c>
      <c r="F6" s="11" t="s">
        <v>24</v>
      </c>
      <c r="G6" s="5">
        <f>G5</f>
        <v>71500</v>
      </c>
      <c r="H6" s="11" t="s">
        <v>109</v>
      </c>
      <c r="I6" s="11" t="s">
        <v>110</v>
      </c>
      <c r="J6" s="12">
        <v>0.95486111111111116</v>
      </c>
      <c r="K6" s="8">
        <v>0.94791666666666663</v>
      </c>
      <c r="L6" s="12">
        <v>0.77777777777777779</v>
      </c>
      <c r="M6" s="8">
        <v>0.77777777777777779</v>
      </c>
      <c r="N6" s="11" t="s">
        <v>335</v>
      </c>
      <c r="O6" s="11" t="s">
        <v>334</v>
      </c>
      <c r="P6" s="11">
        <v>502</v>
      </c>
      <c r="Q6" s="11">
        <v>1105</v>
      </c>
      <c r="R6" s="11">
        <v>0</v>
      </c>
      <c r="S6" s="11">
        <v>0</v>
      </c>
      <c r="T6" s="11">
        <v>0</v>
      </c>
      <c r="U6" s="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K5" sqref="K5"/>
    </sheetView>
  </sheetViews>
  <sheetFormatPr defaultRowHeight="12.75" x14ac:dyDescent="0.2"/>
  <cols>
    <col min="1" max="1" width="9.140625" style="24"/>
    <col min="2" max="2" width="13.85546875" style="24" bestFit="1" customWidth="1"/>
    <col min="3" max="3" width="19.140625" style="24" bestFit="1" customWidth="1"/>
    <col min="4" max="4" width="9.140625" style="24"/>
    <col min="5" max="5" width="14.7109375" style="24" bestFit="1" customWidth="1"/>
    <col min="6" max="6" width="12.140625" style="24" bestFit="1" customWidth="1"/>
    <col min="7" max="7" width="10.5703125" style="24" bestFit="1" customWidth="1"/>
    <col min="8" max="9" width="9.140625" style="24"/>
    <col min="10" max="10" width="11" style="24" bestFit="1" customWidth="1"/>
    <col min="11" max="11" width="10.85546875" style="24" bestFit="1" customWidth="1"/>
    <col min="12" max="12" width="11" style="24" bestFit="1" customWidth="1"/>
    <col min="13" max="13" width="9.140625" style="24"/>
    <col min="14" max="15" width="18.42578125" style="24" bestFit="1" customWidth="1"/>
    <col min="16" max="16384" width="9.140625" style="24"/>
  </cols>
  <sheetData>
    <row r="1" spans="1:22" s="17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">
      <c r="A2" s="3">
        <v>44066</v>
      </c>
      <c r="B2" s="18" t="s">
        <v>21</v>
      </c>
      <c r="C2" s="18" t="s">
        <v>51</v>
      </c>
      <c r="D2" s="18" t="s">
        <v>23</v>
      </c>
      <c r="E2" s="18" t="s">
        <v>264</v>
      </c>
      <c r="F2" s="18" t="s">
        <v>24</v>
      </c>
      <c r="G2" s="19">
        <v>715000</v>
      </c>
      <c r="H2" s="18" t="s">
        <v>52</v>
      </c>
      <c r="I2" s="18" t="s">
        <v>53</v>
      </c>
      <c r="J2" s="20">
        <v>0.4826388888888889</v>
      </c>
      <c r="K2" s="21">
        <v>0.46319444444444446</v>
      </c>
      <c r="L2" s="20">
        <v>0.27430555555555552</v>
      </c>
      <c r="M2" s="21">
        <v>0.27361111111111108</v>
      </c>
      <c r="N2" s="21" t="s">
        <v>336</v>
      </c>
      <c r="O2" s="21" t="s">
        <v>256</v>
      </c>
      <c r="P2" s="22">
        <v>566</v>
      </c>
      <c r="Q2" s="22">
        <v>772</v>
      </c>
      <c r="R2" s="18">
        <v>0</v>
      </c>
      <c r="S2" s="18">
        <v>0</v>
      </c>
      <c r="T2" s="18">
        <v>0</v>
      </c>
      <c r="U2" s="18">
        <v>0</v>
      </c>
      <c r="V2" s="23"/>
    </row>
    <row r="3" spans="1:22" x14ac:dyDescent="0.2">
      <c r="A3" s="3">
        <f>A2</f>
        <v>44066</v>
      </c>
      <c r="B3" s="18" t="s">
        <v>21</v>
      </c>
      <c r="C3" s="9" t="s">
        <v>54</v>
      </c>
      <c r="D3" s="18" t="s">
        <v>23</v>
      </c>
      <c r="E3" s="18" t="s">
        <v>312</v>
      </c>
      <c r="F3" s="18" t="s">
        <v>24</v>
      </c>
      <c r="G3" s="19">
        <v>71500</v>
      </c>
      <c r="H3" s="9" t="s">
        <v>55</v>
      </c>
      <c r="I3" s="9" t="s">
        <v>56</v>
      </c>
      <c r="J3" s="25">
        <v>0.73263888888888884</v>
      </c>
      <c r="K3" s="26">
        <v>0.72430555555555554</v>
      </c>
      <c r="L3" s="25">
        <v>0.50694444444444442</v>
      </c>
      <c r="M3" s="26">
        <v>0.50416666666666665</v>
      </c>
      <c r="N3" s="26" t="s">
        <v>345</v>
      </c>
      <c r="O3" s="22" t="s">
        <v>337</v>
      </c>
      <c r="P3" s="18">
        <v>399</v>
      </c>
      <c r="Q3" s="22">
        <v>1261</v>
      </c>
      <c r="R3" s="9">
        <v>0</v>
      </c>
      <c r="S3" s="9">
        <v>0</v>
      </c>
      <c r="T3" s="9">
        <v>0</v>
      </c>
      <c r="U3" s="9">
        <v>0</v>
      </c>
      <c r="V3" s="23"/>
    </row>
    <row r="4" spans="1:22" x14ac:dyDescent="0.2">
      <c r="A4" s="3">
        <f t="shared" ref="A4:A6" si="0">A3</f>
        <v>44066</v>
      </c>
      <c r="B4" s="18" t="s">
        <v>21</v>
      </c>
      <c r="C4" s="27" t="s">
        <v>57</v>
      </c>
      <c r="D4" s="18" t="s">
        <v>23</v>
      </c>
      <c r="E4" s="26" t="s">
        <v>264</v>
      </c>
      <c r="F4" s="18" t="s">
        <v>24</v>
      </c>
      <c r="G4" s="19">
        <f>G3</f>
        <v>71500</v>
      </c>
      <c r="H4" s="18" t="s">
        <v>58</v>
      </c>
      <c r="I4" s="27" t="s">
        <v>59</v>
      </c>
      <c r="J4" s="28">
        <v>0.75</v>
      </c>
      <c r="K4" s="13">
        <v>0.73888888888888893</v>
      </c>
      <c r="L4" s="28">
        <v>0.51388888888888895</v>
      </c>
      <c r="M4" s="29">
        <v>0.5180555555555556</v>
      </c>
      <c r="N4" s="9" t="s">
        <v>346</v>
      </c>
      <c r="O4" s="30" t="s">
        <v>338</v>
      </c>
      <c r="P4" s="30">
        <v>780</v>
      </c>
      <c r="Q4" s="30">
        <v>2027</v>
      </c>
      <c r="R4" s="18">
        <v>0</v>
      </c>
      <c r="S4" s="18">
        <v>0</v>
      </c>
      <c r="T4" s="18">
        <v>0</v>
      </c>
      <c r="U4" s="18">
        <v>0</v>
      </c>
      <c r="V4" s="23"/>
    </row>
    <row r="5" spans="1:22" x14ac:dyDescent="0.2">
      <c r="A5" s="3">
        <f t="shared" si="0"/>
        <v>44066</v>
      </c>
      <c r="B5" s="18" t="s">
        <v>21</v>
      </c>
      <c r="C5" s="26" t="s">
        <v>60</v>
      </c>
      <c r="D5" s="18" t="s">
        <v>23</v>
      </c>
      <c r="E5" s="26" t="s">
        <v>312</v>
      </c>
      <c r="F5" s="18" t="s">
        <v>24</v>
      </c>
      <c r="G5" s="19">
        <v>71500</v>
      </c>
      <c r="H5" s="26" t="s">
        <v>61</v>
      </c>
      <c r="I5" s="26" t="s">
        <v>62</v>
      </c>
      <c r="J5" s="25">
        <v>0.94444444444444453</v>
      </c>
      <c r="K5" s="26">
        <v>0.93263888888888891</v>
      </c>
      <c r="L5" s="25">
        <v>0.75347222222222221</v>
      </c>
      <c r="M5" s="26">
        <v>0.7583333333333333</v>
      </c>
      <c r="N5" s="18" t="s">
        <v>349</v>
      </c>
      <c r="O5" s="18" t="s">
        <v>347</v>
      </c>
      <c r="P5" s="18">
        <v>353</v>
      </c>
      <c r="Q5" s="18">
        <v>985</v>
      </c>
      <c r="R5" s="18">
        <v>0</v>
      </c>
      <c r="S5" s="18">
        <v>0</v>
      </c>
      <c r="T5" s="9">
        <v>0</v>
      </c>
      <c r="U5" s="9">
        <v>0</v>
      </c>
      <c r="V5" s="23"/>
    </row>
    <row r="6" spans="1:22" x14ac:dyDescent="0.2">
      <c r="A6" s="3">
        <f t="shared" si="0"/>
        <v>44066</v>
      </c>
      <c r="B6" s="18" t="s">
        <v>21</v>
      </c>
      <c r="C6" s="23" t="s">
        <v>63</v>
      </c>
      <c r="D6" s="18" t="s">
        <v>23</v>
      </c>
      <c r="E6" s="23" t="s">
        <v>264</v>
      </c>
      <c r="F6" s="18" t="s">
        <v>24</v>
      </c>
      <c r="G6" s="19">
        <v>71500</v>
      </c>
      <c r="H6" s="23" t="s">
        <v>64</v>
      </c>
      <c r="I6" s="23" t="s">
        <v>65</v>
      </c>
      <c r="J6" s="31">
        <v>0.94097222222222221</v>
      </c>
      <c r="K6" s="32">
        <v>0.9277777777777777</v>
      </c>
      <c r="L6" s="31">
        <v>0.77083333333333337</v>
      </c>
      <c r="M6" s="32">
        <v>0.7680555555555556</v>
      </c>
      <c r="N6" s="23" t="s">
        <v>271</v>
      </c>
      <c r="O6" s="23" t="s">
        <v>348</v>
      </c>
      <c r="P6" s="23">
        <v>87</v>
      </c>
      <c r="Q6" s="23">
        <v>499</v>
      </c>
      <c r="R6" s="23">
        <v>0</v>
      </c>
      <c r="S6" s="23">
        <v>0</v>
      </c>
      <c r="T6" s="23">
        <v>0</v>
      </c>
      <c r="U6" s="23">
        <v>0</v>
      </c>
      <c r="V6" s="26"/>
    </row>
    <row r="7" spans="1:22" x14ac:dyDescent="0.2">
      <c r="A7" s="36">
        <v>44066</v>
      </c>
      <c r="B7" s="37" t="s">
        <v>339</v>
      </c>
      <c r="C7" s="47" t="s">
        <v>340</v>
      </c>
      <c r="D7" s="37" t="s">
        <v>341</v>
      </c>
      <c r="E7" s="18" t="s">
        <v>342</v>
      </c>
      <c r="F7" s="47" t="s">
        <v>142</v>
      </c>
      <c r="G7" s="38">
        <v>6727</v>
      </c>
      <c r="H7" s="47" t="s">
        <v>343</v>
      </c>
      <c r="I7" s="47" t="s">
        <v>344</v>
      </c>
      <c r="J7" s="75">
        <v>0.47222222222222227</v>
      </c>
      <c r="K7" s="48">
        <v>0.45694444444444443</v>
      </c>
      <c r="L7" s="75">
        <v>0.59722222222222221</v>
      </c>
      <c r="M7" s="48">
        <v>0.66875000000000007</v>
      </c>
      <c r="N7" s="11" t="s">
        <v>170</v>
      </c>
      <c r="O7" s="11">
        <v>1</v>
      </c>
      <c r="P7" s="11">
        <v>0</v>
      </c>
      <c r="Q7" s="11">
        <v>0</v>
      </c>
      <c r="R7" s="47">
        <v>0</v>
      </c>
      <c r="S7" s="47">
        <v>0</v>
      </c>
      <c r="T7" s="47">
        <v>0</v>
      </c>
      <c r="U7" s="47">
        <v>0</v>
      </c>
      <c r="V7" s="23"/>
    </row>
    <row r="8" spans="1:22" customFormat="1" ht="15" x14ac:dyDescent="0.25">
      <c r="A8" s="3"/>
      <c r="B8" s="9"/>
      <c r="C8" s="9"/>
      <c r="D8" s="9"/>
      <c r="E8" s="4"/>
      <c r="F8" s="9"/>
      <c r="G8" s="5"/>
      <c r="H8" s="4"/>
      <c r="I8" s="4"/>
      <c r="J8" s="12"/>
      <c r="K8" s="8"/>
      <c r="L8" s="12"/>
      <c r="M8" s="8"/>
      <c r="N8" s="11"/>
      <c r="O8" s="11"/>
      <c r="P8" s="79"/>
      <c r="Q8" s="79"/>
      <c r="R8" s="79"/>
      <c r="S8" s="79"/>
      <c r="T8" s="79"/>
      <c r="U8" s="79"/>
    </row>
    <row r="9" spans="1:22" ht="15" x14ac:dyDescent="0.25">
      <c r="A9" s="3"/>
      <c r="B9" s="9"/>
      <c r="C9" s="9"/>
      <c r="D9" s="9"/>
      <c r="E9" s="4"/>
      <c r="F9" s="9"/>
      <c r="G9" s="5"/>
      <c r="H9" s="4"/>
      <c r="I9" s="4"/>
      <c r="J9" s="12"/>
      <c r="K9" s="8"/>
      <c r="L9" s="12"/>
      <c r="M9" s="8"/>
      <c r="N9" s="11"/>
      <c r="O9" s="11"/>
      <c r="P9" s="79"/>
      <c r="Q9" s="79"/>
      <c r="R9" s="79"/>
      <c r="S9" s="79"/>
      <c r="T9" s="79"/>
      <c r="U9" s="79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1" max="1" width="10.7109375" style="46" customWidth="1"/>
    <col min="2" max="2" width="9.140625" style="46" bestFit="1" customWidth="1"/>
    <col min="3" max="3" width="13.5703125" style="46" bestFit="1" customWidth="1"/>
    <col min="4" max="4" width="5.7109375" style="46" bestFit="1" customWidth="1"/>
    <col min="5" max="5" width="14.5703125" style="46" bestFit="1" customWidth="1"/>
    <col min="6" max="6" width="14.42578125" style="46" bestFit="1" customWidth="1"/>
    <col min="7" max="9" width="9.7109375" style="46" bestFit="1" customWidth="1"/>
    <col min="10" max="10" width="11" style="46" bestFit="1" customWidth="1"/>
    <col min="11" max="11" width="10.85546875" style="46" bestFit="1" customWidth="1"/>
    <col min="12" max="12" width="11" style="46" bestFit="1" customWidth="1"/>
    <col min="13" max="13" width="10.85546875" style="46" bestFit="1" customWidth="1"/>
    <col min="14" max="15" width="18.42578125" style="46" bestFit="1" customWidth="1"/>
    <col min="16" max="17" width="10.28515625" style="46" bestFit="1" customWidth="1"/>
    <col min="18" max="16384" width="9.140625" style="46"/>
  </cols>
  <sheetData>
    <row r="1" spans="1:2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40" customFormat="1" ht="12.75" x14ac:dyDescent="0.2">
      <c r="A2" s="36">
        <v>44067</v>
      </c>
      <c r="B2" s="37" t="s">
        <v>21</v>
      </c>
      <c r="C2" s="11" t="s">
        <v>76</v>
      </c>
      <c r="D2" s="1" t="s">
        <v>23</v>
      </c>
      <c r="E2" s="11" t="s">
        <v>312</v>
      </c>
      <c r="F2" s="11" t="s">
        <v>24</v>
      </c>
      <c r="G2" s="38">
        <v>71500</v>
      </c>
      <c r="H2" s="11" t="s">
        <v>77</v>
      </c>
      <c r="I2" s="11" t="s">
        <v>78</v>
      </c>
      <c r="J2" s="12">
        <v>0.46180555555555558</v>
      </c>
      <c r="K2" s="8">
        <v>0.44375000000000003</v>
      </c>
      <c r="L2" s="12">
        <v>0.26041666666666669</v>
      </c>
      <c r="M2" s="8">
        <v>0.26180555555555557</v>
      </c>
      <c r="N2" s="8" t="s">
        <v>350</v>
      </c>
      <c r="O2" s="39" t="s">
        <v>351</v>
      </c>
      <c r="P2" s="39">
        <v>248</v>
      </c>
      <c r="Q2" s="39">
        <v>754</v>
      </c>
      <c r="R2" s="37">
        <v>0</v>
      </c>
      <c r="S2" s="37">
        <v>0</v>
      </c>
      <c r="T2" s="37">
        <v>0</v>
      </c>
      <c r="U2" s="37">
        <v>0</v>
      </c>
    </row>
    <row r="3" spans="1:21" s="40" customFormat="1" ht="12.75" x14ac:dyDescent="0.2">
      <c r="A3" s="36">
        <f>A2</f>
        <v>44067</v>
      </c>
      <c r="B3" s="37" t="s">
        <v>21</v>
      </c>
      <c r="C3" s="11" t="s">
        <v>54</v>
      </c>
      <c r="D3" s="1" t="s">
        <v>23</v>
      </c>
      <c r="E3" s="11" t="s">
        <v>264</v>
      </c>
      <c r="F3" s="11" t="s">
        <v>24</v>
      </c>
      <c r="G3" s="38">
        <v>71500</v>
      </c>
      <c r="H3" s="11" t="s">
        <v>55</v>
      </c>
      <c r="I3" s="11" t="s">
        <v>56</v>
      </c>
      <c r="J3" s="12">
        <v>0.72569444444444453</v>
      </c>
      <c r="K3" s="8">
        <v>0.71388888888888891</v>
      </c>
      <c r="L3" s="12">
        <v>0.5</v>
      </c>
      <c r="M3" s="8">
        <v>0.49722222222222223</v>
      </c>
      <c r="N3" s="41">
        <v>21</v>
      </c>
      <c r="O3" s="39" t="s">
        <v>352</v>
      </c>
      <c r="P3" s="39">
        <v>111</v>
      </c>
      <c r="Q3" s="39">
        <v>521</v>
      </c>
      <c r="R3" s="37">
        <v>0</v>
      </c>
      <c r="S3" s="37">
        <v>0</v>
      </c>
      <c r="T3" s="37">
        <v>0</v>
      </c>
      <c r="U3" s="37">
        <v>0</v>
      </c>
    </row>
    <row r="4" spans="1:21" customFormat="1" x14ac:dyDescent="0.25">
      <c r="A4" s="36">
        <f t="shared" ref="A4:A6" si="0">A3</f>
        <v>44067</v>
      </c>
      <c r="B4" s="37" t="s">
        <v>21</v>
      </c>
      <c r="C4" s="11" t="s">
        <v>80</v>
      </c>
      <c r="D4" s="1" t="s">
        <v>23</v>
      </c>
      <c r="E4" s="18" t="str">
        <f>E2</f>
        <v>HALPT</v>
      </c>
      <c r="F4" s="11" t="s">
        <v>24</v>
      </c>
      <c r="G4" s="38">
        <v>71500</v>
      </c>
      <c r="H4" s="11" t="s">
        <v>81</v>
      </c>
      <c r="I4" s="11" t="s">
        <v>82</v>
      </c>
      <c r="J4" s="12">
        <v>0.75</v>
      </c>
      <c r="K4" s="8">
        <v>0.73472222222222217</v>
      </c>
      <c r="L4" s="12">
        <v>0.53472222222222221</v>
      </c>
      <c r="M4" s="8">
        <v>0.53333333333333333</v>
      </c>
      <c r="N4" s="41" t="s">
        <v>354</v>
      </c>
      <c r="O4" s="39" t="s">
        <v>353</v>
      </c>
      <c r="P4" s="37">
        <v>132</v>
      </c>
      <c r="Q4" s="39">
        <v>622</v>
      </c>
      <c r="R4" s="37">
        <v>0</v>
      </c>
      <c r="S4" s="37">
        <v>0</v>
      </c>
      <c r="T4" s="37">
        <v>0</v>
      </c>
      <c r="U4" s="37">
        <v>0</v>
      </c>
    </row>
    <row r="5" spans="1:21" customFormat="1" x14ac:dyDescent="0.25">
      <c r="A5" s="36">
        <f t="shared" si="0"/>
        <v>44067</v>
      </c>
      <c r="B5" s="37" t="s">
        <v>21</v>
      </c>
      <c r="C5" s="37" t="s">
        <v>83</v>
      </c>
      <c r="D5" s="37" t="s">
        <v>23</v>
      </c>
      <c r="E5" s="11" t="str">
        <f>E3</f>
        <v>HALPR</v>
      </c>
      <c r="F5" s="37" t="s">
        <v>24</v>
      </c>
      <c r="G5" s="38">
        <v>71500</v>
      </c>
      <c r="H5" s="37" t="s">
        <v>84</v>
      </c>
      <c r="I5" s="37" t="s">
        <v>85</v>
      </c>
      <c r="J5" s="42">
        <v>0.89930555555555547</v>
      </c>
      <c r="K5" s="43">
        <v>0.8833333333333333</v>
      </c>
      <c r="L5" s="42">
        <v>0.75</v>
      </c>
      <c r="M5" s="44">
        <v>0.75416666666666676</v>
      </c>
      <c r="N5" s="41" t="s">
        <v>356</v>
      </c>
      <c r="O5" s="39" t="s">
        <v>98</v>
      </c>
      <c r="P5" s="37">
        <v>223</v>
      </c>
      <c r="Q5" s="39">
        <v>362</v>
      </c>
      <c r="R5" s="37">
        <v>0</v>
      </c>
      <c r="S5" s="37">
        <v>0</v>
      </c>
      <c r="T5" s="37">
        <v>0</v>
      </c>
      <c r="U5" s="37">
        <v>0</v>
      </c>
    </row>
    <row r="6" spans="1:21" customFormat="1" x14ac:dyDescent="0.25">
      <c r="A6" s="36">
        <f t="shared" si="0"/>
        <v>44067</v>
      </c>
      <c r="B6" s="37" t="s">
        <v>21</v>
      </c>
      <c r="C6" s="41" t="s">
        <v>63</v>
      </c>
      <c r="D6" s="37" t="s">
        <v>23</v>
      </c>
      <c r="E6" s="18" t="str">
        <f>E4</f>
        <v>HALPT</v>
      </c>
      <c r="F6" s="37" t="s">
        <v>24</v>
      </c>
      <c r="G6" s="38">
        <v>71500</v>
      </c>
      <c r="H6" s="41" t="s">
        <v>64</v>
      </c>
      <c r="I6" s="41" t="s">
        <v>65</v>
      </c>
      <c r="J6" s="45">
        <v>0.94097222222222221</v>
      </c>
      <c r="K6" s="43">
        <v>0.9555555555555556</v>
      </c>
      <c r="L6" s="45">
        <v>0.77083333333333337</v>
      </c>
      <c r="M6" s="43">
        <v>0.79583333333333339</v>
      </c>
      <c r="N6" s="41" t="s">
        <v>357</v>
      </c>
      <c r="O6" s="41" t="s">
        <v>355</v>
      </c>
      <c r="P6" s="41">
        <v>193</v>
      </c>
      <c r="Q6" s="39">
        <v>616</v>
      </c>
      <c r="R6" s="41">
        <v>0</v>
      </c>
      <c r="S6" s="41">
        <v>0</v>
      </c>
      <c r="T6" s="41">
        <v>0</v>
      </c>
      <c r="U6" s="41">
        <v>0</v>
      </c>
    </row>
    <row r="7" spans="1:21" s="47" customFormat="1" ht="12.75" x14ac:dyDescent="0.2">
      <c r="A7" s="36"/>
      <c r="B7" s="37"/>
      <c r="D7" s="37"/>
      <c r="E7" s="18"/>
      <c r="G7" s="38"/>
      <c r="J7" s="48"/>
      <c r="K7" s="48"/>
      <c r="L7" s="48"/>
      <c r="M7" s="48"/>
      <c r="N7" s="11"/>
      <c r="O7" s="11"/>
      <c r="P7" s="11"/>
      <c r="Q7" s="11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6" sqref="K6"/>
    </sheetView>
  </sheetViews>
  <sheetFormatPr defaultRowHeight="15" x14ac:dyDescent="0.25"/>
  <cols>
    <col min="1" max="2" width="9.140625" style="49"/>
    <col min="3" max="3" width="13.5703125" style="49" bestFit="1" customWidth="1"/>
    <col min="4" max="5" width="9.140625" style="49"/>
    <col min="6" max="6" width="18.5703125" style="49" bestFit="1" customWidth="1"/>
    <col min="7" max="7" width="9.7109375" style="49" bestFit="1" customWidth="1"/>
    <col min="8" max="12" width="9.140625" style="49"/>
    <col min="13" max="13" width="10.85546875" style="49" bestFit="1" customWidth="1"/>
    <col min="14" max="15" width="18.42578125" style="49" bestFit="1" customWidth="1"/>
    <col min="16" max="16384" width="9.140625" style="49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4" customFormat="1" ht="12.75" x14ac:dyDescent="0.2">
      <c r="A2" s="3">
        <v>44068</v>
      </c>
      <c r="B2" s="50" t="s">
        <v>21</v>
      </c>
      <c r="C2" s="50" t="s">
        <v>22</v>
      </c>
      <c r="D2" s="50" t="s">
        <v>23</v>
      </c>
      <c r="E2" s="50" t="s">
        <v>358</v>
      </c>
      <c r="F2" s="50" t="s">
        <v>24</v>
      </c>
      <c r="G2" s="51">
        <v>71500</v>
      </c>
      <c r="H2" s="50" t="s">
        <v>25</v>
      </c>
      <c r="I2" s="50" t="s">
        <v>26</v>
      </c>
      <c r="J2" s="52">
        <v>0.4548611111111111</v>
      </c>
      <c r="K2" s="35">
        <v>0.44236111111111115</v>
      </c>
      <c r="L2" s="52">
        <v>0.28125</v>
      </c>
      <c r="M2" s="35">
        <v>0.2902777777777778</v>
      </c>
      <c r="N2" s="24" t="s">
        <v>361</v>
      </c>
      <c r="O2" s="24" t="s">
        <v>359</v>
      </c>
      <c r="P2" s="24">
        <v>155</v>
      </c>
      <c r="Q2" s="24">
        <v>838</v>
      </c>
      <c r="R2" s="50">
        <v>0</v>
      </c>
      <c r="S2" s="50">
        <v>0</v>
      </c>
      <c r="T2" s="50">
        <v>0</v>
      </c>
      <c r="U2" s="50">
        <v>0</v>
      </c>
    </row>
    <row r="3" spans="1:21" s="24" customFormat="1" ht="12.75" x14ac:dyDescent="0.2">
      <c r="A3" s="3">
        <f>A2</f>
        <v>44068</v>
      </c>
      <c r="B3" s="50" t="s">
        <v>102</v>
      </c>
      <c r="C3" s="50" t="s">
        <v>103</v>
      </c>
      <c r="D3" s="50" t="s">
        <v>23</v>
      </c>
      <c r="E3" s="50" t="s">
        <v>104</v>
      </c>
      <c r="F3" s="50" t="s">
        <v>105</v>
      </c>
      <c r="G3" s="51">
        <v>77000</v>
      </c>
      <c r="H3" s="50" t="s">
        <v>106</v>
      </c>
      <c r="I3" s="50" t="s">
        <v>107</v>
      </c>
      <c r="J3" s="52">
        <v>0.3298611111111111</v>
      </c>
      <c r="K3" s="35">
        <v>0.32430555555555557</v>
      </c>
      <c r="L3" s="52">
        <v>0.37152777777777773</v>
      </c>
      <c r="M3" s="35">
        <v>0.37638888888888888</v>
      </c>
      <c r="N3" s="24" t="s">
        <v>360</v>
      </c>
      <c r="O3" s="24" t="s">
        <v>360</v>
      </c>
      <c r="P3" s="24">
        <v>2035</v>
      </c>
      <c r="Q3" s="24">
        <v>2303</v>
      </c>
      <c r="R3" s="50">
        <v>0</v>
      </c>
      <c r="S3" s="50">
        <v>0</v>
      </c>
      <c r="T3" s="50">
        <v>0</v>
      </c>
      <c r="U3" s="50">
        <v>0</v>
      </c>
    </row>
    <row r="4" spans="1:21" s="24" customFormat="1" ht="12.75" x14ac:dyDescent="0.2">
      <c r="A4" s="3">
        <f>A3</f>
        <v>44068</v>
      </c>
      <c r="B4" s="9" t="s">
        <v>21</v>
      </c>
      <c r="C4" s="9" t="s">
        <v>31</v>
      </c>
      <c r="D4" s="9" t="s">
        <v>23</v>
      </c>
      <c r="E4" s="50" t="s">
        <v>264</v>
      </c>
      <c r="F4" s="9" t="s">
        <v>24</v>
      </c>
      <c r="G4" s="51">
        <v>71500</v>
      </c>
      <c r="H4" s="50" t="s">
        <v>111</v>
      </c>
      <c r="I4" s="50" t="s">
        <v>33</v>
      </c>
      <c r="J4" s="34">
        <v>0.70138888888888884</v>
      </c>
      <c r="K4" s="35">
        <v>0.69166666666666676</v>
      </c>
      <c r="L4" s="34">
        <v>0.49652777777777773</v>
      </c>
      <c r="M4" s="35">
        <v>0.49583333333333335</v>
      </c>
      <c r="N4" s="24" t="s">
        <v>363</v>
      </c>
      <c r="O4" s="24" t="s">
        <v>366</v>
      </c>
      <c r="P4" s="24">
        <v>226</v>
      </c>
      <c r="Q4" s="24">
        <v>754</v>
      </c>
      <c r="R4" s="9">
        <v>0</v>
      </c>
      <c r="S4" s="9">
        <v>0</v>
      </c>
      <c r="T4" s="9">
        <v>0</v>
      </c>
      <c r="U4" s="9">
        <v>0</v>
      </c>
    </row>
    <row r="5" spans="1:21" s="24" customFormat="1" ht="12.75" x14ac:dyDescent="0.2">
      <c r="A5" s="3">
        <f>A4</f>
        <v>44068</v>
      </c>
      <c r="B5" s="9" t="s">
        <v>21</v>
      </c>
      <c r="C5" s="9" t="s">
        <v>34</v>
      </c>
      <c r="D5" s="9" t="s">
        <v>23</v>
      </c>
      <c r="E5" s="50" t="str">
        <f>E2</f>
        <v>HALWH</v>
      </c>
      <c r="F5" s="9" t="s">
        <v>24</v>
      </c>
      <c r="G5" s="53">
        <f>G2</f>
        <v>71500</v>
      </c>
      <c r="H5" s="9" t="s">
        <v>35</v>
      </c>
      <c r="I5" s="9" t="s">
        <v>36</v>
      </c>
      <c r="J5" s="15">
        <v>0.73958333333333337</v>
      </c>
      <c r="K5" s="35">
        <v>0.72083333333333333</v>
      </c>
      <c r="L5" s="15">
        <v>0.57291666666666663</v>
      </c>
      <c r="M5" s="35">
        <v>0.56944444444444442</v>
      </c>
      <c r="N5" s="24" t="s">
        <v>364</v>
      </c>
      <c r="O5" s="24" t="s">
        <v>362</v>
      </c>
      <c r="P5" s="24">
        <v>135</v>
      </c>
      <c r="Q5" s="24">
        <v>505</v>
      </c>
      <c r="R5" s="9">
        <v>0</v>
      </c>
      <c r="S5" s="9">
        <v>0</v>
      </c>
      <c r="T5" s="9">
        <v>0</v>
      </c>
      <c r="U5" s="9">
        <v>0</v>
      </c>
    </row>
    <row r="6" spans="1:21" s="24" customFormat="1" ht="12.75" x14ac:dyDescent="0.2">
      <c r="A6" s="3">
        <f>A5</f>
        <v>44068</v>
      </c>
      <c r="B6" s="24" t="s">
        <v>21</v>
      </c>
      <c r="C6" s="24" t="s">
        <v>108</v>
      </c>
      <c r="D6" s="24" t="s">
        <v>23</v>
      </c>
      <c r="E6" s="50" t="str">
        <f>E5</f>
        <v>HALWH</v>
      </c>
      <c r="F6" s="24" t="s">
        <v>24</v>
      </c>
      <c r="G6" s="51">
        <f>G5</f>
        <v>71500</v>
      </c>
      <c r="H6" s="24" t="s">
        <v>109</v>
      </c>
      <c r="I6" s="24" t="s">
        <v>110</v>
      </c>
      <c r="J6" s="34">
        <v>0.95486111111111116</v>
      </c>
      <c r="K6" s="35">
        <v>0.94374999999999998</v>
      </c>
      <c r="L6" s="34">
        <v>0.77777777777777779</v>
      </c>
      <c r="M6" s="35">
        <v>0.77569444444444446</v>
      </c>
      <c r="N6" s="24" t="s">
        <v>365</v>
      </c>
      <c r="O6" s="24" t="s">
        <v>367</v>
      </c>
      <c r="P6" s="24">
        <v>246</v>
      </c>
      <c r="Q6" s="24">
        <v>1028</v>
      </c>
      <c r="R6" s="24">
        <v>0</v>
      </c>
      <c r="S6" s="24">
        <v>0</v>
      </c>
      <c r="T6" s="24">
        <v>0</v>
      </c>
      <c r="U6" s="24">
        <v>0</v>
      </c>
    </row>
    <row r="7" spans="1:21" s="47" customFormat="1" ht="12.75" x14ac:dyDescent="0.2">
      <c r="A7" s="36">
        <v>44068</v>
      </c>
      <c r="B7" s="37" t="s">
        <v>368</v>
      </c>
      <c r="C7" s="47" t="s">
        <v>369</v>
      </c>
      <c r="D7" s="37" t="s">
        <v>370</v>
      </c>
      <c r="E7" s="18" t="s">
        <v>371</v>
      </c>
      <c r="F7" s="47" t="s">
        <v>372</v>
      </c>
      <c r="G7" s="38">
        <v>6713</v>
      </c>
      <c r="J7" s="75">
        <v>0.75</v>
      </c>
      <c r="K7" s="48">
        <v>0.76250000000000007</v>
      </c>
      <c r="L7" s="75">
        <v>0.79166666666666663</v>
      </c>
      <c r="M7" s="48">
        <v>0.7993055555555556</v>
      </c>
      <c r="N7" s="11"/>
      <c r="O7" s="11">
        <v>1</v>
      </c>
      <c r="P7" s="11">
        <v>0</v>
      </c>
      <c r="Q7" s="11">
        <v>0</v>
      </c>
      <c r="R7" s="47">
        <v>0</v>
      </c>
      <c r="S7" s="47">
        <v>0</v>
      </c>
      <c r="T7" s="47">
        <v>0</v>
      </c>
      <c r="U7" s="47">
        <v>0</v>
      </c>
    </row>
    <row r="8" spans="1:21" s="24" customFormat="1" ht="12.75" x14ac:dyDescent="0.2">
      <c r="A8" s="3"/>
      <c r="E8" s="50"/>
      <c r="G8" s="51"/>
      <c r="J8" s="34"/>
      <c r="K8" s="35"/>
      <c r="L8" s="34"/>
      <c r="M8" s="35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K6" sqref="K6"/>
    </sheetView>
  </sheetViews>
  <sheetFormatPr defaultRowHeight="15" x14ac:dyDescent="0.25"/>
  <cols>
    <col min="2" max="2" width="17.7109375" bestFit="1" customWidth="1"/>
    <col min="3" max="3" width="13.5703125" bestFit="1" customWidth="1"/>
    <col min="5" max="5" width="7.42578125" bestFit="1" customWidth="1"/>
    <col min="6" max="6" width="21" bestFit="1" customWidth="1"/>
    <col min="7" max="7" width="10.5703125" bestFit="1" customWidth="1"/>
    <col min="14" max="15" width="18.42578125" bestFit="1" customWidth="1"/>
  </cols>
  <sheetData>
    <row r="1" spans="1:21" s="40" customFormat="1" ht="12.75" x14ac:dyDescent="0.2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</row>
    <row r="2" spans="1:21" s="40" customFormat="1" ht="12.75" x14ac:dyDescent="0.2">
      <c r="A2" s="55">
        <v>44069</v>
      </c>
      <c r="B2" s="37" t="s">
        <v>21</v>
      </c>
      <c r="C2" s="56" t="s">
        <v>76</v>
      </c>
      <c r="D2" s="56" t="s">
        <v>23</v>
      </c>
      <c r="E2" s="56" t="s">
        <v>264</v>
      </c>
      <c r="F2" s="56" t="s">
        <v>24</v>
      </c>
      <c r="G2" s="57">
        <v>71500</v>
      </c>
      <c r="H2" s="56" t="s">
        <v>77</v>
      </c>
      <c r="I2" s="56" t="s">
        <v>78</v>
      </c>
      <c r="J2" s="58">
        <v>0.46180555555555558</v>
      </c>
      <c r="K2" s="59">
        <v>0.48541666666666666</v>
      </c>
      <c r="L2" s="58">
        <v>0.26041666666666669</v>
      </c>
      <c r="M2" s="59">
        <v>0.28472222222222221</v>
      </c>
      <c r="N2" s="56" t="s">
        <v>98</v>
      </c>
      <c r="O2" s="56" t="s">
        <v>375</v>
      </c>
      <c r="P2" s="56">
        <v>230</v>
      </c>
      <c r="Q2" s="56">
        <v>765</v>
      </c>
      <c r="R2" s="56">
        <v>0</v>
      </c>
      <c r="S2" s="56">
        <v>0</v>
      </c>
      <c r="T2" s="56">
        <v>0</v>
      </c>
      <c r="U2" s="56">
        <v>0</v>
      </c>
    </row>
    <row r="3" spans="1:21" s="40" customFormat="1" ht="12.75" x14ac:dyDescent="0.2">
      <c r="A3" s="55">
        <v>44069</v>
      </c>
      <c r="B3" s="37" t="s">
        <v>21</v>
      </c>
      <c r="C3" s="56" t="s">
        <v>51</v>
      </c>
      <c r="D3" s="56" t="s">
        <v>23</v>
      </c>
      <c r="E3" s="60" t="s">
        <v>358</v>
      </c>
      <c r="F3" s="56" t="s">
        <v>24</v>
      </c>
      <c r="G3" s="57">
        <v>71500</v>
      </c>
      <c r="H3" s="56" t="s">
        <v>52</v>
      </c>
      <c r="I3" s="56" t="s">
        <v>53</v>
      </c>
      <c r="J3" s="58">
        <v>0.4826388888888889</v>
      </c>
      <c r="K3" s="59">
        <v>0.49236111111111108</v>
      </c>
      <c r="L3" s="58">
        <v>0.27430555555555552</v>
      </c>
      <c r="M3" s="59">
        <v>0.28819444444444448</v>
      </c>
      <c r="N3" s="56" t="s">
        <v>374</v>
      </c>
      <c r="O3" s="56" t="s">
        <v>376</v>
      </c>
      <c r="P3" s="56">
        <v>230</v>
      </c>
      <c r="Q3" s="56">
        <v>478</v>
      </c>
      <c r="R3" s="56">
        <v>0</v>
      </c>
      <c r="S3" s="56">
        <v>0</v>
      </c>
      <c r="T3" s="56">
        <v>0</v>
      </c>
      <c r="U3" s="56">
        <v>0</v>
      </c>
    </row>
    <row r="4" spans="1:21" s="40" customFormat="1" ht="12.75" x14ac:dyDescent="0.2">
      <c r="A4" s="55">
        <v>44069</v>
      </c>
      <c r="B4" s="37" t="s">
        <v>21</v>
      </c>
      <c r="C4" s="41" t="s">
        <v>54</v>
      </c>
      <c r="D4" s="56" t="s">
        <v>23</v>
      </c>
      <c r="E4" s="56" t="s">
        <v>264</v>
      </c>
      <c r="F4" s="56" t="s">
        <v>24</v>
      </c>
      <c r="G4" s="57">
        <v>71500</v>
      </c>
      <c r="H4" s="61" t="s">
        <v>55</v>
      </c>
      <c r="I4" s="61" t="s">
        <v>56</v>
      </c>
      <c r="J4" s="45">
        <v>0.73263888888888884</v>
      </c>
      <c r="K4" s="43">
        <v>0.73749999999999993</v>
      </c>
      <c r="L4" s="45">
        <v>0.50694444444444442</v>
      </c>
      <c r="M4" s="43">
        <v>0.52083333333333337</v>
      </c>
      <c r="N4" s="56" t="s">
        <v>385</v>
      </c>
      <c r="O4" s="62" t="s">
        <v>383</v>
      </c>
      <c r="P4" s="41">
        <v>395</v>
      </c>
      <c r="Q4" s="39">
        <v>895</v>
      </c>
      <c r="R4" s="41">
        <v>0</v>
      </c>
      <c r="S4" s="41">
        <v>0</v>
      </c>
      <c r="T4" s="41">
        <v>0</v>
      </c>
      <c r="U4" s="41">
        <v>0</v>
      </c>
    </row>
    <row r="5" spans="1:21" s="40" customFormat="1" ht="12.75" x14ac:dyDescent="0.2">
      <c r="A5" s="55">
        <v>44069</v>
      </c>
      <c r="B5" s="37" t="s">
        <v>21</v>
      </c>
      <c r="C5" s="41" t="s">
        <v>57</v>
      </c>
      <c r="D5" s="56" t="s">
        <v>23</v>
      </c>
      <c r="E5" s="56" t="s">
        <v>373</v>
      </c>
      <c r="F5" s="56" t="s">
        <v>24</v>
      </c>
      <c r="G5" s="57">
        <v>71500</v>
      </c>
      <c r="H5" s="41" t="s">
        <v>58</v>
      </c>
      <c r="I5" s="41" t="s">
        <v>59</v>
      </c>
      <c r="J5" s="45">
        <v>0.75</v>
      </c>
      <c r="K5" s="43">
        <v>0.74930555555555556</v>
      </c>
      <c r="L5" s="45">
        <v>0.51388888888888895</v>
      </c>
      <c r="M5" s="43">
        <v>0.53055555555555556</v>
      </c>
      <c r="N5" s="41" t="s">
        <v>386</v>
      </c>
      <c r="O5" s="41" t="s">
        <v>384</v>
      </c>
      <c r="P5" s="41">
        <v>430</v>
      </c>
      <c r="Q5" s="39">
        <v>1689</v>
      </c>
      <c r="R5" s="41">
        <v>0</v>
      </c>
      <c r="S5" s="41">
        <v>0</v>
      </c>
      <c r="T5" s="41">
        <v>0</v>
      </c>
      <c r="U5" s="41">
        <v>0</v>
      </c>
    </row>
    <row r="6" spans="1:21" s="40" customFormat="1" ht="12.75" x14ac:dyDescent="0.2">
      <c r="A6" s="55">
        <v>44069</v>
      </c>
      <c r="B6" s="37" t="s">
        <v>21</v>
      </c>
      <c r="C6" s="41" t="s">
        <v>60</v>
      </c>
      <c r="D6" s="56" t="s">
        <v>23</v>
      </c>
      <c r="E6" s="56" t="s">
        <v>264</v>
      </c>
      <c r="F6" s="56" t="s">
        <v>24</v>
      </c>
      <c r="G6" s="57">
        <v>71500</v>
      </c>
      <c r="H6" s="61" t="s">
        <v>119</v>
      </c>
      <c r="I6" s="61" t="s">
        <v>62</v>
      </c>
      <c r="J6" s="45">
        <v>0.94444444444444453</v>
      </c>
      <c r="K6" s="43">
        <v>0.94166666666666676</v>
      </c>
      <c r="L6" s="45">
        <v>0.75347222222222221</v>
      </c>
      <c r="M6" s="43">
        <v>0.7680555555555556</v>
      </c>
      <c r="N6" s="56" t="s">
        <v>290</v>
      </c>
      <c r="O6" s="41" t="s">
        <v>387</v>
      </c>
      <c r="P6" s="41">
        <v>283</v>
      </c>
      <c r="Q6" s="41">
        <v>651</v>
      </c>
      <c r="R6" s="41">
        <v>0</v>
      </c>
      <c r="S6" s="41">
        <v>0</v>
      </c>
      <c r="T6" s="41">
        <v>0</v>
      </c>
      <c r="U6" s="41">
        <v>0</v>
      </c>
    </row>
    <row r="7" spans="1:21" s="70" customFormat="1" ht="12.75" x14ac:dyDescent="0.25">
      <c r="A7" s="64">
        <f>A6</f>
        <v>44069</v>
      </c>
      <c r="B7" s="37" t="s">
        <v>377</v>
      </c>
      <c r="C7" s="63" t="s">
        <v>378</v>
      </c>
      <c r="D7" s="65" t="s">
        <v>379</v>
      </c>
      <c r="E7" s="65" t="s">
        <v>380</v>
      </c>
      <c r="F7" s="65" t="s">
        <v>381</v>
      </c>
      <c r="G7" s="66">
        <v>4717</v>
      </c>
      <c r="H7" s="67" t="s">
        <v>382</v>
      </c>
      <c r="I7" s="67" t="str">
        <f>H7</f>
        <v>PNC9CJ</v>
      </c>
      <c r="J7" s="68">
        <v>0.5</v>
      </c>
      <c r="K7" s="69">
        <f>J7</f>
        <v>0.5</v>
      </c>
      <c r="L7" s="68">
        <v>0.54166666666666663</v>
      </c>
      <c r="M7" s="69">
        <v>0.57430555555555551</v>
      </c>
      <c r="N7" s="65">
        <v>0</v>
      </c>
      <c r="O7" s="41" t="s">
        <v>388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</row>
    <row r="8" spans="1:21" s="2" customFormat="1" x14ac:dyDescent="0.25">
      <c r="A8" s="78"/>
      <c r="B8" s="37"/>
      <c r="C8" s="41"/>
      <c r="D8" s="76"/>
      <c r="E8" s="76"/>
      <c r="F8" s="76"/>
      <c r="G8" s="77"/>
      <c r="H8" s="76"/>
      <c r="I8" s="76"/>
      <c r="J8" s="12"/>
      <c r="K8" s="8"/>
      <c r="L8" s="12"/>
      <c r="M8" s="8"/>
      <c r="N8" s="11"/>
      <c r="O8" s="41"/>
      <c r="Q8" s="41"/>
      <c r="R8" s="41"/>
      <c r="S8" s="41"/>
      <c r="T8" s="41"/>
      <c r="U8" s="41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9" sqref="K9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44070</v>
      </c>
      <c r="B2" s="9" t="s">
        <v>21</v>
      </c>
      <c r="C2" s="9" t="s">
        <v>27</v>
      </c>
      <c r="D2" s="9" t="s">
        <v>23</v>
      </c>
      <c r="E2" s="4" t="s">
        <v>264</v>
      </c>
      <c r="F2" s="9" t="s">
        <v>24</v>
      </c>
      <c r="G2" s="5">
        <f>G3</f>
        <v>71500</v>
      </c>
      <c r="H2" s="4" t="s">
        <v>29</v>
      </c>
      <c r="I2" s="4" t="s">
        <v>30</v>
      </c>
      <c r="J2" s="12">
        <v>0.55555555555555558</v>
      </c>
      <c r="K2" s="13">
        <v>0.55833333333333335</v>
      </c>
      <c r="L2" s="12">
        <v>0.40972222222222227</v>
      </c>
      <c r="M2" s="8">
        <v>0.4145833333333333</v>
      </c>
      <c r="N2" s="9" t="s">
        <v>353</v>
      </c>
      <c r="O2" s="14" t="s">
        <v>389</v>
      </c>
      <c r="P2" s="4">
        <v>317</v>
      </c>
      <c r="Q2" s="10">
        <v>824</v>
      </c>
      <c r="R2" s="9">
        <v>0</v>
      </c>
      <c r="S2" s="9">
        <v>0</v>
      </c>
      <c r="T2" s="9">
        <v>0</v>
      </c>
      <c r="U2" s="9">
        <v>0</v>
      </c>
    </row>
    <row r="3" spans="1:21" s="2" customFormat="1" x14ac:dyDescent="0.25">
      <c r="A3" s="3">
        <f t="shared" ref="A3" si="0">A2</f>
        <v>44070</v>
      </c>
      <c r="B3" s="9" t="s">
        <v>21</v>
      </c>
      <c r="C3" s="9" t="s">
        <v>31</v>
      </c>
      <c r="D3" s="9" t="s">
        <v>23</v>
      </c>
      <c r="E3" s="4" t="s">
        <v>373</v>
      </c>
      <c r="F3" s="9" t="s">
        <v>24</v>
      </c>
      <c r="G3" s="5">
        <v>71500</v>
      </c>
      <c r="H3" s="9" t="s">
        <v>32</v>
      </c>
      <c r="I3" s="9" t="s">
        <v>33</v>
      </c>
      <c r="J3" s="15">
        <v>0.70138888888888884</v>
      </c>
      <c r="K3" s="13">
        <v>0.6791666666666667</v>
      </c>
      <c r="L3" s="15">
        <v>0.49652777777777773</v>
      </c>
      <c r="M3" s="8">
        <v>0.4916666666666667</v>
      </c>
      <c r="N3" s="9" t="s">
        <v>391</v>
      </c>
      <c r="O3" s="9" t="s">
        <v>390</v>
      </c>
      <c r="P3" s="9">
        <v>124</v>
      </c>
      <c r="Q3" s="10">
        <v>451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/>
      <c r="B4" s="9"/>
      <c r="C4" s="9"/>
      <c r="D4" s="9"/>
      <c r="E4" s="4"/>
      <c r="F4" s="9"/>
      <c r="G4" s="5"/>
      <c r="H4" s="9"/>
      <c r="I4" s="9"/>
      <c r="J4" s="15"/>
      <c r="K4" s="7"/>
      <c r="L4" s="15"/>
      <c r="M4" s="8"/>
      <c r="N4" s="9"/>
      <c r="O4" s="9"/>
      <c r="P4" s="9"/>
      <c r="Q4" s="9"/>
      <c r="R4" s="9"/>
      <c r="S4" s="9"/>
      <c r="T4" s="9"/>
      <c r="U4" s="9"/>
    </row>
    <row r="5" spans="1:21" x14ac:dyDescent="0.25">
      <c r="A5" s="72"/>
      <c r="B5" s="9"/>
      <c r="C5" s="9"/>
      <c r="D5" s="9"/>
      <c r="E5" s="4"/>
      <c r="F5" s="9"/>
      <c r="G5" s="5"/>
      <c r="H5" s="11"/>
      <c r="I5" s="8"/>
      <c r="J5" s="8"/>
      <c r="K5" s="8"/>
      <c r="L5" s="8"/>
      <c r="M5" s="8"/>
      <c r="N5" s="73"/>
      <c r="O5" s="74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D1" workbookViewId="0">
      <selection activeCell="N7" sqref="N7"/>
    </sheetView>
  </sheetViews>
  <sheetFormatPr defaultRowHeight="12.75" x14ac:dyDescent="0.2"/>
  <cols>
    <col min="1" max="1" width="9.140625" style="71"/>
    <col min="2" max="2" width="10.140625" style="71" bestFit="1" customWidth="1"/>
    <col min="3" max="3" width="13.5703125" style="71" bestFit="1" customWidth="1"/>
    <col min="4" max="5" width="9.140625" style="71"/>
    <col min="6" max="6" width="14.42578125" style="71" bestFit="1" customWidth="1"/>
    <col min="7" max="7" width="9.7109375" style="71" bestFit="1" customWidth="1"/>
    <col min="8" max="9" width="9.140625" style="71"/>
    <col min="10" max="10" width="11" style="71" bestFit="1" customWidth="1"/>
    <col min="11" max="11" width="10.85546875" style="71" bestFit="1" customWidth="1"/>
    <col min="12" max="12" width="9.140625" style="71"/>
    <col min="13" max="13" width="10.85546875" style="71" bestFit="1" customWidth="1"/>
    <col min="14" max="15" width="18.42578125" style="71" bestFit="1" customWidth="1"/>
    <col min="16" max="16384" width="9.140625" style="7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44071</v>
      </c>
      <c r="B2" s="37" t="s">
        <v>21</v>
      </c>
      <c r="C2" s="11" t="s">
        <v>76</v>
      </c>
      <c r="D2" s="1" t="s">
        <v>23</v>
      </c>
      <c r="E2" s="11" t="s">
        <v>264</v>
      </c>
      <c r="F2" s="11" t="s">
        <v>24</v>
      </c>
      <c r="G2" s="38">
        <v>71500</v>
      </c>
      <c r="H2" s="11" t="s">
        <v>77</v>
      </c>
      <c r="I2" s="11" t="s">
        <v>78</v>
      </c>
      <c r="J2" s="12">
        <v>0.46180555555555558</v>
      </c>
      <c r="K2" s="8">
        <v>0.4604166666666667</v>
      </c>
      <c r="L2" s="12">
        <v>0.26041666666666669</v>
      </c>
      <c r="M2" s="8">
        <v>0.2638888888888889</v>
      </c>
      <c r="N2" s="11" t="s">
        <v>226</v>
      </c>
      <c r="O2" s="11" t="s">
        <v>394</v>
      </c>
      <c r="P2" s="11">
        <v>443</v>
      </c>
      <c r="Q2" s="11">
        <v>871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3">
        <f>A2</f>
        <v>44071</v>
      </c>
      <c r="B3" s="37" t="s">
        <v>21</v>
      </c>
      <c r="C3" s="11" t="s">
        <v>51</v>
      </c>
      <c r="D3" s="1" t="s">
        <v>23</v>
      </c>
      <c r="E3" s="11" t="s">
        <v>373</v>
      </c>
      <c r="F3" s="11" t="s">
        <v>24</v>
      </c>
      <c r="G3" s="38">
        <v>71500</v>
      </c>
      <c r="H3" s="11" t="s">
        <v>52</v>
      </c>
      <c r="I3" s="11" t="s">
        <v>53</v>
      </c>
      <c r="J3" s="12">
        <v>0.47569444444444442</v>
      </c>
      <c r="K3" s="8">
        <v>0.45694444444444443</v>
      </c>
      <c r="L3" s="12">
        <v>0.27430555555555552</v>
      </c>
      <c r="M3" s="8">
        <v>0.27291666666666664</v>
      </c>
      <c r="N3" s="11" t="s">
        <v>392</v>
      </c>
      <c r="O3" s="11" t="s">
        <v>239</v>
      </c>
      <c r="P3" s="11">
        <v>498</v>
      </c>
      <c r="Q3" s="11">
        <v>714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f t="shared" ref="A4:A8" si="0">A3</f>
        <v>44071</v>
      </c>
      <c r="B4" s="37" t="s">
        <v>21</v>
      </c>
      <c r="C4" s="11" t="s">
        <v>54</v>
      </c>
      <c r="D4" s="1" t="s">
        <v>23</v>
      </c>
      <c r="E4" s="11" t="s">
        <v>264</v>
      </c>
      <c r="F4" s="11" t="s">
        <v>24</v>
      </c>
      <c r="G4" s="38">
        <v>71500</v>
      </c>
      <c r="H4" s="11" t="s">
        <v>55</v>
      </c>
      <c r="I4" s="11" t="s">
        <v>56</v>
      </c>
      <c r="J4" s="12">
        <v>0.72569444444444453</v>
      </c>
      <c r="K4" s="8">
        <v>0.72569444444444453</v>
      </c>
      <c r="L4" s="12">
        <v>0.5</v>
      </c>
      <c r="M4" s="8">
        <v>0.4993055555555555</v>
      </c>
      <c r="N4" s="11">
        <v>105</v>
      </c>
      <c r="O4" s="11" t="s">
        <v>198</v>
      </c>
      <c r="P4" s="11">
        <v>358</v>
      </c>
      <c r="Q4" s="11">
        <v>1239</v>
      </c>
      <c r="R4" s="9">
        <v>0</v>
      </c>
      <c r="S4" s="9">
        <v>0</v>
      </c>
      <c r="T4" s="9">
        <v>0</v>
      </c>
      <c r="U4" s="9">
        <v>0</v>
      </c>
    </row>
    <row r="5" spans="1:21" x14ac:dyDescent="0.2">
      <c r="A5" s="3">
        <f t="shared" si="0"/>
        <v>44071</v>
      </c>
      <c r="B5" s="37" t="s">
        <v>21</v>
      </c>
      <c r="C5" s="11" t="s">
        <v>80</v>
      </c>
      <c r="D5" s="1" t="s">
        <v>23</v>
      </c>
      <c r="E5" s="11" t="str">
        <f>E3</f>
        <v>HALYP</v>
      </c>
      <c r="F5" s="11" t="s">
        <v>24</v>
      </c>
      <c r="G5" s="38">
        <v>71500</v>
      </c>
      <c r="H5" s="11" t="s">
        <v>81</v>
      </c>
      <c r="I5" s="11" t="s">
        <v>82</v>
      </c>
      <c r="J5" s="12">
        <v>0.75</v>
      </c>
      <c r="K5" s="8">
        <v>0.73958333333333337</v>
      </c>
      <c r="L5" s="12">
        <v>0.53472222222222221</v>
      </c>
      <c r="M5" s="8">
        <v>0.53749999999999998</v>
      </c>
      <c r="N5" s="11" t="s">
        <v>396</v>
      </c>
      <c r="O5" s="11" t="s">
        <v>395</v>
      </c>
      <c r="P5" s="11">
        <v>487</v>
      </c>
      <c r="Q5" s="11">
        <v>457</v>
      </c>
      <c r="R5" s="9">
        <v>0</v>
      </c>
      <c r="S5" s="9">
        <v>0</v>
      </c>
      <c r="T5" s="9">
        <v>0</v>
      </c>
      <c r="U5" s="9">
        <v>0</v>
      </c>
    </row>
    <row r="6" spans="1:21" s="11" customFormat="1" x14ac:dyDescent="0.2">
      <c r="A6" s="3">
        <f t="shared" si="0"/>
        <v>44071</v>
      </c>
      <c r="B6" s="37" t="s">
        <v>21</v>
      </c>
      <c r="C6" s="11" t="s">
        <v>83</v>
      </c>
      <c r="D6" s="1" t="s">
        <v>23</v>
      </c>
      <c r="E6" s="11" t="s">
        <v>264</v>
      </c>
      <c r="F6" s="11" t="s">
        <v>24</v>
      </c>
      <c r="G6" s="38">
        <v>71500</v>
      </c>
      <c r="H6" s="11" t="s">
        <v>84</v>
      </c>
      <c r="I6" s="11" t="s">
        <v>85</v>
      </c>
      <c r="J6" s="12">
        <v>0.89930555555555547</v>
      </c>
      <c r="K6" s="8">
        <v>0.88888888888888884</v>
      </c>
      <c r="L6" s="12">
        <v>0.75</v>
      </c>
      <c r="M6" s="8">
        <v>0.75694444444444453</v>
      </c>
      <c r="N6" s="11" t="s">
        <v>399</v>
      </c>
      <c r="O6" s="11" t="s">
        <v>397</v>
      </c>
      <c r="P6" s="11">
        <v>152</v>
      </c>
      <c r="Q6" s="11">
        <v>438</v>
      </c>
      <c r="R6" s="9">
        <v>0</v>
      </c>
      <c r="S6" s="9">
        <v>0</v>
      </c>
      <c r="T6" s="9">
        <v>0</v>
      </c>
      <c r="U6" s="9">
        <v>0</v>
      </c>
    </row>
    <row r="7" spans="1:21" x14ac:dyDescent="0.2">
      <c r="A7" s="3">
        <f t="shared" si="0"/>
        <v>44071</v>
      </c>
      <c r="B7" s="37" t="s">
        <v>21</v>
      </c>
      <c r="C7" s="11" t="s">
        <v>63</v>
      </c>
      <c r="D7" s="1" t="s">
        <v>23</v>
      </c>
      <c r="E7" s="11" t="str">
        <f>E5</f>
        <v>HALYP</v>
      </c>
      <c r="F7" s="11" t="s">
        <v>24</v>
      </c>
      <c r="G7" s="38">
        <v>71500</v>
      </c>
      <c r="H7" s="11" t="s">
        <v>64</v>
      </c>
      <c r="I7" s="11" t="s">
        <v>65</v>
      </c>
      <c r="J7" s="12">
        <v>0.94097222222222221</v>
      </c>
      <c r="K7" s="8">
        <v>0.92708333333333337</v>
      </c>
      <c r="L7" s="12">
        <v>0.77083333333333337</v>
      </c>
      <c r="M7" s="8">
        <v>0.77500000000000002</v>
      </c>
      <c r="N7" s="11">
        <v>52</v>
      </c>
      <c r="O7" s="11" t="s">
        <v>398</v>
      </c>
      <c r="P7" s="11">
        <v>223</v>
      </c>
      <c r="Q7" s="11">
        <v>735</v>
      </c>
      <c r="R7" s="9">
        <v>0</v>
      </c>
      <c r="S7" s="9">
        <v>0</v>
      </c>
      <c r="T7" s="9">
        <v>0</v>
      </c>
      <c r="U7" s="9">
        <v>0</v>
      </c>
    </row>
    <row r="8" spans="1:21" x14ac:dyDescent="0.2">
      <c r="A8" s="3">
        <f t="shared" si="0"/>
        <v>44071</v>
      </c>
      <c r="B8" s="4" t="s">
        <v>102</v>
      </c>
      <c r="C8" s="4" t="s">
        <v>103</v>
      </c>
      <c r="D8" s="4" t="s">
        <v>23</v>
      </c>
      <c r="E8" s="4" t="s">
        <v>321</v>
      </c>
      <c r="F8" s="4" t="s">
        <v>105</v>
      </c>
      <c r="G8" s="5">
        <v>77000</v>
      </c>
      <c r="H8" s="4" t="s">
        <v>106</v>
      </c>
      <c r="I8" s="4" t="s">
        <v>107</v>
      </c>
      <c r="J8" s="6">
        <v>0.3298611111111111</v>
      </c>
      <c r="K8" s="8">
        <v>0.31736111111111115</v>
      </c>
      <c r="L8" s="6">
        <v>0.37152777777777773</v>
      </c>
      <c r="M8" s="8">
        <v>0.36805555555555558</v>
      </c>
      <c r="N8" s="11" t="s">
        <v>393</v>
      </c>
      <c r="O8" s="11" t="s">
        <v>69</v>
      </c>
      <c r="P8" s="11">
        <v>2586</v>
      </c>
      <c r="Q8" s="11">
        <v>2175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72"/>
      <c r="B9" s="11"/>
      <c r="C9" s="11"/>
      <c r="D9" s="11"/>
      <c r="E9" s="11"/>
      <c r="F9" s="11"/>
      <c r="G9" s="38"/>
      <c r="H9" s="11"/>
      <c r="I9" s="11"/>
      <c r="J9" s="12"/>
      <c r="K9" s="8"/>
      <c r="L9" s="12"/>
      <c r="M9" s="8"/>
      <c r="N9" s="11"/>
      <c r="O9" s="11"/>
      <c r="P9" s="11"/>
      <c r="Q9" s="11"/>
      <c r="R9" s="4"/>
      <c r="S9" s="4"/>
      <c r="T9" s="4"/>
      <c r="U9" s="4"/>
    </row>
    <row r="10" spans="1:21" x14ac:dyDescent="0.2">
      <c r="A10" s="72"/>
      <c r="B10" s="11"/>
      <c r="C10" s="11"/>
      <c r="D10" s="11"/>
      <c r="E10" s="11"/>
      <c r="F10" s="11"/>
      <c r="G10" s="38"/>
      <c r="H10" s="11"/>
      <c r="I10" s="11"/>
      <c r="J10" s="12"/>
      <c r="K10" s="8"/>
      <c r="L10" s="12"/>
      <c r="M10" s="8"/>
      <c r="N10" s="11"/>
      <c r="O10" s="11"/>
      <c r="P10" s="11"/>
      <c r="Q10" s="11"/>
      <c r="R10" s="11"/>
      <c r="S10" s="11"/>
      <c r="T10" s="11"/>
      <c r="U10" s="11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N6" sqref="N6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3">
        <v>44072</v>
      </c>
      <c r="B2" s="4" t="s">
        <v>21</v>
      </c>
      <c r="C2" s="4" t="s">
        <v>22</v>
      </c>
      <c r="D2" s="4" t="s">
        <v>23</v>
      </c>
      <c r="E2" s="4" t="s">
        <v>264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0.44722222222222219</v>
      </c>
      <c r="L2" s="6">
        <v>0.28125</v>
      </c>
      <c r="M2" s="8">
        <v>0.27777777777777779</v>
      </c>
      <c r="N2" s="9" t="s">
        <v>401</v>
      </c>
      <c r="O2" s="10" t="s">
        <v>400</v>
      </c>
      <c r="P2" s="11">
        <v>650</v>
      </c>
      <c r="Q2" s="10">
        <v>1085</v>
      </c>
      <c r="R2" s="4">
        <v>0</v>
      </c>
      <c r="S2" s="4">
        <v>0</v>
      </c>
      <c r="T2" s="4">
        <v>0</v>
      </c>
      <c r="U2" s="4">
        <v>0</v>
      </c>
    </row>
    <row r="3" spans="1:21" s="2" customFormat="1" x14ac:dyDescent="0.25">
      <c r="A3" s="3">
        <f>A2</f>
        <v>44072</v>
      </c>
      <c r="B3" s="9" t="s">
        <v>21</v>
      </c>
      <c r="C3" s="9" t="s">
        <v>27</v>
      </c>
      <c r="D3" s="9" t="s">
        <v>23</v>
      </c>
      <c r="E3" s="4" t="s">
        <v>373</v>
      </c>
      <c r="F3" s="9" t="s">
        <v>24</v>
      </c>
      <c r="G3" s="5">
        <v>71500</v>
      </c>
      <c r="H3" s="4" t="s">
        <v>29</v>
      </c>
      <c r="I3" s="4" t="s">
        <v>30</v>
      </c>
      <c r="J3" s="12">
        <v>0.54166666666666663</v>
      </c>
      <c r="K3" s="13">
        <v>0.53055555555555556</v>
      </c>
      <c r="L3" s="12">
        <v>0.39583333333333331</v>
      </c>
      <c r="M3" s="8">
        <v>0.39444444444444443</v>
      </c>
      <c r="N3" s="9" t="s">
        <v>403</v>
      </c>
      <c r="O3" s="14" t="s">
        <v>337</v>
      </c>
      <c r="P3" s="4">
        <v>885</v>
      </c>
      <c r="Q3" s="10">
        <v>770</v>
      </c>
      <c r="R3" s="9">
        <v>0</v>
      </c>
      <c r="S3" s="9">
        <v>0</v>
      </c>
      <c r="T3" s="9">
        <v>0</v>
      </c>
      <c r="U3" s="9">
        <v>0</v>
      </c>
    </row>
    <row r="4" spans="1:21" s="2" customFormat="1" x14ac:dyDescent="0.25">
      <c r="A4" s="3">
        <f>A3</f>
        <v>44072</v>
      </c>
      <c r="B4" s="9" t="s">
        <v>21</v>
      </c>
      <c r="C4" s="9" t="s">
        <v>31</v>
      </c>
      <c r="D4" s="9" t="s">
        <v>23</v>
      </c>
      <c r="E4" s="4" t="str">
        <f>E2</f>
        <v>HALPR</v>
      </c>
      <c r="F4" s="9" t="s">
        <v>24</v>
      </c>
      <c r="G4" s="5">
        <v>71500</v>
      </c>
      <c r="H4" s="9" t="s">
        <v>32</v>
      </c>
      <c r="I4" s="9" t="s">
        <v>33</v>
      </c>
      <c r="J4" s="15">
        <v>0.69444444444444453</v>
      </c>
      <c r="K4" s="13">
        <v>0.69305555555555554</v>
      </c>
      <c r="L4" s="15">
        <v>0.49652777777777773</v>
      </c>
      <c r="M4" s="8">
        <v>0.49236111111111108</v>
      </c>
      <c r="N4" s="9" t="s">
        <v>406</v>
      </c>
      <c r="O4" s="9" t="s">
        <v>402</v>
      </c>
      <c r="P4" s="9">
        <v>306</v>
      </c>
      <c r="Q4" s="10">
        <v>1155</v>
      </c>
      <c r="R4" s="9">
        <v>0</v>
      </c>
      <c r="S4" s="9">
        <v>0</v>
      </c>
      <c r="T4" s="9">
        <v>0</v>
      </c>
      <c r="U4" s="9">
        <v>0</v>
      </c>
    </row>
    <row r="5" spans="1:21" s="2" customFormat="1" x14ac:dyDescent="0.25">
      <c r="A5" s="3">
        <f>A4</f>
        <v>44072</v>
      </c>
      <c r="B5" s="9" t="s">
        <v>21</v>
      </c>
      <c r="C5" s="9" t="s">
        <v>34</v>
      </c>
      <c r="D5" s="9" t="s">
        <v>23</v>
      </c>
      <c r="E5" s="4" t="str">
        <f>E3</f>
        <v>HALYP</v>
      </c>
      <c r="F5" s="9" t="s">
        <v>24</v>
      </c>
      <c r="G5" s="5">
        <v>71500</v>
      </c>
      <c r="H5" s="9" t="s">
        <v>35</v>
      </c>
      <c r="I5" s="9" t="s">
        <v>36</v>
      </c>
      <c r="J5" s="15">
        <v>0.73958333333333337</v>
      </c>
      <c r="K5" s="7">
        <v>0.72569444444444453</v>
      </c>
      <c r="L5" s="15">
        <v>0.57291666666666663</v>
      </c>
      <c r="M5" s="8">
        <v>0.57152777777777775</v>
      </c>
      <c r="N5" s="9" t="s">
        <v>407</v>
      </c>
      <c r="O5" s="9" t="s">
        <v>404</v>
      </c>
      <c r="P5" s="9">
        <v>391</v>
      </c>
      <c r="Q5" s="9">
        <v>990</v>
      </c>
      <c r="R5" s="9">
        <v>0</v>
      </c>
      <c r="S5" s="9">
        <v>0</v>
      </c>
      <c r="T5" s="9">
        <v>0</v>
      </c>
      <c r="U5" s="9">
        <v>0</v>
      </c>
    </row>
    <row r="6" spans="1:21" s="2" customFormat="1" x14ac:dyDescent="0.25">
      <c r="A6" s="3">
        <f>A5</f>
        <v>44072</v>
      </c>
      <c r="B6" s="11" t="s">
        <v>21</v>
      </c>
      <c r="C6" s="11" t="s">
        <v>108</v>
      </c>
      <c r="D6" s="11" t="s">
        <v>23</v>
      </c>
      <c r="E6" s="4" t="str">
        <f>E5</f>
        <v>HALYP</v>
      </c>
      <c r="F6" s="11" t="s">
        <v>24</v>
      </c>
      <c r="G6" s="5">
        <f>G5</f>
        <v>71500</v>
      </c>
      <c r="H6" s="11" t="s">
        <v>109</v>
      </c>
      <c r="I6" s="11" t="s">
        <v>110</v>
      </c>
      <c r="J6" s="12">
        <v>0.95486111111111116</v>
      </c>
      <c r="K6" s="8">
        <v>0.94791666666666663</v>
      </c>
      <c r="L6" s="12">
        <v>0.77777777777777779</v>
      </c>
      <c r="M6" s="8">
        <v>0.77569444444444446</v>
      </c>
      <c r="N6" s="11" t="s">
        <v>408</v>
      </c>
      <c r="O6" s="11" t="s">
        <v>405</v>
      </c>
      <c r="P6" s="11">
        <v>1037</v>
      </c>
      <c r="Q6" s="11">
        <v>1226</v>
      </c>
      <c r="R6" s="11">
        <v>0</v>
      </c>
      <c r="S6" s="11">
        <v>0</v>
      </c>
      <c r="T6" s="11">
        <v>0</v>
      </c>
      <c r="U6" s="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E35" sqref="E35"/>
    </sheetView>
  </sheetViews>
  <sheetFormatPr defaultRowHeight="12.75" x14ac:dyDescent="0.2"/>
  <cols>
    <col min="1" max="1" width="9.140625" style="24"/>
    <col min="2" max="2" width="13.85546875" style="24" bestFit="1" customWidth="1"/>
    <col min="3" max="3" width="19.140625" style="24" bestFit="1" customWidth="1"/>
    <col min="4" max="4" width="9.140625" style="24"/>
    <col min="5" max="5" width="14.7109375" style="24" bestFit="1" customWidth="1"/>
    <col min="6" max="6" width="12.140625" style="24" bestFit="1" customWidth="1"/>
    <col min="7" max="7" width="10.5703125" style="24" bestFit="1" customWidth="1"/>
    <col min="8" max="9" width="9.140625" style="24"/>
    <col min="10" max="10" width="11" style="24" bestFit="1" customWidth="1"/>
    <col min="11" max="11" width="10.85546875" style="24" bestFit="1" customWidth="1"/>
    <col min="12" max="12" width="11" style="24" bestFit="1" customWidth="1"/>
    <col min="13" max="13" width="9.140625" style="24"/>
    <col min="14" max="15" width="18.42578125" style="24" bestFit="1" customWidth="1"/>
    <col min="16" max="16384" width="9.140625" style="24"/>
  </cols>
  <sheetData>
    <row r="1" spans="1:22" s="17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">
      <c r="A2" s="3">
        <v>44073</v>
      </c>
      <c r="B2" s="18" t="s">
        <v>21</v>
      </c>
      <c r="C2" s="18" t="s">
        <v>51</v>
      </c>
      <c r="D2" s="18" t="s">
        <v>23</v>
      </c>
      <c r="E2" s="18" t="s">
        <v>373</v>
      </c>
      <c r="F2" s="18" t="s">
        <v>24</v>
      </c>
      <c r="G2" s="19">
        <v>71500</v>
      </c>
      <c r="H2" s="18" t="s">
        <v>52</v>
      </c>
      <c r="I2" s="18" t="s">
        <v>53</v>
      </c>
      <c r="J2" s="20">
        <v>0.4826388888888889</v>
      </c>
      <c r="K2" s="21">
        <v>0.47500000000000003</v>
      </c>
      <c r="L2" s="20">
        <v>0.27430555555555552</v>
      </c>
      <c r="M2" s="21">
        <v>0.27847222222222223</v>
      </c>
      <c r="N2" s="21" t="s">
        <v>411</v>
      </c>
      <c r="O2" s="21" t="s">
        <v>410</v>
      </c>
      <c r="P2" s="22">
        <v>584</v>
      </c>
      <c r="Q2" s="22">
        <v>981</v>
      </c>
      <c r="R2" s="18">
        <v>0</v>
      </c>
      <c r="S2" s="18">
        <v>0</v>
      </c>
      <c r="T2" s="18">
        <v>0</v>
      </c>
      <c r="U2" s="18">
        <v>0</v>
      </c>
      <c r="V2" s="23"/>
    </row>
    <row r="3" spans="1:22" x14ac:dyDescent="0.2">
      <c r="A3" s="3">
        <v>44073</v>
      </c>
      <c r="B3" s="18" t="s">
        <v>21</v>
      </c>
      <c r="C3" s="9" t="s">
        <v>54</v>
      </c>
      <c r="D3" s="18" t="s">
        <v>23</v>
      </c>
      <c r="E3" s="18" t="s">
        <v>409</v>
      </c>
      <c r="F3" s="18" t="s">
        <v>24</v>
      </c>
      <c r="G3" s="19">
        <v>71500</v>
      </c>
      <c r="H3" s="9" t="s">
        <v>55</v>
      </c>
      <c r="I3" s="9" t="s">
        <v>56</v>
      </c>
      <c r="J3" s="25">
        <v>0.73263888888888884</v>
      </c>
      <c r="K3" s="26">
        <v>0.73541666666666661</v>
      </c>
      <c r="L3" s="25">
        <v>0.50694444444444442</v>
      </c>
      <c r="M3" s="26">
        <v>0.51388888888888895</v>
      </c>
      <c r="N3" s="26" t="s">
        <v>302</v>
      </c>
      <c r="O3" s="22" t="s">
        <v>412</v>
      </c>
      <c r="P3" s="18">
        <v>546</v>
      </c>
      <c r="Q3" s="22">
        <v>1426</v>
      </c>
      <c r="R3" s="9">
        <v>0</v>
      </c>
      <c r="S3" s="9">
        <v>0</v>
      </c>
      <c r="T3" s="9">
        <v>0</v>
      </c>
      <c r="U3" s="9">
        <v>0</v>
      </c>
      <c r="V3" s="23"/>
    </row>
    <row r="4" spans="1:22" x14ac:dyDescent="0.2">
      <c r="A4" s="3">
        <v>44073</v>
      </c>
      <c r="B4" s="18" t="s">
        <v>21</v>
      </c>
      <c r="C4" s="27" t="s">
        <v>57</v>
      </c>
      <c r="D4" s="18" t="s">
        <v>23</v>
      </c>
      <c r="E4" s="26" t="s">
        <v>264</v>
      </c>
      <c r="F4" s="18" t="s">
        <v>24</v>
      </c>
      <c r="G4" s="19">
        <f>G3</f>
        <v>71500</v>
      </c>
      <c r="H4" s="18" t="s">
        <v>58</v>
      </c>
      <c r="I4" s="27" t="s">
        <v>59</v>
      </c>
      <c r="J4" s="28">
        <v>0.75</v>
      </c>
      <c r="K4" s="13">
        <v>0.75208333333333333</v>
      </c>
      <c r="L4" s="28">
        <v>0.51388888888888895</v>
      </c>
      <c r="M4" s="29">
        <v>0.52569444444444446</v>
      </c>
      <c r="N4" s="9" t="s">
        <v>414</v>
      </c>
      <c r="O4" s="30" t="s">
        <v>413</v>
      </c>
      <c r="P4" s="30">
        <v>921</v>
      </c>
      <c r="Q4" s="30">
        <v>2067</v>
      </c>
      <c r="R4" s="18">
        <v>0</v>
      </c>
      <c r="S4" s="18">
        <v>0</v>
      </c>
      <c r="T4" s="18">
        <v>0</v>
      </c>
      <c r="U4" s="18">
        <v>0</v>
      </c>
      <c r="V4" s="23"/>
    </row>
    <row r="5" spans="1:22" x14ac:dyDescent="0.2">
      <c r="A5" s="3">
        <v>44073</v>
      </c>
      <c r="B5" s="18" t="s">
        <v>21</v>
      </c>
      <c r="C5" s="26" t="s">
        <v>60</v>
      </c>
      <c r="D5" s="18" t="s">
        <v>23</v>
      </c>
      <c r="E5" s="26" t="s">
        <v>409</v>
      </c>
      <c r="F5" s="18" t="s">
        <v>24</v>
      </c>
      <c r="G5" s="19">
        <v>71500</v>
      </c>
      <c r="H5" s="26" t="s">
        <v>61</v>
      </c>
      <c r="I5" s="26" t="s">
        <v>62</v>
      </c>
      <c r="J5" s="25">
        <v>0.94444444444444453</v>
      </c>
      <c r="K5" s="26">
        <v>0.94444444444444453</v>
      </c>
      <c r="L5" s="25">
        <v>0.75347222222222221</v>
      </c>
      <c r="M5" s="26">
        <v>0.7680555555555556</v>
      </c>
      <c r="N5" s="18" t="s">
        <v>418</v>
      </c>
      <c r="O5" s="18" t="s">
        <v>415</v>
      </c>
      <c r="P5" s="18">
        <v>494</v>
      </c>
      <c r="Q5" s="18">
        <v>1235</v>
      </c>
      <c r="R5" s="18">
        <v>0</v>
      </c>
      <c r="S5" s="18">
        <v>0</v>
      </c>
      <c r="T5" s="9">
        <v>0</v>
      </c>
      <c r="U5" s="9">
        <v>0</v>
      </c>
      <c r="V5" s="23"/>
    </row>
    <row r="6" spans="1:22" x14ac:dyDescent="0.2">
      <c r="A6" s="3">
        <v>44073</v>
      </c>
      <c r="B6" s="18" t="s">
        <v>21</v>
      </c>
      <c r="C6" s="23" t="s">
        <v>63</v>
      </c>
      <c r="D6" s="18" t="s">
        <v>23</v>
      </c>
      <c r="E6" s="23" t="s">
        <v>264</v>
      </c>
      <c r="F6" s="18" t="s">
        <v>24</v>
      </c>
      <c r="G6" s="19">
        <v>71500</v>
      </c>
      <c r="H6" s="23" t="s">
        <v>64</v>
      </c>
      <c r="I6" s="23" t="s">
        <v>65</v>
      </c>
      <c r="J6" s="31">
        <v>0.94097222222222221</v>
      </c>
      <c r="K6" s="32">
        <v>0.9291666666666667</v>
      </c>
      <c r="L6" s="31">
        <v>0.77083333333333337</v>
      </c>
      <c r="M6" s="32">
        <v>0.78402777777777777</v>
      </c>
      <c r="N6" s="23" t="s">
        <v>417</v>
      </c>
      <c r="O6" s="23" t="s">
        <v>416</v>
      </c>
      <c r="P6" s="23">
        <v>176</v>
      </c>
      <c r="Q6" s="23">
        <v>474</v>
      </c>
      <c r="R6" s="23">
        <v>0</v>
      </c>
      <c r="S6" s="23">
        <v>0</v>
      </c>
      <c r="T6" s="23">
        <v>0</v>
      </c>
      <c r="U6" s="23">
        <v>0</v>
      </c>
      <c r="V6" s="26"/>
    </row>
    <row r="7" spans="1:22" x14ac:dyDescent="0.2">
      <c r="A7" s="36"/>
      <c r="B7" s="37"/>
      <c r="C7" s="47"/>
      <c r="D7" s="37"/>
      <c r="E7" s="18"/>
      <c r="F7" s="47"/>
      <c r="G7" s="38"/>
      <c r="H7" s="47"/>
      <c r="I7" s="47"/>
      <c r="J7" s="75"/>
      <c r="K7" s="48"/>
      <c r="L7" s="75"/>
      <c r="M7" s="48"/>
      <c r="N7" s="11"/>
      <c r="O7" s="11"/>
      <c r="P7" s="11"/>
      <c r="Q7" s="11"/>
      <c r="R7" s="47"/>
      <c r="S7" s="47"/>
      <c r="T7" s="47"/>
      <c r="U7" s="47"/>
      <c r="V7" s="23"/>
    </row>
    <row r="8" spans="1:22" customFormat="1" ht="15" x14ac:dyDescent="0.25">
      <c r="A8" s="3"/>
      <c r="B8" s="9"/>
      <c r="C8" s="9"/>
      <c r="D8" s="9"/>
      <c r="E8" s="4"/>
      <c r="F8" s="9"/>
      <c r="G8" s="5"/>
      <c r="H8" s="4"/>
      <c r="I8" s="4"/>
      <c r="J8" s="12"/>
      <c r="K8" s="8"/>
      <c r="L8" s="12"/>
      <c r="M8" s="8"/>
      <c r="N8" s="11"/>
      <c r="O8" s="11"/>
      <c r="P8" s="79"/>
      <c r="Q8" s="79"/>
      <c r="R8" s="79"/>
      <c r="S8" s="79"/>
      <c r="T8" s="79"/>
      <c r="U8" s="79"/>
    </row>
    <row r="9" spans="1:22" ht="15" x14ac:dyDescent="0.25">
      <c r="A9" s="3"/>
      <c r="B9" s="9"/>
      <c r="C9" s="9"/>
      <c r="D9" s="9"/>
      <c r="E9" s="4"/>
      <c r="F9" s="9"/>
      <c r="G9" s="5"/>
      <c r="H9" s="4"/>
      <c r="I9" s="4"/>
      <c r="J9" s="12"/>
      <c r="K9" s="8"/>
      <c r="L9" s="12"/>
      <c r="M9" s="8"/>
      <c r="N9" s="11"/>
      <c r="O9" s="11"/>
      <c r="P9" s="79"/>
      <c r="Q9" s="79"/>
      <c r="R9" s="79"/>
      <c r="S9" s="79"/>
      <c r="T9" s="79"/>
      <c r="U9" s="79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topLeftCell="D1" workbookViewId="0">
      <selection activeCell="K4" sqref="K4"/>
    </sheetView>
  </sheetViews>
  <sheetFormatPr defaultRowHeight="15" x14ac:dyDescent="0.25"/>
  <cols>
    <col min="1" max="1" width="10.7109375" style="46" customWidth="1"/>
    <col min="2" max="2" width="9.140625" style="46" bestFit="1" customWidth="1"/>
    <col min="3" max="3" width="13.5703125" style="46" bestFit="1" customWidth="1"/>
    <col min="4" max="4" width="5.7109375" style="46" bestFit="1" customWidth="1"/>
    <col min="5" max="5" width="14.5703125" style="46" bestFit="1" customWidth="1"/>
    <col min="6" max="6" width="14.42578125" style="46" bestFit="1" customWidth="1"/>
    <col min="7" max="9" width="9.7109375" style="46" bestFit="1" customWidth="1"/>
    <col min="10" max="10" width="11" style="46" bestFit="1" customWidth="1"/>
    <col min="11" max="11" width="10.85546875" style="46" bestFit="1" customWidth="1"/>
    <col min="12" max="12" width="11" style="46" bestFit="1" customWidth="1"/>
    <col min="13" max="13" width="10.85546875" style="46" bestFit="1" customWidth="1"/>
    <col min="14" max="15" width="18.42578125" style="46" bestFit="1" customWidth="1"/>
    <col min="16" max="17" width="10.28515625" style="46" bestFit="1" customWidth="1"/>
    <col min="18" max="16384" width="9.140625" style="46"/>
  </cols>
  <sheetData>
    <row r="1" spans="1:2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40" customFormat="1" ht="12.75" x14ac:dyDescent="0.2">
      <c r="A2" s="36">
        <v>44074</v>
      </c>
      <c r="B2" s="37" t="s">
        <v>21</v>
      </c>
      <c r="C2" s="11" t="s">
        <v>76</v>
      </c>
      <c r="D2" s="1" t="s">
        <v>23</v>
      </c>
      <c r="E2" s="11" t="s">
        <v>409</v>
      </c>
      <c r="F2" s="11" t="s">
        <v>24</v>
      </c>
      <c r="G2" s="38">
        <v>71500</v>
      </c>
      <c r="H2" s="11" t="s">
        <v>77</v>
      </c>
      <c r="I2" s="11" t="s">
        <v>78</v>
      </c>
      <c r="J2" s="12">
        <v>0.46180555555555558</v>
      </c>
      <c r="K2" s="8">
        <v>0.45694444444444443</v>
      </c>
      <c r="L2" s="12">
        <v>0.26041666666666669</v>
      </c>
      <c r="M2" s="8">
        <v>0.2590277777777778</v>
      </c>
      <c r="N2" s="8" t="s">
        <v>130</v>
      </c>
      <c r="O2" s="39" t="s">
        <v>419</v>
      </c>
      <c r="P2" s="39">
        <v>317</v>
      </c>
      <c r="Q2" s="39">
        <v>891</v>
      </c>
      <c r="R2" s="37">
        <v>0</v>
      </c>
      <c r="S2" s="37">
        <v>0</v>
      </c>
      <c r="T2" s="37">
        <v>0</v>
      </c>
      <c r="U2" s="37">
        <v>0</v>
      </c>
    </row>
    <row r="3" spans="1:21" s="40" customFormat="1" ht="12.75" x14ac:dyDescent="0.2">
      <c r="A3" s="36">
        <f>A2</f>
        <v>44074</v>
      </c>
      <c r="B3" s="37" t="s">
        <v>21</v>
      </c>
      <c r="C3" s="11" t="s">
        <v>54</v>
      </c>
      <c r="D3" s="1" t="s">
        <v>23</v>
      </c>
      <c r="E3" s="11" t="s">
        <v>409</v>
      </c>
      <c r="F3" s="11" t="s">
        <v>24</v>
      </c>
      <c r="G3" s="38">
        <v>71500</v>
      </c>
      <c r="H3" s="11" t="s">
        <v>55</v>
      </c>
      <c r="I3" s="11" t="s">
        <v>56</v>
      </c>
      <c r="J3" s="12">
        <v>0.72569444444444453</v>
      </c>
      <c r="K3" s="8">
        <v>0.72152777777777777</v>
      </c>
      <c r="L3" s="12">
        <v>0.5</v>
      </c>
      <c r="M3" s="8">
        <v>0.49444444444444446</v>
      </c>
      <c r="N3" s="41" t="s">
        <v>218</v>
      </c>
      <c r="O3" s="39">
        <v>70</v>
      </c>
      <c r="P3" s="39">
        <v>155</v>
      </c>
      <c r="Q3" s="39">
        <v>599</v>
      </c>
      <c r="R3" s="37">
        <v>0</v>
      </c>
      <c r="S3" s="37">
        <v>0</v>
      </c>
      <c r="T3" s="37">
        <v>0</v>
      </c>
      <c r="U3" s="37">
        <v>0</v>
      </c>
    </row>
    <row r="4" spans="1:21" customFormat="1" x14ac:dyDescent="0.25">
      <c r="A4" s="36">
        <f t="shared" ref="A4" si="0">A3</f>
        <v>44074</v>
      </c>
      <c r="B4" s="37" t="s">
        <v>21</v>
      </c>
      <c r="C4" s="37" t="s">
        <v>83</v>
      </c>
      <c r="D4" s="37" t="s">
        <v>23</v>
      </c>
      <c r="E4" s="11" t="s">
        <v>409</v>
      </c>
      <c r="F4" s="37" t="s">
        <v>24</v>
      </c>
      <c r="G4" s="38">
        <v>71500</v>
      </c>
      <c r="H4" s="37" t="s">
        <v>84</v>
      </c>
      <c r="I4" s="37" t="s">
        <v>85</v>
      </c>
      <c r="J4" s="42">
        <v>0.89930555555555547</v>
      </c>
      <c r="K4" s="43">
        <v>0.88611111111111107</v>
      </c>
      <c r="L4" s="42">
        <v>0.75</v>
      </c>
      <c r="M4" s="44">
        <v>0.74861111111111101</v>
      </c>
      <c r="N4" s="41" t="s">
        <v>421</v>
      </c>
      <c r="O4" s="39" t="s">
        <v>420</v>
      </c>
      <c r="P4" s="37">
        <v>210</v>
      </c>
      <c r="Q4" s="39">
        <v>410</v>
      </c>
      <c r="R4" s="37">
        <v>0</v>
      </c>
      <c r="S4" s="37">
        <v>0</v>
      </c>
      <c r="T4" s="37">
        <v>0</v>
      </c>
      <c r="U4" s="37">
        <v>0</v>
      </c>
    </row>
    <row r="5" spans="1:21" customFormat="1" x14ac:dyDescent="0.25">
      <c r="A5" s="36"/>
      <c r="B5" s="37"/>
      <c r="C5" s="37"/>
      <c r="D5" s="37"/>
      <c r="E5" s="11"/>
      <c r="F5" s="37"/>
      <c r="G5" s="38"/>
      <c r="H5" s="37"/>
      <c r="I5" s="37"/>
      <c r="J5" s="42"/>
      <c r="K5" s="43"/>
      <c r="L5" s="42"/>
      <c r="M5" s="44"/>
      <c r="N5" s="41"/>
      <c r="O5" s="39"/>
      <c r="P5" s="37"/>
      <c r="Q5" s="39"/>
      <c r="R5" s="37"/>
      <c r="S5" s="37"/>
      <c r="T5" s="37"/>
      <c r="U5" s="37"/>
    </row>
    <row r="6" spans="1:21" customFormat="1" x14ac:dyDescent="0.25">
      <c r="A6" s="36"/>
      <c r="B6" s="37"/>
      <c r="C6" s="41"/>
      <c r="D6" s="37"/>
      <c r="E6" s="18"/>
      <c r="F6" s="37"/>
      <c r="G6" s="38"/>
      <c r="H6" s="41"/>
      <c r="I6" s="41"/>
      <c r="J6" s="45"/>
      <c r="K6" s="43"/>
      <c r="L6" s="45"/>
      <c r="M6" s="43"/>
      <c r="N6" s="41"/>
      <c r="O6" s="41"/>
      <c r="P6" s="41"/>
      <c r="Q6" s="39"/>
      <c r="R6" s="41"/>
      <c r="S6" s="41"/>
      <c r="T6" s="41"/>
      <c r="U6" s="41"/>
    </row>
    <row r="7" spans="1:21" s="47" customFormat="1" ht="12.75" x14ac:dyDescent="0.2">
      <c r="A7" s="36"/>
      <c r="B7" s="37"/>
      <c r="D7" s="37"/>
      <c r="E7" s="18"/>
      <c r="G7" s="38"/>
      <c r="J7" s="48"/>
      <c r="K7" s="48"/>
      <c r="L7" s="48"/>
      <c r="M7" s="48"/>
      <c r="N7" s="11"/>
      <c r="O7" s="11"/>
      <c r="P7" s="11"/>
      <c r="Q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2020-08-01T02:11:36Z</dcterms:created>
  <dcterms:modified xsi:type="dcterms:W3CDTF">2020-08-31T19:17:28Z</dcterms:modified>
</cp:coreProperties>
</file>