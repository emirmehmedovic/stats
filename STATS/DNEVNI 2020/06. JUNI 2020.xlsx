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345" windowWidth="14805" windowHeight="7770" tabRatio="876" activeTab="29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32" r:id="rId7"/>
    <sheet name="8" sheetId="9" r:id="rId8"/>
    <sheet name="9" sheetId="10" r:id="rId9"/>
    <sheet name="10" sheetId="38" r:id="rId10"/>
    <sheet name="11" sheetId="12" r:id="rId11"/>
    <sheet name="12" sheetId="33" r:id="rId12"/>
    <sheet name="13" sheetId="14" r:id="rId13"/>
    <sheet name="14" sheetId="15" r:id="rId14"/>
    <sheet name="15" sheetId="34" r:id="rId15"/>
    <sheet name="16" sheetId="35" r:id="rId16"/>
    <sheet name="17" sheetId="39" r:id="rId17"/>
    <sheet name="18" sheetId="19" r:id="rId18"/>
    <sheet name="19" sheetId="40" r:id="rId19"/>
    <sheet name="20" sheetId="21" r:id="rId20"/>
    <sheet name="21" sheetId="41" r:id="rId21"/>
    <sheet name="22" sheetId="23" r:id="rId22"/>
    <sheet name="23" sheetId="42" r:id="rId23"/>
    <sheet name="24" sheetId="25" r:id="rId24"/>
    <sheet name="25" sheetId="27" r:id="rId25"/>
    <sheet name="26" sheetId="43" r:id="rId26"/>
    <sheet name="27" sheetId="44" r:id="rId27"/>
    <sheet name="28" sheetId="30" r:id="rId28"/>
    <sheet name="29" sheetId="45" r:id="rId29"/>
    <sheet name="30" sheetId="36" r:id="rId30"/>
    <sheet name="31" sheetId="37" r:id="rId31"/>
  </sheets>
  <calcPr calcId="145621"/>
</workbook>
</file>

<file path=xl/calcChain.xml><?xml version="1.0" encoding="utf-8"?>
<calcChain xmlns="http://schemas.openxmlformats.org/spreadsheetml/2006/main">
  <c r="K3" i="44" l="1"/>
  <c r="G2" i="44" l="1"/>
  <c r="E2" i="44"/>
  <c r="A3" i="44"/>
  <c r="A4" i="44" s="1"/>
  <c r="A5" i="44" s="1"/>
  <c r="A6" i="44" s="1"/>
  <c r="A7" i="44" s="1"/>
  <c r="A8" i="44" s="1"/>
  <c r="I5" i="43" l="1"/>
  <c r="A5" i="43"/>
  <c r="M2" i="43"/>
  <c r="A4" i="43" l="1"/>
  <c r="A3" i="43"/>
  <c r="O5" i="42" l="1"/>
  <c r="M5" i="42"/>
  <c r="M2" i="42"/>
  <c r="E6" i="14" l="1"/>
  <c r="N8" i="38" l="1"/>
  <c r="E4" i="38" l="1"/>
  <c r="A7" i="38"/>
  <c r="A6" i="38"/>
  <c r="A5" i="38"/>
  <c r="A4" i="38"/>
  <c r="A3" i="38"/>
  <c r="E6" i="7" l="1"/>
  <c r="E4" i="7"/>
</calcChain>
</file>

<file path=xl/sharedStrings.xml><?xml version="1.0" encoding="utf-8"?>
<sst xmlns="http://schemas.openxmlformats.org/spreadsheetml/2006/main" count="1840" uniqueCount="335">
  <si>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</si>
  <si>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</si>
  <si>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</si>
  <si>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</si>
  <si>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</si>
  <si>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</si>
  <si>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</si>
  <si>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</si>
  <si>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</si>
  <si>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</si>
  <si>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</si>
  <si>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</si>
  <si>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</si>
  <si>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</si>
  <si>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</si>
  <si>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</si>
  <si>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</si>
  <si>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</si>
  <si>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</si>
  <si>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</si>
  <si>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</si>
  <si>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-</t>
  </si>
  <si>
    <t>ROP</t>
  </si>
  <si>
    <t>A320</t>
  </si>
  <si>
    <t>WIZZAIR</t>
  </si>
  <si>
    <t>HALWN</t>
  </si>
  <si>
    <t>HALYJ</t>
  </si>
  <si>
    <t>TZL-VIE-TZL</t>
  </si>
  <si>
    <t>TZL-SXF-TZL</t>
  </si>
  <si>
    <t>SCHEDULED</t>
  </si>
  <si>
    <t>W64286</t>
  </si>
  <si>
    <t>W68276</t>
  </si>
  <si>
    <t>W64285</t>
  </si>
  <si>
    <t>W64275</t>
  </si>
  <si>
    <t>17+0INF</t>
  </si>
  <si>
    <t>33+3INF</t>
  </si>
  <si>
    <t>TZL-FMM-TZL</t>
  </si>
  <si>
    <t>TZL-EIN-TZL</t>
  </si>
  <si>
    <t>W64280</t>
  </si>
  <si>
    <t>W68290</t>
  </si>
  <si>
    <t>W64279</t>
  </si>
  <si>
    <t>W64289</t>
  </si>
  <si>
    <t>102+4 INF</t>
  </si>
  <si>
    <t>49+1 INF</t>
  </si>
  <si>
    <t>21+0 INF</t>
  </si>
  <si>
    <t>36+1 INF</t>
  </si>
  <si>
    <t>103+1 INF</t>
  </si>
  <si>
    <t>TZL-FKB-TZL</t>
  </si>
  <si>
    <t>W64618</t>
  </si>
  <si>
    <t>W64617</t>
  </si>
  <si>
    <t>77+3INF</t>
  </si>
  <si>
    <t>20+1INF</t>
  </si>
  <si>
    <t>91+2INF</t>
  </si>
  <si>
    <t>TZL-BLL-TZL</t>
  </si>
  <si>
    <t>W64278</t>
  </si>
  <si>
    <t>W64277</t>
  </si>
  <si>
    <t>81+1INF</t>
  </si>
  <si>
    <t>57+1INF</t>
  </si>
  <si>
    <t>W64284</t>
  </si>
  <si>
    <t>W64283</t>
  </si>
  <si>
    <t>OTKAZAN</t>
  </si>
  <si>
    <t>TZL-HHN-TZL</t>
  </si>
  <si>
    <t>BUD-TZL</t>
  </si>
  <si>
    <t>HALWK</t>
  </si>
  <si>
    <t>FERRY IN</t>
  </si>
  <si>
    <t>W804</t>
  </si>
  <si>
    <t>TZL-MMX-TZL</t>
  </si>
  <si>
    <t>TZL-DTM-TZL</t>
  </si>
  <si>
    <t>TZL-BUD</t>
  </si>
  <si>
    <t>TZL-GOT-TZL</t>
  </si>
  <si>
    <t>TZL-NYO-TZL</t>
  </si>
  <si>
    <t>TZL-CGN-TZL</t>
  </si>
  <si>
    <t>TZL-MLH-TZL</t>
  </si>
  <si>
    <t>FERRY OUT</t>
  </si>
  <si>
    <t>W64292</t>
  </si>
  <si>
    <t>W64291</t>
  </si>
  <si>
    <t>W64298</t>
  </si>
  <si>
    <t>W64297</t>
  </si>
  <si>
    <t>W6806</t>
  </si>
  <si>
    <t>W64296</t>
  </si>
  <si>
    <t>W64295</t>
  </si>
  <si>
    <t>W64282</t>
  </si>
  <si>
    <t>W64281</t>
  </si>
  <si>
    <t>W64300</t>
  </si>
  <si>
    <t>W64299</t>
  </si>
  <si>
    <t>W64294</t>
  </si>
  <si>
    <t>W64293</t>
  </si>
  <si>
    <t>31+0 INF</t>
  </si>
  <si>
    <t>103+0 INF</t>
  </si>
  <si>
    <t>47+2 INF</t>
  </si>
  <si>
    <t>130+3 INF</t>
  </si>
  <si>
    <t>34+0 INF</t>
  </si>
  <si>
    <t>28+0 INF</t>
  </si>
  <si>
    <t>BUD-TZL-BUD</t>
  </si>
  <si>
    <t>HALPU</t>
  </si>
  <si>
    <t>FERRY IN/OUT</t>
  </si>
  <si>
    <t>W6807</t>
  </si>
  <si>
    <t>W6808</t>
  </si>
  <si>
    <t>CREW</t>
  </si>
  <si>
    <t>121+0INF</t>
  </si>
  <si>
    <t>118+2INF</t>
  </si>
  <si>
    <t>30+2INF</t>
  </si>
  <si>
    <t>61+3INF</t>
  </si>
  <si>
    <t>138+1INF</t>
  </si>
  <si>
    <t>128+0INF</t>
  </si>
  <si>
    <t>32+1INF</t>
  </si>
  <si>
    <t>117+3INF</t>
  </si>
  <si>
    <t>TZL-FDH-TZL</t>
  </si>
  <si>
    <t>HALWL</t>
  </si>
  <si>
    <t>W64615</t>
  </si>
  <si>
    <t>W64616</t>
  </si>
  <si>
    <t>96+1 INF</t>
  </si>
  <si>
    <t>13+0INF</t>
  </si>
  <si>
    <t>27+0INF</t>
  </si>
  <si>
    <t>32+1 INF</t>
  </si>
  <si>
    <t>24+0 INF</t>
  </si>
  <si>
    <t>56+1 INF</t>
  </si>
  <si>
    <t>27+0 INF</t>
  </si>
  <si>
    <t>82+0 INF</t>
  </si>
  <si>
    <t>113+1INF</t>
  </si>
  <si>
    <t>119+4INF</t>
  </si>
  <si>
    <t>110+0INF</t>
  </si>
  <si>
    <t>14+3INF</t>
  </si>
  <si>
    <t>31+1INF</t>
  </si>
  <si>
    <t>118+1 INF</t>
  </si>
  <si>
    <t>23+0 INF</t>
  </si>
  <si>
    <t>25+0 INF</t>
  </si>
  <si>
    <t>28+1 INF</t>
  </si>
  <si>
    <t>126+1INF</t>
  </si>
  <si>
    <t>37+0INF</t>
  </si>
  <si>
    <t>112+2INF</t>
  </si>
  <si>
    <t>29+0 INF</t>
  </si>
  <si>
    <t>22+1 INF</t>
  </si>
  <si>
    <t>108+2 INF</t>
  </si>
  <si>
    <t>68+5 INF</t>
  </si>
  <si>
    <t>86+0 INF</t>
  </si>
  <si>
    <t>114+3 INF</t>
  </si>
  <si>
    <t>19+0INF</t>
  </si>
  <si>
    <t>24+1INF</t>
  </si>
  <si>
    <t>107+2INF</t>
  </si>
  <si>
    <t>89+4INF</t>
  </si>
  <si>
    <t>41+3INF</t>
  </si>
  <si>
    <t>25+0INF</t>
  </si>
  <si>
    <t>ALPHA AVIATION</t>
  </si>
  <si>
    <t>LKCS-TZL</t>
  </si>
  <si>
    <t>CIRRUS SR22</t>
  </si>
  <si>
    <t>OK-UWE</t>
  </si>
  <si>
    <t>NONSCHEDULED</t>
  </si>
  <si>
    <t>89+1INF</t>
  </si>
  <si>
    <t>82+1INF</t>
  </si>
  <si>
    <t>26+0INF</t>
  </si>
  <si>
    <t>20+2INF</t>
  </si>
  <si>
    <t>54+1INF</t>
  </si>
  <si>
    <t>80+2INF</t>
  </si>
  <si>
    <t>111+3 INF</t>
  </si>
  <si>
    <t>107+2 INF</t>
  </si>
  <si>
    <t>21+1 INF</t>
  </si>
  <si>
    <t>125+1INF</t>
  </si>
  <si>
    <t>119+1INF</t>
  </si>
  <si>
    <t>111+2INF</t>
  </si>
  <si>
    <t>30+0INF</t>
  </si>
  <si>
    <t>HA-LWD</t>
  </si>
  <si>
    <t>TZL-NYO-BUD-TZL</t>
  </si>
  <si>
    <t>TZL-LKCS</t>
  </si>
  <si>
    <t>HALYC/HALWD</t>
  </si>
  <si>
    <t>HALWD</t>
  </si>
  <si>
    <t>58+1 INF</t>
  </si>
  <si>
    <t>114+1 INF</t>
  </si>
  <si>
    <t>53+2 INF</t>
  </si>
  <si>
    <t>97+2 INF</t>
  </si>
  <si>
    <t>64+0 INF</t>
  </si>
  <si>
    <t>108+1 INF</t>
  </si>
  <si>
    <t>82+2 INF</t>
  </si>
  <si>
    <t>130+2 INF</t>
  </si>
  <si>
    <t>31+0INF</t>
  </si>
  <si>
    <t>61+1INF</t>
  </si>
  <si>
    <t>54+2INF</t>
  </si>
  <si>
    <t>85+2INF</t>
  </si>
  <si>
    <t>91+4INF</t>
  </si>
  <si>
    <t>71+0INF</t>
  </si>
  <si>
    <t>87+3 INF</t>
  </si>
  <si>
    <t>93+4 INF</t>
  </si>
  <si>
    <t>80+5 INF</t>
  </si>
  <si>
    <t>74+1 INF</t>
  </si>
  <si>
    <t>20+1 INF</t>
  </si>
  <si>
    <t>38+0 INF</t>
  </si>
  <si>
    <t>52+1INF</t>
  </si>
  <si>
    <t>119+2 INF</t>
  </si>
  <si>
    <t>58+0 INF</t>
  </si>
  <si>
    <t>52+0 INF</t>
  </si>
  <si>
    <t>132+0INF</t>
  </si>
  <si>
    <t>147+2INF</t>
  </si>
  <si>
    <t>96+0INF</t>
  </si>
  <si>
    <t>HELIMASTER</t>
  </si>
  <si>
    <t>TREBINJE-TUZLA-BEG</t>
  </si>
  <si>
    <t>R44</t>
  </si>
  <si>
    <t>YU-HTB</t>
  </si>
  <si>
    <t>77+0 INF</t>
  </si>
  <si>
    <t>104+2 INF</t>
  </si>
  <si>
    <t>83+2INF</t>
  </si>
  <si>
    <t>114+1INF</t>
  </si>
  <si>
    <t>60+7INF</t>
  </si>
  <si>
    <t>128+3INF</t>
  </si>
  <si>
    <t>52+1 INF</t>
  </si>
  <si>
    <t>39+2 INF</t>
  </si>
  <si>
    <t>70+3 INF</t>
  </si>
  <si>
    <t>96+0 INF</t>
  </si>
  <si>
    <t>51+1 INF</t>
  </si>
  <si>
    <t>D-CQAA</t>
  </si>
  <si>
    <t>LJ45</t>
  </si>
  <si>
    <t>CGN-TZL-BRN</t>
  </si>
  <si>
    <t>QUICK AIR</t>
  </si>
  <si>
    <t>63+0 INF</t>
  </si>
  <si>
    <t>MEDEVAC</t>
  </si>
  <si>
    <t>2+0 INF</t>
  </si>
  <si>
    <t>81+1 INF</t>
  </si>
  <si>
    <t>82+5 INF</t>
  </si>
  <si>
    <t>61+1 INF</t>
  </si>
  <si>
    <t>51+0 INF</t>
  </si>
  <si>
    <t>43+2 INF</t>
  </si>
  <si>
    <t>US AIR FORCE</t>
  </si>
  <si>
    <t>CHQ-TZL-OAI</t>
  </si>
  <si>
    <t>C17</t>
  </si>
  <si>
    <t>MILITARY</t>
  </si>
  <si>
    <t>RCH900</t>
  </si>
  <si>
    <t>65+2 INF</t>
  </si>
  <si>
    <t>76+3 INF</t>
  </si>
  <si>
    <t>79+0 INF</t>
  </si>
  <si>
    <t>39+2INF</t>
  </si>
  <si>
    <t>45+0INF</t>
  </si>
  <si>
    <t>140+1INF</t>
  </si>
  <si>
    <t>98+1INF</t>
  </si>
  <si>
    <t>28+1INF</t>
  </si>
  <si>
    <t>142+1 INF</t>
  </si>
  <si>
    <t>133+1 INF</t>
  </si>
  <si>
    <t>82+1 INF</t>
  </si>
  <si>
    <t>130+1 INF</t>
  </si>
  <si>
    <t>59+0 INF</t>
  </si>
  <si>
    <t>106+3 INF</t>
  </si>
  <si>
    <t>41+2INF</t>
  </si>
  <si>
    <t>84+4INF</t>
  </si>
  <si>
    <t>101+3INF</t>
  </si>
  <si>
    <t>134+1INF</t>
  </si>
  <si>
    <t>31+1 INF</t>
  </si>
  <si>
    <t>91+5 INF</t>
  </si>
  <si>
    <t>66+1 INF</t>
  </si>
  <si>
    <t>132+3 INF</t>
  </si>
  <si>
    <t>100+3 INF</t>
  </si>
  <si>
    <t>61+2 INF</t>
  </si>
  <si>
    <t>81+0 INF</t>
  </si>
  <si>
    <t>116+2 INF</t>
  </si>
  <si>
    <t>55+0 INF</t>
  </si>
  <si>
    <t>93+2 INF</t>
  </si>
  <si>
    <t>101+4 INF</t>
  </si>
  <si>
    <t>60+0INF</t>
  </si>
  <si>
    <t>122+1INF</t>
  </si>
  <si>
    <t>55+2INF</t>
  </si>
  <si>
    <t>49+0INF</t>
  </si>
  <si>
    <t>77+1 INF</t>
  </si>
  <si>
    <t>143+1 INF</t>
  </si>
  <si>
    <t>131+4 INF</t>
  </si>
  <si>
    <t>112+3 INF</t>
  </si>
  <si>
    <t>127+2 INF</t>
  </si>
  <si>
    <t>48+2INF</t>
  </si>
  <si>
    <t>90+3INF</t>
  </si>
  <si>
    <t>49+3INF</t>
  </si>
  <si>
    <t>88+2INF</t>
  </si>
  <si>
    <t>69+2INF</t>
  </si>
  <si>
    <t>84+1INF</t>
  </si>
  <si>
    <t>HALWQ</t>
  </si>
  <si>
    <t>85+0 INF</t>
  </si>
  <si>
    <t>50+1 INF</t>
  </si>
  <si>
    <t>65+0 INF</t>
  </si>
  <si>
    <t>26+1INF</t>
  </si>
  <si>
    <t>93+1INF</t>
  </si>
  <si>
    <t>44+1INF</t>
  </si>
  <si>
    <t>29+0INF</t>
  </si>
  <si>
    <t>70+0INF</t>
  </si>
  <si>
    <t>43+1INF</t>
  </si>
  <si>
    <t>72+3INF</t>
  </si>
  <si>
    <t>30+0 INF</t>
  </si>
  <si>
    <t>60+0 INF</t>
  </si>
  <si>
    <t>50+ 0 INF</t>
  </si>
  <si>
    <t>116+0 INF</t>
  </si>
  <si>
    <t>85+1 INF</t>
  </si>
  <si>
    <t>71:500</t>
  </si>
  <si>
    <t>131+0 INF</t>
  </si>
  <si>
    <t>118+3 INF</t>
  </si>
  <si>
    <t>41+0 INF</t>
  </si>
  <si>
    <t>98+1 INF</t>
  </si>
  <si>
    <t>82+4 INF</t>
  </si>
  <si>
    <t>106+2 INF</t>
  </si>
  <si>
    <t>96+2 INF</t>
  </si>
  <si>
    <t>47+1 INF</t>
  </si>
  <si>
    <t>FAI Rent a Jet AG</t>
  </si>
  <si>
    <t>OAI-TZL-NUE</t>
  </si>
  <si>
    <t>CL60</t>
  </si>
  <si>
    <t>D-AFAG</t>
  </si>
  <si>
    <t>IFA1263</t>
  </si>
  <si>
    <t>88+4INF</t>
  </si>
  <si>
    <t>145+3INF</t>
  </si>
  <si>
    <t>55+1INF</t>
  </si>
  <si>
    <t>122+4INF</t>
  </si>
  <si>
    <t>59+2 INF</t>
  </si>
  <si>
    <t>125+4 INF</t>
  </si>
  <si>
    <t>73+0 INF</t>
  </si>
  <si>
    <t>99+4 INF</t>
  </si>
  <si>
    <t>79+3 INF</t>
  </si>
  <si>
    <t>108+2INF</t>
  </si>
  <si>
    <t>75+4INF</t>
  </si>
  <si>
    <t>49+1INF</t>
  </si>
  <si>
    <t>66+1INF</t>
  </si>
  <si>
    <t>78+6INF</t>
  </si>
  <si>
    <t>.6.2020</t>
  </si>
  <si>
    <t>69+1 INF</t>
  </si>
  <si>
    <t>63+2 INF</t>
  </si>
  <si>
    <t>127+3 INF</t>
  </si>
  <si>
    <t>159+3 INF</t>
  </si>
  <si>
    <t>113+2 INF</t>
  </si>
  <si>
    <t>109+2 INF</t>
  </si>
  <si>
    <t>131+0 NIF</t>
  </si>
  <si>
    <t>42+4INF</t>
  </si>
  <si>
    <t>79+1 INF</t>
  </si>
  <si>
    <t>19+1INF</t>
  </si>
  <si>
    <t>61+0INF</t>
  </si>
  <si>
    <t>29+2 INF</t>
  </si>
  <si>
    <t>56+0 INF</t>
  </si>
  <si>
    <t>44+0 INF</t>
  </si>
  <si>
    <t>61+3 INF</t>
  </si>
  <si>
    <t>67+1INF</t>
  </si>
  <si>
    <t>64+3INF</t>
  </si>
  <si>
    <t>68+2INF</t>
  </si>
  <si>
    <t>48+0INF</t>
  </si>
  <si>
    <t>39+0INF</t>
  </si>
  <si>
    <t>33+2INF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</si>
</sst>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1" fillId="0" borderId="0"/>
  </cellStyleXfs>
  <cellXfs count="88">
    <xf numFmtId="0" fontId="0" fillId="0" borderId="0" xfId="0"/>
    <xf numFmtId="20" fontId="4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14" fontId="4" fillId="0" borderId="0" xfId="2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20" fontId="7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20" fontId="7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2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3" fillId="0" borderId="0" xfId="4"/>
    <xf numFmtId="0" fontId="4" fillId="0" borderId="0" xfId="4" applyFont="1" applyFill="1" applyAlignment="1">
      <alignment horizontal="center" vertical="center"/>
    </xf>
    <xf numFmtId="3" fontId="4" fillId="0" borderId="0" xfId="4" applyNumberFormat="1" applyFont="1" applyFill="1" applyAlignment="1">
      <alignment horizontal="center" vertical="center"/>
    </xf>
    <xf numFmtId="20" fontId="7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0" fontId="4" fillId="0" borderId="0" xfId="4" applyNumberFormat="1" applyFont="1" applyFill="1" applyAlignment="1">
      <alignment horizontal="center" vertical="center"/>
    </xf>
    <xf numFmtId="0" fontId="4" fillId="0" borderId="0" xfId="3" applyFont="1" applyFill="1" applyAlignment="1">
      <alignment horizontal="center" vertical="center"/>
    </xf>
    <xf numFmtId="3" fontId="4" fillId="0" borderId="0" xfId="3" applyNumberFormat="1" applyFont="1" applyFill="1" applyAlignment="1">
      <alignment horizontal="center" vertical="center"/>
    </xf>
    <xf numFmtId="20" fontId="8" fillId="0" borderId="0" xfId="3" applyNumberFormat="1" applyFont="1" applyAlignment="1">
      <alignment horizontal="center" vertical="center"/>
    </xf>
    <xf numFmtId="20" fontId="6" fillId="0" borderId="0" xfId="3" applyNumberFormat="1" applyFont="1" applyAlignment="1">
      <alignment horizontal="center" vertical="center"/>
    </xf>
    <xf numFmtId="0" fontId="4" fillId="0" borderId="0" xfId="3" applyNumberFormat="1" applyFont="1" applyFill="1" applyAlignment="1">
      <alignment horizontal="center" vertical="center"/>
    </xf>
    <xf numFmtId="0" fontId="1" fillId="0" borderId="0" xfId="8"/>
    <xf numFmtId="20" fontId="7" fillId="0" borderId="0" xfId="3" applyNumberFormat="1" applyFont="1" applyFill="1" applyAlignment="1">
      <alignment horizontal="center" vertical="center"/>
    </xf>
    <xf numFmtId="20" fontId="4" fillId="0" borderId="0" xfId="3" applyNumberFormat="1" applyFont="1" applyFill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0" fontId="9" fillId="0" borderId="0" xfId="0" applyFont="1"/>
    <xf numFmtId="0" fontId="4" fillId="0" borderId="0" xfId="1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/>
    </xf>
    <xf numFmtId="0" fontId="6" fillId="0" borderId="0" xfId="0" applyFont="1" applyBorder="1"/>
    <xf numFmtId="14" fontId="4" fillId="0" borderId="0" xfId="2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20" fontId="7" fillId="0" borderId="0" xfId="0" applyNumberFormat="1" applyFont="1" applyFill="1" applyBorder="1" applyAlignment="1">
      <alignment horizontal="center" vertical="center"/>
    </xf>
    <xf numFmtId="20" fontId="4" fillId="0" borderId="0" xfId="1" applyNumberFormat="1" applyFont="1" applyFill="1" applyBorder="1" applyAlignment="1">
      <alignment horizontal="center" vertical="center"/>
    </xf>
    <xf numFmtId="20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20" fontId="7" fillId="0" borderId="0" xfId="1" applyNumberFormat="1" applyFont="1" applyFill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0" borderId="0" xfId="0" applyFont="1" applyBorder="1" applyAlignment="1">
      <alignment horizontal="center"/>
    </xf>
    <xf numFmtId="164" fontId="4" fillId="0" borderId="0" xfId="0" applyNumberFormat="1" applyFont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20" fontId="6" fillId="0" borderId="0" xfId="0" applyNumberFormat="1" applyFont="1" applyBorder="1"/>
    <xf numFmtId="0" fontId="4" fillId="2" borderId="0" xfId="1" applyFont="1" applyFill="1" applyBorder="1" applyAlignment="1">
      <alignment horizontal="center" vertical="center"/>
    </xf>
    <xf numFmtId="14" fontId="6" fillId="3" borderId="0" xfId="0" applyNumberFormat="1" applyFont="1" applyFill="1" applyAlignment="1">
      <alignment horizontal="center"/>
    </xf>
    <xf numFmtId="0" fontId="4" fillId="3" borderId="0" xfId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/>
    </xf>
    <xf numFmtId="20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3" fontId="4" fillId="0" borderId="0" xfId="2" applyNumberFormat="1" applyFont="1" applyFill="1" applyAlignment="1">
      <alignment horizontal="center" vertical="center"/>
    </xf>
    <xf numFmtId="20" fontId="4" fillId="0" borderId="0" xfId="2" applyNumberFormat="1" applyFont="1" applyFill="1" applyAlignment="1">
      <alignment horizontal="center" vertical="center"/>
    </xf>
    <xf numFmtId="20" fontId="7" fillId="0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4" fillId="0" borderId="0" xfId="2" applyFont="1" applyFill="1" applyAlignment="1">
      <alignment horizontal="center"/>
    </xf>
    <xf numFmtId="0" fontId="4" fillId="0" borderId="0" xfId="0" applyFont="1" applyFill="1" applyAlignment="1">
      <alignment horizontal="center"/>
    </xf>
    <xf numFmtId="3" fontId="4" fillId="0" borderId="0" xfId="2" applyNumberFormat="1" applyFont="1" applyFill="1" applyAlignment="1">
      <alignment horizontal="center"/>
    </xf>
    <xf numFmtId="14" fontId="6" fillId="2" borderId="0" xfId="0" applyNumberFormat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4" fontId="4" fillId="3" borderId="0" xfId="2" applyNumberFormat="1" applyFont="1" applyFill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3" fontId="4" fillId="3" borderId="0" xfId="2" applyNumberFormat="1" applyFont="1" applyFill="1" applyAlignment="1">
      <alignment horizontal="center" vertical="center"/>
    </xf>
    <xf numFmtId="20" fontId="8" fillId="3" borderId="0" xfId="0" applyNumberFormat="1" applyFont="1" applyFill="1" applyAlignment="1">
      <alignment horizontal="center"/>
    </xf>
    <xf numFmtId="20" fontId="6" fillId="3" borderId="0" xfId="0" applyNumberFormat="1" applyFont="1" applyFill="1" applyAlignment="1">
      <alignment horizontal="center" vertical="center"/>
    </xf>
    <xf numFmtId="0" fontId="6" fillId="0" borderId="0" xfId="8" applyFont="1" applyAlignment="1">
      <alignment horizontal="center"/>
    </xf>
    <xf numFmtId="0" fontId="10" fillId="0" borderId="0" xfId="0" applyFont="1"/>
    <xf numFmtId="0" fontId="10" fillId="2" borderId="0" xfId="0" applyFont="1" applyFill="1" applyAlignment="1">
      <alignment horizontal="center"/>
    </xf>
    <xf numFmtId="20" fontId="8" fillId="2" borderId="0" xfId="0" applyNumberFormat="1" applyFont="1" applyFill="1" applyAlignment="1">
      <alignment horizontal="center"/>
    </xf>
    <xf numFmtId="0" fontId="6" fillId="0" borderId="0" xfId="0" applyNumberFormat="1" applyFont="1" applyAlignment="1">
      <alignment horizontal="center"/>
    </xf>
    <xf numFmtId="0" fontId="6" fillId="0" borderId="0" xfId="3" applyNumberFormat="1" applyFont="1" applyAlignment="1">
      <alignment horizontal="center" vertical="center"/>
    </xf>
  </cellXfs>
  <cellStyles count="9">
    <cellStyle name="Normal" xfId="0" builtinId="0"/>
    <cellStyle name="Normal 2" xfId="4"/>
    <cellStyle name="Normal 2 2" xfId="2"/>
    <cellStyle name="Normal 3" xfId="5"/>
    <cellStyle name="Normal 3 2" xfId="1"/>
    <cellStyle name="Normal 4" xfId="3"/>
    <cellStyle name="Normal 5" xfId="6"/>
    <cellStyle name="Normal 6" xfId="7"/>
    <cellStyle name="Normal 7" xf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2" sqref="A2:XFD3"/>
    </sheetView>
  </sheetViews>
  <sheetFormatPr defaultRowHeight="12.75" x14ac:dyDescent="0.2"/>
  <cols>
    <col min="1" max="1" width="9.140625" style="38" bestFit="1" customWidth="1"/>
    <col min="2" max="2" width="13.85546875" style="38" customWidth="1"/>
    <col min="3" max="3" width="17.7109375" style="38" customWidth="1"/>
    <col min="4" max="4" width="10.5703125" style="38" customWidth="1"/>
    <col min="5" max="5" width="9.140625" style="38"/>
    <col min="6" max="6" width="17.28515625" style="38" customWidth="1"/>
    <col min="7" max="7" width="9.28515625" style="38" bestFit="1" customWidth="1"/>
    <col min="8" max="9" width="9.140625" style="38"/>
    <col min="10" max="10" width="11.140625" style="38" bestFit="1" customWidth="1"/>
    <col min="11" max="11" width="11" style="38" bestFit="1" customWidth="1"/>
    <col min="12" max="12" width="11.140625" style="38" bestFit="1" customWidth="1"/>
    <col min="13" max="13" width="11" style="38" bestFit="1" customWidth="1"/>
    <col min="14" max="15" width="18.5703125" style="38" bestFit="1" customWidth="1"/>
    <col min="16" max="21" width="9.28515625" style="38" bestFit="1" customWidth="1"/>
    <col min="22" max="16384" width="9.140625" style="38"/>
  </cols>
  <sheetData>
    <row r="1" spans="1:21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4" spans="1:21" x14ac:dyDescent="0.2">
      <c r="A4" s="39"/>
      <c r="B4" s="40"/>
      <c r="C4" s="36"/>
      <c r="D4" s="36"/>
      <c r="E4" s="40"/>
      <c r="F4" s="36"/>
      <c r="G4" s="41"/>
      <c r="H4" s="36"/>
      <c r="I4" s="36"/>
      <c r="J4" s="46"/>
      <c r="K4" s="43"/>
      <c r="L4" s="46"/>
      <c r="M4" s="43"/>
      <c r="N4" s="36"/>
      <c r="O4" s="36"/>
      <c r="P4" s="36"/>
      <c r="Q4" s="45"/>
      <c r="R4" s="36"/>
      <c r="S4" s="36"/>
      <c r="T4" s="36"/>
      <c r="U4" s="36"/>
    </row>
    <row r="5" spans="1:21" x14ac:dyDescent="0.2">
      <c r="A5" s="39"/>
      <c r="B5" s="47"/>
      <c r="C5" s="36"/>
      <c r="D5" s="47"/>
      <c r="E5" s="48"/>
      <c r="F5" s="36"/>
      <c r="G5" s="49"/>
      <c r="H5" s="47"/>
      <c r="I5" s="47"/>
      <c r="J5" s="46"/>
      <c r="K5" s="43"/>
      <c r="L5" s="46"/>
      <c r="M5" s="43"/>
      <c r="N5" s="36"/>
      <c r="O5" s="52"/>
      <c r="P5" s="36"/>
      <c r="Q5" s="45"/>
      <c r="R5" s="36"/>
      <c r="S5" s="36"/>
      <c r="T5" s="36"/>
      <c r="U5" s="36"/>
    </row>
    <row r="6" spans="1:21" x14ac:dyDescent="0.2">
      <c r="A6" s="39"/>
      <c r="B6" s="47"/>
      <c r="C6" s="36"/>
      <c r="D6" s="47"/>
      <c r="E6" s="48"/>
      <c r="F6" s="36"/>
      <c r="G6" s="49"/>
      <c r="H6" s="47"/>
      <c r="I6" s="47"/>
      <c r="J6" s="46"/>
      <c r="K6" s="43"/>
      <c r="L6" s="46"/>
      <c r="M6" s="43"/>
      <c r="N6" s="52"/>
      <c r="O6" s="36"/>
      <c r="P6" s="36"/>
      <c r="Q6" s="36"/>
      <c r="R6" s="36"/>
      <c r="S6" s="36"/>
      <c r="T6" s="36"/>
      <c r="U6" s="36"/>
    </row>
    <row r="7" spans="1:21" x14ac:dyDescent="0.2">
      <c r="A7" s="39"/>
      <c r="B7" s="47"/>
      <c r="C7" s="50"/>
      <c r="D7" s="47"/>
      <c r="E7" s="47"/>
      <c r="F7" s="36"/>
      <c r="G7" s="49"/>
      <c r="H7" s="47"/>
      <c r="I7" s="47"/>
      <c r="J7" s="51"/>
      <c r="K7" s="51"/>
      <c r="L7" s="51"/>
      <c r="M7" s="51"/>
      <c r="N7" s="36"/>
      <c r="O7" s="36"/>
      <c r="P7" s="36"/>
      <c r="Q7" s="36"/>
      <c r="R7" s="36"/>
      <c r="S7" s="36"/>
      <c r="T7" s="36"/>
      <c r="U7" s="36"/>
    </row>
    <row r="8" spans="1:21" x14ac:dyDescent="0.2">
      <c r="A8" s="39"/>
      <c r="B8" s="47"/>
      <c r="C8" s="36"/>
      <c r="D8" s="47"/>
      <c r="E8" s="48"/>
      <c r="F8" s="36"/>
      <c r="G8" s="49"/>
      <c r="H8" s="47"/>
      <c r="I8" s="47"/>
      <c r="J8" s="51"/>
      <c r="K8" s="51"/>
      <c r="L8" s="51"/>
      <c r="M8" s="51"/>
      <c r="N8" s="36"/>
      <c r="O8" s="36"/>
      <c r="P8" s="36"/>
      <c r="Q8" s="36"/>
      <c r="R8" s="36"/>
      <c r="S8" s="36"/>
      <c r="T8" s="36"/>
      <c r="U8" s="36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A2" sqref="A2:U8"/>
    </sheetView>
  </sheetViews>
  <sheetFormatPr defaultRowHeight="15" x14ac:dyDescent="0.25"/>
  <cols>
    <col min="3" max="3" width="12.85546875" customWidth="1"/>
    <col min="6" max="6" width="11.85546875" customWidth="1"/>
    <col min="8" max="8" width="10.140625" customWidth="1"/>
    <col min="9" max="9" width="10" customWidth="1"/>
    <col min="10" max="10" width="10.28515625" customWidth="1"/>
    <col min="11" max="11" width="10.5703125" customWidth="1"/>
    <col min="12" max="12" width="10.7109375" customWidth="1"/>
    <col min="13" max="13" width="10.42578125" customWidth="1"/>
    <col min="14" max="14" width="17.85546875" customWidth="1"/>
    <col min="15" max="15" width="18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8" customFormat="1" ht="12.75" x14ac:dyDescent="0.2">
      <c r="A2" s="39">
        <v>43984</v>
      </c>
      <c r="B2" s="40" t="s">
        <v>24</v>
      </c>
      <c r="C2" s="40" t="s">
        <v>27</v>
      </c>
      <c r="D2" s="40" t="s">
        <v>23</v>
      </c>
      <c r="E2" s="40" t="s">
        <v>25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43">
        <v>0.38194444444444442</v>
      </c>
      <c r="L2" s="42">
        <v>0.25694444444444448</v>
      </c>
      <c r="M2" s="44">
        <v>0.2673611111111111</v>
      </c>
      <c r="N2" s="36" t="s">
        <v>43</v>
      </c>
      <c r="O2" s="45" t="s">
        <v>34</v>
      </c>
      <c r="P2" s="45">
        <v>485</v>
      </c>
      <c r="Q2" s="45">
        <v>88</v>
      </c>
      <c r="R2" s="40">
        <v>0</v>
      </c>
      <c r="S2" s="40">
        <v>0</v>
      </c>
      <c r="T2" s="40">
        <v>0</v>
      </c>
      <c r="U2" s="40">
        <v>0</v>
      </c>
    </row>
    <row r="3" spans="1:21" s="38" customFormat="1" ht="12.75" x14ac:dyDescent="0.2">
      <c r="A3" s="39">
        <v>43984</v>
      </c>
      <c r="B3" s="40" t="s">
        <v>24</v>
      </c>
      <c r="C3" s="40" t="s">
        <v>28</v>
      </c>
      <c r="D3" s="40" t="s">
        <v>23</v>
      </c>
      <c r="E3" s="40" t="s">
        <v>26</v>
      </c>
      <c r="F3" s="40" t="s">
        <v>29</v>
      </c>
      <c r="G3" s="41">
        <v>71500</v>
      </c>
      <c r="H3" s="40" t="s">
        <v>31</v>
      </c>
      <c r="I3" s="40" t="s">
        <v>33</v>
      </c>
      <c r="J3" s="42">
        <v>0.4548611111111111</v>
      </c>
      <c r="K3" s="43">
        <v>0.44930555555555557</v>
      </c>
      <c r="L3" s="42">
        <v>0.28125</v>
      </c>
      <c r="M3" s="44">
        <v>0.28888888888888892</v>
      </c>
      <c r="N3" s="36" t="s">
        <v>42</v>
      </c>
      <c r="O3" s="45" t="s">
        <v>35</v>
      </c>
      <c r="P3" s="40">
        <v>954</v>
      </c>
      <c r="Q3" s="45">
        <v>295</v>
      </c>
      <c r="R3" s="40">
        <v>0</v>
      </c>
      <c r="S3" s="40">
        <v>0</v>
      </c>
      <c r="T3" s="40">
        <v>0</v>
      </c>
      <c r="U3" s="40">
        <v>0</v>
      </c>
    </row>
    <row r="4" spans="1:21" x14ac:dyDescent="0.25">
      <c r="A4" s="39">
        <v>43984</v>
      </c>
      <c r="B4" s="40" t="s">
        <v>24</v>
      </c>
      <c r="C4" s="40" t="s">
        <v>36</v>
      </c>
      <c r="D4" s="40" t="s">
        <v>23</v>
      </c>
      <c r="E4" s="40" t="s">
        <v>25</v>
      </c>
      <c r="F4" s="40" t="s">
        <v>29</v>
      </c>
      <c r="G4" s="41">
        <v>70000</v>
      </c>
      <c r="H4" s="40" t="s">
        <v>38</v>
      </c>
      <c r="I4" s="40" t="s">
        <v>40</v>
      </c>
      <c r="J4" s="42">
        <v>0.54166666666666663</v>
      </c>
      <c r="K4" s="43">
        <v>0.56805555555555554</v>
      </c>
      <c r="L4" s="42">
        <v>0.39583333333333331</v>
      </c>
      <c r="M4" s="44">
        <v>0.41944444444444445</v>
      </c>
      <c r="N4" s="36" t="s">
        <v>46</v>
      </c>
      <c r="O4" s="45" t="s">
        <v>44</v>
      </c>
      <c r="P4" s="45">
        <v>1092</v>
      </c>
      <c r="Q4" s="45">
        <v>89</v>
      </c>
      <c r="R4" s="40">
        <v>0</v>
      </c>
      <c r="S4" s="40">
        <v>0</v>
      </c>
      <c r="T4" s="40">
        <v>0</v>
      </c>
      <c r="U4" s="40">
        <v>0</v>
      </c>
    </row>
    <row r="5" spans="1:21" x14ac:dyDescent="0.25">
      <c r="A5" s="39">
        <v>43984</v>
      </c>
      <c r="B5" s="40" t="s">
        <v>24</v>
      </c>
      <c r="C5" s="40" t="s">
        <v>37</v>
      </c>
      <c r="D5" s="40" t="s">
        <v>23</v>
      </c>
      <c r="E5" s="40" t="s">
        <v>26</v>
      </c>
      <c r="F5" s="40" t="s">
        <v>29</v>
      </c>
      <c r="G5" s="41">
        <v>71500</v>
      </c>
      <c r="H5" s="40" t="s">
        <v>39</v>
      </c>
      <c r="I5" s="40" t="s">
        <v>41</v>
      </c>
      <c r="J5" s="42">
        <v>0.70138888888888884</v>
      </c>
      <c r="K5" s="43">
        <v>0.69513888888888886</v>
      </c>
      <c r="L5" s="42">
        <v>0.49652777777777773</v>
      </c>
      <c r="M5" s="44">
        <v>0.51111111111111118</v>
      </c>
      <c r="N5" s="36" t="s">
        <v>52</v>
      </c>
      <c r="O5" s="45" t="s">
        <v>45</v>
      </c>
      <c r="P5" s="40">
        <v>656</v>
      </c>
      <c r="Q5" s="45">
        <v>374</v>
      </c>
      <c r="R5" s="40">
        <v>0</v>
      </c>
      <c r="S5" s="40">
        <v>0</v>
      </c>
      <c r="T5" s="40">
        <v>0</v>
      </c>
      <c r="U5" s="40">
        <v>0</v>
      </c>
    </row>
    <row r="6" spans="1:21" x14ac:dyDescent="0.25">
      <c r="A6" s="4">
        <v>43984</v>
      </c>
      <c r="B6" s="2" t="s">
        <v>24</v>
      </c>
      <c r="C6" s="2" t="s">
        <v>47</v>
      </c>
      <c r="D6" s="2" t="s">
        <v>23</v>
      </c>
      <c r="E6" s="5" t="s">
        <v>25</v>
      </c>
      <c r="F6" s="2" t="s">
        <v>29</v>
      </c>
      <c r="G6" s="6">
        <v>70000</v>
      </c>
      <c r="H6" s="2" t="s">
        <v>48</v>
      </c>
      <c r="I6" s="2" t="s">
        <v>49</v>
      </c>
      <c r="J6" s="12">
        <v>0.73958333333333337</v>
      </c>
      <c r="K6" s="1">
        <v>0.76250000000000007</v>
      </c>
      <c r="L6" s="12">
        <v>0.57291666666666663</v>
      </c>
      <c r="M6" s="1">
        <v>0.61111111111111105</v>
      </c>
      <c r="N6" s="2" t="s">
        <v>50</v>
      </c>
      <c r="O6" s="2" t="s">
        <v>51</v>
      </c>
      <c r="P6" s="2">
        <v>1050</v>
      </c>
      <c r="Q6" s="2">
        <v>159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2">
        <v>43984</v>
      </c>
      <c r="B7" s="2" t="s">
        <v>24</v>
      </c>
      <c r="C7" s="2" t="s">
        <v>53</v>
      </c>
      <c r="D7" s="2" t="s">
        <v>23</v>
      </c>
      <c r="E7" s="5" t="s">
        <v>26</v>
      </c>
      <c r="F7" s="2" t="s">
        <v>29</v>
      </c>
      <c r="G7" s="33">
        <v>71500</v>
      </c>
      <c r="H7" s="2" t="s">
        <v>54</v>
      </c>
      <c r="I7" s="2" t="s">
        <v>55</v>
      </c>
      <c r="J7" s="11">
        <v>0.94097222222222221</v>
      </c>
      <c r="K7" s="11">
        <v>0.93194444444444446</v>
      </c>
      <c r="L7" s="11">
        <v>0.72222222222222221</v>
      </c>
      <c r="M7" s="11">
        <v>0.7270833333333333</v>
      </c>
      <c r="N7" s="2" t="s">
        <v>56</v>
      </c>
      <c r="O7" s="2" t="s">
        <v>57</v>
      </c>
      <c r="P7" s="2">
        <v>496</v>
      </c>
      <c r="Q7" s="2">
        <v>460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53">
        <v>43984</v>
      </c>
      <c r="B8" s="54" t="s">
        <v>24</v>
      </c>
      <c r="C8" s="54" t="s">
        <v>61</v>
      </c>
      <c r="D8" s="54" t="s">
        <v>23</v>
      </c>
      <c r="E8" s="55" t="s">
        <v>25</v>
      </c>
      <c r="F8" s="54" t="s">
        <v>29</v>
      </c>
      <c r="G8" s="56">
        <v>70000</v>
      </c>
      <c r="H8" s="54" t="s">
        <v>58</v>
      </c>
      <c r="I8" s="54" t="s">
        <v>59</v>
      </c>
      <c r="J8" s="57">
        <v>0.94444444444444453</v>
      </c>
      <c r="K8" s="58" t="s">
        <v>60</v>
      </c>
      <c r="L8" s="57">
        <v>0.76388888888888884</v>
      </c>
      <c r="M8" s="58" t="s">
        <v>60</v>
      </c>
      <c r="N8" s="58">
        <v>0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9">
        <v>0</v>
      </c>
      <c r="U8" s="5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A3" sqref="A3:U3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43985</v>
      </c>
      <c r="B2" s="40" t="s">
        <v>24</v>
      </c>
      <c r="C2" s="14" t="s">
        <v>62</v>
      </c>
      <c r="D2" s="14" t="s">
        <v>23</v>
      </c>
      <c r="E2" s="14" t="s">
        <v>63</v>
      </c>
      <c r="F2" s="14" t="s">
        <v>64</v>
      </c>
      <c r="G2" s="60">
        <v>71500</v>
      </c>
      <c r="H2" s="14" t="s">
        <v>65</v>
      </c>
      <c r="I2" s="14" t="s">
        <v>22</v>
      </c>
      <c r="J2" s="62">
        <v>0.26041666666666669</v>
      </c>
      <c r="K2" s="61">
        <v>0.25763888888888892</v>
      </c>
      <c r="L2" s="14" t="s">
        <v>22</v>
      </c>
      <c r="M2" s="14" t="s">
        <v>22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</row>
    <row r="3" spans="1:21" x14ac:dyDescent="0.25">
      <c r="A3" s="4">
        <v>43985</v>
      </c>
      <c r="B3" s="40" t="s">
        <v>24</v>
      </c>
      <c r="C3" s="5" t="s">
        <v>66</v>
      </c>
      <c r="D3" s="14" t="s">
        <v>23</v>
      </c>
      <c r="E3" s="5" t="s">
        <v>26</v>
      </c>
      <c r="F3" s="40" t="s">
        <v>29</v>
      </c>
      <c r="G3" s="60">
        <v>71500</v>
      </c>
      <c r="H3" s="5" t="s">
        <v>74</v>
      </c>
      <c r="I3" s="5" t="s">
        <v>75</v>
      </c>
      <c r="J3" s="7">
        <v>0.46180555555555558</v>
      </c>
      <c r="K3" s="8">
        <v>0.45416666666666666</v>
      </c>
      <c r="L3" s="7">
        <v>0.26041666666666669</v>
      </c>
      <c r="M3" s="8">
        <v>0.26458333333333334</v>
      </c>
      <c r="N3" s="2" t="s">
        <v>88</v>
      </c>
      <c r="O3" s="9" t="s">
        <v>87</v>
      </c>
      <c r="P3" s="3">
        <v>1075</v>
      </c>
      <c r="Q3" s="9">
        <v>268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43985</v>
      </c>
      <c r="B4" s="40" t="s">
        <v>24</v>
      </c>
      <c r="C4" s="2" t="s">
        <v>67</v>
      </c>
      <c r="D4" s="14" t="s">
        <v>23</v>
      </c>
      <c r="E4" s="14" t="s">
        <v>63</v>
      </c>
      <c r="F4" s="40" t="s">
        <v>29</v>
      </c>
      <c r="G4" s="60">
        <v>71500</v>
      </c>
      <c r="H4" s="5" t="s">
        <v>76</v>
      </c>
      <c r="I4" s="5" t="s">
        <v>77</v>
      </c>
      <c r="J4" s="10">
        <v>0.47569444444444442</v>
      </c>
      <c r="K4" s="1">
        <v>0.48819444444444443</v>
      </c>
      <c r="L4" s="10">
        <v>0.27430555555555552</v>
      </c>
      <c r="M4" s="11">
        <v>0.29930555555555555</v>
      </c>
      <c r="N4" s="2" t="s">
        <v>90</v>
      </c>
      <c r="O4" s="34" t="s">
        <v>89</v>
      </c>
      <c r="P4" s="5">
        <v>1457</v>
      </c>
      <c r="Q4" s="9">
        <v>219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43985</v>
      </c>
      <c r="B5" s="40" t="s">
        <v>24</v>
      </c>
      <c r="C5" s="2" t="s">
        <v>68</v>
      </c>
      <c r="D5" s="14" t="s">
        <v>23</v>
      </c>
      <c r="E5" s="5" t="s">
        <v>25</v>
      </c>
      <c r="F5" s="2" t="s">
        <v>73</v>
      </c>
      <c r="G5" s="6">
        <v>70000</v>
      </c>
      <c r="H5" s="2" t="s">
        <v>22</v>
      </c>
      <c r="I5" s="2" t="s">
        <v>78</v>
      </c>
      <c r="J5" s="12" t="s">
        <v>21</v>
      </c>
      <c r="K5" s="1"/>
      <c r="L5" s="12">
        <v>0.29166666666666669</v>
      </c>
      <c r="M5" s="1">
        <v>0.3743055555555555</v>
      </c>
      <c r="N5" s="2">
        <v>0</v>
      </c>
      <c r="O5" s="2">
        <v>0</v>
      </c>
      <c r="P5" s="2">
        <v>0</v>
      </c>
      <c r="Q5" s="9">
        <v>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43985</v>
      </c>
      <c r="B6" s="40" t="s">
        <v>24</v>
      </c>
      <c r="C6" s="2" t="s">
        <v>69</v>
      </c>
      <c r="D6" s="14" t="s">
        <v>23</v>
      </c>
      <c r="E6" s="5" t="s">
        <v>26</v>
      </c>
      <c r="F6" s="40" t="s">
        <v>29</v>
      </c>
      <c r="G6" s="60">
        <v>71500</v>
      </c>
      <c r="H6" s="2" t="s">
        <v>79</v>
      </c>
      <c r="I6" s="2" t="s">
        <v>80</v>
      </c>
      <c r="J6" s="12">
        <v>0.72569444444444453</v>
      </c>
      <c r="K6" s="1">
        <v>0.72638888888888886</v>
      </c>
      <c r="L6" s="12">
        <v>0.5</v>
      </c>
      <c r="M6" s="1">
        <v>0.50069444444444444</v>
      </c>
      <c r="N6" s="2" t="s">
        <v>99</v>
      </c>
      <c r="O6" s="2" t="s">
        <v>91</v>
      </c>
      <c r="P6" s="2">
        <v>1289</v>
      </c>
      <c r="Q6" s="2">
        <v>254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4">
        <v>43985</v>
      </c>
      <c r="B7" s="40" t="s">
        <v>24</v>
      </c>
      <c r="C7" s="2" t="s">
        <v>70</v>
      </c>
      <c r="D7" s="14" t="s">
        <v>23</v>
      </c>
      <c r="E7" s="5" t="s">
        <v>63</v>
      </c>
      <c r="F7" s="40" t="s">
        <v>29</v>
      </c>
      <c r="G7" s="60">
        <v>71500</v>
      </c>
      <c r="H7" s="2" t="s">
        <v>81</v>
      </c>
      <c r="I7" s="2" t="s">
        <v>82</v>
      </c>
      <c r="J7" s="12">
        <v>0.75</v>
      </c>
      <c r="K7" s="1">
        <v>0.81597222222222221</v>
      </c>
      <c r="L7" s="12">
        <v>0.51388888888888895</v>
      </c>
      <c r="M7" s="1">
        <v>0.59791666666666665</v>
      </c>
      <c r="N7" s="2" t="s">
        <v>100</v>
      </c>
      <c r="O7" s="2" t="s">
        <v>92</v>
      </c>
      <c r="P7" s="2">
        <v>1715</v>
      </c>
      <c r="Q7" s="2">
        <v>247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>
        <v>43985</v>
      </c>
      <c r="B8" s="40" t="s">
        <v>24</v>
      </c>
      <c r="C8" s="2" t="s">
        <v>71</v>
      </c>
      <c r="D8" s="14" t="s">
        <v>23</v>
      </c>
      <c r="E8" s="5" t="s">
        <v>26</v>
      </c>
      <c r="F8" s="40" t="s">
        <v>29</v>
      </c>
      <c r="G8" s="60">
        <v>71500</v>
      </c>
      <c r="H8" s="2" t="s">
        <v>83</v>
      </c>
      <c r="I8" s="2" t="s">
        <v>84</v>
      </c>
      <c r="J8" s="10">
        <v>0.9375</v>
      </c>
      <c r="K8" s="11">
        <v>0.94861111111111107</v>
      </c>
      <c r="L8" s="10">
        <v>0.74652777777777779</v>
      </c>
      <c r="M8" s="16">
        <v>0.76597222222222217</v>
      </c>
      <c r="N8" s="2" t="s">
        <v>103</v>
      </c>
      <c r="O8" s="2" t="s">
        <v>101</v>
      </c>
      <c r="P8" s="2">
        <v>1620</v>
      </c>
      <c r="Q8" s="2">
        <v>313</v>
      </c>
      <c r="R8" s="2">
        <v>0</v>
      </c>
      <c r="S8" s="2">
        <v>0</v>
      </c>
      <c r="T8" s="2">
        <v>0</v>
      </c>
      <c r="U8" s="2">
        <v>0</v>
      </c>
    </row>
    <row r="9" spans="1:21" x14ac:dyDescent="0.25">
      <c r="A9" s="4">
        <v>43985</v>
      </c>
      <c r="B9" s="40" t="s">
        <v>24</v>
      </c>
      <c r="C9" s="2" t="s">
        <v>72</v>
      </c>
      <c r="D9" s="14" t="s">
        <v>23</v>
      </c>
      <c r="E9" s="5" t="s">
        <v>94</v>
      </c>
      <c r="F9" s="40" t="s">
        <v>29</v>
      </c>
      <c r="G9" s="60">
        <v>71500</v>
      </c>
      <c r="H9" s="2" t="s">
        <v>85</v>
      </c>
      <c r="I9" s="2" t="s">
        <v>86</v>
      </c>
      <c r="J9" s="10">
        <v>0.94097222222222221</v>
      </c>
      <c r="K9" s="11">
        <v>0.94513888888888886</v>
      </c>
      <c r="L9" s="10">
        <v>0.77083333333333337</v>
      </c>
      <c r="M9" s="16">
        <v>0.78333333333333333</v>
      </c>
      <c r="N9" s="2" t="s">
        <v>104</v>
      </c>
      <c r="O9" s="2" t="s">
        <v>102</v>
      </c>
      <c r="P9" s="2">
        <v>1155</v>
      </c>
      <c r="Q9" s="2">
        <v>343</v>
      </c>
      <c r="R9" s="2">
        <v>0</v>
      </c>
      <c r="S9" s="2">
        <v>0</v>
      </c>
      <c r="T9" s="2">
        <v>0</v>
      </c>
      <c r="U9" s="2">
        <v>0</v>
      </c>
    </row>
    <row r="10" spans="1:21" s="63" customFormat="1" x14ac:dyDescent="0.25">
      <c r="A10" s="4">
        <v>43985</v>
      </c>
      <c r="B10" s="64" t="s">
        <v>24</v>
      </c>
      <c r="C10" s="65" t="s">
        <v>93</v>
      </c>
      <c r="D10" s="66" t="s">
        <v>23</v>
      </c>
      <c r="E10" s="67" t="s">
        <v>94</v>
      </c>
      <c r="F10" s="64" t="s">
        <v>95</v>
      </c>
      <c r="G10" s="68">
        <v>71500</v>
      </c>
      <c r="H10" s="65" t="s">
        <v>96</v>
      </c>
      <c r="I10" s="65" t="s">
        <v>97</v>
      </c>
      <c r="J10" s="10">
        <v>0.75</v>
      </c>
      <c r="K10" s="11">
        <v>0.74513888888888891</v>
      </c>
      <c r="L10" s="10">
        <v>0.96180555555555547</v>
      </c>
      <c r="M10" s="11">
        <v>0.96805555555555556</v>
      </c>
      <c r="N10" s="3" t="s">
        <v>98</v>
      </c>
      <c r="O10" s="3" t="s">
        <v>98</v>
      </c>
      <c r="P10" s="63">
        <v>0</v>
      </c>
      <c r="Q10" s="65">
        <v>0</v>
      </c>
      <c r="R10" s="65">
        <v>0</v>
      </c>
      <c r="S10" s="65">
        <v>0</v>
      </c>
      <c r="T10" s="63">
        <v>0</v>
      </c>
      <c r="U10" s="6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G27" sqref="G27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140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/>
      <c r="B2" s="5"/>
      <c r="C2" s="5"/>
      <c r="D2" s="5"/>
      <c r="E2" s="5"/>
      <c r="F2" s="5"/>
      <c r="G2" s="6"/>
      <c r="H2" s="5"/>
      <c r="I2" s="5"/>
      <c r="J2" s="7"/>
      <c r="K2" s="8"/>
      <c r="L2" s="7"/>
      <c r="M2" s="8"/>
      <c r="N2" s="2"/>
      <c r="O2" s="9"/>
      <c r="P2" s="9"/>
      <c r="Q2" s="9"/>
      <c r="R2" s="5"/>
      <c r="S2" s="5"/>
      <c r="T2" s="5"/>
      <c r="U2" s="5"/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8"/>
      <c r="L3" s="7"/>
      <c r="M3" s="8"/>
      <c r="N3" s="2"/>
      <c r="O3" s="9"/>
      <c r="P3" s="3"/>
      <c r="Q3" s="9"/>
      <c r="R3" s="5"/>
      <c r="S3" s="5"/>
      <c r="T3" s="5"/>
      <c r="U3" s="5"/>
    </row>
    <row r="4" spans="1:21" x14ac:dyDescent="0.25">
      <c r="A4" s="4"/>
      <c r="B4" s="2"/>
      <c r="C4" s="2"/>
      <c r="D4" s="2"/>
      <c r="E4" s="5"/>
      <c r="F4" s="2"/>
      <c r="G4" s="6"/>
      <c r="H4" s="5"/>
      <c r="I4" s="5"/>
      <c r="J4" s="10"/>
      <c r="K4" s="1"/>
      <c r="L4" s="10"/>
      <c r="M4" s="11"/>
      <c r="N4" s="2"/>
      <c r="O4" s="34"/>
      <c r="P4" s="5"/>
      <c r="Q4" s="9"/>
      <c r="R4" s="2"/>
      <c r="S4" s="2"/>
      <c r="T4" s="2"/>
      <c r="U4" s="2"/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  <row r="6" spans="1:21" x14ac:dyDescent="0.25">
      <c r="A6" s="4"/>
      <c r="B6" s="2"/>
      <c r="C6" s="2"/>
      <c r="D6" s="2"/>
      <c r="E6" s="5"/>
      <c r="F6" s="2"/>
      <c r="G6" s="6"/>
      <c r="H6" s="2"/>
      <c r="I6" s="2"/>
      <c r="J6" s="2"/>
      <c r="K6" s="8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XFD1048576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5" customFormat="1" ht="12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5">
      <c r="A2" s="4">
        <v>43987</v>
      </c>
      <c r="B2" s="23" t="s">
        <v>24</v>
      </c>
      <c r="C2" s="23" t="s">
        <v>67</v>
      </c>
      <c r="D2" s="23" t="s">
        <v>23</v>
      </c>
      <c r="E2" s="23" t="s">
        <v>63</v>
      </c>
      <c r="F2" s="23" t="s">
        <v>29</v>
      </c>
      <c r="G2" s="24">
        <v>70000</v>
      </c>
      <c r="H2" s="23" t="s">
        <v>76</v>
      </c>
      <c r="I2" s="23" t="s">
        <v>77</v>
      </c>
      <c r="J2" s="29">
        <v>0.47569444444444442</v>
      </c>
      <c r="K2" s="30">
        <v>0.5</v>
      </c>
      <c r="L2" s="29">
        <v>0.27430555555555552</v>
      </c>
      <c r="M2" s="30">
        <v>0.28611111111111115</v>
      </c>
      <c r="N2" s="30" t="s">
        <v>106</v>
      </c>
      <c r="O2" s="30" t="s">
        <v>105</v>
      </c>
      <c r="P2" s="27">
        <v>1059</v>
      </c>
      <c r="Q2" s="27">
        <v>288</v>
      </c>
      <c r="R2" s="23">
        <v>0</v>
      </c>
      <c r="S2" s="23">
        <v>0</v>
      </c>
      <c r="T2" s="23">
        <v>0</v>
      </c>
      <c r="U2" s="23">
        <v>0</v>
      </c>
      <c r="V2" s="17"/>
    </row>
    <row r="3" spans="1:22" x14ac:dyDescent="0.25">
      <c r="A3" s="4">
        <v>43987</v>
      </c>
      <c r="B3" s="23" t="s">
        <v>24</v>
      </c>
      <c r="C3" s="23" t="s">
        <v>107</v>
      </c>
      <c r="D3" s="23" t="s">
        <v>23</v>
      </c>
      <c r="E3" s="23" t="s">
        <v>108</v>
      </c>
      <c r="F3" s="23" t="s">
        <v>29</v>
      </c>
      <c r="G3" s="24">
        <v>70000</v>
      </c>
      <c r="H3" s="23" t="s">
        <v>110</v>
      </c>
      <c r="I3" s="23" t="s">
        <v>109</v>
      </c>
      <c r="J3" s="29">
        <v>0.89930555555555547</v>
      </c>
      <c r="K3" s="30">
        <v>0.89097222222222217</v>
      </c>
      <c r="L3" s="29">
        <v>0.75</v>
      </c>
      <c r="M3" s="30">
        <v>0.74791666666666667</v>
      </c>
      <c r="N3" s="30" t="s">
        <v>111</v>
      </c>
      <c r="O3" s="30">
        <v>13</v>
      </c>
      <c r="P3" s="27">
        <v>518</v>
      </c>
      <c r="Q3" s="27">
        <v>71</v>
      </c>
      <c r="R3" s="23">
        <v>0</v>
      </c>
      <c r="S3" s="23">
        <v>0</v>
      </c>
      <c r="T3" s="23">
        <v>0</v>
      </c>
      <c r="U3" s="23">
        <v>0</v>
      </c>
      <c r="V3" s="17"/>
    </row>
    <row r="4" spans="1:22" x14ac:dyDescent="0.25">
      <c r="A4" s="4">
        <v>43987</v>
      </c>
      <c r="B4" s="23" t="s">
        <v>24</v>
      </c>
      <c r="C4" s="18" t="s">
        <v>72</v>
      </c>
      <c r="D4" s="23" t="s">
        <v>23</v>
      </c>
      <c r="E4" s="18" t="s">
        <v>26</v>
      </c>
      <c r="F4" s="23" t="s">
        <v>29</v>
      </c>
      <c r="G4" s="19">
        <v>71500</v>
      </c>
      <c r="H4" s="23" t="s">
        <v>85</v>
      </c>
      <c r="I4" s="18" t="s">
        <v>86</v>
      </c>
      <c r="J4" s="20">
        <v>0.94097222222222221</v>
      </c>
      <c r="K4" s="1">
        <v>0.95208333333333339</v>
      </c>
      <c r="L4" s="20">
        <v>0.77083333333333337</v>
      </c>
      <c r="M4" s="21">
        <v>0.79375000000000007</v>
      </c>
      <c r="N4" s="2">
        <v>132</v>
      </c>
      <c r="O4" s="22">
        <v>44</v>
      </c>
      <c r="P4" s="22">
        <v>955</v>
      </c>
      <c r="Q4" s="22">
        <v>197</v>
      </c>
      <c r="R4" s="23">
        <v>0</v>
      </c>
      <c r="S4" s="23">
        <v>0</v>
      </c>
      <c r="T4" s="23">
        <v>0</v>
      </c>
      <c r="U4" s="23">
        <v>0</v>
      </c>
      <c r="V4" s="17"/>
    </row>
    <row r="5" spans="1:22" x14ac:dyDescent="0.25">
      <c r="A5" s="4"/>
      <c r="B5" s="2"/>
      <c r="C5" s="2"/>
      <c r="D5" s="2"/>
      <c r="E5" s="23"/>
      <c r="F5" s="2"/>
      <c r="G5" s="24"/>
      <c r="H5" s="2"/>
      <c r="I5" s="2"/>
      <c r="J5" s="25"/>
      <c r="K5" s="26"/>
      <c r="L5" s="25"/>
      <c r="M5" s="26"/>
      <c r="N5" s="26"/>
      <c r="O5" s="27"/>
      <c r="P5" s="23"/>
      <c r="Q5" s="27"/>
      <c r="R5" s="2"/>
      <c r="S5" s="2"/>
      <c r="T5" s="2"/>
      <c r="U5" s="2"/>
      <c r="V5" s="17"/>
    </row>
    <row r="6" spans="1:22" x14ac:dyDescent="0.25">
      <c r="A6" s="4"/>
      <c r="B6" s="26"/>
      <c r="C6" s="26"/>
      <c r="D6" s="26"/>
      <c r="E6" s="26"/>
      <c r="F6" s="26"/>
      <c r="G6" s="24"/>
      <c r="H6" s="26"/>
      <c r="I6" s="26"/>
      <c r="J6" s="26"/>
      <c r="K6" s="26"/>
      <c r="L6" s="26"/>
      <c r="M6" s="26"/>
      <c r="N6" s="23"/>
      <c r="O6" s="23"/>
      <c r="P6" s="23"/>
      <c r="Q6" s="23"/>
      <c r="R6" s="23"/>
      <c r="S6" s="23"/>
      <c r="T6" s="2"/>
      <c r="U6" s="2"/>
      <c r="V6" s="26"/>
    </row>
    <row r="7" spans="1:2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2" sqref="A2:U8"/>
    </sheetView>
  </sheetViews>
  <sheetFormatPr defaultRowHeight="15" x14ac:dyDescent="0.25"/>
  <cols>
    <col min="1" max="1" width="8.140625" bestFit="1" customWidth="1"/>
    <col min="2" max="2" width="9.140625" bestFit="1" customWidth="1"/>
    <col min="3" max="3" width="13.5703125" bestFit="1" customWidth="1"/>
    <col min="4" max="4" width="5.7109375" bestFit="1" customWidth="1"/>
    <col min="5" max="5" width="1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38" customFormat="1" ht="12.75" x14ac:dyDescent="0.2">
      <c r="A2" s="39">
        <v>43988</v>
      </c>
      <c r="B2" s="40" t="s">
        <v>24</v>
      </c>
      <c r="C2" s="40" t="s">
        <v>27</v>
      </c>
      <c r="D2" s="40" t="s">
        <v>23</v>
      </c>
      <c r="E2" s="40" t="s">
        <v>108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43">
        <v>0.36388888888888887</v>
      </c>
      <c r="L2" s="42">
        <v>0.25694444444444448</v>
      </c>
      <c r="M2" s="44">
        <v>0.25347222222222221</v>
      </c>
      <c r="N2" s="36" t="s">
        <v>116</v>
      </c>
      <c r="O2" s="45" t="s">
        <v>112</v>
      </c>
      <c r="P2" s="45">
        <v>260</v>
      </c>
      <c r="Q2" s="45">
        <v>70</v>
      </c>
      <c r="R2" s="40">
        <v>0</v>
      </c>
      <c r="S2" s="40">
        <v>0</v>
      </c>
      <c r="T2" s="40">
        <v>0</v>
      </c>
      <c r="U2" s="40">
        <v>0</v>
      </c>
    </row>
    <row r="3" spans="1:21" s="38" customFormat="1" ht="12.75" x14ac:dyDescent="0.2">
      <c r="A3" s="39">
        <v>43988</v>
      </c>
      <c r="B3" s="40" t="s">
        <v>24</v>
      </c>
      <c r="C3" s="40" t="s">
        <v>28</v>
      </c>
      <c r="D3" s="40" t="s">
        <v>23</v>
      </c>
      <c r="E3" s="40" t="s">
        <v>26</v>
      </c>
      <c r="F3" s="40" t="s">
        <v>29</v>
      </c>
      <c r="G3" s="41">
        <v>71500</v>
      </c>
      <c r="H3" s="40" t="s">
        <v>31</v>
      </c>
      <c r="I3" s="40" t="s">
        <v>33</v>
      </c>
      <c r="J3" s="42">
        <v>0.4548611111111111</v>
      </c>
      <c r="K3" s="43">
        <v>0.44444444444444442</v>
      </c>
      <c r="L3" s="42">
        <v>0.28125</v>
      </c>
      <c r="M3" s="44">
        <v>0.28055555555555556</v>
      </c>
      <c r="N3" s="36" t="s">
        <v>117</v>
      </c>
      <c r="O3" s="45" t="s">
        <v>113</v>
      </c>
      <c r="P3" s="40">
        <v>1064</v>
      </c>
      <c r="Q3" s="45">
        <v>150</v>
      </c>
      <c r="R3" s="40">
        <v>0</v>
      </c>
      <c r="S3" s="40">
        <v>0</v>
      </c>
      <c r="T3" s="40">
        <v>0</v>
      </c>
      <c r="U3" s="40">
        <v>0</v>
      </c>
    </row>
    <row r="4" spans="1:21" x14ac:dyDescent="0.25">
      <c r="A4" s="39">
        <v>43988</v>
      </c>
      <c r="B4" s="40" t="s">
        <v>24</v>
      </c>
      <c r="C4" s="40" t="s">
        <v>36</v>
      </c>
      <c r="D4" s="40" t="s">
        <v>23</v>
      </c>
      <c r="E4" s="40" t="str">
        <f>E2</f>
        <v>HALWL</v>
      </c>
      <c r="F4" s="40" t="s">
        <v>29</v>
      </c>
      <c r="G4" s="41">
        <v>70000</v>
      </c>
      <c r="H4" s="40" t="s">
        <v>38</v>
      </c>
      <c r="I4" s="40" t="s">
        <v>40</v>
      </c>
      <c r="J4" s="42">
        <v>0.54166666666666663</v>
      </c>
      <c r="K4" s="43">
        <v>0.53611111111111109</v>
      </c>
      <c r="L4" s="42">
        <v>0.39583333333333331</v>
      </c>
      <c r="M4" s="44">
        <v>0.39999999999999997</v>
      </c>
      <c r="N4" s="36" t="s">
        <v>118</v>
      </c>
      <c r="O4" s="45" t="s">
        <v>114</v>
      </c>
      <c r="P4" s="45">
        <v>615</v>
      </c>
      <c r="Q4" s="45">
        <v>134</v>
      </c>
      <c r="R4" s="40">
        <v>0</v>
      </c>
      <c r="S4" s="40">
        <v>0</v>
      </c>
      <c r="T4" s="40">
        <v>0</v>
      </c>
      <c r="U4" s="40">
        <v>0</v>
      </c>
    </row>
    <row r="5" spans="1:21" x14ac:dyDescent="0.25">
      <c r="A5" s="39">
        <v>43988</v>
      </c>
      <c r="B5" s="40" t="s">
        <v>24</v>
      </c>
      <c r="C5" s="40" t="s">
        <v>37</v>
      </c>
      <c r="D5" s="40" t="s">
        <v>23</v>
      </c>
      <c r="E5" s="40" t="s">
        <v>26</v>
      </c>
      <c r="F5" s="40" t="s">
        <v>29</v>
      </c>
      <c r="G5" s="41">
        <v>71500</v>
      </c>
      <c r="H5" s="40" t="s">
        <v>39</v>
      </c>
      <c r="I5" s="40" t="s">
        <v>41</v>
      </c>
      <c r="J5" s="42">
        <v>0.70138888888888884</v>
      </c>
      <c r="K5" s="43">
        <v>0.69166666666666676</v>
      </c>
      <c r="L5" s="42">
        <v>0.49652777777777773</v>
      </c>
      <c r="M5" s="44">
        <v>0.50069444444444444</v>
      </c>
      <c r="N5" s="36" t="s">
        <v>119</v>
      </c>
      <c r="O5" s="45" t="s">
        <v>115</v>
      </c>
      <c r="P5" s="40">
        <v>878</v>
      </c>
      <c r="Q5" s="45">
        <v>144</v>
      </c>
      <c r="R5" s="40">
        <v>0</v>
      </c>
      <c r="S5" s="40">
        <v>0</v>
      </c>
      <c r="T5" s="40">
        <v>0</v>
      </c>
      <c r="U5" s="40">
        <v>0</v>
      </c>
    </row>
    <row r="6" spans="1:21" x14ac:dyDescent="0.25">
      <c r="A6" s="39">
        <v>43988</v>
      </c>
      <c r="B6" s="2" t="s">
        <v>24</v>
      </c>
      <c r="C6" s="2" t="s">
        <v>47</v>
      </c>
      <c r="D6" s="2" t="s">
        <v>23</v>
      </c>
      <c r="E6" s="5" t="str">
        <f>E4</f>
        <v>HALWL</v>
      </c>
      <c r="F6" s="2" t="s">
        <v>29</v>
      </c>
      <c r="G6" s="6">
        <v>70000</v>
      </c>
      <c r="H6" s="2" t="s">
        <v>48</v>
      </c>
      <c r="I6" s="2" t="s">
        <v>49</v>
      </c>
      <c r="J6" s="12">
        <v>0.73958333333333337</v>
      </c>
      <c r="K6" s="1">
        <v>0.72986111111111107</v>
      </c>
      <c r="L6" s="12">
        <v>0.57291666666666663</v>
      </c>
      <c r="M6" s="1">
        <v>0.57361111111111118</v>
      </c>
      <c r="N6" s="2" t="s">
        <v>120</v>
      </c>
      <c r="O6" s="2" t="s">
        <v>122</v>
      </c>
      <c r="P6" s="2">
        <v>951</v>
      </c>
      <c r="Q6" s="2">
        <v>105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9">
        <v>43988</v>
      </c>
      <c r="B7" s="2" t="s">
        <v>24</v>
      </c>
      <c r="C7" s="2" t="s">
        <v>53</v>
      </c>
      <c r="D7" s="2" t="s">
        <v>23</v>
      </c>
      <c r="E7" s="5" t="s">
        <v>26</v>
      </c>
      <c r="F7" s="2" t="s">
        <v>29</v>
      </c>
      <c r="G7" s="33">
        <v>71500</v>
      </c>
      <c r="H7" s="2" t="s">
        <v>54</v>
      </c>
      <c r="I7" s="2" t="s">
        <v>55</v>
      </c>
      <c r="J7" s="10">
        <v>0.94097222222222221</v>
      </c>
      <c r="K7" s="11">
        <v>0.93888888888888899</v>
      </c>
      <c r="L7" s="10">
        <v>0.72222222222222221</v>
      </c>
      <c r="M7" s="11">
        <v>0.7270833333333333</v>
      </c>
      <c r="N7" s="2" t="s">
        <v>121</v>
      </c>
      <c r="O7" s="2" t="s">
        <v>123</v>
      </c>
      <c r="P7" s="2">
        <v>651</v>
      </c>
      <c r="Q7" s="2">
        <v>337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4"/>
      <c r="B8" s="2"/>
      <c r="C8" s="2"/>
      <c r="D8" s="2"/>
      <c r="E8" s="5"/>
      <c r="F8" s="2"/>
      <c r="G8" s="6"/>
      <c r="H8" s="5"/>
      <c r="I8" s="5"/>
      <c r="J8" s="31"/>
      <c r="K8" s="8"/>
      <c r="L8" s="5"/>
      <c r="M8" s="5"/>
      <c r="N8" s="2"/>
      <c r="O8" s="2"/>
      <c r="P8" s="2"/>
      <c r="Q8" s="2"/>
      <c r="R8" s="2"/>
      <c r="S8" s="2"/>
      <c r="T8" s="2"/>
      <c r="U8" s="2"/>
    </row>
    <row r="9" spans="1:21" x14ac:dyDescent="0.25">
      <c r="A9" s="32"/>
      <c r="B9" s="2"/>
      <c r="C9" s="2"/>
      <c r="D9" s="2"/>
      <c r="E9" s="5"/>
      <c r="F9" s="2"/>
      <c r="G9" s="33"/>
      <c r="H9" s="5"/>
      <c r="I9" s="5"/>
      <c r="J9" s="3"/>
      <c r="K9" s="3"/>
      <c r="L9" s="11"/>
      <c r="M9" s="11"/>
      <c r="N9" s="3"/>
      <c r="O9" s="3"/>
      <c r="P9" s="3"/>
      <c r="Q9" s="2"/>
      <c r="R9" s="2"/>
      <c r="S9" s="2"/>
      <c r="T9" s="2"/>
      <c r="U9" s="2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5"/>
    </sheetView>
  </sheetViews>
  <sheetFormatPr defaultRowHeight="15" x14ac:dyDescent="0.25"/>
  <cols>
    <col min="3" max="3" width="13.5703125" bestFit="1" customWidth="1"/>
    <col min="6" max="6" width="12.140625" bestFit="1" customWidth="1"/>
    <col min="7" max="8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43989</v>
      </c>
      <c r="B2" s="5" t="s">
        <v>24</v>
      </c>
      <c r="C2" s="5" t="s">
        <v>66</v>
      </c>
      <c r="D2" s="63" t="s">
        <v>23</v>
      </c>
      <c r="E2" s="5" t="s">
        <v>26</v>
      </c>
      <c r="F2" s="40" t="s">
        <v>29</v>
      </c>
      <c r="G2" s="41">
        <v>71500</v>
      </c>
      <c r="H2" s="5" t="s">
        <v>74</v>
      </c>
      <c r="I2" s="5" t="s">
        <v>75</v>
      </c>
      <c r="J2" s="7">
        <v>0.46180555555555558</v>
      </c>
      <c r="K2" s="8">
        <v>0.45277777777777778</v>
      </c>
      <c r="L2" s="7">
        <v>0.26041666666666669</v>
      </c>
      <c r="M2" s="8">
        <v>0.26319444444444445</v>
      </c>
      <c r="N2" s="2" t="s">
        <v>124</v>
      </c>
      <c r="O2" s="9" t="s">
        <v>125</v>
      </c>
      <c r="P2" s="9">
        <v>1226</v>
      </c>
      <c r="Q2" s="9">
        <v>152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43989</v>
      </c>
      <c r="B3" s="5" t="s">
        <v>24</v>
      </c>
      <c r="C3" s="5" t="s">
        <v>69</v>
      </c>
      <c r="D3" s="63" t="s">
        <v>23</v>
      </c>
      <c r="E3" s="5" t="s">
        <v>108</v>
      </c>
      <c r="F3" s="40" t="s">
        <v>29</v>
      </c>
      <c r="G3" s="41">
        <v>70000</v>
      </c>
      <c r="H3" s="5" t="s">
        <v>79</v>
      </c>
      <c r="I3" s="5" t="s">
        <v>80</v>
      </c>
      <c r="J3" s="7">
        <v>0.72569444444444453</v>
      </c>
      <c r="K3" s="8">
        <v>0.73055555555555562</v>
      </c>
      <c r="L3" s="7">
        <v>0.5</v>
      </c>
      <c r="M3" s="8">
        <v>0.49791666666666662</v>
      </c>
      <c r="N3" s="2" t="s">
        <v>128</v>
      </c>
      <c r="O3" s="9" t="s">
        <v>126</v>
      </c>
      <c r="P3" s="3">
        <v>1184</v>
      </c>
      <c r="Q3" s="9">
        <v>424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43989</v>
      </c>
      <c r="B4" s="5" t="s">
        <v>24</v>
      </c>
      <c r="C4" s="2" t="s">
        <v>70</v>
      </c>
      <c r="D4" s="63" t="s">
        <v>23</v>
      </c>
      <c r="E4" s="2" t="s">
        <v>26</v>
      </c>
      <c r="F4" s="40" t="s">
        <v>29</v>
      </c>
      <c r="G4" s="41">
        <v>71500</v>
      </c>
      <c r="H4" s="5" t="s">
        <v>81</v>
      </c>
      <c r="I4" s="5" t="s">
        <v>82</v>
      </c>
      <c r="J4" s="10">
        <v>0.75</v>
      </c>
      <c r="K4" s="1">
        <v>0.74305555555555547</v>
      </c>
      <c r="L4" s="10">
        <v>0.51388888888888895</v>
      </c>
      <c r="M4" s="11">
        <v>0.51250000000000007</v>
      </c>
      <c r="N4" s="2" t="s">
        <v>99</v>
      </c>
      <c r="O4" s="34" t="s">
        <v>127</v>
      </c>
      <c r="P4" s="5">
        <v>1500</v>
      </c>
      <c r="Q4" s="9">
        <v>308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43989</v>
      </c>
      <c r="B5" s="5" t="s">
        <v>24</v>
      </c>
      <c r="C5" s="2" t="s">
        <v>71</v>
      </c>
      <c r="D5" s="63" t="s">
        <v>23</v>
      </c>
      <c r="E5" s="2" t="s">
        <v>108</v>
      </c>
      <c r="F5" s="40" t="s">
        <v>29</v>
      </c>
      <c r="G5" s="41">
        <v>70000</v>
      </c>
      <c r="H5" s="2" t="s">
        <v>83</v>
      </c>
      <c r="I5" s="2" t="s">
        <v>84</v>
      </c>
      <c r="J5" s="12">
        <v>0.9375</v>
      </c>
      <c r="K5" s="1">
        <v>0.92847222222222225</v>
      </c>
      <c r="L5" s="12">
        <v>0.74652777777777779</v>
      </c>
      <c r="M5" s="1">
        <v>0.76041666666666663</v>
      </c>
      <c r="N5" s="2" t="s">
        <v>130</v>
      </c>
      <c r="O5" s="2" t="s">
        <v>129</v>
      </c>
      <c r="P5" s="2">
        <v>1227</v>
      </c>
      <c r="Q5" s="9">
        <v>180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/>
      <c r="B6" s="2"/>
      <c r="C6" s="2"/>
      <c r="D6" s="2"/>
      <c r="E6" s="5"/>
      <c r="F6" s="2"/>
      <c r="G6" s="6"/>
      <c r="H6" s="2"/>
      <c r="I6" s="2"/>
      <c r="J6" s="12"/>
      <c r="K6" s="1"/>
      <c r="L6" s="12"/>
      <c r="M6" s="1"/>
      <c r="N6" s="2"/>
      <c r="O6" s="2"/>
      <c r="P6" s="2"/>
      <c r="Q6" s="2"/>
      <c r="R6" s="2"/>
      <c r="S6" s="2"/>
      <c r="T6" s="2"/>
      <c r="U6" s="2"/>
    </row>
    <row r="7" spans="1:21" x14ac:dyDescent="0.25">
      <c r="A7" s="4"/>
      <c r="B7" s="2"/>
      <c r="C7" s="2"/>
      <c r="D7" s="2"/>
      <c r="E7" s="5"/>
      <c r="F7" s="2"/>
      <c r="G7" s="6"/>
      <c r="H7" s="2"/>
      <c r="I7" s="2"/>
      <c r="J7" s="12"/>
      <c r="K7" s="1"/>
      <c r="L7" s="12"/>
      <c r="M7" s="1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A4" sqref="A4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38" customFormat="1" ht="12.75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s="38" customFormat="1" x14ac:dyDescent="0.25">
      <c r="A2" s="39">
        <v>43990</v>
      </c>
      <c r="B2" s="5" t="s">
        <v>24</v>
      </c>
      <c r="C2" s="5" t="s">
        <v>67</v>
      </c>
      <c r="D2" s="63" t="s">
        <v>23</v>
      </c>
      <c r="E2" s="5" t="s">
        <v>26</v>
      </c>
      <c r="F2" s="40" t="s">
        <v>29</v>
      </c>
      <c r="G2" s="41">
        <v>71500</v>
      </c>
      <c r="H2" s="5" t="s">
        <v>76</v>
      </c>
      <c r="I2" s="5" t="s">
        <v>77</v>
      </c>
      <c r="J2" s="7">
        <v>0.80902777777777779</v>
      </c>
      <c r="K2" s="8">
        <v>0.81597222222222221</v>
      </c>
      <c r="L2" s="7">
        <v>0.3576388888888889</v>
      </c>
      <c r="M2" s="8">
        <v>0.36180555555555555</v>
      </c>
      <c r="N2" s="2" t="s">
        <v>133</v>
      </c>
      <c r="O2" s="9" t="s">
        <v>131</v>
      </c>
      <c r="P2" s="9">
        <v>1351</v>
      </c>
      <c r="Q2" s="9">
        <v>65</v>
      </c>
      <c r="R2" s="5">
        <v>0</v>
      </c>
      <c r="S2" s="5">
        <v>0</v>
      </c>
      <c r="T2" s="5">
        <v>0</v>
      </c>
      <c r="U2" s="5">
        <v>0</v>
      </c>
    </row>
    <row r="3" spans="1:21" s="38" customFormat="1" x14ac:dyDescent="0.25">
      <c r="A3" s="39">
        <v>43990</v>
      </c>
      <c r="B3" s="5" t="s">
        <v>24</v>
      </c>
      <c r="C3" s="5" t="s">
        <v>107</v>
      </c>
      <c r="D3" s="63" t="s">
        <v>23</v>
      </c>
      <c r="E3" s="5" t="s">
        <v>108</v>
      </c>
      <c r="F3" s="40" t="s">
        <v>29</v>
      </c>
      <c r="G3" s="41">
        <v>70000</v>
      </c>
      <c r="H3" s="5" t="s">
        <v>110</v>
      </c>
      <c r="I3" s="5" t="s">
        <v>109</v>
      </c>
      <c r="J3" s="7">
        <v>0.73958333333333337</v>
      </c>
      <c r="K3" s="8">
        <v>0.73055555555555562</v>
      </c>
      <c r="L3" s="7">
        <v>0.59027777777777779</v>
      </c>
      <c r="M3" s="8">
        <v>0.58680555555555558</v>
      </c>
      <c r="N3" s="2" t="s">
        <v>134</v>
      </c>
      <c r="O3" s="9" t="s">
        <v>132</v>
      </c>
      <c r="P3" s="3">
        <v>512</v>
      </c>
      <c r="Q3" s="9">
        <v>74</v>
      </c>
      <c r="R3" s="5">
        <v>0</v>
      </c>
      <c r="S3" s="5">
        <v>0</v>
      </c>
      <c r="T3" s="5">
        <v>0</v>
      </c>
      <c r="U3" s="5">
        <v>0</v>
      </c>
    </row>
    <row r="4" spans="1:21" s="38" customFormat="1" x14ac:dyDescent="0.25">
      <c r="A4" s="39">
        <v>43990</v>
      </c>
      <c r="B4" s="5" t="s">
        <v>24</v>
      </c>
      <c r="C4" s="2" t="s">
        <v>72</v>
      </c>
      <c r="D4" s="63" t="s">
        <v>23</v>
      </c>
      <c r="E4" s="2" t="s">
        <v>108</v>
      </c>
      <c r="F4" s="40" t="s">
        <v>29</v>
      </c>
      <c r="G4" s="41">
        <v>70000</v>
      </c>
      <c r="H4" s="5" t="s">
        <v>85</v>
      </c>
      <c r="I4" s="5" t="s">
        <v>86</v>
      </c>
      <c r="J4" s="10">
        <v>0.94097222222222221</v>
      </c>
      <c r="K4" s="1">
        <v>0.93194444444444446</v>
      </c>
      <c r="L4" s="10">
        <v>0.77083333333333337</v>
      </c>
      <c r="M4" s="11">
        <v>0.76388888888888884</v>
      </c>
      <c r="N4" s="2" t="s">
        <v>136</v>
      </c>
      <c r="O4" s="34" t="s">
        <v>135</v>
      </c>
      <c r="P4" s="5">
        <v>1553</v>
      </c>
      <c r="Q4" s="9">
        <v>370</v>
      </c>
      <c r="R4" s="2">
        <v>0</v>
      </c>
      <c r="S4" s="2">
        <v>0</v>
      </c>
      <c r="T4" s="2">
        <v>0</v>
      </c>
      <c r="U4" s="2">
        <v>0</v>
      </c>
    </row>
    <row r="5" spans="1:21" s="3" customFormat="1" x14ac:dyDescent="0.25">
      <c r="A5" s="4"/>
      <c r="B5" s="5"/>
      <c r="C5" s="2"/>
      <c r="D5" s="63"/>
      <c r="E5" s="2"/>
      <c r="F5" s="40"/>
      <c r="G5" s="41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A2" sqref="A2:XFD9"/>
    </sheetView>
  </sheetViews>
  <sheetFormatPr defaultRowHeight="15" x14ac:dyDescent="0.25"/>
  <cols>
    <col min="1" max="1" width="8.140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39">
        <v>43991</v>
      </c>
      <c r="B2" s="40" t="s">
        <v>24</v>
      </c>
      <c r="C2" s="40" t="s">
        <v>27</v>
      </c>
      <c r="D2" s="40" t="s">
        <v>23</v>
      </c>
      <c r="E2" s="40" t="s">
        <v>26</v>
      </c>
      <c r="F2" s="40" t="s">
        <v>29</v>
      </c>
      <c r="G2" s="41">
        <v>71500</v>
      </c>
      <c r="H2" s="40" t="s">
        <v>30</v>
      </c>
      <c r="I2" s="40" t="s">
        <v>32</v>
      </c>
      <c r="J2" s="42">
        <v>0.375</v>
      </c>
      <c r="K2" s="43">
        <v>0.36180555555555555</v>
      </c>
      <c r="L2" s="42">
        <v>0.25694444444444448</v>
      </c>
      <c r="M2" s="11">
        <v>0.26111111111111113</v>
      </c>
      <c r="N2" s="3" t="s">
        <v>105</v>
      </c>
      <c r="O2" s="3" t="s">
        <v>137</v>
      </c>
      <c r="P2" s="3">
        <v>232</v>
      </c>
      <c r="Q2" s="3">
        <v>53</v>
      </c>
      <c r="R2" s="40">
        <v>0</v>
      </c>
      <c r="S2" s="40">
        <v>0</v>
      </c>
      <c r="T2" s="40">
        <v>0</v>
      </c>
      <c r="U2" s="40">
        <v>0</v>
      </c>
    </row>
    <row r="3" spans="1:21" x14ac:dyDescent="0.25">
      <c r="A3" s="39">
        <v>43991</v>
      </c>
      <c r="B3" s="40" t="s">
        <v>24</v>
      </c>
      <c r="C3" s="40" t="s">
        <v>28</v>
      </c>
      <c r="D3" s="40" t="s">
        <v>23</v>
      </c>
      <c r="E3" s="40" t="s">
        <v>108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0.4458333333333333</v>
      </c>
      <c r="L3" s="42">
        <v>0.28125</v>
      </c>
      <c r="M3" s="11">
        <v>0.28194444444444444</v>
      </c>
      <c r="N3" s="3" t="s">
        <v>139</v>
      </c>
      <c r="O3" s="3" t="s">
        <v>138</v>
      </c>
      <c r="P3" s="3">
        <v>882</v>
      </c>
      <c r="Q3" s="3">
        <v>152</v>
      </c>
      <c r="R3" s="40">
        <v>0</v>
      </c>
      <c r="S3" s="40">
        <v>0</v>
      </c>
      <c r="T3" s="40">
        <v>0</v>
      </c>
      <c r="U3" s="40">
        <v>0</v>
      </c>
    </row>
    <row r="4" spans="1:21" x14ac:dyDescent="0.25">
      <c r="A4" s="39">
        <v>43991</v>
      </c>
      <c r="B4" s="40" t="s">
        <v>24</v>
      </c>
      <c r="C4" s="40" t="s">
        <v>36</v>
      </c>
      <c r="D4" s="40" t="s">
        <v>23</v>
      </c>
      <c r="E4" s="40" t="s">
        <v>26</v>
      </c>
      <c r="F4" s="40" t="s">
        <v>29</v>
      </c>
      <c r="G4" s="41">
        <v>71500</v>
      </c>
      <c r="H4" s="40" t="s">
        <v>38</v>
      </c>
      <c r="I4" s="40" t="s">
        <v>40</v>
      </c>
      <c r="J4" s="42">
        <v>0.54166666666666663</v>
      </c>
      <c r="K4" s="11">
        <v>0.53055555555555556</v>
      </c>
      <c r="L4" s="42">
        <v>0.39583333333333331</v>
      </c>
      <c r="M4" s="11">
        <v>0.38958333333333334</v>
      </c>
      <c r="N4" s="3" t="s">
        <v>140</v>
      </c>
      <c r="O4" s="3" t="s">
        <v>141</v>
      </c>
      <c r="P4" s="3">
        <v>512</v>
      </c>
      <c r="Q4" s="3">
        <v>179</v>
      </c>
      <c r="R4" s="40">
        <v>0</v>
      </c>
      <c r="S4" s="40">
        <v>0</v>
      </c>
      <c r="T4" s="40">
        <v>0</v>
      </c>
      <c r="U4" s="40">
        <v>0</v>
      </c>
    </row>
    <row r="5" spans="1:21" x14ac:dyDescent="0.25">
      <c r="A5" s="39">
        <v>43991</v>
      </c>
      <c r="B5" s="40" t="s">
        <v>24</v>
      </c>
      <c r="C5" s="40" t="s">
        <v>37</v>
      </c>
      <c r="D5" s="40" t="s">
        <v>23</v>
      </c>
      <c r="E5" s="40" t="s">
        <v>108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6">
        <v>0.69166666666666676</v>
      </c>
      <c r="L5" s="42">
        <v>0.49652777777777773</v>
      </c>
      <c r="M5" s="11">
        <v>0.49236111111111108</v>
      </c>
      <c r="N5" s="3" t="s">
        <v>148</v>
      </c>
      <c r="O5" s="3" t="s">
        <v>142</v>
      </c>
      <c r="P5" s="3">
        <v>900</v>
      </c>
      <c r="Q5" s="3">
        <v>133</v>
      </c>
      <c r="R5" s="40">
        <v>0</v>
      </c>
      <c r="S5" s="40">
        <v>0</v>
      </c>
      <c r="T5" s="40">
        <v>0</v>
      </c>
      <c r="U5" s="40">
        <v>0</v>
      </c>
    </row>
    <row r="6" spans="1:21" x14ac:dyDescent="0.25">
      <c r="A6" s="4">
        <v>43991</v>
      </c>
      <c r="B6" s="2" t="s">
        <v>24</v>
      </c>
      <c r="C6" s="2" t="s">
        <v>47</v>
      </c>
      <c r="D6" s="2" t="s">
        <v>23</v>
      </c>
      <c r="E6" s="5" t="s">
        <v>26</v>
      </c>
      <c r="F6" s="2" t="s">
        <v>29</v>
      </c>
      <c r="G6" s="6">
        <v>71500</v>
      </c>
      <c r="H6" s="2" t="s">
        <v>48</v>
      </c>
      <c r="I6" s="2" t="s">
        <v>49</v>
      </c>
      <c r="J6" s="12">
        <v>0.73958333333333337</v>
      </c>
      <c r="K6" s="11">
        <v>0.73611111111111116</v>
      </c>
      <c r="L6" s="12">
        <v>0.57291666666666663</v>
      </c>
      <c r="M6" s="11">
        <v>0.57986111111111105</v>
      </c>
      <c r="N6" s="3" t="s">
        <v>149</v>
      </c>
      <c r="O6" s="3" t="s">
        <v>123</v>
      </c>
      <c r="P6" s="3">
        <v>561</v>
      </c>
      <c r="Q6" s="3">
        <v>114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2">
        <v>43991</v>
      </c>
      <c r="B7" s="2" t="s">
        <v>24</v>
      </c>
      <c r="C7" s="2" t="s">
        <v>53</v>
      </c>
      <c r="D7" s="2" t="s">
        <v>23</v>
      </c>
      <c r="E7" s="5" t="s">
        <v>108</v>
      </c>
      <c r="F7" s="2" t="s">
        <v>29</v>
      </c>
      <c r="G7" s="33">
        <v>70000</v>
      </c>
      <c r="H7" s="2" t="s">
        <v>54</v>
      </c>
      <c r="I7" s="2" t="s">
        <v>55</v>
      </c>
      <c r="J7" s="11">
        <v>0.94097222222222221</v>
      </c>
      <c r="K7" s="11">
        <v>0.92847222222222225</v>
      </c>
      <c r="L7" s="11">
        <v>0.72222222222222221</v>
      </c>
      <c r="M7" s="11">
        <v>0.72361111111111109</v>
      </c>
      <c r="N7" s="3" t="s">
        <v>152</v>
      </c>
      <c r="O7" s="3" t="s">
        <v>150</v>
      </c>
      <c r="P7" s="3">
        <v>698</v>
      </c>
      <c r="Q7" s="3">
        <v>173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69">
        <v>43991</v>
      </c>
      <c r="B8" s="70" t="s">
        <v>24</v>
      </c>
      <c r="C8" s="70" t="s">
        <v>61</v>
      </c>
      <c r="D8" s="70" t="s">
        <v>23</v>
      </c>
      <c r="E8" s="71" t="s">
        <v>26</v>
      </c>
      <c r="F8" s="70" t="s">
        <v>29</v>
      </c>
      <c r="G8" s="72">
        <v>71500</v>
      </c>
      <c r="H8" s="70" t="s">
        <v>58</v>
      </c>
      <c r="I8" s="70" t="s">
        <v>59</v>
      </c>
      <c r="J8" s="73">
        <v>0.94444444444444453</v>
      </c>
      <c r="K8" s="11">
        <v>0.96527777777777779</v>
      </c>
      <c r="L8" s="73">
        <v>0.76388888888888884</v>
      </c>
      <c r="M8" s="11">
        <v>0.76874999999999993</v>
      </c>
      <c r="N8" s="3" t="s">
        <v>153</v>
      </c>
      <c r="O8" s="3" t="s">
        <v>151</v>
      </c>
      <c r="P8" s="3">
        <v>629</v>
      </c>
      <c r="Q8" s="3">
        <v>123</v>
      </c>
      <c r="R8" s="74">
        <v>0</v>
      </c>
      <c r="S8" s="74">
        <v>0</v>
      </c>
      <c r="T8" s="75">
        <v>0</v>
      </c>
      <c r="U8" s="75">
        <v>0</v>
      </c>
    </row>
    <row r="9" spans="1:21" x14ac:dyDescent="0.25">
      <c r="A9" s="32">
        <v>43991</v>
      </c>
      <c r="B9" s="2" t="s">
        <v>143</v>
      </c>
      <c r="C9" s="3" t="s">
        <v>144</v>
      </c>
      <c r="D9" s="2" t="s">
        <v>145</v>
      </c>
      <c r="E9" s="5" t="s">
        <v>146</v>
      </c>
      <c r="F9" s="2" t="s">
        <v>147</v>
      </c>
      <c r="G9" s="6">
        <v>1609</v>
      </c>
      <c r="H9" s="2" t="s">
        <v>146</v>
      </c>
      <c r="I9" s="3"/>
      <c r="J9" s="11">
        <v>0.46666666666666662</v>
      </c>
      <c r="K9" s="11">
        <v>0.46249999999999997</v>
      </c>
      <c r="L9" s="3" t="s">
        <v>22</v>
      </c>
      <c r="M9" s="3" t="s">
        <v>22</v>
      </c>
      <c r="N9" s="3">
        <v>2</v>
      </c>
      <c r="O9" s="3" t="s">
        <v>21</v>
      </c>
      <c r="P9" s="3">
        <v>0</v>
      </c>
      <c r="Q9" s="3">
        <v>0</v>
      </c>
      <c r="R9" s="2">
        <v>0</v>
      </c>
      <c r="S9" s="2">
        <v>0</v>
      </c>
      <c r="T9" s="2">
        <v>0</v>
      </c>
      <c r="U9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G7" sqref="G7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43992</v>
      </c>
      <c r="B2" s="40" t="s">
        <v>24</v>
      </c>
      <c r="C2" s="5" t="s">
        <v>66</v>
      </c>
      <c r="D2" s="14" t="s">
        <v>23</v>
      </c>
      <c r="E2" s="5" t="s">
        <v>108</v>
      </c>
      <c r="F2" s="40" t="s">
        <v>29</v>
      </c>
      <c r="G2" s="60">
        <v>70000</v>
      </c>
      <c r="H2" s="5" t="s">
        <v>74</v>
      </c>
      <c r="I2" s="5" t="s">
        <v>75</v>
      </c>
      <c r="J2" s="7">
        <v>0.46180555555555558</v>
      </c>
      <c r="K2" s="8">
        <v>0.45902777777777781</v>
      </c>
      <c r="L2" s="7">
        <v>0.26041666666666669</v>
      </c>
      <c r="M2" s="8">
        <v>0.27083333333333331</v>
      </c>
      <c r="N2" s="2" t="s">
        <v>154</v>
      </c>
      <c r="O2" s="9" t="s">
        <v>92</v>
      </c>
      <c r="P2" s="3">
        <v>1287</v>
      </c>
      <c r="Q2" s="9">
        <v>218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43992</v>
      </c>
      <c r="B3" s="40" t="s">
        <v>24</v>
      </c>
      <c r="C3" s="2" t="s">
        <v>67</v>
      </c>
      <c r="D3" s="14" t="s">
        <v>23</v>
      </c>
      <c r="E3" s="14" t="s">
        <v>26</v>
      </c>
      <c r="F3" s="40" t="s">
        <v>29</v>
      </c>
      <c r="G3" s="60">
        <v>71500</v>
      </c>
      <c r="H3" s="5" t="s">
        <v>76</v>
      </c>
      <c r="I3" s="5" t="s">
        <v>77</v>
      </c>
      <c r="J3" s="10">
        <v>0.47569444444444442</v>
      </c>
      <c r="K3" s="1">
        <v>0.48194444444444445</v>
      </c>
      <c r="L3" s="10">
        <v>0.27430555555555552</v>
      </c>
      <c r="M3" s="11">
        <v>0.27986111111111112</v>
      </c>
      <c r="N3" s="2" t="s">
        <v>155</v>
      </c>
      <c r="O3" s="34" t="s">
        <v>117</v>
      </c>
      <c r="P3" s="5">
        <v>846</v>
      </c>
      <c r="Q3" s="9">
        <v>68</v>
      </c>
      <c r="R3" s="2">
        <v>0</v>
      </c>
      <c r="S3" s="2">
        <v>0</v>
      </c>
      <c r="T3" s="2">
        <v>0</v>
      </c>
      <c r="U3" s="2">
        <v>0</v>
      </c>
    </row>
    <row r="4" spans="1:21" s="3" customFormat="1" ht="12.75" x14ac:dyDescent="0.2">
      <c r="A4" s="4">
        <f>A3</f>
        <v>43992</v>
      </c>
      <c r="B4" s="40" t="s">
        <v>24</v>
      </c>
      <c r="C4" s="2" t="s">
        <v>69</v>
      </c>
      <c r="D4" s="14" t="s">
        <v>23</v>
      </c>
      <c r="E4" s="5" t="str">
        <f>E2</f>
        <v>HALWL</v>
      </c>
      <c r="F4" s="40" t="s">
        <v>29</v>
      </c>
      <c r="G4" s="60">
        <v>70000</v>
      </c>
      <c r="H4" s="2" t="s">
        <v>79</v>
      </c>
      <c r="I4" s="2" t="s">
        <v>80</v>
      </c>
      <c r="J4" s="12">
        <v>0.72569444444444453</v>
      </c>
      <c r="K4" s="1">
        <v>0.73958333333333337</v>
      </c>
      <c r="L4" s="12">
        <v>0.5</v>
      </c>
      <c r="M4" s="1">
        <v>0.4993055555555555</v>
      </c>
      <c r="N4" s="2" t="s">
        <v>157</v>
      </c>
      <c r="O4" s="2" t="s">
        <v>127</v>
      </c>
      <c r="P4" s="2">
        <v>1111</v>
      </c>
      <c r="Q4" s="2">
        <v>348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f>A4</f>
        <v>43992</v>
      </c>
      <c r="B5" s="40" t="s">
        <v>24</v>
      </c>
      <c r="C5" s="2" t="s">
        <v>162</v>
      </c>
      <c r="D5" s="14" t="s">
        <v>23</v>
      </c>
      <c r="E5" s="5" t="s">
        <v>164</v>
      </c>
      <c r="F5" s="40" t="s">
        <v>29</v>
      </c>
      <c r="G5" s="60">
        <v>71500</v>
      </c>
      <c r="H5" s="2" t="s">
        <v>81</v>
      </c>
      <c r="I5" s="2" t="s">
        <v>82</v>
      </c>
      <c r="J5" s="12">
        <v>0.75</v>
      </c>
      <c r="K5" s="1">
        <v>0.83750000000000002</v>
      </c>
      <c r="L5" s="12">
        <v>0.51388888888888895</v>
      </c>
      <c r="M5" s="1">
        <v>0.54027777777777775</v>
      </c>
      <c r="N5" s="2" t="s">
        <v>158</v>
      </c>
      <c r="O5" s="2" t="s">
        <v>156</v>
      </c>
      <c r="P5" s="2">
        <v>1389</v>
      </c>
      <c r="Q5" s="2">
        <v>203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4">
        <f>A5</f>
        <v>43992</v>
      </c>
      <c r="B6" s="40" t="s">
        <v>24</v>
      </c>
      <c r="C6" s="2" t="s">
        <v>71</v>
      </c>
      <c r="D6" s="14" t="s">
        <v>23</v>
      </c>
      <c r="E6" s="5" t="s">
        <v>108</v>
      </c>
      <c r="F6" s="40" t="s">
        <v>29</v>
      </c>
      <c r="G6" s="60">
        <v>70000</v>
      </c>
      <c r="H6" s="2" t="s">
        <v>83</v>
      </c>
      <c r="I6" s="2" t="s">
        <v>84</v>
      </c>
      <c r="J6" s="10">
        <v>0.9375</v>
      </c>
      <c r="K6" s="11">
        <v>0.94097222222222221</v>
      </c>
      <c r="L6" s="10">
        <v>0.74652777777777779</v>
      </c>
      <c r="M6" s="16">
        <v>0.7729166666666667</v>
      </c>
      <c r="N6" s="2" t="s">
        <v>159</v>
      </c>
      <c r="O6" s="2" t="s">
        <v>160</v>
      </c>
      <c r="P6" s="2">
        <v>813</v>
      </c>
      <c r="Q6" s="2">
        <v>223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76">
        <f>A6</f>
        <v>43992</v>
      </c>
      <c r="B7" s="77" t="s">
        <v>24</v>
      </c>
      <c r="C7" s="54" t="s">
        <v>72</v>
      </c>
      <c r="D7" s="78" t="s">
        <v>23</v>
      </c>
      <c r="E7" s="55" t="s">
        <v>161</v>
      </c>
      <c r="F7" s="77" t="s">
        <v>29</v>
      </c>
      <c r="G7" s="79">
        <v>70000</v>
      </c>
      <c r="H7" s="54" t="s">
        <v>85</v>
      </c>
      <c r="I7" s="54" t="s">
        <v>86</v>
      </c>
      <c r="J7" s="80">
        <v>0.94097222222222221</v>
      </c>
      <c r="K7" s="57" t="s">
        <v>60</v>
      </c>
      <c r="L7" s="80">
        <v>0.77083333333333337</v>
      </c>
      <c r="M7" s="81" t="s">
        <v>60</v>
      </c>
      <c r="N7" s="54"/>
      <c r="O7" s="54"/>
      <c r="P7" s="54"/>
      <c r="Q7" s="54"/>
      <c r="R7" s="54">
        <v>0</v>
      </c>
      <c r="S7" s="54">
        <v>0</v>
      </c>
      <c r="T7" s="54">
        <v>0</v>
      </c>
      <c r="U7" s="54">
        <v>0</v>
      </c>
    </row>
    <row r="8" spans="1:21" x14ac:dyDescent="0.25">
      <c r="A8" s="32">
        <v>43992</v>
      </c>
      <c r="B8" s="2" t="s">
        <v>143</v>
      </c>
      <c r="C8" s="3" t="s">
        <v>163</v>
      </c>
      <c r="D8" s="2" t="s">
        <v>145</v>
      </c>
      <c r="E8" s="5" t="s">
        <v>146</v>
      </c>
      <c r="F8" s="2" t="s">
        <v>147</v>
      </c>
      <c r="G8" s="6">
        <v>1609</v>
      </c>
      <c r="H8" s="2"/>
      <c r="I8" s="3" t="s">
        <v>146</v>
      </c>
      <c r="J8" s="11"/>
      <c r="K8" s="11"/>
      <c r="L8" s="11">
        <v>0.625</v>
      </c>
      <c r="M8" s="11">
        <v>0.58402777777777781</v>
      </c>
      <c r="N8" s="3">
        <f>-B11</f>
        <v>0</v>
      </c>
      <c r="O8" s="3">
        <v>2</v>
      </c>
      <c r="P8" s="3">
        <v>0</v>
      </c>
      <c r="Q8" s="3">
        <v>0</v>
      </c>
      <c r="R8" s="2">
        <v>0</v>
      </c>
      <c r="S8" s="2">
        <v>0</v>
      </c>
      <c r="T8" s="2">
        <v>0</v>
      </c>
      <c r="U8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2" sqref="K2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s="38" customFormat="1" x14ac:dyDescent="0.25">
      <c r="A2" s="39">
        <v>43993</v>
      </c>
      <c r="B2" s="5" t="s">
        <v>24</v>
      </c>
      <c r="C2" s="2" t="s">
        <v>72</v>
      </c>
      <c r="D2" s="63" t="s">
        <v>23</v>
      </c>
      <c r="E2" s="2" t="s">
        <v>165</v>
      </c>
      <c r="F2" s="40" t="s">
        <v>29</v>
      </c>
      <c r="G2" s="41">
        <v>70000</v>
      </c>
      <c r="H2" s="5" t="s">
        <v>85</v>
      </c>
      <c r="I2" s="5" t="s">
        <v>86</v>
      </c>
      <c r="J2" s="10">
        <v>0.58680555555555558</v>
      </c>
      <c r="K2" s="1">
        <v>0.57291666666666663</v>
      </c>
      <c r="L2" s="10">
        <v>0.41666666666666669</v>
      </c>
      <c r="M2" s="11">
        <v>0.41388888888888892</v>
      </c>
      <c r="N2" s="2" t="s">
        <v>167</v>
      </c>
      <c r="O2" s="34" t="s">
        <v>166</v>
      </c>
      <c r="P2" s="5">
        <v>577</v>
      </c>
      <c r="Q2" s="9">
        <v>304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8"/>
      <c r="L3" s="7"/>
      <c r="M3" s="8"/>
      <c r="N3" s="2"/>
      <c r="O3" s="9"/>
      <c r="P3" s="3"/>
      <c r="Q3" s="9"/>
      <c r="R3" s="5"/>
      <c r="S3" s="5"/>
      <c r="T3" s="5"/>
      <c r="U3" s="5"/>
    </row>
    <row r="4" spans="1:21" x14ac:dyDescent="0.25">
      <c r="A4" s="4"/>
      <c r="B4" s="2"/>
      <c r="C4" s="2"/>
      <c r="D4" s="2"/>
      <c r="E4" s="5"/>
      <c r="F4" s="2"/>
      <c r="G4" s="6"/>
      <c r="H4" s="5"/>
      <c r="I4" s="5"/>
      <c r="J4" s="10"/>
      <c r="K4" s="1"/>
      <c r="L4" s="10"/>
      <c r="M4" s="11"/>
      <c r="N4" s="2"/>
      <c r="O4" s="34"/>
      <c r="P4" s="5"/>
      <c r="Q4" s="9"/>
      <c r="R4" s="2"/>
      <c r="S4" s="2"/>
      <c r="T4" s="2"/>
      <c r="U4" s="2"/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  <row r="6" spans="1:21" x14ac:dyDescent="0.25">
      <c r="A6" s="4"/>
      <c r="B6" s="2"/>
      <c r="C6" s="2"/>
      <c r="D6" s="2"/>
      <c r="E6" s="5"/>
      <c r="F6" s="2"/>
      <c r="G6" s="6"/>
      <c r="H6" s="2"/>
      <c r="I6" s="2"/>
      <c r="J6" s="2"/>
      <c r="K6" s="8"/>
      <c r="L6" s="2"/>
      <c r="M6" s="2"/>
      <c r="N6" s="2"/>
      <c r="O6" s="2"/>
      <c r="P6" s="2"/>
      <c r="Q6" s="2"/>
      <c r="R6" s="2"/>
      <c r="S6" s="2"/>
      <c r="T6" s="2"/>
      <c r="U6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L20" sqref="L20"/>
    </sheetView>
  </sheetViews>
  <sheetFormatPr defaultRowHeight="15" x14ac:dyDescent="0.25"/>
  <cols>
    <col min="3" max="3" width="15.85546875" customWidth="1"/>
    <col min="6" max="6" width="10.140625" customWidth="1"/>
  </cols>
  <sheetData>
    <row r="1" spans="1:22" s="15" customFormat="1" ht="12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5">
      <c r="A2" s="4">
        <v>43994</v>
      </c>
      <c r="B2" s="23" t="s">
        <v>24</v>
      </c>
      <c r="C2" s="23" t="s">
        <v>67</v>
      </c>
      <c r="D2" s="23" t="s">
        <v>23</v>
      </c>
      <c r="E2" s="23" t="s">
        <v>108</v>
      </c>
      <c r="F2" s="23" t="s">
        <v>29</v>
      </c>
      <c r="G2" s="24">
        <v>70000</v>
      </c>
      <c r="H2" s="23" t="s">
        <v>76</v>
      </c>
      <c r="I2" s="23" t="s">
        <v>77</v>
      </c>
      <c r="J2" s="29">
        <v>0.47569444444444442</v>
      </c>
      <c r="K2" s="30">
        <v>0.45833333333333331</v>
      </c>
      <c r="L2" s="29">
        <v>0.27430555555555552</v>
      </c>
      <c r="M2" s="30">
        <v>0.27569444444444446</v>
      </c>
      <c r="N2" s="30" t="s">
        <v>169</v>
      </c>
      <c r="O2" s="30" t="s">
        <v>168</v>
      </c>
      <c r="P2" s="27">
        <v>842</v>
      </c>
      <c r="Q2" s="27">
        <v>285</v>
      </c>
      <c r="R2" s="23">
        <v>0</v>
      </c>
      <c r="S2" s="23">
        <v>0</v>
      </c>
      <c r="T2" s="23">
        <v>0</v>
      </c>
      <c r="U2" s="23">
        <v>0</v>
      </c>
      <c r="V2" s="17"/>
    </row>
    <row r="3" spans="1:22" x14ac:dyDescent="0.25">
      <c r="A3" s="4">
        <v>43994</v>
      </c>
      <c r="B3" s="23" t="s">
        <v>24</v>
      </c>
      <c r="C3" s="23" t="s">
        <v>107</v>
      </c>
      <c r="D3" s="23" t="s">
        <v>23</v>
      </c>
      <c r="E3" s="23" t="s">
        <v>63</v>
      </c>
      <c r="F3" s="23" t="s">
        <v>29</v>
      </c>
      <c r="G3" s="24">
        <v>70000</v>
      </c>
      <c r="H3" s="23" t="s">
        <v>110</v>
      </c>
      <c r="I3" s="23" t="s">
        <v>109</v>
      </c>
      <c r="J3" s="29">
        <v>0.89930555555555547</v>
      </c>
      <c r="K3" s="30">
        <v>0.89374999999999993</v>
      </c>
      <c r="L3" s="29">
        <v>0.75</v>
      </c>
      <c r="M3" s="30">
        <v>0.74583333333333324</v>
      </c>
      <c r="N3" s="30" t="s">
        <v>171</v>
      </c>
      <c r="O3" s="30" t="s">
        <v>170</v>
      </c>
      <c r="P3" s="27">
        <v>680</v>
      </c>
      <c r="Q3" s="27">
        <v>180</v>
      </c>
      <c r="R3" s="23">
        <v>0</v>
      </c>
      <c r="S3" s="23">
        <v>0</v>
      </c>
      <c r="T3" s="23">
        <v>0</v>
      </c>
      <c r="U3" s="23">
        <v>0</v>
      </c>
      <c r="V3" s="17"/>
    </row>
    <row r="4" spans="1:22" x14ac:dyDescent="0.25">
      <c r="A4" s="4">
        <v>43994</v>
      </c>
      <c r="B4" s="23" t="s">
        <v>24</v>
      </c>
      <c r="C4" s="18" t="s">
        <v>72</v>
      </c>
      <c r="D4" s="23" t="s">
        <v>23</v>
      </c>
      <c r="E4" s="18" t="s">
        <v>165</v>
      </c>
      <c r="F4" s="23" t="s">
        <v>29</v>
      </c>
      <c r="G4" s="19">
        <v>70000</v>
      </c>
      <c r="H4" s="23" t="s">
        <v>85</v>
      </c>
      <c r="I4" s="18" t="s">
        <v>86</v>
      </c>
      <c r="J4" s="20">
        <v>0.94097222222222221</v>
      </c>
      <c r="K4" s="1">
        <v>0.93819444444444444</v>
      </c>
      <c r="L4" s="20">
        <v>0.77083333333333337</v>
      </c>
      <c r="M4" s="21">
        <v>0.76874999999999993</v>
      </c>
      <c r="N4" s="2" t="s">
        <v>173</v>
      </c>
      <c r="O4" s="22" t="s">
        <v>172</v>
      </c>
      <c r="P4" s="22">
        <v>845</v>
      </c>
      <c r="Q4" s="22">
        <v>519</v>
      </c>
      <c r="R4" s="23">
        <v>0</v>
      </c>
      <c r="S4" s="23">
        <v>0</v>
      </c>
      <c r="T4" s="23">
        <v>0</v>
      </c>
      <c r="U4" s="23">
        <v>0</v>
      </c>
      <c r="V4" s="17"/>
    </row>
    <row r="5" spans="1:22" x14ac:dyDescent="0.25">
      <c r="A5" s="4"/>
      <c r="B5" s="2"/>
      <c r="C5" s="2"/>
      <c r="D5" s="2"/>
      <c r="E5" s="23"/>
      <c r="F5" s="2"/>
      <c r="G5" s="24"/>
      <c r="H5" s="2"/>
      <c r="I5" s="2"/>
      <c r="J5" s="25"/>
      <c r="K5" s="26"/>
      <c r="L5" s="25"/>
      <c r="M5" s="26"/>
      <c r="N5" s="26"/>
      <c r="O5" s="27"/>
      <c r="P5" s="23"/>
      <c r="Q5" s="27"/>
      <c r="R5" s="2"/>
      <c r="S5" s="2"/>
      <c r="T5" s="2"/>
      <c r="U5" s="2"/>
      <c r="V5" s="17"/>
    </row>
    <row r="6" spans="1:22" x14ac:dyDescent="0.25">
      <c r="A6" s="4"/>
      <c r="B6" s="26"/>
      <c r="C6" s="26"/>
      <c r="D6" s="26"/>
      <c r="E6" s="26"/>
      <c r="F6" s="26"/>
      <c r="G6" s="24"/>
      <c r="H6" s="26"/>
      <c r="I6" s="26"/>
      <c r="J6" s="26"/>
      <c r="K6" s="26"/>
      <c r="L6" s="26"/>
      <c r="M6" s="26"/>
      <c r="N6" s="23"/>
      <c r="O6" s="23"/>
      <c r="P6" s="23"/>
      <c r="Q6" s="23"/>
      <c r="R6" s="23"/>
      <c r="S6" s="23"/>
      <c r="T6" s="2"/>
      <c r="U6" s="2"/>
      <c r="V6" s="26"/>
    </row>
    <row r="7" spans="1:2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opLeftCell="F1" workbookViewId="0">
      <selection activeCell="F1" sqref="A1:XFD1048576"/>
    </sheetView>
  </sheetViews>
  <sheetFormatPr defaultRowHeight="15" x14ac:dyDescent="0.25"/>
  <cols>
    <col min="1" max="1" width="7.85546875" style="28" bestFit="1" customWidth="1"/>
    <col min="2" max="2" width="9.140625" style="28" bestFit="1" customWidth="1"/>
    <col min="3" max="3" width="13.5703125" style="28" bestFit="1" customWidth="1"/>
    <col min="4" max="4" width="5.7109375" style="28" bestFit="1" customWidth="1"/>
    <col min="5" max="5" width="14.5703125" style="28" bestFit="1" customWidth="1"/>
    <col min="6" max="6" width="12.140625" style="28" bestFit="1" customWidth="1"/>
    <col min="7" max="9" width="9.7109375" style="28" bestFit="1" customWidth="1"/>
    <col min="10" max="10" width="11" style="28" bestFit="1" customWidth="1"/>
    <col min="11" max="11" width="10.85546875" style="28" bestFit="1" customWidth="1"/>
    <col min="12" max="12" width="11" style="28" bestFit="1" customWidth="1"/>
    <col min="13" max="13" width="10.85546875" style="28" bestFit="1" customWidth="1"/>
    <col min="14" max="15" width="18.42578125" style="28" bestFit="1" customWidth="1"/>
    <col min="16" max="17" width="10.28515625" style="28" bestFit="1" customWidth="1"/>
    <col min="18" max="16384" width="9.140625" style="28"/>
  </cols>
  <sheetData>
    <row r="1" spans="1:2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2" customFormat="1" x14ac:dyDescent="0.25">
      <c r="A2" s="39">
        <v>43995</v>
      </c>
      <c r="B2" s="40" t="s">
        <v>24</v>
      </c>
      <c r="C2" s="40" t="s">
        <v>27</v>
      </c>
      <c r="D2" s="40" t="s">
        <v>23</v>
      </c>
      <c r="E2" s="40" t="s">
        <v>63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11">
        <v>0.36805555555555558</v>
      </c>
      <c r="L2" s="42">
        <v>0.25694444444444448</v>
      </c>
      <c r="M2" s="11">
        <v>0.25625000000000003</v>
      </c>
      <c r="N2" s="3" t="s">
        <v>176</v>
      </c>
      <c r="O2" s="3" t="s">
        <v>174</v>
      </c>
      <c r="P2" s="3">
        <v>337</v>
      </c>
      <c r="Q2" s="3">
        <v>206</v>
      </c>
      <c r="R2" s="40">
        <v>0</v>
      </c>
      <c r="S2" s="40">
        <v>0</v>
      </c>
      <c r="T2" s="40">
        <v>0</v>
      </c>
      <c r="U2" s="40">
        <v>0</v>
      </c>
    </row>
    <row r="3" spans="1:22" customFormat="1" x14ac:dyDescent="0.25">
      <c r="A3" s="39">
        <v>43995</v>
      </c>
      <c r="B3" s="40" t="s">
        <v>24</v>
      </c>
      <c r="C3" s="40" t="s">
        <v>28</v>
      </c>
      <c r="D3" s="40" t="s">
        <v>23</v>
      </c>
      <c r="E3" s="40" t="s">
        <v>165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0.44791666666666669</v>
      </c>
      <c r="L3" s="42">
        <v>0.28125</v>
      </c>
      <c r="M3" s="11">
        <v>0.28472222222222221</v>
      </c>
      <c r="N3" s="3" t="s">
        <v>106</v>
      </c>
      <c r="O3" s="3" t="s">
        <v>175</v>
      </c>
      <c r="P3" s="3">
        <v>1416</v>
      </c>
      <c r="Q3" s="3">
        <v>421</v>
      </c>
      <c r="R3" s="40">
        <v>0</v>
      </c>
      <c r="S3" s="40">
        <v>0</v>
      </c>
      <c r="T3" s="40">
        <v>0</v>
      </c>
      <c r="U3" s="40">
        <v>0</v>
      </c>
    </row>
    <row r="4" spans="1:22" customFormat="1" x14ac:dyDescent="0.25">
      <c r="A4" s="39">
        <v>43995</v>
      </c>
      <c r="B4" s="40" t="s">
        <v>24</v>
      </c>
      <c r="C4" s="40" t="s">
        <v>36</v>
      </c>
      <c r="D4" s="40" t="s">
        <v>23</v>
      </c>
      <c r="E4" s="40" t="s">
        <v>63</v>
      </c>
      <c r="F4" s="40" t="s">
        <v>29</v>
      </c>
      <c r="G4" s="41">
        <v>70000</v>
      </c>
      <c r="H4" s="40" t="s">
        <v>38</v>
      </c>
      <c r="I4" s="40" t="s">
        <v>40</v>
      </c>
      <c r="J4" s="42">
        <v>0.54166666666666663</v>
      </c>
      <c r="K4" s="11">
        <v>0.54027777777777775</v>
      </c>
      <c r="L4" s="42">
        <v>0.39583333333333331</v>
      </c>
      <c r="M4" s="11">
        <v>0.39861111111111108</v>
      </c>
      <c r="N4" s="3" t="s">
        <v>178</v>
      </c>
      <c r="O4" s="3" t="s">
        <v>177</v>
      </c>
      <c r="P4" s="3">
        <v>916</v>
      </c>
      <c r="Q4" s="3">
        <v>421</v>
      </c>
      <c r="R4" s="40">
        <v>0</v>
      </c>
      <c r="S4" s="40">
        <v>0</v>
      </c>
      <c r="T4" s="40">
        <v>0</v>
      </c>
      <c r="U4" s="40">
        <v>0</v>
      </c>
    </row>
    <row r="5" spans="1:22" customFormat="1" x14ac:dyDescent="0.25">
      <c r="A5" s="39">
        <v>43995</v>
      </c>
      <c r="B5" s="40" t="s">
        <v>24</v>
      </c>
      <c r="C5" s="40" t="s">
        <v>37</v>
      </c>
      <c r="D5" s="40" t="s">
        <v>23</v>
      </c>
      <c r="E5" s="40" t="s">
        <v>165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1">
        <v>0.68958333333333333</v>
      </c>
      <c r="L5" s="42">
        <v>0.49652777777777773</v>
      </c>
      <c r="M5" s="11">
        <v>0.50277777777777777</v>
      </c>
      <c r="N5" s="3" t="s">
        <v>180</v>
      </c>
      <c r="O5" s="3" t="s">
        <v>179</v>
      </c>
      <c r="P5" s="3">
        <v>632</v>
      </c>
      <c r="Q5" s="3">
        <v>356</v>
      </c>
      <c r="R5" s="40">
        <v>0</v>
      </c>
      <c r="S5" s="40">
        <v>0</v>
      </c>
      <c r="T5" s="40">
        <v>0</v>
      </c>
      <c r="U5" s="40">
        <v>0</v>
      </c>
    </row>
    <row r="6" spans="1:22" customFormat="1" x14ac:dyDescent="0.25">
      <c r="A6" s="39">
        <v>43995</v>
      </c>
      <c r="B6" s="2" t="s">
        <v>24</v>
      </c>
      <c r="C6" s="2" t="s">
        <v>47</v>
      </c>
      <c r="D6" s="2" t="s">
        <v>23</v>
      </c>
      <c r="E6" s="5" t="str">
        <f>E4</f>
        <v>HALWK</v>
      </c>
      <c r="F6" s="2" t="s">
        <v>29</v>
      </c>
      <c r="G6" s="6">
        <v>70000</v>
      </c>
      <c r="H6" s="2" t="s">
        <v>48</v>
      </c>
      <c r="I6" s="2" t="s">
        <v>49</v>
      </c>
      <c r="J6" s="12">
        <v>0.73958333333333337</v>
      </c>
      <c r="K6" s="11">
        <v>0.73749999999999993</v>
      </c>
      <c r="L6" s="12">
        <v>0.57291666666666663</v>
      </c>
      <c r="M6" s="11">
        <v>0.5805555555555556</v>
      </c>
      <c r="N6" s="3" t="s">
        <v>181</v>
      </c>
      <c r="O6" s="3" t="s">
        <v>183</v>
      </c>
      <c r="P6" s="3">
        <v>1108</v>
      </c>
      <c r="Q6" s="3">
        <v>301</v>
      </c>
      <c r="R6" s="2">
        <v>0</v>
      </c>
      <c r="S6" s="2">
        <v>0</v>
      </c>
      <c r="T6" s="2">
        <v>0</v>
      </c>
      <c r="U6" s="2">
        <v>0</v>
      </c>
    </row>
    <row r="7" spans="1:22" customFormat="1" x14ac:dyDescent="0.25">
      <c r="A7" s="39">
        <v>43995</v>
      </c>
      <c r="B7" s="2" t="s">
        <v>24</v>
      </c>
      <c r="C7" s="2" t="s">
        <v>53</v>
      </c>
      <c r="D7" s="2" t="s">
        <v>23</v>
      </c>
      <c r="E7" s="5" t="s">
        <v>165</v>
      </c>
      <c r="F7" s="2" t="s">
        <v>29</v>
      </c>
      <c r="G7" s="33">
        <v>70000</v>
      </c>
      <c r="H7" s="2" t="s">
        <v>54</v>
      </c>
      <c r="I7" s="2" t="s">
        <v>55</v>
      </c>
      <c r="J7" s="10">
        <v>0.94097222222222221</v>
      </c>
      <c r="K7" s="11">
        <v>0.92708333333333337</v>
      </c>
      <c r="L7" s="10">
        <v>0.72222222222222221</v>
      </c>
      <c r="M7" s="11">
        <v>0.72083333333333333</v>
      </c>
      <c r="N7" s="3" t="s">
        <v>170</v>
      </c>
      <c r="O7" s="3" t="s">
        <v>184</v>
      </c>
      <c r="P7" s="3">
        <v>448</v>
      </c>
      <c r="Q7" s="3">
        <v>181</v>
      </c>
      <c r="R7" s="2">
        <v>0</v>
      </c>
      <c r="S7" s="2">
        <v>0</v>
      </c>
      <c r="T7" s="2">
        <v>0</v>
      </c>
      <c r="U7" s="2">
        <v>0</v>
      </c>
      <c r="V7" s="2"/>
    </row>
    <row r="8" spans="1:22" x14ac:dyDescent="0.25">
      <c r="A8" s="4">
        <v>43995</v>
      </c>
      <c r="B8" s="2" t="s">
        <v>24</v>
      </c>
      <c r="C8" s="2" t="s">
        <v>61</v>
      </c>
      <c r="D8" s="2" t="s">
        <v>23</v>
      </c>
      <c r="E8" s="5" t="s">
        <v>63</v>
      </c>
      <c r="F8" s="2" t="s">
        <v>29</v>
      </c>
      <c r="G8" s="6">
        <v>70000</v>
      </c>
      <c r="H8" s="5" t="s">
        <v>58</v>
      </c>
      <c r="I8" s="5" t="s">
        <v>59</v>
      </c>
      <c r="J8" s="31">
        <v>0.94444444444444453</v>
      </c>
      <c r="K8" s="8">
        <v>0.9375</v>
      </c>
      <c r="L8" s="8">
        <v>0.76388888888888884</v>
      </c>
      <c r="M8" s="8">
        <v>0.76736111111111116</v>
      </c>
      <c r="N8" s="3" t="s">
        <v>182</v>
      </c>
      <c r="O8" s="3" t="s">
        <v>185</v>
      </c>
      <c r="P8" s="3">
        <v>895</v>
      </c>
      <c r="Q8" s="3">
        <v>92</v>
      </c>
      <c r="R8" s="2">
        <v>0</v>
      </c>
      <c r="S8" s="2">
        <v>0</v>
      </c>
      <c r="T8" s="2">
        <v>0</v>
      </c>
      <c r="U8" s="2">
        <v>0</v>
      </c>
    </row>
    <row r="9" spans="1:22" x14ac:dyDescent="0.25">
      <c r="J9" s="82"/>
      <c r="K9" s="82"/>
      <c r="L9" s="82"/>
      <c r="M9" s="82"/>
      <c r="N9" s="63"/>
      <c r="O9" s="63"/>
      <c r="P9" s="63"/>
      <c r="Q9" s="6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H6" sqref="H6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43996</v>
      </c>
      <c r="B2" s="5" t="s">
        <v>24</v>
      </c>
      <c r="C2" s="5" t="s">
        <v>66</v>
      </c>
      <c r="D2" s="63" t="s">
        <v>23</v>
      </c>
      <c r="E2" s="5" t="s">
        <v>165</v>
      </c>
      <c r="F2" s="40" t="s">
        <v>29</v>
      </c>
      <c r="G2" s="41">
        <v>70000</v>
      </c>
      <c r="H2" s="5" t="s">
        <v>74</v>
      </c>
      <c r="I2" s="5" t="s">
        <v>75</v>
      </c>
      <c r="J2" s="7">
        <v>0.46180555555555558</v>
      </c>
      <c r="K2" s="8">
        <v>0.45</v>
      </c>
      <c r="L2" s="7">
        <v>0.26041666666666669</v>
      </c>
      <c r="M2" s="8">
        <v>0.2590277777777778</v>
      </c>
      <c r="N2" s="2" t="s">
        <v>187</v>
      </c>
      <c r="O2" s="9" t="s">
        <v>186</v>
      </c>
      <c r="P2" s="9">
        <v>1193</v>
      </c>
      <c r="Q2" s="9">
        <v>441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43996</v>
      </c>
      <c r="B3" s="5" t="s">
        <v>24</v>
      </c>
      <c r="C3" s="5" t="s">
        <v>69</v>
      </c>
      <c r="D3" s="63" t="s">
        <v>23</v>
      </c>
      <c r="E3" s="5" t="s">
        <v>165</v>
      </c>
      <c r="F3" s="40" t="s">
        <v>29</v>
      </c>
      <c r="G3" s="41">
        <v>70000</v>
      </c>
      <c r="H3" s="5" t="s">
        <v>79</v>
      </c>
      <c r="I3" s="5" t="s">
        <v>80</v>
      </c>
      <c r="J3" s="7">
        <v>0.72569444444444453</v>
      </c>
      <c r="K3" s="8">
        <v>0.73819444444444438</v>
      </c>
      <c r="L3" s="7">
        <v>0.5</v>
      </c>
      <c r="M3" s="8">
        <v>0.50416666666666665</v>
      </c>
      <c r="N3" s="2" t="s">
        <v>190</v>
      </c>
      <c r="O3" s="9" t="s">
        <v>188</v>
      </c>
      <c r="P3" s="3">
        <v>1526</v>
      </c>
      <c r="Q3" s="9">
        <v>779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43996</v>
      </c>
      <c r="B4" s="5" t="s">
        <v>24</v>
      </c>
      <c r="C4" s="2" t="s">
        <v>70</v>
      </c>
      <c r="D4" s="63" t="s">
        <v>23</v>
      </c>
      <c r="E4" s="2" t="s">
        <v>63</v>
      </c>
      <c r="F4" s="40" t="s">
        <v>29</v>
      </c>
      <c r="G4" s="41">
        <v>70000</v>
      </c>
      <c r="H4" s="5" t="s">
        <v>81</v>
      </c>
      <c r="I4" s="5" t="s">
        <v>82</v>
      </c>
      <c r="J4" s="10">
        <v>0.75</v>
      </c>
      <c r="K4" s="1">
        <v>0.75138888888888899</v>
      </c>
      <c r="L4" s="10">
        <v>0.51388888888888895</v>
      </c>
      <c r="M4" s="11">
        <v>0.51874999999999993</v>
      </c>
      <c r="N4" s="2" t="s">
        <v>191</v>
      </c>
      <c r="O4" s="34" t="s">
        <v>189</v>
      </c>
      <c r="P4" s="5">
        <v>1840</v>
      </c>
      <c r="Q4" s="9">
        <v>424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4">
        <v>43996</v>
      </c>
      <c r="B5" s="5" t="s">
        <v>24</v>
      </c>
      <c r="C5" s="2" t="s">
        <v>71</v>
      </c>
      <c r="D5" s="63" t="s">
        <v>23</v>
      </c>
      <c r="E5" s="2" t="s">
        <v>165</v>
      </c>
      <c r="F5" s="40" t="s">
        <v>29</v>
      </c>
      <c r="G5" s="41">
        <v>70000</v>
      </c>
      <c r="H5" s="2" t="s">
        <v>83</v>
      </c>
      <c r="I5" s="2" t="s">
        <v>84</v>
      </c>
      <c r="J5" s="12">
        <v>0.9375</v>
      </c>
      <c r="K5" s="1">
        <v>0.9604166666666667</v>
      </c>
      <c r="L5" s="12">
        <v>0.74652777777777779</v>
      </c>
      <c r="M5" s="1">
        <v>0.76666666666666661</v>
      </c>
      <c r="N5" s="2" t="s">
        <v>192</v>
      </c>
      <c r="O5" s="2" t="s">
        <v>121</v>
      </c>
      <c r="P5" s="2">
        <v>1104</v>
      </c>
      <c r="Q5" s="9">
        <v>348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ht="12.75" x14ac:dyDescent="0.2">
      <c r="A6" s="4">
        <v>43996</v>
      </c>
      <c r="B6" s="2" t="s">
        <v>193</v>
      </c>
      <c r="C6" s="2" t="s">
        <v>194</v>
      </c>
      <c r="D6" s="2" t="s">
        <v>195</v>
      </c>
      <c r="E6" s="5" t="s">
        <v>196</v>
      </c>
      <c r="F6" s="2" t="s">
        <v>147</v>
      </c>
      <c r="G6" s="6">
        <v>1134</v>
      </c>
      <c r="H6" s="2"/>
      <c r="I6" s="2"/>
      <c r="J6" s="12">
        <v>0.61805555555555558</v>
      </c>
      <c r="K6" s="1">
        <v>0.62847222222222221</v>
      </c>
      <c r="L6" s="12">
        <v>0.63541666666666663</v>
      </c>
      <c r="M6" s="1">
        <v>0.6479166666666667</v>
      </c>
      <c r="N6" s="2"/>
      <c r="O6" s="2"/>
      <c r="P6" s="2"/>
      <c r="Q6" s="2"/>
      <c r="R6" s="2"/>
      <c r="S6" s="2"/>
      <c r="T6" s="2"/>
      <c r="U6" s="2"/>
    </row>
    <row r="7" spans="1:21" x14ac:dyDescent="0.25">
      <c r="A7" s="4"/>
      <c r="B7" s="2"/>
      <c r="C7" s="2"/>
      <c r="D7" s="2"/>
      <c r="E7" s="5"/>
      <c r="F7" s="2"/>
      <c r="G7" s="6"/>
      <c r="H7" s="2"/>
      <c r="I7" s="2"/>
      <c r="J7" s="12"/>
      <c r="K7" s="1"/>
      <c r="L7" s="12"/>
      <c r="M7" s="1"/>
      <c r="N7" s="2"/>
      <c r="O7" s="2"/>
      <c r="P7" s="2"/>
      <c r="Q7" s="2"/>
      <c r="R7" s="2"/>
      <c r="S7" s="2"/>
      <c r="T7" s="2"/>
      <c r="U7" s="2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F1" workbookViewId="0">
      <selection activeCell="F1" sqref="A1:XFD4"/>
    </sheetView>
  </sheetViews>
  <sheetFormatPr defaultRowHeight="15" x14ac:dyDescent="0.25"/>
  <cols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38" customFormat="1" ht="12.75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s="38" customFormat="1" ht="12.75" x14ac:dyDescent="0.2">
      <c r="A2" s="39">
        <v>43997</v>
      </c>
      <c r="B2" s="40" t="s">
        <v>24</v>
      </c>
      <c r="C2" s="40" t="s">
        <v>67</v>
      </c>
      <c r="D2" s="40" t="s">
        <v>23</v>
      </c>
      <c r="E2" s="40" t="s">
        <v>63</v>
      </c>
      <c r="F2" s="40" t="s">
        <v>29</v>
      </c>
      <c r="G2" s="41">
        <v>70000</v>
      </c>
      <c r="H2" s="40" t="s">
        <v>76</v>
      </c>
      <c r="I2" s="40" t="s">
        <v>77</v>
      </c>
      <c r="J2" s="42">
        <v>0.47569444444444442</v>
      </c>
      <c r="K2" s="43">
        <v>0.46319444444444446</v>
      </c>
      <c r="L2" s="42">
        <v>0.27430555555555552</v>
      </c>
      <c r="M2" s="44">
        <v>0.28125</v>
      </c>
      <c r="N2" s="36" t="s">
        <v>198</v>
      </c>
      <c r="O2" s="45" t="s">
        <v>197</v>
      </c>
      <c r="P2" s="45">
        <v>1062</v>
      </c>
      <c r="Q2" s="45">
        <v>260</v>
      </c>
      <c r="R2" s="40">
        <v>0</v>
      </c>
      <c r="S2" s="40">
        <v>0</v>
      </c>
      <c r="T2" s="40">
        <v>0</v>
      </c>
      <c r="U2" s="40">
        <v>0</v>
      </c>
    </row>
    <row r="3" spans="1:21" s="38" customFormat="1" ht="12.75" x14ac:dyDescent="0.2">
      <c r="A3" s="39">
        <v>43997</v>
      </c>
      <c r="B3" s="40" t="s">
        <v>24</v>
      </c>
      <c r="C3" s="40" t="s">
        <v>107</v>
      </c>
      <c r="D3" s="40" t="s">
        <v>23</v>
      </c>
      <c r="E3" s="40" t="s">
        <v>165</v>
      </c>
      <c r="F3" s="40" t="s">
        <v>29</v>
      </c>
      <c r="G3" s="41">
        <v>70000</v>
      </c>
      <c r="H3" s="40" t="s">
        <v>110</v>
      </c>
      <c r="I3" s="40" t="s">
        <v>109</v>
      </c>
      <c r="J3" s="42">
        <v>0.89930555555555547</v>
      </c>
      <c r="K3" s="43">
        <v>0.88750000000000007</v>
      </c>
      <c r="L3" s="42">
        <v>0.75</v>
      </c>
      <c r="M3" s="44">
        <v>0.75624999999999998</v>
      </c>
      <c r="N3" s="36" t="s">
        <v>201</v>
      </c>
      <c r="O3" s="45" t="s">
        <v>199</v>
      </c>
      <c r="P3" s="40">
        <v>470</v>
      </c>
      <c r="Q3" s="45">
        <v>412</v>
      </c>
      <c r="R3" s="40">
        <v>0</v>
      </c>
      <c r="S3" s="40">
        <v>0</v>
      </c>
      <c r="T3" s="40">
        <v>0</v>
      </c>
      <c r="U3" s="40">
        <v>0</v>
      </c>
    </row>
    <row r="4" spans="1:21" s="38" customFormat="1" ht="12.75" x14ac:dyDescent="0.2">
      <c r="A4" s="39">
        <v>43997</v>
      </c>
      <c r="B4" s="40" t="s">
        <v>24</v>
      </c>
      <c r="C4" s="36" t="s">
        <v>72</v>
      </c>
      <c r="D4" s="40" t="s">
        <v>23</v>
      </c>
      <c r="E4" s="40" t="s">
        <v>63</v>
      </c>
      <c r="F4" s="40" t="s">
        <v>29</v>
      </c>
      <c r="G4" s="41">
        <v>70000</v>
      </c>
      <c r="H4" s="36" t="s">
        <v>85</v>
      </c>
      <c r="I4" s="36" t="s">
        <v>86</v>
      </c>
      <c r="J4" s="46">
        <v>0.94097222222222221</v>
      </c>
      <c r="K4" s="43">
        <v>0.9555555555555556</v>
      </c>
      <c r="L4" s="46">
        <v>0.77083333333333337</v>
      </c>
      <c r="M4" s="43">
        <v>0.7715277777777777</v>
      </c>
      <c r="N4" s="36" t="s">
        <v>202</v>
      </c>
      <c r="O4" s="36" t="s">
        <v>200</v>
      </c>
      <c r="P4" s="36">
        <v>783</v>
      </c>
      <c r="Q4" s="45">
        <v>572</v>
      </c>
      <c r="R4" s="36">
        <v>0</v>
      </c>
      <c r="S4" s="36">
        <v>0</v>
      </c>
      <c r="T4" s="36">
        <v>0</v>
      </c>
      <c r="U4" s="36">
        <v>0</v>
      </c>
    </row>
    <row r="5" spans="1:21" s="3" customFormat="1" ht="12.75" x14ac:dyDescent="0.2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U10" sqref="U10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39">
        <v>43998</v>
      </c>
      <c r="B2" s="40" t="s">
        <v>24</v>
      </c>
      <c r="C2" s="40" t="s">
        <v>27</v>
      </c>
      <c r="D2" s="40" t="s">
        <v>23</v>
      </c>
      <c r="E2" s="40" t="s">
        <v>165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43">
        <v>0.37361111111111112</v>
      </c>
      <c r="L2" s="42">
        <v>0.25694444444444448</v>
      </c>
      <c r="M2" s="11">
        <v>0.27013888888888887</v>
      </c>
      <c r="N2" s="3" t="s">
        <v>204</v>
      </c>
      <c r="O2" s="3">
        <v>48</v>
      </c>
      <c r="P2" s="3">
        <v>275</v>
      </c>
      <c r="Q2" s="3">
        <v>157</v>
      </c>
      <c r="R2" s="40">
        <v>0</v>
      </c>
      <c r="S2" s="40">
        <v>0</v>
      </c>
      <c r="T2" s="40">
        <v>0</v>
      </c>
      <c r="U2" s="40">
        <v>0</v>
      </c>
    </row>
    <row r="3" spans="1:22" x14ac:dyDescent="0.25">
      <c r="A3" s="39">
        <v>43998</v>
      </c>
      <c r="B3" s="40" t="s">
        <v>24</v>
      </c>
      <c r="C3" s="40" t="s">
        <v>28</v>
      </c>
      <c r="D3" s="40" t="s">
        <v>23</v>
      </c>
      <c r="E3" s="40" t="s">
        <v>63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0.45347222222222222</v>
      </c>
      <c r="L3" s="42">
        <v>0.28125</v>
      </c>
      <c r="M3" s="11">
        <v>0.28888888888888892</v>
      </c>
      <c r="N3" s="3" t="s">
        <v>206</v>
      </c>
      <c r="O3" s="3" t="s">
        <v>203</v>
      </c>
      <c r="P3" s="3">
        <v>841</v>
      </c>
      <c r="Q3" s="3">
        <v>211</v>
      </c>
      <c r="R3" s="40">
        <v>0</v>
      </c>
      <c r="S3" s="40">
        <v>0</v>
      </c>
      <c r="T3" s="40">
        <v>0</v>
      </c>
      <c r="U3" s="40">
        <v>0</v>
      </c>
    </row>
    <row r="4" spans="1:22" x14ac:dyDescent="0.25">
      <c r="A4" s="39">
        <v>43998</v>
      </c>
      <c r="B4" s="40" t="s">
        <v>24</v>
      </c>
      <c r="C4" s="40" t="s">
        <v>36</v>
      </c>
      <c r="D4" s="40" t="s">
        <v>23</v>
      </c>
      <c r="E4" s="40" t="s">
        <v>165</v>
      </c>
      <c r="F4" s="40" t="s">
        <v>29</v>
      </c>
      <c r="G4" s="41">
        <v>70000</v>
      </c>
      <c r="H4" s="40" t="s">
        <v>38</v>
      </c>
      <c r="I4" s="40" t="s">
        <v>40</v>
      </c>
      <c r="J4" s="42">
        <v>0.54166666666666663</v>
      </c>
      <c r="K4" s="11">
        <v>0.53611111111111109</v>
      </c>
      <c r="L4" s="42">
        <v>0.39583333333333331</v>
      </c>
      <c r="M4" s="11">
        <v>0.40138888888888885</v>
      </c>
      <c r="N4" s="3" t="s">
        <v>215</v>
      </c>
      <c r="O4" s="3" t="s">
        <v>205</v>
      </c>
      <c r="P4" s="3">
        <v>585</v>
      </c>
      <c r="Q4" s="3">
        <v>381</v>
      </c>
      <c r="R4" s="40">
        <v>0</v>
      </c>
      <c r="S4" s="40">
        <v>0</v>
      </c>
      <c r="T4" s="40">
        <v>0</v>
      </c>
      <c r="U4" s="40">
        <v>0</v>
      </c>
    </row>
    <row r="5" spans="1:22" x14ac:dyDescent="0.25">
      <c r="A5" s="39">
        <v>43998</v>
      </c>
      <c r="B5" s="40" t="s">
        <v>24</v>
      </c>
      <c r="C5" s="40" t="s">
        <v>37</v>
      </c>
      <c r="D5" s="40" t="s">
        <v>23</v>
      </c>
      <c r="E5" s="40" t="s">
        <v>63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6">
        <v>0.69930555555555562</v>
      </c>
      <c r="L5" s="42">
        <v>0.49652777777777773</v>
      </c>
      <c r="M5" s="11">
        <v>0.4993055555555555</v>
      </c>
      <c r="N5" s="3" t="s">
        <v>216</v>
      </c>
      <c r="O5" s="3" t="s">
        <v>207</v>
      </c>
      <c r="P5" s="3">
        <v>812</v>
      </c>
      <c r="Q5" s="3">
        <v>292</v>
      </c>
      <c r="R5" s="40">
        <v>0</v>
      </c>
      <c r="S5" s="40">
        <v>0</v>
      </c>
      <c r="T5" s="40">
        <v>0</v>
      </c>
      <c r="U5" s="40">
        <v>0</v>
      </c>
    </row>
    <row r="6" spans="1:22" x14ac:dyDescent="0.25">
      <c r="A6" s="39">
        <v>43998</v>
      </c>
      <c r="B6" s="2" t="s">
        <v>24</v>
      </c>
      <c r="C6" s="2" t="s">
        <v>47</v>
      </c>
      <c r="D6" s="2" t="s">
        <v>23</v>
      </c>
      <c r="E6" s="5" t="s">
        <v>165</v>
      </c>
      <c r="F6" s="2" t="s">
        <v>29</v>
      </c>
      <c r="G6" s="41">
        <v>70000</v>
      </c>
      <c r="H6" s="2" t="s">
        <v>48</v>
      </c>
      <c r="I6" s="2" t="s">
        <v>49</v>
      </c>
      <c r="J6" s="12">
        <v>0.73958333333333337</v>
      </c>
      <c r="K6" s="11">
        <v>0.74444444444444446</v>
      </c>
      <c r="L6" s="12">
        <v>0.57291666666666663</v>
      </c>
      <c r="M6" s="11">
        <v>0.5756944444444444</v>
      </c>
      <c r="N6" s="3" t="s">
        <v>217</v>
      </c>
      <c r="O6" s="3" t="s">
        <v>212</v>
      </c>
      <c r="P6" s="3">
        <v>578</v>
      </c>
      <c r="Q6" s="3">
        <v>306</v>
      </c>
      <c r="R6" s="2">
        <v>0</v>
      </c>
      <c r="S6" s="2">
        <v>0</v>
      </c>
      <c r="T6" s="2">
        <v>0</v>
      </c>
      <c r="U6" s="2">
        <v>0</v>
      </c>
    </row>
    <row r="7" spans="1:22" x14ac:dyDescent="0.25">
      <c r="A7" s="39">
        <v>43998</v>
      </c>
      <c r="B7" s="2" t="s">
        <v>24</v>
      </c>
      <c r="C7" s="2" t="s">
        <v>53</v>
      </c>
      <c r="D7" s="2" t="s">
        <v>23</v>
      </c>
      <c r="E7" s="5" t="s">
        <v>63</v>
      </c>
      <c r="F7" s="2" t="s">
        <v>29</v>
      </c>
      <c r="G7" s="41">
        <v>70000</v>
      </c>
      <c r="H7" s="2" t="s">
        <v>54</v>
      </c>
      <c r="I7" s="2" t="s">
        <v>55</v>
      </c>
      <c r="J7" s="10">
        <v>0.94097222222222221</v>
      </c>
      <c r="K7" s="11">
        <v>0.92499999999999993</v>
      </c>
      <c r="L7" s="10">
        <v>0.72222222222222221</v>
      </c>
      <c r="M7" s="11">
        <v>0.72638888888888886</v>
      </c>
      <c r="N7" s="3" t="s">
        <v>225</v>
      </c>
      <c r="O7" s="3" t="s">
        <v>218</v>
      </c>
      <c r="P7" s="3">
        <v>433</v>
      </c>
      <c r="Q7" s="3">
        <v>436</v>
      </c>
      <c r="R7" s="2">
        <v>0</v>
      </c>
      <c r="S7" s="2">
        <v>0</v>
      </c>
      <c r="T7" s="2">
        <v>0</v>
      </c>
      <c r="U7" s="2">
        <v>0</v>
      </c>
    </row>
    <row r="8" spans="1:22" x14ac:dyDescent="0.25">
      <c r="A8" s="39">
        <v>43998</v>
      </c>
      <c r="B8" s="70" t="s">
        <v>24</v>
      </c>
      <c r="C8" s="70" t="s">
        <v>61</v>
      </c>
      <c r="D8" s="70" t="s">
        <v>23</v>
      </c>
      <c r="E8" s="71" t="s">
        <v>165</v>
      </c>
      <c r="F8" s="70" t="s">
        <v>29</v>
      </c>
      <c r="G8" s="41">
        <v>70000</v>
      </c>
      <c r="H8" s="70" t="s">
        <v>58</v>
      </c>
      <c r="I8" s="70" t="s">
        <v>59</v>
      </c>
      <c r="J8" s="85">
        <v>0.94444444444444453</v>
      </c>
      <c r="K8" s="11">
        <v>0.93958333333333333</v>
      </c>
      <c r="L8" s="85">
        <v>0.76388888888888884</v>
      </c>
      <c r="M8" s="11">
        <v>0.77361111111111114</v>
      </c>
      <c r="N8" s="3" t="s">
        <v>226</v>
      </c>
      <c r="O8" s="3" t="s">
        <v>219</v>
      </c>
      <c r="P8" s="3">
        <v>929</v>
      </c>
      <c r="Q8" s="3">
        <v>205</v>
      </c>
      <c r="R8" s="74">
        <v>0</v>
      </c>
      <c r="S8" s="74">
        <v>0</v>
      </c>
      <c r="T8" s="75">
        <v>0</v>
      </c>
      <c r="U8" s="75">
        <v>0</v>
      </c>
    </row>
    <row r="9" spans="1:22" s="83" customFormat="1" x14ac:dyDescent="0.25">
      <c r="A9" s="39">
        <v>43998</v>
      </c>
      <c r="B9" s="2" t="s">
        <v>211</v>
      </c>
      <c r="C9" s="2" t="s">
        <v>210</v>
      </c>
      <c r="D9" s="2" t="s">
        <v>209</v>
      </c>
      <c r="E9" s="83" t="s">
        <v>208</v>
      </c>
      <c r="F9" s="2" t="s">
        <v>213</v>
      </c>
      <c r="G9" s="41">
        <v>10000</v>
      </c>
      <c r="H9" s="2" t="s">
        <v>208</v>
      </c>
      <c r="I9" s="2" t="s">
        <v>208</v>
      </c>
      <c r="J9" s="10">
        <v>0.48958333333333331</v>
      </c>
      <c r="K9" s="11">
        <v>0.49236111111111108</v>
      </c>
      <c r="L9" s="10">
        <v>0.52083333333333337</v>
      </c>
      <c r="M9" s="11">
        <v>0.52916666666666667</v>
      </c>
      <c r="N9" s="86">
        <v>0</v>
      </c>
      <c r="O9" s="3" t="s">
        <v>214</v>
      </c>
      <c r="P9" s="3">
        <v>0</v>
      </c>
      <c r="Q9" s="3">
        <v>0</v>
      </c>
      <c r="R9" s="74">
        <v>0</v>
      </c>
      <c r="S9" s="74">
        <v>0</v>
      </c>
      <c r="T9" s="84">
        <v>0</v>
      </c>
      <c r="U9" s="84">
        <v>0</v>
      </c>
    </row>
    <row r="10" spans="1:22" x14ac:dyDescent="0.25">
      <c r="A10" s="39">
        <v>43998</v>
      </c>
      <c r="B10" s="2" t="s">
        <v>220</v>
      </c>
      <c r="C10" s="2" t="s">
        <v>221</v>
      </c>
      <c r="D10" s="2" t="s">
        <v>222</v>
      </c>
      <c r="E10" s="63">
        <v>77176</v>
      </c>
      <c r="F10" s="2" t="s">
        <v>223</v>
      </c>
      <c r="G10" s="41">
        <v>266000</v>
      </c>
      <c r="H10" s="2" t="s">
        <v>224</v>
      </c>
      <c r="I10" s="2" t="s">
        <v>224</v>
      </c>
      <c r="J10" s="10">
        <v>0.82291666666666663</v>
      </c>
      <c r="K10" s="11">
        <v>0.79305555555555562</v>
      </c>
      <c r="L10" s="10">
        <v>0.9375</v>
      </c>
      <c r="M10" s="11">
        <v>0.94374999999999998</v>
      </c>
      <c r="N10" s="63">
        <v>0</v>
      </c>
      <c r="O10" s="3" t="s">
        <v>227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opLeftCell="E1" workbookViewId="0">
      <selection activeCell="E1" sqref="A1:XFD1048576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4">
        <v>43999</v>
      </c>
      <c r="B2" s="40" t="s">
        <v>24</v>
      </c>
      <c r="C2" s="5" t="s">
        <v>66</v>
      </c>
      <c r="D2" s="14" t="s">
        <v>23</v>
      </c>
      <c r="E2" s="5" t="s">
        <v>63</v>
      </c>
      <c r="F2" s="40" t="s">
        <v>29</v>
      </c>
      <c r="G2" s="60">
        <v>70000</v>
      </c>
      <c r="H2" s="5" t="s">
        <v>74</v>
      </c>
      <c r="I2" s="5" t="s">
        <v>75</v>
      </c>
      <c r="J2" s="7">
        <v>0.46180555555555558</v>
      </c>
      <c r="K2" s="11">
        <v>0.4597222222222222</v>
      </c>
      <c r="L2" s="7">
        <v>0.26041666666666669</v>
      </c>
      <c r="M2" s="11">
        <v>0.27083333333333331</v>
      </c>
      <c r="N2" s="3" t="s">
        <v>230</v>
      </c>
      <c r="O2" s="3" t="s">
        <v>228</v>
      </c>
      <c r="P2" s="3">
        <v>1159</v>
      </c>
      <c r="Q2" s="3">
        <v>353</v>
      </c>
      <c r="R2" s="5">
        <v>0</v>
      </c>
      <c r="S2" s="5">
        <v>0</v>
      </c>
      <c r="T2" s="5">
        <v>0</v>
      </c>
      <c r="U2" s="5">
        <v>0</v>
      </c>
    </row>
    <row r="3" spans="1:22" x14ac:dyDescent="0.25">
      <c r="A3" s="4">
        <v>43999</v>
      </c>
      <c r="B3" s="40" t="s">
        <v>24</v>
      </c>
      <c r="C3" s="2" t="s">
        <v>67</v>
      </c>
      <c r="D3" s="14" t="s">
        <v>23</v>
      </c>
      <c r="E3" s="14" t="s">
        <v>165</v>
      </c>
      <c r="F3" s="40" t="s">
        <v>29</v>
      </c>
      <c r="G3" s="60">
        <v>70000</v>
      </c>
      <c r="H3" s="5" t="s">
        <v>76</v>
      </c>
      <c r="I3" s="5" t="s">
        <v>77</v>
      </c>
      <c r="J3" s="10">
        <v>0.47569444444444442</v>
      </c>
      <c r="K3" s="11">
        <v>0.47847222222222219</v>
      </c>
      <c r="L3" s="10">
        <v>0.27430555555555552</v>
      </c>
      <c r="M3" s="11">
        <v>0.28750000000000003</v>
      </c>
      <c r="N3" s="3" t="s">
        <v>231</v>
      </c>
      <c r="O3" s="3" t="s">
        <v>229</v>
      </c>
      <c r="P3" s="3">
        <v>749</v>
      </c>
      <c r="Q3" s="3">
        <v>222</v>
      </c>
      <c r="R3" s="2">
        <v>0</v>
      </c>
      <c r="S3" s="2">
        <v>0</v>
      </c>
      <c r="T3" s="2">
        <v>0</v>
      </c>
      <c r="U3" s="2">
        <v>0</v>
      </c>
    </row>
    <row r="4" spans="1:22" x14ac:dyDescent="0.25">
      <c r="A4" s="4">
        <v>43999</v>
      </c>
      <c r="B4" s="40" t="s">
        <v>24</v>
      </c>
      <c r="C4" s="2" t="s">
        <v>69</v>
      </c>
      <c r="D4" s="14" t="s">
        <v>23</v>
      </c>
      <c r="E4" s="5" t="s">
        <v>63</v>
      </c>
      <c r="F4" s="40" t="s">
        <v>29</v>
      </c>
      <c r="G4" s="60">
        <v>70000</v>
      </c>
      <c r="H4" s="2" t="s">
        <v>79</v>
      </c>
      <c r="I4" s="2" t="s">
        <v>80</v>
      </c>
      <c r="J4" s="12">
        <v>0.72569444444444453</v>
      </c>
      <c r="K4" s="11">
        <v>0.73472222222222217</v>
      </c>
      <c r="L4" s="12">
        <v>0.5</v>
      </c>
      <c r="M4" s="11">
        <v>0.50416666666666665</v>
      </c>
      <c r="N4" s="3" t="s">
        <v>233</v>
      </c>
      <c r="O4" s="3" t="s">
        <v>232</v>
      </c>
      <c r="P4" s="3">
        <v>1548</v>
      </c>
      <c r="Q4" s="3">
        <v>398</v>
      </c>
      <c r="R4" s="2">
        <v>0</v>
      </c>
      <c r="S4" s="2">
        <v>0</v>
      </c>
      <c r="T4" s="2">
        <v>0</v>
      </c>
      <c r="U4" s="2">
        <v>0</v>
      </c>
    </row>
    <row r="5" spans="1:22" x14ac:dyDescent="0.25">
      <c r="A5" s="4">
        <v>43999</v>
      </c>
      <c r="B5" s="40" t="s">
        <v>24</v>
      </c>
      <c r="C5" s="2" t="s">
        <v>70</v>
      </c>
      <c r="D5" s="14" t="s">
        <v>23</v>
      </c>
      <c r="E5" s="5" t="s">
        <v>165</v>
      </c>
      <c r="F5" s="40" t="s">
        <v>29</v>
      </c>
      <c r="G5" s="60">
        <v>70000</v>
      </c>
      <c r="H5" s="2" t="s">
        <v>81</v>
      </c>
      <c r="I5" s="2" t="s">
        <v>82</v>
      </c>
      <c r="J5" s="12">
        <v>0.75</v>
      </c>
      <c r="K5" s="11">
        <v>0.75763888888888886</v>
      </c>
      <c r="L5" s="12">
        <v>0.51388888888888895</v>
      </c>
      <c r="M5" s="11">
        <v>0.5229166666666667</v>
      </c>
      <c r="N5" s="3" t="s">
        <v>234</v>
      </c>
      <c r="O5" s="3" t="s">
        <v>174</v>
      </c>
      <c r="P5" s="3">
        <v>1415</v>
      </c>
      <c r="Q5" s="3">
        <v>252</v>
      </c>
      <c r="R5" s="2">
        <v>0</v>
      </c>
      <c r="S5" s="2">
        <v>0</v>
      </c>
      <c r="T5" s="2">
        <v>0</v>
      </c>
      <c r="U5" s="2">
        <v>0</v>
      </c>
      <c r="V5" s="3"/>
    </row>
    <row r="6" spans="1:22" s="3" customFormat="1" x14ac:dyDescent="0.25">
      <c r="A6" s="4">
        <v>43999</v>
      </c>
      <c r="B6" s="40" t="s">
        <v>24</v>
      </c>
      <c r="C6" s="2" t="s">
        <v>71</v>
      </c>
      <c r="D6" s="14" t="s">
        <v>23</v>
      </c>
      <c r="E6" s="5" t="s">
        <v>63</v>
      </c>
      <c r="F6" s="40" t="s">
        <v>29</v>
      </c>
      <c r="G6" s="60">
        <v>70000</v>
      </c>
      <c r="H6" s="2" t="s">
        <v>83</v>
      </c>
      <c r="I6" s="2" t="s">
        <v>84</v>
      </c>
      <c r="J6" s="10">
        <v>0.9375</v>
      </c>
      <c r="K6" s="11">
        <v>0.96319444444444446</v>
      </c>
      <c r="L6" s="10">
        <v>0.74652777777777779</v>
      </c>
      <c r="M6" s="11">
        <v>0.77083333333333337</v>
      </c>
      <c r="N6" s="3" t="s">
        <v>235</v>
      </c>
      <c r="O6" s="3" t="s">
        <v>166</v>
      </c>
      <c r="P6" s="3">
        <v>819</v>
      </c>
      <c r="Q6" s="3">
        <v>499</v>
      </c>
      <c r="R6" s="2">
        <v>0</v>
      </c>
      <c r="S6" s="2">
        <v>0</v>
      </c>
      <c r="T6" s="2">
        <v>0</v>
      </c>
      <c r="U6" s="2">
        <v>0</v>
      </c>
      <c r="V6"/>
    </row>
    <row r="7" spans="1:22" x14ac:dyDescent="0.25">
      <c r="A7" s="4">
        <v>43999</v>
      </c>
      <c r="B7" s="40" t="s">
        <v>24</v>
      </c>
      <c r="C7" s="2" t="s">
        <v>72</v>
      </c>
      <c r="D7" s="14" t="s">
        <v>23</v>
      </c>
      <c r="E7" s="5" t="s">
        <v>165</v>
      </c>
      <c r="F7" s="40" t="s">
        <v>29</v>
      </c>
      <c r="G7" s="60">
        <v>70000</v>
      </c>
      <c r="H7" s="2" t="s">
        <v>85</v>
      </c>
      <c r="I7" s="2" t="s">
        <v>86</v>
      </c>
      <c r="J7" s="10">
        <v>0.94097222222222221</v>
      </c>
      <c r="K7" s="11">
        <v>0.94305555555555554</v>
      </c>
      <c r="L7" s="10">
        <v>0.77083333333333337</v>
      </c>
      <c r="M7" s="11">
        <v>0.7909722222222223</v>
      </c>
      <c r="N7" s="3" t="s">
        <v>236</v>
      </c>
      <c r="O7" s="3">
        <v>93</v>
      </c>
      <c r="P7" s="3">
        <v>857</v>
      </c>
      <c r="Q7" s="3">
        <v>296</v>
      </c>
      <c r="R7" s="2">
        <v>0</v>
      </c>
      <c r="S7" s="2">
        <v>0</v>
      </c>
      <c r="T7" s="2">
        <v>0</v>
      </c>
      <c r="U7" s="2">
        <v>0</v>
      </c>
    </row>
    <row r="8" spans="1:22" x14ac:dyDescent="0.25">
      <c r="J8" s="3"/>
      <c r="K8" s="3"/>
      <c r="L8" s="3"/>
      <c r="M8" s="3"/>
      <c r="N8" s="3"/>
      <c r="O8" s="3"/>
      <c r="P8" s="3"/>
      <c r="Q8" s="3"/>
      <c r="R8" s="3"/>
      <c r="S8" s="3"/>
    </row>
    <row r="9" spans="1:22" x14ac:dyDescent="0.25">
      <c r="V9" s="63"/>
    </row>
    <row r="10" spans="1:22" s="63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D11" sqref="D11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4"/>
      <c r="B2" s="5"/>
      <c r="C2" s="5"/>
      <c r="D2" s="5"/>
      <c r="E2" s="5"/>
      <c r="F2" s="5"/>
      <c r="G2" s="6"/>
      <c r="H2" s="5"/>
      <c r="I2" s="5"/>
      <c r="J2" s="7"/>
      <c r="K2" s="8"/>
      <c r="L2" s="7"/>
      <c r="M2" s="8"/>
      <c r="N2" s="2"/>
      <c r="O2" s="9"/>
      <c r="P2" s="9"/>
      <c r="Q2" s="9"/>
      <c r="R2" s="5"/>
      <c r="S2" s="5"/>
      <c r="T2" s="5"/>
      <c r="U2" s="5"/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8"/>
      <c r="L3" s="7"/>
      <c r="M3" s="8"/>
      <c r="N3" s="2"/>
      <c r="O3" s="9"/>
      <c r="P3" s="3"/>
      <c r="Q3" s="9"/>
      <c r="R3" s="5"/>
      <c r="S3" s="5"/>
      <c r="T3" s="5"/>
      <c r="U3" s="5"/>
    </row>
    <row r="4" spans="1:21" x14ac:dyDescent="0.25">
      <c r="A4" s="4"/>
      <c r="B4" s="2"/>
      <c r="C4" s="2"/>
      <c r="D4" s="2"/>
      <c r="E4" s="5"/>
      <c r="F4" s="2"/>
      <c r="G4" s="6"/>
      <c r="H4" s="5"/>
      <c r="I4" s="5"/>
      <c r="J4" s="10"/>
      <c r="K4" s="1"/>
      <c r="L4" s="10"/>
      <c r="M4" s="11"/>
      <c r="N4" s="2"/>
      <c r="O4" s="34"/>
      <c r="P4" s="5"/>
      <c r="Q4" s="9"/>
      <c r="R4" s="2"/>
      <c r="S4" s="2"/>
      <c r="T4" s="2"/>
      <c r="U4" s="2"/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D1" workbookViewId="0">
      <selection activeCell="H3" sqref="H3"/>
    </sheetView>
  </sheetViews>
  <sheetFormatPr defaultRowHeight="15" x14ac:dyDescent="0.25"/>
  <cols>
    <col min="3" max="3" width="15.85546875" customWidth="1"/>
    <col min="6" max="6" width="12.140625" bestFit="1" customWidth="1"/>
    <col min="14" max="15" width="18.42578125" bestFit="1" customWidth="1"/>
  </cols>
  <sheetData>
    <row r="1" spans="1:22" s="15" customFormat="1" ht="12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5">
      <c r="A2" s="4">
        <v>44001</v>
      </c>
      <c r="B2" s="23" t="s">
        <v>24</v>
      </c>
      <c r="C2" s="23" t="s">
        <v>67</v>
      </c>
      <c r="D2" s="23" t="s">
        <v>23</v>
      </c>
      <c r="E2" s="23" t="s">
        <v>165</v>
      </c>
      <c r="F2" s="23" t="s">
        <v>29</v>
      </c>
      <c r="G2" s="24">
        <v>70000</v>
      </c>
      <c r="H2" s="23" t="s">
        <v>76</v>
      </c>
      <c r="I2" s="23" t="s">
        <v>77</v>
      </c>
      <c r="J2" s="29">
        <v>0.47569444444444442</v>
      </c>
      <c r="K2" s="30">
        <v>0.4916666666666667</v>
      </c>
      <c r="L2" s="29">
        <v>0.27430555555555552</v>
      </c>
      <c r="M2" s="30">
        <v>0.30902777777777779</v>
      </c>
      <c r="N2" s="30" t="s">
        <v>238</v>
      </c>
      <c r="O2" s="30" t="s">
        <v>237</v>
      </c>
      <c r="P2" s="27">
        <v>798</v>
      </c>
      <c r="Q2" s="27">
        <v>277</v>
      </c>
      <c r="R2" s="23">
        <v>0</v>
      </c>
      <c r="S2" s="23">
        <v>0</v>
      </c>
      <c r="T2" s="23">
        <v>0</v>
      </c>
      <c r="U2" s="23">
        <v>0</v>
      </c>
      <c r="V2" s="17"/>
    </row>
    <row r="3" spans="1:22" x14ac:dyDescent="0.25">
      <c r="A3" s="4">
        <v>44001</v>
      </c>
      <c r="B3" s="23" t="s">
        <v>24</v>
      </c>
      <c r="C3" s="23" t="s">
        <v>107</v>
      </c>
      <c r="D3" s="23" t="s">
        <v>23</v>
      </c>
      <c r="E3" s="23" t="s">
        <v>108</v>
      </c>
      <c r="F3" s="23" t="s">
        <v>29</v>
      </c>
      <c r="G3" s="24">
        <v>70000</v>
      </c>
      <c r="H3" s="23" t="s">
        <v>110</v>
      </c>
      <c r="I3" s="23" t="s">
        <v>109</v>
      </c>
      <c r="J3" s="29">
        <v>0.89930555555555547</v>
      </c>
      <c r="K3" s="30">
        <v>0.89513888888888893</v>
      </c>
      <c r="L3" s="29">
        <v>0.75</v>
      </c>
      <c r="M3" s="30">
        <v>0.75277777777777777</v>
      </c>
      <c r="N3" s="30" t="s">
        <v>241</v>
      </c>
      <c r="O3" s="30" t="s">
        <v>239</v>
      </c>
      <c r="P3" s="27">
        <v>504</v>
      </c>
      <c r="Q3" s="27">
        <v>253</v>
      </c>
      <c r="R3" s="23">
        <v>0</v>
      </c>
      <c r="S3" s="23">
        <v>0</v>
      </c>
      <c r="T3" s="23">
        <v>0</v>
      </c>
      <c r="U3" s="23">
        <v>0</v>
      </c>
      <c r="V3" s="17"/>
    </row>
    <row r="4" spans="1:22" x14ac:dyDescent="0.25">
      <c r="A4" s="4">
        <v>44001</v>
      </c>
      <c r="B4" s="23" t="s">
        <v>24</v>
      </c>
      <c r="C4" s="18" t="s">
        <v>72</v>
      </c>
      <c r="D4" s="23" t="s">
        <v>23</v>
      </c>
      <c r="E4" s="18" t="s">
        <v>63</v>
      </c>
      <c r="F4" s="23" t="s">
        <v>29</v>
      </c>
      <c r="G4" s="19">
        <v>70000</v>
      </c>
      <c r="H4" s="23" t="s">
        <v>85</v>
      </c>
      <c r="I4" s="18" t="s">
        <v>86</v>
      </c>
      <c r="J4" s="20">
        <v>0.94097222222222221</v>
      </c>
      <c r="K4" s="1">
        <v>0.96666666666666667</v>
      </c>
      <c r="L4" s="20">
        <v>0.77083333333333337</v>
      </c>
      <c r="M4" s="21">
        <v>0.81527777777777777</v>
      </c>
      <c r="N4" s="2" t="s">
        <v>242</v>
      </c>
      <c r="O4" s="22" t="s">
        <v>240</v>
      </c>
      <c r="P4" s="22">
        <v>679</v>
      </c>
      <c r="Q4" s="22">
        <v>602</v>
      </c>
      <c r="R4" s="23">
        <v>0</v>
      </c>
      <c r="S4" s="23">
        <v>0</v>
      </c>
      <c r="T4" s="23">
        <v>0</v>
      </c>
      <c r="U4" s="23">
        <v>0</v>
      </c>
      <c r="V4" s="17"/>
    </row>
    <row r="5" spans="1:22" x14ac:dyDescent="0.25">
      <c r="A5" s="4"/>
      <c r="B5" s="2"/>
      <c r="C5" s="2"/>
      <c r="D5" s="2"/>
      <c r="E5" s="23"/>
      <c r="F5" s="2"/>
      <c r="G5" s="24"/>
      <c r="H5" s="2"/>
      <c r="I5" s="2"/>
      <c r="J5" s="25"/>
      <c r="K5" s="26"/>
      <c r="L5" s="25"/>
      <c r="M5" s="26"/>
      <c r="N5" s="26"/>
      <c r="O5" s="27"/>
      <c r="P5" s="23"/>
      <c r="Q5" s="27"/>
      <c r="R5" s="2"/>
      <c r="S5" s="2"/>
      <c r="T5" s="2"/>
      <c r="U5" s="2"/>
      <c r="V5" s="17"/>
    </row>
    <row r="6" spans="1:22" x14ac:dyDescent="0.25">
      <c r="A6" s="4"/>
      <c r="B6" s="26"/>
      <c r="C6" s="26"/>
      <c r="D6" s="26"/>
      <c r="E6" s="26"/>
      <c r="F6" s="26"/>
      <c r="G6" s="24"/>
      <c r="H6" s="26"/>
      <c r="I6" s="26"/>
      <c r="J6" s="26"/>
      <c r="K6" s="26"/>
      <c r="L6" s="26"/>
      <c r="M6" s="26"/>
      <c r="N6" s="23"/>
      <c r="O6" s="23"/>
      <c r="P6" s="23"/>
      <c r="Q6" s="23"/>
      <c r="R6" s="23"/>
      <c r="S6" s="23"/>
      <c r="T6" s="2"/>
      <c r="U6" s="2"/>
      <c r="V6" s="26"/>
    </row>
    <row r="7" spans="1:2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selection activeCell="J8" sqref="J8"/>
    </sheetView>
  </sheetViews>
  <sheetFormatPr defaultRowHeight="15" x14ac:dyDescent="0.25"/>
  <cols>
    <col min="1" max="1" width="7.85546875" style="28" bestFit="1" customWidth="1"/>
    <col min="2" max="2" width="9.140625" style="28" bestFit="1" customWidth="1"/>
    <col min="3" max="3" width="13.5703125" style="28" bestFit="1" customWidth="1"/>
    <col min="4" max="4" width="5.7109375" style="28" bestFit="1" customWidth="1"/>
    <col min="5" max="5" width="14.5703125" style="28" bestFit="1" customWidth="1"/>
    <col min="6" max="6" width="12.140625" style="28" bestFit="1" customWidth="1"/>
    <col min="7" max="9" width="9.7109375" style="28" bestFit="1" customWidth="1"/>
    <col min="10" max="10" width="11" style="28" bestFit="1" customWidth="1"/>
    <col min="11" max="11" width="10.85546875" style="28" bestFit="1" customWidth="1"/>
    <col min="12" max="12" width="11" style="28" bestFit="1" customWidth="1"/>
    <col min="13" max="13" width="10.85546875" style="28" bestFit="1" customWidth="1"/>
    <col min="14" max="15" width="18.42578125" style="28" bestFit="1" customWidth="1"/>
    <col min="16" max="17" width="10.28515625" style="28" bestFit="1" customWidth="1"/>
    <col min="18" max="16384" width="9.140625" style="28"/>
  </cols>
  <sheetData>
    <row r="1" spans="1:2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2" customFormat="1" x14ac:dyDescent="0.25">
      <c r="A2" s="39">
        <v>44002</v>
      </c>
      <c r="B2" s="40" t="s">
        <v>24</v>
      </c>
      <c r="C2" s="40" t="s">
        <v>27</v>
      </c>
      <c r="D2" s="40" t="s">
        <v>23</v>
      </c>
      <c r="E2" s="40" t="s">
        <v>108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11">
        <v>0.36805555555555558</v>
      </c>
      <c r="L2" s="42">
        <v>0.25694444444444448</v>
      </c>
      <c r="M2" s="11">
        <v>0.26041666666666669</v>
      </c>
      <c r="N2" s="3" t="s">
        <v>245</v>
      </c>
      <c r="O2" s="3" t="s">
        <v>243</v>
      </c>
      <c r="P2" s="3">
        <v>400</v>
      </c>
      <c r="Q2" s="3">
        <v>225</v>
      </c>
      <c r="R2" s="40">
        <v>0</v>
      </c>
      <c r="S2" s="40">
        <v>0</v>
      </c>
      <c r="T2" s="40">
        <v>0</v>
      </c>
      <c r="U2" s="40">
        <v>0</v>
      </c>
    </row>
    <row r="3" spans="1:22" customFormat="1" x14ac:dyDescent="0.25">
      <c r="A3" s="39">
        <v>44002</v>
      </c>
      <c r="B3" s="40" t="s">
        <v>24</v>
      </c>
      <c r="C3" s="40" t="s">
        <v>28</v>
      </c>
      <c r="D3" s="40" t="s">
        <v>23</v>
      </c>
      <c r="E3" s="40" t="s">
        <v>63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0.45</v>
      </c>
      <c r="L3" s="42">
        <v>0.28125</v>
      </c>
      <c r="M3" s="11">
        <v>0.28194444444444444</v>
      </c>
      <c r="N3" s="3" t="s">
        <v>246</v>
      </c>
      <c r="O3" s="3" t="s">
        <v>217</v>
      </c>
      <c r="P3" s="3">
        <v>875</v>
      </c>
      <c r="Q3" s="3">
        <v>269</v>
      </c>
      <c r="R3" s="40">
        <v>0</v>
      </c>
      <c r="S3" s="40">
        <v>0</v>
      </c>
      <c r="T3" s="40">
        <v>0</v>
      </c>
      <c r="U3" s="40">
        <v>0</v>
      </c>
    </row>
    <row r="4" spans="1:22" customFormat="1" x14ac:dyDescent="0.25">
      <c r="A4" s="39">
        <v>44002</v>
      </c>
      <c r="B4" s="40" t="s">
        <v>24</v>
      </c>
      <c r="C4" s="40" t="s">
        <v>36</v>
      </c>
      <c r="D4" s="40" t="s">
        <v>23</v>
      </c>
      <c r="E4" s="40" t="s">
        <v>108</v>
      </c>
      <c r="F4" s="40" t="s">
        <v>29</v>
      </c>
      <c r="G4" s="41">
        <v>70000</v>
      </c>
      <c r="H4" s="40" t="s">
        <v>38</v>
      </c>
      <c r="I4" s="40" t="s">
        <v>40</v>
      </c>
      <c r="J4" s="42">
        <v>0.54166666666666663</v>
      </c>
      <c r="K4" s="11">
        <v>0.53611111111111109</v>
      </c>
      <c r="L4" s="42">
        <v>0.39583333333333331</v>
      </c>
      <c r="M4" s="11">
        <v>0.39930555555555558</v>
      </c>
      <c r="N4" s="3" t="s">
        <v>247</v>
      </c>
      <c r="O4" s="3" t="s">
        <v>244</v>
      </c>
      <c r="P4" s="3">
        <v>924</v>
      </c>
      <c r="Q4" s="3">
        <v>269</v>
      </c>
      <c r="R4" s="40">
        <v>0</v>
      </c>
      <c r="S4" s="40">
        <v>0</v>
      </c>
      <c r="T4" s="40">
        <v>0</v>
      </c>
      <c r="U4" s="40">
        <v>0</v>
      </c>
    </row>
    <row r="5" spans="1:22" customFormat="1" x14ac:dyDescent="0.25">
      <c r="A5" s="39">
        <v>44002</v>
      </c>
      <c r="B5" s="40" t="s">
        <v>24</v>
      </c>
      <c r="C5" s="40" t="s">
        <v>37</v>
      </c>
      <c r="D5" s="40" t="s">
        <v>23</v>
      </c>
      <c r="E5" s="40" t="s">
        <v>63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1">
        <v>0.6958333333333333</v>
      </c>
      <c r="L5" s="42">
        <v>0.49652777777777773</v>
      </c>
      <c r="M5" s="11">
        <v>0.49861111111111112</v>
      </c>
      <c r="N5" s="3" t="s">
        <v>250</v>
      </c>
      <c r="O5" s="3" t="s">
        <v>249</v>
      </c>
      <c r="P5" s="3">
        <v>780</v>
      </c>
      <c r="Q5" s="3">
        <v>311</v>
      </c>
      <c r="R5" s="40">
        <v>0</v>
      </c>
      <c r="S5" s="40">
        <v>0</v>
      </c>
      <c r="T5" s="40">
        <v>0</v>
      </c>
      <c r="U5" s="40">
        <v>0</v>
      </c>
    </row>
    <row r="6" spans="1:22" customFormat="1" x14ac:dyDescent="0.25">
      <c r="A6" s="39">
        <v>44002</v>
      </c>
      <c r="B6" s="2" t="s">
        <v>24</v>
      </c>
      <c r="C6" s="2" t="s">
        <v>47</v>
      </c>
      <c r="D6" s="2" t="s">
        <v>23</v>
      </c>
      <c r="E6" s="5" t="s">
        <v>108</v>
      </c>
      <c r="F6" s="2" t="s">
        <v>29</v>
      </c>
      <c r="G6" s="6">
        <v>70000</v>
      </c>
      <c r="H6" s="2" t="s">
        <v>48</v>
      </c>
      <c r="I6" s="2" t="s">
        <v>49</v>
      </c>
      <c r="J6" s="12">
        <v>0.73958333333333337</v>
      </c>
      <c r="K6" s="11">
        <v>0.73402777777777783</v>
      </c>
      <c r="L6" s="12">
        <v>0.57291666666666663</v>
      </c>
      <c r="M6" s="11">
        <v>0.57986111111111105</v>
      </c>
      <c r="N6" s="3" t="s">
        <v>181</v>
      </c>
      <c r="O6" s="3" t="s">
        <v>248</v>
      </c>
      <c r="P6" s="3">
        <v>1121</v>
      </c>
      <c r="Q6" s="3">
        <v>430</v>
      </c>
      <c r="R6" s="2">
        <v>0</v>
      </c>
      <c r="S6" s="2">
        <v>0</v>
      </c>
      <c r="T6" s="2">
        <v>0</v>
      </c>
      <c r="U6" s="2">
        <v>0</v>
      </c>
    </row>
    <row r="7" spans="1:22" customFormat="1" x14ac:dyDescent="0.25">
      <c r="A7" s="39">
        <v>44002</v>
      </c>
      <c r="B7" s="2" t="s">
        <v>24</v>
      </c>
      <c r="C7" s="2" t="s">
        <v>53</v>
      </c>
      <c r="D7" s="2" t="s">
        <v>23</v>
      </c>
      <c r="E7" s="40" t="s">
        <v>63</v>
      </c>
      <c r="F7" s="2" t="s">
        <v>29</v>
      </c>
      <c r="G7" s="33">
        <v>70000</v>
      </c>
      <c r="H7" s="2" t="s">
        <v>54</v>
      </c>
      <c r="I7" s="2" t="s">
        <v>55</v>
      </c>
      <c r="J7" s="10">
        <v>0.94097222222222221</v>
      </c>
      <c r="K7" s="11">
        <v>0.94652777777777775</v>
      </c>
      <c r="L7" s="10">
        <v>0.72222222222222221</v>
      </c>
      <c r="M7" s="11">
        <v>0.72777777777777775</v>
      </c>
      <c r="N7" s="3" t="s">
        <v>252</v>
      </c>
      <c r="O7" s="3" t="s">
        <v>185</v>
      </c>
      <c r="P7" s="3">
        <v>871</v>
      </c>
      <c r="Q7" s="3">
        <v>246</v>
      </c>
      <c r="R7" s="2">
        <v>0</v>
      </c>
      <c r="S7" s="2">
        <v>0</v>
      </c>
      <c r="T7" s="2">
        <v>0</v>
      </c>
      <c r="U7" s="2">
        <v>0</v>
      </c>
      <c r="V7" s="2"/>
    </row>
    <row r="8" spans="1:22" x14ac:dyDescent="0.25">
      <c r="A8" s="39">
        <v>44002</v>
      </c>
      <c r="B8" s="2" t="s">
        <v>24</v>
      </c>
      <c r="C8" s="2" t="s">
        <v>61</v>
      </c>
      <c r="D8" s="2" t="s">
        <v>23</v>
      </c>
      <c r="E8" s="5" t="s">
        <v>108</v>
      </c>
      <c r="F8" s="2" t="s">
        <v>29</v>
      </c>
      <c r="G8" s="6">
        <v>70000</v>
      </c>
      <c r="H8" s="5" t="s">
        <v>58</v>
      </c>
      <c r="I8" s="5" t="s">
        <v>59</v>
      </c>
      <c r="J8" s="31">
        <v>0.94444444444444453</v>
      </c>
      <c r="K8" s="8">
        <v>0.94444444444444453</v>
      </c>
      <c r="L8" s="8">
        <v>0.76388888888888884</v>
      </c>
      <c r="M8" s="8">
        <v>0.77013888888888893</v>
      </c>
      <c r="N8" s="3" t="s">
        <v>253</v>
      </c>
      <c r="O8" s="3" t="s">
        <v>251</v>
      </c>
      <c r="P8" s="3">
        <v>861</v>
      </c>
      <c r="Q8" s="3">
        <v>319</v>
      </c>
      <c r="R8" s="2">
        <v>0</v>
      </c>
      <c r="S8" s="2">
        <v>0</v>
      </c>
      <c r="T8" s="2">
        <v>0</v>
      </c>
      <c r="U8" s="2">
        <v>0</v>
      </c>
    </row>
    <row r="9" spans="1:22" x14ac:dyDescent="0.25">
      <c r="J9" s="82"/>
      <c r="K9" s="82"/>
      <c r="L9" s="82"/>
      <c r="M9" s="82"/>
      <c r="N9" s="63"/>
      <c r="O9" s="63"/>
      <c r="P9" s="63"/>
      <c r="Q9" s="63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F18" sqref="F18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44003</v>
      </c>
      <c r="B2" s="5" t="s">
        <v>24</v>
      </c>
      <c r="C2" s="5" t="s">
        <v>66</v>
      </c>
      <c r="D2" s="3" t="s">
        <v>23</v>
      </c>
      <c r="E2" s="5" t="s">
        <v>63</v>
      </c>
      <c r="F2" s="40" t="s">
        <v>29</v>
      </c>
      <c r="G2" s="41">
        <v>70000</v>
      </c>
      <c r="H2" s="5" t="s">
        <v>74</v>
      </c>
      <c r="I2" s="5" t="s">
        <v>75</v>
      </c>
      <c r="J2" s="7">
        <v>0.46180555555555558</v>
      </c>
      <c r="K2" s="11">
        <v>0.45277777777777778</v>
      </c>
      <c r="L2" s="7">
        <v>0.26041666666666669</v>
      </c>
      <c r="M2" s="11">
        <v>0.26180555555555557</v>
      </c>
      <c r="N2" s="3" t="s">
        <v>255</v>
      </c>
      <c r="O2" s="3" t="s">
        <v>175</v>
      </c>
      <c r="P2" s="3">
        <v>1314</v>
      </c>
      <c r="Q2" s="3">
        <v>283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44003</v>
      </c>
      <c r="B3" s="5" t="s">
        <v>24</v>
      </c>
      <c r="C3" s="5" t="s">
        <v>67</v>
      </c>
      <c r="D3" s="3" t="s">
        <v>23</v>
      </c>
      <c r="E3" s="5" t="s">
        <v>108</v>
      </c>
      <c r="F3" s="40" t="s">
        <v>29</v>
      </c>
      <c r="G3" s="41">
        <v>70000</v>
      </c>
      <c r="H3" s="5" t="s">
        <v>76</v>
      </c>
      <c r="I3" s="5" t="s">
        <v>77</v>
      </c>
      <c r="J3" s="7">
        <v>0.47569444444444442</v>
      </c>
      <c r="K3" s="11">
        <v>0.4604166666666667</v>
      </c>
      <c r="L3" s="7">
        <v>0.27430555555555552</v>
      </c>
      <c r="M3" s="11">
        <v>0.2722222222222222</v>
      </c>
      <c r="N3" s="3" t="s">
        <v>139</v>
      </c>
      <c r="O3" s="3" t="s">
        <v>254</v>
      </c>
      <c r="P3" s="3">
        <v>949</v>
      </c>
      <c r="Q3" s="3">
        <v>252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44003</v>
      </c>
      <c r="B4" s="5" t="s">
        <v>24</v>
      </c>
      <c r="C4" s="5" t="s">
        <v>69</v>
      </c>
      <c r="D4" s="3" t="s">
        <v>23</v>
      </c>
      <c r="E4" s="5" t="s">
        <v>63</v>
      </c>
      <c r="F4" s="40" t="s">
        <v>29</v>
      </c>
      <c r="G4" s="41">
        <v>70000</v>
      </c>
      <c r="H4" s="5" t="s">
        <v>79</v>
      </c>
      <c r="I4" s="5" t="s">
        <v>80</v>
      </c>
      <c r="J4" s="7">
        <v>0.72569444444444453</v>
      </c>
      <c r="K4" s="11">
        <v>0.72569444444444453</v>
      </c>
      <c r="L4" s="7">
        <v>0.5</v>
      </c>
      <c r="M4" s="11">
        <v>0.49513888888888885</v>
      </c>
      <c r="N4" s="3" t="s">
        <v>259</v>
      </c>
      <c r="O4" s="3" t="s">
        <v>256</v>
      </c>
      <c r="P4" s="3">
        <v>1545</v>
      </c>
      <c r="Q4" s="3">
        <v>311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v>44003</v>
      </c>
      <c r="B5" s="5" t="s">
        <v>24</v>
      </c>
      <c r="C5" s="2" t="s">
        <v>70</v>
      </c>
      <c r="D5" s="3" t="s">
        <v>23</v>
      </c>
      <c r="E5" s="2" t="s">
        <v>108</v>
      </c>
      <c r="F5" s="40" t="s">
        <v>29</v>
      </c>
      <c r="G5" s="41">
        <v>70000</v>
      </c>
      <c r="H5" s="5" t="s">
        <v>81</v>
      </c>
      <c r="I5" s="5" t="s">
        <v>82</v>
      </c>
      <c r="J5" s="10">
        <v>0.75</v>
      </c>
      <c r="K5" s="11">
        <v>0.75555555555555554</v>
      </c>
      <c r="L5" s="10">
        <v>0.51388888888888895</v>
      </c>
      <c r="M5" s="11">
        <v>0.51736111111111105</v>
      </c>
      <c r="N5" s="3" t="s">
        <v>260</v>
      </c>
      <c r="O5" s="3" t="s">
        <v>257</v>
      </c>
      <c r="P5" s="3">
        <v>1570</v>
      </c>
      <c r="Q5" s="3">
        <v>463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v>44003</v>
      </c>
      <c r="B6" s="5" t="s">
        <v>24</v>
      </c>
      <c r="C6" s="2" t="s">
        <v>71</v>
      </c>
      <c r="D6" s="3" t="s">
        <v>23</v>
      </c>
      <c r="E6" s="2" t="s">
        <v>63</v>
      </c>
      <c r="F6" s="40" t="s">
        <v>29</v>
      </c>
      <c r="G6" s="41">
        <v>70000</v>
      </c>
      <c r="H6" s="2" t="s">
        <v>83</v>
      </c>
      <c r="I6" s="2" t="s">
        <v>84</v>
      </c>
      <c r="J6" s="12">
        <v>0.9375</v>
      </c>
      <c r="K6" s="11">
        <v>0.94513888888888886</v>
      </c>
      <c r="L6" s="12">
        <v>0.74652777777777779</v>
      </c>
      <c r="M6" s="11">
        <v>0.76388888888888884</v>
      </c>
      <c r="N6" s="3" t="s">
        <v>261</v>
      </c>
      <c r="O6" s="3" t="s">
        <v>258</v>
      </c>
      <c r="P6" s="3">
        <v>902</v>
      </c>
      <c r="Q6" s="3">
        <v>411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 ht="12.75" x14ac:dyDescent="0.2">
      <c r="A7" s="4">
        <v>44003</v>
      </c>
      <c r="B7" s="5" t="s">
        <v>24</v>
      </c>
      <c r="C7" s="2" t="s">
        <v>72</v>
      </c>
      <c r="D7" s="3" t="s">
        <v>23</v>
      </c>
      <c r="E7" s="2" t="s">
        <v>108</v>
      </c>
      <c r="F7" s="40" t="s">
        <v>29</v>
      </c>
      <c r="G7" s="33">
        <v>70000</v>
      </c>
      <c r="H7" s="2" t="s">
        <v>85</v>
      </c>
      <c r="I7" s="2" t="s">
        <v>86</v>
      </c>
      <c r="J7" s="11">
        <v>0.94097222222222221</v>
      </c>
      <c r="K7" s="11">
        <v>0.9375</v>
      </c>
      <c r="L7" s="11">
        <v>0.77083333333333337</v>
      </c>
      <c r="M7" s="11">
        <v>0.81388888888888899</v>
      </c>
      <c r="N7" s="3" t="s">
        <v>262</v>
      </c>
      <c r="O7" s="3">
        <v>136</v>
      </c>
      <c r="P7" s="3">
        <v>1085</v>
      </c>
      <c r="Q7" s="3">
        <v>474</v>
      </c>
      <c r="R7" s="5">
        <v>0</v>
      </c>
      <c r="S7" s="5">
        <v>0</v>
      </c>
      <c r="T7" s="5">
        <v>0</v>
      </c>
      <c r="U7" s="5">
        <v>0</v>
      </c>
    </row>
    <row r="8" spans="1:21" x14ac:dyDescent="0.25">
      <c r="A8" s="4"/>
      <c r="B8" s="2"/>
      <c r="C8" s="2"/>
      <c r="D8" s="2"/>
      <c r="E8" s="5"/>
      <c r="F8" s="2"/>
      <c r="G8" s="6"/>
      <c r="H8" s="2"/>
      <c r="I8" s="2"/>
      <c r="J8" s="12"/>
      <c r="K8" s="1"/>
      <c r="L8" s="12"/>
      <c r="M8" s="1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4" sqref="K4"/>
    </sheetView>
  </sheetViews>
  <sheetFormatPr defaultRowHeight="15" x14ac:dyDescent="0.25"/>
  <cols>
    <col min="2" max="2" width="9.140625" bestFit="1" customWidth="1"/>
    <col min="3" max="3" width="13.28515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s="38" customFormat="1" ht="12.75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s="38" customFormat="1" ht="12.75" x14ac:dyDescent="0.2">
      <c r="A2" s="39">
        <v>44004</v>
      </c>
      <c r="B2" s="40" t="s">
        <v>24</v>
      </c>
      <c r="C2" s="40" t="s">
        <v>67</v>
      </c>
      <c r="D2" s="40" t="s">
        <v>23</v>
      </c>
      <c r="E2" s="40" t="s">
        <v>63</v>
      </c>
      <c r="F2" s="40" t="s">
        <v>29</v>
      </c>
      <c r="G2" s="41">
        <v>70000</v>
      </c>
      <c r="H2" s="40" t="s">
        <v>76</v>
      </c>
      <c r="I2" s="40" t="s">
        <v>77</v>
      </c>
      <c r="J2" s="42">
        <v>0.47569444444444442</v>
      </c>
      <c r="K2" s="43">
        <v>0.45902777777777781</v>
      </c>
      <c r="L2" s="42">
        <v>0.27430555555555552</v>
      </c>
      <c r="M2" s="44">
        <v>0.2722222222222222</v>
      </c>
      <c r="N2" s="36" t="s">
        <v>264</v>
      </c>
      <c r="O2" s="45" t="s">
        <v>263</v>
      </c>
      <c r="P2" s="45">
        <v>842</v>
      </c>
      <c r="Q2" s="45">
        <v>271</v>
      </c>
      <c r="R2" s="40">
        <v>0</v>
      </c>
      <c r="S2" s="40">
        <v>0</v>
      </c>
      <c r="T2" s="40">
        <v>0</v>
      </c>
      <c r="U2" s="40">
        <v>0</v>
      </c>
    </row>
    <row r="3" spans="1:21" s="38" customFormat="1" ht="12.75" x14ac:dyDescent="0.2">
      <c r="A3" s="39">
        <v>44004</v>
      </c>
      <c r="B3" s="40" t="s">
        <v>24</v>
      </c>
      <c r="C3" s="40" t="s">
        <v>107</v>
      </c>
      <c r="D3" s="40" t="s">
        <v>23</v>
      </c>
      <c r="E3" s="40" t="s">
        <v>108</v>
      </c>
      <c r="F3" s="40" t="s">
        <v>29</v>
      </c>
      <c r="G3" s="41">
        <v>70000</v>
      </c>
      <c r="H3" s="40" t="s">
        <v>110</v>
      </c>
      <c r="I3" s="40" t="s">
        <v>109</v>
      </c>
      <c r="J3" s="42">
        <v>0.89930555555555547</v>
      </c>
      <c r="K3" s="43">
        <v>0.89722222222222225</v>
      </c>
      <c r="L3" s="42">
        <v>0.75</v>
      </c>
      <c r="M3" s="44">
        <v>0.76250000000000007</v>
      </c>
      <c r="N3" s="36" t="s">
        <v>265</v>
      </c>
      <c r="O3" s="45" t="s">
        <v>267</v>
      </c>
      <c r="P3" s="40">
        <v>271</v>
      </c>
      <c r="Q3" s="45">
        <v>316</v>
      </c>
      <c r="R3" s="40">
        <v>0</v>
      </c>
      <c r="S3" s="40">
        <v>0</v>
      </c>
      <c r="T3" s="40">
        <v>0</v>
      </c>
      <c r="U3" s="40">
        <v>0</v>
      </c>
    </row>
    <row r="4" spans="1:21" s="38" customFormat="1" ht="12.75" x14ac:dyDescent="0.2">
      <c r="A4" s="39">
        <v>44004</v>
      </c>
      <c r="B4" s="40" t="s">
        <v>24</v>
      </c>
      <c r="C4" s="36" t="s">
        <v>72</v>
      </c>
      <c r="D4" s="40" t="s">
        <v>23</v>
      </c>
      <c r="E4" s="40" t="s">
        <v>63</v>
      </c>
      <c r="F4" s="40" t="s">
        <v>29</v>
      </c>
      <c r="G4" s="41">
        <v>70000</v>
      </c>
      <c r="H4" s="36" t="s">
        <v>85</v>
      </c>
      <c r="I4" s="36" t="s">
        <v>86</v>
      </c>
      <c r="J4" s="46">
        <v>0.94097222222222221</v>
      </c>
      <c r="K4" s="43">
        <v>0.92569444444444438</v>
      </c>
      <c r="L4" s="46">
        <v>0.77083333333333337</v>
      </c>
      <c r="M4" s="43">
        <v>0.7715277777777777</v>
      </c>
      <c r="N4" s="36" t="s">
        <v>266</v>
      </c>
      <c r="O4" s="36" t="s">
        <v>268</v>
      </c>
      <c r="P4" s="36">
        <v>561</v>
      </c>
      <c r="Q4" s="45">
        <v>221</v>
      </c>
      <c r="R4" s="36">
        <v>0</v>
      </c>
      <c r="S4" s="36">
        <v>0</v>
      </c>
      <c r="T4" s="36">
        <v>0</v>
      </c>
      <c r="U4" s="36">
        <v>0</v>
      </c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  <row r="6" spans="1:21" x14ac:dyDescent="0.25">
      <c r="A6" s="4"/>
      <c r="B6" s="2"/>
      <c r="C6" s="2"/>
      <c r="D6" s="2"/>
      <c r="E6" s="5"/>
      <c r="F6" s="2"/>
      <c r="G6" s="6"/>
      <c r="H6" s="2"/>
      <c r="I6" s="2"/>
      <c r="J6" s="12"/>
      <c r="K6" s="8"/>
      <c r="L6" s="12"/>
      <c r="M6" s="8"/>
      <c r="N6" s="2"/>
      <c r="O6" s="2"/>
      <c r="P6" s="2"/>
      <c r="Q6" s="2"/>
      <c r="R6" s="2"/>
      <c r="S6" s="2"/>
      <c r="T6" s="2"/>
      <c r="U6" s="2"/>
    </row>
    <row r="7" spans="1:21" s="35" customFormat="1" ht="12.75" x14ac:dyDescent="0.2">
      <c r="A7" s="32"/>
      <c r="B7" s="3"/>
      <c r="C7" s="3"/>
      <c r="D7" s="3"/>
      <c r="E7" s="3"/>
      <c r="F7" s="3"/>
      <c r="G7" s="33"/>
      <c r="H7" s="3"/>
      <c r="I7" s="3"/>
      <c r="J7" s="10"/>
      <c r="K7" s="11"/>
      <c r="L7" s="10"/>
      <c r="M7" s="11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A2" sqref="A2:XFD8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39">
        <v>44005</v>
      </c>
      <c r="B2" s="40" t="s">
        <v>24</v>
      </c>
      <c r="C2" s="40" t="s">
        <v>27</v>
      </c>
      <c r="D2" s="40" t="s">
        <v>23</v>
      </c>
      <c r="E2" s="40" t="s">
        <v>108</v>
      </c>
      <c r="F2" s="40" t="s">
        <v>29</v>
      </c>
      <c r="G2" s="41">
        <v>70000</v>
      </c>
      <c r="H2" s="40" t="s">
        <v>30</v>
      </c>
      <c r="I2" s="40" t="s">
        <v>32</v>
      </c>
      <c r="J2" s="42">
        <v>0.375</v>
      </c>
      <c r="K2" s="43">
        <v>0.37291666666666662</v>
      </c>
      <c r="L2" s="42">
        <v>0.25694444444444448</v>
      </c>
      <c r="M2" s="11">
        <f>L2</f>
        <v>0.25694444444444448</v>
      </c>
      <c r="N2" s="3" t="s">
        <v>131</v>
      </c>
      <c r="O2" s="3" t="s">
        <v>271</v>
      </c>
      <c r="P2" s="3">
        <v>74</v>
      </c>
      <c r="Q2" s="3">
        <v>242</v>
      </c>
      <c r="R2" s="40">
        <v>0</v>
      </c>
      <c r="S2" s="40">
        <v>0</v>
      </c>
      <c r="T2" s="40">
        <v>0</v>
      </c>
      <c r="U2" s="40">
        <v>0</v>
      </c>
    </row>
    <row r="3" spans="1:22" x14ac:dyDescent="0.25">
      <c r="A3" s="39">
        <v>44005</v>
      </c>
      <c r="B3" s="40" t="s">
        <v>24</v>
      </c>
      <c r="C3" s="40" t="s">
        <v>28</v>
      </c>
      <c r="D3" s="40" t="s">
        <v>23</v>
      </c>
      <c r="E3" s="40" t="s">
        <v>63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0.45</v>
      </c>
      <c r="L3" s="42">
        <v>0.28125</v>
      </c>
      <c r="M3" s="11">
        <v>0.27916666666666667</v>
      </c>
      <c r="N3" s="3" t="s">
        <v>270</v>
      </c>
      <c r="O3" s="3" t="s">
        <v>203</v>
      </c>
      <c r="P3" s="3">
        <v>695</v>
      </c>
      <c r="Q3" s="3">
        <v>246</v>
      </c>
      <c r="R3" s="40">
        <v>0</v>
      </c>
      <c r="S3" s="40">
        <v>0</v>
      </c>
      <c r="T3" s="40">
        <v>0</v>
      </c>
      <c r="U3" s="40">
        <v>0</v>
      </c>
    </row>
    <row r="4" spans="1:22" x14ac:dyDescent="0.25">
      <c r="A4" s="39">
        <v>44005</v>
      </c>
      <c r="B4" s="40" t="s">
        <v>24</v>
      </c>
      <c r="C4" s="40" t="s">
        <v>36</v>
      </c>
      <c r="D4" s="40" t="s">
        <v>23</v>
      </c>
      <c r="E4" s="40" t="s">
        <v>269</v>
      </c>
      <c r="F4" s="40" t="s">
        <v>29</v>
      </c>
      <c r="G4" s="41">
        <v>71500</v>
      </c>
      <c r="H4" s="40" t="s">
        <v>38</v>
      </c>
      <c r="I4" s="40" t="s">
        <v>40</v>
      </c>
      <c r="J4" s="42">
        <v>0.54166666666666663</v>
      </c>
      <c r="K4" s="11">
        <v>0.5395833333333333</v>
      </c>
      <c r="L4" s="42">
        <v>0.39583333333333331</v>
      </c>
      <c r="M4" s="11">
        <v>0.39861111111111108</v>
      </c>
      <c r="N4" s="3" t="s">
        <v>235</v>
      </c>
      <c r="O4" s="3" t="s">
        <v>272</v>
      </c>
      <c r="P4" s="3">
        <v>784</v>
      </c>
      <c r="Q4" s="3">
        <v>299</v>
      </c>
      <c r="R4" s="40">
        <v>0</v>
      </c>
      <c r="S4" s="40">
        <v>0</v>
      </c>
      <c r="T4" s="40">
        <v>0</v>
      </c>
      <c r="U4" s="40">
        <v>0</v>
      </c>
    </row>
    <row r="5" spans="1:22" x14ac:dyDescent="0.25">
      <c r="A5" s="39">
        <v>44005</v>
      </c>
      <c r="B5" s="40" t="s">
        <v>24</v>
      </c>
      <c r="C5" s="40" t="s">
        <v>37</v>
      </c>
      <c r="D5" s="40" t="s">
        <v>23</v>
      </c>
      <c r="E5" s="40" t="s">
        <v>63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6">
        <v>0.6958333333333333</v>
      </c>
      <c r="L5" s="42">
        <v>0.49652777777777773</v>
      </c>
      <c r="M5" s="11">
        <f>L5</f>
        <v>0.49652777777777773</v>
      </c>
      <c r="N5" s="3" t="s">
        <v>274</v>
      </c>
      <c r="O5" s="3" t="str">
        <f>O4</f>
        <v>65+0 INF</v>
      </c>
      <c r="P5" s="3">
        <v>938</v>
      </c>
      <c r="Q5" s="3">
        <v>507</v>
      </c>
      <c r="R5" s="40">
        <v>0</v>
      </c>
      <c r="S5" s="40">
        <v>0</v>
      </c>
      <c r="T5" s="40">
        <v>0</v>
      </c>
      <c r="U5" s="40">
        <v>0</v>
      </c>
    </row>
    <row r="6" spans="1:22" x14ac:dyDescent="0.25">
      <c r="A6" s="39">
        <v>44005</v>
      </c>
      <c r="B6" s="2" t="s">
        <v>24</v>
      </c>
      <c r="C6" s="2" t="s">
        <v>47</v>
      </c>
      <c r="D6" s="2" t="s">
        <v>23</v>
      </c>
      <c r="E6" s="5" t="s">
        <v>269</v>
      </c>
      <c r="F6" s="2" t="s">
        <v>29</v>
      </c>
      <c r="G6" s="41">
        <v>71500</v>
      </c>
      <c r="H6" s="2" t="s">
        <v>48</v>
      </c>
      <c r="I6" s="2" t="s">
        <v>49</v>
      </c>
      <c r="J6" s="12">
        <v>0.73958333333333337</v>
      </c>
      <c r="K6" s="11">
        <v>0.73402777777777783</v>
      </c>
      <c r="L6" s="12">
        <v>0.57291666666666663</v>
      </c>
      <c r="M6" s="11">
        <v>0.58124999999999993</v>
      </c>
      <c r="N6" s="3" t="s">
        <v>275</v>
      </c>
      <c r="O6" s="3" t="s">
        <v>273</v>
      </c>
      <c r="P6" s="3">
        <v>505</v>
      </c>
      <c r="Q6" s="3">
        <v>120</v>
      </c>
      <c r="R6" s="2">
        <v>0</v>
      </c>
      <c r="S6" s="2">
        <v>0</v>
      </c>
      <c r="T6" s="2">
        <v>0</v>
      </c>
      <c r="U6" s="2">
        <v>0</v>
      </c>
    </row>
    <row r="7" spans="1:22" x14ac:dyDescent="0.25">
      <c r="A7" s="39">
        <v>44005</v>
      </c>
      <c r="B7" s="2" t="s">
        <v>24</v>
      </c>
      <c r="C7" s="2" t="s">
        <v>53</v>
      </c>
      <c r="D7" s="2" t="s">
        <v>23</v>
      </c>
      <c r="E7" s="5" t="s">
        <v>63</v>
      </c>
      <c r="F7" s="2" t="s">
        <v>29</v>
      </c>
      <c r="G7" s="41">
        <v>70000</v>
      </c>
      <c r="H7" s="2" t="s">
        <v>54</v>
      </c>
      <c r="I7" s="2" t="s">
        <v>55</v>
      </c>
      <c r="J7" s="10">
        <v>0.94097222222222221</v>
      </c>
      <c r="K7" s="11">
        <v>0.92986111111111114</v>
      </c>
      <c r="L7" s="10">
        <v>0.72222222222222221</v>
      </c>
      <c r="M7" s="11">
        <v>0.72986111111111107</v>
      </c>
      <c r="N7" s="3" t="s">
        <v>278</v>
      </c>
      <c r="O7" s="3" t="s">
        <v>276</v>
      </c>
      <c r="P7" s="3">
        <v>409</v>
      </c>
      <c r="Q7" s="3">
        <v>185</v>
      </c>
      <c r="R7" s="2">
        <v>0</v>
      </c>
      <c r="S7" s="2">
        <v>0</v>
      </c>
      <c r="T7" s="2">
        <v>0</v>
      </c>
      <c r="U7" s="2">
        <v>0</v>
      </c>
    </row>
    <row r="8" spans="1:22" x14ac:dyDescent="0.25">
      <c r="A8" s="39">
        <v>44005</v>
      </c>
      <c r="B8" s="70" t="s">
        <v>24</v>
      </c>
      <c r="C8" s="70" t="s">
        <v>61</v>
      </c>
      <c r="D8" s="70" t="s">
        <v>23</v>
      </c>
      <c r="E8" s="71" t="s">
        <v>269</v>
      </c>
      <c r="F8" s="70" t="s">
        <v>29</v>
      </c>
      <c r="G8" s="41">
        <v>71500</v>
      </c>
      <c r="H8" s="70" t="s">
        <v>58</v>
      </c>
      <c r="I8" s="70" t="s">
        <v>59</v>
      </c>
      <c r="J8" s="85">
        <v>0.94444444444444453</v>
      </c>
      <c r="K8" s="11">
        <v>0.96666666666666667</v>
      </c>
      <c r="L8" s="85">
        <v>0.76388888888888884</v>
      </c>
      <c r="M8" s="11">
        <v>0.76666666666666661</v>
      </c>
      <c r="N8" s="3" t="s">
        <v>279</v>
      </c>
      <c r="O8" s="3" t="s">
        <v>277</v>
      </c>
      <c r="P8" s="3">
        <v>775</v>
      </c>
      <c r="Q8" s="3">
        <v>471</v>
      </c>
      <c r="R8" s="74">
        <v>0</v>
      </c>
      <c r="S8" s="74">
        <v>0</v>
      </c>
      <c r="T8" s="75">
        <v>0</v>
      </c>
      <c r="U8" s="75">
        <v>0</v>
      </c>
    </row>
    <row r="9" spans="1:22" s="83" customFormat="1" x14ac:dyDescent="0.25">
      <c r="A9" s="39"/>
      <c r="B9" s="2"/>
      <c r="C9" s="2"/>
      <c r="D9" s="2"/>
      <c r="F9" s="2"/>
      <c r="G9" s="41"/>
      <c r="H9" s="2"/>
      <c r="I9" s="2"/>
      <c r="J9" s="10"/>
      <c r="K9" s="11"/>
      <c r="L9" s="10"/>
      <c r="M9" s="11"/>
      <c r="N9" s="86"/>
      <c r="O9" s="3"/>
      <c r="P9" s="3"/>
      <c r="Q9" s="3"/>
      <c r="R9" s="74"/>
      <c r="S9" s="74"/>
      <c r="T9" s="84"/>
      <c r="U9" s="84"/>
    </row>
    <row r="10" spans="1:22" x14ac:dyDescent="0.25">
      <c r="A10" s="39"/>
      <c r="B10" s="2"/>
      <c r="C10" s="2"/>
      <c r="D10" s="2"/>
      <c r="E10" s="63"/>
      <c r="F10" s="2"/>
      <c r="G10" s="41"/>
      <c r="H10" s="2"/>
      <c r="I10" s="2"/>
      <c r="J10" s="10"/>
      <c r="K10" s="11"/>
      <c r="L10" s="10"/>
      <c r="M10" s="11"/>
      <c r="N10" s="63"/>
      <c r="O10" s="3"/>
      <c r="P10" s="63"/>
      <c r="Q10" s="63"/>
      <c r="R10" s="63"/>
      <c r="S10" s="63"/>
      <c r="T10" s="63"/>
      <c r="U10" s="63"/>
      <c r="V10" s="6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A7" sqref="A7"/>
    </sheetView>
  </sheetViews>
  <sheetFormatPr defaultRowHeight="15" x14ac:dyDescent="0.25"/>
  <cols>
    <col min="3" max="3" width="13.5703125" bestFit="1" customWidth="1"/>
    <col min="6" max="6" width="14.42578125" bestFit="1" customWidth="1"/>
    <col min="7" max="7" width="9.7109375" bestFit="1" customWidth="1"/>
    <col min="10" max="10" width="11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4">
        <v>44006</v>
      </c>
      <c r="B2" s="40" t="s">
        <v>24</v>
      </c>
      <c r="C2" s="5" t="s">
        <v>66</v>
      </c>
      <c r="D2" s="14" t="s">
        <v>23</v>
      </c>
      <c r="E2" s="5" t="s">
        <v>63</v>
      </c>
      <c r="F2" s="40" t="s">
        <v>29</v>
      </c>
      <c r="G2" s="60">
        <v>70000</v>
      </c>
      <c r="H2" s="5" t="s">
        <v>74</v>
      </c>
      <c r="I2" s="5" t="s">
        <v>75</v>
      </c>
      <c r="J2" s="7">
        <v>0.46180555555555558</v>
      </c>
      <c r="K2" s="11">
        <v>0.45277777777777778</v>
      </c>
      <c r="L2" s="7">
        <v>0.26041666666666669</v>
      </c>
      <c r="M2" s="11">
        <v>0.25972222222222224</v>
      </c>
      <c r="N2" s="3" t="s">
        <v>283</v>
      </c>
      <c r="O2" s="3" t="s">
        <v>280</v>
      </c>
      <c r="P2" s="3">
        <v>1058</v>
      </c>
      <c r="Q2" s="3">
        <v>175</v>
      </c>
      <c r="R2" s="5">
        <v>0</v>
      </c>
      <c r="S2" s="5">
        <v>0</v>
      </c>
      <c r="T2" s="5">
        <v>0</v>
      </c>
      <c r="U2" s="5">
        <v>0</v>
      </c>
    </row>
    <row r="3" spans="1:22" x14ac:dyDescent="0.25">
      <c r="A3" s="4">
        <v>44006</v>
      </c>
      <c r="B3" s="40" t="s">
        <v>24</v>
      </c>
      <c r="C3" s="2" t="s">
        <v>67</v>
      </c>
      <c r="D3" s="14" t="s">
        <v>23</v>
      </c>
      <c r="E3" s="14" t="s">
        <v>269</v>
      </c>
      <c r="F3" s="40" t="s">
        <v>29</v>
      </c>
      <c r="G3" s="60">
        <v>71500</v>
      </c>
      <c r="H3" s="5" t="s">
        <v>76</v>
      </c>
      <c r="I3" s="5" t="s">
        <v>77</v>
      </c>
      <c r="J3" s="10">
        <v>0.47569444444444442</v>
      </c>
      <c r="K3" s="11">
        <v>0.46597222222222223</v>
      </c>
      <c r="L3" s="10">
        <v>0.27430555555555552</v>
      </c>
      <c r="M3" s="11">
        <v>0.27708333333333335</v>
      </c>
      <c r="N3" s="3" t="s">
        <v>284</v>
      </c>
      <c r="O3" s="3" t="s">
        <v>281</v>
      </c>
      <c r="P3" s="3">
        <v>697</v>
      </c>
      <c r="Q3" s="3">
        <v>411</v>
      </c>
      <c r="R3" s="2">
        <v>0</v>
      </c>
      <c r="S3" s="2">
        <v>0</v>
      </c>
      <c r="T3" s="2">
        <v>0</v>
      </c>
      <c r="U3" s="2">
        <v>0</v>
      </c>
    </row>
    <row r="4" spans="1:22" x14ac:dyDescent="0.25">
      <c r="A4" s="4">
        <v>44006</v>
      </c>
      <c r="B4" s="40" t="s">
        <v>24</v>
      </c>
      <c r="C4" s="2" t="s">
        <v>69</v>
      </c>
      <c r="D4" s="14" t="s">
        <v>23</v>
      </c>
      <c r="E4" s="5" t="s">
        <v>63</v>
      </c>
      <c r="F4" s="40" t="s">
        <v>29</v>
      </c>
      <c r="G4" s="60">
        <v>70000</v>
      </c>
      <c r="H4" s="2" t="s">
        <v>79</v>
      </c>
      <c r="I4" s="2" t="s">
        <v>80</v>
      </c>
      <c r="J4" s="12">
        <v>0.72569444444444453</v>
      </c>
      <c r="K4" s="11">
        <v>0.72222222222222221</v>
      </c>
      <c r="L4" s="12">
        <v>0.5</v>
      </c>
      <c r="M4" s="11">
        <v>0.50069444444444444</v>
      </c>
      <c r="N4" s="3" t="s">
        <v>286</v>
      </c>
      <c r="O4" s="3" t="s">
        <v>282</v>
      </c>
      <c r="P4" s="3">
        <v>1272</v>
      </c>
      <c r="Q4" s="3">
        <v>453</v>
      </c>
      <c r="R4" s="2">
        <v>0</v>
      </c>
      <c r="S4" s="2">
        <v>0</v>
      </c>
      <c r="T4" s="2">
        <v>0</v>
      </c>
      <c r="U4" s="2">
        <v>0</v>
      </c>
    </row>
    <row r="5" spans="1:22" x14ac:dyDescent="0.25">
      <c r="A5" s="4">
        <v>44006</v>
      </c>
      <c r="B5" s="40" t="s">
        <v>24</v>
      </c>
      <c r="C5" s="2" t="s">
        <v>70</v>
      </c>
      <c r="D5" s="14" t="s">
        <v>23</v>
      </c>
      <c r="E5" s="5" t="s">
        <v>269</v>
      </c>
      <c r="F5" s="40" t="s">
        <v>29</v>
      </c>
      <c r="G5" s="60" t="s">
        <v>285</v>
      </c>
      <c r="H5" s="2" t="s">
        <v>81</v>
      </c>
      <c r="I5" s="2" t="s">
        <v>82</v>
      </c>
      <c r="J5" s="12">
        <v>0.75</v>
      </c>
      <c r="K5" s="11">
        <v>0.75902777777777775</v>
      </c>
      <c r="L5" s="12">
        <v>0.51388888888888895</v>
      </c>
      <c r="M5" s="11">
        <v>0.53611111111111109</v>
      </c>
      <c r="N5" s="3" t="s">
        <v>287</v>
      </c>
      <c r="O5" s="3" t="s">
        <v>125</v>
      </c>
      <c r="P5" s="3">
        <v>1150</v>
      </c>
      <c r="Q5" s="3">
        <v>352</v>
      </c>
      <c r="R5" s="2">
        <v>0</v>
      </c>
      <c r="S5" s="2">
        <v>0</v>
      </c>
      <c r="T5" s="2">
        <v>0</v>
      </c>
      <c r="U5" s="2">
        <v>0</v>
      </c>
      <c r="V5" s="3"/>
    </row>
    <row r="6" spans="1:22" s="3" customFormat="1" x14ac:dyDescent="0.25">
      <c r="A6" s="4">
        <v>44006</v>
      </c>
      <c r="B6" s="40" t="s">
        <v>24</v>
      </c>
      <c r="C6" s="2" t="s">
        <v>71</v>
      </c>
      <c r="D6" s="14" t="s">
        <v>23</v>
      </c>
      <c r="E6" s="5" t="s">
        <v>63</v>
      </c>
      <c r="F6" s="40" t="s">
        <v>29</v>
      </c>
      <c r="G6" s="60">
        <v>70000</v>
      </c>
      <c r="H6" s="2" t="s">
        <v>83</v>
      </c>
      <c r="I6" s="2" t="s">
        <v>84</v>
      </c>
      <c r="J6" s="10">
        <v>0.9375</v>
      </c>
      <c r="K6" s="11">
        <v>0.92569444444444438</v>
      </c>
      <c r="L6" s="10">
        <v>0.74652777777777779</v>
      </c>
      <c r="M6" s="11">
        <v>0.75277777777777777</v>
      </c>
      <c r="N6" s="3" t="s">
        <v>290</v>
      </c>
      <c r="O6" s="3" t="s">
        <v>288</v>
      </c>
      <c r="P6" s="3">
        <v>829</v>
      </c>
      <c r="Q6" s="3">
        <v>212</v>
      </c>
      <c r="R6" s="2">
        <v>0</v>
      </c>
      <c r="S6" s="2">
        <v>0</v>
      </c>
      <c r="T6" s="2">
        <v>0</v>
      </c>
      <c r="U6" s="2">
        <v>0</v>
      </c>
      <c r="V6"/>
    </row>
    <row r="7" spans="1:22" x14ac:dyDescent="0.25">
      <c r="A7" s="4">
        <v>44006</v>
      </c>
      <c r="B7" s="40" t="s">
        <v>24</v>
      </c>
      <c r="C7" s="2" t="s">
        <v>72</v>
      </c>
      <c r="D7" s="14" t="s">
        <v>23</v>
      </c>
      <c r="E7" s="5" t="s">
        <v>269</v>
      </c>
      <c r="F7" s="40" t="s">
        <v>29</v>
      </c>
      <c r="G7" s="60">
        <v>71500</v>
      </c>
      <c r="H7" s="2" t="s">
        <v>85</v>
      </c>
      <c r="I7" s="2" t="s">
        <v>86</v>
      </c>
      <c r="J7" s="10">
        <v>0.94097222222222221</v>
      </c>
      <c r="K7" s="11">
        <v>0.95694444444444438</v>
      </c>
      <c r="L7" s="10">
        <v>0.77083333333333337</v>
      </c>
      <c r="M7" s="11">
        <v>0.79583333333333339</v>
      </c>
      <c r="N7" s="3" t="s">
        <v>291</v>
      </c>
      <c r="O7" s="3" t="s">
        <v>289</v>
      </c>
      <c r="P7" s="3">
        <v>709</v>
      </c>
      <c r="Q7" s="3">
        <v>569</v>
      </c>
      <c r="R7" s="2">
        <v>0</v>
      </c>
      <c r="S7" s="2">
        <v>0</v>
      </c>
      <c r="T7" s="2">
        <v>0</v>
      </c>
      <c r="U7" s="2">
        <v>0</v>
      </c>
    </row>
    <row r="8" spans="1:22" x14ac:dyDescent="0.25">
      <c r="J8" s="3"/>
      <c r="K8" s="3"/>
      <c r="L8" s="3"/>
      <c r="M8" s="3"/>
      <c r="N8" s="3"/>
      <c r="O8" s="3"/>
      <c r="P8" s="3"/>
      <c r="Q8" s="3"/>
      <c r="R8" s="3"/>
      <c r="S8" s="3"/>
    </row>
    <row r="9" spans="1:22" x14ac:dyDescent="0.25">
      <c r="V9" s="63"/>
    </row>
    <row r="10" spans="1:22" s="63" customForma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opLeftCell="B1" workbookViewId="0">
      <selection activeCell="B1" sqref="A1:XFD1048576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x14ac:dyDescent="0.25">
      <c r="A2" s="4"/>
      <c r="B2" s="5"/>
      <c r="C2" s="5"/>
      <c r="D2" s="5"/>
      <c r="E2" s="5"/>
      <c r="F2" s="5"/>
      <c r="G2" s="6"/>
      <c r="H2" s="5"/>
      <c r="I2" s="5"/>
      <c r="J2" s="7"/>
      <c r="K2" s="8"/>
      <c r="L2" s="7"/>
      <c r="M2" s="8"/>
      <c r="N2" s="2"/>
      <c r="O2" s="9"/>
      <c r="P2" s="9"/>
      <c r="Q2" s="9"/>
      <c r="R2" s="5"/>
      <c r="S2" s="5"/>
      <c r="T2" s="5"/>
      <c r="U2" s="5"/>
    </row>
    <row r="3" spans="1:21" x14ac:dyDescent="0.25">
      <c r="A3" s="4"/>
      <c r="B3" s="5"/>
      <c r="C3" s="5"/>
      <c r="D3" s="5"/>
      <c r="E3" s="5"/>
      <c r="F3" s="5"/>
      <c r="G3" s="6"/>
      <c r="H3" s="5"/>
      <c r="I3" s="5"/>
      <c r="J3" s="7"/>
      <c r="K3" s="8"/>
      <c r="L3" s="7"/>
      <c r="M3" s="8"/>
      <c r="N3" s="2"/>
      <c r="O3" s="9"/>
      <c r="P3" s="3"/>
      <c r="Q3" s="9"/>
      <c r="R3" s="5"/>
      <c r="S3" s="5"/>
      <c r="T3" s="5"/>
      <c r="U3" s="5"/>
    </row>
    <row r="4" spans="1:21" x14ac:dyDescent="0.25">
      <c r="A4" s="4"/>
      <c r="B4" s="2"/>
      <c r="C4" s="2"/>
      <c r="D4" s="2"/>
      <c r="E4" s="5"/>
      <c r="F4" s="2"/>
      <c r="G4" s="6"/>
      <c r="H4" s="5"/>
      <c r="I4" s="5"/>
      <c r="J4" s="10"/>
      <c r="K4" s="1"/>
      <c r="L4" s="10"/>
      <c r="M4" s="11"/>
      <c r="N4" s="2"/>
      <c r="O4" s="34"/>
      <c r="P4" s="5"/>
      <c r="Q4" s="9"/>
      <c r="R4" s="2"/>
      <c r="S4" s="2"/>
      <c r="T4" s="2"/>
      <c r="U4" s="2"/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K4" sqref="K4"/>
    </sheetView>
  </sheetViews>
  <sheetFormatPr defaultRowHeight="15" x14ac:dyDescent="0.25"/>
  <cols>
    <col min="2" max="2" width="14.7109375" bestFit="1" customWidth="1"/>
    <col min="3" max="3" width="15.85546875" customWidth="1"/>
    <col min="6" max="6" width="12.140625" bestFit="1" customWidth="1"/>
    <col min="14" max="15" width="18.42578125" bestFit="1" customWidth="1"/>
  </cols>
  <sheetData>
    <row r="1" spans="1:22" s="15" customFormat="1" ht="12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2" x14ac:dyDescent="0.25">
      <c r="A2" s="4">
        <v>44008</v>
      </c>
      <c r="B2" s="23" t="s">
        <v>24</v>
      </c>
      <c r="C2" s="23" t="s">
        <v>67</v>
      </c>
      <c r="D2" s="23" t="s">
        <v>23</v>
      </c>
      <c r="E2" s="23" t="s">
        <v>63</v>
      </c>
      <c r="F2" s="23" t="s">
        <v>29</v>
      </c>
      <c r="G2" s="24">
        <v>70000</v>
      </c>
      <c r="H2" s="23" t="s">
        <v>76</v>
      </c>
      <c r="I2" s="23" t="s">
        <v>77</v>
      </c>
      <c r="J2" s="29">
        <v>0.47569444444444442</v>
      </c>
      <c r="K2" s="30">
        <v>0.46736111111111112</v>
      </c>
      <c r="L2" s="29">
        <v>0.27430555555555552</v>
      </c>
      <c r="M2" s="30">
        <f>L2</f>
        <v>0.27430555555555552</v>
      </c>
      <c r="N2" s="30" t="s">
        <v>292</v>
      </c>
      <c r="O2" s="30" t="s">
        <v>293</v>
      </c>
      <c r="P2" s="27">
        <v>802</v>
      </c>
      <c r="Q2" s="27">
        <v>416</v>
      </c>
      <c r="R2" s="23">
        <v>0</v>
      </c>
      <c r="S2" s="23">
        <v>0</v>
      </c>
      <c r="T2" s="23">
        <v>0</v>
      </c>
      <c r="U2" s="23">
        <v>0</v>
      </c>
      <c r="V2" s="17"/>
    </row>
    <row r="3" spans="1:22" x14ac:dyDescent="0.25">
      <c r="A3" s="4">
        <f>A2</f>
        <v>44008</v>
      </c>
      <c r="B3" s="23" t="s">
        <v>24</v>
      </c>
      <c r="C3" s="23" t="s">
        <v>107</v>
      </c>
      <c r="D3" s="23" t="s">
        <v>23</v>
      </c>
      <c r="E3" s="23" t="s">
        <v>269</v>
      </c>
      <c r="F3" s="23" t="s">
        <v>29</v>
      </c>
      <c r="G3" s="24">
        <v>71500</v>
      </c>
      <c r="H3" s="23" t="s">
        <v>110</v>
      </c>
      <c r="I3" s="23" t="s">
        <v>109</v>
      </c>
      <c r="J3" s="29">
        <v>0.89930555555555547</v>
      </c>
      <c r="K3" s="30">
        <v>0.89236111111111116</v>
      </c>
      <c r="L3" s="29">
        <v>0.75</v>
      </c>
      <c r="M3" s="30">
        <v>0.75555555555555554</v>
      </c>
      <c r="N3" s="30" t="s">
        <v>299</v>
      </c>
      <c r="O3" s="30" t="s">
        <v>301</v>
      </c>
      <c r="P3" s="27">
        <v>303</v>
      </c>
      <c r="Q3" s="27">
        <v>335</v>
      </c>
      <c r="R3" s="23">
        <v>0</v>
      </c>
      <c r="S3" s="23">
        <v>0</v>
      </c>
      <c r="T3" s="23">
        <v>0</v>
      </c>
      <c r="U3" s="23">
        <v>0</v>
      </c>
      <c r="V3" s="17"/>
    </row>
    <row r="4" spans="1:22" x14ac:dyDescent="0.25">
      <c r="A4" s="4">
        <f>A3</f>
        <v>44008</v>
      </c>
      <c r="B4" s="23" t="s">
        <v>24</v>
      </c>
      <c r="C4" s="18" t="s">
        <v>72</v>
      </c>
      <c r="D4" s="23" t="s">
        <v>23</v>
      </c>
      <c r="E4" s="18" t="s">
        <v>63</v>
      </c>
      <c r="F4" s="23" t="s">
        <v>29</v>
      </c>
      <c r="G4" s="19">
        <v>70000</v>
      </c>
      <c r="H4" s="23" t="s">
        <v>85</v>
      </c>
      <c r="I4" s="18" t="s">
        <v>86</v>
      </c>
      <c r="J4" s="20">
        <v>0.94097222222222221</v>
      </c>
      <c r="K4" s="1">
        <v>0.93194444444444446</v>
      </c>
      <c r="L4" s="20">
        <v>0.77083333333333337</v>
      </c>
      <c r="M4" s="21">
        <v>0.77916666666666667</v>
      </c>
      <c r="N4" s="2" t="s">
        <v>300</v>
      </c>
      <c r="O4" s="22" t="s">
        <v>302</v>
      </c>
      <c r="P4" s="22">
        <v>876</v>
      </c>
      <c r="Q4" s="22">
        <v>649</v>
      </c>
      <c r="R4" s="23">
        <v>0</v>
      </c>
      <c r="S4" s="23">
        <v>0</v>
      </c>
      <c r="T4" s="23">
        <v>0</v>
      </c>
      <c r="U4" s="23">
        <v>0</v>
      </c>
      <c r="V4" s="17"/>
    </row>
    <row r="5" spans="1:22" x14ac:dyDescent="0.25">
      <c r="A5" s="4">
        <f>A4</f>
        <v>44008</v>
      </c>
      <c r="B5" s="2" t="s">
        <v>294</v>
      </c>
      <c r="C5" s="2" t="s">
        <v>295</v>
      </c>
      <c r="D5" s="2" t="s">
        <v>296</v>
      </c>
      <c r="E5" s="23" t="s">
        <v>297</v>
      </c>
      <c r="F5" s="2" t="s">
        <v>213</v>
      </c>
      <c r="G5" s="24">
        <v>21863</v>
      </c>
      <c r="H5" s="2" t="s">
        <v>298</v>
      </c>
      <c r="I5" s="2" t="str">
        <f>H5</f>
        <v>IFA1263</v>
      </c>
      <c r="J5" s="25">
        <v>0.36805555555555558</v>
      </c>
      <c r="K5" s="26">
        <v>0.4861111111111111</v>
      </c>
      <c r="L5" s="25">
        <v>0.40972222222222227</v>
      </c>
      <c r="M5" s="26">
        <v>0.52361111111111114</v>
      </c>
      <c r="N5" s="87">
        <v>1</v>
      </c>
      <c r="O5" s="27">
        <v>0</v>
      </c>
      <c r="P5" s="23">
        <v>0</v>
      </c>
      <c r="Q5" s="27">
        <v>0</v>
      </c>
      <c r="R5" s="2">
        <v>0</v>
      </c>
      <c r="S5" s="2">
        <v>0</v>
      </c>
      <c r="T5" s="2">
        <v>0</v>
      </c>
      <c r="U5" s="2">
        <v>0</v>
      </c>
      <c r="V5" s="17"/>
    </row>
    <row r="6" spans="1:22" x14ac:dyDescent="0.25">
      <c r="A6" s="4"/>
      <c r="B6" s="26"/>
      <c r="C6" s="26"/>
      <c r="D6" s="26"/>
      <c r="E6" s="26"/>
      <c r="F6" s="26"/>
      <c r="G6" s="24"/>
      <c r="H6" s="26"/>
      <c r="I6" s="26"/>
      <c r="J6" s="26"/>
      <c r="K6" s="26"/>
      <c r="L6" s="26"/>
      <c r="M6" s="26"/>
      <c r="N6" s="23"/>
      <c r="O6" s="23"/>
      <c r="P6" s="23"/>
      <c r="Q6" s="23"/>
      <c r="R6" s="23"/>
      <c r="S6" s="23"/>
      <c r="T6" s="2"/>
      <c r="U6" s="2"/>
      <c r="V6" s="26"/>
    </row>
    <row r="7" spans="1:22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E17" sqref="E17"/>
    </sheetView>
  </sheetViews>
  <sheetFormatPr defaultRowHeight="15" x14ac:dyDescent="0.25"/>
  <cols>
    <col min="1" max="1" width="9.140625" bestFit="1" customWidth="1"/>
    <col min="2" max="2" width="13.28515625" bestFit="1" customWidth="1"/>
    <col min="3" max="3" width="13.5703125" bestFit="1" customWidth="1"/>
    <col min="4" max="4" width="5.7109375" bestFit="1" customWidth="1"/>
    <col min="6" max="6" width="12.140625" bestFit="1" customWidth="1"/>
    <col min="7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2" x14ac:dyDescent="0.25">
      <c r="A2" s="39" t="s">
        <v>313</v>
      </c>
      <c r="B2" s="40" t="s">
        <v>24</v>
      </c>
      <c r="C2" s="40" t="s">
        <v>27</v>
      </c>
      <c r="D2" s="40" t="s">
        <v>23</v>
      </c>
      <c r="E2" s="40" t="str">
        <f>E4</f>
        <v>HALWQ</v>
      </c>
      <c r="F2" s="40" t="s">
        <v>29</v>
      </c>
      <c r="G2" s="41">
        <f>G4</f>
        <v>71500</v>
      </c>
      <c r="H2" s="40" t="s">
        <v>30</v>
      </c>
      <c r="I2" s="40" t="s">
        <v>32</v>
      </c>
      <c r="J2" s="42">
        <v>0.375</v>
      </c>
      <c r="K2" s="43">
        <v>0.3756944444444445</v>
      </c>
      <c r="L2" s="42">
        <v>0.25694444444444448</v>
      </c>
      <c r="M2" s="11">
        <v>0.2673611111111111</v>
      </c>
      <c r="N2" s="3" t="s">
        <v>303</v>
      </c>
      <c r="O2" s="3" t="s">
        <v>280</v>
      </c>
      <c r="P2" s="3">
        <v>474</v>
      </c>
      <c r="Q2" s="3">
        <v>198</v>
      </c>
      <c r="R2" s="40">
        <v>0</v>
      </c>
      <c r="S2" s="40">
        <v>0</v>
      </c>
      <c r="T2" s="40">
        <v>0</v>
      </c>
      <c r="U2" s="40">
        <v>0</v>
      </c>
    </row>
    <row r="3" spans="1:22" x14ac:dyDescent="0.25">
      <c r="A3" s="39" t="str">
        <f t="shared" ref="A3:A8" si="0">A2</f>
        <v>.6.2020</v>
      </c>
      <c r="B3" s="40" t="s">
        <v>24</v>
      </c>
      <c r="C3" s="40" t="s">
        <v>28</v>
      </c>
      <c r="D3" s="40" t="s">
        <v>23</v>
      </c>
      <c r="E3" s="40" t="s">
        <v>63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f>J3</f>
        <v>0.4548611111111111</v>
      </c>
      <c r="L3" s="42">
        <v>0.28125</v>
      </c>
      <c r="M3" s="11">
        <v>0.28611111111111115</v>
      </c>
      <c r="N3" s="3" t="s">
        <v>304</v>
      </c>
      <c r="O3" s="3" t="s">
        <v>305</v>
      </c>
      <c r="P3" s="3">
        <v>1143</v>
      </c>
      <c r="Q3" s="3">
        <v>270</v>
      </c>
      <c r="R3" s="40">
        <v>0</v>
      </c>
      <c r="S3" s="40">
        <v>0</v>
      </c>
      <c r="T3" s="40">
        <v>0</v>
      </c>
      <c r="U3" s="40">
        <v>0</v>
      </c>
    </row>
    <row r="4" spans="1:22" x14ac:dyDescent="0.25">
      <c r="A4" s="39" t="str">
        <f t="shared" si="0"/>
        <v>.6.2020</v>
      </c>
      <c r="B4" s="40" t="s">
        <v>24</v>
      </c>
      <c r="C4" s="40" t="s">
        <v>36</v>
      </c>
      <c r="D4" s="40" t="s">
        <v>23</v>
      </c>
      <c r="E4" s="40" t="s">
        <v>269</v>
      </c>
      <c r="F4" s="40" t="s">
        <v>29</v>
      </c>
      <c r="G4" s="41">
        <v>71500</v>
      </c>
      <c r="H4" s="40" t="s">
        <v>38</v>
      </c>
      <c r="I4" s="40" t="s">
        <v>40</v>
      </c>
      <c r="J4" s="42">
        <v>0.54166666666666663</v>
      </c>
      <c r="K4" s="11">
        <v>0.55069444444444449</v>
      </c>
      <c r="L4" s="42">
        <v>0.39583333333333331</v>
      </c>
      <c r="M4" s="11">
        <v>0.4069444444444445</v>
      </c>
      <c r="N4" s="3" t="s">
        <v>306</v>
      </c>
      <c r="O4" s="3" t="s">
        <v>307</v>
      </c>
      <c r="P4" s="3">
        <v>1316</v>
      </c>
      <c r="Q4" s="3">
        <v>544</v>
      </c>
      <c r="R4" s="40">
        <v>0</v>
      </c>
      <c r="S4" s="40">
        <v>0</v>
      </c>
      <c r="T4" s="40">
        <v>0</v>
      </c>
      <c r="U4" s="40">
        <v>0</v>
      </c>
    </row>
    <row r="5" spans="1:22" x14ac:dyDescent="0.25">
      <c r="A5" s="39" t="str">
        <f t="shared" si="0"/>
        <v>.6.2020</v>
      </c>
      <c r="B5" s="40" t="s">
        <v>24</v>
      </c>
      <c r="C5" s="40" t="s">
        <v>37</v>
      </c>
      <c r="D5" s="40" t="s">
        <v>23</v>
      </c>
      <c r="E5" s="40" t="s">
        <v>63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6">
        <v>0.70624999999999993</v>
      </c>
      <c r="L5" s="42">
        <v>0.49652777777777773</v>
      </c>
      <c r="M5" s="11">
        <v>0.51458333333333328</v>
      </c>
      <c r="N5" s="3" t="s">
        <v>308</v>
      </c>
      <c r="O5" s="3" t="s">
        <v>197</v>
      </c>
      <c r="P5" s="3">
        <v>658</v>
      </c>
      <c r="Q5" s="3">
        <v>333</v>
      </c>
      <c r="R5" s="40">
        <v>0</v>
      </c>
      <c r="S5" s="40">
        <v>0</v>
      </c>
      <c r="T5" s="40">
        <v>0</v>
      </c>
      <c r="U5" s="40">
        <v>0</v>
      </c>
    </row>
    <row r="6" spans="1:22" x14ac:dyDescent="0.25">
      <c r="A6" s="39" t="str">
        <f t="shared" si="0"/>
        <v>.6.2020</v>
      </c>
      <c r="B6" s="2" t="s">
        <v>24</v>
      </c>
      <c r="C6" s="2" t="s">
        <v>47</v>
      </c>
      <c r="D6" s="2" t="s">
        <v>23</v>
      </c>
      <c r="E6" s="5" t="s">
        <v>269</v>
      </c>
      <c r="F6" s="2" t="s">
        <v>29</v>
      </c>
      <c r="G6" s="41">
        <v>71500</v>
      </c>
      <c r="H6" s="2" t="s">
        <v>48</v>
      </c>
      <c r="I6" s="2" t="s">
        <v>49</v>
      </c>
      <c r="J6" s="12">
        <v>0.73958333333333337</v>
      </c>
      <c r="K6" s="11">
        <v>0.7583333333333333</v>
      </c>
      <c r="L6" s="12">
        <v>0.57291666666666663</v>
      </c>
      <c r="M6" s="11">
        <v>0.58888888888888891</v>
      </c>
      <c r="N6" s="3" t="s">
        <v>309</v>
      </c>
      <c r="O6" s="3" t="s">
        <v>186</v>
      </c>
      <c r="P6" s="3">
        <v>245</v>
      </c>
      <c r="Q6" s="3">
        <v>308</v>
      </c>
      <c r="R6" s="2">
        <v>0</v>
      </c>
      <c r="S6" s="2">
        <v>0</v>
      </c>
      <c r="T6" s="2">
        <v>0</v>
      </c>
      <c r="U6" s="2">
        <v>0</v>
      </c>
    </row>
    <row r="7" spans="1:22" x14ac:dyDescent="0.25">
      <c r="A7" s="39" t="str">
        <f t="shared" si="0"/>
        <v>.6.2020</v>
      </c>
      <c r="B7" s="2" t="s">
        <v>24</v>
      </c>
      <c r="C7" s="2" t="s">
        <v>53</v>
      </c>
      <c r="D7" s="2" t="s">
        <v>23</v>
      </c>
      <c r="E7" s="5" t="s">
        <v>63</v>
      </c>
      <c r="F7" s="2" t="s">
        <v>29</v>
      </c>
      <c r="G7" s="41">
        <v>70000</v>
      </c>
      <c r="H7" s="2" t="s">
        <v>54</v>
      </c>
      <c r="I7" s="2" t="s">
        <v>55</v>
      </c>
      <c r="J7" s="10">
        <v>0.94097222222222221</v>
      </c>
      <c r="K7" s="11">
        <v>0.94374999999999998</v>
      </c>
      <c r="L7" s="10">
        <v>0.72222222222222221</v>
      </c>
      <c r="M7" s="11">
        <v>0.73888888888888893</v>
      </c>
      <c r="N7" s="3" t="s">
        <v>311</v>
      </c>
      <c r="O7" s="3" t="s">
        <v>174</v>
      </c>
      <c r="P7" s="3">
        <v>551</v>
      </c>
      <c r="Q7" s="3">
        <v>292</v>
      </c>
      <c r="R7" s="2">
        <v>0</v>
      </c>
      <c r="S7" s="2">
        <v>0</v>
      </c>
      <c r="T7" s="2">
        <v>0</v>
      </c>
      <c r="U7" s="2">
        <v>0</v>
      </c>
    </row>
    <row r="8" spans="1:22" x14ac:dyDescent="0.25">
      <c r="A8" s="39" t="str">
        <f t="shared" si="0"/>
        <v>.6.2020</v>
      </c>
      <c r="B8" s="70" t="s">
        <v>24</v>
      </c>
      <c r="C8" s="70" t="s">
        <v>61</v>
      </c>
      <c r="D8" s="70" t="s">
        <v>23</v>
      </c>
      <c r="E8" s="71" t="s">
        <v>269</v>
      </c>
      <c r="F8" s="70" t="s">
        <v>29</v>
      </c>
      <c r="G8" s="41">
        <v>71500</v>
      </c>
      <c r="H8" s="70" t="s">
        <v>58</v>
      </c>
      <c r="I8" s="70" t="s">
        <v>59</v>
      </c>
      <c r="J8" s="85">
        <v>0.94444444444444453</v>
      </c>
      <c r="K8" s="11">
        <v>0.95208333333333339</v>
      </c>
      <c r="L8" s="85">
        <v>0.76388888888888884</v>
      </c>
      <c r="M8" s="11">
        <v>0.78749999999999998</v>
      </c>
      <c r="N8" s="3" t="s">
        <v>312</v>
      </c>
      <c r="O8" s="3" t="s">
        <v>310</v>
      </c>
      <c r="P8" s="3">
        <v>721</v>
      </c>
      <c r="Q8" s="3">
        <v>277</v>
      </c>
      <c r="R8" s="74">
        <v>0</v>
      </c>
      <c r="S8" s="74">
        <v>0</v>
      </c>
      <c r="T8" s="75">
        <v>0</v>
      </c>
      <c r="U8" s="75">
        <v>0</v>
      </c>
    </row>
    <row r="9" spans="1:22" s="83" customFormat="1" x14ac:dyDescent="0.25">
      <c r="A9" s="39"/>
      <c r="B9" s="2"/>
      <c r="C9" s="2"/>
      <c r="D9" s="2"/>
      <c r="F9" s="2"/>
      <c r="G9" s="41"/>
      <c r="H9" s="2"/>
      <c r="I9" s="2"/>
      <c r="J9" s="10"/>
      <c r="K9" s="11"/>
      <c r="L9" s="10"/>
      <c r="M9" s="11"/>
      <c r="N9" s="86"/>
      <c r="O9" s="3"/>
      <c r="P9" s="3"/>
      <c r="Q9" s="3"/>
      <c r="R9" s="74"/>
      <c r="S9" s="74"/>
      <c r="T9" s="84"/>
      <c r="U9" s="84"/>
    </row>
    <row r="10" spans="1:22" x14ac:dyDescent="0.25">
      <c r="A10" s="39"/>
      <c r="B10" s="2"/>
      <c r="C10" s="2"/>
      <c r="D10" s="2"/>
      <c r="E10" s="63"/>
      <c r="F10" s="2"/>
      <c r="G10" s="41"/>
      <c r="H10" s="2"/>
      <c r="I10" s="2"/>
      <c r="J10" s="10"/>
      <c r="K10" s="11"/>
      <c r="L10" s="10"/>
      <c r="M10" s="11"/>
      <c r="N10" s="63"/>
      <c r="O10" s="3"/>
      <c r="P10" s="63"/>
      <c r="Q10" s="63"/>
      <c r="R10" s="63"/>
      <c r="S10" s="63"/>
      <c r="T10" s="63"/>
      <c r="U10" s="63"/>
      <c r="V10" s="63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J6" sqref="J6"/>
    </sheetView>
  </sheetViews>
  <sheetFormatPr defaultRowHeight="15" x14ac:dyDescent="0.25"/>
  <cols>
    <col min="3" max="3" width="13.5703125" bestFit="1" customWidth="1"/>
    <col min="6" max="6" width="12.140625" bestFit="1" customWidth="1"/>
    <col min="7" max="7" width="9.7109375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pans="1:21" x14ac:dyDescent="0.25">
      <c r="A2" s="4">
        <v>44010</v>
      </c>
      <c r="B2" s="5" t="s">
        <v>24</v>
      </c>
      <c r="C2" s="5" t="s">
        <v>66</v>
      </c>
      <c r="D2" s="3" t="s">
        <v>23</v>
      </c>
      <c r="E2" s="5" t="s">
        <v>63</v>
      </c>
      <c r="F2" s="40" t="s">
        <v>29</v>
      </c>
      <c r="G2" s="41">
        <v>70000</v>
      </c>
      <c r="H2" s="5" t="s">
        <v>74</v>
      </c>
      <c r="I2" s="5" t="s">
        <v>75</v>
      </c>
      <c r="J2" s="7">
        <v>0.46180555555555558</v>
      </c>
      <c r="K2" s="11">
        <v>0.46180555555555558</v>
      </c>
      <c r="L2" s="7">
        <v>0.26041666666666669</v>
      </c>
      <c r="M2" s="11">
        <v>0.26527777777777778</v>
      </c>
      <c r="N2" s="3" t="s">
        <v>316</v>
      </c>
      <c r="O2" s="3">
        <v>73</v>
      </c>
      <c r="P2" s="3">
        <v>1264</v>
      </c>
      <c r="Q2" s="3">
        <v>556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44010</v>
      </c>
      <c r="B3" s="5" t="s">
        <v>24</v>
      </c>
      <c r="C3" s="5" t="s">
        <v>67</v>
      </c>
      <c r="D3" s="3" t="s">
        <v>23</v>
      </c>
      <c r="E3" s="2" t="s">
        <v>269</v>
      </c>
      <c r="F3" s="40" t="s">
        <v>29</v>
      </c>
      <c r="G3" s="41">
        <v>71500</v>
      </c>
      <c r="H3" s="5" t="s">
        <v>76</v>
      </c>
      <c r="I3" s="5" t="s">
        <v>77</v>
      </c>
      <c r="J3" s="7">
        <v>0.47569444444444442</v>
      </c>
      <c r="K3" s="11">
        <v>0.46249999999999997</v>
      </c>
      <c r="L3" s="7">
        <v>0.27430555555555552</v>
      </c>
      <c r="M3" s="11">
        <v>0.28541666666666665</v>
      </c>
      <c r="N3" s="3">
        <v>89</v>
      </c>
      <c r="O3" s="3">
        <v>60</v>
      </c>
      <c r="P3" s="3">
        <v>836</v>
      </c>
      <c r="Q3" s="3">
        <v>215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44010</v>
      </c>
      <c r="B4" s="5" t="s">
        <v>24</v>
      </c>
      <c r="C4" s="5" t="s">
        <v>69</v>
      </c>
      <c r="D4" s="3" t="s">
        <v>23</v>
      </c>
      <c r="E4" s="5" t="s">
        <v>63</v>
      </c>
      <c r="F4" s="40" t="s">
        <v>29</v>
      </c>
      <c r="G4" s="41">
        <v>70000</v>
      </c>
      <c r="H4" s="5" t="s">
        <v>79</v>
      </c>
      <c r="I4" s="5" t="s">
        <v>80</v>
      </c>
      <c r="J4" s="7">
        <v>0.72569444444444453</v>
      </c>
      <c r="K4" s="11">
        <v>0.73263888888888884</v>
      </c>
      <c r="L4" s="7">
        <v>0.5</v>
      </c>
      <c r="M4" s="11">
        <v>0.50486111111111109</v>
      </c>
      <c r="N4" s="3" t="s">
        <v>233</v>
      </c>
      <c r="O4" s="3" t="s">
        <v>314</v>
      </c>
      <c r="P4" s="3">
        <v>1280</v>
      </c>
      <c r="Q4" s="3">
        <v>576</v>
      </c>
      <c r="R4" s="5">
        <v>0</v>
      </c>
      <c r="S4" s="5">
        <v>0</v>
      </c>
      <c r="T4" s="5">
        <v>0</v>
      </c>
      <c r="U4" s="5">
        <v>0</v>
      </c>
    </row>
    <row r="5" spans="1:21" x14ac:dyDescent="0.25">
      <c r="A5" s="4">
        <v>44010</v>
      </c>
      <c r="B5" s="5" t="s">
        <v>24</v>
      </c>
      <c r="C5" s="2" t="s">
        <v>70</v>
      </c>
      <c r="D5" s="3" t="s">
        <v>23</v>
      </c>
      <c r="E5" s="2" t="s">
        <v>269</v>
      </c>
      <c r="F5" s="40" t="s">
        <v>29</v>
      </c>
      <c r="G5" s="41">
        <v>71500</v>
      </c>
      <c r="H5" s="5" t="s">
        <v>81</v>
      </c>
      <c r="I5" s="5" t="s">
        <v>82</v>
      </c>
      <c r="J5" s="10">
        <v>0.75</v>
      </c>
      <c r="K5" s="11">
        <v>0.76736111111111116</v>
      </c>
      <c r="L5" s="10">
        <v>0.51388888888888895</v>
      </c>
      <c r="M5" s="11">
        <v>0.52638888888888891</v>
      </c>
      <c r="N5" s="3" t="s">
        <v>317</v>
      </c>
      <c r="O5" s="3" t="s">
        <v>315</v>
      </c>
      <c r="P5" s="3">
        <v>2200</v>
      </c>
      <c r="Q5" s="3">
        <v>596</v>
      </c>
      <c r="R5" s="5">
        <v>0</v>
      </c>
      <c r="S5" s="5">
        <v>0</v>
      </c>
      <c r="T5" s="5">
        <v>0</v>
      </c>
      <c r="U5" s="5">
        <v>0</v>
      </c>
    </row>
    <row r="6" spans="1:21" x14ac:dyDescent="0.25">
      <c r="A6" s="4">
        <v>44010</v>
      </c>
      <c r="B6" s="5" t="s">
        <v>24</v>
      </c>
      <c r="C6" s="2" t="s">
        <v>71</v>
      </c>
      <c r="D6" s="3" t="s">
        <v>23</v>
      </c>
      <c r="E6" s="5" t="s">
        <v>63</v>
      </c>
      <c r="F6" s="40" t="s">
        <v>29</v>
      </c>
      <c r="G6" s="41">
        <v>70000</v>
      </c>
      <c r="H6" s="2" t="s">
        <v>83</v>
      </c>
      <c r="I6" s="2" t="s">
        <v>84</v>
      </c>
      <c r="J6" s="12">
        <v>0.9375</v>
      </c>
      <c r="K6" s="11">
        <v>0.94652777777777775</v>
      </c>
      <c r="L6" s="12">
        <v>0.74652777777777779</v>
      </c>
      <c r="M6" s="11">
        <v>0.7680555555555556</v>
      </c>
      <c r="N6" s="3" t="s">
        <v>318</v>
      </c>
      <c r="O6" s="3" t="s">
        <v>183</v>
      </c>
      <c r="P6" s="3">
        <v>1116</v>
      </c>
      <c r="Q6" s="3">
        <v>603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 ht="12.75" x14ac:dyDescent="0.2">
      <c r="A7" s="4">
        <v>44010</v>
      </c>
      <c r="B7" s="5" t="s">
        <v>24</v>
      </c>
      <c r="C7" s="2" t="s">
        <v>72</v>
      </c>
      <c r="D7" s="3" t="s">
        <v>23</v>
      </c>
      <c r="E7" s="2" t="s">
        <v>269</v>
      </c>
      <c r="F7" s="40" t="s">
        <v>29</v>
      </c>
      <c r="G7" s="41">
        <v>71500</v>
      </c>
      <c r="H7" s="2" t="s">
        <v>85</v>
      </c>
      <c r="I7" s="2" t="s">
        <v>86</v>
      </c>
      <c r="J7" s="11">
        <v>0.94097222222222221</v>
      </c>
      <c r="K7" s="11">
        <v>0.94236111111111109</v>
      </c>
      <c r="L7" s="11">
        <v>0.77083333333333337</v>
      </c>
      <c r="M7" s="11">
        <v>0.79027777777777775</v>
      </c>
      <c r="N7" s="3" t="s">
        <v>319</v>
      </c>
      <c r="O7" s="3" t="s">
        <v>320</v>
      </c>
      <c r="P7" s="3">
        <v>970</v>
      </c>
      <c r="Q7" s="3">
        <v>742</v>
      </c>
      <c r="R7" s="5">
        <v>0</v>
      </c>
      <c r="S7" s="5">
        <v>0</v>
      </c>
      <c r="T7" s="5">
        <v>0</v>
      </c>
      <c r="U7" s="5">
        <v>0</v>
      </c>
    </row>
    <row r="8" spans="1:21" x14ac:dyDescent="0.25">
      <c r="A8" s="4"/>
      <c r="B8" s="2"/>
      <c r="C8" s="2"/>
      <c r="D8" s="2"/>
      <c r="E8" s="5"/>
      <c r="F8" s="2"/>
      <c r="G8" s="6"/>
      <c r="H8" s="2"/>
      <c r="I8" s="2"/>
      <c r="J8" s="12"/>
      <c r="K8" s="1"/>
      <c r="L8" s="12"/>
      <c r="M8" s="1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F1" workbookViewId="0">
      <selection activeCell="M4" sqref="M4"/>
    </sheetView>
  </sheetViews>
  <sheetFormatPr defaultRowHeight="15" x14ac:dyDescent="0.25"/>
  <cols>
    <col min="2" max="2" width="9.140625" bestFit="1" customWidth="1"/>
    <col min="3" max="3" width="13.28515625" bestFit="1" customWidth="1"/>
    <col min="6" max="6" width="12.5703125" bestFit="1" customWidth="1"/>
    <col min="10" max="10" width="11.85546875" bestFit="1" customWidth="1"/>
    <col min="13" max="13" width="11.7109375" bestFit="1" customWidth="1"/>
    <col min="14" max="15" width="16.7109375" bestFit="1" customWidth="1"/>
  </cols>
  <sheetData>
    <row r="1" spans="1:21" s="38" customFormat="1" ht="12.75" x14ac:dyDescent="0.2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s="38" customFormat="1" ht="12.75" x14ac:dyDescent="0.2">
      <c r="A2" s="39">
        <v>44011</v>
      </c>
      <c r="B2" s="40" t="s">
        <v>24</v>
      </c>
      <c r="C2" s="40" t="s">
        <v>67</v>
      </c>
      <c r="D2" s="40" t="s">
        <v>23</v>
      </c>
      <c r="E2" s="40" t="s">
        <v>63</v>
      </c>
      <c r="F2" s="40" t="s">
        <v>29</v>
      </c>
      <c r="G2" s="41">
        <v>70000</v>
      </c>
      <c r="H2" s="40" t="s">
        <v>76</v>
      </c>
      <c r="I2" s="40" t="s">
        <v>77</v>
      </c>
      <c r="J2" s="42">
        <v>0.47569444444444442</v>
      </c>
      <c r="K2" s="43">
        <v>0.48055555555555557</v>
      </c>
      <c r="L2" s="42">
        <v>0.27430555555555552</v>
      </c>
      <c r="M2" s="44">
        <v>0.29583333333333334</v>
      </c>
      <c r="N2" s="36" t="s">
        <v>199</v>
      </c>
      <c r="O2" s="45" t="s">
        <v>321</v>
      </c>
      <c r="P2" s="45">
        <v>929</v>
      </c>
      <c r="Q2" s="45">
        <v>357</v>
      </c>
      <c r="R2" s="40">
        <v>0</v>
      </c>
      <c r="S2" s="40">
        <v>0</v>
      </c>
      <c r="T2" s="40">
        <v>0</v>
      </c>
      <c r="U2" s="40">
        <v>0</v>
      </c>
    </row>
    <row r="3" spans="1:21" s="38" customFormat="1" ht="12.75" x14ac:dyDescent="0.2">
      <c r="A3" s="39">
        <v>44011</v>
      </c>
      <c r="B3" s="40" t="s">
        <v>24</v>
      </c>
      <c r="C3" s="40" t="s">
        <v>107</v>
      </c>
      <c r="D3" s="40" t="s">
        <v>23</v>
      </c>
      <c r="E3" s="40" t="s">
        <v>269</v>
      </c>
      <c r="F3" s="40" t="s">
        <v>29</v>
      </c>
      <c r="G3" s="41">
        <v>71500</v>
      </c>
      <c r="H3" s="40" t="s">
        <v>110</v>
      </c>
      <c r="I3" s="40" t="s">
        <v>109</v>
      </c>
      <c r="J3" s="42">
        <v>0.89930555555555547</v>
      </c>
      <c r="K3" s="43">
        <v>0.8881944444444444</v>
      </c>
      <c r="L3" s="42">
        <v>0.75</v>
      </c>
      <c r="M3" s="44">
        <v>0.75</v>
      </c>
      <c r="N3" s="36">
        <v>50</v>
      </c>
      <c r="O3" s="45" t="s">
        <v>322</v>
      </c>
      <c r="P3" s="40">
        <v>407</v>
      </c>
      <c r="Q3" s="45">
        <v>456</v>
      </c>
      <c r="R3" s="40">
        <v>0</v>
      </c>
      <c r="S3" s="40">
        <v>0</v>
      </c>
      <c r="T3" s="40">
        <v>0</v>
      </c>
      <c r="U3" s="40">
        <v>0</v>
      </c>
    </row>
    <row r="4" spans="1:21" s="38" customFormat="1" ht="12.75" x14ac:dyDescent="0.2">
      <c r="A4" s="39">
        <v>44011</v>
      </c>
      <c r="B4" s="40" t="s">
        <v>24</v>
      </c>
      <c r="C4" s="36" t="s">
        <v>72</v>
      </c>
      <c r="D4" s="40" t="s">
        <v>23</v>
      </c>
      <c r="E4" s="40" t="s">
        <v>63</v>
      </c>
      <c r="F4" s="40" t="s">
        <v>29</v>
      </c>
      <c r="G4" s="41">
        <v>70000</v>
      </c>
      <c r="H4" s="36" t="s">
        <v>85</v>
      </c>
      <c r="I4" s="36" t="s">
        <v>86</v>
      </c>
      <c r="J4" s="46">
        <v>0.94097222222222221</v>
      </c>
      <c r="K4" s="43">
        <v>0.93541666666666667</v>
      </c>
      <c r="L4" s="46">
        <v>0.77083333333333337</v>
      </c>
      <c r="M4" s="43">
        <v>0.77500000000000002</v>
      </c>
      <c r="N4" s="36" t="s">
        <v>235</v>
      </c>
      <c r="O4" s="36">
        <v>108</v>
      </c>
      <c r="P4" s="36">
        <v>1033</v>
      </c>
      <c r="Q4" s="45">
        <v>544</v>
      </c>
      <c r="R4" s="36">
        <v>0</v>
      </c>
      <c r="S4" s="36">
        <v>0</v>
      </c>
      <c r="T4" s="36">
        <v>0</v>
      </c>
      <c r="U4" s="36">
        <v>0</v>
      </c>
    </row>
    <row r="5" spans="1:21" x14ac:dyDescent="0.25">
      <c r="A5" s="4"/>
      <c r="B5" s="2"/>
      <c r="C5" s="2"/>
      <c r="D5" s="2"/>
      <c r="E5" s="5"/>
      <c r="F5" s="2"/>
      <c r="G5" s="6"/>
      <c r="H5" s="2"/>
      <c r="I5" s="2"/>
      <c r="J5" s="12"/>
      <c r="K5" s="1"/>
      <c r="L5" s="12"/>
      <c r="M5" s="1"/>
      <c r="N5" s="2"/>
      <c r="O5" s="2"/>
      <c r="P5" s="2"/>
      <c r="Q5" s="9"/>
      <c r="R5" s="2"/>
      <c r="S5" s="2"/>
      <c r="T5" s="2"/>
      <c r="U5" s="2"/>
    </row>
    <row r="6" spans="1:21" x14ac:dyDescent="0.25">
      <c r="A6" s="4"/>
      <c r="B6" s="2"/>
      <c r="C6" s="2"/>
      <c r="D6" s="2"/>
      <c r="E6" s="5"/>
      <c r="F6" s="2"/>
      <c r="G6" s="6"/>
      <c r="H6" s="2"/>
      <c r="I6" s="2"/>
      <c r="J6" s="12"/>
      <c r="K6" s="8"/>
      <c r="L6" s="12"/>
      <c r="M6" s="8"/>
      <c r="N6" s="2"/>
      <c r="O6" s="2"/>
      <c r="P6" s="2"/>
      <c r="Q6" s="2"/>
      <c r="R6" s="2"/>
      <c r="S6" s="2"/>
      <c r="T6" s="2"/>
      <c r="U6" s="2"/>
    </row>
    <row r="7" spans="1:21" s="35" customFormat="1" ht="12.75" x14ac:dyDescent="0.2">
      <c r="A7" s="32"/>
      <c r="B7" s="3"/>
      <c r="C7" s="3"/>
      <c r="D7" s="3"/>
      <c r="E7" s="3"/>
      <c r="F7" s="3"/>
      <c r="G7" s="33"/>
      <c r="H7" s="3"/>
      <c r="I7" s="3"/>
      <c r="J7" s="10"/>
      <c r="K7" s="11"/>
      <c r="L7" s="10"/>
      <c r="M7" s="11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K8" sqref="K8"/>
    </sheetView>
  </sheetViews>
  <sheetFormatPr defaultRowHeight="15" x14ac:dyDescent="0.25"/>
  <cols>
    <col min="3" max="3" width="13.42578125" bestFit="1" customWidth="1"/>
    <col min="6" max="6" width="12.140625" bestFit="1" customWidth="1"/>
    <col min="14" max="15" width="18.42578125" bestFit="1" customWidth="1"/>
  </cols>
  <sheetData>
    <row r="1" spans="1:2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x14ac:dyDescent="0.25">
      <c r="A2" s="39">
        <v>44012</v>
      </c>
      <c r="B2" s="40" t="s">
        <v>24</v>
      </c>
      <c r="C2" s="40" t="s">
        <v>27</v>
      </c>
      <c r="D2" s="40" t="s">
        <v>23</v>
      </c>
      <c r="E2" s="40" t="s">
        <v>269</v>
      </c>
      <c r="F2" s="40" t="s">
        <v>29</v>
      </c>
      <c r="G2" s="41">
        <v>71500</v>
      </c>
      <c r="H2" s="40" t="s">
        <v>30</v>
      </c>
      <c r="I2" s="40" t="s">
        <v>32</v>
      </c>
      <c r="J2" s="42">
        <v>0.375</v>
      </c>
      <c r="K2" s="43">
        <v>0.37083333333333335</v>
      </c>
      <c r="L2" s="42">
        <v>0.25694444444444448</v>
      </c>
      <c r="M2" s="11">
        <v>0.26874999999999999</v>
      </c>
      <c r="N2" s="3" t="s">
        <v>325</v>
      </c>
      <c r="O2" s="3" t="s">
        <v>323</v>
      </c>
      <c r="P2" s="3">
        <v>331</v>
      </c>
      <c r="Q2" s="3">
        <v>104</v>
      </c>
      <c r="R2" s="40">
        <v>0</v>
      </c>
      <c r="S2" s="40">
        <v>0</v>
      </c>
      <c r="T2" s="40">
        <v>0</v>
      </c>
      <c r="U2" s="40">
        <v>0</v>
      </c>
    </row>
    <row r="3" spans="1:21" x14ac:dyDescent="0.25">
      <c r="A3" s="39">
        <v>44012</v>
      </c>
      <c r="B3" s="40" t="s">
        <v>24</v>
      </c>
      <c r="C3" s="40" t="s">
        <v>28</v>
      </c>
      <c r="D3" s="40" t="s">
        <v>23</v>
      </c>
      <c r="E3" s="40" t="s">
        <v>63</v>
      </c>
      <c r="F3" s="40" t="s">
        <v>29</v>
      </c>
      <c r="G3" s="41">
        <v>70000</v>
      </c>
      <c r="H3" s="40" t="s">
        <v>31</v>
      </c>
      <c r="I3" s="40" t="s">
        <v>33</v>
      </c>
      <c r="J3" s="42">
        <v>0.4548611111111111</v>
      </c>
      <c r="K3" s="11">
        <v>0.45069444444444445</v>
      </c>
      <c r="L3" s="42">
        <v>0.28125</v>
      </c>
      <c r="M3" s="11">
        <v>0.28611111111111115</v>
      </c>
      <c r="N3" s="3" t="s">
        <v>155</v>
      </c>
      <c r="O3" s="3" t="s">
        <v>324</v>
      </c>
      <c r="P3" s="3">
        <v>911</v>
      </c>
      <c r="Q3" s="3">
        <v>441</v>
      </c>
      <c r="R3" s="40">
        <v>0</v>
      </c>
      <c r="S3" s="40">
        <v>0</v>
      </c>
      <c r="T3" s="40">
        <v>0</v>
      </c>
      <c r="U3" s="40">
        <v>0</v>
      </c>
    </row>
    <row r="4" spans="1:21" x14ac:dyDescent="0.25">
      <c r="A4" s="39">
        <v>44012</v>
      </c>
      <c r="B4" s="40" t="s">
        <v>24</v>
      </c>
      <c r="C4" s="40" t="s">
        <v>36</v>
      </c>
      <c r="D4" s="40" t="s">
        <v>23</v>
      </c>
      <c r="E4" s="40" t="s">
        <v>269</v>
      </c>
      <c r="F4" s="40" t="s">
        <v>29</v>
      </c>
      <c r="G4" s="41">
        <v>71500</v>
      </c>
      <c r="H4" s="40" t="s">
        <v>38</v>
      </c>
      <c r="I4" s="40" t="s">
        <v>40</v>
      </c>
      <c r="J4" s="42">
        <v>0.54166666666666663</v>
      </c>
      <c r="K4" s="11">
        <v>0.53402777777777777</v>
      </c>
      <c r="L4" s="42">
        <v>0.39583333333333331</v>
      </c>
      <c r="M4" s="11">
        <v>0.39999999999999997</v>
      </c>
      <c r="N4" s="3" t="s">
        <v>328</v>
      </c>
      <c r="O4" s="3" t="s">
        <v>326</v>
      </c>
      <c r="P4" s="3">
        <v>498</v>
      </c>
      <c r="Q4" s="3">
        <v>375</v>
      </c>
      <c r="R4" s="40">
        <v>0</v>
      </c>
      <c r="S4" s="40">
        <v>0</v>
      </c>
      <c r="T4" s="40">
        <v>0</v>
      </c>
      <c r="U4" s="40">
        <v>0</v>
      </c>
    </row>
    <row r="5" spans="1:21" x14ac:dyDescent="0.25">
      <c r="A5" s="39">
        <v>44012</v>
      </c>
      <c r="B5" s="40" t="s">
        <v>24</v>
      </c>
      <c r="C5" s="40" t="s">
        <v>37</v>
      </c>
      <c r="D5" s="40" t="s">
        <v>23</v>
      </c>
      <c r="E5" s="40" t="s">
        <v>63</v>
      </c>
      <c r="F5" s="40" t="s">
        <v>29</v>
      </c>
      <c r="G5" s="41">
        <v>70000</v>
      </c>
      <c r="H5" s="40" t="s">
        <v>39</v>
      </c>
      <c r="I5" s="40" t="s">
        <v>41</v>
      </c>
      <c r="J5" s="42">
        <v>0.70138888888888884</v>
      </c>
      <c r="K5" s="16">
        <v>0.68402777777777779</v>
      </c>
      <c r="L5" s="42">
        <v>0.48958333333333331</v>
      </c>
      <c r="M5" s="11">
        <v>0.48749999999999999</v>
      </c>
      <c r="N5" s="3" t="s">
        <v>329</v>
      </c>
      <c r="O5" s="3" t="s">
        <v>327</v>
      </c>
      <c r="P5" s="3">
        <v>487</v>
      </c>
      <c r="Q5" s="3">
        <v>325</v>
      </c>
      <c r="R5" s="40">
        <v>0</v>
      </c>
      <c r="S5" s="40">
        <v>0</v>
      </c>
      <c r="T5" s="40">
        <v>0</v>
      </c>
      <c r="U5" s="40">
        <v>0</v>
      </c>
    </row>
    <row r="6" spans="1:21" x14ac:dyDescent="0.25">
      <c r="A6" s="39">
        <v>44012</v>
      </c>
      <c r="B6" s="2" t="s">
        <v>24</v>
      </c>
      <c r="C6" s="2" t="s">
        <v>47</v>
      </c>
      <c r="D6" s="2" t="s">
        <v>23</v>
      </c>
      <c r="E6" s="5" t="s">
        <v>269</v>
      </c>
      <c r="F6" s="2" t="s">
        <v>29</v>
      </c>
      <c r="G6" s="41">
        <v>71500</v>
      </c>
      <c r="H6" s="2" t="s">
        <v>48</v>
      </c>
      <c r="I6" s="2" t="s">
        <v>49</v>
      </c>
      <c r="J6" s="12">
        <v>0.73958333333333337</v>
      </c>
      <c r="K6" s="11">
        <v>0.73611111111111116</v>
      </c>
      <c r="L6" s="12">
        <v>0.57291666666666663</v>
      </c>
      <c r="M6" s="11">
        <v>0.57291666666666663</v>
      </c>
      <c r="N6" s="3" t="s">
        <v>330</v>
      </c>
      <c r="O6" s="3" t="s">
        <v>333</v>
      </c>
      <c r="P6" s="3">
        <v>869</v>
      </c>
      <c r="Q6" s="3">
        <v>267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39">
        <v>44012</v>
      </c>
      <c r="B7" s="2" t="s">
        <v>24</v>
      </c>
      <c r="C7" s="2" t="s">
        <v>53</v>
      </c>
      <c r="D7" s="2" t="s">
        <v>23</v>
      </c>
      <c r="E7" s="5" t="s">
        <v>63</v>
      </c>
      <c r="F7" s="2" t="s">
        <v>29</v>
      </c>
      <c r="G7" s="41">
        <v>70000</v>
      </c>
      <c r="H7" s="2" t="s">
        <v>54</v>
      </c>
      <c r="I7" s="2" t="s">
        <v>55</v>
      </c>
      <c r="J7" s="10">
        <v>0.94097222222222221</v>
      </c>
      <c r="K7" s="11">
        <v>0.94374999999999998</v>
      </c>
      <c r="L7" s="10">
        <v>0.72222222222222221</v>
      </c>
      <c r="M7" s="11">
        <v>0.72499999999999998</v>
      </c>
      <c r="N7" s="3" t="s">
        <v>331</v>
      </c>
      <c r="O7" s="3" t="s">
        <v>232</v>
      </c>
      <c r="P7" s="3">
        <v>650</v>
      </c>
      <c r="Q7" s="3">
        <v>153</v>
      </c>
      <c r="R7" s="2">
        <v>0</v>
      </c>
      <c r="S7" s="2">
        <v>0</v>
      </c>
      <c r="T7" s="2">
        <v>0</v>
      </c>
      <c r="U7" s="2">
        <v>0</v>
      </c>
    </row>
    <row r="8" spans="1:21" x14ac:dyDescent="0.25">
      <c r="A8" s="39">
        <v>44012</v>
      </c>
      <c r="B8" s="70" t="s">
        <v>24</v>
      </c>
      <c r="C8" s="70" t="s">
        <v>61</v>
      </c>
      <c r="D8" s="70" t="s">
        <v>23</v>
      </c>
      <c r="E8" s="71" t="s">
        <v>269</v>
      </c>
      <c r="F8" s="70" t="s">
        <v>29</v>
      </c>
      <c r="G8" s="41">
        <v>71500</v>
      </c>
      <c r="H8" s="70" t="s">
        <v>58</v>
      </c>
      <c r="I8" s="70" t="s">
        <v>59</v>
      </c>
      <c r="J8" s="85">
        <v>0.94444444444444453</v>
      </c>
      <c r="K8" s="11">
        <v>0.96736111111111101</v>
      </c>
      <c r="L8" s="85">
        <v>0.76388888888888884</v>
      </c>
      <c r="M8" s="11">
        <v>0.77569444444444446</v>
      </c>
      <c r="N8" s="3" t="s">
        <v>332</v>
      </c>
      <c r="O8" s="3" t="s">
        <v>334</v>
      </c>
      <c r="P8" s="3">
        <v>419</v>
      </c>
      <c r="Q8" s="3">
        <v>177</v>
      </c>
      <c r="R8" s="74">
        <v>0</v>
      </c>
      <c r="S8" s="74">
        <v>0</v>
      </c>
      <c r="T8" s="75">
        <v>0</v>
      </c>
      <c r="U8" s="75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A2" sqref="A2:XFD3"/>
    </sheetView>
  </sheetViews>
  <sheetFormatPr defaultRowHeight="15" x14ac:dyDescent="0.25"/>
  <sheetData>
    <row r="1" spans="1:2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</row>
    <row r="2" spans="1:21" x14ac:dyDescent="0.25">
      <c r="A2" s="32"/>
      <c r="B2" s="3"/>
      <c r="C2" s="3"/>
      <c r="D2" s="3"/>
      <c r="E2" s="3"/>
      <c r="F2" s="3"/>
      <c r="G2" s="3"/>
      <c r="H2" s="3"/>
      <c r="I2" s="3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32"/>
      <c r="B3" s="3"/>
      <c r="C3" s="3"/>
      <c r="D3" s="3"/>
      <c r="E3" s="3"/>
      <c r="F3" s="3"/>
      <c r="G3" s="3"/>
      <c r="H3" s="3"/>
      <c r="I3" s="3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2020-06-30T21:39:22Z</dcterms:modified>
</cp:coreProperties>
</file>