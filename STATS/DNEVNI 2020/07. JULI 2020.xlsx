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765" windowWidth="14805" windowHeight="7350" tabRatio="876" activeTab="29"/>
  </bookViews>
  <sheets>
    <sheet name="1" sheetId="1" r:id="rId1"/>
    <sheet name="2" sheetId="2" r:id="rId2"/>
    <sheet name="3" sheetId="3" r:id="rId3"/>
    <sheet name="4" sheetId="4" r:id="rId4"/>
    <sheet name="5" sheetId="6" r:id="rId5"/>
    <sheet name="6" sheetId="7" r:id="rId6"/>
    <sheet name="7" sheetId="46" r:id="rId7"/>
    <sheet name="8" sheetId="47" r:id="rId8"/>
    <sheet name="9" sheetId="48" r:id="rId9"/>
    <sheet name="10" sheetId="38" r:id="rId10"/>
    <sheet name="11" sheetId="49" r:id="rId11"/>
    <sheet name="12" sheetId="50" r:id="rId12"/>
    <sheet name="13" sheetId="14" r:id="rId13"/>
    <sheet name="14" sheetId="15" r:id="rId14"/>
    <sheet name="15" sheetId="51" r:id="rId15"/>
    <sheet name="16" sheetId="35" r:id="rId16"/>
    <sheet name="17" sheetId="52" r:id="rId17"/>
    <sheet name="19" sheetId="53" r:id="rId18"/>
    <sheet name="20" sheetId="54" r:id="rId19"/>
    <sheet name="21" sheetId="41" r:id="rId20"/>
    <sheet name="22" sheetId="23" r:id="rId21"/>
    <sheet name="23" sheetId="42" r:id="rId22"/>
    <sheet name="24" sheetId="55" r:id="rId23"/>
    <sheet name="25" sheetId="19" r:id="rId24"/>
    <sheet name="26" sheetId="43" r:id="rId25"/>
    <sheet name="27" sheetId="56" r:id="rId26"/>
    <sheet name="28" sheetId="30" r:id="rId27"/>
    <sheet name="29" sheetId="57" r:id="rId28"/>
    <sheet name="30" sheetId="36" r:id="rId29"/>
    <sheet name="31" sheetId="58" r:id="rId30"/>
  </sheets>
  <calcPr calcId="145621"/>
</workbook>
</file>

<file path=xl/calcChain.xml><?xml version="1.0" encoding="utf-8"?>
<calcChain xmlns="http://schemas.openxmlformats.org/spreadsheetml/2006/main">
  <c r="M3" i="19" l="1"/>
  <c r="D10" i="55" l="1"/>
  <c r="A10" i="55"/>
  <c r="A9" i="55"/>
  <c r="D9" i="35" l="1"/>
  <c r="H9" i="35"/>
  <c r="I9" i="35" s="1"/>
  <c r="I8" i="35"/>
  <c r="H8" i="35"/>
  <c r="B9" i="35"/>
  <c r="A9" i="35"/>
  <c r="A8" i="35"/>
  <c r="I10" i="15" l="1"/>
  <c r="H10" i="15"/>
  <c r="A10" i="15"/>
  <c r="E9" i="15"/>
  <c r="E8" i="15"/>
  <c r="E7" i="15"/>
  <c r="M3" i="47" l="1"/>
  <c r="A9" i="7" l="1"/>
  <c r="G9" i="7"/>
  <c r="G7" i="7"/>
  <c r="G8" i="7"/>
  <c r="A8" i="7"/>
  <c r="A7" i="7"/>
  <c r="I8" i="6" l="1"/>
  <c r="H8" i="6"/>
  <c r="A8" i="6"/>
  <c r="M3" i="4" l="1"/>
</calcChain>
</file>

<file path=xl/sharedStrings.xml><?xml version="1.0" encoding="utf-8"?>
<sst xmlns="http://schemas.openxmlformats.org/spreadsheetml/2006/main" count="2359" uniqueCount="463">
  <si>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</si>
  <si>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</si>
  <si>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</si>
  <si>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</si>
  <si>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</si>
  <si>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</si>
  <si>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</si>
  <si>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</si>
  <si>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</si>
  <si>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</si>
  <si>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</si>
  <si>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</si>
  <si>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</si>
  <si>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</si>
  <si>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</si>
  <si>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</si>
  <si>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</si>
  <si>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</si>
  <si>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</si>
  <si>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</si>
  <si>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</si>
  <si>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-</t>
  </si>
  <si>
    <t>ROP</t>
  </si>
  <si>
    <t>A320</t>
  </si>
  <si>
    <t>WIZZAIR</t>
  </si>
  <si>
    <t>TZL-VIE-TZL</t>
  </si>
  <si>
    <t>TZL-SXF-TZL</t>
  </si>
  <si>
    <t>SCHEDULED</t>
  </si>
  <si>
    <t>W64286</t>
  </si>
  <si>
    <t>W68276</t>
  </si>
  <si>
    <t>W64285</t>
  </si>
  <si>
    <t>W64275</t>
  </si>
  <si>
    <t>TZL-FMM-TZL</t>
  </si>
  <si>
    <t>TZL-EIN-TZL</t>
  </si>
  <si>
    <t>W64280</t>
  </si>
  <si>
    <t>W68290</t>
  </si>
  <si>
    <t>W64279</t>
  </si>
  <si>
    <t>W64289</t>
  </si>
  <si>
    <t>TZL-FKB-TZL</t>
  </si>
  <si>
    <t>W64618</t>
  </si>
  <si>
    <t>W64617</t>
  </si>
  <si>
    <t>TZL-BLL-TZL</t>
  </si>
  <si>
    <t>W64278</t>
  </si>
  <si>
    <t>W64277</t>
  </si>
  <si>
    <t>W64284</t>
  </si>
  <si>
    <t>W64283</t>
  </si>
  <si>
    <t>TZL-HHN-TZL</t>
  </si>
  <si>
    <t>HALWK</t>
  </si>
  <si>
    <t>TZL-MMX-TZL</t>
  </si>
  <si>
    <t>TZL-DTM-TZL</t>
  </si>
  <si>
    <t>TZL-GOT-TZL</t>
  </si>
  <si>
    <t>TZL-NYO-TZL</t>
  </si>
  <si>
    <t>TZL-CGN-TZL</t>
  </si>
  <si>
    <t>TZL-MLH-TZL</t>
  </si>
  <si>
    <t>W64292</t>
  </si>
  <si>
    <t>W64291</t>
  </si>
  <si>
    <t>W64298</t>
  </si>
  <si>
    <t>W64297</t>
  </si>
  <si>
    <t>W64296</t>
  </si>
  <si>
    <t>W64295</t>
  </si>
  <si>
    <t>W64282</t>
  </si>
  <si>
    <t>W64281</t>
  </si>
  <si>
    <t>W64300</t>
  </si>
  <si>
    <t>W64299</t>
  </si>
  <si>
    <t>W64294</t>
  </si>
  <si>
    <t>W64293</t>
  </si>
  <si>
    <t>TZL-FDH-TZL</t>
  </si>
  <si>
    <t>HALWL</t>
  </si>
  <si>
    <t>W64615</t>
  </si>
  <si>
    <t>W64616</t>
  </si>
  <si>
    <t>13+0INF</t>
  </si>
  <si>
    <t>23+0 INF</t>
  </si>
  <si>
    <t>107+2 INF</t>
  </si>
  <si>
    <t>58+1 INF</t>
  </si>
  <si>
    <t>61+1INF</t>
  </si>
  <si>
    <t>74+1 INF</t>
  </si>
  <si>
    <t>20+1 INF</t>
  </si>
  <si>
    <t>147+2INF</t>
  </si>
  <si>
    <t>HELIMASTER</t>
  </si>
  <si>
    <t>R44</t>
  </si>
  <si>
    <t>YU-HTB</t>
  </si>
  <si>
    <t>104+2 INF</t>
  </si>
  <si>
    <t>52+1 INF</t>
  </si>
  <si>
    <t>70+3 INF</t>
  </si>
  <si>
    <t>61+1 INF</t>
  </si>
  <si>
    <t>MILITARY</t>
  </si>
  <si>
    <t>106+3 INF</t>
  </si>
  <si>
    <t>31+1 INF</t>
  </si>
  <si>
    <t>66+1 INF</t>
  </si>
  <si>
    <t>132+3 INF</t>
  </si>
  <si>
    <t>100+3 INF</t>
  </si>
  <si>
    <t>77+1 INF</t>
  </si>
  <si>
    <t>84+1INF</t>
  </si>
  <si>
    <t>HALWQ</t>
  </si>
  <si>
    <t>85+0 INF</t>
  </si>
  <si>
    <t>30+0 INF</t>
  </si>
  <si>
    <t>96+2 INF</t>
  </si>
  <si>
    <t>69+1 INF</t>
  </si>
  <si>
    <t>113+2 INF</t>
  </si>
  <si>
    <t>56+0 INF</t>
  </si>
  <si>
    <t>39+0INF</t>
  </si>
  <si>
    <t>18.30</t>
  </si>
  <si>
    <t>116+4 INF</t>
  </si>
  <si>
    <t>38+1 INF</t>
  </si>
  <si>
    <t>76+2 INF</t>
  </si>
  <si>
    <t>15+0 INF</t>
  </si>
  <si>
    <t>33+0 INF</t>
  </si>
  <si>
    <t>EUFOR</t>
  </si>
  <si>
    <t>BUTMIR-TZL-BUTMIR</t>
  </si>
  <si>
    <t>PC6</t>
  </si>
  <si>
    <t>3GEE</t>
  </si>
  <si>
    <t>PORTA06</t>
  </si>
  <si>
    <t>147+1 INF</t>
  </si>
  <si>
    <t>46+3 INF</t>
  </si>
  <si>
    <t>53+1 INF</t>
  </si>
  <si>
    <t>80+2 INF</t>
  </si>
  <si>
    <t>115+3 INF</t>
  </si>
  <si>
    <t>TZL-SZG-TZL</t>
  </si>
  <si>
    <t>W64288</t>
  </si>
  <si>
    <t>W64290</t>
  </si>
  <si>
    <t>W64287</t>
  </si>
  <si>
    <t>16+1 INF</t>
  </si>
  <si>
    <t>36+1 INF</t>
  </si>
  <si>
    <t>44+4 INF</t>
  </si>
  <si>
    <t>72+3 INF</t>
  </si>
  <si>
    <t>53+3 INF</t>
  </si>
  <si>
    <t>68+3 INF</t>
  </si>
  <si>
    <t>104+6 INF</t>
  </si>
  <si>
    <t>25+1 INF</t>
  </si>
  <si>
    <t>37+0 INF</t>
  </si>
  <si>
    <t>111+2 INF</t>
  </si>
  <si>
    <t>71+1 INF</t>
  </si>
  <si>
    <t>HA-LWK</t>
  </si>
  <si>
    <t>HA-LWQ</t>
  </si>
  <si>
    <t>TZL-VXO-TZL</t>
  </si>
  <si>
    <t>W64612</t>
  </si>
  <si>
    <t>W64611</t>
  </si>
  <si>
    <t>28+0INF</t>
  </si>
  <si>
    <t>42+2INF</t>
  </si>
  <si>
    <t>128+0INF</t>
  </si>
  <si>
    <t>90+2INF</t>
  </si>
  <si>
    <t>14+0INF</t>
  </si>
  <si>
    <t>HALWN</t>
  </si>
  <si>
    <t>HALWA</t>
  </si>
  <si>
    <t>VIE-TZL-VIE</t>
  </si>
  <si>
    <t>NON-SCHEDULED</t>
  </si>
  <si>
    <t>W6809</t>
  </si>
  <si>
    <t>W6810</t>
  </si>
  <si>
    <t>147+4 INF</t>
  </si>
  <si>
    <t>120+4 INF</t>
  </si>
  <si>
    <t>89+2 INF</t>
  </si>
  <si>
    <t>135+3 INF</t>
  </si>
  <si>
    <t>43+3 INF</t>
  </si>
  <si>
    <t>50+2 INF</t>
  </si>
  <si>
    <t>118+5 INF</t>
  </si>
  <si>
    <t>33+1 INF</t>
  </si>
  <si>
    <t>60+2 INF</t>
  </si>
  <si>
    <t>74+2 INF</t>
  </si>
  <si>
    <t>70+2 INF</t>
  </si>
  <si>
    <t>99+1INF</t>
  </si>
  <si>
    <t>92+4INF</t>
  </si>
  <si>
    <t>140+2INF</t>
  </si>
  <si>
    <t>97+1INF</t>
  </si>
  <si>
    <t>37+2INF</t>
  </si>
  <si>
    <t>21+0INF</t>
  </si>
  <si>
    <t>59+2INF</t>
  </si>
  <si>
    <t>TZL-BUD</t>
  </si>
  <si>
    <t>FERRY OUT</t>
  </si>
  <si>
    <t>W642300</t>
  </si>
  <si>
    <t>21+3 INF</t>
  </si>
  <si>
    <t>71+0 INF</t>
  </si>
  <si>
    <t>84+1 INF</t>
  </si>
  <si>
    <t>27+0 INF</t>
  </si>
  <si>
    <t>39+0 INF</t>
  </si>
  <si>
    <t>LQTB-TZL-BEG</t>
  </si>
  <si>
    <t>HELICOPTER</t>
  </si>
  <si>
    <t>105+4 INF</t>
  </si>
  <si>
    <t>140+3 INF</t>
  </si>
  <si>
    <t>120+2 INF</t>
  </si>
  <si>
    <t>73+1 INF</t>
  </si>
  <si>
    <t>157+2 INF</t>
  </si>
  <si>
    <t>HALWO</t>
  </si>
  <si>
    <t>39+1 INF</t>
  </si>
  <si>
    <t>126+4 INF</t>
  </si>
  <si>
    <t>OTP-TZL</t>
  </si>
  <si>
    <t>NON - SCHEDULED</t>
  </si>
  <si>
    <t>W6803</t>
  </si>
  <si>
    <t>HALYZ</t>
  </si>
  <si>
    <t>BUD-TZL-BUD</t>
  </si>
  <si>
    <t>TECHNICAL</t>
  </si>
  <si>
    <t>W6820</t>
  </si>
  <si>
    <t>W6821</t>
  </si>
  <si>
    <t>140+2 INF</t>
  </si>
  <si>
    <t>62+2 INF</t>
  </si>
  <si>
    <t>63+1 INF</t>
  </si>
  <si>
    <t>117+2 INF</t>
  </si>
  <si>
    <t>115+5 INF</t>
  </si>
  <si>
    <t>FHY822</t>
  </si>
  <si>
    <t>FREEBIRD</t>
  </si>
  <si>
    <t>AYT-TZL-AYT</t>
  </si>
  <si>
    <t>NONSCH/CHARTER</t>
  </si>
  <si>
    <t>FHY821</t>
  </si>
  <si>
    <t>52+3INF</t>
  </si>
  <si>
    <t>123+10INF</t>
  </si>
  <si>
    <t>22+0INF</t>
  </si>
  <si>
    <t>79+6INF</t>
  </si>
  <si>
    <t>134+2INF</t>
  </si>
  <si>
    <t>47+1INF</t>
  </si>
  <si>
    <t>TCFHN</t>
  </si>
  <si>
    <t>23+2 INF</t>
  </si>
  <si>
    <t>29+1 INF</t>
  </si>
  <si>
    <t>37+3 INF</t>
  </si>
  <si>
    <t>148+2 INF</t>
  </si>
  <si>
    <t>67+4 INF</t>
  </si>
  <si>
    <t>HALWO/HALWL</t>
  </si>
  <si>
    <t>28+1 INF</t>
  </si>
  <si>
    <t>24+0 INF</t>
  </si>
  <si>
    <t>113+1 INF</t>
  </si>
  <si>
    <t>19+1 INF</t>
  </si>
  <si>
    <t>109+3INF</t>
  </si>
  <si>
    <t>135+1INF</t>
  </si>
  <si>
    <t>57+3INF</t>
  </si>
  <si>
    <t>118+3INF</t>
  </si>
  <si>
    <t>44+0INF</t>
  </si>
  <si>
    <t>70+1INF</t>
  </si>
  <si>
    <t>W6802</t>
  </si>
  <si>
    <t>CREW ONLY</t>
  </si>
  <si>
    <t>7+1 INF</t>
  </si>
  <si>
    <t>24+2 INF</t>
  </si>
  <si>
    <t>40+1 INF</t>
  </si>
  <si>
    <t>74+0 INF</t>
  </si>
  <si>
    <t>36+0 INF</t>
  </si>
  <si>
    <t>84+2 INF</t>
  </si>
  <si>
    <t>126+6 INF</t>
  </si>
  <si>
    <t>18+0 INF</t>
  </si>
  <si>
    <t>21+1 INF</t>
  </si>
  <si>
    <t>148+3 INF</t>
  </si>
  <si>
    <t>68+2 INF</t>
  </si>
  <si>
    <t>HA-LWL</t>
  </si>
  <si>
    <t>TCFHM</t>
  </si>
  <si>
    <t>157+6 INF</t>
  </si>
  <si>
    <t>78+3 INF</t>
  </si>
  <si>
    <t>162+2 INF</t>
  </si>
  <si>
    <t>94+1 INF</t>
  </si>
  <si>
    <t>133+2 INF</t>
  </si>
  <si>
    <t>37+1 INF</t>
  </si>
  <si>
    <t>64+1 INF</t>
  </si>
  <si>
    <t>21+1INF</t>
  </si>
  <si>
    <t>70+3INF</t>
  </si>
  <si>
    <t>46+0INF</t>
  </si>
  <si>
    <t>129+3INF</t>
  </si>
  <si>
    <t>65+1INF</t>
  </si>
  <si>
    <t>88+1INF</t>
  </si>
  <si>
    <t>130+10INF</t>
  </si>
  <si>
    <t>49+2 INF</t>
  </si>
  <si>
    <t>76+1 INF</t>
  </si>
  <si>
    <t>151+2 INF</t>
  </si>
  <si>
    <t>97+4 INF</t>
  </si>
  <si>
    <t>15+3 INF</t>
  </si>
  <si>
    <t>60+1 INF</t>
  </si>
  <si>
    <t>26+0 INF</t>
  </si>
  <si>
    <t>81+3 INF</t>
  </si>
  <si>
    <t>59+1 INF</t>
  </si>
  <si>
    <t>111+3INF</t>
  </si>
  <si>
    <t>147+4INF</t>
  </si>
  <si>
    <t>68+1INF</t>
  </si>
  <si>
    <t>112+2INF</t>
  </si>
  <si>
    <t>149+2 INF</t>
  </si>
  <si>
    <t>24+1 INF</t>
  </si>
  <si>
    <t>22+0 INF</t>
  </si>
  <si>
    <t>123+1 INF</t>
  </si>
  <si>
    <t>136+2 INF</t>
  </si>
  <si>
    <t>118+2 INF</t>
  </si>
  <si>
    <t>57+4 INF</t>
  </si>
  <si>
    <t>44+1 INF</t>
  </si>
  <si>
    <t>87+3 INF</t>
  </si>
  <si>
    <t>132+5 INF</t>
  </si>
  <si>
    <t>90+1 INF</t>
  </si>
  <si>
    <t>32+1 INF</t>
  </si>
  <si>
    <t>95+2 INF</t>
  </si>
  <si>
    <t>136+1 INF</t>
  </si>
  <si>
    <t>75+2 INF</t>
  </si>
  <si>
    <t>54+4 INF</t>
  </si>
  <si>
    <t>STS AVIJACIJA</t>
  </si>
  <si>
    <t>BNX-TZL-BEG</t>
  </si>
  <si>
    <t>PA31</t>
  </si>
  <si>
    <t>YU-BYW</t>
  </si>
  <si>
    <t>GA PRIVATE</t>
  </si>
  <si>
    <t>HALWK/HALWH</t>
  </si>
  <si>
    <t>HALWH</t>
  </si>
  <si>
    <t>40+0INF</t>
  </si>
  <si>
    <t>52+2INF</t>
  </si>
  <si>
    <t>146+2INF</t>
  </si>
  <si>
    <t>80+2INF</t>
  </si>
  <si>
    <t>44+2INF</t>
  </si>
  <si>
    <t>47+0INF</t>
  </si>
  <si>
    <t>148+1 INF</t>
  </si>
  <si>
    <t>114+2 INF</t>
  </si>
  <si>
    <t>87+2 INF</t>
  </si>
  <si>
    <t>34+3 INF</t>
  </si>
  <si>
    <t>55+1 INF</t>
  </si>
  <si>
    <t>81+1 INF</t>
  </si>
  <si>
    <t>58+2 INF</t>
  </si>
  <si>
    <t>MARKO PARIC</t>
  </si>
  <si>
    <t>LQCG-TZL-BEG</t>
  </si>
  <si>
    <t>C172</t>
  </si>
  <si>
    <t>E7-DDB</t>
  </si>
  <si>
    <t>TRAINING FLIGHT</t>
  </si>
  <si>
    <t>BEG-TZL-LQCG</t>
  </si>
  <si>
    <t>89+5 INF</t>
  </si>
  <si>
    <t>106+5INF</t>
  </si>
  <si>
    <t>131+1INF</t>
  </si>
  <si>
    <t>142+2INF</t>
  </si>
  <si>
    <t>83+3INF</t>
  </si>
  <si>
    <t>59+0INF</t>
  </si>
  <si>
    <t>38+0INF</t>
  </si>
  <si>
    <t>30+1INF</t>
  </si>
  <si>
    <t>HA-LWH</t>
  </si>
  <si>
    <t>TC-FHN</t>
  </si>
  <si>
    <t>88+2 INF</t>
  </si>
  <si>
    <t>65+1 INF</t>
  </si>
  <si>
    <t>141+2 NIF</t>
  </si>
  <si>
    <t>156+4 INF</t>
  </si>
  <si>
    <t>106+1 INF</t>
  </si>
  <si>
    <t>54+0 INF</t>
  </si>
  <si>
    <t>145+1 INF</t>
  </si>
  <si>
    <t>116+6 INF</t>
  </si>
  <si>
    <t>105+2 INF</t>
  </si>
  <si>
    <t>124+2 INF</t>
  </si>
  <si>
    <t>51+1 INF</t>
  </si>
  <si>
    <t>82+2 INF</t>
  </si>
  <si>
    <t>73+2 INF</t>
  </si>
  <si>
    <t>112+1INF</t>
  </si>
  <si>
    <t>76+3INF</t>
  </si>
  <si>
    <t>91+1INF</t>
  </si>
  <si>
    <t>138+1 INF</t>
  </si>
  <si>
    <t>80+4 INF</t>
  </si>
  <si>
    <t>119+4 INF</t>
  </si>
  <si>
    <t>46+1 INF</t>
  </si>
  <si>
    <t>31+2 INF</t>
  </si>
  <si>
    <t>68+1 INF</t>
  </si>
  <si>
    <t>115+0INF</t>
  </si>
  <si>
    <t>106+3INF</t>
  </si>
  <si>
    <t>44+4INF</t>
  </si>
  <si>
    <t>96+3INF</t>
  </si>
  <si>
    <t>72+1INF</t>
  </si>
  <si>
    <t>124+0INF</t>
  </si>
  <si>
    <t>84+3 INF</t>
  </si>
  <si>
    <t>143+4 INF</t>
  </si>
  <si>
    <t>64+4 INF</t>
  </si>
  <si>
    <t>129+0 INF</t>
  </si>
  <si>
    <t>53+0 INF</t>
  </si>
  <si>
    <t>139+3 INF</t>
  </si>
  <si>
    <t>34+0 INF</t>
  </si>
  <si>
    <t>41+2 INF</t>
  </si>
  <si>
    <t>77+2 INF</t>
  </si>
  <si>
    <t>62+5 INF</t>
  </si>
  <si>
    <t>86+2 INF</t>
  </si>
  <si>
    <t>122+3 INF</t>
  </si>
  <si>
    <t>90+4 INF</t>
  </si>
  <si>
    <t>158+2 INF</t>
  </si>
  <si>
    <t>169+5 INF</t>
  </si>
  <si>
    <t>165+5 INF</t>
  </si>
  <si>
    <t>92+4 INF</t>
  </si>
  <si>
    <t>81+5 INF</t>
  </si>
  <si>
    <t>HALYQ</t>
  </si>
  <si>
    <t>46+4 INF</t>
  </si>
  <si>
    <t>141+3 INF</t>
  </si>
  <si>
    <t>62+1 INF</t>
  </si>
  <si>
    <t>DIV TO BUD</t>
  </si>
  <si>
    <t>143+1 INF</t>
  </si>
  <si>
    <t>106+4 INF</t>
  </si>
  <si>
    <t>62+0 INF</t>
  </si>
  <si>
    <t>169+4 INF</t>
  </si>
  <si>
    <t>103+4 INF</t>
  </si>
  <si>
    <t>SWISS AIR AMBULANCE</t>
  </si>
  <si>
    <t>ZRH-TZL-LUG</t>
  </si>
  <si>
    <t>CL605</t>
  </si>
  <si>
    <t>HB-JWB</t>
  </si>
  <si>
    <t>MEDEVAC</t>
  </si>
  <si>
    <t>SAZ61</t>
  </si>
  <si>
    <t>SAZ62</t>
  </si>
  <si>
    <t>2+0 INF</t>
  </si>
  <si>
    <t>BEG-TZL-BUD</t>
  </si>
  <si>
    <t>HA-LYQ</t>
  </si>
  <si>
    <t>W64284A</t>
  </si>
  <si>
    <t>W6801</t>
  </si>
  <si>
    <t>142+3 INF</t>
  </si>
  <si>
    <t>83+2 INF</t>
  </si>
  <si>
    <t>110+3 INF</t>
  </si>
  <si>
    <t>158+3INF</t>
  </si>
  <si>
    <t>81+2INF</t>
  </si>
  <si>
    <t>58+1INF</t>
  </si>
  <si>
    <t>62+1INF</t>
  </si>
  <si>
    <t>76+5INF</t>
  </si>
  <si>
    <t>95+4 INF</t>
  </si>
  <si>
    <t>101+6 INF</t>
  </si>
  <si>
    <t>144+2 INF</t>
  </si>
  <si>
    <t>145+7 INF</t>
  </si>
  <si>
    <t>43+1 INF</t>
  </si>
  <si>
    <t>163+4 INF</t>
  </si>
  <si>
    <t>122+5 INF</t>
  </si>
  <si>
    <t>118+1 INF</t>
  </si>
  <si>
    <t>20+0 INF</t>
  </si>
  <si>
    <t>111+1 INF</t>
  </si>
  <si>
    <t>117+3 INF</t>
  </si>
  <si>
    <t>155+5 INF</t>
  </si>
  <si>
    <t>135+0 INF</t>
  </si>
  <si>
    <t>97+1 INF</t>
  </si>
  <si>
    <t>76+0 INF</t>
  </si>
  <si>
    <t>106+2 INF</t>
  </si>
  <si>
    <t>67+0 INF</t>
  </si>
  <si>
    <t>135+5INF</t>
  </si>
  <si>
    <t>122+3INF</t>
  </si>
  <si>
    <t>105+1INF</t>
  </si>
  <si>
    <t>72+2 INF</t>
  </si>
  <si>
    <t>91+4 INF</t>
  </si>
  <si>
    <t>JUGOSERVIS</t>
  </si>
  <si>
    <t>BEG-TZL-TREBINJE</t>
  </si>
  <si>
    <t>BEG-TZL-CILJUGE</t>
  </si>
  <si>
    <t>S750</t>
  </si>
  <si>
    <t>YZ-DSW</t>
  </si>
  <si>
    <t>44+3 INF</t>
  </si>
  <si>
    <t>160+0INF</t>
  </si>
  <si>
    <t>128+4INF</t>
  </si>
  <si>
    <t>63+2INF</t>
  </si>
  <si>
    <t>89+2INF</t>
  </si>
  <si>
    <t>117+2INF</t>
  </si>
  <si>
    <t>110+5INF</t>
  </si>
  <si>
    <t>88+3INF</t>
  </si>
  <si>
    <t>136+2INF</t>
  </si>
  <si>
    <t>40+1INF</t>
  </si>
  <si>
    <t>69+2INF</t>
  </si>
  <si>
    <t>HALYR</t>
  </si>
  <si>
    <t>95+1 INF</t>
  </si>
  <si>
    <t>104+1 INF</t>
  </si>
  <si>
    <t>113+3 INF</t>
  </si>
  <si>
    <t>106+0 INF</t>
  </si>
  <si>
    <t>146+0 INF</t>
  </si>
  <si>
    <t>154+3 INF</t>
  </si>
  <si>
    <t>106+2INF</t>
  </si>
  <si>
    <t>147+0INF</t>
  </si>
  <si>
    <t>83+2INF</t>
  </si>
  <si>
    <t>72+0INF</t>
  </si>
  <si>
    <t>55+1INF</t>
  </si>
  <si>
    <t>69+2 INF</t>
  </si>
  <si>
    <t>59+3 INF</t>
  </si>
  <si>
    <t>135+1 INF</t>
  </si>
  <si>
    <t>77+3 INF</t>
  </si>
  <si>
    <t>29+0 INF</t>
  </si>
  <si>
    <t>120+0 INF</t>
  </si>
  <si>
    <t>TC-FHM</t>
  </si>
  <si>
    <t>103+4INF</t>
  </si>
  <si>
    <t>HA-LYR</t>
  </si>
  <si>
    <t>128+1INF</t>
  </si>
  <si>
    <t>93+1INF</t>
  </si>
  <si>
    <t>99+4INF</t>
  </si>
  <si>
    <t>100+2INF</t>
  </si>
  <si>
    <t>150+1INF</t>
  </si>
  <si>
    <t>114+4INF</t>
  </si>
  <si>
    <t>67+2 INF</t>
  </si>
  <si>
    <t>64+2 INF</t>
  </si>
  <si>
    <t>56+1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</si>
</sst>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Garamond"/>
      <family val="1"/>
      <charset val="238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</cellStyleXfs>
  <cellXfs count="73">
    <xf numFmtId="0" fontId="0" fillId="0" borderId="0" xfId="0"/>
    <xf numFmtId="20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4" fillId="0" borderId="0" xfId="2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20" fontId="7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7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4" applyFont="1" applyFill="1" applyAlignment="1">
      <alignment horizontal="center" vertical="center"/>
    </xf>
    <xf numFmtId="20" fontId="7" fillId="0" borderId="0" xfId="4" applyNumberFormat="1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0" fontId="4" fillId="0" borderId="0" xfId="4" applyNumberFormat="1" applyFont="1" applyFill="1" applyAlignment="1">
      <alignment horizontal="center" vertical="center"/>
    </xf>
    <xf numFmtId="0" fontId="4" fillId="0" borderId="0" xfId="3" applyFont="1" applyFill="1" applyAlignment="1">
      <alignment horizontal="center" vertical="center"/>
    </xf>
    <xf numFmtId="3" fontId="4" fillId="0" borderId="0" xfId="3" applyNumberFormat="1" applyFont="1" applyFill="1" applyAlignment="1">
      <alignment horizontal="center" vertical="center"/>
    </xf>
    <xf numFmtId="20" fontId="8" fillId="0" borderId="0" xfId="3" applyNumberFormat="1" applyFont="1" applyAlignment="1">
      <alignment horizontal="center" vertical="center"/>
    </xf>
    <xf numFmtId="20" fontId="6" fillId="0" borderId="0" xfId="3" applyNumberFormat="1" applyFont="1" applyAlignment="1">
      <alignment horizontal="center" vertical="center"/>
    </xf>
    <xf numFmtId="0" fontId="4" fillId="0" borderId="0" xfId="3" applyNumberFormat="1" applyFont="1" applyFill="1" applyAlignment="1">
      <alignment horizontal="center" vertical="center"/>
    </xf>
    <xf numFmtId="0" fontId="1" fillId="0" borderId="0" xfId="8"/>
    <xf numFmtId="20" fontId="7" fillId="0" borderId="0" xfId="3" applyNumberFormat="1" applyFont="1" applyFill="1" applyAlignment="1">
      <alignment horizontal="center" vertical="center"/>
    </xf>
    <xf numFmtId="20" fontId="4" fillId="0" borderId="0" xfId="3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0" fontId="4" fillId="0" borderId="0" xfId="1" applyFont="1" applyFill="1" applyBorder="1" applyAlignment="1">
      <alignment horizontal="center" vertical="center"/>
    </xf>
    <xf numFmtId="0" fontId="4" fillId="0" borderId="0" xfId="3" applyFont="1" applyBorder="1" applyAlignment="1">
      <alignment horizontal="center" vertical="center"/>
    </xf>
    <xf numFmtId="0" fontId="6" fillId="0" borderId="0" xfId="0" applyFont="1" applyBorder="1"/>
    <xf numFmtId="14" fontId="4" fillId="0" borderId="0" xfId="2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20" fontId="7" fillId="0" borderId="0" xfId="0" applyNumberFormat="1" applyFont="1" applyFill="1" applyBorder="1" applyAlignment="1">
      <alignment horizontal="center" vertical="center"/>
    </xf>
    <xf numFmtId="20" fontId="4" fillId="0" borderId="0" xfId="1" applyNumberFormat="1" applyFont="1" applyFill="1" applyBorder="1" applyAlignment="1">
      <alignment horizontal="center" vertical="center"/>
    </xf>
    <xf numFmtId="2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20" fontId="7" fillId="0" borderId="0" xfId="1" applyNumberFormat="1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4" fillId="2" borderId="0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8" applyFont="1" applyAlignment="1">
      <alignment horizontal="center"/>
    </xf>
    <xf numFmtId="0" fontId="9" fillId="0" borderId="0" xfId="0" applyFont="1"/>
    <xf numFmtId="0" fontId="9" fillId="2" borderId="0" xfId="0" applyFont="1" applyFill="1" applyAlignment="1">
      <alignment horizontal="center"/>
    </xf>
    <xf numFmtId="20" fontId="8" fillId="2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20" fontId="8" fillId="0" borderId="0" xfId="0" applyNumberFormat="1" applyFont="1" applyBorder="1" applyAlignment="1">
      <alignment horizontal="center"/>
    </xf>
    <xf numFmtId="0" fontId="4" fillId="0" borderId="1" xfId="1" applyFont="1" applyFill="1" applyBorder="1" applyAlignment="1">
      <alignment horizontal="center" vertical="center"/>
    </xf>
    <xf numFmtId="0" fontId="6" fillId="0" borderId="0" xfId="4" applyFont="1" applyAlignment="1">
      <alignment horizontal="center"/>
    </xf>
    <xf numFmtId="20" fontId="6" fillId="0" borderId="0" xfId="4" applyNumberFormat="1" applyFont="1" applyAlignment="1">
      <alignment horizontal="center"/>
    </xf>
    <xf numFmtId="20" fontId="8" fillId="0" borderId="0" xfId="4" applyNumberFormat="1" applyFont="1" applyAlignment="1">
      <alignment horizontal="center"/>
    </xf>
    <xf numFmtId="0" fontId="4" fillId="3" borderId="0" xfId="1" applyFont="1" applyFill="1" applyAlignment="1">
      <alignment horizontal="center" vertical="center"/>
    </xf>
    <xf numFmtId="20" fontId="7" fillId="3" borderId="0" xfId="1" applyNumberFormat="1" applyFont="1" applyFill="1" applyAlignment="1">
      <alignment horizontal="center" vertical="center"/>
    </xf>
    <xf numFmtId="20" fontId="4" fillId="3" borderId="0" xfId="1" applyNumberFormat="1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9">
    <cellStyle name="Normal" xfId="0" builtinId="0"/>
    <cellStyle name="Normal 2" xfId="4"/>
    <cellStyle name="Normal 2 2" xfId="2"/>
    <cellStyle name="Normal 3" xfId="5"/>
    <cellStyle name="Normal 3 2" xfId="1"/>
    <cellStyle name="Normal 4" xfId="3"/>
    <cellStyle name="Normal 5" xfId="6"/>
    <cellStyle name="Normal 6" xfId="7"/>
    <cellStyle name="Normal 7" xf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F36" sqref="F36"/>
    </sheetView>
  </sheetViews>
  <sheetFormatPr defaultRowHeight="12.75" x14ac:dyDescent="0.2"/>
  <cols>
    <col min="1" max="1" width="9.140625" style="34" bestFit="1" customWidth="1"/>
    <col min="2" max="2" width="13.85546875" style="34" customWidth="1"/>
    <col min="3" max="3" width="19" style="34" customWidth="1"/>
    <col min="4" max="4" width="10.5703125" style="34" customWidth="1"/>
    <col min="5" max="5" width="9.140625" style="34"/>
    <col min="6" max="6" width="17.28515625" style="34" customWidth="1"/>
    <col min="7" max="7" width="9.28515625" style="34" bestFit="1" customWidth="1"/>
    <col min="8" max="9" width="9.140625" style="34"/>
    <col min="10" max="10" width="11.140625" style="34" bestFit="1" customWidth="1"/>
    <col min="11" max="11" width="11" style="34" bestFit="1" customWidth="1"/>
    <col min="12" max="12" width="11.140625" style="34" bestFit="1" customWidth="1"/>
    <col min="13" max="13" width="11" style="34" bestFit="1" customWidth="1"/>
    <col min="14" max="15" width="18.5703125" style="34" bestFit="1" customWidth="1"/>
    <col min="16" max="21" width="9.28515625" style="34" bestFit="1" customWidth="1"/>
    <col min="22" max="16384" width="9.140625" style="34"/>
  </cols>
  <sheetData>
    <row r="1" spans="1:21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</row>
    <row r="2" spans="1:21" x14ac:dyDescent="0.2">
      <c r="A2" s="58">
        <v>44013</v>
      </c>
      <c r="B2" s="36" t="s">
        <v>24</v>
      </c>
      <c r="C2" s="59" t="s">
        <v>48</v>
      </c>
      <c r="D2" s="59" t="s">
        <v>23</v>
      </c>
      <c r="E2" s="59" t="s">
        <v>47</v>
      </c>
      <c r="F2" s="59" t="s">
        <v>27</v>
      </c>
      <c r="G2" s="61">
        <v>70000</v>
      </c>
      <c r="H2" s="59" t="s">
        <v>54</v>
      </c>
      <c r="I2" s="59" t="s">
        <v>55</v>
      </c>
      <c r="J2" s="62">
        <v>0.46180555555555558</v>
      </c>
      <c r="K2" s="60">
        <v>0.45</v>
      </c>
      <c r="L2" s="62">
        <v>0.26041666666666669</v>
      </c>
      <c r="M2" s="60">
        <v>0.26458333333333334</v>
      </c>
      <c r="N2" s="59" t="s">
        <v>102</v>
      </c>
      <c r="O2" s="59" t="s">
        <v>103</v>
      </c>
      <c r="P2" s="59">
        <v>1159</v>
      </c>
      <c r="Q2" s="59">
        <v>306</v>
      </c>
      <c r="R2" s="59">
        <v>0</v>
      </c>
      <c r="S2" s="59">
        <v>0</v>
      </c>
      <c r="T2" s="59">
        <v>0</v>
      </c>
      <c r="U2" s="59">
        <v>0</v>
      </c>
    </row>
    <row r="3" spans="1:21" x14ac:dyDescent="0.2">
      <c r="A3" s="58">
        <v>44013</v>
      </c>
      <c r="B3" s="36" t="s">
        <v>24</v>
      </c>
      <c r="C3" s="59" t="s">
        <v>49</v>
      </c>
      <c r="D3" s="59" t="s">
        <v>23</v>
      </c>
      <c r="E3" s="59" t="s">
        <v>93</v>
      </c>
      <c r="F3" s="59" t="s">
        <v>27</v>
      </c>
      <c r="G3" s="61">
        <v>71500</v>
      </c>
      <c r="H3" s="59" t="s">
        <v>56</v>
      </c>
      <c r="I3" s="59" t="s">
        <v>57</v>
      </c>
      <c r="J3" s="62">
        <v>0.47569444444444442</v>
      </c>
      <c r="K3" s="60">
        <v>0.46249999999999997</v>
      </c>
      <c r="L3" s="62">
        <v>0.27430555555555552</v>
      </c>
      <c r="M3" s="60">
        <v>0.27847222222222223</v>
      </c>
      <c r="N3" s="59" t="s">
        <v>104</v>
      </c>
      <c r="O3" s="59" t="s">
        <v>71</v>
      </c>
      <c r="P3" s="59">
        <v>743</v>
      </c>
      <c r="Q3" s="59">
        <v>44</v>
      </c>
      <c r="R3" s="59">
        <v>0</v>
      </c>
      <c r="S3" s="59">
        <v>0</v>
      </c>
      <c r="T3" s="59">
        <v>0</v>
      </c>
      <c r="U3" s="59">
        <v>0</v>
      </c>
    </row>
    <row r="4" spans="1:21" x14ac:dyDescent="0.2">
      <c r="A4" s="58">
        <v>44013</v>
      </c>
      <c r="B4" s="36" t="s">
        <v>24</v>
      </c>
      <c r="C4" s="32" t="s">
        <v>41</v>
      </c>
      <c r="D4" s="59" t="s">
        <v>23</v>
      </c>
      <c r="E4" s="36" t="s">
        <v>47</v>
      </c>
      <c r="F4" s="59" t="s">
        <v>27</v>
      </c>
      <c r="G4" s="61">
        <v>70000</v>
      </c>
      <c r="H4" s="32" t="s">
        <v>42</v>
      </c>
      <c r="I4" s="32" t="s">
        <v>43</v>
      </c>
      <c r="J4" s="42">
        <v>0.71527777777777779</v>
      </c>
      <c r="K4" s="39">
        <v>0.70972222222222225</v>
      </c>
      <c r="L4" s="42">
        <v>0.49652777777777773</v>
      </c>
      <c r="M4" s="39">
        <v>0.49513888888888885</v>
      </c>
      <c r="N4" s="32" t="s">
        <v>73</v>
      </c>
      <c r="O4" s="32" t="s">
        <v>105</v>
      </c>
      <c r="P4" s="32">
        <v>390</v>
      </c>
      <c r="Q4" s="41">
        <v>88</v>
      </c>
      <c r="R4" s="32">
        <v>0</v>
      </c>
      <c r="S4" s="32">
        <v>0</v>
      </c>
      <c r="T4" s="32">
        <v>0</v>
      </c>
      <c r="U4" s="32">
        <v>0</v>
      </c>
    </row>
    <row r="5" spans="1:21" x14ac:dyDescent="0.2">
      <c r="A5" s="58">
        <v>44013</v>
      </c>
      <c r="B5" s="36" t="s">
        <v>24</v>
      </c>
      <c r="C5" s="32" t="s">
        <v>50</v>
      </c>
      <c r="D5" s="59" t="s">
        <v>23</v>
      </c>
      <c r="E5" s="44" t="s">
        <v>93</v>
      </c>
      <c r="F5" s="59" t="s">
        <v>27</v>
      </c>
      <c r="G5" s="61">
        <v>71500</v>
      </c>
      <c r="H5" s="43" t="s">
        <v>58</v>
      </c>
      <c r="I5" s="43" t="s">
        <v>59</v>
      </c>
      <c r="J5" s="42">
        <v>0.72569444444444453</v>
      </c>
      <c r="K5" s="39">
        <v>0.73541666666666661</v>
      </c>
      <c r="L5" s="42">
        <v>0.5</v>
      </c>
      <c r="M5" s="39">
        <v>0.50486111111111109</v>
      </c>
      <c r="N5" s="32" t="s">
        <v>112</v>
      </c>
      <c r="O5" s="47" t="s">
        <v>106</v>
      </c>
      <c r="P5" s="32">
        <v>1383</v>
      </c>
      <c r="Q5" s="41">
        <v>193</v>
      </c>
      <c r="R5" s="32">
        <v>0</v>
      </c>
      <c r="S5" s="32">
        <v>0</v>
      </c>
      <c r="T5" s="32">
        <v>0</v>
      </c>
      <c r="U5" s="32">
        <v>0</v>
      </c>
    </row>
    <row r="6" spans="1:21" x14ac:dyDescent="0.2">
      <c r="A6" s="58">
        <v>44013</v>
      </c>
      <c r="B6" s="36" t="s">
        <v>24</v>
      </c>
      <c r="C6" s="32" t="s">
        <v>52</v>
      </c>
      <c r="D6" s="59" t="s">
        <v>23</v>
      </c>
      <c r="E6" s="44" t="s">
        <v>93</v>
      </c>
      <c r="F6" s="59" t="s">
        <v>27</v>
      </c>
      <c r="G6" s="61">
        <v>71500</v>
      </c>
      <c r="H6" s="43" t="s">
        <v>62</v>
      </c>
      <c r="I6" s="43" t="s">
        <v>63</v>
      </c>
      <c r="J6" s="42">
        <v>0.9375</v>
      </c>
      <c r="K6" s="39">
        <v>0.95000000000000007</v>
      </c>
      <c r="L6" s="42">
        <v>0.74652777777777779</v>
      </c>
      <c r="M6" s="39">
        <v>0.76944444444444438</v>
      </c>
      <c r="N6" s="47" t="s">
        <v>115</v>
      </c>
      <c r="O6" s="32" t="s">
        <v>113</v>
      </c>
      <c r="P6" s="32">
        <v>721</v>
      </c>
      <c r="Q6" s="32">
        <v>346</v>
      </c>
      <c r="R6" s="32">
        <v>0</v>
      </c>
      <c r="S6" s="32">
        <v>0</v>
      </c>
      <c r="T6" s="32">
        <v>0</v>
      </c>
      <c r="U6" s="32">
        <v>0</v>
      </c>
    </row>
    <row r="7" spans="1:21" x14ac:dyDescent="0.2">
      <c r="A7" s="58">
        <v>44013</v>
      </c>
      <c r="B7" s="36" t="s">
        <v>24</v>
      </c>
      <c r="C7" s="46" t="s">
        <v>53</v>
      </c>
      <c r="D7" s="59" t="s">
        <v>23</v>
      </c>
      <c r="E7" s="43" t="s">
        <v>47</v>
      </c>
      <c r="F7" s="59" t="s">
        <v>27</v>
      </c>
      <c r="G7" s="61">
        <v>70000</v>
      </c>
      <c r="H7" s="43" t="s">
        <v>64</v>
      </c>
      <c r="I7" s="43" t="s">
        <v>65</v>
      </c>
      <c r="J7" s="62">
        <v>0.94097222222222221</v>
      </c>
      <c r="K7" s="60">
        <v>0.94305555555555554</v>
      </c>
      <c r="L7" s="62" t="s">
        <v>101</v>
      </c>
      <c r="M7" s="60">
        <v>0.77777777777777779</v>
      </c>
      <c r="N7" s="63" t="s">
        <v>116</v>
      </c>
      <c r="O7" s="32" t="s">
        <v>114</v>
      </c>
      <c r="P7" s="32">
        <v>694</v>
      </c>
      <c r="Q7" s="32">
        <v>266</v>
      </c>
      <c r="R7" s="32">
        <v>0</v>
      </c>
      <c r="S7" s="32">
        <v>0</v>
      </c>
      <c r="T7" s="32">
        <v>0</v>
      </c>
      <c r="U7" s="32">
        <v>0</v>
      </c>
    </row>
    <row r="8" spans="1:21" x14ac:dyDescent="0.2">
      <c r="A8" s="35">
        <v>44013</v>
      </c>
      <c r="B8" s="43" t="s">
        <v>107</v>
      </c>
      <c r="C8" s="32" t="s">
        <v>108</v>
      </c>
      <c r="D8" s="43" t="s">
        <v>109</v>
      </c>
      <c r="E8" s="44" t="s">
        <v>110</v>
      </c>
      <c r="F8" s="32" t="s">
        <v>85</v>
      </c>
      <c r="G8" s="45">
        <v>4763</v>
      </c>
      <c r="H8" s="43" t="s">
        <v>111</v>
      </c>
      <c r="I8" s="43" t="s">
        <v>111</v>
      </c>
      <c r="J8" s="60">
        <v>0.59375</v>
      </c>
      <c r="K8" s="60">
        <v>0.61597222222222225</v>
      </c>
      <c r="L8" s="60">
        <v>0.61458333333333337</v>
      </c>
      <c r="M8" s="60">
        <v>0.62152777777777779</v>
      </c>
      <c r="N8" s="32">
        <v>1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J8" sqref="J8"/>
    </sheetView>
  </sheetViews>
  <sheetFormatPr defaultRowHeight="12.75" x14ac:dyDescent="0.2"/>
  <cols>
    <col min="1" max="1" width="9.140625" style="34" bestFit="1" customWidth="1"/>
    <col min="2" max="2" width="13.85546875" style="34" customWidth="1"/>
    <col min="3" max="3" width="19" style="34" customWidth="1"/>
    <col min="4" max="4" width="10.5703125" style="34" customWidth="1"/>
    <col min="5" max="5" width="9.140625" style="34"/>
    <col min="6" max="6" width="17.28515625" style="34" customWidth="1"/>
    <col min="7" max="7" width="9.28515625" style="34" bestFit="1" customWidth="1"/>
    <col min="8" max="9" width="9.140625" style="34"/>
    <col min="10" max="10" width="11.140625" style="34" bestFit="1" customWidth="1"/>
    <col min="11" max="11" width="11" style="34" bestFit="1" customWidth="1"/>
    <col min="12" max="12" width="11.140625" style="34" bestFit="1" customWidth="1"/>
    <col min="13" max="13" width="11" style="34" bestFit="1" customWidth="1"/>
    <col min="14" max="15" width="18.5703125" style="34" bestFit="1" customWidth="1"/>
    <col min="16" max="21" width="9.28515625" style="34" bestFit="1" customWidth="1"/>
    <col min="22" max="16384" width="9.140625" style="34"/>
  </cols>
  <sheetData>
    <row r="1" spans="1:21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</row>
    <row r="2" spans="1:21" x14ac:dyDescent="0.2">
      <c r="A2" s="58">
        <v>44014</v>
      </c>
      <c r="B2" s="36" t="s">
        <v>24</v>
      </c>
      <c r="C2" s="32" t="s">
        <v>117</v>
      </c>
      <c r="D2" s="59" t="s">
        <v>23</v>
      </c>
      <c r="E2" s="59" t="s">
        <v>93</v>
      </c>
      <c r="F2" s="59" t="s">
        <v>27</v>
      </c>
      <c r="G2" s="61">
        <v>71500</v>
      </c>
      <c r="H2" s="32" t="s">
        <v>118</v>
      </c>
      <c r="I2" s="32" t="s">
        <v>120</v>
      </c>
      <c r="J2" s="42">
        <v>0.3888888888888889</v>
      </c>
      <c r="K2" s="39">
        <v>0.38541666666666669</v>
      </c>
      <c r="L2" s="42">
        <v>0.25694444444444448</v>
      </c>
      <c r="M2" s="39">
        <v>0.25694444444444448</v>
      </c>
      <c r="N2" s="32" t="s">
        <v>123</v>
      </c>
      <c r="O2" s="32">
        <v>10</v>
      </c>
      <c r="P2" s="32">
        <v>258</v>
      </c>
      <c r="Q2" s="41">
        <v>36</v>
      </c>
      <c r="R2" s="32">
        <v>0</v>
      </c>
      <c r="S2" s="32">
        <v>0</v>
      </c>
      <c r="T2" s="32">
        <v>0</v>
      </c>
      <c r="U2" s="32">
        <v>0</v>
      </c>
    </row>
    <row r="3" spans="1:21" x14ac:dyDescent="0.2">
      <c r="A3" s="58">
        <v>44014</v>
      </c>
      <c r="B3" s="36" t="s">
        <v>24</v>
      </c>
      <c r="C3" s="59" t="s">
        <v>49</v>
      </c>
      <c r="D3" s="59" t="s">
        <v>23</v>
      </c>
      <c r="E3" s="36" t="s">
        <v>47</v>
      </c>
      <c r="F3" s="59" t="s">
        <v>27</v>
      </c>
      <c r="G3" s="61">
        <v>70000</v>
      </c>
      <c r="H3" s="59" t="s">
        <v>56</v>
      </c>
      <c r="I3" s="59" t="s">
        <v>57</v>
      </c>
      <c r="J3" s="62">
        <v>0.46180555555555558</v>
      </c>
      <c r="K3" s="60">
        <v>0.4513888888888889</v>
      </c>
      <c r="L3" s="62">
        <v>0.27430555555555552</v>
      </c>
      <c r="M3" s="60">
        <v>0.27430555555555552</v>
      </c>
      <c r="N3" s="59" t="s">
        <v>75</v>
      </c>
      <c r="O3" s="59" t="s">
        <v>121</v>
      </c>
      <c r="P3" s="59">
        <v>520</v>
      </c>
      <c r="Q3" s="59">
        <v>196</v>
      </c>
      <c r="R3" s="59">
        <v>0</v>
      </c>
      <c r="S3" s="59">
        <v>0</v>
      </c>
      <c r="T3" s="59">
        <v>0</v>
      </c>
      <c r="U3" s="59">
        <v>0</v>
      </c>
    </row>
    <row r="4" spans="1:21" x14ac:dyDescent="0.2">
      <c r="A4" s="58">
        <v>44014</v>
      </c>
      <c r="B4" s="36" t="s">
        <v>24</v>
      </c>
      <c r="C4" s="32" t="s">
        <v>32</v>
      </c>
      <c r="D4" s="59" t="s">
        <v>23</v>
      </c>
      <c r="E4" s="44" t="s">
        <v>93</v>
      </c>
      <c r="F4" s="59" t="s">
        <v>27</v>
      </c>
      <c r="G4" s="61">
        <v>71500</v>
      </c>
      <c r="H4" s="43" t="s">
        <v>34</v>
      </c>
      <c r="I4" s="43" t="s">
        <v>36</v>
      </c>
      <c r="J4" s="42">
        <v>0.55555555555555558</v>
      </c>
      <c r="K4" s="39">
        <v>0.55347222222222225</v>
      </c>
      <c r="L4" s="42">
        <v>0.40972222222222227</v>
      </c>
      <c r="M4" s="39">
        <v>0.41805555555555557</v>
      </c>
      <c r="N4" s="32" t="s">
        <v>124</v>
      </c>
      <c r="O4" s="47" t="s">
        <v>122</v>
      </c>
      <c r="P4" s="32">
        <v>526</v>
      </c>
      <c r="Q4" s="41">
        <v>293</v>
      </c>
      <c r="R4" s="32">
        <v>0</v>
      </c>
      <c r="S4" s="32">
        <v>0</v>
      </c>
      <c r="T4" s="32">
        <v>0</v>
      </c>
      <c r="U4" s="32">
        <v>0</v>
      </c>
    </row>
    <row r="5" spans="1:21" x14ac:dyDescent="0.2">
      <c r="A5" s="58">
        <v>44014</v>
      </c>
      <c r="B5" s="36" t="s">
        <v>24</v>
      </c>
      <c r="C5" s="32" t="s">
        <v>33</v>
      </c>
      <c r="D5" s="59" t="s">
        <v>23</v>
      </c>
      <c r="E5" s="36" t="s">
        <v>47</v>
      </c>
      <c r="F5" s="59" t="s">
        <v>27</v>
      </c>
      <c r="G5" s="61">
        <v>70000</v>
      </c>
      <c r="H5" s="43" t="s">
        <v>119</v>
      </c>
      <c r="I5" s="43" t="s">
        <v>37</v>
      </c>
      <c r="J5" s="42">
        <v>0.69444444444444453</v>
      </c>
      <c r="K5" s="39">
        <v>0.68611111111111101</v>
      </c>
      <c r="L5" s="42">
        <v>0.48958333333333331</v>
      </c>
      <c r="M5" s="39">
        <v>0.49236111111111108</v>
      </c>
      <c r="N5" s="47" t="s">
        <v>126</v>
      </c>
      <c r="O5" s="32" t="s">
        <v>129</v>
      </c>
      <c r="P5" s="32">
        <v>338</v>
      </c>
      <c r="Q5" s="32">
        <v>347</v>
      </c>
      <c r="R5" s="32">
        <v>0</v>
      </c>
      <c r="S5" s="32">
        <v>0</v>
      </c>
      <c r="T5" s="32">
        <v>0</v>
      </c>
      <c r="U5" s="32">
        <v>0</v>
      </c>
    </row>
    <row r="6" spans="1:21" x14ac:dyDescent="0.2">
      <c r="A6" s="58">
        <v>44014</v>
      </c>
      <c r="B6" s="36" t="s">
        <v>24</v>
      </c>
      <c r="C6" s="59" t="s">
        <v>53</v>
      </c>
      <c r="D6" s="59" t="s">
        <v>23</v>
      </c>
      <c r="E6" s="44" t="s">
        <v>93</v>
      </c>
      <c r="F6" s="59" t="s">
        <v>27</v>
      </c>
      <c r="G6" s="61">
        <v>71500</v>
      </c>
      <c r="H6" s="59" t="s">
        <v>64</v>
      </c>
      <c r="I6" s="59" t="s">
        <v>65</v>
      </c>
      <c r="J6" s="60">
        <v>0.75694444444444453</v>
      </c>
      <c r="K6" s="60">
        <v>0.78194444444444444</v>
      </c>
      <c r="L6" s="60">
        <v>0.58680555555555558</v>
      </c>
      <c r="M6" s="60">
        <v>0.60625000000000007</v>
      </c>
      <c r="N6" s="59" t="s">
        <v>127</v>
      </c>
      <c r="O6" s="59" t="s">
        <v>125</v>
      </c>
      <c r="P6" s="59">
        <v>958</v>
      </c>
      <c r="Q6" s="59">
        <v>220</v>
      </c>
      <c r="R6" s="59">
        <v>0</v>
      </c>
      <c r="S6" s="59">
        <v>0</v>
      </c>
      <c r="T6" s="59">
        <v>0</v>
      </c>
      <c r="U6" s="59">
        <v>0</v>
      </c>
    </row>
    <row r="7" spans="1:21" x14ac:dyDescent="0.2">
      <c r="A7" s="58">
        <v>44014</v>
      </c>
      <c r="B7" s="36" t="s">
        <v>24</v>
      </c>
      <c r="C7" s="59" t="s">
        <v>51</v>
      </c>
      <c r="D7" s="59" t="s">
        <v>23</v>
      </c>
      <c r="E7" s="36" t="s">
        <v>47</v>
      </c>
      <c r="F7" s="59" t="s">
        <v>27</v>
      </c>
      <c r="G7" s="61">
        <v>70000</v>
      </c>
      <c r="H7" s="59" t="s">
        <v>60</v>
      </c>
      <c r="I7" s="59" t="s">
        <v>61</v>
      </c>
      <c r="J7" s="60">
        <v>0.94791666666666663</v>
      </c>
      <c r="K7" s="60">
        <v>0.94513888888888886</v>
      </c>
      <c r="L7" s="60">
        <v>0.71527777777777779</v>
      </c>
      <c r="M7" s="60">
        <v>0.72152777777777777</v>
      </c>
      <c r="N7" s="59" t="s">
        <v>130</v>
      </c>
      <c r="O7" s="59" t="s">
        <v>128</v>
      </c>
      <c r="P7" s="59">
        <v>1043</v>
      </c>
      <c r="Q7" s="59">
        <v>285</v>
      </c>
      <c r="R7" s="59">
        <v>0</v>
      </c>
      <c r="S7" s="59">
        <v>0</v>
      </c>
      <c r="T7" s="59">
        <v>0</v>
      </c>
      <c r="U7" s="59">
        <v>0</v>
      </c>
    </row>
    <row r="8" spans="1:21" x14ac:dyDescent="0.2">
      <c r="A8" s="58">
        <v>44014</v>
      </c>
      <c r="B8" s="36" t="s">
        <v>24</v>
      </c>
      <c r="C8" s="59" t="s">
        <v>46</v>
      </c>
      <c r="D8" s="59" t="s">
        <v>23</v>
      </c>
      <c r="E8" s="44" t="s">
        <v>93</v>
      </c>
      <c r="F8" s="59" t="s">
        <v>27</v>
      </c>
      <c r="G8" s="61">
        <v>71500</v>
      </c>
      <c r="H8" s="59" t="s">
        <v>44</v>
      </c>
      <c r="I8" s="59" t="s">
        <v>45</v>
      </c>
      <c r="J8" s="60">
        <v>0.95486111111111116</v>
      </c>
      <c r="K8" s="60">
        <v>0.99583333333333324</v>
      </c>
      <c r="L8" s="60">
        <v>0.77777777777777779</v>
      </c>
      <c r="M8" s="60">
        <v>0.81180555555555556</v>
      </c>
      <c r="N8" s="59" t="s">
        <v>131</v>
      </c>
      <c r="O8" s="59" t="s">
        <v>76</v>
      </c>
      <c r="P8" s="59">
        <v>674</v>
      </c>
      <c r="Q8" s="59">
        <v>88</v>
      </c>
      <c r="R8" s="59">
        <v>0</v>
      </c>
      <c r="S8" s="59">
        <v>0</v>
      </c>
      <c r="T8" s="59">
        <v>0</v>
      </c>
      <c r="U8" s="5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G29" sqref="G29"/>
    </sheetView>
  </sheetViews>
  <sheetFormatPr defaultRowHeight="15" x14ac:dyDescent="0.25"/>
  <cols>
    <col min="3" max="3" width="13.5703125" bestFit="1" customWidth="1"/>
    <col min="6" max="6" width="14.42578125" bestFit="1" customWidth="1"/>
    <col min="7" max="7" width="9.7109375" bestFit="1" customWidth="1"/>
    <col min="10" max="10" width="11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44015</v>
      </c>
      <c r="B2" s="36" t="s">
        <v>24</v>
      </c>
      <c r="C2" s="3" t="s">
        <v>48</v>
      </c>
      <c r="D2" s="14" t="s">
        <v>23</v>
      </c>
      <c r="E2" s="3" t="s">
        <v>132</v>
      </c>
      <c r="F2" s="3" t="s">
        <v>27</v>
      </c>
      <c r="G2" s="30">
        <v>70000</v>
      </c>
      <c r="H2" s="3" t="s">
        <v>54</v>
      </c>
      <c r="I2" s="3" t="s">
        <v>55</v>
      </c>
      <c r="J2" s="11">
        <v>0.46180555555555558</v>
      </c>
      <c r="K2" s="11">
        <v>0.46180555555555558</v>
      </c>
      <c r="L2" s="11">
        <v>0.26041666666666669</v>
      </c>
      <c r="M2" s="11">
        <v>0.26180555555555557</v>
      </c>
      <c r="N2" s="3" t="s">
        <v>139</v>
      </c>
      <c r="O2" s="3" t="s">
        <v>137</v>
      </c>
      <c r="P2" s="3">
        <v>1020</v>
      </c>
      <c r="Q2" s="3">
        <v>128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4">
        <v>44015</v>
      </c>
      <c r="B3" s="36" t="s">
        <v>24</v>
      </c>
      <c r="C3" s="3" t="s">
        <v>49</v>
      </c>
      <c r="D3" s="14" t="s">
        <v>23</v>
      </c>
      <c r="E3" s="3" t="s">
        <v>133</v>
      </c>
      <c r="F3" s="3" t="s">
        <v>27</v>
      </c>
      <c r="G3" s="30">
        <v>71500</v>
      </c>
      <c r="H3" s="3" t="s">
        <v>56</v>
      </c>
      <c r="I3" s="3" t="s">
        <v>57</v>
      </c>
      <c r="J3" s="11">
        <v>0.47569444444444442</v>
      </c>
      <c r="K3" s="11">
        <v>0.4680555555555555</v>
      </c>
      <c r="L3" s="11">
        <v>0.27430555555555552</v>
      </c>
      <c r="M3" s="11">
        <v>0.27361111111111108</v>
      </c>
      <c r="N3" s="3" t="s">
        <v>140</v>
      </c>
      <c r="O3" s="3" t="s">
        <v>138</v>
      </c>
      <c r="P3" s="3">
        <v>693</v>
      </c>
      <c r="Q3" s="3">
        <v>291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44015</v>
      </c>
      <c r="B4" s="36" t="s">
        <v>24</v>
      </c>
      <c r="C4" s="3" t="s">
        <v>50</v>
      </c>
      <c r="D4" s="14" t="s">
        <v>23</v>
      </c>
      <c r="E4" s="3" t="s">
        <v>132</v>
      </c>
      <c r="F4" s="3" t="s">
        <v>27</v>
      </c>
      <c r="G4" s="30">
        <v>70000</v>
      </c>
      <c r="H4" s="3" t="s">
        <v>58</v>
      </c>
      <c r="I4" s="3" t="s">
        <v>59</v>
      </c>
      <c r="J4" s="11">
        <v>0.72569444444444453</v>
      </c>
      <c r="K4" s="11">
        <v>0.72569444444444453</v>
      </c>
      <c r="L4" s="11">
        <v>0.5</v>
      </c>
      <c r="M4" s="11">
        <v>0.50138888888888888</v>
      </c>
      <c r="N4" s="3" t="s">
        <v>148</v>
      </c>
      <c r="O4" s="3" t="s">
        <v>141</v>
      </c>
      <c r="P4" s="3">
        <v>1626</v>
      </c>
      <c r="Q4" s="3">
        <v>88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44015</v>
      </c>
      <c r="B5" s="36" t="s">
        <v>24</v>
      </c>
      <c r="C5" s="3" t="s">
        <v>134</v>
      </c>
      <c r="D5" s="14" t="s">
        <v>23</v>
      </c>
      <c r="E5" s="3" t="s">
        <v>142</v>
      </c>
      <c r="F5" s="3" t="s">
        <v>27</v>
      </c>
      <c r="G5" s="30">
        <v>71500</v>
      </c>
      <c r="H5" s="3" t="s">
        <v>135</v>
      </c>
      <c r="I5" s="3" t="s">
        <v>136</v>
      </c>
      <c r="J5" s="11">
        <v>0.73263888888888884</v>
      </c>
      <c r="K5" s="11">
        <v>0.95694444444444438</v>
      </c>
      <c r="L5" s="11">
        <v>0.51736111111111105</v>
      </c>
      <c r="M5" s="11">
        <v>0.75</v>
      </c>
      <c r="N5" s="3" t="s">
        <v>149</v>
      </c>
      <c r="O5" s="3" t="s">
        <v>70</v>
      </c>
      <c r="P5" s="3">
        <v>1088</v>
      </c>
      <c r="Q5" s="3">
        <v>39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ht="12.75" x14ac:dyDescent="0.2">
      <c r="A6" s="4">
        <v>44015</v>
      </c>
      <c r="B6" s="36" t="s">
        <v>24</v>
      </c>
      <c r="C6" s="3" t="s">
        <v>66</v>
      </c>
      <c r="D6" s="14" t="s">
        <v>23</v>
      </c>
      <c r="E6" s="3" t="s">
        <v>132</v>
      </c>
      <c r="F6" s="3" t="s">
        <v>27</v>
      </c>
      <c r="G6" s="30">
        <v>70000</v>
      </c>
      <c r="H6" s="3" t="s">
        <v>69</v>
      </c>
      <c r="I6" s="3" t="s">
        <v>68</v>
      </c>
      <c r="J6" s="11">
        <v>0.89930555555555547</v>
      </c>
      <c r="K6" s="11">
        <v>0.90138888888888891</v>
      </c>
      <c r="L6" s="11">
        <v>0.75</v>
      </c>
      <c r="M6" s="11">
        <v>0.7715277777777777</v>
      </c>
      <c r="N6" s="3" t="s">
        <v>150</v>
      </c>
      <c r="O6" s="3" t="s">
        <v>152</v>
      </c>
      <c r="P6" s="3">
        <v>473</v>
      </c>
      <c r="Q6" s="3">
        <v>317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4">
        <v>44015</v>
      </c>
      <c r="B7" s="36" t="s">
        <v>24</v>
      </c>
      <c r="C7" s="3" t="s">
        <v>53</v>
      </c>
      <c r="D7" s="14" t="s">
        <v>23</v>
      </c>
      <c r="E7" s="3" t="s">
        <v>143</v>
      </c>
      <c r="F7" s="3" t="s">
        <v>27</v>
      </c>
      <c r="G7" s="30">
        <v>71500</v>
      </c>
      <c r="H7" s="3" t="s">
        <v>64</v>
      </c>
      <c r="I7" s="3" t="s">
        <v>65</v>
      </c>
      <c r="J7" s="11">
        <v>0.94097222222222221</v>
      </c>
      <c r="K7" s="11">
        <v>0.94444444444444453</v>
      </c>
      <c r="L7" s="11">
        <v>0.77083333333333337</v>
      </c>
      <c r="M7" s="11">
        <v>0.78055555555555556</v>
      </c>
      <c r="N7" s="3" t="s">
        <v>151</v>
      </c>
      <c r="O7" s="3">
        <v>62</v>
      </c>
      <c r="P7" s="3">
        <v>733</v>
      </c>
      <c r="Q7" s="3">
        <v>456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4">
        <v>44015</v>
      </c>
      <c r="B8" s="36" t="s">
        <v>24</v>
      </c>
      <c r="C8" s="3" t="s">
        <v>144</v>
      </c>
      <c r="D8" s="14" t="s">
        <v>23</v>
      </c>
      <c r="E8" s="3" t="s">
        <v>143</v>
      </c>
      <c r="F8" s="3" t="s">
        <v>145</v>
      </c>
      <c r="G8" s="30">
        <v>71500</v>
      </c>
      <c r="H8" s="3" t="s">
        <v>146</v>
      </c>
      <c r="I8" s="3" t="s">
        <v>147</v>
      </c>
      <c r="J8" s="11">
        <v>0.75</v>
      </c>
      <c r="K8" s="11">
        <v>0.74305555555555547</v>
      </c>
      <c r="L8" s="11">
        <v>0.96180555555555547</v>
      </c>
      <c r="M8" s="11">
        <v>0.97152777777777777</v>
      </c>
      <c r="N8" s="3">
        <v>0</v>
      </c>
      <c r="O8" s="3">
        <v>0</v>
      </c>
      <c r="P8" s="3">
        <v>0</v>
      </c>
      <c r="Q8" s="3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1" s="48" customForma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G9" sqref="G9"/>
    </sheetView>
  </sheetViews>
  <sheetFormatPr defaultRowHeight="15" x14ac:dyDescent="0.25"/>
  <cols>
    <col min="1" max="2" width="9.140625" style="48"/>
    <col min="3" max="3" width="13.42578125" style="48" bestFit="1" customWidth="1"/>
    <col min="4" max="4" width="5.7109375" style="48" bestFit="1" customWidth="1"/>
    <col min="5" max="5" width="14.140625" style="48" bestFit="1" customWidth="1"/>
    <col min="6" max="6" width="12.140625" style="48" bestFit="1" customWidth="1"/>
    <col min="7" max="10" width="9.140625" style="48"/>
    <col min="11" max="11" width="10.85546875" style="48" bestFit="1" customWidth="1"/>
    <col min="12" max="12" width="9.140625" style="48"/>
    <col min="13" max="13" width="10.85546875" style="48" bestFit="1" customWidth="1"/>
    <col min="14" max="15" width="18.42578125" style="48" bestFit="1" customWidth="1"/>
    <col min="16" max="16384" width="9.140625" style="48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44016</v>
      </c>
      <c r="B2" s="5" t="s">
        <v>24</v>
      </c>
      <c r="C2" s="5" t="s">
        <v>25</v>
      </c>
      <c r="D2" s="5" t="s">
        <v>23</v>
      </c>
      <c r="E2" s="5" t="s">
        <v>47</v>
      </c>
      <c r="F2" s="5" t="s">
        <v>27</v>
      </c>
      <c r="G2" s="6">
        <v>70000</v>
      </c>
      <c r="H2" s="5" t="s">
        <v>28</v>
      </c>
      <c r="I2" s="5" t="s">
        <v>30</v>
      </c>
      <c r="J2" s="7">
        <v>0.375</v>
      </c>
      <c r="K2" s="8">
        <v>0.36458333333333331</v>
      </c>
      <c r="L2" s="7">
        <v>0.25694444444444448</v>
      </c>
      <c r="M2" s="8">
        <v>0.25625000000000003</v>
      </c>
      <c r="N2" s="2" t="s">
        <v>153</v>
      </c>
      <c r="O2" s="9" t="s">
        <v>155</v>
      </c>
      <c r="P2" s="9">
        <v>279</v>
      </c>
      <c r="Q2" s="9">
        <v>215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44016</v>
      </c>
      <c r="B3" s="5" t="s">
        <v>24</v>
      </c>
      <c r="C3" s="5" t="s">
        <v>26</v>
      </c>
      <c r="D3" s="5" t="s">
        <v>23</v>
      </c>
      <c r="E3" s="5" t="s">
        <v>142</v>
      </c>
      <c r="F3" s="5" t="s">
        <v>27</v>
      </c>
      <c r="G3" s="6">
        <v>70000</v>
      </c>
      <c r="H3" s="5" t="s">
        <v>29</v>
      </c>
      <c r="I3" s="5" t="s">
        <v>31</v>
      </c>
      <c r="J3" s="7">
        <v>0.4548611111111111</v>
      </c>
      <c r="K3" s="8">
        <v>0.44027777777777777</v>
      </c>
      <c r="L3" s="7">
        <v>0.28125</v>
      </c>
      <c r="M3" s="8">
        <f>L3</f>
        <v>0.28125</v>
      </c>
      <c r="N3" s="2" t="s">
        <v>154</v>
      </c>
      <c r="O3" s="9" t="s">
        <v>156</v>
      </c>
      <c r="P3" s="3">
        <v>1135</v>
      </c>
      <c r="Q3" s="9">
        <v>245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44016</v>
      </c>
      <c r="B4" s="2" t="s">
        <v>24</v>
      </c>
      <c r="C4" s="2" t="s">
        <v>32</v>
      </c>
      <c r="D4" s="2" t="s">
        <v>23</v>
      </c>
      <c r="E4" s="5" t="s">
        <v>47</v>
      </c>
      <c r="F4" s="2" t="s">
        <v>27</v>
      </c>
      <c r="G4" s="6">
        <v>70000</v>
      </c>
      <c r="H4" s="5" t="s">
        <v>34</v>
      </c>
      <c r="I4" s="5" t="s">
        <v>36</v>
      </c>
      <c r="J4" s="10">
        <v>0.54166666666666663</v>
      </c>
      <c r="K4" s="1">
        <v>0.53263888888888888</v>
      </c>
      <c r="L4" s="10">
        <v>0.39583333333333331</v>
      </c>
      <c r="M4" s="11">
        <v>0.39861111111111108</v>
      </c>
      <c r="N4" s="2" t="s">
        <v>86</v>
      </c>
      <c r="O4" s="31" t="s">
        <v>157</v>
      </c>
      <c r="P4" s="5">
        <v>905</v>
      </c>
      <c r="Q4" s="9">
        <v>522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44016</v>
      </c>
      <c r="B5" s="2" t="s">
        <v>24</v>
      </c>
      <c r="C5" s="2" t="s">
        <v>33</v>
      </c>
      <c r="D5" s="2" t="s">
        <v>23</v>
      </c>
      <c r="E5" s="5" t="s">
        <v>142</v>
      </c>
      <c r="F5" s="2" t="s">
        <v>27</v>
      </c>
      <c r="G5" s="6">
        <v>70000</v>
      </c>
      <c r="H5" s="2" t="s">
        <v>35</v>
      </c>
      <c r="I5" s="2" t="s">
        <v>37</v>
      </c>
      <c r="J5" s="12">
        <v>0.69444444444444453</v>
      </c>
      <c r="K5" s="1">
        <v>0.68472222222222223</v>
      </c>
      <c r="L5" s="12">
        <v>0.48958333333333331</v>
      </c>
      <c r="M5" s="1">
        <v>0.48749999999999999</v>
      </c>
      <c r="N5" s="2" t="s">
        <v>159</v>
      </c>
      <c r="O5" s="2" t="s">
        <v>158</v>
      </c>
      <c r="P5" s="2">
        <v>742</v>
      </c>
      <c r="Q5" s="9">
        <v>251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4">
        <v>44016</v>
      </c>
      <c r="B6" s="2" t="s">
        <v>24</v>
      </c>
      <c r="C6" s="2" t="s">
        <v>38</v>
      </c>
      <c r="D6" s="2" t="s">
        <v>23</v>
      </c>
      <c r="E6" s="5" t="s">
        <v>47</v>
      </c>
      <c r="F6" s="2" t="s">
        <v>27</v>
      </c>
      <c r="G6" s="6">
        <v>70000</v>
      </c>
      <c r="H6" s="2" t="s">
        <v>39</v>
      </c>
      <c r="I6" s="2" t="s">
        <v>40</v>
      </c>
      <c r="J6" s="12">
        <v>0.73958333333333337</v>
      </c>
      <c r="K6" s="8">
        <v>0.73055555555555562</v>
      </c>
      <c r="L6" s="12">
        <v>0.57291666666666663</v>
      </c>
      <c r="M6" s="1">
        <v>0.57638888888888895</v>
      </c>
      <c r="N6" s="2" t="s">
        <v>160</v>
      </c>
      <c r="O6" s="2" t="s">
        <v>163</v>
      </c>
      <c r="P6" s="2">
        <v>856</v>
      </c>
      <c r="Q6" s="2">
        <v>194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4">
        <v>44016</v>
      </c>
      <c r="B7" s="3" t="s">
        <v>24</v>
      </c>
      <c r="C7" s="3" t="s">
        <v>51</v>
      </c>
      <c r="D7" s="3" t="s">
        <v>23</v>
      </c>
      <c r="E7" s="5" t="s">
        <v>93</v>
      </c>
      <c r="F7" s="3" t="s">
        <v>27</v>
      </c>
      <c r="G7" s="30">
        <v>71500</v>
      </c>
      <c r="H7" s="3" t="s">
        <v>60</v>
      </c>
      <c r="I7" s="3" t="s">
        <v>61</v>
      </c>
      <c r="J7" s="10">
        <v>0.94791666666666663</v>
      </c>
      <c r="K7" s="11">
        <v>0.9458333333333333</v>
      </c>
      <c r="L7" s="10">
        <v>0.71527777777777779</v>
      </c>
      <c r="M7" s="11">
        <v>0.72569444444444453</v>
      </c>
      <c r="N7" s="3" t="s">
        <v>161</v>
      </c>
      <c r="O7" s="3" t="s">
        <v>164</v>
      </c>
      <c r="P7" s="3">
        <v>1300</v>
      </c>
      <c r="Q7" s="3">
        <v>253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v>44016</v>
      </c>
      <c r="B8" s="3" t="s">
        <v>24</v>
      </c>
      <c r="C8" s="3" t="s">
        <v>46</v>
      </c>
      <c r="D8" s="3" t="s">
        <v>23</v>
      </c>
      <c r="E8" s="5" t="s">
        <v>47</v>
      </c>
      <c r="F8" s="3" t="s">
        <v>27</v>
      </c>
      <c r="G8" s="6">
        <v>70000</v>
      </c>
      <c r="H8" s="3" t="s">
        <v>44</v>
      </c>
      <c r="I8" s="3" t="s">
        <v>45</v>
      </c>
      <c r="J8" s="10">
        <v>0.95486111111111116</v>
      </c>
      <c r="K8" s="11">
        <v>0.94374999999999998</v>
      </c>
      <c r="L8" s="10">
        <v>0.77777777777777779</v>
      </c>
      <c r="M8" s="11">
        <v>0.77361111111111114</v>
      </c>
      <c r="N8" s="3" t="s">
        <v>162</v>
      </c>
      <c r="O8" s="3" t="s">
        <v>165</v>
      </c>
      <c r="P8" s="3">
        <v>700</v>
      </c>
      <c r="Q8" s="3">
        <v>405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9">
        <v>44016</v>
      </c>
      <c r="B9" s="3" t="s">
        <v>24</v>
      </c>
      <c r="C9" s="3" t="s">
        <v>166</v>
      </c>
      <c r="D9" s="3" t="s">
        <v>23</v>
      </c>
      <c r="E9" s="3" t="s">
        <v>142</v>
      </c>
      <c r="F9" s="3" t="s">
        <v>167</v>
      </c>
      <c r="G9" s="30">
        <v>70000</v>
      </c>
      <c r="H9" s="3" t="s">
        <v>22</v>
      </c>
      <c r="I9" s="3" t="s">
        <v>146</v>
      </c>
      <c r="J9" s="3" t="s">
        <v>21</v>
      </c>
      <c r="K9" s="3"/>
      <c r="L9" s="11">
        <v>0.76041666666666663</v>
      </c>
      <c r="M9" s="11">
        <v>0.7597222222222223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C23" sqref="C23"/>
    </sheetView>
  </sheetViews>
  <sheetFormatPr defaultRowHeight="12.75" x14ac:dyDescent="0.2"/>
  <cols>
    <col min="1" max="1" width="9.140625" style="3"/>
    <col min="2" max="2" width="12.7109375" style="3" bestFit="1" customWidth="1"/>
    <col min="3" max="3" width="15.85546875" style="3" customWidth="1"/>
    <col min="4" max="5" width="9.140625" style="3"/>
    <col min="6" max="6" width="12.140625" style="3" bestFit="1" customWidth="1"/>
    <col min="7" max="9" width="9.140625" style="3"/>
    <col min="10" max="10" width="11" style="3" bestFit="1" customWidth="1"/>
    <col min="11" max="11" width="10.85546875" style="3" bestFit="1" customWidth="1"/>
    <col min="12" max="12" width="11" style="3" bestFit="1" customWidth="1"/>
    <col min="13" max="16384" width="9.140625" style="3"/>
  </cols>
  <sheetData>
    <row r="1" spans="1:22" s="15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2" x14ac:dyDescent="0.2">
      <c r="A2" s="4">
        <v>44017</v>
      </c>
      <c r="B2" s="20" t="s">
        <v>24</v>
      </c>
      <c r="C2" s="20" t="s">
        <v>117</v>
      </c>
      <c r="D2" s="20" t="s">
        <v>23</v>
      </c>
      <c r="E2" s="20" t="s">
        <v>93</v>
      </c>
      <c r="F2" s="20" t="s">
        <v>27</v>
      </c>
      <c r="G2" s="21">
        <v>71500</v>
      </c>
      <c r="H2" s="20" t="s">
        <v>118</v>
      </c>
      <c r="I2" s="20" t="s">
        <v>120</v>
      </c>
      <c r="J2" s="26">
        <v>0.3888888888888889</v>
      </c>
      <c r="K2" s="27">
        <v>0.37708333333333338</v>
      </c>
      <c r="L2" s="26">
        <v>0.25694444444444448</v>
      </c>
      <c r="M2" s="27">
        <v>0.25763888888888892</v>
      </c>
      <c r="N2" s="27" t="s">
        <v>169</v>
      </c>
      <c r="O2" s="27" t="s">
        <v>95</v>
      </c>
      <c r="P2" s="24">
        <v>146</v>
      </c>
      <c r="Q2" s="24">
        <v>102</v>
      </c>
      <c r="R2" s="20">
        <v>0</v>
      </c>
      <c r="S2" s="20">
        <v>0</v>
      </c>
      <c r="T2" s="20">
        <v>0</v>
      </c>
      <c r="U2" s="20">
        <v>0</v>
      </c>
      <c r="V2" s="64"/>
    </row>
    <row r="3" spans="1:22" x14ac:dyDescent="0.2">
      <c r="A3" s="4">
        <v>44017</v>
      </c>
      <c r="B3" s="20" t="s">
        <v>24</v>
      </c>
      <c r="C3" s="20" t="s">
        <v>49</v>
      </c>
      <c r="D3" s="20" t="s">
        <v>23</v>
      </c>
      <c r="E3" s="20" t="s">
        <v>47</v>
      </c>
      <c r="F3" s="20" t="s">
        <v>27</v>
      </c>
      <c r="G3" s="21">
        <v>70000</v>
      </c>
      <c r="H3" s="20" t="s">
        <v>56</v>
      </c>
      <c r="I3" s="20" t="s">
        <v>57</v>
      </c>
      <c r="J3" s="26">
        <v>0.47569444444444442</v>
      </c>
      <c r="K3" s="27">
        <v>0.45624999999999999</v>
      </c>
      <c r="L3" s="26">
        <v>0.27430555555555552</v>
      </c>
      <c r="M3" s="27">
        <v>0.27361111111111108</v>
      </c>
      <c r="N3" s="27" t="s">
        <v>171</v>
      </c>
      <c r="O3" s="27" t="s">
        <v>170</v>
      </c>
      <c r="P3" s="24">
        <v>835</v>
      </c>
      <c r="Q3" s="24">
        <v>420</v>
      </c>
      <c r="R3" s="20">
        <v>0</v>
      </c>
      <c r="S3" s="20">
        <v>0</v>
      </c>
      <c r="T3" s="20">
        <v>0</v>
      </c>
      <c r="U3" s="20">
        <v>0</v>
      </c>
      <c r="V3" s="64"/>
    </row>
    <row r="4" spans="1:22" x14ac:dyDescent="0.2">
      <c r="A4" s="4">
        <v>44017</v>
      </c>
      <c r="B4" s="20" t="s">
        <v>24</v>
      </c>
      <c r="C4" s="16" t="s">
        <v>41</v>
      </c>
      <c r="D4" s="20" t="s">
        <v>23</v>
      </c>
      <c r="E4" s="16" t="s">
        <v>93</v>
      </c>
      <c r="F4" s="20" t="s">
        <v>27</v>
      </c>
      <c r="G4" s="21">
        <v>71500</v>
      </c>
      <c r="H4" s="20" t="s">
        <v>42</v>
      </c>
      <c r="I4" s="16" t="s">
        <v>43</v>
      </c>
      <c r="J4" s="17">
        <v>0.71527777777777779</v>
      </c>
      <c r="K4" s="1">
        <v>0.7090277777777777</v>
      </c>
      <c r="L4" s="17">
        <v>0.49652777777777773</v>
      </c>
      <c r="M4" s="18">
        <v>0.49513888888888885</v>
      </c>
      <c r="N4" s="2" t="s">
        <v>176</v>
      </c>
      <c r="O4" s="19" t="s">
        <v>172</v>
      </c>
      <c r="P4" s="19">
        <v>636</v>
      </c>
      <c r="Q4" s="19">
        <v>143</v>
      </c>
      <c r="R4" s="20">
        <v>0</v>
      </c>
      <c r="S4" s="20">
        <v>0</v>
      </c>
      <c r="T4" s="20">
        <v>0</v>
      </c>
      <c r="U4" s="20">
        <v>0</v>
      </c>
      <c r="V4" s="64"/>
    </row>
    <row r="5" spans="1:22" x14ac:dyDescent="0.2">
      <c r="A5" s="4">
        <v>44017</v>
      </c>
      <c r="B5" s="20" t="s">
        <v>24</v>
      </c>
      <c r="C5" s="2" t="s">
        <v>50</v>
      </c>
      <c r="D5" s="20" t="s">
        <v>23</v>
      </c>
      <c r="E5" s="20" t="s">
        <v>47</v>
      </c>
      <c r="F5" s="20" t="s">
        <v>27</v>
      </c>
      <c r="G5" s="21">
        <v>70000</v>
      </c>
      <c r="H5" s="2" t="s">
        <v>58</v>
      </c>
      <c r="I5" s="2" t="s">
        <v>59</v>
      </c>
      <c r="J5" s="22">
        <v>0.72569444444444453</v>
      </c>
      <c r="K5" s="23">
        <v>0.7402777777777777</v>
      </c>
      <c r="L5" s="22">
        <v>0.5</v>
      </c>
      <c r="M5" s="23">
        <v>0.50208333333333333</v>
      </c>
      <c r="N5" s="23" t="s">
        <v>177</v>
      </c>
      <c r="O5" s="24" t="s">
        <v>173</v>
      </c>
      <c r="P5" s="20">
        <v>1562</v>
      </c>
      <c r="Q5" s="24">
        <v>276</v>
      </c>
      <c r="R5" s="2">
        <v>0</v>
      </c>
      <c r="S5" s="2">
        <v>0</v>
      </c>
      <c r="T5" s="2">
        <v>0</v>
      </c>
      <c r="U5" s="2">
        <v>0</v>
      </c>
      <c r="V5" s="64"/>
    </row>
    <row r="6" spans="1:22" x14ac:dyDescent="0.2">
      <c r="A6" s="4">
        <v>44017</v>
      </c>
      <c r="B6" s="20" t="s">
        <v>24</v>
      </c>
      <c r="C6" s="23" t="s">
        <v>52</v>
      </c>
      <c r="D6" s="20" t="s">
        <v>23</v>
      </c>
      <c r="E6" s="23" t="s">
        <v>47</v>
      </c>
      <c r="F6" s="20" t="s">
        <v>27</v>
      </c>
      <c r="G6" s="21">
        <v>70000</v>
      </c>
      <c r="H6" s="23" t="s">
        <v>168</v>
      </c>
      <c r="I6" s="23" t="s">
        <v>63</v>
      </c>
      <c r="J6" s="22">
        <v>0.9375</v>
      </c>
      <c r="K6" s="23">
        <v>0.96597222222222223</v>
      </c>
      <c r="L6" s="22">
        <v>0.74652777777777779</v>
      </c>
      <c r="M6" s="23">
        <v>0.78055555555555556</v>
      </c>
      <c r="N6" s="20" t="s">
        <v>126</v>
      </c>
      <c r="O6" s="20" t="s">
        <v>179</v>
      </c>
      <c r="P6" s="20">
        <v>507</v>
      </c>
      <c r="Q6" s="20">
        <v>368</v>
      </c>
      <c r="R6" s="20">
        <v>0</v>
      </c>
      <c r="S6" s="20">
        <v>0</v>
      </c>
      <c r="T6" s="2">
        <v>0</v>
      </c>
      <c r="U6" s="2">
        <v>0</v>
      </c>
      <c r="V6" s="23"/>
    </row>
    <row r="7" spans="1:22" x14ac:dyDescent="0.2">
      <c r="A7" s="4">
        <v>44017</v>
      </c>
      <c r="B7" s="20" t="s">
        <v>24</v>
      </c>
      <c r="C7" s="64" t="s">
        <v>53</v>
      </c>
      <c r="D7" s="20" t="s">
        <v>23</v>
      </c>
      <c r="E7" s="64" t="s">
        <v>93</v>
      </c>
      <c r="F7" s="20" t="s">
        <v>27</v>
      </c>
      <c r="G7" s="21">
        <v>71500</v>
      </c>
      <c r="H7" s="64" t="s">
        <v>64</v>
      </c>
      <c r="I7" s="64" t="s">
        <v>65</v>
      </c>
      <c r="J7" s="66">
        <v>0.94097222222222221</v>
      </c>
      <c r="K7" s="65">
        <v>0.96250000000000002</v>
      </c>
      <c r="L7" s="66">
        <v>0.77083333333333337</v>
      </c>
      <c r="M7" s="65">
        <v>0.78680555555555554</v>
      </c>
      <c r="N7" s="64" t="s">
        <v>178</v>
      </c>
      <c r="O7" s="64" t="s">
        <v>180</v>
      </c>
      <c r="P7" s="64">
        <v>1184</v>
      </c>
      <c r="Q7" s="64">
        <v>646</v>
      </c>
      <c r="R7" s="64">
        <v>0</v>
      </c>
      <c r="S7" s="64">
        <v>0</v>
      </c>
      <c r="T7" s="64">
        <v>0</v>
      </c>
      <c r="U7" s="64">
        <v>0</v>
      </c>
      <c r="V7" s="64"/>
    </row>
    <row r="8" spans="1:22" x14ac:dyDescent="0.2">
      <c r="A8" s="29">
        <f>A7</f>
        <v>44017</v>
      </c>
      <c r="B8" s="3" t="s">
        <v>78</v>
      </c>
      <c r="C8" s="3" t="s">
        <v>174</v>
      </c>
      <c r="D8" s="3" t="s">
        <v>79</v>
      </c>
      <c r="E8" s="3" t="s">
        <v>80</v>
      </c>
      <c r="F8" s="3" t="s">
        <v>175</v>
      </c>
      <c r="G8" s="3">
        <v>1134</v>
      </c>
      <c r="H8" s="3" t="str">
        <f>E8</f>
        <v>YU-HTB</v>
      </c>
      <c r="I8" s="3" t="str">
        <f>H8</f>
        <v>YU-HTB</v>
      </c>
      <c r="J8" s="10">
        <v>0.58333333333333337</v>
      </c>
      <c r="K8" s="11">
        <v>0.59236111111111112</v>
      </c>
      <c r="L8" s="10">
        <v>0.60069444444444442</v>
      </c>
      <c r="M8" s="11">
        <v>0.6069444444444444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7" sqref="A7:XFD8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s="34" customFormat="1" ht="12.75" x14ac:dyDescent="0.2">
      <c r="A2" s="35">
        <v>44018</v>
      </c>
      <c r="B2" s="36" t="s">
        <v>24</v>
      </c>
      <c r="C2" s="3" t="s">
        <v>48</v>
      </c>
      <c r="D2" s="14" t="s">
        <v>23</v>
      </c>
      <c r="E2" s="3" t="s">
        <v>132</v>
      </c>
      <c r="F2" s="3" t="s">
        <v>27</v>
      </c>
      <c r="G2" s="30">
        <v>70000</v>
      </c>
      <c r="H2" s="3" t="s">
        <v>54</v>
      </c>
      <c r="I2" s="3" t="s">
        <v>55</v>
      </c>
      <c r="J2" s="11">
        <v>0.46180555555555558</v>
      </c>
      <c r="K2" s="11">
        <v>0.4513888888888889</v>
      </c>
      <c r="L2" s="11">
        <v>0.26041666666666669</v>
      </c>
      <c r="M2" s="11">
        <v>0.26319444444444445</v>
      </c>
      <c r="N2" s="11" t="s">
        <v>183</v>
      </c>
      <c r="O2" s="41" t="s">
        <v>182</v>
      </c>
      <c r="P2" s="41">
        <v>984</v>
      </c>
      <c r="Q2" s="41">
        <v>340</v>
      </c>
      <c r="R2" s="36">
        <v>0</v>
      </c>
      <c r="S2" s="36">
        <v>0</v>
      </c>
      <c r="T2" s="36">
        <v>0</v>
      </c>
      <c r="U2" s="36">
        <v>0</v>
      </c>
    </row>
    <row r="3" spans="1:21" s="34" customFormat="1" ht="12.75" x14ac:dyDescent="0.2">
      <c r="A3" s="35">
        <v>44018</v>
      </c>
      <c r="B3" s="20" t="s">
        <v>24</v>
      </c>
      <c r="C3" s="20" t="s">
        <v>49</v>
      </c>
      <c r="D3" s="20" t="s">
        <v>23</v>
      </c>
      <c r="E3" s="20" t="s">
        <v>181</v>
      </c>
      <c r="F3" s="20" t="s">
        <v>27</v>
      </c>
      <c r="G3" s="30">
        <v>71500</v>
      </c>
      <c r="H3" s="20" t="s">
        <v>56</v>
      </c>
      <c r="I3" s="20" t="s">
        <v>57</v>
      </c>
      <c r="J3" s="26">
        <v>0.47569444444444442</v>
      </c>
      <c r="K3" s="27">
        <v>0.52708333333333335</v>
      </c>
      <c r="L3" s="26">
        <v>0.27430555555555552</v>
      </c>
      <c r="M3" s="40">
        <v>0.36388888888888887</v>
      </c>
      <c r="N3" s="32" t="s">
        <v>82</v>
      </c>
      <c r="O3" s="41">
        <v>25</v>
      </c>
      <c r="P3" s="36">
        <v>302</v>
      </c>
      <c r="Q3" s="41">
        <v>192</v>
      </c>
      <c r="R3" s="36">
        <v>0</v>
      </c>
      <c r="S3" s="36">
        <v>0</v>
      </c>
      <c r="T3" s="36">
        <v>0</v>
      </c>
      <c r="U3" s="36">
        <v>0</v>
      </c>
    </row>
    <row r="4" spans="1:21" x14ac:dyDescent="0.25">
      <c r="A4" s="35">
        <v>44018</v>
      </c>
      <c r="B4" s="36" t="s">
        <v>24</v>
      </c>
      <c r="C4" s="3" t="s">
        <v>50</v>
      </c>
      <c r="D4" s="14" t="s">
        <v>23</v>
      </c>
      <c r="E4" s="3" t="s">
        <v>132</v>
      </c>
      <c r="F4" s="3" t="s">
        <v>27</v>
      </c>
      <c r="G4" s="30">
        <v>70000</v>
      </c>
      <c r="H4" s="3" t="s">
        <v>58</v>
      </c>
      <c r="I4" s="3" t="s">
        <v>59</v>
      </c>
      <c r="J4" s="11">
        <v>0.72569444444444453</v>
      </c>
      <c r="K4" s="11">
        <v>0.7270833333333333</v>
      </c>
      <c r="L4" s="11">
        <v>0.5</v>
      </c>
      <c r="M4" s="11">
        <v>0.49305555555555558</v>
      </c>
      <c r="N4" s="32" t="s">
        <v>192</v>
      </c>
      <c r="O4" s="41">
        <v>11</v>
      </c>
      <c r="P4" s="41">
        <v>1106</v>
      </c>
      <c r="Q4" s="41">
        <v>40</v>
      </c>
      <c r="R4" s="36">
        <v>0</v>
      </c>
      <c r="S4" s="36">
        <v>0</v>
      </c>
      <c r="T4" s="36">
        <v>0</v>
      </c>
      <c r="U4" s="36">
        <v>0</v>
      </c>
    </row>
    <row r="5" spans="1:21" x14ac:dyDescent="0.25">
      <c r="A5" s="35">
        <v>44018</v>
      </c>
      <c r="B5" s="36" t="s">
        <v>24</v>
      </c>
      <c r="C5" s="3" t="s">
        <v>134</v>
      </c>
      <c r="D5" s="14" t="s">
        <v>23</v>
      </c>
      <c r="E5" s="20" t="s">
        <v>181</v>
      </c>
      <c r="F5" s="3" t="s">
        <v>27</v>
      </c>
      <c r="G5" s="30">
        <v>71500</v>
      </c>
      <c r="H5" s="3" t="s">
        <v>135</v>
      </c>
      <c r="I5" s="3" t="s">
        <v>136</v>
      </c>
      <c r="J5" s="11">
        <v>0.73263888888888884</v>
      </c>
      <c r="K5" s="11">
        <v>0.84652777777777777</v>
      </c>
      <c r="L5" s="11">
        <v>0.51736111111111105</v>
      </c>
      <c r="M5" s="11">
        <v>0.56388888888888888</v>
      </c>
      <c r="N5" s="32" t="s">
        <v>195</v>
      </c>
      <c r="O5" s="41">
        <v>5</v>
      </c>
      <c r="P5" s="36">
        <v>1200</v>
      </c>
      <c r="Q5" s="41">
        <v>20</v>
      </c>
      <c r="R5" s="36">
        <v>0</v>
      </c>
      <c r="S5" s="36">
        <v>0</v>
      </c>
      <c r="T5" s="36">
        <v>0</v>
      </c>
      <c r="U5" s="36">
        <v>0</v>
      </c>
    </row>
    <row r="6" spans="1:21" x14ac:dyDescent="0.25">
      <c r="A6" s="35">
        <v>44018</v>
      </c>
      <c r="B6" s="36" t="s">
        <v>24</v>
      </c>
      <c r="C6" s="2" t="s">
        <v>184</v>
      </c>
      <c r="D6" s="14" t="s">
        <v>23</v>
      </c>
      <c r="E6" s="20" t="s">
        <v>181</v>
      </c>
      <c r="F6" s="3" t="s">
        <v>185</v>
      </c>
      <c r="G6" s="30">
        <v>71500</v>
      </c>
      <c r="H6" s="2" t="s">
        <v>186</v>
      </c>
      <c r="I6" s="67"/>
      <c r="J6" s="12">
        <v>0.2986111111111111</v>
      </c>
      <c r="K6" s="1">
        <v>0.33194444444444443</v>
      </c>
      <c r="L6" s="68"/>
      <c r="M6" s="69"/>
      <c r="N6" s="67"/>
      <c r="O6" s="67"/>
      <c r="P6" s="67"/>
      <c r="Q6" s="67"/>
      <c r="R6" s="67"/>
      <c r="S6" s="67"/>
      <c r="T6" s="67"/>
      <c r="U6" s="67"/>
    </row>
    <row r="7" spans="1:21" x14ac:dyDescent="0.25">
      <c r="A7" s="35">
        <f>A6</f>
        <v>44018</v>
      </c>
      <c r="B7" s="36" t="s">
        <v>24</v>
      </c>
      <c r="C7" s="36" t="s">
        <v>66</v>
      </c>
      <c r="D7" s="36" t="s">
        <v>23</v>
      </c>
      <c r="E7" s="36" t="s">
        <v>47</v>
      </c>
      <c r="F7" s="36" t="s">
        <v>27</v>
      </c>
      <c r="G7" s="37">
        <f>G4</f>
        <v>70000</v>
      </c>
      <c r="H7" s="36" t="s">
        <v>69</v>
      </c>
      <c r="I7" s="36" t="s">
        <v>68</v>
      </c>
      <c r="J7" s="38">
        <v>0.89930555555555547</v>
      </c>
      <c r="K7" s="39">
        <v>0.88888888888888884</v>
      </c>
      <c r="L7" s="38">
        <v>0.75</v>
      </c>
      <c r="M7" s="40">
        <v>0.75763888888888886</v>
      </c>
      <c r="N7" s="32" t="s">
        <v>97</v>
      </c>
      <c r="O7" s="41" t="s">
        <v>193</v>
      </c>
      <c r="P7" s="36">
        <v>451</v>
      </c>
      <c r="Q7" s="41">
        <v>259</v>
      </c>
      <c r="R7" s="36">
        <v>0</v>
      </c>
      <c r="S7" s="36">
        <v>0</v>
      </c>
      <c r="T7" s="36">
        <v>0</v>
      </c>
      <c r="U7" s="36">
        <v>0</v>
      </c>
    </row>
    <row r="8" spans="1:21" x14ac:dyDescent="0.25">
      <c r="A8" s="4">
        <f>A7</f>
        <v>44018</v>
      </c>
      <c r="B8" s="36" t="s">
        <v>24</v>
      </c>
      <c r="C8" s="32" t="s">
        <v>53</v>
      </c>
      <c r="D8" s="36" t="s">
        <v>23</v>
      </c>
      <c r="E8" s="36" t="s">
        <v>187</v>
      </c>
      <c r="F8" s="36" t="s">
        <v>27</v>
      </c>
      <c r="G8" s="37">
        <f>G6</f>
        <v>71500</v>
      </c>
      <c r="H8" s="32" t="s">
        <v>64</v>
      </c>
      <c r="I8" s="32" t="s">
        <v>65</v>
      </c>
      <c r="J8" s="42">
        <v>0.94097222222222221</v>
      </c>
      <c r="K8" s="39">
        <v>0.95138888888888884</v>
      </c>
      <c r="L8" s="42">
        <v>0.77083333333333337</v>
      </c>
      <c r="M8" s="39">
        <v>0.7909722222222223</v>
      </c>
      <c r="N8" s="32" t="s">
        <v>196</v>
      </c>
      <c r="O8" s="32" t="s">
        <v>194</v>
      </c>
      <c r="P8" s="32">
        <v>798</v>
      </c>
      <c r="Q8" s="41">
        <v>273</v>
      </c>
      <c r="R8" s="32">
        <v>0</v>
      </c>
      <c r="S8" s="32">
        <v>0</v>
      </c>
      <c r="T8" s="32">
        <v>0</v>
      </c>
      <c r="U8" s="32">
        <v>0</v>
      </c>
    </row>
    <row r="9" spans="1:21" x14ac:dyDescent="0.25">
      <c r="A9" s="29">
        <f>A8</f>
        <v>44018</v>
      </c>
      <c r="B9" s="36" t="s">
        <v>24</v>
      </c>
      <c r="C9" s="32" t="s">
        <v>188</v>
      </c>
      <c r="D9" s="36" t="s">
        <v>23</v>
      </c>
      <c r="E9" s="36" t="s">
        <v>187</v>
      </c>
      <c r="F9" s="36" t="s">
        <v>189</v>
      </c>
      <c r="G9" s="37">
        <f>G7</f>
        <v>70000</v>
      </c>
      <c r="H9" s="32" t="s">
        <v>190</v>
      </c>
      <c r="I9" s="32" t="s">
        <v>191</v>
      </c>
      <c r="J9" s="42">
        <v>0.75347222222222221</v>
      </c>
      <c r="K9" s="39">
        <v>0.76180555555555562</v>
      </c>
      <c r="L9" s="42">
        <v>0.96180555555555547</v>
      </c>
      <c r="M9" s="39">
        <v>0.97777777777777775</v>
      </c>
      <c r="N9" s="32">
        <v>0</v>
      </c>
      <c r="O9" s="32">
        <v>0</v>
      </c>
      <c r="P9" s="32">
        <v>0</v>
      </c>
      <c r="Q9" s="41">
        <v>0</v>
      </c>
      <c r="R9" s="32">
        <v>0</v>
      </c>
      <c r="S9" s="32">
        <v>0</v>
      </c>
      <c r="T9" s="32">
        <v>0</v>
      </c>
      <c r="U9" s="32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F1" workbookViewId="0">
      <selection activeCell="F1" sqref="A1:XFD1048576"/>
    </sheetView>
  </sheetViews>
  <sheetFormatPr defaultRowHeight="12.75" x14ac:dyDescent="0.2"/>
  <cols>
    <col min="1" max="2" width="9.140625" style="3"/>
    <col min="3" max="3" width="13.42578125" style="3" bestFit="1" customWidth="1"/>
    <col min="4" max="4" width="5.7109375" style="3" bestFit="1" customWidth="1"/>
    <col min="5" max="5" width="14.140625" style="3" bestFit="1" customWidth="1"/>
    <col min="6" max="6" width="12.140625" style="3" bestFit="1" customWidth="1"/>
    <col min="7" max="10" width="9.140625" style="3"/>
    <col min="11" max="11" width="10.85546875" style="3" bestFit="1" customWidth="1"/>
    <col min="12" max="12" width="9.140625" style="3"/>
    <col min="13" max="13" width="10.85546875" style="3" bestFit="1" customWidth="1"/>
    <col min="14" max="15" width="18.42578125" style="3" bestFit="1" customWidth="1"/>
    <col min="16" max="16384" width="9.140625" style="3"/>
  </cols>
  <sheetData>
    <row r="1" spans="1:2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">
      <c r="A2" s="4">
        <v>44019</v>
      </c>
      <c r="B2" s="5" t="s">
        <v>24</v>
      </c>
      <c r="C2" s="5" t="s">
        <v>25</v>
      </c>
      <c r="D2" s="5" t="s">
        <v>23</v>
      </c>
      <c r="E2" s="5" t="s">
        <v>47</v>
      </c>
      <c r="F2" s="5" t="s">
        <v>27</v>
      </c>
      <c r="G2" s="6">
        <v>70000</v>
      </c>
      <c r="H2" s="5" t="s">
        <v>28</v>
      </c>
      <c r="I2" s="5" t="s">
        <v>30</v>
      </c>
      <c r="J2" s="7">
        <v>0.375</v>
      </c>
      <c r="K2" s="11">
        <v>0.36180555555555555</v>
      </c>
      <c r="L2" s="7">
        <v>0.25694444444444448</v>
      </c>
      <c r="M2" s="11">
        <v>0.25694444444444448</v>
      </c>
      <c r="N2" s="3" t="s">
        <v>202</v>
      </c>
      <c r="O2" s="3" t="s">
        <v>204</v>
      </c>
      <c r="P2" s="3">
        <v>350</v>
      </c>
      <c r="Q2" s="3">
        <v>83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44019</v>
      </c>
      <c r="B3" s="5" t="s">
        <v>24</v>
      </c>
      <c r="C3" s="5" t="s">
        <v>26</v>
      </c>
      <c r="D3" s="5" t="s">
        <v>23</v>
      </c>
      <c r="E3" s="5" t="s">
        <v>181</v>
      </c>
      <c r="F3" s="5" t="s">
        <v>27</v>
      </c>
      <c r="G3" s="6">
        <v>71500</v>
      </c>
      <c r="H3" s="5" t="s">
        <v>29</v>
      </c>
      <c r="I3" s="5" t="s">
        <v>31</v>
      </c>
      <c r="J3" s="7">
        <v>0.4548611111111111</v>
      </c>
      <c r="K3" s="11">
        <v>0.4381944444444445</v>
      </c>
      <c r="L3" s="7">
        <v>0.28125</v>
      </c>
      <c r="M3" s="11">
        <v>0.28333333333333333</v>
      </c>
      <c r="N3" s="3" t="s">
        <v>203</v>
      </c>
      <c r="O3" s="3" t="s">
        <v>74</v>
      </c>
      <c r="P3" s="3">
        <v>876</v>
      </c>
      <c r="Q3" s="3">
        <v>253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43653</v>
      </c>
      <c r="B4" s="5" t="s">
        <v>198</v>
      </c>
      <c r="C4" s="5" t="s">
        <v>199</v>
      </c>
      <c r="D4" s="5" t="s">
        <v>23</v>
      </c>
      <c r="E4" s="5" t="s">
        <v>208</v>
      </c>
      <c r="F4" s="5" t="s">
        <v>200</v>
      </c>
      <c r="G4" s="6">
        <v>77000</v>
      </c>
      <c r="H4" s="5" t="s">
        <v>201</v>
      </c>
      <c r="I4" s="5" t="s">
        <v>197</v>
      </c>
      <c r="J4" s="7">
        <v>0.67708333333333337</v>
      </c>
      <c r="K4" s="11">
        <v>0.33263888888888887</v>
      </c>
      <c r="L4" s="7">
        <v>0.71875</v>
      </c>
      <c r="M4" s="11">
        <v>0.37222222222222223</v>
      </c>
      <c r="N4" s="3">
        <v>0</v>
      </c>
      <c r="O4" s="3" t="s">
        <v>206</v>
      </c>
      <c r="P4" s="3">
        <v>0</v>
      </c>
      <c r="Q4" s="3">
        <v>1590</v>
      </c>
      <c r="R4" s="5">
        <v>0</v>
      </c>
      <c r="S4" s="5">
        <v>0</v>
      </c>
      <c r="T4" s="5">
        <v>0</v>
      </c>
      <c r="U4" s="5">
        <v>0</v>
      </c>
    </row>
    <row r="5" spans="1:21" x14ac:dyDescent="0.2">
      <c r="A5" s="4">
        <v>44019</v>
      </c>
      <c r="B5" s="2" t="s">
        <v>24</v>
      </c>
      <c r="C5" s="2" t="s">
        <v>32</v>
      </c>
      <c r="D5" s="2" t="s">
        <v>23</v>
      </c>
      <c r="E5" s="5" t="s">
        <v>47</v>
      </c>
      <c r="F5" s="2" t="s">
        <v>27</v>
      </c>
      <c r="G5" s="6">
        <v>70000</v>
      </c>
      <c r="H5" s="5" t="s">
        <v>34</v>
      </c>
      <c r="I5" s="5" t="s">
        <v>36</v>
      </c>
      <c r="J5" s="10">
        <v>0.54166666666666663</v>
      </c>
      <c r="K5" s="11">
        <v>0.53263888888888888</v>
      </c>
      <c r="L5" s="10">
        <v>0.39583333333333331</v>
      </c>
      <c r="M5" s="11">
        <v>0.39374999999999999</v>
      </c>
      <c r="N5" s="3" t="s">
        <v>205</v>
      </c>
      <c r="O5" s="3" t="s">
        <v>100</v>
      </c>
      <c r="P5" s="3">
        <v>622</v>
      </c>
      <c r="Q5" s="3">
        <v>128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">
      <c r="A6" s="4">
        <v>44019</v>
      </c>
      <c r="B6" s="2" t="s">
        <v>24</v>
      </c>
      <c r="C6" s="2" t="s">
        <v>33</v>
      </c>
      <c r="D6" s="2" t="s">
        <v>23</v>
      </c>
      <c r="E6" s="5" t="s">
        <v>181</v>
      </c>
      <c r="F6" s="2" t="s">
        <v>27</v>
      </c>
      <c r="G6" s="6">
        <v>71500</v>
      </c>
      <c r="H6" s="2" t="s">
        <v>35</v>
      </c>
      <c r="I6" s="2" t="s">
        <v>37</v>
      </c>
      <c r="J6" s="12">
        <v>0.69444444444444453</v>
      </c>
      <c r="K6" s="11">
        <v>0.68194444444444446</v>
      </c>
      <c r="L6" s="12">
        <v>0.48958333333333331</v>
      </c>
      <c r="M6" s="11">
        <v>0.4916666666666667</v>
      </c>
      <c r="N6" s="3">
        <v>75</v>
      </c>
      <c r="O6" s="3" t="s">
        <v>207</v>
      </c>
      <c r="P6" s="3">
        <v>447</v>
      </c>
      <c r="Q6" s="3">
        <v>235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4">
        <v>44019</v>
      </c>
      <c r="B7" s="2" t="s">
        <v>24</v>
      </c>
      <c r="C7" s="2" t="s">
        <v>38</v>
      </c>
      <c r="D7" s="2" t="s">
        <v>23</v>
      </c>
      <c r="E7" s="5" t="s">
        <v>47</v>
      </c>
      <c r="F7" s="2" t="s">
        <v>27</v>
      </c>
      <c r="G7" s="6">
        <v>70000</v>
      </c>
      <c r="H7" s="2" t="s">
        <v>39</v>
      </c>
      <c r="I7" s="2" t="s">
        <v>40</v>
      </c>
      <c r="J7" s="12">
        <v>0.73958333333333337</v>
      </c>
      <c r="K7" s="11">
        <v>0.73263888888888884</v>
      </c>
      <c r="L7" s="12">
        <v>0.57291666666666663</v>
      </c>
      <c r="M7" s="11">
        <v>0.57291666666666663</v>
      </c>
      <c r="N7" s="3">
        <v>70</v>
      </c>
      <c r="O7" s="3" t="s">
        <v>209</v>
      </c>
      <c r="P7" s="3">
        <v>638</v>
      </c>
      <c r="Q7" s="3">
        <v>157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4">
        <v>44019</v>
      </c>
      <c r="B8" s="3" t="s">
        <v>24</v>
      </c>
      <c r="C8" s="3" t="s">
        <v>51</v>
      </c>
      <c r="D8" s="3" t="s">
        <v>23</v>
      </c>
      <c r="E8" s="5" t="s">
        <v>181</v>
      </c>
      <c r="F8" s="3" t="s">
        <v>27</v>
      </c>
      <c r="G8" s="30">
        <v>71500</v>
      </c>
      <c r="H8" s="3" t="s">
        <v>60</v>
      </c>
      <c r="I8" s="3" t="s">
        <v>61</v>
      </c>
      <c r="J8" s="10">
        <v>0.94791666666666663</v>
      </c>
      <c r="K8" s="11">
        <v>0.94027777777777777</v>
      </c>
      <c r="L8" s="10">
        <v>0.71527777777777779</v>
      </c>
      <c r="M8" s="11">
        <v>0.72569444444444453</v>
      </c>
      <c r="N8" s="3" t="s">
        <v>212</v>
      </c>
      <c r="O8" s="3" t="s">
        <v>210</v>
      </c>
      <c r="P8" s="3">
        <v>1370</v>
      </c>
      <c r="Q8" s="3">
        <v>209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4">
        <v>44019</v>
      </c>
      <c r="B9" s="3" t="s">
        <v>24</v>
      </c>
      <c r="C9" s="3" t="s">
        <v>46</v>
      </c>
      <c r="D9" s="3" t="s">
        <v>23</v>
      </c>
      <c r="E9" s="5" t="s">
        <v>47</v>
      </c>
      <c r="F9" s="3" t="s">
        <v>27</v>
      </c>
      <c r="G9" s="6">
        <v>70000</v>
      </c>
      <c r="H9" s="3" t="s">
        <v>44</v>
      </c>
      <c r="I9" s="3" t="s">
        <v>45</v>
      </c>
      <c r="J9" s="10">
        <v>0.95486111111111116</v>
      </c>
      <c r="K9" s="11">
        <v>0.9458333333333333</v>
      </c>
      <c r="L9" s="10">
        <v>0.77777777777777779</v>
      </c>
      <c r="M9" s="11">
        <v>0.77986111111111101</v>
      </c>
      <c r="N9" s="3" t="s">
        <v>213</v>
      </c>
      <c r="O9" s="3" t="s">
        <v>211</v>
      </c>
      <c r="P9" s="3">
        <v>525</v>
      </c>
      <c r="Q9" s="3">
        <v>191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">
      <c r="A10" s="29"/>
      <c r="G10" s="30"/>
      <c r="L10" s="11"/>
      <c r="M10" s="11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N12" sqref="N12"/>
    </sheetView>
  </sheetViews>
  <sheetFormatPr defaultRowHeight="12.75" x14ac:dyDescent="0.2"/>
  <cols>
    <col min="1" max="1" width="9.140625" style="34" bestFit="1" customWidth="1"/>
    <col min="2" max="2" width="13.85546875" style="34" customWidth="1"/>
    <col min="3" max="3" width="19" style="34" customWidth="1"/>
    <col min="4" max="4" width="10.5703125" style="34" customWidth="1"/>
    <col min="5" max="5" width="15.42578125" style="34" bestFit="1" customWidth="1"/>
    <col min="6" max="6" width="17.28515625" style="34" customWidth="1"/>
    <col min="7" max="7" width="9.28515625" style="34" bestFit="1" customWidth="1"/>
    <col min="8" max="9" width="9.140625" style="34"/>
    <col min="10" max="10" width="11.140625" style="34" bestFit="1" customWidth="1"/>
    <col min="11" max="11" width="11" style="34" bestFit="1" customWidth="1"/>
    <col min="12" max="12" width="11.140625" style="34" bestFit="1" customWidth="1"/>
    <col min="13" max="13" width="11" style="34" bestFit="1" customWidth="1"/>
    <col min="14" max="15" width="18.5703125" style="34" bestFit="1" customWidth="1"/>
    <col min="16" max="21" width="9.28515625" style="34" bestFit="1" customWidth="1"/>
    <col min="22" max="16384" width="9.140625" style="34"/>
  </cols>
  <sheetData>
    <row r="1" spans="1:21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</row>
    <row r="2" spans="1:21" x14ac:dyDescent="0.2">
      <c r="A2" s="58">
        <v>44020</v>
      </c>
      <c r="B2" s="36" t="s">
        <v>24</v>
      </c>
      <c r="C2" s="59" t="s">
        <v>48</v>
      </c>
      <c r="D2" s="59" t="s">
        <v>23</v>
      </c>
      <c r="E2" s="59" t="s">
        <v>47</v>
      </c>
      <c r="F2" s="59" t="s">
        <v>27</v>
      </c>
      <c r="G2" s="61">
        <v>70000</v>
      </c>
      <c r="H2" s="59" t="s">
        <v>54</v>
      </c>
      <c r="I2" s="59" t="s">
        <v>55</v>
      </c>
      <c r="J2" s="62">
        <v>0.46180555555555558</v>
      </c>
      <c r="K2" s="60">
        <v>0.44097222222222227</v>
      </c>
      <c r="L2" s="62">
        <v>0.26041666666666669</v>
      </c>
      <c r="M2" s="60">
        <v>0.25833333333333336</v>
      </c>
      <c r="N2" s="59" t="s">
        <v>217</v>
      </c>
      <c r="O2" s="59" t="s">
        <v>215</v>
      </c>
      <c r="P2" s="59">
        <v>1037</v>
      </c>
      <c r="Q2" s="59">
        <v>230</v>
      </c>
      <c r="R2" s="59">
        <v>0</v>
      </c>
      <c r="S2" s="59">
        <v>0</v>
      </c>
      <c r="T2" s="59">
        <v>0</v>
      </c>
      <c r="U2" s="59">
        <v>0</v>
      </c>
    </row>
    <row r="3" spans="1:21" x14ac:dyDescent="0.2">
      <c r="A3" s="58">
        <v>44020</v>
      </c>
      <c r="B3" s="36" t="s">
        <v>24</v>
      </c>
      <c r="C3" s="59" t="s">
        <v>49</v>
      </c>
      <c r="D3" s="59" t="s">
        <v>23</v>
      </c>
      <c r="E3" s="59" t="s">
        <v>214</v>
      </c>
      <c r="F3" s="59" t="s">
        <v>27</v>
      </c>
      <c r="G3" s="61">
        <v>71500</v>
      </c>
      <c r="H3" s="59" t="s">
        <v>56</v>
      </c>
      <c r="I3" s="59" t="s">
        <v>57</v>
      </c>
      <c r="J3" s="62">
        <v>0.47569444444444442</v>
      </c>
      <c r="K3" s="60">
        <v>0.47152777777777777</v>
      </c>
      <c r="L3" s="62">
        <v>0.27430555555555552</v>
      </c>
      <c r="M3" s="60">
        <f>L3</f>
        <v>0.27430555555555552</v>
      </c>
      <c r="N3" s="59" t="s">
        <v>84</v>
      </c>
      <c r="O3" s="59" t="s">
        <v>216</v>
      </c>
      <c r="P3" s="59">
        <v>445</v>
      </c>
      <c r="Q3" s="59">
        <v>139</v>
      </c>
      <c r="R3" s="59">
        <v>0</v>
      </c>
      <c r="S3" s="59">
        <v>0</v>
      </c>
      <c r="T3" s="59">
        <v>0</v>
      </c>
      <c r="U3" s="59">
        <v>0</v>
      </c>
    </row>
    <row r="4" spans="1:21" x14ac:dyDescent="0.2">
      <c r="A4" s="58">
        <v>44020</v>
      </c>
      <c r="B4" s="36" t="s">
        <v>24</v>
      </c>
      <c r="C4" s="32" t="s">
        <v>41</v>
      </c>
      <c r="D4" s="59" t="s">
        <v>23</v>
      </c>
      <c r="E4" s="36" t="s">
        <v>47</v>
      </c>
      <c r="F4" s="59" t="s">
        <v>27</v>
      </c>
      <c r="G4" s="61">
        <v>70000</v>
      </c>
      <c r="H4" s="32" t="s">
        <v>42</v>
      </c>
      <c r="I4" s="32" t="s">
        <v>43</v>
      </c>
      <c r="J4" s="42">
        <v>0.71527777777777779</v>
      </c>
      <c r="K4" s="39">
        <v>0.71180555555555547</v>
      </c>
      <c r="L4" s="42">
        <v>0.49652777777777773</v>
      </c>
      <c r="M4" s="39">
        <v>0.49374999999999997</v>
      </c>
      <c r="N4" s="32" t="s">
        <v>219</v>
      </c>
      <c r="O4" s="32" t="s">
        <v>218</v>
      </c>
      <c r="P4" s="32">
        <v>704</v>
      </c>
      <c r="Q4" s="41">
        <v>132</v>
      </c>
      <c r="R4" s="32">
        <v>0</v>
      </c>
      <c r="S4" s="32">
        <v>0</v>
      </c>
      <c r="T4" s="32">
        <v>0</v>
      </c>
      <c r="U4" s="32">
        <v>0</v>
      </c>
    </row>
    <row r="5" spans="1:21" x14ac:dyDescent="0.2">
      <c r="A5" s="58">
        <v>44020</v>
      </c>
      <c r="B5" s="36" t="s">
        <v>24</v>
      </c>
      <c r="C5" s="32" t="s">
        <v>50</v>
      </c>
      <c r="D5" s="59" t="s">
        <v>23</v>
      </c>
      <c r="E5" s="44" t="s">
        <v>67</v>
      </c>
      <c r="F5" s="59" t="s">
        <v>27</v>
      </c>
      <c r="G5" s="61">
        <v>70000</v>
      </c>
      <c r="H5" s="43" t="s">
        <v>58</v>
      </c>
      <c r="I5" s="43" t="s">
        <v>59</v>
      </c>
      <c r="J5" s="42">
        <v>0.72569444444444453</v>
      </c>
      <c r="K5" s="39">
        <v>0.7284722222222223</v>
      </c>
      <c r="L5" s="42">
        <v>0.5</v>
      </c>
      <c r="M5" s="39">
        <v>0.50555555555555554</v>
      </c>
      <c r="N5" s="59" t="s">
        <v>220</v>
      </c>
      <c r="O5" s="47" t="s">
        <v>216</v>
      </c>
      <c r="P5" s="32">
        <v>1160</v>
      </c>
      <c r="Q5" s="41">
        <v>170</v>
      </c>
      <c r="R5" s="32">
        <v>0</v>
      </c>
      <c r="S5" s="32">
        <v>0</v>
      </c>
      <c r="T5" s="32">
        <v>0</v>
      </c>
      <c r="U5" s="32">
        <v>0</v>
      </c>
    </row>
    <row r="6" spans="1:21" x14ac:dyDescent="0.2">
      <c r="A6" s="58">
        <v>44020</v>
      </c>
      <c r="B6" s="36" t="s">
        <v>24</v>
      </c>
      <c r="C6" s="32" t="s">
        <v>52</v>
      </c>
      <c r="D6" s="59" t="s">
        <v>23</v>
      </c>
      <c r="E6" s="44" t="s">
        <v>67</v>
      </c>
      <c r="F6" s="59" t="s">
        <v>27</v>
      </c>
      <c r="G6" s="61">
        <v>70000</v>
      </c>
      <c r="H6" s="43" t="s">
        <v>62</v>
      </c>
      <c r="I6" s="43" t="s">
        <v>63</v>
      </c>
      <c r="J6" s="42">
        <v>0.9375</v>
      </c>
      <c r="K6" s="39">
        <v>0.93611111111111101</v>
      </c>
      <c r="L6" s="42">
        <v>0.74652777777777779</v>
      </c>
      <c r="M6" s="39">
        <v>0.76111111111111107</v>
      </c>
      <c r="N6" s="59" t="s">
        <v>221</v>
      </c>
      <c r="O6" s="32" t="s">
        <v>223</v>
      </c>
      <c r="P6" s="32">
        <v>493</v>
      </c>
      <c r="Q6" s="32">
        <v>241</v>
      </c>
      <c r="R6" s="32">
        <v>0</v>
      </c>
      <c r="S6" s="32">
        <v>0</v>
      </c>
      <c r="T6" s="32">
        <v>0</v>
      </c>
      <c r="U6" s="32">
        <v>0</v>
      </c>
    </row>
    <row r="7" spans="1:21" x14ac:dyDescent="0.2">
      <c r="A7" s="58">
        <v>44020</v>
      </c>
      <c r="B7" s="36" t="s">
        <v>24</v>
      </c>
      <c r="C7" s="46" t="s">
        <v>53</v>
      </c>
      <c r="D7" s="59" t="s">
        <v>23</v>
      </c>
      <c r="E7" s="43" t="s">
        <v>47</v>
      </c>
      <c r="F7" s="59" t="s">
        <v>27</v>
      </c>
      <c r="G7" s="61">
        <v>70000</v>
      </c>
      <c r="H7" s="43" t="s">
        <v>64</v>
      </c>
      <c r="I7" s="43" t="s">
        <v>65</v>
      </c>
      <c r="J7" s="62">
        <v>0.94097222222222221</v>
      </c>
      <c r="K7" s="60">
        <v>0.92986111111111114</v>
      </c>
      <c r="L7" s="62" t="s">
        <v>101</v>
      </c>
      <c r="M7" s="60">
        <v>0.77847222222222223</v>
      </c>
      <c r="N7" s="59" t="s">
        <v>222</v>
      </c>
      <c r="O7" s="32" t="s">
        <v>224</v>
      </c>
      <c r="P7" s="32">
        <v>750</v>
      </c>
      <c r="Q7" s="32">
        <v>228</v>
      </c>
      <c r="R7" s="32">
        <v>0</v>
      </c>
      <c r="S7" s="32">
        <v>0</v>
      </c>
      <c r="T7" s="32">
        <v>0</v>
      </c>
      <c r="U7" s="32">
        <v>0</v>
      </c>
    </row>
    <row r="8" spans="1:21" x14ac:dyDescent="0.2">
      <c r="A8" s="35"/>
      <c r="B8" s="43"/>
      <c r="C8" s="32"/>
      <c r="D8" s="43"/>
      <c r="E8" s="44"/>
      <c r="F8" s="32"/>
      <c r="G8" s="45"/>
      <c r="H8" s="43"/>
      <c r="I8" s="43"/>
      <c r="J8" s="60"/>
      <c r="K8" s="60"/>
      <c r="L8" s="60"/>
      <c r="M8" s="60"/>
      <c r="N8" s="32"/>
      <c r="O8" s="32"/>
      <c r="P8" s="32"/>
      <c r="Q8" s="32"/>
      <c r="R8" s="32"/>
      <c r="S8" s="32"/>
      <c r="T8" s="32"/>
      <c r="U8" s="32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3" sqref="A3:XFD8"/>
    </sheetView>
  </sheetViews>
  <sheetFormatPr defaultRowHeight="12.75" x14ac:dyDescent="0.2"/>
  <cols>
    <col min="1" max="1" width="9.140625" style="34" bestFit="1" customWidth="1"/>
    <col min="2" max="2" width="13.85546875" style="34" customWidth="1"/>
    <col min="3" max="3" width="19" style="34" customWidth="1"/>
    <col min="4" max="4" width="10.5703125" style="34" customWidth="1"/>
    <col min="5" max="5" width="9.140625" style="34"/>
    <col min="6" max="6" width="17.28515625" style="34" customWidth="1"/>
    <col min="7" max="7" width="9.28515625" style="34" bestFit="1" customWidth="1"/>
    <col min="8" max="9" width="9.140625" style="34"/>
    <col min="10" max="10" width="11.140625" style="34" bestFit="1" customWidth="1"/>
    <col min="11" max="11" width="11" style="34" bestFit="1" customWidth="1"/>
    <col min="12" max="12" width="11.140625" style="34" bestFit="1" customWidth="1"/>
    <col min="13" max="13" width="11" style="34" bestFit="1" customWidth="1"/>
    <col min="14" max="15" width="18.5703125" style="34" bestFit="1" customWidth="1"/>
    <col min="16" max="21" width="9.28515625" style="34" bestFit="1" customWidth="1"/>
    <col min="22" max="16384" width="9.140625" style="34"/>
  </cols>
  <sheetData>
    <row r="1" spans="1:21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</row>
    <row r="2" spans="1:21" x14ac:dyDescent="0.2">
      <c r="A2" s="58">
        <v>44021</v>
      </c>
      <c r="B2" s="36" t="s">
        <v>24</v>
      </c>
      <c r="C2" s="32" t="s">
        <v>117</v>
      </c>
      <c r="D2" s="59" t="s">
        <v>23</v>
      </c>
      <c r="E2" s="59" t="s">
        <v>47</v>
      </c>
      <c r="F2" s="59" t="s">
        <v>27</v>
      </c>
      <c r="G2" s="61">
        <v>70000</v>
      </c>
      <c r="H2" s="32" t="s">
        <v>118</v>
      </c>
      <c r="I2" s="32" t="s">
        <v>120</v>
      </c>
      <c r="J2" s="42">
        <v>0.3888888888888889</v>
      </c>
      <c r="K2" s="39">
        <v>0.37222222222222223</v>
      </c>
      <c r="L2" s="42">
        <v>0.25694444444444448</v>
      </c>
      <c r="M2" s="39">
        <v>0.25486111111111109</v>
      </c>
      <c r="N2" s="32" t="s">
        <v>228</v>
      </c>
      <c r="O2" s="32" t="s">
        <v>227</v>
      </c>
      <c r="P2" s="32">
        <v>113</v>
      </c>
      <c r="Q2" s="41">
        <v>37</v>
      </c>
      <c r="R2" s="32">
        <v>0</v>
      </c>
      <c r="S2" s="32">
        <v>0</v>
      </c>
      <c r="T2" s="32">
        <v>0</v>
      </c>
      <c r="U2" s="32">
        <v>0</v>
      </c>
    </row>
    <row r="3" spans="1:21" x14ac:dyDescent="0.2">
      <c r="A3" s="58">
        <v>44021</v>
      </c>
      <c r="B3" s="36" t="s">
        <v>24</v>
      </c>
      <c r="C3" s="59" t="s">
        <v>49</v>
      </c>
      <c r="D3" s="59" t="s">
        <v>23</v>
      </c>
      <c r="E3" s="36" t="s">
        <v>67</v>
      </c>
      <c r="F3" s="59" t="s">
        <v>27</v>
      </c>
      <c r="G3" s="61">
        <v>70000</v>
      </c>
      <c r="H3" s="59" t="s">
        <v>56</v>
      </c>
      <c r="I3" s="59" t="s">
        <v>57</v>
      </c>
      <c r="J3" s="62">
        <v>0.46180555555555558</v>
      </c>
      <c r="K3" s="60">
        <v>0.45347222222222222</v>
      </c>
      <c r="L3" s="62">
        <v>0.27430555555555552</v>
      </c>
      <c r="M3" s="60">
        <v>0.27638888888888885</v>
      </c>
      <c r="N3" s="59" t="s">
        <v>230</v>
      </c>
      <c r="O3" s="59" t="s">
        <v>229</v>
      </c>
      <c r="P3" s="59">
        <v>385</v>
      </c>
      <c r="Q3" s="59">
        <v>90</v>
      </c>
      <c r="R3" s="59">
        <v>0</v>
      </c>
      <c r="S3" s="59">
        <v>0</v>
      </c>
      <c r="T3" s="59">
        <v>0</v>
      </c>
      <c r="U3" s="59">
        <v>0</v>
      </c>
    </row>
    <row r="4" spans="1:21" x14ac:dyDescent="0.2">
      <c r="A4" s="58">
        <v>44021</v>
      </c>
      <c r="B4" s="36" t="s">
        <v>24</v>
      </c>
      <c r="C4" s="32" t="s">
        <v>32</v>
      </c>
      <c r="D4" s="59" t="s">
        <v>23</v>
      </c>
      <c r="E4" s="59" t="s">
        <v>47</v>
      </c>
      <c r="F4" s="59" t="s">
        <v>27</v>
      </c>
      <c r="G4" s="61">
        <v>70000</v>
      </c>
      <c r="H4" s="43" t="s">
        <v>34</v>
      </c>
      <c r="I4" s="43" t="s">
        <v>36</v>
      </c>
      <c r="J4" s="42">
        <v>0.55555555555555558</v>
      </c>
      <c r="K4" s="39">
        <v>0.54513888888888895</v>
      </c>
      <c r="L4" s="42">
        <v>0.40972222222222227</v>
      </c>
      <c r="M4" s="39">
        <v>0.40763888888888888</v>
      </c>
      <c r="N4" s="32" t="s">
        <v>232</v>
      </c>
      <c r="O4" s="47" t="s">
        <v>231</v>
      </c>
      <c r="P4" s="32">
        <v>660</v>
      </c>
      <c r="Q4" s="41">
        <v>167</v>
      </c>
      <c r="R4" s="32">
        <v>0</v>
      </c>
      <c r="S4" s="32">
        <v>0</v>
      </c>
      <c r="T4" s="32">
        <v>0</v>
      </c>
      <c r="U4" s="32">
        <v>0</v>
      </c>
    </row>
    <row r="5" spans="1:21" x14ac:dyDescent="0.2">
      <c r="A5" s="58">
        <v>44021</v>
      </c>
      <c r="B5" s="36" t="s">
        <v>24</v>
      </c>
      <c r="C5" s="32" t="s">
        <v>33</v>
      </c>
      <c r="D5" s="59" t="s">
        <v>23</v>
      </c>
      <c r="E5" s="36" t="s">
        <v>67</v>
      </c>
      <c r="F5" s="59" t="s">
        <v>27</v>
      </c>
      <c r="G5" s="61">
        <v>70000</v>
      </c>
      <c r="H5" s="43" t="s">
        <v>119</v>
      </c>
      <c r="I5" s="43" t="s">
        <v>37</v>
      </c>
      <c r="J5" s="42">
        <v>0.69444444444444453</v>
      </c>
      <c r="K5" s="39">
        <v>0.68888888888888899</v>
      </c>
      <c r="L5" s="42">
        <v>0.48958333333333331</v>
      </c>
      <c r="M5" s="39">
        <v>0.49305555555555558</v>
      </c>
      <c r="N5" s="47" t="s">
        <v>91</v>
      </c>
      <c r="O5" s="32" t="s">
        <v>216</v>
      </c>
      <c r="P5" s="32">
        <v>439</v>
      </c>
      <c r="Q5" s="32">
        <v>108</v>
      </c>
      <c r="R5" s="32">
        <v>0</v>
      </c>
      <c r="S5" s="32">
        <v>0</v>
      </c>
      <c r="T5" s="32">
        <v>0</v>
      </c>
      <c r="U5" s="32">
        <v>0</v>
      </c>
    </row>
    <row r="6" spans="1:21" x14ac:dyDescent="0.2">
      <c r="A6" s="58">
        <v>44021</v>
      </c>
      <c r="B6" s="36" t="s">
        <v>24</v>
      </c>
      <c r="C6" s="59" t="s">
        <v>53</v>
      </c>
      <c r="D6" s="59" t="s">
        <v>23</v>
      </c>
      <c r="E6" s="59" t="s">
        <v>47</v>
      </c>
      <c r="F6" s="59" t="s">
        <v>27</v>
      </c>
      <c r="G6" s="61">
        <v>70000</v>
      </c>
      <c r="H6" s="59" t="s">
        <v>64</v>
      </c>
      <c r="I6" s="59" t="s">
        <v>65</v>
      </c>
      <c r="J6" s="60">
        <v>0.75694444444444453</v>
      </c>
      <c r="K6" s="60">
        <v>0.74444444444444446</v>
      </c>
      <c r="L6" s="60">
        <v>0.58680555555555558</v>
      </c>
      <c r="M6" s="60">
        <v>0.58263888888888882</v>
      </c>
      <c r="N6" s="59" t="s">
        <v>233</v>
      </c>
      <c r="O6" s="59" t="s">
        <v>173</v>
      </c>
      <c r="P6" s="59">
        <v>1085</v>
      </c>
      <c r="Q6" s="59">
        <v>253</v>
      </c>
      <c r="R6" s="59">
        <v>0</v>
      </c>
      <c r="S6" s="59">
        <v>0</v>
      </c>
      <c r="T6" s="59">
        <v>0</v>
      </c>
      <c r="U6" s="59">
        <v>0</v>
      </c>
    </row>
    <row r="7" spans="1:21" x14ac:dyDescent="0.2">
      <c r="A7" s="58">
        <v>44021</v>
      </c>
      <c r="B7" s="36" t="s">
        <v>24</v>
      </c>
      <c r="C7" s="59" t="s">
        <v>51</v>
      </c>
      <c r="D7" s="59" t="s">
        <v>23</v>
      </c>
      <c r="E7" s="36" t="s">
        <v>67</v>
      </c>
      <c r="F7" s="59" t="s">
        <v>27</v>
      </c>
      <c r="G7" s="61">
        <v>70000</v>
      </c>
      <c r="H7" s="59" t="s">
        <v>60</v>
      </c>
      <c r="I7" s="59" t="s">
        <v>61</v>
      </c>
      <c r="J7" s="60">
        <v>0.94791666666666663</v>
      </c>
      <c r="K7" s="60">
        <v>0.9375</v>
      </c>
      <c r="L7" s="60">
        <v>0.71527777777777779</v>
      </c>
      <c r="M7" s="60">
        <v>0.71805555555555556</v>
      </c>
      <c r="N7" s="59" t="s">
        <v>236</v>
      </c>
      <c r="O7" s="59" t="s">
        <v>234</v>
      </c>
      <c r="P7" s="59">
        <v>1560</v>
      </c>
      <c r="Q7" s="59">
        <v>205</v>
      </c>
      <c r="R7" s="59">
        <v>0</v>
      </c>
      <c r="S7" s="59">
        <v>0</v>
      </c>
      <c r="T7" s="59">
        <v>0</v>
      </c>
      <c r="U7" s="59">
        <v>0</v>
      </c>
    </row>
    <row r="8" spans="1:21" x14ac:dyDescent="0.2">
      <c r="A8" s="58">
        <v>44021</v>
      </c>
      <c r="B8" s="36" t="s">
        <v>24</v>
      </c>
      <c r="C8" s="59" t="s">
        <v>46</v>
      </c>
      <c r="D8" s="59" t="s">
        <v>23</v>
      </c>
      <c r="E8" s="59" t="s">
        <v>47</v>
      </c>
      <c r="F8" s="59" t="s">
        <v>27</v>
      </c>
      <c r="G8" s="61">
        <v>70000</v>
      </c>
      <c r="H8" s="59" t="s">
        <v>44</v>
      </c>
      <c r="I8" s="59" t="s">
        <v>45</v>
      </c>
      <c r="J8" s="60">
        <v>0.95486111111111116</v>
      </c>
      <c r="K8" s="60">
        <v>0.94374999999999998</v>
      </c>
      <c r="L8" s="60">
        <v>0.77777777777777779</v>
      </c>
      <c r="M8" s="60">
        <v>0.77430555555555547</v>
      </c>
      <c r="N8" s="59" t="s">
        <v>237</v>
      </c>
      <c r="O8" s="59" t="s">
        <v>235</v>
      </c>
      <c r="P8" s="59">
        <v>474</v>
      </c>
      <c r="Q8" s="59">
        <v>202</v>
      </c>
      <c r="R8" s="59">
        <v>0</v>
      </c>
      <c r="S8" s="59">
        <v>0</v>
      </c>
      <c r="T8" s="59">
        <v>0</v>
      </c>
      <c r="U8" s="59">
        <v>0</v>
      </c>
    </row>
    <row r="9" spans="1:21" x14ac:dyDescent="0.2">
      <c r="A9" s="58">
        <v>44021</v>
      </c>
      <c r="B9" s="36" t="s">
        <v>24</v>
      </c>
      <c r="C9" s="59" t="s">
        <v>166</v>
      </c>
      <c r="D9" s="59" t="s">
        <v>23</v>
      </c>
      <c r="E9" s="59" t="s">
        <v>93</v>
      </c>
      <c r="F9" s="59" t="s">
        <v>167</v>
      </c>
      <c r="G9" s="61">
        <v>71500</v>
      </c>
      <c r="H9" s="59" t="s">
        <v>21</v>
      </c>
      <c r="I9" s="59" t="s">
        <v>225</v>
      </c>
      <c r="J9" s="59" t="s">
        <v>21</v>
      </c>
      <c r="K9" s="60" t="s">
        <v>21</v>
      </c>
      <c r="L9" s="60">
        <v>0.5</v>
      </c>
      <c r="M9" s="60">
        <v>0.53472222222222221</v>
      </c>
      <c r="N9" s="59" t="s">
        <v>21</v>
      </c>
      <c r="O9" s="59" t="s">
        <v>226</v>
      </c>
      <c r="P9" s="59" t="s">
        <v>21</v>
      </c>
      <c r="Q9" s="59" t="s">
        <v>21</v>
      </c>
      <c r="R9" s="59">
        <v>0</v>
      </c>
      <c r="S9" s="59">
        <v>0</v>
      </c>
      <c r="T9" s="59">
        <v>0</v>
      </c>
      <c r="U9" s="5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K8" sqref="K8"/>
    </sheetView>
  </sheetViews>
  <sheetFormatPr defaultRowHeight="15" x14ac:dyDescent="0.25"/>
  <cols>
    <col min="3" max="3" width="13.5703125" bestFit="1" customWidth="1"/>
    <col min="6" max="6" width="14.42578125" bestFit="1" customWidth="1"/>
    <col min="7" max="7" width="9.7109375" bestFit="1" customWidth="1"/>
    <col min="10" max="10" width="11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44022</v>
      </c>
      <c r="B2" s="36" t="s">
        <v>24</v>
      </c>
      <c r="C2" s="3" t="s">
        <v>48</v>
      </c>
      <c r="D2" s="14" t="s">
        <v>23</v>
      </c>
      <c r="E2" s="3" t="s">
        <v>238</v>
      </c>
      <c r="F2" s="3" t="s">
        <v>27</v>
      </c>
      <c r="G2" s="30">
        <v>71500</v>
      </c>
      <c r="H2" s="3" t="s">
        <v>54</v>
      </c>
      <c r="I2" s="3" t="s">
        <v>55</v>
      </c>
      <c r="J2" s="11">
        <v>0.46180555555555558</v>
      </c>
      <c r="K2" s="11">
        <v>0.45</v>
      </c>
      <c r="L2" s="11">
        <v>0.26041666666666669</v>
      </c>
      <c r="M2" s="11">
        <v>0.25694444444444448</v>
      </c>
      <c r="N2" s="3" t="s">
        <v>240</v>
      </c>
      <c r="O2" s="3">
        <v>47</v>
      </c>
      <c r="P2" s="3">
        <v>1135</v>
      </c>
      <c r="Q2" s="3">
        <v>353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4">
        <v>44022</v>
      </c>
      <c r="B3" s="36" t="s">
        <v>24</v>
      </c>
      <c r="C3" s="3" t="s">
        <v>49</v>
      </c>
      <c r="D3" s="14" t="s">
        <v>23</v>
      </c>
      <c r="E3" s="3" t="s">
        <v>132</v>
      </c>
      <c r="F3" s="3" t="s">
        <v>27</v>
      </c>
      <c r="G3" s="30">
        <v>70000</v>
      </c>
      <c r="H3" s="3" t="s">
        <v>56</v>
      </c>
      <c r="I3" s="3" t="s">
        <v>57</v>
      </c>
      <c r="J3" s="11">
        <v>0.47569444444444442</v>
      </c>
      <c r="K3" s="11">
        <v>0.45694444444444443</v>
      </c>
      <c r="L3" s="11">
        <v>0.27430555555555552</v>
      </c>
      <c r="M3" s="11">
        <v>0.27777777777777779</v>
      </c>
      <c r="N3" s="3" t="s">
        <v>241</v>
      </c>
      <c r="O3" s="3">
        <v>37</v>
      </c>
      <c r="P3" s="3">
        <v>591</v>
      </c>
      <c r="Q3" s="3">
        <v>246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44022</v>
      </c>
      <c r="B4" s="36" t="s">
        <v>24</v>
      </c>
      <c r="C4" s="3" t="s">
        <v>50</v>
      </c>
      <c r="D4" s="14" t="s">
        <v>23</v>
      </c>
      <c r="E4" s="3" t="s">
        <v>238</v>
      </c>
      <c r="F4" s="3" t="s">
        <v>27</v>
      </c>
      <c r="G4" s="30">
        <v>71500</v>
      </c>
      <c r="H4" s="3" t="s">
        <v>58</v>
      </c>
      <c r="I4" s="3" t="s">
        <v>59</v>
      </c>
      <c r="J4" s="11">
        <v>0.72569444444444453</v>
      </c>
      <c r="K4" s="11">
        <v>0.7270833333333333</v>
      </c>
      <c r="L4" s="11">
        <v>0.5</v>
      </c>
      <c r="M4" s="11">
        <v>0.49583333333333335</v>
      </c>
      <c r="N4" s="3" t="s">
        <v>89</v>
      </c>
      <c r="O4" s="3">
        <v>31</v>
      </c>
      <c r="P4" s="3">
        <v>1300</v>
      </c>
      <c r="Q4" s="3">
        <v>311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44022</v>
      </c>
      <c r="B5" s="36" t="s">
        <v>24</v>
      </c>
      <c r="C5" s="3" t="s">
        <v>134</v>
      </c>
      <c r="D5" s="14" t="s">
        <v>23</v>
      </c>
      <c r="E5" s="3" t="s">
        <v>132</v>
      </c>
      <c r="F5" s="3" t="s">
        <v>27</v>
      </c>
      <c r="G5" s="30">
        <v>70000</v>
      </c>
      <c r="H5" s="3" t="s">
        <v>135</v>
      </c>
      <c r="I5" s="3" t="s">
        <v>136</v>
      </c>
      <c r="J5" s="11">
        <v>0.73263888888888884</v>
      </c>
      <c r="K5" s="11">
        <v>0.72291666666666676</v>
      </c>
      <c r="L5" s="11">
        <v>0.51736111111111105</v>
      </c>
      <c r="M5" s="11">
        <v>0.52152777777777781</v>
      </c>
      <c r="N5" s="3" t="s">
        <v>242</v>
      </c>
      <c r="O5" s="3">
        <v>11</v>
      </c>
      <c r="P5" s="3">
        <v>1374</v>
      </c>
      <c r="Q5" s="3">
        <v>113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ht="12.75" x14ac:dyDescent="0.2">
      <c r="A6" s="4">
        <v>44022</v>
      </c>
      <c r="B6" s="36" t="s">
        <v>24</v>
      </c>
      <c r="C6" s="3" t="s">
        <v>66</v>
      </c>
      <c r="D6" s="14" t="s">
        <v>23</v>
      </c>
      <c r="E6" s="3" t="s">
        <v>238</v>
      </c>
      <c r="F6" s="3" t="s">
        <v>27</v>
      </c>
      <c r="G6" s="30">
        <v>71500</v>
      </c>
      <c r="H6" s="3" t="s">
        <v>69</v>
      </c>
      <c r="I6" s="3" t="s">
        <v>68</v>
      </c>
      <c r="J6" s="11">
        <v>0.89930555555555547</v>
      </c>
      <c r="K6" s="11">
        <v>0.91319444444444453</v>
      </c>
      <c r="L6" s="11">
        <v>0.75</v>
      </c>
      <c r="M6" s="11">
        <v>0.75902777777777775</v>
      </c>
      <c r="N6" s="3" t="s">
        <v>243</v>
      </c>
      <c r="O6" s="3" t="s">
        <v>245</v>
      </c>
      <c r="P6" s="3">
        <v>518</v>
      </c>
      <c r="Q6" s="3">
        <v>88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4">
        <v>44022</v>
      </c>
      <c r="B7" s="36" t="s">
        <v>24</v>
      </c>
      <c r="C7" s="3" t="s">
        <v>53</v>
      </c>
      <c r="D7" s="14" t="s">
        <v>23</v>
      </c>
      <c r="E7" s="3" t="s">
        <v>132</v>
      </c>
      <c r="F7" s="3" t="s">
        <v>27</v>
      </c>
      <c r="G7" s="30">
        <v>70000</v>
      </c>
      <c r="H7" s="3" t="s">
        <v>64</v>
      </c>
      <c r="I7" s="3" t="s">
        <v>65</v>
      </c>
      <c r="J7" s="11">
        <v>0.94097222222222221</v>
      </c>
      <c r="K7" s="11">
        <v>0.92986111111111114</v>
      </c>
      <c r="L7" s="11">
        <v>0.77083333333333337</v>
      </c>
      <c r="M7" s="11">
        <v>0.7680555555555556</v>
      </c>
      <c r="N7" s="3" t="s">
        <v>244</v>
      </c>
      <c r="O7" s="3" t="s">
        <v>246</v>
      </c>
      <c r="P7" s="3">
        <v>740</v>
      </c>
      <c r="Q7" s="3">
        <v>447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4">
        <v>44022</v>
      </c>
      <c r="B8" s="5" t="s">
        <v>198</v>
      </c>
      <c r="C8" s="5" t="s">
        <v>199</v>
      </c>
      <c r="D8" s="5" t="s">
        <v>23</v>
      </c>
      <c r="E8" s="5" t="s">
        <v>239</v>
      </c>
      <c r="F8" s="5" t="s">
        <v>200</v>
      </c>
      <c r="G8" s="6">
        <v>77000</v>
      </c>
      <c r="H8" s="5" t="s">
        <v>201</v>
      </c>
      <c r="I8" s="5" t="s">
        <v>197</v>
      </c>
      <c r="J8" s="7">
        <v>0.37152777777777773</v>
      </c>
      <c r="K8" s="11">
        <v>0.37361111111111112</v>
      </c>
      <c r="L8" s="7">
        <v>0.3298611111111111</v>
      </c>
      <c r="M8" s="11">
        <v>0.32291666666666669</v>
      </c>
      <c r="N8" s="3">
        <v>0</v>
      </c>
      <c r="O8" s="3">
        <v>120</v>
      </c>
      <c r="P8" s="3">
        <v>0</v>
      </c>
      <c r="Q8" s="3">
        <v>1414</v>
      </c>
      <c r="R8" s="5">
        <v>0</v>
      </c>
      <c r="S8" s="5">
        <v>0</v>
      </c>
      <c r="T8" s="5">
        <v>0</v>
      </c>
      <c r="U8" s="5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1" s="48" customForma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E36" sqref="E36"/>
    </sheetView>
  </sheetViews>
  <sheetFormatPr defaultRowHeight="15" x14ac:dyDescent="0.25"/>
  <cols>
    <col min="1" max="2" width="9.140625" style="48"/>
    <col min="3" max="3" width="13.42578125" style="48" bestFit="1" customWidth="1"/>
    <col min="4" max="4" width="5.7109375" style="48" bestFit="1" customWidth="1"/>
    <col min="5" max="5" width="14.140625" style="48" bestFit="1" customWidth="1"/>
    <col min="6" max="6" width="12.140625" style="48" bestFit="1" customWidth="1"/>
    <col min="7" max="10" width="9.140625" style="48"/>
    <col min="11" max="11" width="10.85546875" style="48" bestFit="1" customWidth="1"/>
    <col min="12" max="12" width="9.140625" style="48"/>
    <col min="13" max="13" width="10.85546875" style="48" bestFit="1" customWidth="1"/>
    <col min="14" max="15" width="18.42578125" style="48" bestFit="1" customWidth="1"/>
    <col min="16" max="16384" width="9.140625" style="48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44023</v>
      </c>
      <c r="B2" s="5" t="s">
        <v>24</v>
      </c>
      <c r="C2" s="5" t="s">
        <v>25</v>
      </c>
      <c r="D2" s="5" t="s">
        <v>23</v>
      </c>
      <c r="E2" s="5" t="s">
        <v>67</v>
      </c>
      <c r="F2" s="5" t="s">
        <v>27</v>
      </c>
      <c r="G2" s="6">
        <v>70000</v>
      </c>
      <c r="H2" s="5" t="s">
        <v>28</v>
      </c>
      <c r="I2" s="5" t="s">
        <v>30</v>
      </c>
      <c r="J2" s="7">
        <v>0.375</v>
      </c>
      <c r="K2" s="8">
        <v>0.36527777777777781</v>
      </c>
      <c r="L2" s="7">
        <v>0.25694444444444448</v>
      </c>
      <c r="M2" s="11">
        <v>0.25694444444444448</v>
      </c>
      <c r="N2" s="2" t="s">
        <v>249</v>
      </c>
      <c r="O2" s="9" t="s">
        <v>247</v>
      </c>
      <c r="P2" s="9">
        <v>276</v>
      </c>
      <c r="Q2" s="9">
        <v>52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44023</v>
      </c>
      <c r="B3" s="5" t="s">
        <v>24</v>
      </c>
      <c r="C3" s="5" t="s">
        <v>26</v>
      </c>
      <c r="D3" s="5" t="s">
        <v>23</v>
      </c>
      <c r="E3" s="5" t="s">
        <v>47</v>
      </c>
      <c r="F3" s="5" t="s">
        <v>27</v>
      </c>
      <c r="G3" s="6">
        <v>70000</v>
      </c>
      <c r="H3" s="5" t="s">
        <v>29</v>
      </c>
      <c r="I3" s="5" t="s">
        <v>31</v>
      </c>
      <c r="J3" s="7">
        <v>0.4548611111111111</v>
      </c>
      <c r="K3" s="8">
        <v>0.4458333333333333</v>
      </c>
      <c r="L3" s="7">
        <v>0.28125</v>
      </c>
      <c r="M3" s="11">
        <v>0.27986111111111112</v>
      </c>
      <c r="N3" s="2" t="s">
        <v>250</v>
      </c>
      <c r="O3" s="9" t="s">
        <v>248</v>
      </c>
      <c r="P3" s="3">
        <v>955</v>
      </c>
      <c r="Q3" s="9">
        <v>578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44023</v>
      </c>
      <c r="B4" s="2" t="s">
        <v>24</v>
      </c>
      <c r="C4" s="2" t="s">
        <v>32</v>
      </c>
      <c r="D4" s="2" t="s">
        <v>23</v>
      </c>
      <c r="E4" s="5" t="s">
        <v>67</v>
      </c>
      <c r="F4" s="2" t="s">
        <v>27</v>
      </c>
      <c r="G4" s="6">
        <v>70000</v>
      </c>
      <c r="H4" s="5" t="s">
        <v>34</v>
      </c>
      <c r="I4" s="5" t="s">
        <v>36</v>
      </c>
      <c r="J4" s="10">
        <v>0.54166666666666663</v>
      </c>
      <c r="K4" s="1">
        <v>0.53125</v>
      </c>
      <c r="L4" s="10">
        <v>0.39583333333333331</v>
      </c>
      <c r="M4" s="11">
        <v>0.39513888888888887</v>
      </c>
      <c r="N4" s="2" t="s">
        <v>253</v>
      </c>
      <c r="O4" s="31" t="s">
        <v>251</v>
      </c>
      <c r="P4" s="5">
        <v>850</v>
      </c>
      <c r="Q4" s="9">
        <v>370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44023</v>
      </c>
      <c r="B5" s="2" t="s">
        <v>24</v>
      </c>
      <c r="C5" s="2" t="s">
        <v>33</v>
      </c>
      <c r="D5" s="2" t="s">
        <v>23</v>
      </c>
      <c r="E5" s="5" t="s">
        <v>47</v>
      </c>
      <c r="F5" s="2" t="s">
        <v>27</v>
      </c>
      <c r="G5" s="6">
        <v>70000</v>
      </c>
      <c r="H5" s="2" t="s">
        <v>35</v>
      </c>
      <c r="I5" s="2" t="s">
        <v>37</v>
      </c>
      <c r="J5" s="12">
        <v>0.69444444444444453</v>
      </c>
      <c r="K5" s="1">
        <v>0.68541666666666667</v>
      </c>
      <c r="L5" s="12">
        <v>0.48958333333333331</v>
      </c>
      <c r="M5" s="11">
        <v>0.48958333333333331</v>
      </c>
      <c r="N5" s="2">
        <v>130</v>
      </c>
      <c r="O5" s="2" t="s">
        <v>252</v>
      </c>
      <c r="P5" s="2">
        <v>777</v>
      </c>
      <c r="Q5" s="9">
        <v>360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4">
        <v>44023</v>
      </c>
      <c r="B6" s="2" t="s">
        <v>24</v>
      </c>
      <c r="C6" s="2" t="s">
        <v>38</v>
      </c>
      <c r="D6" s="2" t="s">
        <v>23</v>
      </c>
      <c r="E6" s="5" t="s">
        <v>67</v>
      </c>
      <c r="F6" s="2" t="s">
        <v>27</v>
      </c>
      <c r="G6" s="6">
        <v>70000</v>
      </c>
      <c r="H6" s="2" t="s">
        <v>39</v>
      </c>
      <c r="I6" s="2" t="s">
        <v>40</v>
      </c>
      <c r="J6" s="12">
        <v>0.73958333333333337</v>
      </c>
      <c r="K6" s="8">
        <v>0.73611111111111116</v>
      </c>
      <c r="L6" s="12">
        <v>0.57291666666666663</v>
      </c>
      <c r="M6" s="11">
        <v>0.57152777777777775</v>
      </c>
      <c r="N6" s="2" t="s">
        <v>255</v>
      </c>
      <c r="O6" s="2" t="s">
        <v>254</v>
      </c>
      <c r="P6" s="2">
        <v>638</v>
      </c>
      <c r="Q6" s="2">
        <v>390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4">
        <v>44023</v>
      </c>
      <c r="B7" s="3" t="s">
        <v>24</v>
      </c>
      <c r="C7" s="3" t="s">
        <v>51</v>
      </c>
      <c r="D7" s="3" t="s">
        <v>23</v>
      </c>
      <c r="E7" s="5" t="s">
        <v>47</v>
      </c>
      <c r="F7" s="3" t="s">
        <v>27</v>
      </c>
      <c r="G7" s="30">
        <v>70000</v>
      </c>
      <c r="H7" s="3" t="s">
        <v>60</v>
      </c>
      <c r="I7" s="3" t="s">
        <v>61</v>
      </c>
      <c r="J7" s="10">
        <v>0.94791666666666663</v>
      </c>
      <c r="K7" s="11">
        <v>0.94930555555555562</v>
      </c>
      <c r="L7" s="10">
        <v>0.71527777777777779</v>
      </c>
      <c r="M7" s="11">
        <v>0.72013888888888899</v>
      </c>
      <c r="N7" s="3" t="s">
        <v>256</v>
      </c>
      <c r="O7" s="3" t="s">
        <v>88</v>
      </c>
      <c r="P7" s="3">
        <v>1690</v>
      </c>
      <c r="Q7" s="3">
        <v>663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v>44023</v>
      </c>
      <c r="B8" s="3" t="s">
        <v>24</v>
      </c>
      <c r="C8" s="3" t="s">
        <v>46</v>
      </c>
      <c r="D8" s="3" t="s">
        <v>23</v>
      </c>
      <c r="E8" s="5" t="s">
        <v>67</v>
      </c>
      <c r="F8" s="3" t="s">
        <v>27</v>
      </c>
      <c r="G8" s="6">
        <v>70000</v>
      </c>
      <c r="H8" s="3" t="s">
        <v>44</v>
      </c>
      <c r="I8" s="3" t="s">
        <v>45</v>
      </c>
      <c r="J8" s="10">
        <v>0.95486111111111116</v>
      </c>
      <c r="K8" s="11">
        <v>0.96111111111111114</v>
      </c>
      <c r="L8" s="10">
        <v>0.77777777777777779</v>
      </c>
      <c r="M8" s="11">
        <v>0.77777777777777779</v>
      </c>
      <c r="N8" s="3" t="s">
        <v>257</v>
      </c>
      <c r="O8" s="3">
        <v>55</v>
      </c>
      <c r="P8" s="3">
        <v>800</v>
      </c>
      <c r="Q8" s="3">
        <v>397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9"/>
      <c r="B9" s="3"/>
      <c r="C9" s="3"/>
      <c r="D9" s="3"/>
      <c r="E9" s="3"/>
      <c r="F9" s="3"/>
      <c r="G9" s="30"/>
      <c r="H9" s="3"/>
      <c r="I9" s="3"/>
      <c r="J9" s="3"/>
      <c r="K9" s="3"/>
      <c r="L9" s="11"/>
      <c r="M9" s="11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opLeftCell="C1" workbookViewId="0">
      <selection activeCell="K7" sqref="K7"/>
    </sheetView>
  </sheetViews>
  <sheetFormatPr defaultRowHeight="12.75" x14ac:dyDescent="0.2"/>
  <cols>
    <col min="1" max="1" width="9.140625" style="3"/>
    <col min="2" max="2" width="12.7109375" style="3" bestFit="1" customWidth="1"/>
    <col min="3" max="3" width="15.85546875" style="3" customWidth="1"/>
    <col min="4" max="5" width="9.140625" style="3"/>
    <col min="6" max="6" width="12.140625" style="3" bestFit="1" customWidth="1"/>
    <col min="7" max="9" width="9.140625" style="3"/>
    <col min="10" max="10" width="11" style="3" bestFit="1" customWidth="1"/>
    <col min="11" max="11" width="10.85546875" style="3" bestFit="1" customWidth="1"/>
    <col min="12" max="12" width="11" style="3" bestFit="1" customWidth="1"/>
    <col min="13" max="14" width="9.140625" style="3"/>
    <col min="15" max="15" width="18.42578125" style="3" bestFit="1" customWidth="1"/>
    <col min="16" max="16384" width="9.140625" style="3"/>
  </cols>
  <sheetData>
    <row r="1" spans="1:22" s="15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2" x14ac:dyDescent="0.2">
      <c r="A2" s="4">
        <v>44024</v>
      </c>
      <c r="B2" s="20" t="s">
        <v>24</v>
      </c>
      <c r="C2" s="20" t="s">
        <v>117</v>
      </c>
      <c r="D2" s="20" t="s">
        <v>23</v>
      </c>
      <c r="E2" s="20" t="s">
        <v>67</v>
      </c>
      <c r="F2" s="20" t="s">
        <v>27</v>
      </c>
      <c r="G2" s="21">
        <v>70000</v>
      </c>
      <c r="H2" s="20" t="s">
        <v>118</v>
      </c>
      <c r="I2" s="20" t="s">
        <v>120</v>
      </c>
      <c r="J2" s="26">
        <v>0.3888888888888889</v>
      </c>
      <c r="K2" s="27">
        <v>0.3833333333333333</v>
      </c>
      <c r="L2" s="26">
        <v>0.25694444444444448</v>
      </c>
      <c r="M2" s="27">
        <v>0.25694444444444448</v>
      </c>
      <c r="N2" s="27" t="s">
        <v>260</v>
      </c>
      <c r="O2" s="27" t="s">
        <v>258</v>
      </c>
      <c r="P2" s="24">
        <v>142</v>
      </c>
      <c r="Q2" s="24">
        <v>69</v>
      </c>
      <c r="R2" s="20">
        <v>0</v>
      </c>
      <c r="S2" s="20">
        <v>0</v>
      </c>
      <c r="T2" s="20">
        <v>0</v>
      </c>
      <c r="U2" s="20">
        <v>0</v>
      </c>
      <c r="V2" s="64"/>
    </row>
    <row r="3" spans="1:22" x14ac:dyDescent="0.2">
      <c r="A3" s="4">
        <v>44024</v>
      </c>
      <c r="B3" s="20" t="s">
        <v>24</v>
      </c>
      <c r="C3" s="20" t="s">
        <v>49</v>
      </c>
      <c r="D3" s="20" t="s">
        <v>23</v>
      </c>
      <c r="E3" s="20" t="s">
        <v>47</v>
      </c>
      <c r="F3" s="20" t="s">
        <v>27</v>
      </c>
      <c r="G3" s="21">
        <v>70000</v>
      </c>
      <c r="H3" s="20" t="s">
        <v>56</v>
      </c>
      <c r="I3" s="20" t="s">
        <v>57</v>
      </c>
      <c r="J3" s="26">
        <v>0.47569444444444442</v>
      </c>
      <c r="K3" s="27">
        <v>0.46527777777777773</v>
      </c>
      <c r="L3" s="26">
        <v>0.27430555555555552</v>
      </c>
      <c r="M3" s="27">
        <v>0.27499999999999997</v>
      </c>
      <c r="N3" s="27" t="s">
        <v>261</v>
      </c>
      <c r="O3" s="27" t="s">
        <v>259</v>
      </c>
      <c r="P3" s="24">
        <v>806</v>
      </c>
      <c r="Q3" s="24">
        <v>373</v>
      </c>
      <c r="R3" s="20">
        <v>0</v>
      </c>
      <c r="S3" s="20">
        <v>0</v>
      </c>
      <c r="T3" s="20">
        <v>0</v>
      </c>
      <c r="U3" s="20">
        <v>0</v>
      </c>
      <c r="V3" s="64"/>
    </row>
    <row r="4" spans="1:22" x14ac:dyDescent="0.2">
      <c r="A4" s="4">
        <v>44024</v>
      </c>
      <c r="B4" s="20" t="s">
        <v>24</v>
      </c>
      <c r="C4" s="16" t="s">
        <v>41</v>
      </c>
      <c r="D4" s="20" t="s">
        <v>23</v>
      </c>
      <c r="E4" s="20" t="s">
        <v>67</v>
      </c>
      <c r="F4" s="20" t="s">
        <v>27</v>
      </c>
      <c r="G4" s="21">
        <v>70000</v>
      </c>
      <c r="H4" s="20" t="s">
        <v>42</v>
      </c>
      <c r="I4" s="16" t="s">
        <v>43</v>
      </c>
      <c r="J4" s="17">
        <v>0.71527777777777779</v>
      </c>
      <c r="K4" s="1">
        <v>0.70277777777777783</v>
      </c>
      <c r="L4" s="17">
        <v>0.49652777777777773</v>
      </c>
      <c r="M4" s="18">
        <v>0.49513888888888885</v>
      </c>
      <c r="N4" s="2" t="s">
        <v>263</v>
      </c>
      <c r="O4" s="19" t="s">
        <v>155</v>
      </c>
      <c r="P4" s="19">
        <v>948</v>
      </c>
      <c r="Q4" s="19">
        <v>104</v>
      </c>
      <c r="R4" s="20">
        <v>0</v>
      </c>
      <c r="S4" s="20">
        <v>0</v>
      </c>
      <c r="T4" s="20">
        <v>0</v>
      </c>
      <c r="U4" s="20">
        <v>0</v>
      </c>
      <c r="V4" s="64"/>
    </row>
    <row r="5" spans="1:22" x14ac:dyDescent="0.2">
      <c r="A5" s="4">
        <v>44024</v>
      </c>
      <c r="B5" s="20" t="s">
        <v>24</v>
      </c>
      <c r="C5" s="2" t="s">
        <v>50</v>
      </c>
      <c r="D5" s="20" t="s">
        <v>23</v>
      </c>
      <c r="E5" s="20" t="s">
        <v>47</v>
      </c>
      <c r="F5" s="20" t="s">
        <v>27</v>
      </c>
      <c r="G5" s="21">
        <v>70000</v>
      </c>
      <c r="H5" s="2" t="s">
        <v>58</v>
      </c>
      <c r="I5" s="2" t="s">
        <v>59</v>
      </c>
      <c r="J5" s="22">
        <v>0.72569444444444453</v>
      </c>
      <c r="K5" s="23">
        <v>0.71666666666666667</v>
      </c>
      <c r="L5" s="22">
        <v>0.5</v>
      </c>
      <c r="M5" s="23">
        <v>0.50486111111111109</v>
      </c>
      <c r="N5" s="23" t="s">
        <v>77</v>
      </c>
      <c r="O5" s="24" t="s">
        <v>262</v>
      </c>
      <c r="P5" s="20">
        <v>365</v>
      </c>
      <c r="Q5" s="24">
        <v>495</v>
      </c>
      <c r="R5" s="2">
        <v>0</v>
      </c>
      <c r="S5" s="2">
        <v>0</v>
      </c>
      <c r="T5" s="2">
        <v>0</v>
      </c>
      <c r="U5" s="2">
        <v>0</v>
      </c>
      <c r="V5" s="64"/>
    </row>
    <row r="6" spans="1:22" x14ac:dyDescent="0.2">
      <c r="A6" s="4">
        <v>44024</v>
      </c>
      <c r="B6" s="20" t="s">
        <v>24</v>
      </c>
      <c r="C6" s="23" t="s">
        <v>52</v>
      </c>
      <c r="D6" s="20" t="s">
        <v>23</v>
      </c>
      <c r="E6" s="23" t="s">
        <v>47</v>
      </c>
      <c r="F6" s="20" t="s">
        <v>27</v>
      </c>
      <c r="G6" s="21">
        <v>70000</v>
      </c>
      <c r="H6" s="23" t="s">
        <v>168</v>
      </c>
      <c r="I6" s="23" t="s">
        <v>63</v>
      </c>
      <c r="J6" s="22">
        <v>0.9375</v>
      </c>
      <c r="K6" s="23">
        <v>0.9243055555555556</v>
      </c>
      <c r="L6" s="22">
        <v>0.74652777777777779</v>
      </c>
      <c r="M6" s="23">
        <v>0.75138888888888899</v>
      </c>
      <c r="N6" s="20" t="s">
        <v>224</v>
      </c>
      <c r="O6" s="20" t="s">
        <v>265</v>
      </c>
      <c r="P6" s="20">
        <v>582</v>
      </c>
      <c r="Q6" s="20">
        <v>511</v>
      </c>
      <c r="R6" s="20">
        <v>0</v>
      </c>
      <c r="S6" s="20">
        <v>0</v>
      </c>
      <c r="T6" s="2">
        <v>0</v>
      </c>
      <c r="U6" s="2">
        <v>0</v>
      </c>
      <c r="V6" s="23"/>
    </row>
    <row r="7" spans="1:22" x14ac:dyDescent="0.2">
      <c r="A7" s="4">
        <v>44024</v>
      </c>
      <c r="B7" s="20" t="s">
        <v>24</v>
      </c>
      <c r="C7" s="64" t="s">
        <v>53</v>
      </c>
      <c r="D7" s="20" t="s">
        <v>23</v>
      </c>
      <c r="E7" s="64" t="s">
        <v>67</v>
      </c>
      <c r="F7" s="20" t="s">
        <v>27</v>
      </c>
      <c r="G7" s="21">
        <v>70000</v>
      </c>
      <c r="H7" s="64" t="s">
        <v>64</v>
      </c>
      <c r="I7" s="64" t="s">
        <v>65</v>
      </c>
      <c r="J7" s="66">
        <v>0.94097222222222221</v>
      </c>
      <c r="K7" s="65">
        <v>0.92847222222222225</v>
      </c>
      <c r="L7" s="66">
        <v>0.77083333333333337</v>
      </c>
      <c r="M7" s="65">
        <v>0.7680555555555556</v>
      </c>
      <c r="N7" s="64" t="s">
        <v>264</v>
      </c>
      <c r="O7" s="64" t="s">
        <v>266</v>
      </c>
      <c r="P7" s="64">
        <v>1001</v>
      </c>
      <c r="Q7" s="64">
        <v>566</v>
      </c>
      <c r="R7" s="64">
        <v>0</v>
      </c>
      <c r="S7" s="64">
        <v>0</v>
      </c>
      <c r="T7" s="64">
        <v>0</v>
      </c>
      <c r="U7" s="64">
        <v>0</v>
      </c>
      <c r="V7" s="64"/>
    </row>
    <row r="8" spans="1:22" x14ac:dyDescent="0.2">
      <c r="A8" s="29"/>
      <c r="J8" s="10"/>
      <c r="K8" s="11"/>
      <c r="L8" s="10"/>
      <c r="M8" s="11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I20" sqref="I20"/>
    </sheetView>
  </sheetViews>
  <sheetFormatPr defaultRowHeight="15" x14ac:dyDescent="0.25"/>
  <cols>
    <col min="1" max="1" width="7.85546875" style="25" bestFit="1" customWidth="1"/>
    <col min="2" max="2" width="9.140625" style="25" bestFit="1" customWidth="1"/>
    <col min="3" max="3" width="13.5703125" style="25" bestFit="1" customWidth="1"/>
    <col min="4" max="4" width="5.7109375" style="25" bestFit="1" customWidth="1"/>
    <col min="5" max="5" width="14.5703125" style="25" bestFit="1" customWidth="1"/>
    <col min="6" max="6" width="12.140625" style="25" bestFit="1" customWidth="1"/>
    <col min="7" max="9" width="9.7109375" style="25" bestFit="1" customWidth="1"/>
    <col min="10" max="10" width="11" style="25" bestFit="1" customWidth="1"/>
    <col min="11" max="11" width="10.85546875" style="25" bestFit="1" customWidth="1"/>
    <col min="12" max="12" width="11" style="25" bestFit="1" customWidth="1"/>
    <col min="13" max="13" width="10.85546875" style="25" bestFit="1" customWidth="1"/>
    <col min="14" max="15" width="18.42578125" style="25" bestFit="1" customWidth="1"/>
    <col min="16" max="17" width="10.28515625" style="25" bestFit="1" customWidth="1"/>
    <col min="18" max="16384" width="9.140625" style="25"/>
  </cols>
  <sheetData>
    <row r="1" spans="1:2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s="34" customFormat="1" ht="12.75" x14ac:dyDescent="0.2">
      <c r="A2" s="35">
        <v>44025</v>
      </c>
      <c r="B2" s="36" t="s">
        <v>24</v>
      </c>
      <c r="C2" s="3" t="s">
        <v>48</v>
      </c>
      <c r="D2" s="14" t="s">
        <v>23</v>
      </c>
      <c r="E2" s="3" t="s">
        <v>132</v>
      </c>
      <c r="F2" s="3" t="s">
        <v>27</v>
      </c>
      <c r="G2" s="30">
        <v>70000</v>
      </c>
      <c r="H2" s="3" t="s">
        <v>54</v>
      </c>
      <c r="I2" s="3" t="s">
        <v>55</v>
      </c>
      <c r="J2" s="11">
        <v>0.46180555555555558</v>
      </c>
      <c r="K2" s="11">
        <v>0.4513888888888889</v>
      </c>
      <c r="L2" s="11">
        <v>0.26041666666666669</v>
      </c>
      <c r="M2" s="11">
        <v>0.26111111111111113</v>
      </c>
      <c r="N2" s="11" t="s">
        <v>267</v>
      </c>
      <c r="O2" s="41" t="s">
        <v>99</v>
      </c>
      <c r="P2" s="41">
        <v>1041</v>
      </c>
      <c r="Q2" s="41">
        <v>350</v>
      </c>
      <c r="R2" s="36">
        <v>0</v>
      </c>
      <c r="S2" s="36">
        <v>0</v>
      </c>
      <c r="T2" s="36">
        <v>0</v>
      </c>
      <c r="U2" s="36">
        <v>0</v>
      </c>
    </row>
    <row r="3" spans="1:21" s="34" customFormat="1" ht="12.75" x14ac:dyDescent="0.2">
      <c r="A3" s="35">
        <v>44025</v>
      </c>
      <c r="B3" s="20" t="s">
        <v>24</v>
      </c>
      <c r="C3" s="20" t="s">
        <v>49</v>
      </c>
      <c r="D3" s="20" t="s">
        <v>23</v>
      </c>
      <c r="E3" s="20" t="s">
        <v>238</v>
      </c>
      <c r="F3" s="20" t="s">
        <v>27</v>
      </c>
      <c r="G3" s="30">
        <v>70000</v>
      </c>
      <c r="H3" s="20" t="s">
        <v>56</v>
      </c>
      <c r="I3" s="20" t="s">
        <v>57</v>
      </c>
      <c r="J3" s="26">
        <v>0.47569444444444442</v>
      </c>
      <c r="K3" s="27">
        <v>0.45763888888888887</v>
      </c>
      <c r="L3" s="26">
        <v>0.27430555555555552</v>
      </c>
      <c r="M3" s="40">
        <v>0.27499999999999997</v>
      </c>
      <c r="N3" s="32" t="s">
        <v>91</v>
      </c>
      <c r="O3" s="41" t="s">
        <v>260</v>
      </c>
      <c r="P3" s="36">
        <v>502</v>
      </c>
      <c r="Q3" s="41">
        <v>166</v>
      </c>
      <c r="R3" s="36">
        <v>0</v>
      </c>
      <c r="S3" s="36">
        <v>0</v>
      </c>
      <c r="T3" s="36">
        <v>0</v>
      </c>
      <c r="U3" s="36">
        <v>0</v>
      </c>
    </row>
    <row r="4" spans="1:21" customFormat="1" x14ac:dyDescent="0.25">
      <c r="A4" s="35">
        <v>44025</v>
      </c>
      <c r="B4" s="36" t="s">
        <v>24</v>
      </c>
      <c r="C4" s="3" t="s">
        <v>50</v>
      </c>
      <c r="D4" s="14" t="s">
        <v>23</v>
      </c>
      <c r="E4" s="3" t="s">
        <v>132</v>
      </c>
      <c r="F4" s="3" t="s">
        <v>27</v>
      </c>
      <c r="G4" s="30">
        <v>70000</v>
      </c>
      <c r="H4" s="3" t="s">
        <v>58</v>
      </c>
      <c r="I4" s="3" t="s">
        <v>59</v>
      </c>
      <c r="J4" s="11">
        <v>0.72569444444444453</v>
      </c>
      <c r="K4" s="11">
        <v>0.72291666666666676</v>
      </c>
      <c r="L4" s="11">
        <v>0.5</v>
      </c>
      <c r="M4" s="11">
        <v>0.49861111111111112</v>
      </c>
      <c r="N4" s="32" t="s">
        <v>270</v>
      </c>
      <c r="O4" s="41" t="s">
        <v>268</v>
      </c>
      <c r="P4" s="41">
        <v>854</v>
      </c>
      <c r="Q4" s="41">
        <v>205</v>
      </c>
      <c r="R4" s="36">
        <v>0</v>
      </c>
      <c r="S4" s="36">
        <v>0</v>
      </c>
      <c r="T4" s="36">
        <v>0</v>
      </c>
      <c r="U4" s="36">
        <v>0</v>
      </c>
    </row>
    <row r="5" spans="1:21" customFormat="1" x14ac:dyDescent="0.25">
      <c r="A5" s="35">
        <v>44025</v>
      </c>
      <c r="B5" s="36" t="s">
        <v>24</v>
      </c>
      <c r="C5" s="3" t="s">
        <v>134</v>
      </c>
      <c r="D5" s="14" t="s">
        <v>23</v>
      </c>
      <c r="E5" s="20" t="s">
        <v>238</v>
      </c>
      <c r="F5" s="3" t="s">
        <v>27</v>
      </c>
      <c r="G5" s="30">
        <v>70000</v>
      </c>
      <c r="H5" s="3" t="s">
        <v>135</v>
      </c>
      <c r="I5" s="3" t="s">
        <v>136</v>
      </c>
      <c r="J5" s="11">
        <v>0.73263888888888884</v>
      </c>
      <c r="K5" s="11">
        <v>0.71805555555555556</v>
      </c>
      <c r="L5" s="11">
        <v>0.51736111111111105</v>
      </c>
      <c r="M5" s="11">
        <v>0.5180555555555556</v>
      </c>
      <c r="N5" s="32" t="s">
        <v>271</v>
      </c>
      <c r="O5" s="41" t="s">
        <v>269</v>
      </c>
      <c r="P5" s="36">
        <v>1013</v>
      </c>
      <c r="Q5" s="41">
        <v>174</v>
      </c>
      <c r="R5" s="36">
        <v>0</v>
      </c>
      <c r="S5" s="36">
        <v>0</v>
      </c>
      <c r="T5" s="36">
        <v>0</v>
      </c>
      <c r="U5" s="36">
        <v>0</v>
      </c>
    </row>
    <row r="6" spans="1:21" customFormat="1" x14ac:dyDescent="0.25">
      <c r="A6" s="35">
        <v>44025</v>
      </c>
      <c r="B6" s="36" t="s">
        <v>24</v>
      </c>
      <c r="C6" s="36" t="s">
        <v>66</v>
      </c>
      <c r="D6" s="36" t="s">
        <v>23</v>
      </c>
      <c r="E6" s="36" t="s">
        <v>47</v>
      </c>
      <c r="F6" s="36" t="s">
        <v>27</v>
      </c>
      <c r="G6" s="30">
        <v>70000</v>
      </c>
      <c r="H6" s="36" t="s">
        <v>69</v>
      </c>
      <c r="I6" s="36" t="s">
        <v>68</v>
      </c>
      <c r="J6" s="38">
        <v>0.89930555555555547</v>
      </c>
      <c r="K6" s="39">
        <v>0.89374999999999993</v>
      </c>
      <c r="L6" s="38">
        <v>0.75</v>
      </c>
      <c r="M6" s="40">
        <v>0.7583333333333333</v>
      </c>
      <c r="N6" s="32" t="s">
        <v>237</v>
      </c>
      <c r="O6" s="41" t="s">
        <v>273</v>
      </c>
      <c r="P6" s="36">
        <v>488</v>
      </c>
      <c r="Q6" s="41">
        <v>125</v>
      </c>
      <c r="R6" s="36">
        <v>0</v>
      </c>
      <c r="S6" s="36">
        <v>0</v>
      </c>
      <c r="T6" s="36">
        <v>0</v>
      </c>
      <c r="U6" s="36">
        <v>0</v>
      </c>
    </row>
    <row r="7" spans="1:21" customFormat="1" x14ac:dyDescent="0.25">
      <c r="A7" s="35">
        <v>44025</v>
      </c>
      <c r="B7" s="36" t="s">
        <v>24</v>
      </c>
      <c r="C7" s="32" t="s">
        <v>53</v>
      </c>
      <c r="D7" s="36" t="s">
        <v>23</v>
      </c>
      <c r="E7" s="20" t="s">
        <v>238</v>
      </c>
      <c r="F7" s="36" t="s">
        <v>27</v>
      </c>
      <c r="G7" s="30">
        <v>70000</v>
      </c>
      <c r="H7" s="32" t="s">
        <v>64</v>
      </c>
      <c r="I7" s="32" t="s">
        <v>65</v>
      </c>
      <c r="J7" s="42">
        <v>0.94097222222222221</v>
      </c>
      <c r="K7" s="39">
        <v>0.92986111111111114</v>
      </c>
      <c r="L7" s="42">
        <v>0.77083333333333337</v>
      </c>
      <c r="M7" s="39">
        <v>0.7715277777777777</v>
      </c>
      <c r="N7" s="32" t="s">
        <v>272</v>
      </c>
      <c r="O7" s="32" t="s">
        <v>274</v>
      </c>
      <c r="P7" s="32">
        <v>812</v>
      </c>
      <c r="Q7" s="41">
        <v>203</v>
      </c>
      <c r="R7" s="32">
        <v>0</v>
      </c>
      <c r="S7" s="32">
        <v>0</v>
      </c>
      <c r="T7" s="32">
        <v>0</v>
      </c>
      <c r="U7" s="32">
        <v>0</v>
      </c>
    </row>
    <row r="8" spans="1:21" x14ac:dyDescent="0.25">
      <c r="A8" s="4"/>
      <c r="B8" s="2"/>
      <c r="C8" s="2"/>
      <c r="D8" s="2"/>
      <c r="E8" s="5"/>
      <c r="F8" s="2"/>
      <c r="G8" s="6"/>
      <c r="H8" s="5"/>
      <c r="I8" s="5"/>
      <c r="J8" s="28"/>
      <c r="K8" s="8"/>
      <c r="L8" s="8"/>
      <c r="M8" s="8"/>
      <c r="N8" s="3"/>
      <c r="O8" s="3"/>
      <c r="P8" s="3"/>
      <c r="Q8" s="3"/>
      <c r="R8" s="2"/>
      <c r="S8" s="2"/>
      <c r="T8" s="2"/>
      <c r="U8" s="2"/>
    </row>
    <row r="9" spans="1:21" x14ac:dyDescent="0.25">
      <c r="J9" s="53"/>
      <c r="K9" s="53"/>
      <c r="L9" s="53"/>
      <c r="M9" s="53"/>
      <c r="N9" s="48"/>
      <c r="O9" s="48"/>
      <c r="P9" s="48"/>
      <c r="Q9" s="4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3" sqref="A3:XFD9"/>
    </sheetView>
  </sheetViews>
  <sheetFormatPr defaultRowHeight="12.75" x14ac:dyDescent="0.2"/>
  <cols>
    <col min="1" max="1" width="9.140625" style="3"/>
    <col min="2" max="2" width="14.42578125" style="3" customWidth="1"/>
    <col min="3" max="3" width="13.42578125" style="3" bestFit="1" customWidth="1"/>
    <col min="4" max="4" width="5.7109375" style="3" bestFit="1" customWidth="1"/>
    <col min="5" max="5" width="14.140625" style="3" bestFit="1" customWidth="1"/>
    <col min="6" max="6" width="12.140625" style="3" bestFit="1" customWidth="1"/>
    <col min="7" max="10" width="9.140625" style="3"/>
    <col min="11" max="11" width="10.85546875" style="3" bestFit="1" customWidth="1"/>
    <col min="12" max="12" width="9.140625" style="3"/>
    <col min="13" max="13" width="10.85546875" style="3" bestFit="1" customWidth="1"/>
    <col min="14" max="15" width="18.42578125" style="3" bestFit="1" customWidth="1"/>
    <col min="16" max="16384" width="9.140625" style="3"/>
  </cols>
  <sheetData>
    <row r="1" spans="1:2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">
      <c r="A2" s="4">
        <v>44026</v>
      </c>
      <c r="B2" s="5" t="s">
        <v>24</v>
      </c>
      <c r="C2" s="5" t="s">
        <v>25</v>
      </c>
      <c r="D2" s="5" t="s">
        <v>23</v>
      </c>
      <c r="E2" s="5" t="s">
        <v>47</v>
      </c>
      <c r="F2" s="5" t="s">
        <v>27</v>
      </c>
      <c r="G2" s="6">
        <v>70000</v>
      </c>
      <c r="H2" s="5" t="s">
        <v>28</v>
      </c>
      <c r="I2" s="5" t="s">
        <v>30</v>
      </c>
      <c r="J2" s="7">
        <v>0.375</v>
      </c>
      <c r="K2" s="11">
        <v>0.36388888888888887</v>
      </c>
      <c r="L2" s="7">
        <v>0.25694444444444448</v>
      </c>
      <c r="M2" s="11">
        <v>0.2590277777777778</v>
      </c>
      <c r="N2" s="3">
        <v>32</v>
      </c>
      <c r="O2" s="3">
        <v>32</v>
      </c>
      <c r="P2" s="3">
        <v>183</v>
      </c>
      <c r="Q2" s="3">
        <v>135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44026</v>
      </c>
      <c r="B3" s="5" t="s">
        <v>24</v>
      </c>
      <c r="C3" s="5" t="s">
        <v>26</v>
      </c>
      <c r="D3" s="5" t="s">
        <v>23</v>
      </c>
      <c r="E3" s="5" t="s">
        <v>67</v>
      </c>
      <c r="F3" s="5" t="s">
        <v>27</v>
      </c>
      <c r="G3" s="6">
        <v>71500</v>
      </c>
      <c r="H3" s="5" t="s">
        <v>29</v>
      </c>
      <c r="I3" s="5" t="s">
        <v>31</v>
      </c>
      <c r="J3" s="7">
        <v>0.4548611111111111</v>
      </c>
      <c r="K3" s="11">
        <v>0.46458333333333335</v>
      </c>
      <c r="L3" s="7">
        <v>0.28125</v>
      </c>
      <c r="M3" s="11">
        <v>0.28541666666666665</v>
      </c>
      <c r="N3" s="3" t="s">
        <v>81</v>
      </c>
      <c r="O3" s="3" t="s">
        <v>275</v>
      </c>
      <c r="P3" s="3">
        <v>471</v>
      </c>
      <c r="Q3" s="3">
        <v>536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44026</v>
      </c>
      <c r="B4" s="5" t="s">
        <v>198</v>
      </c>
      <c r="C4" s="5" t="s">
        <v>199</v>
      </c>
      <c r="D4" s="5" t="s">
        <v>23</v>
      </c>
      <c r="E4" s="5" t="s">
        <v>208</v>
      </c>
      <c r="F4" s="5" t="s">
        <v>200</v>
      </c>
      <c r="G4" s="6">
        <v>77000</v>
      </c>
      <c r="H4" s="5" t="s">
        <v>201</v>
      </c>
      <c r="I4" s="5" t="s">
        <v>197</v>
      </c>
      <c r="J4" s="7">
        <v>0.3298611111111111</v>
      </c>
      <c r="K4" s="11">
        <v>0.32083333333333336</v>
      </c>
      <c r="L4" s="7">
        <v>0.37152777777777773</v>
      </c>
      <c r="M4" s="11">
        <v>0.37361111111111112</v>
      </c>
      <c r="N4" s="3" t="s">
        <v>277</v>
      </c>
      <c r="O4" s="3" t="s">
        <v>276</v>
      </c>
      <c r="P4" s="3">
        <v>1150</v>
      </c>
      <c r="Q4" s="3">
        <v>1565</v>
      </c>
      <c r="R4" s="5">
        <v>0</v>
      </c>
      <c r="S4" s="5">
        <v>0</v>
      </c>
      <c r="T4" s="5">
        <v>0</v>
      </c>
      <c r="U4" s="5">
        <v>0</v>
      </c>
    </row>
    <row r="5" spans="1:21" x14ac:dyDescent="0.2">
      <c r="A5" s="4">
        <v>44026</v>
      </c>
      <c r="B5" s="2" t="s">
        <v>24</v>
      </c>
      <c r="C5" s="2" t="s">
        <v>32</v>
      </c>
      <c r="D5" s="2" t="s">
        <v>23</v>
      </c>
      <c r="E5" s="5" t="s">
        <v>47</v>
      </c>
      <c r="F5" s="2" t="s">
        <v>27</v>
      </c>
      <c r="G5" s="6">
        <v>70000</v>
      </c>
      <c r="H5" s="5" t="s">
        <v>34</v>
      </c>
      <c r="I5" s="5" t="s">
        <v>36</v>
      </c>
      <c r="J5" s="10">
        <v>0.54166666666666663</v>
      </c>
      <c r="K5" s="11">
        <v>0.52916666666666667</v>
      </c>
      <c r="L5" s="10">
        <v>0.39583333333333331</v>
      </c>
      <c r="M5" s="11">
        <v>0.39861111111111108</v>
      </c>
      <c r="N5" s="3" t="s">
        <v>83</v>
      </c>
      <c r="O5" s="3">
        <v>57</v>
      </c>
      <c r="P5" s="3">
        <v>590</v>
      </c>
      <c r="Q5" s="3">
        <v>361</v>
      </c>
      <c r="R5" s="2">
        <v>0</v>
      </c>
      <c r="S5" s="2">
        <v>0</v>
      </c>
      <c r="T5" s="2">
        <v>0</v>
      </c>
      <c r="U5" s="2">
        <v>0</v>
      </c>
    </row>
    <row r="6" spans="1:21" x14ac:dyDescent="0.2">
      <c r="A6" s="4">
        <v>44026</v>
      </c>
      <c r="B6" s="2" t="s">
        <v>24</v>
      </c>
      <c r="C6" s="2" t="s">
        <v>33</v>
      </c>
      <c r="D6" s="2" t="s">
        <v>23</v>
      </c>
      <c r="E6" s="5" t="s">
        <v>67</v>
      </c>
      <c r="F6" s="2" t="s">
        <v>27</v>
      </c>
      <c r="G6" s="6">
        <v>71500</v>
      </c>
      <c r="H6" s="2" t="s">
        <v>35</v>
      </c>
      <c r="I6" s="2" t="s">
        <v>37</v>
      </c>
      <c r="J6" s="12">
        <v>0.69444444444444453</v>
      </c>
      <c r="K6" s="11">
        <v>0.6875</v>
      </c>
      <c r="L6" s="12">
        <v>0.48958333333333331</v>
      </c>
      <c r="M6" s="11">
        <v>0.49861111111111112</v>
      </c>
      <c r="N6" s="3" t="s">
        <v>279</v>
      </c>
      <c r="O6" s="3" t="s">
        <v>278</v>
      </c>
      <c r="P6" s="3">
        <v>546</v>
      </c>
      <c r="Q6" s="3">
        <v>166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4">
        <v>44026</v>
      </c>
      <c r="B7" s="2" t="s">
        <v>24</v>
      </c>
      <c r="C7" s="2" t="s">
        <v>38</v>
      </c>
      <c r="D7" s="2" t="s">
        <v>23</v>
      </c>
      <c r="E7" s="5" t="str">
        <f>E5</f>
        <v>HALWK</v>
      </c>
      <c r="F7" s="2" t="s">
        <v>27</v>
      </c>
      <c r="G7" s="6">
        <v>70000</v>
      </c>
      <c r="H7" s="2" t="s">
        <v>39</v>
      </c>
      <c r="I7" s="2" t="s">
        <v>40</v>
      </c>
      <c r="J7" s="12">
        <v>0.73958333333333337</v>
      </c>
      <c r="K7" s="11">
        <v>0.7284722222222223</v>
      </c>
      <c r="L7" s="12">
        <v>0.57291666666666663</v>
      </c>
      <c r="M7" s="11">
        <v>0.57708333333333328</v>
      </c>
      <c r="N7" s="3" t="s">
        <v>83</v>
      </c>
      <c r="O7" s="3" t="s">
        <v>87</v>
      </c>
      <c r="P7" s="3">
        <v>725</v>
      </c>
      <c r="Q7" s="3">
        <v>211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4">
        <v>44026</v>
      </c>
      <c r="B8" s="3" t="s">
        <v>24</v>
      </c>
      <c r="C8" s="3" t="s">
        <v>51</v>
      </c>
      <c r="D8" s="3" t="s">
        <v>23</v>
      </c>
      <c r="E8" s="5" t="str">
        <f>E6</f>
        <v>HALWL</v>
      </c>
      <c r="F8" s="3" t="s">
        <v>27</v>
      </c>
      <c r="G8" s="30">
        <v>71500</v>
      </c>
      <c r="H8" s="3" t="s">
        <v>60</v>
      </c>
      <c r="I8" s="3" t="s">
        <v>61</v>
      </c>
      <c r="J8" s="10">
        <v>0.94791666666666663</v>
      </c>
      <c r="K8" s="11">
        <v>0.94027777777777777</v>
      </c>
      <c r="L8" s="10">
        <v>0.71527777777777779</v>
      </c>
      <c r="M8" s="11">
        <v>0.71944444444444444</v>
      </c>
      <c r="N8" s="3" t="s">
        <v>280</v>
      </c>
      <c r="O8" s="3" t="s">
        <v>84</v>
      </c>
      <c r="P8" s="3">
        <v>1290</v>
      </c>
      <c r="Q8" s="3">
        <v>529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4">
        <v>44026</v>
      </c>
      <c r="B9" s="3" t="s">
        <v>24</v>
      </c>
      <c r="C9" s="3" t="s">
        <v>46</v>
      </c>
      <c r="D9" s="3" t="s">
        <v>23</v>
      </c>
      <c r="E9" s="5" t="str">
        <f>E7</f>
        <v>HALWK</v>
      </c>
      <c r="F9" s="3" t="s">
        <v>27</v>
      </c>
      <c r="G9" s="6">
        <v>70000</v>
      </c>
      <c r="H9" s="3" t="s">
        <v>44</v>
      </c>
      <c r="I9" s="3" t="s">
        <v>45</v>
      </c>
      <c r="J9" s="10">
        <v>0.95486111111111116</v>
      </c>
      <c r="K9" s="11">
        <v>0.95416666666666661</v>
      </c>
      <c r="L9" s="10">
        <v>0.77777777777777779</v>
      </c>
      <c r="M9" s="11">
        <v>0.77500000000000002</v>
      </c>
      <c r="N9" s="3" t="s">
        <v>281</v>
      </c>
      <c r="O9" s="3" t="s">
        <v>282</v>
      </c>
      <c r="P9" s="3">
        <v>438</v>
      </c>
      <c r="Q9" s="3">
        <v>206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">
      <c r="A10" s="29">
        <f>A9</f>
        <v>44026</v>
      </c>
      <c r="B10" s="3" t="s">
        <v>283</v>
      </c>
      <c r="C10" s="3" t="s">
        <v>284</v>
      </c>
      <c r="D10" s="3" t="s">
        <v>285</v>
      </c>
      <c r="E10" s="3" t="s">
        <v>286</v>
      </c>
      <c r="F10" s="3" t="s">
        <v>287</v>
      </c>
      <c r="G10" s="30">
        <v>3000</v>
      </c>
      <c r="H10" s="3" t="str">
        <f>E10</f>
        <v>YU-BYW</v>
      </c>
      <c r="I10" s="3" t="str">
        <f>H10</f>
        <v>YU-BYW</v>
      </c>
      <c r="J10" s="10">
        <v>0.45833333333333331</v>
      </c>
      <c r="K10" s="11">
        <v>0.49305555555555558</v>
      </c>
      <c r="L10" s="10">
        <v>0.54166666666666663</v>
      </c>
      <c r="M10" s="11">
        <v>0.55694444444444446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1048576"/>
    </sheetView>
  </sheetViews>
  <sheetFormatPr defaultRowHeight="12.75" x14ac:dyDescent="0.2"/>
  <cols>
    <col min="1" max="1" width="9.140625" style="34" bestFit="1" customWidth="1"/>
    <col min="2" max="2" width="13.85546875" style="34" customWidth="1"/>
    <col min="3" max="3" width="19" style="34" customWidth="1"/>
    <col min="4" max="4" width="10.5703125" style="34" customWidth="1"/>
    <col min="5" max="5" width="15.42578125" style="34" bestFit="1" customWidth="1"/>
    <col min="6" max="6" width="17.28515625" style="34" customWidth="1"/>
    <col min="7" max="7" width="9.28515625" style="34" bestFit="1" customWidth="1"/>
    <col min="8" max="9" width="9.140625" style="34"/>
    <col min="10" max="10" width="11.140625" style="34" bestFit="1" customWidth="1"/>
    <col min="11" max="11" width="11" style="34" bestFit="1" customWidth="1"/>
    <col min="12" max="12" width="11.140625" style="34" bestFit="1" customWidth="1"/>
    <col min="13" max="13" width="11" style="34" bestFit="1" customWidth="1"/>
    <col min="14" max="15" width="18.5703125" style="34" bestFit="1" customWidth="1"/>
    <col min="16" max="21" width="9.28515625" style="34" bestFit="1" customWidth="1"/>
    <col min="22" max="16384" width="9.140625" style="34"/>
  </cols>
  <sheetData>
    <row r="1" spans="1:21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</row>
    <row r="2" spans="1:21" x14ac:dyDescent="0.2">
      <c r="A2" s="58">
        <v>44027</v>
      </c>
      <c r="B2" s="36" t="s">
        <v>24</v>
      </c>
      <c r="C2" s="59" t="s">
        <v>48</v>
      </c>
      <c r="D2" s="59" t="s">
        <v>23</v>
      </c>
      <c r="E2" s="59" t="s">
        <v>67</v>
      </c>
      <c r="F2" s="59" t="s">
        <v>27</v>
      </c>
      <c r="G2" s="61">
        <v>70000</v>
      </c>
      <c r="H2" s="59" t="s">
        <v>54</v>
      </c>
      <c r="I2" s="59" t="s">
        <v>55</v>
      </c>
      <c r="J2" s="62">
        <v>0.46180555555555558</v>
      </c>
      <c r="K2" s="60">
        <v>0.45208333333333334</v>
      </c>
      <c r="L2" s="62">
        <v>0.26041666666666669</v>
      </c>
      <c r="M2" s="60">
        <v>0.26041666666666669</v>
      </c>
      <c r="N2" s="59" t="s">
        <v>292</v>
      </c>
      <c r="O2" s="59" t="s">
        <v>290</v>
      </c>
      <c r="P2" s="59">
        <v>1268</v>
      </c>
      <c r="Q2" s="59">
        <v>396</v>
      </c>
      <c r="R2" s="59">
        <v>0</v>
      </c>
      <c r="S2" s="59">
        <v>0</v>
      </c>
      <c r="T2" s="59">
        <v>0</v>
      </c>
      <c r="U2" s="59">
        <v>0</v>
      </c>
    </row>
    <row r="3" spans="1:21" x14ac:dyDescent="0.2">
      <c r="A3" s="58">
        <v>44027</v>
      </c>
      <c r="B3" s="36" t="s">
        <v>24</v>
      </c>
      <c r="C3" s="59" t="s">
        <v>49</v>
      </c>
      <c r="D3" s="59" t="s">
        <v>23</v>
      </c>
      <c r="E3" s="59" t="s">
        <v>288</v>
      </c>
      <c r="F3" s="59" t="s">
        <v>27</v>
      </c>
      <c r="G3" s="61">
        <v>70000</v>
      </c>
      <c r="H3" s="59" t="s">
        <v>56</v>
      </c>
      <c r="I3" s="59" t="s">
        <v>57</v>
      </c>
      <c r="J3" s="62">
        <v>0.47569444444444442</v>
      </c>
      <c r="K3" s="60">
        <v>0.45833333333333331</v>
      </c>
      <c r="L3" s="62">
        <v>0.27430555555555552</v>
      </c>
      <c r="M3" s="60">
        <v>0.27430555555555552</v>
      </c>
      <c r="N3" s="59" t="s">
        <v>293</v>
      </c>
      <c r="O3" s="59" t="s">
        <v>291</v>
      </c>
      <c r="P3" s="59">
        <v>686</v>
      </c>
      <c r="Q3" s="59">
        <v>336</v>
      </c>
      <c r="R3" s="59">
        <v>0</v>
      </c>
      <c r="S3" s="59">
        <v>0</v>
      </c>
      <c r="T3" s="59">
        <v>0</v>
      </c>
      <c r="U3" s="59">
        <v>0</v>
      </c>
    </row>
    <row r="4" spans="1:21" x14ac:dyDescent="0.2">
      <c r="A4" s="58">
        <v>44027</v>
      </c>
      <c r="B4" s="36" t="s">
        <v>24</v>
      </c>
      <c r="C4" s="32" t="s">
        <v>41</v>
      </c>
      <c r="D4" s="59" t="s">
        <v>23</v>
      </c>
      <c r="E4" s="36" t="s">
        <v>67</v>
      </c>
      <c r="F4" s="59" t="s">
        <v>27</v>
      </c>
      <c r="G4" s="61">
        <v>70000</v>
      </c>
      <c r="H4" s="32" t="s">
        <v>42</v>
      </c>
      <c r="I4" s="32" t="s">
        <v>43</v>
      </c>
      <c r="J4" s="42">
        <v>0.71527777777777779</v>
      </c>
      <c r="K4" s="39">
        <v>0.71319444444444446</v>
      </c>
      <c r="L4" s="42">
        <v>0.49652777777777773</v>
      </c>
      <c r="M4" s="39">
        <v>0.50486111111111109</v>
      </c>
      <c r="N4" s="32">
        <v>91</v>
      </c>
      <c r="O4" s="32" t="s">
        <v>294</v>
      </c>
      <c r="P4" s="32">
        <v>463</v>
      </c>
      <c r="Q4" s="41">
        <v>296</v>
      </c>
      <c r="R4" s="32">
        <v>0</v>
      </c>
      <c r="S4" s="32">
        <v>0</v>
      </c>
      <c r="T4" s="32">
        <v>0</v>
      </c>
      <c r="U4" s="32">
        <v>0</v>
      </c>
    </row>
    <row r="5" spans="1:21" x14ac:dyDescent="0.2">
      <c r="A5" s="58">
        <v>44027</v>
      </c>
      <c r="B5" s="36" t="s">
        <v>24</v>
      </c>
      <c r="C5" s="32" t="s">
        <v>50</v>
      </c>
      <c r="D5" s="59" t="s">
        <v>23</v>
      </c>
      <c r="E5" s="44" t="s">
        <v>289</v>
      </c>
      <c r="F5" s="59" t="s">
        <v>27</v>
      </c>
      <c r="G5" s="61">
        <v>71500</v>
      </c>
      <c r="H5" s="43" t="s">
        <v>58</v>
      </c>
      <c r="I5" s="43" t="s">
        <v>59</v>
      </c>
      <c r="J5" s="42">
        <v>0.72569444444444453</v>
      </c>
      <c r="K5" s="39">
        <v>0.72569444444444453</v>
      </c>
      <c r="L5" s="42">
        <v>0.5</v>
      </c>
      <c r="M5" s="39">
        <v>0.50208333333333333</v>
      </c>
      <c r="N5" s="59" t="s">
        <v>296</v>
      </c>
      <c r="O5" s="47" t="s">
        <v>295</v>
      </c>
      <c r="P5" s="32">
        <v>1454</v>
      </c>
      <c r="Q5" s="41">
        <v>381</v>
      </c>
      <c r="R5" s="32">
        <v>0</v>
      </c>
      <c r="S5" s="32">
        <v>0</v>
      </c>
      <c r="T5" s="32">
        <v>0</v>
      </c>
      <c r="U5" s="32">
        <v>0</v>
      </c>
    </row>
    <row r="6" spans="1:21" x14ac:dyDescent="0.2">
      <c r="A6" s="58">
        <v>44027</v>
      </c>
      <c r="B6" s="36" t="s">
        <v>24</v>
      </c>
      <c r="C6" s="32" t="s">
        <v>52</v>
      </c>
      <c r="D6" s="59" t="s">
        <v>23</v>
      </c>
      <c r="E6" s="44" t="s">
        <v>289</v>
      </c>
      <c r="F6" s="59" t="s">
        <v>27</v>
      </c>
      <c r="G6" s="61">
        <v>71500</v>
      </c>
      <c r="H6" s="43" t="s">
        <v>62</v>
      </c>
      <c r="I6" s="43" t="s">
        <v>63</v>
      </c>
      <c r="J6" s="42">
        <v>0.9375</v>
      </c>
      <c r="K6" s="39">
        <v>0.92361111111111116</v>
      </c>
      <c r="L6" s="42">
        <v>0.74652777777777779</v>
      </c>
      <c r="M6" s="39">
        <v>0.78333333333333333</v>
      </c>
      <c r="N6" s="59" t="s">
        <v>298</v>
      </c>
      <c r="O6" s="32" t="s">
        <v>299</v>
      </c>
      <c r="P6" s="32">
        <v>620</v>
      </c>
      <c r="Q6" s="32">
        <v>346</v>
      </c>
      <c r="R6" s="32">
        <v>0</v>
      </c>
      <c r="S6" s="32">
        <v>0</v>
      </c>
      <c r="T6" s="32">
        <v>0</v>
      </c>
      <c r="U6" s="32">
        <v>0</v>
      </c>
    </row>
    <row r="7" spans="1:21" x14ac:dyDescent="0.2">
      <c r="A7" s="58">
        <v>44027</v>
      </c>
      <c r="B7" s="36" t="s">
        <v>24</v>
      </c>
      <c r="C7" s="46" t="s">
        <v>53</v>
      </c>
      <c r="D7" s="59" t="s">
        <v>23</v>
      </c>
      <c r="E7" s="43" t="s">
        <v>67</v>
      </c>
      <c r="F7" s="59" t="s">
        <v>27</v>
      </c>
      <c r="G7" s="61">
        <v>70000</v>
      </c>
      <c r="H7" s="43" t="s">
        <v>64</v>
      </c>
      <c r="I7" s="43" t="s">
        <v>65</v>
      </c>
      <c r="J7" s="62">
        <v>0.94097222222222221</v>
      </c>
      <c r="K7" s="60">
        <v>0.93819444444444444</v>
      </c>
      <c r="L7" s="62" t="s">
        <v>101</v>
      </c>
      <c r="M7" s="60">
        <v>0.76944444444444438</v>
      </c>
      <c r="N7" s="59" t="s">
        <v>297</v>
      </c>
      <c r="O7" s="32" t="s">
        <v>246</v>
      </c>
      <c r="P7" s="32">
        <v>648</v>
      </c>
      <c r="Q7" s="32">
        <v>535</v>
      </c>
      <c r="R7" s="32">
        <v>0</v>
      </c>
      <c r="S7" s="32">
        <v>0</v>
      </c>
      <c r="T7" s="32">
        <v>0</v>
      </c>
      <c r="U7" s="32">
        <v>0</v>
      </c>
    </row>
    <row r="8" spans="1:21" x14ac:dyDescent="0.2">
      <c r="A8" s="35"/>
      <c r="B8" s="43"/>
      <c r="C8" s="32"/>
      <c r="D8" s="43"/>
      <c r="E8" s="44"/>
      <c r="F8" s="32"/>
      <c r="G8" s="45"/>
      <c r="H8" s="43"/>
      <c r="I8" s="43"/>
      <c r="J8" s="60"/>
      <c r="K8" s="60"/>
      <c r="L8" s="60"/>
      <c r="M8" s="60"/>
      <c r="N8" s="32"/>
      <c r="O8" s="32"/>
      <c r="P8" s="32"/>
      <c r="Q8" s="32"/>
      <c r="R8" s="32"/>
      <c r="S8" s="32"/>
      <c r="T8" s="32"/>
      <c r="U8" s="32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opLeftCell="C1" workbookViewId="0">
      <selection activeCell="C4" sqref="A4:XFD4"/>
    </sheetView>
  </sheetViews>
  <sheetFormatPr defaultRowHeight="15" x14ac:dyDescent="0.25"/>
  <cols>
    <col min="1" max="1" width="9.140625" bestFit="1" customWidth="1"/>
    <col min="2" max="2" width="13.28515625" bestFit="1" customWidth="1"/>
    <col min="3" max="3" width="13.5703125" bestFit="1" customWidth="1"/>
    <col min="4" max="4" width="5.7109375" bestFit="1" customWidth="1"/>
    <col min="6" max="6" width="17.710937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s="34" customFormat="1" ht="12.75" x14ac:dyDescent="0.2">
      <c r="A2" s="58">
        <v>44028</v>
      </c>
      <c r="B2" s="36" t="s">
        <v>24</v>
      </c>
      <c r="C2" s="59" t="s">
        <v>49</v>
      </c>
      <c r="D2" s="59" t="s">
        <v>23</v>
      </c>
      <c r="E2" s="36" t="s">
        <v>67</v>
      </c>
      <c r="F2" s="59" t="s">
        <v>27</v>
      </c>
      <c r="G2" s="61">
        <v>70000</v>
      </c>
      <c r="H2" s="59" t="s">
        <v>56</v>
      </c>
      <c r="I2" s="59" t="s">
        <v>57</v>
      </c>
      <c r="J2" s="62">
        <v>0.46180555555555558</v>
      </c>
      <c r="K2" s="60">
        <v>0.45347222222222222</v>
      </c>
      <c r="L2" s="62">
        <v>0.27430555555555552</v>
      </c>
      <c r="M2" s="60">
        <v>0.27638888888888885</v>
      </c>
      <c r="N2" s="59" t="s">
        <v>301</v>
      </c>
      <c r="O2" s="59" t="s">
        <v>300</v>
      </c>
      <c r="P2" s="59">
        <v>459</v>
      </c>
      <c r="Q2" s="59">
        <v>436</v>
      </c>
      <c r="R2" s="59">
        <v>0</v>
      </c>
      <c r="S2" s="59">
        <v>0</v>
      </c>
      <c r="T2" s="59">
        <v>0</v>
      </c>
      <c r="U2" s="59">
        <v>0</v>
      </c>
    </row>
    <row r="3" spans="1:22" s="34" customFormat="1" ht="12.75" x14ac:dyDescent="0.2">
      <c r="A3" s="58">
        <v>44028</v>
      </c>
      <c r="B3" s="36" t="s">
        <v>24</v>
      </c>
      <c r="C3" s="32" t="s">
        <v>32</v>
      </c>
      <c r="D3" s="59" t="s">
        <v>23</v>
      </c>
      <c r="E3" s="59" t="s">
        <v>289</v>
      </c>
      <c r="F3" s="59" t="s">
        <v>27</v>
      </c>
      <c r="G3" s="61">
        <v>71500</v>
      </c>
      <c r="H3" s="43" t="s">
        <v>34</v>
      </c>
      <c r="I3" s="43" t="s">
        <v>36</v>
      </c>
      <c r="J3" s="42">
        <v>0.55555555555555558</v>
      </c>
      <c r="K3" s="39">
        <v>0.54861111111111105</v>
      </c>
      <c r="L3" s="42">
        <v>0.40972222222222227</v>
      </c>
      <c r="M3" s="39">
        <v>0.40833333333333338</v>
      </c>
      <c r="N3" s="32" t="s">
        <v>309</v>
      </c>
      <c r="O3" s="47" t="s">
        <v>302</v>
      </c>
      <c r="P3" s="32">
        <v>834</v>
      </c>
      <c r="Q3" s="41">
        <v>321</v>
      </c>
      <c r="R3" s="32">
        <v>0</v>
      </c>
      <c r="S3" s="32">
        <v>0</v>
      </c>
      <c r="T3" s="32">
        <v>0</v>
      </c>
      <c r="U3" s="32">
        <v>0</v>
      </c>
    </row>
    <row r="4" spans="1:22" s="34" customFormat="1" ht="12.75" x14ac:dyDescent="0.2">
      <c r="A4" s="58">
        <v>44028</v>
      </c>
      <c r="B4" s="36" t="s">
        <v>24</v>
      </c>
      <c r="C4" s="32" t="s">
        <v>33</v>
      </c>
      <c r="D4" s="59" t="s">
        <v>23</v>
      </c>
      <c r="E4" s="36" t="s">
        <v>67</v>
      </c>
      <c r="F4" s="59" t="s">
        <v>27</v>
      </c>
      <c r="G4" s="61">
        <v>70000</v>
      </c>
      <c r="H4" s="43" t="s">
        <v>119</v>
      </c>
      <c r="I4" s="43" t="s">
        <v>37</v>
      </c>
      <c r="J4" s="42">
        <v>0.69444444444444453</v>
      </c>
      <c r="K4" s="39">
        <v>0.68819444444444444</v>
      </c>
      <c r="L4" s="42">
        <v>0.48958333333333331</v>
      </c>
      <c r="M4" s="39">
        <v>0.49305555555555558</v>
      </c>
      <c r="N4" s="47" t="s">
        <v>310</v>
      </c>
      <c r="O4" s="32" t="s">
        <v>231</v>
      </c>
      <c r="P4" s="32">
        <v>709</v>
      </c>
      <c r="Q4" s="32">
        <v>130</v>
      </c>
      <c r="R4" s="32">
        <v>0</v>
      </c>
      <c r="S4" s="32">
        <v>0</v>
      </c>
      <c r="T4" s="32">
        <v>0</v>
      </c>
      <c r="U4" s="32">
        <v>0</v>
      </c>
    </row>
    <row r="5" spans="1:22" s="34" customFormat="1" ht="12.75" x14ac:dyDescent="0.2">
      <c r="A5" s="58">
        <v>44028</v>
      </c>
      <c r="B5" s="36" t="s">
        <v>24</v>
      </c>
      <c r="C5" s="59" t="s">
        <v>53</v>
      </c>
      <c r="D5" s="59" t="s">
        <v>23</v>
      </c>
      <c r="E5" s="59" t="s">
        <v>289</v>
      </c>
      <c r="F5" s="59" t="s">
        <v>27</v>
      </c>
      <c r="G5" s="61">
        <v>71500</v>
      </c>
      <c r="H5" s="59" t="s">
        <v>64</v>
      </c>
      <c r="I5" s="59" t="s">
        <v>65</v>
      </c>
      <c r="J5" s="60">
        <v>0.75694444444444453</v>
      </c>
      <c r="K5" s="60">
        <v>0.74097222222222225</v>
      </c>
      <c r="L5" s="60">
        <v>0.58680555555555558</v>
      </c>
      <c r="M5" s="60">
        <v>0.58819444444444446</v>
      </c>
      <c r="N5" s="59" t="s">
        <v>311</v>
      </c>
      <c r="O5" s="59" t="s">
        <v>314</v>
      </c>
      <c r="P5" s="59">
        <v>1239</v>
      </c>
      <c r="Q5" s="59">
        <v>429</v>
      </c>
      <c r="R5" s="59">
        <v>0</v>
      </c>
      <c r="S5" s="59">
        <v>0</v>
      </c>
      <c r="T5" s="59">
        <v>0</v>
      </c>
      <c r="U5" s="59">
        <v>0</v>
      </c>
    </row>
    <row r="6" spans="1:22" s="34" customFormat="1" ht="12.75" x14ac:dyDescent="0.2">
      <c r="A6" s="58">
        <v>44028</v>
      </c>
      <c r="B6" s="36" t="s">
        <v>24</v>
      </c>
      <c r="C6" s="59" t="s">
        <v>51</v>
      </c>
      <c r="D6" s="59" t="s">
        <v>23</v>
      </c>
      <c r="E6" s="36" t="s">
        <v>67</v>
      </c>
      <c r="F6" s="59" t="s">
        <v>27</v>
      </c>
      <c r="G6" s="61">
        <v>70000</v>
      </c>
      <c r="H6" s="59" t="s">
        <v>60</v>
      </c>
      <c r="I6" s="59" t="s">
        <v>61</v>
      </c>
      <c r="J6" s="60">
        <v>0.94791666666666663</v>
      </c>
      <c r="K6" s="60">
        <v>0.93611111111111101</v>
      </c>
      <c r="L6" s="60">
        <v>0.71527777777777779</v>
      </c>
      <c r="M6" s="60">
        <v>0.71944444444444444</v>
      </c>
      <c r="N6" s="59" t="s">
        <v>312</v>
      </c>
      <c r="O6" s="59" t="s">
        <v>315</v>
      </c>
      <c r="P6" s="59">
        <v>1396</v>
      </c>
      <c r="Q6" s="59">
        <v>168</v>
      </c>
      <c r="R6" s="59">
        <v>0</v>
      </c>
      <c r="S6" s="59">
        <v>0</v>
      </c>
      <c r="T6" s="59">
        <v>0</v>
      </c>
      <c r="U6" s="59">
        <v>0</v>
      </c>
    </row>
    <row r="7" spans="1:22" s="34" customFormat="1" ht="12.75" x14ac:dyDescent="0.2">
      <c r="A7" s="58">
        <v>44028</v>
      </c>
      <c r="B7" s="36" t="s">
        <v>24</v>
      </c>
      <c r="C7" s="59" t="s">
        <v>46</v>
      </c>
      <c r="D7" s="59" t="s">
        <v>23</v>
      </c>
      <c r="E7" s="59" t="s">
        <v>289</v>
      </c>
      <c r="F7" s="59" t="s">
        <v>27</v>
      </c>
      <c r="G7" s="61">
        <v>71500</v>
      </c>
      <c r="H7" s="59" t="s">
        <v>44</v>
      </c>
      <c r="I7" s="59" t="s">
        <v>45</v>
      </c>
      <c r="J7" s="60">
        <v>0.95486111111111116</v>
      </c>
      <c r="K7" s="60">
        <v>0.94861111111111107</v>
      </c>
      <c r="L7" s="60">
        <v>0.77777777777777779</v>
      </c>
      <c r="M7" s="60">
        <v>0.77500000000000002</v>
      </c>
      <c r="N7" s="59" t="s">
        <v>313</v>
      </c>
      <c r="O7" s="59" t="s">
        <v>316</v>
      </c>
      <c r="P7" s="59">
        <v>577</v>
      </c>
      <c r="Q7" s="59">
        <v>365</v>
      </c>
      <c r="R7" s="59">
        <v>0</v>
      </c>
      <c r="S7" s="59">
        <v>0</v>
      </c>
      <c r="T7" s="59">
        <v>0</v>
      </c>
      <c r="U7" s="59">
        <v>0</v>
      </c>
    </row>
    <row r="8" spans="1:22" x14ac:dyDescent="0.25">
      <c r="A8" s="35">
        <f>A7</f>
        <v>44028</v>
      </c>
      <c r="B8" s="49" t="s">
        <v>303</v>
      </c>
      <c r="C8" s="49" t="s">
        <v>304</v>
      </c>
      <c r="D8" s="49" t="s">
        <v>305</v>
      </c>
      <c r="E8" s="50" t="s">
        <v>306</v>
      </c>
      <c r="F8" s="49" t="s">
        <v>307</v>
      </c>
      <c r="G8" s="37">
        <v>1406</v>
      </c>
      <c r="H8" s="49" t="str">
        <f>E8</f>
        <v>E7-DDB</v>
      </c>
      <c r="I8" s="49" t="str">
        <f>H8</f>
        <v>E7-DDB</v>
      </c>
      <c r="J8" s="56">
        <v>0.35069444444444442</v>
      </c>
      <c r="K8" s="11">
        <v>0.35625000000000001</v>
      </c>
      <c r="L8" s="56">
        <v>0.375</v>
      </c>
      <c r="M8" s="11">
        <v>0.37291666666666662</v>
      </c>
      <c r="N8" s="3">
        <v>0</v>
      </c>
      <c r="O8" s="3">
        <v>0</v>
      </c>
      <c r="P8" s="3">
        <v>0</v>
      </c>
      <c r="Q8" s="3">
        <v>0</v>
      </c>
      <c r="R8" s="51">
        <v>0</v>
      </c>
      <c r="S8" s="51"/>
      <c r="T8" s="52"/>
      <c r="U8" s="52"/>
    </row>
    <row r="9" spans="1:22" s="54" customFormat="1" x14ac:dyDescent="0.25">
      <c r="A9" s="35">
        <f>A8</f>
        <v>44028</v>
      </c>
      <c r="B9" s="2" t="str">
        <f>B8</f>
        <v>MARKO PARIC</v>
      </c>
      <c r="C9" s="49" t="s">
        <v>308</v>
      </c>
      <c r="D9" s="49" t="str">
        <f>D8</f>
        <v>C172</v>
      </c>
      <c r="E9" s="50" t="s">
        <v>306</v>
      </c>
      <c r="F9" s="49" t="s">
        <v>307</v>
      </c>
      <c r="G9" s="37">
        <v>1406</v>
      </c>
      <c r="H9" s="49" t="str">
        <f>E9</f>
        <v>E7-DDB</v>
      </c>
      <c r="I9" s="49" t="str">
        <f>H9</f>
        <v>E7-DDB</v>
      </c>
      <c r="J9" s="56">
        <v>0.46527777777777773</v>
      </c>
      <c r="K9" s="11">
        <v>0.4826388888888889</v>
      </c>
      <c r="L9" s="56">
        <v>0.47916666666666669</v>
      </c>
      <c r="M9" s="11">
        <v>0.53749999999999998</v>
      </c>
      <c r="N9" s="57">
        <v>0</v>
      </c>
      <c r="O9" s="3">
        <v>0</v>
      </c>
      <c r="P9" s="3">
        <v>0</v>
      </c>
      <c r="Q9" s="3">
        <v>0</v>
      </c>
      <c r="R9" s="51">
        <v>0</v>
      </c>
      <c r="S9" s="51"/>
      <c r="T9" s="55"/>
      <c r="U9" s="55"/>
    </row>
    <row r="10" spans="1:22" x14ac:dyDescent="0.25">
      <c r="A10" s="35"/>
      <c r="B10" s="2"/>
      <c r="C10" s="2"/>
      <c r="D10" s="2"/>
      <c r="E10" s="48"/>
      <c r="F10" s="2"/>
      <c r="G10" s="37"/>
      <c r="H10" s="2"/>
      <c r="I10" s="2"/>
      <c r="J10" s="10"/>
      <c r="K10" s="11"/>
      <c r="L10" s="10"/>
      <c r="M10" s="11"/>
      <c r="N10" s="48"/>
      <c r="O10" s="3"/>
      <c r="P10" s="48"/>
      <c r="Q10" s="48"/>
      <c r="R10" s="48"/>
      <c r="S10" s="48"/>
      <c r="T10" s="48"/>
      <c r="U10" s="48"/>
      <c r="V10" s="48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7" sqref="A7:XFD7"/>
    </sheetView>
  </sheetViews>
  <sheetFormatPr defaultRowHeight="15" x14ac:dyDescent="0.25"/>
  <cols>
    <col min="3" max="3" width="13.5703125" bestFit="1" customWidth="1"/>
    <col min="6" max="6" width="14.42578125" bestFit="1" customWidth="1"/>
    <col min="7" max="7" width="9.7109375" bestFit="1" customWidth="1"/>
    <col min="10" max="10" width="11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44029</v>
      </c>
      <c r="B2" s="36" t="s">
        <v>24</v>
      </c>
      <c r="C2" s="3" t="s">
        <v>48</v>
      </c>
      <c r="D2" s="14" t="s">
        <v>23</v>
      </c>
      <c r="E2" s="3" t="s">
        <v>238</v>
      </c>
      <c r="F2" s="3" t="s">
        <v>27</v>
      </c>
      <c r="G2" s="30">
        <v>70000</v>
      </c>
      <c r="H2" s="3" t="s">
        <v>54</v>
      </c>
      <c r="I2" s="3" t="s">
        <v>55</v>
      </c>
      <c r="J2" s="11">
        <v>0.46180555555555558</v>
      </c>
      <c r="K2" s="11">
        <v>0.45208333333333334</v>
      </c>
      <c r="L2" s="11">
        <v>0.26041666666666669</v>
      </c>
      <c r="M2" s="11">
        <v>0.2673611111111111</v>
      </c>
      <c r="N2" s="3" t="s">
        <v>322</v>
      </c>
      <c r="O2" s="3" t="s">
        <v>319</v>
      </c>
      <c r="P2" s="3">
        <v>1073</v>
      </c>
      <c r="Q2" s="3">
        <v>862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4">
        <v>44029</v>
      </c>
      <c r="B3" s="36" t="s">
        <v>24</v>
      </c>
      <c r="C3" s="3" t="s">
        <v>49</v>
      </c>
      <c r="D3" s="14" t="s">
        <v>23</v>
      </c>
      <c r="E3" s="3" t="s">
        <v>317</v>
      </c>
      <c r="F3" s="3" t="s">
        <v>27</v>
      </c>
      <c r="G3" s="30">
        <v>71500</v>
      </c>
      <c r="H3" s="3" t="s">
        <v>56</v>
      </c>
      <c r="I3" s="3" t="s">
        <v>57</v>
      </c>
      <c r="J3" s="11">
        <v>0.47569444444444442</v>
      </c>
      <c r="K3" s="11">
        <v>0.4597222222222222</v>
      </c>
      <c r="L3" s="11">
        <v>0.27430555555555552</v>
      </c>
      <c r="M3" s="11">
        <v>0.27361111111111108</v>
      </c>
      <c r="N3" s="3" t="s">
        <v>323</v>
      </c>
      <c r="O3" s="3" t="s">
        <v>320</v>
      </c>
      <c r="P3" s="3">
        <v>656</v>
      </c>
      <c r="Q3" s="3">
        <v>508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44029</v>
      </c>
      <c r="B4" s="36" t="s">
        <v>24</v>
      </c>
      <c r="C4" s="3" t="s">
        <v>50</v>
      </c>
      <c r="D4" s="14" t="s">
        <v>23</v>
      </c>
      <c r="E4" s="3" t="s">
        <v>238</v>
      </c>
      <c r="F4" s="3" t="s">
        <v>27</v>
      </c>
      <c r="G4" s="30">
        <v>70000</v>
      </c>
      <c r="H4" s="3" t="s">
        <v>58</v>
      </c>
      <c r="I4" s="3" t="s">
        <v>59</v>
      </c>
      <c r="J4" s="11">
        <v>0.72569444444444453</v>
      </c>
      <c r="K4" s="11">
        <v>0.72083333333333333</v>
      </c>
      <c r="L4" s="11">
        <v>0.5</v>
      </c>
      <c r="M4" s="11">
        <v>0.49722222222222223</v>
      </c>
      <c r="N4" s="3" t="s">
        <v>325</v>
      </c>
      <c r="O4" s="3" t="s">
        <v>324</v>
      </c>
      <c r="P4" s="3">
        <v>1520</v>
      </c>
      <c r="Q4" s="3">
        <v>590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44029</v>
      </c>
      <c r="B5" s="36" t="s">
        <v>24</v>
      </c>
      <c r="C5" s="3" t="s">
        <v>134</v>
      </c>
      <c r="D5" s="14" t="s">
        <v>23</v>
      </c>
      <c r="E5" s="3" t="s">
        <v>317</v>
      </c>
      <c r="F5" s="3" t="s">
        <v>27</v>
      </c>
      <c r="G5" s="30">
        <v>71500</v>
      </c>
      <c r="H5" s="3" t="s">
        <v>135</v>
      </c>
      <c r="I5" s="3" t="s">
        <v>136</v>
      </c>
      <c r="J5" s="11">
        <v>0.73263888888888884</v>
      </c>
      <c r="K5" s="11">
        <v>0.70972222222222225</v>
      </c>
      <c r="L5" s="11">
        <v>0.51736111111111105</v>
      </c>
      <c r="M5" s="11">
        <v>0.5131944444444444</v>
      </c>
      <c r="N5" s="3" t="s">
        <v>327</v>
      </c>
      <c r="O5" s="3" t="s">
        <v>228</v>
      </c>
      <c r="P5" s="3">
        <v>726</v>
      </c>
      <c r="Q5" s="3">
        <v>212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ht="12.75" x14ac:dyDescent="0.2">
      <c r="A6" s="4">
        <v>44029</v>
      </c>
      <c r="B6" s="36" t="s">
        <v>24</v>
      </c>
      <c r="C6" s="3" t="s">
        <v>66</v>
      </c>
      <c r="D6" s="14" t="s">
        <v>23</v>
      </c>
      <c r="E6" s="3" t="s">
        <v>238</v>
      </c>
      <c r="F6" s="3" t="s">
        <v>27</v>
      </c>
      <c r="G6" s="30">
        <v>70000</v>
      </c>
      <c r="H6" s="3" t="s">
        <v>69</v>
      </c>
      <c r="I6" s="3" t="s">
        <v>68</v>
      </c>
      <c r="J6" s="11">
        <v>0.89930555555555547</v>
      </c>
      <c r="K6" s="11">
        <v>0.8881944444444444</v>
      </c>
      <c r="L6" s="11">
        <v>0.75</v>
      </c>
      <c r="M6" s="11">
        <v>0.75416666666666676</v>
      </c>
      <c r="N6" s="3" t="s">
        <v>326</v>
      </c>
      <c r="O6" s="3" t="s">
        <v>329</v>
      </c>
      <c r="P6" s="3">
        <v>707</v>
      </c>
      <c r="Q6" s="3">
        <v>381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4">
        <v>44029</v>
      </c>
      <c r="B7" s="36" t="s">
        <v>24</v>
      </c>
      <c r="C7" s="3" t="s">
        <v>53</v>
      </c>
      <c r="D7" s="14" t="s">
        <v>23</v>
      </c>
      <c r="E7" s="3" t="s">
        <v>317</v>
      </c>
      <c r="F7" s="3" t="s">
        <v>27</v>
      </c>
      <c r="G7" s="30">
        <v>71500</v>
      </c>
      <c r="H7" s="3" t="s">
        <v>64</v>
      </c>
      <c r="I7" s="3" t="s">
        <v>65</v>
      </c>
      <c r="J7" s="11">
        <v>0.94097222222222221</v>
      </c>
      <c r="K7" s="11">
        <v>0.92986111111111114</v>
      </c>
      <c r="L7" s="11">
        <v>0.77083333333333337</v>
      </c>
      <c r="M7" s="11">
        <v>0.7715277777777777</v>
      </c>
      <c r="N7" s="3" t="s">
        <v>328</v>
      </c>
      <c r="O7" s="3" t="s">
        <v>330</v>
      </c>
      <c r="P7" s="3">
        <v>938</v>
      </c>
      <c r="Q7" s="3">
        <v>565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4">
        <v>44029</v>
      </c>
      <c r="B8" s="5" t="s">
        <v>198</v>
      </c>
      <c r="C8" s="5" t="s">
        <v>199</v>
      </c>
      <c r="D8" s="5" t="s">
        <v>23</v>
      </c>
      <c r="E8" s="5" t="s">
        <v>318</v>
      </c>
      <c r="F8" s="5" t="s">
        <v>200</v>
      </c>
      <c r="G8" s="6">
        <v>77000</v>
      </c>
      <c r="H8" s="5" t="s">
        <v>201</v>
      </c>
      <c r="I8" s="5" t="s">
        <v>197</v>
      </c>
      <c r="J8" s="7">
        <v>0.3298611111111111</v>
      </c>
      <c r="K8" s="11">
        <v>0.32013888888888892</v>
      </c>
      <c r="L8" s="7">
        <v>0.37152777777777773</v>
      </c>
      <c r="M8" s="11">
        <v>0.375</v>
      </c>
      <c r="N8" s="3" t="s">
        <v>90</v>
      </c>
      <c r="O8" s="3" t="s">
        <v>321</v>
      </c>
      <c r="P8" s="3">
        <v>1302</v>
      </c>
      <c r="Q8" s="3">
        <v>1770</v>
      </c>
      <c r="R8" s="5">
        <v>0</v>
      </c>
      <c r="S8" s="5">
        <v>0</v>
      </c>
      <c r="T8" s="5">
        <v>0</v>
      </c>
      <c r="U8" s="5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1" s="48" customForma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sqref="A1:XFD1048576"/>
    </sheetView>
  </sheetViews>
  <sheetFormatPr defaultRowHeight="12.75" x14ac:dyDescent="0.2"/>
  <cols>
    <col min="1" max="1" width="9.140625" style="3"/>
    <col min="2" max="2" width="12.7109375" style="3" bestFit="1" customWidth="1"/>
    <col min="3" max="3" width="15.85546875" style="3" customWidth="1"/>
    <col min="4" max="5" width="9.140625" style="3"/>
    <col min="6" max="6" width="12.140625" style="3" bestFit="1" customWidth="1"/>
    <col min="7" max="9" width="9.140625" style="3"/>
    <col min="10" max="10" width="11" style="3" bestFit="1" customWidth="1"/>
    <col min="11" max="11" width="10.85546875" style="3" bestFit="1" customWidth="1"/>
    <col min="12" max="12" width="11" style="3" bestFit="1" customWidth="1"/>
    <col min="13" max="14" width="9.140625" style="3"/>
    <col min="15" max="15" width="18.42578125" style="3" bestFit="1" customWidth="1"/>
    <col min="16" max="16384" width="9.140625" style="3"/>
  </cols>
  <sheetData>
    <row r="1" spans="1:22" s="15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2" x14ac:dyDescent="0.2">
      <c r="A2" s="4">
        <v>44031</v>
      </c>
      <c r="B2" s="20" t="s">
        <v>24</v>
      </c>
      <c r="C2" s="20" t="s">
        <v>49</v>
      </c>
      <c r="D2" s="20" t="s">
        <v>23</v>
      </c>
      <c r="E2" s="20" t="s">
        <v>289</v>
      </c>
      <c r="F2" s="20" t="s">
        <v>27</v>
      </c>
      <c r="G2" s="21">
        <v>71500</v>
      </c>
      <c r="H2" s="20" t="s">
        <v>56</v>
      </c>
      <c r="I2" s="20" t="s">
        <v>57</v>
      </c>
      <c r="J2" s="26">
        <v>0.47569444444444442</v>
      </c>
      <c r="K2" s="27">
        <v>0.45763888888888887</v>
      </c>
      <c r="L2" s="26">
        <v>0.27430555555555552</v>
      </c>
      <c r="M2" s="27">
        <v>0.27361111111111108</v>
      </c>
      <c r="N2" s="27" t="s">
        <v>332</v>
      </c>
      <c r="O2" s="27" t="s">
        <v>92</v>
      </c>
      <c r="P2" s="24">
        <v>966</v>
      </c>
      <c r="Q2" s="24">
        <v>446</v>
      </c>
      <c r="R2" s="20">
        <v>0</v>
      </c>
      <c r="S2" s="20">
        <v>0</v>
      </c>
      <c r="T2" s="20">
        <v>0</v>
      </c>
      <c r="U2" s="20">
        <v>0</v>
      </c>
      <c r="V2" s="64"/>
    </row>
    <row r="3" spans="1:22" x14ac:dyDescent="0.2">
      <c r="A3" s="4">
        <v>44031</v>
      </c>
      <c r="B3" s="20" t="s">
        <v>24</v>
      </c>
      <c r="C3" s="16" t="s">
        <v>41</v>
      </c>
      <c r="D3" s="20" t="s">
        <v>23</v>
      </c>
      <c r="E3" s="20" t="s">
        <v>67</v>
      </c>
      <c r="F3" s="20" t="s">
        <v>27</v>
      </c>
      <c r="G3" s="21">
        <v>70000</v>
      </c>
      <c r="H3" s="20" t="s">
        <v>42</v>
      </c>
      <c r="I3" s="16" t="s">
        <v>43</v>
      </c>
      <c r="J3" s="17">
        <v>0.71527777777777779</v>
      </c>
      <c r="K3" s="1">
        <v>0.74305555555555547</v>
      </c>
      <c r="L3" s="17">
        <v>0.49652777777777773</v>
      </c>
      <c r="M3" s="18">
        <v>0.49791666666666662</v>
      </c>
      <c r="N3" s="2" t="s">
        <v>301</v>
      </c>
      <c r="O3" s="19" t="s">
        <v>333</v>
      </c>
      <c r="P3" s="19">
        <v>388</v>
      </c>
      <c r="Q3" s="19">
        <v>492</v>
      </c>
      <c r="R3" s="20">
        <v>0</v>
      </c>
      <c r="S3" s="20">
        <v>0</v>
      </c>
      <c r="T3" s="20">
        <v>0</v>
      </c>
      <c r="U3" s="20">
        <v>0</v>
      </c>
      <c r="V3" s="64"/>
    </row>
    <row r="4" spans="1:22" x14ac:dyDescent="0.2">
      <c r="A4" s="4">
        <v>44031</v>
      </c>
      <c r="B4" s="20" t="s">
        <v>24</v>
      </c>
      <c r="C4" s="2" t="s">
        <v>50</v>
      </c>
      <c r="D4" s="20" t="s">
        <v>23</v>
      </c>
      <c r="E4" s="20" t="s">
        <v>289</v>
      </c>
      <c r="F4" s="20" t="s">
        <v>27</v>
      </c>
      <c r="G4" s="21">
        <v>71500</v>
      </c>
      <c r="H4" s="2" t="s">
        <v>58</v>
      </c>
      <c r="I4" s="2" t="s">
        <v>59</v>
      </c>
      <c r="J4" s="22">
        <v>0.72569444444444453</v>
      </c>
      <c r="K4" s="23">
        <v>0.71875</v>
      </c>
      <c r="L4" s="22">
        <v>0.5</v>
      </c>
      <c r="M4" s="23">
        <v>0.50347222222222221</v>
      </c>
      <c r="N4" s="23" t="s">
        <v>212</v>
      </c>
      <c r="O4" s="24" t="s">
        <v>334</v>
      </c>
      <c r="P4" s="20">
        <v>1195</v>
      </c>
      <c r="Q4" s="24">
        <v>893</v>
      </c>
      <c r="R4" s="2">
        <v>0</v>
      </c>
      <c r="S4" s="2">
        <v>0</v>
      </c>
      <c r="T4" s="2">
        <v>0</v>
      </c>
      <c r="U4" s="2">
        <v>0</v>
      </c>
      <c r="V4" s="64"/>
    </row>
    <row r="5" spans="1:22" x14ac:dyDescent="0.2">
      <c r="A5" s="4">
        <v>44031</v>
      </c>
      <c r="B5" s="20" t="s">
        <v>24</v>
      </c>
      <c r="C5" s="23" t="s">
        <v>52</v>
      </c>
      <c r="D5" s="20" t="s">
        <v>23</v>
      </c>
      <c r="E5" s="23" t="s">
        <v>289</v>
      </c>
      <c r="F5" s="20" t="s">
        <v>27</v>
      </c>
      <c r="G5" s="21">
        <v>71500</v>
      </c>
      <c r="H5" s="23" t="s">
        <v>168</v>
      </c>
      <c r="I5" s="23" t="s">
        <v>63</v>
      </c>
      <c r="J5" s="22">
        <v>0.9375</v>
      </c>
      <c r="K5" s="23">
        <v>0.95000000000000007</v>
      </c>
      <c r="L5" s="22">
        <v>0.74652777777777779</v>
      </c>
      <c r="M5" s="23">
        <v>0.75624999999999998</v>
      </c>
      <c r="N5" s="20" t="s">
        <v>336</v>
      </c>
      <c r="O5" s="20" t="s">
        <v>331</v>
      </c>
      <c r="P5" s="20">
        <v>782</v>
      </c>
      <c r="Q5" s="20">
        <v>640</v>
      </c>
      <c r="R5" s="20">
        <v>0</v>
      </c>
      <c r="S5" s="20">
        <v>0</v>
      </c>
      <c r="T5" s="2">
        <v>0</v>
      </c>
      <c r="U5" s="2">
        <v>0</v>
      </c>
      <c r="V5" s="64"/>
    </row>
    <row r="6" spans="1:22" x14ac:dyDescent="0.2">
      <c r="A6" s="4">
        <v>44031</v>
      </c>
      <c r="B6" s="20" t="s">
        <v>24</v>
      </c>
      <c r="C6" s="64" t="s">
        <v>53</v>
      </c>
      <c r="D6" s="20" t="s">
        <v>23</v>
      </c>
      <c r="E6" s="64" t="s">
        <v>67</v>
      </c>
      <c r="F6" s="20" t="s">
        <v>27</v>
      </c>
      <c r="G6" s="21">
        <v>70000</v>
      </c>
      <c r="H6" s="64" t="s">
        <v>64</v>
      </c>
      <c r="I6" s="64" t="s">
        <v>65</v>
      </c>
      <c r="J6" s="66">
        <v>0.94097222222222221</v>
      </c>
      <c r="K6" s="65">
        <v>0.96388888888888891</v>
      </c>
      <c r="L6" s="66">
        <v>0.77083333333333337</v>
      </c>
      <c r="M6" s="65">
        <v>0.77986111111111101</v>
      </c>
      <c r="N6" s="64" t="s">
        <v>337</v>
      </c>
      <c r="O6" s="64" t="s">
        <v>335</v>
      </c>
      <c r="P6" s="64">
        <v>1094</v>
      </c>
      <c r="Q6" s="64">
        <v>910</v>
      </c>
      <c r="R6" s="64">
        <v>0</v>
      </c>
      <c r="S6" s="64">
        <v>0</v>
      </c>
      <c r="T6" s="64">
        <v>0</v>
      </c>
      <c r="U6" s="64">
        <v>0</v>
      </c>
      <c r="V6" s="23"/>
    </row>
    <row r="7" spans="1:22" x14ac:dyDescent="0.2">
      <c r="A7" s="4"/>
      <c r="B7" s="20"/>
      <c r="C7" s="64"/>
      <c r="D7" s="20"/>
      <c r="E7" s="64"/>
      <c r="F7" s="20"/>
      <c r="G7" s="21"/>
      <c r="H7" s="64"/>
      <c r="I7" s="64"/>
      <c r="J7" s="66"/>
      <c r="K7" s="65"/>
      <c r="L7" s="66"/>
      <c r="M7" s="65"/>
      <c r="N7" s="64"/>
      <c r="O7" s="64"/>
      <c r="P7" s="64"/>
      <c r="Q7" s="64"/>
      <c r="R7" s="64"/>
      <c r="S7" s="64"/>
      <c r="T7" s="64"/>
      <c r="U7" s="64"/>
      <c r="V7" s="64"/>
    </row>
    <row r="8" spans="1:22" x14ac:dyDescent="0.2">
      <c r="A8" s="29"/>
      <c r="J8" s="10"/>
      <c r="K8" s="11"/>
      <c r="L8" s="10"/>
      <c r="M8" s="11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H36" sqref="H36"/>
    </sheetView>
  </sheetViews>
  <sheetFormatPr defaultRowHeight="15" x14ac:dyDescent="0.25"/>
  <cols>
    <col min="1" max="1" width="7.85546875" style="25" bestFit="1" customWidth="1"/>
    <col min="2" max="2" width="9.140625" style="25" bestFit="1" customWidth="1"/>
    <col min="3" max="3" width="13.5703125" style="25" bestFit="1" customWidth="1"/>
    <col min="4" max="4" width="5.7109375" style="25" bestFit="1" customWidth="1"/>
    <col min="5" max="5" width="14.5703125" style="25" bestFit="1" customWidth="1"/>
    <col min="6" max="6" width="12.140625" style="25" bestFit="1" customWidth="1"/>
    <col min="7" max="9" width="9.7109375" style="25" bestFit="1" customWidth="1"/>
    <col min="10" max="10" width="11" style="25" bestFit="1" customWidth="1"/>
    <col min="11" max="11" width="10.85546875" style="25" bestFit="1" customWidth="1"/>
    <col min="12" max="12" width="11" style="25" bestFit="1" customWidth="1"/>
    <col min="13" max="13" width="10.85546875" style="25" bestFit="1" customWidth="1"/>
    <col min="14" max="15" width="18.42578125" style="25" bestFit="1" customWidth="1"/>
    <col min="16" max="17" width="10.28515625" style="25" bestFit="1" customWidth="1"/>
    <col min="18" max="16384" width="9.140625" style="25"/>
  </cols>
  <sheetData>
    <row r="1" spans="1:2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s="34" customFormat="1" ht="12.75" x14ac:dyDescent="0.2">
      <c r="A2" s="35">
        <v>44032</v>
      </c>
      <c r="B2" s="36" t="s">
        <v>24</v>
      </c>
      <c r="C2" s="3" t="s">
        <v>48</v>
      </c>
      <c r="D2" s="14" t="s">
        <v>23</v>
      </c>
      <c r="E2" s="3" t="s">
        <v>317</v>
      </c>
      <c r="F2" s="3" t="s">
        <v>27</v>
      </c>
      <c r="G2" s="30">
        <v>71500</v>
      </c>
      <c r="H2" s="3" t="s">
        <v>54</v>
      </c>
      <c r="I2" s="3" t="s">
        <v>55</v>
      </c>
      <c r="J2" s="11">
        <v>0.46180555555555558</v>
      </c>
      <c r="K2" s="11">
        <v>0.44861111111111113</v>
      </c>
      <c r="L2" s="11">
        <v>0.26041666666666669</v>
      </c>
      <c r="M2" s="11">
        <v>0.25833333333333336</v>
      </c>
      <c r="N2" s="11" t="s">
        <v>98</v>
      </c>
      <c r="O2" s="41" t="s">
        <v>94</v>
      </c>
      <c r="P2" s="41">
        <v>1003</v>
      </c>
      <c r="Q2" s="41">
        <v>809</v>
      </c>
      <c r="R2" s="36">
        <v>0</v>
      </c>
      <c r="S2" s="36">
        <v>0</v>
      </c>
      <c r="T2" s="36">
        <v>0</v>
      </c>
      <c r="U2" s="36">
        <v>0</v>
      </c>
    </row>
    <row r="3" spans="1:21" s="34" customFormat="1" ht="12.75" x14ac:dyDescent="0.2">
      <c r="A3" s="35">
        <v>44032</v>
      </c>
      <c r="B3" s="20" t="s">
        <v>24</v>
      </c>
      <c r="C3" s="20" t="s">
        <v>49</v>
      </c>
      <c r="D3" s="20" t="s">
        <v>23</v>
      </c>
      <c r="E3" s="20" t="s">
        <v>238</v>
      </c>
      <c r="F3" s="20" t="s">
        <v>27</v>
      </c>
      <c r="G3" s="30">
        <v>70000</v>
      </c>
      <c r="H3" s="20" t="s">
        <v>56</v>
      </c>
      <c r="I3" s="20" t="s">
        <v>57</v>
      </c>
      <c r="J3" s="26">
        <v>0.47569444444444442</v>
      </c>
      <c r="K3" s="27">
        <v>0.45624999999999999</v>
      </c>
      <c r="L3" s="26">
        <v>0.27430555555555552</v>
      </c>
      <c r="M3" s="40">
        <v>0.27291666666666664</v>
      </c>
      <c r="N3" s="32" t="s">
        <v>94</v>
      </c>
      <c r="O3" s="41" t="s">
        <v>338</v>
      </c>
      <c r="P3" s="36">
        <v>657</v>
      </c>
      <c r="Q3" s="41">
        <v>187</v>
      </c>
      <c r="R3" s="36">
        <v>0</v>
      </c>
      <c r="S3" s="36">
        <v>0</v>
      </c>
      <c r="T3" s="36">
        <v>0</v>
      </c>
      <c r="U3" s="36">
        <v>0</v>
      </c>
    </row>
    <row r="4" spans="1:21" customFormat="1" x14ac:dyDescent="0.25">
      <c r="A4" s="35">
        <v>44032</v>
      </c>
      <c r="B4" s="36" t="s">
        <v>24</v>
      </c>
      <c r="C4" s="3" t="s">
        <v>50</v>
      </c>
      <c r="D4" s="14" t="s">
        <v>23</v>
      </c>
      <c r="E4" s="3" t="s">
        <v>317</v>
      </c>
      <c r="F4" s="3" t="s">
        <v>27</v>
      </c>
      <c r="G4" s="30">
        <v>71500</v>
      </c>
      <c r="H4" s="3" t="s">
        <v>58</v>
      </c>
      <c r="I4" s="3" t="s">
        <v>59</v>
      </c>
      <c r="J4" s="11">
        <v>0.72569444444444453</v>
      </c>
      <c r="K4" s="11">
        <v>0.79999999999999993</v>
      </c>
      <c r="L4" s="11">
        <v>0.5</v>
      </c>
      <c r="M4" s="11">
        <v>0.49513888888888885</v>
      </c>
      <c r="N4" s="32" t="s">
        <v>341</v>
      </c>
      <c r="O4" s="41" t="s">
        <v>339</v>
      </c>
      <c r="P4" s="41">
        <v>893</v>
      </c>
      <c r="Q4" s="41">
        <v>351</v>
      </c>
      <c r="R4" s="36">
        <v>0</v>
      </c>
      <c r="S4" s="36">
        <v>0</v>
      </c>
      <c r="T4" s="36">
        <v>0</v>
      </c>
      <c r="U4" s="36">
        <v>0</v>
      </c>
    </row>
    <row r="5" spans="1:21" customFormat="1" x14ac:dyDescent="0.25">
      <c r="A5" s="35">
        <v>44032</v>
      </c>
      <c r="B5" s="36" t="s">
        <v>24</v>
      </c>
      <c r="C5" s="3" t="s">
        <v>134</v>
      </c>
      <c r="D5" s="14" t="s">
        <v>23</v>
      </c>
      <c r="E5" s="20" t="s">
        <v>238</v>
      </c>
      <c r="F5" s="3" t="s">
        <v>27</v>
      </c>
      <c r="G5" s="30">
        <v>70000</v>
      </c>
      <c r="H5" s="3" t="s">
        <v>135</v>
      </c>
      <c r="I5" s="3" t="s">
        <v>136</v>
      </c>
      <c r="J5" s="11">
        <v>0.73263888888888884</v>
      </c>
      <c r="K5" s="11">
        <v>0.73749999999999993</v>
      </c>
      <c r="L5" s="11">
        <v>0.51736111111111105</v>
      </c>
      <c r="M5" s="11">
        <v>0.52500000000000002</v>
      </c>
      <c r="N5" s="32" t="s">
        <v>342</v>
      </c>
      <c r="O5" s="41" t="s">
        <v>340</v>
      </c>
      <c r="P5" s="36">
        <v>723</v>
      </c>
      <c r="Q5" s="41">
        <v>537</v>
      </c>
      <c r="R5" s="36">
        <v>0</v>
      </c>
      <c r="S5" s="36">
        <v>0</v>
      </c>
      <c r="T5" s="36">
        <v>0</v>
      </c>
      <c r="U5" s="36">
        <v>0</v>
      </c>
    </row>
    <row r="6" spans="1:21" customFormat="1" x14ac:dyDescent="0.25">
      <c r="A6" s="35">
        <v>44032</v>
      </c>
      <c r="B6" s="36" t="s">
        <v>24</v>
      </c>
      <c r="C6" s="36" t="s">
        <v>66</v>
      </c>
      <c r="D6" s="36" t="s">
        <v>23</v>
      </c>
      <c r="E6" s="3" t="s">
        <v>317</v>
      </c>
      <c r="F6" s="36" t="s">
        <v>27</v>
      </c>
      <c r="G6" s="30">
        <v>71500</v>
      </c>
      <c r="H6" s="36" t="s">
        <v>69</v>
      </c>
      <c r="I6" s="36" t="s">
        <v>68</v>
      </c>
      <c r="J6" s="38">
        <v>0.89930555555555547</v>
      </c>
      <c r="K6" s="39">
        <v>0.95694444444444438</v>
      </c>
      <c r="L6" s="38">
        <v>0.75</v>
      </c>
      <c r="M6" s="40">
        <v>0.83263888888888893</v>
      </c>
      <c r="N6" s="32" t="s">
        <v>343</v>
      </c>
      <c r="O6" s="41" t="s">
        <v>345</v>
      </c>
      <c r="P6" s="36">
        <v>372</v>
      </c>
      <c r="Q6" s="41">
        <v>463</v>
      </c>
      <c r="R6" s="36">
        <v>0</v>
      </c>
      <c r="S6" s="36">
        <v>0</v>
      </c>
      <c r="T6" s="36">
        <v>0</v>
      </c>
      <c r="U6" s="36">
        <v>0</v>
      </c>
    </row>
    <row r="7" spans="1:21" customFormat="1" x14ac:dyDescent="0.25">
      <c r="A7" s="35">
        <v>44032</v>
      </c>
      <c r="B7" s="36" t="s">
        <v>24</v>
      </c>
      <c r="C7" s="32" t="s">
        <v>53</v>
      </c>
      <c r="D7" s="36" t="s">
        <v>23</v>
      </c>
      <c r="E7" s="20" t="s">
        <v>238</v>
      </c>
      <c r="F7" s="36" t="s">
        <v>27</v>
      </c>
      <c r="G7" s="30">
        <v>70000</v>
      </c>
      <c r="H7" s="32" t="s">
        <v>64</v>
      </c>
      <c r="I7" s="32" t="s">
        <v>65</v>
      </c>
      <c r="J7" s="42">
        <v>0.94097222222222221</v>
      </c>
      <c r="K7" s="39">
        <v>0.99513888888888891</v>
      </c>
      <c r="L7" s="42">
        <v>0.77083333333333337</v>
      </c>
      <c r="M7" s="39">
        <v>0.85277777777777775</v>
      </c>
      <c r="N7" s="32" t="s">
        <v>344</v>
      </c>
      <c r="O7" s="32" t="s">
        <v>346</v>
      </c>
      <c r="P7" s="32">
        <v>716</v>
      </c>
      <c r="Q7" s="41">
        <v>990</v>
      </c>
      <c r="R7" s="32">
        <v>0</v>
      </c>
      <c r="S7" s="32">
        <v>0</v>
      </c>
      <c r="T7" s="32">
        <v>0</v>
      </c>
      <c r="U7" s="32">
        <v>0</v>
      </c>
    </row>
    <row r="8" spans="1:21" x14ac:dyDescent="0.25">
      <c r="A8" s="4"/>
      <c r="B8" s="2"/>
      <c r="C8" s="2"/>
      <c r="D8" s="2"/>
      <c r="E8" s="5"/>
      <c r="F8" s="2"/>
      <c r="G8" s="6"/>
      <c r="H8" s="5"/>
      <c r="I8" s="5"/>
      <c r="J8" s="28"/>
      <c r="K8" s="8"/>
      <c r="L8" s="8"/>
      <c r="M8" s="8"/>
      <c r="N8" s="3"/>
      <c r="O8" s="3"/>
      <c r="P8" s="3"/>
      <c r="Q8" s="3"/>
      <c r="R8" s="2"/>
      <c r="S8" s="2"/>
      <c r="T8" s="2"/>
      <c r="U8" s="2"/>
    </row>
    <row r="9" spans="1:21" x14ac:dyDescent="0.25">
      <c r="J9" s="53"/>
      <c r="K9" s="53"/>
      <c r="L9" s="53"/>
      <c r="M9" s="53"/>
      <c r="N9" s="48"/>
      <c r="O9" s="48"/>
      <c r="P9" s="48"/>
      <c r="Q9" s="48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8"/>
    </sheetView>
  </sheetViews>
  <sheetFormatPr defaultRowHeight="15" x14ac:dyDescent="0.25"/>
  <cols>
    <col min="3" max="3" width="13.5703125" bestFit="1" customWidth="1"/>
    <col min="6" max="6" width="18.57031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3" customFormat="1" ht="12.75" x14ac:dyDescent="0.2">
      <c r="A2" s="4">
        <v>44033</v>
      </c>
      <c r="B2" s="5" t="s">
        <v>24</v>
      </c>
      <c r="C2" s="5" t="s">
        <v>26</v>
      </c>
      <c r="D2" s="5" t="s">
        <v>23</v>
      </c>
      <c r="E2" s="5" t="s">
        <v>289</v>
      </c>
      <c r="F2" s="5" t="s">
        <v>27</v>
      </c>
      <c r="G2" s="6">
        <v>71500</v>
      </c>
      <c r="H2" s="5" t="s">
        <v>29</v>
      </c>
      <c r="I2" s="5" t="s">
        <v>31</v>
      </c>
      <c r="J2" s="7">
        <v>0.4548611111111111</v>
      </c>
      <c r="K2" s="11">
        <v>0.4513888888888889</v>
      </c>
      <c r="L2" s="7">
        <v>0.28125</v>
      </c>
      <c r="M2" s="11">
        <v>0.27986111111111112</v>
      </c>
      <c r="N2" s="3" t="s">
        <v>348</v>
      </c>
      <c r="O2" s="3" t="s">
        <v>347</v>
      </c>
      <c r="P2" s="3">
        <v>673</v>
      </c>
      <c r="Q2" s="3">
        <v>382</v>
      </c>
      <c r="R2" s="5">
        <v>0</v>
      </c>
      <c r="S2" s="5">
        <v>0</v>
      </c>
      <c r="T2" s="5">
        <v>0</v>
      </c>
      <c r="U2" s="5">
        <v>0</v>
      </c>
    </row>
    <row r="3" spans="1:21" s="3" customFormat="1" ht="12.75" x14ac:dyDescent="0.2">
      <c r="A3" s="4">
        <v>44033</v>
      </c>
      <c r="B3" s="5" t="s">
        <v>198</v>
      </c>
      <c r="C3" s="5" t="s">
        <v>199</v>
      </c>
      <c r="D3" s="5" t="s">
        <v>23</v>
      </c>
      <c r="E3" s="5" t="s">
        <v>208</v>
      </c>
      <c r="F3" s="5" t="s">
        <v>200</v>
      </c>
      <c r="G3" s="6">
        <v>77000</v>
      </c>
      <c r="H3" s="5" t="s">
        <v>201</v>
      </c>
      <c r="I3" s="5" t="s">
        <v>197</v>
      </c>
      <c r="J3" s="7">
        <v>0.3298611111111111</v>
      </c>
      <c r="K3" s="11">
        <v>0.32777777777777778</v>
      </c>
      <c r="L3" s="7">
        <v>0.37152777777777773</v>
      </c>
      <c r="M3" s="11">
        <v>0.37847222222222227</v>
      </c>
      <c r="N3" s="3" t="s">
        <v>86</v>
      </c>
      <c r="O3" s="3" t="s">
        <v>350</v>
      </c>
      <c r="P3" s="3">
        <v>1399</v>
      </c>
      <c r="Q3" s="3">
        <v>1543</v>
      </c>
      <c r="R3" s="5">
        <v>0</v>
      </c>
      <c r="S3" s="5">
        <v>0</v>
      </c>
      <c r="T3" s="5">
        <v>0</v>
      </c>
      <c r="U3" s="5">
        <v>0</v>
      </c>
    </row>
    <row r="4" spans="1:21" s="3" customFormat="1" ht="12.75" x14ac:dyDescent="0.2">
      <c r="A4" s="4">
        <v>44033</v>
      </c>
      <c r="B4" s="2" t="s">
        <v>24</v>
      </c>
      <c r="C4" s="2" t="s">
        <v>32</v>
      </c>
      <c r="D4" s="2" t="s">
        <v>23</v>
      </c>
      <c r="E4" s="5" t="s">
        <v>67</v>
      </c>
      <c r="F4" s="2" t="s">
        <v>27</v>
      </c>
      <c r="G4" s="6">
        <v>70000</v>
      </c>
      <c r="H4" s="5" t="s">
        <v>34</v>
      </c>
      <c r="I4" s="5" t="s">
        <v>36</v>
      </c>
      <c r="J4" s="10">
        <v>0.54166666666666663</v>
      </c>
      <c r="K4" s="11">
        <v>0.53749999999999998</v>
      </c>
      <c r="L4" s="10">
        <v>0.39583333333333331</v>
      </c>
      <c r="M4" s="11">
        <v>0.40208333333333335</v>
      </c>
      <c r="N4" s="3" t="s">
        <v>349</v>
      </c>
      <c r="O4" s="3" t="s">
        <v>96</v>
      </c>
      <c r="P4" s="3">
        <v>446</v>
      </c>
      <c r="Q4" s="3">
        <v>702</v>
      </c>
      <c r="R4" s="2">
        <v>0</v>
      </c>
      <c r="S4" s="2">
        <v>0</v>
      </c>
      <c r="T4" s="2">
        <v>0</v>
      </c>
      <c r="U4" s="2">
        <v>0</v>
      </c>
    </row>
    <row r="5" spans="1:21" s="3" customFormat="1" ht="12.75" x14ac:dyDescent="0.2">
      <c r="A5" s="4">
        <v>44033</v>
      </c>
      <c r="B5" s="2" t="s">
        <v>24</v>
      </c>
      <c r="C5" s="2" t="s">
        <v>33</v>
      </c>
      <c r="D5" s="2" t="s">
        <v>23</v>
      </c>
      <c r="E5" s="5" t="s">
        <v>289</v>
      </c>
      <c r="F5" s="2" t="s">
        <v>27</v>
      </c>
      <c r="G5" s="6">
        <v>71500</v>
      </c>
      <c r="H5" s="2" t="s">
        <v>35</v>
      </c>
      <c r="I5" s="2" t="s">
        <v>37</v>
      </c>
      <c r="J5" s="12">
        <v>0.70138888888888884</v>
      </c>
      <c r="K5" s="11">
        <v>0.6875</v>
      </c>
      <c r="L5" s="12">
        <v>0.49652777777777773</v>
      </c>
      <c r="M5" s="11">
        <v>0.4909722222222222</v>
      </c>
      <c r="N5" s="3" t="s">
        <v>352</v>
      </c>
      <c r="O5" s="3" t="s">
        <v>351</v>
      </c>
      <c r="P5" s="3">
        <v>920</v>
      </c>
      <c r="Q5" s="3">
        <v>378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ht="12.75" x14ac:dyDescent="0.2">
      <c r="A6" s="4">
        <v>44033</v>
      </c>
      <c r="B6" s="2" t="s">
        <v>24</v>
      </c>
      <c r="C6" s="2" t="s">
        <v>38</v>
      </c>
      <c r="D6" s="2" t="s">
        <v>23</v>
      </c>
      <c r="E6" s="5" t="s">
        <v>67</v>
      </c>
      <c r="F6" s="2" t="s">
        <v>27</v>
      </c>
      <c r="G6" s="6">
        <v>70000</v>
      </c>
      <c r="H6" s="2" t="s">
        <v>39</v>
      </c>
      <c r="I6" s="2" t="s">
        <v>40</v>
      </c>
      <c r="J6" s="12">
        <v>0.73958333333333337</v>
      </c>
      <c r="K6" s="11">
        <v>0.72430555555555554</v>
      </c>
      <c r="L6" s="12">
        <v>0.57291666666666663</v>
      </c>
      <c r="M6" s="11">
        <v>0.57291666666666663</v>
      </c>
      <c r="N6" s="3" t="s">
        <v>75</v>
      </c>
      <c r="O6" s="3" t="s">
        <v>353</v>
      </c>
      <c r="P6" s="3">
        <v>624</v>
      </c>
      <c r="Q6" s="3">
        <v>280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ht="12.75" x14ac:dyDescent="0.2">
      <c r="A7" s="4">
        <v>44033</v>
      </c>
      <c r="B7" s="3" t="s">
        <v>24</v>
      </c>
      <c r="C7" s="3" t="s">
        <v>41</v>
      </c>
      <c r="D7" s="3" t="s">
        <v>23</v>
      </c>
      <c r="E7" s="5" t="s">
        <v>289</v>
      </c>
      <c r="F7" s="3" t="s">
        <v>27</v>
      </c>
      <c r="G7" s="6">
        <v>71500</v>
      </c>
      <c r="H7" s="3" t="s">
        <v>42</v>
      </c>
      <c r="I7" s="3" t="s">
        <v>43</v>
      </c>
      <c r="J7" s="10">
        <v>0.94097222222222221</v>
      </c>
      <c r="K7" s="11">
        <v>0.96388888888888891</v>
      </c>
      <c r="L7" s="10">
        <v>0.72222222222222221</v>
      </c>
      <c r="M7" s="11">
        <v>0.77222222222222225</v>
      </c>
      <c r="N7" s="3" t="s">
        <v>354</v>
      </c>
      <c r="O7" s="3" t="s">
        <v>87</v>
      </c>
      <c r="P7" s="3">
        <v>193</v>
      </c>
      <c r="Q7" s="3">
        <v>179</v>
      </c>
      <c r="R7" s="3">
        <v>0</v>
      </c>
      <c r="S7" s="3">
        <v>0</v>
      </c>
      <c r="T7" s="3">
        <v>0</v>
      </c>
      <c r="U7" s="3">
        <v>0</v>
      </c>
    </row>
    <row r="8" spans="1:21" s="3" customFormat="1" ht="12.75" x14ac:dyDescent="0.2">
      <c r="A8" s="4">
        <v>44033</v>
      </c>
      <c r="B8" s="3" t="s">
        <v>24</v>
      </c>
      <c r="C8" s="3" t="s">
        <v>46</v>
      </c>
      <c r="D8" s="3" t="s">
        <v>23</v>
      </c>
      <c r="E8" s="5" t="s">
        <v>67</v>
      </c>
      <c r="F8" s="3" t="s">
        <v>27</v>
      </c>
      <c r="G8" s="6">
        <v>70000</v>
      </c>
      <c r="H8" s="3" t="s">
        <v>44</v>
      </c>
      <c r="I8" s="3" t="s">
        <v>45</v>
      </c>
      <c r="J8" s="10">
        <v>0.95486111111111116</v>
      </c>
      <c r="K8" s="11">
        <v>0.9604166666666667</v>
      </c>
      <c r="L8" s="10">
        <v>0.77777777777777779</v>
      </c>
      <c r="M8" s="11">
        <v>0.77847222222222223</v>
      </c>
      <c r="N8" s="3" t="s">
        <v>298</v>
      </c>
      <c r="O8" s="3" t="s">
        <v>259</v>
      </c>
      <c r="P8" s="3">
        <v>605</v>
      </c>
      <c r="Q8" s="3">
        <v>356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J7" sqref="J7"/>
    </sheetView>
  </sheetViews>
  <sheetFormatPr defaultRowHeight="12.75" x14ac:dyDescent="0.2"/>
  <cols>
    <col min="1" max="1" width="9.140625" style="34" bestFit="1" customWidth="1"/>
    <col min="2" max="2" width="13.85546875" style="34" customWidth="1"/>
    <col min="3" max="3" width="19" style="34" customWidth="1"/>
    <col min="4" max="4" width="10.5703125" style="34" customWidth="1"/>
    <col min="5" max="5" width="15.42578125" style="34" bestFit="1" customWidth="1"/>
    <col min="6" max="6" width="17.28515625" style="34" customWidth="1"/>
    <col min="7" max="7" width="9.28515625" style="34" bestFit="1" customWidth="1"/>
    <col min="8" max="9" width="9.140625" style="34"/>
    <col min="10" max="10" width="11.140625" style="34" bestFit="1" customWidth="1"/>
    <col min="11" max="11" width="11" style="34" bestFit="1" customWidth="1"/>
    <col min="12" max="12" width="11.140625" style="34" bestFit="1" customWidth="1"/>
    <col min="13" max="13" width="11" style="34" bestFit="1" customWidth="1"/>
    <col min="14" max="15" width="18.5703125" style="34" bestFit="1" customWidth="1"/>
    <col min="16" max="21" width="9.28515625" style="34" bestFit="1" customWidth="1"/>
    <col min="22" max="16384" width="9.140625" style="34"/>
  </cols>
  <sheetData>
    <row r="1" spans="1:21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</row>
    <row r="2" spans="1:21" x14ac:dyDescent="0.2">
      <c r="A2" s="58">
        <v>44034</v>
      </c>
      <c r="B2" s="36" t="s">
        <v>24</v>
      </c>
      <c r="C2" s="59" t="s">
        <v>48</v>
      </c>
      <c r="D2" s="59" t="s">
        <v>23</v>
      </c>
      <c r="E2" s="44" t="s">
        <v>289</v>
      </c>
      <c r="F2" s="59" t="s">
        <v>27</v>
      </c>
      <c r="G2" s="61">
        <v>71500</v>
      </c>
      <c r="H2" s="59" t="s">
        <v>54</v>
      </c>
      <c r="I2" s="59" t="s">
        <v>55</v>
      </c>
      <c r="J2" s="62">
        <v>0.46180555555555558</v>
      </c>
      <c r="K2" s="60">
        <v>0.45</v>
      </c>
      <c r="L2" s="62">
        <v>0.26041666666666669</v>
      </c>
      <c r="M2" s="60">
        <v>0.26041666666666669</v>
      </c>
      <c r="N2" s="59" t="s">
        <v>358</v>
      </c>
      <c r="O2" s="59" t="s">
        <v>355</v>
      </c>
      <c r="P2" s="59">
        <v>903</v>
      </c>
      <c r="Q2" s="59">
        <v>716</v>
      </c>
      <c r="R2" s="59">
        <v>0</v>
      </c>
      <c r="S2" s="59">
        <v>0</v>
      </c>
      <c r="T2" s="59">
        <v>0</v>
      </c>
      <c r="U2" s="59">
        <v>0</v>
      </c>
    </row>
    <row r="3" spans="1:21" x14ac:dyDescent="0.2">
      <c r="A3" s="58">
        <v>44034</v>
      </c>
      <c r="B3" s="36" t="s">
        <v>24</v>
      </c>
      <c r="C3" s="59" t="s">
        <v>49</v>
      </c>
      <c r="D3" s="59" t="s">
        <v>23</v>
      </c>
      <c r="E3" s="59" t="s">
        <v>67</v>
      </c>
      <c r="F3" s="59" t="s">
        <v>27</v>
      </c>
      <c r="G3" s="61">
        <v>70000</v>
      </c>
      <c r="H3" s="59" t="s">
        <v>56</v>
      </c>
      <c r="I3" s="59" t="s">
        <v>57</v>
      </c>
      <c r="J3" s="62">
        <v>0.47569444444444442</v>
      </c>
      <c r="K3" s="60">
        <v>0.45624999999999999</v>
      </c>
      <c r="L3" s="62">
        <v>0.27430555555555552</v>
      </c>
      <c r="M3" s="60">
        <v>0.27499999999999997</v>
      </c>
      <c r="N3" s="59" t="s">
        <v>359</v>
      </c>
      <c r="O3" s="59" t="s">
        <v>356</v>
      </c>
      <c r="P3" s="59">
        <v>779</v>
      </c>
      <c r="Q3" s="59">
        <v>493</v>
      </c>
      <c r="R3" s="59">
        <v>0</v>
      </c>
      <c r="S3" s="59">
        <v>0</v>
      </c>
      <c r="T3" s="59">
        <v>0</v>
      </c>
      <c r="U3" s="59">
        <v>0</v>
      </c>
    </row>
    <row r="4" spans="1:21" x14ac:dyDescent="0.2">
      <c r="A4" s="58">
        <v>44034</v>
      </c>
      <c r="B4" s="36" t="s">
        <v>24</v>
      </c>
      <c r="C4" s="32" t="s">
        <v>50</v>
      </c>
      <c r="D4" s="59" t="s">
        <v>23</v>
      </c>
      <c r="E4" s="44" t="s">
        <v>289</v>
      </c>
      <c r="F4" s="59" t="s">
        <v>27</v>
      </c>
      <c r="G4" s="61">
        <v>71500</v>
      </c>
      <c r="H4" s="43" t="s">
        <v>58</v>
      </c>
      <c r="I4" s="43" t="s">
        <v>59</v>
      </c>
      <c r="J4" s="42">
        <v>0.72569444444444453</v>
      </c>
      <c r="K4" s="39">
        <v>0.72916666666666663</v>
      </c>
      <c r="L4" s="42">
        <v>0.5</v>
      </c>
      <c r="M4" s="39">
        <v>0.49861111111111112</v>
      </c>
      <c r="N4" s="59" t="s">
        <v>360</v>
      </c>
      <c r="O4" s="47">
        <v>64</v>
      </c>
      <c r="P4" s="32">
        <v>1201</v>
      </c>
      <c r="Q4" s="41">
        <v>613</v>
      </c>
      <c r="R4" s="32">
        <v>0</v>
      </c>
      <c r="S4" s="32">
        <v>0</v>
      </c>
      <c r="T4" s="32">
        <v>0</v>
      </c>
      <c r="U4" s="32">
        <v>0</v>
      </c>
    </row>
    <row r="5" spans="1:21" x14ac:dyDescent="0.2">
      <c r="A5" s="58">
        <v>44034</v>
      </c>
      <c r="B5" s="36" t="s">
        <v>24</v>
      </c>
      <c r="C5" s="32" t="s">
        <v>51</v>
      </c>
      <c r="D5" s="59" t="s">
        <v>23</v>
      </c>
      <c r="E5" s="59" t="s">
        <v>67</v>
      </c>
      <c r="F5" s="59" t="s">
        <v>27</v>
      </c>
      <c r="G5" s="61">
        <v>70000</v>
      </c>
      <c r="H5" s="32" t="s">
        <v>60</v>
      </c>
      <c r="I5" s="32" t="s">
        <v>61</v>
      </c>
      <c r="J5" s="42">
        <v>0.75</v>
      </c>
      <c r="K5" s="39">
        <v>0.73611111111111116</v>
      </c>
      <c r="L5" s="42">
        <v>0.51388888888888895</v>
      </c>
      <c r="M5" s="39">
        <v>0.5131944444444444</v>
      </c>
      <c r="N5" s="32" t="s">
        <v>361</v>
      </c>
      <c r="O5" s="32" t="s">
        <v>357</v>
      </c>
      <c r="P5" s="32">
        <v>1866</v>
      </c>
      <c r="Q5" s="41">
        <v>922</v>
      </c>
      <c r="R5" s="32">
        <v>0</v>
      </c>
      <c r="S5" s="32">
        <v>0</v>
      </c>
      <c r="T5" s="32">
        <v>0</v>
      </c>
      <c r="U5" s="32">
        <v>0</v>
      </c>
    </row>
    <row r="6" spans="1:21" x14ac:dyDescent="0.2">
      <c r="A6" s="58">
        <v>44034</v>
      </c>
      <c r="B6" s="36" t="s">
        <v>24</v>
      </c>
      <c r="C6" s="32" t="s">
        <v>52</v>
      </c>
      <c r="D6" s="59" t="s">
        <v>23</v>
      </c>
      <c r="E6" s="44" t="s">
        <v>289</v>
      </c>
      <c r="F6" s="59" t="s">
        <v>27</v>
      </c>
      <c r="G6" s="61">
        <v>71500</v>
      </c>
      <c r="H6" s="43" t="s">
        <v>62</v>
      </c>
      <c r="I6" s="43" t="s">
        <v>63</v>
      </c>
      <c r="J6" s="42">
        <v>0.9375</v>
      </c>
      <c r="K6" s="39">
        <v>0.9375</v>
      </c>
      <c r="L6" s="42">
        <v>0.74652777777777779</v>
      </c>
      <c r="M6" s="39">
        <v>0.76458333333333339</v>
      </c>
      <c r="N6" s="59" t="s">
        <v>363</v>
      </c>
      <c r="O6" s="32" t="s">
        <v>254</v>
      </c>
      <c r="P6" s="32">
        <v>848</v>
      </c>
      <c r="Q6" s="32">
        <v>368</v>
      </c>
      <c r="R6" s="32">
        <v>0</v>
      </c>
      <c r="S6" s="32">
        <v>0</v>
      </c>
      <c r="T6" s="32">
        <v>0</v>
      </c>
      <c r="U6" s="32">
        <v>0</v>
      </c>
    </row>
    <row r="7" spans="1:21" x14ac:dyDescent="0.2">
      <c r="A7" s="58">
        <v>44034</v>
      </c>
      <c r="B7" s="36" t="s">
        <v>24</v>
      </c>
      <c r="C7" s="46" t="s">
        <v>53</v>
      </c>
      <c r="D7" s="59" t="s">
        <v>23</v>
      </c>
      <c r="E7" s="59" t="s">
        <v>67</v>
      </c>
      <c r="F7" s="59" t="s">
        <v>27</v>
      </c>
      <c r="G7" s="61">
        <v>70000</v>
      </c>
      <c r="H7" s="43" t="s">
        <v>64</v>
      </c>
      <c r="I7" s="43" t="s">
        <v>65</v>
      </c>
      <c r="J7" s="62">
        <v>0.94097222222222221</v>
      </c>
      <c r="K7" s="60">
        <v>0.94513888888888886</v>
      </c>
      <c r="L7" s="62" t="s">
        <v>101</v>
      </c>
      <c r="M7" s="60">
        <v>0.78541666666666676</v>
      </c>
      <c r="N7" s="59" t="s">
        <v>364</v>
      </c>
      <c r="O7" s="32" t="s">
        <v>362</v>
      </c>
      <c r="P7" s="32">
        <v>601</v>
      </c>
      <c r="Q7" s="32">
        <v>1356</v>
      </c>
      <c r="R7" s="32">
        <v>0</v>
      </c>
      <c r="S7" s="32">
        <v>0</v>
      </c>
      <c r="T7" s="32">
        <v>0</v>
      </c>
      <c r="U7" s="32">
        <v>0</v>
      </c>
    </row>
    <row r="8" spans="1:21" x14ac:dyDescent="0.2">
      <c r="A8" s="35"/>
      <c r="B8" s="43"/>
      <c r="C8" s="32"/>
      <c r="D8" s="43"/>
      <c r="E8" s="44"/>
      <c r="F8" s="32"/>
      <c r="G8" s="45"/>
      <c r="H8" s="43"/>
      <c r="I8" s="43"/>
      <c r="J8" s="60"/>
      <c r="K8" s="60"/>
      <c r="L8" s="60"/>
      <c r="M8" s="60"/>
      <c r="N8" s="32"/>
      <c r="O8" s="32"/>
      <c r="P8" s="32"/>
      <c r="Q8" s="32"/>
      <c r="R8" s="32"/>
      <c r="S8" s="32"/>
      <c r="T8" s="32"/>
      <c r="U8" s="32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sqref="A1:XFD1048576"/>
    </sheetView>
  </sheetViews>
  <sheetFormatPr defaultRowHeight="15" x14ac:dyDescent="0.25"/>
  <cols>
    <col min="1" max="1" width="9.140625" bestFit="1" customWidth="1"/>
    <col min="2" max="2" width="13.28515625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s="34" customFormat="1" ht="12.75" x14ac:dyDescent="0.2">
      <c r="A2" s="58">
        <v>44035</v>
      </c>
      <c r="B2" s="36" t="s">
        <v>24</v>
      </c>
      <c r="C2" s="32" t="s">
        <v>33</v>
      </c>
      <c r="D2" s="59" t="s">
        <v>23</v>
      </c>
      <c r="E2" s="36" t="s">
        <v>289</v>
      </c>
      <c r="F2" s="59" t="s">
        <v>27</v>
      </c>
      <c r="G2" s="61">
        <v>70000</v>
      </c>
      <c r="H2" s="43" t="s">
        <v>119</v>
      </c>
      <c r="I2" s="43" t="s">
        <v>37</v>
      </c>
      <c r="J2" s="42">
        <v>0.69444444444444453</v>
      </c>
      <c r="K2" s="39">
        <v>0.73263888888888884</v>
      </c>
      <c r="L2" s="42">
        <v>0.48958333333333331</v>
      </c>
      <c r="M2" s="39">
        <v>0.49652777777777773</v>
      </c>
      <c r="N2" s="47">
        <v>95</v>
      </c>
      <c r="O2" s="32" t="s">
        <v>366</v>
      </c>
      <c r="P2" s="32">
        <v>775</v>
      </c>
      <c r="Q2" s="32">
        <v>497</v>
      </c>
      <c r="R2" s="32">
        <v>0</v>
      </c>
      <c r="S2" s="32">
        <v>0</v>
      </c>
      <c r="T2" s="32">
        <v>0</v>
      </c>
      <c r="U2" s="32">
        <v>0</v>
      </c>
    </row>
    <row r="3" spans="1:22" x14ac:dyDescent="0.25">
      <c r="A3" s="58">
        <v>44035</v>
      </c>
      <c r="B3" s="36" t="s">
        <v>24</v>
      </c>
      <c r="C3" s="3" t="s">
        <v>53</v>
      </c>
      <c r="D3" s="14" t="s">
        <v>23</v>
      </c>
      <c r="E3" s="3" t="s">
        <v>67</v>
      </c>
      <c r="F3" s="3" t="s">
        <v>27</v>
      </c>
      <c r="G3" s="30">
        <v>71500</v>
      </c>
      <c r="H3" s="3" t="s">
        <v>64</v>
      </c>
      <c r="I3" s="3" t="s">
        <v>65</v>
      </c>
      <c r="J3" s="11">
        <v>0.75694444444444453</v>
      </c>
      <c r="K3" s="11">
        <v>0.92083333333333339</v>
      </c>
      <c r="L3" s="11">
        <v>0.58680555555555558</v>
      </c>
      <c r="M3" s="11">
        <v>0.59027777777777779</v>
      </c>
      <c r="N3" s="3">
        <v>74</v>
      </c>
      <c r="O3" s="3" t="s">
        <v>367</v>
      </c>
      <c r="P3" s="3">
        <v>636</v>
      </c>
      <c r="Q3" s="3">
        <v>980</v>
      </c>
      <c r="R3" s="2">
        <v>0</v>
      </c>
      <c r="S3" s="2">
        <v>0</v>
      </c>
      <c r="T3" s="2">
        <v>0</v>
      </c>
      <c r="U3" s="2">
        <v>0</v>
      </c>
    </row>
    <row r="4" spans="1:22" s="3" customFormat="1" ht="12.75" x14ac:dyDescent="0.2">
      <c r="A4" s="58">
        <v>44035</v>
      </c>
      <c r="B4" s="3" t="s">
        <v>24</v>
      </c>
      <c r="C4" s="3" t="s">
        <v>41</v>
      </c>
      <c r="D4" s="3" t="s">
        <v>23</v>
      </c>
      <c r="E4" s="5" t="s">
        <v>289</v>
      </c>
      <c r="F4" s="3" t="s">
        <v>27</v>
      </c>
      <c r="G4" s="6">
        <v>71500</v>
      </c>
      <c r="H4" s="3" t="s">
        <v>42</v>
      </c>
      <c r="I4" s="3" t="s">
        <v>43</v>
      </c>
      <c r="J4" s="10">
        <v>0.94097222222222221</v>
      </c>
      <c r="K4" s="11">
        <v>0.95347222222222217</v>
      </c>
      <c r="L4" s="10">
        <v>0.72222222222222221</v>
      </c>
      <c r="M4" s="11">
        <v>0.76111111111111107</v>
      </c>
      <c r="N4" s="3">
        <v>35</v>
      </c>
      <c r="O4" s="3" t="s">
        <v>320</v>
      </c>
      <c r="P4" s="3">
        <v>252</v>
      </c>
      <c r="Q4" s="3">
        <v>420</v>
      </c>
      <c r="R4" s="3">
        <v>0</v>
      </c>
      <c r="S4" s="3">
        <v>0</v>
      </c>
      <c r="T4" s="3">
        <v>0</v>
      </c>
      <c r="U4" s="3">
        <v>0</v>
      </c>
    </row>
    <row r="5" spans="1:22" s="3" customFormat="1" ht="12.75" x14ac:dyDescent="0.2">
      <c r="A5" s="58">
        <v>44035</v>
      </c>
      <c r="B5" s="3" t="s">
        <v>24</v>
      </c>
      <c r="C5" s="3" t="s">
        <v>46</v>
      </c>
      <c r="D5" s="3" t="s">
        <v>23</v>
      </c>
      <c r="E5" s="5" t="s">
        <v>365</v>
      </c>
      <c r="F5" s="3" t="s">
        <v>27</v>
      </c>
      <c r="G5" s="6">
        <v>70000</v>
      </c>
      <c r="H5" s="3" t="s">
        <v>44</v>
      </c>
      <c r="I5" s="3" t="s">
        <v>45</v>
      </c>
      <c r="J5" s="10">
        <v>0.95486111111111116</v>
      </c>
      <c r="K5" s="3" t="s">
        <v>369</v>
      </c>
      <c r="L5" s="10">
        <v>0.77777777777777779</v>
      </c>
      <c r="M5" s="11">
        <v>0.85555555555555562</v>
      </c>
      <c r="N5" s="3" t="s">
        <v>369</v>
      </c>
      <c r="O5" s="3" t="s">
        <v>368</v>
      </c>
      <c r="P5" s="3" t="s">
        <v>369</v>
      </c>
      <c r="Q5" s="3">
        <v>495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35"/>
      <c r="B6" s="2"/>
      <c r="C6" s="2"/>
      <c r="D6" s="2"/>
      <c r="E6" s="5"/>
      <c r="F6" s="2"/>
      <c r="G6" s="37"/>
      <c r="H6" s="2"/>
      <c r="I6" s="2"/>
      <c r="J6" s="12"/>
      <c r="K6" s="11"/>
      <c r="L6" s="12"/>
      <c r="M6" s="11"/>
      <c r="N6" s="3"/>
      <c r="O6" s="3"/>
      <c r="P6" s="3"/>
      <c r="Q6" s="3"/>
      <c r="R6" s="2"/>
      <c r="S6" s="2"/>
      <c r="T6" s="2"/>
      <c r="U6" s="2"/>
    </row>
    <row r="7" spans="1:22" x14ac:dyDescent="0.25">
      <c r="A7" s="35"/>
      <c r="B7" s="2"/>
      <c r="C7" s="2"/>
      <c r="D7" s="2"/>
      <c r="E7" s="5"/>
      <c r="F7" s="2"/>
      <c r="G7" s="37"/>
      <c r="H7" s="2"/>
      <c r="I7" s="2"/>
      <c r="J7" s="10"/>
      <c r="K7" s="11"/>
      <c r="L7" s="10"/>
      <c r="M7" s="11"/>
      <c r="N7" s="3"/>
      <c r="O7" s="3"/>
      <c r="P7" s="3"/>
      <c r="Q7" s="3"/>
      <c r="R7" s="2"/>
      <c r="S7" s="2"/>
      <c r="T7" s="2"/>
      <c r="U7" s="2"/>
    </row>
    <row r="8" spans="1:22" x14ac:dyDescent="0.25">
      <c r="A8" s="35"/>
      <c r="B8" s="49"/>
      <c r="C8" s="49"/>
      <c r="D8" s="49"/>
      <c r="E8" s="50"/>
      <c r="F8" s="49"/>
      <c r="G8" s="37"/>
      <c r="H8" s="49"/>
      <c r="I8" s="49"/>
      <c r="J8" s="56"/>
      <c r="K8" s="11"/>
      <c r="L8" s="56"/>
      <c r="M8" s="11"/>
      <c r="N8" s="3"/>
      <c r="O8" s="3"/>
      <c r="P8" s="3"/>
      <c r="Q8" s="3"/>
      <c r="R8" s="51"/>
      <c r="S8" s="51"/>
      <c r="T8" s="52"/>
      <c r="U8" s="52"/>
    </row>
    <row r="9" spans="1:22" s="54" customFormat="1" x14ac:dyDescent="0.25">
      <c r="A9" s="35"/>
      <c r="B9" s="2"/>
      <c r="C9" s="2"/>
      <c r="D9" s="2"/>
      <c r="F9" s="2"/>
      <c r="G9" s="37"/>
      <c r="H9" s="2"/>
      <c r="I9" s="2"/>
      <c r="J9" s="10"/>
      <c r="K9" s="11"/>
      <c r="L9" s="10"/>
      <c r="M9" s="11"/>
      <c r="N9" s="57"/>
      <c r="O9" s="3"/>
      <c r="P9" s="3"/>
      <c r="Q9" s="3"/>
      <c r="R9" s="51"/>
      <c r="S9" s="51"/>
      <c r="T9" s="55"/>
      <c r="U9" s="55"/>
    </row>
    <row r="10" spans="1:22" x14ac:dyDescent="0.25">
      <c r="A10" s="35"/>
      <c r="B10" s="2"/>
      <c r="C10" s="2"/>
      <c r="D10" s="2"/>
      <c r="E10" s="48"/>
      <c r="F10" s="2"/>
      <c r="G10" s="37"/>
      <c r="H10" s="2"/>
      <c r="I10" s="2"/>
      <c r="J10" s="10"/>
      <c r="K10" s="11"/>
      <c r="L10" s="10"/>
      <c r="M10" s="11"/>
      <c r="N10" s="48"/>
      <c r="O10" s="3"/>
      <c r="P10" s="48"/>
      <c r="Q10" s="48"/>
      <c r="R10" s="48"/>
      <c r="S10" s="48"/>
      <c r="T10" s="48"/>
      <c r="U10" s="48"/>
      <c r="V10" s="48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O9" sqref="O9"/>
    </sheetView>
  </sheetViews>
  <sheetFormatPr defaultRowHeight="12.75" x14ac:dyDescent="0.2"/>
  <cols>
    <col min="1" max="1" width="9.140625" style="70"/>
    <col min="2" max="2" width="21.85546875" style="70" bestFit="1" customWidth="1"/>
    <col min="3" max="3" width="13.5703125" style="70" bestFit="1" customWidth="1"/>
    <col min="4" max="5" width="9.140625" style="70"/>
    <col min="6" max="6" width="14.42578125" style="70" bestFit="1" customWidth="1"/>
    <col min="7" max="7" width="9.7109375" style="70" bestFit="1" customWidth="1"/>
    <col min="8" max="9" width="9.140625" style="70"/>
    <col min="10" max="10" width="11" style="70" bestFit="1" customWidth="1"/>
    <col min="11" max="11" width="10.85546875" style="70" bestFit="1" customWidth="1"/>
    <col min="12" max="12" width="9.140625" style="70"/>
    <col min="13" max="13" width="10.85546875" style="70" bestFit="1" customWidth="1"/>
    <col min="14" max="15" width="18.42578125" style="70" bestFit="1" customWidth="1"/>
    <col min="16" max="16384" width="9.140625" style="70"/>
  </cols>
  <sheetData>
    <row r="1" spans="1:2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">
      <c r="A2" s="4">
        <v>44036</v>
      </c>
      <c r="B2" s="36" t="s">
        <v>24</v>
      </c>
      <c r="C2" s="3" t="s">
        <v>48</v>
      </c>
      <c r="D2" s="14" t="s">
        <v>23</v>
      </c>
      <c r="E2" s="3" t="s">
        <v>317</v>
      </c>
      <c r="F2" s="3" t="s">
        <v>27</v>
      </c>
      <c r="G2" s="30">
        <v>71500</v>
      </c>
      <c r="H2" s="3" t="s">
        <v>54</v>
      </c>
      <c r="I2" s="3" t="s">
        <v>55</v>
      </c>
      <c r="J2" s="11">
        <v>0.46180555555555558</v>
      </c>
      <c r="K2" s="11">
        <v>0.4513888888888889</v>
      </c>
      <c r="L2" s="11">
        <v>0.26041666666666669</v>
      </c>
      <c r="M2" s="11">
        <v>0.25694444444444448</v>
      </c>
      <c r="N2" s="3" t="s">
        <v>370</v>
      </c>
      <c r="O2" s="3" t="s">
        <v>372</v>
      </c>
      <c r="P2" s="3">
        <v>1100</v>
      </c>
      <c r="Q2" s="3">
        <v>392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">
      <c r="A3" s="4">
        <v>44036</v>
      </c>
      <c r="B3" s="36" t="s">
        <v>24</v>
      </c>
      <c r="C3" s="3" t="s">
        <v>49</v>
      </c>
      <c r="D3" s="14" t="s">
        <v>23</v>
      </c>
      <c r="E3" s="3" t="s">
        <v>238</v>
      </c>
      <c r="F3" s="3" t="s">
        <v>27</v>
      </c>
      <c r="G3" s="30">
        <v>70000</v>
      </c>
      <c r="H3" s="3" t="s">
        <v>56</v>
      </c>
      <c r="I3" s="3" t="s">
        <v>57</v>
      </c>
      <c r="J3" s="11">
        <v>0.47569444444444442</v>
      </c>
      <c r="K3" s="11">
        <v>0.46458333333333335</v>
      </c>
      <c r="L3" s="11">
        <v>0.27430555555555552</v>
      </c>
      <c r="M3" s="11">
        <v>0.27708333333333335</v>
      </c>
      <c r="N3" s="3" t="s">
        <v>371</v>
      </c>
      <c r="O3" s="3" t="s">
        <v>330</v>
      </c>
      <c r="P3" s="3">
        <v>726</v>
      </c>
      <c r="Q3" s="3">
        <v>325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44036</v>
      </c>
      <c r="B4" s="36" t="s">
        <v>24</v>
      </c>
      <c r="C4" s="3" t="s">
        <v>50</v>
      </c>
      <c r="D4" s="14" t="s">
        <v>23</v>
      </c>
      <c r="E4" s="3" t="s">
        <v>317</v>
      </c>
      <c r="F4" s="3" t="s">
        <v>27</v>
      </c>
      <c r="G4" s="30">
        <v>71500</v>
      </c>
      <c r="H4" s="3" t="s">
        <v>58</v>
      </c>
      <c r="I4" s="3" t="s">
        <v>59</v>
      </c>
      <c r="J4" s="11">
        <v>0.72569444444444453</v>
      </c>
      <c r="K4" s="11">
        <v>0.7284722222222223</v>
      </c>
      <c r="L4" s="11">
        <v>0.5</v>
      </c>
      <c r="M4" s="11">
        <v>0.49861111111111112</v>
      </c>
      <c r="N4" s="3" t="s">
        <v>390</v>
      </c>
      <c r="O4" s="3" t="s">
        <v>389</v>
      </c>
      <c r="P4" s="3">
        <v>1267</v>
      </c>
      <c r="Q4" s="3">
        <v>1086</v>
      </c>
      <c r="R4" s="2">
        <v>0</v>
      </c>
      <c r="S4" s="2">
        <v>0</v>
      </c>
      <c r="T4" s="2">
        <v>0</v>
      </c>
      <c r="U4" s="2">
        <v>0</v>
      </c>
    </row>
    <row r="5" spans="1:21" x14ac:dyDescent="0.2">
      <c r="A5" s="4">
        <v>44036</v>
      </c>
      <c r="B5" s="36" t="s">
        <v>24</v>
      </c>
      <c r="C5" s="3" t="s">
        <v>134</v>
      </c>
      <c r="D5" s="14" t="s">
        <v>23</v>
      </c>
      <c r="E5" s="3" t="s">
        <v>238</v>
      </c>
      <c r="F5" s="3" t="s">
        <v>27</v>
      </c>
      <c r="G5" s="30">
        <v>70000</v>
      </c>
      <c r="H5" s="3" t="s">
        <v>135</v>
      </c>
      <c r="I5" s="3" t="s">
        <v>136</v>
      </c>
      <c r="J5" s="11">
        <v>0.75</v>
      </c>
      <c r="K5" s="11">
        <v>0.74513888888888891</v>
      </c>
      <c r="L5" s="11">
        <v>0.53472222222222221</v>
      </c>
      <c r="M5" s="11">
        <v>0.53888888888888886</v>
      </c>
      <c r="N5" s="3" t="s">
        <v>391</v>
      </c>
      <c r="O5" s="3" t="s">
        <v>388</v>
      </c>
      <c r="P5" s="3">
        <v>563</v>
      </c>
      <c r="Q5" s="3">
        <v>753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4">
        <v>44036</v>
      </c>
      <c r="B6" s="36" t="s">
        <v>24</v>
      </c>
      <c r="C6" s="3" t="s">
        <v>66</v>
      </c>
      <c r="D6" s="14" t="s">
        <v>23</v>
      </c>
      <c r="E6" s="3" t="s">
        <v>317</v>
      </c>
      <c r="F6" s="3" t="s">
        <v>27</v>
      </c>
      <c r="G6" s="30">
        <v>71500</v>
      </c>
      <c r="H6" s="3" t="s">
        <v>69</v>
      </c>
      <c r="I6" s="3" t="s">
        <v>68</v>
      </c>
      <c r="J6" s="11">
        <v>0.89930555555555547</v>
      </c>
      <c r="K6" s="11">
        <v>0.90277777777777779</v>
      </c>
      <c r="L6" s="11">
        <v>0.75</v>
      </c>
      <c r="M6" s="11">
        <v>0.7715277777777777</v>
      </c>
      <c r="N6" s="3" t="s">
        <v>392</v>
      </c>
      <c r="O6" s="3" t="s">
        <v>265</v>
      </c>
      <c r="P6" s="3">
        <v>309</v>
      </c>
      <c r="Q6" s="3">
        <v>628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4">
        <v>44036</v>
      </c>
      <c r="B7" s="36" t="s">
        <v>24</v>
      </c>
      <c r="C7" s="3" t="s">
        <v>53</v>
      </c>
      <c r="D7" s="14" t="s">
        <v>23</v>
      </c>
      <c r="E7" s="3" t="s">
        <v>238</v>
      </c>
      <c r="F7" s="3" t="s">
        <v>27</v>
      </c>
      <c r="G7" s="30">
        <v>70000</v>
      </c>
      <c r="H7" s="3" t="s">
        <v>64</v>
      </c>
      <c r="I7" s="3" t="s">
        <v>65</v>
      </c>
      <c r="J7" s="11">
        <v>0.94097222222222221</v>
      </c>
      <c r="K7" s="11">
        <v>0.92569444444444438</v>
      </c>
      <c r="L7" s="11">
        <v>0.77083333333333337</v>
      </c>
      <c r="M7" s="11">
        <v>0.77638888888888891</v>
      </c>
      <c r="N7" s="3" t="s">
        <v>393</v>
      </c>
      <c r="O7" s="3" t="s">
        <v>394</v>
      </c>
      <c r="P7" s="3">
        <v>619</v>
      </c>
      <c r="Q7" s="3">
        <v>910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4">
        <v>44036</v>
      </c>
      <c r="B8" s="5" t="s">
        <v>198</v>
      </c>
      <c r="C8" s="5" t="s">
        <v>199</v>
      </c>
      <c r="D8" s="5" t="s">
        <v>23</v>
      </c>
      <c r="E8" s="5" t="s">
        <v>318</v>
      </c>
      <c r="F8" s="5" t="s">
        <v>200</v>
      </c>
      <c r="G8" s="6">
        <v>77000</v>
      </c>
      <c r="H8" s="5" t="s">
        <v>201</v>
      </c>
      <c r="I8" s="5" t="s">
        <v>197</v>
      </c>
      <c r="J8" s="7">
        <v>0.3298611111111111</v>
      </c>
      <c r="K8" s="11">
        <v>0.37152777777777773</v>
      </c>
      <c r="L8" s="7">
        <v>0.37152777777777773</v>
      </c>
      <c r="M8" s="11">
        <v>0.42986111111111108</v>
      </c>
      <c r="N8" s="3" t="s">
        <v>373</v>
      </c>
      <c r="O8" s="3" t="s">
        <v>374</v>
      </c>
      <c r="P8" s="3">
        <v>2377</v>
      </c>
      <c r="Q8" s="3">
        <v>1234</v>
      </c>
      <c r="R8" s="5">
        <v>0</v>
      </c>
      <c r="S8" s="5">
        <v>0</v>
      </c>
      <c r="T8" s="5">
        <v>0</v>
      </c>
      <c r="U8" s="5">
        <v>0</v>
      </c>
    </row>
    <row r="9" spans="1:21" x14ac:dyDescent="0.2">
      <c r="A9" s="29">
        <f>A8</f>
        <v>44036</v>
      </c>
      <c r="B9" s="3" t="s">
        <v>375</v>
      </c>
      <c r="C9" s="3" t="s">
        <v>376</v>
      </c>
      <c r="D9" s="3" t="s">
        <v>377</v>
      </c>
      <c r="E9" s="3" t="s">
        <v>378</v>
      </c>
      <c r="F9" s="3" t="s">
        <v>379</v>
      </c>
      <c r="G9" s="30">
        <v>21683</v>
      </c>
      <c r="H9" s="3" t="s">
        <v>380</v>
      </c>
      <c r="I9" s="3" t="s">
        <v>381</v>
      </c>
      <c r="J9" s="10">
        <v>0.42708333333333331</v>
      </c>
      <c r="K9" s="11">
        <v>0.42291666666666666</v>
      </c>
      <c r="L9" s="10">
        <v>0.46875</v>
      </c>
      <c r="M9" s="11">
        <v>0.45277777777777778</v>
      </c>
      <c r="N9" s="3">
        <v>0</v>
      </c>
      <c r="O9" s="3" t="s">
        <v>382</v>
      </c>
      <c r="P9" s="3">
        <v>0</v>
      </c>
      <c r="Q9" s="3">
        <v>0</v>
      </c>
      <c r="R9" s="5">
        <v>0</v>
      </c>
      <c r="S9" s="5">
        <v>0</v>
      </c>
      <c r="T9" s="5">
        <v>0</v>
      </c>
      <c r="U9" s="5">
        <v>0</v>
      </c>
    </row>
    <row r="10" spans="1:21" x14ac:dyDescent="0.2">
      <c r="A10" s="29">
        <f>A9</f>
        <v>44036</v>
      </c>
      <c r="B10" s="3" t="s">
        <v>24</v>
      </c>
      <c r="C10" s="3" t="s">
        <v>383</v>
      </c>
      <c r="D10" s="3" t="str">
        <f>D8</f>
        <v>A320</v>
      </c>
      <c r="E10" s="3" t="s">
        <v>384</v>
      </c>
      <c r="F10" s="3" t="s">
        <v>27</v>
      </c>
      <c r="G10" s="30">
        <v>71500</v>
      </c>
      <c r="H10" s="3" t="s">
        <v>385</v>
      </c>
      <c r="I10" s="3" t="s">
        <v>386</v>
      </c>
      <c r="J10" s="10">
        <v>0.33333333333333331</v>
      </c>
      <c r="K10" s="11">
        <v>0.4465277777777778</v>
      </c>
      <c r="L10" s="10">
        <v>0.35416666666666669</v>
      </c>
      <c r="M10" s="11">
        <v>0.47430555555555554</v>
      </c>
      <c r="N10" s="3" t="s">
        <v>387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13" sqref="K13"/>
    </sheetView>
  </sheetViews>
  <sheetFormatPr defaultRowHeight="15" x14ac:dyDescent="0.25"/>
  <cols>
    <col min="1" max="2" width="9.140625" style="48"/>
    <col min="3" max="3" width="13.42578125" style="48" bestFit="1" customWidth="1"/>
    <col min="4" max="4" width="5.7109375" style="48" bestFit="1" customWidth="1"/>
    <col min="5" max="5" width="14.140625" style="48" bestFit="1" customWidth="1"/>
    <col min="6" max="6" width="12.140625" style="48" bestFit="1" customWidth="1"/>
    <col min="7" max="10" width="9.140625" style="48"/>
    <col min="11" max="11" width="10.85546875" style="48" bestFit="1" customWidth="1"/>
    <col min="12" max="12" width="9.140625" style="48"/>
    <col min="13" max="13" width="10.85546875" style="48" bestFit="1" customWidth="1"/>
    <col min="14" max="15" width="18.42578125" style="48" bestFit="1" customWidth="1"/>
    <col min="16" max="16384" width="9.140625" style="48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44037</v>
      </c>
      <c r="B2" s="5" t="s">
        <v>24</v>
      </c>
      <c r="C2" s="5" t="s">
        <v>26</v>
      </c>
      <c r="D2" s="5" t="s">
        <v>23</v>
      </c>
      <c r="E2" s="5" t="s">
        <v>289</v>
      </c>
      <c r="F2" s="5" t="s">
        <v>27</v>
      </c>
      <c r="G2" s="6">
        <v>71500</v>
      </c>
      <c r="H2" s="5" t="s">
        <v>29</v>
      </c>
      <c r="I2" s="5" t="s">
        <v>31</v>
      </c>
      <c r="J2" s="7">
        <v>0.4548611111111111</v>
      </c>
      <c r="K2" s="8">
        <v>0.4458333333333333</v>
      </c>
      <c r="L2" s="7">
        <v>0.28125</v>
      </c>
      <c r="M2" s="11">
        <v>0.28333333333333333</v>
      </c>
      <c r="N2" s="2" t="s">
        <v>397</v>
      </c>
      <c r="O2" s="9" t="s">
        <v>395</v>
      </c>
      <c r="P2" s="3">
        <v>935</v>
      </c>
      <c r="Q2" s="9">
        <v>728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44037</v>
      </c>
      <c r="B3" s="2" t="s">
        <v>24</v>
      </c>
      <c r="C3" s="2" t="s">
        <v>32</v>
      </c>
      <c r="D3" s="2" t="s">
        <v>23</v>
      </c>
      <c r="E3" s="5" t="s">
        <v>67</v>
      </c>
      <c r="F3" s="2" t="s">
        <v>27</v>
      </c>
      <c r="G3" s="6">
        <v>70000</v>
      </c>
      <c r="H3" s="5" t="s">
        <v>34</v>
      </c>
      <c r="I3" s="5" t="s">
        <v>36</v>
      </c>
      <c r="J3" s="10">
        <v>0.54166666666666663</v>
      </c>
      <c r="K3" s="1">
        <v>0.53194444444444444</v>
      </c>
      <c r="L3" s="10">
        <v>0.39583333333333331</v>
      </c>
      <c r="M3" s="11">
        <f>L3</f>
        <v>0.39583333333333331</v>
      </c>
      <c r="N3" s="2" t="s">
        <v>398</v>
      </c>
      <c r="O3" s="31" t="s">
        <v>396</v>
      </c>
      <c r="P3" s="5">
        <v>1262</v>
      </c>
      <c r="Q3" s="9">
        <v>961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4">
        <v>44037</v>
      </c>
      <c r="B4" s="2" t="s">
        <v>24</v>
      </c>
      <c r="C4" s="2" t="s">
        <v>33</v>
      </c>
      <c r="D4" s="2" t="s">
        <v>23</v>
      </c>
      <c r="E4" s="5" t="s">
        <v>289</v>
      </c>
      <c r="F4" s="2" t="s">
        <v>27</v>
      </c>
      <c r="G4" s="6">
        <v>71500</v>
      </c>
      <c r="H4" s="2" t="s">
        <v>35</v>
      </c>
      <c r="I4" s="2" t="s">
        <v>37</v>
      </c>
      <c r="J4" s="12">
        <v>0.69444444444444453</v>
      </c>
      <c r="K4" s="1">
        <v>0.7090277777777777</v>
      </c>
      <c r="L4" s="12">
        <v>0.48958333333333331</v>
      </c>
      <c r="M4" s="11">
        <v>0.49444444444444446</v>
      </c>
      <c r="N4" s="2" t="s">
        <v>400</v>
      </c>
      <c r="O4" s="2" t="s">
        <v>374</v>
      </c>
      <c r="P4" s="2">
        <v>1119</v>
      </c>
      <c r="Q4" s="9">
        <v>785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44037</v>
      </c>
      <c r="B5" s="2" t="s">
        <v>24</v>
      </c>
      <c r="C5" s="2" t="s">
        <v>38</v>
      </c>
      <c r="D5" s="2" t="s">
        <v>23</v>
      </c>
      <c r="E5" s="5" t="s">
        <v>67</v>
      </c>
      <c r="F5" s="2" t="s">
        <v>27</v>
      </c>
      <c r="G5" s="6">
        <v>70000</v>
      </c>
      <c r="H5" s="2" t="s">
        <v>39</v>
      </c>
      <c r="I5" s="2" t="s">
        <v>40</v>
      </c>
      <c r="J5" s="12">
        <v>0.73958333333333337</v>
      </c>
      <c r="K5" s="8">
        <v>0.72569444444444453</v>
      </c>
      <c r="L5" s="12">
        <v>0.57291666666666663</v>
      </c>
      <c r="M5" s="11">
        <v>0.57152777777777775</v>
      </c>
      <c r="N5" s="2" t="s">
        <v>401</v>
      </c>
      <c r="O5" s="2" t="s">
        <v>399</v>
      </c>
      <c r="P5" s="2">
        <v>744</v>
      </c>
      <c r="Q5" s="2">
        <v>367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4">
        <v>44037</v>
      </c>
      <c r="B6" s="3" t="s">
        <v>24</v>
      </c>
      <c r="C6" s="3" t="s">
        <v>41</v>
      </c>
      <c r="D6" s="3" t="s">
        <v>23</v>
      </c>
      <c r="E6" s="5" t="s">
        <v>289</v>
      </c>
      <c r="F6" s="3" t="s">
        <v>27</v>
      </c>
      <c r="G6" s="6">
        <v>71500</v>
      </c>
      <c r="H6" s="3" t="s">
        <v>42</v>
      </c>
      <c r="I6" s="3" t="s">
        <v>43</v>
      </c>
      <c r="J6" s="10">
        <v>0.94097222222222221</v>
      </c>
      <c r="K6" s="11">
        <v>0.94652777777777775</v>
      </c>
      <c r="L6" s="10">
        <v>0.72222222222222221</v>
      </c>
      <c r="M6" s="11">
        <v>0.74583333333333324</v>
      </c>
      <c r="N6" s="3" t="s">
        <v>403</v>
      </c>
      <c r="O6" s="3" t="s">
        <v>402</v>
      </c>
      <c r="P6" s="3">
        <v>115</v>
      </c>
      <c r="Q6" s="3">
        <v>917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/>
      <c r="B7" s="3"/>
      <c r="C7" s="3"/>
      <c r="D7" s="3"/>
      <c r="E7" s="5"/>
      <c r="F7" s="3"/>
      <c r="G7" s="6"/>
      <c r="H7" s="3"/>
      <c r="I7" s="3"/>
      <c r="J7" s="10"/>
      <c r="K7" s="11"/>
      <c r="L7" s="10"/>
      <c r="M7" s="11"/>
      <c r="N7" s="3"/>
      <c r="O7" s="3"/>
      <c r="P7" s="3"/>
      <c r="Q7" s="3"/>
      <c r="R7" s="3"/>
      <c r="S7" s="3"/>
      <c r="T7" s="3"/>
      <c r="U7" s="3"/>
    </row>
    <row r="8" spans="1:21" x14ac:dyDescent="0.25">
      <c r="A8" s="29"/>
      <c r="B8" s="3"/>
      <c r="C8" s="3"/>
      <c r="D8" s="3"/>
      <c r="E8" s="3"/>
      <c r="F8" s="3"/>
      <c r="G8" s="30"/>
      <c r="H8" s="3"/>
      <c r="I8" s="3"/>
      <c r="J8" s="3"/>
      <c r="K8" s="3"/>
      <c r="L8" s="11"/>
      <c r="M8" s="11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opLeftCell="C1" workbookViewId="0">
      <selection activeCell="L6" sqref="L6"/>
    </sheetView>
  </sheetViews>
  <sheetFormatPr defaultRowHeight="12.75" x14ac:dyDescent="0.2"/>
  <cols>
    <col min="1" max="1" width="9.140625" style="3"/>
    <col min="2" max="2" width="12.7109375" style="3" bestFit="1" customWidth="1"/>
    <col min="3" max="3" width="15.85546875" style="3" customWidth="1"/>
    <col min="4" max="5" width="9.140625" style="3"/>
    <col min="6" max="6" width="12.140625" style="3" bestFit="1" customWidth="1"/>
    <col min="7" max="9" width="9.140625" style="3"/>
    <col min="10" max="10" width="11" style="3" bestFit="1" customWidth="1"/>
    <col min="11" max="11" width="10.85546875" style="3" bestFit="1" customWidth="1"/>
    <col min="12" max="12" width="11" style="3" bestFit="1" customWidth="1"/>
    <col min="13" max="13" width="9.140625" style="3"/>
    <col min="14" max="15" width="18.42578125" style="3" bestFit="1" customWidth="1"/>
    <col min="16" max="16384" width="9.140625" style="3"/>
  </cols>
  <sheetData>
    <row r="1" spans="1:22" s="15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2" x14ac:dyDescent="0.2">
      <c r="A2" s="4">
        <v>44038</v>
      </c>
      <c r="B2" s="20" t="s">
        <v>24</v>
      </c>
      <c r="C2" s="20" t="s">
        <v>49</v>
      </c>
      <c r="D2" s="20" t="s">
        <v>23</v>
      </c>
      <c r="E2" s="20" t="s">
        <v>67</v>
      </c>
      <c r="F2" s="20" t="s">
        <v>27</v>
      </c>
      <c r="G2" s="21">
        <v>70000</v>
      </c>
      <c r="H2" s="20" t="s">
        <v>56</v>
      </c>
      <c r="I2" s="20" t="s">
        <v>57</v>
      </c>
      <c r="J2" s="26">
        <v>0.47569444444444442</v>
      </c>
      <c r="K2" s="27">
        <v>0.45833333333333331</v>
      </c>
      <c r="L2" s="26">
        <v>0.27430555555555552</v>
      </c>
      <c r="M2" s="27">
        <v>0.27499999999999997</v>
      </c>
      <c r="N2" s="27" t="s">
        <v>72</v>
      </c>
      <c r="O2" s="27" t="s">
        <v>404</v>
      </c>
      <c r="P2" s="24">
        <v>825</v>
      </c>
      <c r="Q2" s="24">
        <v>700</v>
      </c>
      <c r="R2" s="20">
        <v>0</v>
      </c>
      <c r="S2" s="20">
        <v>0</v>
      </c>
      <c r="T2" s="20">
        <v>0</v>
      </c>
      <c r="U2" s="20">
        <v>0</v>
      </c>
      <c r="V2" s="64"/>
    </row>
    <row r="3" spans="1:22" x14ac:dyDescent="0.2">
      <c r="A3" s="4">
        <v>44038</v>
      </c>
      <c r="B3" s="20" t="s">
        <v>24</v>
      </c>
      <c r="C3" s="2" t="s">
        <v>50</v>
      </c>
      <c r="D3" s="20" t="s">
        <v>23</v>
      </c>
      <c r="E3" s="20" t="s">
        <v>67</v>
      </c>
      <c r="F3" s="20" t="s">
        <v>27</v>
      </c>
      <c r="G3" s="21">
        <v>70000</v>
      </c>
      <c r="H3" s="2" t="s">
        <v>58</v>
      </c>
      <c r="I3" s="2" t="s">
        <v>59</v>
      </c>
      <c r="J3" s="22">
        <v>0.72569444444444453</v>
      </c>
      <c r="K3" s="23">
        <v>0.7284722222222223</v>
      </c>
      <c r="L3" s="22">
        <v>0.5</v>
      </c>
      <c r="M3" s="23">
        <v>0.50347222222222221</v>
      </c>
      <c r="N3" s="23" t="s">
        <v>407</v>
      </c>
      <c r="O3" s="24" t="s">
        <v>405</v>
      </c>
      <c r="P3" s="20">
        <v>969</v>
      </c>
      <c r="Q3" s="24">
        <v>1287</v>
      </c>
      <c r="R3" s="2">
        <v>0</v>
      </c>
      <c r="S3" s="2">
        <v>0</v>
      </c>
      <c r="T3" s="2">
        <v>0</v>
      </c>
      <c r="U3" s="2">
        <v>0</v>
      </c>
      <c r="V3" s="64"/>
    </row>
    <row r="4" spans="1:22" x14ac:dyDescent="0.2">
      <c r="A4" s="4">
        <v>44038</v>
      </c>
      <c r="B4" s="20" t="s">
        <v>24</v>
      </c>
      <c r="C4" s="16" t="s">
        <v>51</v>
      </c>
      <c r="D4" s="20" t="s">
        <v>23</v>
      </c>
      <c r="E4" s="23" t="s">
        <v>289</v>
      </c>
      <c r="F4" s="20" t="s">
        <v>27</v>
      </c>
      <c r="G4" s="21">
        <v>71500</v>
      </c>
      <c r="H4" s="20" t="s">
        <v>60</v>
      </c>
      <c r="I4" s="16" t="s">
        <v>61</v>
      </c>
      <c r="J4" s="17">
        <v>0.75</v>
      </c>
      <c r="K4" s="1">
        <v>0.74930555555555556</v>
      </c>
      <c r="L4" s="17">
        <v>0.51388888888888895</v>
      </c>
      <c r="M4" s="18">
        <v>0.5180555555555556</v>
      </c>
      <c r="N4" s="2" t="s">
        <v>180</v>
      </c>
      <c r="O4" s="19" t="s">
        <v>406</v>
      </c>
      <c r="P4" s="19">
        <v>1930</v>
      </c>
      <c r="Q4" s="19">
        <v>1459</v>
      </c>
      <c r="R4" s="20">
        <v>0</v>
      </c>
      <c r="S4" s="20">
        <v>0</v>
      </c>
      <c r="T4" s="20">
        <v>0</v>
      </c>
      <c r="U4" s="20">
        <v>0</v>
      </c>
      <c r="V4" s="64"/>
    </row>
    <row r="5" spans="1:22" x14ac:dyDescent="0.2">
      <c r="A5" s="4">
        <v>44038</v>
      </c>
      <c r="B5" s="20" t="s">
        <v>24</v>
      </c>
      <c r="C5" s="23" t="s">
        <v>52</v>
      </c>
      <c r="D5" s="20" t="s">
        <v>23</v>
      </c>
      <c r="E5" s="23" t="s">
        <v>289</v>
      </c>
      <c r="F5" s="20" t="s">
        <v>27</v>
      </c>
      <c r="G5" s="21">
        <v>71500</v>
      </c>
      <c r="H5" s="23" t="s">
        <v>168</v>
      </c>
      <c r="I5" s="23" t="s">
        <v>63</v>
      </c>
      <c r="J5" s="22">
        <v>0.9375</v>
      </c>
      <c r="K5" s="23">
        <v>0.92569444444444438</v>
      </c>
      <c r="L5" s="22">
        <v>0.74652777777777779</v>
      </c>
      <c r="M5" s="23">
        <v>0.75902777777777775</v>
      </c>
      <c r="N5" s="20" t="s">
        <v>410</v>
      </c>
      <c r="O5" s="20" t="s">
        <v>408</v>
      </c>
      <c r="P5" s="20">
        <v>1120</v>
      </c>
      <c r="Q5" s="20">
        <v>792</v>
      </c>
      <c r="R5" s="20">
        <v>0</v>
      </c>
      <c r="S5" s="20">
        <v>0</v>
      </c>
      <c r="T5" s="2">
        <v>0</v>
      </c>
      <c r="U5" s="2">
        <v>0</v>
      </c>
      <c r="V5" s="64"/>
    </row>
    <row r="6" spans="1:22" x14ac:dyDescent="0.2">
      <c r="A6" s="4">
        <v>44038</v>
      </c>
      <c r="B6" s="20" t="s">
        <v>24</v>
      </c>
      <c r="C6" s="64" t="s">
        <v>53</v>
      </c>
      <c r="D6" s="20" t="s">
        <v>23</v>
      </c>
      <c r="E6" s="64" t="s">
        <v>67</v>
      </c>
      <c r="F6" s="20" t="s">
        <v>27</v>
      </c>
      <c r="G6" s="21">
        <v>70000</v>
      </c>
      <c r="H6" s="64" t="s">
        <v>64</v>
      </c>
      <c r="I6" s="64" t="s">
        <v>65</v>
      </c>
      <c r="J6" s="66">
        <v>0.94097222222222221</v>
      </c>
      <c r="K6" s="65">
        <v>0.93125000000000002</v>
      </c>
      <c r="L6" s="66">
        <v>0.77083333333333337</v>
      </c>
      <c r="M6" s="65">
        <v>0.78611111111111109</v>
      </c>
      <c r="N6" s="64" t="s">
        <v>411</v>
      </c>
      <c r="O6" s="64" t="s">
        <v>409</v>
      </c>
      <c r="P6" s="64">
        <v>511</v>
      </c>
      <c r="Q6" s="64">
        <v>747</v>
      </c>
      <c r="R6" s="64">
        <v>0</v>
      </c>
      <c r="S6" s="64">
        <v>0</v>
      </c>
      <c r="T6" s="64">
        <v>0</v>
      </c>
      <c r="U6" s="64">
        <v>0</v>
      </c>
      <c r="V6" s="23"/>
    </row>
    <row r="7" spans="1:22" x14ac:dyDescent="0.2">
      <c r="A7" s="4"/>
      <c r="B7" s="20"/>
      <c r="C7" s="64"/>
      <c r="D7" s="20"/>
      <c r="E7" s="64"/>
      <c r="F7" s="20"/>
      <c r="G7" s="21"/>
      <c r="H7" s="64"/>
      <c r="I7" s="64"/>
      <c r="J7" s="66"/>
      <c r="K7" s="65"/>
      <c r="L7" s="66"/>
      <c r="M7" s="65"/>
      <c r="N7" s="64"/>
      <c r="O7" s="64"/>
      <c r="P7" s="64"/>
      <c r="Q7" s="64"/>
      <c r="R7" s="64"/>
      <c r="S7" s="64"/>
      <c r="T7" s="64"/>
      <c r="U7" s="64"/>
      <c r="V7" s="64"/>
    </row>
    <row r="8" spans="1:22" x14ac:dyDescent="0.2">
      <c r="A8" s="29"/>
      <c r="J8" s="10"/>
      <c r="K8" s="11"/>
      <c r="L8" s="10"/>
      <c r="M8" s="1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C1" workbookViewId="0">
      <selection activeCell="P6" sqref="P6"/>
    </sheetView>
  </sheetViews>
  <sheetFormatPr defaultRowHeight="15" x14ac:dyDescent="0.25"/>
  <cols>
    <col min="1" max="1" width="7.85546875" style="25" bestFit="1" customWidth="1"/>
    <col min="2" max="2" width="9.140625" style="25" bestFit="1" customWidth="1"/>
    <col min="3" max="3" width="13.5703125" style="25" bestFit="1" customWidth="1"/>
    <col min="4" max="4" width="5.7109375" style="25" bestFit="1" customWidth="1"/>
    <col min="5" max="5" width="14.5703125" style="25" bestFit="1" customWidth="1"/>
    <col min="6" max="6" width="12.140625" style="25" bestFit="1" customWidth="1"/>
    <col min="7" max="9" width="9.7109375" style="25" bestFit="1" customWidth="1"/>
    <col min="10" max="10" width="11" style="25" bestFit="1" customWidth="1"/>
    <col min="11" max="11" width="10.85546875" style="25" bestFit="1" customWidth="1"/>
    <col min="12" max="12" width="11" style="25" bestFit="1" customWidth="1"/>
    <col min="13" max="13" width="10.85546875" style="25" bestFit="1" customWidth="1"/>
    <col min="14" max="15" width="18.42578125" style="25" bestFit="1" customWidth="1"/>
    <col min="16" max="17" width="10.28515625" style="25" bestFit="1" customWidth="1"/>
    <col min="18" max="16384" width="9.140625" style="25"/>
  </cols>
  <sheetData>
    <row r="1" spans="1:2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s="34" customFormat="1" ht="12.75" x14ac:dyDescent="0.2">
      <c r="A2" s="35">
        <v>44039</v>
      </c>
      <c r="B2" s="36" t="s">
        <v>24</v>
      </c>
      <c r="C2" s="3" t="s">
        <v>48</v>
      </c>
      <c r="D2" s="14" t="s">
        <v>23</v>
      </c>
      <c r="E2" s="3" t="s">
        <v>317</v>
      </c>
      <c r="F2" s="3" t="s">
        <v>27</v>
      </c>
      <c r="G2" s="30">
        <v>71500</v>
      </c>
      <c r="H2" s="3" t="s">
        <v>54</v>
      </c>
      <c r="I2" s="3" t="s">
        <v>55</v>
      </c>
      <c r="J2" s="11">
        <v>0.46180555555555558</v>
      </c>
      <c r="K2" s="11">
        <v>0.44861111111111113</v>
      </c>
      <c r="L2" s="11">
        <v>0.26041666666666669</v>
      </c>
      <c r="M2" s="11">
        <v>0.26180555555555557</v>
      </c>
      <c r="N2" s="11" t="s">
        <v>412</v>
      </c>
      <c r="O2" s="41" t="s">
        <v>413</v>
      </c>
      <c r="P2" s="41">
        <v>901</v>
      </c>
      <c r="Q2" s="41">
        <v>928</v>
      </c>
      <c r="R2" s="36">
        <v>0</v>
      </c>
      <c r="S2" s="36">
        <v>0</v>
      </c>
      <c r="T2" s="36">
        <v>0</v>
      </c>
      <c r="U2" s="36">
        <v>0</v>
      </c>
    </row>
    <row r="3" spans="1:21" s="34" customFormat="1" ht="12.75" x14ac:dyDescent="0.2">
      <c r="A3" s="35">
        <v>44039</v>
      </c>
      <c r="B3" s="36" t="s">
        <v>24</v>
      </c>
      <c r="C3" s="3" t="s">
        <v>50</v>
      </c>
      <c r="D3" s="14" t="s">
        <v>23</v>
      </c>
      <c r="E3" s="3" t="s">
        <v>238</v>
      </c>
      <c r="F3" s="3" t="s">
        <v>27</v>
      </c>
      <c r="G3" s="30">
        <v>70000</v>
      </c>
      <c r="H3" s="3" t="s">
        <v>58</v>
      </c>
      <c r="I3" s="3" t="s">
        <v>59</v>
      </c>
      <c r="J3" s="11">
        <v>0.72569444444444453</v>
      </c>
      <c r="K3" s="11">
        <v>0.73472222222222217</v>
      </c>
      <c r="L3" s="11">
        <v>0.5</v>
      </c>
      <c r="M3" s="11">
        <v>0.50555555555555554</v>
      </c>
      <c r="N3" s="32" t="s">
        <v>416</v>
      </c>
      <c r="O3" s="41" t="s">
        <v>414</v>
      </c>
      <c r="P3" s="41">
        <v>572</v>
      </c>
      <c r="Q3" s="41">
        <v>841</v>
      </c>
      <c r="R3" s="36">
        <v>0</v>
      </c>
      <c r="S3" s="36">
        <v>0</v>
      </c>
      <c r="T3" s="36">
        <v>0</v>
      </c>
      <c r="U3" s="36">
        <v>0</v>
      </c>
    </row>
    <row r="4" spans="1:21" customFormat="1" x14ac:dyDescent="0.25">
      <c r="A4" s="35">
        <v>44039</v>
      </c>
      <c r="B4" s="36" t="s">
        <v>24</v>
      </c>
      <c r="C4" s="3" t="s">
        <v>134</v>
      </c>
      <c r="D4" s="14" t="s">
        <v>23</v>
      </c>
      <c r="E4" s="20" t="s">
        <v>317</v>
      </c>
      <c r="F4" s="3" t="s">
        <v>27</v>
      </c>
      <c r="G4" s="30">
        <v>71500</v>
      </c>
      <c r="H4" s="3" t="s">
        <v>135</v>
      </c>
      <c r="I4" s="3" t="s">
        <v>136</v>
      </c>
      <c r="J4" s="11">
        <v>0.73263888888888884</v>
      </c>
      <c r="K4" s="11">
        <v>0.72916666666666663</v>
      </c>
      <c r="L4" s="11">
        <v>0.51736111111111105</v>
      </c>
      <c r="M4" s="11">
        <v>0.53541666666666665</v>
      </c>
      <c r="N4" s="32" t="s">
        <v>237</v>
      </c>
      <c r="O4" s="41" t="s">
        <v>159</v>
      </c>
      <c r="P4" s="36">
        <v>454</v>
      </c>
      <c r="Q4" s="41">
        <v>840</v>
      </c>
      <c r="R4" s="36">
        <v>0</v>
      </c>
      <c r="S4" s="36">
        <v>0</v>
      </c>
      <c r="T4" s="36">
        <v>0</v>
      </c>
      <c r="U4" s="36">
        <v>0</v>
      </c>
    </row>
    <row r="5" spans="1:21" customFormat="1" x14ac:dyDescent="0.25">
      <c r="A5" s="35">
        <v>44039</v>
      </c>
      <c r="B5" s="36" t="s">
        <v>24</v>
      </c>
      <c r="C5" s="36" t="s">
        <v>66</v>
      </c>
      <c r="D5" s="36" t="s">
        <v>23</v>
      </c>
      <c r="E5" s="3" t="s">
        <v>238</v>
      </c>
      <c r="F5" s="36" t="s">
        <v>27</v>
      </c>
      <c r="G5" s="30">
        <v>70000</v>
      </c>
      <c r="H5" s="36" t="s">
        <v>69</v>
      </c>
      <c r="I5" s="36" t="s">
        <v>68</v>
      </c>
      <c r="J5" s="38">
        <v>0.89930555555555547</v>
      </c>
      <c r="K5" s="39">
        <v>0.89861111111111114</v>
      </c>
      <c r="L5" s="38">
        <v>0.75</v>
      </c>
      <c r="M5" s="40">
        <v>0.76597222222222217</v>
      </c>
      <c r="N5" s="32" t="s">
        <v>422</v>
      </c>
      <c r="O5" s="41" t="s">
        <v>415</v>
      </c>
      <c r="P5" s="36">
        <v>209</v>
      </c>
      <c r="Q5" s="41">
        <v>536</v>
      </c>
      <c r="R5" s="36">
        <v>0</v>
      </c>
      <c r="S5" s="36">
        <v>0</v>
      </c>
      <c r="T5" s="36">
        <v>0</v>
      </c>
      <c r="U5" s="36">
        <v>0</v>
      </c>
    </row>
    <row r="6" spans="1:21" customFormat="1" x14ac:dyDescent="0.25">
      <c r="A6" s="35">
        <v>44039</v>
      </c>
      <c r="B6" s="36" t="s">
        <v>24</v>
      </c>
      <c r="C6" s="32" t="s">
        <v>53</v>
      </c>
      <c r="D6" s="36" t="s">
        <v>23</v>
      </c>
      <c r="E6" s="20" t="s">
        <v>317</v>
      </c>
      <c r="F6" s="36" t="s">
        <v>27</v>
      </c>
      <c r="G6" s="30">
        <v>71500</v>
      </c>
      <c r="H6" s="32" t="s">
        <v>64</v>
      </c>
      <c r="I6" s="32" t="s">
        <v>65</v>
      </c>
      <c r="J6" s="42">
        <v>0.94097222222222221</v>
      </c>
      <c r="K6" s="39">
        <v>0.93055555555555547</v>
      </c>
      <c r="L6" s="42">
        <v>0.77083333333333337</v>
      </c>
      <c r="M6" s="39">
        <v>0.77638888888888891</v>
      </c>
      <c r="N6" s="32">
        <v>52</v>
      </c>
      <c r="O6" s="32" t="s">
        <v>320</v>
      </c>
      <c r="P6" s="32">
        <v>298</v>
      </c>
      <c r="Q6" s="41">
        <v>469</v>
      </c>
      <c r="R6" s="32">
        <v>0</v>
      </c>
      <c r="S6" s="32">
        <v>0</v>
      </c>
      <c r="T6" s="32">
        <v>0</v>
      </c>
      <c r="U6" s="32">
        <v>0</v>
      </c>
    </row>
    <row r="7" spans="1:21" customFormat="1" x14ac:dyDescent="0.25">
      <c r="A7" s="35">
        <v>44039</v>
      </c>
      <c r="B7" s="2" t="s">
        <v>78</v>
      </c>
      <c r="C7" s="2" t="s">
        <v>418</v>
      </c>
      <c r="D7" s="2" t="s">
        <v>79</v>
      </c>
      <c r="E7" s="5" t="s">
        <v>80</v>
      </c>
      <c r="F7" s="2" t="s">
        <v>145</v>
      </c>
      <c r="G7" s="6">
        <v>2</v>
      </c>
      <c r="H7" s="5" t="s">
        <v>80</v>
      </c>
      <c r="I7" s="5" t="s">
        <v>80</v>
      </c>
      <c r="J7" s="28">
        <v>0.58333333333333337</v>
      </c>
      <c r="K7" s="8">
        <v>0.58680555555555558</v>
      </c>
      <c r="L7" s="8">
        <v>0.60069444444444442</v>
      </c>
      <c r="M7" s="8">
        <v>0.6020833333333333</v>
      </c>
      <c r="N7" s="71" t="s">
        <v>226</v>
      </c>
      <c r="O7" s="72"/>
      <c r="P7" s="72"/>
      <c r="Q7" s="72"/>
      <c r="R7" s="32">
        <v>0</v>
      </c>
      <c r="S7" s="32">
        <v>0</v>
      </c>
      <c r="T7" s="32">
        <v>0</v>
      </c>
      <c r="U7" s="32">
        <v>0</v>
      </c>
    </row>
    <row r="8" spans="1:21" x14ac:dyDescent="0.25">
      <c r="A8" s="35">
        <v>44039</v>
      </c>
      <c r="B8" s="2" t="s">
        <v>417</v>
      </c>
      <c r="C8" s="2" t="s">
        <v>419</v>
      </c>
      <c r="D8" s="2" t="s">
        <v>420</v>
      </c>
      <c r="E8" s="5" t="s">
        <v>421</v>
      </c>
      <c r="F8" s="2" t="s">
        <v>145</v>
      </c>
      <c r="G8" s="6">
        <v>1</v>
      </c>
      <c r="H8" s="5" t="s">
        <v>421</v>
      </c>
      <c r="I8" s="5" t="s">
        <v>421</v>
      </c>
      <c r="J8" s="28">
        <v>0.70833333333333337</v>
      </c>
      <c r="K8" s="8">
        <v>0.72222222222222221</v>
      </c>
      <c r="L8" s="8">
        <v>0.73958333333333337</v>
      </c>
      <c r="M8" s="8">
        <v>0.7402777777777777</v>
      </c>
      <c r="N8" s="71" t="s">
        <v>226</v>
      </c>
      <c r="O8" s="72"/>
      <c r="P8" s="72"/>
      <c r="Q8" s="72"/>
      <c r="R8" s="32">
        <v>0</v>
      </c>
      <c r="S8" s="32">
        <v>0</v>
      </c>
      <c r="T8" s="32">
        <v>0</v>
      </c>
      <c r="U8" s="32">
        <v>0</v>
      </c>
    </row>
    <row r="9" spans="1:21" x14ac:dyDescent="0.25">
      <c r="J9" s="53"/>
      <c r="K9" s="53"/>
      <c r="L9" s="53"/>
      <c r="M9" s="53"/>
      <c r="N9" s="48"/>
      <c r="O9" s="48"/>
      <c r="P9" s="48"/>
      <c r="Q9" s="48"/>
    </row>
  </sheetData>
  <mergeCells count="2">
    <mergeCell ref="N7:Q7"/>
    <mergeCell ref="N8:Q8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12" sqref="C12"/>
    </sheetView>
  </sheetViews>
  <sheetFormatPr defaultRowHeight="15" x14ac:dyDescent="0.25"/>
  <cols>
    <col min="3" max="3" width="13.5703125" bestFit="1" customWidth="1"/>
    <col min="6" max="6" width="18.57031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3" customFormat="1" ht="12.75" x14ac:dyDescent="0.2">
      <c r="A2" s="4">
        <v>44040</v>
      </c>
      <c r="B2" s="5" t="s">
        <v>24</v>
      </c>
      <c r="C2" s="5" t="s">
        <v>26</v>
      </c>
      <c r="D2" s="5" t="s">
        <v>23</v>
      </c>
      <c r="E2" s="5" t="s">
        <v>67</v>
      </c>
      <c r="F2" s="5" t="s">
        <v>27</v>
      </c>
      <c r="G2" s="6">
        <v>70000</v>
      </c>
      <c r="H2" s="5" t="s">
        <v>29</v>
      </c>
      <c r="I2" s="5" t="s">
        <v>31</v>
      </c>
      <c r="J2" s="7">
        <v>0.4548611111111111</v>
      </c>
      <c r="K2" s="11">
        <v>0.44791666666666669</v>
      </c>
      <c r="L2" s="7">
        <v>0.28125</v>
      </c>
      <c r="M2" s="11">
        <v>0.28472222222222221</v>
      </c>
      <c r="N2" s="3" t="s">
        <v>427</v>
      </c>
      <c r="O2" s="3" t="s">
        <v>424</v>
      </c>
      <c r="P2" s="3">
        <v>619</v>
      </c>
      <c r="Q2" s="3">
        <v>714</v>
      </c>
      <c r="R2" s="5">
        <v>0</v>
      </c>
      <c r="S2" s="5">
        <v>0</v>
      </c>
      <c r="T2" s="5">
        <v>0</v>
      </c>
      <c r="U2" s="5">
        <v>0</v>
      </c>
    </row>
    <row r="3" spans="1:21" s="3" customFormat="1" ht="12.75" x14ac:dyDescent="0.2">
      <c r="A3" s="4">
        <v>44040</v>
      </c>
      <c r="B3" s="5" t="s">
        <v>198</v>
      </c>
      <c r="C3" s="5" t="s">
        <v>199</v>
      </c>
      <c r="D3" s="5" t="s">
        <v>23</v>
      </c>
      <c r="E3" s="5" t="s">
        <v>208</v>
      </c>
      <c r="F3" s="5" t="s">
        <v>200</v>
      </c>
      <c r="G3" s="6">
        <v>77000</v>
      </c>
      <c r="H3" s="5" t="s">
        <v>201</v>
      </c>
      <c r="I3" s="5" t="s">
        <v>197</v>
      </c>
      <c r="J3" s="7">
        <v>0.3298611111111111</v>
      </c>
      <c r="K3" s="11">
        <v>0.3215277777777778</v>
      </c>
      <c r="L3" s="7">
        <v>0.37152777777777773</v>
      </c>
      <c r="M3" s="11">
        <v>0.3756944444444445</v>
      </c>
      <c r="N3" s="3" t="s">
        <v>423</v>
      </c>
      <c r="O3" s="3" t="s">
        <v>425</v>
      </c>
      <c r="P3" s="3">
        <v>2487</v>
      </c>
      <c r="Q3" s="3">
        <v>812</v>
      </c>
      <c r="R3" s="5">
        <v>0</v>
      </c>
      <c r="S3" s="5">
        <v>0</v>
      </c>
      <c r="T3" s="5">
        <v>0</v>
      </c>
      <c r="U3" s="5">
        <v>0</v>
      </c>
    </row>
    <row r="4" spans="1:21" s="3" customFormat="1" ht="12.75" x14ac:dyDescent="0.2">
      <c r="A4" s="4">
        <v>44040</v>
      </c>
      <c r="B4" s="2" t="s">
        <v>24</v>
      </c>
      <c r="C4" s="2" t="s">
        <v>32</v>
      </c>
      <c r="D4" s="2" t="s">
        <v>23</v>
      </c>
      <c r="E4" s="5" t="s">
        <v>289</v>
      </c>
      <c r="F4" s="2" t="s">
        <v>27</v>
      </c>
      <c r="G4" s="6">
        <v>71500</v>
      </c>
      <c r="H4" s="5" t="s">
        <v>34</v>
      </c>
      <c r="I4" s="5" t="s">
        <v>36</v>
      </c>
      <c r="J4" s="10">
        <v>0.54166666666666663</v>
      </c>
      <c r="K4" s="11">
        <v>0.53819444444444442</v>
      </c>
      <c r="L4" s="10">
        <v>0.39583333333333331</v>
      </c>
      <c r="M4" s="11">
        <v>0.40277777777777773</v>
      </c>
      <c r="N4" s="3" t="s">
        <v>428</v>
      </c>
      <c r="O4" s="3" t="s">
        <v>426</v>
      </c>
      <c r="P4" s="3">
        <v>712</v>
      </c>
      <c r="Q4" s="3">
        <v>645</v>
      </c>
      <c r="R4" s="2">
        <v>0</v>
      </c>
      <c r="S4" s="2">
        <v>0</v>
      </c>
      <c r="T4" s="2">
        <v>0</v>
      </c>
      <c r="U4" s="2">
        <v>0</v>
      </c>
    </row>
    <row r="5" spans="1:21" s="3" customFormat="1" ht="12.75" x14ac:dyDescent="0.2">
      <c r="A5" s="4">
        <v>44040</v>
      </c>
      <c r="B5" s="2" t="s">
        <v>24</v>
      </c>
      <c r="C5" s="2" t="s">
        <v>38</v>
      </c>
      <c r="D5" s="2" t="s">
        <v>23</v>
      </c>
      <c r="E5" s="5" t="s">
        <v>67</v>
      </c>
      <c r="F5" s="2" t="s">
        <v>27</v>
      </c>
      <c r="G5" s="6">
        <v>70000</v>
      </c>
      <c r="H5" s="2" t="s">
        <v>39</v>
      </c>
      <c r="I5" s="2" t="s">
        <v>40</v>
      </c>
      <c r="J5" s="12">
        <v>0.73958333333333337</v>
      </c>
      <c r="K5" s="11">
        <v>0.72430555555555554</v>
      </c>
      <c r="L5" s="12">
        <v>0.57291666666666663</v>
      </c>
      <c r="M5" s="11">
        <v>0.57361111111111118</v>
      </c>
      <c r="N5" s="3" t="s">
        <v>429</v>
      </c>
      <c r="O5" s="3" t="s">
        <v>431</v>
      </c>
      <c r="P5" s="3">
        <v>580</v>
      </c>
      <c r="Q5" s="3">
        <v>303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ht="12.75" x14ac:dyDescent="0.2">
      <c r="A6" s="4">
        <v>44040</v>
      </c>
      <c r="B6" s="3" t="s">
        <v>24</v>
      </c>
      <c r="C6" s="3" t="s">
        <v>46</v>
      </c>
      <c r="D6" s="3" t="s">
        <v>23</v>
      </c>
      <c r="E6" s="5" t="s">
        <v>67</v>
      </c>
      <c r="F6" s="3" t="s">
        <v>27</v>
      </c>
      <c r="G6" s="6">
        <v>70000</v>
      </c>
      <c r="H6" s="3" t="s">
        <v>44</v>
      </c>
      <c r="I6" s="3" t="s">
        <v>45</v>
      </c>
      <c r="J6" s="10">
        <v>0.95486111111111116</v>
      </c>
      <c r="K6" s="11">
        <v>0.95416666666666661</v>
      </c>
      <c r="L6" s="10">
        <v>0.77777777777777779</v>
      </c>
      <c r="M6" s="11">
        <v>0.77986111111111101</v>
      </c>
      <c r="N6" s="3" t="s">
        <v>430</v>
      </c>
      <c r="O6" s="3" t="s">
        <v>432</v>
      </c>
      <c r="P6" s="3">
        <v>1276</v>
      </c>
      <c r="Q6" s="3">
        <v>601</v>
      </c>
      <c r="R6" s="3">
        <v>0</v>
      </c>
      <c r="S6" s="3">
        <v>0</v>
      </c>
      <c r="T6" s="3">
        <v>0</v>
      </c>
      <c r="U6" s="3">
        <v>0</v>
      </c>
    </row>
    <row r="7" spans="1:21" s="3" customFormat="1" ht="12.75" x14ac:dyDescent="0.2">
      <c r="A7" s="4"/>
      <c r="E7" s="5"/>
      <c r="G7" s="6"/>
      <c r="J7" s="10"/>
      <c r="K7" s="11"/>
      <c r="L7" s="10"/>
      <c r="M7" s="11"/>
    </row>
    <row r="8" spans="1:21" s="3" customFormat="1" ht="12.75" x14ac:dyDescent="0.2">
      <c r="A8" s="4"/>
      <c r="E8" s="5"/>
      <c r="G8" s="6"/>
      <c r="J8" s="10"/>
      <c r="K8" s="11"/>
      <c r="L8" s="10"/>
      <c r="M8" s="11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N37" sqref="N37"/>
    </sheetView>
  </sheetViews>
  <sheetFormatPr defaultRowHeight="12.75" x14ac:dyDescent="0.2"/>
  <cols>
    <col min="1" max="1" width="9.140625" style="34" bestFit="1" customWidth="1"/>
    <col min="2" max="2" width="13.85546875" style="34" customWidth="1"/>
    <col min="3" max="3" width="13.5703125" style="34" bestFit="1" customWidth="1"/>
    <col min="4" max="4" width="5.7109375" style="34" bestFit="1" customWidth="1"/>
    <col min="5" max="5" width="7.85546875" style="34" bestFit="1" customWidth="1"/>
    <col min="6" max="6" width="12.140625" style="34" bestFit="1" customWidth="1"/>
    <col min="7" max="7" width="9.28515625" style="34" bestFit="1" customWidth="1"/>
    <col min="8" max="9" width="9.140625" style="34"/>
    <col min="10" max="10" width="11.140625" style="34" bestFit="1" customWidth="1"/>
    <col min="11" max="11" width="11" style="34" bestFit="1" customWidth="1"/>
    <col min="12" max="12" width="11.140625" style="34" bestFit="1" customWidth="1"/>
    <col min="13" max="13" width="11" style="34" bestFit="1" customWidth="1"/>
    <col min="14" max="15" width="18.5703125" style="34" bestFit="1" customWidth="1"/>
    <col min="16" max="21" width="9.28515625" style="34" bestFit="1" customWidth="1"/>
    <col min="22" max="16384" width="9.140625" style="34"/>
  </cols>
  <sheetData>
    <row r="1" spans="1:21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</row>
    <row r="2" spans="1:21" x14ac:dyDescent="0.2">
      <c r="A2" s="58">
        <v>44041</v>
      </c>
      <c r="B2" s="36" t="s">
        <v>24</v>
      </c>
      <c r="C2" s="59" t="s">
        <v>48</v>
      </c>
      <c r="D2" s="59" t="s">
        <v>23</v>
      </c>
      <c r="E2" s="59" t="s">
        <v>67</v>
      </c>
      <c r="F2" s="59" t="s">
        <v>27</v>
      </c>
      <c r="G2" s="61">
        <v>70000</v>
      </c>
      <c r="H2" s="59" t="s">
        <v>54</v>
      </c>
      <c r="I2" s="59" t="s">
        <v>55</v>
      </c>
      <c r="J2" s="62">
        <v>0.46180555555555558</v>
      </c>
      <c r="K2" s="60">
        <v>0.4513888888888889</v>
      </c>
      <c r="L2" s="62">
        <v>0.26041666666666669</v>
      </c>
      <c r="M2" s="60">
        <v>0.25833333333333336</v>
      </c>
      <c r="N2" s="59" t="s">
        <v>436</v>
      </c>
      <c r="O2" s="59" t="s">
        <v>434</v>
      </c>
      <c r="P2" s="59">
        <v>619</v>
      </c>
      <c r="Q2" s="59">
        <v>696</v>
      </c>
      <c r="R2" s="59">
        <v>0</v>
      </c>
      <c r="S2" s="59">
        <v>0</v>
      </c>
      <c r="T2" s="59">
        <v>0</v>
      </c>
      <c r="U2" s="59">
        <v>0</v>
      </c>
    </row>
    <row r="3" spans="1:21" x14ac:dyDescent="0.2">
      <c r="A3" s="58">
        <v>44041</v>
      </c>
      <c r="B3" s="36" t="s">
        <v>24</v>
      </c>
      <c r="C3" s="59" t="s">
        <v>49</v>
      </c>
      <c r="D3" s="59" t="s">
        <v>23</v>
      </c>
      <c r="E3" s="44" t="s">
        <v>289</v>
      </c>
      <c r="F3" s="59" t="s">
        <v>27</v>
      </c>
      <c r="G3" s="61">
        <v>71500</v>
      </c>
      <c r="H3" s="59" t="s">
        <v>56</v>
      </c>
      <c r="I3" s="59" t="s">
        <v>57</v>
      </c>
      <c r="J3" s="62">
        <v>0.47569444444444442</v>
      </c>
      <c r="K3" s="60">
        <v>0.48819444444444443</v>
      </c>
      <c r="L3" s="62">
        <v>0.27430555555555552</v>
      </c>
      <c r="M3" s="60">
        <v>0.27708333333333335</v>
      </c>
      <c r="N3" s="59" t="s">
        <v>437</v>
      </c>
      <c r="O3" s="59" t="s">
        <v>435</v>
      </c>
      <c r="P3" s="59">
        <v>638</v>
      </c>
      <c r="Q3" s="59">
        <v>696</v>
      </c>
      <c r="R3" s="59">
        <v>0</v>
      </c>
      <c r="S3" s="59">
        <v>0</v>
      </c>
      <c r="T3" s="59">
        <v>0</v>
      </c>
      <c r="U3" s="59">
        <v>0</v>
      </c>
    </row>
    <row r="4" spans="1:21" x14ac:dyDescent="0.2">
      <c r="A4" s="58">
        <v>44041</v>
      </c>
      <c r="B4" s="36" t="s">
        <v>24</v>
      </c>
      <c r="C4" s="32" t="s">
        <v>50</v>
      </c>
      <c r="D4" s="59" t="s">
        <v>23</v>
      </c>
      <c r="E4" s="59" t="s">
        <v>67</v>
      </c>
      <c r="F4" s="59" t="s">
        <v>27</v>
      </c>
      <c r="G4" s="61">
        <v>70000</v>
      </c>
      <c r="H4" s="43" t="s">
        <v>58</v>
      </c>
      <c r="I4" s="43" t="s">
        <v>59</v>
      </c>
      <c r="J4" s="42">
        <v>0.72569444444444453</v>
      </c>
      <c r="K4" s="39">
        <v>0.72916666666666663</v>
      </c>
      <c r="L4" s="42">
        <v>0.5</v>
      </c>
      <c r="M4" s="39">
        <v>0.51111111111111118</v>
      </c>
      <c r="N4" s="59" t="s">
        <v>440</v>
      </c>
      <c r="O4" s="47" t="s">
        <v>438</v>
      </c>
      <c r="P4" s="32">
        <v>723</v>
      </c>
      <c r="Q4" s="41">
        <v>1277</v>
      </c>
      <c r="R4" s="32">
        <v>0</v>
      </c>
      <c r="S4" s="32">
        <v>0</v>
      </c>
      <c r="T4" s="32">
        <v>0</v>
      </c>
      <c r="U4" s="32">
        <v>0</v>
      </c>
    </row>
    <row r="5" spans="1:21" x14ac:dyDescent="0.2">
      <c r="A5" s="58">
        <v>44041</v>
      </c>
      <c r="B5" s="36" t="s">
        <v>24</v>
      </c>
      <c r="C5" s="32" t="s">
        <v>51</v>
      </c>
      <c r="D5" s="59" t="s">
        <v>23</v>
      </c>
      <c r="E5" s="59" t="s">
        <v>433</v>
      </c>
      <c r="F5" s="59" t="s">
        <v>27</v>
      </c>
      <c r="G5" s="61">
        <v>71500</v>
      </c>
      <c r="H5" s="32" t="s">
        <v>60</v>
      </c>
      <c r="I5" s="32" t="s">
        <v>61</v>
      </c>
      <c r="J5" s="42">
        <v>0.75</v>
      </c>
      <c r="K5" s="39">
        <v>0.75</v>
      </c>
      <c r="L5" s="42">
        <v>0.51388888888888895</v>
      </c>
      <c r="M5" s="39">
        <v>0.52638888888888891</v>
      </c>
      <c r="N5" s="32" t="s">
        <v>441</v>
      </c>
      <c r="O5" s="32" t="s">
        <v>439</v>
      </c>
      <c r="P5" s="32">
        <v>1407</v>
      </c>
      <c r="Q5" s="41">
        <v>1692</v>
      </c>
      <c r="R5" s="32">
        <v>0</v>
      </c>
      <c r="S5" s="32">
        <v>0</v>
      </c>
      <c r="T5" s="32">
        <v>0</v>
      </c>
      <c r="U5" s="32">
        <v>0</v>
      </c>
    </row>
    <row r="6" spans="1:21" x14ac:dyDescent="0.2">
      <c r="A6" s="58">
        <v>44041</v>
      </c>
      <c r="B6" s="36" t="s">
        <v>24</v>
      </c>
      <c r="C6" s="32" t="s">
        <v>52</v>
      </c>
      <c r="D6" s="59" t="s">
        <v>23</v>
      </c>
      <c r="E6" s="59" t="s">
        <v>67</v>
      </c>
      <c r="F6" s="59" t="s">
        <v>27</v>
      </c>
      <c r="G6" s="61">
        <v>70000</v>
      </c>
      <c r="H6" s="43" t="s">
        <v>62</v>
      </c>
      <c r="I6" s="43" t="s">
        <v>63</v>
      </c>
      <c r="J6" s="42">
        <v>0.9375</v>
      </c>
      <c r="K6" s="39">
        <v>0.93958333333333333</v>
      </c>
      <c r="L6" s="42">
        <v>0.74652777777777779</v>
      </c>
      <c r="M6" s="39">
        <v>0.75902777777777775</v>
      </c>
      <c r="N6" s="59" t="s">
        <v>220</v>
      </c>
      <c r="O6" s="32" t="s">
        <v>442</v>
      </c>
      <c r="P6" s="32">
        <v>953</v>
      </c>
      <c r="Q6" s="32">
        <v>713</v>
      </c>
      <c r="R6" s="32">
        <v>0</v>
      </c>
      <c r="S6" s="32">
        <v>0</v>
      </c>
      <c r="T6" s="32">
        <v>0</v>
      </c>
      <c r="U6" s="32">
        <v>0</v>
      </c>
    </row>
    <row r="7" spans="1:21" x14ac:dyDescent="0.2">
      <c r="A7" s="58">
        <v>44041</v>
      </c>
      <c r="B7" s="36" t="s">
        <v>24</v>
      </c>
      <c r="C7" s="46" t="s">
        <v>53</v>
      </c>
      <c r="D7" s="59" t="s">
        <v>23</v>
      </c>
      <c r="E7" s="59" t="s">
        <v>433</v>
      </c>
      <c r="F7" s="59" t="s">
        <v>27</v>
      </c>
      <c r="G7" s="61">
        <v>71500</v>
      </c>
      <c r="H7" s="43" t="s">
        <v>64</v>
      </c>
      <c r="I7" s="43" t="s">
        <v>65</v>
      </c>
      <c r="J7" s="62">
        <v>0.94097222222222221</v>
      </c>
      <c r="K7" s="60">
        <v>0.9819444444444444</v>
      </c>
      <c r="L7" s="62" t="s">
        <v>101</v>
      </c>
      <c r="M7" s="60">
        <v>0.8305555555555556</v>
      </c>
      <c r="N7" s="59" t="s">
        <v>444</v>
      </c>
      <c r="O7" s="32" t="s">
        <v>443</v>
      </c>
      <c r="P7" s="32">
        <v>486</v>
      </c>
      <c r="Q7" s="32">
        <v>567</v>
      </c>
      <c r="R7" s="32">
        <v>0</v>
      </c>
      <c r="S7" s="32">
        <v>0</v>
      </c>
      <c r="T7" s="32">
        <v>0</v>
      </c>
      <c r="U7" s="32">
        <v>0</v>
      </c>
    </row>
    <row r="8" spans="1:21" x14ac:dyDescent="0.2">
      <c r="A8" s="35"/>
      <c r="B8" s="43"/>
      <c r="C8" s="32"/>
      <c r="D8" s="43"/>
      <c r="E8" s="44"/>
      <c r="F8" s="32"/>
      <c r="G8" s="45"/>
      <c r="H8" s="43"/>
      <c r="I8" s="43"/>
      <c r="J8" s="60"/>
      <c r="K8" s="60"/>
      <c r="L8" s="60"/>
      <c r="M8" s="60"/>
      <c r="N8" s="32"/>
      <c r="O8" s="32"/>
      <c r="P8" s="32"/>
      <c r="Q8" s="32"/>
      <c r="R8" s="32"/>
      <c r="S8" s="32"/>
      <c r="T8" s="32"/>
      <c r="U8" s="32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opLeftCell="C1" workbookViewId="0">
      <selection activeCell="K8" sqref="K8"/>
    </sheetView>
  </sheetViews>
  <sheetFormatPr defaultRowHeight="15" x14ac:dyDescent="0.25"/>
  <cols>
    <col min="1" max="1" width="9.140625" bestFit="1" customWidth="1"/>
    <col min="2" max="2" width="13.28515625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s="34" customFormat="1" ht="12.75" x14ac:dyDescent="0.2">
      <c r="A2" s="58">
        <v>44042</v>
      </c>
      <c r="B2" s="36" t="s">
        <v>24</v>
      </c>
      <c r="C2" s="32" t="s">
        <v>33</v>
      </c>
      <c r="D2" s="59" t="s">
        <v>23</v>
      </c>
      <c r="E2" s="3" t="s">
        <v>67</v>
      </c>
      <c r="F2" s="59" t="s">
        <v>27</v>
      </c>
      <c r="G2" s="61">
        <v>70000</v>
      </c>
      <c r="H2" s="43" t="s">
        <v>119</v>
      </c>
      <c r="I2" s="43" t="s">
        <v>37</v>
      </c>
      <c r="J2" s="42">
        <v>0.69444444444444453</v>
      </c>
      <c r="K2" s="39">
        <v>0.69444444444444453</v>
      </c>
      <c r="L2" s="42">
        <v>0.48958333333333331</v>
      </c>
      <c r="M2" s="39">
        <v>0.50277777777777777</v>
      </c>
      <c r="N2" s="47" t="s">
        <v>192</v>
      </c>
      <c r="O2" s="32">
        <v>74</v>
      </c>
      <c r="P2" s="32">
        <v>1054</v>
      </c>
      <c r="Q2" s="32">
        <v>504</v>
      </c>
      <c r="R2" s="32">
        <v>0</v>
      </c>
      <c r="S2" s="32">
        <v>0</v>
      </c>
      <c r="T2" s="32">
        <v>0</v>
      </c>
      <c r="U2" s="32">
        <v>0</v>
      </c>
    </row>
    <row r="3" spans="1:22" x14ac:dyDescent="0.25">
      <c r="A3" s="58">
        <v>44042</v>
      </c>
      <c r="B3" s="36" t="s">
        <v>24</v>
      </c>
      <c r="C3" s="3" t="s">
        <v>53</v>
      </c>
      <c r="D3" s="14" t="s">
        <v>23</v>
      </c>
      <c r="E3" s="3" t="s">
        <v>433</v>
      </c>
      <c r="F3" s="3" t="s">
        <v>27</v>
      </c>
      <c r="G3" s="30">
        <v>71500</v>
      </c>
      <c r="H3" s="3" t="s">
        <v>64</v>
      </c>
      <c r="I3" s="3" t="s">
        <v>65</v>
      </c>
      <c r="J3" s="11">
        <v>0.75694444444444453</v>
      </c>
      <c r="K3" s="11">
        <v>0.74722222222222223</v>
      </c>
      <c r="L3" s="11">
        <v>0.58680555555555558</v>
      </c>
      <c r="M3" s="11">
        <v>0.59027777777777779</v>
      </c>
      <c r="N3" s="3" t="s">
        <v>446</v>
      </c>
      <c r="O3" s="3" t="s">
        <v>445</v>
      </c>
      <c r="P3" s="3">
        <v>433</v>
      </c>
      <c r="Q3" s="3">
        <v>540</v>
      </c>
      <c r="R3" s="2">
        <v>0</v>
      </c>
      <c r="S3" s="2">
        <v>0</v>
      </c>
      <c r="T3" s="2">
        <v>0</v>
      </c>
      <c r="U3" s="2">
        <v>0</v>
      </c>
    </row>
    <row r="4" spans="1:22" s="3" customFormat="1" ht="12.75" x14ac:dyDescent="0.2">
      <c r="A4" s="58">
        <v>44042</v>
      </c>
      <c r="B4" s="3" t="s">
        <v>24</v>
      </c>
      <c r="C4" s="3" t="s">
        <v>41</v>
      </c>
      <c r="D4" s="3" t="s">
        <v>23</v>
      </c>
      <c r="E4" s="5" t="s">
        <v>67</v>
      </c>
      <c r="F4" s="3" t="s">
        <v>27</v>
      </c>
      <c r="G4" s="61">
        <v>70000</v>
      </c>
      <c r="H4" s="3" t="s">
        <v>42</v>
      </c>
      <c r="I4" s="3" t="s">
        <v>43</v>
      </c>
      <c r="J4" s="10">
        <v>0.94097222222222221</v>
      </c>
      <c r="K4" s="11">
        <v>0.9277777777777777</v>
      </c>
      <c r="L4" s="10">
        <v>0.72222222222222221</v>
      </c>
      <c r="M4" s="11">
        <v>0.7284722222222223</v>
      </c>
      <c r="N4" s="3" t="s">
        <v>449</v>
      </c>
      <c r="O4" s="3" t="s">
        <v>447</v>
      </c>
      <c r="P4" s="3">
        <v>199</v>
      </c>
      <c r="Q4" s="3">
        <v>870</v>
      </c>
      <c r="R4" s="3">
        <v>0</v>
      </c>
      <c r="S4" s="3">
        <v>0</v>
      </c>
      <c r="T4" s="3">
        <v>0</v>
      </c>
      <c r="U4" s="3">
        <v>0</v>
      </c>
    </row>
    <row r="5" spans="1:22" s="3" customFormat="1" ht="12.75" x14ac:dyDescent="0.2">
      <c r="A5" s="58">
        <v>44042</v>
      </c>
      <c r="B5" s="3" t="s">
        <v>24</v>
      </c>
      <c r="C5" s="3" t="s">
        <v>46</v>
      </c>
      <c r="D5" s="3" t="s">
        <v>23</v>
      </c>
      <c r="E5" s="3" t="s">
        <v>433</v>
      </c>
      <c r="F5" s="3" t="s">
        <v>27</v>
      </c>
      <c r="G5" s="30">
        <v>71500</v>
      </c>
      <c r="H5" s="3" t="s">
        <v>44</v>
      </c>
      <c r="I5" s="3" t="s">
        <v>45</v>
      </c>
      <c r="J5" s="10">
        <v>0.95486111111111116</v>
      </c>
      <c r="K5" s="11">
        <v>0.99444444444444446</v>
      </c>
      <c r="L5" s="10">
        <v>0.77777777777777779</v>
      </c>
      <c r="M5" s="11">
        <v>0.80625000000000002</v>
      </c>
      <c r="N5" s="3" t="s">
        <v>450</v>
      </c>
      <c r="O5" s="3" t="s">
        <v>448</v>
      </c>
      <c r="P5" s="3">
        <v>966</v>
      </c>
      <c r="Q5" s="3">
        <v>791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35"/>
      <c r="B6" s="2"/>
      <c r="C6" s="2"/>
      <c r="D6" s="2"/>
      <c r="E6" s="5"/>
      <c r="F6" s="2"/>
      <c r="G6" s="37"/>
      <c r="H6" s="2"/>
      <c r="I6" s="2"/>
      <c r="J6" s="12"/>
      <c r="K6" s="11"/>
      <c r="L6" s="12"/>
      <c r="M6" s="11"/>
      <c r="N6" s="3"/>
      <c r="O6" s="3"/>
      <c r="P6" s="3"/>
      <c r="Q6" s="3"/>
      <c r="R6" s="2"/>
      <c r="S6" s="2"/>
      <c r="T6" s="2"/>
      <c r="U6" s="2"/>
    </row>
    <row r="7" spans="1:22" x14ac:dyDescent="0.25">
      <c r="A7" s="35"/>
      <c r="B7" s="2"/>
      <c r="C7" s="2"/>
      <c r="D7" s="2"/>
      <c r="E7" s="5"/>
      <c r="F7" s="2"/>
      <c r="G7" s="37"/>
      <c r="H7" s="2"/>
      <c r="I7" s="2"/>
      <c r="J7" s="10"/>
      <c r="K7" s="11"/>
      <c r="L7" s="10"/>
      <c r="M7" s="11"/>
      <c r="N7" s="3"/>
      <c r="O7" s="3"/>
      <c r="P7" s="3"/>
      <c r="Q7" s="3"/>
      <c r="R7" s="2"/>
      <c r="S7" s="2"/>
      <c r="T7" s="2"/>
      <c r="U7" s="2"/>
    </row>
    <row r="8" spans="1:22" x14ac:dyDescent="0.25">
      <c r="A8" s="35"/>
      <c r="B8" s="49"/>
      <c r="C8" s="49"/>
      <c r="D8" s="49"/>
      <c r="E8" s="50"/>
      <c r="F8" s="49"/>
      <c r="G8" s="37"/>
      <c r="H8" s="49"/>
      <c r="I8" s="49"/>
      <c r="J8" s="56"/>
      <c r="K8" s="11"/>
      <c r="L8" s="56"/>
      <c r="M8" s="11"/>
      <c r="N8" s="3"/>
      <c r="O8" s="3"/>
      <c r="P8" s="3"/>
      <c r="Q8" s="3"/>
      <c r="R8" s="51"/>
      <c r="S8" s="51"/>
      <c r="T8" s="52"/>
      <c r="U8" s="52"/>
    </row>
    <row r="9" spans="1:22" s="54" customFormat="1" x14ac:dyDescent="0.25">
      <c r="A9" s="35"/>
      <c r="B9" s="2"/>
      <c r="C9" s="2"/>
      <c r="D9" s="2"/>
      <c r="F9" s="2"/>
      <c r="G9" s="37"/>
      <c r="H9" s="2"/>
      <c r="I9" s="2"/>
      <c r="J9" s="10"/>
      <c r="K9" s="11"/>
      <c r="L9" s="10"/>
      <c r="M9" s="11"/>
      <c r="N9" s="57"/>
      <c r="O9" s="3"/>
      <c r="P9" s="3"/>
      <c r="Q9" s="3"/>
      <c r="R9" s="51"/>
      <c r="S9" s="51"/>
      <c r="T9" s="55"/>
      <c r="U9" s="55"/>
    </row>
    <row r="10" spans="1:22" x14ac:dyDescent="0.25">
      <c r="A10" s="35"/>
      <c r="B10" s="2"/>
      <c r="C10" s="2"/>
      <c r="D10" s="2"/>
      <c r="E10" s="48"/>
      <c r="F10" s="2"/>
      <c r="G10" s="37"/>
      <c r="H10" s="2"/>
      <c r="I10" s="2"/>
      <c r="J10" s="10"/>
      <c r="K10" s="11"/>
      <c r="L10" s="10"/>
      <c r="M10" s="11"/>
      <c r="N10" s="48"/>
      <c r="O10" s="3"/>
      <c r="P10" s="48"/>
      <c r="Q10" s="48"/>
      <c r="R10" s="48"/>
      <c r="S10" s="48"/>
      <c r="T10" s="48"/>
      <c r="U10" s="48"/>
      <c r="V10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activeCell="J17" sqref="J17"/>
    </sheetView>
  </sheetViews>
  <sheetFormatPr defaultRowHeight="12.75" x14ac:dyDescent="0.2"/>
  <cols>
    <col min="1" max="1" width="9.140625" style="70"/>
    <col min="2" max="2" width="21.85546875" style="70" bestFit="1" customWidth="1"/>
    <col min="3" max="3" width="13.5703125" style="70" bestFit="1" customWidth="1"/>
    <col min="4" max="5" width="9.140625" style="70"/>
    <col min="6" max="6" width="14.42578125" style="70" bestFit="1" customWidth="1"/>
    <col min="7" max="7" width="9.7109375" style="70" bestFit="1" customWidth="1"/>
    <col min="8" max="9" width="9.140625" style="70"/>
    <col min="10" max="10" width="11" style="70" bestFit="1" customWidth="1"/>
    <col min="11" max="11" width="10.85546875" style="70" bestFit="1" customWidth="1"/>
    <col min="12" max="12" width="9.140625" style="70"/>
    <col min="13" max="13" width="10.85546875" style="70" bestFit="1" customWidth="1"/>
    <col min="14" max="15" width="18.42578125" style="70" bestFit="1" customWidth="1"/>
    <col min="16" max="16384" width="9.140625" style="70"/>
  </cols>
  <sheetData>
    <row r="1" spans="1:2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">
      <c r="A2" s="4">
        <v>44043</v>
      </c>
      <c r="B2" s="36" t="s">
        <v>24</v>
      </c>
      <c r="C2" s="3" t="s">
        <v>48</v>
      </c>
      <c r="D2" s="14" t="s">
        <v>23</v>
      </c>
      <c r="E2" s="3" t="s">
        <v>453</v>
      </c>
      <c r="F2" s="3" t="s">
        <v>27</v>
      </c>
      <c r="G2" s="30">
        <v>71500</v>
      </c>
      <c r="H2" s="3" t="s">
        <v>54</v>
      </c>
      <c r="I2" s="3" t="s">
        <v>55</v>
      </c>
      <c r="J2" s="11">
        <v>0.46180555555555558</v>
      </c>
      <c r="K2" s="11">
        <v>0.44791666666666669</v>
      </c>
      <c r="L2" s="11">
        <v>0.26041666666666669</v>
      </c>
      <c r="M2" s="11">
        <v>0.2638888888888889</v>
      </c>
      <c r="N2" s="3" t="s">
        <v>456</v>
      </c>
      <c r="O2" s="3" t="s">
        <v>454</v>
      </c>
      <c r="P2" s="3">
        <v>922</v>
      </c>
      <c r="Q2" s="3">
        <v>967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">
      <c r="A3" s="4">
        <v>44043</v>
      </c>
      <c r="B3" s="36" t="s">
        <v>24</v>
      </c>
      <c r="C3" s="3" t="s">
        <v>49</v>
      </c>
      <c r="D3" s="14" t="s">
        <v>23</v>
      </c>
      <c r="E3" s="3" t="s">
        <v>238</v>
      </c>
      <c r="F3" s="3" t="s">
        <v>27</v>
      </c>
      <c r="G3" s="30">
        <v>70000</v>
      </c>
      <c r="H3" s="3" t="s">
        <v>56</v>
      </c>
      <c r="I3" s="3" t="s">
        <v>57</v>
      </c>
      <c r="J3" s="11">
        <v>0.47569444444444442</v>
      </c>
      <c r="K3" s="11">
        <v>0.46249999999999997</v>
      </c>
      <c r="L3" s="11">
        <v>0.27430555555555552</v>
      </c>
      <c r="M3" s="11">
        <v>0.27916666666666667</v>
      </c>
      <c r="N3" s="3" t="s">
        <v>457</v>
      </c>
      <c r="O3" s="3" t="s">
        <v>455</v>
      </c>
      <c r="P3" s="3">
        <v>631</v>
      </c>
      <c r="Q3" s="3">
        <v>710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44043</v>
      </c>
      <c r="B4" s="36" t="s">
        <v>24</v>
      </c>
      <c r="C4" s="3" t="s">
        <v>50</v>
      </c>
      <c r="D4" s="14" t="s">
        <v>23</v>
      </c>
      <c r="E4" s="3" t="s">
        <v>453</v>
      </c>
      <c r="F4" s="3" t="s">
        <v>27</v>
      </c>
      <c r="G4" s="30">
        <v>71500</v>
      </c>
      <c r="H4" s="3" t="s">
        <v>58</v>
      </c>
      <c r="I4" s="3" t="s">
        <v>59</v>
      </c>
      <c r="J4" s="11">
        <v>0.72569444444444453</v>
      </c>
      <c r="K4" s="11">
        <v>0.71805555555555556</v>
      </c>
      <c r="L4" s="11">
        <v>0.5</v>
      </c>
      <c r="M4" s="11">
        <v>0.50277777777777777</v>
      </c>
      <c r="N4" s="3" t="s">
        <v>86</v>
      </c>
      <c r="O4" s="3" t="s">
        <v>458</v>
      </c>
      <c r="P4" s="3">
        <v>1041</v>
      </c>
      <c r="Q4" s="3">
        <v>1668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">
      <c r="A5" s="4">
        <v>44043</v>
      </c>
      <c r="B5" s="36" t="s">
        <v>24</v>
      </c>
      <c r="C5" s="3" t="s">
        <v>134</v>
      </c>
      <c r="D5" s="14" t="s">
        <v>23</v>
      </c>
      <c r="E5" s="3" t="s">
        <v>238</v>
      </c>
      <c r="F5" s="3" t="s">
        <v>27</v>
      </c>
      <c r="G5" s="30">
        <v>70000</v>
      </c>
      <c r="H5" s="3" t="s">
        <v>135</v>
      </c>
      <c r="I5" s="3" t="s">
        <v>136</v>
      </c>
      <c r="J5" s="11">
        <v>0.75</v>
      </c>
      <c r="K5" s="11">
        <v>0.7319444444444444</v>
      </c>
      <c r="L5" s="11">
        <v>0.53472222222222221</v>
      </c>
      <c r="M5" s="11">
        <v>0.53472222222222221</v>
      </c>
      <c r="N5" s="3" t="s">
        <v>461</v>
      </c>
      <c r="O5" s="3" t="s">
        <v>459</v>
      </c>
      <c r="P5" s="3">
        <v>512</v>
      </c>
      <c r="Q5" s="3">
        <v>1252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4">
        <v>44043</v>
      </c>
      <c r="B6" s="36" t="s">
        <v>24</v>
      </c>
      <c r="C6" s="3" t="s">
        <v>66</v>
      </c>
      <c r="D6" s="14" t="s">
        <v>23</v>
      </c>
      <c r="E6" s="3" t="s">
        <v>453</v>
      </c>
      <c r="F6" s="3" t="s">
        <v>27</v>
      </c>
      <c r="G6" s="30">
        <v>71500</v>
      </c>
      <c r="H6" s="3" t="s">
        <v>69</v>
      </c>
      <c r="I6" s="3" t="s">
        <v>68</v>
      </c>
      <c r="J6" s="11">
        <v>0.89930555555555547</v>
      </c>
      <c r="K6" s="11">
        <v>0.88958333333333339</v>
      </c>
      <c r="L6" s="11">
        <v>0.75</v>
      </c>
      <c r="M6" s="11">
        <v>0.7583333333333333</v>
      </c>
      <c r="N6" s="3">
        <v>85</v>
      </c>
      <c r="O6" s="3">
        <v>38</v>
      </c>
      <c r="P6" s="3">
        <v>517</v>
      </c>
      <c r="Q6" s="3">
        <v>432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4">
        <v>44043</v>
      </c>
      <c r="B7" s="36" t="s">
        <v>24</v>
      </c>
      <c r="C7" s="3" t="s">
        <v>53</v>
      </c>
      <c r="D7" s="14" t="s">
        <v>23</v>
      </c>
      <c r="E7" s="3" t="s">
        <v>238</v>
      </c>
      <c r="F7" s="3" t="s">
        <v>27</v>
      </c>
      <c r="G7" s="30">
        <v>70000</v>
      </c>
      <c r="H7" s="3" t="s">
        <v>64</v>
      </c>
      <c r="I7" s="3" t="s">
        <v>65</v>
      </c>
      <c r="J7" s="11">
        <v>0.94097222222222221</v>
      </c>
      <c r="K7" s="11">
        <v>0.92499999999999993</v>
      </c>
      <c r="L7" s="11">
        <v>0.77083333333333337</v>
      </c>
      <c r="M7" s="11">
        <v>0.77638888888888891</v>
      </c>
      <c r="N7" s="3" t="s">
        <v>462</v>
      </c>
      <c r="O7" s="3" t="s">
        <v>460</v>
      </c>
      <c r="P7" s="3">
        <v>369</v>
      </c>
      <c r="Q7" s="3">
        <v>659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4">
        <v>44043</v>
      </c>
      <c r="B8" s="5" t="s">
        <v>198</v>
      </c>
      <c r="C8" s="5" t="s">
        <v>199</v>
      </c>
      <c r="D8" s="5" t="s">
        <v>23</v>
      </c>
      <c r="E8" s="5" t="s">
        <v>451</v>
      </c>
      <c r="F8" s="5" t="s">
        <v>200</v>
      </c>
      <c r="G8" s="6">
        <v>77000</v>
      </c>
      <c r="H8" s="5" t="s">
        <v>201</v>
      </c>
      <c r="I8" s="5" t="s">
        <v>197</v>
      </c>
      <c r="J8" s="7">
        <v>0.3298611111111111</v>
      </c>
      <c r="K8" s="11">
        <v>0.31458333333333333</v>
      </c>
      <c r="L8" s="7">
        <v>0.37152777777777773</v>
      </c>
      <c r="M8" s="11">
        <v>0.36805555555555558</v>
      </c>
      <c r="N8" s="3" t="s">
        <v>452</v>
      </c>
      <c r="O8" s="3" t="s">
        <v>263</v>
      </c>
      <c r="P8" s="3">
        <v>1492</v>
      </c>
      <c r="Q8" s="3">
        <v>1402</v>
      </c>
      <c r="R8" s="5">
        <v>0</v>
      </c>
      <c r="S8" s="5">
        <v>0</v>
      </c>
      <c r="T8" s="5">
        <v>0</v>
      </c>
      <c r="U8" s="5">
        <v>0</v>
      </c>
    </row>
    <row r="9" spans="1:21" x14ac:dyDescent="0.2">
      <c r="A9" s="29"/>
      <c r="B9" s="3"/>
      <c r="C9" s="3"/>
      <c r="D9" s="3"/>
      <c r="E9" s="3"/>
      <c r="F9" s="3"/>
      <c r="G9" s="30"/>
      <c r="H9" s="3"/>
      <c r="I9" s="3"/>
      <c r="J9" s="10"/>
      <c r="K9" s="11"/>
      <c r="L9" s="10"/>
      <c r="M9" s="11"/>
      <c r="N9" s="3"/>
      <c r="O9" s="3"/>
      <c r="P9" s="3"/>
      <c r="Q9" s="3"/>
      <c r="R9" s="5"/>
      <c r="S9" s="5"/>
      <c r="T9" s="5"/>
      <c r="U9" s="5"/>
    </row>
    <row r="10" spans="1:21" x14ac:dyDescent="0.2">
      <c r="A10" s="29"/>
      <c r="B10" s="3"/>
      <c r="C10" s="3"/>
      <c r="D10" s="3"/>
      <c r="E10" s="3"/>
      <c r="F10" s="3"/>
      <c r="G10" s="30"/>
      <c r="H10" s="3"/>
      <c r="I10" s="3"/>
      <c r="J10" s="10"/>
      <c r="K10" s="11"/>
      <c r="L10" s="10"/>
      <c r="M10" s="11"/>
      <c r="N10" s="3"/>
      <c r="O10" s="3"/>
      <c r="P10" s="3"/>
      <c r="Q10" s="3"/>
      <c r="R10" s="3"/>
      <c r="S10" s="3"/>
      <c r="T10" s="3"/>
      <c r="U1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2020-07-31T20:31:04Z</dcterms:modified>
</cp:coreProperties>
</file>