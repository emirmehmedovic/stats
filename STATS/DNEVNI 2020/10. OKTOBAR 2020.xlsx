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8195" windowHeight="11580" firstSheet="11" activeTab="30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4" r:id="rId11"/>
    <sheet name="12" sheetId="15" r:id="rId12"/>
    <sheet name="13" sheetId="16" r:id="rId13"/>
    <sheet name="14" sheetId="13" r:id="rId14"/>
    <sheet name="15" sheetId="17" r:id="rId15"/>
    <sheet name="16" sheetId="18" r:id="rId16"/>
    <sheet name="17" sheetId="19" r:id="rId17"/>
    <sheet name="18" sheetId="20" r:id="rId18"/>
    <sheet name="19" sheetId="21" r:id="rId19"/>
    <sheet name="20" sheetId="22" r:id="rId20"/>
    <sheet name="21" sheetId="23" r:id="rId21"/>
    <sheet name="22" sheetId="24" r:id="rId22"/>
    <sheet name="23" sheetId="25" r:id="rId23"/>
    <sheet name="24" sheetId="26" r:id="rId24"/>
    <sheet name="25" sheetId="27" r:id="rId25"/>
    <sheet name="26" sheetId="28" r:id="rId26"/>
    <sheet name="27" sheetId="29" r:id="rId27"/>
    <sheet name="28" sheetId="30" r:id="rId28"/>
    <sheet name="29" sheetId="31" r:id="rId29"/>
    <sheet name="30" sheetId="32" r:id="rId30"/>
    <sheet name="31" sheetId="33" r:id="rId31"/>
  </sheets>
  <calcPr calcId="145621"/>
</workbook>
</file>

<file path=xl/calcChain.xml><?xml version="1.0" encoding="utf-8"?>
<calcChain xmlns="http://schemas.openxmlformats.org/spreadsheetml/2006/main">
  <c r="G4" i="32" l="1"/>
  <c r="A4" i="32"/>
  <c r="G3" i="32" l="1"/>
  <c r="A3" i="32"/>
  <c r="A3" i="30" l="1"/>
  <c r="A5" i="27" l="1"/>
  <c r="A4" i="27"/>
  <c r="A3" i="27"/>
  <c r="G6" i="26" l="1"/>
  <c r="D6" i="26"/>
  <c r="B6" i="26"/>
  <c r="A6" i="26"/>
  <c r="G5" i="26" l="1"/>
  <c r="E2" i="26"/>
  <c r="D5" i="26"/>
  <c r="B5" i="26"/>
  <c r="G3" i="26"/>
  <c r="G4" i="26" s="1"/>
  <c r="A3" i="26"/>
  <c r="A4" i="26" s="1"/>
  <c r="A5" i="26" s="1"/>
  <c r="M2" i="23" l="1"/>
  <c r="E4" i="22" l="1"/>
  <c r="A4" i="22"/>
  <c r="G3" i="22"/>
  <c r="A5" i="19" l="1"/>
  <c r="I5" i="19"/>
  <c r="K5" i="19"/>
  <c r="G4" i="19" l="1"/>
  <c r="G3" i="19"/>
  <c r="E4" i="19"/>
  <c r="E3" i="19"/>
  <c r="A4" i="19"/>
  <c r="A3" i="19"/>
  <c r="G2" i="16" l="1"/>
  <c r="E3" i="16"/>
  <c r="A3" i="16"/>
</calcChain>
</file>

<file path=xl/sharedStrings.xml><?xml version="1.0" encoding="utf-8"?>
<sst xmlns="http://schemas.openxmlformats.org/spreadsheetml/2006/main" count="1402" uniqueCount="233">
  <si>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</si>
  <si>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</si>
  <si>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</si>
  <si>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</si>
  <si>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</si>
  <si>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</si>
  <si>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</si>
  <si>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</si>
  <si>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</si>
  <si>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</si>
  <si>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</si>
  <si>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</si>
  <si>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</si>
  <si>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</si>
  <si>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</si>
  <si>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</si>
  <si>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</si>
  <si>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</si>
  <si>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</si>
  <si>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</si>
  <si>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</si>
  <si>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</si>
  <si>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SCHEDULED</t>
  </si>
  <si>
    <t>TZL-DTM-TZL</t>
  </si>
  <si>
    <t>W64298</t>
  </si>
  <si>
    <t>W64297</t>
  </si>
  <si>
    <t>W64279</t>
  </si>
  <si>
    <t>W64280</t>
  </si>
  <si>
    <t>TZL-FMM-TZL</t>
  </si>
  <si>
    <t>HALYG</t>
  </si>
  <si>
    <t>HALWJ</t>
  </si>
  <si>
    <t>WIZZ AIR</t>
  </si>
  <si>
    <t>117+3 INF</t>
  </si>
  <si>
    <t>131+4 INF</t>
  </si>
  <si>
    <t>98+4INF</t>
  </si>
  <si>
    <t>124+5INF</t>
  </si>
  <si>
    <t>WIZZAIR</t>
  </si>
  <si>
    <t>TZL-MMX-TZL</t>
  </si>
  <si>
    <t>W64292</t>
  </si>
  <si>
    <t>W64291</t>
  </si>
  <si>
    <t>TZL-GOT-TZL</t>
  </si>
  <si>
    <t>W64296</t>
  </si>
  <si>
    <t>W64295</t>
  </si>
  <si>
    <t>HALYH</t>
  </si>
  <si>
    <t>162+1 INF</t>
  </si>
  <si>
    <t>152+3 INF</t>
  </si>
  <si>
    <t>TZL-SXF-TZL</t>
  </si>
  <si>
    <t>W64276</t>
  </si>
  <si>
    <t>W64275</t>
  </si>
  <si>
    <t>124+7 INF</t>
  </si>
  <si>
    <t>141+0 INF</t>
  </si>
  <si>
    <t>87+4 INF</t>
  </si>
  <si>
    <t>TZL-EIN-TZL</t>
  </si>
  <si>
    <t>W64290</t>
  </si>
  <si>
    <t>W64289</t>
  </si>
  <si>
    <t>TZL-HHN-TZL</t>
  </si>
  <si>
    <t>W642884</t>
  </si>
  <si>
    <t>W64283</t>
  </si>
  <si>
    <t>144+5INF</t>
  </si>
  <si>
    <t>122+9INF</t>
  </si>
  <si>
    <t>132+0INF</t>
  </si>
  <si>
    <t>117+2 INF</t>
  </si>
  <si>
    <t>TZL-NYO-TZL</t>
  </si>
  <si>
    <t>W64282</t>
  </si>
  <si>
    <t>W64281</t>
  </si>
  <si>
    <t>TZL-MLH-TZL</t>
  </si>
  <si>
    <t>W64294</t>
  </si>
  <si>
    <t>W64293</t>
  </si>
  <si>
    <t>130+2INF</t>
  </si>
  <si>
    <t>155+6INF</t>
  </si>
  <si>
    <t>150+4INF</t>
  </si>
  <si>
    <t>100+1INF</t>
  </si>
  <si>
    <t>136+4INF</t>
  </si>
  <si>
    <t>151+1 INF</t>
  </si>
  <si>
    <t>101+0 INF</t>
  </si>
  <si>
    <t>169+0INF</t>
  </si>
  <si>
    <t>108+3INF</t>
  </si>
  <si>
    <t>EIN-TZL-EIN</t>
  </si>
  <si>
    <t>HALYM</t>
  </si>
  <si>
    <t>112+2 INF</t>
  </si>
  <si>
    <t>129+1 INF</t>
  </si>
  <si>
    <t>W64284</t>
  </si>
  <si>
    <t>96+4 INF</t>
  </si>
  <si>
    <t>125+7 INF</t>
  </si>
  <si>
    <t>151+2INF</t>
  </si>
  <si>
    <t>SMATSA</t>
  </si>
  <si>
    <t>TZL-OMO</t>
  </si>
  <si>
    <t>B350</t>
  </si>
  <si>
    <t>YU-BTC</t>
  </si>
  <si>
    <t>NONSCHEDULED</t>
  </si>
  <si>
    <t>142+5INF</t>
  </si>
  <si>
    <t>148+3 INF</t>
  </si>
  <si>
    <t>136+4 INF</t>
  </si>
  <si>
    <t>125+4INF</t>
  </si>
  <si>
    <t>TZL-DEB</t>
  </si>
  <si>
    <t>-</t>
  </si>
  <si>
    <t>W6801</t>
  </si>
  <si>
    <t>138+1 INF</t>
  </si>
  <si>
    <t>159+5 INF</t>
  </si>
  <si>
    <t>146+2 INF</t>
  </si>
  <si>
    <t>155+1 INF</t>
  </si>
  <si>
    <t>TECHNICAL</t>
  </si>
  <si>
    <t>139+5 INF</t>
  </si>
  <si>
    <t>142+1 INF</t>
  </si>
  <si>
    <t>145+4 INF</t>
  </si>
  <si>
    <t>137+2 INF</t>
  </si>
  <si>
    <t>144+2 INF</t>
  </si>
  <si>
    <t>150+0 INF</t>
  </si>
  <si>
    <t>HALPJ</t>
  </si>
  <si>
    <t>HALYM/HALPJ</t>
  </si>
  <si>
    <t>119+5INF</t>
  </si>
  <si>
    <t>136+8INF</t>
  </si>
  <si>
    <t>138+1INF</t>
  </si>
  <si>
    <t>112+3 INF</t>
  </si>
  <si>
    <t>157+3INF</t>
  </si>
  <si>
    <t>110+0INF</t>
  </si>
  <si>
    <t>163+0INF</t>
  </si>
  <si>
    <t>88+1INF</t>
  </si>
  <si>
    <t>HA-LPJ</t>
  </si>
  <si>
    <t>131+0 INF</t>
  </si>
  <si>
    <t>135+2 INF</t>
  </si>
  <si>
    <t>130+3INF</t>
  </si>
  <si>
    <t>88+3INF</t>
  </si>
  <si>
    <t>133+2 INF</t>
  </si>
  <si>
    <t>109+2 INF</t>
  </si>
  <si>
    <t>148+3INF</t>
  </si>
  <si>
    <t>144+1INF</t>
  </si>
  <si>
    <t>92+4 INF</t>
  </si>
  <si>
    <t>148+2 INF</t>
  </si>
  <si>
    <t>144+1 INF</t>
  </si>
  <si>
    <t>148+1 INF</t>
  </si>
  <si>
    <t>126+1INF</t>
  </si>
  <si>
    <t>92+2INF</t>
  </si>
  <si>
    <t>61+2INF</t>
  </si>
  <si>
    <t>142+5 INF</t>
  </si>
  <si>
    <t>118+7 INF</t>
  </si>
  <si>
    <t>JDI42H</t>
  </si>
  <si>
    <t>JET STORY SP Z.O.O.</t>
  </si>
  <si>
    <t>HDJT</t>
  </si>
  <si>
    <t>SP-CHE</t>
  </si>
  <si>
    <t>126+1 INF</t>
  </si>
  <si>
    <t>DBV-TZL-TAT</t>
  </si>
  <si>
    <t>112+1INF</t>
  </si>
  <si>
    <t>138+4INF</t>
  </si>
  <si>
    <t>104+4INF</t>
  </si>
  <si>
    <t>126+2 INF</t>
  </si>
  <si>
    <t>123+3 INF</t>
  </si>
  <si>
    <t>113+2 INF</t>
  </si>
  <si>
    <t>80+0 INF</t>
  </si>
  <si>
    <t>HALJC</t>
  </si>
  <si>
    <t>138+3INF</t>
  </si>
  <si>
    <t>108+0INF</t>
  </si>
  <si>
    <t>158+2 INF</t>
  </si>
  <si>
    <t>56+1 INF</t>
  </si>
  <si>
    <t>98+1 INF</t>
  </si>
  <si>
    <t>34+2 INF</t>
  </si>
  <si>
    <t>31+0 INF</t>
  </si>
  <si>
    <t>119+3 INF</t>
  </si>
  <si>
    <t>81+0INF</t>
  </si>
  <si>
    <t>78+1INF</t>
  </si>
  <si>
    <t>115+4INF</t>
  </si>
  <si>
    <t>118+1 INF</t>
  </si>
  <si>
    <t>115+1INF</t>
  </si>
  <si>
    <t>125+4 INF</t>
  </si>
  <si>
    <t>125+3 INF</t>
  </si>
  <si>
    <t>BEG-TZL</t>
  </si>
  <si>
    <t>HALPK</t>
  </si>
  <si>
    <t>NON SCHEDULED/FERRY IN</t>
  </si>
  <si>
    <t>W6803</t>
  </si>
  <si>
    <t>CREW ONLY</t>
  </si>
  <si>
    <t>105+5 INF</t>
  </si>
  <si>
    <t>ROP</t>
  </si>
  <si>
    <t>105+2 INF</t>
  </si>
  <si>
    <t>110+4INF</t>
  </si>
  <si>
    <t>131+1INF</t>
  </si>
  <si>
    <t>140+3INF</t>
  </si>
  <si>
    <t>80+2 INF</t>
  </si>
  <si>
    <t>117+5 INF</t>
  </si>
  <si>
    <t>70+3 INF</t>
  </si>
  <si>
    <t>TZL-BEG</t>
  </si>
  <si>
    <t>NON- SCHEDULED</t>
  </si>
  <si>
    <t>W6804</t>
  </si>
  <si>
    <t>BUD-TZL</t>
  </si>
  <si>
    <t>HA-LWO</t>
  </si>
  <si>
    <t>128+7INF</t>
  </si>
  <si>
    <t>113+4 INF</t>
  </si>
  <si>
    <t>HALWO</t>
  </si>
  <si>
    <t>18.58</t>
  </si>
  <si>
    <t>97+1INF</t>
  </si>
  <si>
    <t>143+3INF</t>
  </si>
  <si>
    <t>TZL-BUD</t>
  </si>
  <si>
    <t>DIV TO BEG</t>
  </si>
  <si>
    <t>DTM-TZL-DTM</t>
  </si>
  <si>
    <t>HA-LWU</t>
  </si>
  <si>
    <t>111+4 INF</t>
  </si>
  <si>
    <t>154+2 INF</t>
  </si>
  <si>
    <t>129+2 INF</t>
  </si>
  <si>
    <t>90+1INF</t>
  </si>
  <si>
    <t>108+1INF</t>
  </si>
  <si>
    <t>HALWN</t>
  </si>
  <si>
    <t>52+2 INF</t>
  </si>
  <si>
    <t>NYO-TZL-NYO</t>
  </si>
  <si>
    <t>A320N</t>
  </si>
  <si>
    <t>TECHINCAL</t>
  </si>
  <si>
    <t>76+1 INF</t>
  </si>
  <si>
    <t>71+0 INF</t>
  </si>
  <si>
    <t>39+1 INF</t>
  </si>
  <si>
    <t>97+3 INF</t>
  </si>
  <si>
    <t>80+0INF</t>
  </si>
  <si>
    <t>77+3INF</t>
  </si>
  <si>
    <t>117+1 INF</t>
  </si>
  <si>
    <t>109+4 INF</t>
  </si>
  <si>
    <t>HALSA</t>
  </si>
  <si>
    <t>VIE-TZL</t>
  </si>
  <si>
    <t>FERRY IN</t>
  </si>
  <si>
    <t>W6802</t>
  </si>
  <si>
    <t>CREW</t>
  </si>
  <si>
    <t>77+0INF</t>
  </si>
  <si>
    <t>37+2INF</t>
  </si>
  <si>
    <t>105+2INF</t>
  </si>
  <si>
    <t>76+3INF</t>
  </si>
  <si>
    <t>83+1 INF</t>
  </si>
  <si>
    <t>30+1INF</t>
  </si>
  <si>
    <t>89+3INF</t>
  </si>
  <si>
    <t>124+3 INF</t>
  </si>
  <si>
    <t>TZL-BER-TZL</t>
  </si>
  <si>
    <t>84+2 INF</t>
  </si>
  <si>
    <t>64+2 INF</t>
  </si>
  <si>
    <t>124+1INF</t>
  </si>
  <si>
    <t>134+7INF</t>
  </si>
  <si>
    <t>110+1 INF</t>
  </si>
  <si>
    <t>124+9 INF</t>
  </si>
  <si>
    <t>69+3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</si>
</sst>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1"/>
      <color theme="1"/>
      <name val="Calibri"/>
      <family val="2"/>
      <scheme val="minor"/>
    </font>
    <font>
      <b/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</cellStyleXfs>
  <cellXfs count="62">
    <xf numFmtId="0" fontId="0" fillId="0" borderId="0" xfId="0"/>
    <xf numFmtId="0" fontId="2" fillId="0" borderId="0" xfId="1" applyFont="1" applyFill="1" applyAlignment="1">
      <alignment horizontal="center" vertical="center"/>
    </xf>
    <xf numFmtId="0" fontId="3" fillId="0" borderId="0" xfId="2"/>
    <xf numFmtId="14" fontId="2" fillId="0" borderId="0" xfId="1" applyNumberFormat="1" applyFont="1" applyFill="1" applyAlignment="1">
      <alignment horizontal="center" vertical="center"/>
    </xf>
    <xf numFmtId="0" fontId="2" fillId="0" borderId="0" xfId="2" applyFont="1" applyFill="1" applyAlignment="1">
      <alignment horizontal="center" vertical="center"/>
    </xf>
    <xf numFmtId="3" fontId="2" fillId="0" borderId="0" xfId="2" applyNumberFormat="1" applyFont="1" applyFill="1" applyAlignment="1">
      <alignment horizontal="center" vertical="center"/>
    </xf>
    <xf numFmtId="20" fontId="4" fillId="0" borderId="0" xfId="2" applyNumberFormat="1" applyFont="1" applyFill="1" applyAlignment="1">
      <alignment horizontal="center" vertical="center"/>
    </xf>
    <xf numFmtId="20" fontId="5" fillId="0" borderId="0" xfId="2" applyNumberFormat="1" applyFont="1" applyAlignment="1">
      <alignment horizontal="center"/>
    </xf>
    <xf numFmtId="0" fontId="5" fillId="0" borderId="0" xfId="2" applyFont="1" applyAlignment="1">
      <alignment horizontal="center"/>
    </xf>
    <xf numFmtId="0" fontId="2" fillId="0" borderId="0" xfId="3" applyFont="1" applyFill="1" applyAlignment="1">
      <alignment horizontal="center" vertical="center"/>
    </xf>
    <xf numFmtId="20" fontId="6" fillId="0" borderId="0" xfId="2" applyNumberFormat="1" applyFont="1" applyAlignment="1">
      <alignment horizontal="center"/>
    </xf>
    <xf numFmtId="3" fontId="5" fillId="0" borderId="0" xfId="2" applyNumberFormat="1" applyFont="1" applyAlignment="1">
      <alignment horizontal="center"/>
    </xf>
    <xf numFmtId="20" fontId="4" fillId="0" borderId="0" xfId="3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3" applyFont="1" applyFill="1" applyBorder="1" applyAlignment="1">
      <alignment horizontal="center" vertical="center"/>
    </xf>
    <xf numFmtId="20" fontId="4" fillId="0" borderId="0" xfId="3" applyNumberFormat="1" applyFont="1" applyFill="1" applyBorder="1" applyAlignment="1">
      <alignment horizontal="center" vertical="center"/>
    </xf>
    <xf numFmtId="20" fontId="2" fillId="0" borderId="0" xfId="3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20" fontId="6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20" fontId="2" fillId="0" borderId="0" xfId="3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5" fillId="0" borderId="0" xfId="0" applyNumberFormat="1" applyFont="1" applyAlignment="1">
      <alignment horizontal="center"/>
    </xf>
    <xf numFmtId="0" fontId="0" fillId="0" borderId="0" xfId="0" applyNumberFormat="1"/>
    <xf numFmtId="14" fontId="2" fillId="0" borderId="0" xfId="1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0" fontId="2" fillId="0" borderId="0" xfId="4" applyFont="1" applyFill="1" applyAlignment="1">
      <alignment horizontal="center" vertical="center"/>
    </xf>
    <xf numFmtId="0" fontId="5" fillId="0" borderId="0" xfId="9" applyFont="1" applyAlignment="1">
      <alignment horizontal="center"/>
    </xf>
    <xf numFmtId="20" fontId="5" fillId="0" borderId="0" xfId="9" applyNumberFormat="1" applyFont="1" applyAlignment="1">
      <alignment horizontal="center"/>
    </xf>
    <xf numFmtId="0" fontId="7" fillId="0" borderId="0" xfId="9"/>
    <xf numFmtId="20" fontId="4" fillId="0" borderId="0" xfId="0" applyNumberFormat="1" applyFont="1" applyFill="1" applyAlignment="1">
      <alignment horizontal="center" vertical="center"/>
    </xf>
    <xf numFmtId="0" fontId="2" fillId="0" borderId="0" xfId="4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3" fontId="2" fillId="0" borderId="0" xfId="4" applyNumberFormat="1" applyFont="1" applyFill="1" applyAlignment="1">
      <alignment horizontal="center" vertical="center"/>
    </xf>
    <xf numFmtId="20" fontId="4" fillId="0" borderId="0" xfId="4" applyNumberFormat="1" applyFont="1" applyFill="1" applyAlignment="1">
      <alignment horizontal="center" vertical="center"/>
    </xf>
    <xf numFmtId="20" fontId="2" fillId="0" borderId="0" xfId="4" applyNumberFormat="1" applyFont="1" applyFill="1" applyAlignment="1">
      <alignment horizontal="center" vertical="center"/>
    </xf>
    <xf numFmtId="0" fontId="2" fillId="0" borderId="0" xfId="4" applyNumberFormat="1" applyFont="1" applyFill="1" applyAlignment="1">
      <alignment horizontal="center" vertical="center"/>
    </xf>
    <xf numFmtId="0" fontId="5" fillId="0" borderId="0" xfId="5" applyFont="1" applyAlignment="1">
      <alignment horizontal="center"/>
    </xf>
    <xf numFmtId="20" fontId="6" fillId="0" borderId="0" xfId="4" applyNumberFormat="1" applyFont="1" applyAlignment="1">
      <alignment horizontal="center" vertical="center"/>
    </xf>
    <xf numFmtId="20" fontId="5" fillId="0" borderId="0" xfId="4" applyNumberFormat="1" applyFont="1" applyAlignment="1">
      <alignment horizontal="center" vertical="center"/>
    </xf>
    <xf numFmtId="0" fontId="2" fillId="0" borderId="0" xfId="5" applyFont="1" applyFill="1" applyAlignment="1">
      <alignment horizontal="center" vertical="center"/>
    </xf>
    <xf numFmtId="20" fontId="4" fillId="0" borderId="0" xfId="5" applyNumberFormat="1" applyFont="1" applyFill="1" applyAlignment="1">
      <alignment horizontal="center" vertical="center"/>
    </xf>
    <xf numFmtId="20" fontId="2" fillId="0" borderId="0" xfId="5" applyNumberFormat="1" applyFont="1" applyFill="1" applyAlignment="1">
      <alignment horizontal="center" vertical="center"/>
    </xf>
    <xf numFmtId="0" fontId="2" fillId="0" borderId="0" xfId="5" applyNumberFormat="1" applyFont="1" applyFill="1" applyAlignment="1">
      <alignment horizontal="center" vertical="center"/>
    </xf>
    <xf numFmtId="20" fontId="6" fillId="0" borderId="0" xfId="5" applyNumberFormat="1" applyFont="1" applyAlignment="1">
      <alignment horizontal="center"/>
    </xf>
    <xf numFmtId="20" fontId="5" fillId="0" borderId="0" xfId="5" applyNumberFormat="1" applyFont="1" applyAlignment="1">
      <alignment horizontal="center"/>
    </xf>
    <xf numFmtId="20" fontId="5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/>
    <xf numFmtId="0" fontId="5" fillId="2" borderId="0" xfId="0" applyFont="1" applyFill="1" applyAlignment="1">
      <alignment horizontal="center"/>
    </xf>
    <xf numFmtId="20" fontId="2" fillId="2" borderId="0" xfId="0" applyNumberFormat="1" applyFont="1" applyFill="1" applyAlignment="1">
      <alignment horizontal="center" vertical="center"/>
    </xf>
    <xf numFmtId="0" fontId="2" fillId="2" borderId="0" xfId="3" applyFont="1" applyFill="1" applyAlignment="1">
      <alignment horizontal="center" vertical="center"/>
    </xf>
    <xf numFmtId="0" fontId="2" fillId="2" borderId="0" xfId="5" applyNumberFormat="1" applyFont="1" applyFill="1" applyAlignment="1">
      <alignment horizontal="center" vertical="center"/>
    </xf>
    <xf numFmtId="20" fontId="2" fillId="2" borderId="0" xfId="3" applyNumberFormat="1" applyFont="1" applyFill="1" applyAlignment="1">
      <alignment horizontal="center" vertical="center"/>
    </xf>
  </cellXfs>
  <cellStyles count="10">
    <cellStyle name="Normal" xfId="0" builtinId="0"/>
    <cellStyle name="Normal 2" xfId="2"/>
    <cellStyle name="Normal 2 2" xfId="1"/>
    <cellStyle name="Normal 2 3" xfId="5"/>
    <cellStyle name="Normal 3" xfId="6"/>
    <cellStyle name="Normal 3 2" xfId="3"/>
    <cellStyle name="Normal 4" xfId="4"/>
    <cellStyle name="Normal 5" xfId="7"/>
    <cellStyle name="Normal 6" xfId="8"/>
    <cellStyle name="Normal 7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XFD3"/>
    </sheetView>
  </sheetViews>
  <sheetFormatPr defaultRowHeight="15" x14ac:dyDescent="0.25"/>
  <cols>
    <col min="2" max="2" width="10.140625" bestFit="1" customWidth="1"/>
    <col min="3" max="3" width="13.42578125" bestFit="1" customWidth="1"/>
    <col min="6" max="6" width="12.140625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8" customFormat="1" ht="12.75" x14ac:dyDescent="0.2">
      <c r="A2" s="3">
        <v>44105</v>
      </c>
      <c r="B2" s="4" t="s">
        <v>31</v>
      </c>
      <c r="C2" s="4" t="s">
        <v>23</v>
      </c>
      <c r="D2" s="4" t="s">
        <v>21</v>
      </c>
      <c r="E2" s="4" t="s">
        <v>29</v>
      </c>
      <c r="F2" s="4" t="s">
        <v>22</v>
      </c>
      <c r="G2" s="5">
        <v>71500</v>
      </c>
      <c r="H2" s="4" t="s">
        <v>24</v>
      </c>
      <c r="I2" s="4" t="s">
        <v>25</v>
      </c>
      <c r="J2" s="6">
        <v>0.44791666666666669</v>
      </c>
      <c r="K2" s="7">
        <v>0.4597222222222222</v>
      </c>
      <c r="L2" s="6">
        <v>0.25694444444444448</v>
      </c>
      <c r="M2" s="7">
        <v>0.25972222222222224</v>
      </c>
      <c r="N2" s="8" t="s">
        <v>33</v>
      </c>
      <c r="O2" s="8" t="s">
        <v>32</v>
      </c>
      <c r="P2" s="8">
        <v>934</v>
      </c>
      <c r="Q2" s="8">
        <v>893</v>
      </c>
      <c r="R2" s="4">
        <v>0</v>
      </c>
      <c r="S2" s="4">
        <v>0</v>
      </c>
      <c r="T2" s="4">
        <v>0</v>
      </c>
      <c r="U2" s="4">
        <v>0</v>
      </c>
    </row>
    <row r="3" spans="1:21" s="8" customFormat="1" ht="12.75" x14ac:dyDescent="0.2">
      <c r="A3" s="3">
        <v>44105</v>
      </c>
      <c r="B3" s="4" t="s">
        <v>31</v>
      </c>
      <c r="C3" s="4" t="s">
        <v>28</v>
      </c>
      <c r="D3" s="4" t="s">
        <v>21</v>
      </c>
      <c r="E3" s="4" t="s">
        <v>30</v>
      </c>
      <c r="F3" s="4" t="s">
        <v>22</v>
      </c>
      <c r="G3" s="5">
        <v>70000</v>
      </c>
      <c r="H3" s="4" t="s">
        <v>27</v>
      </c>
      <c r="I3" s="4" t="s">
        <v>26</v>
      </c>
      <c r="J3" s="6">
        <v>0.63888888888888895</v>
      </c>
      <c r="K3" s="7">
        <v>0.63541666666666663</v>
      </c>
      <c r="L3" s="6">
        <v>0.49305555555555558</v>
      </c>
      <c r="M3" s="7">
        <v>0.49444444444444446</v>
      </c>
      <c r="N3" s="8" t="s">
        <v>35</v>
      </c>
      <c r="O3" s="8" t="s">
        <v>34</v>
      </c>
      <c r="P3" s="8">
        <v>931</v>
      </c>
      <c r="Q3" s="8">
        <v>773</v>
      </c>
      <c r="R3" s="4">
        <v>0</v>
      </c>
      <c r="S3" s="4">
        <v>0</v>
      </c>
      <c r="T3" s="4">
        <v>0</v>
      </c>
      <c r="U3" s="4">
        <v>0</v>
      </c>
    </row>
    <row r="4" spans="1:21" s="8" customFormat="1" ht="12.75" x14ac:dyDescent="0.2">
      <c r="A4" s="3"/>
      <c r="B4" s="9"/>
      <c r="C4" s="9"/>
      <c r="D4" s="9"/>
      <c r="E4" s="4"/>
      <c r="F4" s="9"/>
      <c r="G4" s="5"/>
      <c r="H4" s="4"/>
      <c r="I4" s="4"/>
      <c r="J4" s="10"/>
      <c r="K4" s="7"/>
      <c r="L4" s="10"/>
      <c r="M4" s="7"/>
      <c r="R4" s="9"/>
      <c r="S4" s="9"/>
      <c r="T4" s="9"/>
      <c r="U4" s="9"/>
    </row>
    <row r="5" spans="1:21" s="8" customFormat="1" ht="12.75" x14ac:dyDescent="0.2">
      <c r="A5" s="3"/>
      <c r="B5" s="9"/>
      <c r="C5" s="9"/>
      <c r="D5" s="9"/>
      <c r="E5" s="4"/>
      <c r="F5" s="9"/>
      <c r="G5" s="11"/>
      <c r="H5" s="9"/>
      <c r="I5" s="9"/>
      <c r="J5" s="12"/>
      <c r="K5" s="7"/>
      <c r="L5" s="12"/>
      <c r="M5" s="7"/>
      <c r="R5" s="9"/>
      <c r="S5" s="9"/>
      <c r="T5" s="9"/>
      <c r="U5" s="9"/>
    </row>
    <row r="6" spans="1:21" s="8" customFormat="1" ht="12.75" x14ac:dyDescent="0.2">
      <c r="A6" s="3"/>
      <c r="E6" s="4"/>
      <c r="G6" s="5"/>
      <c r="J6" s="10"/>
      <c r="K6" s="7"/>
      <c r="L6" s="10"/>
      <c r="M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H4" sqref="H4"/>
    </sheetView>
  </sheetViews>
  <sheetFormatPr defaultRowHeight="15" x14ac:dyDescent="0.25"/>
  <cols>
    <col min="1" max="1" width="10.140625" bestFit="1" customWidth="1"/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44106</v>
      </c>
      <c r="B2" s="33" t="s">
        <v>36</v>
      </c>
      <c r="C2" s="33" t="s">
        <v>37</v>
      </c>
      <c r="D2" s="33" t="s">
        <v>21</v>
      </c>
      <c r="E2" s="33" t="s">
        <v>43</v>
      </c>
      <c r="F2" s="33" t="s">
        <v>22</v>
      </c>
      <c r="G2" s="40">
        <v>71500</v>
      </c>
      <c r="H2" s="33" t="s">
        <v>38</v>
      </c>
      <c r="I2" s="33" t="s">
        <v>39</v>
      </c>
      <c r="J2" s="41">
        <v>0.46180555555555558</v>
      </c>
      <c r="K2" s="42">
        <v>0.45277777777777778</v>
      </c>
      <c r="L2" s="41">
        <v>0.26041666666666669</v>
      </c>
      <c r="M2" s="42">
        <v>0.26527777777777778</v>
      </c>
      <c r="N2" s="43" t="s">
        <v>44</v>
      </c>
      <c r="O2" s="43">
        <v>151</v>
      </c>
      <c r="P2" s="8">
        <v>933</v>
      </c>
      <c r="Q2" s="43">
        <v>1651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s="55" customFormat="1" ht="12.75" x14ac:dyDescent="0.2">
      <c r="A3" s="3">
        <v>44106</v>
      </c>
      <c r="B3" s="33" t="s">
        <v>36</v>
      </c>
      <c r="C3" s="20" t="s">
        <v>40</v>
      </c>
      <c r="D3" s="33" t="s">
        <v>21</v>
      </c>
      <c r="E3" s="33" t="s">
        <v>43</v>
      </c>
      <c r="F3" s="33" t="s">
        <v>22</v>
      </c>
      <c r="G3" s="40">
        <v>71500</v>
      </c>
      <c r="H3" s="20" t="s">
        <v>41</v>
      </c>
      <c r="I3" s="20" t="s">
        <v>42</v>
      </c>
      <c r="J3" s="19">
        <v>0.73263888888888884</v>
      </c>
      <c r="K3" s="19">
        <v>0.72222222222222221</v>
      </c>
      <c r="L3" s="19">
        <v>0.50694444444444442</v>
      </c>
      <c r="M3" s="19">
        <v>0.49652777777777773</v>
      </c>
      <c r="N3" s="19" t="s">
        <v>50</v>
      </c>
      <c r="O3" s="20" t="s">
        <v>45</v>
      </c>
      <c r="P3" s="20">
        <v>622</v>
      </c>
      <c r="Q3" s="20">
        <v>1468</v>
      </c>
      <c r="R3" s="20">
        <v>0</v>
      </c>
      <c r="S3" s="20">
        <v>0</v>
      </c>
      <c r="T3" s="20">
        <v>0</v>
      </c>
      <c r="U3" s="20">
        <v>0</v>
      </c>
    </row>
    <row r="4" spans="1:22" x14ac:dyDescent="0.25">
      <c r="A4" s="3">
        <v>44106</v>
      </c>
      <c r="B4" s="56" t="s">
        <v>36</v>
      </c>
      <c r="C4" s="20" t="s">
        <v>46</v>
      </c>
      <c r="D4" s="20" t="s">
        <v>21</v>
      </c>
      <c r="E4" s="20" t="s">
        <v>30</v>
      </c>
      <c r="F4" s="33" t="s">
        <v>22</v>
      </c>
      <c r="G4" s="32">
        <v>70000</v>
      </c>
      <c r="H4" s="20" t="s">
        <v>47</v>
      </c>
      <c r="I4" s="20" t="s">
        <v>48</v>
      </c>
      <c r="J4" s="19">
        <v>0.92361111111111116</v>
      </c>
      <c r="K4" s="19">
        <v>0.92986111111111114</v>
      </c>
      <c r="L4" s="19">
        <v>0.75</v>
      </c>
      <c r="M4" s="19">
        <v>0.75277777777777777</v>
      </c>
      <c r="N4" s="20" t="s">
        <v>51</v>
      </c>
      <c r="O4" s="20" t="s">
        <v>49</v>
      </c>
      <c r="P4" s="20">
        <v>901</v>
      </c>
      <c r="Q4" s="20">
        <v>1182</v>
      </c>
      <c r="R4" s="20">
        <v>0</v>
      </c>
      <c r="S4" s="20">
        <v>0</v>
      </c>
      <c r="T4" s="20">
        <v>0</v>
      </c>
      <c r="U4" s="20">
        <v>0</v>
      </c>
    </row>
    <row r="5" spans="1:22" x14ac:dyDescent="0.25">
      <c r="P5" s="21"/>
      <c r="Q5" s="21"/>
      <c r="R5" s="21"/>
      <c r="S5" s="21"/>
      <c r="T5" s="21"/>
      <c r="U5" s="2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opLeftCell="D1" workbookViewId="0">
      <selection activeCell="D1" sqref="A1:XFD1048576"/>
    </sheetView>
  </sheetViews>
  <sheetFormatPr defaultRowHeight="15" x14ac:dyDescent="0.25"/>
  <cols>
    <col min="3" max="3" width="16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2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21" customFormat="1" x14ac:dyDescent="0.25">
      <c r="A2" s="3">
        <v>44107</v>
      </c>
      <c r="B2" s="9" t="s">
        <v>36</v>
      </c>
      <c r="C2" s="9" t="s">
        <v>28</v>
      </c>
      <c r="D2" s="9" t="s">
        <v>21</v>
      </c>
      <c r="E2" s="23" t="s">
        <v>30</v>
      </c>
      <c r="F2" s="9" t="s">
        <v>22</v>
      </c>
      <c r="G2" s="22">
        <v>70</v>
      </c>
      <c r="H2" s="23" t="s">
        <v>27</v>
      </c>
      <c r="I2" s="23" t="s">
        <v>26</v>
      </c>
      <c r="J2" s="18">
        <v>0.54166666666666663</v>
      </c>
      <c r="K2" s="27">
        <v>0.4597222222222222</v>
      </c>
      <c r="L2" s="18">
        <v>0.39583333333333331</v>
      </c>
      <c r="M2" s="19">
        <v>0.3125</v>
      </c>
      <c r="N2" s="9" t="s">
        <v>58</v>
      </c>
      <c r="O2" s="28" t="s">
        <v>59</v>
      </c>
      <c r="P2" s="23">
        <v>1070</v>
      </c>
      <c r="Q2" s="26">
        <v>1027</v>
      </c>
      <c r="R2" s="9">
        <v>0</v>
      </c>
      <c r="S2" s="9">
        <v>0</v>
      </c>
      <c r="T2" s="9">
        <v>0</v>
      </c>
      <c r="U2" s="9">
        <v>0</v>
      </c>
    </row>
    <row r="3" spans="1:22" s="21" customFormat="1" x14ac:dyDescent="0.25">
      <c r="A3" s="3">
        <v>44107</v>
      </c>
      <c r="B3" s="9" t="s">
        <v>36</v>
      </c>
      <c r="C3" s="9" t="s">
        <v>52</v>
      </c>
      <c r="D3" s="9" t="s">
        <v>21</v>
      </c>
      <c r="E3" s="23" t="s">
        <v>43</v>
      </c>
      <c r="F3" s="9" t="s">
        <v>22</v>
      </c>
      <c r="G3" s="22">
        <v>71500</v>
      </c>
      <c r="H3" s="9" t="s">
        <v>53</v>
      </c>
      <c r="I3" s="9" t="s">
        <v>54</v>
      </c>
      <c r="J3" s="12">
        <v>0.70138888888888884</v>
      </c>
      <c r="K3" s="27">
        <v>0.70000000000000007</v>
      </c>
      <c r="L3" s="12">
        <v>0.49652777777777773</v>
      </c>
      <c r="M3" s="19">
        <v>0.49305555555555558</v>
      </c>
      <c r="N3" s="9">
        <v>149</v>
      </c>
      <c r="O3" s="9" t="s">
        <v>60</v>
      </c>
      <c r="P3" s="9">
        <v>454</v>
      </c>
      <c r="Q3" s="26">
        <v>475</v>
      </c>
      <c r="R3" s="9">
        <v>0</v>
      </c>
      <c r="S3" s="9">
        <v>0</v>
      </c>
      <c r="T3" s="9">
        <v>0</v>
      </c>
      <c r="U3" s="9">
        <v>0</v>
      </c>
    </row>
    <row r="4" spans="1:22" s="21" customFormat="1" x14ac:dyDescent="0.25">
      <c r="A4" s="3">
        <v>44107</v>
      </c>
      <c r="B4" s="9" t="s">
        <v>36</v>
      </c>
      <c r="C4" s="9" t="s">
        <v>55</v>
      </c>
      <c r="D4" s="9" t="s">
        <v>21</v>
      </c>
      <c r="E4" s="23" t="s">
        <v>43</v>
      </c>
      <c r="F4" s="9" t="s">
        <v>22</v>
      </c>
      <c r="G4" s="22">
        <v>71500</v>
      </c>
      <c r="H4" s="9" t="s">
        <v>56</v>
      </c>
      <c r="I4" s="9" t="s">
        <v>57</v>
      </c>
      <c r="J4" s="12">
        <v>0.95486111111111116</v>
      </c>
      <c r="K4" s="25">
        <v>0.96527777777777779</v>
      </c>
      <c r="L4" s="12">
        <v>0.77777777777777779</v>
      </c>
      <c r="M4" s="19">
        <v>0.77569444444444446</v>
      </c>
      <c r="N4" s="20">
        <v>141</v>
      </c>
      <c r="O4" s="20" t="s">
        <v>61</v>
      </c>
      <c r="P4" s="9">
        <v>1131</v>
      </c>
      <c r="Q4" s="9">
        <v>956</v>
      </c>
      <c r="R4" s="9">
        <v>0</v>
      </c>
      <c r="S4" s="9">
        <v>0</v>
      </c>
      <c r="T4" s="9">
        <v>0</v>
      </c>
      <c r="U4" s="9">
        <v>0</v>
      </c>
    </row>
    <row r="5" spans="1:22" x14ac:dyDescent="0.25">
      <c r="A5" s="24"/>
      <c r="B5" s="9"/>
      <c r="C5" s="9"/>
      <c r="D5" s="9"/>
      <c r="E5" s="23"/>
      <c r="F5" s="9"/>
      <c r="G5" s="22"/>
      <c r="H5" s="20"/>
      <c r="I5" s="19"/>
      <c r="J5" s="19"/>
      <c r="K5" s="19"/>
      <c r="L5" s="19"/>
      <c r="M5" s="19"/>
      <c r="N5" s="20"/>
      <c r="O5" s="20"/>
      <c r="P5" s="29"/>
      <c r="Q5" s="29"/>
      <c r="R5" s="9"/>
      <c r="S5" s="9"/>
      <c r="T5" s="9"/>
      <c r="U5" s="9"/>
      <c r="V5" s="30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activeCell="F31" sqref="F31"/>
    </sheetView>
  </sheetViews>
  <sheetFormatPr defaultRowHeight="15" x14ac:dyDescent="0.25"/>
  <cols>
    <col min="1" max="1" width="10.7109375" style="36" customWidth="1"/>
    <col min="2" max="2" width="9.140625" style="36" bestFit="1" customWidth="1"/>
    <col min="3" max="3" width="13.5703125" style="36" bestFit="1" customWidth="1"/>
    <col min="4" max="4" width="5.7109375" style="36" bestFit="1" customWidth="1"/>
    <col min="5" max="5" width="7.42578125" style="36" bestFit="1" customWidth="1"/>
    <col min="6" max="6" width="14.42578125" style="36" bestFit="1" customWidth="1"/>
    <col min="7" max="9" width="9.7109375" style="36" bestFit="1" customWidth="1"/>
    <col min="10" max="10" width="11" style="36" bestFit="1" customWidth="1"/>
    <col min="11" max="11" width="10.85546875" style="36" bestFit="1" customWidth="1"/>
    <col min="12" max="12" width="11" style="36" bestFit="1" customWidth="1"/>
    <col min="13" max="13" width="10.85546875" style="36" bestFit="1" customWidth="1"/>
    <col min="14" max="15" width="18.42578125" style="36" bestFit="1" customWidth="1"/>
    <col min="16" max="17" width="10.28515625" style="36" bestFit="1" customWidth="1"/>
    <col min="18" max="16384" width="9.140625" style="36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44108</v>
      </c>
      <c r="B2" s="33" t="s">
        <v>36</v>
      </c>
      <c r="C2" s="33" t="s">
        <v>23</v>
      </c>
      <c r="D2" s="33" t="s">
        <v>21</v>
      </c>
      <c r="E2" s="33" t="s">
        <v>30</v>
      </c>
      <c r="F2" s="33" t="s">
        <v>22</v>
      </c>
      <c r="G2" s="40">
        <v>70000</v>
      </c>
      <c r="H2" s="33" t="s">
        <v>24</v>
      </c>
      <c r="I2" s="33" t="s">
        <v>25</v>
      </c>
      <c r="J2" s="41">
        <v>0.4826388888888889</v>
      </c>
      <c r="K2" s="42">
        <v>0.47152777777777777</v>
      </c>
      <c r="L2" s="41">
        <v>0.27430555555555552</v>
      </c>
      <c r="M2" s="42">
        <v>0.28055555555555556</v>
      </c>
      <c r="N2" s="42" t="s">
        <v>69</v>
      </c>
      <c r="O2" s="42" t="s">
        <v>68</v>
      </c>
      <c r="P2" s="43">
        <v>1442</v>
      </c>
      <c r="Q2" s="43">
        <v>1014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s="8" customFormat="1" ht="12.75" x14ac:dyDescent="0.2">
      <c r="A3" s="3">
        <v>44108</v>
      </c>
      <c r="B3" s="33" t="s">
        <v>36</v>
      </c>
      <c r="C3" s="47" t="s">
        <v>62</v>
      </c>
      <c r="D3" s="33" t="s">
        <v>21</v>
      </c>
      <c r="E3" s="33" t="s">
        <v>43</v>
      </c>
      <c r="F3" s="33" t="s">
        <v>22</v>
      </c>
      <c r="G3" s="40">
        <v>71500</v>
      </c>
      <c r="H3" s="33" t="s">
        <v>63</v>
      </c>
      <c r="I3" s="47" t="s">
        <v>64</v>
      </c>
      <c r="J3" s="48">
        <v>0.75</v>
      </c>
      <c r="K3" s="27">
        <v>0.74513888888888891</v>
      </c>
      <c r="L3" s="48">
        <v>0.51388888888888895</v>
      </c>
      <c r="M3" s="49">
        <v>0.51250000000000007</v>
      </c>
      <c r="N3" s="9" t="s">
        <v>60</v>
      </c>
      <c r="O3" s="50" t="s">
        <v>70</v>
      </c>
      <c r="P3" s="50">
        <v>1240</v>
      </c>
      <c r="Q3" s="50">
        <v>1931</v>
      </c>
      <c r="R3" s="33">
        <v>0</v>
      </c>
      <c r="S3" s="33">
        <v>0</v>
      </c>
      <c r="T3" s="33">
        <v>0</v>
      </c>
      <c r="U3" s="33">
        <v>0</v>
      </c>
      <c r="V3" s="44"/>
    </row>
    <row r="4" spans="1:22" s="8" customFormat="1" ht="12.75" x14ac:dyDescent="0.2">
      <c r="A4" s="3">
        <v>44108</v>
      </c>
      <c r="B4" s="33" t="s">
        <v>36</v>
      </c>
      <c r="C4" s="44" t="s">
        <v>65</v>
      </c>
      <c r="D4" s="33" t="s">
        <v>21</v>
      </c>
      <c r="E4" s="33" t="s">
        <v>43</v>
      </c>
      <c r="F4" s="33" t="s">
        <v>22</v>
      </c>
      <c r="G4" s="40">
        <v>71500</v>
      </c>
      <c r="H4" s="44" t="s">
        <v>66</v>
      </c>
      <c r="I4" s="44" t="s">
        <v>67</v>
      </c>
      <c r="J4" s="51">
        <v>0.94097222222222221</v>
      </c>
      <c r="K4" s="52">
        <v>0.93125000000000002</v>
      </c>
      <c r="L4" s="51">
        <v>0.77083333333333337</v>
      </c>
      <c r="M4" s="52">
        <v>0.77847222222222223</v>
      </c>
      <c r="N4" s="44" t="s">
        <v>71</v>
      </c>
      <c r="O4" s="44" t="s">
        <v>72</v>
      </c>
      <c r="P4" s="44">
        <v>690</v>
      </c>
      <c r="Q4" s="44">
        <v>1170</v>
      </c>
      <c r="R4" s="44">
        <v>0</v>
      </c>
      <c r="S4" s="44">
        <v>0</v>
      </c>
      <c r="T4" s="44">
        <v>0</v>
      </c>
      <c r="U4" s="44">
        <v>0</v>
      </c>
      <c r="V4" s="46"/>
    </row>
    <row r="5" spans="1:22" s="8" customFormat="1" ht="12.75" x14ac:dyDescent="0.2">
      <c r="A5" s="3"/>
      <c r="B5" s="33"/>
      <c r="C5" s="46"/>
      <c r="D5" s="33"/>
      <c r="E5" s="44"/>
      <c r="F5" s="33"/>
      <c r="G5" s="40"/>
      <c r="H5" s="46"/>
      <c r="I5" s="46"/>
      <c r="J5" s="45"/>
      <c r="K5" s="46"/>
      <c r="L5" s="45"/>
      <c r="M5" s="46"/>
      <c r="N5" s="33"/>
      <c r="O5" s="33"/>
      <c r="P5" s="33"/>
      <c r="Q5" s="33"/>
      <c r="R5" s="33"/>
      <c r="S5" s="33"/>
      <c r="T5" s="9"/>
      <c r="U5" s="9"/>
      <c r="V5" s="44"/>
    </row>
    <row r="6" spans="1:22" s="8" customFormat="1" ht="12.75" x14ac:dyDescent="0.2">
      <c r="A6" s="3"/>
      <c r="B6" s="33"/>
      <c r="C6" s="44"/>
      <c r="D6" s="33"/>
      <c r="E6" s="33"/>
      <c r="F6" s="33"/>
      <c r="G6" s="40"/>
      <c r="H6" s="44"/>
      <c r="I6" s="44"/>
      <c r="J6" s="51"/>
      <c r="K6" s="52"/>
      <c r="L6" s="51"/>
      <c r="M6" s="52"/>
      <c r="N6" s="44"/>
      <c r="O6" s="44"/>
      <c r="P6" s="44"/>
      <c r="Q6" s="44"/>
      <c r="R6" s="44"/>
      <c r="S6" s="44"/>
      <c r="T6" s="44"/>
      <c r="U6" s="44"/>
      <c r="V6" s="46"/>
    </row>
    <row r="7" spans="1:22" customFormat="1" x14ac:dyDescent="0.25">
      <c r="A7" s="31"/>
      <c r="B7" s="13"/>
      <c r="C7" s="14"/>
      <c r="D7" s="13"/>
      <c r="E7" s="33"/>
      <c r="F7" s="13"/>
      <c r="G7" s="32"/>
      <c r="H7" s="14"/>
      <c r="I7" s="14"/>
      <c r="J7" s="15"/>
      <c r="K7" s="16"/>
      <c r="L7" s="15"/>
      <c r="M7" s="16"/>
      <c r="N7" s="14"/>
      <c r="O7" s="14"/>
      <c r="P7" s="14"/>
      <c r="Q7" s="17"/>
      <c r="R7" s="14"/>
      <c r="S7" s="14"/>
      <c r="T7" s="14"/>
      <c r="U7" s="14"/>
    </row>
    <row r="8" spans="1:22" s="34" customFormat="1" ht="12.75" x14ac:dyDescent="0.2">
      <c r="A8" s="31"/>
      <c r="B8" s="13"/>
      <c r="D8" s="13"/>
      <c r="E8" s="33"/>
      <c r="G8" s="32"/>
      <c r="J8" s="35"/>
      <c r="K8" s="35"/>
      <c r="L8" s="35"/>
      <c r="M8" s="35"/>
      <c r="N8" s="20"/>
      <c r="O8" s="20"/>
      <c r="P8" s="20"/>
      <c r="Q8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B1" workbookViewId="0">
      <selection activeCell="F2" sqref="F2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1" customFormat="1" x14ac:dyDescent="0.25">
      <c r="A2" s="3">
        <v>44109</v>
      </c>
      <c r="B2" s="23" t="s">
        <v>36</v>
      </c>
      <c r="C2" s="23" t="s">
        <v>37</v>
      </c>
      <c r="D2" s="23" t="s">
        <v>21</v>
      </c>
      <c r="E2" s="23" t="s">
        <v>43</v>
      </c>
      <c r="F2" s="23" t="s">
        <v>22</v>
      </c>
      <c r="G2" s="22">
        <v>71500</v>
      </c>
      <c r="H2" s="23" t="s">
        <v>38</v>
      </c>
      <c r="I2" s="23" t="s">
        <v>39</v>
      </c>
      <c r="J2" s="37">
        <v>0.46180555555555558</v>
      </c>
      <c r="K2" s="25">
        <v>0.46458333333333335</v>
      </c>
      <c r="L2" s="37">
        <v>0.26041666666666669</v>
      </c>
      <c r="M2" s="19">
        <v>0.26319444444444445</v>
      </c>
      <c r="N2" s="9" t="s">
        <v>74</v>
      </c>
      <c r="O2" s="26" t="s">
        <v>73</v>
      </c>
      <c r="P2" s="20">
        <v>587</v>
      </c>
      <c r="Q2" s="26">
        <v>1078</v>
      </c>
      <c r="R2" s="23">
        <v>0</v>
      </c>
      <c r="S2" s="23">
        <v>0</v>
      </c>
      <c r="T2" s="23">
        <v>0</v>
      </c>
      <c r="U2" s="23">
        <v>0</v>
      </c>
    </row>
    <row r="3" spans="1:21" s="21" customFormat="1" x14ac:dyDescent="0.25">
      <c r="A3" s="3">
        <v>44109</v>
      </c>
      <c r="B3" s="23" t="s">
        <v>36</v>
      </c>
      <c r="C3" s="9" t="s">
        <v>40</v>
      </c>
      <c r="D3" s="9" t="s">
        <v>21</v>
      </c>
      <c r="E3" s="23" t="s">
        <v>30</v>
      </c>
      <c r="F3" s="23" t="s">
        <v>22</v>
      </c>
      <c r="G3" s="22">
        <v>70000</v>
      </c>
      <c r="H3" s="23" t="s">
        <v>41</v>
      </c>
      <c r="I3" s="23" t="s">
        <v>42</v>
      </c>
      <c r="J3" s="18">
        <v>0.73263888888888884</v>
      </c>
      <c r="K3" s="27">
        <v>0.7319444444444444</v>
      </c>
      <c r="L3" s="18">
        <v>0.50694444444444442</v>
      </c>
      <c r="M3" s="19">
        <v>0.50972222222222219</v>
      </c>
      <c r="N3" s="9" t="s">
        <v>76</v>
      </c>
      <c r="O3" s="28" t="s">
        <v>75</v>
      </c>
      <c r="P3" s="23">
        <v>506</v>
      </c>
      <c r="Q3" s="26">
        <v>1600</v>
      </c>
      <c r="R3" s="9">
        <v>0</v>
      </c>
      <c r="S3" s="9">
        <v>0</v>
      </c>
      <c r="T3" s="9">
        <v>0</v>
      </c>
      <c r="U3" s="9">
        <v>0</v>
      </c>
    </row>
    <row r="4" spans="1:21" s="21" customFormat="1" x14ac:dyDescent="0.25">
      <c r="A4" s="3"/>
      <c r="B4" s="9"/>
      <c r="C4" s="9"/>
      <c r="D4" s="9"/>
      <c r="E4" s="23"/>
      <c r="F4" s="9"/>
      <c r="G4" s="22"/>
      <c r="H4" s="9"/>
      <c r="I4" s="9"/>
      <c r="J4" s="12"/>
      <c r="K4" s="27"/>
      <c r="L4" s="12"/>
      <c r="M4" s="19"/>
      <c r="N4" s="9"/>
      <c r="O4" s="9"/>
      <c r="P4" s="9"/>
      <c r="Q4" s="26"/>
      <c r="R4" s="9"/>
      <c r="S4" s="9"/>
      <c r="T4" s="9"/>
      <c r="U4" s="9"/>
    </row>
    <row r="5" spans="1:21" s="21" customFormat="1" x14ac:dyDescent="0.25">
      <c r="A5" s="3"/>
      <c r="B5" s="9"/>
      <c r="C5" s="9"/>
      <c r="D5" s="9"/>
      <c r="E5" s="23"/>
      <c r="F5" s="9"/>
      <c r="G5" s="22"/>
      <c r="H5" s="9"/>
      <c r="I5" s="9"/>
      <c r="J5" s="12"/>
      <c r="K5" s="25"/>
      <c r="L5" s="12"/>
      <c r="M5" s="19"/>
      <c r="N5" s="9"/>
      <c r="O5" s="9"/>
      <c r="P5" s="9"/>
      <c r="Q5" s="9"/>
      <c r="R5" s="9"/>
      <c r="S5" s="9"/>
      <c r="T5" s="9"/>
      <c r="U5" s="9"/>
    </row>
    <row r="6" spans="1:21" s="21" customFormat="1" x14ac:dyDescent="0.25">
      <c r="A6" s="3"/>
      <c r="B6" s="20"/>
      <c r="C6" s="20"/>
      <c r="D6" s="20"/>
      <c r="E6" s="23"/>
      <c r="F6" s="20"/>
      <c r="G6" s="22"/>
      <c r="H6" s="20"/>
      <c r="I6" s="20"/>
      <c r="J6" s="18"/>
      <c r="K6" s="19"/>
      <c r="L6" s="18"/>
      <c r="M6" s="19"/>
      <c r="N6" s="20"/>
      <c r="O6" s="20"/>
      <c r="P6" s="20"/>
      <c r="Q6" s="20"/>
      <c r="R6" s="20"/>
      <c r="S6" s="20"/>
      <c r="T6" s="20"/>
      <c r="U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activeCell="L3" sqref="L3"/>
    </sheetView>
  </sheetViews>
  <sheetFormatPr defaultRowHeight="15" x14ac:dyDescent="0.25"/>
  <cols>
    <col min="3" max="3" width="13.28515625" bestFit="1" customWidth="1"/>
    <col min="6" max="6" width="12.140625" bestFit="1" customWidth="1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44110</v>
      </c>
      <c r="B2" s="33" t="s">
        <v>36</v>
      </c>
      <c r="C2" s="33" t="s">
        <v>77</v>
      </c>
      <c r="D2" s="33" t="s">
        <v>21</v>
      </c>
      <c r="E2" s="33" t="s">
        <v>78</v>
      </c>
      <c r="F2" s="23" t="s">
        <v>22</v>
      </c>
      <c r="G2" s="40">
        <v>71500</v>
      </c>
      <c r="H2" s="33" t="s">
        <v>53</v>
      </c>
      <c r="I2" s="33" t="s">
        <v>54</v>
      </c>
      <c r="J2" s="41">
        <v>0.70138888888888884</v>
      </c>
      <c r="K2" s="42">
        <v>0.6972222222222223</v>
      </c>
      <c r="L2" s="41">
        <v>0.49652777777777773</v>
      </c>
      <c r="M2" s="42">
        <v>0.50347222222222221</v>
      </c>
      <c r="N2" s="42" t="s">
        <v>79</v>
      </c>
      <c r="O2" s="42" t="s">
        <v>80</v>
      </c>
      <c r="P2" s="43">
        <v>797</v>
      </c>
      <c r="Q2" s="43">
        <v>1008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s="8" customFormat="1" ht="12.75" x14ac:dyDescent="0.2">
      <c r="A3" s="3">
        <v>44110</v>
      </c>
      <c r="B3" s="33" t="s">
        <v>36</v>
      </c>
      <c r="C3" s="9" t="s">
        <v>55</v>
      </c>
      <c r="D3" s="33" t="s">
        <v>21</v>
      </c>
      <c r="E3" s="33" t="s">
        <v>30</v>
      </c>
      <c r="F3" s="23" t="s">
        <v>22</v>
      </c>
      <c r="G3" s="40">
        <v>70000</v>
      </c>
      <c r="H3" s="9" t="s">
        <v>81</v>
      </c>
      <c r="I3" s="9" t="s">
        <v>57</v>
      </c>
      <c r="J3" s="45">
        <v>0.95486111111111116</v>
      </c>
      <c r="K3" s="46">
        <v>0.94652777777777775</v>
      </c>
      <c r="L3" s="45">
        <v>0.77777777777777779</v>
      </c>
      <c r="M3" s="46">
        <v>0.77708333333333324</v>
      </c>
      <c r="N3" s="46" t="s">
        <v>83</v>
      </c>
      <c r="O3" s="43" t="s">
        <v>82</v>
      </c>
      <c r="P3" s="33">
        <v>904</v>
      </c>
      <c r="Q3" s="43">
        <v>743</v>
      </c>
      <c r="R3" s="9">
        <v>0</v>
      </c>
      <c r="S3" s="9">
        <v>0</v>
      </c>
      <c r="T3" s="9">
        <v>0</v>
      </c>
      <c r="U3" s="9">
        <v>0</v>
      </c>
      <c r="V3" s="44"/>
    </row>
    <row r="4" spans="1:22" s="8" customFormat="1" ht="12.75" x14ac:dyDescent="0.2">
      <c r="A4" s="3"/>
      <c r="B4" s="33"/>
      <c r="C4" s="47"/>
      <c r="D4" s="33"/>
      <c r="E4" s="46"/>
      <c r="F4" s="33"/>
      <c r="G4" s="40"/>
      <c r="H4" s="33"/>
      <c r="I4" s="47"/>
      <c r="J4" s="48"/>
      <c r="K4" s="27"/>
      <c r="L4" s="48"/>
      <c r="M4" s="49"/>
      <c r="N4" s="9"/>
      <c r="O4" s="50"/>
      <c r="P4" s="50"/>
      <c r="Q4" s="50"/>
      <c r="R4" s="33"/>
      <c r="S4" s="33"/>
      <c r="T4" s="33"/>
      <c r="U4" s="33"/>
      <c r="V4" s="44"/>
    </row>
    <row r="5" spans="1:22" s="8" customFormat="1" ht="12.75" x14ac:dyDescent="0.2">
      <c r="A5" s="3"/>
      <c r="B5" s="33"/>
      <c r="C5" s="46"/>
      <c r="D5" s="33"/>
      <c r="E5" s="46"/>
      <c r="F5" s="33"/>
      <c r="G5" s="40"/>
      <c r="H5" s="46"/>
      <c r="I5" s="46"/>
      <c r="J5" s="45"/>
      <c r="K5" s="46"/>
      <c r="L5" s="45"/>
      <c r="M5" s="46"/>
      <c r="N5" s="33"/>
      <c r="O5" s="33"/>
      <c r="P5" s="33"/>
      <c r="Q5" s="33"/>
      <c r="R5" s="33"/>
      <c r="S5" s="33"/>
      <c r="T5" s="9"/>
      <c r="U5" s="9"/>
      <c r="V5" s="44"/>
    </row>
    <row r="6" spans="1:22" s="8" customFormat="1" ht="12.75" x14ac:dyDescent="0.2">
      <c r="A6" s="3"/>
      <c r="B6" s="33"/>
      <c r="C6" s="44"/>
      <c r="D6" s="33"/>
      <c r="E6" s="44"/>
      <c r="F6" s="33"/>
      <c r="G6" s="40"/>
      <c r="H6" s="44"/>
      <c r="I6" s="44"/>
      <c r="J6" s="51"/>
      <c r="K6" s="52"/>
      <c r="L6" s="51"/>
      <c r="M6" s="52"/>
      <c r="N6" s="44"/>
      <c r="O6" s="44"/>
      <c r="P6" s="44"/>
      <c r="Q6" s="44"/>
      <c r="R6" s="44"/>
      <c r="S6" s="44"/>
      <c r="T6" s="44"/>
      <c r="U6" s="44"/>
      <c r="V6" s="4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sqref="A1:XFD1048576"/>
    </sheetView>
  </sheetViews>
  <sheetFormatPr defaultRowHeight="15" x14ac:dyDescent="0.25"/>
  <cols>
    <col min="2" max="2" width="12.7109375" bestFit="1" customWidth="1"/>
    <col min="3" max="3" width="18.5703125" bestFit="1" customWidth="1"/>
    <col min="6" max="6" width="12.140625" bestFit="1" customWidth="1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44111</v>
      </c>
      <c r="B2" s="33" t="s">
        <v>36</v>
      </c>
      <c r="C2" s="33" t="s">
        <v>62</v>
      </c>
      <c r="D2" s="33" t="s">
        <v>21</v>
      </c>
      <c r="E2" s="33" t="s">
        <v>78</v>
      </c>
      <c r="F2" s="33" t="s">
        <v>22</v>
      </c>
      <c r="G2" s="40">
        <v>71500</v>
      </c>
      <c r="H2" s="33" t="s">
        <v>63</v>
      </c>
      <c r="I2" s="33" t="s">
        <v>64</v>
      </c>
      <c r="J2" s="41">
        <v>0.75</v>
      </c>
      <c r="K2" s="42">
        <v>0.73402777777777783</v>
      </c>
      <c r="L2" s="41">
        <v>0.51388888888888895</v>
      </c>
      <c r="M2" s="42">
        <v>0.51111111111111118</v>
      </c>
      <c r="N2" s="42" t="s">
        <v>80</v>
      </c>
      <c r="O2" s="42" t="s">
        <v>84</v>
      </c>
      <c r="P2" s="43">
        <v>900</v>
      </c>
      <c r="Q2" s="43">
        <v>1592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s="8" customFormat="1" ht="12.75" x14ac:dyDescent="0.2">
      <c r="A3" s="3">
        <v>44111</v>
      </c>
      <c r="B3" s="33" t="s">
        <v>85</v>
      </c>
      <c r="C3" s="9" t="s">
        <v>86</v>
      </c>
      <c r="D3" s="33" t="s">
        <v>87</v>
      </c>
      <c r="E3" s="33" t="s">
        <v>88</v>
      </c>
      <c r="F3" s="33" t="s">
        <v>89</v>
      </c>
      <c r="G3" s="40">
        <v>6800</v>
      </c>
      <c r="H3" s="9"/>
      <c r="I3" s="9" t="s">
        <v>88</v>
      </c>
      <c r="J3" s="45"/>
      <c r="K3" s="46"/>
      <c r="L3" s="45">
        <v>0.625</v>
      </c>
      <c r="M3" s="46">
        <v>0.4909722222222222</v>
      </c>
      <c r="N3" s="46"/>
      <c r="O3" s="43"/>
      <c r="P3" s="33"/>
      <c r="Q3" s="43"/>
      <c r="R3" s="9"/>
      <c r="S3" s="9"/>
      <c r="T3" s="9"/>
      <c r="U3" s="9"/>
      <c r="V3" s="44"/>
    </row>
    <row r="4" spans="1:22" x14ac:dyDescent="0.25">
      <c r="A4" s="24"/>
      <c r="B4" s="9"/>
      <c r="C4" s="9"/>
      <c r="D4" s="9"/>
      <c r="E4" s="23"/>
      <c r="F4" s="9"/>
      <c r="G4" s="22"/>
      <c r="H4" s="20"/>
      <c r="I4" s="20"/>
      <c r="J4" s="18"/>
      <c r="K4" s="19"/>
      <c r="L4" s="18"/>
      <c r="M4" s="19"/>
      <c r="N4" s="54"/>
      <c r="O4" s="53"/>
      <c r="P4" s="54"/>
      <c r="Q4" s="54"/>
      <c r="R4" s="54"/>
      <c r="S4" s="54"/>
      <c r="T4" s="54"/>
      <c r="U4" s="54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P3" sqref="P3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8" customFormat="1" ht="12.75" x14ac:dyDescent="0.2">
      <c r="A2" s="3">
        <v>44112</v>
      </c>
      <c r="B2" s="4" t="s">
        <v>31</v>
      </c>
      <c r="C2" s="4" t="s">
        <v>23</v>
      </c>
      <c r="D2" s="4" t="s">
        <v>21</v>
      </c>
      <c r="E2" s="4" t="s">
        <v>30</v>
      </c>
      <c r="F2" s="4" t="s">
        <v>22</v>
      </c>
      <c r="G2" s="5">
        <v>70000</v>
      </c>
      <c r="H2" s="4" t="s">
        <v>24</v>
      </c>
      <c r="I2" s="4" t="s">
        <v>25</v>
      </c>
      <c r="J2" s="6">
        <v>0.44791666666666669</v>
      </c>
      <c r="K2" s="7">
        <v>0.46111111111111108</v>
      </c>
      <c r="L2" s="6">
        <v>0.25694444444444448</v>
      </c>
      <c r="M2" s="7">
        <v>0.26111111111111113</v>
      </c>
      <c r="N2" s="8" t="s">
        <v>91</v>
      </c>
      <c r="O2" s="8" t="s">
        <v>90</v>
      </c>
      <c r="P2" s="8">
        <v>1027</v>
      </c>
      <c r="Q2" s="8">
        <v>1040</v>
      </c>
      <c r="R2" s="4">
        <v>0</v>
      </c>
      <c r="S2" s="4">
        <v>0</v>
      </c>
      <c r="T2" s="4">
        <v>0</v>
      </c>
      <c r="U2" s="4">
        <v>0</v>
      </c>
    </row>
    <row r="3" spans="1:21" s="8" customFormat="1" ht="12.75" x14ac:dyDescent="0.2">
      <c r="A3" s="3">
        <v>44112</v>
      </c>
      <c r="B3" s="4" t="s">
        <v>31</v>
      </c>
      <c r="C3" s="4" t="s">
        <v>28</v>
      </c>
      <c r="D3" s="4" t="s">
        <v>21</v>
      </c>
      <c r="E3" s="4" t="s">
        <v>78</v>
      </c>
      <c r="F3" s="4" t="s">
        <v>22</v>
      </c>
      <c r="G3" s="5">
        <v>71500</v>
      </c>
      <c r="H3" s="4" t="s">
        <v>27</v>
      </c>
      <c r="I3" s="4" t="s">
        <v>26</v>
      </c>
      <c r="J3" s="6">
        <v>0.82638888888888884</v>
      </c>
      <c r="K3" s="7">
        <v>0.81319444444444444</v>
      </c>
      <c r="L3" s="6">
        <v>0.49305555555555558</v>
      </c>
      <c r="M3" s="7">
        <v>0.49583333333333335</v>
      </c>
      <c r="N3" s="8" t="s">
        <v>93</v>
      </c>
      <c r="O3" s="8" t="s">
        <v>92</v>
      </c>
      <c r="P3" s="8">
        <v>734</v>
      </c>
      <c r="Q3" s="8">
        <v>1134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K4" sqref="K4"/>
    </sheetView>
  </sheetViews>
  <sheetFormatPr defaultRowHeight="15" x14ac:dyDescent="0.25"/>
  <cols>
    <col min="1" max="1" width="10.140625" bestFit="1" customWidth="1"/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44113</v>
      </c>
      <c r="B2" s="33" t="s">
        <v>36</v>
      </c>
      <c r="C2" s="33" t="s">
        <v>37</v>
      </c>
      <c r="D2" s="33" t="s">
        <v>21</v>
      </c>
      <c r="E2" s="33" t="s">
        <v>78</v>
      </c>
      <c r="F2" s="33" t="s">
        <v>22</v>
      </c>
      <c r="G2" s="32">
        <v>70000</v>
      </c>
      <c r="H2" s="33" t="s">
        <v>38</v>
      </c>
      <c r="I2" s="33" t="s">
        <v>39</v>
      </c>
      <c r="J2" s="41">
        <v>0.46180555555555558</v>
      </c>
      <c r="K2" s="42">
        <v>0.46527777777777773</v>
      </c>
      <c r="L2" s="41">
        <v>0.26041666666666669</v>
      </c>
      <c r="M2" s="42">
        <v>0.2722222222222222</v>
      </c>
      <c r="N2" s="43" t="s">
        <v>98</v>
      </c>
      <c r="O2" s="43" t="s">
        <v>97</v>
      </c>
      <c r="P2" s="8">
        <v>1068</v>
      </c>
      <c r="Q2" s="43">
        <v>1489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s="55" customFormat="1" ht="12.75" x14ac:dyDescent="0.2">
      <c r="A3" s="3">
        <v>44113</v>
      </c>
      <c r="B3" s="33" t="s">
        <v>36</v>
      </c>
      <c r="C3" s="20" t="s">
        <v>40</v>
      </c>
      <c r="D3" s="33" t="s">
        <v>21</v>
      </c>
      <c r="E3" s="33" t="s">
        <v>78</v>
      </c>
      <c r="F3" s="33" t="s">
        <v>22</v>
      </c>
      <c r="G3" s="32">
        <v>70000</v>
      </c>
      <c r="H3" s="20" t="s">
        <v>41</v>
      </c>
      <c r="I3" s="20" t="s">
        <v>42</v>
      </c>
      <c r="J3" s="18">
        <v>0.72569444444444453</v>
      </c>
      <c r="K3" s="19">
        <v>0.73402777777777783</v>
      </c>
      <c r="L3" s="18">
        <v>0.5</v>
      </c>
      <c r="M3" s="19">
        <v>0.50555555555555554</v>
      </c>
      <c r="N3" s="19" t="s">
        <v>100</v>
      </c>
      <c r="O3" s="20" t="s">
        <v>99</v>
      </c>
      <c r="P3" s="20">
        <v>787</v>
      </c>
      <c r="Q3" s="20">
        <v>1554</v>
      </c>
      <c r="R3" s="20">
        <v>0</v>
      </c>
      <c r="S3" s="20">
        <v>0</v>
      </c>
      <c r="T3" s="20">
        <v>0</v>
      </c>
      <c r="U3" s="20">
        <v>0</v>
      </c>
    </row>
    <row r="4" spans="1:22" x14ac:dyDescent="0.25">
      <c r="A4" s="3">
        <v>44113</v>
      </c>
      <c r="B4" s="56" t="s">
        <v>36</v>
      </c>
      <c r="C4" s="20" t="s">
        <v>94</v>
      </c>
      <c r="D4" s="20" t="s">
        <v>21</v>
      </c>
      <c r="E4" s="20" t="s">
        <v>30</v>
      </c>
      <c r="F4" s="33" t="s">
        <v>101</v>
      </c>
      <c r="G4" s="32">
        <v>70000</v>
      </c>
      <c r="H4" s="20" t="s">
        <v>95</v>
      </c>
      <c r="I4" s="20" t="s">
        <v>96</v>
      </c>
      <c r="J4" s="19" t="s">
        <v>95</v>
      </c>
      <c r="K4" s="19" t="s">
        <v>95</v>
      </c>
      <c r="L4" s="18">
        <v>0.47916666666666669</v>
      </c>
      <c r="M4" s="19">
        <v>0.5444444444444444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</row>
    <row r="5" spans="1:22" x14ac:dyDescent="0.25">
      <c r="P5" s="21"/>
      <c r="Q5" s="21"/>
      <c r="R5" s="21"/>
      <c r="S5" s="21"/>
      <c r="T5" s="21"/>
      <c r="U5" s="21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opLeftCell="C1" workbookViewId="0">
      <selection activeCell="K5" sqref="K5"/>
    </sheetView>
  </sheetViews>
  <sheetFormatPr defaultRowHeight="15" x14ac:dyDescent="0.25"/>
  <cols>
    <col min="3" max="3" width="16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2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21" customFormat="1" x14ac:dyDescent="0.25">
      <c r="A2" s="3">
        <v>44114</v>
      </c>
      <c r="B2" s="9" t="s">
        <v>36</v>
      </c>
      <c r="C2" s="9" t="s">
        <v>28</v>
      </c>
      <c r="D2" s="9" t="s">
        <v>21</v>
      </c>
      <c r="E2" s="23" t="s">
        <v>78</v>
      </c>
      <c r="F2" s="9" t="s">
        <v>22</v>
      </c>
      <c r="G2" s="22">
        <v>71500</v>
      </c>
      <c r="H2" s="23" t="s">
        <v>27</v>
      </c>
      <c r="I2" s="23" t="s">
        <v>26</v>
      </c>
      <c r="J2" s="18">
        <v>0.52083333333333337</v>
      </c>
      <c r="K2" s="27">
        <v>0.5131944444444444</v>
      </c>
      <c r="L2" s="18">
        <v>0.375</v>
      </c>
      <c r="M2" s="19">
        <v>0.37777777777777777</v>
      </c>
      <c r="N2" s="9" t="s">
        <v>104</v>
      </c>
      <c r="O2" s="28" t="s">
        <v>102</v>
      </c>
      <c r="P2" s="23">
        <v>1646</v>
      </c>
      <c r="Q2" s="26">
        <v>1291</v>
      </c>
      <c r="R2" s="9">
        <v>0</v>
      </c>
      <c r="S2" s="9">
        <v>0</v>
      </c>
      <c r="T2" s="9">
        <v>0</v>
      </c>
      <c r="U2" s="9">
        <v>0</v>
      </c>
    </row>
    <row r="3" spans="1:22" s="21" customFormat="1" x14ac:dyDescent="0.25">
      <c r="A3" s="3">
        <v>44114</v>
      </c>
      <c r="B3" s="9" t="s">
        <v>36</v>
      </c>
      <c r="C3" s="9" t="s">
        <v>52</v>
      </c>
      <c r="D3" s="9" t="s">
        <v>21</v>
      </c>
      <c r="E3" s="23" t="s">
        <v>78</v>
      </c>
      <c r="F3" s="9" t="s">
        <v>22</v>
      </c>
      <c r="G3" s="22">
        <v>71500</v>
      </c>
      <c r="H3" s="9" t="s">
        <v>53</v>
      </c>
      <c r="I3" s="9" t="s">
        <v>54</v>
      </c>
      <c r="J3" s="12">
        <v>0.75694444444444453</v>
      </c>
      <c r="K3" s="27">
        <v>0.75138888888888899</v>
      </c>
      <c r="L3" s="12">
        <v>0.55208333333333337</v>
      </c>
      <c r="M3" s="19">
        <v>0.55208333333333337</v>
      </c>
      <c r="N3" s="9" t="s">
        <v>107</v>
      </c>
      <c r="O3" s="9" t="s">
        <v>103</v>
      </c>
      <c r="P3" s="9">
        <v>762</v>
      </c>
      <c r="Q3" s="26">
        <v>577</v>
      </c>
      <c r="R3" s="9">
        <v>0</v>
      </c>
      <c r="S3" s="9">
        <v>0</v>
      </c>
      <c r="T3" s="9">
        <v>0</v>
      </c>
      <c r="U3" s="9">
        <v>0</v>
      </c>
    </row>
    <row r="4" spans="1:22" s="21" customFormat="1" x14ac:dyDescent="0.25">
      <c r="A4" s="3">
        <v>44114</v>
      </c>
      <c r="B4" s="9" t="s">
        <v>36</v>
      </c>
      <c r="C4" s="9" t="s">
        <v>55</v>
      </c>
      <c r="D4" s="9" t="s">
        <v>21</v>
      </c>
      <c r="E4" s="23" t="s">
        <v>78</v>
      </c>
      <c r="F4" s="9" t="s">
        <v>22</v>
      </c>
      <c r="G4" s="22">
        <v>71500</v>
      </c>
      <c r="H4" s="9" t="s">
        <v>56</v>
      </c>
      <c r="I4" s="9" t="s">
        <v>57</v>
      </c>
      <c r="J4" s="12">
        <v>0.95486111111111116</v>
      </c>
      <c r="K4" s="25">
        <v>0.95763888888888893</v>
      </c>
      <c r="L4" s="12">
        <v>0.77777777777777779</v>
      </c>
      <c r="M4" s="19">
        <v>0.78541666666666676</v>
      </c>
      <c r="N4" s="20" t="s">
        <v>106</v>
      </c>
      <c r="O4" s="20" t="s">
        <v>105</v>
      </c>
      <c r="P4" s="9">
        <v>1017</v>
      </c>
      <c r="Q4" s="9">
        <v>974</v>
      </c>
      <c r="R4" s="9">
        <v>0</v>
      </c>
      <c r="S4" s="9">
        <v>0</v>
      </c>
      <c r="T4" s="9">
        <v>0</v>
      </c>
      <c r="U4" s="9">
        <v>0</v>
      </c>
    </row>
    <row r="5" spans="1:22" x14ac:dyDescent="0.25">
      <c r="A5" s="24"/>
      <c r="B5" s="9"/>
      <c r="C5" s="9"/>
      <c r="D5" s="9"/>
      <c r="E5" s="23"/>
      <c r="F5" s="9"/>
      <c r="G5" s="22"/>
      <c r="H5" s="20"/>
      <c r="I5" s="19"/>
      <c r="J5" s="19"/>
      <c r="K5" s="19"/>
      <c r="L5" s="19"/>
      <c r="M5" s="19"/>
      <c r="N5" s="20"/>
      <c r="O5" s="20"/>
      <c r="P5" s="29"/>
      <c r="Q5" s="29"/>
      <c r="R5" s="9"/>
      <c r="S5" s="9"/>
      <c r="T5" s="9"/>
      <c r="U5" s="9"/>
      <c r="V5" s="3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topLeftCell="G1" workbookViewId="0">
      <selection activeCell="G1" sqref="A1:XFD1048576"/>
    </sheetView>
  </sheetViews>
  <sheetFormatPr defaultRowHeight="15" x14ac:dyDescent="0.25"/>
  <cols>
    <col min="1" max="1" width="10.7109375" style="36" customWidth="1"/>
    <col min="2" max="2" width="9.140625" style="36" bestFit="1" customWidth="1"/>
    <col min="3" max="3" width="13.5703125" style="36" bestFit="1" customWidth="1"/>
    <col min="4" max="4" width="5.7109375" style="36" bestFit="1" customWidth="1"/>
    <col min="5" max="5" width="7.42578125" style="36" bestFit="1" customWidth="1"/>
    <col min="6" max="6" width="14.42578125" style="36" bestFit="1" customWidth="1"/>
    <col min="7" max="9" width="9.7109375" style="36" bestFit="1" customWidth="1"/>
    <col min="10" max="10" width="11" style="36" bestFit="1" customWidth="1"/>
    <col min="11" max="11" width="10.85546875" style="36" bestFit="1" customWidth="1"/>
    <col min="12" max="12" width="11" style="36" bestFit="1" customWidth="1"/>
    <col min="13" max="13" width="10.85546875" style="36" bestFit="1" customWidth="1"/>
    <col min="14" max="15" width="18.42578125" style="36" bestFit="1" customWidth="1"/>
    <col min="16" max="17" width="10.28515625" style="36" bestFit="1" customWidth="1"/>
    <col min="18" max="16384" width="9.140625" style="36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44115</v>
      </c>
      <c r="B2" s="33" t="s">
        <v>36</v>
      </c>
      <c r="C2" s="33" t="s">
        <v>23</v>
      </c>
      <c r="D2" s="33" t="s">
        <v>21</v>
      </c>
      <c r="E2" s="33" t="s">
        <v>109</v>
      </c>
      <c r="F2" s="33" t="s">
        <v>22</v>
      </c>
      <c r="G2" s="40">
        <v>70000</v>
      </c>
      <c r="H2" s="33" t="s">
        <v>24</v>
      </c>
      <c r="I2" s="33" t="s">
        <v>25</v>
      </c>
      <c r="J2" s="41">
        <v>0.4826388888888889</v>
      </c>
      <c r="K2" s="42">
        <v>0.47500000000000003</v>
      </c>
      <c r="L2" s="41">
        <v>0.27430555555555552</v>
      </c>
      <c r="M2" s="42">
        <v>0.27430555555555552</v>
      </c>
      <c r="N2" s="42" t="s">
        <v>110</v>
      </c>
      <c r="O2" s="42" t="s">
        <v>111</v>
      </c>
      <c r="P2" s="43">
        <v>916</v>
      </c>
      <c r="Q2" s="43">
        <v>1301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s="8" customFormat="1" ht="12.75" x14ac:dyDescent="0.2">
      <c r="A3" s="3">
        <v>44115</v>
      </c>
      <c r="B3" s="33" t="s">
        <v>36</v>
      </c>
      <c r="C3" s="47" t="s">
        <v>62</v>
      </c>
      <c r="D3" s="33" t="s">
        <v>21</v>
      </c>
      <c r="E3" s="33" t="s">
        <v>108</v>
      </c>
      <c r="F3" s="33" t="s">
        <v>22</v>
      </c>
      <c r="G3" s="40">
        <v>70000</v>
      </c>
      <c r="H3" s="33" t="s">
        <v>63</v>
      </c>
      <c r="I3" s="47" t="s">
        <v>64</v>
      </c>
      <c r="J3" s="48">
        <v>0.75</v>
      </c>
      <c r="K3" s="27">
        <v>0.74305555555555547</v>
      </c>
      <c r="L3" s="48">
        <v>0.51388888888888895</v>
      </c>
      <c r="M3" s="49">
        <v>0.51180555555555551</v>
      </c>
      <c r="N3" s="9" t="s">
        <v>113</v>
      </c>
      <c r="O3" s="50" t="s">
        <v>112</v>
      </c>
      <c r="P3" s="50">
        <v>710</v>
      </c>
      <c r="Q3" s="50">
        <v>1807</v>
      </c>
      <c r="R3" s="33">
        <v>0</v>
      </c>
      <c r="S3" s="33">
        <v>0</v>
      </c>
      <c r="T3" s="33">
        <v>0</v>
      </c>
      <c r="U3" s="33">
        <v>0</v>
      </c>
      <c r="V3" s="44"/>
    </row>
    <row r="4" spans="1:22" s="8" customFormat="1" ht="12.75" x14ac:dyDescent="0.2">
      <c r="A4" s="3"/>
      <c r="B4" s="33"/>
      <c r="C4" s="44"/>
      <c r="D4" s="33"/>
      <c r="E4" s="33"/>
      <c r="F4" s="33"/>
      <c r="G4" s="40"/>
      <c r="H4" s="44"/>
      <c r="I4" s="44"/>
      <c r="J4" s="51"/>
      <c r="K4" s="52"/>
      <c r="L4" s="51"/>
      <c r="M4" s="52"/>
      <c r="N4" s="44"/>
      <c r="O4" s="44"/>
      <c r="P4" s="44"/>
      <c r="Q4" s="44"/>
      <c r="R4" s="44"/>
      <c r="S4" s="44"/>
      <c r="T4" s="44"/>
      <c r="U4" s="44"/>
      <c r="V4" s="46"/>
    </row>
    <row r="5" spans="1:22" s="8" customFormat="1" ht="12.75" x14ac:dyDescent="0.2">
      <c r="A5" s="3"/>
      <c r="B5" s="33"/>
      <c r="C5" s="46"/>
      <c r="D5" s="33"/>
      <c r="E5" s="44"/>
      <c r="F5" s="33"/>
      <c r="G5" s="40"/>
      <c r="H5" s="46"/>
      <c r="I5" s="46"/>
      <c r="J5" s="45"/>
      <c r="K5" s="46"/>
      <c r="L5" s="45"/>
      <c r="M5" s="46"/>
      <c r="N5" s="33"/>
      <c r="O5" s="33"/>
      <c r="P5" s="33"/>
      <c r="Q5" s="33"/>
      <c r="R5" s="33"/>
      <c r="S5" s="33"/>
      <c r="T5" s="9"/>
      <c r="U5" s="9"/>
      <c r="V5" s="44"/>
    </row>
    <row r="6" spans="1:22" s="8" customFormat="1" ht="12.75" x14ac:dyDescent="0.2">
      <c r="A6" s="3"/>
      <c r="B6" s="33"/>
      <c r="C6" s="44"/>
      <c r="D6" s="33"/>
      <c r="E6" s="33"/>
      <c r="F6" s="33"/>
      <c r="G6" s="40"/>
      <c r="H6" s="44"/>
      <c r="I6" s="44"/>
      <c r="J6" s="51"/>
      <c r="K6" s="52"/>
      <c r="L6" s="51"/>
      <c r="M6" s="52"/>
      <c r="N6" s="44"/>
      <c r="O6" s="44"/>
      <c r="P6" s="44"/>
      <c r="Q6" s="44"/>
      <c r="R6" s="44"/>
      <c r="S6" s="44"/>
      <c r="T6" s="44"/>
      <c r="U6" s="44"/>
      <c r="V6" s="46"/>
    </row>
    <row r="7" spans="1:22" customFormat="1" x14ac:dyDescent="0.25">
      <c r="A7" s="31"/>
      <c r="B7" s="13"/>
      <c r="C7" s="14"/>
      <c r="D7" s="13"/>
      <c r="E7" s="33"/>
      <c r="F7" s="13"/>
      <c r="G7" s="32"/>
      <c r="H7" s="14"/>
      <c r="I7" s="14"/>
      <c r="J7" s="15"/>
      <c r="K7" s="16"/>
      <c r="L7" s="15"/>
      <c r="M7" s="16"/>
      <c r="N7" s="14"/>
      <c r="O7" s="14"/>
      <c r="P7" s="14"/>
      <c r="Q7" s="17"/>
      <c r="R7" s="14"/>
      <c r="S7" s="14"/>
      <c r="T7" s="14"/>
      <c r="U7" s="14"/>
    </row>
    <row r="8" spans="1:22" s="34" customFormat="1" ht="12.75" x14ac:dyDescent="0.2">
      <c r="A8" s="31"/>
      <c r="B8" s="13"/>
      <c r="D8" s="13"/>
      <c r="E8" s="33"/>
      <c r="G8" s="32"/>
      <c r="J8" s="35"/>
      <c r="K8" s="35"/>
      <c r="L8" s="35"/>
      <c r="M8" s="35"/>
      <c r="N8" s="20"/>
      <c r="O8" s="20"/>
      <c r="P8" s="20"/>
      <c r="Q8" s="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K3" sqref="K3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1" customFormat="1" x14ac:dyDescent="0.25">
      <c r="A2" s="3">
        <v>44116</v>
      </c>
      <c r="B2" s="23" t="s">
        <v>36</v>
      </c>
      <c r="C2" s="23" t="s">
        <v>37</v>
      </c>
      <c r="D2" s="23" t="s">
        <v>21</v>
      </c>
      <c r="E2" s="23" t="s">
        <v>108</v>
      </c>
      <c r="F2" s="23" t="s">
        <v>22</v>
      </c>
      <c r="G2" s="22">
        <v>70000</v>
      </c>
      <c r="H2" s="23" t="s">
        <v>38</v>
      </c>
      <c r="I2" s="23" t="s">
        <v>39</v>
      </c>
      <c r="J2" s="37">
        <v>0.46180555555555558</v>
      </c>
      <c r="K2" s="25">
        <v>0.46319444444444446</v>
      </c>
      <c r="L2" s="37">
        <v>0.26041666666666669</v>
      </c>
      <c r="M2" s="19">
        <v>0.26597222222222222</v>
      </c>
      <c r="N2" s="9" t="s">
        <v>115</v>
      </c>
      <c r="O2" s="26" t="s">
        <v>114</v>
      </c>
      <c r="P2" s="20">
        <v>636</v>
      </c>
      <c r="Q2" s="26">
        <v>1359</v>
      </c>
      <c r="R2" s="23">
        <v>0</v>
      </c>
      <c r="S2" s="23">
        <v>0</v>
      </c>
      <c r="T2" s="23">
        <v>0</v>
      </c>
      <c r="U2" s="23">
        <v>0</v>
      </c>
    </row>
    <row r="3" spans="1:21" s="21" customFormat="1" x14ac:dyDescent="0.25">
      <c r="A3" s="3">
        <v>44116</v>
      </c>
      <c r="B3" s="23" t="s">
        <v>36</v>
      </c>
      <c r="C3" s="9" t="s">
        <v>40</v>
      </c>
      <c r="D3" s="9" t="s">
        <v>21</v>
      </c>
      <c r="E3" s="23" t="s">
        <v>108</v>
      </c>
      <c r="F3" s="23" t="s">
        <v>22</v>
      </c>
      <c r="G3" s="22">
        <v>70000</v>
      </c>
      <c r="H3" s="23" t="s">
        <v>41</v>
      </c>
      <c r="I3" s="23" t="s">
        <v>42</v>
      </c>
      <c r="J3" s="18">
        <v>0.73263888888888884</v>
      </c>
      <c r="K3" s="27">
        <v>0.73125000000000007</v>
      </c>
      <c r="L3" s="18">
        <v>0.50694444444444442</v>
      </c>
      <c r="M3" s="19">
        <v>0.50555555555555554</v>
      </c>
      <c r="N3" s="9" t="s">
        <v>117</v>
      </c>
      <c r="O3" s="28" t="s">
        <v>116</v>
      </c>
      <c r="P3" s="23">
        <v>674</v>
      </c>
      <c r="Q3" s="26">
        <v>1428</v>
      </c>
      <c r="R3" s="9">
        <v>0</v>
      </c>
      <c r="S3" s="9">
        <v>0</v>
      </c>
      <c r="T3" s="9">
        <v>0</v>
      </c>
      <c r="U3" s="9">
        <v>0</v>
      </c>
    </row>
    <row r="4" spans="1:21" s="21" customFormat="1" x14ac:dyDescent="0.25">
      <c r="A4" s="3"/>
      <c r="B4" s="9"/>
      <c r="C4" s="9"/>
      <c r="D4" s="9"/>
      <c r="E4" s="23"/>
      <c r="F4" s="9"/>
      <c r="G4" s="22"/>
      <c r="H4" s="9"/>
      <c r="I4" s="9"/>
      <c r="J4" s="12"/>
      <c r="K4" s="27"/>
      <c r="L4" s="12"/>
      <c r="M4" s="19"/>
      <c r="N4" s="9"/>
      <c r="O4" s="9"/>
      <c r="P4" s="9"/>
      <c r="Q4" s="26"/>
      <c r="R4" s="9"/>
      <c r="S4" s="9"/>
      <c r="T4" s="9"/>
      <c r="U4" s="9"/>
    </row>
    <row r="5" spans="1:21" s="21" customFormat="1" x14ac:dyDescent="0.25">
      <c r="A5" s="3"/>
      <c r="B5" s="9"/>
      <c r="C5" s="9"/>
      <c r="D5" s="9"/>
      <c r="E5" s="23"/>
      <c r="F5" s="9"/>
      <c r="G5" s="22"/>
      <c r="H5" s="9"/>
      <c r="I5" s="9"/>
      <c r="J5" s="12"/>
      <c r="K5" s="25"/>
      <c r="L5" s="12"/>
      <c r="M5" s="19"/>
      <c r="N5" s="9"/>
      <c r="O5" s="9"/>
      <c r="P5" s="9"/>
      <c r="Q5" s="9"/>
      <c r="R5" s="9"/>
      <c r="S5" s="9"/>
      <c r="T5" s="9"/>
      <c r="U5" s="9"/>
    </row>
    <row r="6" spans="1:21" s="21" customFormat="1" x14ac:dyDescent="0.25">
      <c r="A6" s="3"/>
      <c r="B6" s="20"/>
      <c r="C6" s="20"/>
      <c r="D6" s="20"/>
      <c r="E6" s="23"/>
      <c r="F6" s="20"/>
      <c r="G6" s="22"/>
      <c r="H6" s="20"/>
      <c r="I6" s="20"/>
      <c r="J6" s="18"/>
      <c r="K6" s="19"/>
      <c r="L6" s="18"/>
      <c r="M6" s="19"/>
      <c r="N6" s="20"/>
      <c r="O6" s="20"/>
      <c r="P6" s="20"/>
      <c r="Q6" s="20"/>
      <c r="R6" s="20"/>
      <c r="S6" s="20"/>
      <c r="T6" s="20"/>
      <c r="U6" s="2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activeCell="A3" sqref="A3:XFD3"/>
    </sheetView>
  </sheetViews>
  <sheetFormatPr defaultRowHeight="15" x14ac:dyDescent="0.25"/>
  <cols>
    <col min="3" max="3" width="13.28515625" bestFit="1" customWidth="1"/>
    <col min="6" max="6" width="12.140625" bestFit="1" customWidth="1"/>
    <col min="14" max="15" width="18.42578125" bestFit="1" customWidth="1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44117</v>
      </c>
      <c r="B2" s="33" t="s">
        <v>36</v>
      </c>
      <c r="C2" s="33" t="s">
        <v>52</v>
      </c>
      <c r="D2" s="33" t="s">
        <v>21</v>
      </c>
      <c r="E2" s="33" t="s">
        <v>118</v>
      </c>
      <c r="F2" s="23" t="s">
        <v>22</v>
      </c>
      <c r="G2" s="40">
        <f>G3</f>
        <v>70000</v>
      </c>
      <c r="H2" s="33" t="s">
        <v>53</v>
      </c>
      <c r="I2" s="33" t="s">
        <v>54</v>
      </c>
      <c r="J2" s="41">
        <v>0.70138888888888884</v>
      </c>
      <c r="K2" s="42">
        <v>0.69166666666666676</v>
      </c>
      <c r="L2" s="41">
        <v>0.49652777777777773</v>
      </c>
      <c r="M2" s="42">
        <v>0.49722222222222223</v>
      </c>
      <c r="N2" s="42" t="s">
        <v>120</v>
      </c>
      <c r="O2" s="42" t="s">
        <v>119</v>
      </c>
      <c r="P2" s="43">
        <v>724</v>
      </c>
      <c r="Q2" s="43">
        <v>848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s="8" customFormat="1" ht="12.75" x14ac:dyDescent="0.2">
      <c r="A3" s="3">
        <f>A2</f>
        <v>44117</v>
      </c>
      <c r="B3" s="33" t="s">
        <v>36</v>
      </c>
      <c r="C3" s="9" t="s">
        <v>55</v>
      </c>
      <c r="D3" s="33" t="s">
        <v>21</v>
      </c>
      <c r="E3" s="33" t="str">
        <f>E2</f>
        <v>HA-LPJ</v>
      </c>
      <c r="F3" s="23" t="s">
        <v>22</v>
      </c>
      <c r="G3" s="40">
        <v>70000</v>
      </c>
      <c r="H3" s="9" t="s">
        <v>81</v>
      </c>
      <c r="I3" s="9" t="s">
        <v>57</v>
      </c>
      <c r="J3" s="45">
        <v>0.95486111111111116</v>
      </c>
      <c r="K3" s="46">
        <v>0.95000000000000007</v>
      </c>
      <c r="L3" s="45">
        <v>0.77777777777777779</v>
      </c>
      <c r="M3" s="46">
        <v>0.77777777777777779</v>
      </c>
      <c r="N3" s="46" t="s">
        <v>122</v>
      </c>
      <c r="O3" s="43" t="s">
        <v>121</v>
      </c>
      <c r="P3" s="33">
        <v>808</v>
      </c>
      <c r="Q3" s="43">
        <v>1005</v>
      </c>
      <c r="R3" s="9">
        <v>0</v>
      </c>
      <c r="S3" s="9">
        <v>0</v>
      </c>
      <c r="T3" s="9">
        <v>0</v>
      </c>
      <c r="U3" s="9">
        <v>0</v>
      </c>
      <c r="V3" s="44"/>
    </row>
    <row r="4" spans="1:22" s="8" customFormat="1" ht="12.75" x14ac:dyDescent="0.2">
      <c r="A4" s="3"/>
      <c r="B4" s="33"/>
      <c r="C4" s="47"/>
      <c r="D4" s="33"/>
      <c r="E4" s="46"/>
      <c r="F4" s="33"/>
      <c r="G4" s="40"/>
      <c r="H4" s="33"/>
      <c r="I4" s="47"/>
      <c r="J4" s="48"/>
      <c r="K4" s="27"/>
      <c r="L4" s="48"/>
      <c r="M4" s="49"/>
      <c r="N4" s="9"/>
      <c r="O4" s="50"/>
      <c r="P4" s="50"/>
      <c r="Q4" s="50"/>
      <c r="R4" s="33"/>
      <c r="S4" s="33"/>
      <c r="T4" s="33"/>
      <c r="U4" s="33"/>
      <c r="V4" s="44"/>
    </row>
    <row r="5" spans="1:22" s="8" customFormat="1" ht="12.75" x14ac:dyDescent="0.2">
      <c r="A5" s="3"/>
      <c r="B5" s="33"/>
      <c r="C5" s="46"/>
      <c r="D5" s="33"/>
      <c r="E5" s="46"/>
      <c r="F5" s="33"/>
      <c r="G5" s="40"/>
      <c r="H5" s="46"/>
      <c r="I5" s="46"/>
      <c r="J5" s="45"/>
      <c r="K5" s="46"/>
      <c r="L5" s="45"/>
      <c r="M5" s="46"/>
      <c r="N5" s="33"/>
      <c r="O5" s="33"/>
      <c r="P5" s="33"/>
      <c r="Q5" s="33"/>
      <c r="R5" s="33"/>
      <c r="S5" s="33"/>
      <c r="T5" s="9"/>
      <c r="U5" s="9"/>
      <c r="V5" s="44"/>
    </row>
    <row r="6" spans="1:22" s="8" customFormat="1" ht="12.75" x14ac:dyDescent="0.2">
      <c r="A6" s="3"/>
      <c r="B6" s="33"/>
      <c r="C6" s="44"/>
      <c r="D6" s="33"/>
      <c r="E6" s="44"/>
      <c r="F6" s="33"/>
      <c r="G6" s="40"/>
      <c r="H6" s="44"/>
      <c r="I6" s="44"/>
      <c r="J6" s="51"/>
      <c r="K6" s="52"/>
      <c r="L6" s="51"/>
      <c r="M6" s="52"/>
      <c r="N6" s="44"/>
      <c r="O6" s="44"/>
      <c r="P6" s="44"/>
      <c r="Q6" s="44"/>
      <c r="R6" s="44"/>
      <c r="S6" s="44"/>
      <c r="T6" s="44"/>
      <c r="U6" s="44"/>
      <c r="V6" s="4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O4" sqref="O4"/>
    </sheetView>
  </sheetViews>
  <sheetFormatPr defaultRowHeight="15" x14ac:dyDescent="0.25"/>
  <cols>
    <col min="2" max="2" width="12.7109375" bestFit="1" customWidth="1"/>
    <col min="3" max="3" width="13.28515625" bestFit="1" customWidth="1"/>
    <col min="4" max="4" width="5.7109375" bestFit="1" customWidth="1"/>
    <col min="5" max="5" width="6.42578125" bestFit="1" customWidth="1"/>
    <col min="6" max="6" width="12.140625" bestFit="1" customWidth="1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44118</v>
      </c>
      <c r="B2" s="33" t="s">
        <v>36</v>
      </c>
      <c r="C2" s="33" t="s">
        <v>62</v>
      </c>
      <c r="D2" s="33" t="s">
        <v>21</v>
      </c>
      <c r="E2" s="33" t="s">
        <v>108</v>
      </c>
      <c r="F2" s="33" t="s">
        <v>22</v>
      </c>
      <c r="G2" s="40">
        <v>71500</v>
      </c>
      <c r="H2" s="33" t="s">
        <v>63</v>
      </c>
      <c r="I2" s="33" t="s">
        <v>64</v>
      </c>
      <c r="J2" s="41">
        <v>0.75</v>
      </c>
      <c r="K2" s="42">
        <v>0.73125000000000007</v>
      </c>
      <c r="L2" s="41">
        <v>0.51388888888888895</v>
      </c>
      <c r="M2" s="42">
        <v>0.51388888888888895</v>
      </c>
      <c r="N2" s="42" t="s">
        <v>124</v>
      </c>
      <c r="O2" s="42" t="s">
        <v>123</v>
      </c>
      <c r="P2" s="43">
        <v>996</v>
      </c>
      <c r="Q2" s="43">
        <v>1312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x14ac:dyDescent="0.25">
      <c r="A3" s="24"/>
      <c r="B3" s="9"/>
      <c r="C3" s="9"/>
      <c r="D3" s="9"/>
      <c r="E3" s="23"/>
      <c r="F3" s="9"/>
      <c r="G3" s="22"/>
      <c r="H3" s="20"/>
      <c r="I3" s="20"/>
      <c r="J3" s="18"/>
      <c r="K3" s="19"/>
      <c r="L3" s="18"/>
      <c r="M3" s="19"/>
      <c r="N3" s="54"/>
      <c r="O3" s="53"/>
      <c r="P3" s="54"/>
      <c r="Q3" s="54"/>
      <c r="R3" s="54"/>
      <c r="S3" s="54"/>
      <c r="T3" s="54"/>
      <c r="U3" s="5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sqref="A1:XFD1048576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8" customFormat="1" ht="12.75" x14ac:dyDescent="0.2">
      <c r="A2" s="3">
        <v>44119</v>
      </c>
      <c r="B2" s="4" t="s">
        <v>31</v>
      </c>
      <c r="C2" s="4" t="s">
        <v>23</v>
      </c>
      <c r="D2" s="4" t="s">
        <v>21</v>
      </c>
      <c r="E2" s="4" t="s">
        <v>108</v>
      </c>
      <c r="F2" s="4" t="s">
        <v>22</v>
      </c>
      <c r="G2" s="5">
        <v>70000</v>
      </c>
      <c r="H2" s="4" t="s">
        <v>24</v>
      </c>
      <c r="I2" s="4" t="s">
        <v>25</v>
      </c>
      <c r="J2" s="6">
        <v>0.44791666666666669</v>
      </c>
      <c r="K2" s="7">
        <v>0.44444444444444442</v>
      </c>
      <c r="L2" s="6">
        <v>0.25694444444444448</v>
      </c>
      <c r="M2" s="7">
        <v>0.26111111111111113</v>
      </c>
      <c r="N2" s="8" t="s">
        <v>126</v>
      </c>
      <c r="O2" s="8" t="s">
        <v>125</v>
      </c>
      <c r="P2" s="8">
        <v>1173</v>
      </c>
      <c r="Q2" s="8">
        <v>1356</v>
      </c>
      <c r="R2" s="4">
        <v>0</v>
      </c>
      <c r="S2" s="4">
        <v>0</v>
      </c>
      <c r="T2" s="4">
        <v>0</v>
      </c>
      <c r="U2" s="4">
        <v>0</v>
      </c>
    </row>
    <row r="3" spans="1:21" s="8" customFormat="1" ht="12.75" x14ac:dyDescent="0.2">
      <c r="A3" s="3">
        <v>44119</v>
      </c>
      <c r="B3" s="4" t="s">
        <v>31</v>
      </c>
      <c r="C3" s="4" t="s">
        <v>28</v>
      </c>
      <c r="D3" s="4" t="s">
        <v>21</v>
      </c>
      <c r="E3" s="4" t="s">
        <v>108</v>
      </c>
      <c r="F3" s="4" t="s">
        <v>22</v>
      </c>
      <c r="G3" s="5">
        <v>70000</v>
      </c>
      <c r="H3" s="4" t="s">
        <v>27</v>
      </c>
      <c r="I3" s="4" t="s">
        <v>26</v>
      </c>
      <c r="J3" s="6">
        <v>0.82638888888888884</v>
      </c>
      <c r="K3" s="7">
        <v>0.81041666666666667</v>
      </c>
      <c r="L3" s="6">
        <v>0.49305555555555558</v>
      </c>
      <c r="M3" s="7">
        <v>0.48958333333333331</v>
      </c>
      <c r="N3" s="7" t="s">
        <v>127</v>
      </c>
      <c r="O3" s="8" t="s">
        <v>35</v>
      </c>
      <c r="P3" s="8">
        <v>830</v>
      </c>
      <c r="Q3" s="8">
        <v>937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opLeftCell="B1" workbookViewId="0">
      <selection activeCell="B1" sqref="A1:XFD2"/>
    </sheetView>
  </sheetViews>
  <sheetFormatPr defaultRowHeight="15" x14ac:dyDescent="0.25"/>
  <cols>
    <col min="1" max="1" width="10.140625" bestFit="1" customWidth="1"/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44120</v>
      </c>
      <c r="B2" s="33" t="s">
        <v>36</v>
      </c>
      <c r="C2" s="33" t="s">
        <v>37</v>
      </c>
      <c r="D2" s="33" t="s">
        <v>21</v>
      </c>
      <c r="E2" s="33" t="s">
        <v>108</v>
      </c>
      <c r="F2" s="33" t="s">
        <v>22</v>
      </c>
      <c r="G2" s="32">
        <v>70000</v>
      </c>
      <c r="H2" s="33" t="s">
        <v>38</v>
      </c>
      <c r="I2" s="33" t="s">
        <v>39</v>
      </c>
      <c r="J2" s="41">
        <v>0.46180555555555558</v>
      </c>
      <c r="K2" s="42">
        <v>0.4548611111111111</v>
      </c>
      <c r="L2" s="41">
        <v>0.26041666666666669</v>
      </c>
      <c r="M2" s="42">
        <v>0.26527777777777778</v>
      </c>
      <c r="N2" s="43" t="s">
        <v>129</v>
      </c>
      <c r="O2" s="43" t="s">
        <v>128</v>
      </c>
      <c r="P2" s="8">
        <v>716</v>
      </c>
      <c r="Q2" s="43">
        <v>1450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s="55" customFormat="1" ht="12.75" x14ac:dyDescent="0.2">
      <c r="A3" s="3">
        <v>44120</v>
      </c>
      <c r="B3" s="33" t="s">
        <v>36</v>
      </c>
      <c r="C3" s="20" t="s">
        <v>40</v>
      </c>
      <c r="D3" s="33" t="s">
        <v>21</v>
      </c>
      <c r="E3" s="33" t="s">
        <v>108</v>
      </c>
      <c r="F3" s="33" t="s">
        <v>22</v>
      </c>
      <c r="G3" s="32">
        <v>70000</v>
      </c>
      <c r="H3" s="20" t="s">
        <v>41</v>
      </c>
      <c r="I3" s="20" t="s">
        <v>42</v>
      </c>
      <c r="J3" s="18">
        <v>0.72569444444444453</v>
      </c>
      <c r="K3" s="19">
        <v>0.72777777777777775</v>
      </c>
      <c r="L3" s="18">
        <v>0.5</v>
      </c>
      <c r="M3" s="19">
        <v>0.4993055555555555</v>
      </c>
      <c r="N3" s="19" t="s">
        <v>131</v>
      </c>
      <c r="O3" s="20" t="s">
        <v>130</v>
      </c>
      <c r="P3" s="20">
        <v>531</v>
      </c>
      <c r="Q3" s="20">
        <v>1749</v>
      </c>
      <c r="R3" s="20">
        <v>0</v>
      </c>
      <c r="S3" s="20">
        <v>0</v>
      </c>
      <c r="T3" s="20">
        <v>0</v>
      </c>
      <c r="U3" s="20">
        <v>0</v>
      </c>
    </row>
    <row r="4" spans="1:22" x14ac:dyDescent="0.25">
      <c r="A4" s="3">
        <v>44120</v>
      </c>
      <c r="B4" s="56" t="s">
        <v>36</v>
      </c>
      <c r="C4" s="20" t="s">
        <v>46</v>
      </c>
      <c r="D4" s="20" t="s">
        <v>21</v>
      </c>
      <c r="E4" s="33" t="s">
        <v>108</v>
      </c>
      <c r="F4" s="33" t="s">
        <v>22</v>
      </c>
      <c r="G4" s="32">
        <v>70000</v>
      </c>
      <c r="H4" s="20" t="s">
        <v>47</v>
      </c>
      <c r="I4" s="20" t="s">
        <v>48</v>
      </c>
      <c r="J4" s="18">
        <v>0.9375</v>
      </c>
      <c r="K4" s="19">
        <v>0.92569444444444438</v>
      </c>
      <c r="L4" s="18">
        <v>0.76388888888888884</v>
      </c>
      <c r="M4" s="19">
        <v>0.76250000000000007</v>
      </c>
      <c r="N4" s="20" t="s">
        <v>132</v>
      </c>
      <c r="O4" s="20" t="s">
        <v>133</v>
      </c>
      <c r="P4" s="20">
        <v>575</v>
      </c>
      <c r="Q4" s="20">
        <v>551</v>
      </c>
      <c r="R4" s="20">
        <v>0</v>
      </c>
      <c r="S4" s="20">
        <v>0</v>
      </c>
      <c r="T4" s="20">
        <v>0</v>
      </c>
      <c r="U4" s="20">
        <v>0</v>
      </c>
    </row>
    <row r="5" spans="1:22" x14ac:dyDescent="0.25">
      <c r="P5" s="21"/>
      <c r="Q5" s="21"/>
      <c r="R5" s="21"/>
      <c r="S5" s="21"/>
      <c r="T5" s="21"/>
      <c r="U5" s="21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J17" sqref="J17"/>
    </sheetView>
  </sheetViews>
  <sheetFormatPr defaultRowHeight="15" x14ac:dyDescent="0.25"/>
  <cols>
    <col min="2" max="2" width="18.85546875" bestFit="1" customWidth="1"/>
    <col min="3" max="3" width="16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2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21" customFormat="1" x14ac:dyDescent="0.25">
      <c r="A2" s="3">
        <v>44121</v>
      </c>
      <c r="B2" s="9" t="s">
        <v>36</v>
      </c>
      <c r="C2" s="9" t="s">
        <v>28</v>
      </c>
      <c r="D2" s="9" t="s">
        <v>21</v>
      </c>
      <c r="E2" s="23" t="s">
        <v>118</v>
      </c>
      <c r="F2" s="9" t="s">
        <v>22</v>
      </c>
      <c r="G2" s="22">
        <v>70000</v>
      </c>
      <c r="H2" s="23" t="s">
        <v>27</v>
      </c>
      <c r="I2" s="23" t="s">
        <v>26</v>
      </c>
      <c r="J2" s="18">
        <v>0.52083333333333337</v>
      </c>
      <c r="K2" s="27">
        <v>0.51180555555555551</v>
      </c>
      <c r="L2" s="18">
        <v>0.375</v>
      </c>
      <c r="M2" s="19">
        <v>0.38055555555555554</v>
      </c>
      <c r="N2" s="9" t="s">
        <v>135</v>
      </c>
      <c r="O2" s="28" t="s">
        <v>134</v>
      </c>
      <c r="P2" s="23">
        <v>856</v>
      </c>
      <c r="Q2" s="26">
        <v>1204</v>
      </c>
      <c r="R2" s="9">
        <v>0</v>
      </c>
      <c r="S2" s="9">
        <v>0</v>
      </c>
      <c r="T2" s="9">
        <v>0</v>
      </c>
      <c r="U2" s="9">
        <v>0</v>
      </c>
    </row>
    <row r="3" spans="1:22" s="21" customFormat="1" x14ac:dyDescent="0.25">
      <c r="A3" s="3">
        <f>A2</f>
        <v>44121</v>
      </c>
      <c r="B3" s="9" t="s">
        <v>36</v>
      </c>
      <c r="C3" s="9" t="s">
        <v>52</v>
      </c>
      <c r="D3" s="9" t="s">
        <v>21</v>
      </c>
      <c r="E3" s="23" t="str">
        <f>E2</f>
        <v>HA-LPJ</v>
      </c>
      <c r="F3" s="9" t="s">
        <v>22</v>
      </c>
      <c r="G3" s="22">
        <f>G2</f>
        <v>70000</v>
      </c>
      <c r="H3" s="9" t="s">
        <v>53</v>
      </c>
      <c r="I3" s="9" t="s">
        <v>54</v>
      </c>
      <c r="J3" s="12">
        <v>0.75</v>
      </c>
      <c r="K3" s="27">
        <v>0.75347222222222221</v>
      </c>
      <c r="L3" s="12">
        <v>0.54513888888888895</v>
      </c>
      <c r="M3" s="19">
        <v>0.54999999999999993</v>
      </c>
      <c r="N3" s="9" t="s">
        <v>142</v>
      </c>
      <c r="O3" s="9" t="s">
        <v>140</v>
      </c>
      <c r="P3" s="9">
        <v>416</v>
      </c>
      <c r="Q3" s="26">
        <v>915</v>
      </c>
      <c r="R3" s="9">
        <v>0</v>
      </c>
      <c r="S3" s="9">
        <v>0</v>
      </c>
      <c r="T3" s="9">
        <v>0</v>
      </c>
      <c r="U3" s="9">
        <v>0</v>
      </c>
    </row>
    <row r="4" spans="1:22" s="21" customFormat="1" x14ac:dyDescent="0.25">
      <c r="A4" s="3">
        <f>A3</f>
        <v>44121</v>
      </c>
      <c r="B4" s="9" t="s">
        <v>36</v>
      </c>
      <c r="C4" s="9" t="s">
        <v>55</v>
      </c>
      <c r="D4" s="9" t="s">
        <v>21</v>
      </c>
      <c r="E4" s="23" t="str">
        <f>E3</f>
        <v>HA-LPJ</v>
      </c>
      <c r="F4" s="9" t="s">
        <v>22</v>
      </c>
      <c r="G4" s="22">
        <f>G3</f>
        <v>70000</v>
      </c>
      <c r="H4" s="9" t="s">
        <v>56</v>
      </c>
      <c r="I4" s="9" t="s">
        <v>57</v>
      </c>
      <c r="J4" s="12">
        <v>0.95486111111111116</v>
      </c>
      <c r="K4" s="25">
        <v>0.96180555555555547</v>
      </c>
      <c r="L4" s="12">
        <v>0.77083333333333337</v>
      </c>
      <c r="M4" s="19">
        <v>0.78680555555555554</v>
      </c>
      <c r="N4" s="20" t="s">
        <v>144</v>
      </c>
      <c r="O4" s="20" t="s">
        <v>143</v>
      </c>
      <c r="P4" s="9">
        <v>923</v>
      </c>
      <c r="Q4" s="9">
        <v>1174</v>
      </c>
      <c r="R4" s="9">
        <v>0</v>
      </c>
      <c r="S4" s="9">
        <v>0</v>
      </c>
      <c r="T4" s="9">
        <v>0</v>
      </c>
      <c r="U4" s="9">
        <v>0</v>
      </c>
    </row>
    <row r="5" spans="1:22" x14ac:dyDescent="0.25">
      <c r="A5" s="24">
        <f>A4</f>
        <v>44121</v>
      </c>
      <c r="B5" s="9" t="s">
        <v>137</v>
      </c>
      <c r="C5" s="9" t="s">
        <v>141</v>
      </c>
      <c r="D5" s="9" t="s">
        <v>138</v>
      </c>
      <c r="E5" s="23" t="s">
        <v>139</v>
      </c>
      <c r="F5" s="9" t="s">
        <v>101</v>
      </c>
      <c r="G5" s="22">
        <v>5000</v>
      </c>
      <c r="H5" s="20" t="s">
        <v>136</v>
      </c>
      <c r="I5" s="19" t="str">
        <f>H5</f>
        <v>JDI42H</v>
      </c>
      <c r="J5" s="18">
        <v>0.46527777777777773</v>
      </c>
      <c r="K5" s="19">
        <f>J5</f>
        <v>0.46527777777777773</v>
      </c>
      <c r="L5" s="18">
        <v>0.47222222222222227</v>
      </c>
      <c r="M5" s="19">
        <v>0.47430555555555554</v>
      </c>
      <c r="N5" s="20">
        <v>0</v>
      </c>
      <c r="O5" s="20">
        <v>0</v>
      </c>
      <c r="P5" s="29">
        <v>0</v>
      </c>
      <c r="Q5" s="29">
        <v>0</v>
      </c>
      <c r="R5" s="9">
        <v>0</v>
      </c>
      <c r="S5" s="9">
        <v>0</v>
      </c>
      <c r="T5" s="9">
        <v>0</v>
      </c>
      <c r="U5" s="9">
        <v>0</v>
      </c>
      <c r="V5" s="30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activeCell="A3" sqref="A3:U3"/>
    </sheetView>
  </sheetViews>
  <sheetFormatPr defaultRowHeight="15" x14ac:dyDescent="0.25"/>
  <cols>
    <col min="1" max="1" width="10.7109375" style="36" customWidth="1"/>
    <col min="2" max="2" width="9.140625" style="36" bestFit="1" customWidth="1"/>
    <col min="3" max="3" width="13.5703125" style="36" bestFit="1" customWidth="1"/>
    <col min="4" max="4" width="5.7109375" style="36" bestFit="1" customWidth="1"/>
    <col min="5" max="5" width="7.42578125" style="36" bestFit="1" customWidth="1"/>
    <col min="6" max="6" width="14.42578125" style="36" bestFit="1" customWidth="1"/>
    <col min="7" max="9" width="9.7109375" style="36" bestFit="1" customWidth="1"/>
    <col min="10" max="10" width="11" style="36" bestFit="1" customWidth="1"/>
    <col min="11" max="11" width="10.85546875" style="36" bestFit="1" customWidth="1"/>
    <col min="12" max="12" width="11" style="36" bestFit="1" customWidth="1"/>
    <col min="13" max="13" width="10.85546875" style="36" bestFit="1" customWidth="1"/>
    <col min="14" max="15" width="18.42578125" style="36" bestFit="1" customWidth="1"/>
    <col min="16" max="17" width="10.28515625" style="36" bestFit="1" customWidth="1"/>
    <col min="18" max="16384" width="9.140625" style="36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44122</v>
      </c>
      <c r="B2" s="33" t="s">
        <v>36</v>
      </c>
      <c r="C2" s="33" t="s">
        <v>23</v>
      </c>
      <c r="D2" s="33" t="s">
        <v>21</v>
      </c>
      <c r="E2" s="33" t="s">
        <v>108</v>
      </c>
      <c r="F2" s="33" t="s">
        <v>22</v>
      </c>
      <c r="G2" s="40">
        <v>70000</v>
      </c>
      <c r="H2" s="33" t="s">
        <v>24</v>
      </c>
      <c r="I2" s="33" t="s">
        <v>25</v>
      </c>
      <c r="J2" s="41">
        <v>0.69097222222222221</v>
      </c>
      <c r="K2" s="42">
        <v>0.69305555555555554</v>
      </c>
      <c r="L2" s="41">
        <v>0.27430555555555552</v>
      </c>
      <c r="M2" s="42">
        <v>0.27986111111111112</v>
      </c>
      <c r="N2" s="42" t="s">
        <v>146</v>
      </c>
      <c r="O2" s="42" t="s">
        <v>145</v>
      </c>
      <c r="P2" s="43">
        <v>1139</v>
      </c>
      <c r="Q2" s="43">
        <v>1087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s="8" customFormat="1" ht="12.75" x14ac:dyDescent="0.2">
      <c r="A3" s="3">
        <v>44122</v>
      </c>
      <c r="B3" s="33" t="s">
        <v>36</v>
      </c>
      <c r="C3" s="47" t="s">
        <v>62</v>
      </c>
      <c r="D3" s="33" t="s">
        <v>21</v>
      </c>
      <c r="E3" s="33" t="s">
        <v>108</v>
      </c>
      <c r="F3" s="33" t="s">
        <v>22</v>
      </c>
      <c r="G3" s="40">
        <v>70000</v>
      </c>
      <c r="H3" s="33" t="s">
        <v>63</v>
      </c>
      <c r="I3" s="47" t="s">
        <v>64</v>
      </c>
      <c r="J3" s="48">
        <v>0.95833333333333337</v>
      </c>
      <c r="K3" s="27">
        <v>0.9458333333333333</v>
      </c>
      <c r="L3" s="48">
        <v>0.72222222222222221</v>
      </c>
      <c r="M3" s="49">
        <v>0.72777777777777775</v>
      </c>
      <c r="N3" s="9" t="s">
        <v>148</v>
      </c>
      <c r="O3" s="50" t="s">
        <v>147</v>
      </c>
      <c r="P3" s="50">
        <v>635</v>
      </c>
      <c r="Q3" s="50">
        <v>1550</v>
      </c>
      <c r="R3" s="33">
        <v>0</v>
      </c>
      <c r="S3" s="33">
        <v>0</v>
      </c>
      <c r="T3" s="33">
        <v>0</v>
      </c>
      <c r="U3" s="33">
        <v>0</v>
      </c>
      <c r="V3" s="44"/>
    </row>
    <row r="4" spans="1:22" s="8" customFormat="1" ht="12.75" x14ac:dyDescent="0.2">
      <c r="A4" s="3"/>
      <c r="B4" s="33"/>
      <c r="C4" s="44"/>
      <c r="D4" s="33"/>
      <c r="E4" s="33"/>
      <c r="F4" s="33"/>
      <c r="G4" s="40"/>
      <c r="H4" s="44"/>
      <c r="I4" s="44"/>
      <c r="J4" s="51"/>
      <c r="K4" s="52"/>
      <c r="L4" s="51"/>
      <c r="M4" s="52"/>
      <c r="N4" s="44"/>
      <c r="O4" s="44"/>
      <c r="P4" s="44"/>
      <c r="Q4" s="44"/>
      <c r="R4" s="44"/>
      <c r="S4" s="44"/>
      <c r="T4" s="44"/>
      <c r="U4" s="44"/>
      <c r="V4" s="46"/>
    </row>
    <row r="5" spans="1:22" s="8" customFormat="1" ht="12.75" x14ac:dyDescent="0.2">
      <c r="A5" s="3"/>
      <c r="B5" s="33"/>
      <c r="C5" s="46"/>
      <c r="D5" s="33"/>
      <c r="E5" s="44"/>
      <c r="F5" s="33"/>
      <c r="G5" s="40"/>
      <c r="H5" s="46"/>
      <c r="I5" s="46"/>
      <c r="J5" s="45"/>
      <c r="K5" s="46"/>
      <c r="L5" s="45"/>
      <c r="M5" s="46"/>
      <c r="N5" s="33"/>
      <c r="O5" s="33"/>
      <c r="P5" s="33"/>
      <c r="Q5" s="33"/>
      <c r="R5" s="33"/>
      <c r="S5" s="33"/>
      <c r="T5" s="9"/>
      <c r="U5" s="9"/>
      <c r="V5" s="44"/>
    </row>
    <row r="6" spans="1:22" s="8" customFormat="1" ht="12.75" x14ac:dyDescent="0.2">
      <c r="A6" s="3"/>
      <c r="B6" s="33"/>
      <c r="C6" s="44"/>
      <c r="D6" s="33"/>
      <c r="E6" s="33"/>
      <c r="F6" s="33"/>
      <c r="G6" s="40"/>
      <c r="H6" s="44"/>
      <c r="I6" s="44"/>
      <c r="J6" s="51"/>
      <c r="K6" s="52"/>
      <c r="L6" s="51"/>
      <c r="M6" s="52"/>
      <c r="N6" s="44"/>
      <c r="O6" s="44"/>
      <c r="P6" s="44"/>
      <c r="Q6" s="44"/>
      <c r="R6" s="44"/>
      <c r="S6" s="44"/>
      <c r="T6" s="44"/>
      <c r="U6" s="44"/>
      <c r="V6" s="46"/>
    </row>
    <row r="7" spans="1:22" customFormat="1" x14ac:dyDescent="0.25">
      <c r="A7" s="31"/>
      <c r="B7" s="13"/>
      <c r="C7" s="14"/>
      <c r="D7" s="13"/>
      <c r="E7" s="33"/>
      <c r="F7" s="13"/>
      <c r="G7" s="32"/>
      <c r="H7" s="14"/>
      <c r="I7" s="14"/>
      <c r="J7" s="15"/>
      <c r="K7" s="16"/>
      <c r="L7" s="15"/>
      <c r="M7" s="16"/>
      <c r="N7" s="14"/>
      <c r="O7" s="14"/>
      <c r="P7" s="14"/>
      <c r="Q7" s="17"/>
      <c r="R7" s="14"/>
      <c r="S7" s="14"/>
      <c r="T7" s="14"/>
      <c r="U7" s="14"/>
    </row>
    <row r="8" spans="1:22" s="34" customFormat="1" ht="12.75" x14ac:dyDescent="0.2">
      <c r="A8" s="31"/>
      <c r="B8" s="13"/>
      <c r="D8" s="13"/>
      <c r="E8" s="33"/>
      <c r="G8" s="32"/>
      <c r="J8" s="35"/>
      <c r="K8" s="35"/>
      <c r="L8" s="35"/>
      <c r="M8" s="35"/>
      <c r="N8" s="20"/>
      <c r="O8" s="20"/>
      <c r="P8" s="20"/>
      <c r="Q8" s="2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M16" sqref="M16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1" customFormat="1" x14ac:dyDescent="0.25">
      <c r="A2" s="3">
        <v>44123</v>
      </c>
      <c r="B2" s="23" t="s">
        <v>36</v>
      </c>
      <c r="C2" s="23" t="s">
        <v>37</v>
      </c>
      <c r="D2" s="23" t="s">
        <v>21</v>
      </c>
      <c r="E2" s="23" t="s">
        <v>108</v>
      </c>
      <c r="F2" s="23" t="s">
        <v>22</v>
      </c>
      <c r="G2" s="22">
        <v>70000</v>
      </c>
      <c r="H2" s="23" t="s">
        <v>38</v>
      </c>
      <c r="I2" s="23" t="s">
        <v>39</v>
      </c>
      <c r="J2" s="37">
        <v>0.46180555555555558</v>
      </c>
      <c r="K2" s="25">
        <v>0.47222222222222227</v>
      </c>
      <c r="L2" s="37">
        <v>0.26041666666666669</v>
      </c>
      <c r="M2" s="19">
        <v>0.27013888888888887</v>
      </c>
      <c r="N2" s="9" t="s">
        <v>151</v>
      </c>
      <c r="O2" s="26" t="s">
        <v>150</v>
      </c>
      <c r="P2" s="20">
        <v>605</v>
      </c>
      <c r="Q2" s="26">
        <v>1557</v>
      </c>
      <c r="R2" s="23">
        <v>0</v>
      </c>
      <c r="S2" s="23">
        <v>0</v>
      </c>
      <c r="T2" s="23">
        <v>0</v>
      </c>
      <c r="U2" s="23">
        <v>0</v>
      </c>
    </row>
    <row r="3" spans="1:21" s="21" customFormat="1" x14ac:dyDescent="0.25">
      <c r="A3" s="3">
        <v>44123</v>
      </c>
      <c r="B3" s="23" t="s">
        <v>36</v>
      </c>
      <c r="C3" s="9" t="s">
        <v>40</v>
      </c>
      <c r="D3" s="9" t="s">
        <v>21</v>
      </c>
      <c r="E3" s="23" t="s">
        <v>108</v>
      </c>
      <c r="F3" s="23" t="s">
        <v>22</v>
      </c>
      <c r="G3" s="22">
        <v>70000</v>
      </c>
      <c r="H3" s="23" t="s">
        <v>41</v>
      </c>
      <c r="I3" s="23" t="s">
        <v>42</v>
      </c>
      <c r="J3" s="18">
        <v>0.73263888888888884</v>
      </c>
      <c r="K3" s="27">
        <v>0.75</v>
      </c>
      <c r="L3" s="18">
        <v>0.50694444444444442</v>
      </c>
      <c r="M3" s="19">
        <v>0.52916666666666667</v>
      </c>
      <c r="N3" s="9" t="s">
        <v>154</v>
      </c>
      <c r="O3" s="28" t="s">
        <v>152</v>
      </c>
      <c r="P3" s="23">
        <v>624</v>
      </c>
      <c r="Q3" s="26">
        <v>1423</v>
      </c>
      <c r="R3" s="9">
        <v>0</v>
      </c>
      <c r="S3" s="9">
        <v>0</v>
      </c>
      <c r="T3" s="9">
        <v>0</v>
      </c>
      <c r="U3" s="9">
        <v>0</v>
      </c>
    </row>
    <row r="4" spans="1:21" s="21" customFormat="1" x14ac:dyDescent="0.25">
      <c r="A4" s="3">
        <v>44123</v>
      </c>
      <c r="B4" s="33" t="s">
        <v>36</v>
      </c>
      <c r="C4" s="47" t="s">
        <v>62</v>
      </c>
      <c r="D4" s="33" t="s">
        <v>21</v>
      </c>
      <c r="E4" s="33" t="s">
        <v>149</v>
      </c>
      <c r="F4" s="33" t="s">
        <v>22</v>
      </c>
      <c r="G4" s="40">
        <v>73500</v>
      </c>
      <c r="H4" s="33" t="s">
        <v>63</v>
      </c>
      <c r="I4" s="47" t="s">
        <v>64</v>
      </c>
      <c r="J4" s="48">
        <v>0.75</v>
      </c>
      <c r="K4" s="27">
        <v>0.73611111111111116</v>
      </c>
      <c r="L4" s="48">
        <v>0.77083333333333337</v>
      </c>
      <c r="M4" s="49">
        <v>0.77638888888888891</v>
      </c>
      <c r="N4" s="9" t="s">
        <v>155</v>
      </c>
      <c r="O4" s="50" t="s">
        <v>153</v>
      </c>
      <c r="P4" s="50">
        <v>282</v>
      </c>
      <c r="Q4" s="50">
        <v>494</v>
      </c>
      <c r="R4" s="33">
        <v>0</v>
      </c>
      <c r="S4" s="33">
        <v>0</v>
      </c>
      <c r="T4" s="33">
        <v>0</v>
      </c>
      <c r="U4" s="33">
        <v>0</v>
      </c>
    </row>
    <row r="5" spans="1:21" s="21" customFormat="1" x14ac:dyDescent="0.25">
      <c r="A5" s="3"/>
      <c r="B5" s="9"/>
      <c r="C5" s="9"/>
      <c r="D5" s="9"/>
      <c r="E5" s="23"/>
      <c r="F5" s="9"/>
      <c r="G5" s="22"/>
      <c r="H5" s="9"/>
      <c r="I5" s="9"/>
      <c r="J5" s="12"/>
      <c r="K5" s="25"/>
      <c r="L5" s="12"/>
      <c r="M5" s="19"/>
      <c r="N5" s="9"/>
      <c r="O5" s="9"/>
      <c r="P5" s="9"/>
      <c r="Q5" s="9"/>
      <c r="R5" s="9"/>
      <c r="S5" s="9"/>
      <c r="T5" s="9"/>
      <c r="U5" s="9"/>
    </row>
    <row r="6" spans="1:21" s="21" customFormat="1" x14ac:dyDescent="0.25">
      <c r="A6" s="3"/>
      <c r="B6" s="20"/>
      <c r="C6" s="20"/>
      <c r="D6" s="20"/>
      <c r="E6" s="23"/>
      <c r="F6" s="20"/>
      <c r="G6" s="22"/>
      <c r="H6" s="20"/>
      <c r="I6" s="20"/>
      <c r="J6" s="18"/>
      <c r="K6" s="19"/>
      <c r="L6" s="18"/>
      <c r="M6" s="19"/>
      <c r="N6" s="20"/>
      <c r="O6" s="20"/>
      <c r="P6" s="20"/>
      <c r="Q6" s="20"/>
      <c r="R6" s="20"/>
      <c r="S6" s="20"/>
      <c r="T6" s="20"/>
      <c r="U6" s="2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activeCell="K4" sqref="K4"/>
    </sheetView>
  </sheetViews>
  <sheetFormatPr defaultRowHeight="15" x14ac:dyDescent="0.25"/>
  <cols>
    <col min="1" max="1" width="10.140625" bestFit="1" customWidth="1"/>
    <col min="3" max="3" width="13.28515625" bestFit="1" customWidth="1"/>
    <col min="6" max="6" width="12.140625" bestFit="1" customWidth="1"/>
    <col min="14" max="15" width="18.42578125" bestFit="1" customWidth="1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20" customFormat="1" ht="12.75" x14ac:dyDescent="0.2">
      <c r="A2" s="24">
        <v>44124</v>
      </c>
      <c r="B2" s="20" t="s">
        <v>36</v>
      </c>
      <c r="C2" s="20" t="s">
        <v>23</v>
      </c>
      <c r="D2" s="20" t="s">
        <v>21</v>
      </c>
      <c r="E2" s="20" t="s">
        <v>118</v>
      </c>
      <c r="F2" s="20" t="s">
        <v>22</v>
      </c>
      <c r="G2" s="32">
        <v>70000</v>
      </c>
      <c r="H2" s="20" t="s">
        <v>24</v>
      </c>
      <c r="I2" s="20" t="s">
        <v>25</v>
      </c>
      <c r="J2" s="18">
        <v>0.44791666666666669</v>
      </c>
      <c r="K2" s="19">
        <v>0.47013888888888888</v>
      </c>
      <c r="L2" s="18">
        <v>0.25694444444444448</v>
      </c>
      <c r="M2" s="19">
        <v>0.28333333333333333</v>
      </c>
      <c r="N2" s="20" t="s">
        <v>156</v>
      </c>
      <c r="O2" s="20" t="s">
        <v>122</v>
      </c>
      <c r="P2" s="20">
        <v>165</v>
      </c>
      <c r="Q2" s="20">
        <v>723</v>
      </c>
      <c r="R2" s="20">
        <v>0</v>
      </c>
      <c r="S2" s="20">
        <v>0</v>
      </c>
      <c r="T2" s="20">
        <v>0</v>
      </c>
      <c r="U2" s="20">
        <v>0</v>
      </c>
    </row>
    <row r="3" spans="1:22" s="8" customFormat="1" ht="12.75" x14ac:dyDescent="0.2">
      <c r="A3" s="3">
        <v>44124</v>
      </c>
      <c r="B3" s="33" t="s">
        <v>36</v>
      </c>
      <c r="C3" s="33" t="s">
        <v>52</v>
      </c>
      <c r="D3" s="33" t="s">
        <v>21</v>
      </c>
      <c r="E3" s="33" t="s">
        <v>118</v>
      </c>
      <c r="F3" s="23" t="s">
        <v>22</v>
      </c>
      <c r="G3" s="40">
        <f>G4</f>
        <v>70000</v>
      </c>
      <c r="H3" s="33" t="s">
        <v>53</v>
      </c>
      <c r="I3" s="33" t="s">
        <v>54</v>
      </c>
      <c r="J3" s="41">
        <v>0.70138888888888884</v>
      </c>
      <c r="K3" s="42">
        <v>0.70833333333333337</v>
      </c>
      <c r="L3" s="41">
        <v>0.49652777777777773</v>
      </c>
      <c r="M3" s="42">
        <v>0.50347222222222221</v>
      </c>
      <c r="N3" s="42" t="s">
        <v>158</v>
      </c>
      <c r="O3" s="42" t="s">
        <v>157</v>
      </c>
      <c r="P3" s="43">
        <v>388</v>
      </c>
      <c r="Q3" s="43">
        <v>905</v>
      </c>
      <c r="R3" s="33">
        <v>0</v>
      </c>
      <c r="S3" s="33">
        <v>0</v>
      </c>
      <c r="T3" s="33">
        <v>0</v>
      </c>
      <c r="U3" s="33">
        <v>0</v>
      </c>
      <c r="V3" s="44"/>
    </row>
    <row r="4" spans="1:22" s="8" customFormat="1" ht="12.75" x14ac:dyDescent="0.2">
      <c r="A4" s="3">
        <f>A3</f>
        <v>44124</v>
      </c>
      <c r="B4" s="33" t="s">
        <v>36</v>
      </c>
      <c r="C4" s="9" t="s">
        <v>55</v>
      </c>
      <c r="D4" s="33" t="s">
        <v>21</v>
      </c>
      <c r="E4" s="33" t="str">
        <f>E3</f>
        <v>HA-LPJ</v>
      </c>
      <c r="F4" s="23" t="s">
        <v>22</v>
      </c>
      <c r="G4" s="40">
        <v>70000</v>
      </c>
      <c r="H4" s="9" t="s">
        <v>81</v>
      </c>
      <c r="I4" s="9" t="s">
        <v>57</v>
      </c>
      <c r="J4" s="45">
        <v>0.95486111111111116</v>
      </c>
      <c r="K4" s="46">
        <v>0.93888888888888899</v>
      </c>
      <c r="L4" s="45">
        <v>0.77777777777777779</v>
      </c>
      <c r="M4" s="46">
        <v>0.77222222222222225</v>
      </c>
      <c r="N4" s="46" t="s">
        <v>159</v>
      </c>
      <c r="O4" s="43" t="s">
        <v>160</v>
      </c>
      <c r="P4" s="33">
        <v>675</v>
      </c>
      <c r="Q4" s="43">
        <v>886</v>
      </c>
      <c r="R4" s="9">
        <v>0</v>
      </c>
      <c r="S4" s="9">
        <v>0</v>
      </c>
      <c r="T4" s="9">
        <v>0</v>
      </c>
      <c r="U4" s="9">
        <v>0</v>
      </c>
      <c r="V4" s="44"/>
    </row>
    <row r="5" spans="1:22" s="8" customFormat="1" ht="12.75" x14ac:dyDescent="0.2">
      <c r="A5" s="3"/>
      <c r="B5" s="33"/>
      <c r="C5" s="46"/>
      <c r="D5" s="33"/>
      <c r="E5" s="46"/>
      <c r="F5" s="33"/>
      <c r="G5" s="40"/>
      <c r="H5" s="46"/>
      <c r="I5" s="46"/>
      <c r="J5" s="45"/>
      <c r="K5" s="46"/>
      <c r="L5" s="45"/>
      <c r="M5" s="46"/>
      <c r="N5" s="33"/>
      <c r="O5" s="33"/>
      <c r="P5" s="33"/>
      <c r="Q5" s="33"/>
      <c r="R5" s="33"/>
      <c r="S5" s="33"/>
      <c r="T5" s="9"/>
      <c r="U5" s="9"/>
      <c r="V5" s="44"/>
    </row>
    <row r="6" spans="1:22" s="8" customFormat="1" ht="12.75" x14ac:dyDescent="0.2">
      <c r="A6" s="3"/>
      <c r="B6" s="33"/>
      <c r="C6" s="44"/>
      <c r="D6" s="33"/>
      <c r="E6" s="44"/>
      <c r="F6" s="33"/>
      <c r="G6" s="40"/>
      <c r="H6" s="44"/>
      <c r="I6" s="44"/>
      <c r="J6" s="51"/>
      <c r="K6" s="52"/>
      <c r="L6" s="51"/>
      <c r="M6" s="52"/>
      <c r="N6" s="44"/>
      <c r="O6" s="44"/>
      <c r="P6" s="44"/>
      <c r="Q6" s="44"/>
      <c r="R6" s="44"/>
      <c r="S6" s="44"/>
      <c r="T6" s="44"/>
      <c r="U6" s="44"/>
      <c r="V6" s="46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K2" sqref="K2"/>
    </sheetView>
  </sheetViews>
  <sheetFormatPr defaultRowHeight="15" x14ac:dyDescent="0.25"/>
  <cols>
    <col min="2" max="2" width="12.7109375" bestFit="1" customWidth="1"/>
    <col min="3" max="3" width="13.28515625" bestFit="1" customWidth="1"/>
    <col min="4" max="4" width="5.7109375" bestFit="1" customWidth="1"/>
    <col min="5" max="5" width="6.42578125" bestFit="1" customWidth="1"/>
    <col min="6" max="6" width="12.140625" bestFit="1" customWidth="1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44125</v>
      </c>
      <c r="B2" s="33" t="s">
        <v>36</v>
      </c>
      <c r="C2" s="33" t="s">
        <v>62</v>
      </c>
      <c r="D2" s="33" t="s">
        <v>21</v>
      </c>
      <c r="E2" s="33" t="s">
        <v>108</v>
      </c>
      <c r="F2" s="33" t="s">
        <v>22</v>
      </c>
      <c r="G2" s="40">
        <v>70000</v>
      </c>
      <c r="H2" s="33" t="s">
        <v>63</v>
      </c>
      <c r="I2" s="33" t="s">
        <v>64</v>
      </c>
      <c r="J2" s="41">
        <v>0.75</v>
      </c>
      <c r="K2" s="42">
        <v>0.73819444444444438</v>
      </c>
      <c r="L2" s="41">
        <v>0.51388888888888895</v>
      </c>
      <c r="M2" s="42">
        <f>L2</f>
        <v>0.51388888888888895</v>
      </c>
      <c r="N2" s="42" t="s">
        <v>162</v>
      </c>
      <c r="O2" s="42" t="s">
        <v>161</v>
      </c>
      <c r="P2" s="43">
        <v>840</v>
      </c>
      <c r="Q2" s="43">
        <v>1301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x14ac:dyDescent="0.25">
      <c r="A3" s="24"/>
      <c r="B3" s="9"/>
      <c r="C3" s="9"/>
      <c r="D3" s="9"/>
      <c r="E3" s="23"/>
      <c r="F3" s="9"/>
      <c r="G3" s="22"/>
      <c r="H3" s="20"/>
      <c r="I3" s="20"/>
      <c r="J3" s="18"/>
      <c r="K3" s="19"/>
      <c r="L3" s="18"/>
      <c r="M3" s="19"/>
      <c r="N3" s="54"/>
      <c r="O3" s="53"/>
      <c r="P3" s="54"/>
      <c r="Q3" s="54"/>
      <c r="R3" s="54"/>
      <c r="S3" s="54"/>
      <c r="T3" s="54"/>
      <c r="U3" s="5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G23" sqref="G23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26.85546875" bestFit="1" customWidth="1"/>
    <col min="10" max="10" width="11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8" customFormat="1" ht="12.75" x14ac:dyDescent="0.2">
      <c r="A2" s="3">
        <v>44126</v>
      </c>
      <c r="B2" s="4" t="s">
        <v>31</v>
      </c>
      <c r="C2" s="4" t="s">
        <v>23</v>
      </c>
      <c r="D2" s="4" t="s">
        <v>21</v>
      </c>
      <c r="E2" s="4" t="s">
        <v>108</v>
      </c>
      <c r="F2" s="4" t="s">
        <v>22</v>
      </c>
      <c r="G2" s="5">
        <v>70000</v>
      </c>
      <c r="H2" s="4" t="s">
        <v>24</v>
      </c>
      <c r="I2" s="4" t="s">
        <v>25</v>
      </c>
      <c r="J2" s="6">
        <v>0.44791666666666669</v>
      </c>
      <c r="K2" s="7">
        <v>0.43958333333333338</v>
      </c>
      <c r="L2" s="6">
        <v>0.25694444444444448</v>
      </c>
      <c r="M2" s="7">
        <v>0.25972222222222224</v>
      </c>
      <c r="N2" s="8" t="s">
        <v>164</v>
      </c>
      <c r="O2" s="8" t="s">
        <v>163</v>
      </c>
      <c r="P2" s="8">
        <v>1141</v>
      </c>
      <c r="Q2" s="8">
        <v>894</v>
      </c>
      <c r="R2" s="4">
        <v>0</v>
      </c>
      <c r="S2" s="4">
        <v>0</v>
      </c>
      <c r="T2" s="4">
        <v>0</v>
      </c>
      <c r="U2" s="4">
        <v>0</v>
      </c>
    </row>
    <row r="3" spans="1:21" s="8" customFormat="1" ht="12.75" x14ac:dyDescent="0.2">
      <c r="A3" s="3">
        <v>44126</v>
      </c>
      <c r="B3" s="4" t="s">
        <v>31</v>
      </c>
      <c r="C3" s="4" t="s">
        <v>28</v>
      </c>
      <c r="D3" s="4" t="s">
        <v>21</v>
      </c>
      <c r="E3" s="4" t="s">
        <v>166</v>
      </c>
      <c r="F3" s="4" t="s">
        <v>22</v>
      </c>
      <c r="G3" s="5">
        <v>70000</v>
      </c>
      <c r="H3" s="4" t="s">
        <v>27</v>
      </c>
      <c r="I3" s="4" t="s">
        <v>26</v>
      </c>
      <c r="J3" s="6">
        <v>0.82638888888888884</v>
      </c>
      <c r="K3" s="7">
        <v>0.88402777777777775</v>
      </c>
      <c r="L3" s="6">
        <v>0.49305555555555558</v>
      </c>
      <c r="M3" s="7">
        <v>0.59166666666666667</v>
      </c>
      <c r="N3" s="7" t="s">
        <v>172</v>
      </c>
      <c r="O3" s="8" t="s">
        <v>170</v>
      </c>
      <c r="P3" s="8">
        <v>441</v>
      </c>
      <c r="Q3" s="8">
        <v>789</v>
      </c>
      <c r="R3" s="4">
        <v>0</v>
      </c>
      <c r="S3" s="4">
        <v>0</v>
      </c>
      <c r="T3" s="4">
        <v>0</v>
      </c>
      <c r="U3" s="4">
        <v>0</v>
      </c>
    </row>
    <row r="4" spans="1:21" s="20" customFormat="1" ht="12.75" x14ac:dyDescent="0.2">
      <c r="A4" s="24">
        <v>44126</v>
      </c>
      <c r="B4" s="4" t="s">
        <v>31</v>
      </c>
      <c r="C4" s="4" t="s">
        <v>165</v>
      </c>
      <c r="D4" s="4" t="s">
        <v>21</v>
      </c>
      <c r="E4" s="4" t="s">
        <v>166</v>
      </c>
      <c r="F4" s="4" t="s">
        <v>167</v>
      </c>
      <c r="G4" s="5">
        <v>70000</v>
      </c>
      <c r="H4" s="4" t="s">
        <v>168</v>
      </c>
      <c r="I4" s="20" t="s">
        <v>95</v>
      </c>
      <c r="J4" s="19">
        <v>0.54166666666666663</v>
      </c>
      <c r="K4" s="19">
        <v>0.5625</v>
      </c>
      <c r="L4" s="20" t="s">
        <v>171</v>
      </c>
      <c r="M4" s="20" t="s">
        <v>171</v>
      </c>
      <c r="N4" s="20" t="s">
        <v>169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</row>
    <row r="5" spans="1:21" x14ac:dyDescent="0.25">
      <c r="I5" s="4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J14" sqref="J14"/>
    </sheetView>
  </sheetViews>
  <sheetFormatPr defaultRowHeight="12.75" x14ac:dyDescent="0.2"/>
  <cols>
    <col min="1" max="1" width="10.140625" style="20" bestFit="1" customWidth="1"/>
    <col min="2" max="2" width="9.140625" style="20"/>
    <col min="3" max="3" width="13.5703125" style="20" bestFit="1" customWidth="1"/>
    <col min="4" max="5" width="9.140625" style="20"/>
    <col min="6" max="6" width="12.140625" style="20" bestFit="1" customWidth="1"/>
    <col min="7" max="7" width="9.140625" style="20"/>
    <col min="8" max="9" width="9.7109375" style="20" bestFit="1" customWidth="1"/>
    <col min="10" max="10" width="11" style="20" bestFit="1" customWidth="1"/>
    <col min="11" max="11" width="10.85546875" style="20" bestFit="1" customWidth="1"/>
    <col min="12" max="12" width="11" style="20" bestFit="1" customWidth="1"/>
    <col min="13" max="13" width="10.85546875" style="20" bestFit="1" customWidth="1"/>
    <col min="14" max="15" width="18.42578125" style="20" bestFit="1" customWidth="1"/>
    <col min="16" max="17" width="10.28515625" style="20" bestFit="1" customWidth="1"/>
    <col min="18" max="18" width="9.42578125" style="20" bestFit="1" customWidth="1"/>
    <col min="19" max="16384" width="9.140625" style="20"/>
  </cols>
  <sheetData>
    <row r="1" spans="1:22" s="39" customFormat="1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x14ac:dyDescent="0.2">
      <c r="A2" s="3">
        <v>44127</v>
      </c>
      <c r="B2" s="33" t="s">
        <v>36</v>
      </c>
      <c r="C2" s="33" t="s">
        <v>37</v>
      </c>
      <c r="D2" s="33" t="s">
        <v>21</v>
      </c>
      <c r="E2" s="33" t="s">
        <v>166</v>
      </c>
      <c r="F2" s="33" t="s">
        <v>22</v>
      </c>
      <c r="G2" s="32">
        <v>70000</v>
      </c>
      <c r="H2" s="33" t="s">
        <v>38</v>
      </c>
      <c r="I2" s="33" t="s">
        <v>39</v>
      </c>
      <c r="J2" s="41">
        <v>0.46180555555555558</v>
      </c>
      <c r="K2" s="42">
        <v>0.46388888888888885</v>
      </c>
      <c r="L2" s="41">
        <v>0.26041666666666669</v>
      </c>
      <c r="M2" s="42">
        <v>0.27361111111111108</v>
      </c>
      <c r="N2" s="43" t="s">
        <v>173</v>
      </c>
      <c r="O2" s="43" t="s">
        <v>174</v>
      </c>
      <c r="P2" s="8">
        <v>601</v>
      </c>
      <c r="Q2" s="43">
        <v>1371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x14ac:dyDescent="0.2">
      <c r="A3" s="3">
        <v>44127</v>
      </c>
      <c r="B3" s="33" t="s">
        <v>36</v>
      </c>
      <c r="C3" s="20" t="s">
        <v>40</v>
      </c>
      <c r="D3" s="33" t="s">
        <v>21</v>
      </c>
      <c r="E3" s="33" t="s">
        <v>166</v>
      </c>
      <c r="F3" s="33" t="s">
        <v>22</v>
      </c>
      <c r="G3" s="32">
        <v>70000</v>
      </c>
      <c r="H3" s="20" t="s">
        <v>41</v>
      </c>
      <c r="I3" s="20" t="s">
        <v>42</v>
      </c>
      <c r="J3" s="18">
        <v>0.72569444444444453</v>
      </c>
      <c r="K3" s="19">
        <v>0.73958333333333337</v>
      </c>
      <c r="L3" s="18">
        <v>0.5</v>
      </c>
      <c r="M3" s="19">
        <v>0.50486111111111109</v>
      </c>
      <c r="N3" s="19" t="s">
        <v>177</v>
      </c>
      <c r="O3" s="20" t="s">
        <v>175</v>
      </c>
      <c r="P3" s="20">
        <v>673</v>
      </c>
      <c r="Q3" s="20">
        <v>1638</v>
      </c>
      <c r="R3" s="20">
        <v>0</v>
      </c>
      <c r="S3" s="20">
        <v>0</v>
      </c>
      <c r="T3" s="20">
        <v>0</v>
      </c>
      <c r="U3" s="20">
        <v>0</v>
      </c>
    </row>
    <row r="4" spans="1:22" x14ac:dyDescent="0.2">
      <c r="A4" s="3">
        <v>44127</v>
      </c>
      <c r="B4" s="20" t="s">
        <v>36</v>
      </c>
      <c r="C4" s="20" t="s">
        <v>46</v>
      </c>
      <c r="D4" s="20" t="s">
        <v>21</v>
      </c>
      <c r="E4" s="33" t="s">
        <v>166</v>
      </c>
      <c r="F4" s="33" t="s">
        <v>22</v>
      </c>
      <c r="G4" s="32">
        <v>70000</v>
      </c>
      <c r="H4" s="20" t="s">
        <v>47</v>
      </c>
      <c r="I4" s="20" t="s">
        <v>48</v>
      </c>
      <c r="J4" s="18">
        <v>0.9375</v>
      </c>
      <c r="K4" s="19">
        <v>0.92708333333333337</v>
      </c>
      <c r="L4" s="18">
        <v>0.76388888888888884</v>
      </c>
      <c r="M4" s="19">
        <v>0.7680555555555556</v>
      </c>
      <c r="N4" s="20" t="s">
        <v>178</v>
      </c>
      <c r="O4" s="20" t="s">
        <v>176</v>
      </c>
      <c r="P4" s="20">
        <v>556</v>
      </c>
      <c r="Q4" s="20">
        <v>640</v>
      </c>
      <c r="R4" s="20">
        <v>0</v>
      </c>
      <c r="S4" s="20">
        <v>0</v>
      </c>
      <c r="T4" s="20">
        <v>0</v>
      </c>
      <c r="U4" s="20">
        <v>0</v>
      </c>
    </row>
    <row r="5" spans="1:22" x14ac:dyDescent="0.2">
      <c r="A5" s="3">
        <v>44127</v>
      </c>
      <c r="B5" s="20" t="s">
        <v>36</v>
      </c>
      <c r="C5" s="20" t="s">
        <v>179</v>
      </c>
      <c r="D5" s="20" t="s">
        <v>21</v>
      </c>
      <c r="E5" s="33" t="s">
        <v>166</v>
      </c>
      <c r="F5" s="33" t="s">
        <v>180</v>
      </c>
      <c r="G5" s="32">
        <v>70000</v>
      </c>
      <c r="H5" s="57"/>
      <c r="I5" s="20" t="s">
        <v>181</v>
      </c>
      <c r="J5" s="57"/>
      <c r="K5" s="57"/>
      <c r="L5" s="19">
        <v>0.95833333333333337</v>
      </c>
      <c r="M5" s="19">
        <v>0.95763888888888893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activeCell="A3" sqref="A3:XFD3"/>
    </sheetView>
  </sheetViews>
  <sheetFormatPr defaultRowHeight="15" x14ac:dyDescent="0.25"/>
  <cols>
    <col min="2" max="2" width="18.85546875" bestFit="1" customWidth="1"/>
    <col min="3" max="3" width="16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2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21" customFormat="1" x14ac:dyDescent="0.25">
      <c r="A2" s="3">
        <v>44128</v>
      </c>
      <c r="B2" s="9" t="s">
        <v>36</v>
      </c>
      <c r="C2" s="9" t="s">
        <v>28</v>
      </c>
      <c r="D2" s="9" t="s">
        <v>21</v>
      </c>
      <c r="E2" s="23" t="str">
        <f>E5</f>
        <v>HA-LWO</v>
      </c>
      <c r="F2" s="9" t="s">
        <v>22</v>
      </c>
      <c r="G2" s="22">
        <v>70000</v>
      </c>
      <c r="H2" s="23" t="s">
        <v>27</v>
      </c>
      <c r="I2" s="23" t="s">
        <v>26</v>
      </c>
      <c r="J2" s="18">
        <v>0.52083333333333337</v>
      </c>
      <c r="K2" s="27">
        <v>0.52708333333333335</v>
      </c>
      <c r="L2" s="18">
        <v>0.375</v>
      </c>
      <c r="M2" s="19">
        <v>0.3972222222222222</v>
      </c>
      <c r="N2" s="9" t="s">
        <v>185</v>
      </c>
      <c r="O2" s="28" t="s">
        <v>184</v>
      </c>
      <c r="P2" s="23">
        <v>794</v>
      </c>
      <c r="Q2" s="26">
        <v>1080</v>
      </c>
      <c r="R2" s="9">
        <v>0</v>
      </c>
      <c r="S2" s="9">
        <v>0</v>
      </c>
      <c r="T2" s="9">
        <v>0</v>
      </c>
      <c r="U2" s="9">
        <v>0</v>
      </c>
    </row>
    <row r="3" spans="1:22" s="21" customFormat="1" x14ac:dyDescent="0.25">
      <c r="A3" s="3">
        <f>A2</f>
        <v>44128</v>
      </c>
      <c r="B3" s="9" t="s">
        <v>36</v>
      </c>
      <c r="C3" s="9" t="s">
        <v>52</v>
      </c>
      <c r="D3" s="9" t="s">
        <v>21</v>
      </c>
      <c r="E3" s="23" t="s">
        <v>186</v>
      </c>
      <c r="F3" s="9" t="s">
        <v>22</v>
      </c>
      <c r="G3" s="22">
        <f>G2</f>
        <v>70000</v>
      </c>
      <c r="H3" s="9" t="s">
        <v>53</v>
      </c>
      <c r="I3" s="9" t="s">
        <v>54</v>
      </c>
      <c r="J3" s="12">
        <v>0.75</v>
      </c>
      <c r="K3" s="27">
        <v>0.75555555555555554</v>
      </c>
      <c r="L3" s="12">
        <v>0.54513888888888895</v>
      </c>
      <c r="M3" s="19">
        <v>0.56527777777777777</v>
      </c>
      <c r="N3" s="9" t="s">
        <v>188</v>
      </c>
      <c r="O3" s="9" t="s">
        <v>123</v>
      </c>
      <c r="P3" s="9">
        <v>500</v>
      </c>
      <c r="Q3" s="26">
        <v>886</v>
      </c>
      <c r="R3" s="9">
        <v>0</v>
      </c>
      <c r="S3" s="9">
        <v>0</v>
      </c>
      <c r="T3" s="9">
        <v>0</v>
      </c>
      <c r="U3" s="9">
        <v>0</v>
      </c>
    </row>
    <row r="4" spans="1:22" s="21" customFormat="1" x14ac:dyDescent="0.25">
      <c r="A4" s="3">
        <f>A3</f>
        <v>44128</v>
      </c>
      <c r="B4" s="9" t="s">
        <v>36</v>
      </c>
      <c r="C4" s="9" t="s">
        <v>55</v>
      </c>
      <c r="D4" s="9" t="s">
        <v>21</v>
      </c>
      <c r="E4" s="23" t="s">
        <v>108</v>
      </c>
      <c r="F4" s="9" t="s">
        <v>22</v>
      </c>
      <c r="G4" s="22">
        <f>G3</f>
        <v>70000</v>
      </c>
      <c r="H4" s="9" t="s">
        <v>56</v>
      </c>
      <c r="I4" s="9" t="s">
        <v>57</v>
      </c>
      <c r="J4" s="12">
        <v>0.95486111111111116</v>
      </c>
      <c r="K4" s="58" t="s">
        <v>191</v>
      </c>
      <c r="L4" s="12">
        <v>0.77083333333333337</v>
      </c>
      <c r="M4" s="19" t="s">
        <v>187</v>
      </c>
      <c r="N4" s="20">
        <v>0</v>
      </c>
      <c r="O4" s="20" t="s">
        <v>189</v>
      </c>
      <c r="P4" s="9">
        <v>0</v>
      </c>
      <c r="Q4" s="9">
        <v>1406</v>
      </c>
      <c r="R4" s="9">
        <v>0</v>
      </c>
      <c r="S4" s="9">
        <v>0</v>
      </c>
      <c r="T4" s="9">
        <v>0</v>
      </c>
      <c r="U4" s="9">
        <v>0</v>
      </c>
    </row>
    <row r="5" spans="1:22" x14ac:dyDescent="0.25">
      <c r="A5" s="24">
        <f>A4</f>
        <v>44128</v>
      </c>
      <c r="B5" s="9" t="str">
        <f>B4</f>
        <v>WIZZAIR</v>
      </c>
      <c r="C5" s="9" t="s">
        <v>182</v>
      </c>
      <c r="D5" s="9" t="str">
        <f>D4</f>
        <v>A320</v>
      </c>
      <c r="E5" s="23" t="s">
        <v>183</v>
      </c>
      <c r="F5" s="9" t="s">
        <v>101</v>
      </c>
      <c r="G5" s="22">
        <f>G4</f>
        <v>70000</v>
      </c>
      <c r="H5" s="20" t="s">
        <v>168</v>
      </c>
      <c r="I5" s="19"/>
      <c r="J5" s="18">
        <v>0.35416666666666669</v>
      </c>
      <c r="K5" s="19">
        <v>0.3527777777777778</v>
      </c>
      <c r="L5" s="18" t="s">
        <v>95</v>
      </c>
      <c r="M5" s="19" t="s">
        <v>95</v>
      </c>
      <c r="N5" s="20">
        <v>0</v>
      </c>
      <c r="O5" s="20"/>
      <c r="P5" s="29">
        <v>0</v>
      </c>
      <c r="Q5" s="29" t="s">
        <v>95</v>
      </c>
      <c r="R5" s="9">
        <v>0</v>
      </c>
      <c r="S5" s="9" t="s">
        <v>95</v>
      </c>
      <c r="T5" s="9">
        <v>0</v>
      </c>
      <c r="U5" s="9" t="s">
        <v>95</v>
      </c>
      <c r="V5" s="30"/>
    </row>
    <row r="6" spans="1:22" x14ac:dyDescent="0.25">
      <c r="A6" s="24">
        <f>A5</f>
        <v>44128</v>
      </c>
      <c r="B6" s="9" t="str">
        <f>B5</f>
        <v>WIZZAIR</v>
      </c>
      <c r="C6" s="9" t="s">
        <v>190</v>
      </c>
      <c r="D6" s="9" t="str">
        <f>D5</f>
        <v>A320</v>
      </c>
      <c r="E6" s="23" t="s">
        <v>183</v>
      </c>
      <c r="F6" s="9" t="s">
        <v>101</v>
      </c>
      <c r="G6" s="22">
        <f>G5</f>
        <v>70000</v>
      </c>
      <c r="H6" s="20" t="s">
        <v>95</v>
      </c>
      <c r="I6" s="19" t="s">
        <v>181</v>
      </c>
      <c r="J6" s="18" t="s">
        <v>95</v>
      </c>
      <c r="K6" s="19" t="s">
        <v>95</v>
      </c>
      <c r="L6" s="18">
        <v>0.77083333333333337</v>
      </c>
      <c r="M6" s="19">
        <v>0.79722222222222217</v>
      </c>
      <c r="N6" s="20" t="s">
        <v>95</v>
      </c>
      <c r="O6" s="20">
        <v>0</v>
      </c>
      <c r="P6" s="29" t="s">
        <v>95</v>
      </c>
      <c r="Q6" s="29">
        <v>0</v>
      </c>
      <c r="R6" s="9" t="s">
        <v>95</v>
      </c>
      <c r="S6" s="9">
        <v>0</v>
      </c>
      <c r="T6" s="9" t="s">
        <v>95</v>
      </c>
      <c r="U6" s="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topLeftCell="D1" workbookViewId="0">
      <selection activeCell="E4" sqref="E4"/>
    </sheetView>
  </sheetViews>
  <sheetFormatPr defaultRowHeight="15" x14ac:dyDescent="0.25"/>
  <cols>
    <col min="1" max="1" width="10.7109375" style="36" customWidth="1"/>
    <col min="2" max="2" width="9.140625" style="36" bestFit="1" customWidth="1"/>
    <col min="3" max="3" width="13.5703125" style="36" bestFit="1" customWidth="1"/>
    <col min="4" max="4" width="5.7109375" style="36" bestFit="1" customWidth="1"/>
    <col min="5" max="5" width="8.28515625" style="36" bestFit="1" customWidth="1"/>
    <col min="6" max="6" width="14.42578125" style="36" bestFit="1" customWidth="1"/>
    <col min="7" max="9" width="9.7109375" style="36" bestFit="1" customWidth="1"/>
    <col min="10" max="10" width="11" style="36" bestFit="1" customWidth="1"/>
    <col min="11" max="11" width="10.85546875" style="36" bestFit="1" customWidth="1"/>
    <col min="12" max="12" width="11" style="36" bestFit="1" customWidth="1"/>
    <col min="13" max="13" width="10.85546875" style="36" bestFit="1" customWidth="1"/>
    <col min="14" max="15" width="18.42578125" style="36" bestFit="1" customWidth="1"/>
    <col min="16" max="17" width="10.28515625" style="36" bestFit="1" customWidth="1"/>
    <col min="18" max="16384" width="9.140625" style="36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44129</v>
      </c>
      <c r="B2" s="33" t="s">
        <v>36</v>
      </c>
      <c r="C2" s="33" t="s">
        <v>192</v>
      </c>
      <c r="D2" s="33" t="s">
        <v>21</v>
      </c>
      <c r="E2" s="33" t="s">
        <v>193</v>
      </c>
      <c r="F2" s="33" t="s">
        <v>22</v>
      </c>
      <c r="G2" s="40">
        <v>70000</v>
      </c>
      <c r="H2" s="33" t="s">
        <v>24</v>
      </c>
      <c r="I2" s="33" t="s">
        <v>25</v>
      </c>
      <c r="J2" s="41">
        <v>0.46875</v>
      </c>
      <c r="K2" s="42">
        <v>0.4597222222222222</v>
      </c>
      <c r="L2" s="41">
        <v>0.26041666666666669</v>
      </c>
      <c r="M2" s="42">
        <v>0.5083333333333333</v>
      </c>
      <c r="N2" s="42" t="s">
        <v>194</v>
      </c>
      <c r="O2" s="42" t="s">
        <v>195</v>
      </c>
      <c r="P2" s="43">
        <v>868</v>
      </c>
      <c r="Q2" s="43">
        <v>1004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s="8" customFormat="1" ht="12.75" x14ac:dyDescent="0.2">
      <c r="A3" s="3">
        <f>A2</f>
        <v>44129</v>
      </c>
      <c r="B3" s="33" t="s">
        <v>36</v>
      </c>
      <c r="C3" s="47" t="s">
        <v>62</v>
      </c>
      <c r="D3" s="33" t="s">
        <v>21</v>
      </c>
      <c r="E3" s="33" t="s">
        <v>108</v>
      </c>
      <c r="F3" s="33" t="s">
        <v>22</v>
      </c>
      <c r="G3" s="40">
        <v>70000</v>
      </c>
      <c r="H3" s="33" t="s">
        <v>63</v>
      </c>
      <c r="I3" s="47" t="s">
        <v>64</v>
      </c>
      <c r="J3" s="48">
        <v>0.72916666666666663</v>
      </c>
      <c r="K3" s="27">
        <v>0.73888888888888893</v>
      </c>
      <c r="L3" s="48">
        <v>0.49305555555555558</v>
      </c>
      <c r="M3" s="49">
        <v>0.53125</v>
      </c>
      <c r="N3" s="9" t="s">
        <v>197</v>
      </c>
      <c r="O3" s="50" t="s">
        <v>196</v>
      </c>
      <c r="P3" s="50">
        <v>570</v>
      </c>
      <c r="Q3" s="50">
        <v>1746</v>
      </c>
      <c r="R3" s="33">
        <v>0</v>
      </c>
      <c r="S3" s="33">
        <v>0</v>
      </c>
      <c r="T3" s="33">
        <v>0</v>
      </c>
      <c r="U3" s="33">
        <v>0</v>
      </c>
      <c r="V3" s="44"/>
    </row>
    <row r="4" spans="1:22" s="8" customFormat="1" ht="12.75" x14ac:dyDescent="0.2">
      <c r="A4" s="3">
        <f>A3</f>
        <v>44129</v>
      </c>
      <c r="B4" s="33" t="s">
        <v>36</v>
      </c>
      <c r="C4" s="47" t="s">
        <v>37</v>
      </c>
      <c r="D4" s="33" t="s">
        <v>21</v>
      </c>
      <c r="E4" s="33" t="s">
        <v>108</v>
      </c>
      <c r="F4" s="33" t="s">
        <v>22</v>
      </c>
      <c r="G4" s="40">
        <v>70000</v>
      </c>
      <c r="H4" s="33" t="s">
        <v>63</v>
      </c>
      <c r="I4" s="47" t="s">
        <v>64</v>
      </c>
      <c r="J4" s="48">
        <v>0.95138888888888884</v>
      </c>
      <c r="K4" s="61" t="s">
        <v>191</v>
      </c>
      <c r="L4" s="48">
        <v>0.75</v>
      </c>
      <c r="M4" s="49">
        <v>0.77430555555555547</v>
      </c>
      <c r="N4" s="59"/>
      <c r="O4" s="50" t="s">
        <v>198</v>
      </c>
      <c r="P4" s="60"/>
      <c r="Q4" s="50">
        <v>932</v>
      </c>
      <c r="R4" s="33">
        <v>0</v>
      </c>
      <c r="S4" s="33">
        <v>0</v>
      </c>
      <c r="T4" s="33">
        <v>0</v>
      </c>
      <c r="U4" s="33">
        <v>0</v>
      </c>
      <c r="V4" s="46"/>
    </row>
    <row r="5" spans="1:22" s="8" customFormat="1" ht="12.75" x14ac:dyDescent="0.2">
      <c r="A5" s="3">
        <f>A4</f>
        <v>44129</v>
      </c>
      <c r="B5" s="33" t="s">
        <v>36</v>
      </c>
      <c r="C5" s="47" t="s">
        <v>165</v>
      </c>
      <c r="D5" s="33" t="s">
        <v>21</v>
      </c>
      <c r="E5" s="33" t="s">
        <v>108</v>
      </c>
      <c r="F5" s="33" t="s">
        <v>101</v>
      </c>
      <c r="G5" s="40">
        <v>70000</v>
      </c>
      <c r="H5" s="33" t="s">
        <v>168</v>
      </c>
      <c r="I5" s="47" t="s">
        <v>95</v>
      </c>
      <c r="J5" s="48">
        <v>0.43055555555555558</v>
      </c>
      <c r="K5" s="27">
        <v>0.47013888888888888</v>
      </c>
      <c r="L5" s="48" t="s">
        <v>95</v>
      </c>
      <c r="M5" s="49" t="s">
        <v>95</v>
      </c>
      <c r="N5" s="9">
        <v>0</v>
      </c>
      <c r="O5" s="50" t="s">
        <v>95</v>
      </c>
      <c r="P5" s="50">
        <v>0</v>
      </c>
      <c r="Q5" s="50" t="s">
        <v>95</v>
      </c>
      <c r="R5" s="33">
        <v>0</v>
      </c>
      <c r="S5" s="33" t="s">
        <v>95</v>
      </c>
      <c r="T5" s="33">
        <v>0</v>
      </c>
      <c r="U5" s="33" t="s">
        <v>95</v>
      </c>
      <c r="V5" s="44"/>
    </row>
    <row r="6" spans="1:22" s="8" customFormat="1" ht="12.75" x14ac:dyDescent="0.2">
      <c r="A6" s="3"/>
      <c r="B6" s="33"/>
      <c r="C6" s="44"/>
      <c r="D6" s="33"/>
      <c r="E6" s="33"/>
      <c r="F6" s="33"/>
      <c r="G6" s="40"/>
      <c r="H6" s="44"/>
      <c r="I6" s="44"/>
      <c r="J6" s="51"/>
      <c r="K6" s="52"/>
      <c r="L6" s="51"/>
      <c r="M6" s="52"/>
      <c r="N6" s="44"/>
      <c r="O6" s="44"/>
      <c r="P6" s="44"/>
      <c r="Q6" s="44"/>
      <c r="R6" s="44"/>
      <c r="S6" s="44"/>
      <c r="T6" s="44"/>
      <c r="U6" s="44"/>
      <c r="V6" s="46"/>
    </row>
    <row r="7" spans="1:22" customFormat="1" x14ac:dyDescent="0.25">
      <c r="A7" s="31"/>
      <c r="B7" s="13"/>
      <c r="C7" s="14"/>
      <c r="D7" s="13"/>
      <c r="E7" s="33"/>
      <c r="F7" s="13"/>
      <c r="G7" s="32"/>
      <c r="H7" s="14"/>
      <c r="I7" s="14"/>
      <c r="J7" s="15"/>
      <c r="K7" s="16"/>
      <c r="L7" s="15"/>
      <c r="M7" s="16"/>
      <c r="N7" s="14"/>
      <c r="O7" s="14"/>
      <c r="P7" s="14"/>
      <c r="Q7" s="17"/>
      <c r="R7" s="14"/>
      <c r="S7" s="14"/>
      <c r="T7" s="14"/>
      <c r="U7" s="14"/>
    </row>
    <row r="8" spans="1:22" s="34" customFormat="1" ht="12.75" x14ac:dyDescent="0.2">
      <c r="A8" s="31"/>
      <c r="B8" s="13"/>
      <c r="D8" s="13"/>
      <c r="E8" s="33"/>
      <c r="G8" s="32"/>
      <c r="J8" s="35"/>
      <c r="K8" s="35"/>
      <c r="L8" s="35"/>
      <c r="M8" s="35"/>
      <c r="N8" s="20"/>
      <c r="O8" s="20"/>
      <c r="P8" s="20"/>
      <c r="Q8" s="20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A4" sqref="A4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26.85546875" bestFit="1" customWidth="1"/>
    <col min="10" max="10" width="11" bestFit="1" customWidth="1"/>
    <col min="14" max="15" width="18.42578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8" customFormat="1" ht="12.75" x14ac:dyDescent="0.2">
      <c r="A2" s="3">
        <v>44130</v>
      </c>
      <c r="B2" s="4" t="s">
        <v>31</v>
      </c>
      <c r="C2" s="4" t="s">
        <v>192</v>
      </c>
      <c r="D2" s="4" t="s">
        <v>21</v>
      </c>
      <c r="E2" s="4" t="s">
        <v>199</v>
      </c>
      <c r="F2" s="4" t="s">
        <v>22</v>
      </c>
      <c r="G2" s="5">
        <v>70000</v>
      </c>
      <c r="H2" s="4" t="s">
        <v>24</v>
      </c>
      <c r="I2" s="4" t="s">
        <v>25</v>
      </c>
      <c r="J2" s="6">
        <v>0.47569444444444442</v>
      </c>
      <c r="K2" s="7">
        <v>0.4597222222222222</v>
      </c>
      <c r="L2" s="6">
        <v>0.49652777777777773</v>
      </c>
      <c r="M2" s="7">
        <v>0.48888888888888887</v>
      </c>
      <c r="N2" s="8" t="s">
        <v>200</v>
      </c>
      <c r="O2" s="8" t="s">
        <v>204</v>
      </c>
      <c r="P2" s="8">
        <v>424</v>
      </c>
      <c r="Q2" s="8">
        <v>610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44130</v>
      </c>
      <c r="B3" s="4" t="s">
        <v>31</v>
      </c>
      <c r="C3" s="20" t="s">
        <v>52</v>
      </c>
      <c r="D3" s="4" t="s">
        <v>21</v>
      </c>
      <c r="E3" s="20" t="s">
        <v>108</v>
      </c>
      <c r="F3" s="4" t="s">
        <v>22</v>
      </c>
      <c r="G3" s="5">
        <v>70000</v>
      </c>
      <c r="H3" s="20" t="s">
        <v>53</v>
      </c>
      <c r="I3" s="4" t="s">
        <v>54</v>
      </c>
      <c r="J3" s="19">
        <v>0.74305555555555547</v>
      </c>
      <c r="K3" s="19">
        <v>0.73958333333333337</v>
      </c>
      <c r="L3" s="19">
        <v>0.53472222222222221</v>
      </c>
      <c r="M3" s="19">
        <v>0.54097222222222219</v>
      </c>
      <c r="N3" s="20" t="s">
        <v>156</v>
      </c>
      <c r="O3" s="20" t="s">
        <v>205</v>
      </c>
      <c r="P3" s="20">
        <v>233</v>
      </c>
      <c r="Q3" s="20">
        <v>518</v>
      </c>
      <c r="R3" s="20">
        <v>0</v>
      </c>
      <c r="S3" s="20">
        <v>0</v>
      </c>
      <c r="T3" s="20">
        <v>0</v>
      </c>
      <c r="U3" s="20">
        <v>0</v>
      </c>
    </row>
    <row r="4" spans="1:21" x14ac:dyDescent="0.25">
      <c r="A4" s="3">
        <v>44130</v>
      </c>
      <c r="B4" s="4" t="s">
        <v>31</v>
      </c>
      <c r="C4" s="20" t="s">
        <v>201</v>
      </c>
      <c r="D4" s="20" t="s">
        <v>202</v>
      </c>
      <c r="E4" s="20" t="s">
        <v>149</v>
      </c>
      <c r="F4" s="4" t="s">
        <v>22</v>
      </c>
      <c r="G4" s="32">
        <v>73500</v>
      </c>
      <c r="H4" s="20" t="s">
        <v>63</v>
      </c>
      <c r="I4" s="20" t="s">
        <v>64</v>
      </c>
      <c r="J4" s="19">
        <v>0.61458333333333337</v>
      </c>
      <c r="K4" s="19">
        <v>0.60763888888888895</v>
      </c>
      <c r="L4" s="19">
        <v>0.74652777777777779</v>
      </c>
      <c r="M4" s="19">
        <v>0.64027777777777783</v>
      </c>
      <c r="N4" s="20" t="s">
        <v>206</v>
      </c>
      <c r="O4" s="20" t="s">
        <v>207</v>
      </c>
      <c r="P4" s="20">
        <v>235</v>
      </c>
      <c r="Q4" s="20">
        <v>1204</v>
      </c>
      <c r="R4" s="20">
        <v>0</v>
      </c>
      <c r="S4" s="20">
        <v>0</v>
      </c>
      <c r="T4" s="20">
        <v>0</v>
      </c>
      <c r="U4" s="20">
        <v>0</v>
      </c>
    </row>
    <row r="5" spans="1:21" x14ac:dyDescent="0.25">
      <c r="A5" s="3">
        <v>44130</v>
      </c>
      <c r="B5" s="4" t="s">
        <v>31</v>
      </c>
      <c r="C5" s="20" t="s">
        <v>165</v>
      </c>
      <c r="D5" s="4" t="s">
        <v>21</v>
      </c>
      <c r="E5" s="20" t="s">
        <v>108</v>
      </c>
      <c r="F5" s="20" t="s">
        <v>203</v>
      </c>
      <c r="G5" s="5">
        <v>70000</v>
      </c>
      <c r="H5" s="20" t="s">
        <v>168</v>
      </c>
      <c r="I5" s="20" t="s">
        <v>171</v>
      </c>
      <c r="J5" s="19">
        <v>0.51388888888888895</v>
      </c>
      <c r="K5" s="19">
        <v>0.49652777777777773</v>
      </c>
      <c r="L5" s="20" t="s">
        <v>171</v>
      </c>
      <c r="M5" s="20" t="s">
        <v>171</v>
      </c>
      <c r="N5" s="20" t="s">
        <v>169</v>
      </c>
      <c r="O5" s="20" t="s">
        <v>95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N11" sqref="N11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1" customFormat="1" x14ac:dyDescent="0.25">
      <c r="A2" s="3">
        <v>44131</v>
      </c>
      <c r="B2" s="23" t="s">
        <v>36</v>
      </c>
      <c r="C2" s="23" t="s">
        <v>37</v>
      </c>
      <c r="D2" s="23" t="s">
        <v>21</v>
      </c>
      <c r="E2" s="23" t="s">
        <v>108</v>
      </c>
      <c r="F2" s="23" t="s">
        <v>22</v>
      </c>
      <c r="G2" s="22">
        <v>70000</v>
      </c>
      <c r="H2" s="23" t="s">
        <v>38</v>
      </c>
      <c r="I2" s="23" t="s">
        <v>39</v>
      </c>
      <c r="J2" s="37">
        <v>0.47916666666666669</v>
      </c>
      <c r="K2" s="25">
        <v>0.47986111111111113</v>
      </c>
      <c r="L2" s="37">
        <v>0.27430555555555552</v>
      </c>
      <c r="M2" s="19">
        <v>0.28055555555555556</v>
      </c>
      <c r="N2" s="9" t="s">
        <v>209</v>
      </c>
      <c r="O2" s="26" t="s">
        <v>208</v>
      </c>
      <c r="P2" s="20">
        <v>447</v>
      </c>
      <c r="Q2" s="26">
        <v>866</v>
      </c>
      <c r="R2" s="23">
        <v>0</v>
      </c>
      <c r="S2" s="23">
        <v>0</v>
      </c>
      <c r="T2" s="23">
        <v>0</v>
      </c>
      <c r="U2" s="23">
        <v>0</v>
      </c>
    </row>
    <row r="3" spans="1:21" s="21" customFormat="1" x14ac:dyDescent="0.25">
      <c r="A3" s="3">
        <v>44131</v>
      </c>
      <c r="B3" s="23" t="s">
        <v>36</v>
      </c>
      <c r="C3" s="9" t="s">
        <v>28</v>
      </c>
      <c r="D3" s="9" t="s">
        <v>21</v>
      </c>
      <c r="E3" s="23" t="s">
        <v>108</v>
      </c>
      <c r="F3" s="23" t="s">
        <v>22</v>
      </c>
      <c r="G3" s="22">
        <v>70000</v>
      </c>
      <c r="H3" s="23" t="s">
        <v>27</v>
      </c>
      <c r="I3" s="23" t="s">
        <v>42</v>
      </c>
      <c r="J3" s="18">
        <v>0.64930555555555558</v>
      </c>
      <c r="K3" s="27">
        <v>0.66319444444444442</v>
      </c>
      <c r="L3" s="18">
        <v>0.5</v>
      </c>
      <c r="M3" s="19">
        <v>0.5180555555555556</v>
      </c>
      <c r="N3" s="9" t="s">
        <v>211</v>
      </c>
      <c r="O3" s="28" t="s">
        <v>173</v>
      </c>
      <c r="P3" s="23">
        <v>760</v>
      </c>
      <c r="Q3" s="26">
        <v>784</v>
      </c>
      <c r="R3" s="9">
        <v>0</v>
      </c>
      <c r="S3" s="9">
        <v>0</v>
      </c>
      <c r="T3" s="9">
        <v>0</v>
      </c>
      <c r="U3" s="9">
        <v>0</v>
      </c>
    </row>
    <row r="4" spans="1:21" s="21" customFormat="1" x14ac:dyDescent="0.25">
      <c r="A4" s="3">
        <v>44131</v>
      </c>
      <c r="B4" s="33" t="s">
        <v>36</v>
      </c>
      <c r="C4" s="47" t="s">
        <v>40</v>
      </c>
      <c r="D4" s="33" t="s">
        <v>21</v>
      </c>
      <c r="E4" s="33" t="s">
        <v>108</v>
      </c>
      <c r="F4" s="33" t="s">
        <v>22</v>
      </c>
      <c r="G4" s="40">
        <v>70000</v>
      </c>
      <c r="H4" s="33" t="s">
        <v>41</v>
      </c>
      <c r="I4" s="47" t="s">
        <v>64</v>
      </c>
      <c r="J4" s="48">
        <v>0.94791666666666663</v>
      </c>
      <c r="K4" s="27">
        <v>1.5972222222222224E-2</v>
      </c>
      <c r="L4" s="48">
        <v>0.71527777777777779</v>
      </c>
      <c r="M4" s="49">
        <v>0.7895833333333333</v>
      </c>
      <c r="N4" s="9" t="s">
        <v>210</v>
      </c>
      <c r="O4" s="50" t="s">
        <v>210</v>
      </c>
      <c r="P4" s="50">
        <v>643</v>
      </c>
      <c r="Q4" s="50">
        <v>1095</v>
      </c>
      <c r="R4" s="33">
        <v>0</v>
      </c>
      <c r="S4" s="33">
        <v>0</v>
      </c>
      <c r="T4" s="33">
        <v>0</v>
      </c>
      <c r="U4" s="33">
        <v>0</v>
      </c>
    </row>
    <row r="5" spans="1:21" s="21" customFormat="1" x14ac:dyDescent="0.25">
      <c r="A5" s="3"/>
      <c r="B5" s="9"/>
      <c r="C5" s="9"/>
      <c r="D5" s="9"/>
      <c r="E5" s="23"/>
      <c r="F5" s="9"/>
      <c r="G5" s="22"/>
      <c r="H5" s="9"/>
      <c r="I5" s="9"/>
      <c r="J5" s="12"/>
      <c r="K5" s="25"/>
      <c r="L5" s="12"/>
      <c r="M5" s="19"/>
      <c r="N5" s="9"/>
      <c r="O5" s="9"/>
      <c r="P5" s="9"/>
      <c r="Q5" s="9"/>
      <c r="R5" s="9"/>
      <c r="S5" s="9"/>
      <c r="T5" s="9"/>
      <c r="U5" s="9"/>
    </row>
    <row r="6" spans="1:21" s="21" customFormat="1" x14ac:dyDescent="0.25">
      <c r="A6" s="3"/>
      <c r="B6" s="20"/>
      <c r="C6" s="20"/>
      <c r="D6" s="20"/>
      <c r="E6" s="23"/>
      <c r="F6" s="20"/>
      <c r="G6" s="22"/>
      <c r="H6" s="20"/>
      <c r="I6" s="20"/>
      <c r="J6" s="18"/>
      <c r="K6" s="19"/>
      <c r="L6" s="18"/>
      <c r="M6" s="19"/>
      <c r="N6" s="20"/>
      <c r="O6" s="20"/>
      <c r="P6" s="20"/>
      <c r="Q6" s="20"/>
      <c r="R6" s="20"/>
      <c r="S6" s="20"/>
      <c r="T6" s="20"/>
      <c r="U6" s="20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topLeftCell="G1" workbookViewId="0">
      <selection activeCell="G2" sqref="A2:XFD2"/>
    </sheetView>
  </sheetViews>
  <sheetFormatPr defaultRowHeight="15" x14ac:dyDescent="0.25"/>
  <cols>
    <col min="1" max="1" width="10.7109375" style="36" customWidth="1"/>
    <col min="2" max="2" width="9.140625" style="36" bestFit="1" customWidth="1"/>
    <col min="3" max="3" width="13.5703125" style="36" bestFit="1" customWidth="1"/>
    <col min="4" max="4" width="5.7109375" style="36" bestFit="1" customWidth="1"/>
    <col min="5" max="5" width="8.28515625" style="36" bestFit="1" customWidth="1"/>
    <col min="6" max="6" width="14.42578125" style="36" bestFit="1" customWidth="1"/>
    <col min="7" max="9" width="9.7109375" style="36" bestFit="1" customWidth="1"/>
    <col min="10" max="10" width="11" style="36" bestFit="1" customWidth="1"/>
    <col min="11" max="11" width="10.85546875" style="36" bestFit="1" customWidth="1"/>
    <col min="12" max="12" width="11" style="36" bestFit="1" customWidth="1"/>
    <col min="13" max="13" width="10.85546875" style="36" bestFit="1" customWidth="1"/>
    <col min="14" max="15" width="18.42578125" style="36" bestFit="1" customWidth="1"/>
    <col min="16" max="17" width="10.28515625" style="36" bestFit="1" customWidth="1"/>
    <col min="18" max="16384" width="9.140625" style="36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44132</v>
      </c>
      <c r="B2" s="33" t="s">
        <v>36</v>
      </c>
      <c r="C2" s="33" t="s">
        <v>23</v>
      </c>
      <c r="D2" s="33" t="s">
        <v>21</v>
      </c>
      <c r="E2" s="33" t="s">
        <v>212</v>
      </c>
      <c r="F2" s="33" t="s">
        <v>22</v>
      </c>
      <c r="G2" s="40">
        <v>70000</v>
      </c>
      <c r="H2" s="33" t="s">
        <v>24</v>
      </c>
      <c r="I2" s="33" t="s">
        <v>25</v>
      </c>
      <c r="J2" s="41">
        <v>0.47569444444444442</v>
      </c>
      <c r="K2" s="42">
        <v>0.46666666666666662</v>
      </c>
      <c r="L2" s="41">
        <v>0.27430555555555552</v>
      </c>
      <c r="M2" s="42">
        <v>0.28819444444444448</v>
      </c>
      <c r="N2" s="42" t="s">
        <v>218</v>
      </c>
      <c r="O2" s="42" t="s">
        <v>217</v>
      </c>
      <c r="P2" s="43">
        <v>228</v>
      </c>
      <c r="Q2" s="43">
        <v>475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s="8" customFormat="1" ht="12.75" x14ac:dyDescent="0.2">
      <c r="A3" s="3">
        <f>A2</f>
        <v>44132</v>
      </c>
      <c r="B3" s="33" t="s">
        <v>36</v>
      </c>
      <c r="C3" s="47" t="s">
        <v>62</v>
      </c>
      <c r="D3" s="33" t="s">
        <v>21</v>
      </c>
      <c r="E3" s="33" t="s">
        <v>108</v>
      </c>
      <c r="F3" s="33" t="s">
        <v>22</v>
      </c>
      <c r="G3" s="40">
        <v>70000</v>
      </c>
      <c r="H3" s="33" t="s">
        <v>63</v>
      </c>
      <c r="I3" s="47" t="s">
        <v>64</v>
      </c>
      <c r="J3" s="48">
        <v>0.74305555555555547</v>
      </c>
      <c r="K3" s="27">
        <v>0.7368055555555556</v>
      </c>
      <c r="L3" s="48">
        <v>0.50694444444444442</v>
      </c>
      <c r="M3" s="49">
        <v>0.5131944444444444</v>
      </c>
      <c r="N3" s="9" t="s">
        <v>220</v>
      </c>
      <c r="O3" s="50" t="s">
        <v>219</v>
      </c>
      <c r="P3" s="50">
        <v>750</v>
      </c>
      <c r="Q3" s="50">
        <v>1127</v>
      </c>
      <c r="R3" s="33">
        <v>0</v>
      </c>
      <c r="S3" s="33">
        <v>0</v>
      </c>
      <c r="T3" s="33">
        <v>0</v>
      </c>
      <c r="U3" s="33">
        <v>0</v>
      </c>
      <c r="V3" s="44"/>
    </row>
    <row r="4" spans="1:22" s="8" customFormat="1" ht="12.75" x14ac:dyDescent="0.2">
      <c r="A4" s="3">
        <v>44132</v>
      </c>
      <c r="B4" s="33" t="s">
        <v>36</v>
      </c>
      <c r="C4" s="47" t="s">
        <v>213</v>
      </c>
      <c r="D4" s="33" t="s">
        <v>21</v>
      </c>
      <c r="E4" s="33" t="s">
        <v>212</v>
      </c>
      <c r="F4" s="33" t="s">
        <v>214</v>
      </c>
      <c r="G4" s="40">
        <v>70000</v>
      </c>
      <c r="H4" s="33" t="s">
        <v>215</v>
      </c>
      <c r="I4" s="47" t="s">
        <v>95</v>
      </c>
      <c r="J4" s="48">
        <v>0.25</v>
      </c>
      <c r="K4" s="27">
        <v>0.24930555555555556</v>
      </c>
      <c r="L4" s="48" t="s">
        <v>95</v>
      </c>
      <c r="M4" s="49" t="s">
        <v>95</v>
      </c>
      <c r="N4" s="9" t="s">
        <v>216</v>
      </c>
      <c r="O4" s="50" t="s">
        <v>95</v>
      </c>
      <c r="P4" s="50">
        <v>0</v>
      </c>
      <c r="Q4" s="50" t="s">
        <v>95</v>
      </c>
      <c r="R4" s="33">
        <v>0</v>
      </c>
      <c r="S4" s="33">
        <v>0</v>
      </c>
      <c r="T4" s="33">
        <v>0</v>
      </c>
      <c r="U4" s="33">
        <v>0</v>
      </c>
      <c r="V4" s="46"/>
    </row>
    <row r="5" spans="1:22" s="8" customFormat="1" ht="12.75" x14ac:dyDescent="0.2">
      <c r="A5" s="3"/>
      <c r="B5" s="33"/>
      <c r="C5" s="47"/>
      <c r="D5" s="33"/>
      <c r="E5" s="33"/>
      <c r="F5" s="33"/>
      <c r="G5" s="40"/>
      <c r="H5" s="33"/>
      <c r="I5" s="47"/>
      <c r="J5" s="48"/>
      <c r="K5" s="27"/>
      <c r="L5" s="48"/>
      <c r="M5" s="49"/>
      <c r="N5" s="9"/>
      <c r="O5" s="50"/>
      <c r="P5" s="50"/>
      <c r="Q5" s="50"/>
      <c r="R5" s="33"/>
      <c r="S5" s="33"/>
      <c r="T5" s="33"/>
      <c r="U5" s="33"/>
      <c r="V5" s="44"/>
    </row>
    <row r="6" spans="1:22" s="8" customFormat="1" ht="12.75" x14ac:dyDescent="0.2">
      <c r="A6" s="3"/>
      <c r="B6" s="33"/>
      <c r="C6" s="44"/>
      <c r="D6" s="33"/>
      <c r="E6" s="33"/>
      <c r="F6" s="33"/>
      <c r="G6" s="40"/>
      <c r="H6" s="44"/>
      <c r="I6" s="44"/>
      <c r="J6" s="51"/>
      <c r="K6" s="52"/>
      <c r="L6" s="51"/>
      <c r="M6" s="52"/>
      <c r="N6" s="44"/>
      <c r="O6" s="44"/>
      <c r="P6" s="44"/>
      <c r="Q6" s="44"/>
      <c r="R6" s="44"/>
      <c r="S6" s="44"/>
      <c r="T6" s="44"/>
      <c r="U6" s="44"/>
      <c r="V6" s="46"/>
    </row>
    <row r="7" spans="1:22" customFormat="1" x14ac:dyDescent="0.25">
      <c r="A7" s="31"/>
      <c r="B7" s="13"/>
      <c r="C7" s="14"/>
      <c r="D7" s="13"/>
      <c r="E7" s="33"/>
      <c r="F7" s="13"/>
      <c r="G7" s="32"/>
      <c r="H7" s="14"/>
      <c r="I7" s="14"/>
      <c r="J7" s="15"/>
      <c r="K7" s="16"/>
      <c r="L7" s="15"/>
      <c r="M7" s="16"/>
      <c r="N7" s="14"/>
      <c r="O7" s="14"/>
      <c r="P7" s="14"/>
      <c r="Q7" s="17"/>
      <c r="R7" s="14"/>
      <c r="S7" s="14"/>
      <c r="T7" s="14"/>
      <c r="U7" s="14"/>
    </row>
    <row r="8" spans="1:22" s="34" customFormat="1" ht="12.75" x14ac:dyDescent="0.2">
      <c r="A8" s="31"/>
      <c r="B8" s="13"/>
      <c r="D8" s="13"/>
      <c r="E8" s="33"/>
      <c r="G8" s="32"/>
      <c r="J8" s="35"/>
      <c r="K8" s="35"/>
      <c r="L8" s="35"/>
      <c r="M8" s="35"/>
      <c r="N8" s="20"/>
      <c r="O8" s="20"/>
      <c r="P8" s="20"/>
      <c r="Q8" s="20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opLeftCell="G1" workbookViewId="0">
      <selection activeCell="G1" sqref="A1:XFD1048576"/>
    </sheetView>
  </sheetViews>
  <sheetFormatPr defaultRowHeight="15" x14ac:dyDescent="0.25"/>
  <cols>
    <col min="3" max="3" width="13.570312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44133</v>
      </c>
      <c r="B2" s="33" t="s">
        <v>36</v>
      </c>
      <c r="C2" s="9" t="s">
        <v>55</v>
      </c>
      <c r="D2" s="33" t="s">
        <v>21</v>
      </c>
      <c r="E2" s="33" t="s">
        <v>212</v>
      </c>
      <c r="F2" s="23" t="s">
        <v>22</v>
      </c>
      <c r="G2" s="40">
        <v>70000</v>
      </c>
      <c r="H2" s="9" t="s">
        <v>81</v>
      </c>
      <c r="I2" s="9" t="s">
        <v>57</v>
      </c>
      <c r="J2" s="45">
        <v>0.45833333333333331</v>
      </c>
      <c r="K2" s="46">
        <v>0.47152777777777777</v>
      </c>
      <c r="L2" s="45">
        <v>0.27430555555555552</v>
      </c>
      <c r="M2" s="46">
        <v>0.28472222222222221</v>
      </c>
      <c r="N2" s="46" t="s">
        <v>221</v>
      </c>
      <c r="O2" s="43" t="s">
        <v>82</v>
      </c>
      <c r="P2" s="33">
        <v>755</v>
      </c>
      <c r="Q2" s="43">
        <v>980</v>
      </c>
      <c r="R2" s="9">
        <v>0</v>
      </c>
      <c r="S2" s="9">
        <v>0</v>
      </c>
      <c r="T2" s="9">
        <v>0</v>
      </c>
      <c r="U2" s="9">
        <v>0</v>
      </c>
      <c r="V2" s="44"/>
    </row>
    <row r="3" spans="1:22" s="8" customFormat="1" ht="12.75" x14ac:dyDescent="0.2">
      <c r="A3" s="3">
        <v>44133</v>
      </c>
      <c r="B3" s="33" t="s">
        <v>36</v>
      </c>
      <c r="C3" s="33" t="s">
        <v>37</v>
      </c>
      <c r="D3" s="33" t="s">
        <v>21</v>
      </c>
      <c r="E3" s="33" t="s">
        <v>212</v>
      </c>
      <c r="F3" s="33" t="s">
        <v>22</v>
      </c>
      <c r="G3" s="32">
        <v>70000</v>
      </c>
      <c r="H3" s="33" t="s">
        <v>38</v>
      </c>
      <c r="I3" s="33" t="s">
        <v>39</v>
      </c>
      <c r="J3" s="41">
        <v>0.71527777777777779</v>
      </c>
      <c r="K3" s="42">
        <v>0.69930555555555562</v>
      </c>
      <c r="L3" s="41">
        <v>0.51041666666666663</v>
      </c>
      <c r="M3" s="42">
        <v>0.51458333333333328</v>
      </c>
      <c r="N3" s="43" t="s">
        <v>222</v>
      </c>
      <c r="O3" s="43" t="s">
        <v>223</v>
      </c>
      <c r="P3" s="8">
        <v>71</v>
      </c>
      <c r="Q3" s="43">
        <v>1045</v>
      </c>
      <c r="R3" s="33">
        <v>0</v>
      </c>
      <c r="S3" s="33">
        <v>0</v>
      </c>
      <c r="T3" s="33">
        <v>0</v>
      </c>
      <c r="U3" s="33">
        <v>0</v>
      </c>
      <c r="V3" s="44"/>
    </row>
    <row r="4" spans="1:22" s="8" customFormat="1" ht="12.75" x14ac:dyDescent="0.2">
      <c r="A4" s="3"/>
      <c r="B4" s="33"/>
      <c r="C4" s="33"/>
      <c r="D4" s="33"/>
      <c r="E4" s="33"/>
      <c r="F4" s="33"/>
      <c r="G4" s="32"/>
      <c r="H4" s="33"/>
      <c r="I4" s="33"/>
      <c r="J4" s="41"/>
      <c r="K4" s="42"/>
      <c r="L4" s="41"/>
      <c r="M4" s="42"/>
      <c r="N4" s="43"/>
      <c r="O4" s="43"/>
      <c r="Q4" s="43"/>
      <c r="R4" s="33"/>
      <c r="S4" s="33"/>
      <c r="T4" s="33"/>
      <c r="U4" s="33"/>
      <c r="V4" s="4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A4" sqref="A4"/>
    </sheetView>
  </sheetViews>
  <sheetFormatPr defaultRowHeight="15" x14ac:dyDescent="0.25"/>
  <cols>
    <col min="3" max="3" width="13.570312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39" customFormat="1" ht="12.75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</row>
    <row r="2" spans="1:22" s="8" customFormat="1" ht="12.75" x14ac:dyDescent="0.2">
      <c r="A2" s="3">
        <v>44134</v>
      </c>
      <c r="B2" s="33" t="s">
        <v>36</v>
      </c>
      <c r="C2" s="33" t="s">
        <v>23</v>
      </c>
      <c r="D2" s="33" t="s">
        <v>21</v>
      </c>
      <c r="E2" s="33" t="s">
        <v>212</v>
      </c>
      <c r="F2" s="33" t="s">
        <v>22</v>
      </c>
      <c r="G2" s="40">
        <v>70000</v>
      </c>
      <c r="H2" s="33" t="s">
        <v>24</v>
      </c>
      <c r="I2" s="33" t="s">
        <v>25</v>
      </c>
      <c r="J2" s="41">
        <v>0.47569444444444442</v>
      </c>
      <c r="K2" s="42">
        <v>0.46875</v>
      </c>
      <c r="L2" s="41">
        <v>0.27430555555555552</v>
      </c>
      <c r="M2" s="42">
        <v>0.28333333333333333</v>
      </c>
      <c r="N2" s="42" t="s">
        <v>210</v>
      </c>
      <c r="O2" s="42" t="s">
        <v>224</v>
      </c>
      <c r="P2" s="43">
        <v>1014</v>
      </c>
      <c r="Q2" s="43">
        <v>907</v>
      </c>
      <c r="R2" s="33">
        <v>0</v>
      </c>
      <c r="S2" s="33">
        <v>0</v>
      </c>
      <c r="T2" s="33">
        <v>0</v>
      </c>
      <c r="U2" s="33">
        <v>0</v>
      </c>
      <c r="V2" s="44"/>
    </row>
    <row r="3" spans="1:22" s="21" customFormat="1" x14ac:dyDescent="0.25">
      <c r="A3" s="3">
        <f>A2</f>
        <v>44134</v>
      </c>
      <c r="B3" s="9" t="s">
        <v>36</v>
      </c>
      <c r="C3" s="9" t="s">
        <v>52</v>
      </c>
      <c r="D3" s="9" t="s">
        <v>21</v>
      </c>
      <c r="E3" s="33" t="s">
        <v>212</v>
      </c>
      <c r="F3" s="9" t="s">
        <v>22</v>
      </c>
      <c r="G3" s="22">
        <f>G2</f>
        <v>70000</v>
      </c>
      <c r="H3" s="9" t="s">
        <v>53</v>
      </c>
      <c r="I3" s="9" t="s">
        <v>54</v>
      </c>
      <c r="J3" s="12">
        <v>0.74305555555555547</v>
      </c>
      <c r="K3" s="27">
        <v>0.74375000000000002</v>
      </c>
      <c r="L3" s="12">
        <v>0.53472222222222221</v>
      </c>
      <c r="M3" s="19">
        <v>0.54583333333333328</v>
      </c>
      <c r="N3" s="9" t="s">
        <v>97</v>
      </c>
      <c r="O3" s="9">
        <v>87</v>
      </c>
      <c r="P3" s="9">
        <v>469</v>
      </c>
      <c r="Q3" s="26">
        <v>536</v>
      </c>
      <c r="R3" s="9">
        <v>0</v>
      </c>
      <c r="S3" s="9">
        <v>0</v>
      </c>
      <c r="T3" s="9">
        <v>0</v>
      </c>
      <c r="U3" s="9">
        <v>0</v>
      </c>
    </row>
    <row r="4" spans="1:22" s="8" customFormat="1" ht="12.75" x14ac:dyDescent="0.2">
      <c r="A4" s="3">
        <f>A3</f>
        <v>44134</v>
      </c>
      <c r="B4" s="9" t="s">
        <v>36</v>
      </c>
      <c r="C4" s="33" t="s">
        <v>225</v>
      </c>
      <c r="D4" s="9" t="s">
        <v>21</v>
      </c>
      <c r="E4" s="33" t="s">
        <v>212</v>
      </c>
      <c r="F4" s="9" t="s">
        <v>22</v>
      </c>
      <c r="G4" s="22">
        <f>G3</f>
        <v>70000</v>
      </c>
      <c r="H4" s="33" t="s">
        <v>47</v>
      </c>
      <c r="I4" s="33" t="s">
        <v>48</v>
      </c>
      <c r="J4" s="41">
        <v>0.9375</v>
      </c>
      <c r="K4" s="42">
        <v>0.94374999999999998</v>
      </c>
      <c r="L4" s="41">
        <v>0.76388888888888884</v>
      </c>
      <c r="M4" s="42">
        <v>0.77986111111111101</v>
      </c>
      <c r="N4" s="43" t="s">
        <v>227</v>
      </c>
      <c r="O4" s="43" t="s">
        <v>226</v>
      </c>
      <c r="P4" s="8">
        <v>361</v>
      </c>
      <c r="Q4" s="43">
        <v>585</v>
      </c>
      <c r="R4" s="33">
        <v>0</v>
      </c>
      <c r="S4" s="33">
        <v>0</v>
      </c>
      <c r="T4" s="33">
        <v>0</v>
      </c>
      <c r="U4" s="33">
        <v>0</v>
      </c>
      <c r="V4" s="4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topLeftCell="B1" workbookViewId="0">
      <selection activeCell="N4" sqref="N4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1" customFormat="1" x14ac:dyDescent="0.25">
      <c r="A2" s="3">
        <v>44135</v>
      </c>
      <c r="B2" s="23" t="s">
        <v>36</v>
      </c>
      <c r="C2" s="23" t="s">
        <v>37</v>
      </c>
      <c r="D2" s="23" t="s">
        <v>21</v>
      </c>
      <c r="E2" s="23" t="s">
        <v>212</v>
      </c>
      <c r="F2" s="23" t="s">
        <v>22</v>
      </c>
      <c r="G2" s="22">
        <v>70000</v>
      </c>
      <c r="H2" s="23" t="s">
        <v>38</v>
      </c>
      <c r="I2" s="23" t="s">
        <v>39</v>
      </c>
      <c r="J2" s="37">
        <v>0.47916666666666669</v>
      </c>
      <c r="K2" s="25">
        <v>0.47569444444444442</v>
      </c>
      <c r="L2" s="37">
        <v>0.27430555555555552</v>
      </c>
      <c r="M2" s="19">
        <v>0.27986111111111112</v>
      </c>
      <c r="N2" s="9" t="s">
        <v>122</v>
      </c>
      <c r="O2" s="26" t="s">
        <v>228</v>
      </c>
      <c r="P2" s="20">
        <v>590</v>
      </c>
      <c r="Q2" s="26">
        <v>1305</v>
      </c>
      <c r="R2" s="23">
        <v>0</v>
      </c>
      <c r="S2" s="23">
        <v>0</v>
      </c>
      <c r="T2" s="23">
        <v>0</v>
      </c>
      <c r="U2" s="23">
        <v>0</v>
      </c>
    </row>
    <row r="3" spans="1:21" s="21" customFormat="1" x14ac:dyDescent="0.25">
      <c r="A3" s="3">
        <v>44135</v>
      </c>
      <c r="B3" s="23" t="s">
        <v>36</v>
      </c>
      <c r="C3" s="9" t="s">
        <v>28</v>
      </c>
      <c r="D3" s="9" t="s">
        <v>21</v>
      </c>
      <c r="E3" s="23" t="s">
        <v>212</v>
      </c>
      <c r="F3" s="23" t="s">
        <v>22</v>
      </c>
      <c r="G3" s="22">
        <v>70000</v>
      </c>
      <c r="H3" s="23" t="s">
        <v>27</v>
      </c>
      <c r="I3" s="23" t="s">
        <v>42</v>
      </c>
      <c r="J3" s="18">
        <v>0.64930555555555558</v>
      </c>
      <c r="K3" s="27">
        <v>0.65138888888888891</v>
      </c>
      <c r="L3" s="18">
        <v>0.5</v>
      </c>
      <c r="M3" s="19">
        <v>0.51736111111111105</v>
      </c>
      <c r="N3" s="9" t="s">
        <v>231</v>
      </c>
      <c r="O3" s="28" t="s">
        <v>229</v>
      </c>
      <c r="P3" s="23">
        <v>1040</v>
      </c>
      <c r="Q3" s="26">
        <v>922</v>
      </c>
      <c r="R3" s="9">
        <v>0</v>
      </c>
      <c r="S3" s="9">
        <v>0</v>
      </c>
      <c r="T3" s="9">
        <v>0</v>
      </c>
      <c r="U3" s="9">
        <v>0</v>
      </c>
    </row>
    <row r="4" spans="1:21" s="21" customFormat="1" x14ac:dyDescent="0.25">
      <c r="A4" s="3">
        <v>44135</v>
      </c>
      <c r="B4" s="33" t="s">
        <v>36</v>
      </c>
      <c r="C4" s="47" t="s">
        <v>40</v>
      </c>
      <c r="D4" s="33" t="s">
        <v>21</v>
      </c>
      <c r="E4" s="33" t="s">
        <v>212</v>
      </c>
      <c r="F4" s="33" t="s">
        <v>22</v>
      </c>
      <c r="G4" s="40">
        <v>70000</v>
      </c>
      <c r="H4" s="33" t="s">
        <v>41</v>
      </c>
      <c r="I4" s="47" t="s">
        <v>64</v>
      </c>
      <c r="J4" s="48">
        <v>0.94791666666666663</v>
      </c>
      <c r="K4" s="27">
        <v>0.94097222222222221</v>
      </c>
      <c r="L4" s="48">
        <v>0.71527777777777779</v>
      </c>
      <c r="M4" s="49">
        <v>0.71736111111111101</v>
      </c>
      <c r="N4" s="9" t="s">
        <v>232</v>
      </c>
      <c r="O4" s="50" t="s">
        <v>230</v>
      </c>
      <c r="P4" s="50">
        <v>406</v>
      </c>
      <c r="Q4" s="50">
        <v>924</v>
      </c>
      <c r="R4" s="33">
        <v>0</v>
      </c>
      <c r="S4" s="33">
        <v>0</v>
      </c>
      <c r="T4" s="33">
        <v>0</v>
      </c>
      <c r="U4" s="33">
        <v>0</v>
      </c>
    </row>
    <row r="5" spans="1:21" s="21" customFormat="1" x14ac:dyDescent="0.25">
      <c r="A5" s="3"/>
      <c r="B5" s="9"/>
      <c r="C5" s="9"/>
      <c r="D5" s="9"/>
      <c r="E5" s="23"/>
      <c r="F5" s="9"/>
      <c r="G5" s="22"/>
      <c r="H5" s="9"/>
      <c r="I5" s="9"/>
      <c r="J5" s="12"/>
      <c r="K5" s="25"/>
      <c r="L5" s="12"/>
      <c r="M5" s="19"/>
      <c r="N5" s="9"/>
      <c r="O5" s="9"/>
      <c r="P5" s="9"/>
      <c r="Q5" s="9"/>
      <c r="R5" s="9"/>
      <c r="S5" s="9"/>
      <c r="T5" s="9"/>
      <c r="U5" s="9"/>
    </row>
    <row r="6" spans="1:21" s="21" customFormat="1" x14ac:dyDescent="0.25">
      <c r="A6" s="3"/>
      <c r="B6" s="20"/>
      <c r="C6" s="20"/>
      <c r="D6" s="20"/>
      <c r="E6" s="23"/>
      <c r="F6" s="20"/>
      <c r="G6" s="22"/>
      <c r="H6" s="20"/>
      <c r="I6" s="20"/>
      <c r="J6" s="18"/>
      <c r="K6" s="19"/>
      <c r="L6" s="18"/>
      <c r="M6" s="19"/>
      <c r="N6" s="20"/>
      <c r="O6" s="20"/>
      <c r="P6" s="20"/>
      <c r="Q6" s="20"/>
      <c r="R6" s="20"/>
      <c r="S6" s="20"/>
      <c r="T6" s="20"/>
      <c r="U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2020-08-31T18:11:36Z</dcterms:created>
  <dcterms:modified xsi:type="dcterms:W3CDTF">2020-10-31T21:33:03Z</dcterms:modified>
</cp:coreProperties>
</file>