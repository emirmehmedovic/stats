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 tabRatio="876" activeTab="28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7" r:id="rId6"/>
    <sheet name="7" sheetId="32" r:id="rId7"/>
    <sheet name="8" sheetId="9" r:id="rId8"/>
    <sheet name="9" sheetId="10" r:id="rId9"/>
    <sheet name="10" sheetId="11" r:id="rId10"/>
    <sheet name="11" sheetId="12" r:id="rId11"/>
    <sheet name="12" sheetId="33" r:id="rId12"/>
    <sheet name="13" sheetId="14" r:id="rId13"/>
    <sheet name="14" sheetId="15" r:id="rId14"/>
    <sheet name="15" sheetId="34" r:id="rId15"/>
    <sheet name="16" sheetId="35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7" r:id="rId25"/>
    <sheet name="26" sheetId="28" r:id="rId26"/>
    <sheet name="27" sheetId="29" r:id="rId27"/>
    <sheet name="28" sheetId="30" r:id="rId28"/>
    <sheet name="29" sheetId="31" r:id="rId29"/>
  </sheets>
  <calcPr calcId="145621"/>
</workbook>
</file>

<file path=xl/calcChain.xml><?xml version="1.0" encoding="utf-8"?>
<calcChain xmlns="http://schemas.openxmlformats.org/spreadsheetml/2006/main">
  <c r="G5" i="35" l="1"/>
  <c r="A3" i="35"/>
  <c r="A4" i="35" s="1"/>
  <c r="A5" i="35" s="1"/>
  <c r="A6" i="35" s="1"/>
  <c r="G2" i="35"/>
  <c r="E4" i="34" l="1"/>
  <c r="G4" i="34"/>
  <c r="A3" i="34"/>
  <c r="A4" i="34" s="1"/>
  <c r="G5" i="15" l="1"/>
  <c r="G3" i="15"/>
  <c r="A3" i="15"/>
  <c r="A4" i="15" s="1"/>
  <c r="A5" i="15" s="1"/>
  <c r="A3" i="14" l="1"/>
  <c r="A4" i="14" s="1"/>
  <c r="A5" i="14" s="1"/>
  <c r="A6" i="14" s="1"/>
  <c r="A7" i="14" s="1"/>
  <c r="G3" i="33" l="1"/>
  <c r="E3" i="33"/>
  <c r="A3" i="33"/>
  <c r="E4" i="12" l="1"/>
  <c r="A3" i="12"/>
  <c r="A4" i="12" s="1"/>
  <c r="A3" i="11" l="1"/>
  <c r="A4" i="11" s="1"/>
  <c r="A5" i="11" s="1"/>
  <c r="G5" i="10" l="1"/>
  <c r="A3" i="10"/>
  <c r="A4" i="10" s="1"/>
  <c r="A5" i="10" s="1"/>
  <c r="A6" i="10" s="1"/>
  <c r="G2" i="10"/>
  <c r="G4" i="9" l="1"/>
  <c r="A3" i="9"/>
  <c r="A4" i="9" s="1"/>
  <c r="G5" i="32" l="1"/>
  <c r="G3" i="32"/>
  <c r="E5" i="32"/>
  <c r="E4" i="32"/>
  <c r="A3" i="32"/>
  <c r="A4" i="32" s="1"/>
  <c r="A5" i="32" s="1"/>
  <c r="A3" i="7" l="1"/>
  <c r="A4" i="7" s="1"/>
  <c r="A5" i="7" s="1"/>
  <c r="A6" i="7" s="1"/>
  <c r="A7" i="7" s="1"/>
  <c r="A3" i="6" l="1"/>
  <c r="A3" i="4" l="1"/>
  <c r="A4" i="4" s="1"/>
  <c r="E5" i="3" l="1"/>
  <c r="E4" i="3"/>
  <c r="A3" i="3"/>
  <c r="A4" i="3" s="1"/>
  <c r="A5" i="3" s="1"/>
  <c r="G5" i="2" l="1"/>
  <c r="A3" i="2"/>
  <c r="A4" i="2" s="1"/>
  <c r="A5" i="2" s="1"/>
  <c r="A6" i="2" s="1"/>
  <c r="G2" i="2"/>
  <c r="A3" i="1" l="1"/>
  <c r="A4" i="1" s="1"/>
  <c r="G4" i="1"/>
</calcChain>
</file>

<file path=xl/sharedStrings.xml><?xml version="1.0" encoding="utf-8"?>
<sst xmlns="http://schemas.openxmlformats.org/spreadsheetml/2006/main" count="939" uniqueCount="193">
  <si>
    <t>WIZZAIR</t>
  </si>
  <si>
    <t>A320</t>
  </si>
  <si>
    <t>SCHEDULED</t>
  </si>
  <si>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</si>
  <si>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</si>
  <si>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</si>
  <si>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</si>
  <si>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</si>
  <si>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</si>
  <si>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</si>
  <si>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</si>
  <si>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</si>
  <si>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</si>
  <si>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</si>
  <si>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</si>
  <si>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</si>
  <si>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</si>
  <si>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</si>
  <si>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</si>
  <si>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</si>
  <si>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</si>
  <si>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</si>
  <si>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</si>
  <si>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</si>
  <si>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TZL-MLH-TZL</t>
  </si>
  <si>
    <t>W64294</t>
  </si>
  <si>
    <t>W64293</t>
  </si>
  <si>
    <t>TZL-GOT-TZL</t>
  </si>
  <si>
    <t>W64296</t>
  </si>
  <si>
    <t>W64295</t>
  </si>
  <si>
    <t>TZL-CGN-TZL</t>
  </si>
  <si>
    <t>W64300</t>
  </si>
  <si>
    <t>W64299</t>
  </si>
  <si>
    <t>175+2 INF</t>
  </si>
  <si>
    <t>160+2 INF</t>
  </si>
  <si>
    <t>HALYH</t>
  </si>
  <si>
    <t>159+2 INF</t>
  </si>
  <si>
    <t>HALWA</t>
  </si>
  <si>
    <t>171+3 INF</t>
  </si>
  <si>
    <t>164+2 INF</t>
  </si>
  <si>
    <t>166+0 INF</t>
  </si>
  <si>
    <t>TZL-DTM-TZL</t>
  </si>
  <si>
    <t>W64298</t>
  </si>
  <si>
    <t>W64297</t>
  </si>
  <si>
    <t>TZL-MMX-TZL</t>
  </si>
  <si>
    <t>W64292</t>
  </si>
  <si>
    <t>W64291</t>
  </si>
  <si>
    <t>TZL-FDH-TZL</t>
  </si>
  <si>
    <t>W64616</t>
  </si>
  <si>
    <t>W64615</t>
  </si>
  <si>
    <t>TZL-BLL-TZL</t>
  </si>
  <si>
    <t>W64278</t>
  </si>
  <si>
    <t>W64277</t>
  </si>
  <si>
    <t>TZL-FKB-TZL</t>
  </si>
  <si>
    <t>W64618</t>
  </si>
  <si>
    <t>W64617</t>
  </si>
  <si>
    <t>162+0 INF</t>
  </si>
  <si>
    <t>163+0 INF</t>
  </si>
  <si>
    <t>157+1 INF</t>
  </si>
  <si>
    <t>165+2 INF</t>
  </si>
  <si>
    <t>HALWC</t>
  </si>
  <si>
    <t>155+1 INF</t>
  </si>
  <si>
    <t>143+0 INF</t>
  </si>
  <si>
    <t>153+2 INF</t>
  </si>
  <si>
    <t>141+1 INF</t>
  </si>
  <si>
    <t>138+1 INF</t>
  </si>
  <si>
    <t>TZL-HHN-TZL</t>
  </si>
  <si>
    <t>W64284</t>
  </si>
  <si>
    <t>W64283</t>
  </si>
  <si>
    <t>TZL-EIN-TZL</t>
  </si>
  <si>
    <t>W64290</t>
  </si>
  <si>
    <t>W64289</t>
  </si>
  <si>
    <t>TZL-FMM-TZL</t>
  </si>
  <si>
    <t>W64280</t>
  </si>
  <si>
    <t>W64279</t>
  </si>
  <si>
    <t>TZL-SXF-TZL</t>
  </si>
  <si>
    <t>W64276</t>
  </si>
  <si>
    <t>W64275</t>
  </si>
  <si>
    <t>170+3INF</t>
  </si>
  <si>
    <t>165+11INF</t>
  </si>
  <si>
    <t>158+0INF</t>
  </si>
  <si>
    <t>172+5INF</t>
  </si>
  <si>
    <t>145+3 INF</t>
  </si>
  <si>
    <t>154+2 INF</t>
  </si>
  <si>
    <t>167+5 INF</t>
  </si>
  <si>
    <t>169+0 INF</t>
  </si>
  <si>
    <t>HALYH/HALWV</t>
  </si>
  <si>
    <t>HALWV</t>
  </si>
  <si>
    <t>162+2 INF</t>
  </si>
  <si>
    <t>118+2 INF</t>
  </si>
  <si>
    <t>167+2 INF</t>
  </si>
  <si>
    <t>151+3 INF</t>
  </si>
  <si>
    <t>175+4 INF</t>
  </si>
  <si>
    <t>174+1INF</t>
  </si>
  <si>
    <t>167+0INF</t>
  </si>
  <si>
    <t>158+6 INF</t>
  </si>
  <si>
    <t>158+4 INF</t>
  </si>
  <si>
    <t>172+4 INF</t>
  </si>
  <si>
    <t>HALWC/HALPT</t>
  </si>
  <si>
    <t>HALPT</t>
  </si>
  <si>
    <t>141+0 INF</t>
  </si>
  <si>
    <t>168+1 INF</t>
  </si>
  <si>
    <t>149+1 INF</t>
  </si>
  <si>
    <t>170+1 INF</t>
  </si>
  <si>
    <t>147+4 INF</t>
  </si>
  <si>
    <t>128+0 INF</t>
  </si>
  <si>
    <t>147+3 INF</t>
  </si>
  <si>
    <t>161+3 INF</t>
  </si>
  <si>
    <t>169+3INF</t>
  </si>
  <si>
    <t>164+4 INF</t>
  </si>
  <si>
    <t>164+3 INF</t>
  </si>
  <si>
    <t>158+2 INF</t>
  </si>
  <si>
    <t>151+6 INF</t>
  </si>
  <si>
    <t>132+5 INF</t>
  </si>
  <si>
    <t>165+4 INF</t>
  </si>
  <si>
    <t>167+1 INF</t>
  </si>
  <si>
    <t>166+1 INF</t>
  </si>
  <si>
    <t>171+8 INF</t>
  </si>
  <si>
    <t>176+1 INF</t>
  </si>
  <si>
    <t>174+4 INF</t>
  </si>
  <si>
    <t>151+1 INF</t>
  </si>
  <si>
    <t>174+2 INF</t>
  </si>
  <si>
    <t>HA-LWV</t>
  </si>
  <si>
    <t>HA-LPT</t>
  </si>
  <si>
    <t>HA-LYP</t>
  </si>
  <si>
    <t>134+2 INF</t>
  </si>
  <si>
    <t>150+0 INF</t>
  </si>
  <si>
    <t>153+3 INF</t>
  </si>
  <si>
    <t>106+1 INF</t>
  </si>
  <si>
    <t>134+4 INF</t>
  </si>
  <si>
    <t>HALYP</t>
  </si>
  <si>
    <t>149+4 INF</t>
  </si>
  <si>
    <t>155+6 INF</t>
  </si>
  <si>
    <t>156+0 INF</t>
  </si>
  <si>
    <t>161+5 INF</t>
  </si>
  <si>
    <t>150+2 INF</t>
  </si>
  <si>
    <t>165+3INF</t>
  </si>
  <si>
    <t>124+4INF</t>
  </si>
  <si>
    <t>148+0 INF</t>
  </si>
  <si>
    <t>150+1 INF</t>
  </si>
  <si>
    <t>129+2 INF</t>
  </si>
  <si>
    <t>126+1INF</t>
  </si>
  <si>
    <t>91+3INF</t>
  </si>
  <si>
    <t>146+4 INF</t>
  </si>
  <si>
    <t>121+2 INF</t>
  </si>
  <si>
    <t>129+0 INF</t>
  </si>
  <si>
    <t>100+0 INF</t>
  </si>
  <si>
    <t>97+0 INF</t>
  </si>
  <si>
    <t>100+2 INF</t>
  </si>
  <si>
    <t>89+1 INF</t>
  </si>
  <si>
    <t>106+4 INF</t>
  </si>
  <si>
    <t>82+1 INF</t>
  </si>
  <si>
    <t>79+1 INF</t>
  </si>
  <si>
    <t>74+1 INF</t>
  </si>
  <si>
    <t>68+2 INF</t>
  </si>
  <si>
    <t>126+4 INF</t>
  </si>
  <si>
    <t>66+1 INF</t>
  </si>
  <si>
    <t>HALPN</t>
  </si>
  <si>
    <t>120+4 INF</t>
  </si>
  <si>
    <t>109+3 INF</t>
  </si>
  <si>
    <t>68+1 INF</t>
  </si>
  <si>
    <t>70+1 INF</t>
  </si>
  <si>
    <t>106+2 INF</t>
  </si>
  <si>
    <t>101+3 INF</t>
  </si>
  <si>
    <t>129+5 INF</t>
  </si>
  <si>
    <t>155+0 INF</t>
  </si>
  <si>
    <t>119+2 INF</t>
  </si>
  <si>
    <t>101+2 INF</t>
  </si>
  <si>
    <t>HA-LPN</t>
  </si>
  <si>
    <t>91+3 INF</t>
  </si>
  <si>
    <t>97+1 INF</t>
  </si>
  <si>
    <t>133+2 INF</t>
  </si>
  <si>
    <t>84+3 INF</t>
  </si>
  <si>
    <t>108+1INF</t>
  </si>
  <si>
    <t>103+7INF</t>
  </si>
  <si>
    <t>82+1INF</t>
  </si>
  <si>
    <t>TZL-DEB</t>
  </si>
  <si>
    <t>FERRY OUT</t>
  </si>
  <si>
    <t>-</t>
  </si>
  <si>
    <t>W6817</t>
  </si>
  <si>
    <t>CREW</t>
  </si>
  <si>
    <t>W6815</t>
  </si>
  <si>
    <t>43+0INF</t>
  </si>
  <si>
    <t>105+1INF</t>
  </si>
  <si>
    <t>SWISS AIR AMBULANCE</t>
  </si>
  <si>
    <t>PRN-TZL-ZRH</t>
  </si>
  <si>
    <t>CL650</t>
  </si>
  <si>
    <t>HB-JWC</t>
  </si>
  <si>
    <t>MEDEVAC</t>
  </si>
  <si>
    <t>SAZ72</t>
  </si>
  <si>
    <t>SAZ73</t>
  </si>
  <si>
    <t>2 TRANSIT</t>
  </si>
  <si>
    <t>1(+2 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</si>
</sst>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56">
    <xf numFmtId="0" fontId="0" fillId="0" borderId="0" xfId="0"/>
    <xf numFmtId="0" fontId="4" fillId="0" borderId="0" xfId="0" applyFont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4" fillId="0" borderId="0" xfId="2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20" fontId="7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7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6" fillId="0" borderId="0" xfId="0" applyNumberFormat="1" applyFont="1" applyFill="1" applyAlignment="1">
      <alignment horizontal="center"/>
    </xf>
    <xf numFmtId="0" fontId="3" fillId="0" borderId="0" xfId="4"/>
    <xf numFmtId="0" fontId="4" fillId="0" borderId="0" xfId="4" applyFont="1" applyFill="1" applyAlignment="1">
      <alignment horizontal="center" vertical="center"/>
    </xf>
    <xf numFmtId="3" fontId="4" fillId="0" borderId="0" xfId="4" applyNumberFormat="1" applyFont="1" applyFill="1" applyAlignment="1">
      <alignment horizontal="center" vertical="center"/>
    </xf>
    <xf numFmtId="20" fontId="7" fillId="0" borderId="0" xfId="4" applyNumberFormat="1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0" fontId="4" fillId="0" borderId="0" xfId="4" applyNumberFormat="1" applyFont="1" applyFill="1" applyAlignment="1">
      <alignment horizontal="center" vertical="center"/>
    </xf>
    <xf numFmtId="0" fontId="4" fillId="0" borderId="0" xfId="3" applyFont="1" applyFill="1" applyAlignment="1">
      <alignment horizontal="center" vertical="center"/>
    </xf>
    <xf numFmtId="3" fontId="4" fillId="0" borderId="0" xfId="3" applyNumberFormat="1" applyFont="1" applyFill="1" applyAlignment="1">
      <alignment horizontal="center" vertical="center"/>
    </xf>
    <xf numFmtId="20" fontId="8" fillId="0" borderId="0" xfId="3" applyNumberFormat="1" applyFont="1" applyAlignment="1">
      <alignment horizontal="center" vertical="center"/>
    </xf>
    <xf numFmtId="20" fontId="6" fillId="0" borderId="0" xfId="3" applyNumberFormat="1" applyFont="1" applyAlignment="1">
      <alignment horizontal="center" vertical="center"/>
    </xf>
    <xf numFmtId="0" fontId="4" fillId="0" borderId="0" xfId="3" applyNumberFormat="1" applyFont="1" applyFill="1" applyAlignment="1">
      <alignment horizontal="center" vertical="center"/>
    </xf>
    <xf numFmtId="0" fontId="1" fillId="0" borderId="0" xfId="8"/>
    <xf numFmtId="20" fontId="7" fillId="0" borderId="0" xfId="3" applyNumberFormat="1" applyFont="1" applyFill="1" applyAlignment="1">
      <alignment horizontal="center" vertical="center"/>
    </xf>
    <xf numFmtId="20" fontId="4" fillId="0" borderId="0" xfId="3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0" xfId="0" applyFont="1"/>
    <xf numFmtId="0" fontId="4" fillId="0" borderId="0" xfId="1" applyFont="1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/>
    </xf>
    <xf numFmtId="0" fontId="6" fillId="0" borderId="0" xfId="0" applyFont="1" applyBorder="1"/>
    <xf numFmtId="14" fontId="4" fillId="0" borderId="0" xfId="2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20" fontId="7" fillId="0" borderId="0" xfId="0" applyNumberFormat="1" applyFont="1" applyFill="1" applyBorder="1" applyAlignment="1">
      <alignment horizontal="center" vertical="center"/>
    </xf>
    <xf numFmtId="20" fontId="4" fillId="0" borderId="0" xfId="1" applyNumberFormat="1" applyFont="1" applyFill="1" applyBorder="1" applyAlignment="1">
      <alignment horizontal="center" vertical="center"/>
    </xf>
    <xf numFmtId="2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20" fontId="7" fillId="0" borderId="0" xfId="1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20" fontId="6" fillId="0" borderId="0" xfId="0" applyNumberFormat="1" applyFont="1" applyBorder="1"/>
    <xf numFmtId="0" fontId="0" fillId="0" borderId="0" xfId="0" applyFont="1"/>
    <xf numFmtId="0" fontId="4" fillId="2" borderId="0" xfId="1" applyFont="1" applyFill="1" applyBorder="1" applyAlignment="1">
      <alignment horizontal="center" vertical="center"/>
    </xf>
  </cellXfs>
  <cellStyles count="9">
    <cellStyle name="Normal" xfId="0" builtinId="0"/>
    <cellStyle name="Normal 2" xfId="4"/>
    <cellStyle name="Normal 2 2" xfId="2"/>
    <cellStyle name="Normal 3" xfId="5"/>
    <cellStyle name="Normal 3 2" xfId="1"/>
    <cellStyle name="Normal 4" xfId="3"/>
    <cellStyle name="Normal 5" xfId="6"/>
    <cellStyle name="Normal 6" xfId="7"/>
    <cellStyle name="Normal 7" xf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4"/>
    </sheetView>
  </sheetViews>
  <sheetFormatPr defaultRowHeight="12.75" x14ac:dyDescent="0.2"/>
  <cols>
    <col min="1" max="1" width="9.140625" style="40" bestFit="1" customWidth="1"/>
    <col min="2" max="2" width="13.85546875" style="40" customWidth="1"/>
    <col min="3" max="3" width="17.7109375" style="40" customWidth="1"/>
    <col min="4" max="4" width="10.5703125" style="40" customWidth="1"/>
    <col min="5" max="5" width="9.140625" style="40"/>
    <col min="6" max="6" width="17.28515625" style="40" customWidth="1"/>
    <col min="7" max="7" width="9.28515625" style="40" bestFit="1" customWidth="1"/>
    <col min="8" max="9" width="9.140625" style="40"/>
    <col min="10" max="10" width="11.140625" style="40" bestFit="1" customWidth="1"/>
    <col min="11" max="11" width="11" style="40" bestFit="1" customWidth="1"/>
    <col min="12" max="12" width="11.140625" style="40" bestFit="1" customWidth="1"/>
    <col min="13" max="13" width="11" style="40" bestFit="1" customWidth="1"/>
    <col min="14" max="15" width="18.5703125" style="40" bestFit="1" customWidth="1"/>
    <col min="16" max="21" width="9.28515625" style="40" bestFit="1" customWidth="1"/>
    <col min="22" max="16384" width="9.140625" style="40"/>
  </cols>
  <sheetData>
    <row r="1" spans="1:21" x14ac:dyDescent="0.2">
      <c r="A1" s="39" t="s">
        <v>3</v>
      </c>
      <c r="B1" s="39" t="s">
        <v>4</v>
      </c>
      <c r="C1" s="39" t="s">
        <v>5</v>
      </c>
      <c r="D1" s="39" t="s">
        <v>6</v>
      </c>
      <c r="E1" s="39" t="s">
        <v>7</v>
      </c>
      <c r="F1" s="39" t="s">
        <v>8</v>
      </c>
      <c r="G1" s="39" t="s">
        <v>9</v>
      </c>
      <c r="H1" s="39" t="s">
        <v>10</v>
      </c>
      <c r="I1" s="39" t="s">
        <v>11</v>
      </c>
      <c r="J1" s="39" t="s">
        <v>12</v>
      </c>
      <c r="K1" s="39" t="s">
        <v>13</v>
      </c>
      <c r="L1" s="39" t="s">
        <v>14</v>
      </c>
      <c r="M1" s="39" t="s">
        <v>15</v>
      </c>
      <c r="N1" s="39" t="s">
        <v>16</v>
      </c>
      <c r="O1" s="39" t="s">
        <v>17</v>
      </c>
      <c r="P1" s="39" t="s">
        <v>18</v>
      </c>
      <c r="Q1" s="39" t="s">
        <v>19</v>
      </c>
      <c r="R1" s="39" t="s">
        <v>20</v>
      </c>
      <c r="S1" s="39" t="s">
        <v>21</v>
      </c>
      <c r="T1" s="39" t="s">
        <v>22</v>
      </c>
      <c r="U1" s="39" t="s">
        <v>23</v>
      </c>
    </row>
    <row r="2" spans="1:21" x14ac:dyDescent="0.2">
      <c r="A2" s="41">
        <v>43891</v>
      </c>
      <c r="B2" s="42" t="s">
        <v>0</v>
      </c>
      <c r="C2" s="42" t="s">
        <v>24</v>
      </c>
      <c r="D2" s="42" t="s">
        <v>1</v>
      </c>
      <c r="E2" s="42" t="s">
        <v>35</v>
      </c>
      <c r="F2" s="42" t="s">
        <v>2</v>
      </c>
      <c r="G2" s="43">
        <v>71500</v>
      </c>
      <c r="H2" s="42" t="s">
        <v>25</v>
      </c>
      <c r="I2" s="42" t="s">
        <v>26</v>
      </c>
      <c r="J2" s="44">
        <v>0.65972222222222221</v>
      </c>
      <c r="K2" s="45">
        <v>0.64722222222222225</v>
      </c>
      <c r="L2" s="44">
        <v>0.49305555555555558</v>
      </c>
      <c r="M2" s="46">
        <v>0.49305555555555558</v>
      </c>
      <c r="N2" s="38" t="s">
        <v>38</v>
      </c>
      <c r="O2" s="47" t="s">
        <v>34</v>
      </c>
      <c r="P2" s="47">
        <v>1195</v>
      </c>
      <c r="Q2" s="47">
        <v>746</v>
      </c>
      <c r="R2" s="42">
        <v>0</v>
      </c>
      <c r="S2" s="42">
        <v>0</v>
      </c>
      <c r="T2" s="42">
        <v>0</v>
      </c>
      <c r="U2" s="42">
        <v>0</v>
      </c>
    </row>
    <row r="3" spans="1:21" x14ac:dyDescent="0.2">
      <c r="A3" s="41">
        <f>A2</f>
        <v>43891</v>
      </c>
      <c r="B3" s="42" t="s">
        <v>0</v>
      </c>
      <c r="C3" s="42" t="s">
        <v>27</v>
      </c>
      <c r="D3" s="42" t="s">
        <v>1</v>
      </c>
      <c r="E3" s="42" t="s">
        <v>37</v>
      </c>
      <c r="F3" s="42" t="s">
        <v>2</v>
      </c>
      <c r="G3" s="43">
        <v>71500</v>
      </c>
      <c r="H3" s="42" t="s">
        <v>28</v>
      </c>
      <c r="I3" s="42" t="s">
        <v>29</v>
      </c>
      <c r="J3" s="44">
        <v>0.77083333333333337</v>
      </c>
      <c r="K3" s="45">
        <v>0.76041666666666663</v>
      </c>
      <c r="L3" s="44">
        <v>0.53819444444444442</v>
      </c>
      <c r="M3" s="46">
        <v>0.53819444444444442</v>
      </c>
      <c r="N3" s="38" t="s">
        <v>36</v>
      </c>
      <c r="O3" s="47" t="s">
        <v>39</v>
      </c>
      <c r="P3" s="42">
        <v>837</v>
      </c>
      <c r="Q3" s="47">
        <v>743</v>
      </c>
      <c r="R3" s="42">
        <v>0</v>
      </c>
      <c r="S3" s="42">
        <v>0</v>
      </c>
      <c r="T3" s="42">
        <v>0</v>
      </c>
      <c r="U3" s="42">
        <v>0</v>
      </c>
    </row>
    <row r="4" spans="1:21" x14ac:dyDescent="0.2">
      <c r="A4" s="41">
        <f>A3</f>
        <v>43891</v>
      </c>
      <c r="B4" s="42" t="s">
        <v>0</v>
      </c>
      <c r="C4" s="38" t="s">
        <v>30</v>
      </c>
      <c r="D4" s="38" t="s">
        <v>1</v>
      </c>
      <c r="E4" s="42" t="s">
        <v>35</v>
      </c>
      <c r="F4" s="38" t="s">
        <v>2</v>
      </c>
      <c r="G4" s="43">
        <f>G2</f>
        <v>71500</v>
      </c>
      <c r="H4" s="38" t="s">
        <v>31</v>
      </c>
      <c r="I4" s="38" t="s">
        <v>32</v>
      </c>
      <c r="J4" s="48">
        <v>0.86805555555555547</v>
      </c>
      <c r="K4" s="45">
        <v>0.85972222222222217</v>
      </c>
      <c r="L4" s="48">
        <v>0.68055555555555547</v>
      </c>
      <c r="M4" s="45">
        <v>0.68541666666666667</v>
      </c>
      <c r="N4" s="38" t="s">
        <v>33</v>
      </c>
      <c r="O4" s="38" t="s">
        <v>40</v>
      </c>
      <c r="P4" s="38">
        <v>873</v>
      </c>
      <c r="Q4" s="47">
        <v>791</v>
      </c>
      <c r="R4" s="38">
        <v>0</v>
      </c>
      <c r="S4" s="38">
        <v>0</v>
      </c>
      <c r="T4" s="38">
        <v>0</v>
      </c>
      <c r="U4" s="38">
        <v>0</v>
      </c>
    </row>
    <row r="5" spans="1:21" x14ac:dyDescent="0.2">
      <c r="A5" s="41"/>
      <c r="B5" s="49"/>
      <c r="C5" s="38"/>
      <c r="D5" s="49"/>
      <c r="E5" s="50"/>
      <c r="F5" s="38"/>
      <c r="G5" s="51"/>
      <c r="H5" s="49"/>
      <c r="I5" s="49"/>
      <c r="J5" s="48"/>
      <c r="K5" s="45"/>
      <c r="L5" s="48"/>
      <c r="M5" s="45"/>
      <c r="N5" s="38"/>
      <c r="O5" s="55"/>
      <c r="P5" s="38"/>
      <c r="Q5" s="47"/>
      <c r="R5" s="38"/>
      <c r="S5" s="38"/>
      <c r="T5" s="38"/>
      <c r="U5" s="38"/>
    </row>
    <row r="6" spans="1:21" x14ac:dyDescent="0.2">
      <c r="A6" s="41"/>
      <c r="B6" s="49"/>
      <c r="C6" s="38"/>
      <c r="D6" s="49"/>
      <c r="E6" s="50"/>
      <c r="F6" s="38"/>
      <c r="G6" s="51"/>
      <c r="H6" s="49"/>
      <c r="I6" s="49"/>
      <c r="J6" s="48"/>
      <c r="K6" s="45"/>
      <c r="L6" s="48"/>
      <c r="M6" s="45"/>
      <c r="N6" s="55"/>
      <c r="O6" s="38"/>
      <c r="P6" s="38"/>
      <c r="Q6" s="38"/>
      <c r="R6" s="38"/>
      <c r="S6" s="38"/>
      <c r="T6" s="38"/>
      <c r="U6" s="38"/>
    </row>
    <row r="7" spans="1:21" x14ac:dyDescent="0.2">
      <c r="A7" s="41"/>
      <c r="B7" s="49"/>
      <c r="C7" s="52"/>
      <c r="D7" s="49"/>
      <c r="E7" s="49"/>
      <c r="F7" s="38"/>
      <c r="G7" s="51"/>
      <c r="H7" s="49"/>
      <c r="I7" s="49"/>
      <c r="J7" s="53"/>
      <c r="K7" s="53"/>
      <c r="L7" s="53"/>
      <c r="M7" s="53"/>
      <c r="N7" s="38"/>
      <c r="O7" s="38"/>
      <c r="P7" s="38"/>
      <c r="Q7" s="38"/>
      <c r="R7" s="38"/>
      <c r="S7" s="38"/>
      <c r="T7" s="38"/>
      <c r="U7" s="38"/>
    </row>
    <row r="8" spans="1:21" x14ac:dyDescent="0.2">
      <c r="A8" s="41"/>
      <c r="B8" s="49"/>
      <c r="C8" s="38"/>
      <c r="D8" s="49"/>
      <c r="E8" s="50"/>
      <c r="F8" s="38"/>
      <c r="G8" s="51"/>
      <c r="H8" s="49"/>
      <c r="I8" s="49"/>
      <c r="J8" s="53"/>
      <c r="K8" s="53"/>
      <c r="L8" s="53"/>
      <c r="M8" s="53"/>
      <c r="N8" s="38"/>
      <c r="O8" s="38"/>
      <c r="P8" s="38"/>
      <c r="Q8" s="38"/>
      <c r="R8" s="38"/>
      <c r="S8" s="38"/>
      <c r="T8" s="38"/>
      <c r="U8" s="3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XFD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43892</v>
      </c>
      <c r="B2" s="6" t="s">
        <v>0</v>
      </c>
      <c r="C2" s="6" t="s">
        <v>41</v>
      </c>
      <c r="D2" s="6" t="s">
        <v>1</v>
      </c>
      <c r="E2" s="6" t="s">
        <v>37</v>
      </c>
      <c r="F2" s="6" t="s">
        <v>2</v>
      </c>
      <c r="G2" s="7">
        <f>G3</f>
        <v>71500</v>
      </c>
      <c r="H2" s="6" t="s">
        <v>42</v>
      </c>
      <c r="I2" s="6" t="s">
        <v>43</v>
      </c>
      <c r="J2" s="8">
        <v>0.46180555555555558</v>
      </c>
      <c r="K2" s="17">
        <v>0.45555555555555555</v>
      </c>
      <c r="L2" s="8">
        <v>0.25694444444444448</v>
      </c>
      <c r="M2" s="17">
        <v>0.26111111111111113</v>
      </c>
      <c r="N2" s="3" t="s">
        <v>58</v>
      </c>
      <c r="O2" s="10" t="s">
        <v>56</v>
      </c>
      <c r="P2" s="10">
        <v>1055</v>
      </c>
      <c r="Q2" s="10">
        <v>851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43892</v>
      </c>
      <c r="B3" s="6" t="s">
        <v>0</v>
      </c>
      <c r="C3" s="6" t="s">
        <v>44</v>
      </c>
      <c r="D3" s="6" t="s">
        <v>1</v>
      </c>
      <c r="E3" s="6" t="s">
        <v>35</v>
      </c>
      <c r="F3" s="6" t="s">
        <v>2</v>
      </c>
      <c r="G3" s="7">
        <v>71500</v>
      </c>
      <c r="H3" s="6" t="s">
        <v>45</v>
      </c>
      <c r="I3" s="6" t="s">
        <v>46</v>
      </c>
      <c r="J3" s="8">
        <v>0.50694444444444442</v>
      </c>
      <c r="K3" s="12">
        <v>0.49305555555555558</v>
      </c>
      <c r="L3" s="8">
        <v>0.30208333333333331</v>
      </c>
      <c r="M3" s="17">
        <v>0.30138888888888887</v>
      </c>
      <c r="N3" s="3" t="s">
        <v>59</v>
      </c>
      <c r="O3" s="10" t="s">
        <v>57</v>
      </c>
      <c r="P3" s="6">
        <v>1065</v>
      </c>
      <c r="Q3" s="10">
        <v>779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6" si="0">A3</f>
        <v>43892</v>
      </c>
      <c r="B4" s="3" t="s">
        <v>0</v>
      </c>
      <c r="C4" s="3" t="s">
        <v>47</v>
      </c>
      <c r="D4" s="3" t="s">
        <v>1</v>
      </c>
      <c r="E4" s="6" t="s">
        <v>60</v>
      </c>
      <c r="F4" s="3" t="s">
        <v>2</v>
      </c>
      <c r="G4" s="7">
        <v>71500</v>
      </c>
      <c r="H4" s="3" t="s">
        <v>48</v>
      </c>
      <c r="I4" s="3" t="s">
        <v>49</v>
      </c>
      <c r="J4" s="13">
        <v>0.68055555555555547</v>
      </c>
      <c r="K4" s="12">
        <v>0.66875000000000007</v>
      </c>
      <c r="L4" s="13">
        <v>0.52777777777777779</v>
      </c>
      <c r="M4" s="12">
        <v>0.52916666666666667</v>
      </c>
      <c r="N4" s="3" t="s">
        <v>62</v>
      </c>
      <c r="O4" s="3" t="s">
        <v>61</v>
      </c>
      <c r="P4" s="3">
        <v>737</v>
      </c>
      <c r="Q4" s="10">
        <v>559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43892</v>
      </c>
      <c r="B5" s="3" t="s">
        <v>0</v>
      </c>
      <c r="C5" s="3" t="s">
        <v>50</v>
      </c>
      <c r="D5" s="3" t="s">
        <v>1</v>
      </c>
      <c r="E5" s="6" t="s">
        <v>35</v>
      </c>
      <c r="F5" s="3" t="s">
        <v>2</v>
      </c>
      <c r="G5" s="7">
        <f>G4</f>
        <v>71500</v>
      </c>
      <c r="H5" s="6" t="s">
        <v>51</v>
      </c>
      <c r="I5" s="6" t="s">
        <v>52</v>
      </c>
      <c r="J5" s="11">
        <v>0.91319444444444453</v>
      </c>
      <c r="K5" s="18">
        <v>0.90833333333333333</v>
      </c>
      <c r="L5" s="11">
        <v>0.69097222222222221</v>
      </c>
      <c r="M5" s="12">
        <v>0.69027777777777777</v>
      </c>
      <c r="N5" s="3" t="s">
        <v>64</v>
      </c>
      <c r="O5" s="4" t="s">
        <v>63</v>
      </c>
      <c r="P5" s="4">
        <v>504</v>
      </c>
      <c r="Q5" s="10">
        <v>525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43892</v>
      </c>
      <c r="B6" s="3" t="s">
        <v>0</v>
      </c>
      <c r="C6" s="3" t="s">
        <v>53</v>
      </c>
      <c r="D6" s="3" t="s">
        <v>1</v>
      </c>
      <c r="E6" s="6" t="s">
        <v>60</v>
      </c>
      <c r="F6" s="3" t="s">
        <v>2</v>
      </c>
      <c r="G6" s="7">
        <v>71500</v>
      </c>
      <c r="H6" s="3" t="s">
        <v>54</v>
      </c>
      <c r="I6" s="3" t="s">
        <v>55</v>
      </c>
      <c r="J6" s="13">
        <v>0.88194444444444453</v>
      </c>
      <c r="K6" s="2">
        <v>0.86597222222222225</v>
      </c>
      <c r="L6" s="13">
        <v>0.71180555555555547</v>
      </c>
      <c r="M6" s="2">
        <v>0.7090277777777777</v>
      </c>
      <c r="N6" s="3" t="s">
        <v>65</v>
      </c>
      <c r="O6" s="3" t="s">
        <v>39</v>
      </c>
      <c r="P6" s="3">
        <v>656</v>
      </c>
      <c r="Q6" s="3">
        <v>523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43893</v>
      </c>
      <c r="B2" s="6" t="s">
        <v>0</v>
      </c>
      <c r="C2" s="6" t="s">
        <v>66</v>
      </c>
      <c r="D2" s="6" t="s">
        <v>1</v>
      </c>
      <c r="E2" s="6" t="s">
        <v>35</v>
      </c>
      <c r="F2" s="6" t="s">
        <v>2</v>
      </c>
      <c r="G2" s="7">
        <v>71500</v>
      </c>
      <c r="H2" s="6" t="s">
        <v>67</v>
      </c>
      <c r="I2" s="6" t="s">
        <v>68</v>
      </c>
      <c r="J2" s="8">
        <v>0.50694444444444442</v>
      </c>
      <c r="K2" s="9">
        <v>0.50138888888888888</v>
      </c>
      <c r="L2" s="8">
        <v>0.32291666666666669</v>
      </c>
      <c r="M2" s="9">
        <v>0.32222222222222224</v>
      </c>
      <c r="N2" s="3" t="s">
        <v>79</v>
      </c>
      <c r="O2" s="10" t="s">
        <v>78</v>
      </c>
      <c r="P2" s="10">
        <v>914</v>
      </c>
      <c r="Q2" s="10">
        <v>688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43893</v>
      </c>
      <c r="B3" s="6" t="s">
        <v>0</v>
      </c>
      <c r="C3" s="6" t="s">
        <v>69</v>
      </c>
      <c r="D3" s="6" t="s">
        <v>1</v>
      </c>
      <c r="E3" s="6" t="s">
        <v>60</v>
      </c>
      <c r="F3" s="6" t="s">
        <v>2</v>
      </c>
      <c r="G3" s="7">
        <v>70000</v>
      </c>
      <c r="H3" s="6" t="s">
        <v>70</v>
      </c>
      <c r="I3" s="6" t="s">
        <v>71</v>
      </c>
      <c r="J3" s="8">
        <v>0.72916666666666663</v>
      </c>
      <c r="K3" s="9">
        <v>0.71875</v>
      </c>
      <c r="L3" s="8">
        <v>0.51388888888888895</v>
      </c>
      <c r="M3" s="9">
        <v>0.52638888888888891</v>
      </c>
      <c r="N3" s="3" t="s">
        <v>83</v>
      </c>
      <c r="O3" s="10" t="s">
        <v>80</v>
      </c>
      <c r="P3" s="4">
        <v>953</v>
      </c>
      <c r="Q3" s="10">
        <v>1048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5" si="0">A3</f>
        <v>43893</v>
      </c>
      <c r="B4" s="3" t="s">
        <v>0</v>
      </c>
      <c r="C4" s="3" t="s">
        <v>72</v>
      </c>
      <c r="D4" s="3" t="s">
        <v>1</v>
      </c>
      <c r="E4" s="6" t="str">
        <f>E2</f>
        <v>HALYH</v>
      </c>
      <c r="F4" s="3" t="s">
        <v>2</v>
      </c>
      <c r="G4" s="7">
        <v>71500</v>
      </c>
      <c r="H4" s="6" t="s">
        <v>73</v>
      </c>
      <c r="I4" s="6" t="s">
        <v>74</v>
      </c>
      <c r="J4" s="11">
        <v>0.68402777777777779</v>
      </c>
      <c r="K4" s="2">
        <v>0.66875000000000007</v>
      </c>
      <c r="L4" s="11">
        <v>0.52777777777777779</v>
      </c>
      <c r="M4" s="12">
        <v>0.54097222222222219</v>
      </c>
      <c r="N4" s="3" t="s">
        <v>84</v>
      </c>
      <c r="O4" s="36" t="s">
        <v>81</v>
      </c>
      <c r="P4" s="6">
        <v>765</v>
      </c>
      <c r="Q4" s="10">
        <v>647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43893</v>
      </c>
      <c r="B5" s="3" t="s">
        <v>0</v>
      </c>
      <c r="C5" s="3" t="s">
        <v>75</v>
      </c>
      <c r="D5" s="3" t="s">
        <v>1</v>
      </c>
      <c r="E5" s="6" t="str">
        <f>E3</f>
        <v>HALWC</v>
      </c>
      <c r="F5" s="3" t="s">
        <v>2</v>
      </c>
      <c r="G5" s="7">
        <v>70000</v>
      </c>
      <c r="H5" s="3" t="s">
        <v>76</v>
      </c>
      <c r="I5" s="3" t="s">
        <v>77</v>
      </c>
      <c r="J5" s="13">
        <v>0.94444444444444453</v>
      </c>
      <c r="K5" s="2">
        <v>0.93541666666666667</v>
      </c>
      <c r="L5" s="13">
        <v>0.77430555555555547</v>
      </c>
      <c r="M5" s="2">
        <v>0.77430555555555547</v>
      </c>
      <c r="N5" s="3" t="s">
        <v>85</v>
      </c>
      <c r="O5" s="3" t="s">
        <v>82</v>
      </c>
      <c r="P5" s="3">
        <v>896</v>
      </c>
      <c r="Q5" s="10">
        <v>648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XFD4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140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43894</v>
      </c>
      <c r="B2" s="6" t="s">
        <v>0</v>
      </c>
      <c r="C2" s="6" t="s">
        <v>41</v>
      </c>
      <c r="D2" s="6" t="s">
        <v>1</v>
      </c>
      <c r="E2" s="6" t="s">
        <v>86</v>
      </c>
      <c r="F2" s="6" t="s">
        <v>2</v>
      </c>
      <c r="G2" s="7">
        <v>71500</v>
      </c>
      <c r="H2" s="6" t="s">
        <v>42</v>
      </c>
      <c r="I2" s="6" t="s">
        <v>43</v>
      </c>
      <c r="J2" s="8">
        <v>0.46180555555555558</v>
      </c>
      <c r="K2" s="9">
        <v>0.45555555555555555</v>
      </c>
      <c r="L2" s="8">
        <v>0.25694444444444448</v>
      </c>
      <c r="M2" s="9">
        <v>0.2673611111111111</v>
      </c>
      <c r="N2" s="3" t="s">
        <v>85</v>
      </c>
      <c r="O2" s="10" t="s">
        <v>88</v>
      </c>
      <c r="P2" s="10">
        <v>1124</v>
      </c>
      <c r="Q2" s="10">
        <v>980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43894</v>
      </c>
      <c r="B3" s="6" t="s">
        <v>0</v>
      </c>
      <c r="C3" s="6" t="s">
        <v>44</v>
      </c>
      <c r="D3" s="6" t="s">
        <v>1</v>
      </c>
      <c r="E3" s="6" t="s">
        <v>60</v>
      </c>
      <c r="F3" s="6" t="s">
        <v>2</v>
      </c>
      <c r="G3" s="7">
        <v>70000</v>
      </c>
      <c r="H3" s="6" t="s">
        <v>45</v>
      </c>
      <c r="I3" s="6" t="s">
        <v>46</v>
      </c>
      <c r="J3" s="8">
        <v>0.50694444444444442</v>
      </c>
      <c r="K3" s="9">
        <v>0.49236111111111108</v>
      </c>
      <c r="L3" s="8">
        <v>0.30208333333333331</v>
      </c>
      <c r="M3" s="9">
        <v>0.30555555555555552</v>
      </c>
      <c r="N3" s="3" t="s">
        <v>91</v>
      </c>
      <c r="O3" s="10" t="s">
        <v>89</v>
      </c>
      <c r="P3" s="4">
        <v>1050</v>
      </c>
      <c r="Q3" s="10">
        <v>590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" si="0">A3</f>
        <v>43894</v>
      </c>
      <c r="B4" s="3" t="s">
        <v>0</v>
      </c>
      <c r="C4" s="3" t="s">
        <v>24</v>
      </c>
      <c r="D4" s="3" t="s">
        <v>1</v>
      </c>
      <c r="E4" s="6" t="s">
        <v>87</v>
      </c>
      <c r="F4" s="3" t="s">
        <v>2</v>
      </c>
      <c r="G4" s="7">
        <v>71500</v>
      </c>
      <c r="H4" s="6" t="s">
        <v>25</v>
      </c>
      <c r="I4" s="6" t="s">
        <v>26</v>
      </c>
      <c r="J4" s="11">
        <v>0.65972222222222221</v>
      </c>
      <c r="K4" s="2">
        <v>0.64652777777777781</v>
      </c>
      <c r="L4" s="11">
        <v>0.49305555555555558</v>
      </c>
      <c r="M4" s="12">
        <v>0.49444444444444446</v>
      </c>
      <c r="N4" s="3" t="s">
        <v>92</v>
      </c>
      <c r="O4" s="36" t="s">
        <v>90</v>
      </c>
      <c r="P4" s="6">
        <v>714</v>
      </c>
      <c r="Q4" s="10">
        <v>683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A3" sqref="A3"/>
    </sheetView>
  </sheetViews>
  <sheetFormatPr defaultRowHeight="15" x14ac:dyDescent="0.25"/>
  <cols>
    <col min="3" max="3" width="15.85546875" customWidth="1"/>
    <col min="6" max="6" width="10.140625" customWidth="1"/>
  </cols>
  <sheetData>
    <row r="1" spans="1:22" s="16" customFormat="1" ht="12.75" x14ac:dyDescent="0.25">
      <c r="A1" s="14" t="s">
        <v>3</v>
      </c>
      <c r="B1" s="14" t="s">
        <v>4</v>
      </c>
      <c r="C1" s="14" t="s">
        <v>5</v>
      </c>
      <c r="D1" s="14" t="s">
        <v>6</v>
      </c>
      <c r="E1" s="14" t="s">
        <v>7</v>
      </c>
      <c r="F1" s="14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  <c r="L1" s="14" t="s">
        <v>14</v>
      </c>
      <c r="M1" s="14" t="s">
        <v>15</v>
      </c>
      <c r="N1" s="14" t="s">
        <v>16</v>
      </c>
      <c r="O1" s="14" t="s">
        <v>17</v>
      </c>
      <c r="P1" s="14" t="s">
        <v>18</v>
      </c>
      <c r="Q1" s="14" t="s">
        <v>19</v>
      </c>
      <c r="R1" s="14" t="s">
        <v>20</v>
      </c>
      <c r="S1" s="14" t="s">
        <v>21</v>
      </c>
      <c r="T1" s="14" t="s">
        <v>22</v>
      </c>
      <c r="U1" s="14" t="s">
        <v>23</v>
      </c>
    </row>
    <row r="2" spans="1:22" x14ac:dyDescent="0.25">
      <c r="A2" s="5">
        <v>43895</v>
      </c>
      <c r="B2" s="25" t="s">
        <v>0</v>
      </c>
      <c r="C2" s="25" t="s">
        <v>27</v>
      </c>
      <c r="D2" s="25" t="s">
        <v>1</v>
      </c>
      <c r="E2" s="25" t="s">
        <v>60</v>
      </c>
      <c r="F2" s="25" t="s">
        <v>2</v>
      </c>
      <c r="G2" s="26">
        <v>70000</v>
      </c>
      <c r="H2" s="25" t="s">
        <v>28</v>
      </c>
      <c r="I2" s="25" t="s">
        <v>29</v>
      </c>
      <c r="J2" s="31">
        <v>0.65972222222222221</v>
      </c>
      <c r="K2" s="32">
        <v>0.65</v>
      </c>
      <c r="L2" s="31">
        <v>0.42708333333333331</v>
      </c>
      <c r="M2" s="32">
        <v>0.4368055555555555</v>
      </c>
      <c r="N2" s="32" t="s">
        <v>94</v>
      </c>
      <c r="O2" s="32" t="s">
        <v>93</v>
      </c>
      <c r="P2" s="29">
        <v>924</v>
      </c>
      <c r="Q2" s="29">
        <v>984</v>
      </c>
      <c r="R2" s="25">
        <v>0</v>
      </c>
      <c r="S2" s="25">
        <v>0</v>
      </c>
      <c r="T2" s="25">
        <v>0</v>
      </c>
      <c r="U2" s="25">
        <v>0</v>
      </c>
      <c r="V2" s="19"/>
    </row>
    <row r="3" spans="1:22" x14ac:dyDescent="0.25">
      <c r="A3" s="5">
        <f>A2</f>
        <v>43895</v>
      </c>
      <c r="B3" s="25" t="s">
        <v>0</v>
      </c>
      <c r="C3" s="25" t="s">
        <v>30</v>
      </c>
      <c r="D3" s="25" t="s">
        <v>1</v>
      </c>
      <c r="E3" s="25" t="s">
        <v>60</v>
      </c>
      <c r="F3" s="25" t="s">
        <v>2</v>
      </c>
      <c r="G3" s="26">
        <v>70000</v>
      </c>
      <c r="H3" s="25" t="s">
        <v>31</v>
      </c>
      <c r="I3" s="25" t="s">
        <v>32</v>
      </c>
      <c r="J3" s="31">
        <v>0.86805555555555547</v>
      </c>
      <c r="K3" s="32">
        <v>0.86111111111111116</v>
      </c>
      <c r="L3" s="31">
        <v>0.68055555555555547</v>
      </c>
      <c r="M3" s="32">
        <v>0.68680555555555556</v>
      </c>
      <c r="N3" s="32" t="s">
        <v>96</v>
      </c>
      <c r="O3" s="32" t="s">
        <v>95</v>
      </c>
      <c r="P3" s="29">
        <v>963</v>
      </c>
      <c r="Q3" s="29">
        <v>579</v>
      </c>
      <c r="R3" s="25">
        <v>0</v>
      </c>
      <c r="S3" s="25">
        <v>0</v>
      </c>
      <c r="T3" s="25">
        <v>0</v>
      </c>
      <c r="U3" s="25">
        <v>0</v>
      </c>
      <c r="V3" s="19"/>
    </row>
    <row r="4" spans="1:22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  <c r="V4" s="19"/>
    </row>
    <row r="5" spans="1:22" x14ac:dyDescent="0.25">
      <c r="A5" s="5"/>
      <c r="B5" s="3"/>
      <c r="C5" s="3"/>
      <c r="D5" s="3"/>
      <c r="E5" s="25"/>
      <c r="F5" s="3"/>
      <c r="G5" s="26"/>
      <c r="H5" s="3"/>
      <c r="I5" s="3"/>
      <c r="J5" s="27"/>
      <c r="K5" s="28"/>
      <c r="L5" s="27"/>
      <c r="M5" s="28"/>
      <c r="N5" s="28"/>
      <c r="O5" s="29"/>
      <c r="P5" s="25"/>
      <c r="Q5" s="29"/>
      <c r="R5" s="3"/>
      <c r="S5" s="3"/>
      <c r="T5" s="3"/>
      <c r="U5" s="3"/>
      <c r="V5" s="19"/>
    </row>
    <row r="6" spans="1:22" x14ac:dyDescent="0.25">
      <c r="A6" s="5"/>
      <c r="B6" s="28"/>
      <c r="C6" s="28"/>
      <c r="D6" s="28"/>
      <c r="E6" s="28"/>
      <c r="F6" s="28"/>
      <c r="G6" s="26"/>
      <c r="H6" s="28"/>
      <c r="I6" s="28"/>
      <c r="J6" s="28"/>
      <c r="K6" s="28"/>
      <c r="L6" s="28"/>
      <c r="M6" s="28"/>
      <c r="N6" s="25"/>
      <c r="O6" s="25"/>
      <c r="P6" s="25"/>
      <c r="Q6" s="25"/>
      <c r="R6" s="25"/>
      <c r="S6" s="25"/>
      <c r="T6" s="3"/>
      <c r="U6" s="3"/>
      <c r="V6" s="28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G1" workbookViewId="0">
      <selection activeCell="G1" sqref="A1:XFD7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</row>
    <row r="2" spans="1:22" x14ac:dyDescent="0.25">
      <c r="A2" s="5">
        <v>43896</v>
      </c>
      <c r="B2" s="6" t="s">
        <v>0</v>
      </c>
      <c r="C2" s="6" t="s">
        <v>41</v>
      </c>
      <c r="D2" s="6" t="s">
        <v>1</v>
      </c>
      <c r="E2" s="6" t="s">
        <v>98</v>
      </c>
      <c r="F2" s="6" t="s">
        <v>2</v>
      </c>
      <c r="G2" s="7">
        <v>71500</v>
      </c>
      <c r="H2" s="6" t="s">
        <v>42</v>
      </c>
      <c r="I2" s="6" t="s">
        <v>43</v>
      </c>
      <c r="J2" s="8">
        <v>0.46180555555555558</v>
      </c>
      <c r="K2" s="9">
        <v>0.45902777777777781</v>
      </c>
      <c r="L2" s="8">
        <v>0.25694444444444448</v>
      </c>
      <c r="M2" s="9">
        <v>0.26250000000000001</v>
      </c>
      <c r="N2" s="3" t="s">
        <v>88</v>
      </c>
      <c r="O2" s="10" t="s">
        <v>97</v>
      </c>
      <c r="P2" s="10">
        <v>959</v>
      </c>
      <c r="Q2" s="10">
        <v>884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f>A2</f>
        <v>43896</v>
      </c>
      <c r="B3" s="6" t="s">
        <v>0</v>
      </c>
      <c r="C3" s="6" t="s">
        <v>44</v>
      </c>
      <c r="D3" s="6" t="s">
        <v>1</v>
      </c>
      <c r="E3" s="6" t="s">
        <v>87</v>
      </c>
      <c r="F3" s="6" t="s">
        <v>2</v>
      </c>
      <c r="G3" s="7">
        <v>71500</v>
      </c>
      <c r="H3" s="6" t="s">
        <v>45</v>
      </c>
      <c r="I3" s="6" t="s">
        <v>46</v>
      </c>
      <c r="J3" s="8">
        <v>0.50694444444444442</v>
      </c>
      <c r="K3" s="9">
        <v>0.49652777777777773</v>
      </c>
      <c r="L3" s="8">
        <v>0.30208333333333331</v>
      </c>
      <c r="M3" s="9">
        <v>0.30138888888888887</v>
      </c>
      <c r="N3" s="3" t="s">
        <v>101</v>
      </c>
      <c r="O3" s="10" t="s">
        <v>100</v>
      </c>
      <c r="P3" s="6">
        <v>850</v>
      </c>
      <c r="Q3" s="10">
        <v>739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f t="shared" ref="A4:A7" si="0">A3</f>
        <v>43896</v>
      </c>
      <c r="B4" s="3" t="s">
        <v>0</v>
      </c>
      <c r="C4" s="3" t="s">
        <v>24</v>
      </c>
      <c r="D4" s="3" t="s">
        <v>1</v>
      </c>
      <c r="E4" s="6" t="s">
        <v>99</v>
      </c>
      <c r="F4" s="3" t="s">
        <v>2</v>
      </c>
      <c r="G4" s="7">
        <v>71500</v>
      </c>
      <c r="H4" s="6" t="s">
        <v>25</v>
      </c>
      <c r="I4" s="6" t="s">
        <v>26</v>
      </c>
      <c r="J4" s="33">
        <v>0.65972222222222221</v>
      </c>
      <c r="K4" s="2">
        <v>0.66875000000000007</v>
      </c>
      <c r="L4" s="33">
        <v>0.49305555555555558</v>
      </c>
      <c r="M4" s="17">
        <v>0.51527777777777783</v>
      </c>
      <c r="N4" s="3" t="s">
        <v>103</v>
      </c>
      <c r="O4" s="16" t="s">
        <v>102</v>
      </c>
      <c r="P4" s="16">
        <v>638</v>
      </c>
      <c r="Q4" s="10">
        <v>495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5">
        <f t="shared" si="0"/>
        <v>43896</v>
      </c>
      <c r="B5" s="3" t="s">
        <v>0</v>
      </c>
      <c r="C5" s="3" t="s">
        <v>47</v>
      </c>
      <c r="D5" s="3" t="s">
        <v>1</v>
      </c>
      <c r="E5" s="6" t="s">
        <v>87</v>
      </c>
      <c r="F5" s="3" t="s">
        <v>2</v>
      </c>
      <c r="G5" s="7">
        <v>71500</v>
      </c>
      <c r="H5" s="3" t="s">
        <v>48</v>
      </c>
      <c r="I5" s="3" t="s">
        <v>49</v>
      </c>
      <c r="J5" s="13">
        <v>0.68055555555555547</v>
      </c>
      <c r="K5" s="2">
        <v>0.67222222222222217</v>
      </c>
      <c r="L5" s="13">
        <v>0.52777777777777779</v>
      </c>
      <c r="M5" s="2">
        <v>0.53125</v>
      </c>
      <c r="N5" s="3" t="s">
        <v>104</v>
      </c>
      <c r="O5" s="3" t="s">
        <v>58</v>
      </c>
      <c r="P5" s="3">
        <v>650</v>
      </c>
      <c r="Q5" s="10">
        <v>613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5">
        <f t="shared" si="0"/>
        <v>43896</v>
      </c>
      <c r="B6" s="3" t="s">
        <v>0</v>
      </c>
      <c r="C6" s="3" t="s">
        <v>50</v>
      </c>
      <c r="D6" s="3" t="s">
        <v>1</v>
      </c>
      <c r="E6" s="6" t="s">
        <v>99</v>
      </c>
      <c r="F6" s="3" t="s">
        <v>2</v>
      </c>
      <c r="G6" s="7">
        <v>71500</v>
      </c>
      <c r="H6" s="6" t="s">
        <v>51</v>
      </c>
      <c r="I6" s="6" t="s">
        <v>52</v>
      </c>
      <c r="J6" s="33">
        <v>0.91319444444444453</v>
      </c>
      <c r="K6" s="2">
        <v>0.9145833333333333</v>
      </c>
      <c r="L6" s="33">
        <v>0.69097222222222221</v>
      </c>
      <c r="M6" s="17">
        <v>0.70972222222222225</v>
      </c>
      <c r="N6" s="3" t="s">
        <v>85</v>
      </c>
      <c r="O6" s="16" t="s">
        <v>105</v>
      </c>
      <c r="P6" s="16">
        <v>374</v>
      </c>
      <c r="Q6" s="10">
        <v>521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5">
        <f t="shared" si="0"/>
        <v>43896</v>
      </c>
      <c r="B7" s="3" t="s">
        <v>0</v>
      </c>
      <c r="C7" s="3" t="s">
        <v>53</v>
      </c>
      <c r="D7" s="3" t="s">
        <v>1</v>
      </c>
      <c r="E7" s="6" t="s">
        <v>87</v>
      </c>
      <c r="F7" s="3" t="s">
        <v>2</v>
      </c>
      <c r="G7" s="7">
        <v>71500</v>
      </c>
      <c r="H7" s="6" t="s">
        <v>54</v>
      </c>
      <c r="I7" s="6" t="s">
        <v>55</v>
      </c>
      <c r="J7" s="33">
        <v>0.88194444444444453</v>
      </c>
      <c r="K7" s="12">
        <v>0.86944444444444446</v>
      </c>
      <c r="L7" s="33">
        <v>0.71180555555555547</v>
      </c>
      <c r="M7" s="12">
        <v>0.72013888888888899</v>
      </c>
      <c r="N7" s="3" t="s">
        <v>107</v>
      </c>
      <c r="O7" s="3" t="s">
        <v>106</v>
      </c>
      <c r="P7" s="3">
        <v>599</v>
      </c>
      <c r="Q7" s="10">
        <v>505</v>
      </c>
      <c r="R7" s="3">
        <v>0</v>
      </c>
      <c r="S7" s="3">
        <v>0</v>
      </c>
      <c r="T7" s="3">
        <v>0</v>
      </c>
      <c r="U7" s="3">
        <v>0</v>
      </c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B1" workbookViewId="0">
      <selection activeCell="B1" sqref="A1:XFD1048576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43897</v>
      </c>
      <c r="B2" s="6" t="s">
        <v>0</v>
      </c>
      <c r="C2" s="6" t="s">
        <v>66</v>
      </c>
      <c r="D2" s="6" t="s">
        <v>1</v>
      </c>
      <c r="E2" s="6" t="s">
        <v>99</v>
      </c>
      <c r="F2" s="6" t="s">
        <v>2</v>
      </c>
      <c r="G2" s="7">
        <v>71500</v>
      </c>
      <c r="H2" s="6" t="s">
        <v>67</v>
      </c>
      <c r="I2" s="6" t="s">
        <v>68</v>
      </c>
      <c r="J2" s="8">
        <v>0.50694444444444442</v>
      </c>
      <c r="K2" s="9">
        <v>0.50902777777777775</v>
      </c>
      <c r="L2" s="8">
        <v>0.32291666666666669</v>
      </c>
      <c r="M2" s="9">
        <v>0.32708333333333334</v>
      </c>
      <c r="N2" s="3" t="s">
        <v>109</v>
      </c>
      <c r="O2" s="10" t="s">
        <v>108</v>
      </c>
      <c r="P2" s="10">
        <v>862</v>
      </c>
      <c r="Q2" s="10">
        <v>648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43897</v>
      </c>
      <c r="B3" s="6" t="s">
        <v>0</v>
      </c>
      <c r="C3" s="6" t="s">
        <v>69</v>
      </c>
      <c r="D3" s="6" t="s">
        <v>1</v>
      </c>
      <c r="E3" s="6" t="s">
        <v>87</v>
      </c>
      <c r="F3" s="6" t="s">
        <v>2</v>
      </c>
      <c r="G3" s="7">
        <f>G2</f>
        <v>71500</v>
      </c>
      <c r="H3" s="6" t="s">
        <v>70</v>
      </c>
      <c r="I3" s="6" t="s">
        <v>71</v>
      </c>
      <c r="J3" s="8">
        <v>0.71527777777777779</v>
      </c>
      <c r="K3" s="9">
        <v>0.70416666666666661</v>
      </c>
      <c r="L3" s="8">
        <v>0.5</v>
      </c>
      <c r="M3" s="9">
        <v>0.50694444444444442</v>
      </c>
      <c r="N3" s="3" t="s">
        <v>59</v>
      </c>
      <c r="O3" s="10" t="s">
        <v>110</v>
      </c>
      <c r="P3" s="4">
        <v>902</v>
      </c>
      <c r="Q3" s="10">
        <v>476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5" si="0">A3</f>
        <v>43897</v>
      </c>
      <c r="B4" s="3" t="s">
        <v>0</v>
      </c>
      <c r="C4" s="3" t="s">
        <v>72</v>
      </c>
      <c r="D4" s="3" t="s">
        <v>1</v>
      </c>
      <c r="E4" s="6" t="str">
        <f>E2</f>
        <v>HALPT</v>
      </c>
      <c r="F4" s="3" t="s">
        <v>2</v>
      </c>
      <c r="G4" s="7">
        <v>71500</v>
      </c>
      <c r="H4" s="6" t="s">
        <v>73</v>
      </c>
      <c r="I4" s="6" t="s">
        <v>74</v>
      </c>
      <c r="J4" s="11">
        <v>0.68402777777777779</v>
      </c>
      <c r="K4" s="2">
        <v>0.68611111111111101</v>
      </c>
      <c r="L4" s="11">
        <v>0.52777777777777779</v>
      </c>
      <c r="M4" s="12">
        <v>0.55694444444444446</v>
      </c>
      <c r="N4" s="3" t="s">
        <v>112</v>
      </c>
      <c r="O4" s="36" t="s">
        <v>111</v>
      </c>
      <c r="P4" s="6">
        <v>655</v>
      </c>
      <c r="Q4" s="10">
        <v>704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43897</v>
      </c>
      <c r="B5" s="3" t="s">
        <v>0</v>
      </c>
      <c r="C5" s="3" t="s">
        <v>75</v>
      </c>
      <c r="D5" s="3" t="s">
        <v>1</v>
      </c>
      <c r="E5" s="6" t="str">
        <f>E3</f>
        <v>HALWV</v>
      </c>
      <c r="F5" s="3" t="s">
        <v>2</v>
      </c>
      <c r="G5" s="7">
        <f>G4</f>
        <v>71500</v>
      </c>
      <c r="H5" s="3" t="s">
        <v>76</v>
      </c>
      <c r="I5" s="3" t="s">
        <v>77</v>
      </c>
      <c r="J5" s="13">
        <v>0.94444444444444453</v>
      </c>
      <c r="K5" s="2">
        <v>0.93472222222222223</v>
      </c>
      <c r="L5" s="13">
        <v>0.77430555555555547</v>
      </c>
      <c r="M5" s="2">
        <v>0.77500000000000002</v>
      </c>
      <c r="N5" s="3" t="s">
        <v>113</v>
      </c>
      <c r="O5" s="3" t="s">
        <v>39</v>
      </c>
      <c r="P5" s="3">
        <v>870</v>
      </c>
      <c r="Q5" s="10">
        <v>554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XFD1"/>
    </sheetView>
  </sheetViews>
  <sheetFormatPr defaultRowHeight="15" x14ac:dyDescent="0.25"/>
  <cols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0" customFormat="1" ht="12.75" x14ac:dyDescent="0.2">
      <c r="A1" s="39" t="s">
        <v>3</v>
      </c>
      <c r="B1" s="39" t="s">
        <v>4</v>
      </c>
      <c r="C1" s="39" t="s">
        <v>5</v>
      </c>
      <c r="D1" s="39" t="s">
        <v>6</v>
      </c>
      <c r="E1" s="39" t="s">
        <v>7</v>
      </c>
      <c r="F1" s="39" t="s">
        <v>8</v>
      </c>
      <c r="G1" s="39" t="s">
        <v>9</v>
      </c>
      <c r="H1" s="39" t="s">
        <v>10</v>
      </c>
      <c r="I1" s="39" t="s">
        <v>11</v>
      </c>
      <c r="J1" s="39" t="s">
        <v>12</v>
      </c>
      <c r="K1" s="39" t="s">
        <v>13</v>
      </c>
      <c r="L1" s="39" t="s">
        <v>14</v>
      </c>
      <c r="M1" s="39" t="s">
        <v>15</v>
      </c>
      <c r="N1" s="39" t="s">
        <v>16</v>
      </c>
      <c r="O1" s="39" t="s">
        <v>17</v>
      </c>
      <c r="P1" s="39" t="s">
        <v>18</v>
      </c>
      <c r="Q1" s="39" t="s">
        <v>19</v>
      </c>
      <c r="R1" s="39" t="s">
        <v>20</v>
      </c>
      <c r="S1" s="39" t="s">
        <v>21</v>
      </c>
      <c r="T1" s="39" t="s">
        <v>22</v>
      </c>
      <c r="U1" s="39" t="s">
        <v>23</v>
      </c>
    </row>
    <row r="2" spans="1:21" s="40" customFormat="1" ht="12.75" x14ac:dyDescent="0.2">
      <c r="A2" s="41">
        <v>43898</v>
      </c>
      <c r="B2" s="42" t="s">
        <v>0</v>
      </c>
      <c r="C2" s="42" t="s">
        <v>24</v>
      </c>
      <c r="D2" s="42" t="s">
        <v>1</v>
      </c>
      <c r="E2" s="42" t="s">
        <v>99</v>
      </c>
      <c r="F2" s="42" t="s">
        <v>2</v>
      </c>
      <c r="G2" s="43">
        <v>71500</v>
      </c>
      <c r="H2" s="42" t="s">
        <v>25</v>
      </c>
      <c r="I2" s="42" t="s">
        <v>26</v>
      </c>
      <c r="J2" s="44">
        <v>0.65972222222222221</v>
      </c>
      <c r="K2" s="45">
        <v>0.65416666666666667</v>
      </c>
      <c r="L2" s="44">
        <v>0.49305555555555558</v>
      </c>
      <c r="M2" s="46">
        <v>0.50416666666666665</v>
      </c>
      <c r="N2" s="38" t="s">
        <v>115</v>
      </c>
      <c r="O2" s="47" t="s">
        <v>114</v>
      </c>
      <c r="P2" s="47">
        <v>1048</v>
      </c>
      <c r="Q2" s="47">
        <v>718</v>
      </c>
      <c r="R2" s="42">
        <v>0</v>
      </c>
      <c r="S2" s="42">
        <v>0</v>
      </c>
      <c r="T2" s="42">
        <v>0</v>
      </c>
      <c r="U2" s="42">
        <v>0</v>
      </c>
    </row>
    <row r="3" spans="1:21" s="40" customFormat="1" ht="12.75" x14ac:dyDescent="0.2">
      <c r="A3" s="41">
        <f>A2</f>
        <v>43898</v>
      </c>
      <c r="B3" s="42" t="s">
        <v>0</v>
      </c>
      <c r="C3" s="42" t="s">
        <v>27</v>
      </c>
      <c r="D3" s="42" t="s">
        <v>1</v>
      </c>
      <c r="E3" s="42" t="s">
        <v>87</v>
      </c>
      <c r="F3" s="42" t="s">
        <v>2</v>
      </c>
      <c r="G3" s="43">
        <v>71500</v>
      </c>
      <c r="H3" s="42" t="s">
        <v>28</v>
      </c>
      <c r="I3" s="42" t="s">
        <v>29</v>
      </c>
      <c r="J3" s="44">
        <v>0.77083333333333337</v>
      </c>
      <c r="K3" s="45">
        <v>0.75347222222222221</v>
      </c>
      <c r="L3" s="44">
        <v>0.53819444444444442</v>
      </c>
      <c r="M3" s="46">
        <v>0.53472222222222221</v>
      </c>
      <c r="N3" s="38" t="s">
        <v>116</v>
      </c>
      <c r="O3" s="47" t="s">
        <v>83</v>
      </c>
      <c r="P3" s="42">
        <v>1127</v>
      </c>
      <c r="Q3" s="47">
        <v>991</v>
      </c>
      <c r="R3" s="42">
        <v>0</v>
      </c>
      <c r="S3" s="42">
        <v>0</v>
      </c>
      <c r="T3" s="42">
        <v>0</v>
      </c>
      <c r="U3" s="42">
        <v>0</v>
      </c>
    </row>
    <row r="4" spans="1:21" s="40" customFormat="1" ht="12.75" x14ac:dyDescent="0.2">
      <c r="A4" s="41">
        <f>A3</f>
        <v>43898</v>
      </c>
      <c r="B4" s="42" t="s">
        <v>0</v>
      </c>
      <c r="C4" s="38" t="s">
        <v>30</v>
      </c>
      <c r="D4" s="38" t="s">
        <v>1</v>
      </c>
      <c r="E4" s="42" t="s">
        <v>99</v>
      </c>
      <c r="F4" s="38" t="s">
        <v>2</v>
      </c>
      <c r="G4" s="43">
        <f>G2</f>
        <v>71500</v>
      </c>
      <c r="H4" s="38" t="s">
        <v>31</v>
      </c>
      <c r="I4" s="38" t="s">
        <v>32</v>
      </c>
      <c r="J4" s="48">
        <v>0.86805555555555547</v>
      </c>
      <c r="K4" s="45">
        <v>0.86458333333333337</v>
      </c>
      <c r="L4" s="48">
        <v>0.68055555555555547</v>
      </c>
      <c r="M4" s="45">
        <v>0.68611111111111101</v>
      </c>
      <c r="N4" s="38" t="s">
        <v>117</v>
      </c>
      <c r="O4" s="38" t="s">
        <v>118</v>
      </c>
      <c r="P4" s="38">
        <v>1344</v>
      </c>
      <c r="Q4" s="47">
        <v>898</v>
      </c>
      <c r="R4" s="38">
        <v>0</v>
      </c>
      <c r="S4" s="38">
        <v>0</v>
      </c>
      <c r="T4" s="38">
        <v>0</v>
      </c>
      <c r="U4" s="38">
        <v>0</v>
      </c>
    </row>
    <row r="5" spans="1:21" s="4" customFormat="1" ht="12.75" x14ac:dyDescent="0.2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5" sqref="A5"/>
    </sheetView>
  </sheetViews>
  <sheetFormatPr defaultRowHeight="15" x14ac:dyDescent="0.25"/>
  <cols>
    <col min="1" max="1" width="7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43892</v>
      </c>
      <c r="B2" s="6" t="s">
        <v>0</v>
      </c>
      <c r="C2" s="6" t="s">
        <v>41</v>
      </c>
      <c r="D2" s="6" t="s">
        <v>1</v>
      </c>
      <c r="E2" s="6" t="s">
        <v>122</v>
      </c>
      <c r="F2" s="6" t="s">
        <v>2</v>
      </c>
      <c r="G2" s="7">
        <f>G3</f>
        <v>71500</v>
      </c>
      <c r="H2" s="6" t="s">
        <v>42</v>
      </c>
      <c r="I2" s="6" t="s">
        <v>43</v>
      </c>
      <c r="J2" s="8">
        <v>0.46180555555555558</v>
      </c>
      <c r="K2" s="17">
        <v>0.45277777777777778</v>
      </c>
      <c r="L2" s="8">
        <v>0.25694444444444448</v>
      </c>
      <c r="M2" s="17">
        <v>0.26180555555555557</v>
      </c>
      <c r="N2" s="3" t="s">
        <v>119</v>
      </c>
      <c r="O2" s="10" t="s">
        <v>121</v>
      </c>
      <c r="P2" s="10">
        <v>846</v>
      </c>
      <c r="Q2" s="10">
        <v>566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43892</v>
      </c>
      <c r="B3" s="6" t="s">
        <v>0</v>
      </c>
      <c r="C3" s="6" t="s">
        <v>44</v>
      </c>
      <c r="D3" s="6" t="s">
        <v>1</v>
      </c>
      <c r="E3" s="6" t="s">
        <v>123</v>
      </c>
      <c r="F3" s="6" t="s">
        <v>2</v>
      </c>
      <c r="G3" s="7">
        <v>71500</v>
      </c>
      <c r="H3" s="6" t="s">
        <v>45</v>
      </c>
      <c r="I3" s="6" t="s">
        <v>46</v>
      </c>
      <c r="J3" s="8">
        <v>0.50694444444444442</v>
      </c>
      <c r="K3" s="12">
        <v>0.49305555555555558</v>
      </c>
      <c r="L3" s="8">
        <v>0.30208333333333331</v>
      </c>
      <c r="M3" s="17">
        <v>0.30138888888888887</v>
      </c>
      <c r="N3" s="3" t="s">
        <v>65</v>
      </c>
      <c r="O3" s="10" t="s">
        <v>120</v>
      </c>
      <c r="P3" s="6">
        <v>661</v>
      </c>
      <c r="Q3" s="10">
        <v>720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6" si="0">A3</f>
        <v>43892</v>
      </c>
      <c r="B4" s="3" t="s">
        <v>0</v>
      </c>
      <c r="C4" s="3" t="s">
        <v>47</v>
      </c>
      <c r="D4" s="3" t="s">
        <v>1</v>
      </c>
      <c r="E4" s="6" t="s">
        <v>124</v>
      </c>
      <c r="F4" s="3" t="s">
        <v>2</v>
      </c>
      <c r="G4" s="7">
        <v>71500</v>
      </c>
      <c r="H4" s="3" t="s">
        <v>48</v>
      </c>
      <c r="I4" s="3" t="s">
        <v>49</v>
      </c>
      <c r="J4" s="13">
        <v>0.68055555555555547</v>
      </c>
      <c r="K4" s="12">
        <v>0.66875000000000007</v>
      </c>
      <c r="L4" s="13">
        <v>0.52777777777777779</v>
      </c>
      <c r="M4" s="12">
        <v>0.53194444444444444</v>
      </c>
      <c r="N4" s="3" t="s">
        <v>125</v>
      </c>
      <c r="O4" s="3" t="s">
        <v>91</v>
      </c>
      <c r="P4" s="3">
        <v>523</v>
      </c>
      <c r="Q4" s="10">
        <v>406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43892</v>
      </c>
      <c r="B5" s="3" t="s">
        <v>0</v>
      </c>
      <c r="C5" s="3" t="s">
        <v>50</v>
      </c>
      <c r="D5" s="3" t="s">
        <v>1</v>
      </c>
      <c r="E5" s="6" t="s">
        <v>123</v>
      </c>
      <c r="F5" s="3" t="s">
        <v>2</v>
      </c>
      <c r="G5" s="7">
        <f>G4</f>
        <v>71500</v>
      </c>
      <c r="H5" s="6" t="s">
        <v>51</v>
      </c>
      <c r="I5" s="6" t="s">
        <v>52</v>
      </c>
      <c r="J5" s="11">
        <v>0.91319444444444453</v>
      </c>
      <c r="K5" s="18">
        <v>0.8979166666666667</v>
      </c>
      <c r="L5" s="11">
        <v>0.69097222222222221</v>
      </c>
      <c r="M5" s="12">
        <v>0.69236111111111109</v>
      </c>
      <c r="N5" s="3" t="s">
        <v>128</v>
      </c>
      <c r="O5" s="4" t="s">
        <v>126</v>
      </c>
      <c r="P5" s="4">
        <v>337</v>
      </c>
      <c r="Q5" s="10">
        <v>524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43892</v>
      </c>
      <c r="B6" s="3" t="s">
        <v>0</v>
      </c>
      <c r="C6" s="3" t="s">
        <v>53</v>
      </c>
      <c r="D6" s="3" t="s">
        <v>1</v>
      </c>
      <c r="E6" s="6" t="s">
        <v>124</v>
      </c>
      <c r="F6" s="3" t="s">
        <v>2</v>
      </c>
      <c r="G6" s="7">
        <v>71500</v>
      </c>
      <c r="H6" s="3" t="s">
        <v>54</v>
      </c>
      <c r="I6" s="3" t="s">
        <v>55</v>
      </c>
      <c r="J6" s="13">
        <v>0.88194444444444453</v>
      </c>
      <c r="K6" s="2">
        <v>0.86458333333333337</v>
      </c>
      <c r="L6" s="13">
        <v>0.71180555555555547</v>
      </c>
      <c r="M6" s="2">
        <v>0.7090277777777777</v>
      </c>
      <c r="N6" s="3" t="s">
        <v>129</v>
      </c>
      <c r="O6" s="3" t="s">
        <v>127</v>
      </c>
      <c r="P6" s="3">
        <v>606</v>
      </c>
      <c r="Q6" s="3">
        <v>514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G6" sqref="G6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43900</v>
      </c>
      <c r="B2" s="6" t="s">
        <v>0</v>
      </c>
      <c r="C2" s="6" t="s">
        <v>66</v>
      </c>
      <c r="D2" s="6" t="s">
        <v>1</v>
      </c>
      <c r="E2" s="6" t="s">
        <v>130</v>
      </c>
      <c r="F2" s="6" t="s">
        <v>2</v>
      </c>
      <c r="G2" s="7">
        <v>71500</v>
      </c>
      <c r="H2" s="6" t="s">
        <v>67</v>
      </c>
      <c r="I2" s="6" t="s">
        <v>68</v>
      </c>
      <c r="J2" s="8">
        <v>0.50694444444444442</v>
      </c>
      <c r="K2" s="9">
        <v>0.51874999999999993</v>
      </c>
      <c r="L2" s="8">
        <v>0.32291666666666669</v>
      </c>
      <c r="M2" s="9">
        <v>0.33055555555555555</v>
      </c>
      <c r="N2" s="3" t="s">
        <v>131</v>
      </c>
      <c r="O2" s="10" t="s">
        <v>132</v>
      </c>
      <c r="P2" s="10">
        <v>809</v>
      </c>
      <c r="Q2" s="10">
        <v>483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43900</v>
      </c>
      <c r="B3" s="6" t="s">
        <v>0</v>
      </c>
      <c r="C3" s="6" t="s">
        <v>69</v>
      </c>
      <c r="D3" s="6" t="s">
        <v>1</v>
      </c>
      <c r="E3" s="6" t="s">
        <v>99</v>
      </c>
      <c r="F3" s="6" t="s">
        <v>2</v>
      </c>
      <c r="G3" s="7">
        <v>71500</v>
      </c>
      <c r="H3" s="6" t="s">
        <v>70</v>
      </c>
      <c r="I3" s="6" t="s">
        <v>71</v>
      </c>
      <c r="J3" s="8">
        <v>0.72916666666666663</v>
      </c>
      <c r="K3" s="9">
        <v>0.71597222222222223</v>
      </c>
      <c r="L3" s="8">
        <v>0.51388888888888895</v>
      </c>
      <c r="M3" s="9">
        <v>0.52152777777777781</v>
      </c>
      <c r="N3" s="3" t="s">
        <v>115</v>
      </c>
      <c r="O3" s="10" t="s">
        <v>133</v>
      </c>
      <c r="P3" s="4">
        <v>712</v>
      </c>
      <c r="Q3" s="10">
        <v>413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5" si="0">A3</f>
        <v>43900</v>
      </c>
      <c r="B4" s="3" t="s">
        <v>0</v>
      </c>
      <c r="C4" s="3" t="s">
        <v>72</v>
      </c>
      <c r="D4" s="3" t="s">
        <v>1</v>
      </c>
      <c r="E4" s="6" t="s">
        <v>130</v>
      </c>
      <c r="F4" s="3" t="s">
        <v>2</v>
      </c>
      <c r="G4" s="7">
        <v>71500</v>
      </c>
      <c r="H4" s="6" t="s">
        <v>73</v>
      </c>
      <c r="I4" s="6" t="s">
        <v>74</v>
      </c>
      <c r="J4" s="11">
        <v>0.68402777777777779</v>
      </c>
      <c r="K4" s="2">
        <v>0.69861111111111107</v>
      </c>
      <c r="L4" s="11">
        <v>0.52777777777777779</v>
      </c>
      <c r="M4" s="12">
        <v>0.55555555555555558</v>
      </c>
      <c r="N4" s="3" t="s">
        <v>135</v>
      </c>
      <c r="O4" s="36" t="s">
        <v>134</v>
      </c>
      <c r="P4" s="6">
        <v>773</v>
      </c>
      <c r="Q4" s="10">
        <v>672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43900</v>
      </c>
      <c r="B5" s="3" t="s">
        <v>0</v>
      </c>
      <c r="C5" s="3" t="s">
        <v>75</v>
      </c>
      <c r="D5" s="3" t="s">
        <v>1</v>
      </c>
      <c r="E5" s="6" t="s">
        <v>99</v>
      </c>
      <c r="F5" s="3" t="s">
        <v>2</v>
      </c>
      <c r="G5" s="7">
        <v>71500</v>
      </c>
      <c r="H5" s="3" t="s">
        <v>76</v>
      </c>
      <c r="I5" s="3" t="s">
        <v>77</v>
      </c>
      <c r="J5" s="13">
        <v>0.94444444444444453</v>
      </c>
      <c r="K5" s="2">
        <v>0.93888888888888899</v>
      </c>
      <c r="L5" s="13">
        <v>0.77430555555555547</v>
      </c>
      <c r="M5" s="2">
        <v>0.77222222222222225</v>
      </c>
      <c r="N5" s="3" t="s">
        <v>107</v>
      </c>
      <c r="O5" s="3" t="s">
        <v>133</v>
      </c>
      <c r="P5" s="3">
        <v>573</v>
      </c>
      <c r="Q5" s="10">
        <v>546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K5" sqref="K5"/>
    </sheetView>
  </sheetViews>
  <sheetFormatPr defaultRowHeight="15" x14ac:dyDescent="0.25"/>
  <cols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43872</v>
      </c>
      <c r="B2" s="6" t="s">
        <v>0</v>
      </c>
      <c r="C2" s="6" t="s">
        <v>41</v>
      </c>
      <c r="D2" s="6" t="s">
        <v>1</v>
      </c>
      <c r="E2" s="6" t="s">
        <v>130</v>
      </c>
      <c r="F2" s="6" t="s">
        <v>2</v>
      </c>
      <c r="G2" s="7">
        <v>71500</v>
      </c>
      <c r="H2" s="6" t="s">
        <v>42</v>
      </c>
      <c r="I2" s="6" t="s">
        <v>43</v>
      </c>
      <c r="J2" s="8">
        <v>0.46180555555555558</v>
      </c>
      <c r="K2" s="9">
        <v>0.44375000000000003</v>
      </c>
      <c r="L2" s="8">
        <v>0.25694444444444448</v>
      </c>
      <c r="M2" s="9">
        <v>0.26180555555555557</v>
      </c>
      <c r="N2" s="3" t="s">
        <v>110</v>
      </c>
      <c r="O2" s="10" t="s">
        <v>136</v>
      </c>
      <c r="P2" s="10">
        <v>735</v>
      </c>
      <c r="Q2" s="10">
        <v>478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43872</v>
      </c>
      <c r="B3" s="6" t="s">
        <v>0</v>
      </c>
      <c r="C3" s="6" t="s">
        <v>44</v>
      </c>
      <c r="D3" s="6" t="s">
        <v>1</v>
      </c>
      <c r="E3" s="6" t="s">
        <v>99</v>
      </c>
      <c r="F3" s="6" t="s">
        <v>2</v>
      </c>
      <c r="G3" s="7">
        <v>71500</v>
      </c>
      <c r="H3" s="6" t="s">
        <v>45</v>
      </c>
      <c r="I3" s="6" t="s">
        <v>46</v>
      </c>
      <c r="J3" s="8">
        <v>0.50694444444444442</v>
      </c>
      <c r="K3" s="9">
        <v>0.49027777777777781</v>
      </c>
      <c r="L3" s="8">
        <v>0.30208333333333331</v>
      </c>
      <c r="M3" s="9">
        <v>0.30694444444444441</v>
      </c>
      <c r="N3" s="3" t="s">
        <v>138</v>
      </c>
      <c r="O3" s="10" t="s">
        <v>137</v>
      </c>
      <c r="P3" s="4">
        <v>794</v>
      </c>
      <c r="Q3" s="10">
        <v>716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" si="0">A3</f>
        <v>43872</v>
      </c>
      <c r="B4" s="3" t="s">
        <v>0</v>
      </c>
      <c r="C4" s="3" t="s">
        <v>24</v>
      </c>
      <c r="D4" s="3" t="s">
        <v>1</v>
      </c>
      <c r="E4" s="6" t="str">
        <f>E2</f>
        <v>HALYP</v>
      </c>
      <c r="F4" s="3" t="s">
        <v>2</v>
      </c>
      <c r="G4" s="7">
        <v>71500</v>
      </c>
      <c r="H4" s="6" t="s">
        <v>25</v>
      </c>
      <c r="I4" s="6" t="s">
        <v>26</v>
      </c>
      <c r="J4" s="11">
        <v>0.65972222222222221</v>
      </c>
      <c r="K4" s="2">
        <v>0.65486111111111112</v>
      </c>
      <c r="L4" s="11">
        <v>0.49305555555555558</v>
      </c>
      <c r="M4" s="12">
        <v>0.49652777777777773</v>
      </c>
      <c r="N4" s="3" t="s">
        <v>96</v>
      </c>
      <c r="O4" s="36" t="s">
        <v>57</v>
      </c>
      <c r="P4" s="6">
        <v>992</v>
      </c>
      <c r="Q4" s="10">
        <v>717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opLeftCell="B1" workbookViewId="0">
      <selection activeCell="B1" sqref="A1:XFD1"/>
    </sheetView>
  </sheetViews>
  <sheetFormatPr defaultRowHeight="15" x14ac:dyDescent="0.25"/>
  <cols>
    <col min="3" max="3" width="13.140625" bestFit="1" customWidth="1"/>
    <col min="4" max="4" width="5.7109375" bestFit="1" customWidth="1"/>
    <col min="6" max="6" width="12.140625" bestFit="1" customWidth="1"/>
    <col min="7" max="7" width="9.7109375" bestFit="1" customWidth="1"/>
    <col min="14" max="15" width="18.42578125" bestFit="1" customWidth="1"/>
  </cols>
  <sheetData>
    <row r="1" spans="1:22" s="16" customFormat="1" ht="12.75" x14ac:dyDescent="0.25">
      <c r="A1" s="14" t="s">
        <v>3</v>
      </c>
      <c r="B1" s="14" t="s">
        <v>4</v>
      </c>
      <c r="C1" s="14" t="s">
        <v>5</v>
      </c>
      <c r="D1" s="14" t="s">
        <v>6</v>
      </c>
      <c r="E1" s="14" t="s">
        <v>7</v>
      </c>
      <c r="F1" s="14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  <c r="L1" s="14" t="s">
        <v>14</v>
      </c>
      <c r="M1" s="14" t="s">
        <v>15</v>
      </c>
      <c r="N1" s="14" t="s">
        <v>16</v>
      </c>
      <c r="O1" s="14" t="s">
        <v>17</v>
      </c>
      <c r="P1" s="14" t="s">
        <v>18</v>
      </c>
      <c r="Q1" s="14" t="s">
        <v>19</v>
      </c>
      <c r="R1" s="14" t="s">
        <v>20</v>
      </c>
      <c r="S1" s="14" t="s">
        <v>21</v>
      </c>
      <c r="T1" s="14" t="s">
        <v>22</v>
      </c>
      <c r="U1" s="14" t="s">
        <v>23</v>
      </c>
    </row>
    <row r="2" spans="1:22" x14ac:dyDescent="0.25">
      <c r="A2" s="5">
        <v>43902</v>
      </c>
      <c r="B2" s="25" t="s">
        <v>0</v>
      </c>
      <c r="C2" s="25" t="s">
        <v>27</v>
      </c>
      <c r="D2" s="25" t="s">
        <v>1</v>
      </c>
      <c r="E2" s="25" t="s">
        <v>99</v>
      </c>
      <c r="F2" s="25" t="s">
        <v>2</v>
      </c>
      <c r="G2" s="26">
        <v>71500</v>
      </c>
      <c r="H2" s="25" t="s">
        <v>28</v>
      </c>
      <c r="I2" s="25" t="s">
        <v>29</v>
      </c>
      <c r="J2" s="31">
        <v>0.65972222222222221</v>
      </c>
      <c r="K2" s="32">
        <v>0.64930555555555558</v>
      </c>
      <c r="L2" s="31">
        <v>0.42708333333333331</v>
      </c>
      <c r="M2" s="32">
        <v>0.42499999999999999</v>
      </c>
      <c r="N2" s="32" t="s">
        <v>140</v>
      </c>
      <c r="O2" s="32" t="s">
        <v>139</v>
      </c>
      <c r="P2" s="29">
        <v>920</v>
      </c>
      <c r="Q2" s="29">
        <v>724</v>
      </c>
      <c r="R2" s="25">
        <v>0</v>
      </c>
      <c r="S2" s="25">
        <v>0</v>
      </c>
      <c r="T2" s="25">
        <v>0</v>
      </c>
      <c r="U2" s="25">
        <v>0</v>
      </c>
      <c r="V2" s="19"/>
    </row>
    <row r="3" spans="1:22" x14ac:dyDescent="0.25">
      <c r="A3" s="5">
        <f>A2</f>
        <v>43902</v>
      </c>
      <c r="B3" s="25" t="s">
        <v>0</v>
      </c>
      <c r="C3" s="25" t="s">
        <v>30</v>
      </c>
      <c r="D3" s="25" t="s">
        <v>1</v>
      </c>
      <c r="E3" s="25" t="str">
        <f>E2</f>
        <v>HALPT</v>
      </c>
      <c r="F3" s="25" t="s">
        <v>2</v>
      </c>
      <c r="G3" s="26">
        <f>G2</f>
        <v>71500</v>
      </c>
      <c r="H3" s="25" t="s">
        <v>31</v>
      </c>
      <c r="I3" s="25" t="s">
        <v>32</v>
      </c>
      <c r="J3" s="31">
        <v>0.86805555555555547</v>
      </c>
      <c r="K3" s="32">
        <v>0.85902777777777783</v>
      </c>
      <c r="L3" s="31">
        <v>0.68055555555555547</v>
      </c>
      <c r="M3" s="32">
        <v>0.6875</v>
      </c>
      <c r="N3" s="32" t="s">
        <v>142</v>
      </c>
      <c r="O3" s="32" t="s">
        <v>141</v>
      </c>
      <c r="P3" s="29">
        <v>554</v>
      </c>
      <c r="Q3" s="29">
        <v>645</v>
      </c>
      <c r="R3" s="25">
        <v>0</v>
      </c>
      <c r="S3" s="25">
        <v>0</v>
      </c>
      <c r="T3" s="25">
        <v>0</v>
      </c>
      <c r="U3" s="25">
        <v>0</v>
      </c>
      <c r="V3" s="19"/>
    </row>
    <row r="4" spans="1:22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  <c r="V4" s="19"/>
    </row>
    <row r="5" spans="1:22" x14ac:dyDescent="0.25">
      <c r="A5" s="5"/>
      <c r="B5" s="3"/>
      <c r="C5" s="3"/>
      <c r="D5" s="3"/>
      <c r="E5" s="25"/>
      <c r="F5" s="3"/>
      <c r="G5" s="26"/>
      <c r="H5" s="3"/>
      <c r="I5" s="3"/>
      <c r="J5" s="27"/>
      <c r="K5" s="28"/>
      <c r="L5" s="27"/>
      <c r="M5" s="28"/>
      <c r="N5" s="28"/>
      <c r="O5" s="29"/>
      <c r="P5" s="25"/>
      <c r="Q5" s="29"/>
      <c r="R5" s="3"/>
      <c r="S5" s="3"/>
      <c r="T5" s="3"/>
      <c r="U5" s="3"/>
      <c r="V5" s="19"/>
    </row>
    <row r="6" spans="1:22" x14ac:dyDescent="0.25">
      <c r="A6" s="5"/>
      <c r="B6" s="28"/>
      <c r="C6" s="28"/>
      <c r="D6" s="28"/>
      <c r="E6" s="28"/>
      <c r="F6" s="28"/>
      <c r="G6" s="26"/>
      <c r="H6" s="28"/>
      <c r="I6" s="28"/>
      <c r="J6" s="28"/>
      <c r="K6" s="28"/>
      <c r="L6" s="28"/>
      <c r="M6" s="28"/>
      <c r="N6" s="25"/>
      <c r="O6" s="25"/>
      <c r="P6" s="25"/>
      <c r="Q6" s="25"/>
      <c r="R6" s="25"/>
      <c r="S6" s="25"/>
      <c r="T6" s="3"/>
      <c r="U6" s="3"/>
      <c r="V6" s="28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J6" sqref="J6"/>
    </sheetView>
  </sheetViews>
  <sheetFormatPr defaultRowHeight="15" x14ac:dyDescent="0.25"/>
  <cols>
    <col min="1" max="1" width="7.85546875" style="30" bestFit="1" customWidth="1"/>
    <col min="2" max="2" width="9.140625" style="30" bestFit="1" customWidth="1"/>
    <col min="3" max="3" width="13.5703125" style="30" bestFit="1" customWidth="1"/>
    <col min="4" max="4" width="5.7109375" style="30" bestFit="1" customWidth="1"/>
    <col min="5" max="5" width="14.5703125" style="30" bestFit="1" customWidth="1"/>
    <col min="6" max="6" width="12.140625" style="30" bestFit="1" customWidth="1"/>
    <col min="7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2" customFormat="1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</row>
    <row r="2" spans="1:22" customFormat="1" x14ac:dyDescent="0.25">
      <c r="A2" s="5">
        <v>43903</v>
      </c>
      <c r="B2" s="6" t="s">
        <v>0</v>
      </c>
      <c r="C2" s="6" t="s">
        <v>41</v>
      </c>
      <c r="D2" s="6" t="s">
        <v>1</v>
      </c>
      <c r="E2" s="6" t="s">
        <v>130</v>
      </c>
      <c r="F2" s="6" t="s">
        <v>2</v>
      </c>
      <c r="G2" s="7">
        <v>71500</v>
      </c>
      <c r="H2" s="6" t="s">
        <v>42</v>
      </c>
      <c r="I2" s="6" t="s">
        <v>43</v>
      </c>
      <c r="J2" s="8">
        <v>0.46180555555555558</v>
      </c>
      <c r="K2" s="9">
        <v>0.46180555555555558</v>
      </c>
      <c r="L2" s="8">
        <v>0.25694444444444448</v>
      </c>
      <c r="M2" s="9">
        <v>0.26250000000000001</v>
      </c>
      <c r="N2" s="3" t="s">
        <v>146</v>
      </c>
      <c r="O2" s="10" t="s">
        <v>143</v>
      </c>
      <c r="P2" s="10">
        <v>588</v>
      </c>
      <c r="Q2" s="10">
        <v>885</v>
      </c>
      <c r="R2" s="6">
        <v>0</v>
      </c>
      <c r="S2" s="6">
        <v>0</v>
      </c>
      <c r="T2" s="6">
        <v>0</v>
      </c>
      <c r="U2" s="6">
        <v>0</v>
      </c>
    </row>
    <row r="3" spans="1:22" customFormat="1" x14ac:dyDescent="0.25">
      <c r="A3" s="5">
        <f>A2</f>
        <v>43903</v>
      </c>
      <c r="B3" s="6" t="s">
        <v>0</v>
      </c>
      <c r="C3" s="6" t="s">
        <v>44</v>
      </c>
      <c r="D3" s="6" t="s">
        <v>1</v>
      </c>
      <c r="E3" s="6" t="s">
        <v>99</v>
      </c>
      <c r="F3" s="6" t="s">
        <v>2</v>
      </c>
      <c r="G3" s="7">
        <v>71500</v>
      </c>
      <c r="H3" s="6" t="s">
        <v>45</v>
      </c>
      <c r="I3" s="6" t="s">
        <v>46</v>
      </c>
      <c r="J3" s="8">
        <v>0.50694444444444442</v>
      </c>
      <c r="K3" s="9">
        <v>0.52500000000000002</v>
      </c>
      <c r="L3" s="8">
        <v>0.30208333333333331</v>
      </c>
      <c r="M3" s="9">
        <v>0.30208333333333331</v>
      </c>
      <c r="N3" s="3" t="s">
        <v>147</v>
      </c>
      <c r="O3" s="10" t="s">
        <v>144</v>
      </c>
      <c r="P3" s="6">
        <v>654</v>
      </c>
      <c r="Q3" s="10">
        <v>609</v>
      </c>
      <c r="R3" s="6">
        <v>0</v>
      </c>
      <c r="S3" s="6">
        <v>0</v>
      </c>
      <c r="T3" s="6">
        <v>0</v>
      </c>
      <c r="U3" s="6">
        <v>0</v>
      </c>
    </row>
    <row r="4" spans="1:22" customFormat="1" x14ac:dyDescent="0.25">
      <c r="A4" s="5">
        <f t="shared" ref="A4:A7" si="0">A3</f>
        <v>43903</v>
      </c>
      <c r="B4" s="3" t="s">
        <v>0</v>
      </c>
      <c r="C4" s="3" t="s">
        <v>24</v>
      </c>
      <c r="D4" s="3" t="s">
        <v>1</v>
      </c>
      <c r="E4" s="6" t="s">
        <v>130</v>
      </c>
      <c r="F4" s="3" t="s">
        <v>2</v>
      </c>
      <c r="G4" s="7">
        <v>71500</v>
      </c>
      <c r="H4" s="6" t="s">
        <v>25</v>
      </c>
      <c r="I4" s="6" t="s">
        <v>26</v>
      </c>
      <c r="J4" s="33">
        <v>0.65972222222222221</v>
      </c>
      <c r="K4" s="2">
        <v>0.65208333333333335</v>
      </c>
      <c r="L4" s="33">
        <v>0.49305555555555558</v>
      </c>
      <c r="M4" s="17">
        <v>0.50069444444444444</v>
      </c>
      <c r="N4" s="3" t="s">
        <v>151</v>
      </c>
      <c r="O4" s="16" t="s">
        <v>145</v>
      </c>
      <c r="P4" s="16">
        <v>486</v>
      </c>
      <c r="Q4" s="10">
        <v>663</v>
      </c>
      <c r="R4" s="3">
        <v>0</v>
      </c>
      <c r="S4" s="3">
        <v>0</v>
      </c>
      <c r="T4" s="3">
        <v>0</v>
      </c>
      <c r="U4" s="3">
        <v>0</v>
      </c>
    </row>
    <row r="5" spans="1:22" customFormat="1" x14ac:dyDescent="0.25">
      <c r="A5" s="5">
        <f t="shared" si="0"/>
        <v>43903</v>
      </c>
      <c r="B5" s="3" t="s">
        <v>0</v>
      </c>
      <c r="C5" s="3" t="s">
        <v>47</v>
      </c>
      <c r="D5" s="3" t="s">
        <v>1</v>
      </c>
      <c r="E5" s="6" t="s">
        <v>99</v>
      </c>
      <c r="F5" s="3" t="s">
        <v>2</v>
      </c>
      <c r="G5" s="7">
        <v>71500</v>
      </c>
      <c r="H5" s="3" t="s">
        <v>48</v>
      </c>
      <c r="I5" s="3" t="s">
        <v>49</v>
      </c>
      <c r="J5" s="13">
        <v>0.68055555555555547</v>
      </c>
      <c r="K5" s="2">
        <v>0.6972222222222223</v>
      </c>
      <c r="L5" s="13">
        <v>0.52777777777777779</v>
      </c>
      <c r="M5" s="2">
        <v>0.55902777777777779</v>
      </c>
      <c r="N5" s="3" t="s">
        <v>152</v>
      </c>
      <c r="O5" s="3" t="s">
        <v>148</v>
      </c>
      <c r="P5" s="3">
        <v>299</v>
      </c>
      <c r="Q5" s="10">
        <v>571</v>
      </c>
      <c r="R5" s="3">
        <v>0</v>
      </c>
      <c r="S5" s="3">
        <v>0</v>
      </c>
      <c r="T5" s="3">
        <v>0</v>
      </c>
      <c r="U5" s="3">
        <v>0</v>
      </c>
    </row>
    <row r="6" spans="1:22" customFormat="1" x14ac:dyDescent="0.25">
      <c r="A6" s="5">
        <f t="shared" si="0"/>
        <v>43903</v>
      </c>
      <c r="B6" s="3" t="s">
        <v>0</v>
      </c>
      <c r="C6" s="3" t="s">
        <v>50</v>
      </c>
      <c r="D6" s="3" t="s">
        <v>1</v>
      </c>
      <c r="E6" s="6" t="s">
        <v>99</v>
      </c>
      <c r="F6" s="3" t="s">
        <v>2</v>
      </c>
      <c r="G6" s="7">
        <v>71500</v>
      </c>
      <c r="H6" s="6" t="s">
        <v>51</v>
      </c>
      <c r="I6" s="6" t="s">
        <v>52</v>
      </c>
      <c r="J6" s="33">
        <v>0.91319444444444453</v>
      </c>
      <c r="K6" s="2">
        <v>0.91875000000000007</v>
      </c>
      <c r="L6" s="33">
        <v>0.69097222222222221</v>
      </c>
      <c r="M6" s="17">
        <v>0.72569444444444453</v>
      </c>
      <c r="N6" s="3" t="s">
        <v>153</v>
      </c>
      <c r="O6" s="16" t="s">
        <v>149</v>
      </c>
      <c r="P6" s="16">
        <v>402</v>
      </c>
      <c r="Q6" s="10">
        <v>433</v>
      </c>
      <c r="R6" s="3">
        <v>0</v>
      </c>
      <c r="S6" s="3">
        <v>0</v>
      </c>
      <c r="T6" s="3">
        <v>0</v>
      </c>
      <c r="U6" s="3">
        <v>0</v>
      </c>
    </row>
    <row r="7" spans="1:22" customFormat="1" x14ac:dyDescent="0.25">
      <c r="A7" s="5">
        <f t="shared" si="0"/>
        <v>43903</v>
      </c>
      <c r="B7" s="3" t="s">
        <v>0</v>
      </c>
      <c r="C7" s="3" t="s">
        <v>53</v>
      </c>
      <c r="D7" s="3" t="s">
        <v>1</v>
      </c>
      <c r="E7" s="6" t="s">
        <v>130</v>
      </c>
      <c r="F7" s="3" t="s">
        <v>2</v>
      </c>
      <c r="G7" s="7">
        <v>71500</v>
      </c>
      <c r="H7" s="6" t="s">
        <v>54</v>
      </c>
      <c r="I7" s="6" t="s">
        <v>55</v>
      </c>
      <c r="J7" s="33">
        <v>0.88194444444444453</v>
      </c>
      <c r="K7" s="12">
        <v>0.85486111111111107</v>
      </c>
      <c r="L7" s="33">
        <v>0.71180555555555547</v>
      </c>
      <c r="M7" s="12">
        <v>0.70347222222222217</v>
      </c>
      <c r="N7" s="3" t="s">
        <v>154</v>
      </c>
      <c r="O7" s="3" t="s">
        <v>150</v>
      </c>
      <c r="P7" s="3">
        <v>239</v>
      </c>
      <c r="Q7" s="10">
        <v>396</v>
      </c>
      <c r="R7" s="3">
        <v>0</v>
      </c>
      <c r="S7" s="3">
        <v>0</v>
      </c>
      <c r="T7" s="3">
        <v>0</v>
      </c>
      <c r="U7" s="3">
        <v>0</v>
      </c>
      <c r="V7" s="3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J10" sqref="J10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43904</v>
      </c>
      <c r="B2" s="6" t="s">
        <v>0</v>
      </c>
      <c r="C2" s="6" t="s">
        <v>66</v>
      </c>
      <c r="D2" s="6" t="s">
        <v>1</v>
      </c>
      <c r="E2" s="6" t="s">
        <v>130</v>
      </c>
      <c r="F2" s="6" t="s">
        <v>2</v>
      </c>
      <c r="G2" s="7">
        <v>71500</v>
      </c>
      <c r="H2" s="6" t="s">
        <v>67</v>
      </c>
      <c r="I2" s="6" t="s">
        <v>68</v>
      </c>
      <c r="J2" s="8">
        <v>0.50694444444444442</v>
      </c>
      <c r="K2" s="9">
        <v>0.59166666666666667</v>
      </c>
      <c r="L2" s="8">
        <v>0.32291666666666669</v>
      </c>
      <c r="M2" s="9">
        <v>0.42222222222222222</v>
      </c>
      <c r="N2" s="3" t="s">
        <v>156</v>
      </c>
      <c r="O2" s="10" t="s">
        <v>64</v>
      </c>
      <c r="P2" s="10">
        <v>553</v>
      </c>
      <c r="Q2" s="10">
        <v>965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43904</v>
      </c>
      <c r="B3" s="6" t="s">
        <v>0</v>
      </c>
      <c r="C3" s="6" t="s">
        <v>69</v>
      </c>
      <c r="D3" s="6" t="s">
        <v>1</v>
      </c>
      <c r="E3" s="6" t="s">
        <v>99</v>
      </c>
      <c r="F3" s="6" t="s">
        <v>2</v>
      </c>
      <c r="G3" s="7">
        <f>G2</f>
        <v>71500</v>
      </c>
      <c r="H3" s="6" t="s">
        <v>70</v>
      </c>
      <c r="I3" s="6" t="s">
        <v>71</v>
      </c>
      <c r="J3" s="8">
        <v>0.71527777777777779</v>
      </c>
      <c r="K3" s="9">
        <v>0.70347222222222217</v>
      </c>
      <c r="L3" s="8">
        <v>0.5</v>
      </c>
      <c r="M3" s="9">
        <v>0.5</v>
      </c>
      <c r="N3" s="3" t="s">
        <v>159</v>
      </c>
      <c r="O3" s="10" t="s">
        <v>155</v>
      </c>
      <c r="P3" s="4">
        <v>815</v>
      </c>
      <c r="Q3" s="10">
        <v>596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5" si="0">A3</f>
        <v>43904</v>
      </c>
      <c r="B4" s="3" t="s">
        <v>0</v>
      </c>
      <c r="C4" s="3" t="s">
        <v>72</v>
      </c>
      <c r="D4" s="3" t="s">
        <v>1</v>
      </c>
      <c r="E4" s="6" t="s">
        <v>130</v>
      </c>
      <c r="F4" s="3" t="s">
        <v>2</v>
      </c>
      <c r="G4" s="7">
        <v>71500</v>
      </c>
      <c r="H4" s="6" t="s">
        <v>73</v>
      </c>
      <c r="I4" s="6" t="s">
        <v>74</v>
      </c>
      <c r="J4" s="11">
        <v>0.68402777777777779</v>
      </c>
      <c r="K4" s="2">
        <v>0.75277777777777777</v>
      </c>
      <c r="L4" s="11">
        <v>0.52777777777777779</v>
      </c>
      <c r="M4" s="12">
        <v>0.61944444444444446</v>
      </c>
      <c r="N4" s="3" t="s">
        <v>160</v>
      </c>
      <c r="O4" s="36" t="s">
        <v>140</v>
      </c>
      <c r="P4" s="6">
        <v>401</v>
      </c>
      <c r="Q4" s="10">
        <v>689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43904</v>
      </c>
      <c r="B5" s="3" t="s">
        <v>0</v>
      </c>
      <c r="C5" s="3" t="s">
        <v>75</v>
      </c>
      <c r="D5" s="3" t="s">
        <v>1</v>
      </c>
      <c r="E5" s="6" t="s">
        <v>157</v>
      </c>
      <c r="F5" s="3" t="s">
        <v>2</v>
      </c>
      <c r="G5" s="7">
        <f>G4</f>
        <v>71500</v>
      </c>
      <c r="H5" s="3" t="s">
        <v>76</v>
      </c>
      <c r="I5" s="3" t="s">
        <v>77</v>
      </c>
      <c r="J5" s="13">
        <v>0.94444444444444453</v>
      </c>
      <c r="K5" s="2">
        <v>0.93402777777777779</v>
      </c>
      <c r="L5" s="13">
        <v>0.77430555555555547</v>
      </c>
      <c r="M5" s="2">
        <v>0.76666666666666661</v>
      </c>
      <c r="N5" s="3" t="s">
        <v>161</v>
      </c>
      <c r="O5" s="3" t="s">
        <v>158</v>
      </c>
      <c r="P5" s="3">
        <v>532</v>
      </c>
      <c r="Q5" s="10">
        <v>599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C1" workbookViewId="0">
      <selection activeCell="K5" sqref="K5"/>
    </sheetView>
  </sheetViews>
  <sheetFormatPr defaultRowHeight="15" x14ac:dyDescent="0.25"/>
  <cols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0" customFormat="1" ht="12.75" x14ac:dyDescent="0.2">
      <c r="A1" s="39" t="s">
        <v>3</v>
      </c>
      <c r="B1" s="39" t="s">
        <v>4</v>
      </c>
      <c r="C1" s="39" t="s">
        <v>5</v>
      </c>
      <c r="D1" s="39" t="s">
        <v>6</v>
      </c>
      <c r="E1" s="39" t="s">
        <v>7</v>
      </c>
      <c r="F1" s="39" t="s">
        <v>8</v>
      </c>
      <c r="G1" s="39" t="s">
        <v>9</v>
      </c>
      <c r="H1" s="39" t="s">
        <v>10</v>
      </c>
      <c r="I1" s="39" t="s">
        <v>11</v>
      </c>
      <c r="J1" s="39" t="s">
        <v>12</v>
      </c>
      <c r="K1" s="39" t="s">
        <v>13</v>
      </c>
      <c r="L1" s="39" t="s">
        <v>14</v>
      </c>
      <c r="M1" s="39" t="s">
        <v>15</v>
      </c>
      <c r="N1" s="39" t="s">
        <v>16</v>
      </c>
      <c r="O1" s="39" t="s">
        <v>17</v>
      </c>
      <c r="P1" s="39" t="s">
        <v>18</v>
      </c>
      <c r="Q1" s="39" t="s">
        <v>19</v>
      </c>
      <c r="R1" s="39" t="s">
        <v>20</v>
      </c>
      <c r="S1" s="39" t="s">
        <v>21</v>
      </c>
      <c r="T1" s="39" t="s">
        <v>22</v>
      </c>
      <c r="U1" s="39" t="s">
        <v>23</v>
      </c>
    </row>
    <row r="2" spans="1:21" s="40" customFormat="1" ht="12.75" x14ac:dyDescent="0.2">
      <c r="A2" s="41">
        <v>43905</v>
      </c>
      <c r="B2" s="42" t="s">
        <v>0</v>
      </c>
      <c r="C2" s="42" t="s">
        <v>24</v>
      </c>
      <c r="D2" s="42" t="s">
        <v>1</v>
      </c>
      <c r="E2" s="42" t="s">
        <v>157</v>
      </c>
      <c r="F2" s="42" t="s">
        <v>2</v>
      </c>
      <c r="G2" s="43">
        <v>71500</v>
      </c>
      <c r="H2" s="42" t="s">
        <v>25</v>
      </c>
      <c r="I2" s="42" t="s">
        <v>26</v>
      </c>
      <c r="J2" s="44">
        <v>0.65972222222222221</v>
      </c>
      <c r="K2" s="45">
        <v>0.65</v>
      </c>
      <c r="L2" s="44">
        <v>0.49305555555555558</v>
      </c>
      <c r="M2" s="46">
        <v>0.49791666666666662</v>
      </c>
      <c r="N2" s="38" t="s">
        <v>162</v>
      </c>
      <c r="O2" s="47" t="s">
        <v>164</v>
      </c>
      <c r="P2" s="47">
        <v>818</v>
      </c>
      <c r="Q2" s="47">
        <v>848</v>
      </c>
      <c r="R2" s="42">
        <v>0</v>
      </c>
      <c r="S2" s="42">
        <v>0</v>
      </c>
      <c r="T2" s="42">
        <v>0</v>
      </c>
      <c r="U2" s="42">
        <v>0</v>
      </c>
    </row>
    <row r="3" spans="1:21" s="40" customFormat="1" ht="12.75" x14ac:dyDescent="0.2">
      <c r="A3" s="41">
        <f>A2</f>
        <v>43905</v>
      </c>
      <c r="B3" s="42" t="s">
        <v>0</v>
      </c>
      <c r="C3" s="42" t="s">
        <v>27</v>
      </c>
      <c r="D3" s="42" t="s">
        <v>1</v>
      </c>
      <c r="E3" s="42" t="s">
        <v>130</v>
      </c>
      <c r="F3" s="42" t="s">
        <v>2</v>
      </c>
      <c r="G3" s="43">
        <v>71500</v>
      </c>
      <c r="H3" s="42" t="s">
        <v>28</v>
      </c>
      <c r="I3" s="42" t="s">
        <v>29</v>
      </c>
      <c r="J3" s="44">
        <v>0.77083333333333337</v>
      </c>
      <c r="K3" s="45">
        <v>0.75208333333333333</v>
      </c>
      <c r="L3" s="44">
        <v>0.53819444444444442</v>
      </c>
      <c r="M3" s="46">
        <v>0.53541666666666665</v>
      </c>
      <c r="N3" s="38" t="s">
        <v>163</v>
      </c>
      <c r="O3" s="47" t="s">
        <v>165</v>
      </c>
      <c r="P3" s="42">
        <v>852</v>
      </c>
      <c r="Q3" s="47">
        <v>977</v>
      </c>
      <c r="R3" s="42">
        <v>0</v>
      </c>
      <c r="S3" s="42">
        <v>0</v>
      </c>
      <c r="T3" s="42">
        <v>0</v>
      </c>
      <c r="U3" s="42">
        <v>0</v>
      </c>
    </row>
    <row r="4" spans="1:21" s="40" customFormat="1" ht="12.75" x14ac:dyDescent="0.2">
      <c r="A4" s="41">
        <f>A3</f>
        <v>43905</v>
      </c>
      <c r="B4" s="42" t="s">
        <v>0</v>
      </c>
      <c r="C4" s="38" t="s">
        <v>30</v>
      </c>
      <c r="D4" s="38" t="s">
        <v>1</v>
      </c>
      <c r="E4" s="42" t="str">
        <f>E2</f>
        <v>HALPN</v>
      </c>
      <c r="F4" s="38" t="s">
        <v>2</v>
      </c>
      <c r="G4" s="43">
        <f>G2</f>
        <v>71500</v>
      </c>
      <c r="H4" s="38" t="s">
        <v>31</v>
      </c>
      <c r="I4" s="38" t="s">
        <v>32</v>
      </c>
      <c r="J4" s="48">
        <v>0.86805555555555547</v>
      </c>
      <c r="K4" s="45">
        <v>0.86111111111111116</v>
      </c>
      <c r="L4" s="48">
        <v>0.68055555555555547</v>
      </c>
      <c r="M4" s="45">
        <v>0.68402777777777779</v>
      </c>
      <c r="N4" s="38" t="s">
        <v>167</v>
      </c>
      <c r="O4" s="38" t="s">
        <v>166</v>
      </c>
      <c r="P4" s="38">
        <v>1065</v>
      </c>
      <c r="Q4" s="47">
        <v>811</v>
      </c>
      <c r="R4" s="38">
        <v>0</v>
      </c>
      <c r="S4" s="38">
        <v>0</v>
      </c>
      <c r="T4" s="38">
        <v>0</v>
      </c>
      <c r="U4" s="38">
        <v>0</v>
      </c>
    </row>
    <row r="5" spans="1:21" s="4" customFormat="1" ht="12.75" x14ac:dyDescent="0.2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B1" workbookViewId="0">
      <selection activeCell="N8" sqref="N8"/>
    </sheetView>
  </sheetViews>
  <sheetFormatPr defaultRowHeight="15" x14ac:dyDescent="0.25"/>
  <cols>
    <col min="1" max="1" width="9.140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21</v>
      </c>
      <c r="T1" s="15" t="s">
        <v>22</v>
      </c>
      <c r="U1" s="15" t="s">
        <v>23</v>
      </c>
    </row>
    <row r="2" spans="1:21" x14ac:dyDescent="0.25">
      <c r="A2" s="5">
        <v>43906</v>
      </c>
      <c r="B2" s="6" t="s">
        <v>0</v>
      </c>
      <c r="C2" s="6" t="s">
        <v>41</v>
      </c>
      <c r="D2" s="6" t="s">
        <v>1</v>
      </c>
      <c r="E2" s="6" t="s">
        <v>168</v>
      </c>
      <c r="F2" s="6" t="s">
        <v>2</v>
      </c>
      <c r="G2" s="7">
        <f>G3</f>
        <v>71500</v>
      </c>
      <c r="H2" s="6" t="s">
        <v>42</v>
      </c>
      <c r="I2" s="6" t="s">
        <v>43</v>
      </c>
      <c r="J2" s="8">
        <v>0.46180555555555558</v>
      </c>
      <c r="K2" s="17">
        <v>0.45</v>
      </c>
      <c r="L2" s="8">
        <v>0.25694444444444448</v>
      </c>
      <c r="M2" s="17">
        <v>0.26874999999999999</v>
      </c>
      <c r="N2" s="3" t="s">
        <v>162</v>
      </c>
      <c r="O2" s="10" t="s">
        <v>170</v>
      </c>
      <c r="P2" s="10">
        <v>1026</v>
      </c>
      <c r="Q2" s="10">
        <v>356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43906</v>
      </c>
      <c r="B3" s="6" t="s">
        <v>0</v>
      </c>
      <c r="C3" s="6" t="s">
        <v>44</v>
      </c>
      <c r="D3" s="6" t="s">
        <v>1</v>
      </c>
      <c r="E3" s="6" t="s">
        <v>124</v>
      </c>
      <c r="F3" s="6" t="s">
        <v>2</v>
      </c>
      <c r="G3" s="7">
        <v>71500</v>
      </c>
      <c r="H3" s="6" t="s">
        <v>45</v>
      </c>
      <c r="I3" s="6" t="s">
        <v>46</v>
      </c>
      <c r="J3" s="8">
        <v>0.50694444444444442</v>
      </c>
      <c r="K3" s="12">
        <v>0.48888888888888887</v>
      </c>
      <c r="L3" s="8">
        <v>0.30208333333333331</v>
      </c>
      <c r="M3" s="17">
        <v>0.30416666666666664</v>
      </c>
      <c r="N3" s="3" t="s">
        <v>169</v>
      </c>
      <c r="O3" s="10" t="s">
        <v>171</v>
      </c>
      <c r="P3" s="6">
        <v>659</v>
      </c>
      <c r="Q3" s="10">
        <v>949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6" si="0">A3</f>
        <v>43906</v>
      </c>
      <c r="B4" s="3" t="s">
        <v>0</v>
      </c>
      <c r="C4" s="3" t="s">
        <v>47</v>
      </c>
      <c r="D4" s="3" t="s">
        <v>1</v>
      </c>
      <c r="E4" s="6" t="s">
        <v>168</v>
      </c>
      <c r="F4" s="3" t="s">
        <v>2</v>
      </c>
      <c r="G4" s="7">
        <v>71500</v>
      </c>
      <c r="H4" s="3" t="s">
        <v>48</v>
      </c>
      <c r="I4" s="3" t="s">
        <v>49</v>
      </c>
      <c r="J4" s="13">
        <v>0.68055555555555547</v>
      </c>
      <c r="K4" s="12">
        <v>0.67083333333333339</v>
      </c>
      <c r="L4" s="13">
        <v>0.52777777777777779</v>
      </c>
      <c r="M4" s="12">
        <v>0.52847222222222223</v>
      </c>
      <c r="N4" s="3" t="s">
        <v>175</v>
      </c>
      <c r="O4" s="3" t="s">
        <v>172</v>
      </c>
      <c r="P4" s="3">
        <v>506</v>
      </c>
      <c r="Q4" s="10">
        <v>539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43906</v>
      </c>
      <c r="B5" s="3" t="s">
        <v>0</v>
      </c>
      <c r="C5" s="3" t="s">
        <v>50</v>
      </c>
      <c r="D5" s="3" t="s">
        <v>1</v>
      </c>
      <c r="E5" s="6" t="s">
        <v>124</v>
      </c>
      <c r="F5" s="3" t="s">
        <v>2</v>
      </c>
      <c r="G5" s="7">
        <f>G4</f>
        <v>71500</v>
      </c>
      <c r="H5" s="6" t="s">
        <v>51</v>
      </c>
      <c r="I5" s="6" t="s">
        <v>52</v>
      </c>
      <c r="J5" s="11">
        <v>0.91319444444444453</v>
      </c>
      <c r="K5" s="18">
        <v>0.89722222222222225</v>
      </c>
      <c r="L5" s="11">
        <v>0.69097222222222221</v>
      </c>
      <c r="M5" s="12">
        <v>0.69305555555555554</v>
      </c>
      <c r="N5" s="3" t="s">
        <v>182</v>
      </c>
      <c r="O5" s="4" t="s">
        <v>173</v>
      </c>
      <c r="P5" s="4">
        <v>362</v>
      </c>
      <c r="Q5" s="10">
        <v>340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43906</v>
      </c>
      <c r="B6" s="3" t="s">
        <v>0</v>
      </c>
      <c r="C6" s="3" t="s">
        <v>53</v>
      </c>
      <c r="D6" s="3" t="s">
        <v>1</v>
      </c>
      <c r="E6" s="6" t="s">
        <v>168</v>
      </c>
      <c r="F6" s="3" t="s">
        <v>2</v>
      </c>
      <c r="G6" s="7">
        <v>71500</v>
      </c>
      <c r="H6" s="3" t="s">
        <v>54</v>
      </c>
      <c r="I6" s="3" t="s">
        <v>55</v>
      </c>
      <c r="J6" s="13">
        <v>0.88194444444444453</v>
      </c>
      <c r="K6" s="2">
        <v>0.87222222222222223</v>
      </c>
      <c r="L6" s="13">
        <v>0.71180555555555547</v>
      </c>
      <c r="M6" s="2">
        <v>0.7104166666666667</v>
      </c>
      <c r="N6" s="3" t="s">
        <v>183</v>
      </c>
      <c r="O6" s="3" t="s">
        <v>174</v>
      </c>
      <c r="P6" s="3">
        <v>594</v>
      </c>
      <c r="Q6" s="3">
        <v>565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34">
        <v>43906</v>
      </c>
      <c r="B7" s="3" t="s">
        <v>0</v>
      </c>
      <c r="C7" s="3" t="s">
        <v>176</v>
      </c>
      <c r="D7" s="3" t="s">
        <v>1</v>
      </c>
      <c r="E7" s="6" t="s">
        <v>168</v>
      </c>
      <c r="F7" s="3" t="s">
        <v>177</v>
      </c>
      <c r="G7" s="7">
        <v>71500</v>
      </c>
      <c r="H7" s="3" t="s">
        <v>178</v>
      </c>
      <c r="I7" s="3" t="s">
        <v>179</v>
      </c>
      <c r="J7" s="3" t="s">
        <v>178</v>
      </c>
      <c r="K7" s="3" t="s">
        <v>178</v>
      </c>
      <c r="L7" s="11">
        <v>0.90277777777777779</v>
      </c>
      <c r="M7" s="12">
        <v>0.91180555555555554</v>
      </c>
      <c r="N7" s="3" t="s">
        <v>178</v>
      </c>
      <c r="O7" s="3" t="s">
        <v>180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s="4" customFormat="1" ht="12.75" x14ac:dyDescent="0.2">
      <c r="A8" s="34">
        <v>43906</v>
      </c>
      <c r="B8" s="3" t="s">
        <v>0</v>
      </c>
      <c r="C8" s="3" t="s">
        <v>176</v>
      </c>
      <c r="D8" s="3" t="s">
        <v>1</v>
      </c>
      <c r="E8" s="6" t="s">
        <v>124</v>
      </c>
      <c r="F8" s="3" t="s">
        <v>177</v>
      </c>
      <c r="G8" s="7">
        <v>71500</v>
      </c>
      <c r="H8" s="3" t="s">
        <v>178</v>
      </c>
      <c r="I8" s="3" t="s">
        <v>181</v>
      </c>
      <c r="J8" s="3" t="s">
        <v>178</v>
      </c>
      <c r="K8" s="3" t="s">
        <v>178</v>
      </c>
      <c r="L8" s="11">
        <v>0.93402777777777779</v>
      </c>
      <c r="M8" s="12">
        <v>0.92708333333333337</v>
      </c>
      <c r="N8" s="3" t="s">
        <v>178</v>
      </c>
      <c r="O8" s="3" t="s">
        <v>180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E1" workbookViewId="0">
      <selection activeCell="E1" sqref="A1:XFD104857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D11" sqref="D11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bestFit="1" customWidth="1"/>
    <col min="4" max="4" width="5.710937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20"/>
      <c r="C2" s="20"/>
      <c r="D2" s="20"/>
      <c r="E2" s="20"/>
      <c r="F2" s="20"/>
      <c r="G2" s="21"/>
      <c r="H2" s="20"/>
      <c r="I2" s="20"/>
      <c r="J2" s="22"/>
      <c r="K2" s="23"/>
      <c r="L2" s="22"/>
      <c r="M2" s="23"/>
      <c r="N2" s="3"/>
      <c r="O2" s="24"/>
      <c r="P2" s="24"/>
      <c r="Q2" s="24"/>
      <c r="R2" s="20"/>
      <c r="S2" s="20"/>
      <c r="T2" s="20"/>
      <c r="U2" s="20"/>
    </row>
    <row r="3" spans="1:21" x14ac:dyDescent="0.25">
      <c r="A3" s="5"/>
      <c r="B3" s="20"/>
      <c r="C3" s="20"/>
      <c r="D3" s="20"/>
      <c r="E3" s="20"/>
      <c r="F3" s="20"/>
      <c r="G3" s="21"/>
      <c r="H3" s="20"/>
      <c r="I3" s="20"/>
      <c r="J3" s="22"/>
      <c r="K3" s="23"/>
      <c r="L3" s="22"/>
      <c r="M3" s="23"/>
      <c r="N3" s="3"/>
      <c r="O3" s="24"/>
      <c r="P3" s="20"/>
      <c r="Q3" s="24"/>
      <c r="R3" s="20"/>
      <c r="S3" s="20"/>
      <c r="T3" s="20"/>
      <c r="U3" s="20"/>
    </row>
    <row r="4" spans="1:21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style="30" bestFit="1" customWidth="1"/>
    <col min="2" max="2" width="9.140625" style="30" bestFit="1" customWidth="1"/>
    <col min="3" max="3" width="13.140625" style="30" bestFit="1" customWidth="1"/>
    <col min="4" max="4" width="5.7109375" style="30" bestFit="1" customWidth="1"/>
    <col min="5" max="5" width="7.140625" style="30" bestFit="1" customWidth="1"/>
    <col min="6" max="6" width="12.140625" style="30" bestFit="1" customWidth="1"/>
    <col min="7" max="7" width="9.140625" style="30"/>
    <col min="8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5">
      <c r="A2" s="5"/>
      <c r="B2" s="25"/>
      <c r="C2" s="25"/>
      <c r="D2" s="25"/>
      <c r="E2" s="25"/>
      <c r="F2" s="25"/>
      <c r="G2" s="26"/>
      <c r="H2" s="25"/>
      <c r="I2" s="25"/>
      <c r="J2" s="31"/>
      <c r="K2" s="32"/>
      <c r="L2" s="31"/>
      <c r="M2" s="32"/>
      <c r="N2" s="32"/>
      <c r="O2" s="32"/>
      <c r="P2" s="29"/>
      <c r="Q2" s="29"/>
      <c r="R2" s="25"/>
      <c r="S2" s="25"/>
      <c r="T2" s="25"/>
      <c r="U2" s="25"/>
    </row>
    <row r="3" spans="1:21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</row>
    <row r="4" spans="1:21" x14ac:dyDescent="0.25">
      <c r="A4" s="5"/>
      <c r="B4" s="25"/>
      <c r="C4" s="25"/>
      <c r="D4" s="25"/>
      <c r="E4" s="25"/>
      <c r="F4" s="25"/>
      <c r="G4" s="26"/>
      <c r="H4" s="25"/>
      <c r="I4" s="25"/>
      <c r="J4" s="31"/>
      <c r="K4" s="32"/>
      <c r="L4" s="31"/>
      <c r="M4" s="32"/>
      <c r="N4" s="32"/>
      <c r="O4" s="32"/>
      <c r="P4" s="29"/>
      <c r="Q4" s="29"/>
      <c r="R4" s="25"/>
      <c r="S4" s="25"/>
      <c r="T4" s="25"/>
      <c r="U4" s="25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C1" workbookViewId="0">
      <selection activeCell="C1" sqref="A1:XFD1048576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2" max="2" width="23.140625" bestFit="1" customWidth="1"/>
    <col min="3" max="3" width="12.140625" bestFit="1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3"/>
      <c r="O1" s="1"/>
      <c r="P1" s="1"/>
      <c r="Q1" s="1"/>
      <c r="R1" s="1"/>
      <c r="S1" s="1"/>
      <c r="T1" s="1"/>
      <c r="U1" s="1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4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9"/>
      <c r="L6" s="13"/>
      <c r="M6" s="9"/>
      <c r="N6" s="3"/>
      <c r="O6" s="3"/>
      <c r="P6" s="3"/>
      <c r="Q6" s="3"/>
      <c r="R6" s="3"/>
      <c r="S6" s="3"/>
      <c r="T6" s="3"/>
      <c r="U6" s="3"/>
    </row>
    <row r="7" spans="1:21" s="37" customFormat="1" ht="12.75" x14ac:dyDescent="0.2">
      <c r="A7" s="34"/>
      <c r="B7" s="4"/>
      <c r="C7" s="4"/>
      <c r="D7" s="4"/>
      <c r="E7" s="4"/>
      <c r="F7" s="4"/>
      <c r="G7" s="35"/>
      <c r="H7" s="4"/>
      <c r="I7" s="4"/>
      <c r="J7" s="11"/>
      <c r="K7" s="12"/>
      <c r="L7" s="11"/>
      <c r="M7" s="12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C1" sqref="A1:XFD104857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B1" sqref="A1:XFD1048576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bestFit="1" customWidth="1"/>
    <col min="4" max="4" width="5.710937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20"/>
      <c r="C2" s="20"/>
      <c r="D2" s="20"/>
      <c r="E2" s="20"/>
      <c r="F2" s="20"/>
      <c r="G2" s="21"/>
      <c r="H2" s="20"/>
      <c r="I2" s="20"/>
      <c r="J2" s="22"/>
      <c r="K2" s="23"/>
      <c r="L2" s="22"/>
      <c r="M2" s="23"/>
      <c r="N2" s="3"/>
      <c r="O2" s="24"/>
      <c r="P2" s="24"/>
      <c r="Q2" s="24"/>
      <c r="R2" s="20"/>
      <c r="S2" s="20"/>
      <c r="T2" s="20"/>
      <c r="U2" s="20"/>
    </row>
    <row r="3" spans="1:21" x14ac:dyDescent="0.25">
      <c r="A3" s="5"/>
      <c r="B3" s="20"/>
      <c r="C3" s="20"/>
      <c r="D3" s="20"/>
      <c r="E3" s="20"/>
      <c r="F3" s="20"/>
      <c r="G3" s="21"/>
      <c r="H3" s="20"/>
      <c r="I3" s="20"/>
      <c r="J3" s="22"/>
      <c r="K3" s="23"/>
      <c r="L3" s="22"/>
      <c r="M3" s="23"/>
      <c r="N3" s="3"/>
      <c r="O3" s="24"/>
      <c r="P3" s="20"/>
      <c r="Q3" s="24"/>
      <c r="R3" s="20"/>
      <c r="S3" s="20"/>
      <c r="T3" s="20"/>
      <c r="U3" s="20"/>
    </row>
    <row r="4" spans="1:21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D1" workbookViewId="0">
      <selection activeCell="D1" sqref="A1:XFD1048576"/>
    </sheetView>
  </sheetViews>
  <sheetFormatPr defaultRowHeight="15" x14ac:dyDescent="0.25"/>
  <cols>
    <col min="1" max="1" width="7.85546875" style="30" bestFit="1" customWidth="1"/>
    <col min="2" max="2" width="9.140625" style="30" bestFit="1" customWidth="1"/>
    <col min="3" max="3" width="13.140625" style="30" bestFit="1" customWidth="1"/>
    <col min="4" max="4" width="5.7109375" style="30" bestFit="1" customWidth="1"/>
    <col min="5" max="5" width="7.140625" style="30" bestFit="1" customWidth="1"/>
    <col min="6" max="6" width="12.140625" style="30" bestFit="1" customWidth="1"/>
    <col min="7" max="7" width="9.140625" style="30"/>
    <col min="8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5">
      <c r="A2" s="5"/>
      <c r="B2" s="25"/>
      <c r="C2" s="25"/>
      <c r="D2" s="25"/>
      <c r="E2" s="25"/>
      <c r="F2" s="25"/>
      <c r="G2" s="26"/>
      <c r="H2" s="25"/>
      <c r="I2" s="25"/>
      <c r="J2" s="31"/>
      <c r="K2" s="32"/>
      <c r="L2" s="31"/>
      <c r="M2" s="32"/>
      <c r="N2" s="32"/>
      <c r="O2" s="32"/>
      <c r="P2" s="29"/>
      <c r="Q2" s="29"/>
      <c r="R2" s="25"/>
      <c r="S2" s="25"/>
      <c r="T2" s="25"/>
      <c r="U2" s="25"/>
    </row>
    <row r="3" spans="1:21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sqref="A1:XFD1048576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workbookViewId="0">
      <selection activeCell="M3" sqref="M3"/>
    </sheetView>
  </sheetViews>
  <sheetFormatPr defaultRowHeight="15" x14ac:dyDescent="0.25"/>
  <cols>
    <col min="2" max="2" width="21.85546875" bestFit="1" customWidth="1"/>
    <col min="3" max="3" width="14.85546875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s="40" customFormat="1" ht="12.75" x14ac:dyDescent="0.2">
      <c r="A1" s="39" t="s">
        <v>3</v>
      </c>
      <c r="B1" s="39" t="s">
        <v>4</v>
      </c>
      <c r="C1" s="39" t="s">
        <v>5</v>
      </c>
      <c r="D1" s="39" t="s">
        <v>6</v>
      </c>
      <c r="E1" s="39" t="s">
        <v>7</v>
      </c>
      <c r="F1" s="39" t="s">
        <v>8</v>
      </c>
      <c r="G1" s="39" t="s">
        <v>9</v>
      </c>
      <c r="H1" s="39" t="s">
        <v>10</v>
      </c>
      <c r="I1" s="39" t="s">
        <v>11</v>
      </c>
      <c r="J1" s="39" t="s">
        <v>12</v>
      </c>
      <c r="K1" s="39" t="s">
        <v>13</v>
      </c>
      <c r="L1" s="39" t="s">
        <v>14</v>
      </c>
      <c r="M1" s="39" t="s">
        <v>15</v>
      </c>
      <c r="N1" s="39" t="s">
        <v>16</v>
      </c>
      <c r="O1" s="39" t="s">
        <v>17</v>
      </c>
      <c r="P1" s="39" t="s">
        <v>18</v>
      </c>
      <c r="Q1" s="39" t="s">
        <v>19</v>
      </c>
      <c r="R1" s="39" t="s">
        <v>20</v>
      </c>
      <c r="S1" s="39" t="s">
        <v>21</v>
      </c>
      <c r="T1" s="39" t="s">
        <v>22</v>
      </c>
      <c r="U1" s="39" t="s">
        <v>23</v>
      </c>
    </row>
    <row r="2" spans="1:21" s="40" customFormat="1" ht="12.75" x14ac:dyDescent="0.2">
      <c r="A2" s="41">
        <v>43919</v>
      </c>
      <c r="B2" s="42" t="s">
        <v>184</v>
      </c>
      <c r="C2" s="42" t="s">
        <v>185</v>
      </c>
      <c r="D2" s="42" t="s">
        <v>186</v>
      </c>
      <c r="E2" s="42" t="s">
        <v>187</v>
      </c>
      <c r="F2" s="42" t="s">
        <v>188</v>
      </c>
      <c r="G2" s="43">
        <v>21683</v>
      </c>
      <c r="H2" s="42" t="s">
        <v>189</v>
      </c>
      <c r="I2" s="42" t="s">
        <v>190</v>
      </c>
      <c r="J2" s="44">
        <v>0.47569444444444442</v>
      </c>
      <c r="K2" s="45">
        <v>0.47222222222222227</v>
      </c>
      <c r="L2" s="44">
        <v>0.52083333333333337</v>
      </c>
      <c r="M2" s="46">
        <v>0.5</v>
      </c>
      <c r="N2" s="38" t="s">
        <v>191</v>
      </c>
      <c r="O2" s="47" t="s">
        <v>192</v>
      </c>
      <c r="P2" s="47">
        <v>0</v>
      </c>
      <c r="Q2" s="47">
        <v>0</v>
      </c>
      <c r="R2" s="42">
        <v>0</v>
      </c>
      <c r="S2" s="42">
        <v>0</v>
      </c>
      <c r="T2" s="42">
        <v>0</v>
      </c>
      <c r="U2" s="42">
        <v>0</v>
      </c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10"/>
      <c r="Q3" s="10"/>
      <c r="R3" s="6"/>
      <c r="S3" s="6"/>
      <c r="T3" s="6"/>
      <c r="U3" s="6"/>
    </row>
    <row r="4" spans="1:21" x14ac:dyDescent="0.25">
      <c r="A4" s="5"/>
      <c r="B4" s="6"/>
      <c r="C4" s="6"/>
      <c r="D4" s="6"/>
      <c r="E4" s="6"/>
      <c r="F4" s="6"/>
      <c r="G4" s="7"/>
      <c r="H4" s="6"/>
      <c r="I4" s="6"/>
      <c r="J4" s="8"/>
      <c r="K4" s="9"/>
      <c r="L4" s="8"/>
      <c r="M4" s="9"/>
      <c r="N4" s="3"/>
      <c r="O4" s="10"/>
      <c r="P4" s="4"/>
      <c r="Q4" s="10"/>
      <c r="R4" s="6"/>
      <c r="S4" s="6"/>
      <c r="T4" s="6"/>
      <c r="U4" s="6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2"/>
      <c r="L5" s="11"/>
      <c r="M5" s="12"/>
      <c r="N5" s="3"/>
      <c r="O5" s="4"/>
      <c r="P5" s="6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10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6"/>
      <c r="I7" s="6"/>
      <c r="J7" s="11"/>
      <c r="K7" s="12"/>
      <c r="L7" s="11"/>
      <c r="M7" s="12"/>
      <c r="N7" s="3"/>
      <c r="O7" s="3"/>
      <c r="P7" s="3"/>
      <c r="Q7" s="3"/>
      <c r="R7" s="3"/>
      <c r="S7" s="3"/>
      <c r="T7" s="3"/>
      <c r="U7" s="3"/>
    </row>
    <row r="8" spans="1:21" x14ac:dyDescent="0.25">
      <c r="A8" s="5"/>
      <c r="B8" s="3"/>
      <c r="C8" s="3"/>
      <c r="D8" s="3"/>
      <c r="E8" s="6"/>
      <c r="F8" s="3"/>
      <c r="G8" s="7"/>
      <c r="H8" s="6"/>
      <c r="I8" s="6"/>
      <c r="J8" s="11"/>
      <c r="K8" s="12"/>
      <c r="L8" s="11"/>
      <c r="M8" s="12"/>
      <c r="N8" s="3"/>
      <c r="O8" s="3"/>
      <c r="P8" s="3"/>
      <c r="Q8" s="3"/>
      <c r="R8" s="3"/>
      <c r="S8" s="3"/>
      <c r="T8" s="3"/>
      <c r="U8" s="3"/>
    </row>
    <row r="9" spans="1:21" x14ac:dyDescent="0.25">
      <c r="K9" s="54"/>
      <c r="M9" s="5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2020-03-29T11:33:15Z</dcterms:modified>
</cp:coreProperties>
</file>