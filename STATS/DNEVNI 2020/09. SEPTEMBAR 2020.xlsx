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255" windowWidth="18195" windowHeight="11640" firstSheet="10" activeTab="29"/>
  </bookViews>
  <sheets>
    <sheet name="1" sheetId="1" r:id="rId1"/>
    <sheet name="2" sheetId="4" r:id="rId2"/>
    <sheet name="3" sheetId="5" r:id="rId3"/>
    <sheet name="4" sheetId="6" r:id="rId4"/>
    <sheet name="5" sheetId="7" r:id="rId5"/>
    <sheet name="6" sheetId="8" r:id="rId6"/>
    <sheet name="7" sheetId="9" r:id="rId7"/>
    <sheet name="8" sheetId="10" r:id="rId8"/>
    <sheet name="9" sheetId="11" r:id="rId9"/>
    <sheet name="10" sheetId="12" r:id="rId10"/>
    <sheet name="11" sheetId="13" r:id="rId11"/>
    <sheet name="12" sheetId="14" r:id="rId12"/>
    <sheet name="13" sheetId="15" r:id="rId13"/>
    <sheet name="14" sheetId="16" r:id="rId14"/>
    <sheet name="15" sheetId="17" r:id="rId15"/>
    <sheet name="16" sheetId="18" r:id="rId16"/>
    <sheet name="17" sheetId="19" r:id="rId17"/>
    <sheet name="18" sheetId="20" r:id="rId18"/>
    <sheet name="19" sheetId="21" r:id="rId19"/>
    <sheet name="20" sheetId="22" r:id="rId20"/>
    <sheet name="21" sheetId="23" r:id="rId21"/>
    <sheet name="22" sheetId="24" r:id="rId22"/>
    <sheet name="23" sheetId="25" r:id="rId23"/>
    <sheet name="24" sheetId="26" r:id="rId24"/>
    <sheet name="25" sheetId="28" r:id="rId25"/>
    <sheet name="26" sheetId="29" r:id="rId26"/>
    <sheet name="27" sheetId="30" r:id="rId27"/>
    <sheet name="28" sheetId="31" r:id="rId28"/>
    <sheet name="29" sheetId="32" r:id="rId29"/>
    <sheet name="30" sheetId="33" r:id="rId30"/>
  </sheets>
  <calcPr calcId="145621"/>
</workbook>
</file>

<file path=xl/calcChain.xml><?xml version="1.0" encoding="utf-8"?>
<calcChain xmlns="http://schemas.openxmlformats.org/spreadsheetml/2006/main">
  <c r="A3" i="32" l="1"/>
  <c r="G3" i="32"/>
  <c r="M4" i="29" l="1"/>
  <c r="G3" i="24" l="1"/>
  <c r="A3" i="24"/>
  <c r="A7" i="22" l="1"/>
  <c r="A3" i="22" l="1"/>
  <c r="A4" i="22" s="1"/>
  <c r="A5" i="22" s="1"/>
  <c r="A6" i="22" s="1"/>
  <c r="H8" i="21" l="1"/>
  <c r="A8" i="21"/>
  <c r="M2" i="21" l="1"/>
  <c r="A5" i="20" l="1"/>
  <c r="M4" i="19" l="1"/>
  <c r="I4" i="19" l="1"/>
  <c r="A4" i="19"/>
  <c r="E6" i="15" l="1"/>
  <c r="E5" i="15"/>
  <c r="E4" i="15"/>
  <c r="A3" i="15"/>
  <c r="A4" i="15" s="1"/>
  <c r="A5" i="15" s="1"/>
  <c r="A6" i="15" s="1"/>
  <c r="A3" i="14" l="1"/>
  <c r="A4" i="14" s="1"/>
  <c r="A5" i="14" s="1"/>
  <c r="A6" i="14" s="1"/>
  <c r="A3" i="13" l="1"/>
  <c r="A4" i="13" s="1"/>
  <c r="A7" i="10" l="1"/>
  <c r="A3" i="10" l="1"/>
  <c r="A4" i="10" s="1"/>
  <c r="A5" i="10" s="1"/>
  <c r="A6" i="10" s="1"/>
  <c r="E5" i="8" l="1"/>
  <c r="E6" i="8"/>
  <c r="E4" i="8"/>
  <c r="A4" i="8"/>
  <c r="A5" i="8" s="1"/>
  <c r="A6" i="8" s="1"/>
  <c r="A3" i="8"/>
  <c r="G4" i="8"/>
  <c r="K3" i="7" l="1"/>
  <c r="M2" i="7" l="1"/>
  <c r="G6" i="7" l="1"/>
  <c r="G5" i="7"/>
  <c r="E6" i="7"/>
  <c r="E5" i="7"/>
  <c r="E4" i="7"/>
  <c r="A3" i="7"/>
  <c r="A4" i="7" s="1"/>
  <c r="A5" i="7" s="1"/>
  <c r="A6" i="7" s="1"/>
  <c r="A6" i="6" l="1"/>
  <c r="A4" i="6" l="1"/>
  <c r="A3" i="6"/>
  <c r="A5" i="6" s="1"/>
  <c r="M5" i="4" l="1"/>
  <c r="G5" i="1" l="1"/>
  <c r="G6" i="1" s="1"/>
  <c r="E6" i="1"/>
  <c r="A3" i="1"/>
  <c r="A4" i="1" s="1"/>
  <c r="A5" i="1" s="1"/>
  <c r="A6" i="1" s="1"/>
</calcChain>
</file>

<file path=xl/sharedStrings.xml><?xml version="1.0" encoding="utf-8"?>
<sst xmlns="http://schemas.openxmlformats.org/spreadsheetml/2006/main" count="1540" uniqueCount="302">
  <si>
    <t>datum</t>
  </si>
  <si>
    <t>kompanija</t>
  </si>
  <si>
    <t>ruta</t>
  </si>
  <si>
    <t>tip a/c</t>
  </si>
  <si>
    <t>reg</t>
  </si>
  <si>
    <t>tip OPER.</t>
  </si>
  <si>
    <t>MTOW(kg)</t>
  </si>
  <si>
    <t>br leta u dol</t>
  </si>
  <si>
    <t>br leta u odl</t>
  </si>
  <si>
    <t>pl vrijeme dol</t>
  </si>
  <si>
    <t>st vrijeme dol</t>
  </si>
  <si>
    <t>pl vrijeme odl</t>
  </si>
  <si>
    <t>st vrijeme odl</t>
  </si>
  <si>
    <t>br putnika DOLAZAK</t>
  </si>
  <si>
    <t>br putnika ODLAZAK</t>
  </si>
  <si>
    <t>prtljag D(kg)</t>
  </si>
  <si>
    <t>prtljag O(kg)</t>
  </si>
  <si>
    <t>cargo D(kg)</t>
  </si>
  <si>
    <t>cargo O(kg)</t>
  </si>
  <si>
    <t>pošta D(kg)</t>
  </si>
  <si>
    <t>pošta O(kg)</t>
  </si>
  <si>
    <t>WIZZAIR</t>
  </si>
  <si>
    <t>TZL-SXF-TZL</t>
  </si>
  <si>
    <t>A320</t>
  </si>
  <si>
    <t>SCHEDULED</t>
  </si>
  <si>
    <t>W68276</t>
  </si>
  <si>
    <t>W64275</t>
  </si>
  <si>
    <t>FREEBIRD</t>
  </si>
  <si>
    <t>AYT-TZL-AYT</t>
  </si>
  <si>
    <t>NONSCH/CHARTER</t>
  </si>
  <si>
    <t>FHY821</t>
  </si>
  <si>
    <t>FHY822</t>
  </si>
  <si>
    <t>TZL-EIN-TZL</t>
  </si>
  <si>
    <t>HALPR</t>
  </si>
  <si>
    <t>W64290</t>
  </si>
  <si>
    <t>W64289</t>
  </si>
  <si>
    <t>TZL-FKB-TZL</t>
  </si>
  <si>
    <t>W64618</t>
  </si>
  <si>
    <t>W64617</t>
  </si>
  <si>
    <t>TZL-HHN-TZL</t>
  </si>
  <si>
    <t>W64284</t>
  </si>
  <si>
    <t>W64283</t>
  </si>
  <si>
    <t>HALPM</t>
  </si>
  <si>
    <t>99+2 INF</t>
  </si>
  <si>
    <t>107+5 INF</t>
  </si>
  <si>
    <t>135+4 INF</t>
  </si>
  <si>
    <t>74+1 INF</t>
  </si>
  <si>
    <t>75+1 INF</t>
  </si>
  <si>
    <t>TCFHC</t>
  </si>
  <si>
    <t>85+3 INF</t>
  </si>
  <si>
    <t>79+4 INF</t>
  </si>
  <si>
    <t>72+2 INF</t>
  </si>
  <si>
    <t>TZL-MMX-TZL</t>
  </si>
  <si>
    <t>W64292</t>
  </si>
  <si>
    <t>W64291</t>
  </si>
  <si>
    <t>TZL-DTM-TZL</t>
  </si>
  <si>
    <t>W64298</t>
  </si>
  <si>
    <t>W64297</t>
  </si>
  <si>
    <t>TZL-GOT-TZL</t>
  </si>
  <si>
    <t>W64296</t>
  </si>
  <si>
    <t>W64295</t>
  </si>
  <si>
    <t>TZL-NYO-TZL</t>
  </si>
  <si>
    <t>W64282</t>
  </si>
  <si>
    <t>W64281</t>
  </si>
  <si>
    <t>TZL-CGN-TZL</t>
  </si>
  <si>
    <t>W64300</t>
  </si>
  <si>
    <t>W64299</t>
  </si>
  <si>
    <t>HALWC</t>
  </si>
  <si>
    <t>71+2 INF</t>
  </si>
  <si>
    <t>104+2 INF</t>
  </si>
  <si>
    <t>42+0 INF</t>
  </si>
  <si>
    <t>62+0 INF</t>
  </si>
  <si>
    <t>116+2 INF</t>
  </si>
  <si>
    <t>92+0 INF</t>
  </si>
  <si>
    <t>102+2 INF</t>
  </si>
  <si>
    <t>100+3 INF</t>
  </si>
  <si>
    <t>70+2 INF</t>
  </si>
  <si>
    <t>63+1 INF</t>
  </si>
  <si>
    <t>W68290</t>
  </si>
  <si>
    <t>W64279</t>
  </si>
  <si>
    <t>W64280</t>
  </si>
  <si>
    <t>TZL-FMM-TZL</t>
  </si>
  <si>
    <t>TZL-MLH-TZL</t>
  </si>
  <si>
    <t>W64293</t>
  </si>
  <si>
    <t>W64294</t>
  </si>
  <si>
    <t>USFC KREMS</t>
  </si>
  <si>
    <t>LOAG-TZL-LOAG</t>
  </si>
  <si>
    <t>PA28</t>
  </si>
  <si>
    <t>OEKBW</t>
  </si>
  <si>
    <t>GEN. AVI</t>
  </si>
  <si>
    <t>-</t>
  </si>
  <si>
    <t>121+4 INF</t>
  </si>
  <si>
    <t>65+0 NIF</t>
  </si>
  <si>
    <t>55+1 INF</t>
  </si>
  <si>
    <t>43+1 INF</t>
  </si>
  <si>
    <t>42+3 INF</t>
  </si>
  <si>
    <t>TZL-FDH-TZL</t>
  </si>
  <si>
    <t>W64616</t>
  </si>
  <si>
    <t>W64615</t>
  </si>
  <si>
    <t>TZL-VXO-TZL</t>
  </si>
  <si>
    <t>W64612</t>
  </si>
  <si>
    <t>W64611</t>
  </si>
  <si>
    <t>89+1 INF</t>
  </si>
  <si>
    <t>164+4 INF</t>
  </si>
  <si>
    <t>65+2 INF</t>
  </si>
  <si>
    <t>96+1 INF</t>
  </si>
  <si>
    <t>90+0 INF</t>
  </si>
  <si>
    <t>62+1 INF</t>
  </si>
  <si>
    <t>94+6 INF</t>
  </si>
  <si>
    <t>30+0 INF</t>
  </si>
  <si>
    <t>TCFHM</t>
  </si>
  <si>
    <t>94+2 INF</t>
  </si>
  <si>
    <t>117+1 INF</t>
  </si>
  <si>
    <t>138+7 INF</t>
  </si>
  <si>
    <t>105+5 INF</t>
  </si>
  <si>
    <t>110+4 INF</t>
  </si>
  <si>
    <t>104+6 INF</t>
  </si>
  <si>
    <t>137+4 INF</t>
  </si>
  <si>
    <t>99+1 INF</t>
  </si>
  <si>
    <t>60+1 INF</t>
  </si>
  <si>
    <t>113+4 INF</t>
  </si>
  <si>
    <t>W642300</t>
  </si>
  <si>
    <t>121+6INF</t>
  </si>
  <si>
    <t>101+1INF</t>
  </si>
  <si>
    <t>129+1INF</t>
  </si>
  <si>
    <t>141+1INF</t>
  </si>
  <si>
    <t>113+3 INF</t>
  </si>
  <si>
    <t>73+2 INF</t>
  </si>
  <si>
    <t>69+2 INF</t>
  </si>
  <si>
    <t>106+0 INF</t>
  </si>
  <si>
    <t>69+1 INF</t>
  </si>
  <si>
    <t>49+0 INF</t>
  </si>
  <si>
    <t>102+1 INF</t>
  </si>
  <si>
    <t>87+0 INF</t>
  </si>
  <si>
    <t>67+0INF</t>
  </si>
  <si>
    <t>27+0INF</t>
  </si>
  <si>
    <t>HELIMASTER</t>
  </si>
  <si>
    <t>BEG-TZL-TREBINJE</t>
  </si>
  <si>
    <t>R44</t>
  </si>
  <si>
    <t>YU-HTB</t>
  </si>
  <si>
    <t>NONSCHEDULED</t>
  </si>
  <si>
    <t>CREW</t>
  </si>
  <si>
    <t>TCFBO</t>
  </si>
  <si>
    <t>80+0 INF</t>
  </si>
  <si>
    <t>10+0 INF</t>
  </si>
  <si>
    <t>53+1 INF</t>
  </si>
  <si>
    <t>178+6 INF</t>
  </si>
  <si>
    <t>SILA 750</t>
  </si>
  <si>
    <t>YU-DSW</t>
  </si>
  <si>
    <t>ROP</t>
  </si>
  <si>
    <t>GEN AVI</t>
  </si>
  <si>
    <t>35+0 INF</t>
  </si>
  <si>
    <t>70+4 INF</t>
  </si>
  <si>
    <t>87+5 INF</t>
  </si>
  <si>
    <t>18+0 INF</t>
  </si>
  <si>
    <t>BEG-TZL</t>
  </si>
  <si>
    <t>61+3 INF</t>
  </si>
  <si>
    <t>88+0INF</t>
  </si>
  <si>
    <t>87+1INF</t>
  </si>
  <si>
    <t>123+3INF</t>
  </si>
  <si>
    <t>80+3INF</t>
  </si>
  <si>
    <t>92+2 INF</t>
  </si>
  <si>
    <t>82+0 INF</t>
  </si>
  <si>
    <t>66+0 INF</t>
  </si>
  <si>
    <t>112+3INF</t>
  </si>
  <si>
    <t>82+6INF</t>
  </si>
  <si>
    <t>62+4INF</t>
  </si>
  <si>
    <t>58+3INF</t>
  </si>
  <si>
    <t>111+2 INF</t>
  </si>
  <si>
    <t>104+3INF</t>
  </si>
  <si>
    <t>76+0INF</t>
  </si>
  <si>
    <t>84+0INF</t>
  </si>
  <si>
    <t>89+1INF</t>
  </si>
  <si>
    <t>115+4 INF</t>
  </si>
  <si>
    <t>116+6 INF</t>
  </si>
  <si>
    <t>114+2 INF</t>
  </si>
  <si>
    <t>114+3 INF</t>
  </si>
  <si>
    <t>129+2 INF</t>
  </si>
  <si>
    <t>109+4 INF</t>
  </si>
  <si>
    <t>71+1 INF</t>
  </si>
  <si>
    <t>121+8 INF</t>
  </si>
  <si>
    <t>97+4 INF</t>
  </si>
  <si>
    <t>113+1INF</t>
  </si>
  <si>
    <t>128+2INF</t>
  </si>
  <si>
    <t>141+0INF</t>
  </si>
  <si>
    <t>127+3INF</t>
  </si>
  <si>
    <t>133+8 INF</t>
  </si>
  <si>
    <t>74+2 INF</t>
  </si>
  <si>
    <t>121+2 INF</t>
  </si>
  <si>
    <t>94+1 INF</t>
  </si>
  <si>
    <t>119+1 INF</t>
  </si>
  <si>
    <t>81+2 INF</t>
  </si>
  <si>
    <t>TIA-TZL-BTS</t>
  </si>
  <si>
    <t>AS350B3</t>
  </si>
  <si>
    <t>D-HAIO</t>
  </si>
  <si>
    <t>AEROHELI</t>
  </si>
  <si>
    <t>W64276</t>
  </si>
  <si>
    <t>97+1 INF</t>
  </si>
  <si>
    <t>81+1 INF</t>
  </si>
  <si>
    <t>83+2INF</t>
  </si>
  <si>
    <t>134+3 INF</t>
  </si>
  <si>
    <t>99+4 INF</t>
  </si>
  <si>
    <t>110+3INF</t>
  </si>
  <si>
    <t>98+2INF</t>
  </si>
  <si>
    <t>50+1 INF</t>
  </si>
  <si>
    <t>PINK SPARROW GmbH</t>
  </si>
  <si>
    <t>LNZ-TZL-LNZ</t>
  </si>
  <si>
    <t>C25A</t>
  </si>
  <si>
    <t>OE-FSP</t>
  </si>
  <si>
    <t>NON-SCH/GA PRIVATE</t>
  </si>
  <si>
    <t>SOW4</t>
  </si>
  <si>
    <t>1+0 INF</t>
  </si>
  <si>
    <t>67+0 INF</t>
  </si>
  <si>
    <t>HALWC/HALWG</t>
  </si>
  <si>
    <t>HALWG</t>
  </si>
  <si>
    <t>90+1INF</t>
  </si>
  <si>
    <t>105+2INF</t>
  </si>
  <si>
    <t>136+1INF</t>
  </si>
  <si>
    <t>108+1INF</t>
  </si>
  <si>
    <t>141+5INF</t>
  </si>
  <si>
    <t>47+0INF</t>
  </si>
  <si>
    <t>138+3INF</t>
  </si>
  <si>
    <t>BUD-TZL-BUD</t>
  </si>
  <si>
    <t>HALPZ</t>
  </si>
  <si>
    <t>TECH. FLIGHT</t>
  </si>
  <si>
    <t>W6801</t>
  </si>
  <si>
    <t>127+9 INF</t>
  </si>
  <si>
    <t>107+3 INF</t>
  </si>
  <si>
    <t>126+5 INF</t>
  </si>
  <si>
    <t>W6802</t>
  </si>
  <si>
    <t>DIGA JET</t>
  </si>
  <si>
    <t>CGN-TZL</t>
  </si>
  <si>
    <t>C525</t>
  </si>
  <si>
    <t>D-IEGA</t>
  </si>
  <si>
    <t>GA PRIVATE</t>
  </si>
  <si>
    <t>103+2 INF</t>
  </si>
  <si>
    <t>138+6 INF</t>
  </si>
  <si>
    <t>JET STREAM</t>
  </si>
  <si>
    <t>C650</t>
  </si>
  <si>
    <t>HA-JEV</t>
  </si>
  <si>
    <t>JSH654</t>
  </si>
  <si>
    <t>JSH655</t>
  </si>
  <si>
    <t>130+2 INF</t>
  </si>
  <si>
    <t>47+0 INF</t>
  </si>
  <si>
    <t>126+6 INF</t>
  </si>
  <si>
    <t>101+4 INF</t>
  </si>
  <si>
    <t>HALYG</t>
  </si>
  <si>
    <t>139+1 INF</t>
  </si>
  <si>
    <t>132+7 INF</t>
  </si>
  <si>
    <t>129+3 INF</t>
  </si>
  <si>
    <t>97+2 INF</t>
  </si>
  <si>
    <t>149+3 INF</t>
  </si>
  <si>
    <t>TZL-CGN</t>
  </si>
  <si>
    <t>DIEGA</t>
  </si>
  <si>
    <t>C525A</t>
  </si>
  <si>
    <t>105+3 INF</t>
  </si>
  <si>
    <t>66+2 INF</t>
  </si>
  <si>
    <t>INT.NON-SCHEDULED/GP</t>
  </si>
  <si>
    <t>124+2INF</t>
  </si>
  <si>
    <t>104+1INF</t>
  </si>
  <si>
    <t>93+1 INF</t>
  </si>
  <si>
    <t>75+0 INF</t>
  </si>
  <si>
    <t>81+1INF</t>
  </si>
  <si>
    <t>100+2INF</t>
  </si>
  <si>
    <t>133+4 INF</t>
  </si>
  <si>
    <t>88+1 INF</t>
  </si>
  <si>
    <t>121+1INF</t>
  </si>
  <si>
    <t>98+0INF</t>
  </si>
  <si>
    <t>118+1INF</t>
  </si>
  <si>
    <t>123+2INF</t>
  </si>
  <si>
    <t>101+0 INF</t>
  </si>
  <si>
    <t>W642884</t>
  </si>
  <si>
    <t>90+2 INF</t>
  </si>
  <si>
    <t>109+2 INF</t>
  </si>
  <si>
    <t>160+4 INF</t>
  </si>
  <si>
    <t>137+2 INF</t>
  </si>
  <si>
    <t>121+3 INF</t>
  </si>
  <si>
    <t>129+2INF</t>
  </si>
  <si>
    <t>122+5INF</t>
  </si>
  <si>
    <t>115+2 INF</t>
  </si>
  <si>
    <t>128+5 INF</t>
  </si>
  <si>
    <t>135+3 INF</t>
  </si>
  <si>
    <t>HALWJ</t>
  </si>
  <si>
    <t>SKP-TZL</t>
  </si>
  <si>
    <t>128+2 INF</t>
  </si>
  <si>
    <t>FERRY IN</t>
  </si>
  <si>
    <t>125+1 INF</t>
  </si>
  <si>
    <t>119+4 INF</t>
  </si>
  <si>
    <t>155+5 INF</t>
  </si>
  <si>
    <t>83+7 INF</t>
  </si>
  <si>
    <t>67+3 INF</t>
  </si>
  <si>
    <t>109+1 INF</t>
  </si>
  <si>
    <t>125+3 INF</t>
  </si>
  <si>
    <t>48+0 INF</t>
  </si>
  <si>
    <t>TZL-BUD</t>
  </si>
  <si>
    <t>FERRY OUT</t>
  </si>
  <si>
    <t>A321</t>
  </si>
  <si>
    <t>99+1INF</t>
  </si>
  <si>
    <t>115+0INF</t>
  </si>
  <si>
    <t>127+5 INF</t>
  </si>
  <si>
    <t>85+5 INF</t>
  </si>
  <si>
    <t>134+1INF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</si>
</sst>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2" x14ac:knownFonts="1">
    <font>
      <sz val="11"/>
      <color theme="1"/>
      <name val="Calibri"/>
      <family val="2"/>
      <charset val="238"/>
      <scheme val="minor"/>
    </font>
    <font>
      <sz val="10"/>
      <name val="Arial"/>
      <family val="2"/>
      <charset val="238"/>
    </font>
    <font>
      <sz val="10"/>
      <name val="Garamond"/>
      <family val="1"/>
      <charset val="238"/>
    </font>
    <font>
      <sz val="11"/>
      <color theme="1"/>
      <name val="Calibri"/>
      <family val="2"/>
      <scheme val="minor"/>
    </font>
    <font>
      <b/>
      <sz val="10"/>
      <name val="Garamond"/>
      <family val="1"/>
      <charset val="238"/>
    </font>
    <font>
      <sz val="10"/>
      <color theme="1"/>
      <name val="Garamond"/>
      <family val="1"/>
      <charset val="238"/>
    </font>
    <font>
      <b/>
      <sz val="10"/>
      <color theme="1"/>
      <name val="Garamond"/>
      <family val="1"/>
      <charset val="238"/>
    </font>
    <font>
      <sz val="11"/>
      <color theme="1"/>
      <name val="Calibri"/>
      <family val="2"/>
      <charset val="238"/>
      <scheme val="minor"/>
    </font>
    <font>
      <sz val="11"/>
      <color theme="1"/>
      <name val="Garamond"/>
      <family val="1"/>
      <charset val="238"/>
    </font>
    <font>
      <sz val="10"/>
      <name val="Calibri"/>
      <family val="2"/>
      <charset val="238"/>
      <scheme val="minor"/>
    </font>
    <font>
      <b/>
      <sz val="11"/>
      <color theme="1"/>
      <name val="Garamond"/>
      <family val="1"/>
      <charset val="238"/>
    </font>
    <font>
      <sz val="10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0">
    <xf numFmtId="0" fontId="0" fillId="0" borderId="0"/>
    <xf numFmtId="0" fontId="1" fillId="0" borderId="0"/>
    <xf numFmtId="0" fontId="3" fillId="0" borderId="0"/>
    <xf numFmtId="0" fontId="1" fillId="0" borderId="0"/>
    <xf numFmtId="0" fontId="1" fillId="0" borderId="0"/>
    <xf numFmtId="0" fontId="7" fillId="0" borderId="0"/>
    <xf numFmtId="0" fontId="1" fillId="0" borderId="0"/>
    <xf numFmtId="0" fontId="1" fillId="0" borderId="0"/>
    <xf numFmtId="0" fontId="7" fillId="0" borderId="0"/>
    <xf numFmtId="0" fontId="7" fillId="0" borderId="0"/>
  </cellStyleXfs>
  <cellXfs count="113">
    <xf numFmtId="0" fontId="0" fillId="0" borderId="0" xfId="0"/>
    <xf numFmtId="0" fontId="2" fillId="0" borderId="0" xfId="1" applyFont="1" applyFill="1" applyAlignment="1">
      <alignment horizontal="center" vertical="center"/>
    </xf>
    <xf numFmtId="0" fontId="3" fillId="0" borderId="0" xfId="2"/>
    <xf numFmtId="14" fontId="2" fillId="0" borderId="0" xfId="1" applyNumberFormat="1" applyFont="1" applyFill="1" applyAlignment="1">
      <alignment horizontal="center" vertical="center"/>
    </xf>
    <xf numFmtId="0" fontId="2" fillId="0" borderId="0" xfId="2" applyFont="1" applyFill="1" applyAlignment="1">
      <alignment horizontal="center" vertical="center"/>
    </xf>
    <xf numFmtId="3" fontId="2" fillId="0" borderId="0" xfId="2" applyNumberFormat="1" applyFont="1" applyFill="1" applyAlignment="1">
      <alignment horizontal="center" vertical="center"/>
    </xf>
    <xf numFmtId="20" fontId="4" fillId="0" borderId="0" xfId="2" applyNumberFormat="1" applyFont="1" applyFill="1" applyAlignment="1">
      <alignment horizontal="center" vertical="center"/>
    </xf>
    <xf numFmtId="20" fontId="5" fillId="0" borderId="0" xfId="2" applyNumberFormat="1" applyFont="1" applyAlignment="1">
      <alignment horizontal="center"/>
    </xf>
    <xf numFmtId="0" fontId="5" fillId="0" borderId="0" xfId="2" applyFont="1" applyAlignment="1">
      <alignment horizontal="center"/>
    </xf>
    <xf numFmtId="0" fontId="2" fillId="0" borderId="0" xfId="3" applyFont="1" applyFill="1" applyAlignment="1">
      <alignment horizontal="center" vertical="center"/>
    </xf>
    <xf numFmtId="20" fontId="6" fillId="0" borderId="0" xfId="2" applyNumberFormat="1" applyFont="1" applyAlignment="1">
      <alignment horizontal="center"/>
    </xf>
    <xf numFmtId="3" fontId="5" fillId="0" borderId="0" xfId="2" applyNumberFormat="1" applyFont="1" applyAlignment="1">
      <alignment horizontal="center"/>
    </xf>
    <xf numFmtId="20" fontId="4" fillId="0" borderId="0" xfId="3" applyNumberFormat="1" applyFont="1" applyFill="1" applyAlignment="1">
      <alignment horizontal="center" vertical="center"/>
    </xf>
    <xf numFmtId="0" fontId="2" fillId="0" borderId="0" xfId="4" applyFont="1" applyBorder="1" applyAlignment="1">
      <alignment horizontal="center" vertical="center"/>
    </xf>
    <xf numFmtId="0" fontId="5" fillId="0" borderId="0" xfId="0" applyFont="1" applyBorder="1"/>
    <xf numFmtId="14" fontId="5" fillId="0" borderId="0" xfId="0" applyNumberFormat="1" applyFont="1" applyBorder="1" applyAlignment="1">
      <alignment horizontal="center"/>
    </xf>
    <xf numFmtId="0" fontId="2" fillId="0" borderId="0" xfId="0" applyFont="1" applyFill="1" applyBorder="1" applyAlignment="1">
      <alignment horizontal="center" vertical="center"/>
    </xf>
    <xf numFmtId="0" fontId="5" fillId="0" borderId="0" xfId="0" applyFont="1" applyBorder="1" applyAlignment="1">
      <alignment horizontal="center"/>
    </xf>
    <xf numFmtId="3" fontId="5" fillId="0" borderId="0" xfId="0" applyNumberFormat="1" applyFont="1" applyBorder="1" applyAlignment="1">
      <alignment horizontal="center"/>
    </xf>
    <xf numFmtId="20" fontId="6" fillId="0" borderId="0" xfId="0" applyNumberFormat="1" applyFont="1" applyBorder="1" applyAlignment="1">
      <alignment horizontal="center"/>
    </xf>
    <xf numFmtId="20" fontId="5" fillId="0" borderId="0" xfId="0" applyNumberFormat="1" applyFont="1" applyBorder="1" applyAlignment="1">
      <alignment horizontal="center"/>
    </xf>
    <xf numFmtId="0" fontId="2" fillId="0" borderId="0" xfId="0" applyFont="1" applyBorder="1" applyAlignment="1">
      <alignment horizontal="center"/>
    </xf>
    <xf numFmtId="0" fontId="2" fillId="0" borderId="0" xfId="3" applyFont="1" applyFill="1" applyBorder="1" applyAlignment="1">
      <alignment horizontal="center" vertical="center"/>
    </xf>
    <xf numFmtId="0" fontId="2" fillId="0" borderId="0" xfId="0" applyFont="1" applyBorder="1" applyAlignment="1" applyProtection="1">
      <alignment horizontal="center"/>
    </xf>
    <xf numFmtId="20" fontId="4" fillId="0" borderId="0" xfId="3" applyNumberFormat="1" applyFont="1" applyFill="1" applyBorder="1" applyAlignment="1">
      <alignment horizontal="center" vertical="center"/>
    </xf>
    <xf numFmtId="20" fontId="2" fillId="0" borderId="0" xfId="3" applyNumberFormat="1" applyFont="1" applyFill="1" applyBorder="1" applyAlignment="1">
      <alignment horizontal="center" vertical="center"/>
    </xf>
    <xf numFmtId="0" fontId="2" fillId="2" borderId="0" xfId="3" applyFont="1" applyFill="1" applyBorder="1" applyAlignment="1">
      <alignment horizontal="center" vertical="center"/>
    </xf>
    <xf numFmtId="0" fontId="2" fillId="0" borderId="0" xfId="0" applyNumberFormat="1" applyFont="1" applyFill="1" applyBorder="1" applyAlignment="1">
      <alignment horizontal="center" vertical="center"/>
    </xf>
    <xf numFmtId="14" fontId="5" fillId="0" borderId="0" xfId="0" applyNumberFormat="1" applyFont="1" applyBorder="1" applyAlignment="1">
      <alignment horizontal="center" vertical="center"/>
    </xf>
    <xf numFmtId="0" fontId="5" fillId="0" borderId="0" xfId="0" applyFont="1" applyFill="1" applyBorder="1" applyAlignment="1" applyProtection="1">
      <alignment horizontal="center" vertical="center" wrapText="1"/>
      <protection locked="0"/>
    </xf>
    <xf numFmtId="0" fontId="5" fillId="0" borderId="0" xfId="0" applyFont="1" applyBorder="1" applyAlignment="1">
      <alignment horizontal="center" vertical="center"/>
    </xf>
    <xf numFmtId="3" fontId="5" fillId="0" borderId="0" xfId="0" applyNumberFormat="1" applyFont="1" applyBorder="1" applyAlignment="1">
      <alignment horizontal="center" vertical="center"/>
    </xf>
    <xf numFmtId="0" fontId="2" fillId="0" borderId="0" xfId="0" applyFont="1" applyBorder="1" applyAlignment="1" applyProtection="1">
      <alignment horizontal="center" vertical="center"/>
    </xf>
    <xf numFmtId="20" fontId="6" fillId="0" borderId="0" xfId="0" applyNumberFormat="1" applyFont="1" applyBorder="1" applyAlignment="1">
      <alignment horizontal="center" vertical="center"/>
    </xf>
    <xf numFmtId="20" fontId="5" fillId="0" borderId="0" xfId="0" applyNumberFormat="1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14" fontId="0" fillId="0" borderId="0" xfId="0" applyNumberFormat="1" applyAlignment="1">
      <alignment horizontal="center"/>
    </xf>
    <xf numFmtId="0" fontId="5" fillId="0" borderId="0" xfId="0" applyFont="1" applyFill="1" applyBorder="1" applyAlignment="1">
      <alignment horizontal="center"/>
    </xf>
    <xf numFmtId="3" fontId="5" fillId="0" borderId="0" xfId="0" applyNumberFormat="1" applyFont="1" applyFill="1" applyBorder="1" applyAlignment="1">
      <alignment horizontal="center"/>
    </xf>
    <xf numFmtId="20" fontId="6" fillId="0" borderId="0" xfId="0" applyNumberFormat="1" applyFont="1" applyAlignment="1">
      <alignment horizontal="center"/>
    </xf>
    <xf numFmtId="20" fontId="5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/>
    </xf>
    <xf numFmtId="3" fontId="2" fillId="0" borderId="0" xfId="0" applyNumberFormat="1" applyFont="1" applyFill="1" applyAlignment="1">
      <alignment horizontal="center" vertical="center"/>
    </xf>
    <xf numFmtId="0" fontId="2" fillId="0" borderId="0" xfId="0" applyFont="1" applyFill="1" applyAlignment="1">
      <alignment horizontal="center" vertical="center"/>
    </xf>
    <xf numFmtId="14" fontId="5" fillId="0" borderId="0" xfId="0" applyNumberFormat="1" applyFont="1" applyAlignment="1">
      <alignment horizontal="center"/>
    </xf>
    <xf numFmtId="20" fontId="2" fillId="0" borderId="0" xfId="0" applyNumberFormat="1" applyFont="1" applyFill="1" applyAlignment="1">
      <alignment horizontal="center" vertical="center"/>
    </xf>
    <xf numFmtId="0" fontId="2" fillId="0" borderId="0" xfId="0" applyNumberFormat="1" applyFont="1" applyFill="1" applyAlignment="1">
      <alignment horizontal="center" vertical="center"/>
    </xf>
    <xf numFmtId="20" fontId="2" fillId="0" borderId="0" xfId="3" applyNumberFormat="1" applyFont="1" applyFill="1" applyAlignment="1">
      <alignment horizontal="center" vertical="center"/>
    </xf>
    <xf numFmtId="0" fontId="5" fillId="0" borderId="0" xfId="0" applyFont="1" applyFill="1" applyAlignment="1">
      <alignment horizontal="center"/>
    </xf>
    <xf numFmtId="0" fontId="5" fillId="3" borderId="0" xfId="0" applyNumberFormat="1" applyFont="1" applyFill="1" applyAlignment="1">
      <alignment horizontal="center"/>
    </xf>
    <xf numFmtId="0" fontId="0" fillId="3" borderId="0" xfId="0" applyNumberFormat="1" applyFill="1" applyAlignment="1">
      <alignment horizontal="center"/>
    </xf>
    <xf numFmtId="0" fontId="5" fillId="0" borderId="0" xfId="0" applyNumberFormat="1" applyFont="1" applyAlignment="1">
      <alignment horizontal="center"/>
    </xf>
    <xf numFmtId="0" fontId="0" fillId="0" borderId="0" xfId="0" applyNumberFormat="1"/>
    <xf numFmtId="14" fontId="2" fillId="0" borderId="0" xfId="1" applyNumberFormat="1" applyFont="1" applyFill="1" applyBorder="1" applyAlignment="1">
      <alignment horizontal="center" vertical="center"/>
    </xf>
    <xf numFmtId="3" fontId="5" fillId="0" borderId="0" xfId="0" applyNumberFormat="1" applyFont="1" applyAlignment="1">
      <alignment horizontal="center"/>
    </xf>
    <xf numFmtId="20" fontId="4" fillId="0" borderId="0" xfId="0" applyNumberFormat="1" applyFont="1" applyFill="1" applyBorder="1" applyAlignment="1">
      <alignment horizontal="center" vertical="center"/>
    </xf>
    <xf numFmtId="20" fontId="2" fillId="0" borderId="0" xfId="0" applyNumberFormat="1" applyFont="1" applyFill="1" applyBorder="1" applyAlignment="1">
      <alignment horizontal="center" vertical="center"/>
    </xf>
    <xf numFmtId="0" fontId="2" fillId="0" borderId="0" xfId="4" applyFont="1" applyFill="1" applyAlignment="1">
      <alignment horizontal="center" vertical="center"/>
    </xf>
    <xf numFmtId="0" fontId="5" fillId="0" borderId="0" xfId="9" applyFont="1" applyAlignment="1">
      <alignment horizontal="center"/>
    </xf>
    <xf numFmtId="20" fontId="5" fillId="0" borderId="0" xfId="9" applyNumberFormat="1" applyFont="1" applyAlignment="1">
      <alignment horizontal="center"/>
    </xf>
    <xf numFmtId="0" fontId="7" fillId="0" borderId="0" xfId="9"/>
    <xf numFmtId="20" fontId="4" fillId="0" borderId="0" xfId="0" applyNumberFormat="1" applyFont="1" applyFill="1" applyAlignment="1">
      <alignment horizontal="center" vertical="center"/>
    </xf>
    <xf numFmtId="0" fontId="2" fillId="0" borderId="0" xfId="4" applyFont="1" applyAlignment="1">
      <alignment horizontal="center" vertical="center"/>
    </xf>
    <xf numFmtId="0" fontId="5" fillId="0" borderId="0" xfId="2" applyFont="1" applyAlignment="1">
      <alignment horizontal="center" vertical="center"/>
    </xf>
    <xf numFmtId="3" fontId="2" fillId="0" borderId="0" xfId="4" applyNumberFormat="1" applyFont="1" applyFill="1" applyAlignment="1">
      <alignment horizontal="center" vertical="center"/>
    </xf>
    <xf numFmtId="20" fontId="4" fillId="0" borderId="0" xfId="4" applyNumberFormat="1" applyFont="1" applyFill="1" applyAlignment="1">
      <alignment horizontal="center" vertical="center"/>
    </xf>
    <xf numFmtId="20" fontId="2" fillId="0" borderId="0" xfId="4" applyNumberFormat="1" applyFont="1" applyFill="1" applyAlignment="1">
      <alignment horizontal="center" vertical="center"/>
    </xf>
    <xf numFmtId="0" fontId="2" fillId="0" borderId="0" xfId="4" applyNumberFormat="1" applyFont="1" applyFill="1" applyAlignment="1">
      <alignment horizontal="center" vertical="center"/>
    </xf>
    <xf numFmtId="0" fontId="5" fillId="0" borderId="0" xfId="5" applyFont="1" applyAlignment="1">
      <alignment horizontal="center"/>
    </xf>
    <xf numFmtId="20" fontId="6" fillId="0" borderId="0" xfId="4" applyNumberFormat="1" applyFont="1" applyAlignment="1">
      <alignment horizontal="center" vertical="center"/>
    </xf>
    <xf numFmtId="20" fontId="5" fillId="0" borderId="0" xfId="4" applyNumberFormat="1" applyFont="1" applyAlignment="1">
      <alignment horizontal="center" vertical="center"/>
    </xf>
    <xf numFmtId="0" fontId="2" fillId="0" borderId="0" xfId="5" applyFont="1" applyFill="1" applyAlignment="1">
      <alignment horizontal="center" vertical="center"/>
    </xf>
    <xf numFmtId="20" fontId="4" fillId="0" borderId="0" xfId="5" applyNumberFormat="1" applyFont="1" applyFill="1" applyAlignment="1">
      <alignment horizontal="center" vertical="center"/>
    </xf>
    <xf numFmtId="20" fontId="2" fillId="0" borderId="0" xfId="5" applyNumberFormat="1" applyFont="1" applyFill="1" applyAlignment="1">
      <alignment horizontal="center" vertical="center"/>
    </xf>
    <xf numFmtId="0" fontId="2" fillId="0" borderId="0" xfId="5" applyNumberFormat="1" applyFont="1" applyFill="1" applyAlignment="1">
      <alignment horizontal="center" vertical="center"/>
    </xf>
    <xf numFmtId="20" fontId="6" fillId="0" borderId="0" xfId="5" applyNumberFormat="1" applyFont="1" applyAlignment="1">
      <alignment horizontal="center"/>
    </xf>
    <xf numFmtId="20" fontId="5" fillId="0" borderId="0" xfId="5" applyNumberFormat="1" applyFont="1" applyAlignment="1">
      <alignment horizontal="center"/>
    </xf>
    <xf numFmtId="20" fontId="5" fillId="0" borderId="0" xfId="0" applyNumberFormat="1" applyFont="1" applyFill="1" applyAlignment="1">
      <alignment horizontal="center"/>
    </xf>
    <xf numFmtId="0" fontId="0" fillId="0" borderId="0" xfId="0" applyFill="1" applyAlignment="1">
      <alignment horizontal="center"/>
    </xf>
    <xf numFmtId="0" fontId="8" fillId="0" borderId="0" xfId="2" applyFont="1"/>
    <xf numFmtId="0" fontId="6" fillId="0" borderId="0" xfId="0" applyFont="1" applyAlignment="1">
      <alignment horizontal="center"/>
    </xf>
    <xf numFmtId="0" fontId="5" fillId="0" borderId="0" xfId="0" applyFont="1"/>
    <xf numFmtId="0" fontId="5" fillId="0" borderId="0" xfId="2" applyNumberFormat="1" applyFont="1" applyFill="1" applyAlignment="1">
      <alignment horizontal="center"/>
    </xf>
    <xf numFmtId="0" fontId="2" fillId="0" borderId="0" xfId="3" applyNumberFormat="1" applyFont="1" applyFill="1" applyAlignment="1">
      <alignment horizontal="center" vertical="center"/>
    </xf>
    <xf numFmtId="0" fontId="0" fillId="0" borderId="0" xfId="0" applyNumberFormat="1" applyFill="1" applyAlignment="1">
      <alignment horizontal="center"/>
    </xf>
    <xf numFmtId="0" fontId="5" fillId="0" borderId="0" xfId="0" applyNumberFormat="1" applyFont="1" applyFill="1" applyAlignment="1">
      <alignment horizontal="center"/>
    </xf>
    <xf numFmtId="20" fontId="0" fillId="0" borderId="0" xfId="0" applyNumberFormat="1"/>
    <xf numFmtId="0" fontId="9" fillId="0" borderId="0" xfId="4" applyFont="1" applyAlignment="1">
      <alignment horizontal="center" vertical="center"/>
    </xf>
    <xf numFmtId="14" fontId="7" fillId="0" borderId="0" xfId="0" applyNumberFormat="1" applyFont="1" applyAlignment="1">
      <alignment horizontal="center"/>
    </xf>
    <xf numFmtId="0" fontId="0" fillId="0" borderId="0" xfId="0" applyFont="1" applyAlignment="1">
      <alignment horizontal="center"/>
    </xf>
    <xf numFmtId="0" fontId="7" fillId="0" borderId="0" xfId="0" applyFont="1" applyAlignment="1">
      <alignment horizontal="center"/>
    </xf>
    <xf numFmtId="3" fontId="7" fillId="0" borderId="0" xfId="0" applyNumberFormat="1" applyFont="1" applyAlignment="1">
      <alignment horizontal="center"/>
    </xf>
    <xf numFmtId="20" fontId="7" fillId="0" borderId="0" xfId="0" applyNumberFormat="1" applyFont="1" applyAlignment="1">
      <alignment horizontal="center"/>
    </xf>
    <xf numFmtId="20" fontId="0" fillId="0" borderId="0" xfId="0" applyNumberFormat="1" applyAlignment="1">
      <alignment horizontal="center"/>
    </xf>
    <xf numFmtId="0" fontId="4" fillId="0" borderId="0" xfId="4" applyFont="1" applyBorder="1" applyAlignment="1">
      <alignment horizontal="center" vertical="center"/>
    </xf>
    <xf numFmtId="0" fontId="6" fillId="0" borderId="0" xfId="0" applyFont="1" applyBorder="1"/>
    <xf numFmtId="14" fontId="2" fillId="0" borderId="0" xfId="1" applyNumberFormat="1" applyFont="1" applyFill="1" applyAlignment="1">
      <alignment vertical="center"/>
    </xf>
    <xf numFmtId="0" fontId="2" fillId="0" borderId="0" xfId="4" applyFont="1" applyFill="1" applyAlignment="1">
      <alignment vertical="center"/>
    </xf>
    <xf numFmtId="0" fontId="2" fillId="0" borderId="0" xfId="5" applyFont="1" applyFill="1" applyAlignment="1">
      <alignment vertical="center"/>
    </xf>
    <xf numFmtId="0" fontId="0" fillId="0" borderId="0" xfId="0" applyAlignment="1"/>
    <xf numFmtId="0" fontId="2" fillId="0" borderId="0" xfId="3" applyFont="1" applyFill="1" applyAlignment="1">
      <alignment vertical="center"/>
    </xf>
    <xf numFmtId="14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3" fontId="8" fillId="0" borderId="0" xfId="0" applyNumberFormat="1" applyFont="1" applyAlignment="1">
      <alignment horizontal="center"/>
    </xf>
    <xf numFmtId="20" fontId="8" fillId="0" borderId="0" xfId="0" applyNumberFormat="1" applyFont="1" applyAlignment="1">
      <alignment horizontal="center"/>
    </xf>
    <xf numFmtId="0" fontId="8" fillId="0" borderId="0" xfId="0" applyFont="1"/>
    <xf numFmtId="20" fontId="10" fillId="0" borderId="0" xfId="0" applyNumberFormat="1" applyFont="1" applyAlignment="1">
      <alignment horizontal="center"/>
    </xf>
    <xf numFmtId="0" fontId="2" fillId="3" borderId="0" xfId="4" applyFont="1" applyFill="1" applyBorder="1" applyAlignment="1">
      <alignment horizontal="center" vertical="center"/>
    </xf>
    <xf numFmtId="20" fontId="0" fillId="4" borderId="0" xfId="0" applyNumberFormat="1" applyFill="1" applyAlignment="1">
      <alignment horizontal="center"/>
    </xf>
    <xf numFmtId="0" fontId="4" fillId="4" borderId="0" xfId="5" applyFont="1" applyFill="1" applyAlignment="1">
      <alignment horizontal="center" vertical="center"/>
    </xf>
    <xf numFmtId="0" fontId="11" fillId="0" borderId="0" xfId="0" applyFont="1" applyAlignment="1">
      <alignment horizontal="center"/>
    </xf>
    <xf numFmtId="0" fontId="5" fillId="0" borderId="0" xfId="0" applyFont="1" applyAlignment="1"/>
  </cellXfs>
  <cellStyles count="10">
    <cellStyle name="Normal" xfId="0" builtinId="0"/>
    <cellStyle name="Normal 2" xfId="2"/>
    <cellStyle name="Normal 2 2" xfId="1"/>
    <cellStyle name="Normal 2 3" xfId="5"/>
    <cellStyle name="Normal 3" xfId="6"/>
    <cellStyle name="Normal 3 2" xfId="3"/>
    <cellStyle name="Normal 4" xfId="4"/>
    <cellStyle name="Normal 5" xfId="7"/>
    <cellStyle name="Normal 6" xfId="8"/>
    <cellStyle name="Normal 7" xfId="9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8" Type="http://schemas.openxmlformats.org/officeDocument/2006/relationships/worksheet" Target="worksheets/sheet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6" sqref="K6"/>
    </sheetView>
  </sheetViews>
  <sheetFormatPr defaultRowHeight="15" x14ac:dyDescent="0.25"/>
  <cols>
    <col min="2" max="2" width="10.140625" bestFit="1" customWidth="1"/>
    <col min="3" max="3" width="13.42578125" bestFit="1" customWidth="1"/>
    <col min="6" max="6" width="18.5703125" bestFit="1" customWidth="1"/>
  </cols>
  <sheetData>
    <row r="1" spans="1:21" s="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44075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0.44861111111111113</v>
      </c>
      <c r="L2" s="6">
        <v>0.28125</v>
      </c>
      <c r="M2" s="7">
        <v>0.28055555555555556</v>
      </c>
      <c r="N2" s="8" t="s">
        <v>46</v>
      </c>
      <c r="O2" s="8" t="s">
        <v>43</v>
      </c>
      <c r="P2" s="8">
        <v>623</v>
      </c>
      <c r="Q2" s="8">
        <v>602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f>A2</f>
        <v>44075</v>
      </c>
      <c r="B3" s="4" t="s">
        <v>27</v>
      </c>
      <c r="C3" s="4" t="s">
        <v>28</v>
      </c>
      <c r="D3" s="4" t="s">
        <v>23</v>
      </c>
      <c r="E3" s="4" t="s">
        <v>48</v>
      </c>
      <c r="F3" s="4" t="s">
        <v>29</v>
      </c>
      <c r="G3" s="5">
        <v>77000</v>
      </c>
      <c r="H3" s="4" t="s">
        <v>30</v>
      </c>
      <c r="I3" s="4" t="s">
        <v>31</v>
      </c>
      <c r="J3" s="6">
        <v>0.3298611111111111</v>
      </c>
      <c r="K3" s="7">
        <v>0.31805555555555554</v>
      </c>
      <c r="L3" s="6">
        <v>0.37152777777777773</v>
      </c>
      <c r="M3" s="7">
        <v>0.36458333333333331</v>
      </c>
      <c r="N3" s="8" t="s">
        <v>45</v>
      </c>
      <c r="O3" s="8" t="s">
        <v>44</v>
      </c>
      <c r="P3" s="8">
        <v>2010</v>
      </c>
      <c r="Q3" s="8">
        <v>1351</v>
      </c>
      <c r="R3" s="4">
        <v>0</v>
      </c>
      <c r="S3" s="4">
        <v>0</v>
      </c>
      <c r="T3" s="4">
        <v>0</v>
      </c>
      <c r="U3" s="4">
        <v>0</v>
      </c>
    </row>
    <row r="4" spans="1:21" s="8" customFormat="1" ht="12.75" x14ac:dyDescent="0.2">
      <c r="A4" s="3">
        <f>A3</f>
        <v>44075</v>
      </c>
      <c r="B4" s="9" t="s">
        <v>21</v>
      </c>
      <c r="C4" s="9" t="s">
        <v>32</v>
      </c>
      <c r="D4" s="9" t="s">
        <v>23</v>
      </c>
      <c r="E4" s="4" t="s">
        <v>42</v>
      </c>
      <c r="F4" s="9" t="s">
        <v>24</v>
      </c>
      <c r="G4" s="5">
        <v>71500</v>
      </c>
      <c r="H4" s="4" t="s">
        <v>34</v>
      </c>
      <c r="I4" s="4" t="s">
        <v>35</v>
      </c>
      <c r="J4" s="10">
        <v>0.70138888888888884</v>
      </c>
      <c r="K4" s="7">
        <v>0.68888888888888899</v>
      </c>
      <c r="L4" s="10">
        <v>0.49652777777777773</v>
      </c>
      <c r="M4" s="7">
        <v>0.49444444444444446</v>
      </c>
      <c r="N4" s="8">
        <v>53</v>
      </c>
      <c r="O4" s="8" t="s">
        <v>47</v>
      </c>
      <c r="P4" s="8">
        <v>188</v>
      </c>
      <c r="Q4" s="8">
        <v>709</v>
      </c>
      <c r="R4" s="9">
        <v>0</v>
      </c>
      <c r="S4" s="9">
        <v>0</v>
      </c>
      <c r="T4" s="9">
        <v>0</v>
      </c>
      <c r="U4" s="9">
        <v>0</v>
      </c>
    </row>
    <row r="5" spans="1:21" s="8" customFormat="1" ht="12.75" x14ac:dyDescent="0.2">
      <c r="A5" s="3">
        <f>A4</f>
        <v>44075</v>
      </c>
      <c r="B5" s="9" t="s">
        <v>21</v>
      </c>
      <c r="C5" s="9" t="s">
        <v>36</v>
      </c>
      <c r="D5" s="9" t="s">
        <v>23</v>
      </c>
      <c r="E5" s="4" t="s">
        <v>33</v>
      </c>
      <c r="F5" s="9" t="s">
        <v>24</v>
      </c>
      <c r="G5" s="11">
        <f>G2</f>
        <v>71500</v>
      </c>
      <c r="H5" s="9" t="s">
        <v>37</v>
      </c>
      <c r="I5" s="9" t="s">
        <v>38</v>
      </c>
      <c r="J5" s="12">
        <v>0.73958333333333337</v>
      </c>
      <c r="K5" s="7">
        <v>0.71875</v>
      </c>
      <c r="L5" s="12">
        <v>0.57291666666666663</v>
      </c>
      <c r="M5" s="7">
        <v>0.5708333333333333</v>
      </c>
      <c r="N5" s="8">
        <v>37</v>
      </c>
      <c r="O5" s="8" t="s">
        <v>49</v>
      </c>
      <c r="P5" s="8">
        <v>359</v>
      </c>
      <c r="Q5" s="8">
        <v>686</v>
      </c>
      <c r="R5" s="9">
        <v>0</v>
      </c>
      <c r="S5" s="9">
        <v>0</v>
      </c>
      <c r="T5" s="9">
        <v>0</v>
      </c>
      <c r="U5" s="9">
        <v>0</v>
      </c>
    </row>
    <row r="6" spans="1:21" s="8" customFormat="1" ht="12.75" x14ac:dyDescent="0.2">
      <c r="A6" s="3">
        <f>A5</f>
        <v>44075</v>
      </c>
      <c r="B6" s="8" t="s">
        <v>21</v>
      </c>
      <c r="C6" s="8" t="s">
        <v>39</v>
      </c>
      <c r="D6" s="8" t="s">
        <v>23</v>
      </c>
      <c r="E6" s="4" t="str">
        <f>E5</f>
        <v>HALPR</v>
      </c>
      <c r="F6" s="8" t="s">
        <v>24</v>
      </c>
      <c r="G6" s="5">
        <f>G5</f>
        <v>71500</v>
      </c>
      <c r="H6" s="8" t="s">
        <v>40</v>
      </c>
      <c r="I6" s="8" t="s">
        <v>41</v>
      </c>
      <c r="J6" s="10">
        <v>0.95486111111111116</v>
      </c>
      <c r="K6" s="7">
        <v>0.9472222222222223</v>
      </c>
      <c r="L6" s="10">
        <v>0.77777777777777779</v>
      </c>
      <c r="M6" s="7">
        <v>0.77638888888888891</v>
      </c>
      <c r="N6" s="8" t="s">
        <v>51</v>
      </c>
      <c r="O6" s="8" t="s">
        <v>50</v>
      </c>
      <c r="P6" s="8">
        <v>438</v>
      </c>
      <c r="Q6" s="8">
        <v>721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activeCell="O13" sqref="O13"/>
    </sheetView>
  </sheetViews>
  <sheetFormatPr defaultRowHeight="15" x14ac:dyDescent="0.25"/>
  <cols>
    <col min="2" max="2" width="17.7109375" bestFit="1" customWidth="1"/>
    <col min="3" max="3" width="13.5703125" bestFit="1" customWidth="1"/>
    <col min="5" max="5" width="7.42578125" bestFit="1" customWidth="1"/>
    <col min="6" max="6" width="21" bestFit="1" customWidth="1"/>
    <col min="7" max="7" width="10.5703125" bestFit="1" customWidth="1"/>
    <col min="14" max="15" width="18.42578125" bestFit="1" customWidth="1"/>
  </cols>
  <sheetData>
    <row r="1" spans="1:21" s="14" customFormat="1" ht="12.75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s="14" customFormat="1" ht="12.75" x14ac:dyDescent="0.2">
      <c r="A2" s="15">
        <v>44076</v>
      </c>
      <c r="B2" s="16" t="s">
        <v>21</v>
      </c>
      <c r="C2" s="17" t="s">
        <v>52</v>
      </c>
      <c r="D2" s="17" t="s">
        <v>23</v>
      </c>
      <c r="E2" s="17" t="s">
        <v>42</v>
      </c>
      <c r="F2" s="17" t="s">
        <v>24</v>
      </c>
      <c r="G2" s="18">
        <v>71500</v>
      </c>
      <c r="H2" s="17" t="s">
        <v>53</v>
      </c>
      <c r="I2" s="17" t="s">
        <v>54</v>
      </c>
      <c r="J2" s="19">
        <v>0.46180555555555558</v>
      </c>
      <c r="K2" s="20">
        <v>0.44722222222222219</v>
      </c>
      <c r="L2" s="19">
        <v>0.26041666666666669</v>
      </c>
      <c r="M2" s="20">
        <v>0.25763888888888892</v>
      </c>
      <c r="N2" s="17" t="s">
        <v>70</v>
      </c>
      <c r="O2" s="17" t="s">
        <v>68</v>
      </c>
      <c r="P2" s="17">
        <v>207</v>
      </c>
      <c r="Q2" s="17">
        <v>592</v>
      </c>
      <c r="R2" s="17">
        <v>0</v>
      </c>
      <c r="S2" s="17">
        <v>0</v>
      </c>
      <c r="T2" s="17">
        <v>0</v>
      </c>
      <c r="U2" s="17">
        <v>0</v>
      </c>
    </row>
    <row r="3" spans="1:21" s="14" customFormat="1" ht="12.75" x14ac:dyDescent="0.2">
      <c r="A3" s="15">
        <v>44076</v>
      </c>
      <c r="B3" s="16" t="s">
        <v>21</v>
      </c>
      <c r="C3" s="17" t="s">
        <v>55</v>
      </c>
      <c r="D3" s="17" t="s">
        <v>23</v>
      </c>
      <c r="E3" s="21" t="s">
        <v>33</v>
      </c>
      <c r="F3" s="17" t="s">
        <v>24</v>
      </c>
      <c r="G3" s="18">
        <v>71500</v>
      </c>
      <c r="H3" s="17" t="s">
        <v>56</v>
      </c>
      <c r="I3" s="17" t="s">
        <v>57</v>
      </c>
      <c r="J3" s="19">
        <v>0.4826388888888889</v>
      </c>
      <c r="K3" s="20">
        <v>0.47361111111111115</v>
      </c>
      <c r="L3" s="19">
        <v>0.27430555555555552</v>
      </c>
      <c r="M3" s="20">
        <v>0.27569444444444446</v>
      </c>
      <c r="N3" s="17" t="s">
        <v>75</v>
      </c>
      <c r="O3" s="17" t="s">
        <v>69</v>
      </c>
      <c r="P3" s="17">
        <v>648</v>
      </c>
      <c r="Q3" s="17">
        <v>664</v>
      </c>
      <c r="R3" s="17">
        <v>0</v>
      </c>
      <c r="S3" s="17">
        <v>0</v>
      </c>
      <c r="T3" s="17">
        <v>0</v>
      </c>
      <c r="U3" s="17">
        <v>0</v>
      </c>
    </row>
    <row r="4" spans="1:21" s="14" customFormat="1" ht="12.75" x14ac:dyDescent="0.2">
      <c r="A4" s="15">
        <v>44076</v>
      </c>
      <c r="B4" s="16" t="s">
        <v>21</v>
      </c>
      <c r="C4" s="22" t="s">
        <v>58</v>
      </c>
      <c r="D4" s="17" t="s">
        <v>23</v>
      </c>
      <c r="E4" s="17" t="s">
        <v>42</v>
      </c>
      <c r="F4" s="17" t="s">
        <v>24</v>
      </c>
      <c r="G4" s="18">
        <v>71500</v>
      </c>
      <c r="H4" s="23" t="s">
        <v>59</v>
      </c>
      <c r="I4" s="23" t="s">
        <v>60</v>
      </c>
      <c r="J4" s="24">
        <v>0.73263888888888884</v>
      </c>
      <c r="K4" s="25">
        <v>0.72569444444444453</v>
      </c>
      <c r="L4" s="24">
        <v>0.50694444444444442</v>
      </c>
      <c r="M4" s="25">
        <v>0.50763888888888886</v>
      </c>
      <c r="N4" s="17" t="s">
        <v>73</v>
      </c>
      <c r="O4" s="26" t="s">
        <v>71</v>
      </c>
      <c r="P4" s="22">
        <v>545</v>
      </c>
      <c r="Q4" s="27">
        <v>581</v>
      </c>
      <c r="R4" s="22">
        <v>0</v>
      </c>
      <c r="S4" s="22">
        <v>0</v>
      </c>
      <c r="T4" s="22">
        <v>0</v>
      </c>
      <c r="U4" s="22">
        <v>0</v>
      </c>
    </row>
    <row r="5" spans="1:21" s="14" customFormat="1" ht="12.75" x14ac:dyDescent="0.2">
      <c r="A5" s="15">
        <v>44076</v>
      </c>
      <c r="B5" s="16" t="s">
        <v>21</v>
      </c>
      <c r="C5" s="22" t="s">
        <v>61</v>
      </c>
      <c r="D5" s="17" t="s">
        <v>23</v>
      </c>
      <c r="E5" s="17" t="s">
        <v>67</v>
      </c>
      <c r="F5" s="17" t="s">
        <v>24</v>
      </c>
      <c r="G5" s="18">
        <v>70000</v>
      </c>
      <c r="H5" s="22" t="s">
        <v>62</v>
      </c>
      <c r="I5" s="22" t="s">
        <v>63</v>
      </c>
      <c r="J5" s="24">
        <v>0.75</v>
      </c>
      <c r="K5" s="25">
        <v>0.74791666666666667</v>
      </c>
      <c r="L5" s="24">
        <v>0.51388888888888895</v>
      </c>
      <c r="M5" s="25">
        <f>L5</f>
        <v>0.51388888888888895</v>
      </c>
      <c r="N5" s="22" t="s">
        <v>74</v>
      </c>
      <c r="O5" s="22" t="s">
        <v>72</v>
      </c>
      <c r="P5" s="22">
        <v>710</v>
      </c>
      <c r="Q5" s="27">
        <v>1323</v>
      </c>
      <c r="R5" s="22">
        <v>0</v>
      </c>
      <c r="S5" s="22">
        <v>0</v>
      </c>
      <c r="T5" s="22">
        <v>0</v>
      </c>
      <c r="U5" s="22">
        <v>0</v>
      </c>
    </row>
    <row r="6" spans="1:21" s="14" customFormat="1" ht="12.75" x14ac:dyDescent="0.2">
      <c r="A6" s="15">
        <v>44076</v>
      </c>
      <c r="B6" s="16" t="s">
        <v>21</v>
      </c>
      <c r="C6" s="22" t="s">
        <v>64</v>
      </c>
      <c r="D6" s="17" t="s">
        <v>23</v>
      </c>
      <c r="E6" s="17" t="s">
        <v>42</v>
      </c>
      <c r="F6" s="17" t="s">
        <v>24</v>
      </c>
      <c r="G6" s="18">
        <v>71500</v>
      </c>
      <c r="H6" s="23" t="s">
        <v>65</v>
      </c>
      <c r="I6" s="23" t="s">
        <v>66</v>
      </c>
      <c r="J6" s="24">
        <v>0.94444444444444453</v>
      </c>
      <c r="K6" s="25">
        <v>0.92499999999999993</v>
      </c>
      <c r="L6" s="24">
        <v>0.75347222222222221</v>
      </c>
      <c r="M6" s="25">
        <v>0.75416666666666676</v>
      </c>
      <c r="N6" s="17" t="s">
        <v>77</v>
      </c>
      <c r="O6" s="22" t="s">
        <v>76</v>
      </c>
      <c r="P6" s="22">
        <v>568</v>
      </c>
      <c r="Q6" s="22">
        <v>630</v>
      </c>
      <c r="R6" s="22">
        <v>0</v>
      </c>
      <c r="S6" s="22">
        <v>0</v>
      </c>
      <c r="T6" s="22">
        <v>0</v>
      </c>
      <c r="U6" s="22">
        <v>0</v>
      </c>
    </row>
    <row r="7" spans="1:21" s="35" customFormat="1" ht="12.75" x14ac:dyDescent="0.25">
      <c r="A7" s="28"/>
      <c r="B7" s="16"/>
      <c r="C7" s="29"/>
      <c r="D7" s="30"/>
      <c r="E7" s="30"/>
      <c r="F7" s="30"/>
      <c r="G7" s="31"/>
      <c r="H7" s="32"/>
      <c r="I7" s="32"/>
      <c r="J7" s="33"/>
      <c r="K7" s="34"/>
      <c r="L7" s="33"/>
      <c r="M7" s="34"/>
      <c r="N7" s="30"/>
      <c r="O7" s="22"/>
      <c r="P7" s="22"/>
      <c r="Q7" s="22"/>
      <c r="R7" s="22"/>
      <c r="S7" s="22"/>
      <c r="T7" s="22"/>
      <c r="U7" s="22"/>
    </row>
    <row r="8" spans="1:21" s="42" customFormat="1" x14ac:dyDescent="0.25">
      <c r="A8" s="36"/>
      <c r="B8" s="16"/>
      <c r="C8" s="22"/>
      <c r="D8" s="37"/>
      <c r="E8" s="37"/>
      <c r="F8" s="37"/>
      <c r="G8" s="38"/>
      <c r="H8" s="37"/>
      <c r="I8" s="37"/>
      <c r="J8" s="39"/>
      <c r="K8" s="40"/>
      <c r="L8" s="39"/>
      <c r="M8" s="40"/>
      <c r="N8" s="41"/>
      <c r="O8" s="22"/>
      <c r="Q8" s="22"/>
      <c r="R8" s="22"/>
      <c r="S8" s="22"/>
      <c r="T8" s="22"/>
      <c r="U8" s="22"/>
    </row>
  </sheetData>
  <pageMargins left="0.7" right="0.7" top="0.75" bottom="0.75" header="0.3" footer="0.3"/>
  <pageSetup paperSize="9" orientation="portrait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L12" sqref="L12"/>
    </sheetView>
  </sheetViews>
  <sheetFormatPr defaultRowHeight="15" x14ac:dyDescent="0.25"/>
  <cols>
    <col min="3" max="3" width="16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4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42" customFormat="1" x14ac:dyDescent="0.25">
      <c r="A2" s="3">
        <v>44077</v>
      </c>
      <c r="B2" s="9" t="s">
        <v>21</v>
      </c>
      <c r="C2" s="9" t="s">
        <v>81</v>
      </c>
      <c r="D2" s="9" t="s">
        <v>23</v>
      </c>
      <c r="E2" s="44" t="s">
        <v>67</v>
      </c>
      <c r="F2" s="9" t="s">
        <v>24</v>
      </c>
      <c r="G2" s="43">
        <v>70000</v>
      </c>
      <c r="H2" s="44" t="s">
        <v>80</v>
      </c>
      <c r="I2" s="44" t="s">
        <v>79</v>
      </c>
      <c r="J2" s="39">
        <v>0.55555555555555558</v>
      </c>
      <c r="K2" s="48">
        <v>0.54722222222222217</v>
      </c>
      <c r="L2" s="39">
        <v>0.40972222222222227</v>
      </c>
      <c r="M2" s="40">
        <v>0.41597222222222219</v>
      </c>
      <c r="N2" s="9" t="s">
        <v>92</v>
      </c>
      <c r="O2" s="49" t="s">
        <v>91</v>
      </c>
      <c r="P2" s="44">
        <v>248</v>
      </c>
      <c r="Q2" s="47">
        <v>949</v>
      </c>
      <c r="R2" s="9">
        <v>0</v>
      </c>
      <c r="S2" s="9">
        <v>0</v>
      </c>
      <c r="T2" s="9">
        <v>0</v>
      </c>
      <c r="U2" s="9">
        <v>0</v>
      </c>
    </row>
    <row r="3" spans="1:22" s="42" customFormat="1" x14ac:dyDescent="0.25">
      <c r="A3" s="3">
        <v>44077</v>
      </c>
      <c r="B3" s="9" t="s">
        <v>21</v>
      </c>
      <c r="C3" s="9" t="s">
        <v>32</v>
      </c>
      <c r="D3" s="9" t="s">
        <v>23</v>
      </c>
      <c r="E3" s="44" t="s">
        <v>42</v>
      </c>
      <c r="F3" s="9" t="s">
        <v>24</v>
      </c>
      <c r="G3" s="43">
        <v>71500</v>
      </c>
      <c r="H3" s="9" t="s">
        <v>78</v>
      </c>
      <c r="I3" s="9" t="s">
        <v>35</v>
      </c>
      <c r="J3" s="12">
        <v>0.70138888888888884</v>
      </c>
      <c r="K3" s="48">
        <v>0.68611111111111101</v>
      </c>
      <c r="L3" s="12">
        <v>0.49652777777777773</v>
      </c>
      <c r="M3" s="40">
        <v>0.4993055555555555</v>
      </c>
      <c r="N3" s="9" t="s">
        <v>94</v>
      </c>
      <c r="O3" s="9" t="s">
        <v>93</v>
      </c>
      <c r="P3" s="9">
        <v>213</v>
      </c>
      <c r="Q3" s="47">
        <v>432</v>
      </c>
      <c r="R3" s="9">
        <v>0</v>
      </c>
      <c r="S3" s="9">
        <v>0</v>
      </c>
      <c r="T3" s="9">
        <v>0</v>
      </c>
      <c r="U3" s="9">
        <v>0</v>
      </c>
    </row>
    <row r="4" spans="1:22" s="42" customFormat="1" x14ac:dyDescent="0.25">
      <c r="A4" s="3">
        <v>44077</v>
      </c>
      <c r="B4" s="9" t="s">
        <v>21</v>
      </c>
      <c r="C4" s="9" t="s">
        <v>82</v>
      </c>
      <c r="D4" s="9" t="s">
        <v>23</v>
      </c>
      <c r="E4" s="44" t="s">
        <v>67</v>
      </c>
      <c r="F4" s="9" t="s">
        <v>24</v>
      </c>
      <c r="G4" s="43">
        <v>70000</v>
      </c>
      <c r="H4" s="9" t="s">
        <v>84</v>
      </c>
      <c r="I4" s="9" t="s">
        <v>83</v>
      </c>
      <c r="J4" s="12">
        <v>0.75694444444444453</v>
      </c>
      <c r="K4" s="46">
        <v>0.73958333333333337</v>
      </c>
      <c r="L4" s="12">
        <v>0.58680555555555558</v>
      </c>
      <c r="M4" s="40">
        <v>0.58402777777777781</v>
      </c>
      <c r="N4" s="9" t="s">
        <v>95</v>
      </c>
      <c r="O4" s="9" t="s">
        <v>46</v>
      </c>
      <c r="P4" s="9">
        <v>456</v>
      </c>
      <c r="Q4" s="9">
        <v>480</v>
      </c>
      <c r="R4" s="9">
        <v>0</v>
      </c>
      <c r="S4" s="9">
        <v>0</v>
      </c>
      <c r="T4" s="9">
        <v>0</v>
      </c>
      <c r="U4" s="9">
        <v>0</v>
      </c>
    </row>
    <row r="5" spans="1:22" x14ac:dyDescent="0.25">
      <c r="A5" s="45">
        <v>44077</v>
      </c>
      <c r="B5" s="9" t="s">
        <v>85</v>
      </c>
      <c r="C5" s="9" t="s">
        <v>86</v>
      </c>
      <c r="D5" s="9" t="s">
        <v>87</v>
      </c>
      <c r="E5" s="44" t="s">
        <v>88</v>
      </c>
      <c r="F5" s="9" t="s">
        <v>89</v>
      </c>
      <c r="G5" s="43">
        <v>2000</v>
      </c>
      <c r="H5" s="41" t="s">
        <v>90</v>
      </c>
      <c r="I5" s="40" t="s">
        <v>90</v>
      </c>
      <c r="J5" s="40">
        <v>0.45833333333333331</v>
      </c>
      <c r="K5" s="40">
        <v>0.44305555555555554</v>
      </c>
      <c r="L5" s="40">
        <v>0.5</v>
      </c>
      <c r="M5" s="40">
        <v>0.4861111111111111</v>
      </c>
      <c r="N5" s="51">
        <v>0</v>
      </c>
      <c r="O5" s="50">
        <v>2</v>
      </c>
      <c r="P5" s="52">
        <v>0</v>
      </c>
      <c r="Q5" s="52">
        <v>0</v>
      </c>
      <c r="R5" s="9">
        <v>0</v>
      </c>
      <c r="S5" s="9">
        <v>0</v>
      </c>
      <c r="T5" s="9">
        <v>0</v>
      </c>
      <c r="U5" s="9">
        <v>0</v>
      </c>
      <c r="V5" s="53"/>
    </row>
  </sheetData>
  <pageMargins left="0.7" right="0.7" top="0.75" bottom="0.75" header="0.3" footer="0.3"/>
  <pageSetup paperSize="9" orientation="portrait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workbookViewId="0">
      <selection sqref="A1:XFD4"/>
    </sheetView>
  </sheetViews>
  <sheetFormatPr defaultRowHeight="15" x14ac:dyDescent="0.25"/>
  <cols>
    <col min="1" max="1" width="10.7109375" style="61" customWidth="1"/>
    <col min="2" max="2" width="9.140625" style="61" bestFit="1" customWidth="1"/>
    <col min="3" max="3" width="13.5703125" style="61" bestFit="1" customWidth="1"/>
    <col min="4" max="4" width="5.7109375" style="61" bestFit="1" customWidth="1"/>
    <col min="5" max="5" width="14.5703125" style="61" bestFit="1" customWidth="1"/>
    <col min="6" max="6" width="14.42578125" style="61" bestFit="1" customWidth="1"/>
    <col min="7" max="9" width="9.7109375" style="61" bestFit="1" customWidth="1"/>
    <col min="10" max="10" width="11" style="61" bestFit="1" customWidth="1"/>
    <col min="11" max="11" width="10.85546875" style="61" bestFit="1" customWidth="1"/>
    <col min="12" max="12" width="11" style="61" bestFit="1" customWidth="1"/>
    <col min="13" max="13" width="10.85546875" style="61" bestFit="1" customWidth="1"/>
    <col min="14" max="15" width="18.42578125" style="61" bestFit="1" customWidth="1"/>
    <col min="16" max="17" width="10.28515625" style="61" bestFit="1" customWidth="1"/>
    <col min="18" max="16384" width="9.140625" style="61"/>
  </cols>
  <sheetData>
    <row r="1" spans="1:21" customFormat="1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</row>
    <row r="2" spans="1:21" s="14" customFormat="1" ht="12.75" x14ac:dyDescent="0.2">
      <c r="A2" s="54">
        <v>44078</v>
      </c>
      <c r="B2" s="16" t="s">
        <v>21</v>
      </c>
      <c r="C2" s="41" t="s">
        <v>52</v>
      </c>
      <c r="D2" s="1" t="s">
        <v>23</v>
      </c>
      <c r="E2" s="41" t="s">
        <v>42</v>
      </c>
      <c r="F2" s="41" t="s">
        <v>24</v>
      </c>
      <c r="G2" s="55">
        <v>71500</v>
      </c>
      <c r="H2" s="41" t="s">
        <v>53</v>
      </c>
      <c r="I2" s="41" t="s">
        <v>54</v>
      </c>
      <c r="J2" s="39">
        <v>0.46180555555555558</v>
      </c>
      <c r="K2" s="40">
        <v>0.4465277777777778</v>
      </c>
      <c r="L2" s="39">
        <v>0.26041666666666669</v>
      </c>
      <c r="M2" s="40">
        <v>0.26041666666666669</v>
      </c>
      <c r="N2" s="40" t="s">
        <v>105</v>
      </c>
      <c r="O2" s="27" t="s">
        <v>102</v>
      </c>
      <c r="P2" s="27">
        <v>466</v>
      </c>
      <c r="Q2" s="27">
        <v>688</v>
      </c>
      <c r="R2" s="16">
        <v>0</v>
      </c>
      <c r="S2" s="16">
        <v>0</v>
      </c>
      <c r="T2" s="16">
        <v>0</v>
      </c>
      <c r="U2" s="16">
        <v>0</v>
      </c>
    </row>
    <row r="3" spans="1:21" s="14" customFormat="1" ht="12.75" x14ac:dyDescent="0.2">
      <c r="A3" s="54">
        <f>A2</f>
        <v>44078</v>
      </c>
      <c r="B3" s="16" t="s">
        <v>21</v>
      </c>
      <c r="C3" s="41" t="s">
        <v>58</v>
      </c>
      <c r="D3" s="1" t="s">
        <v>23</v>
      </c>
      <c r="E3" s="41" t="s">
        <v>67</v>
      </c>
      <c r="F3" s="41" t="s">
        <v>24</v>
      </c>
      <c r="G3" s="55">
        <v>71500</v>
      </c>
      <c r="H3" s="41" t="s">
        <v>59</v>
      </c>
      <c r="I3" s="41" t="s">
        <v>60</v>
      </c>
      <c r="J3" s="39">
        <v>0.72569444444444453</v>
      </c>
      <c r="K3" s="40">
        <v>0.71666666666666667</v>
      </c>
      <c r="L3" s="39">
        <v>0.5</v>
      </c>
      <c r="M3" s="40">
        <v>0.49791666666666662</v>
      </c>
      <c r="N3" s="22" t="s">
        <v>106</v>
      </c>
      <c r="O3" s="27">
        <v>67</v>
      </c>
      <c r="P3" s="27">
        <v>490</v>
      </c>
      <c r="Q3" s="27">
        <v>535</v>
      </c>
      <c r="R3" s="16">
        <v>0</v>
      </c>
      <c r="S3" s="16">
        <v>0</v>
      </c>
      <c r="T3" s="16">
        <v>0</v>
      </c>
      <c r="U3" s="16">
        <v>0</v>
      </c>
    </row>
    <row r="4" spans="1:21" s="14" customFormat="1" ht="12.75" x14ac:dyDescent="0.2">
      <c r="A4" s="54">
        <f>A3</f>
        <v>44078</v>
      </c>
      <c r="B4" s="16" t="s">
        <v>21</v>
      </c>
      <c r="C4" s="41" t="s">
        <v>99</v>
      </c>
      <c r="D4" s="1" t="s">
        <v>23</v>
      </c>
      <c r="E4" s="41" t="s">
        <v>42</v>
      </c>
      <c r="F4" s="41" t="s">
        <v>24</v>
      </c>
      <c r="G4" s="55">
        <v>71500</v>
      </c>
      <c r="H4" s="41" t="s">
        <v>100</v>
      </c>
      <c r="I4" s="41" t="s">
        <v>101</v>
      </c>
      <c r="J4" s="39">
        <v>0.75</v>
      </c>
      <c r="K4" s="40">
        <v>0.73263888888888884</v>
      </c>
      <c r="L4" s="39">
        <v>0.53472222222222221</v>
      </c>
      <c r="M4" s="40">
        <v>0.53125</v>
      </c>
      <c r="N4" s="22" t="s">
        <v>107</v>
      </c>
      <c r="O4" s="27" t="s">
        <v>104</v>
      </c>
      <c r="P4" s="27">
        <v>476</v>
      </c>
      <c r="Q4" s="27">
        <v>658</v>
      </c>
      <c r="R4" s="16">
        <v>0</v>
      </c>
      <c r="S4" s="16">
        <v>0</v>
      </c>
      <c r="T4" s="16">
        <v>0</v>
      </c>
      <c r="U4" s="16">
        <v>0</v>
      </c>
    </row>
    <row r="5" spans="1:21" customFormat="1" x14ac:dyDescent="0.25">
      <c r="A5" s="54">
        <f t="shared" ref="A5" si="0">A3</f>
        <v>44078</v>
      </c>
      <c r="B5" s="16" t="s">
        <v>21</v>
      </c>
      <c r="C5" s="16" t="s">
        <v>96</v>
      </c>
      <c r="D5" s="16" t="s">
        <v>23</v>
      </c>
      <c r="E5" s="41" t="s">
        <v>67</v>
      </c>
      <c r="F5" s="16" t="s">
        <v>24</v>
      </c>
      <c r="G5" s="55">
        <v>71500</v>
      </c>
      <c r="H5" s="16" t="s">
        <v>97</v>
      </c>
      <c r="I5" s="16" t="s">
        <v>98</v>
      </c>
      <c r="J5" s="56">
        <v>0.89930555555555547</v>
      </c>
      <c r="K5" s="25">
        <v>0.88055555555555554</v>
      </c>
      <c r="L5" s="56">
        <v>0.75</v>
      </c>
      <c r="M5" s="57">
        <v>0.75347222222222221</v>
      </c>
      <c r="N5" s="22" t="s">
        <v>109</v>
      </c>
      <c r="O5" s="27" t="s">
        <v>108</v>
      </c>
      <c r="P5" s="16">
        <v>195</v>
      </c>
      <c r="Q5" s="27"/>
      <c r="R5" s="16">
        <v>0</v>
      </c>
      <c r="S5" s="16">
        <v>0</v>
      </c>
      <c r="T5" s="16">
        <v>0</v>
      </c>
      <c r="U5" s="16">
        <v>0</v>
      </c>
    </row>
    <row r="6" spans="1:21" s="8" customFormat="1" ht="12.75" x14ac:dyDescent="0.2">
      <c r="A6" s="3">
        <f>A5</f>
        <v>44078</v>
      </c>
      <c r="B6" s="4" t="s">
        <v>27</v>
      </c>
      <c r="C6" s="4" t="s">
        <v>28</v>
      </c>
      <c r="D6" s="4" t="s">
        <v>23</v>
      </c>
      <c r="E6" s="4" t="s">
        <v>110</v>
      </c>
      <c r="F6" s="4" t="s">
        <v>29</v>
      </c>
      <c r="G6" s="5">
        <v>77000</v>
      </c>
      <c r="H6" s="4" t="s">
        <v>30</v>
      </c>
      <c r="I6" s="4" t="s">
        <v>31</v>
      </c>
      <c r="J6" s="6">
        <v>0.3298611111111111</v>
      </c>
      <c r="K6" s="7">
        <v>0.31527777777777777</v>
      </c>
      <c r="L6" s="6">
        <v>0.37152777777777773</v>
      </c>
      <c r="M6" s="7">
        <v>0.35625000000000001</v>
      </c>
      <c r="N6" s="8" t="s">
        <v>103</v>
      </c>
      <c r="O6" s="8">
        <v>0</v>
      </c>
      <c r="P6" s="8">
        <v>2314</v>
      </c>
      <c r="Q6" s="8">
        <v>0</v>
      </c>
      <c r="R6" s="4">
        <v>0</v>
      </c>
      <c r="S6" s="4">
        <v>0</v>
      </c>
      <c r="T6" s="4">
        <v>0</v>
      </c>
      <c r="U6" s="4">
        <v>0</v>
      </c>
    </row>
    <row r="7" spans="1:21" customFormat="1" x14ac:dyDescent="0.25">
      <c r="A7" s="54"/>
      <c r="B7" s="16"/>
      <c r="C7" s="22"/>
      <c r="D7" s="16"/>
      <c r="E7" s="58"/>
      <c r="F7" s="16"/>
      <c r="G7" s="55"/>
      <c r="H7" s="22"/>
      <c r="I7" s="22"/>
      <c r="J7" s="24"/>
      <c r="K7" s="25"/>
      <c r="L7" s="24"/>
      <c r="M7" s="25"/>
      <c r="N7" s="22"/>
      <c r="O7" s="22"/>
      <c r="P7" s="22"/>
      <c r="Q7" s="27"/>
      <c r="R7" s="22"/>
      <c r="S7" s="22"/>
      <c r="T7" s="22"/>
      <c r="U7" s="22"/>
    </row>
    <row r="8" spans="1:21" s="59" customFormat="1" ht="12.75" x14ac:dyDescent="0.2">
      <c r="A8" s="54"/>
      <c r="B8" s="16"/>
      <c r="D8" s="16"/>
      <c r="E8" s="58"/>
      <c r="G8" s="55"/>
      <c r="J8" s="60"/>
      <c r="K8" s="60"/>
      <c r="L8" s="60"/>
      <c r="M8" s="60"/>
      <c r="N8" s="41"/>
      <c r="O8" s="41"/>
      <c r="P8" s="41"/>
      <c r="Q8" s="41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C1" workbookViewId="0">
      <selection activeCell="J12" sqref="J12"/>
    </sheetView>
  </sheetViews>
  <sheetFormatPr defaultRowHeight="15" x14ac:dyDescent="0.25"/>
  <cols>
    <col min="3" max="3" width="13.28515625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1" s="4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42" customFormat="1" x14ac:dyDescent="0.25">
      <c r="A2" s="3">
        <v>44079</v>
      </c>
      <c r="B2" s="44" t="s">
        <v>21</v>
      </c>
      <c r="C2" s="44" t="s">
        <v>22</v>
      </c>
      <c r="D2" s="44" t="s">
        <v>23</v>
      </c>
      <c r="E2" s="44" t="s">
        <v>42</v>
      </c>
      <c r="F2" s="44" t="s">
        <v>24</v>
      </c>
      <c r="G2" s="43">
        <v>71500</v>
      </c>
      <c r="H2" s="44" t="s">
        <v>25</v>
      </c>
      <c r="I2" s="44" t="s">
        <v>26</v>
      </c>
      <c r="J2" s="62">
        <v>0.4548611111111111</v>
      </c>
      <c r="K2" s="46">
        <v>0.44444444444444442</v>
      </c>
      <c r="L2" s="62">
        <v>0.28125</v>
      </c>
      <c r="M2" s="40">
        <f>L2</f>
        <v>0.28125</v>
      </c>
      <c r="N2" s="9" t="s">
        <v>111</v>
      </c>
      <c r="O2" s="47" t="s">
        <v>112</v>
      </c>
      <c r="P2" s="41">
        <v>721</v>
      </c>
      <c r="Q2" s="47">
        <v>869</v>
      </c>
      <c r="R2" s="44">
        <v>0</v>
      </c>
      <c r="S2" s="44">
        <v>0</v>
      </c>
      <c r="T2" s="44">
        <v>0</v>
      </c>
      <c r="U2" s="44">
        <v>0</v>
      </c>
    </row>
    <row r="3" spans="1:21" s="42" customFormat="1" x14ac:dyDescent="0.25">
      <c r="A3" s="3">
        <f>A2</f>
        <v>44079</v>
      </c>
      <c r="B3" s="9" t="s">
        <v>21</v>
      </c>
      <c r="C3" s="9" t="s">
        <v>81</v>
      </c>
      <c r="D3" s="9" t="s">
        <v>23</v>
      </c>
      <c r="E3" s="44" t="s">
        <v>67</v>
      </c>
      <c r="F3" s="9" t="s">
        <v>24</v>
      </c>
      <c r="G3" s="43">
        <v>70000</v>
      </c>
      <c r="H3" s="44" t="s">
        <v>80</v>
      </c>
      <c r="I3" s="44" t="s">
        <v>79</v>
      </c>
      <c r="J3" s="39">
        <v>0.54166666666666663</v>
      </c>
      <c r="K3" s="48">
        <f>J3</f>
        <v>0.54166666666666663</v>
      </c>
      <c r="L3" s="39">
        <v>0.39583333333333331</v>
      </c>
      <c r="M3" s="40">
        <v>0.4069444444444445</v>
      </c>
      <c r="N3" s="9" t="s">
        <v>115</v>
      </c>
      <c r="O3" s="49" t="s">
        <v>113</v>
      </c>
      <c r="P3" s="44">
        <v>861</v>
      </c>
      <c r="Q3" s="47">
        <v>1019</v>
      </c>
      <c r="R3" s="9">
        <v>0</v>
      </c>
      <c r="S3" s="9">
        <v>0</v>
      </c>
      <c r="T3" s="9">
        <v>0</v>
      </c>
      <c r="U3" s="9">
        <v>0</v>
      </c>
    </row>
    <row r="4" spans="1:21" s="42" customFormat="1" x14ac:dyDescent="0.25">
      <c r="A4" s="3">
        <f>A3</f>
        <v>44079</v>
      </c>
      <c r="B4" s="9" t="s">
        <v>21</v>
      </c>
      <c r="C4" s="9" t="s">
        <v>32</v>
      </c>
      <c r="D4" s="9" t="s">
        <v>23</v>
      </c>
      <c r="E4" s="44" t="str">
        <f>E2</f>
        <v>HALPM</v>
      </c>
      <c r="F4" s="9" t="s">
        <v>24</v>
      </c>
      <c r="G4" s="43">
        <v>71500</v>
      </c>
      <c r="H4" s="9" t="s">
        <v>78</v>
      </c>
      <c r="I4" s="9" t="s">
        <v>35</v>
      </c>
      <c r="J4" s="12">
        <v>0.69444444444444453</v>
      </c>
      <c r="K4" s="48">
        <v>0.68263888888888891</v>
      </c>
      <c r="L4" s="12">
        <v>0.49652777777777773</v>
      </c>
      <c r="M4" s="40">
        <v>0.49513888888888885</v>
      </c>
      <c r="N4" s="9" t="s">
        <v>118</v>
      </c>
      <c r="O4" s="9" t="s">
        <v>114</v>
      </c>
      <c r="P4" s="9">
        <v>531</v>
      </c>
      <c r="Q4" s="47">
        <v>579</v>
      </c>
      <c r="R4" s="9">
        <v>0</v>
      </c>
      <c r="S4" s="9">
        <v>0</v>
      </c>
      <c r="T4" s="9">
        <v>0</v>
      </c>
      <c r="U4" s="9">
        <v>0</v>
      </c>
    </row>
    <row r="5" spans="1:21" s="42" customFormat="1" x14ac:dyDescent="0.25">
      <c r="A5" s="3">
        <f>A4</f>
        <v>44079</v>
      </c>
      <c r="B5" s="9" t="s">
        <v>21</v>
      </c>
      <c r="C5" s="9" t="s">
        <v>36</v>
      </c>
      <c r="D5" s="9" t="s">
        <v>23</v>
      </c>
      <c r="E5" s="44" t="str">
        <f>E3</f>
        <v>HALWC</v>
      </c>
      <c r="F5" s="9" t="s">
        <v>24</v>
      </c>
      <c r="G5" s="43">
        <f>G3</f>
        <v>70000</v>
      </c>
      <c r="H5" s="9" t="s">
        <v>37</v>
      </c>
      <c r="I5" s="9" t="s">
        <v>38</v>
      </c>
      <c r="J5" s="12">
        <v>0.73958333333333337</v>
      </c>
      <c r="K5" s="46">
        <v>0.74722222222222223</v>
      </c>
      <c r="L5" s="12">
        <v>0.57291666666666663</v>
      </c>
      <c r="M5" s="40">
        <v>0.5708333333333333</v>
      </c>
      <c r="N5" s="9" t="s">
        <v>119</v>
      </c>
      <c r="O5" s="9" t="s">
        <v>116</v>
      </c>
      <c r="P5" s="9">
        <v>289</v>
      </c>
      <c r="Q5" s="9">
        <v>777</v>
      </c>
      <c r="R5" s="9">
        <v>0</v>
      </c>
      <c r="S5" s="9">
        <v>0</v>
      </c>
      <c r="T5" s="9">
        <v>0</v>
      </c>
      <c r="U5" s="9">
        <v>0</v>
      </c>
    </row>
    <row r="6" spans="1:21" s="42" customFormat="1" x14ac:dyDescent="0.25">
      <c r="A6" s="3">
        <f>A5</f>
        <v>44079</v>
      </c>
      <c r="B6" s="41" t="s">
        <v>21</v>
      </c>
      <c r="C6" s="41" t="s">
        <v>39</v>
      </c>
      <c r="D6" s="41" t="s">
        <v>23</v>
      </c>
      <c r="E6" s="44" t="str">
        <f>E4</f>
        <v>HALPM</v>
      </c>
      <c r="F6" s="41" t="s">
        <v>24</v>
      </c>
      <c r="G6" s="43">
        <f>G4</f>
        <v>71500</v>
      </c>
      <c r="H6" s="41" t="s">
        <v>40</v>
      </c>
      <c r="I6" s="41" t="s">
        <v>41</v>
      </c>
      <c r="J6" s="39">
        <v>0.95486111111111116</v>
      </c>
      <c r="K6" s="40">
        <v>0.9472222222222223</v>
      </c>
      <c r="L6" s="39">
        <v>0.77777777777777779</v>
      </c>
      <c r="M6" s="40">
        <v>0.77500000000000002</v>
      </c>
      <c r="N6" s="41" t="s">
        <v>120</v>
      </c>
      <c r="O6" s="41" t="s">
        <v>117</v>
      </c>
      <c r="P6" s="41">
        <v>725</v>
      </c>
      <c r="Q6" s="41">
        <v>1199</v>
      </c>
      <c r="R6" s="41">
        <v>0</v>
      </c>
      <c r="S6" s="41">
        <v>0</v>
      </c>
      <c r="T6" s="41">
        <v>0</v>
      </c>
      <c r="U6" s="4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XFD3"/>
    </sheetView>
  </sheetViews>
  <sheetFormatPr defaultRowHeight="15" x14ac:dyDescent="0.25"/>
  <cols>
    <col min="3" max="3" width="13.28515625" bestFit="1" customWidth="1"/>
    <col min="6" max="6" width="12.1406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44080</v>
      </c>
      <c r="B2" s="58" t="s">
        <v>21</v>
      </c>
      <c r="C2" s="58" t="s">
        <v>55</v>
      </c>
      <c r="D2" s="58" t="s">
        <v>23</v>
      </c>
      <c r="E2" s="58" t="s">
        <v>42</v>
      </c>
      <c r="F2" s="58" t="s">
        <v>24</v>
      </c>
      <c r="G2" s="65">
        <v>71500</v>
      </c>
      <c r="H2" s="58" t="s">
        <v>56</v>
      </c>
      <c r="I2" s="58" t="s">
        <v>57</v>
      </c>
      <c r="J2" s="66">
        <v>0.4826388888888889</v>
      </c>
      <c r="K2" s="67">
        <v>0.46875</v>
      </c>
      <c r="L2" s="66">
        <v>0.27430555555555552</v>
      </c>
      <c r="M2" s="67">
        <v>0.2722222222222222</v>
      </c>
      <c r="N2" s="67" t="s">
        <v>123</v>
      </c>
      <c r="O2" s="67" t="s">
        <v>122</v>
      </c>
      <c r="P2" s="68">
        <v>815</v>
      </c>
      <c r="Q2" s="68">
        <v>947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s="8" customFormat="1" ht="12.75" x14ac:dyDescent="0.2">
      <c r="A3" s="3">
        <f>A2</f>
        <v>44080</v>
      </c>
      <c r="B3" s="58" t="s">
        <v>21</v>
      </c>
      <c r="C3" s="9" t="s">
        <v>58</v>
      </c>
      <c r="D3" s="58" t="s">
        <v>23</v>
      </c>
      <c r="E3" s="58" t="s">
        <v>67</v>
      </c>
      <c r="F3" s="58" t="s">
        <v>24</v>
      </c>
      <c r="G3" s="65">
        <v>70000</v>
      </c>
      <c r="H3" s="9" t="s">
        <v>59</v>
      </c>
      <c r="I3" s="9" t="s">
        <v>60</v>
      </c>
      <c r="J3" s="70">
        <v>0.73263888888888884</v>
      </c>
      <c r="K3" s="71">
        <v>0.75347222222222221</v>
      </c>
      <c r="L3" s="70">
        <v>0.50694444444444442</v>
      </c>
      <c r="M3" s="71">
        <v>0.52916666666666667</v>
      </c>
      <c r="N3" s="71" t="s">
        <v>128</v>
      </c>
      <c r="O3" s="68" t="s">
        <v>124</v>
      </c>
      <c r="P3" s="58">
        <v>443</v>
      </c>
      <c r="Q3" s="68">
        <v>1262</v>
      </c>
      <c r="R3" s="9">
        <v>0</v>
      </c>
      <c r="S3" s="9">
        <v>0</v>
      </c>
      <c r="T3" s="9">
        <v>0</v>
      </c>
      <c r="U3" s="9">
        <v>0</v>
      </c>
      <c r="V3" s="69"/>
    </row>
    <row r="4" spans="1:22" s="8" customFormat="1" ht="12.75" x14ac:dyDescent="0.2">
      <c r="A4" s="3">
        <f t="shared" ref="A4:A6" si="0">A3</f>
        <v>44080</v>
      </c>
      <c r="B4" s="58" t="s">
        <v>21</v>
      </c>
      <c r="C4" s="72" t="s">
        <v>61</v>
      </c>
      <c r="D4" s="58" t="s">
        <v>23</v>
      </c>
      <c r="E4" s="71" t="str">
        <f>E2</f>
        <v>HALPM</v>
      </c>
      <c r="F4" s="58" t="s">
        <v>24</v>
      </c>
      <c r="G4" s="65">
        <f>G3</f>
        <v>70000</v>
      </c>
      <c r="H4" s="58" t="s">
        <v>62</v>
      </c>
      <c r="I4" s="72" t="s">
        <v>63</v>
      </c>
      <c r="J4" s="73">
        <v>0.75</v>
      </c>
      <c r="K4" s="48">
        <v>0.73958333333333337</v>
      </c>
      <c r="L4" s="73">
        <v>0.51388888888888895</v>
      </c>
      <c r="M4" s="74">
        <v>0.5180555555555556</v>
      </c>
      <c r="N4" s="9" t="s">
        <v>129</v>
      </c>
      <c r="O4" s="75" t="s">
        <v>125</v>
      </c>
      <c r="P4" s="75">
        <v>914</v>
      </c>
      <c r="Q4" s="75">
        <v>1422</v>
      </c>
      <c r="R4" s="58">
        <v>0</v>
      </c>
      <c r="S4" s="58">
        <v>0</v>
      </c>
      <c r="T4" s="58">
        <v>0</v>
      </c>
      <c r="U4" s="58">
        <v>0</v>
      </c>
      <c r="V4" s="69"/>
    </row>
    <row r="5" spans="1:22" s="8" customFormat="1" ht="12.75" x14ac:dyDescent="0.2">
      <c r="A5" s="3">
        <f t="shared" si="0"/>
        <v>44080</v>
      </c>
      <c r="B5" s="58" t="s">
        <v>21</v>
      </c>
      <c r="C5" s="71" t="s">
        <v>64</v>
      </c>
      <c r="D5" s="58" t="s">
        <v>23</v>
      </c>
      <c r="E5" s="71" t="str">
        <f>E3</f>
        <v>HALWC</v>
      </c>
      <c r="F5" s="58" t="s">
        <v>24</v>
      </c>
      <c r="G5" s="65">
        <v>70000</v>
      </c>
      <c r="H5" s="71" t="s">
        <v>121</v>
      </c>
      <c r="I5" s="71" t="s">
        <v>66</v>
      </c>
      <c r="J5" s="70">
        <v>0.94444444444444453</v>
      </c>
      <c r="K5" s="71">
        <v>0.95833333333333337</v>
      </c>
      <c r="L5" s="70">
        <v>0.75347222222222221</v>
      </c>
      <c r="M5" s="71">
        <v>0.78333333333333333</v>
      </c>
      <c r="N5" s="58" t="s">
        <v>130</v>
      </c>
      <c r="O5" s="58" t="s">
        <v>126</v>
      </c>
      <c r="P5" s="58">
        <v>720</v>
      </c>
      <c r="Q5" s="58">
        <v>1013</v>
      </c>
      <c r="R5" s="58">
        <v>0</v>
      </c>
      <c r="S5" s="58">
        <v>0</v>
      </c>
      <c r="T5" s="9">
        <v>0</v>
      </c>
      <c r="U5" s="9">
        <v>0</v>
      </c>
      <c r="V5" s="69"/>
    </row>
    <row r="6" spans="1:22" s="8" customFormat="1" ht="12.75" x14ac:dyDescent="0.2">
      <c r="A6" s="3">
        <f t="shared" si="0"/>
        <v>44080</v>
      </c>
      <c r="B6" s="58" t="s">
        <v>21</v>
      </c>
      <c r="C6" s="69" t="s">
        <v>82</v>
      </c>
      <c r="D6" s="58" t="s">
        <v>23</v>
      </c>
      <c r="E6" s="69" t="str">
        <f>E2</f>
        <v>HALPM</v>
      </c>
      <c r="F6" s="58" t="s">
        <v>24</v>
      </c>
      <c r="G6" s="65">
        <v>71500</v>
      </c>
      <c r="H6" s="69" t="s">
        <v>84</v>
      </c>
      <c r="I6" s="69" t="s">
        <v>83</v>
      </c>
      <c r="J6" s="76">
        <v>0.94097222222222221</v>
      </c>
      <c r="K6" s="77">
        <v>0.93263888888888891</v>
      </c>
      <c r="L6" s="76">
        <v>0.77083333333333337</v>
      </c>
      <c r="M6" s="77">
        <v>0.76944444444444438</v>
      </c>
      <c r="N6" s="69" t="s">
        <v>131</v>
      </c>
      <c r="O6" s="69" t="s">
        <v>127</v>
      </c>
      <c r="P6" s="69">
        <v>304</v>
      </c>
      <c r="Q6" s="69">
        <v>552</v>
      </c>
      <c r="R6" s="69">
        <v>0</v>
      </c>
      <c r="S6" s="69">
        <v>0</v>
      </c>
      <c r="T6" s="69">
        <v>0</v>
      </c>
      <c r="U6" s="69">
        <v>0</v>
      </c>
      <c r="V6" s="71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4"/>
  <sheetViews>
    <sheetView workbookViewId="0">
      <selection activeCell="A2" sqref="A2:XFD2"/>
    </sheetView>
  </sheetViews>
  <sheetFormatPr defaultRowHeight="15" x14ac:dyDescent="0.25"/>
  <cols>
    <col min="2" max="2" width="12.7109375" bestFit="1" customWidth="1"/>
    <col min="3" max="3" width="18.5703125" bestFit="1" customWidth="1"/>
    <col min="6" max="6" width="12.1406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44081</v>
      </c>
      <c r="B2" s="58" t="s">
        <v>21</v>
      </c>
      <c r="C2" s="58" t="s">
        <v>52</v>
      </c>
      <c r="D2" s="58" t="s">
        <v>23</v>
      </c>
      <c r="E2" s="58" t="s">
        <v>42</v>
      </c>
      <c r="F2" s="58" t="s">
        <v>24</v>
      </c>
      <c r="G2" s="65">
        <v>71500</v>
      </c>
      <c r="H2" s="58" t="s">
        <v>53</v>
      </c>
      <c r="I2" s="58" t="s">
        <v>54</v>
      </c>
      <c r="J2" s="66">
        <v>0.46180555555555558</v>
      </c>
      <c r="K2" s="67">
        <v>0.44930555555555557</v>
      </c>
      <c r="L2" s="66">
        <v>0.26041666666666669</v>
      </c>
      <c r="M2" s="67">
        <v>0.25694444444444448</v>
      </c>
      <c r="N2" s="67" t="s">
        <v>133</v>
      </c>
      <c r="O2" s="67" t="s">
        <v>132</v>
      </c>
      <c r="P2" s="68">
        <v>823</v>
      </c>
      <c r="Q2" s="68">
        <v>675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s="8" customFormat="1" ht="12.75" x14ac:dyDescent="0.2">
      <c r="A3" s="3">
        <v>44081</v>
      </c>
      <c r="B3" s="58" t="s">
        <v>21</v>
      </c>
      <c r="C3" s="9" t="s">
        <v>58</v>
      </c>
      <c r="D3" s="58" t="s">
        <v>23</v>
      </c>
      <c r="E3" s="58" t="s">
        <v>67</v>
      </c>
      <c r="F3" s="58" t="s">
        <v>24</v>
      </c>
      <c r="G3" s="65">
        <v>70000</v>
      </c>
      <c r="H3" s="9" t="s">
        <v>59</v>
      </c>
      <c r="I3" s="9" t="s">
        <v>60</v>
      </c>
      <c r="J3" s="70">
        <v>0.72569444444444453</v>
      </c>
      <c r="K3" s="71">
        <v>0.7104166666666667</v>
      </c>
      <c r="L3" s="70">
        <v>0.5</v>
      </c>
      <c r="M3" s="71">
        <v>0.49861111111111112</v>
      </c>
      <c r="N3" s="71" t="s">
        <v>135</v>
      </c>
      <c r="O3" s="68" t="s">
        <v>134</v>
      </c>
      <c r="P3" s="58">
        <v>182</v>
      </c>
      <c r="Q3" s="68">
        <v>307</v>
      </c>
      <c r="R3" s="9">
        <v>0</v>
      </c>
      <c r="S3" s="9">
        <v>0</v>
      </c>
      <c r="T3" s="9">
        <v>0</v>
      </c>
      <c r="U3" s="9">
        <v>0</v>
      </c>
      <c r="V3" s="69"/>
    </row>
    <row r="4" spans="1:22" x14ac:dyDescent="0.25">
      <c r="A4" s="45">
        <v>44081</v>
      </c>
      <c r="B4" s="9" t="s">
        <v>136</v>
      </c>
      <c r="C4" s="9" t="s">
        <v>137</v>
      </c>
      <c r="D4" s="9" t="s">
        <v>138</v>
      </c>
      <c r="E4" s="44" t="s">
        <v>139</v>
      </c>
      <c r="F4" s="9" t="s">
        <v>140</v>
      </c>
      <c r="G4" s="43">
        <v>1134</v>
      </c>
      <c r="H4" s="41"/>
      <c r="I4" s="41"/>
      <c r="J4" s="39">
        <v>0.66666666666666663</v>
      </c>
      <c r="K4" s="40">
        <v>0.6958333333333333</v>
      </c>
      <c r="L4" s="39">
        <v>0.68402777777777779</v>
      </c>
      <c r="M4" s="40">
        <v>0.71250000000000002</v>
      </c>
      <c r="N4" s="79" t="s">
        <v>141</v>
      </c>
      <c r="O4" s="78" t="s">
        <v>141</v>
      </c>
      <c r="P4" s="79">
        <v>0</v>
      </c>
      <c r="Q4" s="79">
        <v>0</v>
      </c>
      <c r="R4" s="79">
        <v>0</v>
      </c>
      <c r="S4" s="79">
        <v>0</v>
      </c>
      <c r="T4" s="79">
        <v>0</v>
      </c>
      <c r="U4" s="7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7"/>
  <sheetViews>
    <sheetView workbookViewId="0">
      <selection sqref="A1:XFD1048576"/>
    </sheetView>
  </sheetViews>
  <sheetFormatPr defaultRowHeight="15" x14ac:dyDescent="0.25"/>
  <cols>
    <col min="2" max="2" width="10.140625" bestFit="1" customWidth="1"/>
    <col min="3" max="3" width="13.42578125" bestFit="1" customWidth="1"/>
    <col min="6" max="6" width="18.5703125" bestFit="1" customWidth="1"/>
    <col min="13" max="13" width="10.85546875" bestFit="1" customWidth="1"/>
  </cols>
  <sheetData>
    <row r="1" spans="1:21" s="80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44082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0.44722222222222219</v>
      </c>
      <c r="L2" s="6">
        <v>0.28125</v>
      </c>
      <c r="M2" s="7">
        <v>0.28402777777777777</v>
      </c>
      <c r="N2" s="8" t="s">
        <v>145</v>
      </c>
      <c r="O2" s="8" t="s">
        <v>143</v>
      </c>
      <c r="P2" s="8">
        <v>287</v>
      </c>
      <c r="Q2" s="8">
        <v>645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f>A2</f>
        <v>44082</v>
      </c>
      <c r="B3" s="4" t="s">
        <v>27</v>
      </c>
      <c r="C3" s="4" t="s">
        <v>28</v>
      </c>
      <c r="D3" s="4" t="s">
        <v>23</v>
      </c>
      <c r="E3" s="4" t="s">
        <v>142</v>
      </c>
      <c r="F3" s="4" t="s">
        <v>29</v>
      </c>
      <c r="G3" s="5">
        <v>77000</v>
      </c>
      <c r="H3" s="4" t="s">
        <v>30</v>
      </c>
      <c r="I3" s="4" t="s">
        <v>31</v>
      </c>
      <c r="J3" s="6">
        <v>0.3298611111111111</v>
      </c>
      <c r="K3" s="7">
        <v>0.31805555555555554</v>
      </c>
      <c r="L3" s="6">
        <v>0.37152777777777773</v>
      </c>
      <c r="M3" s="7">
        <v>0.36736111111111108</v>
      </c>
      <c r="N3" s="8" t="s">
        <v>146</v>
      </c>
      <c r="O3" s="8" t="s">
        <v>144</v>
      </c>
      <c r="P3" s="8">
        <v>2772</v>
      </c>
      <c r="Q3" s="8">
        <v>82</v>
      </c>
      <c r="R3" s="4">
        <v>0</v>
      </c>
      <c r="S3" s="4">
        <v>0</v>
      </c>
      <c r="T3" s="4">
        <v>0</v>
      </c>
      <c r="U3" s="4">
        <v>0</v>
      </c>
    </row>
    <row r="4" spans="1:21" s="8" customFormat="1" ht="12.75" x14ac:dyDescent="0.2">
      <c r="A4" s="3">
        <f>A3</f>
        <v>44082</v>
      </c>
      <c r="B4" s="9" t="s">
        <v>21</v>
      </c>
      <c r="C4" s="9" t="s">
        <v>32</v>
      </c>
      <c r="D4" s="9" t="s">
        <v>23</v>
      </c>
      <c r="E4" s="4" t="s">
        <v>42</v>
      </c>
      <c r="F4" s="9" t="s">
        <v>24</v>
      </c>
      <c r="G4" s="5">
        <v>71500</v>
      </c>
      <c r="H4" s="4" t="s">
        <v>34</v>
      </c>
      <c r="I4" s="4" t="s">
        <v>35</v>
      </c>
      <c r="J4" s="10">
        <v>0.70138888888888884</v>
      </c>
      <c r="K4" s="7">
        <v>0.6875</v>
      </c>
      <c r="L4" s="10">
        <v>0.49652777777777773</v>
      </c>
      <c r="M4" s="7">
        <v>0.4993055555555555</v>
      </c>
      <c r="N4" s="8" t="s">
        <v>151</v>
      </c>
      <c r="O4" s="8" t="s">
        <v>143</v>
      </c>
      <c r="P4" s="8">
        <v>169</v>
      </c>
      <c r="Q4" s="8">
        <v>278</v>
      </c>
      <c r="R4" s="9">
        <v>0</v>
      </c>
      <c r="S4" s="9">
        <v>0</v>
      </c>
      <c r="T4" s="9">
        <v>0</v>
      </c>
      <c r="U4" s="9">
        <v>0</v>
      </c>
    </row>
    <row r="5" spans="1:21" s="8" customFormat="1" ht="12.75" x14ac:dyDescent="0.2">
      <c r="A5" s="3">
        <f>A4</f>
        <v>44082</v>
      </c>
      <c r="B5" s="9" t="s">
        <v>21</v>
      </c>
      <c r="C5" s="9" t="s">
        <v>36</v>
      </c>
      <c r="D5" s="9" t="s">
        <v>23</v>
      </c>
      <c r="E5" s="4" t="s">
        <v>67</v>
      </c>
      <c r="F5" s="9" t="s">
        <v>24</v>
      </c>
      <c r="G5" s="11">
        <v>70000</v>
      </c>
      <c r="H5" s="9" t="s">
        <v>37</v>
      </c>
      <c r="I5" s="9" t="s">
        <v>38</v>
      </c>
      <c r="J5" s="12">
        <v>0.73958333333333337</v>
      </c>
      <c r="K5" s="7">
        <v>0.72777777777777775</v>
      </c>
      <c r="L5" s="12">
        <v>0.57291666666666663</v>
      </c>
      <c r="M5" s="7">
        <v>0.57291666666666663</v>
      </c>
      <c r="N5" s="8" t="s">
        <v>154</v>
      </c>
      <c r="O5" s="8" t="s">
        <v>152</v>
      </c>
      <c r="P5" s="8">
        <v>64</v>
      </c>
      <c r="Q5" s="8">
        <v>451</v>
      </c>
      <c r="R5" s="9">
        <v>0</v>
      </c>
      <c r="S5" s="9">
        <v>0</v>
      </c>
      <c r="T5" s="9">
        <v>0</v>
      </c>
      <c r="U5" s="9">
        <v>0</v>
      </c>
    </row>
    <row r="6" spans="1:21" s="8" customFormat="1" ht="12.75" x14ac:dyDescent="0.2">
      <c r="A6" s="3">
        <f>A5</f>
        <v>44082</v>
      </c>
      <c r="B6" s="8" t="s">
        <v>21</v>
      </c>
      <c r="C6" s="8" t="s">
        <v>39</v>
      </c>
      <c r="D6" s="8" t="s">
        <v>23</v>
      </c>
      <c r="E6" s="4" t="s">
        <v>67</v>
      </c>
      <c r="F6" s="8" t="s">
        <v>24</v>
      </c>
      <c r="G6" s="5">
        <v>70000</v>
      </c>
      <c r="H6" s="8" t="s">
        <v>40</v>
      </c>
      <c r="I6" s="8" t="s">
        <v>41</v>
      </c>
      <c r="J6" s="10">
        <v>0.95486111111111116</v>
      </c>
      <c r="K6" s="7">
        <v>0.94791666666666663</v>
      </c>
      <c r="L6" s="10">
        <v>0.77777777777777779</v>
      </c>
      <c r="M6" s="7">
        <v>0.77638888888888891</v>
      </c>
      <c r="N6" s="8" t="s">
        <v>156</v>
      </c>
      <c r="O6" s="8" t="s">
        <v>153</v>
      </c>
      <c r="P6" s="8">
        <v>403</v>
      </c>
      <c r="Q6" s="8">
        <v>743</v>
      </c>
      <c r="R6" s="8">
        <v>0</v>
      </c>
      <c r="S6" s="8">
        <v>0</v>
      </c>
      <c r="T6" s="8">
        <v>0</v>
      </c>
      <c r="U6" s="8">
        <v>0</v>
      </c>
    </row>
    <row r="7" spans="1:21" s="82" customFormat="1" ht="12.75" x14ac:dyDescent="0.2">
      <c r="A7" s="3">
        <f>A6</f>
        <v>44082</v>
      </c>
      <c r="B7" s="8" t="s">
        <v>21</v>
      </c>
      <c r="C7" s="9" t="s">
        <v>155</v>
      </c>
      <c r="D7" s="9" t="s">
        <v>147</v>
      </c>
      <c r="E7" s="4" t="s">
        <v>148</v>
      </c>
      <c r="F7" s="9" t="s">
        <v>150</v>
      </c>
      <c r="G7" s="5">
        <v>750</v>
      </c>
      <c r="H7" s="9" t="s">
        <v>90</v>
      </c>
      <c r="I7" s="9" t="s">
        <v>90</v>
      </c>
      <c r="J7" s="39">
        <v>0.78125</v>
      </c>
      <c r="K7" s="40">
        <v>0.81597222222222221</v>
      </c>
      <c r="L7" s="39" t="s">
        <v>149</v>
      </c>
      <c r="M7" s="81" t="s">
        <v>149</v>
      </c>
      <c r="N7" s="52">
        <v>0</v>
      </c>
      <c r="O7" s="52">
        <v>0</v>
      </c>
      <c r="P7" s="52">
        <v>0</v>
      </c>
      <c r="Q7" s="83">
        <v>0</v>
      </c>
      <c r="R7" s="84">
        <v>0</v>
      </c>
      <c r="S7" s="84">
        <v>0</v>
      </c>
      <c r="T7" s="9">
        <v>0</v>
      </c>
      <c r="U7" s="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8"/>
  <sheetViews>
    <sheetView topLeftCell="G1" workbookViewId="0">
      <selection activeCell="G1" sqref="A1:XFD1"/>
    </sheetView>
  </sheetViews>
  <sheetFormatPr defaultRowHeight="15" x14ac:dyDescent="0.25"/>
  <cols>
    <col min="2" max="2" width="17.7109375" bestFit="1" customWidth="1"/>
    <col min="3" max="3" width="13.5703125" bestFit="1" customWidth="1"/>
    <col min="5" max="5" width="7.42578125" bestFit="1" customWidth="1"/>
    <col min="6" max="6" width="21" bestFit="1" customWidth="1"/>
    <col min="7" max="7" width="10.5703125" bestFit="1" customWidth="1"/>
    <col min="14" max="15" width="18.42578125" bestFit="1" customWidth="1"/>
  </cols>
  <sheetData>
    <row r="1" spans="1:21" s="14" customFormat="1" ht="12.75" x14ac:dyDescent="0.2">
      <c r="A1" s="13" t="s">
        <v>0</v>
      </c>
      <c r="B1" s="13" t="s">
        <v>1</v>
      </c>
      <c r="C1" s="13" t="s">
        <v>2</v>
      </c>
      <c r="D1" s="13" t="s">
        <v>3</v>
      </c>
      <c r="E1" s="13" t="s">
        <v>4</v>
      </c>
      <c r="F1" s="13" t="s">
        <v>5</v>
      </c>
      <c r="G1" s="13" t="s">
        <v>6</v>
      </c>
      <c r="H1" s="13" t="s">
        <v>7</v>
      </c>
      <c r="I1" s="13" t="s">
        <v>8</v>
      </c>
      <c r="J1" s="13" t="s">
        <v>9</v>
      </c>
      <c r="K1" s="13" t="s">
        <v>10</v>
      </c>
      <c r="L1" s="13" t="s">
        <v>11</v>
      </c>
      <c r="M1" s="13" t="s">
        <v>12</v>
      </c>
      <c r="N1" s="13" t="s">
        <v>13</v>
      </c>
      <c r="O1" s="13" t="s">
        <v>14</v>
      </c>
      <c r="P1" s="13" t="s">
        <v>15</v>
      </c>
      <c r="Q1" s="13" t="s">
        <v>16</v>
      </c>
      <c r="R1" s="13" t="s">
        <v>17</v>
      </c>
      <c r="S1" s="13" t="s">
        <v>18</v>
      </c>
      <c r="T1" s="13" t="s">
        <v>19</v>
      </c>
      <c r="U1" s="13" t="s">
        <v>20</v>
      </c>
    </row>
    <row r="2" spans="1:21" s="14" customFormat="1" ht="12.75" x14ac:dyDescent="0.2">
      <c r="A2" s="15">
        <v>44083</v>
      </c>
      <c r="B2" s="16" t="s">
        <v>21</v>
      </c>
      <c r="C2" s="17" t="s">
        <v>55</v>
      </c>
      <c r="D2" s="17" t="s">
        <v>23</v>
      </c>
      <c r="E2" s="21" t="s">
        <v>42</v>
      </c>
      <c r="F2" s="17" t="s">
        <v>24</v>
      </c>
      <c r="G2" s="18">
        <v>71500</v>
      </c>
      <c r="H2" s="17" t="s">
        <v>56</v>
      </c>
      <c r="I2" s="17" t="s">
        <v>57</v>
      </c>
      <c r="J2" s="19">
        <v>0.4826388888888889</v>
      </c>
      <c r="K2" s="20">
        <v>0.46666666666666662</v>
      </c>
      <c r="L2" s="19">
        <v>0.27430555555555552</v>
      </c>
      <c r="M2" s="20">
        <v>0.27499999999999997</v>
      </c>
      <c r="N2" s="17" t="s">
        <v>160</v>
      </c>
      <c r="O2" s="17" t="s">
        <v>157</v>
      </c>
      <c r="P2" s="17">
        <v>648</v>
      </c>
      <c r="Q2" s="17">
        <v>688</v>
      </c>
      <c r="R2" s="17">
        <v>0</v>
      </c>
      <c r="S2" s="17">
        <v>0</v>
      </c>
      <c r="T2" s="17">
        <v>0</v>
      </c>
      <c r="U2" s="17">
        <v>0</v>
      </c>
    </row>
    <row r="3" spans="1:21" s="14" customFormat="1" ht="12.75" x14ac:dyDescent="0.2">
      <c r="A3" s="15">
        <v>44083</v>
      </c>
      <c r="B3" s="16" t="s">
        <v>21</v>
      </c>
      <c r="C3" s="22" t="s">
        <v>58</v>
      </c>
      <c r="D3" s="17" t="s">
        <v>23</v>
      </c>
      <c r="E3" s="17" t="s">
        <v>67</v>
      </c>
      <c r="F3" s="17" t="s">
        <v>24</v>
      </c>
      <c r="G3" s="18">
        <v>70000</v>
      </c>
      <c r="H3" s="23" t="s">
        <v>59</v>
      </c>
      <c r="I3" s="23" t="s">
        <v>60</v>
      </c>
      <c r="J3" s="24">
        <v>0.73263888888888884</v>
      </c>
      <c r="K3" s="25">
        <v>0.72916666666666663</v>
      </c>
      <c r="L3" s="24">
        <v>0.50694444444444442</v>
      </c>
      <c r="M3" s="25">
        <v>0.50902777777777775</v>
      </c>
      <c r="N3" s="17" t="s">
        <v>162</v>
      </c>
      <c r="O3" s="26" t="s">
        <v>158</v>
      </c>
      <c r="P3" s="22">
        <v>295</v>
      </c>
      <c r="Q3" s="27">
        <v>787</v>
      </c>
      <c r="R3" s="22">
        <v>0</v>
      </c>
      <c r="S3" s="22">
        <v>0</v>
      </c>
      <c r="T3" s="22">
        <v>0</v>
      </c>
      <c r="U3" s="22">
        <v>0</v>
      </c>
    </row>
    <row r="4" spans="1:21" s="14" customFormat="1" ht="12.75" x14ac:dyDescent="0.2">
      <c r="A4" s="15">
        <v>44083</v>
      </c>
      <c r="B4" s="16" t="s">
        <v>21</v>
      </c>
      <c r="C4" s="22" t="s">
        <v>61</v>
      </c>
      <c r="D4" s="17" t="s">
        <v>23</v>
      </c>
      <c r="E4" s="17" t="s">
        <v>42</v>
      </c>
      <c r="F4" s="17" t="s">
        <v>24</v>
      </c>
      <c r="G4" s="18">
        <v>71500</v>
      </c>
      <c r="H4" s="22" t="s">
        <v>62</v>
      </c>
      <c r="I4" s="22" t="s">
        <v>63</v>
      </c>
      <c r="J4" s="24">
        <v>0.75</v>
      </c>
      <c r="K4" s="25">
        <v>0.73819444444444438</v>
      </c>
      <c r="L4" s="24">
        <v>0.51388888888888895</v>
      </c>
      <c r="M4" s="25">
        <v>0.51736111111111105</v>
      </c>
      <c r="N4" s="22" t="s">
        <v>132</v>
      </c>
      <c r="O4" s="22" t="s">
        <v>159</v>
      </c>
      <c r="P4" s="22">
        <v>907</v>
      </c>
      <c r="Q4" s="27">
        <v>1351</v>
      </c>
      <c r="R4" s="22">
        <v>0</v>
      </c>
      <c r="S4" s="22">
        <v>0</v>
      </c>
      <c r="T4" s="22">
        <v>0</v>
      </c>
      <c r="U4" s="22">
        <v>0</v>
      </c>
    </row>
    <row r="5" spans="1:21" s="14" customFormat="1" ht="12.75" x14ac:dyDescent="0.2">
      <c r="A5" s="15">
        <v>44083</v>
      </c>
      <c r="B5" s="16" t="s">
        <v>21</v>
      </c>
      <c r="C5" s="22" t="s">
        <v>64</v>
      </c>
      <c r="D5" s="17" t="s">
        <v>23</v>
      </c>
      <c r="E5" s="17" t="s">
        <v>67</v>
      </c>
      <c r="F5" s="17" t="s">
        <v>24</v>
      </c>
      <c r="G5" s="18">
        <v>70000</v>
      </c>
      <c r="H5" s="23" t="s">
        <v>65</v>
      </c>
      <c r="I5" s="23" t="s">
        <v>66</v>
      </c>
      <c r="J5" s="24">
        <v>0.94444444444444453</v>
      </c>
      <c r="K5" s="25">
        <v>0.9375</v>
      </c>
      <c r="L5" s="24">
        <v>0.75347222222222221</v>
      </c>
      <c r="M5" s="25">
        <v>0.76180555555555562</v>
      </c>
      <c r="N5" s="17" t="s">
        <v>163</v>
      </c>
      <c r="O5" s="22" t="s">
        <v>161</v>
      </c>
      <c r="P5" s="22">
        <v>429</v>
      </c>
      <c r="Q5" s="22">
        <v>752</v>
      </c>
      <c r="R5" s="22">
        <v>0</v>
      </c>
      <c r="S5" s="22">
        <v>0</v>
      </c>
      <c r="T5" s="22">
        <v>0</v>
      </c>
      <c r="U5" s="22">
        <v>0</v>
      </c>
    </row>
    <row r="6" spans="1:21" s="14" customFormat="1" ht="12.75" x14ac:dyDescent="0.2">
      <c r="A6" s="28"/>
      <c r="B6" s="16"/>
      <c r="C6" s="29"/>
      <c r="D6" s="30"/>
      <c r="E6" s="30"/>
      <c r="F6" s="30"/>
      <c r="G6" s="31"/>
      <c r="H6" s="32"/>
      <c r="I6" s="32"/>
      <c r="J6" s="33"/>
      <c r="K6" s="34"/>
      <c r="L6" s="33"/>
      <c r="M6" s="34"/>
      <c r="N6" s="30"/>
      <c r="O6" s="22"/>
      <c r="P6" s="22"/>
      <c r="Q6" s="22"/>
      <c r="R6" s="22"/>
      <c r="S6" s="22"/>
      <c r="T6" s="22"/>
      <c r="U6" s="22"/>
    </row>
    <row r="7" spans="1:21" s="35" customFormat="1" x14ac:dyDescent="0.25">
      <c r="A7" s="36"/>
      <c r="B7" s="16"/>
      <c r="C7" s="22"/>
      <c r="D7" s="37"/>
      <c r="E7" s="37"/>
      <c r="F7" s="37"/>
      <c r="G7" s="38"/>
      <c r="H7" s="37"/>
      <c r="I7" s="37"/>
      <c r="J7" s="39"/>
      <c r="K7" s="40"/>
      <c r="L7" s="39"/>
      <c r="M7" s="40"/>
      <c r="N7" s="41"/>
      <c r="O7" s="22"/>
      <c r="P7" s="42"/>
      <c r="Q7" s="22"/>
      <c r="R7" s="22"/>
      <c r="S7" s="22"/>
      <c r="T7" s="22"/>
      <c r="U7" s="22"/>
    </row>
    <row r="8" spans="1:21" s="42" customFormat="1" x14ac:dyDescent="0.25">
      <c r="A8"/>
      <c r="B8"/>
      <c r="C8"/>
      <c r="D8"/>
      <c r="E8"/>
      <c r="F8"/>
      <c r="G8"/>
      <c r="H8"/>
      <c r="I8"/>
      <c r="J8"/>
      <c r="K8"/>
      <c r="L8"/>
      <c r="M8"/>
      <c r="N8"/>
      <c r="O8"/>
      <c r="P8"/>
      <c r="Q8"/>
      <c r="R8"/>
      <c r="S8"/>
      <c r="T8"/>
      <c r="U8"/>
    </row>
  </sheetData>
  <pageMargins left="0.7" right="0.7" top="0.75" bottom="0.75" header="0.3" footer="0.3"/>
  <pageSetup paperSize="9" orientation="portrait" verticalDpi="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A3" sqref="A3"/>
    </sheetView>
  </sheetViews>
  <sheetFormatPr defaultRowHeight="15" x14ac:dyDescent="0.25"/>
  <cols>
    <col min="3" max="3" width="16" bestFit="1" customWidth="1"/>
    <col min="4" max="4" width="5.7109375" bestFit="1" customWidth="1"/>
    <col min="6" max="6" width="12.14062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4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42" customFormat="1" x14ac:dyDescent="0.25">
      <c r="A2" s="3">
        <v>44084</v>
      </c>
      <c r="B2" s="9" t="s">
        <v>21</v>
      </c>
      <c r="C2" s="9" t="s">
        <v>81</v>
      </c>
      <c r="D2" s="9" t="s">
        <v>23</v>
      </c>
      <c r="E2" s="44" t="s">
        <v>42</v>
      </c>
      <c r="F2" s="9" t="s">
        <v>24</v>
      </c>
      <c r="G2" s="43">
        <v>71500</v>
      </c>
      <c r="H2" s="44" t="s">
        <v>80</v>
      </c>
      <c r="I2" s="44" t="s">
        <v>79</v>
      </c>
      <c r="J2" s="39">
        <v>0.55555555555555558</v>
      </c>
      <c r="K2" s="48">
        <v>0.55138888888888882</v>
      </c>
      <c r="L2" s="39">
        <v>0.40972222222222227</v>
      </c>
      <c r="M2" s="40">
        <v>0.40763888888888888</v>
      </c>
      <c r="N2" s="9" t="s">
        <v>165</v>
      </c>
      <c r="O2" s="49" t="s">
        <v>164</v>
      </c>
      <c r="P2" s="44">
        <v>560</v>
      </c>
      <c r="Q2" s="47">
        <v>688</v>
      </c>
      <c r="R2" s="9">
        <v>0</v>
      </c>
      <c r="S2" s="9">
        <v>0</v>
      </c>
      <c r="T2" s="9">
        <v>0</v>
      </c>
      <c r="U2" s="9">
        <v>0</v>
      </c>
    </row>
    <row r="3" spans="1:22" s="42" customFormat="1" x14ac:dyDescent="0.25">
      <c r="A3" s="3">
        <v>44084</v>
      </c>
      <c r="B3" s="9" t="s">
        <v>21</v>
      </c>
      <c r="C3" s="9" t="s">
        <v>82</v>
      </c>
      <c r="D3" s="9" t="s">
        <v>23</v>
      </c>
      <c r="E3" s="44" t="s">
        <v>42</v>
      </c>
      <c r="F3" s="9" t="s">
        <v>24</v>
      </c>
      <c r="G3" s="43">
        <v>71500</v>
      </c>
      <c r="H3" s="9" t="s">
        <v>84</v>
      </c>
      <c r="I3" s="9" t="s">
        <v>83</v>
      </c>
      <c r="J3" s="12">
        <v>0.75694444444444453</v>
      </c>
      <c r="K3" s="46">
        <v>0.74583333333333324</v>
      </c>
      <c r="L3" s="12">
        <v>0.58680555555555558</v>
      </c>
      <c r="M3" s="40">
        <v>0.58333333333333337</v>
      </c>
      <c r="N3" s="9" t="s">
        <v>167</v>
      </c>
      <c r="O3" s="9" t="s">
        <v>166</v>
      </c>
      <c r="P3" s="9">
        <v>368</v>
      </c>
      <c r="Q3" s="9">
        <v>614</v>
      </c>
      <c r="R3" s="9">
        <v>0</v>
      </c>
      <c r="S3" s="9">
        <v>0</v>
      </c>
      <c r="T3" s="9">
        <v>0</v>
      </c>
      <c r="U3" s="9">
        <v>0</v>
      </c>
    </row>
    <row r="4" spans="1:22" s="42" customFormat="1" x14ac:dyDescent="0.25">
      <c r="A4" s="3"/>
      <c r="B4" s="9"/>
      <c r="C4" s="9"/>
      <c r="D4" s="9"/>
      <c r="E4" s="44"/>
      <c r="F4" s="9"/>
      <c r="G4" s="43"/>
      <c r="H4" s="9"/>
      <c r="I4" s="9"/>
      <c r="J4" s="12"/>
      <c r="K4" s="46"/>
      <c r="L4" s="12"/>
      <c r="M4" s="40"/>
      <c r="N4" s="9"/>
      <c r="O4" s="9"/>
      <c r="P4" s="9"/>
      <c r="Q4" s="9"/>
      <c r="R4" s="9"/>
      <c r="S4" s="9"/>
      <c r="T4" s="9"/>
      <c r="U4" s="9"/>
    </row>
    <row r="5" spans="1:22" x14ac:dyDescent="0.25">
      <c r="A5" s="45"/>
      <c r="B5" s="9"/>
      <c r="C5" s="9"/>
      <c r="D5" s="9"/>
      <c r="E5" s="44"/>
      <c r="F5" s="9"/>
      <c r="G5" s="43"/>
      <c r="H5" s="41"/>
      <c r="I5" s="40"/>
      <c r="J5" s="40"/>
      <c r="K5" s="40"/>
      <c r="L5" s="40"/>
      <c r="M5" s="40"/>
      <c r="N5" s="85"/>
      <c r="O5" s="86"/>
      <c r="P5" s="52"/>
      <c r="Q5" s="52"/>
      <c r="R5" s="9"/>
      <c r="S5" s="9"/>
      <c r="T5" s="9"/>
      <c r="U5" s="9"/>
      <c r="V5" s="53"/>
    </row>
  </sheetData>
  <pageMargins left="0.7" right="0.7" top="0.75" bottom="0.75" header="0.3" footer="0.3"/>
  <pageSetup paperSize="9" orientation="portrait" verticalDpi="0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workbookViewId="0">
      <selection activeCell="G3" sqref="G3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</row>
    <row r="2" spans="1:21" s="14" customFormat="1" ht="12.75" x14ac:dyDescent="0.2">
      <c r="A2" s="54">
        <v>44085</v>
      </c>
      <c r="B2" s="16" t="s">
        <v>21</v>
      </c>
      <c r="C2" s="41" t="s">
        <v>52</v>
      </c>
      <c r="D2" s="1" t="s">
        <v>23</v>
      </c>
      <c r="E2" s="41" t="s">
        <v>42</v>
      </c>
      <c r="F2" s="41" t="s">
        <v>24</v>
      </c>
      <c r="G2" s="55">
        <v>71500</v>
      </c>
      <c r="H2" s="41" t="s">
        <v>53</v>
      </c>
      <c r="I2" s="41" t="s">
        <v>54</v>
      </c>
      <c r="J2" s="39">
        <v>0.46180555555555558</v>
      </c>
      <c r="K2" s="40">
        <v>0.45694444444444443</v>
      </c>
      <c r="L2" s="39">
        <v>0.26041666666666669</v>
      </c>
      <c r="M2" s="40">
        <v>0.26319444444444445</v>
      </c>
      <c r="N2" s="40" t="s">
        <v>159</v>
      </c>
      <c r="O2" s="27" t="s">
        <v>168</v>
      </c>
      <c r="P2" s="27">
        <v>586</v>
      </c>
      <c r="Q2" s="27">
        <v>959</v>
      </c>
      <c r="R2" s="16">
        <v>0</v>
      </c>
      <c r="S2" s="16">
        <v>0</v>
      </c>
      <c r="T2" s="16">
        <v>0</v>
      </c>
      <c r="U2" s="16">
        <v>0</v>
      </c>
    </row>
    <row r="3" spans="1:21" s="14" customFormat="1" ht="12.75" x14ac:dyDescent="0.2">
      <c r="A3" s="54">
        <f>A2</f>
        <v>44085</v>
      </c>
      <c r="B3" s="16" t="s">
        <v>21</v>
      </c>
      <c r="C3" s="41" t="s">
        <v>58</v>
      </c>
      <c r="D3" s="1" t="s">
        <v>23</v>
      </c>
      <c r="E3" s="41" t="s">
        <v>67</v>
      </c>
      <c r="F3" s="41" t="s">
        <v>24</v>
      </c>
      <c r="G3" s="55">
        <v>70000</v>
      </c>
      <c r="H3" s="41" t="s">
        <v>59</v>
      </c>
      <c r="I3" s="41" t="s">
        <v>60</v>
      </c>
      <c r="J3" s="39">
        <v>0.72569444444444453</v>
      </c>
      <c r="K3" s="40">
        <v>0.72569444444444453</v>
      </c>
      <c r="L3" s="39">
        <v>0.5</v>
      </c>
      <c r="M3" s="40">
        <v>0.50416666666666665</v>
      </c>
      <c r="N3" s="22" t="s">
        <v>169</v>
      </c>
      <c r="O3" s="27" t="s">
        <v>171</v>
      </c>
      <c r="P3" s="27">
        <v>522</v>
      </c>
      <c r="Q3" s="27">
        <v>1205</v>
      </c>
      <c r="R3" s="16">
        <v>0</v>
      </c>
      <c r="S3" s="16">
        <v>0</v>
      </c>
      <c r="T3" s="16">
        <v>0</v>
      </c>
      <c r="U3" s="16">
        <v>0</v>
      </c>
    </row>
    <row r="4" spans="1:21" s="14" customFormat="1" ht="12.75" x14ac:dyDescent="0.2">
      <c r="A4" s="54">
        <f>A3</f>
        <v>44085</v>
      </c>
      <c r="B4" s="16" t="s">
        <v>21</v>
      </c>
      <c r="C4" s="41" t="s">
        <v>99</v>
      </c>
      <c r="D4" s="1" t="s">
        <v>23</v>
      </c>
      <c r="E4" s="41" t="s">
        <v>42</v>
      </c>
      <c r="F4" s="41" t="s">
        <v>24</v>
      </c>
      <c r="G4" s="55">
        <v>71500</v>
      </c>
      <c r="H4" s="41" t="s">
        <v>100</v>
      </c>
      <c r="I4" s="41" t="s">
        <v>101</v>
      </c>
      <c r="J4" s="39">
        <v>0.75</v>
      </c>
      <c r="K4" s="40">
        <v>0.73472222222222217</v>
      </c>
      <c r="L4" s="39">
        <v>0.53472222222222221</v>
      </c>
      <c r="M4" s="40">
        <v>0.53541666666666665</v>
      </c>
      <c r="N4" s="22" t="s">
        <v>170</v>
      </c>
      <c r="O4" s="27" t="s">
        <v>172</v>
      </c>
      <c r="P4" s="27">
        <v>324</v>
      </c>
      <c r="Q4" s="27">
        <v>927</v>
      </c>
      <c r="R4" s="16">
        <v>0</v>
      </c>
      <c r="S4" s="16">
        <v>0</v>
      </c>
      <c r="T4" s="16">
        <v>0</v>
      </c>
      <c r="U4" s="16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A6" sqref="A6"/>
    </sheetView>
  </sheetViews>
  <sheetFormatPr defaultRowHeight="15" x14ac:dyDescent="0.25"/>
  <cols>
    <col min="2" max="2" width="10.140625" bestFit="1" customWidth="1"/>
    <col min="3" max="3" width="13.42578125" bestFit="1" customWidth="1"/>
    <col min="6" max="6" width="18.5703125" bestFit="1" customWidth="1"/>
    <col min="13" max="13" width="10.85546875" bestFit="1" customWidth="1"/>
  </cols>
  <sheetData>
    <row r="1" spans="1:21" s="80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ht="12.75" x14ac:dyDescent="0.2">
      <c r="A2" s="3">
        <v>44086</v>
      </c>
      <c r="B2" s="4" t="s">
        <v>21</v>
      </c>
      <c r="C2" s="4" t="s">
        <v>22</v>
      </c>
      <c r="D2" s="4" t="s">
        <v>23</v>
      </c>
      <c r="E2" s="4" t="s">
        <v>42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0.44930555555555557</v>
      </c>
      <c r="L2" s="6">
        <v>0.28125</v>
      </c>
      <c r="M2" s="7">
        <v>0.28333333333333333</v>
      </c>
      <c r="N2" s="8" t="s">
        <v>175</v>
      </c>
      <c r="O2" s="8" t="s">
        <v>173</v>
      </c>
      <c r="P2" s="8">
        <v>783</v>
      </c>
      <c r="Q2" s="8">
        <v>860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ht="12.75" x14ac:dyDescent="0.2">
      <c r="A3" s="3">
        <f>A2</f>
        <v>44086</v>
      </c>
      <c r="B3" s="4" t="s">
        <v>21</v>
      </c>
      <c r="C3" s="4" t="s">
        <v>81</v>
      </c>
      <c r="D3" s="4" t="s">
        <v>23</v>
      </c>
      <c r="E3" s="4" t="s">
        <v>67</v>
      </c>
      <c r="F3" s="4" t="s">
        <v>24</v>
      </c>
      <c r="G3" s="5">
        <v>70000</v>
      </c>
      <c r="H3" s="4" t="s">
        <v>80</v>
      </c>
      <c r="I3" s="4" t="s">
        <v>79</v>
      </c>
      <c r="J3" s="6">
        <v>0.54166666666666663</v>
      </c>
      <c r="K3" s="7">
        <v>0.53472222222222221</v>
      </c>
      <c r="L3" s="6">
        <v>0.39583333333333331</v>
      </c>
      <c r="M3" s="7">
        <v>0.40277777777777773</v>
      </c>
      <c r="N3" s="8" t="s">
        <v>176</v>
      </c>
      <c r="O3" s="8" t="s">
        <v>174</v>
      </c>
      <c r="P3" s="8">
        <v>741</v>
      </c>
      <c r="Q3" s="8">
        <v>892</v>
      </c>
      <c r="R3" s="4">
        <v>0</v>
      </c>
      <c r="S3" s="4">
        <v>0</v>
      </c>
      <c r="T3" s="4">
        <v>0</v>
      </c>
      <c r="U3" s="4">
        <v>0</v>
      </c>
    </row>
    <row r="4" spans="1:21" s="8" customFormat="1" ht="12.75" x14ac:dyDescent="0.2">
      <c r="A4" s="3">
        <f>A3</f>
        <v>44086</v>
      </c>
      <c r="B4" s="9" t="s">
        <v>21</v>
      </c>
      <c r="C4" s="9" t="s">
        <v>32</v>
      </c>
      <c r="D4" s="9" t="s">
        <v>23</v>
      </c>
      <c r="E4" s="4" t="s">
        <v>42</v>
      </c>
      <c r="F4" s="9" t="s">
        <v>24</v>
      </c>
      <c r="G4" s="5">
        <v>71500</v>
      </c>
      <c r="H4" s="4" t="s">
        <v>34</v>
      </c>
      <c r="I4" s="4" t="s">
        <v>35</v>
      </c>
      <c r="J4" s="10">
        <v>0.70138888888888884</v>
      </c>
      <c r="K4" s="7">
        <v>0.68611111111111101</v>
      </c>
      <c r="L4" s="10">
        <v>0.49652777777777773</v>
      </c>
      <c r="M4" s="7">
        <v>0.5</v>
      </c>
      <c r="N4" s="8" t="s">
        <v>177</v>
      </c>
      <c r="O4" s="8" t="s">
        <v>112</v>
      </c>
      <c r="P4" s="8">
        <v>360</v>
      </c>
      <c r="Q4" s="8">
        <v>748</v>
      </c>
      <c r="R4" s="9">
        <v>0</v>
      </c>
      <c r="S4" s="9">
        <v>0</v>
      </c>
      <c r="T4" s="9">
        <v>0</v>
      </c>
      <c r="U4" s="9">
        <v>0</v>
      </c>
    </row>
    <row r="5" spans="1:21" s="8" customFormat="1" ht="12.75" x14ac:dyDescent="0.2">
      <c r="A5" s="3">
        <f>A4</f>
        <v>44086</v>
      </c>
      <c r="B5" s="9" t="s">
        <v>21</v>
      </c>
      <c r="C5" s="9" t="s">
        <v>36</v>
      </c>
      <c r="D5" s="9" t="s">
        <v>23</v>
      </c>
      <c r="E5" s="4" t="s">
        <v>67</v>
      </c>
      <c r="F5" s="9" t="s">
        <v>24</v>
      </c>
      <c r="G5" s="11">
        <v>70000</v>
      </c>
      <c r="H5" s="9" t="s">
        <v>37</v>
      </c>
      <c r="I5" s="9" t="s">
        <v>38</v>
      </c>
      <c r="J5" s="12">
        <v>0.73958333333333337</v>
      </c>
      <c r="K5" s="7">
        <v>0.72499999999999998</v>
      </c>
      <c r="L5" s="12">
        <v>0.57291666666666663</v>
      </c>
      <c r="M5" s="7">
        <v>0.57222222222222219</v>
      </c>
      <c r="N5" s="8" t="s">
        <v>179</v>
      </c>
      <c r="O5" s="8" t="s">
        <v>178</v>
      </c>
      <c r="P5" s="8">
        <v>558</v>
      </c>
      <c r="Q5" s="8">
        <v>761</v>
      </c>
      <c r="R5" s="9">
        <v>0</v>
      </c>
      <c r="S5" s="9">
        <v>0</v>
      </c>
      <c r="T5" s="9">
        <v>0</v>
      </c>
      <c r="U5" s="9">
        <v>0</v>
      </c>
    </row>
    <row r="6" spans="1:21" s="8" customFormat="1" ht="12.75" x14ac:dyDescent="0.2">
      <c r="A6" s="3">
        <f>A5</f>
        <v>44086</v>
      </c>
      <c r="B6" s="8" t="s">
        <v>21</v>
      </c>
      <c r="C6" s="8" t="s">
        <v>39</v>
      </c>
      <c r="D6" s="8" t="s">
        <v>23</v>
      </c>
      <c r="E6" s="4" t="s">
        <v>67</v>
      </c>
      <c r="F6" s="8" t="s">
        <v>24</v>
      </c>
      <c r="G6" s="5">
        <v>70000</v>
      </c>
      <c r="H6" s="8" t="s">
        <v>40</v>
      </c>
      <c r="I6" s="8" t="s">
        <v>41</v>
      </c>
      <c r="J6" s="10">
        <v>0.95486111111111116</v>
      </c>
      <c r="K6" s="7">
        <v>0.94166666666666676</v>
      </c>
      <c r="L6" s="10">
        <v>0.77777777777777779</v>
      </c>
      <c r="M6" s="7">
        <v>0.77500000000000002</v>
      </c>
      <c r="N6" s="8" t="s">
        <v>181</v>
      </c>
      <c r="O6" s="8" t="s">
        <v>180</v>
      </c>
      <c r="P6" s="8">
        <v>586</v>
      </c>
      <c r="Q6" s="8">
        <v>988</v>
      </c>
      <c r="R6" s="8">
        <v>0</v>
      </c>
      <c r="S6" s="8">
        <v>0</v>
      </c>
      <c r="T6" s="8">
        <v>0</v>
      </c>
      <c r="U6" s="8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6"/>
  <sheetViews>
    <sheetView workbookViewId="0">
      <selection sqref="A1:XFD1048576"/>
    </sheetView>
  </sheetViews>
  <sheetFormatPr defaultRowHeight="15" x14ac:dyDescent="0.25"/>
  <cols>
    <col min="3" max="3" width="13.28515625" bestFit="1" customWidth="1"/>
    <col min="6" max="6" width="12.1406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44087</v>
      </c>
      <c r="B2" s="58" t="s">
        <v>21</v>
      </c>
      <c r="C2" s="58" t="s">
        <v>55</v>
      </c>
      <c r="D2" s="58" t="s">
        <v>23</v>
      </c>
      <c r="E2" s="58" t="s">
        <v>42</v>
      </c>
      <c r="F2" s="58" t="s">
        <v>24</v>
      </c>
      <c r="G2" s="65">
        <v>71500</v>
      </c>
      <c r="H2" s="58" t="s">
        <v>56</v>
      </c>
      <c r="I2" s="58" t="s">
        <v>57</v>
      </c>
      <c r="J2" s="66">
        <v>0.4826388888888889</v>
      </c>
      <c r="K2" s="67">
        <v>0.47152777777777777</v>
      </c>
      <c r="L2" s="66">
        <v>0.27430555555555552</v>
      </c>
      <c r="M2" s="67">
        <v>0.3034722222222222</v>
      </c>
      <c r="N2" s="67" t="s">
        <v>183</v>
      </c>
      <c r="O2" s="67" t="s">
        <v>182</v>
      </c>
      <c r="P2" s="68">
        <v>1011</v>
      </c>
      <c r="Q2" s="68">
        <v>823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s="8" customFormat="1" ht="12.75" x14ac:dyDescent="0.2">
      <c r="A3" s="3">
        <f>A2</f>
        <v>44087</v>
      </c>
      <c r="B3" s="58" t="s">
        <v>21</v>
      </c>
      <c r="C3" s="9" t="s">
        <v>58</v>
      </c>
      <c r="D3" s="58" t="s">
        <v>23</v>
      </c>
      <c r="E3" s="58" t="s">
        <v>67</v>
      </c>
      <c r="F3" s="58" t="s">
        <v>24</v>
      </c>
      <c r="G3" s="65">
        <v>70000</v>
      </c>
      <c r="H3" s="9" t="s">
        <v>59</v>
      </c>
      <c r="I3" s="9" t="s">
        <v>60</v>
      </c>
      <c r="J3" s="70">
        <v>0.73263888888888884</v>
      </c>
      <c r="K3" s="71">
        <v>0.72777777777777775</v>
      </c>
      <c r="L3" s="70">
        <v>0.50694444444444442</v>
      </c>
      <c r="M3" s="71">
        <v>0.50694444444444442</v>
      </c>
      <c r="N3" s="71" t="s">
        <v>187</v>
      </c>
      <c r="O3" s="68" t="s">
        <v>184</v>
      </c>
      <c r="P3" s="58">
        <v>513</v>
      </c>
      <c r="Q3" s="68">
        <v>982</v>
      </c>
      <c r="R3" s="9">
        <v>0</v>
      </c>
      <c r="S3" s="9">
        <v>0</v>
      </c>
      <c r="T3" s="9">
        <v>0</v>
      </c>
      <c r="U3" s="9">
        <v>0</v>
      </c>
      <c r="V3" s="69"/>
    </row>
    <row r="4" spans="1:22" s="8" customFormat="1" ht="12.75" x14ac:dyDescent="0.2">
      <c r="A4" s="3">
        <f t="shared" ref="A4:A6" si="0">A3</f>
        <v>44087</v>
      </c>
      <c r="B4" s="58" t="s">
        <v>21</v>
      </c>
      <c r="C4" s="72" t="s">
        <v>61</v>
      </c>
      <c r="D4" s="58" t="s">
        <v>23</v>
      </c>
      <c r="E4" s="71" t="str">
        <f>E2</f>
        <v>HALPM</v>
      </c>
      <c r="F4" s="58" t="s">
        <v>24</v>
      </c>
      <c r="G4" s="65">
        <v>71500</v>
      </c>
      <c r="H4" s="58" t="s">
        <v>62</v>
      </c>
      <c r="I4" s="72" t="s">
        <v>63</v>
      </c>
      <c r="J4" s="73">
        <v>0.75</v>
      </c>
      <c r="K4" s="48">
        <v>0.73472222222222217</v>
      </c>
      <c r="L4" s="73">
        <v>0.51388888888888895</v>
      </c>
      <c r="M4" s="74">
        <v>0.5180555555555556</v>
      </c>
      <c r="N4" s="9" t="s">
        <v>188</v>
      </c>
      <c r="O4" s="75" t="s">
        <v>185</v>
      </c>
      <c r="P4" s="75">
        <v>1016</v>
      </c>
      <c r="Q4" s="75">
        <v>1463</v>
      </c>
      <c r="R4" s="58">
        <v>0</v>
      </c>
      <c r="S4" s="58">
        <v>0</v>
      </c>
      <c r="T4" s="58">
        <v>0</v>
      </c>
      <c r="U4" s="58">
        <v>0</v>
      </c>
      <c r="V4" s="69"/>
    </row>
    <row r="5" spans="1:22" s="8" customFormat="1" ht="12.75" x14ac:dyDescent="0.2">
      <c r="A5" s="3">
        <f t="shared" si="0"/>
        <v>44087</v>
      </c>
      <c r="B5" s="58" t="s">
        <v>21</v>
      </c>
      <c r="C5" s="71" t="s">
        <v>64</v>
      </c>
      <c r="D5" s="58" t="s">
        <v>23</v>
      </c>
      <c r="E5" s="71" t="str">
        <f>E3</f>
        <v>HALWC</v>
      </c>
      <c r="F5" s="58" t="s">
        <v>24</v>
      </c>
      <c r="G5" s="65">
        <v>70000</v>
      </c>
      <c r="H5" s="71" t="s">
        <v>121</v>
      </c>
      <c r="I5" s="71" t="s">
        <v>66</v>
      </c>
      <c r="J5" s="70">
        <v>0.94444444444444453</v>
      </c>
      <c r="K5" s="71">
        <v>0.93680555555555556</v>
      </c>
      <c r="L5" s="70">
        <v>0.75347222222222221</v>
      </c>
      <c r="M5" s="71">
        <v>0.76250000000000007</v>
      </c>
      <c r="N5" s="58" t="s">
        <v>189</v>
      </c>
      <c r="O5" s="58" t="s">
        <v>186</v>
      </c>
      <c r="P5" s="58">
        <v>871</v>
      </c>
      <c r="Q5" s="58">
        <v>1080</v>
      </c>
      <c r="R5" s="58">
        <v>0</v>
      </c>
      <c r="S5" s="58">
        <v>0</v>
      </c>
      <c r="T5" s="9">
        <v>0</v>
      </c>
      <c r="U5" s="9">
        <v>0</v>
      </c>
      <c r="V5" s="69"/>
    </row>
    <row r="6" spans="1:22" s="8" customFormat="1" ht="12.75" x14ac:dyDescent="0.2">
      <c r="A6" s="3">
        <f t="shared" si="0"/>
        <v>44087</v>
      </c>
      <c r="B6" s="58" t="s">
        <v>21</v>
      </c>
      <c r="C6" s="69" t="s">
        <v>82</v>
      </c>
      <c r="D6" s="58" t="s">
        <v>23</v>
      </c>
      <c r="E6" s="69" t="str">
        <f>E2</f>
        <v>HALPM</v>
      </c>
      <c r="F6" s="58" t="s">
        <v>24</v>
      </c>
      <c r="G6" s="65">
        <v>71500</v>
      </c>
      <c r="H6" s="69" t="s">
        <v>84</v>
      </c>
      <c r="I6" s="69" t="s">
        <v>83</v>
      </c>
      <c r="J6" s="76">
        <v>0.94097222222222221</v>
      </c>
      <c r="K6" s="77">
        <v>0.9291666666666667</v>
      </c>
      <c r="L6" s="76">
        <v>0.77083333333333337</v>
      </c>
      <c r="M6" s="77">
        <v>0.77638888888888891</v>
      </c>
      <c r="N6" s="69">
        <v>45</v>
      </c>
      <c r="O6" s="69">
        <v>68</v>
      </c>
      <c r="P6" s="69">
        <v>290</v>
      </c>
      <c r="Q6" s="69">
        <v>343</v>
      </c>
      <c r="R6" s="69">
        <v>0</v>
      </c>
      <c r="S6" s="69">
        <v>0</v>
      </c>
      <c r="T6" s="69">
        <v>0</v>
      </c>
      <c r="U6" s="69">
        <v>0</v>
      </c>
      <c r="V6" s="71"/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workbookViewId="0">
      <selection sqref="A1:XFD1"/>
    </sheetView>
  </sheetViews>
  <sheetFormatPr defaultRowHeight="15" x14ac:dyDescent="0.25"/>
  <cols>
    <col min="1" max="1" width="10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44088</v>
      </c>
      <c r="B2" s="58" t="s">
        <v>21</v>
      </c>
      <c r="C2" s="58" t="s">
        <v>52</v>
      </c>
      <c r="D2" s="58" t="s">
        <v>23</v>
      </c>
      <c r="E2" s="58" t="s">
        <v>42</v>
      </c>
      <c r="F2" s="58" t="s">
        <v>24</v>
      </c>
      <c r="G2" s="65">
        <v>71500</v>
      </c>
      <c r="H2" s="58" t="s">
        <v>53</v>
      </c>
      <c r="I2" s="58" t="s">
        <v>54</v>
      </c>
      <c r="J2" s="66">
        <v>0.46180555555555558</v>
      </c>
      <c r="K2" s="67">
        <v>0.45</v>
      </c>
      <c r="L2" s="66">
        <v>0.26041666666666669</v>
      </c>
      <c r="M2" s="67">
        <v>0.25833333333333336</v>
      </c>
      <c r="N2" s="67" t="s">
        <v>191</v>
      </c>
      <c r="O2" s="67" t="s">
        <v>190</v>
      </c>
      <c r="P2" s="68">
        <v>552</v>
      </c>
      <c r="Q2" s="68">
        <v>1107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x14ac:dyDescent="0.25">
      <c r="A3" s="45">
        <v>44088</v>
      </c>
      <c r="B3" s="41" t="s">
        <v>195</v>
      </c>
      <c r="C3" s="41" t="s">
        <v>192</v>
      </c>
      <c r="D3" s="41" t="s">
        <v>193</v>
      </c>
      <c r="E3" s="41" t="s">
        <v>194</v>
      </c>
      <c r="F3" s="41" t="s">
        <v>140</v>
      </c>
      <c r="G3" s="55">
        <v>2250</v>
      </c>
      <c r="H3" s="41"/>
      <c r="I3" s="41"/>
      <c r="J3" s="40">
        <v>0.45833333333333331</v>
      </c>
      <c r="K3" s="40">
        <v>0.50138888888888888</v>
      </c>
      <c r="L3" s="40">
        <v>0.47916666666666669</v>
      </c>
      <c r="M3" s="40">
        <v>0.53055555555555556</v>
      </c>
      <c r="N3" s="87"/>
    </row>
  </sheetData>
  <pageMargins left="0.7" right="0.7" top="0.75" bottom="0.75" header="0.3" footer="0.3"/>
  <pageSetup paperSize="9" orientation="portrait" verticalDpi="0" r:id="rId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zoomScale="80" zoomScaleNormal="80" workbookViewId="0">
      <selection activeCell="C18" sqref="C18"/>
    </sheetView>
  </sheetViews>
  <sheetFormatPr defaultRowHeight="15" x14ac:dyDescent="0.25"/>
  <cols>
    <col min="1" max="1" width="12.7109375" customWidth="1"/>
    <col min="3" max="3" width="12.140625" bestFit="1" customWidth="1"/>
    <col min="6" max="6" width="11.140625" bestFit="1" customWidth="1"/>
    <col min="8" max="9" width="10.5703125" bestFit="1" customWidth="1"/>
    <col min="10" max="10" width="11.85546875" bestFit="1" customWidth="1"/>
    <col min="11" max="11" width="11.7109375" bestFit="1" customWidth="1"/>
    <col min="12" max="12" width="11.85546875" bestFit="1" customWidth="1"/>
    <col min="13" max="13" width="11.7109375" bestFit="1" customWidth="1"/>
    <col min="14" max="15" width="16.7109375" bestFit="1" customWidth="1"/>
    <col min="16" max="16" width="10.7109375" bestFit="1" customWidth="1"/>
    <col min="17" max="17" width="10.85546875" bestFit="1" customWidth="1"/>
  </cols>
  <sheetData>
    <row r="1" spans="1:21" s="64" customFormat="1" ht="12.75" x14ac:dyDescent="0.25">
      <c r="A1" s="88" t="s">
        <v>0</v>
      </c>
      <c r="B1" s="88" t="s">
        <v>1</v>
      </c>
      <c r="C1" s="88" t="s">
        <v>2</v>
      </c>
      <c r="D1" s="88" t="s">
        <v>3</v>
      </c>
      <c r="E1" s="88" t="s">
        <v>4</v>
      </c>
      <c r="F1" s="88" t="s">
        <v>5</v>
      </c>
      <c r="G1" s="88" t="s">
        <v>6</v>
      </c>
      <c r="H1" s="88" t="s">
        <v>7</v>
      </c>
      <c r="I1" s="88" t="s">
        <v>8</v>
      </c>
      <c r="J1" s="88" t="s">
        <v>9</v>
      </c>
      <c r="K1" s="88" t="s">
        <v>10</v>
      </c>
      <c r="L1" s="88" t="s">
        <v>11</v>
      </c>
      <c r="M1" s="88" t="s">
        <v>12</v>
      </c>
      <c r="N1" s="88" t="s">
        <v>13</v>
      </c>
      <c r="O1" s="88" t="s">
        <v>14</v>
      </c>
      <c r="P1" s="88" t="s">
        <v>15</v>
      </c>
      <c r="Q1" s="88" t="s">
        <v>16</v>
      </c>
      <c r="R1" s="88" t="s">
        <v>17</v>
      </c>
      <c r="S1" s="88" t="s">
        <v>18</v>
      </c>
      <c r="T1" s="88" t="s">
        <v>19</v>
      </c>
      <c r="U1" s="88" t="s">
        <v>20</v>
      </c>
    </row>
    <row r="2" spans="1:21" x14ac:dyDescent="0.25">
      <c r="A2" s="89">
        <v>44089</v>
      </c>
      <c r="B2" s="90" t="s">
        <v>21</v>
      </c>
      <c r="C2" s="90" t="s">
        <v>22</v>
      </c>
      <c r="D2" s="90" t="s">
        <v>23</v>
      </c>
      <c r="E2" s="90" t="s">
        <v>67</v>
      </c>
      <c r="F2" s="90" t="s">
        <v>24</v>
      </c>
      <c r="G2" s="92">
        <v>70000</v>
      </c>
      <c r="H2" s="90" t="s">
        <v>196</v>
      </c>
      <c r="I2" s="90" t="s">
        <v>26</v>
      </c>
      <c r="J2" s="93">
        <v>0.4548611111111111</v>
      </c>
      <c r="K2" s="93">
        <v>0.45277777777777778</v>
      </c>
      <c r="L2" s="93">
        <v>0.28125</v>
      </c>
      <c r="M2" s="93">
        <v>0.28055555555555556</v>
      </c>
      <c r="N2" s="90" t="s">
        <v>198</v>
      </c>
      <c r="O2" s="90" t="s">
        <v>197</v>
      </c>
      <c r="P2" s="91">
        <v>486</v>
      </c>
      <c r="Q2" s="91">
        <v>401</v>
      </c>
      <c r="R2" s="91"/>
      <c r="S2" s="91"/>
      <c r="T2" s="91"/>
      <c r="U2" s="91"/>
    </row>
    <row r="3" spans="1:21" x14ac:dyDescent="0.25">
      <c r="A3" s="89">
        <v>44089</v>
      </c>
      <c r="B3" s="90" t="s">
        <v>21</v>
      </c>
      <c r="C3" s="42" t="s">
        <v>32</v>
      </c>
      <c r="D3" s="90" t="s">
        <v>23</v>
      </c>
      <c r="E3" s="90" t="s">
        <v>67</v>
      </c>
      <c r="F3" s="90" t="s">
        <v>24</v>
      </c>
      <c r="G3" s="92">
        <v>70000</v>
      </c>
      <c r="H3" s="42" t="s">
        <v>34</v>
      </c>
      <c r="I3" s="42" t="s">
        <v>35</v>
      </c>
      <c r="J3" s="94">
        <v>0.70138888888888884</v>
      </c>
      <c r="K3" s="94">
        <v>0.6958333333333333</v>
      </c>
      <c r="L3" s="94">
        <v>0.49652777777777773</v>
      </c>
      <c r="M3" s="94">
        <v>0.49861111111111112</v>
      </c>
      <c r="N3" s="42" t="s">
        <v>157</v>
      </c>
      <c r="O3" s="42" t="s">
        <v>106</v>
      </c>
      <c r="P3" s="42">
        <v>556</v>
      </c>
      <c r="Q3" s="42">
        <v>576</v>
      </c>
      <c r="R3" s="42"/>
      <c r="S3" s="42"/>
      <c r="T3" s="42"/>
      <c r="U3" s="42"/>
    </row>
    <row r="4" spans="1:21" x14ac:dyDescent="0.25">
      <c r="A4" s="89">
        <v>44089</v>
      </c>
      <c r="B4" s="90" t="s">
        <v>21</v>
      </c>
      <c r="C4" s="42" t="s">
        <v>39</v>
      </c>
      <c r="D4" s="90" t="s">
        <v>23</v>
      </c>
      <c r="E4" s="90" t="s">
        <v>67</v>
      </c>
      <c r="F4" s="90" t="s">
        <v>24</v>
      </c>
      <c r="G4" s="92">
        <v>70000</v>
      </c>
      <c r="H4" s="42" t="s">
        <v>40</v>
      </c>
      <c r="I4" s="42" t="s">
        <v>41</v>
      </c>
      <c r="J4" s="94">
        <v>0.95138888888888884</v>
      </c>
      <c r="K4" s="94">
        <v>0.94652777777777775</v>
      </c>
      <c r="L4" s="94">
        <v>0.77777777777777779</v>
      </c>
      <c r="M4" s="94">
        <v>0.77361111111111114</v>
      </c>
      <c r="N4" s="42" t="s">
        <v>199</v>
      </c>
      <c r="O4" s="42" t="s">
        <v>169</v>
      </c>
      <c r="P4" s="42">
        <v>523</v>
      </c>
      <c r="Q4" s="42">
        <v>878</v>
      </c>
      <c r="R4" s="42"/>
      <c r="S4" s="42"/>
      <c r="T4" s="42"/>
      <c r="U4" s="42"/>
    </row>
  </sheetData>
  <pageMargins left="0.7" right="0.7" top="0.75" bottom="0.75" header="0.3" footer="0.3"/>
  <pageSetup paperSize="9" orientation="portrait" verticalDpi="0" r:id="rId1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zoomScale="80" zoomScaleNormal="80" workbookViewId="0">
      <selection activeCell="L6" sqref="L6"/>
    </sheetView>
  </sheetViews>
  <sheetFormatPr defaultColWidth="15.42578125" defaultRowHeight="15" x14ac:dyDescent="0.25"/>
  <sheetData>
    <row r="1" spans="1:21" s="96" customFormat="1" ht="12.75" x14ac:dyDescent="0.2">
      <c r="A1" s="95" t="s">
        <v>0</v>
      </c>
      <c r="B1" s="95" t="s">
        <v>1</v>
      </c>
      <c r="C1" s="95" t="s">
        <v>2</v>
      </c>
      <c r="D1" s="95" t="s">
        <v>3</v>
      </c>
      <c r="E1" s="95" t="s">
        <v>4</v>
      </c>
      <c r="F1" s="95" t="s">
        <v>5</v>
      </c>
      <c r="G1" s="95" t="s">
        <v>6</v>
      </c>
      <c r="H1" s="95" t="s">
        <v>7</v>
      </c>
      <c r="I1" s="95" t="s">
        <v>8</v>
      </c>
      <c r="J1" s="95" t="s">
        <v>9</v>
      </c>
      <c r="K1" s="95" t="s">
        <v>10</v>
      </c>
      <c r="L1" s="95" t="s">
        <v>11</v>
      </c>
      <c r="M1" s="95" t="s">
        <v>12</v>
      </c>
      <c r="N1" s="95" t="s">
        <v>13</v>
      </c>
      <c r="O1" s="95" t="s">
        <v>14</v>
      </c>
      <c r="P1" s="95" t="s">
        <v>15</v>
      </c>
      <c r="Q1" s="95" t="s">
        <v>16</v>
      </c>
      <c r="R1" s="95" t="s">
        <v>17</v>
      </c>
      <c r="S1" s="95" t="s">
        <v>18</v>
      </c>
      <c r="T1" s="95" t="s">
        <v>19</v>
      </c>
      <c r="U1" s="95" t="s">
        <v>20</v>
      </c>
    </row>
    <row r="2" spans="1:21" s="14" customFormat="1" ht="12.75" x14ac:dyDescent="0.2">
      <c r="A2" s="15">
        <v>44083</v>
      </c>
      <c r="B2" s="16" t="s">
        <v>21</v>
      </c>
      <c r="C2" s="22" t="s">
        <v>61</v>
      </c>
      <c r="D2" s="17" t="s">
        <v>23</v>
      </c>
      <c r="E2" s="17" t="s">
        <v>42</v>
      </c>
      <c r="F2" s="17" t="s">
        <v>24</v>
      </c>
      <c r="G2" s="18">
        <v>71500</v>
      </c>
      <c r="H2" s="22" t="s">
        <v>62</v>
      </c>
      <c r="I2" s="22" t="s">
        <v>63</v>
      </c>
      <c r="J2" s="24">
        <v>0.75</v>
      </c>
      <c r="K2" s="25">
        <v>0.74444444444444446</v>
      </c>
      <c r="L2" s="24">
        <v>0.51388888888888895</v>
      </c>
      <c r="M2" s="25">
        <v>0.51874999999999993</v>
      </c>
      <c r="N2" s="22" t="s">
        <v>201</v>
      </c>
      <c r="O2" s="22" t="s">
        <v>200</v>
      </c>
      <c r="P2" s="22">
        <v>575</v>
      </c>
      <c r="Q2" s="27">
        <v>1304</v>
      </c>
      <c r="R2" s="22">
        <v>0</v>
      </c>
      <c r="S2" s="22">
        <v>0</v>
      </c>
      <c r="T2" s="22">
        <v>0</v>
      </c>
      <c r="U2" s="2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sqref="A1:XFD1048576"/>
    </sheetView>
  </sheetViews>
  <sheetFormatPr defaultRowHeight="15" x14ac:dyDescent="0.25"/>
  <cols>
    <col min="2" max="2" width="20.7109375" bestFit="1" customWidth="1"/>
    <col min="3" max="3" width="16" bestFit="1" customWidth="1"/>
    <col min="4" max="4" width="5.7109375" bestFit="1" customWidth="1"/>
    <col min="6" max="6" width="21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42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2" s="42" customFormat="1" x14ac:dyDescent="0.25">
      <c r="A2" s="3">
        <v>44091</v>
      </c>
      <c r="B2" s="9" t="s">
        <v>21</v>
      </c>
      <c r="C2" s="9" t="s">
        <v>81</v>
      </c>
      <c r="D2" s="9" t="s">
        <v>23</v>
      </c>
      <c r="E2" s="44" t="s">
        <v>67</v>
      </c>
      <c r="F2" s="9" t="s">
        <v>24</v>
      </c>
      <c r="G2" s="43">
        <v>70000</v>
      </c>
      <c r="H2" s="44" t="s">
        <v>80</v>
      </c>
      <c r="I2" s="44" t="s">
        <v>79</v>
      </c>
      <c r="J2" s="39">
        <v>0.55555555555555558</v>
      </c>
      <c r="K2" s="48">
        <v>0.54027777777777775</v>
      </c>
      <c r="L2" s="39">
        <v>0.40972222222222227</v>
      </c>
      <c r="M2" s="40">
        <v>0.40902777777777777</v>
      </c>
      <c r="N2" s="9" t="s">
        <v>203</v>
      </c>
      <c r="O2" s="49" t="s">
        <v>202</v>
      </c>
      <c r="P2" s="44">
        <v>690</v>
      </c>
      <c r="Q2" s="47">
        <v>932</v>
      </c>
      <c r="R2" s="9">
        <v>0</v>
      </c>
      <c r="S2" s="9">
        <v>0</v>
      </c>
      <c r="T2" s="9">
        <v>0</v>
      </c>
      <c r="U2" s="9">
        <v>0</v>
      </c>
    </row>
    <row r="3" spans="1:22" s="42" customFormat="1" x14ac:dyDescent="0.25">
      <c r="A3" s="3">
        <v>44091</v>
      </c>
      <c r="B3" s="9" t="s">
        <v>21</v>
      </c>
      <c r="C3" s="9" t="s">
        <v>82</v>
      </c>
      <c r="D3" s="9" t="s">
        <v>23</v>
      </c>
      <c r="E3" s="44" t="s">
        <v>67</v>
      </c>
      <c r="F3" s="9" t="s">
        <v>24</v>
      </c>
      <c r="G3" s="43">
        <v>70000</v>
      </c>
      <c r="H3" s="9" t="s">
        <v>84</v>
      </c>
      <c r="I3" s="9" t="s">
        <v>83</v>
      </c>
      <c r="J3" s="12">
        <v>0.75694444444444453</v>
      </c>
      <c r="K3" s="46">
        <v>0.74583333333333324</v>
      </c>
      <c r="L3" s="12">
        <v>0.58680555555555558</v>
      </c>
      <c r="M3" s="40">
        <v>0.58402777777777781</v>
      </c>
      <c r="N3" s="9" t="s">
        <v>212</v>
      </c>
      <c r="O3" s="9" t="s">
        <v>204</v>
      </c>
      <c r="P3" s="9">
        <v>389</v>
      </c>
      <c r="Q3" s="9">
        <v>478</v>
      </c>
      <c r="R3" s="9">
        <v>0</v>
      </c>
      <c r="S3" s="9">
        <v>0</v>
      </c>
      <c r="T3" s="9">
        <v>0</v>
      </c>
      <c r="U3" s="9">
        <v>0</v>
      </c>
    </row>
    <row r="4" spans="1:22" s="42" customFormat="1" x14ac:dyDescent="0.25">
      <c r="A4" s="3">
        <f>A3</f>
        <v>44091</v>
      </c>
      <c r="B4" s="9" t="s">
        <v>205</v>
      </c>
      <c r="C4" s="9" t="s">
        <v>206</v>
      </c>
      <c r="D4" s="9" t="s">
        <v>207</v>
      </c>
      <c r="E4" s="44" t="s">
        <v>208</v>
      </c>
      <c r="F4" s="9" t="s">
        <v>209</v>
      </c>
      <c r="G4" s="43">
        <v>5613</v>
      </c>
      <c r="H4" s="9" t="s">
        <v>210</v>
      </c>
      <c r="I4" s="9" t="str">
        <f>H4</f>
        <v>SOW4</v>
      </c>
      <c r="J4" s="12">
        <v>0.33680555555555558</v>
      </c>
      <c r="K4" s="46">
        <v>0.33749999999999997</v>
      </c>
      <c r="L4" s="12">
        <v>0.70833333333333337</v>
      </c>
      <c r="M4" s="40">
        <f>L4</f>
        <v>0.70833333333333337</v>
      </c>
      <c r="N4" s="9" t="s">
        <v>211</v>
      </c>
      <c r="O4" s="9" t="s">
        <v>211</v>
      </c>
      <c r="P4" s="9">
        <v>0</v>
      </c>
      <c r="Q4" s="9">
        <v>0</v>
      </c>
      <c r="R4" s="9">
        <v>0</v>
      </c>
      <c r="S4" s="9">
        <v>0</v>
      </c>
      <c r="T4" s="9">
        <v>0</v>
      </c>
      <c r="U4" s="9">
        <v>0</v>
      </c>
    </row>
    <row r="5" spans="1:22" x14ac:dyDescent="0.25">
      <c r="A5" s="45"/>
      <c r="B5" s="9"/>
      <c r="C5" s="9"/>
      <c r="D5" s="9"/>
      <c r="E5" s="44"/>
      <c r="F5" s="9"/>
      <c r="G5" s="43"/>
      <c r="H5" s="41"/>
      <c r="I5" s="40"/>
      <c r="J5" s="40"/>
      <c r="K5" s="40"/>
      <c r="L5" s="40"/>
      <c r="M5" s="40"/>
      <c r="N5" s="85"/>
      <c r="O5" s="86"/>
      <c r="P5" s="52"/>
      <c r="Q5" s="52"/>
      <c r="R5" s="9"/>
      <c r="S5" s="9"/>
      <c r="T5" s="9"/>
      <c r="U5" s="9"/>
      <c r="V5" s="53"/>
    </row>
  </sheetData>
  <pageMargins left="0.7" right="0.7" top="0.75" bottom="0.75" header="0.3" footer="0.3"/>
  <pageSetup paperSize="9" orientation="portrait" verticalDpi="0" r:id="rId1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workbookViewId="0">
      <selection activeCell="K5" sqref="K5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</row>
    <row r="2" spans="1:21" s="14" customFormat="1" ht="12.75" x14ac:dyDescent="0.2">
      <c r="A2" s="3">
        <v>44092</v>
      </c>
      <c r="B2" s="16" t="s">
        <v>21</v>
      </c>
      <c r="C2" s="41" t="s">
        <v>52</v>
      </c>
      <c r="D2" s="1" t="s">
        <v>23</v>
      </c>
      <c r="E2" s="41" t="s">
        <v>42</v>
      </c>
      <c r="F2" s="41" t="s">
        <v>24</v>
      </c>
      <c r="G2" s="55">
        <v>71500</v>
      </c>
      <c r="H2" s="41" t="s">
        <v>53</v>
      </c>
      <c r="I2" s="41" t="s">
        <v>54</v>
      </c>
      <c r="J2" s="39">
        <v>0.46180555555555558</v>
      </c>
      <c r="K2" s="40">
        <v>0.44930555555555557</v>
      </c>
      <c r="L2" s="39">
        <v>0.26041666666666669</v>
      </c>
      <c r="M2" s="40">
        <v>0.2590277777777778</v>
      </c>
      <c r="N2" s="40" t="s">
        <v>215</v>
      </c>
      <c r="O2" s="27" t="s">
        <v>217</v>
      </c>
      <c r="P2" s="27">
        <v>584</v>
      </c>
      <c r="Q2" s="27">
        <v>1488</v>
      </c>
      <c r="R2" s="16">
        <v>0</v>
      </c>
      <c r="S2" s="16">
        <v>0</v>
      </c>
      <c r="T2" s="16">
        <v>0</v>
      </c>
      <c r="U2" s="16">
        <v>0</v>
      </c>
    </row>
    <row r="3" spans="1:21" s="14" customFormat="1" ht="12.75" x14ac:dyDescent="0.2">
      <c r="A3" s="3">
        <v>44092</v>
      </c>
      <c r="B3" s="58" t="s">
        <v>21</v>
      </c>
      <c r="C3" s="58" t="s">
        <v>55</v>
      </c>
      <c r="D3" s="58" t="s">
        <v>23</v>
      </c>
      <c r="E3" s="58" t="s">
        <v>213</v>
      </c>
      <c r="F3" s="58" t="s">
        <v>24</v>
      </c>
      <c r="G3" s="65">
        <v>70000</v>
      </c>
      <c r="H3" s="58" t="s">
        <v>56</v>
      </c>
      <c r="I3" s="58" t="s">
        <v>57</v>
      </c>
      <c r="J3" s="66">
        <v>0.4826388888888889</v>
      </c>
      <c r="K3" s="67">
        <v>0.48194444444444445</v>
      </c>
      <c r="L3" s="66">
        <v>0.27430555555555552</v>
      </c>
      <c r="M3" s="67">
        <v>0.28333333333333333</v>
      </c>
      <c r="N3" s="67" t="s">
        <v>216</v>
      </c>
      <c r="O3" s="67" t="s">
        <v>218</v>
      </c>
      <c r="P3" s="68">
        <v>662</v>
      </c>
      <c r="Q3" s="68">
        <v>1058</v>
      </c>
      <c r="R3" s="58">
        <v>0</v>
      </c>
      <c r="S3" s="58">
        <v>0</v>
      </c>
      <c r="T3" s="58">
        <v>0</v>
      </c>
      <c r="U3" s="58">
        <v>0</v>
      </c>
    </row>
    <row r="4" spans="1:21" s="14" customFormat="1" ht="12.75" x14ac:dyDescent="0.2">
      <c r="A4" s="3">
        <v>44092</v>
      </c>
      <c r="B4" s="16" t="s">
        <v>21</v>
      </c>
      <c r="C4" s="41" t="s">
        <v>58</v>
      </c>
      <c r="D4" s="1" t="s">
        <v>23</v>
      </c>
      <c r="E4" s="41" t="s">
        <v>42</v>
      </c>
      <c r="F4" s="41" t="s">
        <v>24</v>
      </c>
      <c r="G4" s="55">
        <v>71500</v>
      </c>
      <c r="H4" s="41" t="s">
        <v>59</v>
      </c>
      <c r="I4" s="41" t="s">
        <v>60</v>
      </c>
      <c r="J4" s="39">
        <v>0.72569444444444453</v>
      </c>
      <c r="K4" s="40">
        <v>0.71736111111111101</v>
      </c>
      <c r="L4" s="39">
        <v>0.5</v>
      </c>
      <c r="M4" s="40">
        <v>0.49722222222222223</v>
      </c>
      <c r="N4" s="22" t="s">
        <v>221</v>
      </c>
      <c r="O4" s="27" t="s">
        <v>219</v>
      </c>
      <c r="P4" s="27">
        <v>955</v>
      </c>
      <c r="Q4" s="27">
        <v>1815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54">
        <f>A4</f>
        <v>44092</v>
      </c>
      <c r="B5" s="16" t="s">
        <v>21</v>
      </c>
      <c r="C5" s="41" t="s">
        <v>99</v>
      </c>
      <c r="D5" s="1" t="s">
        <v>23</v>
      </c>
      <c r="E5" s="41" t="s">
        <v>214</v>
      </c>
      <c r="F5" s="41" t="s">
        <v>24</v>
      </c>
      <c r="G5" s="55">
        <v>71500</v>
      </c>
      <c r="H5" s="41" t="s">
        <v>100</v>
      </c>
      <c r="I5" s="41" t="s">
        <v>101</v>
      </c>
      <c r="J5" s="39">
        <v>0.75</v>
      </c>
      <c r="K5" s="40">
        <v>0.7319444444444444</v>
      </c>
      <c r="L5" s="39">
        <v>0.53472222222222221</v>
      </c>
      <c r="M5" s="40">
        <v>0.53333333333333333</v>
      </c>
      <c r="N5" s="22" t="s">
        <v>220</v>
      </c>
      <c r="O5" s="27" t="s">
        <v>124</v>
      </c>
      <c r="P5" s="27">
        <v>207</v>
      </c>
      <c r="Q5" s="27">
        <v>1570</v>
      </c>
      <c r="R5" s="16">
        <v>0</v>
      </c>
      <c r="S5" s="16">
        <v>0</v>
      </c>
      <c r="T5" s="16">
        <v>0</v>
      </c>
      <c r="U5" s="16">
        <v>0</v>
      </c>
    </row>
    <row r="6" spans="1:21" x14ac:dyDescent="0.25">
      <c r="A6" s="3"/>
      <c r="B6" s="58"/>
      <c r="C6" s="58"/>
      <c r="D6" s="58"/>
      <c r="E6" s="58"/>
      <c r="F6" s="58"/>
      <c r="G6" s="65"/>
      <c r="H6" s="58"/>
      <c r="I6" s="58"/>
      <c r="J6" s="66"/>
      <c r="K6" s="67"/>
      <c r="L6" s="66"/>
      <c r="M6" s="67"/>
      <c r="N6" s="67"/>
      <c r="O6" s="67"/>
      <c r="P6" s="68"/>
      <c r="Q6" s="68"/>
      <c r="R6" s="58"/>
      <c r="S6" s="58"/>
      <c r="T6" s="58"/>
      <c r="U6" s="58"/>
    </row>
  </sheetData>
  <sortState ref="A3:U3">
    <sortCondition sortBy="icon" ref="A3"/>
  </sortState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topLeftCell="B1" workbookViewId="0">
      <selection activeCell="N27" sqref="N27"/>
    </sheetView>
  </sheetViews>
  <sheetFormatPr defaultRowHeight="12.75" x14ac:dyDescent="0.2"/>
  <cols>
    <col min="1" max="2" width="10.140625" style="41" bestFit="1" customWidth="1"/>
    <col min="3" max="3" width="13.42578125" style="41" bestFit="1" customWidth="1"/>
    <col min="4" max="5" width="9.140625" style="41"/>
    <col min="6" max="6" width="18.5703125" style="41" bestFit="1" customWidth="1"/>
    <col min="7" max="7" width="9.140625" style="41"/>
    <col min="8" max="9" width="9.7109375" style="41" bestFit="1" customWidth="1"/>
    <col min="10" max="10" width="11" style="41" bestFit="1" customWidth="1"/>
    <col min="11" max="11" width="10.85546875" style="41" bestFit="1" customWidth="1"/>
    <col min="12" max="12" width="11" style="41" bestFit="1" customWidth="1"/>
    <col min="13" max="13" width="10.85546875" style="41" bestFit="1" customWidth="1"/>
    <col min="14" max="15" width="18.42578125" style="41" bestFit="1" customWidth="1"/>
    <col min="16" max="16" width="10.28515625" style="41" bestFit="1" customWidth="1"/>
    <col min="17" max="16384" width="9.140625" style="41"/>
  </cols>
  <sheetData>
    <row r="1" spans="1:21" s="8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x14ac:dyDescent="0.2">
      <c r="A2" s="3">
        <v>44093</v>
      </c>
      <c r="B2" s="4" t="s">
        <v>21</v>
      </c>
      <c r="C2" s="4" t="s">
        <v>22</v>
      </c>
      <c r="D2" s="4" t="s">
        <v>23</v>
      </c>
      <c r="E2" s="4" t="s">
        <v>214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0.44930555555555557</v>
      </c>
      <c r="L2" s="6">
        <v>0.28125</v>
      </c>
      <c r="M2" s="7">
        <f>L2</f>
        <v>0.28125</v>
      </c>
      <c r="N2" s="8" t="s">
        <v>227</v>
      </c>
      <c r="O2" s="8" t="s">
        <v>226</v>
      </c>
      <c r="P2" s="8">
        <v>709</v>
      </c>
      <c r="Q2" s="8">
        <v>951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x14ac:dyDescent="0.2">
      <c r="A3" s="3">
        <v>44093</v>
      </c>
      <c r="B3" s="4" t="s">
        <v>21</v>
      </c>
      <c r="C3" s="4" t="s">
        <v>81</v>
      </c>
      <c r="D3" s="4" t="s">
        <v>23</v>
      </c>
      <c r="E3" s="4" t="s">
        <v>223</v>
      </c>
      <c r="F3" s="4" t="s">
        <v>24</v>
      </c>
      <c r="G3" s="5">
        <v>71500</v>
      </c>
      <c r="H3" s="4" t="s">
        <v>80</v>
      </c>
      <c r="I3" s="4" t="s">
        <v>79</v>
      </c>
      <c r="J3" s="6">
        <v>0.54166666666666663</v>
      </c>
      <c r="K3" s="7">
        <v>0.54722222222222217</v>
      </c>
      <c r="L3" s="6">
        <v>0.39583333333333331</v>
      </c>
      <c r="M3" s="7">
        <v>0.40138888888888885</v>
      </c>
      <c r="N3" s="8" t="s">
        <v>236</v>
      </c>
      <c r="O3" s="8" t="s">
        <v>228</v>
      </c>
      <c r="P3" s="8">
        <v>1091</v>
      </c>
      <c r="Q3" s="8">
        <v>897</v>
      </c>
      <c r="R3" s="4">
        <v>0</v>
      </c>
      <c r="S3" s="4">
        <v>0</v>
      </c>
      <c r="T3" s="4">
        <v>0</v>
      </c>
      <c r="U3" s="4">
        <v>0</v>
      </c>
    </row>
    <row r="4" spans="1:21" s="8" customFormat="1" x14ac:dyDescent="0.2">
      <c r="A4" s="3">
        <v>44093</v>
      </c>
      <c r="B4" s="9" t="s">
        <v>21</v>
      </c>
      <c r="C4" s="9" t="s">
        <v>32</v>
      </c>
      <c r="D4" s="9" t="s">
        <v>23</v>
      </c>
      <c r="E4" s="4" t="s">
        <v>214</v>
      </c>
      <c r="F4" s="9" t="s">
        <v>24</v>
      </c>
      <c r="G4" s="5">
        <v>71500</v>
      </c>
      <c r="H4" s="4" t="s">
        <v>34</v>
      </c>
      <c r="I4" s="4" t="s">
        <v>35</v>
      </c>
      <c r="J4" s="10">
        <v>0.70138888888888884</v>
      </c>
      <c r="K4" s="7">
        <v>0.69166666666666676</v>
      </c>
      <c r="L4" s="10">
        <v>0.49652777777777773</v>
      </c>
      <c r="M4" s="7">
        <v>0.49027777777777781</v>
      </c>
      <c r="N4" s="8" t="s">
        <v>242</v>
      </c>
      <c r="O4" s="8" t="s">
        <v>235</v>
      </c>
      <c r="P4" s="8">
        <v>767</v>
      </c>
      <c r="Q4" s="8">
        <v>321</v>
      </c>
      <c r="R4" s="9">
        <v>0</v>
      </c>
      <c r="S4" s="9">
        <v>0</v>
      </c>
      <c r="T4" s="9">
        <v>0</v>
      </c>
      <c r="U4" s="9">
        <v>0</v>
      </c>
    </row>
    <row r="5" spans="1:21" s="8" customFormat="1" x14ac:dyDescent="0.2">
      <c r="A5" s="3">
        <v>44093</v>
      </c>
      <c r="B5" s="9" t="s">
        <v>21</v>
      </c>
      <c r="C5" s="9" t="s">
        <v>36</v>
      </c>
      <c r="D5" s="9" t="s">
        <v>23</v>
      </c>
      <c r="E5" s="4" t="s">
        <v>223</v>
      </c>
      <c r="F5" s="9" t="s">
        <v>24</v>
      </c>
      <c r="G5" s="5">
        <v>71500</v>
      </c>
      <c r="H5" s="9" t="s">
        <v>37</v>
      </c>
      <c r="I5" s="9" t="s">
        <v>38</v>
      </c>
      <c r="J5" s="12">
        <v>0.73958333333333337</v>
      </c>
      <c r="K5" s="7">
        <v>0.73055555555555562</v>
      </c>
      <c r="L5" s="12">
        <v>0.57291666666666663</v>
      </c>
      <c r="M5" s="7">
        <v>0.58194444444444449</v>
      </c>
      <c r="N5" s="8" t="s">
        <v>243</v>
      </c>
      <c r="O5" s="8" t="s">
        <v>111</v>
      </c>
      <c r="P5" s="8">
        <v>339</v>
      </c>
      <c r="Q5" s="8">
        <v>575</v>
      </c>
      <c r="R5" s="9">
        <v>0</v>
      </c>
      <c r="S5" s="9">
        <v>0</v>
      </c>
      <c r="T5" s="9">
        <v>0</v>
      </c>
      <c r="U5" s="9">
        <v>0</v>
      </c>
    </row>
    <row r="6" spans="1:21" s="8" customFormat="1" x14ac:dyDescent="0.2">
      <c r="A6" s="3">
        <v>44093</v>
      </c>
      <c r="B6" s="8" t="s">
        <v>21</v>
      </c>
      <c r="C6" s="8" t="s">
        <v>39</v>
      </c>
      <c r="D6" s="8" t="s">
        <v>23</v>
      </c>
      <c r="E6" s="4" t="s">
        <v>214</v>
      </c>
      <c r="F6" s="8" t="s">
        <v>24</v>
      </c>
      <c r="G6" s="5">
        <v>71500</v>
      </c>
      <c r="H6" s="8" t="s">
        <v>40</v>
      </c>
      <c r="I6" s="8" t="s">
        <v>41</v>
      </c>
      <c r="J6" s="10">
        <v>0.95486111111111116</v>
      </c>
      <c r="K6" s="7">
        <v>0.94513888888888886</v>
      </c>
      <c r="L6" s="10">
        <v>0.77777777777777779</v>
      </c>
      <c r="M6" s="7">
        <v>0.77777777777777779</v>
      </c>
      <c r="N6" s="8" t="s">
        <v>245</v>
      </c>
      <c r="O6" s="8" t="s">
        <v>244</v>
      </c>
      <c r="P6" s="8">
        <v>861</v>
      </c>
      <c r="Q6" s="8">
        <v>1086</v>
      </c>
      <c r="R6" s="8">
        <v>0</v>
      </c>
      <c r="S6" s="8">
        <v>0</v>
      </c>
      <c r="T6" s="8">
        <v>0</v>
      </c>
      <c r="U6" s="8">
        <v>0</v>
      </c>
    </row>
    <row r="7" spans="1:21" x14ac:dyDescent="0.2">
      <c r="A7" s="3">
        <v>44093</v>
      </c>
      <c r="B7" s="8" t="s">
        <v>21</v>
      </c>
      <c r="C7" s="9" t="s">
        <v>222</v>
      </c>
      <c r="D7" s="8" t="s">
        <v>23</v>
      </c>
      <c r="E7" s="4" t="s">
        <v>223</v>
      </c>
      <c r="F7" s="9" t="s">
        <v>224</v>
      </c>
      <c r="G7" s="5">
        <v>71500</v>
      </c>
      <c r="H7" s="9" t="s">
        <v>225</v>
      </c>
      <c r="I7" s="9" t="s">
        <v>229</v>
      </c>
      <c r="J7" s="39">
        <v>0.375</v>
      </c>
      <c r="K7" s="40">
        <v>0.36874999999999997</v>
      </c>
      <c r="L7" s="39">
        <v>0.76041666666666663</v>
      </c>
      <c r="M7" s="40">
        <v>0.75624999999999998</v>
      </c>
      <c r="N7" s="41">
        <v>0</v>
      </c>
      <c r="O7" s="41">
        <v>0</v>
      </c>
      <c r="P7" s="41">
        <v>0</v>
      </c>
      <c r="Q7" s="41">
        <v>0</v>
      </c>
      <c r="R7" s="41">
        <v>0</v>
      </c>
      <c r="S7" s="41">
        <v>0</v>
      </c>
      <c r="T7" s="41">
        <v>0</v>
      </c>
      <c r="U7" s="41">
        <v>0</v>
      </c>
    </row>
    <row r="8" spans="1:21" x14ac:dyDescent="0.2">
      <c r="A8" s="45">
        <f>A7</f>
        <v>44093</v>
      </c>
      <c r="B8" s="41" t="s">
        <v>230</v>
      </c>
      <c r="C8" s="41" t="s">
        <v>231</v>
      </c>
      <c r="D8" s="41" t="s">
        <v>232</v>
      </c>
      <c r="E8" s="41" t="s">
        <v>233</v>
      </c>
      <c r="F8" s="41" t="s">
        <v>234</v>
      </c>
      <c r="G8" s="41">
        <v>5700</v>
      </c>
      <c r="H8" s="41" t="str">
        <f>E8</f>
        <v>D-IEGA</v>
      </c>
      <c r="I8" s="41" t="s">
        <v>90</v>
      </c>
      <c r="J8" s="39">
        <v>0.45833333333333331</v>
      </c>
      <c r="K8" s="40">
        <v>0.46875</v>
      </c>
      <c r="L8" s="41" t="s">
        <v>90</v>
      </c>
      <c r="M8" s="41" t="s">
        <v>149</v>
      </c>
      <c r="N8" s="41">
        <v>6</v>
      </c>
      <c r="O8" s="41" t="s">
        <v>90</v>
      </c>
      <c r="P8" s="41">
        <v>0</v>
      </c>
      <c r="Q8" s="41" t="s">
        <v>90</v>
      </c>
      <c r="R8" s="41">
        <v>0</v>
      </c>
      <c r="S8" s="41">
        <v>0</v>
      </c>
      <c r="T8" s="41">
        <v>0</v>
      </c>
      <c r="U8" s="41">
        <v>0</v>
      </c>
    </row>
    <row r="9" spans="1:21" x14ac:dyDescent="0.2">
      <c r="A9" s="45">
        <v>44093</v>
      </c>
      <c r="B9" s="41" t="s">
        <v>237</v>
      </c>
      <c r="C9" s="41" t="s">
        <v>222</v>
      </c>
      <c r="D9" s="41" t="s">
        <v>238</v>
      </c>
      <c r="E9" s="41" t="s">
        <v>239</v>
      </c>
      <c r="F9" s="41" t="s">
        <v>234</v>
      </c>
      <c r="G9" s="41">
        <v>10</v>
      </c>
      <c r="H9" s="41" t="s">
        <v>240</v>
      </c>
      <c r="I9" s="41" t="s">
        <v>241</v>
      </c>
      <c r="J9" s="40">
        <v>0.61458333333333337</v>
      </c>
      <c r="K9" s="40">
        <v>0.6333333333333333</v>
      </c>
      <c r="L9" s="40">
        <v>0.62847222222222221</v>
      </c>
      <c r="M9" s="40">
        <v>0.64652777777777781</v>
      </c>
      <c r="N9" s="41">
        <v>0</v>
      </c>
      <c r="O9" s="41">
        <v>0</v>
      </c>
      <c r="P9" s="41">
        <v>0</v>
      </c>
      <c r="Q9" s="41">
        <v>0</v>
      </c>
      <c r="R9" s="41">
        <v>0</v>
      </c>
      <c r="S9" s="41">
        <v>0</v>
      </c>
      <c r="T9" s="41">
        <v>0</v>
      </c>
      <c r="U9" s="41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workbookViewId="0">
      <selection activeCell="J5" sqref="J5"/>
    </sheetView>
  </sheetViews>
  <sheetFormatPr defaultRowHeight="15" x14ac:dyDescent="0.25"/>
  <cols>
    <col min="3" max="3" width="13.28515625" bestFit="1" customWidth="1"/>
    <col min="6" max="6" width="24.5703125" bestFit="1" customWidth="1"/>
    <col min="14" max="15" width="18.425781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44094</v>
      </c>
      <c r="B2" s="58" t="s">
        <v>21</v>
      </c>
      <c r="C2" s="58" t="s">
        <v>55</v>
      </c>
      <c r="D2" s="58" t="s">
        <v>23</v>
      </c>
      <c r="E2" s="58" t="s">
        <v>214</v>
      </c>
      <c r="F2" s="58" t="s">
        <v>24</v>
      </c>
      <c r="G2" s="65">
        <v>71500</v>
      </c>
      <c r="H2" s="58" t="s">
        <v>56</v>
      </c>
      <c r="I2" s="58" t="s">
        <v>57</v>
      </c>
      <c r="J2" s="66">
        <v>0.4826388888888889</v>
      </c>
      <c r="K2" s="67">
        <v>0.47152777777777777</v>
      </c>
      <c r="L2" s="66">
        <v>0.27430555555555552</v>
      </c>
      <c r="M2" s="67">
        <v>0.27847222222222223</v>
      </c>
      <c r="N2" s="67" t="s">
        <v>248</v>
      </c>
      <c r="O2" s="67" t="s">
        <v>189</v>
      </c>
      <c r="P2" s="68">
        <v>1249</v>
      </c>
      <c r="Q2" s="68">
        <v>675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s="8" customFormat="1" ht="12.75" x14ac:dyDescent="0.2">
      <c r="A3" s="3">
        <f>A2</f>
        <v>44094</v>
      </c>
      <c r="B3" s="58" t="s">
        <v>21</v>
      </c>
      <c r="C3" s="9" t="s">
        <v>58</v>
      </c>
      <c r="D3" s="58" t="s">
        <v>23</v>
      </c>
      <c r="E3" s="58" t="s">
        <v>42</v>
      </c>
      <c r="F3" s="58" t="s">
        <v>24</v>
      </c>
      <c r="G3" s="65">
        <v>71500</v>
      </c>
      <c r="H3" s="9" t="s">
        <v>59</v>
      </c>
      <c r="I3" s="9" t="s">
        <v>60</v>
      </c>
      <c r="J3" s="70">
        <v>0.73263888888888884</v>
      </c>
      <c r="K3" s="71">
        <v>0.72916666666666663</v>
      </c>
      <c r="L3" s="70">
        <v>0.50694444444444442</v>
      </c>
      <c r="M3" s="71">
        <v>0.51041666666666663</v>
      </c>
      <c r="N3" s="71" t="s">
        <v>249</v>
      </c>
      <c r="O3" s="68" t="s">
        <v>247</v>
      </c>
      <c r="P3" s="58">
        <v>827</v>
      </c>
      <c r="Q3" s="68">
        <v>1200</v>
      </c>
      <c r="R3" s="9">
        <v>0</v>
      </c>
      <c r="S3" s="9">
        <v>0</v>
      </c>
      <c r="T3" s="9">
        <v>0</v>
      </c>
      <c r="U3" s="9">
        <v>0</v>
      </c>
      <c r="V3" s="69"/>
    </row>
    <row r="4" spans="1:22" s="8" customFormat="1" ht="12.75" x14ac:dyDescent="0.2">
      <c r="A4" s="3">
        <f t="shared" ref="A4:A7" si="0">A3</f>
        <v>44094</v>
      </c>
      <c r="B4" s="58" t="s">
        <v>21</v>
      </c>
      <c r="C4" s="72" t="s">
        <v>61</v>
      </c>
      <c r="D4" s="58" t="s">
        <v>23</v>
      </c>
      <c r="E4" s="71" t="s">
        <v>246</v>
      </c>
      <c r="F4" s="58" t="s">
        <v>24</v>
      </c>
      <c r="G4" s="65">
        <v>71500</v>
      </c>
      <c r="H4" s="58" t="s">
        <v>62</v>
      </c>
      <c r="I4" s="72" t="s">
        <v>63</v>
      </c>
      <c r="J4" s="73">
        <v>0.75</v>
      </c>
      <c r="K4" s="48">
        <v>0.73402777777777783</v>
      </c>
      <c r="L4" s="73">
        <v>0.51388888888888895</v>
      </c>
      <c r="M4" s="74">
        <v>0.52222222222222225</v>
      </c>
      <c r="N4" s="9" t="s">
        <v>250</v>
      </c>
      <c r="O4" s="75">
        <v>128</v>
      </c>
      <c r="P4" s="75">
        <v>865</v>
      </c>
      <c r="Q4" s="75">
        <v>1564</v>
      </c>
      <c r="R4" s="58">
        <v>0</v>
      </c>
      <c r="S4" s="58">
        <v>0</v>
      </c>
      <c r="T4" s="58">
        <v>0</v>
      </c>
      <c r="U4" s="58">
        <v>0</v>
      </c>
      <c r="V4" s="69"/>
    </row>
    <row r="5" spans="1:22" s="8" customFormat="1" ht="12.75" x14ac:dyDescent="0.2">
      <c r="A5" s="3">
        <f t="shared" si="0"/>
        <v>44094</v>
      </c>
      <c r="B5" s="58" t="s">
        <v>21</v>
      </c>
      <c r="C5" s="71" t="s">
        <v>64</v>
      </c>
      <c r="D5" s="58" t="s">
        <v>23</v>
      </c>
      <c r="E5" s="71" t="s">
        <v>42</v>
      </c>
      <c r="F5" s="58" t="s">
        <v>24</v>
      </c>
      <c r="G5" s="65">
        <v>71500</v>
      </c>
      <c r="H5" s="71" t="s">
        <v>121</v>
      </c>
      <c r="I5" s="71" t="s">
        <v>66</v>
      </c>
      <c r="J5" s="70">
        <v>0.94444444444444453</v>
      </c>
      <c r="K5" s="71">
        <v>0.95694444444444438</v>
      </c>
      <c r="L5" s="70">
        <v>0.75347222222222221</v>
      </c>
      <c r="M5" s="71">
        <v>0.76944444444444438</v>
      </c>
      <c r="N5" s="58" t="s">
        <v>255</v>
      </c>
      <c r="O5" s="58" t="s">
        <v>251</v>
      </c>
      <c r="P5" s="58">
        <v>734</v>
      </c>
      <c r="Q5" s="58">
        <v>1450</v>
      </c>
      <c r="R5" s="58">
        <v>0</v>
      </c>
      <c r="S5" s="58">
        <v>0</v>
      </c>
      <c r="T5" s="9">
        <v>0</v>
      </c>
      <c r="U5" s="9">
        <v>0</v>
      </c>
      <c r="V5" s="69"/>
    </row>
    <row r="6" spans="1:22" s="8" customFormat="1" ht="12.75" x14ac:dyDescent="0.2">
      <c r="A6" s="3">
        <f t="shared" si="0"/>
        <v>44094</v>
      </c>
      <c r="B6" s="58" t="s">
        <v>21</v>
      </c>
      <c r="C6" s="69" t="s">
        <v>82</v>
      </c>
      <c r="D6" s="58" t="s">
        <v>23</v>
      </c>
      <c r="E6" s="69" t="s">
        <v>246</v>
      </c>
      <c r="F6" s="58" t="s">
        <v>24</v>
      </c>
      <c r="G6" s="65">
        <v>71500</v>
      </c>
      <c r="H6" s="69" t="s">
        <v>84</v>
      </c>
      <c r="I6" s="69" t="s">
        <v>83</v>
      </c>
      <c r="J6" s="76">
        <v>0.94097222222222221</v>
      </c>
      <c r="K6" s="77">
        <v>0.92847222222222225</v>
      </c>
      <c r="L6" s="76">
        <v>0.77083333333333337</v>
      </c>
      <c r="M6" s="77">
        <v>0.77361111111111114</v>
      </c>
      <c r="N6" s="69" t="s">
        <v>256</v>
      </c>
      <c r="O6" s="69">
        <v>59</v>
      </c>
      <c r="P6" s="69">
        <v>1118</v>
      </c>
      <c r="Q6" s="69">
        <v>477</v>
      </c>
      <c r="R6" s="69">
        <v>0</v>
      </c>
      <c r="S6" s="69">
        <v>0</v>
      </c>
      <c r="T6" s="69">
        <v>0</v>
      </c>
      <c r="U6" s="69">
        <v>0</v>
      </c>
      <c r="V6" s="71"/>
    </row>
    <row r="7" spans="1:22" s="100" customFormat="1" x14ac:dyDescent="0.25">
      <c r="A7" s="97">
        <f t="shared" si="0"/>
        <v>44094</v>
      </c>
      <c r="B7" s="98" t="s">
        <v>230</v>
      </c>
      <c r="C7" s="72" t="s">
        <v>252</v>
      </c>
      <c r="D7" s="58" t="s">
        <v>254</v>
      </c>
      <c r="E7" s="42" t="s">
        <v>253</v>
      </c>
      <c r="F7" s="98" t="s">
        <v>257</v>
      </c>
      <c r="G7" s="65">
        <v>5700</v>
      </c>
      <c r="H7" s="98" t="s">
        <v>90</v>
      </c>
      <c r="I7" s="99" t="s">
        <v>90</v>
      </c>
      <c r="J7" s="72" t="s">
        <v>149</v>
      </c>
      <c r="K7" s="72" t="s">
        <v>149</v>
      </c>
      <c r="L7" s="94">
        <v>0.66666666666666663</v>
      </c>
      <c r="M7" s="94">
        <v>0.65486111111111112</v>
      </c>
      <c r="N7" s="42">
        <v>0</v>
      </c>
      <c r="O7" s="42">
        <v>6</v>
      </c>
      <c r="P7" s="58">
        <v>0</v>
      </c>
      <c r="Q7" s="58">
        <v>0</v>
      </c>
      <c r="R7" s="58">
        <v>0</v>
      </c>
      <c r="S7" s="58">
        <v>0</v>
      </c>
      <c r="T7" s="9">
        <v>0</v>
      </c>
      <c r="U7" s="10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3"/>
  <sheetViews>
    <sheetView topLeftCell="E1" workbookViewId="0">
      <selection activeCell="E1" sqref="A1:XFD1048576"/>
    </sheetView>
  </sheetViews>
  <sheetFormatPr defaultRowHeight="15" x14ac:dyDescent="0.25"/>
  <cols>
    <col min="1" max="1" width="10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44095</v>
      </c>
      <c r="B2" s="58" t="s">
        <v>21</v>
      </c>
      <c r="C2" s="58" t="s">
        <v>52</v>
      </c>
      <c r="D2" s="58" t="s">
        <v>23</v>
      </c>
      <c r="E2" s="58" t="s">
        <v>246</v>
      </c>
      <c r="F2" s="58" t="s">
        <v>24</v>
      </c>
      <c r="G2" s="65">
        <v>71500</v>
      </c>
      <c r="H2" s="58" t="s">
        <v>53</v>
      </c>
      <c r="I2" s="58" t="s">
        <v>54</v>
      </c>
      <c r="J2" s="66">
        <v>0.46180555555555558</v>
      </c>
      <c r="K2" s="67">
        <v>0.45416666666666666</v>
      </c>
      <c r="L2" s="66">
        <v>0.26041666666666669</v>
      </c>
      <c r="M2" s="67">
        <v>0.25625000000000003</v>
      </c>
      <c r="N2" s="67" t="s">
        <v>259</v>
      </c>
      <c r="O2" s="67" t="s">
        <v>258</v>
      </c>
      <c r="P2" s="68">
        <v>525</v>
      </c>
      <c r="Q2" s="68">
        <v>975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x14ac:dyDescent="0.25">
      <c r="A3" s="45"/>
      <c r="B3" s="41"/>
      <c r="C3" s="41"/>
      <c r="D3" s="41"/>
      <c r="E3" s="41"/>
      <c r="F3" s="41"/>
      <c r="G3" s="55"/>
      <c r="H3" s="41"/>
      <c r="I3" s="41"/>
      <c r="J3" s="40"/>
      <c r="K3" s="40"/>
      <c r="L3" s="40"/>
      <c r="M3" s="40"/>
      <c r="N3" s="87"/>
    </row>
  </sheetData>
  <pageMargins left="0.7" right="0.7" top="0.75" bottom="0.75" header="0.3" footer="0.3"/>
  <pageSetup paperSize="9" orientation="portrait" verticalDpi="0" r:id="rId1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3"/>
  <sheetViews>
    <sheetView topLeftCell="E1" zoomScale="90" zoomScaleNormal="90" workbookViewId="0">
      <selection activeCell="K3" sqref="K3"/>
    </sheetView>
  </sheetViews>
  <sheetFormatPr defaultRowHeight="15" x14ac:dyDescent="0.25"/>
  <cols>
    <col min="1" max="1" width="12.7109375" style="106" customWidth="1"/>
    <col min="2" max="2" width="10.140625" style="106" bestFit="1" customWidth="1"/>
    <col min="3" max="3" width="15.42578125" style="106" bestFit="1" customWidth="1"/>
    <col min="4" max="5" width="9.140625" style="106"/>
    <col min="6" max="6" width="14.28515625" style="106" bestFit="1" customWidth="1"/>
    <col min="7" max="7" width="9.140625" style="106"/>
    <col min="8" max="9" width="10.5703125" style="106" bestFit="1" customWidth="1"/>
    <col min="10" max="10" width="11.85546875" style="106" bestFit="1" customWidth="1"/>
    <col min="11" max="11" width="11.7109375" style="106" bestFit="1" customWidth="1"/>
    <col min="12" max="12" width="11.85546875" style="106" bestFit="1" customWidth="1"/>
    <col min="13" max="13" width="11.7109375" style="106" bestFit="1" customWidth="1"/>
    <col min="14" max="15" width="16.7109375" style="106" bestFit="1" customWidth="1"/>
    <col min="16" max="16" width="10.7109375" style="106" bestFit="1" customWidth="1"/>
    <col min="17" max="17" width="10.85546875" style="106" bestFit="1" customWidth="1"/>
    <col min="18" max="16384" width="9.140625" style="106"/>
  </cols>
  <sheetData>
    <row r="1" spans="1:21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1" x14ac:dyDescent="0.25">
      <c r="A2" s="102">
        <v>44096</v>
      </c>
      <c r="B2" s="103" t="s">
        <v>21</v>
      </c>
      <c r="C2" s="103" t="s">
        <v>32</v>
      </c>
      <c r="D2" s="103" t="s">
        <v>23</v>
      </c>
      <c r="E2" s="103" t="s">
        <v>42</v>
      </c>
      <c r="F2" s="103" t="s">
        <v>24</v>
      </c>
      <c r="G2" s="104">
        <v>71500</v>
      </c>
      <c r="H2" s="103" t="s">
        <v>34</v>
      </c>
      <c r="I2" s="103" t="s">
        <v>35</v>
      </c>
      <c r="J2" s="107">
        <v>0.70138888888888884</v>
      </c>
      <c r="K2" s="105">
        <v>0.69374999999999998</v>
      </c>
      <c r="L2" s="107">
        <v>0.49652777777777773</v>
      </c>
      <c r="M2" s="105">
        <v>0.49861111111111112</v>
      </c>
      <c r="N2" s="103" t="s">
        <v>261</v>
      </c>
      <c r="O2" s="103" t="s">
        <v>260</v>
      </c>
      <c r="P2" s="103">
        <v>496</v>
      </c>
      <c r="Q2" s="103">
        <v>692</v>
      </c>
      <c r="R2" s="103">
        <v>0</v>
      </c>
      <c r="S2" s="103">
        <v>0</v>
      </c>
      <c r="T2" s="103">
        <v>0</v>
      </c>
      <c r="U2" s="103">
        <v>0</v>
      </c>
    </row>
    <row r="3" spans="1:21" x14ac:dyDescent="0.25">
      <c r="A3" s="102">
        <f>A2</f>
        <v>44096</v>
      </c>
      <c r="B3" s="103" t="s">
        <v>21</v>
      </c>
      <c r="C3" s="103" t="s">
        <v>39</v>
      </c>
      <c r="D3" s="103" t="s">
        <v>23</v>
      </c>
      <c r="E3" s="103" t="s">
        <v>246</v>
      </c>
      <c r="F3" s="103" t="s">
        <v>24</v>
      </c>
      <c r="G3" s="104">
        <f>G2</f>
        <v>71500</v>
      </c>
      <c r="H3" s="103" t="s">
        <v>40</v>
      </c>
      <c r="I3" s="103" t="s">
        <v>41</v>
      </c>
      <c r="J3" s="107">
        <v>0.95138888888888884</v>
      </c>
      <c r="K3" s="105">
        <v>0.9472222222222223</v>
      </c>
      <c r="L3" s="107">
        <v>0.77777777777777779</v>
      </c>
      <c r="M3" s="105">
        <v>0.77777777777777779</v>
      </c>
      <c r="N3" s="103" t="s">
        <v>262</v>
      </c>
      <c r="O3" s="103" t="s">
        <v>263</v>
      </c>
      <c r="P3" s="103">
        <v>658</v>
      </c>
      <c r="Q3" s="103">
        <v>673</v>
      </c>
      <c r="R3" s="103">
        <v>0</v>
      </c>
      <c r="S3" s="103">
        <v>0</v>
      </c>
      <c r="T3" s="103">
        <v>0</v>
      </c>
      <c r="U3" s="10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opLeftCell="G1" zoomScaleNormal="100" workbookViewId="0">
      <selection activeCell="F17" sqref="F17"/>
    </sheetView>
  </sheetViews>
  <sheetFormatPr defaultColWidth="15.42578125" defaultRowHeight="15" x14ac:dyDescent="0.25"/>
  <cols>
    <col min="1" max="1" width="8.7109375" bestFit="1" customWidth="1"/>
    <col min="4" max="4" width="6.28515625" bestFit="1" customWidth="1"/>
    <col min="5" max="5" width="7.28515625" bestFit="1" customWidth="1"/>
    <col min="6" max="6" width="12.140625" bestFit="1" customWidth="1"/>
    <col min="7" max="7" width="10.5703125" bestFit="1" customWidth="1"/>
    <col min="8" max="9" width="10.42578125" bestFit="1" customWidth="1"/>
    <col min="10" max="10" width="11" bestFit="1" customWidth="1"/>
    <col min="11" max="11" width="10.85546875" bestFit="1" customWidth="1"/>
    <col min="12" max="12" width="12" bestFit="1" customWidth="1"/>
    <col min="13" max="13" width="10.85546875" bestFit="1" customWidth="1"/>
    <col min="16" max="17" width="11.5703125" bestFit="1" customWidth="1"/>
    <col min="18" max="19" width="10.7109375" bestFit="1" customWidth="1"/>
    <col min="20" max="21" width="10.42578125" bestFit="1" customWidth="1"/>
  </cols>
  <sheetData>
    <row r="1" spans="1:21" s="14" customFormat="1" ht="12.75" x14ac:dyDescent="0.2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8" t="s">
        <v>7</v>
      </c>
      <c r="I1" s="108" t="s">
        <v>8</v>
      </c>
      <c r="J1" s="108" t="s">
        <v>9</v>
      </c>
      <c r="K1" s="108" t="s">
        <v>10</v>
      </c>
      <c r="L1" s="108" t="s">
        <v>11</v>
      </c>
      <c r="M1" s="108" t="s">
        <v>12</v>
      </c>
      <c r="N1" s="108" t="s">
        <v>13</v>
      </c>
      <c r="O1" s="108" t="s">
        <v>14</v>
      </c>
      <c r="P1" s="108" t="s">
        <v>15</v>
      </c>
      <c r="Q1" s="108" t="s">
        <v>16</v>
      </c>
      <c r="R1" s="108" t="s">
        <v>17</v>
      </c>
      <c r="S1" s="108" t="s">
        <v>18</v>
      </c>
      <c r="T1" s="108" t="s">
        <v>19</v>
      </c>
      <c r="U1" s="108" t="s">
        <v>20</v>
      </c>
    </row>
    <row r="2" spans="1:21" s="14" customFormat="1" ht="12.75" x14ac:dyDescent="0.2">
      <c r="A2" s="15">
        <v>44097</v>
      </c>
      <c r="B2" s="16" t="s">
        <v>21</v>
      </c>
      <c r="C2" s="22" t="s">
        <v>61</v>
      </c>
      <c r="D2" s="17" t="s">
        <v>23</v>
      </c>
      <c r="E2" s="17" t="s">
        <v>42</v>
      </c>
      <c r="F2" s="17" t="s">
        <v>24</v>
      </c>
      <c r="G2" s="18">
        <v>71500</v>
      </c>
      <c r="H2" s="22" t="s">
        <v>62</v>
      </c>
      <c r="I2" s="22" t="s">
        <v>63</v>
      </c>
      <c r="J2" s="24">
        <v>0.75</v>
      </c>
      <c r="K2" s="25">
        <v>0.74305555555555547</v>
      </c>
      <c r="L2" s="24">
        <v>0.51388888888888895</v>
      </c>
      <c r="M2" s="25">
        <v>0.51250000000000007</v>
      </c>
      <c r="N2" s="22" t="s">
        <v>265</v>
      </c>
      <c r="O2" s="22" t="s">
        <v>264</v>
      </c>
      <c r="P2" s="22">
        <v>650</v>
      </c>
      <c r="Q2" s="27">
        <v>1374</v>
      </c>
      <c r="R2" s="22">
        <v>0</v>
      </c>
      <c r="S2" s="22">
        <v>0</v>
      </c>
      <c r="T2" s="22">
        <v>0</v>
      </c>
      <c r="U2" s="22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K30" sqref="K30"/>
    </sheetView>
  </sheetViews>
  <sheetFormatPr defaultRowHeight="15" x14ac:dyDescent="0.25"/>
  <sheetData/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6"/>
  <sheetViews>
    <sheetView topLeftCell="E1" workbookViewId="0">
      <selection activeCell="N4" sqref="N4"/>
    </sheetView>
  </sheetViews>
  <sheetFormatPr defaultRowHeight="15" x14ac:dyDescent="0.25"/>
  <cols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</cols>
  <sheetData>
    <row r="1" spans="1:21" x14ac:dyDescent="0.25">
      <c r="A1" s="44" t="s">
        <v>0</v>
      </c>
      <c r="B1" s="44" t="s">
        <v>1</v>
      </c>
      <c r="C1" s="44" t="s">
        <v>2</v>
      </c>
      <c r="D1" s="44" t="s">
        <v>3</v>
      </c>
      <c r="E1" s="44" t="s">
        <v>4</v>
      </c>
      <c r="F1" s="44" t="s">
        <v>5</v>
      </c>
      <c r="G1" s="44" t="s">
        <v>6</v>
      </c>
      <c r="H1" s="44" t="s">
        <v>7</v>
      </c>
      <c r="I1" s="44" t="s">
        <v>8</v>
      </c>
      <c r="J1" s="44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</row>
    <row r="2" spans="1:21" s="14" customFormat="1" ht="12.75" x14ac:dyDescent="0.2">
      <c r="A2" s="3">
        <v>44099</v>
      </c>
      <c r="B2" s="16" t="s">
        <v>21</v>
      </c>
      <c r="C2" s="41" t="s">
        <v>52</v>
      </c>
      <c r="D2" s="1" t="s">
        <v>23</v>
      </c>
      <c r="E2" s="41" t="s">
        <v>246</v>
      </c>
      <c r="F2" s="41" t="s">
        <v>24</v>
      </c>
      <c r="G2" s="55">
        <v>71500</v>
      </c>
      <c r="H2" s="41" t="s">
        <v>53</v>
      </c>
      <c r="I2" s="41" t="s">
        <v>54</v>
      </c>
      <c r="J2" s="39">
        <v>0.46180555555555558</v>
      </c>
      <c r="K2" s="40">
        <v>0.4604166666666667</v>
      </c>
      <c r="L2" s="39">
        <v>0.26041666666666669</v>
      </c>
      <c r="M2" s="40">
        <v>0.26527777777777778</v>
      </c>
      <c r="N2" s="40" t="s">
        <v>266</v>
      </c>
      <c r="O2" s="27" t="s">
        <v>268</v>
      </c>
      <c r="P2" s="27">
        <v>759</v>
      </c>
      <c r="Q2" s="27">
        <v>1240</v>
      </c>
      <c r="R2" s="16">
        <v>0</v>
      </c>
      <c r="S2" s="16">
        <v>0</v>
      </c>
      <c r="T2" s="16">
        <v>0</v>
      </c>
      <c r="U2" s="16">
        <v>0</v>
      </c>
    </row>
    <row r="3" spans="1:21" s="14" customFormat="1" ht="12.75" x14ac:dyDescent="0.2">
      <c r="A3" s="3">
        <v>44099</v>
      </c>
      <c r="B3" s="58" t="s">
        <v>21</v>
      </c>
      <c r="C3" s="58" t="s">
        <v>55</v>
      </c>
      <c r="D3" s="58" t="s">
        <v>23</v>
      </c>
      <c r="E3" s="58" t="s">
        <v>42</v>
      </c>
      <c r="F3" s="58" t="s">
        <v>24</v>
      </c>
      <c r="G3" s="65">
        <v>71500</v>
      </c>
      <c r="H3" s="58" t="s">
        <v>56</v>
      </c>
      <c r="I3" s="58" t="s">
        <v>57</v>
      </c>
      <c r="J3" s="66">
        <v>0.4826388888888889</v>
      </c>
      <c r="K3" s="67">
        <v>0.46458333333333335</v>
      </c>
      <c r="L3" s="66">
        <v>0.27430555555555552</v>
      </c>
      <c r="M3" s="67">
        <v>0.27847222222222223</v>
      </c>
      <c r="N3" s="67" t="s">
        <v>267</v>
      </c>
      <c r="O3" s="67" t="s">
        <v>269</v>
      </c>
      <c r="P3" s="68">
        <v>626</v>
      </c>
      <c r="Q3" s="68">
        <v>996</v>
      </c>
      <c r="R3" s="58">
        <v>0</v>
      </c>
      <c r="S3" s="58">
        <v>0</v>
      </c>
      <c r="T3" s="58">
        <v>0</v>
      </c>
      <c r="U3" s="58">
        <v>0</v>
      </c>
    </row>
    <row r="4" spans="1:21" s="14" customFormat="1" ht="12.75" x14ac:dyDescent="0.2">
      <c r="A4" s="3">
        <v>44099</v>
      </c>
      <c r="B4" s="16" t="s">
        <v>21</v>
      </c>
      <c r="C4" s="41" t="s">
        <v>58</v>
      </c>
      <c r="D4" s="1" t="s">
        <v>23</v>
      </c>
      <c r="E4" s="41" t="s">
        <v>246</v>
      </c>
      <c r="F4" s="41" t="s">
        <v>24</v>
      </c>
      <c r="G4" s="55">
        <v>71500</v>
      </c>
      <c r="H4" s="41" t="s">
        <v>59</v>
      </c>
      <c r="I4" s="41" t="s">
        <v>60</v>
      </c>
      <c r="J4" s="39">
        <v>0.72569444444444453</v>
      </c>
      <c r="K4" s="40">
        <v>0.72430555555555554</v>
      </c>
      <c r="L4" s="39">
        <v>0.5</v>
      </c>
      <c r="M4" s="40">
        <v>0.4993055555555555</v>
      </c>
      <c r="N4" s="17" t="s">
        <v>270</v>
      </c>
      <c r="O4" s="22" t="s">
        <v>247</v>
      </c>
      <c r="P4" s="27">
        <v>519</v>
      </c>
      <c r="Q4" s="27">
        <v>1686</v>
      </c>
      <c r="R4" s="16">
        <v>0</v>
      </c>
      <c r="S4" s="16">
        <v>0</v>
      </c>
      <c r="T4" s="16">
        <v>0</v>
      </c>
      <c r="U4" s="16">
        <v>0</v>
      </c>
    </row>
    <row r="5" spans="1:21" x14ac:dyDescent="0.25">
      <c r="A5" s="54"/>
      <c r="B5" s="16"/>
      <c r="C5" s="41"/>
      <c r="D5" s="1"/>
      <c r="E5" s="41"/>
      <c r="F5" s="41"/>
      <c r="G5" s="55"/>
      <c r="H5" s="41"/>
      <c r="I5" s="41"/>
      <c r="J5" s="39"/>
      <c r="K5" s="40"/>
      <c r="L5" s="39"/>
      <c r="M5" s="40"/>
      <c r="N5" s="22"/>
      <c r="O5" s="27"/>
      <c r="P5" s="27"/>
      <c r="Q5" s="27"/>
      <c r="R5" s="16"/>
      <c r="S5" s="16"/>
      <c r="T5" s="16"/>
      <c r="U5" s="16"/>
    </row>
    <row r="6" spans="1:21" x14ac:dyDescent="0.25">
      <c r="A6" s="3"/>
      <c r="B6" s="58"/>
      <c r="C6" s="58"/>
      <c r="D6" s="58"/>
      <c r="E6" s="58"/>
      <c r="F6" s="58"/>
      <c r="G6" s="65"/>
      <c r="H6" s="58"/>
      <c r="I6" s="58"/>
      <c r="J6" s="66"/>
      <c r="K6" s="67"/>
      <c r="L6" s="66"/>
      <c r="M6" s="67"/>
      <c r="N6" s="67"/>
      <c r="O6" s="67"/>
      <c r="P6" s="68"/>
      <c r="Q6" s="68"/>
      <c r="R6" s="58"/>
      <c r="S6" s="58"/>
      <c r="T6" s="58"/>
      <c r="U6" s="58"/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9"/>
  <sheetViews>
    <sheetView workbookViewId="0">
      <selection activeCell="M5" sqref="M5"/>
    </sheetView>
  </sheetViews>
  <sheetFormatPr defaultRowHeight="12.75" x14ac:dyDescent="0.2"/>
  <cols>
    <col min="1" max="2" width="10.140625" style="41" bestFit="1" customWidth="1"/>
    <col min="3" max="3" width="13.42578125" style="41" bestFit="1" customWidth="1"/>
    <col min="4" max="5" width="9.140625" style="41"/>
    <col min="6" max="6" width="18.5703125" style="41" bestFit="1" customWidth="1"/>
    <col min="7" max="7" width="9.140625" style="41"/>
    <col min="8" max="9" width="9.7109375" style="41" bestFit="1" customWidth="1"/>
    <col min="10" max="10" width="11" style="41" bestFit="1" customWidth="1"/>
    <col min="11" max="11" width="10.85546875" style="41" bestFit="1" customWidth="1"/>
    <col min="12" max="12" width="11" style="41" bestFit="1" customWidth="1"/>
    <col min="13" max="13" width="10.85546875" style="41" bestFit="1" customWidth="1"/>
    <col min="14" max="15" width="18.42578125" style="41" bestFit="1" customWidth="1"/>
    <col min="16" max="16" width="10.28515625" style="41" bestFit="1" customWidth="1"/>
    <col min="17" max="16384" width="9.140625" style="41"/>
  </cols>
  <sheetData>
    <row r="1" spans="1:21" s="8" customForma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 s="8" customFormat="1" x14ac:dyDescent="0.2">
      <c r="A2" s="3">
        <v>44100</v>
      </c>
      <c r="B2" s="4" t="s">
        <v>21</v>
      </c>
      <c r="C2" s="4" t="s">
        <v>22</v>
      </c>
      <c r="D2" s="4" t="s">
        <v>23</v>
      </c>
      <c r="E2" s="4" t="s">
        <v>246</v>
      </c>
      <c r="F2" s="4" t="s">
        <v>24</v>
      </c>
      <c r="G2" s="5">
        <v>71500</v>
      </c>
      <c r="H2" s="4" t="s">
        <v>25</v>
      </c>
      <c r="I2" s="4" t="s">
        <v>26</v>
      </c>
      <c r="J2" s="6">
        <v>0.4548611111111111</v>
      </c>
      <c r="K2" s="7">
        <v>0.45</v>
      </c>
      <c r="L2" s="6">
        <v>0.28125</v>
      </c>
      <c r="M2" s="7">
        <v>0.28750000000000003</v>
      </c>
      <c r="N2" s="8" t="s">
        <v>272</v>
      </c>
      <c r="O2" s="8" t="s">
        <v>274</v>
      </c>
      <c r="P2" s="8">
        <v>918</v>
      </c>
      <c r="Q2" s="8">
        <v>1275</v>
      </c>
      <c r="R2" s="4">
        <v>0</v>
      </c>
      <c r="S2" s="4">
        <v>0</v>
      </c>
      <c r="T2" s="4">
        <v>0</v>
      </c>
      <c r="U2" s="4">
        <v>0</v>
      </c>
    </row>
    <row r="3" spans="1:21" s="8" customFormat="1" x14ac:dyDescent="0.2">
      <c r="A3" s="3">
        <v>44100</v>
      </c>
      <c r="B3" s="4" t="s">
        <v>21</v>
      </c>
      <c r="C3" s="4" t="s">
        <v>81</v>
      </c>
      <c r="D3" s="4" t="s">
        <v>23</v>
      </c>
      <c r="E3" s="4" t="s">
        <v>42</v>
      </c>
      <c r="F3" s="4" t="s">
        <v>24</v>
      </c>
      <c r="G3" s="5">
        <v>71500</v>
      </c>
      <c r="H3" s="4" t="s">
        <v>80</v>
      </c>
      <c r="I3" s="4" t="s">
        <v>79</v>
      </c>
      <c r="J3" s="6">
        <v>0.54166666666666663</v>
      </c>
      <c r="K3" s="7">
        <v>0.5395833333333333</v>
      </c>
      <c r="L3" s="6">
        <v>0.39583333333333331</v>
      </c>
      <c r="M3" s="7">
        <v>0.40277777777777773</v>
      </c>
      <c r="N3" s="8" t="s">
        <v>273</v>
      </c>
      <c r="O3" s="8" t="s">
        <v>275</v>
      </c>
      <c r="P3" s="8">
        <v>818</v>
      </c>
      <c r="Q3" s="8">
        <v>1035</v>
      </c>
      <c r="R3" s="4">
        <v>0</v>
      </c>
      <c r="S3" s="4">
        <v>0</v>
      </c>
      <c r="T3" s="4">
        <v>0</v>
      </c>
      <c r="U3" s="4">
        <v>0</v>
      </c>
    </row>
    <row r="4" spans="1:21" s="8" customFormat="1" x14ac:dyDescent="0.2">
      <c r="A4" s="3">
        <v>44100</v>
      </c>
      <c r="B4" s="9" t="s">
        <v>21</v>
      </c>
      <c r="C4" s="9" t="s">
        <v>32</v>
      </c>
      <c r="D4" s="9" t="s">
        <v>23</v>
      </c>
      <c r="E4" s="4" t="s">
        <v>246</v>
      </c>
      <c r="F4" s="9" t="s">
        <v>24</v>
      </c>
      <c r="G4" s="5">
        <v>71500</v>
      </c>
      <c r="H4" s="4" t="s">
        <v>34</v>
      </c>
      <c r="I4" s="4" t="s">
        <v>35</v>
      </c>
      <c r="J4" s="10">
        <v>0.70138888888888884</v>
      </c>
      <c r="K4" s="7">
        <v>0.68611111111111101</v>
      </c>
      <c r="L4" s="10">
        <v>0.49652777777777773</v>
      </c>
      <c r="M4" s="7">
        <f>L4</f>
        <v>0.49652777777777773</v>
      </c>
      <c r="N4" s="8" t="s">
        <v>277</v>
      </c>
      <c r="O4" s="8" t="s">
        <v>276</v>
      </c>
      <c r="P4" s="8">
        <v>495</v>
      </c>
      <c r="Q4" s="8">
        <v>540</v>
      </c>
      <c r="R4" s="9">
        <v>0</v>
      </c>
      <c r="S4" s="9">
        <v>0</v>
      </c>
      <c r="T4" s="9">
        <v>0</v>
      </c>
      <c r="U4" s="9">
        <v>0</v>
      </c>
    </row>
    <row r="5" spans="1:21" s="8" customFormat="1" x14ac:dyDescent="0.2">
      <c r="A5" s="3">
        <v>44100</v>
      </c>
      <c r="B5" s="9" t="s">
        <v>21</v>
      </c>
      <c r="C5" s="8" t="s">
        <v>39</v>
      </c>
      <c r="D5" s="9" t="s">
        <v>23</v>
      </c>
      <c r="E5" s="4" t="s">
        <v>246</v>
      </c>
      <c r="F5" s="9" t="s">
        <v>24</v>
      </c>
      <c r="G5" s="5">
        <v>71500</v>
      </c>
      <c r="H5" s="9" t="s">
        <v>271</v>
      </c>
      <c r="I5" s="9" t="s">
        <v>41</v>
      </c>
      <c r="J5" s="12">
        <v>0.95486111111111116</v>
      </c>
      <c r="K5" s="7">
        <v>0.9458333333333333</v>
      </c>
      <c r="L5" s="12">
        <v>0.77777777777777779</v>
      </c>
      <c r="M5" s="7">
        <v>0.77569444444444446</v>
      </c>
      <c r="N5" s="8" t="s">
        <v>278</v>
      </c>
      <c r="O5" s="8" t="s">
        <v>185</v>
      </c>
      <c r="P5" s="8">
        <v>864</v>
      </c>
      <c r="Q5" s="8">
        <v>915</v>
      </c>
      <c r="R5" s="9">
        <v>0</v>
      </c>
      <c r="S5" s="9">
        <v>0</v>
      </c>
      <c r="T5" s="9">
        <v>0</v>
      </c>
      <c r="U5" s="9">
        <v>0</v>
      </c>
    </row>
    <row r="6" spans="1:21" s="8" customFormat="1" x14ac:dyDescent="0.2">
      <c r="A6" s="3"/>
      <c r="E6" s="4"/>
      <c r="G6" s="5"/>
      <c r="J6" s="10"/>
      <c r="K6" s="7"/>
      <c r="L6" s="10"/>
      <c r="M6" s="7"/>
    </row>
    <row r="7" spans="1:21" x14ac:dyDescent="0.2">
      <c r="A7" s="3"/>
      <c r="B7" s="8"/>
      <c r="C7" s="9"/>
      <c r="D7" s="8"/>
      <c r="E7" s="4"/>
      <c r="F7" s="9"/>
      <c r="G7" s="5"/>
      <c r="H7" s="9"/>
      <c r="I7" s="9"/>
      <c r="J7" s="39"/>
      <c r="K7" s="40"/>
      <c r="L7" s="39"/>
      <c r="M7" s="40"/>
    </row>
    <row r="8" spans="1:21" x14ac:dyDescent="0.2">
      <c r="A8" s="45"/>
      <c r="J8" s="39"/>
      <c r="K8" s="40"/>
    </row>
    <row r="9" spans="1:21" x14ac:dyDescent="0.2">
      <c r="A9" s="45"/>
      <c r="J9" s="40"/>
      <c r="K9" s="40"/>
      <c r="L9" s="40"/>
      <c r="M9" s="40"/>
    </row>
  </sheetData>
  <pageMargins left="0.7" right="0.7" top="0.75" bottom="0.75" header="0.3" footer="0.3"/>
  <pageSetup paperSize="9" orientation="portrait" verticalDpi="0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7"/>
  <sheetViews>
    <sheetView topLeftCell="G1" workbookViewId="0">
      <selection activeCell="U7" sqref="U7"/>
    </sheetView>
  </sheetViews>
  <sheetFormatPr defaultRowHeight="15" x14ac:dyDescent="0.25"/>
  <cols>
    <col min="3" max="3" width="13.28515625" bestFit="1" customWidth="1"/>
    <col min="6" max="6" width="24.5703125" bestFit="1" customWidth="1"/>
    <col min="10" max="10" width="11" bestFit="1" customWidth="1"/>
    <col min="12" max="12" width="11" bestFit="1" customWidth="1"/>
    <col min="13" max="13" width="10.85546875" bestFit="1" customWidth="1"/>
    <col min="14" max="15" width="18.425781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44101</v>
      </c>
      <c r="B2" s="58" t="s">
        <v>21</v>
      </c>
      <c r="C2" s="58" t="s">
        <v>55</v>
      </c>
      <c r="D2" s="58" t="s">
        <v>23</v>
      </c>
      <c r="E2" s="58" t="s">
        <v>42</v>
      </c>
      <c r="F2" s="58" t="s">
        <v>24</v>
      </c>
      <c r="G2" s="65">
        <v>71500</v>
      </c>
      <c r="H2" s="58" t="s">
        <v>56</v>
      </c>
      <c r="I2" s="58" t="s">
        <v>57</v>
      </c>
      <c r="J2" s="66">
        <v>0.4826388888888889</v>
      </c>
      <c r="K2" s="67">
        <v>0.46527777777777773</v>
      </c>
      <c r="L2" s="66">
        <v>0.27430555555555552</v>
      </c>
      <c r="M2" s="67">
        <v>0.27291666666666664</v>
      </c>
      <c r="N2" s="67" t="s">
        <v>279</v>
      </c>
      <c r="O2" s="67" t="s">
        <v>280</v>
      </c>
      <c r="P2" s="68">
        <v>1064</v>
      </c>
      <c r="Q2" s="68">
        <v>985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s="8" customFormat="1" ht="12.75" x14ac:dyDescent="0.2">
      <c r="A3" s="3">
        <v>44101</v>
      </c>
      <c r="B3" s="58" t="s">
        <v>21</v>
      </c>
      <c r="C3" s="9" t="s">
        <v>58</v>
      </c>
      <c r="D3" s="58" t="s">
        <v>23</v>
      </c>
      <c r="E3" s="69" t="s">
        <v>282</v>
      </c>
      <c r="F3" s="58" t="s">
        <v>24</v>
      </c>
      <c r="G3" s="65">
        <v>71500</v>
      </c>
      <c r="H3" s="9" t="s">
        <v>59</v>
      </c>
      <c r="I3" s="9" t="s">
        <v>60</v>
      </c>
      <c r="J3" s="70">
        <v>0.73263888888888884</v>
      </c>
      <c r="K3" s="71">
        <v>0.8222222222222223</v>
      </c>
      <c r="L3" s="70">
        <v>0.50694444444444442</v>
      </c>
      <c r="M3" s="71">
        <v>0.60763888888888895</v>
      </c>
      <c r="N3" s="71" t="s">
        <v>286</v>
      </c>
      <c r="O3" s="68" t="s">
        <v>284</v>
      </c>
      <c r="P3" s="58">
        <v>717</v>
      </c>
      <c r="Q3" s="68">
        <v>1092</v>
      </c>
      <c r="R3" s="9">
        <v>0</v>
      </c>
      <c r="S3" s="9">
        <v>0</v>
      </c>
      <c r="T3" s="9">
        <v>0</v>
      </c>
      <c r="U3" s="9">
        <v>0</v>
      </c>
      <c r="V3" s="69"/>
    </row>
    <row r="4" spans="1:22" s="8" customFormat="1" ht="12.75" x14ac:dyDescent="0.2">
      <c r="A4" s="3">
        <v>44101</v>
      </c>
      <c r="B4" s="58" t="s">
        <v>21</v>
      </c>
      <c r="C4" s="72" t="s">
        <v>61</v>
      </c>
      <c r="D4" s="58" t="s">
        <v>23</v>
      </c>
      <c r="E4" s="58" t="s">
        <v>42</v>
      </c>
      <c r="F4" s="58" t="s">
        <v>24</v>
      </c>
      <c r="G4" s="65">
        <v>71500</v>
      </c>
      <c r="H4" s="58" t="s">
        <v>62</v>
      </c>
      <c r="I4" s="72" t="s">
        <v>63</v>
      </c>
      <c r="J4" s="73">
        <v>0.75</v>
      </c>
      <c r="K4" s="48">
        <v>0.74305555555555547</v>
      </c>
      <c r="L4" s="73">
        <v>0.51388888888888895</v>
      </c>
      <c r="M4" s="74">
        <v>0.5131944444444444</v>
      </c>
      <c r="N4" s="9" t="s">
        <v>115</v>
      </c>
      <c r="O4" s="75" t="s">
        <v>281</v>
      </c>
      <c r="P4" s="75">
        <v>689</v>
      </c>
      <c r="Q4" s="75">
        <v>1655</v>
      </c>
      <c r="R4" s="58">
        <v>0</v>
      </c>
      <c r="S4" s="58">
        <v>0</v>
      </c>
      <c r="T4" s="58">
        <v>0</v>
      </c>
      <c r="U4" s="58">
        <v>0</v>
      </c>
      <c r="V4" s="69"/>
    </row>
    <row r="5" spans="1:22" s="8" customFormat="1" ht="12.75" x14ac:dyDescent="0.2">
      <c r="A5" s="3">
        <v>44101</v>
      </c>
      <c r="B5" s="58" t="s">
        <v>21</v>
      </c>
      <c r="C5" s="71" t="s">
        <v>64</v>
      </c>
      <c r="D5" s="58" t="s">
        <v>23</v>
      </c>
      <c r="E5" s="69" t="s">
        <v>282</v>
      </c>
      <c r="F5" s="58" t="s">
        <v>24</v>
      </c>
      <c r="G5" s="65">
        <v>71500</v>
      </c>
      <c r="H5" s="71" t="s">
        <v>121</v>
      </c>
      <c r="I5" s="71" t="s">
        <v>66</v>
      </c>
      <c r="J5" s="70">
        <v>0.94444444444444453</v>
      </c>
      <c r="K5" s="71">
        <v>3.4722222222222224E-2</v>
      </c>
      <c r="L5" s="70">
        <v>0.75347222222222221</v>
      </c>
      <c r="M5" s="71">
        <v>0.86041666666666661</v>
      </c>
      <c r="N5" s="58" t="s">
        <v>290</v>
      </c>
      <c r="O5" s="58" t="s">
        <v>288</v>
      </c>
      <c r="P5" s="58">
        <v>651</v>
      </c>
      <c r="Q5" s="58">
        <v>1522</v>
      </c>
      <c r="R5" s="58">
        <v>0</v>
      </c>
      <c r="S5" s="58">
        <v>0</v>
      </c>
      <c r="T5" s="9">
        <v>0</v>
      </c>
      <c r="U5" s="9">
        <v>0</v>
      </c>
      <c r="V5" s="69"/>
    </row>
    <row r="6" spans="1:22" s="8" customFormat="1" ht="12.75" x14ac:dyDescent="0.2">
      <c r="A6" s="3">
        <v>44101</v>
      </c>
      <c r="B6" s="58" t="s">
        <v>21</v>
      </c>
      <c r="C6" s="69" t="s">
        <v>82</v>
      </c>
      <c r="D6" s="58" t="s">
        <v>23</v>
      </c>
      <c r="E6" s="58" t="s">
        <v>42</v>
      </c>
      <c r="F6" s="58" t="s">
        <v>24</v>
      </c>
      <c r="G6" s="65">
        <v>71500</v>
      </c>
      <c r="H6" s="69" t="s">
        <v>84</v>
      </c>
      <c r="I6" s="69" t="s">
        <v>83</v>
      </c>
      <c r="J6" s="76">
        <v>0.94097222222222221</v>
      </c>
      <c r="K6" s="77">
        <v>0.93125000000000002</v>
      </c>
      <c r="L6" s="76">
        <v>0.77083333333333337</v>
      </c>
      <c r="M6" s="77">
        <v>0.77986111111111101</v>
      </c>
      <c r="N6" s="69" t="s">
        <v>289</v>
      </c>
      <c r="O6" s="69" t="s">
        <v>287</v>
      </c>
      <c r="P6" s="69">
        <v>844</v>
      </c>
      <c r="Q6" s="69">
        <v>794</v>
      </c>
      <c r="R6" s="69">
        <v>0</v>
      </c>
      <c r="S6" s="69">
        <v>0</v>
      </c>
      <c r="T6" s="69">
        <v>0</v>
      </c>
      <c r="U6" s="69">
        <v>0</v>
      </c>
      <c r="V6" s="71"/>
    </row>
    <row r="7" spans="1:22" s="100" customFormat="1" x14ac:dyDescent="0.25">
      <c r="A7" s="97">
        <v>44101</v>
      </c>
      <c r="B7" s="98" t="s">
        <v>21</v>
      </c>
      <c r="C7" s="72" t="s">
        <v>283</v>
      </c>
      <c r="D7" s="58" t="s">
        <v>23</v>
      </c>
      <c r="E7" s="42" t="s">
        <v>282</v>
      </c>
      <c r="F7" s="58" t="s">
        <v>285</v>
      </c>
      <c r="G7" s="65">
        <v>71500</v>
      </c>
      <c r="H7" s="58" t="s">
        <v>225</v>
      </c>
      <c r="I7" s="110"/>
      <c r="J7" s="74">
        <v>0.55555555555555558</v>
      </c>
      <c r="K7" s="74">
        <v>0.57152777777777775</v>
      </c>
      <c r="L7" s="109"/>
      <c r="M7" s="109"/>
      <c r="N7" s="109"/>
      <c r="O7" s="109"/>
      <c r="P7" s="109"/>
      <c r="Q7" s="58">
        <v>0</v>
      </c>
      <c r="R7" s="58">
        <v>0</v>
      </c>
      <c r="S7" s="58">
        <v>0</v>
      </c>
      <c r="T7" s="9">
        <v>0</v>
      </c>
      <c r="U7" s="9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5"/>
  <sheetViews>
    <sheetView workbookViewId="0">
      <selection activeCell="L15" sqref="L15"/>
    </sheetView>
  </sheetViews>
  <sheetFormatPr defaultRowHeight="15" x14ac:dyDescent="0.25"/>
  <cols>
    <col min="1" max="1" width="10.140625" bestFit="1" customWidth="1"/>
    <col min="3" max="3" width="13.5703125" bestFit="1" customWidth="1"/>
    <col min="6" max="6" width="12.140625" bestFit="1" customWidth="1"/>
    <col min="8" max="9" width="9.7109375" bestFit="1" customWidth="1"/>
    <col min="10" max="10" width="11" bestFit="1" customWidth="1"/>
    <col min="11" max="11" width="10.85546875" bestFit="1" customWidth="1"/>
    <col min="12" max="12" width="11" bestFit="1" customWidth="1"/>
    <col min="13" max="13" width="10.85546875" bestFit="1" customWidth="1"/>
    <col min="14" max="15" width="18.42578125" bestFit="1" customWidth="1"/>
    <col min="16" max="17" width="10.28515625" bestFit="1" customWidth="1"/>
    <col min="18" max="18" width="9.42578125" bestFit="1" customWidth="1"/>
  </cols>
  <sheetData>
    <row r="1" spans="1:22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2" s="8" customFormat="1" ht="12.75" x14ac:dyDescent="0.2">
      <c r="A2" s="3">
        <v>44102</v>
      </c>
      <c r="B2" s="58" t="s">
        <v>21</v>
      </c>
      <c r="C2" s="58" t="s">
        <v>52</v>
      </c>
      <c r="D2" s="58" t="s">
        <v>23</v>
      </c>
      <c r="E2" s="58" t="s">
        <v>42</v>
      </c>
      <c r="F2" s="58" t="s">
        <v>24</v>
      </c>
      <c r="G2" s="65">
        <v>71500</v>
      </c>
      <c r="H2" s="58" t="s">
        <v>53</v>
      </c>
      <c r="I2" s="58" t="s">
        <v>54</v>
      </c>
      <c r="J2" s="66">
        <v>0.46180555555555558</v>
      </c>
      <c r="K2" s="67">
        <v>0.44861111111111113</v>
      </c>
      <c r="L2" s="66">
        <v>0.26041666666666669</v>
      </c>
      <c r="M2" s="67">
        <v>0.25833333333333336</v>
      </c>
      <c r="N2" s="67" t="s">
        <v>291</v>
      </c>
      <c r="O2" s="68">
        <v>141</v>
      </c>
      <c r="P2" s="68">
        <v>778</v>
      </c>
      <c r="Q2" s="68">
        <v>1301</v>
      </c>
      <c r="R2" s="58">
        <v>0</v>
      </c>
      <c r="S2" s="58">
        <v>0</v>
      </c>
      <c r="T2" s="58">
        <v>0</v>
      </c>
      <c r="U2" s="58">
        <v>0</v>
      </c>
      <c r="V2" s="69"/>
    </row>
    <row r="3" spans="1:22" s="111" customFormat="1" ht="12.75" x14ac:dyDescent="0.2">
      <c r="A3" s="3">
        <v>44102</v>
      </c>
      <c r="B3" s="58" t="s">
        <v>21</v>
      </c>
      <c r="C3" s="41" t="s">
        <v>58</v>
      </c>
      <c r="D3" s="58" t="s">
        <v>23</v>
      </c>
      <c r="E3" s="58" t="s">
        <v>42</v>
      </c>
      <c r="F3" s="58" t="s">
        <v>24</v>
      </c>
      <c r="G3" s="65">
        <v>71500</v>
      </c>
      <c r="H3" s="41" t="s">
        <v>59</v>
      </c>
      <c r="I3" s="41" t="s">
        <v>60</v>
      </c>
      <c r="J3" s="40">
        <v>0.73263888888888884</v>
      </c>
      <c r="K3" s="40">
        <v>0.72430555555555554</v>
      </c>
      <c r="L3" s="40">
        <v>0.50694444444444442</v>
      </c>
      <c r="M3" s="40">
        <v>0.50416666666666665</v>
      </c>
      <c r="N3" s="40" t="s">
        <v>293</v>
      </c>
      <c r="O3" s="41" t="s">
        <v>292</v>
      </c>
      <c r="P3" s="41">
        <v>340</v>
      </c>
      <c r="Q3" s="41">
        <v>1201</v>
      </c>
      <c r="R3" s="41">
        <v>0</v>
      </c>
      <c r="S3" s="41">
        <v>0</v>
      </c>
      <c r="T3" s="41">
        <v>0</v>
      </c>
      <c r="U3" s="41">
        <v>0</v>
      </c>
    </row>
    <row r="4" spans="1:22" x14ac:dyDescent="0.25">
      <c r="A4" s="45"/>
      <c r="B4" s="112"/>
      <c r="C4" s="41"/>
      <c r="D4" s="41"/>
      <c r="E4" s="112"/>
      <c r="F4" s="112"/>
      <c r="G4" s="55"/>
      <c r="H4" s="112"/>
      <c r="I4" s="41"/>
      <c r="J4" s="41"/>
      <c r="K4" s="41"/>
      <c r="L4" s="40"/>
      <c r="M4" s="40"/>
      <c r="N4" s="41"/>
      <c r="O4" s="41"/>
      <c r="P4" s="41"/>
      <c r="Q4" s="41"/>
      <c r="R4" s="41"/>
      <c r="S4" s="41"/>
      <c r="T4" s="41"/>
      <c r="U4" s="41"/>
    </row>
    <row r="5" spans="1:22" x14ac:dyDescent="0.25">
      <c r="P5" s="42"/>
      <c r="Q5" s="42"/>
      <c r="R5" s="42"/>
      <c r="S5" s="42"/>
      <c r="T5" s="42"/>
      <c r="U5" s="42"/>
    </row>
  </sheetData>
  <pageMargins left="0.7" right="0.7" top="0.75" bottom="0.75" header="0.3" footer="0.3"/>
  <pageSetup paperSize="9" orientation="portrait" verticalDpi="0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4"/>
  <sheetViews>
    <sheetView zoomScale="90" zoomScaleNormal="90" workbookViewId="0">
      <selection activeCell="A3" sqref="A3"/>
    </sheetView>
  </sheetViews>
  <sheetFormatPr defaultRowHeight="15" x14ac:dyDescent="0.25"/>
  <cols>
    <col min="1" max="1" width="12.7109375" style="106" customWidth="1"/>
    <col min="2" max="2" width="10.140625" style="106" bestFit="1" customWidth="1"/>
    <col min="3" max="3" width="15.42578125" style="106" bestFit="1" customWidth="1"/>
    <col min="4" max="5" width="9.140625" style="106"/>
    <col min="6" max="6" width="14.28515625" style="106" bestFit="1" customWidth="1"/>
    <col min="7" max="7" width="9.140625" style="106"/>
    <col min="8" max="9" width="10.5703125" style="106" bestFit="1" customWidth="1"/>
    <col min="10" max="10" width="11.85546875" style="106" bestFit="1" customWidth="1"/>
    <col min="11" max="11" width="11.7109375" style="106" bestFit="1" customWidth="1"/>
    <col min="12" max="12" width="11.85546875" style="106" bestFit="1" customWidth="1"/>
    <col min="13" max="13" width="11.7109375" style="106" bestFit="1" customWidth="1"/>
    <col min="14" max="15" width="16.7109375" style="106" bestFit="1" customWidth="1"/>
    <col min="16" max="16" width="10.7109375" style="106" bestFit="1" customWidth="1"/>
    <col min="17" max="17" width="10.85546875" style="106" bestFit="1" customWidth="1"/>
    <col min="18" max="16384" width="9.140625" style="106"/>
  </cols>
  <sheetData>
    <row r="1" spans="1:21" s="64" customFormat="1" ht="12.75" x14ac:dyDescent="0.25">
      <c r="A1" s="63" t="s">
        <v>0</v>
      </c>
      <c r="B1" s="63" t="s">
        <v>1</v>
      </c>
      <c r="C1" s="63" t="s">
        <v>2</v>
      </c>
      <c r="D1" s="63" t="s">
        <v>3</v>
      </c>
      <c r="E1" s="63" t="s">
        <v>4</v>
      </c>
      <c r="F1" s="63" t="s">
        <v>5</v>
      </c>
      <c r="G1" s="63" t="s">
        <v>6</v>
      </c>
      <c r="H1" s="63" t="s">
        <v>7</v>
      </c>
      <c r="I1" s="63" t="s">
        <v>8</v>
      </c>
      <c r="J1" s="63" t="s">
        <v>9</v>
      </c>
      <c r="K1" s="63" t="s">
        <v>10</v>
      </c>
      <c r="L1" s="63" t="s">
        <v>11</v>
      </c>
      <c r="M1" s="63" t="s">
        <v>12</v>
      </c>
      <c r="N1" s="63" t="s">
        <v>13</v>
      </c>
      <c r="O1" s="63" t="s">
        <v>14</v>
      </c>
      <c r="P1" s="63" t="s">
        <v>15</v>
      </c>
      <c r="Q1" s="63" t="s">
        <v>16</v>
      </c>
      <c r="R1" s="63" t="s">
        <v>17</v>
      </c>
      <c r="S1" s="63" t="s">
        <v>18</v>
      </c>
      <c r="T1" s="63" t="s">
        <v>19</v>
      </c>
      <c r="U1" s="63" t="s">
        <v>20</v>
      </c>
    </row>
    <row r="2" spans="1:21" x14ac:dyDescent="0.25">
      <c r="A2" s="102">
        <v>44103</v>
      </c>
      <c r="B2" s="103" t="s">
        <v>21</v>
      </c>
      <c r="C2" s="103" t="s">
        <v>32</v>
      </c>
      <c r="D2" s="103" t="s">
        <v>23</v>
      </c>
      <c r="E2" s="103" t="s">
        <v>42</v>
      </c>
      <c r="F2" s="103" t="s">
        <v>24</v>
      </c>
      <c r="G2" s="104">
        <v>71500</v>
      </c>
      <c r="H2" s="103" t="s">
        <v>34</v>
      </c>
      <c r="I2" s="103" t="s">
        <v>35</v>
      </c>
      <c r="J2" s="107">
        <v>0.70138888888888884</v>
      </c>
      <c r="K2" s="105">
        <v>0.68819444444444444</v>
      </c>
      <c r="L2" s="107">
        <v>0.49652777777777773</v>
      </c>
      <c r="M2" s="105">
        <v>0.49513888888888885</v>
      </c>
      <c r="N2" s="103" t="s">
        <v>298</v>
      </c>
      <c r="O2" s="103" t="s">
        <v>297</v>
      </c>
      <c r="P2" s="103">
        <v>480</v>
      </c>
      <c r="Q2" s="103">
        <v>672</v>
      </c>
      <c r="R2" s="103">
        <v>0</v>
      </c>
      <c r="S2" s="103">
        <v>0</v>
      </c>
      <c r="T2" s="103">
        <v>0</v>
      </c>
      <c r="U2" s="103">
        <v>0</v>
      </c>
    </row>
    <row r="3" spans="1:21" x14ac:dyDescent="0.25">
      <c r="A3" s="102">
        <f>A2</f>
        <v>44103</v>
      </c>
      <c r="B3" s="103" t="s">
        <v>21</v>
      </c>
      <c r="C3" s="103" t="s">
        <v>39</v>
      </c>
      <c r="D3" s="103" t="s">
        <v>23</v>
      </c>
      <c r="E3" s="103" t="s">
        <v>246</v>
      </c>
      <c r="F3" s="103" t="s">
        <v>24</v>
      </c>
      <c r="G3" s="104">
        <f>G2</f>
        <v>71500</v>
      </c>
      <c r="H3" s="103" t="s">
        <v>40</v>
      </c>
      <c r="I3" s="103" t="s">
        <v>41</v>
      </c>
      <c r="J3" s="107">
        <v>0.95486111111111116</v>
      </c>
      <c r="K3" s="105">
        <v>0.94861111111111107</v>
      </c>
      <c r="L3" s="107">
        <v>0.77777777777777779</v>
      </c>
      <c r="M3" s="105">
        <v>0.77708333333333324</v>
      </c>
      <c r="N3" s="103" t="s">
        <v>300</v>
      </c>
      <c r="O3" s="103" t="s">
        <v>299</v>
      </c>
      <c r="P3" s="103">
        <v>534</v>
      </c>
      <c r="Q3" s="103">
        <v>982</v>
      </c>
      <c r="R3" s="103">
        <v>0</v>
      </c>
      <c r="S3" s="103">
        <v>0</v>
      </c>
      <c r="T3" s="103">
        <v>0</v>
      </c>
      <c r="U3" s="103">
        <v>0</v>
      </c>
    </row>
    <row r="4" spans="1:21" x14ac:dyDescent="0.25">
      <c r="A4" s="102">
        <v>43767</v>
      </c>
      <c r="B4" s="103" t="s">
        <v>21</v>
      </c>
      <c r="C4" s="103" t="s">
        <v>294</v>
      </c>
      <c r="D4" s="103" t="s">
        <v>296</v>
      </c>
      <c r="E4" s="103" t="s">
        <v>42</v>
      </c>
      <c r="F4" s="103" t="s">
        <v>295</v>
      </c>
      <c r="G4" s="104">
        <v>71500</v>
      </c>
      <c r="H4" s="103" t="s">
        <v>90</v>
      </c>
      <c r="I4" s="103" t="s">
        <v>229</v>
      </c>
      <c r="J4" s="103" t="s">
        <v>90</v>
      </c>
      <c r="K4" s="103" t="s">
        <v>90</v>
      </c>
      <c r="L4" s="105">
        <v>0.72916666666666663</v>
      </c>
      <c r="M4" s="105">
        <v>0.71597222222222223</v>
      </c>
      <c r="N4" s="103" t="s">
        <v>90</v>
      </c>
      <c r="O4" s="103" t="s">
        <v>141</v>
      </c>
      <c r="P4" s="103">
        <v>0</v>
      </c>
      <c r="Q4" s="103">
        <v>0</v>
      </c>
      <c r="R4" s="103">
        <v>0</v>
      </c>
      <c r="S4" s="103">
        <v>0</v>
      </c>
      <c r="T4" s="103">
        <v>0</v>
      </c>
      <c r="U4" s="103">
        <v>0</v>
      </c>
    </row>
  </sheetData>
  <pageMargins left="0.7" right="0.7" top="0.75" bottom="0.75" header="0.3" footer="0.3"/>
  <pageSetup paperSize="9" orientation="portrait" verticalDpi="0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U2"/>
  <sheetViews>
    <sheetView tabSelected="1" topLeftCell="D1" zoomScaleNormal="100" workbookViewId="0">
      <selection activeCell="P2" sqref="P2"/>
    </sheetView>
  </sheetViews>
  <sheetFormatPr defaultColWidth="15.42578125" defaultRowHeight="15" x14ac:dyDescent="0.25"/>
  <cols>
    <col min="1" max="1" width="8.7109375" bestFit="1" customWidth="1"/>
    <col min="4" max="4" width="6.28515625" bestFit="1" customWidth="1"/>
    <col min="5" max="5" width="7.28515625" bestFit="1" customWidth="1"/>
    <col min="6" max="6" width="12.140625" bestFit="1" customWidth="1"/>
    <col min="7" max="7" width="10.5703125" bestFit="1" customWidth="1"/>
    <col min="8" max="9" width="10.42578125" bestFit="1" customWidth="1"/>
    <col min="10" max="10" width="11" bestFit="1" customWidth="1"/>
    <col min="11" max="11" width="10.85546875" bestFit="1" customWidth="1"/>
    <col min="12" max="12" width="12" bestFit="1" customWidth="1"/>
    <col min="13" max="13" width="10.85546875" bestFit="1" customWidth="1"/>
    <col min="16" max="17" width="11.5703125" bestFit="1" customWidth="1"/>
    <col min="18" max="19" width="10.7109375" bestFit="1" customWidth="1"/>
    <col min="20" max="21" width="10.42578125" bestFit="1" customWidth="1"/>
  </cols>
  <sheetData>
    <row r="1" spans="1:21" s="14" customFormat="1" ht="12.75" x14ac:dyDescent="0.2">
      <c r="A1" s="108" t="s">
        <v>0</v>
      </c>
      <c r="B1" s="108" t="s">
        <v>1</v>
      </c>
      <c r="C1" s="108" t="s">
        <v>2</v>
      </c>
      <c r="D1" s="108" t="s">
        <v>3</v>
      </c>
      <c r="E1" s="108" t="s">
        <v>4</v>
      </c>
      <c r="F1" s="108" t="s">
        <v>5</v>
      </c>
      <c r="G1" s="108" t="s">
        <v>6</v>
      </c>
      <c r="H1" s="108" t="s">
        <v>7</v>
      </c>
      <c r="I1" s="108" t="s">
        <v>8</v>
      </c>
      <c r="J1" s="108" t="s">
        <v>9</v>
      </c>
      <c r="K1" s="108" t="s">
        <v>10</v>
      </c>
      <c r="L1" s="108" t="s">
        <v>11</v>
      </c>
      <c r="M1" s="108" t="s">
        <v>12</v>
      </c>
      <c r="N1" s="108" t="s">
        <v>13</v>
      </c>
      <c r="O1" s="108" t="s">
        <v>14</v>
      </c>
      <c r="P1" s="108" t="s">
        <v>15</v>
      </c>
      <c r="Q1" s="108" t="s">
        <v>16</v>
      </c>
      <c r="R1" s="108" t="s">
        <v>17</v>
      </c>
      <c r="S1" s="108" t="s">
        <v>18</v>
      </c>
      <c r="T1" s="108" t="s">
        <v>19</v>
      </c>
      <c r="U1" s="108" t="s">
        <v>20</v>
      </c>
    </row>
    <row r="2" spans="1:21" s="14" customFormat="1" ht="12.75" x14ac:dyDescent="0.2">
      <c r="A2" s="15">
        <v>44104</v>
      </c>
      <c r="B2" s="16" t="s">
        <v>21</v>
      </c>
      <c r="C2" s="22" t="s">
        <v>61</v>
      </c>
      <c r="D2" s="17" t="s">
        <v>23</v>
      </c>
      <c r="E2" s="17" t="s">
        <v>282</v>
      </c>
      <c r="F2" s="17" t="s">
        <v>24</v>
      </c>
      <c r="G2" s="18">
        <v>71500</v>
      </c>
      <c r="H2" s="22" t="s">
        <v>62</v>
      </c>
      <c r="I2" s="22" t="s">
        <v>63</v>
      </c>
      <c r="J2" s="24">
        <v>0.75</v>
      </c>
      <c r="K2" s="25">
        <v>0.74236111111111114</v>
      </c>
      <c r="L2" s="24">
        <v>0.51388888888888895</v>
      </c>
      <c r="M2" s="25">
        <v>0.52013888888888882</v>
      </c>
      <c r="N2" s="22" t="s">
        <v>202</v>
      </c>
      <c r="O2" s="22" t="s">
        <v>301</v>
      </c>
      <c r="P2" s="22">
        <v>827</v>
      </c>
      <c r="Q2" s="27">
        <v>1646</v>
      </c>
      <c r="R2" s="22">
        <v>0</v>
      </c>
      <c r="S2" s="22">
        <v>0</v>
      </c>
      <c r="T2" s="22">
        <v>0</v>
      </c>
      <c r="U2" s="22">
        <v>0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30</vt:i4>
      </vt:variant>
    </vt:vector>
  </HeadingPairs>
  <TitlesOfParts>
    <vt:vector size="30" baseType="lpstr">
      <vt:lpstr>1</vt:lpstr>
      <vt:lpstr>2</vt:lpstr>
      <vt:lpstr>3</vt:lpstr>
      <vt:lpstr>4</vt:lpstr>
      <vt:lpstr>5</vt:lpstr>
      <vt:lpstr>6</vt:lpstr>
      <vt:lpstr>7</vt:lpstr>
      <vt:lpstr>8</vt:lpstr>
      <vt:lpstr>9</vt:lpstr>
      <vt:lpstr>10</vt:lpstr>
      <vt:lpstr>11</vt:lpstr>
      <vt:lpstr>12</vt:lpstr>
      <vt:lpstr>13</vt:lpstr>
      <vt:lpstr>14</vt:lpstr>
      <vt:lpstr>15</vt:lpstr>
      <vt:lpstr>16</vt:lpstr>
      <vt:lpstr>17</vt:lpstr>
      <vt:lpstr>18</vt:lpstr>
      <vt:lpstr>19</vt:lpstr>
      <vt:lpstr>20</vt:lpstr>
      <vt:lpstr>21</vt:lpstr>
      <vt:lpstr>22</vt:lpstr>
      <vt:lpstr>23</vt:lpstr>
      <vt:lpstr>24</vt:lpstr>
      <vt:lpstr>25</vt:lpstr>
      <vt:lpstr>26</vt:lpstr>
      <vt:lpstr>27</vt:lpstr>
      <vt:lpstr>28</vt:lpstr>
      <vt:lpstr>29</vt:lpstr>
      <vt:lpstr>30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OPC</dc:creator>
  <cp:lastModifiedBy>OPC</cp:lastModifiedBy>
  <dcterms:created xsi:type="dcterms:W3CDTF">2020-08-31T18:11:36Z</dcterms:created>
  <dcterms:modified xsi:type="dcterms:W3CDTF">2020-09-30T15:51:31Z</dcterms:modified>
</cp:coreProperties>
</file>