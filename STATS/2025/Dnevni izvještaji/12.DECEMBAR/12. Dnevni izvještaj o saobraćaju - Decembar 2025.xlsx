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4DA93566-855F-4AFC-8523-65D6E4873046}" xr6:coauthVersionLast="37" xr6:coauthVersionMax="37" xr10:uidLastSave="{00000000-0000-0000-0000-000000000000}"/>
  <bookViews>
    <workbookView xWindow="0" yWindow="0" windowWidth="22260" windowHeight="12645" firstSheet="6" activeTab="30" xr2:uid="{00000000-000D-0000-FFFF-FFFF00000000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7" r:id="rId6"/>
    <sheet name="07" sheetId="8" r:id="rId7"/>
    <sheet name="08" sheetId="9" r:id="rId8"/>
    <sheet name="09" sheetId="10" r:id="rId9"/>
    <sheet name="10" sheetId="11" r:id="rId10"/>
    <sheet name="11" sheetId="12" r:id="rId11"/>
    <sheet name="12" sheetId="13" r:id="rId12"/>
    <sheet name="13" sheetId="14" r:id="rId13"/>
    <sheet name="14" sheetId="15" r:id="rId14"/>
    <sheet name="15" sheetId="16" r:id="rId15"/>
    <sheet name="16" sheetId="17" r:id="rId16"/>
    <sheet name="17" sheetId="18" r:id="rId17"/>
    <sheet name="18" sheetId="19" r:id="rId18"/>
    <sheet name="19" sheetId="20" r:id="rId19"/>
    <sheet name="20" sheetId="21" r:id="rId20"/>
    <sheet name="21" sheetId="22" r:id="rId21"/>
    <sheet name="22" sheetId="23" r:id="rId22"/>
    <sheet name="23" sheetId="24" r:id="rId23"/>
    <sheet name="24" sheetId="25" r:id="rId24"/>
    <sheet name="25" sheetId="26" r:id="rId25"/>
    <sheet name="26" sheetId="27" r:id="rId26"/>
    <sheet name="27" sheetId="28" r:id="rId27"/>
    <sheet name="28" sheetId="29" r:id="rId28"/>
    <sheet name="29" sheetId="30" r:id="rId29"/>
    <sheet name="30" sheetId="31" r:id="rId30"/>
    <sheet name="31" sheetId="32" r:id="rId3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31" l="1"/>
  <c r="A7" i="30" l="1"/>
  <c r="A6" i="30" l="1"/>
</calcChain>
</file>

<file path=xl/sharedStrings.xml><?xml version="1.0" encoding="utf-8"?>
<sst xmlns="http://schemas.openxmlformats.org/spreadsheetml/2006/main" count="1807" uniqueCount="193">
  <si>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</si>
  <si>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</si>
  <si>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</si>
  <si>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</si>
  <si>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</si>
  <si>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</si>
  <si>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</si>
  <si>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</si>
  <si>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</si>
  <si>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</si>
  <si>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</si>
  <si>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SCHEDULED</t>
  </si>
  <si>
    <t>ICAO kod</t>
  </si>
  <si>
    <t>Rasp. mjesta</t>
  </si>
  <si>
    <t>Putnici u avionu</t>
  </si>
  <si>
    <t>Bebe u naručju</t>
  </si>
  <si>
    <t>prtljag dol (kg)</t>
  </si>
  <si>
    <t>cargo dol (kg)</t>
  </si>
  <si>
    <t>pošta dol (kg)</t>
  </si>
  <si>
    <t>prtljag odl (kg)</t>
  </si>
  <si>
    <t>cargo odl (kg)</t>
  </si>
  <si>
    <t>WIZZAIR HUNGARY LTD</t>
  </si>
  <si>
    <t>WZZ</t>
  </si>
  <si>
    <t>Datum</t>
  </si>
  <si>
    <t>Kompanija</t>
  </si>
  <si>
    <t>A321</t>
  </si>
  <si>
    <t>SAW-TZL-SAW</t>
  </si>
  <si>
    <t>FMM-TZL-FMM</t>
  </si>
  <si>
    <t>W64279</t>
  </si>
  <si>
    <t>W64280</t>
  </si>
  <si>
    <t>AJET</t>
  </si>
  <si>
    <t>TKJ</t>
  </si>
  <si>
    <t>VF271</t>
  </si>
  <si>
    <t>VF272</t>
  </si>
  <si>
    <t>B738</t>
  </si>
  <si>
    <t>9H-WDK</t>
  </si>
  <si>
    <t>FLYNAS</t>
  </si>
  <si>
    <t>KNE</t>
  </si>
  <si>
    <t>JED--TZL</t>
  </si>
  <si>
    <t>A320</t>
  </si>
  <si>
    <t>HZ NS88</t>
  </si>
  <si>
    <t>DIVERTED</t>
  </si>
  <si>
    <t>XY619</t>
  </si>
  <si>
    <t>TC-JFR</t>
  </si>
  <si>
    <t>YX 620</t>
  </si>
  <si>
    <t>WIZZAIR MALTA LTD</t>
  </si>
  <si>
    <t>WMT</t>
  </si>
  <si>
    <t>MLH-TZL-MLH</t>
  </si>
  <si>
    <t>W44294</t>
  </si>
  <si>
    <t>W44293</t>
  </si>
  <si>
    <t>DTM-TZL-DTM</t>
  </si>
  <si>
    <t>W64298</t>
  </si>
  <si>
    <t>W64297</t>
  </si>
  <si>
    <t>9H-WNT</t>
  </si>
  <si>
    <t>9H-WNR</t>
  </si>
  <si>
    <t>W44280</t>
  </si>
  <si>
    <t>W44279</t>
  </si>
  <si>
    <t>HA-LYK</t>
  </si>
  <si>
    <t>HA-LZW</t>
  </si>
  <si>
    <t>DIV TO BEG</t>
  </si>
  <si>
    <t>CNL</t>
  </si>
  <si>
    <t>PEGASUS AIRLINES</t>
  </si>
  <si>
    <t>PGT</t>
  </si>
  <si>
    <t>B737</t>
  </si>
  <si>
    <t>PC250</t>
  </si>
  <si>
    <t>PC251</t>
  </si>
  <si>
    <t>9HWMD</t>
  </si>
  <si>
    <t>TC-DCI</t>
  </si>
  <si>
    <t>9H-WZQ</t>
  </si>
  <si>
    <t>9H-WNL</t>
  </si>
  <si>
    <t>HA-LVH</t>
  </si>
  <si>
    <t>TC-OHA</t>
  </si>
  <si>
    <t>pošta odl (kg)</t>
  </si>
  <si>
    <t>HA-LXN</t>
  </si>
  <si>
    <t>HA-LZE</t>
  </si>
  <si>
    <t>WZZ801</t>
  </si>
  <si>
    <t>HA-LYS</t>
  </si>
  <si>
    <t>OTP-TZL</t>
  </si>
  <si>
    <t>9H-WAT</t>
  </si>
  <si>
    <t>-</t>
  </si>
  <si>
    <t>CLJ-TZL-FMM</t>
  </si>
  <si>
    <t>SOS AIR</t>
  </si>
  <si>
    <t>N/A</t>
  </si>
  <si>
    <t>ISL-TZL</t>
  </si>
  <si>
    <t>BE40</t>
  </si>
  <si>
    <t>TC-STA</t>
  </si>
  <si>
    <t>TCSTA</t>
  </si>
  <si>
    <t>RON</t>
  </si>
  <si>
    <t>TZL-CGN-TZL</t>
  </si>
  <si>
    <t>W64299</t>
  </si>
  <si>
    <t>W64300</t>
  </si>
  <si>
    <t>TZL-FMM-TZL</t>
  </si>
  <si>
    <t>TZL-MST-TZL</t>
  </si>
  <si>
    <t>W64241</t>
  </si>
  <si>
    <t>W64242</t>
  </si>
  <si>
    <t>TZL-ISL</t>
  </si>
  <si>
    <t>RYANAIR</t>
  </si>
  <si>
    <t>EI-DLD</t>
  </si>
  <si>
    <t>FR4014P</t>
  </si>
  <si>
    <t>FR</t>
  </si>
  <si>
    <t>BGY-TZL-BGY</t>
  </si>
  <si>
    <t>EI-DYY</t>
  </si>
  <si>
    <t>FR6147</t>
  </si>
  <si>
    <t>FR7041P</t>
  </si>
  <si>
    <t>FR3697</t>
  </si>
  <si>
    <t>STN-TZL-STN</t>
  </si>
  <si>
    <t>EIEKS</t>
  </si>
  <si>
    <t>RK4582</t>
  </si>
  <si>
    <t>RK414P</t>
  </si>
  <si>
    <t>KTW-TZL-GOT</t>
  </si>
  <si>
    <t>ARN-TZL-ARN</t>
  </si>
  <si>
    <t>EIEVG</t>
  </si>
  <si>
    <t>FR4165</t>
  </si>
  <si>
    <t>FR3134P</t>
  </si>
  <si>
    <t>VIE-TZL-BNX</t>
  </si>
  <si>
    <t>EIIJG</t>
  </si>
  <si>
    <t>FR9755</t>
  </si>
  <si>
    <t>FR9753</t>
  </si>
  <si>
    <t>EIDLD</t>
  </si>
  <si>
    <t>FR9054</t>
  </si>
  <si>
    <t>TZL-DTM-TZL</t>
  </si>
  <si>
    <t>TZL-MMX-TZL</t>
  </si>
  <si>
    <t>EIDVD</t>
  </si>
  <si>
    <t>FR9055</t>
  </si>
  <si>
    <t>HA-LTD</t>
  </si>
  <si>
    <t>TZL-GOT</t>
  </si>
  <si>
    <t>TC-NCA</t>
  </si>
  <si>
    <t xml:space="preserve">        -</t>
  </si>
  <si>
    <t>HA-LGA</t>
  </si>
  <si>
    <t>TZL-HAM-TZL</t>
  </si>
  <si>
    <t>W64239</t>
  </si>
  <si>
    <t>W64240</t>
  </si>
  <si>
    <t>RUK</t>
  </si>
  <si>
    <t>NON SCHEDULED</t>
  </si>
  <si>
    <t>RK4554</t>
  </si>
  <si>
    <t>RK4555</t>
  </si>
  <si>
    <t>G-RUKJ</t>
  </si>
  <si>
    <t>TC-JZZ</t>
  </si>
  <si>
    <t>HA-LXR</t>
  </si>
  <si>
    <t>OTKAZAN</t>
  </si>
  <si>
    <t>POMJEREN ZA 17.12.2025</t>
  </si>
  <si>
    <t>Preusmjeren za Budimpeštu</t>
  </si>
  <si>
    <t>Preusmjeren za Tiranu</t>
  </si>
  <si>
    <t>BUD-TZL</t>
  </si>
  <si>
    <t>W44294A</t>
  </si>
  <si>
    <t>W4801</t>
  </si>
  <si>
    <t>HALGA</t>
  </si>
  <si>
    <t>TIA-TZL-MLH</t>
  </si>
  <si>
    <t>9HWNU</t>
  </si>
  <si>
    <t>WIZZAIR MALTA</t>
  </si>
  <si>
    <t>9H-WNA</t>
  </si>
  <si>
    <t>FAI REANT A JET</t>
  </si>
  <si>
    <t>NUE-TZL-RMS</t>
  </si>
  <si>
    <t>LJ60</t>
  </si>
  <si>
    <t>D-CPMU</t>
  </si>
  <si>
    <t>MEDEVAC</t>
  </si>
  <si>
    <t>FAI2444</t>
  </si>
  <si>
    <t>19.12.2025.</t>
  </si>
  <si>
    <t>TC-CRG</t>
  </si>
  <si>
    <t>W64291</t>
  </si>
  <si>
    <t>W64292</t>
  </si>
  <si>
    <t>Preusmjeren za Beograd</t>
  </si>
  <si>
    <t>Preusmjeren za Banja Luku</t>
  </si>
  <si>
    <t>HA-LXO</t>
  </si>
  <si>
    <t>Preusmjeren za Istanbul</t>
  </si>
  <si>
    <t>BSL-TZL-BSL</t>
  </si>
  <si>
    <t>HA-LVD</t>
  </si>
  <si>
    <t>W69001</t>
  </si>
  <si>
    <t>W6803</t>
  </si>
  <si>
    <t>9H-WME</t>
  </si>
  <si>
    <t>BUD-TZL-KTW</t>
  </si>
  <si>
    <t>TC-LUR</t>
  </si>
  <si>
    <t>9H-WAQ</t>
  </si>
  <si>
    <t>9H-WNU</t>
  </si>
  <si>
    <t>9H-WWNA</t>
  </si>
  <si>
    <t>9H-WNV</t>
  </si>
  <si>
    <t>VORWERK AUTOTEC GMBH</t>
  </si>
  <si>
    <t>MGL-TZL-ISL</t>
  </si>
  <si>
    <t>EA50</t>
  </si>
  <si>
    <t>N100VA</t>
  </si>
  <si>
    <t>NONSCHEDULED</t>
  </si>
  <si>
    <t>CREW</t>
  </si>
  <si>
    <t>TC-NBF</t>
  </si>
  <si>
    <t>TC-LAK</t>
  </si>
  <si>
    <t>AK FENIX ŽIVINICE</t>
  </si>
  <si>
    <t>LQCG-TZL</t>
  </si>
  <si>
    <t>C172</t>
  </si>
  <si>
    <t>E7-CAR</t>
  </si>
  <si>
    <t>GA PRIVATE</t>
  </si>
  <si>
    <t>E7CAR</t>
  </si>
  <si>
    <t>LOCAL FLIGHT</t>
  </si>
  <si>
    <t>HA-LGN</t>
  </si>
  <si>
    <t>HA-LXY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</si>
</sst>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Garamond"/>
      <family val="1"/>
    </font>
    <font>
      <sz val="10"/>
      <color theme="1"/>
      <name val="Garamond"/>
      <family val="1"/>
    </font>
    <font>
      <sz val="10"/>
      <name val="Garamond"/>
      <family val="1"/>
    </font>
    <font>
      <b/>
      <sz val="10"/>
      <color theme="1"/>
      <name val="Garamond"/>
      <family val="1"/>
    </font>
    <font>
      <sz val="10"/>
      <color rgb="FF222222"/>
      <name val="Garamond"/>
      <family val="1"/>
    </font>
    <font>
      <sz val="9"/>
      <color rgb="FF222222"/>
      <name val="Arial"/>
      <family val="2"/>
    </font>
    <font>
      <sz val="11"/>
      <color theme="1"/>
      <name val="Garamond"/>
      <family val="1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8">
    <xf numFmtId="0" fontId="0" fillId="0" borderId="0" xfId="0"/>
    <xf numFmtId="3" fontId="3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14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3" fontId="3" fillId="0" borderId="0" xfId="0" applyNumberFormat="1" applyFont="1" applyBorder="1" applyAlignment="1">
      <alignment horizontal="center" vertical="center"/>
    </xf>
    <xf numFmtId="0" fontId="4" fillId="0" borderId="0" xfId="1" applyFont="1" applyFill="1" applyBorder="1" applyAlignment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 applyProtection="1">
      <alignment horizontal="center"/>
    </xf>
    <xf numFmtId="0" fontId="4" fillId="2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20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0" fontId="3" fillId="3" borderId="0" xfId="0" applyNumberFormat="1" applyFont="1" applyFill="1" applyBorder="1" applyAlignment="1">
      <alignment horizontal="center" vertical="center"/>
    </xf>
    <xf numFmtId="20" fontId="3" fillId="0" borderId="0" xfId="0" applyNumberFormat="1" applyFont="1" applyFill="1" applyBorder="1" applyAlignment="1">
      <alignment horizontal="center" vertical="center"/>
    </xf>
    <xf numFmtId="3" fontId="3" fillId="0" borderId="0" xfId="0" applyNumberFormat="1" applyFont="1" applyFill="1" applyBorder="1" applyAlignment="1">
      <alignment horizontal="center" vertical="center"/>
    </xf>
    <xf numFmtId="0" fontId="7" fillId="0" borderId="0" xfId="0" applyFon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/>
    </xf>
    <xf numFmtId="0" fontId="8" fillId="0" borderId="0" xfId="0" applyFont="1"/>
    <xf numFmtId="0" fontId="3" fillId="3" borderId="0" xfId="0" applyFont="1" applyFill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5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Border="1" applyAlignment="1">
      <alignment horizontal="center" vertical="center"/>
    </xf>
  </cellXfs>
  <cellStyles count="2">
    <cellStyle name="Normal" xfId="0" builtinId="0"/>
    <cellStyle name="Normal 4" xfId="1" xr:uid="{C5E0554B-C6AC-471E-B6F9-33CE1ECB63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workbookViewId="0">
      <selection activeCell="B3" sqref="B3:X3"/>
    </sheetView>
  </sheetViews>
  <sheetFormatPr defaultRowHeight="15" x14ac:dyDescent="0.25"/>
  <cols>
    <col min="2" max="2" width="25.28515625" customWidth="1"/>
    <col min="4" max="4" width="15.28515625" customWidth="1"/>
    <col min="8" max="8" width="32.5703125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18</v>
      </c>
    </row>
    <row r="2" spans="1:25" x14ac:dyDescent="0.25">
      <c r="A2" s="11">
        <v>45992</v>
      </c>
      <c r="B2" s="10" t="s">
        <v>21</v>
      </c>
      <c r="C2" s="10" t="s">
        <v>22</v>
      </c>
      <c r="D2" s="10" t="s">
        <v>27</v>
      </c>
      <c r="E2" s="10" t="s">
        <v>25</v>
      </c>
      <c r="F2" s="10">
        <v>239</v>
      </c>
      <c r="G2" s="1" t="s">
        <v>35</v>
      </c>
      <c r="H2" s="9" t="s">
        <v>11</v>
      </c>
      <c r="I2" s="1">
        <v>89000</v>
      </c>
      <c r="J2" s="3" t="s">
        <v>29</v>
      </c>
      <c r="K2" s="2">
        <v>0.4375</v>
      </c>
      <c r="L2" s="3">
        <v>0.42986111111111108</v>
      </c>
      <c r="M2" s="10">
        <v>138</v>
      </c>
      <c r="N2" s="10">
        <v>4</v>
      </c>
      <c r="O2" s="10">
        <v>450</v>
      </c>
      <c r="P2" s="10">
        <v>0</v>
      </c>
      <c r="Q2" s="10">
        <v>0</v>
      </c>
      <c r="R2" s="10" t="s">
        <v>28</v>
      </c>
      <c r="S2" s="2">
        <v>0.46180555555555558</v>
      </c>
      <c r="T2" s="3">
        <v>0.46527777777777773</v>
      </c>
      <c r="U2" s="10">
        <v>213</v>
      </c>
      <c r="V2" s="10">
        <v>2</v>
      </c>
      <c r="W2" s="10">
        <v>456</v>
      </c>
      <c r="X2" s="10">
        <v>0</v>
      </c>
      <c r="Y2" s="10">
        <v>0</v>
      </c>
    </row>
    <row r="3" spans="1:25" x14ac:dyDescent="0.25">
      <c r="A3" s="11">
        <v>45992</v>
      </c>
      <c r="B3" s="10" t="s">
        <v>30</v>
      </c>
      <c r="C3" s="10" t="s">
        <v>31</v>
      </c>
      <c r="D3" s="9" t="s">
        <v>26</v>
      </c>
      <c r="E3" s="10" t="s">
        <v>34</v>
      </c>
      <c r="F3" s="10">
        <v>189</v>
      </c>
      <c r="G3" s="1" t="s">
        <v>43</v>
      </c>
      <c r="H3" s="9" t="s">
        <v>11</v>
      </c>
      <c r="I3" s="1">
        <v>79</v>
      </c>
      <c r="J3" s="3" t="s">
        <v>32</v>
      </c>
      <c r="K3" s="2">
        <v>0.59722222222222221</v>
      </c>
      <c r="L3" s="3">
        <v>0.58472222222222225</v>
      </c>
      <c r="M3" s="10">
        <v>95</v>
      </c>
      <c r="N3" s="10">
        <v>1</v>
      </c>
      <c r="O3" s="10">
        <v>974</v>
      </c>
      <c r="P3" s="10">
        <v>0</v>
      </c>
      <c r="Q3" s="10">
        <v>0</v>
      </c>
      <c r="R3" s="10" t="s">
        <v>33</v>
      </c>
      <c r="S3" s="2">
        <v>0.63888888888888895</v>
      </c>
      <c r="T3" s="3">
        <v>0.65833333333333333</v>
      </c>
      <c r="U3" s="10">
        <v>81</v>
      </c>
      <c r="V3" s="10">
        <v>0</v>
      </c>
      <c r="W3" s="10">
        <v>738</v>
      </c>
      <c r="X3" s="10">
        <v>0</v>
      </c>
      <c r="Y3" s="10">
        <v>0</v>
      </c>
    </row>
    <row r="4" spans="1:25" x14ac:dyDescent="0.25">
      <c r="A4" s="11">
        <v>45992</v>
      </c>
      <c r="B4" s="10" t="s">
        <v>36</v>
      </c>
      <c r="C4" s="12" t="s">
        <v>37</v>
      </c>
      <c r="D4" s="9" t="s">
        <v>38</v>
      </c>
      <c r="E4" s="13" t="s">
        <v>39</v>
      </c>
      <c r="F4" s="9">
        <v>189</v>
      </c>
      <c r="G4" s="1" t="s">
        <v>40</v>
      </c>
      <c r="H4" s="12" t="s">
        <v>41</v>
      </c>
      <c r="I4" s="1">
        <v>79</v>
      </c>
      <c r="J4" s="3" t="s">
        <v>42</v>
      </c>
      <c r="K4" s="2">
        <v>0.51041666666666663</v>
      </c>
      <c r="L4" s="3">
        <v>0.51736111111111105</v>
      </c>
      <c r="M4" s="14">
        <v>0</v>
      </c>
      <c r="N4" s="10">
        <v>0</v>
      </c>
      <c r="O4" s="10">
        <v>0</v>
      </c>
      <c r="P4" s="10">
        <v>0</v>
      </c>
      <c r="Q4" s="10">
        <v>0</v>
      </c>
      <c r="R4" s="10" t="s">
        <v>44</v>
      </c>
      <c r="S4" s="2">
        <v>0.60138888888888886</v>
      </c>
      <c r="T4" s="3">
        <v>0.60138888888888886</v>
      </c>
      <c r="U4" s="14">
        <v>0</v>
      </c>
      <c r="V4" s="10">
        <v>0</v>
      </c>
      <c r="W4" s="10">
        <v>0</v>
      </c>
      <c r="X4" s="10">
        <v>0</v>
      </c>
      <c r="Y4" s="10">
        <v>0</v>
      </c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E1D2-4E72-44BC-B3A3-5E7185E2ADC9}">
  <dimension ref="A1:Y5"/>
  <sheetViews>
    <sheetView workbookViewId="0">
      <selection activeCell="B8" sqref="B8"/>
    </sheetView>
  </sheetViews>
  <sheetFormatPr defaultRowHeight="15" x14ac:dyDescent="0.25"/>
  <cols>
    <col min="2" max="2" width="22.5703125" customWidth="1"/>
    <col min="4" max="4" width="14" bestFit="1" customWidth="1"/>
    <col min="8" max="8" width="14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18</v>
      </c>
    </row>
    <row r="2" spans="1:25" x14ac:dyDescent="0.25">
      <c r="A2" s="11">
        <v>45993</v>
      </c>
      <c r="B2" s="10" t="s">
        <v>45</v>
      </c>
      <c r="C2" s="8" t="s">
        <v>46</v>
      </c>
      <c r="D2" s="10" t="s">
        <v>47</v>
      </c>
      <c r="E2" s="9" t="s">
        <v>25</v>
      </c>
      <c r="F2" s="10">
        <v>239</v>
      </c>
      <c r="G2" s="10" t="s">
        <v>53</v>
      </c>
      <c r="H2" s="9" t="s">
        <v>11</v>
      </c>
      <c r="I2" s="1">
        <v>89000</v>
      </c>
      <c r="J2" s="10" t="s">
        <v>48</v>
      </c>
      <c r="K2" s="2">
        <v>0.4861111111111111</v>
      </c>
      <c r="L2" s="3">
        <v>0.48125000000000001</v>
      </c>
      <c r="M2" s="10">
        <v>127</v>
      </c>
      <c r="N2" s="10">
        <v>2</v>
      </c>
      <c r="O2" s="10">
        <v>540</v>
      </c>
      <c r="P2" s="10">
        <v>0</v>
      </c>
      <c r="Q2" s="10">
        <v>0</v>
      </c>
      <c r="R2" s="10" t="s">
        <v>49</v>
      </c>
      <c r="S2" s="2">
        <v>0.51041666666666663</v>
      </c>
      <c r="T2" s="3">
        <v>0.5180555555555556</v>
      </c>
      <c r="U2" s="10">
        <v>223</v>
      </c>
      <c r="V2" s="10">
        <v>4</v>
      </c>
      <c r="W2" s="10">
        <v>966</v>
      </c>
      <c r="X2" s="10">
        <v>0</v>
      </c>
      <c r="Y2" s="10">
        <v>0</v>
      </c>
    </row>
    <row r="3" spans="1:25" x14ac:dyDescent="0.25">
      <c r="A3" s="11">
        <v>45993</v>
      </c>
      <c r="B3" s="10" t="s">
        <v>21</v>
      </c>
      <c r="C3" s="10" t="s">
        <v>22</v>
      </c>
      <c r="D3" s="10" t="s">
        <v>50</v>
      </c>
      <c r="E3" s="10" t="s">
        <v>25</v>
      </c>
      <c r="F3" s="10">
        <v>239</v>
      </c>
      <c r="G3" s="10" t="s">
        <v>54</v>
      </c>
      <c r="H3" s="9" t="s">
        <v>11</v>
      </c>
      <c r="I3" s="1">
        <v>89000</v>
      </c>
      <c r="J3" s="3" t="s">
        <v>51</v>
      </c>
      <c r="K3" s="2">
        <v>0.51736111111111105</v>
      </c>
      <c r="L3" s="3">
        <v>0.50486111111111109</v>
      </c>
      <c r="M3" s="10">
        <v>184</v>
      </c>
      <c r="N3" s="10">
        <v>1</v>
      </c>
      <c r="O3" s="10">
        <v>352</v>
      </c>
      <c r="P3" s="10">
        <v>0</v>
      </c>
      <c r="Q3" s="10">
        <v>0</v>
      </c>
      <c r="R3" s="10" t="s">
        <v>52</v>
      </c>
      <c r="S3" s="2">
        <v>0.54166666666666663</v>
      </c>
      <c r="T3" s="3">
        <v>0.54513888888888895</v>
      </c>
      <c r="U3" s="10">
        <v>207</v>
      </c>
      <c r="V3" s="10">
        <v>3</v>
      </c>
      <c r="W3" s="10">
        <v>633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0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692E-4EB0-4F3A-B8E9-8B0FA8CCCCA0}">
  <dimension ref="A1:Y5"/>
  <sheetViews>
    <sheetView workbookViewId="0">
      <selection activeCell="B8" sqref="B8"/>
    </sheetView>
  </sheetViews>
  <sheetFormatPr defaultRowHeight="15" x14ac:dyDescent="0.25"/>
  <cols>
    <col min="2" max="2" width="22.5703125" customWidth="1"/>
    <col min="4" max="4" width="14" bestFit="1" customWidth="1"/>
    <col min="8" max="8" width="14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18</v>
      </c>
    </row>
    <row r="2" spans="1:25" x14ac:dyDescent="0.25">
      <c r="A2" s="11"/>
      <c r="B2" s="10"/>
      <c r="C2" s="8"/>
      <c r="D2" s="10"/>
      <c r="E2" s="9"/>
      <c r="F2" s="10"/>
      <c r="G2" s="10"/>
      <c r="H2" s="9"/>
      <c r="I2" s="1"/>
      <c r="J2" s="10"/>
      <c r="K2" s="2"/>
      <c r="L2" s="3"/>
      <c r="M2" s="10"/>
      <c r="N2" s="10"/>
      <c r="O2" s="10"/>
      <c r="P2" s="10"/>
      <c r="Q2" s="10"/>
      <c r="R2" s="10"/>
      <c r="S2" s="2"/>
      <c r="T2" s="3"/>
      <c r="U2" s="10"/>
      <c r="V2" s="10"/>
      <c r="W2" s="10"/>
      <c r="X2" s="10"/>
      <c r="Y2" s="10"/>
    </row>
    <row r="3" spans="1:25" x14ac:dyDescent="0.25">
      <c r="A3" s="11"/>
      <c r="B3" s="10"/>
      <c r="C3" s="10"/>
      <c r="D3" s="10"/>
      <c r="E3" s="10"/>
      <c r="F3" s="10"/>
      <c r="G3" s="10"/>
      <c r="H3" s="9"/>
      <c r="I3" s="1"/>
      <c r="J3" s="3"/>
      <c r="K3" s="2"/>
      <c r="L3" s="3"/>
      <c r="M3" s="10"/>
      <c r="N3" s="10"/>
      <c r="O3" s="10"/>
      <c r="P3" s="10"/>
      <c r="Q3" s="10"/>
      <c r="R3" s="10"/>
      <c r="S3" s="2"/>
      <c r="T3" s="3"/>
      <c r="U3" s="10"/>
      <c r="V3" s="10"/>
      <c r="W3" s="10"/>
      <c r="X3" s="10"/>
      <c r="Y3" s="10"/>
    </row>
    <row r="4" spans="1:25" x14ac:dyDescent="0.25">
      <c r="A4" s="11"/>
      <c r="B4" s="10"/>
      <c r="C4" s="10"/>
      <c r="D4" s="10"/>
      <c r="E4" s="10"/>
      <c r="F4" s="10"/>
      <c r="G4" s="10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64AE-C339-48E9-9E9F-DF59D891D4E9}">
  <dimension ref="A1:Y4"/>
  <sheetViews>
    <sheetView workbookViewId="0">
      <selection sqref="A1:Y3"/>
    </sheetView>
  </sheetViews>
  <sheetFormatPr defaultRowHeight="15" x14ac:dyDescent="0.25"/>
  <cols>
    <col min="1" max="1" width="9.28515625" customWidth="1"/>
    <col min="2" max="2" width="23.28515625" bestFit="1" customWidth="1"/>
    <col min="4" max="4" width="14" bestFit="1" customWidth="1"/>
    <col min="8" max="8" width="12.140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5</v>
      </c>
      <c r="K1" s="18" t="s">
        <v>7</v>
      </c>
      <c r="L1" s="18" t="s">
        <v>8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6" t="s">
        <v>6</v>
      </c>
      <c r="S1" s="18" t="s">
        <v>9</v>
      </c>
      <c r="T1" s="18" t="s">
        <v>10</v>
      </c>
      <c r="U1" s="18" t="s">
        <v>14</v>
      </c>
      <c r="V1" s="18" t="s">
        <v>15</v>
      </c>
      <c r="W1" s="18" t="s">
        <v>19</v>
      </c>
      <c r="X1" s="18" t="s">
        <v>20</v>
      </c>
      <c r="Y1" s="18" t="s">
        <v>18</v>
      </c>
    </row>
    <row r="2" spans="1:25" x14ac:dyDescent="0.25">
      <c r="A2" s="19">
        <v>45995</v>
      </c>
      <c r="B2" s="20" t="s">
        <v>45</v>
      </c>
      <c r="C2" s="21" t="s">
        <v>46</v>
      </c>
      <c r="D2" s="20" t="s">
        <v>27</v>
      </c>
      <c r="E2" s="20" t="s">
        <v>39</v>
      </c>
      <c r="F2" s="20">
        <v>180</v>
      </c>
      <c r="G2" s="22" t="s">
        <v>57</v>
      </c>
      <c r="H2" s="23" t="s">
        <v>11</v>
      </c>
      <c r="I2" s="22">
        <v>71000</v>
      </c>
      <c r="J2" s="20" t="s">
        <v>55</v>
      </c>
      <c r="K2" s="24">
        <v>0.39583333333333331</v>
      </c>
      <c r="L2" s="25">
        <v>0.39930555555555558</v>
      </c>
      <c r="M2" s="20">
        <v>119</v>
      </c>
      <c r="N2" s="20">
        <v>4</v>
      </c>
      <c r="O2" s="20">
        <v>351</v>
      </c>
      <c r="P2" s="20">
        <v>0</v>
      </c>
      <c r="Q2" s="20">
        <v>0</v>
      </c>
      <c r="R2" s="20" t="s">
        <v>56</v>
      </c>
      <c r="S2" s="24">
        <v>0.41666666666666669</v>
      </c>
      <c r="T2" s="25">
        <v>0.43333333333333335</v>
      </c>
      <c r="U2" s="20">
        <v>156</v>
      </c>
      <c r="V2" s="20">
        <v>2</v>
      </c>
      <c r="W2" s="20">
        <v>264</v>
      </c>
      <c r="X2" s="20">
        <v>0</v>
      </c>
      <c r="Y2" s="20">
        <v>0</v>
      </c>
    </row>
    <row r="3" spans="1:25" x14ac:dyDescent="0.25">
      <c r="A3" s="19">
        <v>45995</v>
      </c>
      <c r="B3" s="20" t="s">
        <v>21</v>
      </c>
      <c r="C3" s="20" t="s">
        <v>22</v>
      </c>
      <c r="D3" s="20" t="s">
        <v>50</v>
      </c>
      <c r="E3" s="20" t="s">
        <v>25</v>
      </c>
      <c r="F3" s="20">
        <v>239</v>
      </c>
      <c r="G3" s="22" t="s">
        <v>54</v>
      </c>
      <c r="H3" s="23" t="s">
        <v>11</v>
      </c>
      <c r="I3" s="22">
        <v>89000</v>
      </c>
      <c r="J3" s="25" t="s">
        <v>51</v>
      </c>
      <c r="K3" s="24">
        <v>0.51736111111111105</v>
      </c>
      <c r="L3" s="25">
        <v>0.54722222222222217</v>
      </c>
      <c r="M3" s="20">
        <v>223</v>
      </c>
      <c r="N3" s="20">
        <v>4</v>
      </c>
      <c r="O3" s="20">
        <v>874</v>
      </c>
      <c r="P3" s="20">
        <v>0</v>
      </c>
      <c r="Q3" s="20">
        <v>0</v>
      </c>
      <c r="R3" s="20" t="s">
        <v>52</v>
      </c>
      <c r="S3" s="24">
        <v>0.54166666666666663</v>
      </c>
      <c r="T3" s="25">
        <v>0.58194444444444449</v>
      </c>
      <c r="U3" s="20">
        <v>211</v>
      </c>
      <c r="V3" s="20">
        <v>2</v>
      </c>
      <c r="W3" s="20">
        <v>761</v>
      </c>
      <c r="X3" s="20">
        <v>0</v>
      </c>
      <c r="Y3" s="20">
        <v>0</v>
      </c>
    </row>
    <row r="4" spans="1:25" x14ac:dyDescent="0.25">
      <c r="A4" s="19"/>
      <c r="B4" s="26"/>
      <c r="C4" s="20"/>
      <c r="D4" s="20"/>
      <c r="E4" s="27"/>
      <c r="F4" s="20"/>
      <c r="G4" s="28"/>
      <c r="H4" s="23"/>
      <c r="I4" s="22"/>
      <c r="J4" s="25"/>
      <c r="K4" s="29"/>
      <c r="L4" s="30"/>
      <c r="M4" s="31"/>
      <c r="N4" s="31"/>
      <c r="O4" s="31"/>
      <c r="P4" s="31"/>
      <c r="Q4" s="31"/>
      <c r="R4" s="31"/>
      <c r="S4" s="29"/>
      <c r="T4" s="30"/>
      <c r="U4" s="31"/>
      <c r="V4" s="31"/>
      <c r="W4" s="31"/>
      <c r="X4" s="31"/>
      <c r="Y4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A4FF-B9B6-4A6F-BCEC-8D092462D923}">
  <dimension ref="A1:Y4"/>
  <sheetViews>
    <sheetView workbookViewId="0">
      <selection activeCell="L2" sqref="L2"/>
    </sheetView>
  </sheetViews>
  <sheetFormatPr defaultRowHeight="15" x14ac:dyDescent="0.25"/>
  <cols>
    <col min="1" max="1" width="9.28515625" customWidth="1"/>
    <col min="2" max="2" width="23.28515625" bestFit="1" customWidth="1"/>
    <col min="4" max="4" width="14" bestFit="1" customWidth="1"/>
    <col min="8" max="8" width="12.140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5</v>
      </c>
      <c r="K1" s="18" t="s">
        <v>7</v>
      </c>
      <c r="L1" s="18" t="s">
        <v>8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6" t="s">
        <v>6</v>
      </c>
      <c r="S1" s="18" t="s">
        <v>9</v>
      </c>
      <c r="T1" s="18" t="s">
        <v>10</v>
      </c>
      <c r="U1" s="18" t="s">
        <v>14</v>
      </c>
      <c r="V1" s="18" t="s">
        <v>15</v>
      </c>
      <c r="W1" s="18" t="s">
        <v>19</v>
      </c>
      <c r="X1" s="18" t="s">
        <v>20</v>
      </c>
      <c r="Y1" s="18" t="s">
        <v>18</v>
      </c>
    </row>
    <row r="2" spans="1:25" x14ac:dyDescent="0.25">
      <c r="A2" s="19">
        <v>45996</v>
      </c>
      <c r="B2" s="20" t="s">
        <v>21</v>
      </c>
      <c r="C2" s="21" t="s">
        <v>46</v>
      </c>
      <c r="D2" s="20" t="s">
        <v>27</v>
      </c>
      <c r="E2" s="20" t="s">
        <v>25</v>
      </c>
      <c r="F2" s="20">
        <v>239</v>
      </c>
      <c r="G2" s="22" t="s">
        <v>58</v>
      </c>
      <c r="H2" s="23" t="s">
        <v>11</v>
      </c>
      <c r="I2" s="22">
        <v>89000</v>
      </c>
      <c r="J2" s="25" t="s">
        <v>29</v>
      </c>
      <c r="K2" s="24">
        <v>0.4375</v>
      </c>
      <c r="L2" s="25" t="s">
        <v>59</v>
      </c>
      <c r="M2" s="20">
        <v>0</v>
      </c>
      <c r="N2" s="20">
        <v>0</v>
      </c>
      <c r="O2" s="20">
        <v>0</v>
      </c>
      <c r="P2" s="20">
        <v>0</v>
      </c>
      <c r="Q2" s="20">
        <v>0</v>
      </c>
      <c r="R2" s="20" t="s">
        <v>28</v>
      </c>
      <c r="S2" s="24">
        <v>0.46180555555555558</v>
      </c>
      <c r="T2" s="25" t="s">
        <v>60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</row>
    <row r="3" spans="1:25" x14ac:dyDescent="0.25">
      <c r="A3" s="19"/>
      <c r="B3" s="20"/>
      <c r="C3" s="20"/>
      <c r="F3" s="20"/>
      <c r="G3" s="22"/>
      <c r="H3" s="23"/>
      <c r="I3" s="22"/>
      <c r="J3" s="25"/>
      <c r="K3" s="24"/>
      <c r="L3" s="25"/>
      <c r="M3" s="20"/>
      <c r="N3" s="20"/>
      <c r="O3" s="20"/>
      <c r="P3" s="20"/>
      <c r="Q3" s="20"/>
      <c r="R3" s="20"/>
      <c r="S3" s="24"/>
      <c r="T3" s="25"/>
      <c r="U3" s="20"/>
      <c r="V3" s="20"/>
      <c r="W3" s="20"/>
      <c r="X3" s="20"/>
      <c r="Y3" s="20"/>
    </row>
    <row r="4" spans="1:25" x14ac:dyDescent="0.25">
      <c r="A4" s="19"/>
      <c r="B4" s="26"/>
      <c r="C4" s="20"/>
      <c r="F4" s="20"/>
      <c r="G4" s="28"/>
      <c r="H4" s="23"/>
      <c r="I4" s="22"/>
      <c r="J4" s="25"/>
      <c r="K4" s="29"/>
      <c r="L4" s="30"/>
      <c r="M4" s="31"/>
      <c r="N4" s="31"/>
      <c r="O4" s="31"/>
      <c r="P4" s="31"/>
      <c r="Q4" s="31"/>
      <c r="R4" s="31"/>
      <c r="S4" s="29"/>
      <c r="T4" s="30"/>
      <c r="U4" s="31"/>
      <c r="V4" s="31"/>
      <c r="W4" s="31"/>
      <c r="X4" s="31"/>
      <c r="Y4" s="3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F9B9-AD50-482B-868F-C4852A976D84}">
  <dimension ref="A1:Y4"/>
  <sheetViews>
    <sheetView workbookViewId="0">
      <selection activeCell="A4" sqref="A4:Y4"/>
    </sheetView>
  </sheetViews>
  <sheetFormatPr defaultRowHeight="15" x14ac:dyDescent="0.25"/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18</v>
      </c>
    </row>
    <row r="2" spans="1:25" x14ac:dyDescent="0.25">
      <c r="A2" s="11">
        <v>45997</v>
      </c>
      <c r="B2" s="10" t="s">
        <v>45</v>
      </c>
      <c r="C2" s="8" t="s">
        <v>46</v>
      </c>
      <c r="D2" s="10" t="s">
        <v>47</v>
      </c>
      <c r="E2" s="9" t="s">
        <v>25</v>
      </c>
      <c r="F2" s="10">
        <v>239</v>
      </c>
      <c r="G2" s="10" t="s">
        <v>66</v>
      </c>
      <c r="H2" s="9" t="s">
        <v>11</v>
      </c>
      <c r="I2" s="1">
        <v>89000</v>
      </c>
      <c r="J2" s="10" t="s">
        <v>48</v>
      </c>
      <c r="K2" s="2">
        <v>0.4861111111111111</v>
      </c>
      <c r="L2" s="3">
        <v>0.48958333333333331</v>
      </c>
      <c r="M2" s="10">
        <v>222</v>
      </c>
      <c r="N2" s="10">
        <v>3</v>
      </c>
      <c r="O2" s="10">
        <v>807</v>
      </c>
      <c r="P2" s="10">
        <v>0</v>
      </c>
      <c r="Q2" s="10">
        <v>0</v>
      </c>
      <c r="R2" s="10" t="s">
        <v>49</v>
      </c>
      <c r="S2" s="2">
        <v>0.51041666666666663</v>
      </c>
      <c r="T2" s="3">
        <v>0.53055555555555556</v>
      </c>
      <c r="U2" s="10">
        <v>206</v>
      </c>
      <c r="V2" s="10">
        <v>1</v>
      </c>
      <c r="W2" s="10">
        <v>504</v>
      </c>
      <c r="X2" s="10">
        <v>0</v>
      </c>
      <c r="Y2" s="10">
        <v>0</v>
      </c>
    </row>
    <row r="3" spans="1:25" x14ac:dyDescent="0.25">
      <c r="A3" s="11">
        <v>45997</v>
      </c>
      <c r="B3" s="10" t="s">
        <v>21</v>
      </c>
      <c r="C3" s="10" t="s">
        <v>22</v>
      </c>
      <c r="D3" s="10" t="s">
        <v>50</v>
      </c>
      <c r="E3" s="10" t="s">
        <v>25</v>
      </c>
      <c r="F3" s="10">
        <v>239</v>
      </c>
      <c r="G3" s="10" t="s">
        <v>54</v>
      </c>
      <c r="H3" s="9" t="s">
        <v>11</v>
      </c>
      <c r="I3" s="1">
        <v>89000</v>
      </c>
      <c r="J3" s="3" t="s">
        <v>51</v>
      </c>
      <c r="K3" s="2">
        <v>0.51736111111111105</v>
      </c>
      <c r="L3" s="3">
        <v>0.5083333333333333</v>
      </c>
      <c r="M3" s="10">
        <v>197</v>
      </c>
      <c r="N3" s="10">
        <v>3</v>
      </c>
      <c r="O3" s="10">
        <v>500</v>
      </c>
      <c r="P3" s="10">
        <v>0</v>
      </c>
      <c r="Q3" s="10">
        <v>0</v>
      </c>
      <c r="R3" s="10" t="s">
        <v>52</v>
      </c>
      <c r="S3" s="2">
        <v>0.54166666666666663</v>
      </c>
      <c r="T3" s="3">
        <v>0.5444444444444444</v>
      </c>
      <c r="U3" s="10">
        <v>213</v>
      </c>
      <c r="V3" s="10">
        <v>3</v>
      </c>
      <c r="W3" s="10">
        <v>764</v>
      </c>
      <c r="X3" s="10">
        <v>0</v>
      </c>
      <c r="Y3" s="10">
        <v>0</v>
      </c>
    </row>
    <row r="4" spans="1:25" x14ac:dyDescent="0.25">
      <c r="A4" s="11">
        <v>45997</v>
      </c>
      <c r="B4" s="10" t="s">
        <v>61</v>
      </c>
      <c r="C4" s="12" t="s">
        <v>62</v>
      </c>
      <c r="D4" s="9" t="s">
        <v>26</v>
      </c>
      <c r="E4" s="13" t="s">
        <v>63</v>
      </c>
      <c r="F4" s="9">
        <v>189</v>
      </c>
      <c r="G4" s="1" t="s">
        <v>67</v>
      </c>
      <c r="H4" s="12" t="s">
        <v>11</v>
      </c>
      <c r="I4" s="1">
        <v>71500</v>
      </c>
      <c r="J4" s="3" t="s">
        <v>64</v>
      </c>
      <c r="K4" s="2">
        <v>0.56597222222222221</v>
      </c>
      <c r="L4" s="3">
        <v>0.6</v>
      </c>
      <c r="M4" s="14">
        <v>76</v>
      </c>
      <c r="N4" s="10">
        <v>0</v>
      </c>
      <c r="O4" s="10">
        <v>957</v>
      </c>
      <c r="P4" s="10">
        <v>0</v>
      </c>
      <c r="Q4" s="10">
        <v>0</v>
      </c>
      <c r="R4" s="10" t="s">
        <v>65</v>
      </c>
      <c r="S4" s="2">
        <v>0.59722222222222221</v>
      </c>
      <c r="T4" s="3">
        <v>0.63888888888888895</v>
      </c>
      <c r="U4" s="14">
        <v>57</v>
      </c>
      <c r="V4" s="10">
        <v>0</v>
      </c>
      <c r="W4" s="10">
        <v>601</v>
      </c>
      <c r="X4" s="10">
        <v>0</v>
      </c>
      <c r="Y4" s="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C5AD-C0F0-4A0D-B4B3-969FCCE366E0}">
  <dimension ref="A1:Y3"/>
  <sheetViews>
    <sheetView workbookViewId="0">
      <selection activeCell="B6" sqref="B6"/>
    </sheetView>
  </sheetViews>
  <sheetFormatPr defaultRowHeight="15" x14ac:dyDescent="0.25"/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5</v>
      </c>
      <c r="K1" s="18" t="s">
        <v>7</v>
      </c>
      <c r="L1" s="18" t="s">
        <v>8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6" t="s">
        <v>6</v>
      </c>
      <c r="S1" s="18" t="s">
        <v>9</v>
      </c>
      <c r="T1" s="18" t="s">
        <v>10</v>
      </c>
      <c r="U1" s="18" t="s">
        <v>14</v>
      </c>
      <c r="V1" s="18" t="s">
        <v>15</v>
      </c>
      <c r="W1" s="18" t="s">
        <v>19</v>
      </c>
      <c r="X1" s="18" t="s">
        <v>20</v>
      </c>
      <c r="Y1" s="18" t="s">
        <v>18</v>
      </c>
    </row>
    <row r="2" spans="1:25" x14ac:dyDescent="0.25">
      <c r="A2" s="19">
        <v>45998</v>
      </c>
      <c r="B2" s="20" t="s">
        <v>45</v>
      </c>
      <c r="C2" s="21" t="s">
        <v>46</v>
      </c>
      <c r="D2" s="20" t="s">
        <v>27</v>
      </c>
      <c r="E2" s="20" t="s">
        <v>39</v>
      </c>
      <c r="F2" s="20">
        <v>186</v>
      </c>
      <c r="G2" s="22" t="s">
        <v>68</v>
      </c>
      <c r="H2" s="23" t="s">
        <v>11</v>
      </c>
      <c r="I2" s="22">
        <v>71000</v>
      </c>
      <c r="J2" s="20" t="s">
        <v>55</v>
      </c>
      <c r="K2" s="24">
        <v>0.39583333333333331</v>
      </c>
      <c r="L2" s="25">
        <v>0.3833333333333333</v>
      </c>
      <c r="M2" s="20">
        <v>161</v>
      </c>
      <c r="N2" s="20">
        <v>7</v>
      </c>
      <c r="O2" s="20">
        <v>609</v>
      </c>
      <c r="P2" s="20">
        <v>0</v>
      </c>
      <c r="Q2" s="20">
        <v>0</v>
      </c>
      <c r="R2" s="20" t="s">
        <v>56</v>
      </c>
      <c r="S2" s="24">
        <v>0.41666666666666669</v>
      </c>
      <c r="T2" s="25">
        <v>0.54027777777777775</v>
      </c>
      <c r="U2" s="20">
        <v>172</v>
      </c>
      <c r="V2" s="20">
        <v>0</v>
      </c>
      <c r="W2" s="20">
        <v>522</v>
      </c>
      <c r="X2" s="20">
        <v>0</v>
      </c>
      <c r="Y2" s="20">
        <v>0</v>
      </c>
    </row>
    <row r="3" spans="1:25" x14ac:dyDescent="0.25">
      <c r="A3" s="19">
        <v>45998</v>
      </c>
      <c r="B3" s="20" t="s">
        <v>21</v>
      </c>
      <c r="C3" s="20" t="s">
        <v>22</v>
      </c>
      <c r="D3" s="20" t="s">
        <v>50</v>
      </c>
      <c r="E3" s="20" t="s">
        <v>25</v>
      </c>
      <c r="F3" s="20">
        <v>239</v>
      </c>
      <c r="G3" s="22" t="s">
        <v>69</v>
      </c>
      <c r="H3" s="23" t="s">
        <v>11</v>
      </c>
      <c r="I3" s="22">
        <v>89000</v>
      </c>
      <c r="J3" s="25" t="s">
        <v>51</v>
      </c>
      <c r="K3" s="24">
        <v>0.51736111111111105</v>
      </c>
      <c r="L3" s="25">
        <v>0.50347222222222221</v>
      </c>
      <c r="M3" s="20">
        <v>188</v>
      </c>
      <c r="N3" s="20">
        <v>4</v>
      </c>
      <c r="O3" s="20">
        <v>988</v>
      </c>
      <c r="P3" s="20">
        <v>0</v>
      </c>
      <c r="Q3" s="20">
        <v>0</v>
      </c>
      <c r="R3" s="20" t="s">
        <v>52</v>
      </c>
      <c r="S3" s="24">
        <v>0.54166666666666663</v>
      </c>
      <c r="T3" s="25">
        <v>0.54027777777777775</v>
      </c>
      <c r="U3" s="20">
        <v>213</v>
      </c>
      <c r="V3" s="20">
        <v>3</v>
      </c>
      <c r="W3" s="20">
        <v>725</v>
      </c>
      <c r="X3" s="20">
        <v>0</v>
      </c>
      <c r="Y3" s="2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94EA-ABEF-44AF-838F-769B60B96957}">
  <dimension ref="A1:Y3"/>
  <sheetViews>
    <sheetView workbookViewId="0">
      <selection activeCell="D29" sqref="D29"/>
    </sheetView>
  </sheetViews>
  <sheetFormatPr defaultRowHeight="15" x14ac:dyDescent="0.25"/>
  <cols>
    <col min="2" max="2" width="23.28515625" customWidth="1"/>
    <col min="4" max="4" width="18" customWidth="1"/>
    <col min="5" max="5" width="8.7109375" customWidth="1"/>
    <col min="8" max="8" width="15.5703125" customWidth="1"/>
    <col min="10" max="10" width="10.42578125" bestFit="1" customWidth="1"/>
    <col min="18" max="18" width="10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5</v>
      </c>
      <c r="K1" s="18" t="s">
        <v>7</v>
      </c>
      <c r="L1" s="18" t="s">
        <v>8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6" t="s">
        <v>6</v>
      </c>
      <c r="S1" s="18" t="s">
        <v>9</v>
      </c>
      <c r="T1" s="18" t="s">
        <v>10</v>
      </c>
      <c r="U1" s="18" t="s">
        <v>14</v>
      </c>
      <c r="V1" s="18" t="s">
        <v>15</v>
      </c>
      <c r="W1" s="18" t="s">
        <v>19</v>
      </c>
      <c r="X1" s="18" t="s">
        <v>20</v>
      </c>
      <c r="Y1" s="18" t="s">
        <v>72</v>
      </c>
    </row>
    <row r="2" spans="1:25" x14ac:dyDescent="0.25">
      <c r="A2" s="19">
        <v>45999</v>
      </c>
      <c r="B2" s="20" t="s">
        <v>21</v>
      </c>
      <c r="C2" s="20" t="s">
        <v>22</v>
      </c>
      <c r="D2" s="20" t="s">
        <v>27</v>
      </c>
      <c r="E2" s="20" t="s">
        <v>25</v>
      </c>
      <c r="F2" s="20">
        <v>239</v>
      </c>
      <c r="G2" s="22" t="s">
        <v>70</v>
      </c>
      <c r="H2" s="23" t="s">
        <v>11</v>
      </c>
      <c r="I2" s="22">
        <v>89000</v>
      </c>
      <c r="J2" s="25" t="s">
        <v>29</v>
      </c>
      <c r="K2" s="24">
        <v>0.4375</v>
      </c>
      <c r="L2" s="25">
        <v>0.4236111111111111</v>
      </c>
      <c r="M2" s="20">
        <v>100</v>
      </c>
      <c r="N2" s="20">
        <v>4</v>
      </c>
      <c r="O2" s="20">
        <v>397</v>
      </c>
      <c r="P2" s="20">
        <v>0</v>
      </c>
      <c r="Q2" s="20">
        <v>0</v>
      </c>
      <c r="R2" s="20" t="s">
        <v>28</v>
      </c>
      <c r="S2" s="24">
        <v>0.46180555555555558</v>
      </c>
      <c r="T2" s="25">
        <v>0.46527777777777773</v>
      </c>
      <c r="U2" s="20">
        <v>199</v>
      </c>
      <c r="V2" s="20">
        <v>5</v>
      </c>
      <c r="W2" s="20">
        <v>334</v>
      </c>
      <c r="X2" s="20">
        <v>0</v>
      </c>
      <c r="Y2" s="20">
        <v>0</v>
      </c>
    </row>
    <row r="3" spans="1:25" x14ac:dyDescent="0.25">
      <c r="A3" s="19">
        <v>45999</v>
      </c>
      <c r="B3" s="10" t="s">
        <v>30</v>
      </c>
      <c r="C3" s="10" t="s">
        <v>31</v>
      </c>
      <c r="D3" s="9" t="s">
        <v>26</v>
      </c>
      <c r="E3" s="10" t="s">
        <v>34</v>
      </c>
      <c r="F3" s="10">
        <v>189</v>
      </c>
      <c r="G3" s="1" t="s">
        <v>71</v>
      </c>
      <c r="H3" s="9" t="s">
        <v>11</v>
      </c>
      <c r="I3" s="1">
        <v>79000</v>
      </c>
      <c r="J3" s="3" t="s">
        <v>32</v>
      </c>
      <c r="K3" s="2">
        <v>0.59722222222222221</v>
      </c>
      <c r="L3" s="3">
        <v>0.6069444444444444</v>
      </c>
      <c r="M3" s="10">
        <v>29</v>
      </c>
      <c r="N3" s="10">
        <v>0</v>
      </c>
      <c r="O3" s="10">
        <v>178</v>
      </c>
      <c r="P3" s="10">
        <v>0</v>
      </c>
      <c r="Q3" s="10">
        <v>0</v>
      </c>
      <c r="R3" s="10" t="s">
        <v>33</v>
      </c>
      <c r="S3" s="2">
        <v>0.63888888888888895</v>
      </c>
      <c r="T3" s="3">
        <v>0.65625</v>
      </c>
      <c r="U3" s="10">
        <v>46</v>
      </c>
      <c r="V3" s="10">
        <v>0</v>
      </c>
      <c r="W3" s="10">
        <v>393</v>
      </c>
      <c r="X3" s="10">
        <v>0</v>
      </c>
      <c r="Y3" s="20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FD23-FF88-4E6F-A75E-FEA0221CD3D0}">
  <dimension ref="A1:Y5"/>
  <sheetViews>
    <sheetView workbookViewId="0">
      <selection sqref="A1:Y1"/>
    </sheetView>
  </sheetViews>
  <sheetFormatPr defaultRowHeight="15" x14ac:dyDescent="0.25"/>
  <cols>
    <col min="2" max="2" width="22.5703125" customWidth="1"/>
    <col min="4" max="4" width="14" bestFit="1" customWidth="1"/>
    <col min="8" max="8" width="14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72</v>
      </c>
    </row>
    <row r="2" spans="1:25" x14ac:dyDescent="0.25">
      <c r="A2" s="11">
        <v>46000</v>
      </c>
      <c r="B2" s="10" t="s">
        <v>45</v>
      </c>
      <c r="C2" s="8" t="s">
        <v>46</v>
      </c>
      <c r="D2" s="10" t="s">
        <v>47</v>
      </c>
      <c r="E2" s="9" t="s">
        <v>25</v>
      </c>
      <c r="F2" s="10">
        <v>230</v>
      </c>
      <c r="G2" s="10" t="s">
        <v>73</v>
      </c>
      <c r="H2" s="9" t="s">
        <v>11</v>
      </c>
      <c r="I2" s="1">
        <v>89000</v>
      </c>
      <c r="J2" s="10" t="s">
        <v>48</v>
      </c>
      <c r="K2" s="2">
        <v>0.4861111111111111</v>
      </c>
      <c r="L2" s="3">
        <v>0.48402777777777778</v>
      </c>
      <c r="M2" s="10">
        <v>135</v>
      </c>
      <c r="N2" s="10">
        <v>1</v>
      </c>
      <c r="O2" s="10">
        <v>480</v>
      </c>
      <c r="P2" s="10">
        <v>0</v>
      </c>
      <c r="Q2" s="10">
        <v>0</v>
      </c>
      <c r="R2" s="10" t="s">
        <v>49</v>
      </c>
      <c r="S2" s="2">
        <v>0.51041666666666663</v>
      </c>
      <c r="T2" s="3">
        <v>0.52361111111111114</v>
      </c>
      <c r="U2" s="10">
        <v>215</v>
      </c>
      <c r="V2" s="10">
        <v>3</v>
      </c>
      <c r="W2" s="10">
        <v>484</v>
      </c>
      <c r="X2" s="10">
        <v>0</v>
      </c>
      <c r="Y2" s="10">
        <v>0</v>
      </c>
    </row>
    <row r="3" spans="1:25" x14ac:dyDescent="0.25">
      <c r="A3" s="11">
        <v>46000</v>
      </c>
      <c r="B3" s="10" t="s">
        <v>21</v>
      </c>
      <c r="C3" s="10" t="s">
        <v>22</v>
      </c>
      <c r="D3" s="10" t="s">
        <v>50</v>
      </c>
      <c r="E3" s="10" t="s">
        <v>25</v>
      </c>
      <c r="F3" s="10">
        <v>239</v>
      </c>
      <c r="G3" s="10" t="s">
        <v>74</v>
      </c>
      <c r="H3" s="9" t="s">
        <v>11</v>
      </c>
      <c r="I3" s="1">
        <v>89000</v>
      </c>
      <c r="J3" s="3" t="s">
        <v>51</v>
      </c>
      <c r="K3" s="2">
        <v>0.51736111111111105</v>
      </c>
      <c r="L3" s="3">
        <v>0.50138888888888888</v>
      </c>
      <c r="M3" s="10">
        <v>179</v>
      </c>
      <c r="N3" s="10">
        <v>3</v>
      </c>
      <c r="O3" s="10">
        <v>849</v>
      </c>
      <c r="P3" s="10">
        <v>0</v>
      </c>
      <c r="Q3" s="10">
        <v>0</v>
      </c>
      <c r="R3" s="10" t="s">
        <v>52</v>
      </c>
      <c r="S3" s="2">
        <v>0.54166666666666663</v>
      </c>
      <c r="T3" s="3">
        <v>0.53888888888888886</v>
      </c>
      <c r="U3" s="10">
        <v>213</v>
      </c>
      <c r="V3" s="10">
        <v>1</v>
      </c>
      <c r="W3" s="10">
        <v>727</v>
      </c>
      <c r="X3" s="10">
        <v>0</v>
      </c>
      <c r="Y3" s="10">
        <v>0</v>
      </c>
    </row>
    <row r="4" spans="1:25" x14ac:dyDescent="0.25">
      <c r="A4" s="11"/>
      <c r="B4" s="10"/>
      <c r="C4" s="10"/>
      <c r="D4" s="10"/>
      <c r="E4" s="10"/>
      <c r="F4" s="10"/>
      <c r="G4" s="10"/>
      <c r="H4" s="9"/>
      <c r="I4" s="1"/>
      <c r="J4" s="3"/>
      <c r="K4" s="2"/>
      <c r="L4" s="3"/>
      <c r="M4" s="10"/>
      <c r="N4" s="10"/>
      <c r="O4" s="10"/>
      <c r="P4" s="10"/>
      <c r="Q4" s="10"/>
      <c r="R4" s="10"/>
      <c r="S4" s="2"/>
      <c r="T4" s="3"/>
      <c r="U4" s="10"/>
      <c r="V4" s="10"/>
      <c r="W4" s="10"/>
      <c r="X4" s="10"/>
      <c r="Y4" s="10"/>
    </row>
    <row r="5" spans="1:25" x14ac:dyDescent="0.25">
      <c r="A5" s="11"/>
      <c r="B5" s="10"/>
      <c r="C5" s="8"/>
      <c r="D5" s="10"/>
      <c r="E5" s="10"/>
      <c r="F5" s="10"/>
      <c r="G5" s="10"/>
      <c r="H5" s="9"/>
      <c r="I5" s="1"/>
      <c r="J5" s="10"/>
      <c r="K5" s="2"/>
      <c r="L5" s="3"/>
      <c r="M5" s="10"/>
      <c r="N5" s="10"/>
      <c r="O5" s="10"/>
      <c r="P5" s="10"/>
      <c r="Q5" s="10"/>
      <c r="R5" s="10"/>
      <c r="S5" s="2"/>
      <c r="T5" s="3"/>
      <c r="U5" s="10"/>
      <c r="V5" s="10"/>
      <c r="W5" s="10"/>
      <c r="X5" s="10"/>
      <c r="Y5" s="1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ECA7-91AE-471A-A54D-A72D8E742C35}">
  <dimension ref="A1:Y1"/>
  <sheetViews>
    <sheetView workbookViewId="0">
      <selection activeCell="K12" sqref="K12"/>
    </sheetView>
  </sheetViews>
  <sheetFormatPr defaultRowHeight="15" x14ac:dyDescent="0.25"/>
  <cols>
    <col min="2" max="2" width="11.42578125" customWidth="1"/>
    <col min="3" max="3" width="14.28515625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87305-467A-44A2-94EF-76A7FCB0228F}">
  <dimension ref="A1:Y12"/>
  <sheetViews>
    <sheetView workbookViewId="0">
      <selection activeCell="G33" sqref="G33"/>
    </sheetView>
  </sheetViews>
  <sheetFormatPr defaultRowHeight="15" x14ac:dyDescent="0.25"/>
  <cols>
    <col min="1" max="1" width="9.28515625" customWidth="1"/>
    <col min="2" max="2" width="23.28515625" bestFit="1" customWidth="1"/>
    <col min="4" max="4" width="14" bestFit="1" customWidth="1"/>
    <col min="6" max="6" width="9.28515625" bestFit="1" customWidth="1"/>
    <col min="8" max="8" width="12.140625" bestFit="1" customWidth="1"/>
    <col min="9" max="9" width="9.85546875" bestFit="1" customWidth="1"/>
    <col min="11" max="11" width="9.28515625" bestFit="1" customWidth="1"/>
    <col min="12" max="12" width="11.85546875" bestFit="1" customWidth="1"/>
    <col min="13" max="17" width="9.28515625" bestFit="1" customWidth="1"/>
    <col min="19" max="25" width="9.28515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5</v>
      </c>
      <c r="K1" s="18" t="s">
        <v>7</v>
      </c>
      <c r="L1" s="18" t="s">
        <v>8</v>
      </c>
      <c r="M1" s="18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6" t="s">
        <v>6</v>
      </c>
      <c r="S1" s="18" t="s">
        <v>9</v>
      </c>
      <c r="T1" s="18" t="s">
        <v>10</v>
      </c>
      <c r="U1" s="18" t="s">
        <v>14</v>
      </c>
      <c r="V1" s="18" t="s">
        <v>15</v>
      </c>
      <c r="W1" s="18" t="s">
        <v>19</v>
      </c>
      <c r="X1" s="18" t="s">
        <v>20</v>
      </c>
      <c r="Y1" s="18" t="s">
        <v>18</v>
      </c>
    </row>
    <row r="2" spans="1:25" x14ac:dyDescent="0.25">
      <c r="A2" s="19">
        <v>46002</v>
      </c>
      <c r="B2" s="20" t="s">
        <v>45</v>
      </c>
      <c r="C2" s="21" t="s">
        <v>46</v>
      </c>
      <c r="D2" s="20" t="s">
        <v>27</v>
      </c>
      <c r="E2" s="20" t="s">
        <v>39</v>
      </c>
      <c r="F2" s="20">
        <v>180</v>
      </c>
      <c r="G2" s="22" t="s">
        <v>68</v>
      </c>
      <c r="H2" s="23" t="s">
        <v>11</v>
      </c>
      <c r="I2" s="22">
        <v>71000</v>
      </c>
      <c r="J2" s="20" t="s">
        <v>55</v>
      </c>
      <c r="K2" s="24">
        <v>0.39583333333333331</v>
      </c>
      <c r="L2" s="32" t="s">
        <v>59</v>
      </c>
      <c r="M2" s="20" t="s">
        <v>79</v>
      </c>
      <c r="N2" s="20" t="s">
        <v>79</v>
      </c>
      <c r="O2" s="20" t="s">
        <v>79</v>
      </c>
      <c r="P2" s="20" t="s">
        <v>79</v>
      </c>
      <c r="Q2" s="20" t="s">
        <v>79</v>
      </c>
      <c r="R2" s="20" t="s">
        <v>79</v>
      </c>
      <c r="S2" s="24" t="s">
        <v>79</v>
      </c>
      <c r="T2" s="25" t="s">
        <v>79</v>
      </c>
      <c r="U2" s="20" t="s">
        <v>79</v>
      </c>
      <c r="V2" s="20" t="s">
        <v>79</v>
      </c>
      <c r="W2" s="20" t="s">
        <v>79</v>
      </c>
      <c r="X2" s="20" t="s">
        <v>79</v>
      </c>
      <c r="Y2" s="20" t="s">
        <v>79</v>
      </c>
    </row>
    <row r="3" spans="1:25" x14ac:dyDescent="0.25">
      <c r="A3" s="19">
        <v>46002</v>
      </c>
      <c r="B3" s="20" t="s">
        <v>21</v>
      </c>
      <c r="C3" s="20" t="s">
        <v>22</v>
      </c>
      <c r="D3" s="20" t="s">
        <v>50</v>
      </c>
      <c r="E3" s="20" t="s">
        <v>25</v>
      </c>
      <c r="F3" s="20">
        <v>239</v>
      </c>
      <c r="G3" s="22" t="s">
        <v>69</v>
      </c>
      <c r="H3" s="23" t="s">
        <v>11</v>
      </c>
      <c r="I3" s="22">
        <v>89000</v>
      </c>
      <c r="J3" s="25" t="s">
        <v>51</v>
      </c>
      <c r="K3" s="24">
        <v>0.51736111111111105</v>
      </c>
      <c r="L3" s="25">
        <v>0.51458333333333328</v>
      </c>
      <c r="M3" s="20">
        <v>224</v>
      </c>
      <c r="N3" s="20">
        <v>5</v>
      </c>
      <c r="O3" s="20">
        <v>1025</v>
      </c>
      <c r="P3" s="20">
        <v>0</v>
      </c>
      <c r="Q3" s="20">
        <v>0</v>
      </c>
      <c r="R3" s="20" t="s">
        <v>52</v>
      </c>
      <c r="S3" s="24">
        <v>0.54166666666666663</v>
      </c>
      <c r="T3" s="25">
        <v>0.58194444444444449</v>
      </c>
      <c r="U3" s="20">
        <v>195</v>
      </c>
      <c r="V3" s="20">
        <v>2</v>
      </c>
      <c r="W3" s="20">
        <v>734</v>
      </c>
      <c r="X3" s="20">
        <v>0</v>
      </c>
      <c r="Y3" s="20">
        <v>0</v>
      </c>
    </row>
    <row r="4" spans="1:25" x14ac:dyDescent="0.25">
      <c r="A4" s="19">
        <v>46002</v>
      </c>
      <c r="B4" s="20" t="s">
        <v>45</v>
      </c>
      <c r="C4" s="20" t="s">
        <v>46</v>
      </c>
      <c r="D4" s="20" t="s">
        <v>80</v>
      </c>
      <c r="E4" s="20" t="s">
        <v>39</v>
      </c>
      <c r="F4" s="20">
        <v>180</v>
      </c>
      <c r="G4" s="22" t="s">
        <v>76</v>
      </c>
      <c r="H4" s="23" t="s">
        <v>11</v>
      </c>
      <c r="I4" s="22">
        <v>73500</v>
      </c>
      <c r="J4" s="25" t="s">
        <v>75</v>
      </c>
      <c r="K4" s="24">
        <v>0.54166666666666663</v>
      </c>
      <c r="L4" s="25">
        <v>0.56805555555555554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 t="s">
        <v>56</v>
      </c>
      <c r="S4" s="24">
        <v>0.5625</v>
      </c>
      <c r="T4" s="25">
        <v>0.59375</v>
      </c>
      <c r="U4" s="20">
        <v>138</v>
      </c>
      <c r="V4" s="20">
        <v>2</v>
      </c>
      <c r="W4" s="20">
        <v>458</v>
      </c>
      <c r="X4" s="20">
        <v>0</v>
      </c>
      <c r="Y4" s="20">
        <v>0</v>
      </c>
    </row>
    <row r="5" spans="1:25" x14ac:dyDescent="0.25">
      <c r="A5" s="19">
        <v>46002</v>
      </c>
      <c r="B5" s="20" t="s">
        <v>21</v>
      </c>
      <c r="C5" s="21" t="s">
        <v>22</v>
      </c>
      <c r="D5" s="20" t="s">
        <v>77</v>
      </c>
      <c r="E5" s="20" t="s">
        <v>25</v>
      </c>
      <c r="F5" s="20">
        <v>239</v>
      </c>
      <c r="G5" s="22" t="s">
        <v>78</v>
      </c>
      <c r="H5" s="23" t="s">
        <v>11</v>
      </c>
      <c r="I5" s="22">
        <v>89000</v>
      </c>
      <c r="J5" s="20" t="s">
        <v>55</v>
      </c>
      <c r="K5" s="24">
        <v>0.60763888888888895</v>
      </c>
      <c r="L5" s="33">
        <v>0.74444444444444446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 t="s">
        <v>79</v>
      </c>
      <c r="S5" s="24" t="s">
        <v>79</v>
      </c>
      <c r="T5" s="25" t="s">
        <v>79</v>
      </c>
      <c r="U5" s="20" t="s">
        <v>79</v>
      </c>
      <c r="V5" s="20" t="s">
        <v>79</v>
      </c>
      <c r="W5" s="20" t="s">
        <v>79</v>
      </c>
      <c r="X5" s="20" t="s">
        <v>79</v>
      </c>
      <c r="Y5" s="20" t="s">
        <v>79</v>
      </c>
    </row>
    <row r="6" spans="1:25" x14ac:dyDescent="0.25">
      <c r="A6" s="19">
        <v>46002</v>
      </c>
      <c r="B6" s="21" t="s">
        <v>81</v>
      </c>
      <c r="C6" s="21" t="s">
        <v>82</v>
      </c>
      <c r="D6" s="21" t="s">
        <v>83</v>
      </c>
      <c r="E6" s="21" t="s">
        <v>84</v>
      </c>
      <c r="F6" s="21" t="s">
        <v>82</v>
      </c>
      <c r="G6" s="34" t="s">
        <v>85</v>
      </c>
      <c r="H6" s="23" t="s">
        <v>41</v>
      </c>
      <c r="I6" s="34">
        <v>8000</v>
      </c>
      <c r="J6" s="10" t="s">
        <v>86</v>
      </c>
      <c r="K6" s="2">
        <v>0.68055555555555547</v>
      </c>
      <c r="L6" s="3">
        <v>0.68055555555555547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 t="s">
        <v>87</v>
      </c>
      <c r="S6" s="10" t="s">
        <v>87</v>
      </c>
      <c r="T6" s="10" t="s">
        <v>87</v>
      </c>
      <c r="U6" s="10" t="s">
        <v>79</v>
      </c>
      <c r="V6" s="10" t="s">
        <v>79</v>
      </c>
      <c r="W6" s="10" t="s">
        <v>79</v>
      </c>
      <c r="X6" s="10" t="s">
        <v>79</v>
      </c>
      <c r="Y6" s="10" t="s">
        <v>79</v>
      </c>
    </row>
    <row r="7" spans="1:25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7154-CB62-412D-9EBC-C1807D84EAA1}">
  <dimension ref="A1:Y11"/>
  <sheetViews>
    <sheetView workbookViewId="0">
      <selection activeCell="D8" sqref="D8"/>
    </sheetView>
  </sheetViews>
  <sheetFormatPr defaultRowHeight="15" x14ac:dyDescent="0.25"/>
  <cols>
    <col min="2" max="2" width="23.28515625" customWidth="1"/>
    <col min="4" max="4" width="18" customWidth="1"/>
    <col min="5" max="5" width="8.7109375" customWidth="1"/>
    <col min="8" max="8" width="15.5703125" customWidth="1"/>
    <col min="10" max="10" width="10.42578125" bestFit="1" customWidth="1"/>
    <col min="18" max="18" width="10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46003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78</v>
      </c>
      <c r="H2" s="23" t="s">
        <v>11</v>
      </c>
      <c r="I2" s="22">
        <v>89000</v>
      </c>
      <c r="J2" s="25" t="s">
        <v>89</v>
      </c>
      <c r="K2" s="24">
        <v>0.26041666666666669</v>
      </c>
      <c r="L2" s="25">
        <v>0.26041666666666669</v>
      </c>
      <c r="M2" s="20">
        <v>144</v>
      </c>
      <c r="N2" s="20">
        <v>1</v>
      </c>
      <c r="O2" s="20">
        <v>471</v>
      </c>
      <c r="P2" s="20">
        <v>0</v>
      </c>
      <c r="Q2" s="20">
        <v>0</v>
      </c>
      <c r="R2" s="20" t="s">
        <v>90</v>
      </c>
      <c r="S2" s="24">
        <v>0.45833333333333331</v>
      </c>
      <c r="T2" s="25">
        <v>0.4513888888888889</v>
      </c>
      <c r="U2" s="20">
        <v>145</v>
      </c>
      <c r="V2" s="20">
        <v>2</v>
      </c>
      <c r="W2" s="20">
        <v>719</v>
      </c>
      <c r="X2" s="20">
        <v>0</v>
      </c>
      <c r="Y2" s="20">
        <v>0</v>
      </c>
    </row>
    <row r="3" spans="1:25" x14ac:dyDescent="0.25">
      <c r="A3" s="19">
        <v>46003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78</v>
      </c>
      <c r="H3" s="23" t="s">
        <v>11</v>
      </c>
      <c r="I3" s="22">
        <v>89000</v>
      </c>
      <c r="J3" s="25" t="s">
        <v>28</v>
      </c>
      <c r="K3" s="24">
        <v>0.4826388888888889</v>
      </c>
      <c r="L3" s="25">
        <v>0.48749999999999999</v>
      </c>
      <c r="M3" s="20">
        <v>118</v>
      </c>
      <c r="N3" s="20">
        <v>1</v>
      </c>
      <c r="O3" s="20">
        <v>215</v>
      </c>
      <c r="P3" s="20">
        <v>0</v>
      </c>
      <c r="Q3" s="20">
        <v>0</v>
      </c>
      <c r="R3" s="20" t="s">
        <v>29</v>
      </c>
      <c r="S3" s="24">
        <v>0.64236111111111105</v>
      </c>
      <c r="T3" s="25">
        <v>0.62916666666666665</v>
      </c>
      <c r="U3" s="20">
        <v>172</v>
      </c>
      <c r="V3" s="20">
        <v>4</v>
      </c>
      <c r="W3" s="20">
        <v>483</v>
      </c>
      <c r="X3" s="20">
        <v>0</v>
      </c>
      <c r="Y3" s="20">
        <v>0</v>
      </c>
    </row>
    <row r="4" spans="1:25" x14ac:dyDescent="0.25">
      <c r="A4" s="19">
        <v>46003</v>
      </c>
      <c r="B4" s="20" t="s">
        <v>21</v>
      </c>
      <c r="C4" s="20" t="s">
        <v>22</v>
      </c>
      <c r="D4" s="20" t="s">
        <v>92</v>
      </c>
      <c r="E4" s="20" t="s">
        <v>25</v>
      </c>
      <c r="F4" s="20">
        <v>239</v>
      </c>
      <c r="G4" s="22" t="s">
        <v>78</v>
      </c>
      <c r="H4" s="23" t="s">
        <v>11</v>
      </c>
      <c r="I4" s="22">
        <v>89000</v>
      </c>
      <c r="J4" s="25" t="s">
        <v>93</v>
      </c>
      <c r="K4" s="24">
        <v>0.69444444444444453</v>
      </c>
      <c r="L4" s="25">
        <v>0.69374999999999998</v>
      </c>
      <c r="M4" s="20">
        <v>73</v>
      </c>
      <c r="N4" s="20">
        <v>0</v>
      </c>
      <c r="O4" s="20">
        <v>176</v>
      </c>
      <c r="P4" s="20">
        <v>0</v>
      </c>
      <c r="Q4" s="20">
        <v>0</v>
      </c>
      <c r="R4" s="20" t="s">
        <v>94</v>
      </c>
      <c r="S4" s="24">
        <v>0.89583333333333337</v>
      </c>
      <c r="T4" s="25">
        <v>0.89930555555555547</v>
      </c>
      <c r="U4" s="20">
        <v>164</v>
      </c>
      <c r="V4" s="20">
        <v>1</v>
      </c>
      <c r="W4" s="20">
        <v>586</v>
      </c>
      <c r="X4" s="20">
        <v>0</v>
      </c>
      <c r="Y4" s="20">
        <v>0</v>
      </c>
    </row>
    <row r="5" spans="1:25" x14ac:dyDescent="0.25">
      <c r="A5" s="19">
        <v>46003</v>
      </c>
      <c r="B5" s="21" t="s">
        <v>81</v>
      </c>
      <c r="C5" s="21" t="s">
        <v>82</v>
      </c>
      <c r="D5" s="21" t="s">
        <v>95</v>
      </c>
      <c r="E5" s="21" t="s">
        <v>84</v>
      </c>
      <c r="F5" s="21" t="s">
        <v>82</v>
      </c>
      <c r="G5" s="34" t="s">
        <v>85</v>
      </c>
      <c r="H5" s="23" t="s">
        <v>41</v>
      </c>
      <c r="I5" s="34">
        <v>8000</v>
      </c>
      <c r="J5" s="10" t="s">
        <v>86</v>
      </c>
      <c r="K5" s="2">
        <v>0.50694444444444442</v>
      </c>
      <c r="L5" s="3">
        <v>0.52777777777777779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 t="s">
        <v>87</v>
      </c>
      <c r="S5" s="10" t="s">
        <v>87</v>
      </c>
      <c r="T5" s="10" t="s">
        <v>87</v>
      </c>
      <c r="U5" s="10" t="s">
        <v>79</v>
      </c>
      <c r="V5" s="10" t="s">
        <v>79</v>
      </c>
      <c r="W5" s="10" t="s">
        <v>79</v>
      </c>
      <c r="X5" s="10" t="s">
        <v>79</v>
      </c>
      <c r="Y5" s="10" t="s">
        <v>79</v>
      </c>
    </row>
    <row r="6" spans="1:25" x14ac:dyDescent="0.25">
      <c r="A6" s="19">
        <v>46003</v>
      </c>
      <c r="B6" s="10" t="s">
        <v>96</v>
      </c>
      <c r="C6" s="10" t="s">
        <v>99</v>
      </c>
      <c r="D6" s="10" t="s">
        <v>109</v>
      </c>
      <c r="E6" s="10" t="s">
        <v>63</v>
      </c>
      <c r="F6" s="10">
        <v>189</v>
      </c>
      <c r="G6" s="10" t="s">
        <v>97</v>
      </c>
      <c r="H6" s="10" t="s">
        <v>41</v>
      </c>
      <c r="I6" s="22">
        <v>89000</v>
      </c>
      <c r="J6" s="10" t="s">
        <v>104</v>
      </c>
      <c r="K6" s="3">
        <v>0.42708333333333331</v>
      </c>
      <c r="L6" s="3">
        <v>0.625</v>
      </c>
      <c r="M6" s="10">
        <v>105</v>
      </c>
      <c r="N6" s="10">
        <v>2</v>
      </c>
      <c r="O6" s="10">
        <v>576</v>
      </c>
      <c r="P6" s="10">
        <v>0</v>
      </c>
      <c r="Q6" s="10">
        <v>0</v>
      </c>
      <c r="R6" s="35" t="s">
        <v>98</v>
      </c>
      <c r="S6" s="37">
        <v>0.40625</v>
      </c>
      <c r="T6" s="37">
        <v>0.57152777777777775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</row>
    <row r="7" spans="1:25" x14ac:dyDescent="0.25">
      <c r="A7" s="19">
        <v>46003</v>
      </c>
      <c r="B7" s="10" t="s">
        <v>96</v>
      </c>
      <c r="C7" s="10" t="s">
        <v>99</v>
      </c>
      <c r="D7" s="10" t="s">
        <v>100</v>
      </c>
      <c r="E7" s="10" t="s">
        <v>63</v>
      </c>
      <c r="F7" s="10">
        <v>189</v>
      </c>
      <c r="G7" s="34" t="s">
        <v>101</v>
      </c>
      <c r="H7" s="38" t="s">
        <v>41</v>
      </c>
      <c r="I7" s="36">
        <v>89000</v>
      </c>
      <c r="J7" s="33" t="s">
        <v>102</v>
      </c>
      <c r="K7" s="37">
        <v>0.375</v>
      </c>
      <c r="L7" s="37">
        <v>0.39097222222222222</v>
      </c>
      <c r="M7">
        <v>101</v>
      </c>
      <c r="N7">
        <v>0</v>
      </c>
      <c r="O7">
        <v>295</v>
      </c>
      <c r="P7" s="10">
        <v>0</v>
      </c>
      <c r="Q7" s="10">
        <v>0</v>
      </c>
      <c r="R7" s="10" t="s">
        <v>103</v>
      </c>
      <c r="S7" s="3">
        <v>0.34722222222222227</v>
      </c>
      <c r="T7" s="3">
        <v>0.34513888888888888</v>
      </c>
      <c r="U7">
        <v>0</v>
      </c>
      <c r="V7">
        <v>0</v>
      </c>
      <c r="W7">
        <v>0</v>
      </c>
      <c r="X7" s="10">
        <v>0</v>
      </c>
      <c r="Y7" s="10">
        <v>0</v>
      </c>
    </row>
    <row r="8" spans="1:25" x14ac:dyDescent="0.25">
      <c r="A8" s="19">
        <v>46003</v>
      </c>
      <c r="B8" s="10" t="s">
        <v>96</v>
      </c>
      <c r="C8" s="10" t="s">
        <v>99</v>
      </c>
      <c r="D8" s="10" t="s">
        <v>105</v>
      </c>
      <c r="E8" s="10" t="s">
        <v>63</v>
      </c>
      <c r="F8" s="10">
        <v>189</v>
      </c>
      <c r="G8" s="34" t="s">
        <v>106</v>
      </c>
      <c r="H8" s="23" t="s">
        <v>41</v>
      </c>
      <c r="I8" s="36">
        <v>89000</v>
      </c>
      <c r="J8" s="33" t="s">
        <v>107</v>
      </c>
      <c r="K8" s="37">
        <v>0.57291666666666663</v>
      </c>
      <c r="L8" s="37">
        <v>0.6777777777777777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 t="s">
        <v>108</v>
      </c>
      <c r="S8" s="37">
        <v>0.59375</v>
      </c>
      <c r="T8" s="37">
        <v>0.73611111111111116</v>
      </c>
      <c r="U8">
        <v>95</v>
      </c>
      <c r="V8">
        <v>0</v>
      </c>
      <c r="W8">
        <v>364</v>
      </c>
      <c r="X8" s="10">
        <v>0</v>
      </c>
      <c r="Y8" s="10">
        <v>0</v>
      </c>
    </row>
    <row r="9" spans="1:25" x14ac:dyDescent="0.25">
      <c r="A9" s="19">
        <v>46003</v>
      </c>
      <c r="B9" s="10" t="s">
        <v>96</v>
      </c>
      <c r="C9" s="10" t="s">
        <v>99</v>
      </c>
      <c r="D9" s="10" t="s">
        <v>110</v>
      </c>
      <c r="E9" s="10" t="s">
        <v>63</v>
      </c>
      <c r="F9" s="10">
        <v>189</v>
      </c>
      <c r="G9" s="34" t="s">
        <v>111</v>
      </c>
      <c r="H9" s="23" t="s">
        <v>41</v>
      </c>
      <c r="I9" s="36">
        <v>89000</v>
      </c>
      <c r="J9" s="33" t="s">
        <v>112</v>
      </c>
      <c r="K9" s="37">
        <v>0.85416666666666663</v>
      </c>
      <c r="L9" s="37">
        <v>0.89513888888888893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 t="s">
        <v>113</v>
      </c>
      <c r="S9" s="37">
        <v>0.87152777777777779</v>
      </c>
      <c r="T9" s="3">
        <v>0.89513888888888893</v>
      </c>
      <c r="U9" s="10">
        <v>75</v>
      </c>
      <c r="V9" s="10">
        <v>2</v>
      </c>
      <c r="W9" s="10">
        <v>310</v>
      </c>
      <c r="X9" s="10">
        <v>0</v>
      </c>
      <c r="Y9" s="10">
        <v>0</v>
      </c>
    </row>
    <row r="10" spans="1:25" x14ac:dyDescent="0.25">
      <c r="A10" s="19">
        <v>46003</v>
      </c>
      <c r="B10" s="10" t="s">
        <v>96</v>
      </c>
      <c r="C10" s="10" t="s">
        <v>99</v>
      </c>
      <c r="D10" s="10" t="s">
        <v>114</v>
      </c>
      <c r="E10" s="10" t="s">
        <v>63</v>
      </c>
      <c r="F10" s="10">
        <v>189</v>
      </c>
      <c r="G10" s="34" t="s">
        <v>115</v>
      </c>
      <c r="H10" s="23" t="s">
        <v>41</v>
      </c>
      <c r="I10" s="36">
        <v>89000</v>
      </c>
      <c r="J10" s="33" t="s">
        <v>116</v>
      </c>
      <c r="K10" s="37">
        <v>0.875</v>
      </c>
      <c r="L10" s="37">
        <v>0.88888888888888884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 t="s">
        <v>117</v>
      </c>
      <c r="S10" s="37">
        <v>0.83333333333333337</v>
      </c>
      <c r="T10" s="37">
        <v>0.83888888888888891</v>
      </c>
      <c r="U10">
        <v>165</v>
      </c>
      <c r="V10">
        <v>0</v>
      </c>
      <c r="W10" t="s">
        <v>82</v>
      </c>
      <c r="X10" s="10">
        <v>0</v>
      </c>
      <c r="Y10" s="10">
        <v>0</v>
      </c>
    </row>
    <row r="11" spans="1:25" x14ac:dyDescent="0.25">
      <c r="A11" s="19">
        <v>46003</v>
      </c>
      <c r="B11" s="10" t="s">
        <v>96</v>
      </c>
      <c r="C11" s="10" t="s">
        <v>99</v>
      </c>
      <c r="D11" s="10" t="s">
        <v>110</v>
      </c>
      <c r="E11" s="10" t="s">
        <v>63</v>
      </c>
      <c r="F11" s="10">
        <v>189</v>
      </c>
      <c r="G11" s="34" t="s">
        <v>118</v>
      </c>
      <c r="H11" s="23" t="s">
        <v>41</v>
      </c>
      <c r="I11" s="36">
        <v>89000</v>
      </c>
      <c r="J11" s="33" t="s">
        <v>87</v>
      </c>
      <c r="K11" s="37" t="s">
        <v>87</v>
      </c>
      <c r="L11" t="s">
        <v>87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 t="s">
        <v>119</v>
      </c>
      <c r="S11" s="37">
        <v>0.875</v>
      </c>
      <c r="T11" s="37">
        <v>0.89236111111111116</v>
      </c>
      <c r="U11" s="10">
        <v>174</v>
      </c>
      <c r="V11" s="10">
        <v>4</v>
      </c>
      <c r="W11" t="s">
        <v>82</v>
      </c>
      <c r="X11" s="10">
        <v>0</v>
      </c>
      <c r="Y11" s="10">
        <v>0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F7490-E560-4A2B-BEC8-B1D32884B48D}">
  <dimension ref="A1:Y7"/>
  <sheetViews>
    <sheetView workbookViewId="0">
      <selection activeCell="D19" sqref="D19"/>
    </sheetView>
  </sheetViews>
  <sheetFormatPr defaultRowHeight="15" x14ac:dyDescent="0.25"/>
  <cols>
    <col min="2" max="2" width="23.28515625" bestFit="1" customWidth="1"/>
    <col min="4" max="4" width="13.7109375" bestFit="1" customWidth="1"/>
    <col min="7" max="7" width="8" bestFit="1" customWidth="1"/>
    <col min="15" max="15" width="7.42578125" bestFit="1" customWidth="1"/>
    <col min="18" max="18" width="10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46004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78</v>
      </c>
      <c r="H2" s="23" t="s">
        <v>11</v>
      </c>
      <c r="I2" s="22">
        <v>89000</v>
      </c>
      <c r="J2" s="25" t="s">
        <v>52</v>
      </c>
      <c r="K2" s="24">
        <v>0.25</v>
      </c>
      <c r="L2" s="25">
        <v>0.25</v>
      </c>
      <c r="M2" s="20">
        <v>127</v>
      </c>
      <c r="N2" s="20">
        <v>1</v>
      </c>
      <c r="O2" s="20">
        <v>458</v>
      </c>
      <c r="P2" s="20">
        <v>0</v>
      </c>
      <c r="Q2" s="20">
        <v>0</v>
      </c>
      <c r="R2" s="20" t="s">
        <v>51</v>
      </c>
      <c r="S2" s="24">
        <v>0.45833333333333331</v>
      </c>
      <c r="T2" s="25">
        <v>0.45833333333333331</v>
      </c>
      <c r="U2" s="20">
        <v>225</v>
      </c>
      <c r="V2" s="20">
        <v>1</v>
      </c>
      <c r="W2" s="20">
        <v>1111</v>
      </c>
      <c r="X2" s="20">
        <v>0</v>
      </c>
      <c r="Y2" s="20">
        <v>0</v>
      </c>
    </row>
    <row r="3" spans="1:25" x14ac:dyDescent="0.25">
      <c r="A3" s="19">
        <v>46004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78</v>
      </c>
      <c r="H3" s="23" t="s">
        <v>11</v>
      </c>
      <c r="I3" s="22">
        <v>89000</v>
      </c>
      <c r="J3" s="25" t="s">
        <v>28</v>
      </c>
      <c r="K3" s="24">
        <v>0.49305555555555558</v>
      </c>
      <c r="L3" s="25">
        <v>0.5</v>
      </c>
      <c r="M3" s="20">
        <v>92</v>
      </c>
      <c r="N3" s="20">
        <v>3</v>
      </c>
      <c r="O3" s="20">
        <v>251</v>
      </c>
      <c r="P3" s="20">
        <v>0</v>
      </c>
      <c r="Q3" s="20">
        <v>0</v>
      </c>
      <c r="R3" s="20" t="s">
        <v>29</v>
      </c>
      <c r="S3" s="24">
        <v>0.65972222222222221</v>
      </c>
      <c r="T3" s="25">
        <v>0.64236111111111105</v>
      </c>
      <c r="U3" s="20">
        <v>206</v>
      </c>
      <c r="V3" s="20">
        <v>4</v>
      </c>
      <c r="W3" s="20">
        <v>680</v>
      </c>
      <c r="X3" s="20">
        <v>0</v>
      </c>
      <c r="Y3" s="20">
        <v>0</v>
      </c>
    </row>
    <row r="4" spans="1:25" x14ac:dyDescent="0.25">
      <c r="A4" s="19">
        <v>46003</v>
      </c>
      <c r="B4" s="10" t="s">
        <v>96</v>
      </c>
      <c r="C4" s="10" t="s">
        <v>99</v>
      </c>
      <c r="D4" s="10" t="s">
        <v>125</v>
      </c>
      <c r="E4" s="10" t="s">
        <v>63</v>
      </c>
      <c r="F4" s="10">
        <v>189</v>
      </c>
      <c r="G4" s="34" t="s">
        <v>122</v>
      </c>
      <c r="H4" s="23" t="s">
        <v>41</v>
      </c>
      <c r="I4" s="22">
        <v>89000</v>
      </c>
      <c r="J4" s="33" t="s">
        <v>123</v>
      </c>
      <c r="K4" s="39">
        <v>0.41666666666666669</v>
      </c>
      <c r="L4" s="39">
        <v>0.41944444444444445</v>
      </c>
      <c r="M4" s="10">
        <v>73</v>
      </c>
      <c r="N4" s="10">
        <v>1</v>
      </c>
      <c r="O4" s="10">
        <v>364</v>
      </c>
      <c r="P4" s="10">
        <v>0</v>
      </c>
      <c r="Q4" s="10">
        <v>0</v>
      </c>
      <c r="R4" s="37" t="s">
        <v>127</v>
      </c>
      <c r="S4" s="37" t="s">
        <v>127</v>
      </c>
      <c r="T4" s="37" t="s">
        <v>127</v>
      </c>
      <c r="U4" s="37" t="s">
        <v>127</v>
      </c>
      <c r="V4" s="37" t="s">
        <v>127</v>
      </c>
      <c r="W4" s="37" t="s">
        <v>127</v>
      </c>
      <c r="X4" s="10">
        <v>0</v>
      </c>
      <c r="Y4" s="10">
        <v>0</v>
      </c>
    </row>
    <row r="5" spans="1:25" x14ac:dyDescent="0.25">
      <c r="A5" s="19">
        <v>46004</v>
      </c>
      <c r="B5" s="20" t="s">
        <v>21</v>
      </c>
      <c r="C5" s="20" t="s">
        <v>22</v>
      </c>
      <c r="D5" s="20" t="s">
        <v>47</v>
      </c>
      <c r="E5" s="20" t="s">
        <v>25</v>
      </c>
      <c r="F5" s="20">
        <v>239</v>
      </c>
      <c r="G5" s="22" t="s">
        <v>124</v>
      </c>
      <c r="H5" s="23" t="s">
        <v>11</v>
      </c>
      <c r="I5" s="22">
        <v>89000</v>
      </c>
      <c r="J5" s="25" t="s">
        <v>93</v>
      </c>
      <c r="K5" s="24">
        <v>0.51041666666666663</v>
      </c>
      <c r="L5" s="25">
        <v>0.51180555555555551</v>
      </c>
      <c r="M5" s="20">
        <v>209</v>
      </c>
      <c r="N5" s="20">
        <v>4</v>
      </c>
      <c r="O5" s="20">
        <v>595</v>
      </c>
      <c r="P5" s="20">
        <v>0</v>
      </c>
      <c r="Q5" s="20">
        <v>0</v>
      </c>
      <c r="R5" s="20" t="s">
        <v>94</v>
      </c>
      <c r="S5" s="24">
        <v>0.4861111111111111</v>
      </c>
      <c r="T5" s="25">
        <v>0.47569444444444442</v>
      </c>
      <c r="U5" s="20">
        <v>216</v>
      </c>
      <c r="V5" s="20">
        <v>5</v>
      </c>
      <c r="W5" s="20">
        <v>908</v>
      </c>
      <c r="X5" s="20">
        <v>0</v>
      </c>
      <c r="Y5" s="20">
        <v>0</v>
      </c>
    </row>
    <row r="6" spans="1:25" x14ac:dyDescent="0.25">
      <c r="A6" s="11">
        <v>46004</v>
      </c>
      <c r="B6" s="10" t="s">
        <v>61</v>
      </c>
      <c r="C6" s="12" t="s">
        <v>62</v>
      </c>
      <c r="D6" s="9" t="s">
        <v>26</v>
      </c>
      <c r="E6" s="13" t="s">
        <v>63</v>
      </c>
      <c r="F6" s="9">
        <v>189</v>
      </c>
      <c r="G6" s="1" t="s">
        <v>126</v>
      </c>
      <c r="H6" s="12" t="s">
        <v>11</v>
      </c>
      <c r="I6" s="1">
        <v>71500</v>
      </c>
      <c r="J6" s="3" t="s">
        <v>64</v>
      </c>
      <c r="K6" s="2">
        <v>0.56597222222222221</v>
      </c>
      <c r="L6" s="3">
        <v>0.58124999999999993</v>
      </c>
      <c r="M6" s="14">
        <v>104</v>
      </c>
      <c r="N6" s="10">
        <v>5</v>
      </c>
      <c r="O6" s="10">
        <v>913</v>
      </c>
      <c r="P6" s="10">
        <v>0</v>
      </c>
      <c r="Q6" s="10">
        <v>0</v>
      </c>
      <c r="R6" s="10" t="s">
        <v>65</v>
      </c>
      <c r="S6" s="2">
        <v>0.59722222222222221</v>
      </c>
      <c r="T6" s="3">
        <v>0.64722222222222225</v>
      </c>
      <c r="U6" s="14">
        <v>91</v>
      </c>
      <c r="V6" s="10">
        <v>1</v>
      </c>
      <c r="W6" s="10">
        <v>783</v>
      </c>
      <c r="X6" s="10">
        <v>0</v>
      </c>
      <c r="Y6" s="10">
        <v>0</v>
      </c>
    </row>
    <row r="7" spans="1:25" x14ac:dyDescent="0.25">
      <c r="A7" s="19">
        <v>46004</v>
      </c>
      <c r="B7" s="20" t="s">
        <v>21</v>
      </c>
      <c r="C7" s="20" t="s">
        <v>22</v>
      </c>
      <c r="D7" s="20" t="s">
        <v>121</v>
      </c>
      <c r="E7" s="20" t="s">
        <v>25</v>
      </c>
      <c r="F7" s="20">
        <v>239</v>
      </c>
      <c r="G7" s="22" t="s">
        <v>78</v>
      </c>
      <c r="H7" s="23" t="s">
        <v>11</v>
      </c>
      <c r="I7" s="22">
        <v>89000</v>
      </c>
      <c r="J7" s="25" t="s">
        <v>93</v>
      </c>
      <c r="K7" s="24">
        <v>0.68402777777777779</v>
      </c>
      <c r="L7" s="25">
        <v>0.68055555555555547</v>
      </c>
      <c r="M7" s="20">
        <v>144</v>
      </c>
      <c r="N7" s="20">
        <v>0</v>
      </c>
      <c r="O7" s="20">
        <v>610</v>
      </c>
      <c r="P7" s="20">
        <v>0</v>
      </c>
      <c r="Q7" s="20">
        <v>0</v>
      </c>
      <c r="R7" s="20" t="s">
        <v>94</v>
      </c>
      <c r="S7" s="24">
        <v>0.89583333333333337</v>
      </c>
      <c r="T7" s="25">
        <v>0.88124999999999998</v>
      </c>
      <c r="U7" s="20">
        <v>222</v>
      </c>
      <c r="V7" s="20">
        <v>5</v>
      </c>
      <c r="W7" s="20">
        <v>1023</v>
      </c>
      <c r="X7" s="20">
        <v>0</v>
      </c>
      <c r="Y7" s="20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1B7CB-1186-450B-B06B-30685CDD8DF0}">
  <dimension ref="A1:Y6"/>
  <sheetViews>
    <sheetView workbookViewId="0">
      <selection sqref="A1:Y5"/>
    </sheetView>
  </sheetViews>
  <sheetFormatPr defaultRowHeight="15" x14ac:dyDescent="0.25"/>
  <cols>
    <col min="1" max="1" width="10.42578125" customWidth="1"/>
    <col min="2" max="2" width="23.42578125" customWidth="1"/>
    <col min="4" max="4" width="15.42578125" customWidth="1"/>
    <col min="6" max="6" width="9.28515625" bestFit="1" customWidth="1"/>
    <col min="8" max="8" width="17" bestFit="1" customWidth="1"/>
    <col min="9" max="9" width="9.28515625" bestFit="1" customWidth="1"/>
    <col min="11" max="11" width="9.28515625" bestFit="1" customWidth="1"/>
    <col min="16" max="17" width="9.28515625" bestFit="1" customWidth="1"/>
    <col min="19" max="19" width="9.28515625" bestFit="1" customWidth="1"/>
    <col min="24" max="25" width="9.28515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46005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25" t="s">
        <v>52</v>
      </c>
      <c r="K2" s="24">
        <v>0.26041666666666669</v>
      </c>
      <c r="L2" s="25">
        <v>0.26180555555555557</v>
      </c>
      <c r="M2" s="20">
        <v>179</v>
      </c>
      <c r="N2" s="20">
        <v>5</v>
      </c>
      <c r="O2" s="20">
        <v>492</v>
      </c>
      <c r="P2" s="20">
        <v>0</v>
      </c>
      <c r="Q2" s="20">
        <v>0</v>
      </c>
      <c r="R2" s="20" t="s">
        <v>51</v>
      </c>
      <c r="S2" s="24">
        <v>0.45833333333333331</v>
      </c>
      <c r="T2" s="25">
        <v>0.44791666666666669</v>
      </c>
      <c r="U2" s="20">
        <v>227</v>
      </c>
      <c r="V2" s="20">
        <v>5</v>
      </c>
      <c r="W2" s="20">
        <v>1059</v>
      </c>
      <c r="X2" s="20">
        <v>0</v>
      </c>
      <c r="Y2" s="20">
        <v>0</v>
      </c>
    </row>
    <row r="3" spans="1:25" x14ac:dyDescent="0.25">
      <c r="A3" s="19">
        <v>46005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25" t="s">
        <v>28</v>
      </c>
      <c r="K3" s="24">
        <v>0.4826388888888889</v>
      </c>
      <c r="L3" s="25">
        <v>0.48402777777777778</v>
      </c>
      <c r="M3" s="20">
        <v>202</v>
      </c>
      <c r="N3" s="20">
        <v>2</v>
      </c>
      <c r="O3" s="20">
        <v>493</v>
      </c>
      <c r="P3" s="20">
        <v>0</v>
      </c>
      <c r="Q3" s="20">
        <v>0</v>
      </c>
      <c r="R3" s="20" t="s">
        <v>29</v>
      </c>
      <c r="S3" s="24">
        <v>0.63888888888888895</v>
      </c>
      <c r="T3" s="25">
        <v>0.65416666666666667</v>
      </c>
      <c r="U3" s="20">
        <v>211</v>
      </c>
      <c r="V3" s="20">
        <v>11</v>
      </c>
      <c r="W3" s="20">
        <v>601</v>
      </c>
      <c r="X3" s="20">
        <v>0</v>
      </c>
      <c r="Y3" s="20">
        <v>0</v>
      </c>
    </row>
    <row r="4" spans="1:25" x14ac:dyDescent="0.25">
      <c r="A4" s="11">
        <v>46005</v>
      </c>
      <c r="B4" s="20" t="s">
        <v>21</v>
      </c>
      <c r="C4" s="20" t="s">
        <v>22</v>
      </c>
      <c r="D4" s="20" t="s">
        <v>129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25" t="s">
        <v>130</v>
      </c>
      <c r="K4" s="24">
        <v>0.68402777777777779</v>
      </c>
      <c r="L4" s="25">
        <v>0.69097222222222221</v>
      </c>
      <c r="M4" s="20">
        <v>105</v>
      </c>
      <c r="N4" s="20">
        <v>2</v>
      </c>
      <c r="O4" s="20">
        <v>572</v>
      </c>
      <c r="P4" s="20">
        <v>0</v>
      </c>
      <c r="Q4" s="20">
        <v>0</v>
      </c>
      <c r="R4" s="20" t="s">
        <v>131</v>
      </c>
      <c r="S4" s="24">
        <v>0.88541666666666663</v>
      </c>
      <c r="T4" s="25">
        <v>0.91180555555555554</v>
      </c>
      <c r="U4" s="20">
        <v>233</v>
      </c>
      <c r="V4" s="20">
        <v>15</v>
      </c>
      <c r="W4" s="20">
        <v>1399</v>
      </c>
      <c r="X4" s="20">
        <v>0</v>
      </c>
      <c r="Y4" s="20">
        <v>0</v>
      </c>
    </row>
    <row r="5" spans="1:25" x14ac:dyDescent="0.25">
      <c r="A5" s="11">
        <v>46005</v>
      </c>
      <c r="B5" s="10" t="s">
        <v>96</v>
      </c>
      <c r="C5" s="10" t="s">
        <v>132</v>
      </c>
      <c r="D5" s="10" t="s">
        <v>105</v>
      </c>
      <c r="E5" s="10" t="s">
        <v>34</v>
      </c>
      <c r="F5" s="10">
        <v>189</v>
      </c>
      <c r="G5" s="10" t="s">
        <v>136</v>
      </c>
      <c r="H5" s="10" t="s">
        <v>133</v>
      </c>
      <c r="I5" s="10">
        <v>89000</v>
      </c>
      <c r="J5" s="10" t="s">
        <v>135</v>
      </c>
      <c r="K5" s="2">
        <v>0.58333333333333337</v>
      </c>
      <c r="L5" s="3">
        <v>0.59375</v>
      </c>
      <c r="M5" s="10">
        <v>130</v>
      </c>
      <c r="N5" s="10">
        <v>2</v>
      </c>
      <c r="O5" s="10">
        <v>520</v>
      </c>
      <c r="P5" s="10">
        <v>0</v>
      </c>
      <c r="Q5" s="10">
        <v>0</v>
      </c>
      <c r="R5" s="10" t="s">
        <v>134</v>
      </c>
      <c r="S5" s="2">
        <v>0.5625</v>
      </c>
      <c r="T5" s="3">
        <v>0.5625</v>
      </c>
      <c r="U5" s="10">
        <v>50</v>
      </c>
      <c r="V5" s="10">
        <v>3</v>
      </c>
      <c r="W5" s="10">
        <v>585</v>
      </c>
      <c r="X5" s="10">
        <v>0</v>
      </c>
      <c r="Y5" s="10">
        <v>0</v>
      </c>
    </row>
    <row r="6" spans="1:25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AD57-900D-4FB9-8D09-57F592697BB4}">
  <dimension ref="A1:Y5"/>
  <sheetViews>
    <sheetView workbookViewId="0">
      <selection activeCell="W11" sqref="W11"/>
    </sheetView>
  </sheetViews>
  <sheetFormatPr defaultRowHeight="15" x14ac:dyDescent="0.25"/>
  <cols>
    <col min="1" max="1" width="10.140625" style="40" bestFit="1" customWidth="1"/>
    <col min="2" max="2" width="23.28515625" style="40" customWidth="1"/>
    <col min="3" max="3" width="9.140625" style="40"/>
    <col min="4" max="4" width="18" style="40" customWidth="1"/>
    <col min="5" max="5" width="8.7109375" style="40" customWidth="1"/>
    <col min="6" max="7" width="9.140625" style="40"/>
    <col min="8" max="8" width="15.5703125" style="40" customWidth="1"/>
    <col min="9" max="9" width="9.140625" style="40"/>
    <col min="10" max="10" width="10.42578125" style="40" bestFit="1" customWidth="1"/>
    <col min="11" max="17" width="9.140625" style="40"/>
    <col min="18" max="18" width="10.42578125" style="40" bestFit="1" customWidth="1"/>
    <col min="19" max="16384" width="9.140625" style="40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20</v>
      </c>
      <c r="Q1" s="18" t="s">
        <v>72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46006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25" t="s">
        <v>89</v>
      </c>
      <c r="K2" s="24">
        <v>0.26041666666666669</v>
      </c>
      <c r="L2" s="25">
        <v>0.26250000000000001</v>
      </c>
      <c r="M2" s="20">
        <v>62</v>
      </c>
      <c r="N2" s="20">
        <v>0</v>
      </c>
      <c r="O2" s="20">
        <v>215</v>
      </c>
      <c r="P2" s="20">
        <v>0</v>
      </c>
      <c r="Q2" s="20">
        <v>0</v>
      </c>
      <c r="R2" s="20" t="s">
        <v>90</v>
      </c>
      <c r="S2" s="24">
        <v>0.45833333333333331</v>
      </c>
      <c r="T2" s="25">
        <v>0.47291666666666665</v>
      </c>
      <c r="U2" s="20">
        <v>194</v>
      </c>
      <c r="V2" s="20">
        <v>6</v>
      </c>
      <c r="W2" s="20">
        <v>964</v>
      </c>
      <c r="X2" s="20">
        <v>0</v>
      </c>
      <c r="Y2" s="20">
        <v>0</v>
      </c>
    </row>
    <row r="3" spans="1:25" x14ac:dyDescent="0.25">
      <c r="A3" s="19">
        <v>46006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25" t="s">
        <v>28</v>
      </c>
      <c r="K3" s="24">
        <v>0.48958333333333331</v>
      </c>
      <c r="L3" s="25">
        <v>0.50208333333333333</v>
      </c>
      <c r="M3" s="20">
        <v>86</v>
      </c>
      <c r="N3" s="20">
        <v>0</v>
      </c>
      <c r="O3" s="20">
        <v>193</v>
      </c>
      <c r="P3" s="20">
        <v>0</v>
      </c>
      <c r="Q3" s="20">
        <v>0</v>
      </c>
      <c r="R3" s="20" t="s">
        <v>29</v>
      </c>
      <c r="S3" s="24">
        <v>0.64583333333333337</v>
      </c>
      <c r="T3" s="25">
        <v>0.63194444444444442</v>
      </c>
      <c r="U3" s="20">
        <v>139</v>
      </c>
      <c r="V3" s="20">
        <v>2</v>
      </c>
      <c r="W3" s="20">
        <v>338</v>
      </c>
      <c r="X3" s="20">
        <v>0</v>
      </c>
      <c r="Y3" s="20">
        <v>0</v>
      </c>
    </row>
    <row r="4" spans="1:25" x14ac:dyDescent="0.25">
      <c r="A4" s="19">
        <v>46006</v>
      </c>
      <c r="B4" s="10" t="s">
        <v>30</v>
      </c>
      <c r="C4" s="10" t="s">
        <v>31</v>
      </c>
      <c r="D4" s="9" t="s">
        <v>26</v>
      </c>
      <c r="E4" s="10" t="s">
        <v>34</v>
      </c>
      <c r="F4" s="10">
        <v>189</v>
      </c>
      <c r="G4" s="1" t="s">
        <v>137</v>
      </c>
      <c r="H4" s="9" t="s">
        <v>11</v>
      </c>
      <c r="I4" s="1">
        <v>79000</v>
      </c>
      <c r="J4" s="3" t="s">
        <v>33</v>
      </c>
      <c r="K4" s="2">
        <v>0.63888888888888895</v>
      </c>
      <c r="L4" s="3">
        <v>0.63263888888888886</v>
      </c>
      <c r="M4" s="10">
        <v>42</v>
      </c>
      <c r="N4" s="10">
        <v>0</v>
      </c>
      <c r="O4" s="10">
        <v>232</v>
      </c>
      <c r="P4" s="10">
        <v>0</v>
      </c>
      <c r="Q4" s="10">
        <v>0</v>
      </c>
      <c r="R4" s="10" t="s">
        <v>32</v>
      </c>
      <c r="S4" s="2">
        <v>0.59722222222222221</v>
      </c>
      <c r="T4" s="3">
        <v>0.59375</v>
      </c>
      <c r="U4" s="10">
        <v>42</v>
      </c>
      <c r="V4" s="10">
        <v>0</v>
      </c>
      <c r="W4" s="10">
        <v>232</v>
      </c>
      <c r="X4" s="10">
        <v>0</v>
      </c>
      <c r="Y4" s="20">
        <v>0</v>
      </c>
    </row>
    <row r="5" spans="1:25" x14ac:dyDescent="0.25">
      <c r="A5" s="11">
        <v>46006</v>
      </c>
      <c r="B5" s="20" t="s">
        <v>21</v>
      </c>
      <c r="C5" s="20" t="s">
        <v>22</v>
      </c>
      <c r="D5" s="20" t="s">
        <v>92</v>
      </c>
      <c r="E5" s="20" t="s">
        <v>25</v>
      </c>
      <c r="F5" s="20">
        <v>239</v>
      </c>
      <c r="G5" s="22" t="s">
        <v>128</v>
      </c>
      <c r="H5" s="23" t="s">
        <v>11</v>
      </c>
      <c r="I5" s="22">
        <v>89000</v>
      </c>
      <c r="J5" s="25" t="s">
        <v>93</v>
      </c>
      <c r="K5" s="24">
        <v>0.69444444444444453</v>
      </c>
      <c r="L5" s="25">
        <v>0.69374999999999998</v>
      </c>
      <c r="M5" s="20">
        <v>61</v>
      </c>
      <c r="N5" s="20">
        <v>0</v>
      </c>
      <c r="O5" s="20">
        <v>94</v>
      </c>
      <c r="P5" s="20">
        <v>0</v>
      </c>
      <c r="Q5" s="20">
        <v>0</v>
      </c>
      <c r="R5" s="20" t="s">
        <v>94</v>
      </c>
      <c r="S5" s="24">
        <v>0.89583333333333337</v>
      </c>
      <c r="T5" s="25">
        <v>0.88055555555555554</v>
      </c>
      <c r="U5" s="20">
        <v>68</v>
      </c>
      <c r="V5" s="20">
        <v>0</v>
      </c>
      <c r="W5" s="20">
        <v>249</v>
      </c>
      <c r="X5" s="20">
        <v>0</v>
      </c>
      <c r="Y5" s="20">
        <v>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07CB-6A4F-46E0-8CC4-0749D1E65307}">
  <dimension ref="A1:Y5"/>
  <sheetViews>
    <sheetView workbookViewId="0">
      <selection activeCell="M22" sqref="M22"/>
    </sheetView>
  </sheetViews>
  <sheetFormatPr defaultRowHeight="15" x14ac:dyDescent="0.25"/>
  <cols>
    <col min="2" max="2" width="22.5703125" customWidth="1"/>
    <col min="4" max="4" width="14" bestFit="1" customWidth="1"/>
    <col min="8" max="8" width="14" customWidth="1"/>
    <col min="12" max="12" width="13.85546875" bestFit="1" customWidth="1"/>
    <col min="20" max="20" width="14.7109375" bestFit="1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72</v>
      </c>
    </row>
    <row r="2" spans="1:25" x14ac:dyDescent="0.25">
      <c r="A2" s="11">
        <v>46007</v>
      </c>
      <c r="B2" s="10" t="s">
        <v>21</v>
      </c>
      <c r="C2" s="10" t="s">
        <v>22</v>
      </c>
      <c r="D2" s="10" t="s">
        <v>50</v>
      </c>
      <c r="E2" s="10" t="s">
        <v>25</v>
      </c>
      <c r="F2" s="10">
        <v>239</v>
      </c>
      <c r="G2" s="22" t="s">
        <v>128</v>
      </c>
      <c r="H2" s="9" t="s">
        <v>11</v>
      </c>
      <c r="I2" s="1">
        <v>89000</v>
      </c>
      <c r="J2" s="3" t="s">
        <v>51</v>
      </c>
      <c r="K2" s="2">
        <v>0.45833333333333331</v>
      </c>
      <c r="L2" s="76" t="s">
        <v>141</v>
      </c>
      <c r="M2" s="76"/>
      <c r="N2" s="76"/>
      <c r="O2" s="76"/>
      <c r="P2" s="76"/>
      <c r="Q2" s="76"/>
      <c r="R2" s="10" t="s">
        <v>52</v>
      </c>
      <c r="S2" s="2">
        <v>0.25</v>
      </c>
      <c r="T2" s="3">
        <v>0.25694444444444448</v>
      </c>
      <c r="U2" s="10">
        <v>93</v>
      </c>
      <c r="V2" s="10">
        <v>0</v>
      </c>
      <c r="W2" s="10">
        <v>296</v>
      </c>
      <c r="X2" s="10">
        <v>0</v>
      </c>
      <c r="Y2" s="10">
        <v>0</v>
      </c>
    </row>
    <row r="3" spans="1:25" x14ac:dyDescent="0.25">
      <c r="A3" s="11">
        <v>46007</v>
      </c>
      <c r="B3" s="10" t="s">
        <v>45</v>
      </c>
      <c r="C3" s="8" t="s">
        <v>46</v>
      </c>
      <c r="D3" s="10" t="s">
        <v>47</v>
      </c>
      <c r="E3" s="9" t="s">
        <v>25</v>
      </c>
      <c r="F3" s="10">
        <v>230</v>
      </c>
      <c r="G3" s="10" t="s">
        <v>138</v>
      </c>
      <c r="H3" s="9" t="s">
        <v>11</v>
      </c>
      <c r="I3" s="1">
        <v>89000</v>
      </c>
      <c r="J3" s="10" t="s">
        <v>48</v>
      </c>
      <c r="K3" s="2">
        <v>0.4861111111111111</v>
      </c>
      <c r="L3" s="76" t="s">
        <v>142</v>
      </c>
      <c r="M3" s="76"/>
      <c r="N3" s="76"/>
      <c r="O3" s="76"/>
      <c r="P3" s="76"/>
      <c r="Q3" s="76"/>
      <c r="R3" s="10" t="s">
        <v>49</v>
      </c>
      <c r="S3" s="2">
        <v>0.51041666666666663</v>
      </c>
      <c r="T3" s="76" t="s">
        <v>140</v>
      </c>
      <c r="U3" s="76"/>
      <c r="V3" s="76"/>
      <c r="W3" s="76"/>
      <c r="X3" s="76"/>
      <c r="Y3" s="76"/>
    </row>
    <row r="4" spans="1:25" x14ac:dyDescent="0.25">
      <c r="A4" s="11">
        <v>46007</v>
      </c>
      <c r="B4" s="20" t="s">
        <v>21</v>
      </c>
      <c r="C4" s="20" t="s">
        <v>22</v>
      </c>
      <c r="D4" s="20" t="s">
        <v>91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25" t="s">
        <v>28</v>
      </c>
      <c r="K4" s="24">
        <v>0.48958333333333331</v>
      </c>
      <c r="L4" s="77" t="s">
        <v>139</v>
      </c>
      <c r="M4" s="77"/>
      <c r="N4" s="77"/>
      <c r="O4" s="77"/>
      <c r="P4" s="77"/>
      <c r="Q4" s="77"/>
      <c r="R4" s="20" t="s">
        <v>29</v>
      </c>
      <c r="S4" s="24">
        <v>0.50347222222222221</v>
      </c>
      <c r="T4" s="77" t="s">
        <v>139</v>
      </c>
      <c r="U4" s="77"/>
      <c r="V4" s="77"/>
      <c r="W4" s="77"/>
      <c r="X4" s="77"/>
      <c r="Y4" s="77"/>
    </row>
    <row r="5" spans="1:25" x14ac:dyDescent="0.25">
      <c r="A5" s="11">
        <v>46007</v>
      </c>
      <c r="B5" s="20" t="s">
        <v>21</v>
      </c>
      <c r="C5" s="20" t="s">
        <v>22</v>
      </c>
      <c r="D5" s="20" t="s">
        <v>121</v>
      </c>
      <c r="E5" s="20" t="s">
        <v>25</v>
      </c>
      <c r="F5" s="20">
        <v>239</v>
      </c>
      <c r="G5" s="22" t="s">
        <v>128</v>
      </c>
      <c r="H5" s="23" t="s">
        <v>11</v>
      </c>
      <c r="I5" s="22">
        <v>89000</v>
      </c>
      <c r="J5" s="25" t="s">
        <v>93</v>
      </c>
      <c r="K5" s="24">
        <v>0.68402777777777779</v>
      </c>
      <c r="L5" s="77" t="s">
        <v>139</v>
      </c>
      <c r="M5" s="77"/>
      <c r="N5" s="77"/>
      <c r="O5" s="77"/>
      <c r="P5" s="77"/>
      <c r="Q5" s="77"/>
      <c r="R5" s="20" t="s">
        <v>94</v>
      </c>
      <c r="S5" s="24">
        <v>0.68402777777777779</v>
      </c>
      <c r="T5" s="77" t="s">
        <v>139</v>
      </c>
      <c r="U5" s="77"/>
      <c r="V5" s="77"/>
      <c r="W5" s="77"/>
      <c r="X5" s="77"/>
      <c r="Y5" s="77"/>
    </row>
  </sheetData>
  <mergeCells count="7">
    <mergeCell ref="L2:Q2"/>
    <mergeCell ref="L3:Q3"/>
    <mergeCell ref="L4:Q4"/>
    <mergeCell ref="L5:Q5"/>
    <mergeCell ref="T4:Y4"/>
    <mergeCell ref="T5:Y5"/>
    <mergeCell ref="T3:Y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120B-DF6F-4D00-BE64-CB2E0EB94B3E}">
  <dimension ref="A1:Y13"/>
  <sheetViews>
    <sheetView workbookViewId="0">
      <selection sqref="A1:Y1"/>
    </sheetView>
  </sheetViews>
  <sheetFormatPr defaultRowHeight="15" x14ac:dyDescent="0.25"/>
  <cols>
    <col min="1" max="1" width="10.7109375" customWidth="1"/>
    <col min="2" max="2" width="23.28515625" customWidth="1"/>
    <col min="4" max="4" width="15" customWidth="1"/>
    <col min="5" max="5" width="8.7109375" customWidth="1"/>
    <col min="6" max="6" width="9.42578125" bestFit="1" customWidth="1"/>
    <col min="8" max="8" width="15.5703125" customWidth="1"/>
    <col min="9" max="9" width="9.42578125" bestFit="1" customWidth="1"/>
    <col min="10" max="10" width="10.42578125" bestFit="1" customWidth="1"/>
    <col min="11" max="17" width="9.42578125" bestFit="1" customWidth="1"/>
    <col min="18" max="18" width="10.42578125" bestFit="1" customWidth="1"/>
    <col min="19" max="25" width="9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46008</v>
      </c>
      <c r="B2" s="20" t="s">
        <v>21</v>
      </c>
      <c r="C2" s="20" t="s">
        <v>22</v>
      </c>
      <c r="D2" s="20" t="s">
        <v>143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43" t="s">
        <v>82</v>
      </c>
      <c r="K2" s="24">
        <v>0.25694444444444448</v>
      </c>
      <c r="L2" s="32"/>
      <c r="M2" s="41"/>
      <c r="N2" s="41"/>
      <c r="O2" s="41"/>
      <c r="P2" s="41"/>
      <c r="Q2" s="41"/>
      <c r="R2" s="20" t="s">
        <v>145</v>
      </c>
      <c r="S2" s="24">
        <v>0.27499999999999997</v>
      </c>
      <c r="T2" s="32"/>
      <c r="U2" s="41"/>
      <c r="V2" s="41"/>
      <c r="W2" s="41"/>
      <c r="X2" s="41"/>
      <c r="Y2" s="41"/>
    </row>
    <row r="3" spans="1:25" x14ac:dyDescent="0.25">
      <c r="A3" s="19">
        <v>46008</v>
      </c>
      <c r="B3" s="20" t="s">
        <v>21</v>
      </c>
      <c r="C3" s="20" t="s">
        <v>22</v>
      </c>
      <c r="D3" s="20" t="s">
        <v>88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43" t="s">
        <v>89</v>
      </c>
      <c r="K3" s="24">
        <v>0.26041666666666669</v>
      </c>
      <c r="L3" s="43">
        <v>0.31458333333333333</v>
      </c>
      <c r="M3" s="20">
        <v>67</v>
      </c>
      <c r="N3" s="20">
        <v>0</v>
      </c>
      <c r="O3" s="20">
        <v>205</v>
      </c>
      <c r="P3" s="20">
        <v>0</v>
      </c>
      <c r="Q3" s="20">
        <v>0</v>
      </c>
      <c r="R3" s="20" t="s">
        <v>90</v>
      </c>
      <c r="S3" s="24">
        <v>0.45833333333333331</v>
      </c>
      <c r="T3" s="43">
        <v>0.49027777777777781</v>
      </c>
      <c r="U3" s="20">
        <v>216</v>
      </c>
      <c r="V3" s="20">
        <v>4</v>
      </c>
      <c r="W3" s="20">
        <v>949</v>
      </c>
      <c r="X3" s="20">
        <v>0</v>
      </c>
      <c r="Y3" s="20">
        <v>0</v>
      </c>
    </row>
    <row r="4" spans="1:25" x14ac:dyDescent="0.25">
      <c r="A4" s="19">
        <v>46008</v>
      </c>
      <c r="B4" s="20" t="s">
        <v>21</v>
      </c>
      <c r="C4" s="20" t="s">
        <v>22</v>
      </c>
      <c r="D4" s="20" t="s">
        <v>91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43" t="s">
        <v>28</v>
      </c>
      <c r="K4" s="24">
        <v>0.4826388888888889</v>
      </c>
      <c r="L4" s="43">
        <v>0.52013888888888882</v>
      </c>
      <c r="M4" s="20">
        <v>112</v>
      </c>
      <c r="N4" s="20">
        <v>0</v>
      </c>
      <c r="O4" s="20">
        <v>432</v>
      </c>
      <c r="P4" s="20">
        <v>0</v>
      </c>
      <c r="Q4" s="20">
        <v>0</v>
      </c>
      <c r="R4" s="20" t="s">
        <v>29</v>
      </c>
      <c r="S4" s="24">
        <v>0.64236111111111105</v>
      </c>
      <c r="T4" s="43">
        <v>0.64930555555555558</v>
      </c>
      <c r="U4" s="20">
        <v>235</v>
      </c>
      <c r="V4" s="20">
        <v>4</v>
      </c>
      <c r="W4" s="20">
        <v>827</v>
      </c>
      <c r="X4" s="20">
        <v>0</v>
      </c>
      <c r="Y4" s="20">
        <v>0</v>
      </c>
    </row>
    <row r="5" spans="1:25" x14ac:dyDescent="0.25">
      <c r="A5" s="19">
        <v>46008</v>
      </c>
      <c r="B5" s="10" t="s">
        <v>45</v>
      </c>
      <c r="C5" s="8" t="s">
        <v>46</v>
      </c>
      <c r="D5" s="10" t="s">
        <v>47</v>
      </c>
      <c r="E5" s="9" t="s">
        <v>25</v>
      </c>
      <c r="F5" s="10">
        <v>230</v>
      </c>
      <c r="G5" s="10" t="s">
        <v>138</v>
      </c>
      <c r="H5" s="9" t="s">
        <v>11</v>
      </c>
      <c r="I5" s="1">
        <v>89000</v>
      </c>
      <c r="J5" s="10" t="s">
        <v>48</v>
      </c>
      <c r="K5" s="2">
        <v>0.4861111111111111</v>
      </c>
      <c r="L5" s="43">
        <v>0.51458333333333328</v>
      </c>
      <c r="M5" s="20">
        <v>44</v>
      </c>
      <c r="N5" s="20">
        <v>1</v>
      </c>
      <c r="O5" s="20">
        <v>240</v>
      </c>
      <c r="P5" s="20">
        <v>0</v>
      </c>
      <c r="Q5" s="20">
        <v>0</v>
      </c>
      <c r="R5" s="10" t="s">
        <v>49</v>
      </c>
      <c r="S5" s="2">
        <v>0.51041666666666663</v>
      </c>
      <c r="T5" s="43">
        <v>0.47430555555555554</v>
      </c>
      <c r="U5" s="20">
        <v>223</v>
      </c>
      <c r="V5" s="20">
        <v>10</v>
      </c>
      <c r="W5" s="20">
        <v>1193</v>
      </c>
      <c r="X5" s="20">
        <v>0</v>
      </c>
      <c r="Y5" s="20">
        <v>0</v>
      </c>
    </row>
    <row r="6" spans="1:25" x14ac:dyDescent="0.25">
      <c r="A6" s="19">
        <v>46008</v>
      </c>
      <c r="B6" s="10" t="s">
        <v>45</v>
      </c>
      <c r="C6" s="8" t="s">
        <v>46</v>
      </c>
      <c r="D6" s="10" t="s">
        <v>147</v>
      </c>
      <c r="E6" s="9" t="s">
        <v>25</v>
      </c>
      <c r="F6" s="10">
        <v>230</v>
      </c>
      <c r="G6" s="10" t="s">
        <v>148</v>
      </c>
      <c r="H6" s="9" t="s">
        <v>11</v>
      </c>
      <c r="I6" s="1">
        <v>89000</v>
      </c>
      <c r="J6" s="10" t="s">
        <v>144</v>
      </c>
      <c r="K6" s="2">
        <v>0.54166666666666663</v>
      </c>
      <c r="L6" s="43">
        <v>0.59027777777777779</v>
      </c>
      <c r="M6" s="20">
        <v>69</v>
      </c>
      <c r="N6" s="20">
        <v>1</v>
      </c>
      <c r="O6" s="20">
        <v>346</v>
      </c>
      <c r="P6" s="20">
        <v>0</v>
      </c>
      <c r="Q6" s="20">
        <v>0</v>
      </c>
      <c r="R6" s="10" t="s">
        <v>145</v>
      </c>
      <c r="S6" s="2">
        <v>0.51736111111111105</v>
      </c>
      <c r="T6" s="43">
        <v>0.54861111111111105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</row>
    <row r="7" spans="1:25" x14ac:dyDescent="0.25">
      <c r="A7" s="19">
        <v>46008</v>
      </c>
      <c r="B7" s="20" t="s">
        <v>21</v>
      </c>
      <c r="C7" s="20" t="s">
        <v>22</v>
      </c>
      <c r="D7" s="10" t="s">
        <v>92</v>
      </c>
      <c r="E7" s="9" t="s">
        <v>25</v>
      </c>
      <c r="F7" s="10">
        <v>239</v>
      </c>
      <c r="G7" s="34" t="s">
        <v>146</v>
      </c>
      <c r="H7" s="9" t="s">
        <v>11</v>
      </c>
      <c r="I7" s="1">
        <v>89000</v>
      </c>
      <c r="J7" s="33" t="s">
        <v>93</v>
      </c>
      <c r="K7" s="2">
        <v>0.69444444444444453</v>
      </c>
      <c r="L7" s="42">
        <v>0.69097222222222221</v>
      </c>
      <c r="M7" s="10">
        <v>41</v>
      </c>
      <c r="N7" s="10">
        <v>0</v>
      </c>
      <c r="O7" s="10">
        <v>130</v>
      </c>
      <c r="P7" s="10">
        <v>0</v>
      </c>
      <c r="Q7" s="10">
        <v>0</v>
      </c>
      <c r="R7" s="10" t="s">
        <v>94</v>
      </c>
      <c r="S7" s="2">
        <v>0.89583333333333337</v>
      </c>
      <c r="T7" s="42">
        <v>0.8979166666666667</v>
      </c>
      <c r="U7" s="10">
        <v>216</v>
      </c>
      <c r="V7" s="10">
        <v>8</v>
      </c>
      <c r="W7" s="10">
        <v>1069</v>
      </c>
      <c r="X7" s="10">
        <v>0</v>
      </c>
      <c r="Y7" s="10">
        <v>0</v>
      </c>
    </row>
    <row r="8" spans="1:25" x14ac:dyDescent="0.25">
      <c r="A8" s="19"/>
      <c r="B8" s="20"/>
      <c r="C8" s="20"/>
      <c r="D8" s="10"/>
      <c r="E8" s="9"/>
      <c r="F8" s="10"/>
      <c r="G8" s="34"/>
      <c r="H8" s="9"/>
      <c r="I8" s="1"/>
      <c r="J8" s="33"/>
      <c r="K8" s="2"/>
      <c r="L8" s="42"/>
      <c r="M8" s="10"/>
      <c r="N8" s="10"/>
      <c r="O8" s="10"/>
      <c r="P8" s="10"/>
      <c r="Q8" s="10"/>
      <c r="R8" s="10"/>
      <c r="S8" s="42"/>
      <c r="T8" s="42"/>
      <c r="U8" s="10"/>
      <c r="V8" s="10"/>
      <c r="W8" s="10"/>
      <c r="X8" s="10"/>
      <c r="Y8" s="10"/>
    </row>
    <row r="9" spans="1:25" x14ac:dyDescent="0.25">
      <c r="A9" s="19"/>
      <c r="B9" s="10"/>
      <c r="C9" s="10"/>
      <c r="D9" s="10"/>
      <c r="E9" s="10"/>
      <c r="F9" s="10"/>
      <c r="G9" s="34"/>
      <c r="H9" s="23"/>
      <c r="I9" s="1"/>
      <c r="J9" s="33"/>
      <c r="K9" s="42"/>
      <c r="L9" s="42"/>
      <c r="M9" s="10"/>
      <c r="N9" s="10"/>
      <c r="O9" s="10"/>
      <c r="P9" s="10"/>
      <c r="Q9" s="10"/>
      <c r="R9" s="10"/>
      <c r="S9" s="42"/>
      <c r="T9" s="42"/>
      <c r="U9" s="10"/>
      <c r="V9" s="10"/>
      <c r="W9" s="10"/>
      <c r="X9" s="10"/>
      <c r="Y9" s="10"/>
    </row>
    <row r="10" spans="1:25" x14ac:dyDescent="0.25">
      <c r="A10" s="19"/>
      <c r="B10" s="10"/>
      <c r="C10" s="10"/>
      <c r="D10" s="10"/>
      <c r="E10" s="10"/>
      <c r="F10" s="10"/>
      <c r="G10" s="34"/>
      <c r="H10" s="23"/>
      <c r="I10" s="1"/>
      <c r="J10" s="33"/>
      <c r="K10" s="42"/>
      <c r="L10" s="42"/>
      <c r="M10" s="10"/>
      <c r="N10" s="10"/>
      <c r="O10" s="10"/>
      <c r="P10" s="10"/>
      <c r="Q10" s="10"/>
      <c r="R10" s="10"/>
      <c r="S10" s="42"/>
      <c r="T10" s="42"/>
      <c r="U10" s="10"/>
      <c r="V10" s="10"/>
      <c r="W10" s="10"/>
      <c r="X10" s="10"/>
      <c r="Y10" s="10"/>
    </row>
    <row r="11" spans="1:25" x14ac:dyDescent="0.25">
      <c r="A11" s="19"/>
      <c r="B11" s="10"/>
      <c r="C11" s="10"/>
      <c r="D11" s="10"/>
      <c r="E11" s="10"/>
      <c r="F11" s="10"/>
      <c r="G11" s="34"/>
      <c r="H11" s="23"/>
      <c r="I11" s="46"/>
      <c r="J11" s="33"/>
      <c r="K11" s="44"/>
      <c r="L11" s="45"/>
      <c r="M11" s="10"/>
      <c r="N11" s="10"/>
      <c r="O11" s="10"/>
      <c r="P11" s="10"/>
      <c r="Q11" s="10"/>
      <c r="R11" s="10"/>
      <c r="S11" s="44"/>
      <c r="T11" s="44"/>
      <c r="U11" s="10"/>
      <c r="V11" s="10"/>
      <c r="W11" s="45"/>
      <c r="X11" s="10"/>
      <c r="Y11" s="10"/>
    </row>
    <row r="12" spans="1:25" x14ac:dyDescent="0.25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x14ac:dyDescent="0.25">
      <c r="A13" s="45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C6BF-D35F-4FE2-AC2F-49049894D4DF}">
  <dimension ref="A1:Y6"/>
  <sheetViews>
    <sheetView workbookViewId="0">
      <selection sqref="A1:XFD1048576"/>
    </sheetView>
  </sheetViews>
  <sheetFormatPr defaultRowHeight="15" x14ac:dyDescent="0.25"/>
  <cols>
    <col min="2" max="2" width="23.28515625" bestFit="1" customWidth="1"/>
    <col min="4" max="4" width="13.710937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46009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48" t="s">
        <v>52</v>
      </c>
      <c r="K2" s="24">
        <v>0.25</v>
      </c>
      <c r="L2" s="48">
        <v>0.25625000000000003</v>
      </c>
      <c r="M2" s="20">
        <v>84</v>
      </c>
      <c r="N2" s="20">
        <v>1</v>
      </c>
      <c r="O2" s="20">
        <v>293</v>
      </c>
      <c r="P2" s="20">
        <v>0</v>
      </c>
      <c r="Q2" s="20">
        <v>0</v>
      </c>
      <c r="R2" s="20" t="s">
        <v>51</v>
      </c>
      <c r="S2" s="24">
        <v>0.45833333333333331</v>
      </c>
      <c r="T2" s="48">
        <v>0.46875</v>
      </c>
      <c r="U2" s="20">
        <v>232</v>
      </c>
      <c r="V2" s="20">
        <v>7</v>
      </c>
      <c r="W2" s="20">
        <v>1022</v>
      </c>
      <c r="X2" s="20">
        <v>0</v>
      </c>
      <c r="Y2" s="20">
        <v>0</v>
      </c>
    </row>
    <row r="3" spans="1:25" x14ac:dyDescent="0.25">
      <c r="A3" s="19">
        <v>46009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48" t="s">
        <v>28</v>
      </c>
      <c r="K3" s="24">
        <v>0.50347222222222221</v>
      </c>
      <c r="L3" s="48">
        <v>0.51041666666666663</v>
      </c>
      <c r="M3" s="20">
        <v>70</v>
      </c>
      <c r="N3" s="20">
        <v>0</v>
      </c>
      <c r="O3" s="20">
        <v>102</v>
      </c>
      <c r="P3" s="20">
        <v>0</v>
      </c>
      <c r="Q3" s="20">
        <v>0</v>
      </c>
      <c r="R3" s="20" t="s">
        <v>29</v>
      </c>
      <c r="S3" s="24">
        <v>0.65972222222222221</v>
      </c>
      <c r="T3" s="48">
        <v>0.65</v>
      </c>
      <c r="U3" s="20">
        <v>225</v>
      </c>
      <c r="V3" s="20">
        <v>9</v>
      </c>
      <c r="W3" s="20">
        <v>1161</v>
      </c>
      <c r="X3" s="20">
        <v>0</v>
      </c>
      <c r="Y3" s="20">
        <v>0</v>
      </c>
    </row>
    <row r="4" spans="1:25" x14ac:dyDescent="0.25">
      <c r="A4" s="19">
        <v>46009</v>
      </c>
      <c r="B4" s="20" t="s">
        <v>21</v>
      </c>
      <c r="C4" s="20" t="s">
        <v>22</v>
      </c>
      <c r="D4" s="20" t="s">
        <v>129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48" t="s">
        <v>130</v>
      </c>
      <c r="K4" s="24">
        <v>0.68402777777777779</v>
      </c>
      <c r="L4" s="48">
        <v>0.68472222222222223</v>
      </c>
      <c r="M4" s="20">
        <v>149</v>
      </c>
      <c r="N4" s="20">
        <v>4</v>
      </c>
      <c r="O4" s="20">
        <v>735</v>
      </c>
      <c r="P4" s="20">
        <v>0</v>
      </c>
      <c r="Q4" s="20">
        <v>0</v>
      </c>
      <c r="R4" s="20" t="s">
        <v>131</v>
      </c>
      <c r="S4" s="24">
        <v>0.88541666666666663</v>
      </c>
      <c r="T4" s="48">
        <v>0.87708333333333333</v>
      </c>
      <c r="U4" s="20">
        <v>238</v>
      </c>
      <c r="V4" s="20">
        <v>5</v>
      </c>
      <c r="W4" s="20">
        <v>998</v>
      </c>
      <c r="X4" s="20">
        <v>0</v>
      </c>
      <c r="Y4" s="20">
        <v>0</v>
      </c>
    </row>
    <row r="5" spans="1:25" x14ac:dyDescent="0.25">
      <c r="A5" s="19">
        <v>46009</v>
      </c>
      <c r="B5" s="10" t="s">
        <v>149</v>
      </c>
      <c r="C5" s="10" t="s">
        <v>46</v>
      </c>
      <c r="D5" s="10" t="s">
        <v>47</v>
      </c>
      <c r="E5" s="10" t="s">
        <v>25</v>
      </c>
      <c r="F5" s="10">
        <v>239</v>
      </c>
      <c r="G5" s="10" t="s">
        <v>150</v>
      </c>
      <c r="H5" s="10" t="s">
        <v>133</v>
      </c>
      <c r="I5" s="10">
        <v>89000</v>
      </c>
      <c r="J5" s="10" t="s">
        <v>49</v>
      </c>
      <c r="K5" s="2">
        <v>0.51041666666666663</v>
      </c>
      <c r="L5" s="47">
        <v>0.5229166666666667</v>
      </c>
      <c r="M5" s="10">
        <v>53</v>
      </c>
      <c r="N5" s="10">
        <v>0</v>
      </c>
      <c r="O5" s="10">
        <v>116</v>
      </c>
      <c r="P5" s="10">
        <v>0</v>
      </c>
      <c r="Q5" s="10">
        <v>0</v>
      </c>
      <c r="R5" s="10" t="s">
        <v>48</v>
      </c>
      <c r="S5" s="2">
        <v>0.4861111111111111</v>
      </c>
      <c r="T5" s="47">
        <v>0.48125000000000001</v>
      </c>
      <c r="U5" s="10">
        <v>220</v>
      </c>
      <c r="V5" s="10">
        <v>4</v>
      </c>
      <c r="W5" s="10">
        <v>1146</v>
      </c>
      <c r="X5" s="10">
        <v>0</v>
      </c>
      <c r="Y5" s="10">
        <v>0</v>
      </c>
    </row>
    <row r="6" spans="1:25" s="51" customFormat="1" ht="12.75" x14ac:dyDescent="0.2">
      <c r="A6" s="19">
        <v>46009</v>
      </c>
      <c r="B6" s="10" t="s">
        <v>151</v>
      </c>
      <c r="C6" s="10" t="s">
        <v>79</v>
      </c>
      <c r="D6" s="10" t="s">
        <v>152</v>
      </c>
      <c r="E6" s="10" t="s">
        <v>153</v>
      </c>
      <c r="F6" s="10">
        <v>6</v>
      </c>
      <c r="G6" s="34" t="s">
        <v>154</v>
      </c>
      <c r="H6" s="23" t="s">
        <v>155</v>
      </c>
      <c r="I6" s="34">
        <v>10000</v>
      </c>
      <c r="J6" s="33" t="s">
        <v>156</v>
      </c>
      <c r="K6" s="49">
        <v>0.52430555555555558</v>
      </c>
      <c r="L6" s="50">
        <v>0.51388888888888895</v>
      </c>
      <c r="M6" s="51">
        <v>0</v>
      </c>
      <c r="N6" s="51">
        <v>0</v>
      </c>
      <c r="O6" s="51">
        <v>0</v>
      </c>
      <c r="P6" s="10">
        <v>0</v>
      </c>
      <c r="Q6" s="10">
        <v>0</v>
      </c>
      <c r="R6" s="10" t="s">
        <v>156</v>
      </c>
      <c r="S6" s="49">
        <v>0.69097222222222221</v>
      </c>
      <c r="T6" s="50">
        <v>0.65</v>
      </c>
      <c r="U6" s="10">
        <v>2</v>
      </c>
      <c r="V6" s="10">
        <v>0</v>
      </c>
      <c r="W6" s="51">
        <v>0</v>
      </c>
      <c r="X6" s="10">
        <v>0</v>
      </c>
      <c r="Y6" s="10">
        <v>0</v>
      </c>
    </row>
  </sheetData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29F0D-B140-4A8B-B92B-56A649246843}">
  <dimension ref="A1:Y6"/>
  <sheetViews>
    <sheetView workbookViewId="0">
      <selection sqref="A1:Z6"/>
    </sheetView>
  </sheetViews>
  <sheetFormatPr defaultRowHeight="15" x14ac:dyDescent="0.25"/>
  <cols>
    <col min="2" max="2" width="23.28515625" bestFit="1" customWidth="1"/>
    <col min="4" max="4" width="13.28515625" bestFit="1" customWidth="1"/>
    <col min="5" max="5" width="6.28515625" bestFit="1" customWidth="1"/>
    <col min="8" max="8" width="12.140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46010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53" t="s">
        <v>89</v>
      </c>
      <c r="K2" s="24">
        <v>0.26041666666666669</v>
      </c>
      <c r="L2" s="53">
        <v>0.27152777777777776</v>
      </c>
      <c r="M2" s="20">
        <v>76</v>
      </c>
      <c r="N2" s="20">
        <v>1</v>
      </c>
      <c r="O2" s="20">
        <v>433</v>
      </c>
      <c r="P2" s="20">
        <v>0</v>
      </c>
      <c r="Q2" s="20">
        <v>0</v>
      </c>
      <c r="R2" s="20" t="s">
        <v>90</v>
      </c>
      <c r="S2" s="24">
        <v>0.45833333333333331</v>
      </c>
      <c r="T2" s="53">
        <v>0.45902777777777781</v>
      </c>
      <c r="U2" s="20">
        <v>231</v>
      </c>
      <c r="V2" s="20">
        <v>4</v>
      </c>
      <c r="W2" s="20">
        <v>1518</v>
      </c>
      <c r="X2" s="20">
        <v>0</v>
      </c>
      <c r="Y2" s="20">
        <v>0</v>
      </c>
    </row>
    <row r="3" spans="1:25" x14ac:dyDescent="0.25">
      <c r="A3" s="19">
        <v>46010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53" t="s">
        <v>28</v>
      </c>
      <c r="K3" s="24">
        <v>0.4826388888888889</v>
      </c>
      <c r="L3" s="53">
        <v>0.48680555555555555</v>
      </c>
      <c r="M3" s="20">
        <v>114</v>
      </c>
      <c r="N3" s="20">
        <v>3</v>
      </c>
      <c r="O3" s="20">
        <v>235</v>
      </c>
      <c r="P3" s="20">
        <v>0</v>
      </c>
      <c r="Q3" s="20">
        <v>0</v>
      </c>
      <c r="R3" s="20" t="s">
        <v>29</v>
      </c>
      <c r="S3" s="24">
        <v>0.64236111111111105</v>
      </c>
      <c r="T3" s="53">
        <v>0.64027777777777783</v>
      </c>
      <c r="U3" s="20">
        <v>229</v>
      </c>
      <c r="V3" s="20">
        <v>6</v>
      </c>
      <c r="W3" s="20">
        <v>1216</v>
      </c>
      <c r="X3" s="20">
        <v>0</v>
      </c>
      <c r="Y3" s="20">
        <v>0</v>
      </c>
    </row>
    <row r="4" spans="1:25" x14ac:dyDescent="0.25">
      <c r="A4" t="s">
        <v>157</v>
      </c>
      <c r="B4" s="20" t="s">
        <v>21</v>
      </c>
      <c r="C4" s="20" t="s">
        <v>22</v>
      </c>
      <c r="D4" s="10" t="s">
        <v>92</v>
      </c>
      <c r="E4" s="9" t="s">
        <v>25</v>
      </c>
      <c r="F4" s="10">
        <v>239</v>
      </c>
      <c r="G4" s="34" t="s">
        <v>146</v>
      </c>
      <c r="H4" s="9" t="s">
        <v>11</v>
      </c>
      <c r="I4" s="1">
        <v>89000</v>
      </c>
      <c r="J4" s="33" t="s">
        <v>93</v>
      </c>
      <c r="K4" s="2">
        <v>0.69444444444444453</v>
      </c>
      <c r="L4" s="52">
        <v>0.71875</v>
      </c>
      <c r="M4" s="10">
        <v>66</v>
      </c>
      <c r="N4" s="10">
        <v>1</v>
      </c>
      <c r="O4" s="10">
        <v>347</v>
      </c>
      <c r="P4" s="10">
        <v>0</v>
      </c>
      <c r="Q4" s="10">
        <v>0</v>
      </c>
      <c r="R4" s="10" t="s">
        <v>94</v>
      </c>
      <c r="S4" s="2">
        <v>0.89583333333333337</v>
      </c>
      <c r="T4" s="52">
        <v>0.90069444444444446</v>
      </c>
      <c r="U4" s="10">
        <v>236</v>
      </c>
      <c r="V4" s="10">
        <v>2</v>
      </c>
      <c r="W4" s="10">
        <v>1301</v>
      </c>
      <c r="X4" s="10">
        <v>0</v>
      </c>
      <c r="Y4" s="10">
        <v>0</v>
      </c>
    </row>
    <row r="5" spans="1:25" x14ac:dyDescent="0.25">
      <c r="B5" s="20"/>
      <c r="C5" s="20"/>
      <c r="D5" s="10"/>
      <c r="E5" s="9"/>
      <c r="F5" s="10"/>
      <c r="G5" s="34"/>
      <c r="H5" s="9"/>
      <c r="I5" s="1"/>
      <c r="J5" s="33"/>
      <c r="K5" s="2"/>
      <c r="L5" s="52"/>
      <c r="M5" s="10"/>
      <c r="N5" s="10"/>
      <c r="O5" s="10"/>
      <c r="P5" s="10"/>
      <c r="Q5" s="10"/>
      <c r="R5" s="10"/>
      <c r="S5" s="52"/>
      <c r="T5" s="52"/>
      <c r="U5" s="10"/>
      <c r="V5" s="10"/>
      <c r="W5" s="10"/>
      <c r="X5" s="10"/>
      <c r="Y5" s="10"/>
    </row>
    <row r="6" spans="1:25" x14ac:dyDescent="0.25">
      <c r="B6" s="10"/>
      <c r="C6" s="10"/>
      <c r="D6" s="10"/>
      <c r="E6" s="10"/>
      <c r="F6" s="10"/>
      <c r="G6" s="34"/>
      <c r="H6" s="23"/>
      <c r="I6" s="1"/>
      <c r="J6" s="33"/>
      <c r="K6" s="52"/>
      <c r="L6" s="52"/>
      <c r="M6" s="10"/>
      <c r="N6" s="10"/>
      <c r="O6" s="10"/>
      <c r="P6" s="10"/>
      <c r="Q6" s="10"/>
      <c r="R6" s="10"/>
      <c r="S6" s="52"/>
      <c r="T6" s="52"/>
      <c r="U6" s="10"/>
      <c r="V6" s="10"/>
      <c r="W6" s="10"/>
      <c r="X6" s="10"/>
      <c r="Y6" s="10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D44F-B2D6-40BA-AEE0-BAE4BDA72F87}">
  <dimension ref="A1:Y7"/>
  <sheetViews>
    <sheetView workbookViewId="0">
      <selection sqref="A1:Y7"/>
    </sheetView>
  </sheetViews>
  <sheetFormatPr defaultRowHeight="12.75" x14ac:dyDescent="0.2"/>
  <cols>
    <col min="1" max="1" width="10.140625" style="51" bestFit="1" customWidth="1"/>
    <col min="2" max="2" width="23.28515625" style="51" bestFit="1" customWidth="1"/>
    <col min="3" max="3" width="9.140625" style="51"/>
    <col min="4" max="4" width="13.7109375" style="51" bestFit="1" customWidth="1"/>
    <col min="5" max="5" width="6.28515625" style="51" bestFit="1" customWidth="1"/>
    <col min="6" max="6" width="9.140625" style="51"/>
    <col min="7" max="7" width="8" style="51" bestFit="1" customWidth="1"/>
    <col min="8" max="8" width="12.140625" style="51" bestFit="1" customWidth="1"/>
    <col min="9" max="14" width="9.140625" style="51"/>
    <col min="15" max="15" width="7.42578125" style="51" bestFit="1" customWidth="1"/>
    <col min="16" max="17" width="9.140625" style="51"/>
    <col min="18" max="18" width="10.42578125" style="51" bestFit="1" customWidth="1"/>
    <col min="19" max="16384" width="9.140625" style="51"/>
  </cols>
  <sheetData>
    <row r="1" spans="1:25" ht="25.5" x14ac:dyDescent="0.2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ht="15" customHeight="1" x14ac:dyDescent="0.2">
      <c r="A2" s="19">
        <v>46011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55" t="s">
        <v>52</v>
      </c>
      <c r="K2" s="24">
        <v>0.25</v>
      </c>
      <c r="L2" s="55">
        <v>0.25416666666666665</v>
      </c>
      <c r="M2" s="20">
        <v>163</v>
      </c>
      <c r="N2" s="20">
        <v>0</v>
      </c>
      <c r="O2" s="20">
        <v>742</v>
      </c>
      <c r="P2" s="20">
        <v>0</v>
      </c>
      <c r="Q2" s="20">
        <v>0</v>
      </c>
      <c r="R2" s="20" t="s">
        <v>51</v>
      </c>
      <c r="S2" s="24">
        <v>0.45833333333333331</v>
      </c>
      <c r="T2" s="77" t="s">
        <v>161</v>
      </c>
      <c r="U2" s="77"/>
      <c r="V2" s="77"/>
      <c r="W2" s="77"/>
      <c r="X2" s="20">
        <v>0</v>
      </c>
      <c r="Y2" s="20">
        <v>0</v>
      </c>
    </row>
    <row r="3" spans="1:25" ht="15" customHeight="1" x14ac:dyDescent="0.2">
      <c r="A3" s="19">
        <v>46011</v>
      </c>
      <c r="B3" s="20" t="s">
        <v>21</v>
      </c>
      <c r="C3" s="20" t="s">
        <v>22</v>
      </c>
      <c r="D3" s="20" t="s">
        <v>27</v>
      </c>
      <c r="E3" s="20" t="s">
        <v>25</v>
      </c>
      <c r="F3" s="20">
        <v>239</v>
      </c>
      <c r="G3" s="22" t="s">
        <v>163</v>
      </c>
      <c r="H3" s="23" t="s">
        <v>11</v>
      </c>
      <c r="I3" s="22">
        <v>89000</v>
      </c>
      <c r="J3" s="55" t="s">
        <v>28</v>
      </c>
      <c r="K3" s="24">
        <v>0.49305555555555558</v>
      </c>
      <c r="L3" s="77" t="s">
        <v>139</v>
      </c>
      <c r="M3" s="77"/>
      <c r="N3" s="77"/>
      <c r="O3" s="77"/>
      <c r="P3" s="20">
        <v>0</v>
      </c>
      <c r="Q3" s="20">
        <v>0</v>
      </c>
      <c r="R3" s="20" t="s">
        <v>29</v>
      </c>
      <c r="S3" s="24">
        <v>0.65972222222222221</v>
      </c>
      <c r="T3" s="77" t="s">
        <v>141</v>
      </c>
      <c r="U3" s="77"/>
      <c r="V3" s="77"/>
      <c r="W3" s="77"/>
      <c r="X3" s="20">
        <v>0</v>
      </c>
      <c r="Y3" s="20">
        <v>0</v>
      </c>
    </row>
    <row r="4" spans="1:25" ht="15" customHeight="1" x14ac:dyDescent="0.2">
      <c r="A4" s="19">
        <v>46011</v>
      </c>
      <c r="B4" s="20" t="s">
        <v>21</v>
      </c>
      <c r="C4" s="20" t="s">
        <v>22</v>
      </c>
      <c r="D4" s="20" t="s">
        <v>47</v>
      </c>
      <c r="E4" s="20" t="s">
        <v>25</v>
      </c>
      <c r="F4" s="20">
        <v>239</v>
      </c>
      <c r="G4" s="22" t="s">
        <v>124</v>
      </c>
      <c r="H4" s="23" t="s">
        <v>11</v>
      </c>
      <c r="I4" s="22">
        <v>89000</v>
      </c>
      <c r="J4" s="55" t="s">
        <v>49</v>
      </c>
      <c r="K4" s="24">
        <v>0.51041666666666663</v>
      </c>
      <c r="L4" s="77" t="s">
        <v>139</v>
      </c>
      <c r="M4" s="77"/>
      <c r="N4" s="77"/>
      <c r="O4" s="77"/>
      <c r="P4" s="20">
        <v>0</v>
      </c>
      <c r="Q4" s="20">
        <v>0</v>
      </c>
      <c r="R4" s="20" t="s">
        <v>48</v>
      </c>
      <c r="S4" s="24">
        <v>0.4861111111111111</v>
      </c>
      <c r="T4" s="77" t="s">
        <v>162</v>
      </c>
      <c r="U4" s="77"/>
      <c r="V4" s="77"/>
      <c r="W4" s="77"/>
      <c r="X4" s="20">
        <v>0</v>
      </c>
      <c r="Y4" s="20">
        <v>0</v>
      </c>
    </row>
    <row r="5" spans="1:25" ht="15" customHeight="1" x14ac:dyDescent="0.2">
      <c r="A5" s="19">
        <v>46011</v>
      </c>
      <c r="B5" s="10" t="s">
        <v>61</v>
      </c>
      <c r="C5" s="12" t="s">
        <v>62</v>
      </c>
      <c r="D5" s="9" t="s">
        <v>26</v>
      </c>
      <c r="E5" s="13" t="s">
        <v>63</v>
      </c>
      <c r="F5" s="9">
        <v>189</v>
      </c>
      <c r="G5" s="1" t="s">
        <v>158</v>
      </c>
      <c r="H5" s="12" t="s">
        <v>11</v>
      </c>
      <c r="I5" s="1">
        <v>71500</v>
      </c>
      <c r="J5" s="54" t="s">
        <v>65</v>
      </c>
      <c r="K5" s="2">
        <v>0.59722222222222221</v>
      </c>
      <c r="L5" s="76" t="s">
        <v>139</v>
      </c>
      <c r="M5" s="76"/>
      <c r="N5" s="76"/>
      <c r="O5" s="76"/>
      <c r="P5" s="10">
        <v>0</v>
      </c>
      <c r="Q5" s="10">
        <v>0</v>
      </c>
      <c r="R5" s="10" t="s">
        <v>64</v>
      </c>
      <c r="S5" s="2">
        <v>0.56597222222222221</v>
      </c>
      <c r="T5" s="76" t="s">
        <v>164</v>
      </c>
      <c r="U5" s="76"/>
      <c r="V5" s="76"/>
      <c r="W5" s="76"/>
      <c r="X5" s="10">
        <v>0</v>
      </c>
      <c r="Y5" s="10">
        <v>0</v>
      </c>
    </row>
    <row r="6" spans="1:25" ht="15" customHeight="1" x14ac:dyDescent="0.2">
      <c r="A6" s="19">
        <v>46011</v>
      </c>
      <c r="B6" s="20" t="s">
        <v>21</v>
      </c>
      <c r="C6" s="20" t="s">
        <v>22</v>
      </c>
      <c r="D6" s="20" t="s">
        <v>121</v>
      </c>
      <c r="E6" s="20" t="s">
        <v>25</v>
      </c>
      <c r="F6" s="20">
        <v>239</v>
      </c>
      <c r="G6" s="22" t="s">
        <v>128</v>
      </c>
      <c r="H6" s="23" t="s">
        <v>11</v>
      </c>
      <c r="I6" s="22">
        <v>89000</v>
      </c>
      <c r="J6" s="55" t="s">
        <v>159</v>
      </c>
      <c r="K6" s="24">
        <v>0.68402777777777779</v>
      </c>
      <c r="L6" s="77" t="s">
        <v>139</v>
      </c>
      <c r="M6" s="77"/>
      <c r="N6" s="77"/>
      <c r="O6" s="77"/>
      <c r="P6" s="20">
        <v>0</v>
      </c>
      <c r="Q6" s="20">
        <v>0</v>
      </c>
      <c r="R6" s="20" t="s">
        <v>160</v>
      </c>
      <c r="S6" s="24">
        <v>0.89583333333333337</v>
      </c>
      <c r="T6" s="55">
        <v>3.3333333333333333E-2</v>
      </c>
      <c r="U6" s="20">
        <v>227</v>
      </c>
      <c r="V6" s="20">
        <v>3</v>
      </c>
      <c r="W6" s="20">
        <v>1728</v>
      </c>
      <c r="X6" s="20">
        <v>0</v>
      </c>
      <c r="Y6" s="20">
        <v>0</v>
      </c>
    </row>
    <row r="7" spans="1:25" ht="15" customHeight="1" x14ac:dyDescent="0.2">
      <c r="A7" s="11"/>
      <c r="S7" s="49"/>
    </row>
  </sheetData>
  <mergeCells count="8">
    <mergeCell ref="T2:W2"/>
    <mergeCell ref="T4:W4"/>
    <mergeCell ref="L4:O4"/>
    <mergeCell ref="L5:O5"/>
    <mergeCell ref="L6:O6"/>
    <mergeCell ref="T5:W5"/>
    <mergeCell ref="L3:O3"/>
    <mergeCell ref="T3:W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44547-BE55-449D-9A14-9D618B47B06C}">
  <dimension ref="A1:Y8"/>
  <sheetViews>
    <sheetView workbookViewId="0">
      <selection activeCell="R37" sqref="R37"/>
    </sheetView>
  </sheetViews>
  <sheetFormatPr defaultRowHeight="15" x14ac:dyDescent="0.25"/>
  <cols>
    <col min="1" max="1" width="10.42578125" customWidth="1"/>
    <col min="2" max="2" width="23.42578125" customWidth="1"/>
    <col min="4" max="4" width="15.42578125" customWidth="1"/>
    <col min="5" max="5" width="7.140625" customWidth="1"/>
    <col min="6" max="6" width="9.28515625" bestFit="1" customWidth="1"/>
    <col min="8" max="8" width="17" bestFit="1" customWidth="1"/>
    <col min="9" max="9" width="9.28515625" bestFit="1" customWidth="1"/>
    <col min="11" max="11" width="9.28515625" bestFit="1" customWidth="1"/>
    <col min="16" max="17" width="9.28515625" bestFit="1" customWidth="1"/>
    <col min="19" max="19" width="9.28515625" bestFit="1" customWidth="1"/>
    <col min="24" max="25" width="9.28515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46012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56" t="s">
        <v>52</v>
      </c>
      <c r="K2" s="24">
        <v>0.26041666666666669</v>
      </c>
      <c r="L2" s="56">
        <v>0.25972222222222224</v>
      </c>
      <c r="M2" s="20">
        <v>155</v>
      </c>
      <c r="N2" s="20">
        <v>1</v>
      </c>
      <c r="O2" s="20">
        <v>505</v>
      </c>
      <c r="P2" s="20">
        <v>0</v>
      </c>
      <c r="Q2" s="20">
        <v>0</v>
      </c>
      <c r="R2" s="20" t="s">
        <v>51</v>
      </c>
      <c r="S2" s="24">
        <v>0.45833333333333331</v>
      </c>
      <c r="T2" s="56">
        <v>0.44930555555555557</v>
      </c>
      <c r="U2" s="20">
        <v>233</v>
      </c>
      <c r="V2" s="20">
        <v>7</v>
      </c>
      <c r="W2" s="20">
        <v>1163</v>
      </c>
      <c r="X2" s="20">
        <v>0</v>
      </c>
      <c r="Y2" s="20">
        <v>0</v>
      </c>
    </row>
    <row r="3" spans="1:25" x14ac:dyDescent="0.25">
      <c r="A3" s="19">
        <v>46012</v>
      </c>
      <c r="B3" s="20" t="s">
        <v>21</v>
      </c>
      <c r="C3" s="20" t="s">
        <v>22</v>
      </c>
      <c r="D3" s="20" t="s">
        <v>170</v>
      </c>
      <c r="E3" s="20" t="s">
        <v>25</v>
      </c>
      <c r="F3" s="20">
        <v>239</v>
      </c>
      <c r="G3" s="22" t="s">
        <v>166</v>
      </c>
      <c r="H3" s="23" t="s">
        <v>11</v>
      </c>
      <c r="I3" s="22">
        <v>89000</v>
      </c>
      <c r="J3" s="56" t="s">
        <v>168</v>
      </c>
      <c r="K3" s="24">
        <v>0.36458333333333331</v>
      </c>
      <c r="L3" s="56">
        <v>0.36041666666666666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 t="s">
        <v>167</v>
      </c>
      <c r="S3" s="24">
        <v>0.34027777777777773</v>
      </c>
      <c r="T3" s="56">
        <v>0.33402777777777781</v>
      </c>
      <c r="U3" s="20">
        <v>21</v>
      </c>
      <c r="V3" s="20">
        <v>0</v>
      </c>
      <c r="W3" s="20">
        <v>128</v>
      </c>
      <c r="X3" s="20">
        <v>0</v>
      </c>
      <c r="Y3" s="20">
        <v>0</v>
      </c>
    </row>
    <row r="4" spans="1:25" x14ac:dyDescent="0.25">
      <c r="A4" s="19">
        <v>46012</v>
      </c>
      <c r="B4" s="20" t="s">
        <v>21</v>
      </c>
      <c r="C4" s="20" t="s">
        <v>22</v>
      </c>
      <c r="D4" s="20" t="s">
        <v>91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56" t="s">
        <v>28</v>
      </c>
      <c r="K4" s="24">
        <v>0.4826388888888889</v>
      </c>
      <c r="L4" s="56">
        <v>0.48958333333333331</v>
      </c>
      <c r="M4" s="20">
        <v>207</v>
      </c>
      <c r="N4" s="20">
        <v>8</v>
      </c>
      <c r="O4" s="20">
        <v>706</v>
      </c>
      <c r="P4" s="20">
        <v>0</v>
      </c>
      <c r="Q4" s="20">
        <v>0</v>
      </c>
      <c r="R4" s="20" t="s">
        <v>29</v>
      </c>
      <c r="S4" s="24">
        <v>0.63888888888888895</v>
      </c>
      <c r="T4" s="56">
        <v>0.64236111111111105</v>
      </c>
      <c r="U4" s="20">
        <v>229</v>
      </c>
      <c r="V4" s="20">
        <v>5</v>
      </c>
      <c r="W4" s="20">
        <v>977</v>
      </c>
      <c r="X4" s="20">
        <v>0</v>
      </c>
      <c r="Y4" s="20">
        <v>0</v>
      </c>
    </row>
    <row r="5" spans="1:25" x14ac:dyDescent="0.25">
      <c r="A5" s="19">
        <v>46012</v>
      </c>
      <c r="B5" s="20" t="s">
        <v>149</v>
      </c>
      <c r="C5" s="20" t="s">
        <v>46</v>
      </c>
      <c r="D5" s="20" t="s">
        <v>165</v>
      </c>
      <c r="E5" s="20" t="s">
        <v>25</v>
      </c>
      <c r="F5" s="20">
        <v>239</v>
      </c>
      <c r="G5" s="21" t="s">
        <v>169</v>
      </c>
      <c r="H5" s="23" t="s">
        <v>11</v>
      </c>
      <c r="I5" s="22">
        <v>89000</v>
      </c>
      <c r="J5" s="56" t="s">
        <v>49</v>
      </c>
      <c r="K5" s="24">
        <v>0.51041666666666663</v>
      </c>
      <c r="L5" s="56">
        <v>0.5229166666666667</v>
      </c>
      <c r="M5" s="20">
        <v>200</v>
      </c>
      <c r="N5" s="20">
        <v>1</v>
      </c>
      <c r="O5" s="20">
        <v>1013</v>
      </c>
      <c r="P5" s="20">
        <v>0</v>
      </c>
      <c r="Q5" s="20">
        <v>0</v>
      </c>
      <c r="R5" s="20" t="s">
        <v>48</v>
      </c>
      <c r="S5" s="24">
        <v>0.4861111111111111</v>
      </c>
      <c r="T5" s="56">
        <v>0.48055555555555557</v>
      </c>
      <c r="U5" s="20">
        <v>224</v>
      </c>
      <c r="V5" s="20">
        <v>3</v>
      </c>
      <c r="W5" s="20">
        <v>1073</v>
      </c>
      <c r="X5" s="20">
        <v>0</v>
      </c>
      <c r="Y5" s="20">
        <v>0</v>
      </c>
    </row>
    <row r="6" spans="1:25" x14ac:dyDescent="0.25">
      <c r="A6" s="19">
        <v>46012</v>
      </c>
      <c r="B6" s="20" t="s">
        <v>21</v>
      </c>
      <c r="C6" s="20" t="s">
        <v>22</v>
      </c>
      <c r="D6" s="20" t="s">
        <v>129</v>
      </c>
      <c r="E6" s="20" t="s">
        <v>25</v>
      </c>
      <c r="F6" s="20">
        <v>239</v>
      </c>
      <c r="G6" s="22" t="s">
        <v>128</v>
      </c>
      <c r="H6" s="23" t="s">
        <v>11</v>
      </c>
      <c r="I6" s="22">
        <v>89000</v>
      </c>
      <c r="J6" s="56" t="s">
        <v>130</v>
      </c>
      <c r="K6" s="24">
        <v>0.68402777777777779</v>
      </c>
      <c r="L6" s="56">
        <v>0.68402777777777779</v>
      </c>
      <c r="M6" s="20">
        <v>202</v>
      </c>
      <c r="N6" s="20">
        <v>5</v>
      </c>
      <c r="O6" s="20">
        <v>841</v>
      </c>
      <c r="P6" s="20">
        <v>0</v>
      </c>
      <c r="Q6" s="20">
        <v>0</v>
      </c>
      <c r="R6" s="20" t="s">
        <v>131</v>
      </c>
      <c r="S6" s="24">
        <v>0.88541666666666663</v>
      </c>
      <c r="T6" s="56">
        <v>0.88541666666666663</v>
      </c>
      <c r="U6" s="20">
        <v>231</v>
      </c>
      <c r="V6" s="20">
        <v>6</v>
      </c>
      <c r="W6" s="20">
        <v>1302</v>
      </c>
      <c r="X6" s="20">
        <v>0</v>
      </c>
      <c r="Y6" s="20">
        <v>0</v>
      </c>
    </row>
    <row r="8" spans="1:25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E98B-DDBD-4A46-80A2-C1F7FF364361}">
  <dimension ref="A1:Y6"/>
  <sheetViews>
    <sheetView workbookViewId="0">
      <selection sqref="A1:Y1"/>
    </sheetView>
  </sheetViews>
  <sheetFormatPr defaultRowHeight="15" x14ac:dyDescent="0.25"/>
  <cols>
    <col min="1" max="1" width="10.140625" style="40" bestFit="1" customWidth="1"/>
    <col min="2" max="2" width="23.28515625" style="40" customWidth="1"/>
    <col min="3" max="3" width="9.140625" style="40"/>
    <col min="4" max="4" width="18" style="40" customWidth="1"/>
    <col min="5" max="5" width="8.7109375" style="40" customWidth="1"/>
    <col min="6" max="7" width="9.140625" style="40"/>
    <col min="8" max="8" width="15.5703125" style="40" customWidth="1"/>
    <col min="9" max="9" width="9.140625" style="40"/>
    <col min="10" max="10" width="10.42578125" style="40" bestFit="1" customWidth="1"/>
    <col min="11" max="17" width="9.140625" style="40"/>
    <col min="18" max="18" width="10.42578125" style="40" bestFit="1" customWidth="1"/>
    <col min="19" max="16384" width="9.140625" style="40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20</v>
      </c>
      <c r="Q1" s="18" t="s">
        <v>72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46013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58" t="s">
        <v>89</v>
      </c>
      <c r="K2" s="24">
        <v>0.26041666666666669</v>
      </c>
      <c r="L2" s="58">
        <v>0.26666666666666666</v>
      </c>
      <c r="M2" s="20">
        <v>108</v>
      </c>
      <c r="N2" s="20">
        <v>3</v>
      </c>
      <c r="O2" s="20">
        <v>533</v>
      </c>
      <c r="P2" s="20">
        <v>0</v>
      </c>
      <c r="Q2" s="20">
        <v>0</v>
      </c>
      <c r="R2" s="20" t="s">
        <v>90</v>
      </c>
      <c r="S2" s="24">
        <v>0.45833333333333331</v>
      </c>
      <c r="T2" s="58">
        <v>0.45416666666666666</v>
      </c>
      <c r="U2" s="20">
        <v>229</v>
      </c>
      <c r="V2" s="20">
        <v>5</v>
      </c>
      <c r="W2" s="20">
        <v>1347</v>
      </c>
      <c r="X2" s="20">
        <v>0</v>
      </c>
      <c r="Y2" s="20">
        <v>0</v>
      </c>
    </row>
    <row r="3" spans="1:25" x14ac:dyDescent="0.25">
      <c r="A3" s="19">
        <v>46013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58" t="s">
        <v>28</v>
      </c>
      <c r="K3" s="24">
        <v>0.48958333333333331</v>
      </c>
      <c r="L3" s="58">
        <v>0.49236111111111108</v>
      </c>
      <c r="M3" s="20">
        <v>106</v>
      </c>
      <c r="N3" s="20">
        <v>2</v>
      </c>
      <c r="O3" s="20">
        <v>274</v>
      </c>
      <c r="P3" s="20">
        <v>0</v>
      </c>
      <c r="Q3" s="20">
        <v>0</v>
      </c>
      <c r="R3" s="20" t="s">
        <v>29</v>
      </c>
      <c r="S3" s="24">
        <v>0.64583333333333337</v>
      </c>
      <c r="T3" s="58">
        <v>0.64374999999999993</v>
      </c>
      <c r="U3" s="20">
        <v>233</v>
      </c>
      <c r="V3" s="20">
        <v>6</v>
      </c>
      <c r="W3" s="20">
        <v>1203</v>
      </c>
      <c r="X3" s="20">
        <v>0</v>
      </c>
      <c r="Y3" s="20">
        <v>0</v>
      </c>
    </row>
    <row r="4" spans="1:25" x14ac:dyDescent="0.25">
      <c r="A4" s="19">
        <v>46013</v>
      </c>
      <c r="B4" s="10" t="s">
        <v>30</v>
      </c>
      <c r="C4" s="10" t="s">
        <v>31</v>
      </c>
      <c r="D4" s="9" t="s">
        <v>26</v>
      </c>
      <c r="E4" s="10" t="s">
        <v>25</v>
      </c>
      <c r="F4" s="10">
        <v>211</v>
      </c>
      <c r="G4" s="1" t="s">
        <v>171</v>
      </c>
      <c r="H4" s="9" t="s">
        <v>11</v>
      </c>
      <c r="I4" s="1">
        <v>93500</v>
      </c>
      <c r="J4" s="57" t="s">
        <v>33</v>
      </c>
      <c r="K4" s="2">
        <v>0.63888888888888895</v>
      </c>
      <c r="L4" s="57">
        <v>0.7104166666666667</v>
      </c>
      <c r="M4" s="10">
        <v>160</v>
      </c>
      <c r="N4" s="10">
        <v>1</v>
      </c>
      <c r="O4" s="10">
        <v>902</v>
      </c>
      <c r="P4" s="10">
        <v>0</v>
      </c>
      <c r="Q4" s="10">
        <v>0</v>
      </c>
      <c r="R4" s="10" t="s">
        <v>32</v>
      </c>
      <c r="S4" s="2">
        <v>0.59722222222222221</v>
      </c>
      <c r="T4" s="57">
        <v>0.61527777777777781</v>
      </c>
      <c r="U4" s="10">
        <v>69</v>
      </c>
      <c r="V4" s="10">
        <v>0</v>
      </c>
      <c r="W4" s="10">
        <v>603</v>
      </c>
      <c r="X4" s="10">
        <v>0</v>
      </c>
      <c r="Y4" s="20">
        <v>0</v>
      </c>
    </row>
    <row r="5" spans="1:25" x14ac:dyDescent="0.25">
      <c r="A5" s="19">
        <v>46013</v>
      </c>
      <c r="B5" s="20" t="s">
        <v>21</v>
      </c>
      <c r="C5" s="20" t="s">
        <v>22</v>
      </c>
      <c r="D5" s="20" t="s">
        <v>92</v>
      </c>
      <c r="E5" s="20" t="s">
        <v>25</v>
      </c>
      <c r="F5" s="20">
        <v>239</v>
      </c>
      <c r="G5" s="22" t="s">
        <v>128</v>
      </c>
      <c r="H5" s="23" t="s">
        <v>11</v>
      </c>
      <c r="I5" s="22">
        <v>89000</v>
      </c>
      <c r="J5" s="58" t="s">
        <v>93</v>
      </c>
      <c r="K5" s="24">
        <v>0.69444444444444453</v>
      </c>
      <c r="L5" s="58">
        <v>0.69791666666666663</v>
      </c>
      <c r="M5" s="20">
        <v>68</v>
      </c>
      <c r="N5" s="20">
        <v>1</v>
      </c>
      <c r="O5" s="20">
        <v>162</v>
      </c>
      <c r="P5" s="20">
        <v>0</v>
      </c>
      <c r="Q5" s="20">
        <v>0</v>
      </c>
      <c r="R5" s="20" t="s">
        <v>94</v>
      </c>
      <c r="S5" s="24">
        <v>0.89583333333333337</v>
      </c>
      <c r="T5" s="58">
        <v>0.88750000000000007</v>
      </c>
      <c r="U5" s="20">
        <v>221</v>
      </c>
      <c r="V5" s="20">
        <v>2</v>
      </c>
      <c r="W5" s="20">
        <v>1199</v>
      </c>
      <c r="X5" s="20">
        <v>0</v>
      </c>
      <c r="Y5" s="20">
        <v>0</v>
      </c>
    </row>
    <row r="6" spans="1:25" x14ac:dyDescent="0.25">
      <c r="A6" s="19"/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91C1B-398B-487B-845C-C396B5F08B74}">
  <dimension ref="A1:Y5"/>
  <sheetViews>
    <sheetView workbookViewId="0">
      <selection sqref="A1:Y5"/>
    </sheetView>
  </sheetViews>
  <sheetFormatPr defaultRowHeight="15" x14ac:dyDescent="0.25"/>
  <cols>
    <col min="2" max="2" width="22.5703125" customWidth="1"/>
    <col min="4" max="4" width="14" bestFit="1" customWidth="1"/>
    <col min="5" max="5" width="8" customWidth="1"/>
    <col min="6" max="6" width="7.42578125" customWidth="1"/>
    <col min="8" max="8" width="14" customWidth="1"/>
    <col min="12" max="12" width="11.7109375" bestFit="1" customWidth="1"/>
    <col min="20" max="20" width="11.7109375" bestFit="1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72</v>
      </c>
    </row>
    <row r="2" spans="1:25" x14ac:dyDescent="0.25">
      <c r="A2" s="11">
        <v>46014</v>
      </c>
      <c r="B2" s="10" t="s">
        <v>21</v>
      </c>
      <c r="C2" s="10" t="s">
        <v>22</v>
      </c>
      <c r="D2" s="10" t="s">
        <v>50</v>
      </c>
      <c r="E2" s="10" t="s">
        <v>25</v>
      </c>
      <c r="F2" s="10">
        <v>239</v>
      </c>
      <c r="G2" s="22" t="s">
        <v>128</v>
      </c>
      <c r="H2" s="9" t="s">
        <v>11</v>
      </c>
      <c r="I2" s="1">
        <v>89000</v>
      </c>
      <c r="J2" s="59" t="s">
        <v>51</v>
      </c>
      <c r="K2" s="2">
        <v>0.45833333333333331</v>
      </c>
      <c r="L2" s="60">
        <v>0.46319444444444446</v>
      </c>
      <c r="M2" s="20">
        <v>230</v>
      </c>
      <c r="N2" s="20">
        <v>3</v>
      </c>
      <c r="O2" s="20">
        <v>1466</v>
      </c>
      <c r="P2" s="20">
        <v>0</v>
      </c>
      <c r="Q2" s="20">
        <v>0</v>
      </c>
      <c r="R2" s="10" t="s">
        <v>52</v>
      </c>
      <c r="S2" s="2">
        <v>0.25</v>
      </c>
      <c r="T2" s="60">
        <v>0.24652777777777779</v>
      </c>
      <c r="U2" s="20">
        <v>171</v>
      </c>
      <c r="V2" s="20">
        <v>2</v>
      </c>
      <c r="W2" s="20">
        <v>382</v>
      </c>
      <c r="X2" s="20">
        <v>0</v>
      </c>
      <c r="Y2" s="20">
        <v>0</v>
      </c>
    </row>
    <row r="3" spans="1:25" x14ac:dyDescent="0.25">
      <c r="A3" s="11">
        <v>46014</v>
      </c>
      <c r="B3" s="10" t="s">
        <v>45</v>
      </c>
      <c r="C3" s="8" t="s">
        <v>46</v>
      </c>
      <c r="D3" s="10" t="s">
        <v>47</v>
      </c>
      <c r="E3" s="9" t="s">
        <v>25</v>
      </c>
      <c r="F3" s="10">
        <v>230</v>
      </c>
      <c r="G3" s="10" t="s">
        <v>172</v>
      </c>
      <c r="H3" s="9" t="s">
        <v>11</v>
      </c>
      <c r="I3" s="1">
        <v>89000</v>
      </c>
      <c r="J3" s="10" t="s">
        <v>48</v>
      </c>
      <c r="K3" s="2">
        <v>0.4861111111111111</v>
      </c>
      <c r="L3" s="60">
        <v>0.4826388888888889</v>
      </c>
      <c r="M3" s="20">
        <v>226</v>
      </c>
      <c r="N3" s="20">
        <v>2</v>
      </c>
      <c r="O3" s="20">
        <v>1004</v>
      </c>
      <c r="P3" s="20">
        <v>0</v>
      </c>
      <c r="Q3" s="20">
        <v>0</v>
      </c>
      <c r="R3" s="10" t="s">
        <v>49</v>
      </c>
      <c r="S3" s="2">
        <v>0.51041666666666663</v>
      </c>
      <c r="T3" s="60">
        <v>0.52361111111111114</v>
      </c>
      <c r="U3" s="20">
        <v>86</v>
      </c>
      <c r="V3" s="20">
        <v>0</v>
      </c>
      <c r="W3" s="20">
        <v>271</v>
      </c>
      <c r="X3" s="20">
        <v>0</v>
      </c>
      <c r="Y3" s="20">
        <v>0</v>
      </c>
    </row>
    <row r="4" spans="1:25" x14ac:dyDescent="0.25">
      <c r="A4" s="11">
        <v>46014</v>
      </c>
      <c r="B4" s="20" t="s">
        <v>21</v>
      </c>
      <c r="C4" s="20" t="s">
        <v>22</v>
      </c>
      <c r="D4" s="20" t="s">
        <v>91</v>
      </c>
      <c r="E4" s="20" t="s">
        <v>25</v>
      </c>
      <c r="F4" s="20">
        <v>239</v>
      </c>
      <c r="G4" s="22" t="s">
        <v>150</v>
      </c>
      <c r="H4" s="23" t="s">
        <v>11</v>
      </c>
      <c r="I4" s="22">
        <v>89000</v>
      </c>
      <c r="J4" s="60" t="s">
        <v>28</v>
      </c>
      <c r="K4" s="24">
        <v>0.65972222222222221</v>
      </c>
      <c r="L4" s="59">
        <v>0.65486111111111112</v>
      </c>
      <c r="M4" s="10">
        <v>224</v>
      </c>
      <c r="N4" s="10">
        <v>8</v>
      </c>
      <c r="O4" s="10">
        <v>1169</v>
      </c>
      <c r="P4" s="10">
        <v>0</v>
      </c>
      <c r="Q4" s="10">
        <v>0</v>
      </c>
      <c r="R4" s="20" t="s">
        <v>29</v>
      </c>
      <c r="S4" s="24">
        <v>0.50347222222222221</v>
      </c>
      <c r="T4" s="59">
        <v>0.51041666666666663</v>
      </c>
      <c r="U4" s="10">
        <v>85</v>
      </c>
      <c r="V4" s="10">
        <v>1</v>
      </c>
      <c r="W4" s="10">
        <v>273</v>
      </c>
      <c r="X4" s="10">
        <v>0</v>
      </c>
      <c r="Y4" s="10">
        <v>0</v>
      </c>
    </row>
    <row r="5" spans="1:25" x14ac:dyDescent="0.25">
      <c r="A5" s="11">
        <v>46014</v>
      </c>
      <c r="B5" s="20" t="s">
        <v>21</v>
      </c>
      <c r="C5" s="20" t="s">
        <v>22</v>
      </c>
      <c r="D5" s="20" t="s">
        <v>121</v>
      </c>
      <c r="E5" s="20" t="s">
        <v>25</v>
      </c>
      <c r="F5" s="20">
        <v>239</v>
      </c>
      <c r="G5" s="22" t="s">
        <v>150</v>
      </c>
      <c r="H5" s="23" t="s">
        <v>11</v>
      </c>
      <c r="I5" s="22">
        <v>89000</v>
      </c>
      <c r="J5" s="60" t="s">
        <v>160</v>
      </c>
      <c r="K5" s="24">
        <v>0.89583333333333337</v>
      </c>
      <c r="L5" s="60">
        <v>0.89374999999999993</v>
      </c>
      <c r="M5" s="20">
        <v>227</v>
      </c>
      <c r="N5" s="20">
        <v>2</v>
      </c>
      <c r="O5" s="20">
        <v>1143</v>
      </c>
      <c r="P5" s="20">
        <v>0</v>
      </c>
      <c r="Q5" s="20">
        <v>0</v>
      </c>
      <c r="R5" s="20" t="s">
        <v>159</v>
      </c>
      <c r="S5" s="24">
        <v>0.68402777777777779</v>
      </c>
      <c r="T5" s="60">
        <v>0.6972222222222223</v>
      </c>
      <c r="U5" s="20">
        <v>215</v>
      </c>
      <c r="V5" s="20">
        <v>5</v>
      </c>
      <c r="W5" s="20">
        <v>1302</v>
      </c>
      <c r="X5" s="20">
        <v>0</v>
      </c>
      <c r="Y5" s="20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2D1C-18E8-461A-9C83-51D2AB6D1FF3}">
  <dimension ref="A1:Y6"/>
  <sheetViews>
    <sheetView workbookViewId="0">
      <selection sqref="A1:XFD1048576"/>
    </sheetView>
  </sheetViews>
  <sheetFormatPr defaultRowHeight="15" x14ac:dyDescent="0.25"/>
  <cols>
    <col min="2" max="2" width="23.28515625" bestFit="1" customWidth="1"/>
    <col min="4" max="4" width="13.7109375" bestFit="1" customWidth="1"/>
    <col min="10" max="10" width="10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20</v>
      </c>
      <c r="Q1" s="18" t="s">
        <v>72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46015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150</v>
      </c>
      <c r="H2" s="23" t="s">
        <v>11</v>
      </c>
      <c r="I2" s="22">
        <v>89000</v>
      </c>
      <c r="J2" s="62" t="s">
        <v>89</v>
      </c>
      <c r="K2" s="24">
        <v>0.26041666666666669</v>
      </c>
      <c r="L2" s="62">
        <v>0.26180555555555557</v>
      </c>
      <c r="M2" s="20">
        <v>125</v>
      </c>
      <c r="N2" s="20">
        <v>2</v>
      </c>
      <c r="O2" s="20">
        <v>427</v>
      </c>
      <c r="P2" s="20">
        <v>0</v>
      </c>
      <c r="Q2" s="20">
        <v>0</v>
      </c>
      <c r="R2" s="20" t="s">
        <v>90</v>
      </c>
      <c r="S2" s="24">
        <v>0.45833333333333331</v>
      </c>
      <c r="T2" s="62">
        <v>0.44791666666666669</v>
      </c>
      <c r="U2" s="20">
        <v>230</v>
      </c>
      <c r="V2" s="20">
        <v>5</v>
      </c>
      <c r="W2" s="20">
        <v>1378</v>
      </c>
      <c r="X2" s="20">
        <v>0</v>
      </c>
      <c r="Y2" s="20">
        <v>0</v>
      </c>
    </row>
    <row r="3" spans="1:25" x14ac:dyDescent="0.25">
      <c r="A3" s="19">
        <v>46015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150</v>
      </c>
      <c r="H3" s="23" t="s">
        <v>11</v>
      </c>
      <c r="I3" s="22">
        <v>89000</v>
      </c>
      <c r="J3" s="62" t="s">
        <v>28</v>
      </c>
      <c r="K3" s="24">
        <v>0.4826388888888889</v>
      </c>
      <c r="L3" s="62">
        <v>0.48819444444444443</v>
      </c>
      <c r="M3" s="20">
        <v>123</v>
      </c>
      <c r="N3" s="20">
        <v>1</v>
      </c>
      <c r="O3" s="20">
        <v>345</v>
      </c>
      <c r="P3" s="20">
        <v>0</v>
      </c>
      <c r="Q3" s="20">
        <v>0</v>
      </c>
      <c r="R3" s="20" t="s">
        <v>29</v>
      </c>
      <c r="S3" s="24">
        <v>0.64236111111111105</v>
      </c>
      <c r="T3" s="62">
        <v>0.65208333333333335</v>
      </c>
      <c r="U3" s="20">
        <v>227</v>
      </c>
      <c r="V3" s="20">
        <v>2</v>
      </c>
      <c r="W3" s="20">
        <v>1018</v>
      </c>
      <c r="X3" s="20">
        <v>0</v>
      </c>
      <c r="Y3" s="20">
        <v>0</v>
      </c>
    </row>
    <row r="4" spans="1:25" x14ac:dyDescent="0.25">
      <c r="A4" s="19">
        <v>46015</v>
      </c>
      <c r="B4" s="10" t="s">
        <v>45</v>
      </c>
      <c r="C4" s="8" t="s">
        <v>46</v>
      </c>
      <c r="D4" s="10" t="s">
        <v>47</v>
      </c>
      <c r="E4" s="9" t="s">
        <v>25</v>
      </c>
      <c r="F4" s="10">
        <v>230</v>
      </c>
      <c r="G4" s="22" t="s">
        <v>173</v>
      </c>
      <c r="H4" s="9" t="s">
        <v>11</v>
      </c>
      <c r="I4" s="1">
        <v>89000</v>
      </c>
      <c r="J4" s="10" t="s">
        <v>48</v>
      </c>
      <c r="K4" s="2">
        <v>0.4861111111111111</v>
      </c>
      <c r="L4" s="62">
        <v>0.51874999999999993</v>
      </c>
      <c r="M4" s="20">
        <v>65</v>
      </c>
      <c r="N4" s="20">
        <v>1</v>
      </c>
      <c r="O4" s="20">
        <v>243</v>
      </c>
      <c r="P4" s="20">
        <v>0</v>
      </c>
      <c r="Q4" s="20">
        <v>0</v>
      </c>
      <c r="R4" s="10" t="s">
        <v>49</v>
      </c>
      <c r="S4" s="2">
        <v>0.51041666666666663</v>
      </c>
      <c r="T4" s="62">
        <v>0.4861111111111111</v>
      </c>
      <c r="U4" s="20">
        <v>217</v>
      </c>
      <c r="V4" s="20">
        <v>3</v>
      </c>
      <c r="W4" s="20">
        <v>1084</v>
      </c>
      <c r="X4" s="20">
        <v>0</v>
      </c>
      <c r="Y4" s="20">
        <v>0</v>
      </c>
    </row>
    <row r="5" spans="1:25" x14ac:dyDescent="0.25">
      <c r="A5" s="19">
        <v>46015</v>
      </c>
      <c r="B5" s="20" t="s">
        <v>21</v>
      </c>
      <c r="C5" s="20" t="s">
        <v>22</v>
      </c>
      <c r="D5" s="10" t="s">
        <v>92</v>
      </c>
      <c r="E5" s="9" t="s">
        <v>25</v>
      </c>
      <c r="F5" s="10">
        <v>239</v>
      </c>
      <c r="G5" s="22" t="s">
        <v>150</v>
      </c>
      <c r="H5" s="9" t="s">
        <v>11</v>
      </c>
      <c r="I5" s="1">
        <v>89000</v>
      </c>
      <c r="J5" s="33" t="s">
        <v>93</v>
      </c>
      <c r="K5" s="2">
        <v>0.69444444444444453</v>
      </c>
      <c r="L5" s="61">
        <v>0.69444444444444453</v>
      </c>
      <c r="M5" s="10">
        <v>71</v>
      </c>
      <c r="N5" s="10">
        <v>3</v>
      </c>
      <c r="O5" s="10">
        <v>302</v>
      </c>
      <c r="P5" s="10">
        <v>0</v>
      </c>
      <c r="Q5" s="10">
        <v>0</v>
      </c>
      <c r="R5" s="10" t="s">
        <v>94</v>
      </c>
      <c r="S5" s="2">
        <v>0.89583333333333337</v>
      </c>
      <c r="T5" s="61">
        <v>0.89027777777777783</v>
      </c>
      <c r="U5" s="10">
        <v>228</v>
      </c>
      <c r="V5" s="10">
        <v>7</v>
      </c>
      <c r="W5" s="10">
        <v>1218</v>
      </c>
      <c r="X5" s="10">
        <v>0</v>
      </c>
      <c r="Y5" s="10">
        <v>0</v>
      </c>
    </row>
    <row r="6" spans="1:25" x14ac:dyDescent="0.25">
      <c r="A6" s="19"/>
      <c r="B6" s="20"/>
      <c r="C6" s="20"/>
      <c r="D6" s="10"/>
      <c r="E6" s="9"/>
      <c r="F6" s="10"/>
      <c r="G6" s="34"/>
      <c r="H6" s="9"/>
      <c r="I6" s="1"/>
      <c r="J6" s="33"/>
      <c r="K6" s="2"/>
      <c r="L6" s="61"/>
      <c r="M6" s="10"/>
      <c r="N6" s="10"/>
      <c r="O6" s="10"/>
      <c r="P6" s="10"/>
      <c r="Q6" s="10"/>
      <c r="R6" s="10"/>
      <c r="S6" s="61"/>
      <c r="T6" s="61"/>
      <c r="U6" s="10"/>
      <c r="V6" s="10"/>
      <c r="W6" s="10"/>
      <c r="X6" s="10"/>
      <c r="Y6" s="1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EC077-2E34-4A4B-AF5B-B0FBD72D1BBD}">
  <dimension ref="A1:Y6"/>
  <sheetViews>
    <sheetView workbookViewId="0">
      <selection activeCell="T4" sqref="T4"/>
    </sheetView>
  </sheetViews>
  <sheetFormatPr defaultRowHeight="15" x14ac:dyDescent="0.25"/>
  <cols>
    <col min="2" max="2" width="23.28515625" bestFit="1" customWidth="1"/>
    <col min="4" max="4" width="13.7109375" bestFit="1" customWidth="1"/>
    <col min="8" max="8" width="17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46016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150</v>
      </c>
      <c r="H2" s="23" t="s">
        <v>11</v>
      </c>
      <c r="I2" s="22">
        <v>89000</v>
      </c>
      <c r="J2" s="64" t="s">
        <v>52</v>
      </c>
      <c r="K2" s="24">
        <v>0.25</v>
      </c>
      <c r="L2" s="64">
        <v>0.25277777777777777</v>
      </c>
      <c r="M2" s="20">
        <v>194</v>
      </c>
      <c r="N2" s="20">
        <v>8</v>
      </c>
      <c r="O2" s="20">
        <v>626</v>
      </c>
      <c r="P2" s="20">
        <v>0</v>
      </c>
      <c r="Q2" s="20">
        <v>0</v>
      </c>
      <c r="R2" s="20" t="s">
        <v>51</v>
      </c>
      <c r="S2" s="24">
        <v>0.45833333333333331</v>
      </c>
      <c r="T2" s="64">
        <v>0.44861111111111113</v>
      </c>
      <c r="U2" s="20">
        <v>231</v>
      </c>
      <c r="V2" s="20">
        <v>1</v>
      </c>
      <c r="W2" s="20">
        <v>1287</v>
      </c>
      <c r="X2" s="20">
        <v>0</v>
      </c>
      <c r="Y2" s="20">
        <v>0</v>
      </c>
    </row>
    <row r="3" spans="1:25" x14ac:dyDescent="0.25">
      <c r="A3" s="19">
        <v>46016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150</v>
      </c>
      <c r="H3" s="23" t="s">
        <v>11</v>
      </c>
      <c r="I3" s="22">
        <v>89000</v>
      </c>
      <c r="J3" s="64" t="s">
        <v>28</v>
      </c>
      <c r="K3" s="24">
        <v>0.50347222222222221</v>
      </c>
      <c r="L3" s="64">
        <v>0.50902777777777775</v>
      </c>
      <c r="M3" s="20">
        <v>145</v>
      </c>
      <c r="N3" s="20">
        <v>3</v>
      </c>
      <c r="O3" s="20">
        <v>499</v>
      </c>
      <c r="P3" s="20">
        <v>0</v>
      </c>
      <c r="Q3" s="20">
        <v>0</v>
      </c>
      <c r="R3" s="20" t="s">
        <v>29</v>
      </c>
      <c r="S3" s="24">
        <v>0.65972222222222221</v>
      </c>
      <c r="T3" s="64">
        <v>0.65555555555555556</v>
      </c>
      <c r="U3" s="20">
        <v>224</v>
      </c>
      <c r="V3" s="20">
        <v>7</v>
      </c>
      <c r="W3" s="20">
        <v>903</v>
      </c>
      <c r="X3" s="20">
        <v>0</v>
      </c>
      <c r="Y3" s="20">
        <v>0</v>
      </c>
    </row>
    <row r="4" spans="1:25" x14ac:dyDescent="0.25">
      <c r="A4" s="19">
        <v>46016</v>
      </c>
      <c r="B4" s="20" t="s">
        <v>21</v>
      </c>
      <c r="C4" s="20" t="s">
        <v>22</v>
      </c>
      <c r="D4" s="20" t="s">
        <v>129</v>
      </c>
      <c r="E4" s="20" t="s">
        <v>25</v>
      </c>
      <c r="F4" s="20">
        <v>239</v>
      </c>
      <c r="G4" s="22" t="s">
        <v>150</v>
      </c>
      <c r="H4" s="23" t="s">
        <v>11</v>
      </c>
      <c r="I4" s="22">
        <v>89000</v>
      </c>
      <c r="J4" s="64" t="s">
        <v>130</v>
      </c>
      <c r="K4" s="24">
        <v>0.68402777777777779</v>
      </c>
      <c r="L4" s="64">
        <v>0.69166666666666676</v>
      </c>
      <c r="M4" s="20">
        <v>191</v>
      </c>
      <c r="N4" s="20">
        <v>6</v>
      </c>
      <c r="O4" s="20">
        <v>907</v>
      </c>
      <c r="P4" s="20">
        <v>0</v>
      </c>
      <c r="Q4" s="20">
        <v>0</v>
      </c>
      <c r="R4" s="20" t="s">
        <v>131</v>
      </c>
      <c r="S4" s="24">
        <v>0.88541666666666663</v>
      </c>
      <c r="T4" s="64">
        <v>0.88958333333333339</v>
      </c>
      <c r="U4" s="20">
        <v>228</v>
      </c>
      <c r="V4" s="20">
        <v>1</v>
      </c>
      <c r="W4" s="20">
        <v>1180</v>
      </c>
      <c r="X4" s="20">
        <v>0</v>
      </c>
      <c r="Y4" s="20">
        <v>0</v>
      </c>
    </row>
    <row r="5" spans="1:25" x14ac:dyDescent="0.25">
      <c r="A5" s="19">
        <v>46016</v>
      </c>
      <c r="B5" s="10" t="s">
        <v>149</v>
      </c>
      <c r="C5" s="10" t="s">
        <v>46</v>
      </c>
      <c r="D5" s="10" t="s">
        <v>47</v>
      </c>
      <c r="E5" s="10" t="s">
        <v>25</v>
      </c>
      <c r="F5" s="10">
        <v>239</v>
      </c>
      <c r="G5" s="10" t="s">
        <v>128</v>
      </c>
      <c r="H5" s="10" t="s">
        <v>133</v>
      </c>
      <c r="I5" s="10">
        <v>89000</v>
      </c>
      <c r="J5" s="10" t="s">
        <v>49</v>
      </c>
      <c r="K5" s="2">
        <v>0.51041666666666663</v>
      </c>
      <c r="L5" s="63">
        <v>0.52361111111111114</v>
      </c>
      <c r="M5" s="10">
        <v>160</v>
      </c>
      <c r="N5" s="10">
        <v>4</v>
      </c>
      <c r="O5" s="10">
        <v>619</v>
      </c>
      <c r="P5" s="10">
        <v>0</v>
      </c>
      <c r="Q5" s="10">
        <v>0</v>
      </c>
      <c r="R5" s="10" t="s">
        <v>48</v>
      </c>
      <c r="S5" s="2">
        <v>0.4861111111111111</v>
      </c>
      <c r="T5" s="63">
        <v>0.48472222222222222</v>
      </c>
      <c r="U5" s="10">
        <v>223</v>
      </c>
      <c r="V5" s="10">
        <v>3</v>
      </c>
      <c r="W5" s="10">
        <v>1299</v>
      </c>
      <c r="X5" s="10">
        <v>0</v>
      </c>
      <c r="Y5" s="10">
        <v>0</v>
      </c>
    </row>
    <row r="6" spans="1:25" s="51" customFormat="1" ht="12.75" x14ac:dyDescent="0.2">
      <c r="A6" s="19"/>
      <c r="B6" s="10"/>
      <c r="C6" s="10"/>
      <c r="D6" s="10"/>
      <c r="E6" s="10"/>
      <c r="F6" s="10"/>
      <c r="G6" s="34"/>
      <c r="H6" s="23"/>
      <c r="I6" s="34"/>
      <c r="J6" s="33"/>
      <c r="K6" s="49"/>
      <c r="L6" s="50"/>
      <c r="P6" s="10"/>
      <c r="Q6" s="10"/>
      <c r="R6" s="10"/>
      <c r="S6" s="49"/>
      <c r="T6" s="50"/>
      <c r="U6" s="10"/>
      <c r="V6" s="10"/>
      <c r="X6" s="10"/>
      <c r="Y6" s="10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DD879-F794-4F9B-B597-D655DC9349D5}">
  <dimension ref="A1:Y6"/>
  <sheetViews>
    <sheetView workbookViewId="0">
      <selection activeCell="K8" sqref="J8:K8"/>
    </sheetView>
  </sheetViews>
  <sheetFormatPr defaultRowHeight="15" x14ac:dyDescent="0.25"/>
  <cols>
    <col min="2" max="2" width="26" customWidth="1"/>
    <col min="4" max="4" width="15" customWidth="1"/>
    <col min="8" max="8" width="11.42578125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46017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150</v>
      </c>
      <c r="H2" s="23" t="s">
        <v>11</v>
      </c>
      <c r="I2" s="22">
        <v>89000</v>
      </c>
      <c r="J2" s="66" t="s">
        <v>89</v>
      </c>
      <c r="K2" s="24">
        <v>0.26041666666666669</v>
      </c>
      <c r="L2" s="66">
        <v>0.26805555555555555</v>
      </c>
      <c r="M2" s="20">
        <v>172</v>
      </c>
      <c r="N2" s="20">
        <v>6</v>
      </c>
      <c r="O2" s="20">
        <v>673</v>
      </c>
      <c r="P2" s="20">
        <v>0</v>
      </c>
      <c r="Q2" s="20">
        <v>0</v>
      </c>
      <c r="R2" s="20" t="s">
        <v>90</v>
      </c>
      <c r="S2" s="24">
        <v>0.45833333333333331</v>
      </c>
      <c r="T2" s="66">
        <v>0.4604166666666667</v>
      </c>
      <c r="U2" s="20">
        <v>230</v>
      </c>
      <c r="V2" s="20">
        <v>9</v>
      </c>
      <c r="W2" s="20">
        <v>1002</v>
      </c>
      <c r="X2" s="20">
        <v>0</v>
      </c>
      <c r="Y2" s="20">
        <v>0</v>
      </c>
    </row>
    <row r="3" spans="1:25" x14ac:dyDescent="0.25">
      <c r="A3" s="19">
        <v>46017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150</v>
      </c>
      <c r="H3" s="23" t="s">
        <v>11</v>
      </c>
      <c r="I3" s="22">
        <v>89000</v>
      </c>
      <c r="J3" s="66" t="s">
        <v>28</v>
      </c>
      <c r="K3" s="24">
        <v>0.4826388888888889</v>
      </c>
      <c r="L3" s="66">
        <v>0.49305555555555558</v>
      </c>
      <c r="M3" s="20">
        <v>200</v>
      </c>
      <c r="N3" s="20">
        <v>2</v>
      </c>
      <c r="O3" s="20">
        <v>560</v>
      </c>
      <c r="P3" s="20">
        <v>0</v>
      </c>
      <c r="Q3" s="20">
        <v>0</v>
      </c>
      <c r="R3" s="20" t="s">
        <v>29</v>
      </c>
      <c r="S3" s="24">
        <v>0.64236111111111105</v>
      </c>
      <c r="T3" s="66">
        <v>0.63263888888888886</v>
      </c>
      <c r="U3" s="20">
        <v>217</v>
      </c>
      <c r="V3" s="20">
        <v>4</v>
      </c>
      <c r="W3" s="20">
        <v>1617</v>
      </c>
      <c r="X3" s="20">
        <v>0</v>
      </c>
      <c r="Y3" s="20">
        <v>0</v>
      </c>
    </row>
    <row r="4" spans="1:25" x14ac:dyDescent="0.25">
      <c r="A4" s="19">
        <v>46017</v>
      </c>
      <c r="B4" s="20" t="s">
        <v>21</v>
      </c>
      <c r="C4" s="20" t="s">
        <v>22</v>
      </c>
      <c r="D4" s="10" t="s">
        <v>92</v>
      </c>
      <c r="E4" s="9" t="s">
        <v>25</v>
      </c>
      <c r="F4" s="10">
        <v>239</v>
      </c>
      <c r="G4" s="22" t="s">
        <v>150</v>
      </c>
      <c r="H4" s="9" t="s">
        <v>11</v>
      </c>
      <c r="I4" s="1">
        <v>89000</v>
      </c>
      <c r="J4" s="33" t="s">
        <v>93</v>
      </c>
      <c r="K4" s="2">
        <v>0.69444444444444453</v>
      </c>
      <c r="L4" s="65">
        <v>0.6958333333333333</v>
      </c>
      <c r="M4" s="10">
        <v>177</v>
      </c>
      <c r="N4" s="10">
        <v>3</v>
      </c>
      <c r="O4" s="10">
        <v>794</v>
      </c>
      <c r="P4" s="10">
        <v>0</v>
      </c>
      <c r="Q4" s="10">
        <v>0</v>
      </c>
      <c r="R4" s="10" t="s">
        <v>94</v>
      </c>
      <c r="S4" s="2">
        <v>0.89583333333333337</v>
      </c>
      <c r="T4" s="65">
        <v>0.8965277777777777</v>
      </c>
      <c r="U4" s="10">
        <v>218</v>
      </c>
      <c r="V4" s="10">
        <v>3</v>
      </c>
      <c r="W4" s="10">
        <v>1344</v>
      </c>
      <c r="X4" s="10">
        <v>0</v>
      </c>
      <c r="Y4" s="10">
        <v>0</v>
      </c>
    </row>
    <row r="5" spans="1:25" x14ac:dyDescent="0.25">
      <c r="B5" s="20"/>
      <c r="C5" s="20"/>
      <c r="D5" s="10"/>
      <c r="E5" s="9"/>
      <c r="F5" s="10"/>
      <c r="G5" s="34"/>
      <c r="H5" s="9"/>
      <c r="I5" s="1"/>
      <c r="J5" s="33"/>
      <c r="K5" s="2"/>
      <c r="L5" s="65"/>
      <c r="M5" s="10"/>
      <c r="N5" s="10"/>
      <c r="O5" s="10"/>
      <c r="P5" s="10"/>
      <c r="Q5" s="10"/>
      <c r="R5" s="10"/>
      <c r="S5" s="65"/>
      <c r="T5" s="65"/>
      <c r="U5" s="10"/>
      <c r="V5" s="10"/>
      <c r="W5" s="10"/>
      <c r="X5" s="10"/>
      <c r="Y5" s="10"/>
    </row>
    <row r="6" spans="1:25" x14ac:dyDescent="0.25">
      <c r="B6" s="10"/>
      <c r="C6" s="10"/>
      <c r="D6" s="10"/>
      <c r="E6" s="10"/>
      <c r="F6" s="10"/>
      <c r="G6" s="34"/>
      <c r="H6" s="23"/>
      <c r="I6" s="1"/>
      <c r="J6" s="33"/>
      <c r="K6" s="65"/>
      <c r="L6" s="65"/>
      <c r="M6" s="10"/>
      <c r="N6" s="10"/>
      <c r="O6" s="10"/>
      <c r="P6" s="10"/>
      <c r="Q6" s="10"/>
      <c r="R6" s="10"/>
      <c r="S6" s="65"/>
      <c r="T6" s="65"/>
      <c r="U6" s="10"/>
      <c r="V6" s="10"/>
      <c r="W6" s="10"/>
      <c r="X6" s="10"/>
      <c r="Y6" s="10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55172-BFF1-4E7D-AB28-5287C2D8187C}">
  <dimension ref="A1:Y7"/>
  <sheetViews>
    <sheetView workbookViewId="0">
      <selection activeCell="N5" sqref="N5"/>
    </sheetView>
  </sheetViews>
  <sheetFormatPr defaultRowHeight="15" x14ac:dyDescent="0.25"/>
  <cols>
    <col min="2" max="2" width="26.140625" customWidth="1"/>
    <col min="4" max="4" width="20.5703125" customWidth="1"/>
    <col min="7" max="7" width="10.85546875" customWidth="1"/>
    <col min="8" max="8" width="16.85546875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46018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174</v>
      </c>
      <c r="H2" s="23" t="s">
        <v>11</v>
      </c>
      <c r="I2" s="22">
        <v>89000</v>
      </c>
      <c r="J2" s="68" t="s">
        <v>52</v>
      </c>
      <c r="K2" s="24">
        <v>0.25</v>
      </c>
      <c r="L2" s="68">
        <v>0.25555555555555559</v>
      </c>
      <c r="M2" s="20">
        <v>212</v>
      </c>
      <c r="N2" s="20">
        <v>4</v>
      </c>
      <c r="O2" s="20">
        <v>566</v>
      </c>
      <c r="P2" s="20">
        <v>0</v>
      </c>
      <c r="Q2" s="20">
        <v>0</v>
      </c>
      <c r="R2" s="20" t="s">
        <v>51</v>
      </c>
      <c r="S2" s="24">
        <v>0.45833333333333331</v>
      </c>
      <c r="T2" s="68">
        <v>0.4604166666666667</v>
      </c>
      <c r="U2" s="20">
        <v>229</v>
      </c>
      <c r="V2" s="20">
        <v>4</v>
      </c>
      <c r="W2" s="20">
        <v>1169</v>
      </c>
      <c r="X2" s="20">
        <v>0</v>
      </c>
      <c r="Y2" s="20">
        <v>0</v>
      </c>
    </row>
    <row r="3" spans="1:25" x14ac:dyDescent="0.25">
      <c r="A3" s="19">
        <v>46018</v>
      </c>
      <c r="B3" s="20" t="s">
        <v>21</v>
      </c>
      <c r="C3" s="20" t="s">
        <v>22</v>
      </c>
      <c r="D3" s="20" t="s">
        <v>27</v>
      </c>
      <c r="E3" s="20" t="s">
        <v>25</v>
      </c>
      <c r="F3" s="20">
        <v>239</v>
      </c>
      <c r="G3" s="22" t="s">
        <v>174</v>
      </c>
      <c r="H3" s="23" t="s">
        <v>11</v>
      </c>
      <c r="I3" s="22">
        <v>89000</v>
      </c>
      <c r="J3" s="68" t="s">
        <v>28</v>
      </c>
      <c r="K3" s="24">
        <v>0.49305555555555558</v>
      </c>
      <c r="L3" s="68">
        <v>0.50208333333333333</v>
      </c>
      <c r="M3" s="20">
        <v>212</v>
      </c>
      <c r="N3" s="20">
        <v>6</v>
      </c>
      <c r="O3" s="20">
        <v>629</v>
      </c>
      <c r="P3" s="20">
        <v>0</v>
      </c>
      <c r="Q3" s="20">
        <v>0</v>
      </c>
      <c r="R3" s="20" t="s">
        <v>29</v>
      </c>
      <c r="S3" s="24">
        <v>0.65972222222222221</v>
      </c>
      <c r="T3" s="68">
        <v>0.64930555555555558</v>
      </c>
      <c r="U3" s="20">
        <v>224</v>
      </c>
      <c r="V3" s="20">
        <v>3</v>
      </c>
      <c r="W3" s="20">
        <v>1051</v>
      </c>
      <c r="X3" s="20">
        <v>0</v>
      </c>
      <c r="Y3" s="20">
        <v>0</v>
      </c>
    </row>
    <row r="4" spans="1:25" x14ac:dyDescent="0.25">
      <c r="A4" s="19">
        <v>46018</v>
      </c>
      <c r="B4" s="20" t="s">
        <v>21</v>
      </c>
      <c r="C4" s="20" t="s">
        <v>22</v>
      </c>
      <c r="D4" s="20" t="s">
        <v>47</v>
      </c>
      <c r="E4" s="20" t="s">
        <v>25</v>
      </c>
      <c r="F4" s="20">
        <v>239</v>
      </c>
      <c r="G4" s="22" t="s">
        <v>175</v>
      </c>
      <c r="H4" s="23" t="s">
        <v>11</v>
      </c>
      <c r="I4" s="22">
        <v>89000</v>
      </c>
      <c r="J4" s="68" t="s">
        <v>49</v>
      </c>
      <c r="K4" s="24">
        <v>0.51041666666666663</v>
      </c>
      <c r="L4" s="68">
        <v>0.54305555555555551</v>
      </c>
      <c r="M4" s="20">
        <v>219</v>
      </c>
      <c r="N4" s="20">
        <v>2</v>
      </c>
      <c r="O4" s="20">
        <v>723</v>
      </c>
      <c r="P4" s="20">
        <v>0</v>
      </c>
      <c r="Q4" s="20">
        <v>0</v>
      </c>
      <c r="R4" s="20" t="s">
        <v>48</v>
      </c>
      <c r="S4" s="24">
        <v>0.4861111111111111</v>
      </c>
      <c r="T4" s="68">
        <v>0.48125000000000001</v>
      </c>
      <c r="U4" s="20">
        <v>217</v>
      </c>
      <c r="V4" s="20">
        <v>3</v>
      </c>
      <c r="W4" s="20">
        <v>1110</v>
      </c>
      <c r="X4" s="20">
        <v>0</v>
      </c>
      <c r="Y4" s="20">
        <v>0</v>
      </c>
    </row>
    <row r="5" spans="1:25" x14ac:dyDescent="0.25">
      <c r="A5" s="19">
        <v>46018</v>
      </c>
      <c r="B5" s="10" t="s">
        <v>61</v>
      </c>
      <c r="C5" s="12" t="s">
        <v>62</v>
      </c>
      <c r="D5" s="9" t="s">
        <v>26</v>
      </c>
      <c r="E5" s="13" t="s">
        <v>39</v>
      </c>
      <c r="F5" s="9">
        <v>180</v>
      </c>
      <c r="G5" s="1" t="s">
        <v>182</v>
      </c>
      <c r="H5" s="12" t="s">
        <v>11</v>
      </c>
      <c r="I5" s="1">
        <v>71500</v>
      </c>
      <c r="J5" s="67" t="s">
        <v>65</v>
      </c>
      <c r="K5" s="2">
        <v>0.59722222222222221</v>
      </c>
      <c r="L5" s="68">
        <v>0.67499999999999993</v>
      </c>
      <c r="M5" s="20">
        <v>158</v>
      </c>
      <c r="N5" s="20">
        <v>1</v>
      </c>
      <c r="O5" s="20">
        <v>1801</v>
      </c>
      <c r="P5" s="10">
        <v>0</v>
      </c>
      <c r="Q5" s="10">
        <v>0</v>
      </c>
      <c r="R5" s="10" t="s">
        <v>64</v>
      </c>
      <c r="S5" s="2">
        <v>0.56597222222222221</v>
      </c>
      <c r="T5" s="68">
        <v>0.60138888888888886</v>
      </c>
      <c r="U5" s="20">
        <v>139</v>
      </c>
      <c r="V5" s="20">
        <v>3</v>
      </c>
      <c r="W5" s="20">
        <v>1297</v>
      </c>
      <c r="X5" s="10">
        <v>0</v>
      </c>
      <c r="Y5" s="10">
        <v>0</v>
      </c>
    </row>
    <row r="6" spans="1:25" x14ac:dyDescent="0.25">
      <c r="A6" s="19">
        <v>46018</v>
      </c>
      <c r="B6" s="20" t="s">
        <v>21</v>
      </c>
      <c r="C6" s="20" t="s">
        <v>22</v>
      </c>
      <c r="D6" s="20" t="s">
        <v>121</v>
      </c>
      <c r="E6" s="20" t="s">
        <v>25</v>
      </c>
      <c r="F6" s="20">
        <v>239</v>
      </c>
      <c r="G6" s="22" t="s">
        <v>174</v>
      </c>
      <c r="H6" s="23" t="s">
        <v>11</v>
      </c>
      <c r="I6" s="22">
        <v>89000</v>
      </c>
      <c r="J6" s="68" t="s">
        <v>159</v>
      </c>
      <c r="K6" s="24">
        <v>0.68402777777777779</v>
      </c>
      <c r="L6" s="68">
        <v>0.69236111111111109</v>
      </c>
      <c r="M6" s="20">
        <v>214</v>
      </c>
      <c r="N6" s="20">
        <v>5</v>
      </c>
      <c r="O6" s="20">
        <v>1037</v>
      </c>
      <c r="P6" s="20">
        <v>0</v>
      </c>
      <c r="Q6" s="20">
        <v>0</v>
      </c>
      <c r="R6" s="20" t="s">
        <v>160</v>
      </c>
      <c r="S6" s="24">
        <v>0.89583333333333337</v>
      </c>
      <c r="T6" s="68">
        <v>0.88194444444444453</v>
      </c>
      <c r="U6" s="20">
        <v>214</v>
      </c>
      <c r="V6" s="20">
        <v>0</v>
      </c>
      <c r="W6" s="20">
        <v>1234</v>
      </c>
      <c r="X6" s="20">
        <v>0</v>
      </c>
      <c r="Y6" s="20">
        <v>0</v>
      </c>
    </row>
    <row r="7" spans="1:25" x14ac:dyDescent="0.25">
      <c r="A7" s="19">
        <v>46018</v>
      </c>
      <c r="B7" s="51" t="s">
        <v>176</v>
      </c>
      <c r="C7" s="51" t="s">
        <v>82</v>
      </c>
      <c r="D7" s="51" t="s">
        <v>177</v>
      </c>
      <c r="E7" s="51" t="s">
        <v>178</v>
      </c>
      <c r="F7" s="51" t="s">
        <v>82</v>
      </c>
      <c r="G7" s="51" t="s">
        <v>179</v>
      </c>
      <c r="H7" s="51" t="s">
        <v>180</v>
      </c>
      <c r="I7" s="51">
        <v>2700</v>
      </c>
      <c r="J7" s="51" t="s">
        <v>179</v>
      </c>
      <c r="K7" s="49">
        <v>0.54166666666666663</v>
      </c>
      <c r="L7" s="50">
        <v>0.52569444444444446</v>
      </c>
      <c r="M7" s="51" t="s">
        <v>181</v>
      </c>
      <c r="N7" s="51" t="s">
        <v>79</v>
      </c>
      <c r="O7" s="51" t="s">
        <v>79</v>
      </c>
      <c r="P7" s="51">
        <v>0</v>
      </c>
      <c r="Q7" s="51">
        <v>0</v>
      </c>
      <c r="R7" s="51" t="s">
        <v>179</v>
      </c>
      <c r="S7" s="49">
        <v>0.52083333333333337</v>
      </c>
      <c r="T7" s="50">
        <v>0.49791666666666662</v>
      </c>
      <c r="U7" s="51" t="s">
        <v>181</v>
      </c>
      <c r="V7" s="51" t="s">
        <v>79</v>
      </c>
      <c r="W7" s="51" t="s">
        <v>79</v>
      </c>
      <c r="X7" s="51">
        <v>0</v>
      </c>
      <c r="Y7" s="51">
        <v>0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F7C1B-55BF-4508-9F84-C180A350640C}">
  <dimension ref="A1:Y7"/>
  <sheetViews>
    <sheetView workbookViewId="0">
      <selection activeCell="T6" sqref="T6"/>
    </sheetView>
  </sheetViews>
  <sheetFormatPr defaultRowHeight="15" x14ac:dyDescent="0.25"/>
  <cols>
    <col min="1" max="1" width="10.42578125" customWidth="1"/>
    <col min="2" max="2" width="23.42578125" customWidth="1"/>
    <col min="4" max="4" width="15.42578125" customWidth="1"/>
    <col min="5" max="5" width="7.140625" customWidth="1"/>
    <col min="6" max="6" width="9.28515625" bestFit="1" customWidth="1"/>
    <col min="8" max="8" width="17" bestFit="1" customWidth="1"/>
    <col min="9" max="9" width="9.28515625" bestFit="1" customWidth="1"/>
    <col min="11" max="11" width="9.28515625" bestFit="1" customWidth="1"/>
    <col min="16" max="17" width="9.28515625" bestFit="1" customWidth="1"/>
    <col min="19" max="19" width="9.28515625" bestFit="1" customWidth="1"/>
    <col min="24" max="25" width="9.285156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17</v>
      </c>
      <c r="Q1" s="18" t="s">
        <v>18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46012</v>
      </c>
      <c r="B2" s="20" t="s">
        <v>21</v>
      </c>
      <c r="C2" s="20" t="s">
        <v>22</v>
      </c>
      <c r="D2" s="20" t="s">
        <v>120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69" t="s">
        <v>52</v>
      </c>
      <c r="K2" s="24">
        <v>0.26041666666666669</v>
      </c>
      <c r="L2" s="69">
        <v>0.25972222222222224</v>
      </c>
      <c r="M2" s="20">
        <v>209</v>
      </c>
      <c r="N2" s="20">
        <v>1</v>
      </c>
      <c r="O2" s="20">
        <v>827</v>
      </c>
      <c r="P2" s="20">
        <v>0</v>
      </c>
      <c r="Q2" s="20">
        <v>0</v>
      </c>
      <c r="R2" s="20" t="s">
        <v>51</v>
      </c>
      <c r="S2" s="24">
        <v>0.45833333333333331</v>
      </c>
      <c r="T2" s="69">
        <v>0.50347222222222221</v>
      </c>
      <c r="U2" s="20">
        <v>231</v>
      </c>
      <c r="V2" s="20">
        <v>7</v>
      </c>
      <c r="W2" s="20">
        <v>1069</v>
      </c>
      <c r="X2" s="20">
        <v>0</v>
      </c>
      <c r="Y2" s="20">
        <v>0</v>
      </c>
    </row>
    <row r="3" spans="1:25" x14ac:dyDescent="0.25">
      <c r="A3" s="19">
        <v>46012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69" t="s">
        <v>28</v>
      </c>
      <c r="K3" s="24">
        <v>0.4826388888888889</v>
      </c>
      <c r="L3" s="69">
        <v>0.54166666666666663</v>
      </c>
      <c r="M3" s="20">
        <v>212</v>
      </c>
      <c r="N3" s="20">
        <v>1</v>
      </c>
      <c r="O3" s="20">
        <v>608</v>
      </c>
      <c r="P3" s="20">
        <v>0</v>
      </c>
      <c r="Q3" s="20">
        <v>0</v>
      </c>
      <c r="R3" s="20" t="s">
        <v>29</v>
      </c>
      <c r="S3" s="24">
        <v>0.63888888888888895</v>
      </c>
      <c r="T3" s="69">
        <v>0.68472222222222223</v>
      </c>
      <c r="U3" s="20">
        <v>222</v>
      </c>
      <c r="V3" s="20">
        <v>2</v>
      </c>
      <c r="W3" s="20">
        <v>937</v>
      </c>
      <c r="X3" s="20">
        <v>0</v>
      </c>
      <c r="Y3" s="20">
        <v>0</v>
      </c>
    </row>
    <row r="4" spans="1:25" x14ac:dyDescent="0.25">
      <c r="A4" s="19">
        <v>46012</v>
      </c>
      <c r="B4" s="20" t="s">
        <v>149</v>
      </c>
      <c r="C4" s="20" t="s">
        <v>46</v>
      </c>
      <c r="D4" s="20" t="s">
        <v>165</v>
      </c>
      <c r="E4" s="20" t="s">
        <v>25</v>
      </c>
      <c r="F4" s="20">
        <v>239</v>
      </c>
      <c r="G4" s="21" t="s">
        <v>169</v>
      </c>
      <c r="H4" s="23" t="s">
        <v>11</v>
      </c>
      <c r="I4" s="22">
        <v>89000</v>
      </c>
      <c r="J4" s="69" t="s">
        <v>49</v>
      </c>
      <c r="K4" s="24">
        <v>0.51041666666666663</v>
      </c>
      <c r="L4" s="69">
        <v>0.5229166666666667</v>
      </c>
      <c r="M4" s="20">
        <v>196</v>
      </c>
      <c r="N4" s="20">
        <v>1</v>
      </c>
      <c r="O4" s="20">
        <v>418</v>
      </c>
      <c r="P4" s="20">
        <v>0</v>
      </c>
      <c r="Q4" s="20">
        <v>0</v>
      </c>
      <c r="R4" s="20" t="s">
        <v>48</v>
      </c>
      <c r="S4" s="24">
        <v>0.4861111111111111</v>
      </c>
      <c r="T4" s="69">
        <v>0.47152777777777777</v>
      </c>
      <c r="U4" s="20">
        <v>205</v>
      </c>
      <c r="V4" s="20">
        <v>5</v>
      </c>
      <c r="W4" s="20">
        <v>936</v>
      </c>
      <c r="X4" s="20">
        <v>0</v>
      </c>
      <c r="Y4" s="20">
        <v>0</v>
      </c>
    </row>
    <row r="5" spans="1:25" x14ac:dyDescent="0.25">
      <c r="A5" s="19">
        <v>46012</v>
      </c>
      <c r="B5" s="20" t="s">
        <v>21</v>
      </c>
      <c r="C5" s="20" t="s">
        <v>22</v>
      </c>
      <c r="D5" s="20" t="s">
        <v>129</v>
      </c>
      <c r="E5" s="20" t="s">
        <v>25</v>
      </c>
      <c r="F5" s="20">
        <v>239</v>
      </c>
      <c r="G5" s="22" t="s">
        <v>128</v>
      </c>
      <c r="H5" s="23" t="s">
        <v>11</v>
      </c>
      <c r="I5" s="22">
        <v>89000</v>
      </c>
      <c r="J5" s="69" t="s">
        <v>130</v>
      </c>
      <c r="K5" s="24">
        <v>0.68402777777777779</v>
      </c>
      <c r="L5" s="69">
        <v>0.7284722222222223</v>
      </c>
      <c r="M5" s="20">
        <v>234</v>
      </c>
      <c r="N5" s="20">
        <v>5</v>
      </c>
      <c r="O5" s="20">
        <v>702</v>
      </c>
      <c r="P5" s="20">
        <v>0</v>
      </c>
      <c r="Q5" s="20">
        <v>0</v>
      </c>
      <c r="R5" s="20" t="s">
        <v>131</v>
      </c>
      <c r="S5" s="24">
        <v>0.88541666666666663</v>
      </c>
      <c r="T5" s="69">
        <v>0.95972222222222225</v>
      </c>
      <c r="U5" s="20">
        <v>236</v>
      </c>
      <c r="V5" s="20">
        <v>8</v>
      </c>
      <c r="W5" s="20">
        <v>1203</v>
      </c>
      <c r="X5" s="20">
        <v>0</v>
      </c>
      <c r="Y5" s="20">
        <v>0</v>
      </c>
    </row>
    <row r="7" spans="1:25" x14ac:dyDescent="0.25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</sheetData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A6080-9595-4624-9028-61F0BE33FF2A}">
  <dimension ref="A1:Y7"/>
  <sheetViews>
    <sheetView workbookViewId="0">
      <selection activeCell="A6" sqref="A6:Y6"/>
    </sheetView>
  </sheetViews>
  <sheetFormatPr defaultRowHeight="15" x14ac:dyDescent="0.25"/>
  <cols>
    <col min="1" max="1" width="10.140625" style="40" bestFit="1" customWidth="1"/>
    <col min="2" max="2" width="23.28515625" style="40" customWidth="1"/>
    <col min="3" max="3" width="9.140625" style="40"/>
    <col min="4" max="4" width="18" style="40" customWidth="1"/>
    <col min="5" max="5" width="8.7109375" style="40" customWidth="1"/>
    <col min="6" max="7" width="9.140625" style="40"/>
    <col min="8" max="8" width="15.5703125" style="40" customWidth="1"/>
    <col min="9" max="9" width="9.140625" style="40"/>
    <col min="10" max="10" width="10.42578125" style="40" bestFit="1" customWidth="1"/>
    <col min="11" max="17" width="9.140625" style="40"/>
    <col min="18" max="18" width="10.42578125" style="40" bestFit="1" customWidth="1"/>
    <col min="19" max="16384" width="9.140625" style="40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20</v>
      </c>
      <c r="Q1" s="18" t="s">
        <v>72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46020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150</v>
      </c>
      <c r="H2" s="23" t="s">
        <v>11</v>
      </c>
      <c r="I2" s="22">
        <v>89000</v>
      </c>
      <c r="J2" s="71" t="s">
        <v>89</v>
      </c>
      <c r="K2" s="24">
        <v>0.26041666666666669</v>
      </c>
      <c r="L2" s="71">
        <v>0.27499999999999997</v>
      </c>
      <c r="M2" s="20">
        <v>204</v>
      </c>
      <c r="N2" s="20">
        <v>4</v>
      </c>
      <c r="O2" s="20">
        <v>980</v>
      </c>
      <c r="P2" s="20">
        <v>0</v>
      </c>
      <c r="Q2" s="20">
        <v>0</v>
      </c>
      <c r="R2" s="20" t="s">
        <v>90</v>
      </c>
      <c r="S2" s="24">
        <v>0.45833333333333331</v>
      </c>
      <c r="T2" s="71">
        <v>0.46527777777777773</v>
      </c>
      <c r="U2" s="20">
        <v>223</v>
      </c>
      <c r="V2" s="20">
        <v>5</v>
      </c>
      <c r="W2" s="20">
        <v>1216</v>
      </c>
      <c r="X2" s="20">
        <v>0</v>
      </c>
      <c r="Y2" s="20">
        <v>0</v>
      </c>
    </row>
    <row r="3" spans="1:25" x14ac:dyDescent="0.25">
      <c r="A3" s="19">
        <v>46020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150</v>
      </c>
      <c r="H3" s="23" t="s">
        <v>11</v>
      </c>
      <c r="I3" s="22">
        <v>89000</v>
      </c>
      <c r="J3" s="71" t="s">
        <v>28</v>
      </c>
      <c r="K3" s="24">
        <v>0.48958333333333331</v>
      </c>
      <c r="L3" s="71">
        <v>0.50208333333333333</v>
      </c>
      <c r="M3" s="20">
        <v>206</v>
      </c>
      <c r="N3" s="20">
        <v>2</v>
      </c>
      <c r="O3" s="20">
        <v>721</v>
      </c>
      <c r="P3" s="20">
        <v>0</v>
      </c>
      <c r="Q3" s="20">
        <v>0</v>
      </c>
      <c r="R3" s="20" t="s">
        <v>29</v>
      </c>
      <c r="S3" s="24">
        <v>0.64583333333333337</v>
      </c>
      <c r="T3" s="71">
        <v>0.6381944444444444</v>
      </c>
      <c r="U3" s="20">
        <v>206</v>
      </c>
      <c r="V3" s="20">
        <v>4</v>
      </c>
      <c r="W3" s="20">
        <v>749</v>
      </c>
      <c r="X3" s="20">
        <v>0</v>
      </c>
      <c r="Y3" s="20">
        <v>0</v>
      </c>
    </row>
    <row r="4" spans="1:25" x14ac:dyDescent="0.25">
      <c r="A4" s="19">
        <v>46020</v>
      </c>
      <c r="B4" s="10" t="s">
        <v>30</v>
      </c>
      <c r="C4" s="10" t="s">
        <v>31</v>
      </c>
      <c r="D4" s="9" t="s">
        <v>26</v>
      </c>
      <c r="E4" s="10" t="s">
        <v>63</v>
      </c>
      <c r="F4" s="10">
        <v>176</v>
      </c>
      <c r="G4" s="1" t="s">
        <v>183</v>
      </c>
      <c r="H4" s="9" t="s">
        <v>11</v>
      </c>
      <c r="I4" s="1">
        <v>79000</v>
      </c>
      <c r="J4" s="70" t="s">
        <v>33</v>
      </c>
      <c r="K4" s="2">
        <v>0.63888888888888895</v>
      </c>
      <c r="L4" s="70">
        <v>0.68333333333333324</v>
      </c>
      <c r="M4" s="10">
        <v>169</v>
      </c>
      <c r="N4" s="10">
        <v>5</v>
      </c>
      <c r="O4" s="10">
        <v>1703</v>
      </c>
      <c r="P4" s="10">
        <v>0</v>
      </c>
      <c r="Q4" s="10">
        <v>0</v>
      </c>
      <c r="R4" s="10" t="s">
        <v>32</v>
      </c>
      <c r="S4" s="2">
        <v>0.59722222222222221</v>
      </c>
      <c r="T4" s="70">
        <v>0.58472222222222225</v>
      </c>
      <c r="U4" s="10">
        <v>130</v>
      </c>
      <c r="V4" s="10">
        <v>0</v>
      </c>
      <c r="W4" s="10">
        <v>1402</v>
      </c>
      <c r="X4" s="10">
        <v>0</v>
      </c>
      <c r="Y4" s="20">
        <v>0</v>
      </c>
    </row>
    <row r="5" spans="1:25" x14ac:dyDescent="0.25">
      <c r="A5" s="19">
        <v>46020</v>
      </c>
      <c r="B5" s="20" t="s">
        <v>21</v>
      </c>
      <c r="C5" s="20" t="s">
        <v>22</v>
      </c>
      <c r="D5" s="20" t="s">
        <v>92</v>
      </c>
      <c r="E5" s="20" t="s">
        <v>25</v>
      </c>
      <c r="F5" s="20">
        <v>239</v>
      </c>
      <c r="G5" s="22" t="s">
        <v>150</v>
      </c>
      <c r="H5" s="23" t="s">
        <v>11</v>
      </c>
      <c r="I5" s="22">
        <v>89000</v>
      </c>
      <c r="J5" s="71" t="s">
        <v>93</v>
      </c>
      <c r="K5" s="24">
        <v>0.69444444444444453</v>
      </c>
      <c r="L5" s="71">
        <v>0.70416666666666661</v>
      </c>
      <c r="M5" s="20">
        <v>216</v>
      </c>
      <c r="N5" s="20">
        <v>3</v>
      </c>
      <c r="O5" s="20">
        <v>1080</v>
      </c>
      <c r="P5" s="20">
        <v>0</v>
      </c>
      <c r="Q5" s="20">
        <v>0</v>
      </c>
      <c r="R5" s="20" t="s">
        <v>94</v>
      </c>
      <c r="S5" s="24">
        <v>0.89583333333333337</v>
      </c>
      <c r="T5" s="71">
        <v>0.91388888888888886</v>
      </c>
      <c r="U5" s="20">
        <v>212</v>
      </c>
      <c r="V5" s="20">
        <v>7</v>
      </c>
      <c r="W5" s="20">
        <v>1147</v>
      </c>
      <c r="X5" s="20">
        <v>0</v>
      </c>
      <c r="Y5" s="20">
        <v>0</v>
      </c>
    </row>
    <row r="6" spans="1:25" s="51" customFormat="1" ht="12.75" x14ac:dyDescent="0.2">
      <c r="A6" s="19">
        <f>A5</f>
        <v>46020</v>
      </c>
      <c r="B6" s="51" t="s">
        <v>184</v>
      </c>
      <c r="C6" s="51" t="s">
        <v>82</v>
      </c>
      <c r="D6" s="51" t="s">
        <v>185</v>
      </c>
      <c r="E6" s="51" t="s">
        <v>186</v>
      </c>
      <c r="F6" s="51" t="s">
        <v>82</v>
      </c>
      <c r="G6" s="51" t="s">
        <v>187</v>
      </c>
      <c r="H6" s="51" t="s">
        <v>188</v>
      </c>
      <c r="I6" s="51">
        <v>1072</v>
      </c>
      <c r="J6" s="51" t="s">
        <v>79</v>
      </c>
      <c r="K6" s="51" t="s">
        <v>79</v>
      </c>
      <c r="L6" s="51" t="s">
        <v>79</v>
      </c>
      <c r="M6" s="51" t="s">
        <v>79</v>
      </c>
      <c r="N6" s="51" t="s">
        <v>79</v>
      </c>
      <c r="O6" s="51" t="s">
        <v>79</v>
      </c>
      <c r="P6" s="51" t="s">
        <v>79</v>
      </c>
      <c r="Q6" s="51" t="s">
        <v>79</v>
      </c>
      <c r="R6" s="51" t="s">
        <v>189</v>
      </c>
      <c r="S6" s="49">
        <v>0.67361111111111116</v>
      </c>
      <c r="T6" s="50">
        <v>0.67708333333333337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</row>
    <row r="7" spans="1:25" x14ac:dyDescent="0.25">
      <c r="A7" s="19">
        <f>A6</f>
        <v>46020</v>
      </c>
      <c r="B7" s="51" t="s">
        <v>184</v>
      </c>
      <c r="C7" s="51" t="s">
        <v>82</v>
      </c>
      <c r="D7" s="51" t="s">
        <v>190</v>
      </c>
      <c r="E7" s="51" t="s">
        <v>186</v>
      </c>
      <c r="F7" s="51" t="s">
        <v>82</v>
      </c>
      <c r="G7" s="51" t="s">
        <v>187</v>
      </c>
      <c r="H7" s="51" t="s">
        <v>188</v>
      </c>
      <c r="I7" s="51">
        <v>1072</v>
      </c>
      <c r="J7" s="51" t="s">
        <v>189</v>
      </c>
      <c r="K7" s="51" t="s">
        <v>79</v>
      </c>
      <c r="L7" s="50">
        <v>0.71319444444444446</v>
      </c>
      <c r="M7" s="51">
        <v>0</v>
      </c>
      <c r="N7" s="51">
        <v>0</v>
      </c>
      <c r="O7" s="51">
        <v>0</v>
      </c>
      <c r="P7" s="51">
        <v>0</v>
      </c>
      <c r="Q7" s="51">
        <v>0</v>
      </c>
      <c r="R7" s="51" t="s">
        <v>189</v>
      </c>
      <c r="S7" s="49">
        <v>0.73958333333333337</v>
      </c>
      <c r="T7" s="50">
        <v>0.7402777777777777</v>
      </c>
      <c r="U7" s="51">
        <v>0</v>
      </c>
      <c r="V7" s="51">
        <v>0</v>
      </c>
      <c r="W7" s="51">
        <v>0</v>
      </c>
      <c r="X7" s="51">
        <v>0</v>
      </c>
      <c r="Y7" s="51">
        <v>0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A12CB-D4C2-4BED-8FE3-757CE92CDC80}">
  <dimension ref="A1:Y6"/>
  <sheetViews>
    <sheetView workbookViewId="0">
      <selection activeCell="Q12" sqref="Q12"/>
    </sheetView>
  </sheetViews>
  <sheetFormatPr defaultRowHeight="15" x14ac:dyDescent="0.25"/>
  <cols>
    <col min="2" max="2" width="23.28515625" bestFit="1" customWidth="1"/>
    <col min="4" max="4" width="14" bestFit="1" customWidth="1"/>
  </cols>
  <sheetData>
    <row r="1" spans="1:25" ht="25.5" x14ac:dyDescent="0.25">
      <c r="A1" s="5" t="s">
        <v>23</v>
      </c>
      <c r="B1" s="5" t="s">
        <v>24</v>
      </c>
      <c r="C1" s="5" t="s">
        <v>12</v>
      </c>
      <c r="D1" s="4" t="s">
        <v>0</v>
      </c>
      <c r="E1" s="4" t="s">
        <v>1</v>
      </c>
      <c r="F1" s="6" t="s">
        <v>13</v>
      </c>
      <c r="G1" s="4" t="s">
        <v>2</v>
      </c>
      <c r="H1" s="4" t="s">
        <v>3</v>
      </c>
      <c r="I1" s="4" t="s">
        <v>4</v>
      </c>
      <c r="J1" s="4" t="s">
        <v>5</v>
      </c>
      <c r="K1" s="7" t="s">
        <v>7</v>
      </c>
      <c r="L1" s="7" t="s">
        <v>8</v>
      </c>
      <c r="M1" s="7" t="s">
        <v>14</v>
      </c>
      <c r="N1" s="7" t="s">
        <v>15</v>
      </c>
      <c r="O1" s="7" t="s">
        <v>16</v>
      </c>
      <c r="P1" s="7" t="s">
        <v>17</v>
      </c>
      <c r="Q1" s="7" t="s">
        <v>18</v>
      </c>
      <c r="R1" s="4" t="s">
        <v>6</v>
      </c>
      <c r="S1" s="7" t="s">
        <v>9</v>
      </c>
      <c r="T1" s="7" t="s">
        <v>10</v>
      </c>
      <c r="U1" s="7" t="s">
        <v>14</v>
      </c>
      <c r="V1" s="7" t="s">
        <v>15</v>
      </c>
      <c r="W1" s="7" t="s">
        <v>19</v>
      </c>
      <c r="X1" s="7" t="s">
        <v>20</v>
      </c>
      <c r="Y1" s="7" t="s">
        <v>72</v>
      </c>
    </row>
    <row r="2" spans="1:25" x14ac:dyDescent="0.25">
      <c r="A2" s="11">
        <v>46021</v>
      </c>
      <c r="B2" s="10" t="s">
        <v>21</v>
      </c>
      <c r="C2" s="10" t="s">
        <v>22</v>
      </c>
      <c r="D2" s="10" t="s">
        <v>50</v>
      </c>
      <c r="E2" s="10" t="s">
        <v>25</v>
      </c>
      <c r="F2" s="10">
        <v>239</v>
      </c>
      <c r="G2" s="22" t="s">
        <v>150</v>
      </c>
      <c r="H2" s="9" t="s">
        <v>11</v>
      </c>
      <c r="I2" s="1">
        <v>89000</v>
      </c>
      <c r="J2" s="72" t="s">
        <v>51</v>
      </c>
      <c r="K2" s="2">
        <v>0.45833333333333331</v>
      </c>
      <c r="L2" s="73">
        <v>0.46319444444444446</v>
      </c>
      <c r="M2" s="20">
        <v>230</v>
      </c>
      <c r="N2" s="20">
        <v>3</v>
      </c>
      <c r="O2" s="20">
        <v>1114</v>
      </c>
      <c r="P2" s="20">
        <v>0</v>
      </c>
      <c r="Q2" s="20">
        <v>0</v>
      </c>
      <c r="R2" s="10" t="s">
        <v>52</v>
      </c>
      <c r="S2" s="2">
        <v>0.25</v>
      </c>
      <c r="T2" s="73">
        <v>0.26250000000000001</v>
      </c>
      <c r="U2" s="20">
        <v>208</v>
      </c>
      <c r="V2" s="20">
        <v>4</v>
      </c>
      <c r="W2" s="20">
        <v>841</v>
      </c>
      <c r="X2" s="20">
        <v>0</v>
      </c>
      <c r="Y2" s="20">
        <v>0</v>
      </c>
    </row>
    <row r="3" spans="1:25" x14ac:dyDescent="0.25">
      <c r="A3" s="11">
        <v>46021</v>
      </c>
      <c r="B3" s="10" t="s">
        <v>45</v>
      </c>
      <c r="C3" s="8" t="s">
        <v>46</v>
      </c>
      <c r="D3" s="10" t="s">
        <v>47</v>
      </c>
      <c r="E3" s="9" t="s">
        <v>25</v>
      </c>
      <c r="F3" s="10">
        <v>230</v>
      </c>
      <c r="G3" s="10" t="s">
        <v>191</v>
      </c>
      <c r="H3" s="9" t="s">
        <v>11</v>
      </c>
      <c r="I3" s="1">
        <v>89000</v>
      </c>
      <c r="J3" s="10" t="s">
        <v>48</v>
      </c>
      <c r="K3" s="2">
        <v>0.4861111111111111</v>
      </c>
      <c r="L3" s="73">
        <v>0.48125000000000001</v>
      </c>
      <c r="M3" s="20">
        <v>217</v>
      </c>
      <c r="N3" s="20">
        <v>8</v>
      </c>
      <c r="O3" s="20">
        <v>1123</v>
      </c>
      <c r="P3" s="20">
        <v>0</v>
      </c>
      <c r="Q3" s="20">
        <v>0</v>
      </c>
      <c r="R3" s="10" t="s">
        <v>49</v>
      </c>
      <c r="S3" s="2">
        <v>0.51041666666666663</v>
      </c>
      <c r="T3" s="73">
        <v>0.53333333333333333</v>
      </c>
      <c r="U3" s="20">
        <v>215</v>
      </c>
      <c r="V3" s="20">
        <v>0</v>
      </c>
      <c r="W3" s="20">
        <v>1016</v>
      </c>
      <c r="X3" s="20">
        <v>0</v>
      </c>
      <c r="Y3" s="20">
        <v>0</v>
      </c>
    </row>
    <row r="4" spans="1:25" x14ac:dyDescent="0.25">
      <c r="A4" s="11">
        <v>46021</v>
      </c>
      <c r="B4" s="20" t="s">
        <v>21</v>
      </c>
      <c r="C4" s="20" t="s">
        <v>22</v>
      </c>
      <c r="D4" s="20" t="s">
        <v>91</v>
      </c>
      <c r="E4" s="20" t="s">
        <v>25</v>
      </c>
      <c r="F4" s="20">
        <v>239</v>
      </c>
      <c r="G4" s="22" t="s">
        <v>128</v>
      </c>
      <c r="H4" s="23" t="s">
        <v>11</v>
      </c>
      <c r="I4" s="22">
        <v>89000</v>
      </c>
      <c r="J4" s="73" t="s">
        <v>28</v>
      </c>
      <c r="K4" s="24">
        <v>0.65972222222222221</v>
      </c>
      <c r="L4" s="72">
        <v>0.65625</v>
      </c>
      <c r="M4" s="10">
        <v>202</v>
      </c>
      <c r="N4" s="10">
        <v>4</v>
      </c>
      <c r="O4" s="10">
        <v>598</v>
      </c>
      <c r="P4" s="10">
        <v>0</v>
      </c>
      <c r="Q4" s="10">
        <v>0</v>
      </c>
      <c r="R4" s="20" t="s">
        <v>29</v>
      </c>
      <c r="S4" s="24">
        <v>0.50347222222222221</v>
      </c>
      <c r="T4" s="72">
        <v>0.51041666666666663</v>
      </c>
      <c r="U4" s="10">
        <v>213</v>
      </c>
      <c r="V4" s="10">
        <v>4</v>
      </c>
      <c r="W4" s="10">
        <v>887</v>
      </c>
      <c r="X4" s="10">
        <v>0</v>
      </c>
      <c r="Y4" s="10">
        <v>0</v>
      </c>
    </row>
    <row r="5" spans="1:25" x14ac:dyDescent="0.25">
      <c r="A5" s="11">
        <v>46021</v>
      </c>
      <c r="B5" s="20" t="s">
        <v>21</v>
      </c>
      <c r="C5" s="20" t="s">
        <v>22</v>
      </c>
      <c r="D5" s="20" t="s">
        <v>121</v>
      </c>
      <c r="E5" s="20" t="s">
        <v>25</v>
      </c>
      <c r="F5" s="20">
        <v>239</v>
      </c>
      <c r="G5" s="22" t="s">
        <v>128</v>
      </c>
      <c r="H5" s="23" t="s">
        <v>11</v>
      </c>
      <c r="I5" s="22">
        <v>89000</v>
      </c>
      <c r="J5" s="73" t="s">
        <v>160</v>
      </c>
      <c r="K5" s="24">
        <v>0.89583333333333337</v>
      </c>
      <c r="L5" s="73">
        <v>0.8881944444444444</v>
      </c>
      <c r="M5" s="20">
        <v>217</v>
      </c>
      <c r="N5" s="20">
        <v>1</v>
      </c>
      <c r="O5" s="20">
        <v>1222</v>
      </c>
      <c r="P5" s="20">
        <v>0</v>
      </c>
      <c r="Q5" s="20">
        <v>0</v>
      </c>
      <c r="R5" s="20" t="s">
        <v>159</v>
      </c>
      <c r="S5" s="24">
        <v>0.68402777777777779</v>
      </c>
      <c r="T5" s="73">
        <v>0.69513888888888886</v>
      </c>
      <c r="U5" s="20">
        <v>225</v>
      </c>
      <c r="V5" s="20">
        <v>5</v>
      </c>
      <c r="W5" s="20">
        <v>1276</v>
      </c>
      <c r="X5" s="20">
        <v>0</v>
      </c>
      <c r="Y5" s="20">
        <v>0</v>
      </c>
    </row>
    <row r="6" spans="1:25" x14ac:dyDescent="0.25">
      <c r="A6" s="19">
        <f>A5</f>
        <v>46021</v>
      </c>
      <c r="B6" s="51" t="s">
        <v>184</v>
      </c>
      <c r="C6" s="51" t="s">
        <v>82</v>
      </c>
      <c r="D6" s="51" t="s">
        <v>185</v>
      </c>
      <c r="E6" s="51" t="s">
        <v>186</v>
      </c>
      <c r="F6" s="51" t="s">
        <v>82</v>
      </c>
      <c r="G6" s="51" t="s">
        <v>187</v>
      </c>
      <c r="H6" s="51" t="s">
        <v>188</v>
      </c>
      <c r="I6" s="51">
        <v>1072</v>
      </c>
      <c r="J6" s="51" t="s">
        <v>79</v>
      </c>
      <c r="K6" s="51" t="s">
        <v>79</v>
      </c>
      <c r="L6" s="51" t="s">
        <v>79</v>
      </c>
      <c r="M6" s="51" t="s">
        <v>79</v>
      </c>
      <c r="N6" s="51" t="s">
        <v>79</v>
      </c>
      <c r="O6" s="51" t="s">
        <v>79</v>
      </c>
      <c r="P6" s="51" t="s">
        <v>79</v>
      </c>
      <c r="Q6" s="51" t="s">
        <v>79</v>
      </c>
      <c r="R6" s="51" t="s">
        <v>189</v>
      </c>
      <c r="S6" s="49">
        <v>0.47916666666666669</v>
      </c>
      <c r="T6" s="50">
        <v>0.48958333333333331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EDB4-210B-4780-8E80-AD20010C31EA}">
  <dimension ref="A1:Y6"/>
  <sheetViews>
    <sheetView tabSelected="1" workbookViewId="0">
      <selection activeCell="T8" sqref="T8"/>
    </sheetView>
  </sheetViews>
  <sheetFormatPr defaultRowHeight="15" x14ac:dyDescent="0.25"/>
  <cols>
    <col min="2" max="2" width="23.28515625" bestFit="1" customWidth="1"/>
    <col min="4" max="4" width="13.7109375" bestFit="1" customWidth="1"/>
    <col min="10" max="10" width="10.42578125" bestFit="1" customWidth="1"/>
  </cols>
  <sheetData>
    <row r="1" spans="1:25" ht="25.5" x14ac:dyDescent="0.25">
      <c r="A1" s="15" t="s">
        <v>23</v>
      </c>
      <c r="B1" s="15" t="s">
        <v>24</v>
      </c>
      <c r="C1" s="15" t="s">
        <v>12</v>
      </c>
      <c r="D1" s="16" t="s">
        <v>0</v>
      </c>
      <c r="E1" s="16" t="s">
        <v>1</v>
      </c>
      <c r="F1" s="17" t="s">
        <v>13</v>
      </c>
      <c r="G1" s="16" t="s">
        <v>2</v>
      </c>
      <c r="H1" s="16" t="s">
        <v>3</v>
      </c>
      <c r="I1" s="16" t="s">
        <v>4</v>
      </c>
      <c r="J1" s="16" t="s">
        <v>6</v>
      </c>
      <c r="K1" s="18" t="s">
        <v>9</v>
      </c>
      <c r="L1" s="18" t="s">
        <v>10</v>
      </c>
      <c r="M1" s="18" t="s">
        <v>14</v>
      </c>
      <c r="N1" s="18" t="s">
        <v>15</v>
      </c>
      <c r="O1" s="18" t="s">
        <v>19</v>
      </c>
      <c r="P1" s="18" t="s">
        <v>20</v>
      </c>
      <c r="Q1" s="18" t="s">
        <v>72</v>
      </c>
      <c r="R1" s="16" t="s">
        <v>5</v>
      </c>
      <c r="S1" s="18" t="s">
        <v>7</v>
      </c>
      <c r="T1" s="18" t="s">
        <v>8</v>
      </c>
      <c r="U1" s="18" t="s">
        <v>14</v>
      </c>
      <c r="V1" s="18" t="s">
        <v>15</v>
      </c>
      <c r="W1" s="18" t="s">
        <v>16</v>
      </c>
      <c r="X1" s="18" t="s">
        <v>20</v>
      </c>
      <c r="Y1" s="18" t="s">
        <v>72</v>
      </c>
    </row>
    <row r="2" spans="1:25" x14ac:dyDescent="0.25">
      <c r="A2" s="19">
        <v>46022</v>
      </c>
      <c r="B2" s="20" t="s">
        <v>21</v>
      </c>
      <c r="C2" s="20" t="s">
        <v>22</v>
      </c>
      <c r="D2" s="20" t="s">
        <v>88</v>
      </c>
      <c r="E2" s="20" t="s">
        <v>25</v>
      </c>
      <c r="F2" s="20">
        <v>239</v>
      </c>
      <c r="G2" s="22" t="s">
        <v>128</v>
      </c>
      <c r="H2" s="23" t="s">
        <v>11</v>
      </c>
      <c r="I2" s="22">
        <v>89000</v>
      </c>
      <c r="J2" s="75" t="s">
        <v>89</v>
      </c>
      <c r="K2" s="24">
        <v>0.26041666666666669</v>
      </c>
      <c r="L2" s="75">
        <v>0.27708333333333335</v>
      </c>
      <c r="M2" s="20">
        <v>226</v>
      </c>
      <c r="N2" s="20">
        <v>2</v>
      </c>
      <c r="O2" s="20">
        <v>653</v>
      </c>
      <c r="P2" s="20">
        <v>0</v>
      </c>
      <c r="Q2" s="20">
        <v>0</v>
      </c>
      <c r="R2" s="20" t="s">
        <v>90</v>
      </c>
      <c r="S2" s="24">
        <v>0.45833333333333331</v>
      </c>
      <c r="T2" s="75">
        <v>0.4604166666666667</v>
      </c>
      <c r="U2" s="20">
        <v>128</v>
      </c>
      <c r="V2" s="20">
        <v>2</v>
      </c>
      <c r="W2" s="20">
        <v>423</v>
      </c>
      <c r="X2" s="20">
        <v>0</v>
      </c>
      <c r="Y2" s="20">
        <v>0</v>
      </c>
    </row>
    <row r="3" spans="1:25" x14ac:dyDescent="0.25">
      <c r="A3" s="19">
        <v>46022</v>
      </c>
      <c r="B3" s="20" t="s">
        <v>21</v>
      </c>
      <c r="C3" s="20" t="s">
        <v>22</v>
      </c>
      <c r="D3" s="20" t="s">
        <v>91</v>
      </c>
      <c r="E3" s="20" t="s">
        <v>25</v>
      </c>
      <c r="F3" s="20">
        <v>239</v>
      </c>
      <c r="G3" s="22" t="s">
        <v>128</v>
      </c>
      <c r="H3" s="23" t="s">
        <v>11</v>
      </c>
      <c r="I3" s="22">
        <v>89000</v>
      </c>
      <c r="J3" s="75" t="s">
        <v>28</v>
      </c>
      <c r="K3" s="24">
        <v>0.48958333333333331</v>
      </c>
      <c r="L3" s="75">
        <v>0.50069444444444444</v>
      </c>
      <c r="M3" s="20">
        <v>235</v>
      </c>
      <c r="N3" s="20">
        <v>4</v>
      </c>
      <c r="O3" s="20">
        <v>789</v>
      </c>
      <c r="P3" s="20">
        <v>0</v>
      </c>
      <c r="Q3" s="20">
        <v>0</v>
      </c>
      <c r="R3" s="20" t="s">
        <v>29</v>
      </c>
      <c r="S3" s="24">
        <v>0.64236111111111105</v>
      </c>
      <c r="T3" s="75">
        <v>0.6430555555555556</v>
      </c>
      <c r="U3" s="20">
        <v>208</v>
      </c>
      <c r="V3" s="20">
        <v>3</v>
      </c>
      <c r="W3" s="20">
        <v>543</v>
      </c>
      <c r="X3" s="20">
        <v>0</v>
      </c>
      <c r="Y3" s="20">
        <v>0</v>
      </c>
    </row>
    <row r="4" spans="1:25" x14ac:dyDescent="0.25">
      <c r="A4" s="19">
        <v>46022</v>
      </c>
      <c r="B4" s="10" t="s">
        <v>45</v>
      </c>
      <c r="C4" s="8" t="s">
        <v>46</v>
      </c>
      <c r="D4" s="10" t="s">
        <v>47</v>
      </c>
      <c r="E4" s="9" t="s">
        <v>25</v>
      </c>
      <c r="F4" s="10">
        <v>230</v>
      </c>
      <c r="G4" s="22" t="s">
        <v>192</v>
      </c>
      <c r="H4" s="9" t="s">
        <v>11</v>
      </c>
      <c r="I4" s="1">
        <v>89000</v>
      </c>
      <c r="J4" s="10" t="s">
        <v>48</v>
      </c>
      <c r="K4" s="2">
        <v>0.51041666666666663</v>
      </c>
      <c r="L4" s="75">
        <v>0.47430555555555554</v>
      </c>
      <c r="M4" s="20">
        <v>214</v>
      </c>
      <c r="N4" s="20">
        <v>4</v>
      </c>
      <c r="O4" s="20">
        <v>973</v>
      </c>
      <c r="P4" s="20">
        <v>0</v>
      </c>
      <c r="Q4" s="20">
        <v>0</v>
      </c>
      <c r="R4" s="10" t="s">
        <v>49</v>
      </c>
      <c r="S4" s="2">
        <v>0.4861111111111111</v>
      </c>
      <c r="T4" s="75">
        <v>0.47430555555555554</v>
      </c>
      <c r="U4" s="20">
        <v>116</v>
      </c>
      <c r="V4" s="20">
        <v>2</v>
      </c>
      <c r="W4" s="20">
        <v>421</v>
      </c>
      <c r="X4" s="20">
        <v>0</v>
      </c>
      <c r="Y4" s="20">
        <v>0</v>
      </c>
    </row>
    <row r="5" spans="1:25" x14ac:dyDescent="0.25">
      <c r="A5" s="19">
        <v>46022</v>
      </c>
      <c r="B5" s="20" t="s">
        <v>21</v>
      </c>
      <c r="C5" s="20" t="s">
        <v>22</v>
      </c>
      <c r="D5" s="10" t="s">
        <v>92</v>
      </c>
      <c r="E5" s="9" t="s">
        <v>25</v>
      </c>
      <c r="F5" s="10">
        <v>239</v>
      </c>
      <c r="G5" s="22" t="s">
        <v>128</v>
      </c>
      <c r="H5" s="9" t="s">
        <v>11</v>
      </c>
      <c r="I5" s="1">
        <v>89000</v>
      </c>
      <c r="J5" s="33" t="s">
        <v>93</v>
      </c>
      <c r="K5" s="2">
        <v>0.69444444444444453</v>
      </c>
      <c r="L5" s="74">
        <v>0.69097222222222221</v>
      </c>
      <c r="M5" s="10">
        <v>197</v>
      </c>
      <c r="N5" s="10">
        <v>2</v>
      </c>
      <c r="O5" s="10">
        <v>983</v>
      </c>
      <c r="P5" s="10">
        <v>0</v>
      </c>
      <c r="Q5" s="10">
        <v>0</v>
      </c>
      <c r="R5" s="10" t="s">
        <v>94</v>
      </c>
      <c r="S5" s="2">
        <v>0.89583333333333337</v>
      </c>
      <c r="T5" s="74">
        <v>0.87986111111111109</v>
      </c>
      <c r="U5" s="10">
        <v>17</v>
      </c>
      <c r="V5" s="10">
        <v>0</v>
      </c>
      <c r="W5" s="10">
        <v>87</v>
      </c>
      <c r="X5" s="10">
        <v>0</v>
      </c>
      <c r="Y5" s="10">
        <v>0</v>
      </c>
    </row>
    <row r="6" spans="1:25" x14ac:dyDescent="0.25">
      <c r="A6" s="19"/>
      <c r="B6" s="20"/>
      <c r="C6" s="20"/>
      <c r="D6" s="10"/>
      <c r="E6" s="9"/>
      <c r="F6" s="10"/>
      <c r="G6" s="34"/>
      <c r="H6" s="9"/>
      <c r="I6" s="1"/>
      <c r="J6" s="33"/>
      <c r="K6" s="2"/>
      <c r="L6" s="74"/>
      <c r="M6" s="10"/>
      <c r="N6" s="10"/>
      <c r="O6" s="10"/>
      <c r="P6" s="10"/>
      <c r="Q6" s="10"/>
      <c r="R6" s="10"/>
      <c r="S6" s="74"/>
      <c r="T6" s="74"/>
      <c r="U6" s="10"/>
      <c r="V6" s="10"/>
      <c r="W6" s="10"/>
      <c r="X6" s="10"/>
      <c r="Y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2025-12-31T20:07:12Z</dcterms:modified>
</cp:coreProperties>
</file>