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73B943A-8A16-4433-B114-EC6D16808A91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8" l="1"/>
  <c r="A4" i="28"/>
  <c r="A3" i="28"/>
  <c r="A5" i="27" l="1"/>
  <c r="A4" i="27"/>
  <c r="A3" i="27"/>
</calcChain>
</file>

<file path=xl/sharedStrings.xml><?xml version="1.0" encoding="utf-8"?>
<sst xmlns="http://schemas.openxmlformats.org/spreadsheetml/2006/main" count="1866" uniqueCount="200">
  <si>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</si>
  <si>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</si>
  <si>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</si>
  <si>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</si>
  <si>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</si>
  <si>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</si>
  <si>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</si>
  <si>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</si>
  <si>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</si>
  <si>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</si>
  <si>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</si>
  <si>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</si>
  <si>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</si>
  <si>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</si>
  <si>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</si>
  <si>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FMM-TZL-FMM</t>
  </si>
  <si>
    <t>A320</t>
  </si>
  <si>
    <t>SCHEDULED</t>
  </si>
  <si>
    <t>W44280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</si>
  <si>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</si>
  <si>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</si>
  <si>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</si>
  <si>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</si>
  <si>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</si>
  <si>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</si>
  <si>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</si>
  <si>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</si>
  <si>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</si>
  <si>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W44279</t>
  </si>
  <si>
    <t>DTM-TZL-DTM</t>
  </si>
  <si>
    <t>W44298</t>
  </si>
  <si>
    <t>W44297</t>
  </si>
  <si>
    <t>WIZZAIR HUNGARY LTD</t>
  </si>
  <si>
    <t>WZZ</t>
  </si>
  <si>
    <t>MLH-TZL-MLH</t>
  </si>
  <si>
    <t>W64294</t>
  </si>
  <si>
    <t>W64293</t>
  </si>
  <si>
    <t>SAW-TZL-SAW</t>
  </si>
  <si>
    <t>PEGASUS AIRLINES</t>
  </si>
  <si>
    <t>PGT</t>
  </si>
  <si>
    <t>PC250</t>
  </si>
  <si>
    <t>PC251</t>
  </si>
  <si>
    <t>AYT-TZL-AYT</t>
  </si>
  <si>
    <t>CHARTER</t>
  </si>
  <si>
    <t>FHY</t>
  </si>
  <si>
    <t>FH821</t>
  </si>
  <si>
    <t>FH822</t>
  </si>
  <si>
    <t>W44286</t>
  </si>
  <si>
    <t>W44285</t>
  </si>
  <si>
    <t>VIE-TZL-VIE</t>
  </si>
  <si>
    <t>9H-WBX</t>
  </si>
  <si>
    <t>9H-WZR</t>
  </si>
  <si>
    <t>HA-LWV</t>
  </si>
  <si>
    <t>FREEBIRD AIRLINES</t>
  </si>
  <si>
    <t>HA-LZW</t>
  </si>
  <si>
    <t>TC-FHG</t>
  </si>
  <si>
    <t>TC-CRG</t>
  </si>
  <si>
    <t>A321</t>
  </si>
  <si>
    <t>9H-WBO</t>
  </si>
  <si>
    <t>9H-WNZ</t>
  </si>
  <si>
    <t>9H-WNB</t>
  </si>
  <si>
    <t>9H-WZQ</t>
  </si>
  <si>
    <t>A21</t>
  </si>
  <si>
    <t>9H-WDP</t>
  </si>
  <si>
    <t>SAW-TZL-SJJ</t>
  </si>
  <si>
    <t>TC-RFI</t>
  </si>
  <si>
    <t>PC293</t>
  </si>
  <si>
    <t>232(TRANZIT)</t>
  </si>
  <si>
    <t>(TRANZIT)2036</t>
  </si>
  <si>
    <t>DIVERTED</t>
  </si>
  <si>
    <t>Datum</t>
  </si>
  <si>
    <t>Kompanija</t>
  </si>
  <si>
    <t xml:space="preserve">AJET </t>
  </si>
  <si>
    <t>TKJ</t>
  </si>
  <si>
    <t>B737</t>
  </si>
  <si>
    <t>VF271</t>
  </si>
  <si>
    <t>VF272</t>
  </si>
  <si>
    <t>HA-LYS</t>
  </si>
  <si>
    <t>TC-JHA</t>
  </si>
  <si>
    <t>FHY821</t>
  </si>
  <si>
    <t>FHY822</t>
  </si>
  <si>
    <t>CORENDON AIRLINES</t>
  </si>
  <si>
    <t>CAI</t>
  </si>
  <si>
    <t>B737-800</t>
  </si>
  <si>
    <t>CAI197</t>
  </si>
  <si>
    <t>CAI198</t>
  </si>
  <si>
    <t>W64298</t>
  </si>
  <si>
    <t>TC-FHC</t>
  </si>
  <si>
    <t>9H-WMG</t>
  </si>
  <si>
    <t>9H-WAI</t>
  </si>
  <si>
    <t>TC-COE</t>
  </si>
  <si>
    <t>9H-WZT</t>
  </si>
  <si>
    <t>HA-LYT</t>
  </si>
  <si>
    <t>AIRPORT MALI LOŠNJIN</t>
  </si>
  <si>
    <t>N/A</t>
  </si>
  <si>
    <t>BEG-TZL-LSZ</t>
  </si>
  <si>
    <t>BE9L</t>
  </si>
  <si>
    <t>9A-LAN</t>
  </si>
  <si>
    <t>NONSCHEDULED</t>
  </si>
  <si>
    <t>9ALAN</t>
  </si>
  <si>
    <t>CREW</t>
  </si>
  <si>
    <t>9H-WAG</t>
  </si>
  <si>
    <t>HA-LYK</t>
  </si>
  <si>
    <t>9H-WDR</t>
  </si>
  <si>
    <t>W64297</t>
  </si>
  <si>
    <t>SWISSLION TAKOVO DOO</t>
  </si>
  <si>
    <t>TREBINJE-TZL-BEG</t>
  </si>
  <si>
    <t>AW109</t>
  </si>
  <si>
    <t>YU-HRD</t>
  </si>
  <si>
    <t>HELICOPTER</t>
  </si>
  <si>
    <t>YUHRD</t>
  </si>
  <si>
    <t>-</t>
  </si>
  <si>
    <t>TC-CRF</t>
  </si>
  <si>
    <t>9H-WZS</t>
  </si>
  <si>
    <t>9H-WDD</t>
  </si>
  <si>
    <t>TC-FHP</t>
  </si>
  <si>
    <t>HA-LVK</t>
  </si>
  <si>
    <t>9H-WAU</t>
  </si>
  <si>
    <t>HA-LGW</t>
  </si>
  <si>
    <t>S5PEG</t>
  </si>
  <si>
    <t>KORC DUŠAN</t>
  </si>
  <si>
    <t>NA</t>
  </si>
  <si>
    <t>LQCG-TZL-MBX</t>
  </si>
  <si>
    <t>Texan</t>
  </si>
  <si>
    <t>HA-LWM</t>
  </si>
  <si>
    <t>9H-WDV</t>
  </si>
  <si>
    <t>TC-JZS</t>
  </si>
  <si>
    <t>TC-FBR</t>
  </si>
  <si>
    <t>9H-CXD</t>
  </si>
  <si>
    <t>HA-LVJ</t>
  </si>
  <si>
    <t>HA-LYF</t>
  </si>
  <si>
    <t>9H-WBY</t>
  </si>
  <si>
    <t>9H-WBQ</t>
  </si>
  <si>
    <t>TC-CPE</t>
  </si>
  <si>
    <t>TC-FHF</t>
  </si>
  <si>
    <t>9H-WNV</t>
  </si>
  <si>
    <t>SOF-TZL-SOF</t>
  </si>
  <si>
    <t>FERRY IN/OUT</t>
  </si>
  <si>
    <t>W6812</t>
  </si>
  <si>
    <t>W6811</t>
  </si>
  <si>
    <t>9H-WN</t>
  </si>
  <si>
    <t>HA-LGU</t>
  </si>
  <si>
    <t>9H-WZW</t>
  </si>
  <si>
    <t>EBOS-TZL</t>
  </si>
  <si>
    <t>9A-SET</t>
  </si>
  <si>
    <t>TZL-LSZ</t>
  </si>
  <si>
    <t>9H-SET</t>
  </si>
  <si>
    <t>GA</t>
  </si>
  <si>
    <t>ROP</t>
  </si>
  <si>
    <t>TC-LAF</t>
  </si>
  <si>
    <t>9H-CXF</t>
  </si>
  <si>
    <t>9H-WNN</t>
  </si>
  <si>
    <t>MIRZA KRAJINOVIĆ</t>
  </si>
  <si>
    <t>LYVJ-TZL-LYVJ</t>
  </si>
  <si>
    <t>FDCT</t>
  </si>
  <si>
    <t>YU-A051</t>
  </si>
  <si>
    <t>472.5</t>
  </si>
  <si>
    <t>AERO KLUB FENIX ŽIVINICE</t>
  </si>
  <si>
    <t>LQCG-TZL-LYVJ</t>
  </si>
  <si>
    <t>PIVI</t>
  </si>
  <si>
    <t>E7-ABY</t>
  </si>
  <si>
    <t>HA-LWN</t>
  </si>
  <si>
    <t>9H-WBA</t>
  </si>
  <si>
    <t>DELIC AIR</t>
  </si>
  <si>
    <t>SJJ-TZL-BEG</t>
  </si>
  <si>
    <t>C525</t>
  </si>
  <si>
    <t>T7-BSG</t>
  </si>
  <si>
    <t>GA PRIVATE</t>
  </si>
  <si>
    <t>TC-CPD</t>
  </si>
  <si>
    <t>9H-WAV</t>
  </si>
  <si>
    <t>HA-LWC</t>
  </si>
  <si>
    <t>TC-FBV</t>
  </si>
  <si>
    <t>HA-LYG</t>
  </si>
  <si>
    <t>TC-JFR</t>
  </si>
  <si>
    <t>TC-FHM</t>
  </si>
  <si>
    <t>9H-WAS</t>
  </si>
  <si>
    <t>TC-MKE</t>
  </si>
  <si>
    <t>HA-LYH</t>
  </si>
  <si>
    <t>9H-WDJ</t>
  </si>
  <si>
    <t>GENEL HAVACILIK A.S</t>
  </si>
  <si>
    <t>ISL-TZL-OMO</t>
  </si>
  <si>
    <t>FA50</t>
  </si>
  <si>
    <t>TC-VRG</t>
  </si>
  <si>
    <t>TCVRG</t>
  </si>
  <si>
    <t>TC-CRE</t>
  </si>
  <si>
    <t>HA-LWQ</t>
  </si>
  <si>
    <t>HA-LXV</t>
  </si>
  <si>
    <t>TZL-DTM-TZL</t>
  </si>
  <si>
    <t>W4401</t>
  </si>
  <si>
    <t>W4402</t>
  </si>
  <si>
    <t>9H-WAK</t>
  </si>
  <si>
    <t>9H-WNY</t>
  </si>
  <si>
    <t>HA-LGA</t>
  </si>
  <si>
    <t>HALWM</t>
  </si>
  <si>
    <t>HALWV</t>
  </si>
  <si>
    <t>HALZW</t>
  </si>
  <si>
    <t>BWK-TZL-LQCG</t>
  </si>
  <si>
    <t>C172F</t>
  </si>
  <si>
    <t>E7-CAR</t>
  </si>
  <si>
    <t>E7CAR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</si>
</sst>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/>
    </xf>
    <xf numFmtId="20" fontId="5" fillId="2" borderId="0" xfId="0" applyNumberFormat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20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10" fillId="0" borderId="0" xfId="0" applyFont="1"/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workbookViewId="0">
      <selection sqref="A1:XFD1048576"/>
    </sheetView>
  </sheetViews>
  <sheetFormatPr defaultRowHeight="15" x14ac:dyDescent="0.25"/>
  <cols>
    <col min="1" max="1" width="10.28515625" customWidth="1"/>
    <col min="2" max="2" width="23.42578125" customWidth="1"/>
    <col min="3" max="3" width="10" customWidth="1"/>
    <col min="4" max="4" width="16.42578125" customWidth="1"/>
    <col min="6" max="6" width="10.85546875" customWidth="1"/>
    <col min="7" max="7" width="9.28515625" bestFit="1" customWidth="1"/>
    <col min="8" max="8" width="16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45870</v>
      </c>
      <c r="B2" s="15" t="s">
        <v>38</v>
      </c>
      <c r="C2" s="2" t="s">
        <v>39</v>
      </c>
      <c r="D2" s="12" t="s">
        <v>37</v>
      </c>
      <c r="E2" s="13" t="s">
        <v>16</v>
      </c>
      <c r="F2" s="12">
        <v>180</v>
      </c>
      <c r="G2" s="4" t="s">
        <v>56</v>
      </c>
      <c r="H2" s="2" t="s">
        <v>17</v>
      </c>
      <c r="I2" s="4">
        <v>71500</v>
      </c>
      <c r="J2" s="6" t="s">
        <v>40</v>
      </c>
      <c r="K2" s="5">
        <v>0.36805555555555558</v>
      </c>
      <c r="L2" s="6">
        <v>0.35486111111111113</v>
      </c>
      <c r="M2" s="14">
        <v>162</v>
      </c>
      <c r="N2" s="15">
        <v>2</v>
      </c>
      <c r="O2" s="15">
        <v>1690</v>
      </c>
      <c r="P2" s="15">
        <v>0</v>
      </c>
      <c r="Q2" s="15">
        <v>0</v>
      </c>
      <c r="R2" s="15" t="s">
        <v>41</v>
      </c>
      <c r="S2" s="5">
        <v>0.4236111111111111</v>
      </c>
      <c r="T2" s="6">
        <v>0.43263888888888885</v>
      </c>
      <c r="U2" s="14">
        <v>137</v>
      </c>
      <c r="V2" s="15">
        <v>3</v>
      </c>
      <c r="W2" s="15">
        <v>1188</v>
      </c>
      <c r="X2" s="15">
        <v>0</v>
      </c>
      <c r="Y2" s="15">
        <v>0</v>
      </c>
      <c r="Z2" s="1">
        <v>0</v>
      </c>
      <c r="AA2" s="1">
        <v>0</v>
      </c>
    </row>
    <row r="3" spans="1:27" x14ac:dyDescent="0.25">
      <c r="A3" s="3">
        <v>45870</v>
      </c>
      <c r="B3" s="15" t="s">
        <v>13</v>
      </c>
      <c r="C3" s="11" t="s">
        <v>14</v>
      </c>
      <c r="D3" s="15" t="s">
        <v>15</v>
      </c>
      <c r="E3" s="15" t="s">
        <v>16</v>
      </c>
      <c r="F3" s="15">
        <v>186</v>
      </c>
      <c r="G3" s="15" t="s">
        <v>50</v>
      </c>
      <c r="H3" s="12" t="s">
        <v>17</v>
      </c>
      <c r="I3" s="4">
        <v>71500</v>
      </c>
      <c r="J3" s="15" t="s">
        <v>18</v>
      </c>
      <c r="K3" s="5">
        <v>0.3923611111111111</v>
      </c>
      <c r="L3" s="6">
        <v>0.42083333333333334</v>
      </c>
      <c r="M3" s="14">
        <v>178</v>
      </c>
      <c r="N3" s="15">
        <v>3</v>
      </c>
      <c r="O3" s="15">
        <v>810</v>
      </c>
      <c r="P3" s="15">
        <v>0</v>
      </c>
      <c r="Q3" s="15">
        <v>0</v>
      </c>
      <c r="R3" s="15" t="s">
        <v>28</v>
      </c>
      <c r="S3" s="5">
        <v>0.41319444444444442</v>
      </c>
      <c r="T3" s="6">
        <v>0.45763888888888887</v>
      </c>
      <c r="U3" s="15">
        <v>165</v>
      </c>
      <c r="V3" s="15">
        <v>0</v>
      </c>
      <c r="W3" s="15">
        <v>1141</v>
      </c>
      <c r="X3" s="15">
        <v>0</v>
      </c>
      <c r="Y3" s="15">
        <v>0</v>
      </c>
      <c r="Z3" s="1">
        <v>0</v>
      </c>
      <c r="AA3" s="1">
        <v>0</v>
      </c>
    </row>
    <row r="4" spans="1:27" x14ac:dyDescent="0.25">
      <c r="A4" s="3">
        <v>45870</v>
      </c>
      <c r="B4" s="15" t="s">
        <v>13</v>
      </c>
      <c r="C4" s="11" t="s">
        <v>14</v>
      </c>
      <c r="D4" s="15" t="s">
        <v>29</v>
      </c>
      <c r="E4" s="12" t="s">
        <v>16</v>
      </c>
      <c r="F4" s="15">
        <v>186</v>
      </c>
      <c r="G4" s="15" t="s">
        <v>51</v>
      </c>
      <c r="H4" s="12" t="s">
        <v>17</v>
      </c>
      <c r="I4" s="4">
        <v>71500</v>
      </c>
      <c r="J4" s="15" t="s">
        <v>30</v>
      </c>
      <c r="K4" s="5">
        <v>0.49652777777777773</v>
      </c>
      <c r="L4" s="6">
        <v>0.48958333333333331</v>
      </c>
      <c r="M4" s="15">
        <v>184</v>
      </c>
      <c r="N4" s="15">
        <v>4</v>
      </c>
      <c r="O4" s="15">
        <v>945</v>
      </c>
      <c r="P4" s="15">
        <v>0</v>
      </c>
      <c r="Q4" s="15">
        <v>0</v>
      </c>
      <c r="R4" s="15" t="s">
        <v>31</v>
      </c>
      <c r="S4" s="5">
        <v>0.51736111111111105</v>
      </c>
      <c r="T4" s="6">
        <v>0.5444444444444444</v>
      </c>
      <c r="U4" s="15">
        <v>172</v>
      </c>
      <c r="V4" s="15">
        <v>3</v>
      </c>
      <c r="W4" s="15">
        <v>1033</v>
      </c>
      <c r="X4" s="15">
        <v>0</v>
      </c>
      <c r="Y4" s="15">
        <v>0</v>
      </c>
      <c r="Z4" s="1">
        <v>0</v>
      </c>
      <c r="AA4" s="1">
        <v>0</v>
      </c>
    </row>
    <row r="5" spans="1:27" x14ac:dyDescent="0.25">
      <c r="A5" s="3">
        <v>45870</v>
      </c>
      <c r="B5" s="15" t="s">
        <v>32</v>
      </c>
      <c r="C5" s="15" t="s">
        <v>33</v>
      </c>
      <c r="D5" s="12" t="s">
        <v>34</v>
      </c>
      <c r="E5" s="15" t="s">
        <v>16</v>
      </c>
      <c r="F5" s="15">
        <v>180</v>
      </c>
      <c r="G5" s="4" t="s">
        <v>52</v>
      </c>
      <c r="H5" s="12" t="s">
        <v>17</v>
      </c>
      <c r="I5" s="4">
        <v>71500</v>
      </c>
      <c r="J5" s="6" t="s">
        <v>35</v>
      </c>
      <c r="K5" s="5">
        <v>0.5</v>
      </c>
      <c r="L5" s="6">
        <v>0.48680555555555555</v>
      </c>
      <c r="M5" s="15">
        <v>170</v>
      </c>
      <c r="N5" s="15">
        <v>2</v>
      </c>
      <c r="O5" s="15">
        <v>893</v>
      </c>
      <c r="P5" s="15">
        <v>0</v>
      </c>
      <c r="Q5" s="15">
        <v>0</v>
      </c>
      <c r="R5" s="15" t="s">
        <v>36</v>
      </c>
      <c r="S5" s="5">
        <v>0.52083333333333337</v>
      </c>
      <c r="T5" s="6">
        <v>0.54166666666666663</v>
      </c>
      <c r="U5" s="15">
        <v>171</v>
      </c>
      <c r="V5" s="15">
        <v>4</v>
      </c>
      <c r="W5" s="15">
        <v>1323</v>
      </c>
      <c r="X5" s="15">
        <v>0</v>
      </c>
      <c r="Y5" s="15">
        <v>0</v>
      </c>
      <c r="Z5" s="15">
        <v>0</v>
      </c>
    </row>
    <row r="6" spans="1:27" x14ac:dyDescent="0.25">
      <c r="A6" s="3">
        <v>45870</v>
      </c>
      <c r="B6" s="15" t="s">
        <v>53</v>
      </c>
      <c r="C6" s="15" t="s">
        <v>44</v>
      </c>
      <c r="D6" s="15" t="s">
        <v>42</v>
      </c>
      <c r="E6" s="15" t="s">
        <v>16</v>
      </c>
      <c r="F6" s="15">
        <v>180</v>
      </c>
      <c r="G6" s="15" t="s">
        <v>55</v>
      </c>
      <c r="H6" s="12" t="s">
        <v>43</v>
      </c>
      <c r="I6" s="4">
        <v>71500</v>
      </c>
      <c r="J6" s="15" t="s">
        <v>45</v>
      </c>
      <c r="K6" s="5">
        <v>0.375</v>
      </c>
      <c r="L6" s="6">
        <v>0.36388888888888887</v>
      </c>
      <c r="M6" s="15">
        <v>179</v>
      </c>
      <c r="N6" s="15">
        <v>6</v>
      </c>
      <c r="O6" s="15">
        <v>2400</v>
      </c>
      <c r="P6" s="15">
        <v>0</v>
      </c>
      <c r="Q6" s="15">
        <v>0</v>
      </c>
      <c r="R6" s="15" t="s">
        <v>46</v>
      </c>
      <c r="S6" s="5">
        <v>0.41666666666666669</v>
      </c>
      <c r="T6" s="6">
        <v>0.42499999999999999</v>
      </c>
      <c r="U6" s="15">
        <v>180</v>
      </c>
      <c r="V6" s="15">
        <v>5</v>
      </c>
      <c r="W6" s="15">
        <v>2256</v>
      </c>
      <c r="X6" s="15">
        <v>0</v>
      </c>
      <c r="Y6" s="15">
        <v>0</v>
      </c>
      <c r="Z6" s="15">
        <v>0</v>
      </c>
      <c r="AA6" s="15">
        <v>0</v>
      </c>
    </row>
    <row r="7" spans="1:27" x14ac:dyDescent="0.25">
      <c r="A7" s="3">
        <v>45870</v>
      </c>
      <c r="B7" s="15" t="s">
        <v>13</v>
      </c>
      <c r="C7" s="11" t="s">
        <v>14</v>
      </c>
      <c r="D7" s="15" t="s">
        <v>49</v>
      </c>
      <c r="E7" s="15" t="s">
        <v>16</v>
      </c>
      <c r="F7" s="12">
        <v>239</v>
      </c>
      <c r="G7" s="15" t="s">
        <v>54</v>
      </c>
      <c r="H7" s="12" t="s">
        <v>17</v>
      </c>
      <c r="I7" s="4">
        <v>89000</v>
      </c>
      <c r="J7" s="15" t="s">
        <v>47</v>
      </c>
      <c r="K7" s="5">
        <v>0.87847222222222221</v>
      </c>
      <c r="L7" s="6">
        <v>0.90763888888888899</v>
      </c>
      <c r="M7" s="15">
        <v>220</v>
      </c>
      <c r="N7" s="15">
        <v>1</v>
      </c>
      <c r="O7" s="15">
        <v>445</v>
      </c>
      <c r="P7" s="15">
        <v>0</v>
      </c>
      <c r="Q7" s="15">
        <v>0</v>
      </c>
      <c r="R7" s="15" t="s">
        <v>48</v>
      </c>
      <c r="S7" s="5">
        <v>0.90277777777777779</v>
      </c>
      <c r="T7" s="6">
        <v>0.94374999999999998</v>
      </c>
      <c r="U7" s="15">
        <v>195</v>
      </c>
      <c r="V7" s="15">
        <v>4</v>
      </c>
      <c r="W7" s="15">
        <v>427</v>
      </c>
      <c r="X7" s="15">
        <v>0</v>
      </c>
      <c r="Y7" s="15">
        <v>0</v>
      </c>
      <c r="Z7" s="15">
        <v>0</v>
      </c>
      <c r="AA7" s="1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0F84-BAEF-4D36-836D-8A6215684460}">
  <dimension ref="A1:AA4"/>
  <sheetViews>
    <sheetView topLeftCell="D1" workbookViewId="0">
      <selection activeCell="A3" sqref="A3:AA3"/>
    </sheetView>
  </sheetViews>
  <sheetFormatPr defaultRowHeight="15" x14ac:dyDescent="0.25"/>
  <cols>
    <col min="1" max="1" width="10.28515625" customWidth="1"/>
    <col min="2" max="2" width="23.42578125" customWidth="1"/>
    <col min="3" max="3" width="10" customWidth="1"/>
    <col min="4" max="4" width="16.42578125" customWidth="1"/>
    <col min="6" max="6" width="10.85546875" customWidth="1"/>
    <col min="7" max="7" width="9.28515625" bestFit="1" customWidth="1"/>
    <col min="8" max="8" width="16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45871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58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0.43194444444444446</v>
      </c>
      <c r="M2" s="14">
        <v>173</v>
      </c>
      <c r="N2" s="15">
        <v>1</v>
      </c>
      <c r="O2" s="15">
        <v>830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0.4694444444444445</v>
      </c>
      <c r="U2" s="15">
        <v>173</v>
      </c>
      <c r="V2" s="15">
        <v>4</v>
      </c>
      <c r="W2" s="15">
        <v>1289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45871</v>
      </c>
      <c r="B3" s="15" t="s">
        <v>32</v>
      </c>
      <c r="C3" s="15" t="s">
        <v>33</v>
      </c>
      <c r="D3" s="15" t="s">
        <v>29</v>
      </c>
      <c r="E3" s="12" t="s">
        <v>57</v>
      </c>
      <c r="F3" s="15">
        <v>239</v>
      </c>
      <c r="G3" s="15" t="s">
        <v>59</v>
      </c>
      <c r="H3" s="12" t="s">
        <v>17</v>
      </c>
      <c r="I3" s="4">
        <v>71500</v>
      </c>
      <c r="J3" s="15" t="s">
        <v>30</v>
      </c>
      <c r="K3" s="5">
        <v>0.43402777777777773</v>
      </c>
      <c r="L3" s="6">
        <v>0.44166666666666665</v>
      </c>
      <c r="M3" s="15">
        <v>237</v>
      </c>
      <c r="N3" s="15">
        <v>8</v>
      </c>
      <c r="O3" s="15">
        <v>1483</v>
      </c>
      <c r="P3" s="15">
        <v>0</v>
      </c>
      <c r="Q3" s="15">
        <v>0</v>
      </c>
      <c r="R3" s="15" t="s">
        <v>31</v>
      </c>
      <c r="S3" s="5">
        <v>0.45833333333333331</v>
      </c>
      <c r="T3" s="6">
        <v>0.50138888888888888</v>
      </c>
      <c r="U3" s="15">
        <v>231</v>
      </c>
      <c r="V3" s="15">
        <v>6</v>
      </c>
      <c r="W3" s="15">
        <v>1435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45871</v>
      </c>
      <c r="B4" s="15" t="s">
        <v>32</v>
      </c>
      <c r="C4" s="15" t="s">
        <v>33</v>
      </c>
      <c r="D4" s="12" t="s">
        <v>34</v>
      </c>
      <c r="E4" s="12" t="s">
        <v>57</v>
      </c>
      <c r="F4" s="15">
        <v>239</v>
      </c>
      <c r="G4" s="4" t="s">
        <v>60</v>
      </c>
      <c r="H4" s="12" t="s">
        <v>17</v>
      </c>
      <c r="I4" s="4">
        <v>71500</v>
      </c>
      <c r="J4" s="6" t="s">
        <v>35</v>
      </c>
      <c r="K4" s="5">
        <v>0.48958333333333331</v>
      </c>
      <c r="L4" s="6">
        <v>0.48055555555555557</v>
      </c>
      <c r="M4" s="15">
        <v>232</v>
      </c>
      <c r="N4" s="15">
        <v>4</v>
      </c>
      <c r="O4" s="15">
        <v>1254</v>
      </c>
      <c r="P4" s="15">
        <v>0</v>
      </c>
      <c r="Q4" s="15">
        <v>0</v>
      </c>
      <c r="R4" s="15" t="s">
        <v>36</v>
      </c>
      <c r="S4" s="5">
        <v>0.51388888888888895</v>
      </c>
      <c r="T4" s="6">
        <v>0.52083333333333337</v>
      </c>
      <c r="U4" s="15">
        <v>228</v>
      </c>
      <c r="V4" s="15">
        <v>7</v>
      </c>
      <c r="W4" s="15">
        <v>1328</v>
      </c>
      <c r="X4" s="15">
        <v>0</v>
      </c>
      <c r="Y4" s="15">
        <v>0</v>
      </c>
      <c r="Z4" s="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E668-C5E4-4051-AC3A-61CB23B5E957}">
  <dimension ref="A1:AA5"/>
  <sheetViews>
    <sheetView topLeftCell="D1" workbookViewId="0">
      <selection sqref="A1:AA4"/>
    </sheetView>
  </sheetViews>
  <sheetFormatPr defaultRowHeight="15" x14ac:dyDescent="0.25"/>
  <cols>
    <col min="1" max="1" width="10.28515625" customWidth="1"/>
    <col min="2" max="2" width="23.42578125" customWidth="1"/>
    <col min="3" max="3" width="10" customWidth="1"/>
    <col min="4" max="4" width="16.42578125" customWidth="1"/>
    <col min="6" max="6" width="10.85546875" customWidth="1"/>
    <col min="7" max="7" width="9.28515625" bestFit="1" customWidth="1"/>
    <col min="8" max="8" width="16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45872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50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0.40763888888888888</v>
      </c>
      <c r="M2" s="14">
        <v>163</v>
      </c>
      <c r="N2" s="15">
        <v>5</v>
      </c>
      <c r="O2" s="15">
        <v>885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0.4458333333333333</v>
      </c>
      <c r="U2" s="15">
        <v>182</v>
      </c>
      <c r="V2" s="15">
        <v>1</v>
      </c>
      <c r="W2" s="15">
        <v>692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45872</v>
      </c>
      <c r="B3" s="15" t="s">
        <v>13</v>
      </c>
      <c r="C3" s="15" t="s">
        <v>33</v>
      </c>
      <c r="D3" s="15" t="s">
        <v>29</v>
      </c>
      <c r="E3" s="15" t="s">
        <v>16</v>
      </c>
      <c r="F3" s="15">
        <v>186</v>
      </c>
      <c r="G3" s="15" t="s">
        <v>61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0.4513888888888889</v>
      </c>
      <c r="M3" s="15">
        <v>182</v>
      </c>
      <c r="N3" s="15">
        <v>7</v>
      </c>
      <c r="O3" s="15">
        <v>1373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0.49305555555555558</v>
      </c>
      <c r="U3" s="15">
        <v>183</v>
      </c>
      <c r="V3" s="15">
        <v>2</v>
      </c>
      <c r="W3" s="15">
        <v>947</v>
      </c>
      <c r="X3" s="15">
        <v>0</v>
      </c>
      <c r="Y3" s="15">
        <v>0</v>
      </c>
      <c r="Z3" s="15">
        <v>0</v>
      </c>
      <c r="AA3" s="15">
        <v>0</v>
      </c>
    </row>
    <row r="4" spans="1:27" s="16" customFormat="1" ht="12.75" x14ac:dyDescent="0.2">
      <c r="A4" s="3">
        <v>45872</v>
      </c>
      <c r="B4" s="15" t="s">
        <v>13</v>
      </c>
      <c r="C4" s="11" t="s">
        <v>14</v>
      </c>
      <c r="D4" s="16" t="s">
        <v>49</v>
      </c>
      <c r="E4" s="15" t="s">
        <v>62</v>
      </c>
      <c r="F4" s="16">
        <v>239</v>
      </c>
      <c r="G4" s="15" t="s">
        <v>63</v>
      </c>
      <c r="H4" s="12" t="s">
        <v>17</v>
      </c>
      <c r="I4" s="17">
        <v>89000</v>
      </c>
      <c r="J4" s="16" t="s">
        <v>47</v>
      </c>
      <c r="K4" s="19">
        <v>0.62847222222222221</v>
      </c>
      <c r="L4" s="18">
        <v>0.62569444444444444</v>
      </c>
      <c r="M4" s="16">
        <v>218</v>
      </c>
      <c r="N4" s="16">
        <v>6</v>
      </c>
      <c r="O4" s="16">
        <v>547</v>
      </c>
      <c r="P4" s="16">
        <v>0</v>
      </c>
      <c r="Q4" s="16">
        <v>0</v>
      </c>
      <c r="R4" s="16" t="s">
        <v>48</v>
      </c>
      <c r="S4" s="19">
        <v>0.65277777777777779</v>
      </c>
      <c r="T4" s="18">
        <v>0.67638888888888893</v>
      </c>
      <c r="U4" s="16">
        <v>209</v>
      </c>
      <c r="V4" s="16">
        <v>3</v>
      </c>
      <c r="W4" s="16">
        <v>510</v>
      </c>
      <c r="X4" s="16">
        <v>0</v>
      </c>
      <c r="Y4" s="16">
        <v>0</v>
      </c>
      <c r="Z4" s="16">
        <v>0</v>
      </c>
      <c r="AA4" s="16">
        <v>0</v>
      </c>
    </row>
    <row r="5" spans="1:27" x14ac:dyDescent="0.25">
      <c r="A5" s="3">
        <v>45872</v>
      </c>
      <c r="B5" s="15" t="s">
        <v>38</v>
      </c>
      <c r="C5" s="2" t="s">
        <v>39</v>
      </c>
      <c r="D5" s="12" t="s">
        <v>64</v>
      </c>
      <c r="E5" s="15" t="s">
        <v>62</v>
      </c>
      <c r="F5" s="16">
        <v>239</v>
      </c>
      <c r="G5" s="4" t="s">
        <v>65</v>
      </c>
      <c r="H5" s="2" t="s">
        <v>69</v>
      </c>
      <c r="I5" s="17">
        <v>89000</v>
      </c>
      <c r="J5" s="6" t="s">
        <v>66</v>
      </c>
      <c r="K5" s="5">
        <v>0.72916666666666663</v>
      </c>
      <c r="L5" s="6">
        <v>0.72986111111111107</v>
      </c>
      <c r="M5" s="14">
        <v>6</v>
      </c>
      <c r="N5" s="15">
        <v>0</v>
      </c>
      <c r="O5" s="15">
        <v>0</v>
      </c>
      <c r="P5" s="15">
        <v>0</v>
      </c>
      <c r="Q5" s="15">
        <v>0</v>
      </c>
      <c r="R5" s="15" t="s">
        <v>66</v>
      </c>
      <c r="S5" s="5">
        <v>0.81944444444444453</v>
      </c>
      <c r="T5" s="6">
        <v>0.81180555555555556</v>
      </c>
      <c r="U5" s="14" t="s">
        <v>67</v>
      </c>
      <c r="V5" s="15">
        <v>6</v>
      </c>
      <c r="W5" s="15" t="s">
        <v>68</v>
      </c>
      <c r="X5" s="15">
        <v>0</v>
      </c>
      <c r="Y5" s="15">
        <v>0</v>
      </c>
      <c r="Z5" s="15">
        <v>0</v>
      </c>
      <c r="AA5" s="15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22F9-B971-4B69-9310-AAF551F7566C}">
  <dimension ref="A1:Y5"/>
  <sheetViews>
    <sheetView workbookViewId="0">
      <selection sqref="A1:Y10"/>
    </sheetView>
  </sheetViews>
  <sheetFormatPr defaultRowHeight="15" x14ac:dyDescent="0.25"/>
  <cols>
    <col min="2" max="2" width="23.42578125" customWidth="1"/>
    <col min="4" max="4" width="17.42578125" customWidth="1"/>
    <col min="8" max="8" width="12.85546875" customWidth="1"/>
  </cols>
  <sheetData>
    <row r="1" spans="1:25" ht="25.5" x14ac:dyDescent="0.25">
      <c r="A1" s="8" t="s">
        <v>70</v>
      </c>
      <c r="B1" s="8" t="s">
        <v>71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20">
        <v>45873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51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0.37361111111111112</v>
      </c>
      <c r="M2" s="15">
        <v>182</v>
      </c>
      <c r="N2" s="15">
        <v>6</v>
      </c>
      <c r="O2" s="15">
        <v>823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0.41666666666666669</v>
      </c>
      <c r="U2" s="15">
        <v>184</v>
      </c>
      <c r="V2" s="15">
        <v>3</v>
      </c>
      <c r="W2" s="15">
        <v>682</v>
      </c>
      <c r="X2" s="15">
        <v>0</v>
      </c>
      <c r="Y2" s="15">
        <v>0</v>
      </c>
    </row>
    <row r="3" spans="1:25" x14ac:dyDescent="0.25">
      <c r="A3" s="20">
        <v>45873</v>
      </c>
      <c r="B3" s="15" t="s">
        <v>13</v>
      </c>
      <c r="C3" s="11" t="s">
        <v>14</v>
      </c>
      <c r="D3" s="15" t="s">
        <v>29</v>
      </c>
      <c r="E3" s="12" t="s">
        <v>16</v>
      </c>
      <c r="F3" s="15">
        <v>186</v>
      </c>
      <c r="G3" s="15" t="s">
        <v>61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0.47013888888888888</v>
      </c>
      <c r="M3" s="15">
        <v>180</v>
      </c>
      <c r="N3" s="15">
        <v>5</v>
      </c>
      <c r="O3" s="15">
        <v>1432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0.53125</v>
      </c>
      <c r="U3" s="15">
        <v>185</v>
      </c>
      <c r="V3" s="15">
        <v>1</v>
      </c>
      <c r="W3" s="15">
        <v>716</v>
      </c>
      <c r="X3" s="15">
        <v>0</v>
      </c>
      <c r="Y3" s="15">
        <v>0</v>
      </c>
    </row>
    <row r="4" spans="1:25" x14ac:dyDescent="0.25">
      <c r="A4" s="20">
        <v>45873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4" t="s">
        <v>77</v>
      </c>
      <c r="H4" s="12" t="s">
        <v>17</v>
      </c>
      <c r="I4" s="4">
        <v>71500</v>
      </c>
      <c r="J4" s="6" t="s">
        <v>35</v>
      </c>
      <c r="K4" s="5">
        <v>0.5</v>
      </c>
      <c r="L4" s="6">
        <v>0.51944444444444449</v>
      </c>
      <c r="M4" s="15">
        <v>162</v>
      </c>
      <c r="N4" s="15">
        <v>2</v>
      </c>
      <c r="O4" s="15">
        <v>841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0.56805555555555554</v>
      </c>
      <c r="U4" s="15">
        <v>172</v>
      </c>
      <c r="V4" s="15">
        <v>2</v>
      </c>
      <c r="W4" s="15">
        <v>781</v>
      </c>
      <c r="X4" s="15">
        <v>0</v>
      </c>
      <c r="Y4" s="15">
        <v>0</v>
      </c>
    </row>
    <row r="5" spans="1:25" x14ac:dyDescent="0.25">
      <c r="A5" s="20">
        <v>45873</v>
      </c>
      <c r="B5" s="15" t="s">
        <v>72</v>
      </c>
      <c r="C5" s="2" t="s">
        <v>73</v>
      </c>
      <c r="D5" s="12" t="s">
        <v>37</v>
      </c>
      <c r="E5" s="13" t="s">
        <v>74</v>
      </c>
      <c r="F5" s="12">
        <v>189</v>
      </c>
      <c r="G5" s="4" t="s">
        <v>78</v>
      </c>
      <c r="H5" s="12" t="s">
        <v>17</v>
      </c>
      <c r="I5" s="4">
        <v>79000</v>
      </c>
      <c r="J5" s="6" t="s">
        <v>75</v>
      </c>
      <c r="K5" s="5">
        <v>0.56597222222222221</v>
      </c>
      <c r="L5" s="6">
        <v>0.57430555555555551</v>
      </c>
      <c r="M5" s="14">
        <v>140</v>
      </c>
      <c r="N5" s="15">
        <v>0</v>
      </c>
      <c r="O5" s="15">
        <v>1415</v>
      </c>
      <c r="P5" s="15">
        <v>0</v>
      </c>
      <c r="Q5" s="15">
        <v>0</v>
      </c>
      <c r="R5" s="15" t="s">
        <v>76</v>
      </c>
      <c r="S5" s="5">
        <v>0.60763888888888895</v>
      </c>
      <c r="T5" s="6"/>
      <c r="U5" s="15">
        <v>179</v>
      </c>
      <c r="V5" s="15">
        <v>2</v>
      </c>
      <c r="W5" s="15">
        <v>1986</v>
      </c>
      <c r="X5" s="15">
        <v>0</v>
      </c>
      <c r="Y5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9B46-625E-4207-86A1-799EA6353190}">
  <dimension ref="A1:Y5"/>
  <sheetViews>
    <sheetView workbookViewId="0">
      <selection activeCell="B11" sqref="B11"/>
    </sheetView>
  </sheetViews>
  <sheetFormatPr defaultRowHeight="15" x14ac:dyDescent="0.25"/>
  <cols>
    <col min="2" max="2" width="24.42578125" customWidth="1"/>
    <col min="4" max="4" width="19.140625" customWidth="1"/>
    <col min="8" max="8" width="12.85546875" customWidth="1"/>
  </cols>
  <sheetData>
    <row r="1" spans="1:25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3">
        <v>45874</v>
      </c>
      <c r="B2" s="15" t="s">
        <v>53</v>
      </c>
      <c r="C2" s="15" t="s">
        <v>44</v>
      </c>
      <c r="D2" s="15" t="s">
        <v>42</v>
      </c>
      <c r="E2" s="15" t="s">
        <v>16</v>
      </c>
      <c r="F2" s="15">
        <v>180</v>
      </c>
      <c r="G2" s="15" t="s">
        <v>87</v>
      </c>
      <c r="H2" s="15" t="s">
        <v>43</v>
      </c>
      <c r="I2" s="4">
        <v>71500</v>
      </c>
      <c r="J2" s="15" t="s">
        <v>79</v>
      </c>
      <c r="K2" s="5">
        <v>0.33333333333333331</v>
      </c>
      <c r="L2" s="6">
        <v>0.33055555555555555</v>
      </c>
      <c r="M2" s="15">
        <v>179</v>
      </c>
      <c r="N2" s="15">
        <v>5</v>
      </c>
      <c r="O2" s="15">
        <v>2476</v>
      </c>
      <c r="P2" s="15">
        <v>0</v>
      </c>
      <c r="Q2" s="15">
        <v>0</v>
      </c>
      <c r="R2" s="15" t="s">
        <v>80</v>
      </c>
      <c r="S2" s="5">
        <v>0.375</v>
      </c>
      <c r="T2" s="6">
        <v>0.38541666666666669</v>
      </c>
      <c r="U2" s="15">
        <v>180</v>
      </c>
      <c r="V2" s="15">
        <v>2</v>
      </c>
      <c r="W2" s="15">
        <v>2056</v>
      </c>
      <c r="X2" s="15">
        <v>0</v>
      </c>
      <c r="Y2" s="15">
        <v>0</v>
      </c>
    </row>
    <row r="3" spans="1:25" x14ac:dyDescent="0.25">
      <c r="A3" s="3">
        <v>45874</v>
      </c>
      <c r="B3" s="15" t="s">
        <v>81</v>
      </c>
      <c r="C3" s="15" t="s">
        <v>82</v>
      </c>
      <c r="D3" s="15" t="s">
        <v>42</v>
      </c>
      <c r="E3" s="15" t="s">
        <v>83</v>
      </c>
      <c r="F3" s="15">
        <v>189</v>
      </c>
      <c r="G3" s="15" t="s">
        <v>90</v>
      </c>
      <c r="H3" s="15" t="s">
        <v>43</v>
      </c>
      <c r="I3" s="4">
        <v>80000</v>
      </c>
      <c r="J3" s="15" t="s">
        <v>84</v>
      </c>
      <c r="K3" s="5">
        <v>0.43402777777777773</v>
      </c>
      <c r="L3" s="6">
        <v>0.46111111111111108</v>
      </c>
      <c r="M3" s="15">
        <v>189</v>
      </c>
      <c r="N3" s="15">
        <v>4</v>
      </c>
      <c r="O3" s="15">
        <v>2449</v>
      </c>
      <c r="P3" s="15">
        <v>0</v>
      </c>
      <c r="Q3" s="15">
        <v>0</v>
      </c>
      <c r="R3" s="15" t="s">
        <v>85</v>
      </c>
      <c r="S3" s="5">
        <v>0.47569444444444442</v>
      </c>
      <c r="T3" s="6">
        <v>0.51527777777777783</v>
      </c>
      <c r="U3" s="15">
        <v>188</v>
      </c>
      <c r="V3" s="15">
        <v>2</v>
      </c>
      <c r="W3" s="15">
        <v>2186</v>
      </c>
      <c r="X3" s="15">
        <v>0</v>
      </c>
      <c r="Y3" s="15">
        <v>0</v>
      </c>
    </row>
    <row r="4" spans="1:25" x14ac:dyDescent="0.25">
      <c r="A4" s="3">
        <v>45874</v>
      </c>
      <c r="B4" s="15" t="s">
        <v>32</v>
      </c>
      <c r="C4" s="15" t="s">
        <v>33</v>
      </c>
      <c r="D4" s="12" t="s">
        <v>34</v>
      </c>
      <c r="E4" s="12" t="s">
        <v>57</v>
      </c>
      <c r="F4" s="15">
        <v>239</v>
      </c>
      <c r="G4" s="15" t="s">
        <v>88</v>
      </c>
      <c r="H4" s="12" t="s">
        <v>17</v>
      </c>
      <c r="I4" s="4">
        <v>89000</v>
      </c>
      <c r="J4" s="6" t="s">
        <v>35</v>
      </c>
      <c r="K4" s="5">
        <v>0.43402777777777773</v>
      </c>
      <c r="L4" s="6">
        <v>0.49513888888888885</v>
      </c>
      <c r="M4" s="15">
        <v>183</v>
      </c>
      <c r="N4" s="15">
        <v>5</v>
      </c>
      <c r="O4" s="15">
        <v>853</v>
      </c>
      <c r="P4" s="15">
        <v>0</v>
      </c>
      <c r="Q4" s="15">
        <v>0</v>
      </c>
      <c r="R4" s="15" t="s">
        <v>36</v>
      </c>
      <c r="S4" s="5">
        <v>0.45833333333333331</v>
      </c>
      <c r="T4" s="6">
        <v>0.54027777777777775</v>
      </c>
      <c r="U4" s="15">
        <v>238</v>
      </c>
      <c r="V4" s="15">
        <v>7</v>
      </c>
      <c r="W4" s="15">
        <v>877</v>
      </c>
      <c r="X4" s="15">
        <v>0</v>
      </c>
      <c r="Y4" s="15">
        <v>0</v>
      </c>
    </row>
    <row r="5" spans="1:25" x14ac:dyDescent="0.25">
      <c r="A5" s="3">
        <v>45874</v>
      </c>
      <c r="B5" s="15" t="s">
        <v>32</v>
      </c>
      <c r="C5" s="11" t="s">
        <v>33</v>
      </c>
      <c r="D5" s="15" t="s">
        <v>29</v>
      </c>
      <c r="E5" s="12" t="s">
        <v>57</v>
      </c>
      <c r="F5" s="15">
        <v>239</v>
      </c>
      <c r="G5" s="15" t="s">
        <v>89</v>
      </c>
      <c r="H5" s="12" t="s">
        <v>17</v>
      </c>
      <c r="I5" s="4">
        <v>89000</v>
      </c>
      <c r="J5" s="15" t="s">
        <v>86</v>
      </c>
      <c r="K5" s="5">
        <v>0.48958333333333331</v>
      </c>
      <c r="L5" s="6">
        <v>0.48749999999999999</v>
      </c>
      <c r="M5" s="15">
        <v>232</v>
      </c>
      <c r="N5" s="15">
        <v>9</v>
      </c>
      <c r="O5" s="15">
        <v>1419</v>
      </c>
      <c r="P5" s="15">
        <v>0</v>
      </c>
      <c r="Q5" s="15">
        <v>0</v>
      </c>
      <c r="R5" s="15" t="s">
        <v>86</v>
      </c>
      <c r="S5" s="5">
        <v>0.51736111111111105</v>
      </c>
      <c r="T5" s="6">
        <v>0.53402777777777777</v>
      </c>
      <c r="U5" s="15">
        <v>225</v>
      </c>
      <c r="V5" s="15">
        <v>5</v>
      </c>
      <c r="W5" s="15">
        <v>1263</v>
      </c>
      <c r="X5" s="15">
        <v>0</v>
      </c>
      <c r="Y5" s="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1528-13C2-4B9D-9B5E-C23DD1DB2C8D}">
  <dimension ref="A1:AA13"/>
  <sheetViews>
    <sheetView workbookViewId="0">
      <selection activeCell="A6" sqref="A6:XFD6"/>
    </sheetView>
  </sheetViews>
  <sheetFormatPr defaultRowHeight="15" x14ac:dyDescent="0.25"/>
  <cols>
    <col min="1" max="1" width="11.140625" customWidth="1"/>
    <col min="2" max="2" width="24.5703125" customWidth="1"/>
    <col min="4" max="4" width="16.42578125" customWidth="1"/>
    <col min="8" max="8" width="17.42578125" customWidth="1"/>
    <col min="9" max="10" width="11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7" x14ac:dyDescent="0.25">
      <c r="A2" s="3">
        <v>45875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51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0.3743055555555555</v>
      </c>
      <c r="M2" s="14">
        <v>176</v>
      </c>
      <c r="N2" s="15">
        <v>2</v>
      </c>
      <c r="O2" s="15">
        <v>803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0.41111111111111115</v>
      </c>
      <c r="U2" s="15">
        <v>172</v>
      </c>
      <c r="V2" s="15">
        <v>3</v>
      </c>
      <c r="W2" s="15">
        <v>885</v>
      </c>
      <c r="X2" s="15">
        <v>0</v>
      </c>
      <c r="Y2" s="15">
        <v>0</v>
      </c>
      <c r="Z2" s="15"/>
      <c r="AA2" s="15"/>
    </row>
    <row r="3" spans="1:27" x14ac:dyDescent="0.25">
      <c r="A3" s="3">
        <v>45875</v>
      </c>
      <c r="B3" s="15" t="s">
        <v>13</v>
      </c>
      <c r="C3" s="15" t="s">
        <v>14</v>
      </c>
      <c r="D3" s="15" t="s">
        <v>29</v>
      </c>
      <c r="E3" s="15" t="s">
        <v>16</v>
      </c>
      <c r="F3" s="15">
        <v>180</v>
      </c>
      <c r="G3" s="15" t="s">
        <v>91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0.45555555555555555</v>
      </c>
      <c r="M3" s="15">
        <v>171</v>
      </c>
      <c r="N3" s="15">
        <v>2</v>
      </c>
      <c r="O3" s="15">
        <v>1025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0.4909722222222222</v>
      </c>
      <c r="U3" s="15">
        <v>166</v>
      </c>
      <c r="V3" s="15">
        <v>2</v>
      </c>
      <c r="W3" s="15">
        <v>898</v>
      </c>
      <c r="X3" s="15">
        <v>0</v>
      </c>
      <c r="Y3" s="15">
        <v>0</v>
      </c>
      <c r="Z3" s="15"/>
      <c r="AA3" s="15"/>
    </row>
    <row r="4" spans="1:27" s="16" customFormat="1" ht="12.75" x14ac:dyDescent="0.2">
      <c r="A4" s="3">
        <v>45875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15" t="s">
        <v>92</v>
      </c>
      <c r="H4" s="12" t="s">
        <v>17</v>
      </c>
      <c r="I4" s="4">
        <v>71500</v>
      </c>
      <c r="J4" s="6" t="s">
        <v>35</v>
      </c>
      <c r="K4" s="5">
        <v>0.5</v>
      </c>
      <c r="L4" s="6">
        <v>0.4993055555555555</v>
      </c>
      <c r="M4" s="15">
        <v>167</v>
      </c>
      <c r="N4" s="15">
        <v>2</v>
      </c>
      <c r="O4" s="15">
        <v>707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0.52986111111111112</v>
      </c>
      <c r="U4" s="15">
        <v>164</v>
      </c>
      <c r="V4" s="15">
        <v>3</v>
      </c>
      <c r="W4" s="15">
        <v>807</v>
      </c>
      <c r="X4" s="15">
        <v>0</v>
      </c>
      <c r="Y4" s="15">
        <v>0</v>
      </c>
      <c r="Z4" s="15"/>
    </row>
    <row r="5" spans="1:27" x14ac:dyDescent="0.25">
      <c r="A5" s="3">
        <v>45875</v>
      </c>
      <c r="B5" s="15" t="s">
        <v>13</v>
      </c>
      <c r="C5" s="11" t="s">
        <v>14</v>
      </c>
      <c r="D5" s="15" t="s">
        <v>49</v>
      </c>
      <c r="E5" s="15" t="s">
        <v>62</v>
      </c>
      <c r="F5" s="15">
        <v>239</v>
      </c>
      <c r="G5" s="15" t="s">
        <v>101</v>
      </c>
      <c r="H5" s="12" t="s">
        <v>17</v>
      </c>
      <c r="I5" s="4">
        <v>89000</v>
      </c>
      <c r="J5" s="15" t="s">
        <v>47</v>
      </c>
      <c r="K5" s="5">
        <v>0.62847222222222221</v>
      </c>
      <c r="L5" s="6">
        <v>0.62430555555555556</v>
      </c>
      <c r="M5" s="15">
        <v>215</v>
      </c>
      <c r="N5" s="15">
        <v>7</v>
      </c>
      <c r="O5" s="15">
        <v>534</v>
      </c>
      <c r="P5" s="15">
        <v>0</v>
      </c>
      <c r="Q5" s="15">
        <v>0</v>
      </c>
      <c r="R5" s="15" t="s">
        <v>48</v>
      </c>
      <c r="S5" s="5">
        <v>0.65277777777777779</v>
      </c>
      <c r="T5" s="6">
        <v>0.66180555555555554</v>
      </c>
      <c r="U5" s="15">
        <v>189</v>
      </c>
      <c r="V5" s="15">
        <v>1</v>
      </c>
      <c r="W5" s="15">
        <v>463</v>
      </c>
      <c r="X5" s="15">
        <v>0</v>
      </c>
      <c r="Y5" s="15">
        <v>0</v>
      </c>
      <c r="Z5" s="15"/>
      <c r="AA5" s="16"/>
    </row>
    <row r="6" spans="1:27" x14ac:dyDescent="0.25">
      <c r="A6" s="3">
        <v>45875</v>
      </c>
      <c r="B6" s="15" t="s">
        <v>93</v>
      </c>
      <c r="C6" s="11" t="s">
        <v>94</v>
      </c>
      <c r="D6" s="15" t="s">
        <v>95</v>
      </c>
      <c r="E6" s="15" t="s">
        <v>96</v>
      </c>
      <c r="F6" s="15" t="s">
        <v>94</v>
      </c>
      <c r="G6" s="15" t="s">
        <v>97</v>
      </c>
      <c r="H6" s="12" t="s">
        <v>98</v>
      </c>
      <c r="I6" s="4">
        <v>4670</v>
      </c>
      <c r="J6" s="15" t="s">
        <v>99</v>
      </c>
      <c r="K6" s="5">
        <v>0.62847222222222221</v>
      </c>
      <c r="L6" s="6">
        <v>0.64097222222222217</v>
      </c>
      <c r="M6" s="15">
        <v>2</v>
      </c>
      <c r="N6" s="15">
        <v>0</v>
      </c>
      <c r="O6" s="15">
        <v>0</v>
      </c>
      <c r="P6" s="15">
        <v>0</v>
      </c>
      <c r="Q6" s="15">
        <v>0</v>
      </c>
      <c r="R6" s="15" t="s">
        <v>99</v>
      </c>
      <c r="S6" s="5">
        <v>0.65625</v>
      </c>
      <c r="T6" s="6">
        <v>0.65833333333333333</v>
      </c>
      <c r="U6" s="15" t="s">
        <v>100</v>
      </c>
      <c r="V6" s="15">
        <v>0</v>
      </c>
      <c r="W6" s="15">
        <v>0</v>
      </c>
      <c r="X6" s="15">
        <v>0</v>
      </c>
      <c r="Y6" s="15">
        <v>0</v>
      </c>
      <c r="Z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4F47-B021-4409-B930-6A34C2C439F4}">
  <dimension ref="A1:AA13"/>
  <sheetViews>
    <sheetView workbookViewId="0">
      <selection activeCell="K20" sqref="K20"/>
    </sheetView>
  </sheetViews>
  <sheetFormatPr defaultRowHeight="15" x14ac:dyDescent="0.25"/>
  <cols>
    <col min="1" max="1" width="9.85546875" customWidth="1"/>
    <col min="2" max="2" width="24.5703125" customWidth="1"/>
    <col min="4" max="4" width="19.85546875" customWidth="1"/>
    <col min="8" max="8" width="17.42578125" customWidth="1"/>
    <col min="9" max="10" width="11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7" x14ac:dyDescent="0.25">
      <c r="A2" s="3">
        <v>45876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102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0.46458333333333335</v>
      </c>
      <c r="M2" s="14">
        <v>178</v>
      </c>
      <c r="N2" s="15">
        <v>6</v>
      </c>
      <c r="O2" s="15">
        <v>691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0.55763888888888891</v>
      </c>
      <c r="U2" s="15">
        <v>163</v>
      </c>
      <c r="V2" s="15">
        <v>4</v>
      </c>
      <c r="W2" s="15">
        <v>612</v>
      </c>
      <c r="X2" s="15">
        <v>0</v>
      </c>
      <c r="Y2" s="15">
        <v>0</v>
      </c>
      <c r="Z2" s="15"/>
      <c r="AA2" s="15"/>
    </row>
    <row r="3" spans="1:27" x14ac:dyDescent="0.25">
      <c r="A3" s="3">
        <v>45876</v>
      </c>
      <c r="B3" s="15" t="s">
        <v>32</v>
      </c>
      <c r="C3" s="15" t="s">
        <v>33</v>
      </c>
      <c r="D3" s="15" t="s">
        <v>29</v>
      </c>
      <c r="E3" s="15" t="s">
        <v>57</v>
      </c>
      <c r="F3" s="15">
        <v>239</v>
      </c>
      <c r="G3" s="15" t="s">
        <v>103</v>
      </c>
      <c r="H3" s="12" t="s">
        <v>17</v>
      </c>
      <c r="I3" s="4">
        <v>89000</v>
      </c>
      <c r="J3" s="15" t="s">
        <v>86</v>
      </c>
      <c r="K3" s="5">
        <v>0.48958333333333331</v>
      </c>
      <c r="L3" s="6">
        <v>0.48472222222222222</v>
      </c>
      <c r="M3" s="15">
        <v>223</v>
      </c>
      <c r="N3" s="15">
        <v>7</v>
      </c>
      <c r="O3" s="15">
        <v>1190</v>
      </c>
      <c r="P3" s="15">
        <v>0</v>
      </c>
      <c r="Q3" s="15">
        <v>0</v>
      </c>
      <c r="R3" s="15" t="s">
        <v>104</v>
      </c>
      <c r="S3" s="5">
        <v>0.51388888888888895</v>
      </c>
      <c r="T3" s="6">
        <v>0.52569444444444446</v>
      </c>
      <c r="U3" s="15">
        <v>225</v>
      </c>
      <c r="V3" s="15">
        <v>6</v>
      </c>
      <c r="W3" s="15">
        <v>1296</v>
      </c>
      <c r="X3" s="15">
        <v>0</v>
      </c>
      <c r="Y3" s="15">
        <v>0</v>
      </c>
      <c r="Z3" s="15"/>
      <c r="AA3" s="15"/>
    </row>
    <row r="4" spans="1:27" s="16" customFormat="1" ht="12.75" x14ac:dyDescent="0.2">
      <c r="A4" s="3">
        <v>45876</v>
      </c>
      <c r="B4" s="15" t="s">
        <v>105</v>
      </c>
      <c r="C4" s="15" t="s">
        <v>94</v>
      </c>
      <c r="D4" s="12" t="s">
        <v>106</v>
      </c>
      <c r="E4" s="15" t="s">
        <v>107</v>
      </c>
      <c r="F4" s="15" t="s">
        <v>94</v>
      </c>
      <c r="G4" s="15" t="s">
        <v>108</v>
      </c>
      <c r="H4" s="12" t="s">
        <v>109</v>
      </c>
      <c r="I4" s="4">
        <v>3175</v>
      </c>
      <c r="J4" s="6" t="s">
        <v>110</v>
      </c>
      <c r="K4" s="5">
        <v>0.70833333333333337</v>
      </c>
      <c r="L4" s="6">
        <v>0.70138888888888884</v>
      </c>
      <c r="M4" s="15" t="s">
        <v>100</v>
      </c>
      <c r="N4" s="15" t="s">
        <v>111</v>
      </c>
      <c r="O4" s="15" t="s">
        <v>111</v>
      </c>
      <c r="P4" s="15">
        <v>0</v>
      </c>
      <c r="Q4" s="15">
        <v>0</v>
      </c>
      <c r="R4" s="15" t="s">
        <v>110</v>
      </c>
      <c r="S4" s="5">
        <v>0.72222222222222221</v>
      </c>
      <c r="T4" s="6">
        <v>0.7270833333333333</v>
      </c>
      <c r="U4" s="15" t="s">
        <v>100</v>
      </c>
      <c r="V4" s="15" t="s">
        <v>111</v>
      </c>
      <c r="W4" s="15" t="s">
        <v>111</v>
      </c>
      <c r="X4" s="15">
        <v>0</v>
      </c>
      <c r="Y4" s="15">
        <v>0</v>
      </c>
      <c r="Z4" s="15"/>
    </row>
    <row r="5" spans="1:27" x14ac:dyDescent="0.25">
      <c r="A5" s="3"/>
      <c r="B5" s="15"/>
      <c r="C5" s="11"/>
      <c r="D5" s="15"/>
      <c r="E5" s="15"/>
      <c r="F5" s="15"/>
      <c r="G5" s="15"/>
      <c r="H5" s="12"/>
      <c r="I5" s="4"/>
      <c r="J5" s="15"/>
      <c r="K5" s="5"/>
      <c r="L5" s="6"/>
      <c r="M5" s="15"/>
      <c r="N5" s="15"/>
      <c r="O5" s="15"/>
      <c r="P5" s="15"/>
      <c r="Q5" s="15"/>
      <c r="R5" s="15"/>
      <c r="S5" s="5"/>
      <c r="T5" s="6"/>
      <c r="U5" s="15"/>
      <c r="V5" s="15"/>
      <c r="W5" s="15"/>
      <c r="X5" s="15"/>
      <c r="Y5" s="15"/>
      <c r="Z5" s="15"/>
      <c r="AA5" s="16"/>
    </row>
    <row r="6" spans="1:27" x14ac:dyDescent="0.25">
      <c r="A6" s="3"/>
      <c r="B6" s="15"/>
      <c r="C6" s="11"/>
      <c r="D6" s="15"/>
      <c r="E6" s="15"/>
      <c r="F6" s="15"/>
      <c r="G6" s="15"/>
      <c r="H6" s="12"/>
      <c r="I6" s="4"/>
      <c r="J6" s="15"/>
      <c r="K6" s="5"/>
      <c r="L6" s="6"/>
      <c r="M6" s="15"/>
      <c r="N6" s="15"/>
      <c r="O6" s="15"/>
      <c r="P6" s="15"/>
      <c r="Q6" s="15"/>
      <c r="R6" s="15"/>
      <c r="S6" s="5"/>
      <c r="T6" s="6"/>
      <c r="U6" s="15"/>
      <c r="V6" s="15"/>
      <c r="W6" s="15"/>
      <c r="X6" s="15"/>
      <c r="Y6" s="15"/>
      <c r="Z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3AD-99FF-4808-9D96-BF99B3BC13AA}">
  <dimension ref="A1:AA7"/>
  <sheetViews>
    <sheetView topLeftCell="C1" workbookViewId="0">
      <selection sqref="A1:AA14"/>
    </sheetView>
  </sheetViews>
  <sheetFormatPr defaultRowHeight="15" x14ac:dyDescent="0.25"/>
  <cols>
    <col min="1" max="1" width="10.28515625" customWidth="1"/>
    <col min="2" max="2" width="23.42578125" customWidth="1"/>
    <col min="3" max="3" width="10" customWidth="1"/>
    <col min="4" max="4" width="16.42578125" customWidth="1"/>
    <col min="6" max="6" width="10.85546875" customWidth="1"/>
    <col min="7" max="7" width="9.28515625" bestFit="1" customWidth="1"/>
    <col min="8" max="8" width="16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45877</v>
      </c>
      <c r="B2" s="15" t="s">
        <v>38</v>
      </c>
      <c r="C2" s="2" t="s">
        <v>39</v>
      </c>
      <c r="D2" s="12" t="s">
        <v>37</v>
      </c>
      <c r="E2" s="13" t="s">
        <v>16</v>
      </c>
      <c r="F2" s="12">
        <v>180</v>
      </c>
      <c r="G2" s="4" t="s">
        <v>112</v>
      </c>
      <c r="H2" s="2" t="s">
        <v>17</v>
      </c>
      <c r="I2" s="4">
        <v>71500</v>
      </c>
      <c r="J2" s="6" t="s">
        <v>40</v>
      </c>
      <c r="K2" s="5">
        <v>0.36805555555555558</v>
      </c>
      <c r="L2" s="6">
        <v>0.3520833333333333</v>
      </c>
      <c r="M2" s="14">
        <v>163</v>
      </c>
      <c r="N2" s="15">
        <v>0</v>
      </c>
      <c r="O2" s="15">
        <v>1593</v>
      </c>
      <c r="P2" s="15">
        <v>0</v>
      </c>
      <c r="Q2" s="15">
        <v>0</v>
      </c>
      <c r="R2" s="15" t="s">
        <v>41</v>
      </c>
      <c r="S2" s="5">
        <v>0.4236111111111111</v>
      </c>
      <c r="T2" s="6">
        <v>0.42222222222222222</v>
      </c>
      <c r="U2" s="14">
        <v>152</v>
      </c>
      <c r="V2" s="15">
        <v>0</v>
      </c>
      <c r="W2" s="15">
        <v>1388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45877</v>
      </c>
      <c r="B3" s="15" t="s">
        <v>13</v>
      </c>
      <c r="C3" s="11" t="s">
        <v>14</v>
      </c>
      <c r="D3" s="15" t="s">
        <v>15</v>
      </c>
      <c r="E3" s="15" t="s">
        <v>16</v>
      </c>
      <c r="F3" s="15">
        <v>186</v>
      </c>
      <c r="G3" s="15" t="s">
        <v>113</v>
      </c>
      <c r="H3" s="12" t="s">
        <v>17</v>
      </c>
      <c r="I3" s="4">
        <v>71500</v>
      </c>
      <c r="J3" s="15" t="s">
        <v>18</v>
      </c>
      <c r="K3" s="5">
        <v>0.3923611111111111</v>
      </c>
      <c r="L3" s="6">
        <v>0.41666666666666669</v>
      </c>
      <c r="M3" s="14">
        <v>169</v>
      </c>
      <c r="N3" s="15">
        <v>6</v>
      </c>
      <c r="O3" s="15">
        <v>580</v>
      </c>
      <c r="P3" s="15">
        <v>0</v>
      </c>
      <c r="Q3" s="15">
        <v>0</v>
      </c>
      <c r="R3" s="15" t="s">
        <v>28</v>
      </c>
      <c r="S3" s="5">
        <v>0.41319444444444442</v>
      </c>
      <c r="T3" s="6">
        <v>0.4777777777777778</v>
      </c>
      <c r="U3" s="15">
        <v>180</v>
      </c>
      <c r="V3" s="15">
        <v>4</v>
      </c>
      <c r="W3" s="15">
        <v>979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45877</v>
      </c>
      <c r="B4" s="15" t="s">
        <v>13</v>
      </c>
      <c r="C4" s="11" t="s">
        <v>14</v>
      </c>
      <c r="D4" s="15" t="s">
        <v>29</v>
      </c>
      <c r="E4" s="12" t="s">
        <v>16</v>
      </c>
      <c r="F4" s="15">
        <v>186</v>
      </c>
      <c r="G4" s="15" t="s">
        <v>91</v>
      </c>
      <c r="H4" s="12" t="s">
        <v>17</v>
      </c>
      <c r="I4" s="4">
        <v>71500</v>
      </c>
      <c r="J4" s="15" t="s">
        <v>30</v>
      </c>
      <c r="K4" s="5">
        <v>0.49652777777777773</v>
      </c>
      <c r="L4" s="6">
        <v>0.4826388888888889</v>
      </c>
      <c r="M4" s="15">
        <v>177</v>
      </c>
      <c r="N4" s="15">
        <v>7</v>
      </c>
      <c r="O4" s="15">
        <v>1014</v>
      </c>
      <c r="P4" s="15">
        <v>0</v>
      </c>
      <c r="Q4" s="15">
        <v>0</v>
      </c>
      <c r="R4" s="15" t="s">
        <v>31</v>
      </c>
      <c r="S4" s="5">
        <v>0.51736111111111105</v>
      </c>
      <c r="T4" s="6">
        <v>0.51944444444444449</v>
      </c>
      <c r="U4" s="15">
        <v>177</v>
      </c>
      <c r="V4" s="15">
        <v>6</v>
      </c>
      <c r="W4" s="15">
        <v>1222</v>
      </c>
      <c r="X4" s="15">
        <v>0</v>
      </c>
      <c r="Y4" s="15">
        <v>0</v>
      </c>
      <c r="Z4" s="15">
        <v>0</v>
      </c>
      <c r="AA4" s="15">
        <v>0</v>
      </c>
    </row>
    <row r="5" spans="1:27" x14ac:dyDescent="0.25">
      <c r="A5" s="3">
        <v>45877</v>
      </c>
      <c r="B5" s="15" t="s">
        <v>32</v>
      </c>
      <c r="C5" s="15" t="s">
        <v>33</v>
      </c>
      <c r="D5" s="12" t="s">
        <v>34</v>
      </c>
      <c r="E5" s="15" t="s">
        <v>16</v>
      </c>
      <c r="F5" s="15">
        <v>180</v>
      </c>
      <c r="G5" s="4" t="s">
        <v>114</v>
      </c>
      <c r="H5" s="12" t="s">
        <v>17</v>
      </c>
      <c r="I5" s="4">
        <v>71500</v>
      </c>
      <c r="J5" s="6" t="s">
        <v>35</v>
      </c>
      <c r="K5" s="5">
        <v>0.5</v>
      </c>
      <c r="L5" s="6">
        <v>0.49861111111111112</v>
      </c>
      <c r="M5" s="15">
        <v>174</v>
      </c>
      <c r="N5" s="15">
        <v>5</v>
      </c>
      <c r="O5" s="15">
        <v>973</v>
      </c>
      <c r="P5" s="15">
        <v>0</v>
      </c>
      <c r="Q5" s="15">
        <v>0</v>
      </c>
      <c r="R5" s="15" t="s">
        <v>36</v>
      </c>
      <c r="S5" s="5">
        <v>0.52083333333333337</v>
      </c>
      <c r="T5" s="6">
        <v>0.53472222222222221</v>
      </c>
      <c r="U5" s="15">
        <v>178</v>
      </c>
      <c r="V5" s="15">
        <v>5</v>
      </c>
      <c r="W5" s="15">
        <v>985</v>
      </c>
      <c r="X5" s="15">
        <v>0</v>
      </c>
      <c r="Y5" s="15">
        <v>0</v>
      </c>
      <c r="Z5" s="15">
        <v>0</v>
      </c>
    </row>
    <row r="6" spans="1:27" x14ac:dyDescent="0.25">
      <c r="A6" s="3">
        <v>45877</v>
      </c>
      <c r="B6" s="15" t="s">
        <v>53</v>
      </c>
      <c r="C6" s="15" t="s">
        <v>44</v>
      </c>
      <c r="D6" s="15" t="s">
        <v>42</v>
      </c>
      <c r="E6" s="15" t="s">
        <v>16</v>
      </c>
      <c r="F6" s="15">
        <v>180</v>
      </c>
      <c r="G6" s="15" t="s">
        <v>115</v>
      </c>
      <c r="H6" s="12" t="s">
        <v>43</v>
      </c>
      <c r="I6" s="4">
        <v>71500</v>
      </c>
      <c r="J6" s="15" t="s">
        <v>45</v>
      </c>
      <c r="K6" s="5">
        <v>0.375</v>
      </c>
      <c r="L6" s="6">
        <v>0.38194444444444442</v>
      </c>
      <c r="M6" s="15">
        <v>180</v>
      </c>
      <c r="N6" s="15">
        <v>5</v>
      </c>
      <c r="O6" s="15">
        <v>2619</v>
      </c>
      <c r="P6" s="15">
        <v>0</v>
      </c>
      <c r="Q6" s="15">
        <v>0</v>
      </c>
      <c r="R6" s="15" t="s">
        <v>46</v>
      </c>
      <c r="S6" s="5">
        <v>0.41666666666666669</v>
      </c>
      <c r="T6" s="6">
        <v>0.43263888888888885</v>
      </c>
      <c r="U6" s="15">
        <v>178</v>
      </c>
      <c r="V6" s="15">
        <v>2</v>
      </c>
      <c r="W6" s="15">
        <v>2015</v>
      </c>
      <c r="X6" s="15">
        <v>0</v>
      </c>
      <c r="Y6" s="15">
        <v>0</v>
      </c>
      <c r="Z6" s="15">
        <v>0</v>
      </c>
      <c r="AA6" s="15">
        <v>0</v>
      </c>
    </row>
    <row r="7" spans="1:27" x14ac:dyDescent="0.25">
      <c r="A7" s="3">
        <v>45877</v>
      </c>
      <c r="B7" s="15" t="s">
        <v>13</v>
      </c>
      <c r="C7" s="11" t="s">
        <v>14</v>
      </c>
      <c r="D7" s="15" t="s">
        <v>49</v>
      </c>
      <c r="E7" s="15" t="s">
        <v>16</v>
      </c>
      <c r="F7" s="12">
        <v>239</v>
      </c>
      <c r="G7" s="15" t="s">
        <v>116</v>
      </c>
      <c r="H7" s="12" t="s">
        <v>17</v>
      </c>
      <c r="I7" s="4">
        <v>89000</v>
      </c>
      <c r="J7" s="15" t="s">
        <v>47</v>
      </c>
      <c r="K7" s="5">
        <v>0.87847222222222221</v>
      </c>
      <c r="L7" s="6">
        <v>0.88124999999999998</v>
      </c>
      <c r="M7" s="15">
        <v>223</v>
      </c>
      <c r="N7" s="15">
        <v>6</v>
      </c>
      <c r="O7" s="15">
        <v>555</v>
      </c>
      <c r="P7" s="15">
        <v>0</v>
      </c>
      <c r="Q7" s="15">
        <v>0</v>
      </c>
      <c r="R7" s="15" t="s">
        <v>48</v>
      </c>
      <c r="S7" s="5">
        <v>0.90277777777777779</v>
      </c>
      <c r="T7" s="6">
        <v>0.91527777777777775</v>
      </c>
      <c r="U7" s="15">
        <v>207</v>
      </c>
      <c r="V7" s="15">
        <v>3</v>
      </c>
      <c r="W7" s="15">
        <v>643</v>
      </c>
      <c r="X7" s="15">
        <v>0</v>
      </c>
      <c r="Y7" s="15">
        <v>0</v>
      </c>
      <c r="Z7" s="15">
        <v>0</v>
      </c>
      <c r="AA7" s="1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1FEE-FBB6-4DA8-AFBE-0775F1660476}">
  <dimension ref="A1:AA5"/>
  <sheetViews>
    <sheetView workbookViewId="0">
      <selection activeCell="D14" sqref="D14"/>
    </sheetView>
  </sheetViews>
  <sheetFormatPr defaultRowHeight="12.75" x14ac:dyDescent="0.2"/>
  <cols>
    <col min="1" max="1" width="10.28515625" style="16" customWidth="1"/>
    <col min="2" max="2" width="23.42578125" style="16" customWidth="1"/>
    <col min="3" max="3" width="10" style="16" customWidth="1"/>
    <col min="4" max="4" width="16.42578125" style="16" customWidth="1"/>
    <col min="5" max="5" width="9.140625" style="16"/>
    <col min="6" max="6" width="10.85546875" style="16" customWidth="1"/>
    <col min="7" max="7" width="9.28515625" style="16" bestFit="1" customWidth="1"/>
    <col min="8" max="8" width="16" style="16" customWidth="1"/>
    <col min="9" max="9" width="9.7109375" style="16" bestFit="1" customWidth="1"/>
    <col min="10" max="10" width="11.140625" style="16" bestFit="1" customWidth="1"/>
    <col min="11" max="11" width="11" style="16" bestFit="1" customWidth="1"/>
    <col min="12" max="12" width="11.140625" style="16" bestFit="1" customWidth="1"/>
    <col min="13" max="13" width="11" style="16" bestFit="1" customWidth="1"/>
    <col min="14" max="14" width="9.5703125" style="16" customWidth="1"/>
    <col min="15" max="15" width="13" style="16" customWidth="1"/>
    <col min="16" max="16" width="9.28515625" style="16" bestFit="1" customWidth="1"/>
    <col min="17" max="17" width="10.42578125" style="16" bestFit="1" customWidth="1"/>
    <col min="18" max="18" width="9.5703125" style="16" bestFit="1" customWidth="1"/>
    <col min="19" max="21" width="9.28515625" style="16" bestFit="1" customWidth="1"/>
    <col min="22" max="16384" width="9.140625" style="16"/>
  </cols>
  <sheetData>
    <row r="1" spans="1:27" ht="25.5" x14ac:dyDescent="0.2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">
      <c r="A2" s="3">
        <v>45878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117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0.3923611111111111</v>
      </c>
      <c r="M2" s="14">
        <v>177</v>
      </c>
      <c r="N2" s="15">
        <v>1</v>
      </c>
      <c r="O2" s="15">
        <v>792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0.4291666666666667</v>
      </c>
      <c r="U2" s="15">
        <v>175</v>
      </c>
      <c r="V2" s="15">
        <v>4</v>
      </c>
      <c r="W2" s="15">
        <v>1266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">
      <c r="A3" s="3">
        <v>45878</v>
      </c>
      <c r="B3" s="15" t="s">
        <v>32</v>
      </c>
      <c r="C3" s="15" t="s">
        <v>33</v>
      </c>
      <c r="D3" s="15" t="s">
        <v>29</v>
      </c>
      <c r="E3" s="12" t="s">
        <v>57</v>
      </c>
      <c r="F3" s="15">
        <v>239</v>
      </c>
      <c r="G3" s="15" t="s">
        <v>118</v>
      </c>
      <c r="H3" s="12" t="s">
        <v>17</v>
      </c>
      <c r="I3" s="4">
        <v>71500</v>
      </c>
      <c r="J3" s="15" t="s">
        <v>30</v>
      </c>
      <c r="K3" s="5">
        <v>0.43402777777777773</v>
      </c>
      <c r="L3" s="6">
        <v>0.4284722222222222</v>
      </c>
      <c r="M3" s="15">
        <v>213</v>
      </c>
      <c r="N3" s="15">
        <v>3</v>
      </c>
      <c r="O3" s="15">
        <v>912</v>
      </c>
      <c r="P3" s="15">
        <v>0</v>
      </c>
      <c r="Q3" s="15">
        <v>0</v>
      </c>
      <c r="R3" s="15" t="s">
        <v>31</v>
      </c>
      <c r="S3" s="5">
        <v>0.45833333333333331</v>
      </c>
      <c r="T3" s="6">
        <v>0.46527777777777773</v>
      </c>
      <c r="U3" s="15">
        <v>237</v>
      </c>
      <c r="V3" s="15">
        <v>4</v>
      </c>
      <c r="W3" s="15">
        <v>1972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">
      <c r="A4" s="3">
        <v>45878</v>
      </c>
      <c r="B4" s="15" t="s">
        <v>32</v>
      </c>
      <c r="C4" s="15" t="s">
        <v>33</v>
      </c>
      <c r="D4" s="12" t="s">
        <v>34</v>
      </c>
      <c r="E4" s="12" t="s">
        <v>57</v>
      </c>
      <c r="F4" s="15">
        <v>239</v>
      </c>
      <c r="G4" s="4" t="s">
        <v>89</v>
      </c>
      <c r="H4" s="12" t="s">
        <v>17</v>
      </c>
      <c r="I4" s="4">
        <v>71500</v>
      </c>
      <c r="J4" s="6" t="s">
        <v>35</v>
      </c>
      <c r="K4" s="5">
        <v>0.48958333333333331</v>
      </c>
      <c r="L4" s="6">
        <v>0.48333333333333334</v>
      </c>
      <c r="M4" s="15">
        <v>224</v>
      </c>
      <c r="N4" s="15">
        <v>3</v>
      </c>
      <c r="O4" s="15">
        <v>1226</v>
      </c>
      <c r="P4" s="15">
        <v>0</v>
      </c>
      <c r="Q4" s="15">
        <v>0</v>
      </c>
      <c r="R4" s="15" t="s">
        <v>36</v>
      </c>
      <c r="S4" s="5">
        <v>0.51388888888888895</v>
      </c>
      <c r="T4" s="6">
        <v>0.52013888888888882</v>
      </c>
      <c r="U4" s="15">
        <v>231</v>
      </c>
      <c r="V4" s="15">
        <v>1</v>
      </c>
      <c r="W4" s="15">
        <v>1371</v>
      </c>
      <c r="X4" s="15">
        <v>0</v>
      </c>
      <c r="Y4" s="15">
        <v>0</v>
      </c>
      <c r="Z4" s="15">
        <v>0</v>
      </c>
      <c r="AA4" s="15">
        <v>0</v>
      </c>
    </row>
    <row r="5" spans="1:27" x14ac:dyDescent="0.2">
      <c r="A5" s="3">
        <v>45878</v>
      </c>
      <c r="B5" s="15" t="s">
        <v>120</v>
      </c>
      <c r="C5" s="15" t="s">
        <v>121</v>
      </c>
      <c r="D5" s="16" t="s">
        <v>122</v>
      </c>
      <c r="E5" s="16" t="s">
        <v>123</v>
      </c>
      <c r="F5" s="15" t="s">
        <v>121</v>
      </c>
      <c r="G5" s="16" t="s">
        <v>119</v>
      </c>
      <c r="H5" s="12" t="s">
        <v>98</v>
      </c>
      <c r="I5" s="4">
        <v>1000</v>
      </c>
      <c r="J5" s="16" t="s">
        <v>119</v>
      </c>
      <c r="K5" s="18">
        <v>0.38194444444444442</v>
      </c>
      <c r="L5" s="18">
        <v>0.375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 t="s">
        <v>119</v>
      </c>
      <c r="S5" s="18">
        <v>0.39583333333333331</v>
      </c>
      <c r="T5" s="18">
        <v>0.38541666666666669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A9B4-4CE7-4A99-A021-317A233608F0}">
  <dimension ref="A1:AA4"/>
  <sheetViews>
    <sheetView workbookViewId="0">
      <selection activeCell="D11" sqref="D11"/>
    </sheetView>
  </sheetViews>
  <sheetFormatPr defaultRowHeight="15" x14ac:dyDescent="0.25"/>
  <cols>
    <col min="2" max="2" width="23.28515625" customWidth="1"/>
    <col min="4" max="4" width="16.7109375" customWidth="1"/>
    <col min="7" max="7" width="10.7109375" customWidth="1"/>
    <col min="8" max="8" width="15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45879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124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0.40347222222222223</v>
      </c>
      <c r="M2" s="14">
        <v>168</v>
      </c>
      <c r="N2" s="15">
        <v>4</v>
      </c>
      <c r="O2" s="15">
        <v>744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0.43472222222222223</v>
      </c>
      <c r="U2" s="15">
        <v>176</v>
      </c>
      <c r="V2" s="15">
        <v>1</v>
      </c>
      <c r="W2" s="15">
        <v>931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45879</v>
      </c>
      <c r="B3" s="15" t="s">
        <v>13</v>
      </c>
      <c r="C3" s="15" t="s">
        <v>33</v>
      </c>
      <c r="D3" s="15" t="s">
        <v>29</v>
      </c>
      <c r="E3" s="15" t="s">
        <v>16</v>
      </c>
      <c r="F3" s="15">
        <v>180</v>
      </c>
      <c r="G3" s="15" t="s">
        <v>91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0.47152777777777777</v>
      </c>
      <c r="M3" s="15">
        <v>169</v>
      </c>
      <c r="N3" s="15">
        <v>3</v>
      </c>
      <c r="O3" s="15">
        <v>898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0.50208333333333333</v>
      </c>
      <c r="U3" s="15">
        <v>179</v>
      </c>
      <c r="V3" s="15">
        <v>3</v>
      </c>
      <c r="W3" s="15">
        <v>959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45879</v>
      </c>
      <c r="B4" s="15" t="s">
        <v>13</v>
      </c>
      <c r="C4" s="11" t="s">
        <v>14</v>
      </c>
      <c r="D4" s="16" t="s">
        <v>49</v>
      </c>
      <c r="E4" s="15" t="s">
        <v>62</v>
      </c>
      <c r="F4" s="16">
        <v>239</v>
      </c>
      <c r="G4" s="15" t="s">
        <v>125</v>
      </c>
      <c r="H4" s="12" t="s">
        <v>17</v>
      </c>
      <c r="I4" s="17">
        <v>89000</v>
      </c>
      <c r="J4" s="16" t="s">
        <v>47</v>
      </c>
      <c r="K4" s="19">
        <v>0.62847222222222221</v>
      </c>
      <c r="L4" s="18">
        <v>0.62291666666666667</v>
      </c>
      <c r="M4" s="16">
        <v>220</v>
      </c>
      <c r="N4" s="16">
        <v>3</v>
      </c>
      <c r="O4" s="16">
        <v>538</v>
      </c>
      <c r="P4" s="16">
        <v>0</v>
      </c>
      <c r="Q4" s="16">
        <v>0</v>
      </c>
      <c r="R4" s="16" t="s">
        <v>48</v>
      </c>
      <c r="S4" s="19">
        <v>0.65277777777777779</v>
      </c>
      <c r="T4" s="18">
        <v>0.66319444444444442</v>
      </c>
      <c r="U4" s="16">
        <v>222</v>
      </c>
      <c r="V4" s="16">
        <v>4</v>
      </c>
      <c r="W4" s="16">
        <v>638</v>
      </c>
      <c r="X4" s="16">
        <v>0</v>
      </c>
      <c r="Y4" s="16">
        <v>0</v>
      </c>
      <c r="Z4" s="16">
        <v>0</v>
      </c>
      <c r="AA4" s="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923-6057-4B5B-B4F7-0E0401A4662F}">
  <dimension ref="A1:Y5"/>
  <sheetViews>
    <sheetView workbookViewId="0">
      <selection activeCell="F6" sqref="F6"/>
    </sheetView>
  </sheetViews>
  <sheetFormatPr defaultRowHeight="15" x14ac:dyDescent="0.25"/>
  <cols>
    <col min="2" max="2" width="25" customWidth="1"/>
    <col min="4" max="4" width="17.85546875" customWidth="1"/>
    <col min="8" max="8" width="13.42578125" customWidth="1"/>
  </cols>
  <sheetData>
    <row r="1" spans="1:25" ht="25.5" x14ac:dyDescent="0.25">
      <c r="A1" s="8" t="s">
        <v>70</v>
      </c>
      <c r="B1" s="8" t="s">
        <v>71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20">
        <v>45880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58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0.37986111111111115</v>
      </c>
      <c r="M2" s="15">
        <v>158</v>
      </c>
      <c r="N2" s="15">
        <v>6</v>
      </c>
      <c r="O2" s="15">
        <v>872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0.42708333333333331</v>
      </c>
      <c r="U2" s="15">
        <v>176</v>
      </c>
      <c r="V2" s="15">
        <v>1</v>
      </c>
      <c r="W2" s="15">
        <v>763</v>
      </c>
      <c r="X2" s="15">
        <v>0</v>
      </c>
      <c r="Y2" s="15">
        <v>0</v>
      </c>
    </row>
    <row r="3" spans="1:25" x14ac:dyDescent="0.25">
      <c r="A3" s="20">
        <v>45880</v>
      </c>
      <c r="B3" s="15" t="s">
        <v>13</v>
      </c>
      <c r="C3" s="11" t="s">
        <v>14</v>
      </c>
      <c r="D3" s="15" t="s">
        <v>29</v>
      </c>
      <c r="E3" s="12" t="s">
        <v>16</v>
      </c>
      <c r="F3" s="15">
        <v>180</v>
      </c>
      <c r="G3" s="15" t="s">
        <v>114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0.45902777777777781</v>
      </c>
      <c r="M3" s="15">
        <v>163</v>
      </c>
      <c r="N3" s="15">
        <v>1</v>
      </c>
      <c r="O3" s="15">
        <v>1009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</v>
      </c>
      <c r="U3" s="15">
        <v>177</v>
      </c>
      <c r="V3" s="15">
        <v>5</v>
      </c>
      <c r="W3" s="15">
        <v>1390</v>
      </c>
      <c r="X3" s="15">
        <v>0</v>
      </c>
      <c r="Y3" s="15">
        <v>0</v>
      </c>
    </row>
    <row r="4" spans="1:25" x14ac:dyDescent="0.25">
      <c r="A4" s="20">
        <v>45880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4" t="s">
        <v>92</v>
      </c>
      <c r="H4" s="12" t="s">
        <v>17</v>
      </c>
      <c r="I4" s="4">
        <v>71500</v>
      </c>
      <c r="J4" s="6" t="s">
        <v>35</v>
      </c>
      <c r="K4" s="5">
        <v>0.5</v>
      </c>
      <c r="L4" s="6">
        <v>0.50416666666666665</v>
      </c>
      <c r="M4" s="15">
        <v>148</v>
      </c>
      <c r="N4" s="15">
        <v>4</v>
      </c>
      <c r="O4" s="15">
        <v>706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0.54166666666666663</v>
      </c>
      <c r="U4" s="15">
        <v>174</v>
      </c>
      <c r="V4" s="15">
        <v>3</v>
      </c>
      <c r="W4" s="15">
        <v>715</v>
      </c>
      <c r="X4" s="15">
        <v>0</v>
      </c>
      <c r="Y4" s="15">
        <v>0</v>
      </c>
    </row>
    <row r="5" spans="1:25" x14ac:dyDescent="0.25">
      <c r="A5" s="20">
        <v>45880</v>
      </c>
      <c r="B5" s="15" t="s">
        <v>72</v>
      </c>
      <c r="C5" s="2" t="s">
        <v>73</v>
      </c>
      <c r="D5" s="12" t="s">
        <v>37</v>
      </c>
      <c r="E5" s="13" t="s">
        <v>74</v>
      </c>
      <c r="F5" s="12">
        <v>186</v>
      </c>
      <c r="G5" s="4" t="s">
        <v>126</v>
      </c>
      <c r="H5" s="12" t="s">
        <v>17</v>
      </c>
      <c r="I5" s="4">
        <v>79000</v>
      </c>
      <c r="J5" s="6" t="s">
        <v>75</v>
      </c>
      <c r="K5" s="5">
        <v>0.56597222222222221</v>
      </c>
      <c r="L5" s="6">
        <v>0.60277777777777775</v>
      </c>
      <c r="M5" s="14">
        <v>186</v>
      </c>
      <c r="N5" s="15">
        <v>2</v>
      </c>
      <c r="O5" s="15">
        <v>1874</v>
      </c>
      <c r="P5" s="15">
        <v>0</v>
      </c>
      <c r="Q5" s="15">
        <v>0</v>
      </c>
      <c r="R5" s="15" t="s">
        <v>76</v>
      </c>
      <c r="S5" s="5">
        <v>0.60763888888888895</v>
      </c>
      <c r="T5" s="6">
        <v>0.65416666666666667</v>
      </c>
      <c r="U5" s="15">
        <v>186</v>
      </c>
      <c r="V5" s="15">
        <v>5</v>
      </c>
      <c r="W5" s="15">
        <v>2006</v>
      </c>
      <c r="X5" s="15">
        <v>0</v>
      </c>
      <c r="Y5" s="1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D5EB-450A-4284-9701-83A1FA74E3AF}">
  <dimension ref="A1:Y5"/>
  <sheetViews>
    <sheetView workbookViewId="0">
      <selection activeCell="F15" sqref="F15"/>
    </sheetView>
  </sheetViews>
  <sheetFormatPr defaultRowHeight="15" x14ac:dyDescent="0.25"/>
  <cols>
    <col min="2" max="2" width="24.42578125" customWidth="1"/>
    <col min="4" max="4" width="19.140625" customWidth="1"/>
    <col min="8" max="8" width="12.85546875" customWidth="1"/>
  </cols>
  <sheetData>
    <row r="1" spans="1:25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3">
        <v>45881</v>
      </c>
      <c r="B2" s="15" t="s">
        <v>53</v>
      </c>
      <c r="C2" s="15" t="s">
        <v>44</v>
      </c>
      <c r="D2" s="15" t="s">
        <v>42</v>
      </c>
      <c r="E2" s="15" t="s">
        <v>16</v>
      </c>
      <c r="F2" s="15">
        <v>180</v>
      </c>
      <c r="G2" s="15" t="s">
        <v>127</v>
      </c>
      <c r="H2" s="15" t="s">
        <v>43</v>
      </c>
      <c r="I2" s="4">
        <v>71500</v>
      </c>
      <c r="J2" s="15" t="s">
        <v>79</v>
      </c>
      <c r="K2" s="5">
        <v>0.33333333333333331</v>
      </c>
      <c r="L2" s="6">
        <v>0.33333333333333331</v>
      </c>
      <c r="M2" s="15">
        <v>180</v>
      </c>
      <c r="N2" s="15">
        <v>2</v>
      </c>
      <c r="O2" s="15">
        <v>2392</v>
      </c>
      <c r="P2" s="15">
        <v>0</v>
      </c>
      <c r="Q2" s="15">
        <v>0</v>
      </c>
      <c r="R2" s="15" t="s">
        <v>80</v>
      </c>
      <c r="S2" s="5">
        <v>0.375</v>
      </c>
      <c r="T2" s="6">
        <v>0.39861111111111108</v>
      </c>
      <c r="U2" s="15">
        <v>179</v>
      </c>
      <c r="V2" s="15">
        <v>1</v>
      </c>
      <c r="W2" s="15">
        <v>2099</v>
      </c>
      <c r="X2" s="15">
        <v>0</v>
      </c>
      <c r="Y2" s="15">
        <v>0</v>
      </c>
    </row>
    <row r="3" spans="1:25" x14ac:dyDescent="0.25">
      <c r="A3" s="3">
        <v>45881</v>
      </c>
      <c r="B3" s="15" t="s">
        <v>81</v>
      </c>
      <c r="C3" s="15" t="s">
        <v>82</v>
      </c>
      <c r="D3" s="15" t="s">
        <v>42</v>
      </c>
      <c r="E3" s="15" t="s">
        <v>83</v>
      </c>
      <c r="F3" s="15">
        <v>189</v>
      </c>
      <c r="G3" s="15" t="s">
        <v>128</v>
      </c>
      <c r="H3" s="15" t="s">
        <v>43</v>
      </c>
      <c r="I3" s="4">
        <v>80000</v>
      </c>
      <c r="J3" s="15" t="s">
        <v>84</v>
      </c>
      <c r="K3" s="5">
        <v>0.43402777777777773</v>
      </c>
      <c r="L3" s="6">
        <v>0.4291666666666667</v>
      </c>
      <c r="M3" s="15">
        <v>185</v>
      </c>
      <c r="N3" s="15">
        <v>2</v>
      </c>
      <c r="O3" s="15">
        <v>2468</v>
      </c>
      <c r="P3" s="15">
        <v>0</v>
      </c>
      <c r="Q3" s="15">
        <v>0</v>
      </c>
      <c r="R3" s="15" t="s">
        <v>85</v>
      </c>
      <c r="S3" s="5">
        <v>0.47569444444444442</v>
      </c>
      <c r="T3" s="6">
        <v>0.48194444444444445</v>
      </c>
      <c r="U3" s="15">
        <v>187</v>
      </c>
      <c r="V3" s="15">
        <v>2</v>
      </c>
      <c r="W3" s="15">
        <v>2011</v>
      </c>
      <c r="X3" s="15">
        <v>0</v>
      </c>
      <c r="Y3" s="15">
        <v>0</v>
      </c>
    </row>
    <row r="4" spans="1:25" x14ac:dyDescent="0.25">
      <c r="A4" s="3">
        <v>45881</v>
      </c>
      <c r="B4" s="15" t="s">
        <v>32</v>
      </c>
      <c r="C4" s="15" t="s">
        <v>33</v>
      </c>
      <c r="D4" s="12" t="s">
        <v>34</v>
      </c>
      <c r="E4" s="12" t="s">
        <v>57</v>
      </c>
      <c r="F4" s="15">
        <v>239</v>
      </c>
      <c r="G4" s="15" t="s">
        <v>88</v>
      </c>
      <c r="H4" s="12" t="s">
        <v>17</v>
      </c>
      <c r="I4" s="4">
        <v>89000</v>
      </c>
      <c r="J4" s="6" t="s">
        <v>35</v>
      </c>
      <c r="K4" s="5">
        <v>0.43402777777777773</v>
      </c>
      <c r="L4" s="6">
        <v>0.42569444444444443</v>
      </c>
      <c r="M4" s="15">
        <v>68</v>
      </c>
      <c r="N4" s="15">
        <v>1</v>
      </c>
      <c r="O4" s="15">
        <v>260</v>
      </c>
      <c r="P4" s="15">
        <v>0</v>
      </c>
      <c r="Q4" s="15">
        <v>0</v>
      </c>
      <c r="R4" s="15" t="s">
        <v>36</v>
      </c>
      <c r="S4" s="5">
        <v>0.45833333333333331</v>
      </c>
      <c r="T4" s="6">
        <v>0.47847222222222219</v>
      </c>
      <c r="U4" s="15">
        <v>232</v>
      </c>
      <c r="V4" s="15">
        <v>5</v>
      </c>
      <c r="W4" s="15">
        <v>1348</v>
      </c>
      <c r="X4" s="15">
        <v>0</v>
      </c>
      <c r="Y4" s="15">
        <v>0</v>
      </c>
    </row>
    <row r="5" spans="1:25" x14ac:dyDescent="0.25">
      <c r="A5" s="3">
        <v>45881</v>
      </c>
      <c r="B5" s="15" t="s">
        <v>32</v>
      </c>
      <c r="C5" s="11" t="s">
        <v>33</v>
      </c>
      <c r="D5" s="15" t="s">
        <v>29</v>
      </c>
      <c r="E5" s="12" t="s">
        <v>57</v>
      </c>
      <c r="F5" s="15">
        <v>239</v>
      </c>
      <c r="G5" s="15" t="s">
        <v>129</v>
      </c>
      <c r="H5" s="12" t="s">
        <v>17</v>
      </c>
      <c r="I5" s="4">
        <v>89000</v>
      </c>
      <c r="J5" s="15" t="s">
        <v>86</v>
      </c>
      <c r="K5" s="5">
        <v>0.48958333333333331</v>
      </c>
      <c r="L5" s="6">
        <v>0.5180555555555556</v>
      </c>
      <c r="M5" s="15">
        <v>210</v>
      </c>
      <c r="N5" s="15">
        <v>7</v>
      </c>
      <c r="O5" s="15">
        <v>1088</v>
      </c>
      <c r="P5" s="15">
        <v>0</v>
      </c>
      <c r="Q5" s="15">
        <v>0</v>
      </c>
      <c r="R5" s="15" t="s">
        <v>86</v>
      </c>
      <c r="S5" s="5">
        <v>0.51736111111111105</v>
      </c>
      <c r="T5" s="6">
        <v>0.56111111111111112</v>
      </c>
      <c r="U5" s="15">
        <v>229</v>
      </c>
      <c r="V5" s="15">
        <v>6</v>
      </c>
      <c r="W5" s="15">
        <v>1420</v>
      </c>
      <c r="X5" s="15">
        <v>0</v>
      </c>
      <c r="Y5" s="1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7F0E-2D9D-4589-AB60-B651394EE221}">
  <dimension ref="A1:AA13"/>
  <sheetViews>
    <sheetView workbookViewId="0">
      <selection activeCell="T6" sqref="T6"/>
    </sheetView>
  </sheetViews>
  <sheetFormatPr defaultRowHeight="15" x14ac:dyDescent="0.25"/>
  <cols>
    <col min="1" max="1" width="11.140625" customWidth="1"/>
    <col min="2" max="2" width="24.5703125" customWidth="1"/>
    <col min="4" max="4" width="16.42578125" customWidth="1"/>
    <col min="8" max="8" width="17.42578125" customWidth="1"/>
    <col min="9" max="10" width="11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7" x14ac:dyDescent="0.25">
      <c r="A2" s="3">
        <v>45882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58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0.37708333333333338</v>
      </c>
      <c r="M2" s="14">
        <v>172</v>
      </c>
      <c r="N2" s="15">
        <v>6</v>
      </c>
      <c r="O2" s="15">
        <v>631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0.42291666666666666</v>
      </c>
      <c r="U2" s="15">
        <v>177</v>
      </c>
      <c r="V2" s="15">
        <v>4</v>
      </c>
      <c r="W2" s="15">
        <v>799</v>
      </c>
      <c r="X2" s="15">
        <v>0</v>
      </c>
      <c r="Y2" s="15">
        <v>0</v>
      </c>
      <c r="Z2" s="15"/>
      <c r="AA2" s="15"/>
    </row>
    <row r="3" spans="1:27" x14ac:dyDescent="0.25">
      <c r="A3" s="3">
        <v>45882</v>
      </c>
      <c r="B3" s="15" t="s">
        <v>13</v>
      </c>
      <c r="C3" s="15" t="s">
        <v>14</v>
      </c>
      <c r="D3" s="15" t="s">
        <v>29</v>
      </c>
      <c r="E3" s="15" t="s">
        <v>16</v>
      </c>
      <c r="F3" s="15">
        <v>180</v>
      </c>
      <c r="G3" s="15" t="s">
        <v>91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0.52361111111111114</v>
      </c>
      <c r="M3" s="15">
        <v>156</v>
      </c>
      <c r="N3" s="15">
        <v>5</v>
      </c>
      <c r="O3" s="15">
        <v>848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0.55555555555555558</v>
      </c>
      <c r="U3" s="15">
        <v>177</v>
      </c>
      <c r="V3" s="15">
        <v>8</v>
      </c>
      <c r="W3" s="15">
        <v>1014</v>
      </c>
      <c r="X3" s="15">
        <v>0</v>
      </c>
      <c r="Y3" s="15">
        <v>0</v>
      </c>
      <c r="Z3" s="15"/>
      <c r="AA3" s="15"/>
    </row>
    <row r="4" spans="1:27" s="16" customFormat="1" ht="12.75" x14ac:dyDescent="0.2">
      <c r="A4" s="3">
        <v>45882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15" t="s">
        <v>130</v>
      </c>
      <c r="H4" s="12" t="s">
        <v>17</v>
      </c>
      <c r="I4" s="4">
        <v>71500</v>
      </c>
      <c r="J4" s="6" t="s">
        <v>35</v>
      </c>
      <c r="K4" s="5">
        <v>0.5</v>
      </c>
      <c r="L4" s="6">
        <v>0.48958333333333331</v>
      </c>
      <c r="M4" s="15">
        <v>120</v>
      </c>
      <c r="N4" s="15">
        <v>2</v>
      </c>
      <c r="O4" s="15">
        <v>559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0.54722222222222217</v>
      </c>
      <c r="U4" s="15">
        <v>169</v>
      </c>
      <c r="V4" s="15">
        <v>6</v>
      </c>
      <c r="W4" s="15">
        <v>1006</v>
      </c>
      <c r="X4" s="15">
        <v>0</v>
      </c>
      <c r="Y4" s="15">
        <v>0</v>
      </c>
      <c r="Z4" s="15"/>
    </row>
    <row r="5" spans="1:27" x14ac:dyDescent="0.25">
      <c r="A5" s="3">
        <v>45882</v>
      </c>
      <c r="B5" s="15" t="s">
        <v>13</v>
      </c>
      <c r="C5" s="11" t="s">
        <v>14</v>
      </c>
      <c r="D5" s="15" t="s">
        <v>49</v>
      </c>
      <c r="E5" s="15" t="s">
        <v>62</v>
      </c>
      <c r="F5" s="15">
        <v>239</v>
      </c>
      <c r="G5" s="15" t="s">
        <v>116</v>
      </c>
      <c r="H5" s="12" t="s">
        <v>17</v>
      </c>
      <c r="I5" s="4">
        <v>89000</v>
      </c>
      <c r="J5" s="15" t="s">
        <v>47</v>
      </c>
      <c r="K5" s="5">
        <v>0.62847222222222221</v>
      </c>
      <c r="L5" s="6">
        <v>0.62222222222222223</v>
      </c>
      <c r="M5" s="15">
        <v>224</v>
      </c>
      <c r="N5" s="15">
        <v>7</v>
      </c>
      <c r="O5" s="15">
        <v>593</v>
      </c>
      <c r="P5" s="15">
        <v>0</v>
      </c>
      <c r="Q5" s="15">
        <v>0</v>
      </c>
      <c r="R5" s="15" t="s">
        <v>48</v>
      </c>
      <c r="S5" s="5">
        <v>0.65277777777777779</v>
      </c>
      <c r="T5" s="6">
        <v>0.65625</v>
      </c>
      <c r="U5" s="15">
        <v>219</v>
      </c>
      <c r="V5" s="15">
        <v>7</v>
      </c>
      <c r="W5" s="15">
        <v>531</v>
      </c>
      <c r="X5" s="15">
        <v>0</v>
      </c>
      <c r="Y5" s="15">
        <v>0</v>
      </c>
      <c r="Z5" s="15"/>
      <c r="AA5" s="16"/>
    </row>
    <row r="6" spans="1:27" x14ac:dyDescent="0.25">
      <c r="A6" s="3"/>
      <c r="B6" s="15"/>
      <c r="C6" s="11"/>
      <c r="D6" s="15"/>
      <c r="E6" s="15"/>
      <c r="F6" s="15"/>
      <c r="G6" s="15"/>
      <c r="H6" s="12"/>
      <c r="I6" s="4"/>
      <c r="J6" s="15"/>
      <c r="K6" s="5"/>
      <c r="L6" s="6"/>
      <c r="M6" s="15"/>
      <c r="N6" s="15"/>
      <c r="O6" s="15"/>
      <c r="P6" s="15"/>
      <c r="Q6" s="15"/>
      <c r="R6" s="15"/>
      <c r="S6" s="5"/>
      <c r="T6" s="6"/>
      <c r="U6" s="15"/>
      <c r="V6" s="15"/>
      <c r="W6" s="15"/>
      <c r="X6" s="15"/>
      <c r="Y6" s="15"/>
      <c r="Z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CB8C-8D17-462A-8541-208EE774FF48}">
  <dimension ref="A1:AA13"/>
  <sheetViews>
    <sheetView topLeftCell="C1" workbookViewId="0">
      <selection sqref="A1:Y3"/>
    </sheetView>
  </sheetViews>
  <sheetFormatPr defaultRowHeight="15" x14ac:dyDescent="0.25"/>
  <cols>
    <col min="1" max="1" width="9.85546875" customWidth="1"/>
    <col min="2" max="2" width="24.5703125" customWidth="1"/>
    <col min="4" max="4" width="19.85546875" customWidth="1"/>
    <col min="8" max="8" width="17.42578125" customWidth="1"/>
    <col min="9" max="10" width="11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7" x14ac:dyDescent="0.25">
      <c r="A2" s="3">
        <v>45883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131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0.3979166666666667</v>
      </c>
      <c r="M2" s="14">
        <v>181</v>
      </c>
      <c r="N2" s="15">
        <v>1</v>
      </c>
      <c r="O2" s="15">
        <v>450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0.43124999999999997</v>
      </c>
      <c r="U2" s="15">
        <v>183</v>
      </c>
      <c r="V2" s="15">
        <v>3</v>
      </c>
      <c r="W2" s="15">
        <v>788</v>
      </c>
      <c r="X2" s="15">
        <v>0</v>
      </c>
      <c r="Y2" s="15">
        <v>0</v>
      </c>
      <c r="Z2" s="15"/>
      <c r="AA2" s="15"/>
    </row>
    <row r="3" spans="1:27" x14ac:dyDescent="0.25">
      <c r="A3" s="3">
        <v>45883</v>
      </c>
      <c r="B3" s="15" t="s">
        <v>32</v>
      </c>
      <c r="C3" s="15" t="s">
        <v>33</v>
      </c>
      <c r="D3" s="15" t="s">
        <v>29</v>
      </c>
      <c r="E3" s="15" t="s">
        <v>57</v>
      </c>
      <c r="F3" s="15">
        <v>239</v>
      </c>
      <c r="G3" s="15" t="s">
        <v>129</v>
      </c>
      <c r="H3" s="12" t="s">
        <v>17</v>
      </c>
      <c r="I3" s="4">
        <v>89000</v>
      </c>
      <c r="J3" s="15" t="s">
        <v>86</v>
      </c>
      <c r="K3" s="5">
        <v>0.48958333333333331</v>
      </c>
      <c r="L3" s="6">
        <v>0.48958333333333331</v>
      </c>
      <c r="M3" s="15">
        <v>201</v>
      </c>
      <c r="N3" s="15">
        <v>5</v>
      </c>
      <c r="O3" s="15">
        <v>1138</v>
      </c>
      <c r="P3" s="15">
        <v>0</v>
      </c>
      <c r="Q3" s="15">
        <v>0</v>
      </c>
      <c r="R3" s="15" t="s">
        <v>104</v>
      </c>
      <c r="S3" s="5">
        <v>0.51388888888888895</v>
      </c>
      <c r="T3" s="6">
        <v>0.53541666666666665</v>
      </c>
      <c r="U3" s="15">
        <v>225</v>
      </c>
      <c r="V3" s="15">
        <v>6</v>
      </c>
      <c r="W3" s="15">
        <v>1289</v>
      </c>
      <c r="X3" s="15">
        <v>0</v>
      </c>
      <c r="Y3" s="15">
        <v>0</v>
      </c>
      <c r="Z3" s="15"/>
      <c r="AA3" s="15"/>
    </row>
    <row r="4" spans="1:27" s="16" customFormat="1" ht="12.75" x14ac:dyDescent="0.2">
      <c r="A4" s="3"/>
      <c r="B4" s="15"/>
      <c r="C4" s="15"/>
      <c r="D4" s="12"/>
      <c r="E4" s="15"/>
      <c r="F4" s="15"/>
      <c r="G4" s="15"/>
      <c r="H4" s="12"/>
      <c r="I4" s="4"/>
      <c r="J4" s="6"/>
      <c r="K4" s="5"/>
      <c r="L4" s="6"/>
      <c r="M4" s="15"/>
      <c r="N4" s="15"/>
      <c r="O4" s="15"/>
      <c r="P4" s="15"/>
      <c r="Q4" s="15"/>
      <c r="R4" s="15"/>
      <c r="S4" s="5"/>
      <c r="T4" s="6"/>
      <c r="U4" s="15"/>
      <c r="V4" s="15"/>
      <c r="W4" s="15"/>
      <c r="X4" s="15"/>
      <c r="Y4" s="15"/>
      <c r="Z4" s="15"/>
    </row>
    <row r="5" spans="1:27" x14ac:dyDescent="0.25">
      <c r="A5" s="3"/>
      <c r="B5" s="15"/>
      <c r="C5" s="11"/>
      <c r="D5" s="15"/>
      <c r="E5" s="15"/>
      <c r="F5" s="15"/>
      <c r="G5" s="15"/>
      <c r="H5" s="12"/>
      <c r="I5" s="4"/>
      <c r="J5" s="15"/>
      <c r="K5" s="5"/>
      <c r="L5" s="6"/>
      <c r="M5" s="15"/>
      <c r="N5" s="15"/>
      <c r="O5" s="15"/>
      <c r="P5" s="15"/>
      <c r="Q5" s="15"/>
      <c r="R5" s="15"/>
      <c r="S5" s="5"/>
      <c r="T5" s="6"/>
      <c r="U5" s="15"/>
      <c r="V5" s="15"/>
      <c r="W5" s="15"/>
      <c r="X5" s="15"/>
      <c r="Y5" s="15"/>
      <c r="Z5" s="15"/>
      <c r="AA5" s="16"/>
    </row>
    <row r="6" spans="1:27" x14ac:dyDescent="0.25">
      <c r="A6" s="3"/>
      <c r="B6" s="15"/>
      <c r="C6" s="11"/>
      <c r="D6" s="15"/>
      <c r="E6" s="15"/>
      <c r="F6" s="15"/>
      <c r="G6" s="15"/>
      <c r="H6" s="12"/>
      <c r="I6" s="4"/>
      <c r="J6" s="15"/>
      <c r="K6" s="5"/>
      <c r="L6" s="6"/>
      <c r="M6" s="15"/>
      <c r="N6" s="15"/>
      <c r="O6" s="15"/>
      <c r="P6" s="15"/>
      <c r="Q6" s="15"/>
      <c r="R6" s="15"/>
      <c r="S6" s="5"/>
      <c r="T6" s="6"/>
      <c r="U6" s="15"/>
      <c r="V6" s="15"/>
      <c r="W6" s="15"/>
      <c r="X6" s="15"/>
      <c r="Y6" s="15"/>
      <c r="Z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1C3C-CA9C-4205-9121-84C381577B1F}">
  <dimension ref="A1:AA8"/>
  <sheetViews>
    <sheetView workbookViewId="0">
      <selection activeCell="F31" sqref="F31"/>
    </sheetView>
  </sheetViews>
  <sheetFormatPr defaultRowHeight="15" x14ac:dyDescent="0.25"/>
  <cols>
    <col min="1" max="1" width="10.28515625" customWidth="1"/>
    <col min="2" max="2" width="23.42578125" customWidth="1"/>
    <col min="3" max="3" width="10" customWidth="1"/>
    <col min="4" max="4" width="16.42578125" customWidth="1"/>
    <col min="6" max="6" width="10.85546875" customWidth="1"/>
    <col min="7" max="7" width="9.28515625" bestFit="1" customWidth="1"/>
    <col min="8" max="8" width="16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9.5703125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45884</v>
      </c>
      <c r="B2" s="15" t="s">
        <v>38</v>
      </c>
      <c r="C2" s="2" t="s">
        <v>39</v>
      </c>
      <c r="D2" s="12" t="s">
        <v>37</v>
      </c>
      <c r="E2" s="13" t="s">
        <v>16</v>
      </c>
      <c r="F2" s="12">
        <v>180</v>
      </c>
      <c r="G2" s="4" t="s">
        <v>133</v>
      </c>
      <c r="H2" s="2" t="s">
        <v>17</v>
      </c>
      <c r="I2" s="4">
        <v>71500</v>
      </c>
      <c r="J2" s="6" t="s">
        <v>40</v>
      </c>
      <c r="K2" s="5">
        <v>0.36805555555555558</v>
      </c>
      <c r="L2" s="6">
        <v>0.36180555555555555</v>
      </c>
      <c r="M2" s="14">
        <v>161</v>
      </c>
      <c r="N2" s="15">
        <v>4</v>
      </c>
      <c r="O2" s="15">
        <v>1333</v>
      </c>
      <c r="P2" s="15">
        <v>0</v>
      </c>
      <c r="Q2" s="15">
        <v>0</v>
      </c>
      <c r="R2" s="15" t="s">
        <v>41</v>
      </c>
      <c r="S2" s="5">
        <v>0.4236111111111111</v>
      </c>
      <c r="T2" s="6">
        <v>0.4201388888888889</v>
      </c>
      <c r="U2" s="14">
        <v>164</v>
      </c>
      <c r="V2" s="15">
        <v>4</v>
      </c>
      <c r="W2" s="15">
        <v>1247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45884</v>
      </c>
      <c r="B3" s="15" t="s">
        <v>13</v>
      </c>
      <c r="C3" s="11" t="s">
        <v>14</v>
      </c>
      <c r="D3" s="15" t="s">
        <v>15</v>
      </c>
      <c r="E3" s="15" t="s">
        <v>16</v>
      </c>
      <c r="F3" s="15">
        <v>186</v>
      </c>
      <c r="G3" s="15" t="s">
        <v>117</v>
      </c>
      <c r="H3" s="12" t="s">
        <v>17</v>
      </c>
      <c r="I3" s="4">
        <v>71500</v>
      </c>
      <c r="J3" s="15" t="s">
        <v>18</v>
      </c>
      <c r="K3" s="5">
        <v>0.3923611111111111</v>
      </c>
      <c r="L3" s="6">
        <v>0.37777777777777777</v>
      </c>
      <c r="M3" s="14">
        <v>168</v>
      </c>
      <c r="N3" s="15">
        <v>2</v>
      </c>
      <c r="O3" s="15">
        <v>540</v>
      </c>
      <c r="P3" s="15">
        <v>0</v>
      </c>
      <c r="Q3" s="15">
        <v>0</v>
      </c>
      <c r="R3" s="15" t="s">
        <v>28</v>
      </c>
      <c r="S3" s="5">
        <v>0.41319444444444442</v>
      </c>
      <c r="T3" s="6">
        <v>0.42986111111111108</v>
      </c>
      <c r="U3" s="15">
        <v>179</v>
      </c>
      <c r="V3" s="15">
        <v>9</v>
      </c>
      <c r="W3" s="15">
        <v>1175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45884</v>
      </c>
      <c r="B4" s="15" t="s">
        <v>13</v>
      </c>
      <c r="C4" s="11" t="s">
        <v>14</v>
      </c>
      <c r="D4" s="15" t="s">
        <v>29</v>
      </c>
      <c r="E4" s="12" t="s">
        <v>16</v>
      </c>
      <c r="F4" s="15">
        <v>186</v>
      </c>
      <c r="G4" s="15" t="s">
        <v>132</v>
      </c>
      <c r="H4" s="12" t="s">
        <v>17</v>
      </c>
      <c r="I4" s="4">
        <v>71500</v>
      </c>
      <c r="J4" s="15" t="s">
        <v>30</v>
      </c>
      <c r="K4" s="5">
        <v>0.49652777777777773</v>
      </c>
      <c r="L4" s="6">
        <v>0.48680555555555555</v>
      </c>
      <c r="M4" s="15">
        <v>172</v>
      </c>
      <c r="N4" s="15">
        <v>3</v>
      </c>
      <c r="O4" s="15">
        <v>1063</v>
      </c>
      <c r="P4" s="15">
        <v>0</v>
      </c>
      <c r="Q4" s="15">
        <v>0</v>
      </c>
      <c r="R4" s="15" t="s">
        <v>31</v>
      </c>
      <c r="S4" s="5">
        <v>0.51736111111111105</v>
      </c>
      <c r="T4" s="6">
        <v>0.52847222222222223</v>
      </c>
      <c r="U4" s="15">
        <v>184</v>
      </c>
      <c r="V4" s="15">
        <v>4</v>
      </c>
      <c r="W4" s="15">
        <v>1202</v>
      </c>
      <c r="X4" s="15">
        <v>0</v>
      </c>
      <c r="Y4" s="15">
        <v>0</v>
      </c>
      <c r="Z4" s="15">
        <v>0</v>
      </c>
      <c r="AA4" s="15">
        <v>0</v>
      </c>
    </row>
    <row r="5" spans="1:27" x14ac:dyDescent="0.25">
      <c r="A5" s="3">
        <v>45884</v>
      </c>
      <c r="B5" s="15" t="s">
        <v>32</v>
      </c>
      <c r="C5" s="15" t="s">
        <v>33</v>
      </c>
      <c r="D5" s="12" t="s">
        <v>34</v>
      </c>
      <c r="E5" s="15" t="s">
        <v>16</v>
      </c>
      <c r="F5" s="15">
        <v>180</v>
      </c>
      <c r="G5" s="4" t="s">
        <v>135</v>
      </c>
      <c r="H5" s="12" t="s">
        <v>17</v>
      </c>
      <c r="I5" s="4">
        <v>71500</v>
      </c>
      <c r="J5" s="6" t="s">
        <v>35</v>
      </c>
      <c r="K5" s="5">
        <v>0.5</v>
      </c>
      <c r="L5" s="6">
        <v>0.74930555555555556</v>
      </c>
      <c r="M5" s="15">
        <v>164</v>
      </c>
      <c r="N5" s="15">
        <v>2</v>
      </c>
      <c r="O5" s="15">
        <v>832</v>
      </c>
      <c r="P5" s="15">
        <v>0</v>
      </c>
      <c r="Q5" s="15">
        <v>0</v>
      </c>
      <c r="R5" s="15" t="s">
        <v>36</v>
      </c>
      <c r="S5" s="5">
        <v>0.52083333333333337</v>
      </c>
      <c r="T5" s="6">
        <v>0.58402777777777781</v>
      </c>
      <c r="U5" s="15">
        <v>170</v>
      </c>
      <c r="V5" s="15">
        <v>4</v>
      </c>
      <c r="W5" s="15">
        <v>1110</v>
      </c>
      <c r="X5" s="15">
        <v>0</v>
      </c>
      <c r="Y5" s="15">
        <v>0</v>
      </c>
      <c r="Z5" s="15">
        <v>0</v>
      </c>
    </row>
    <row r="6" spans="1:27" x14ac:dyDescent="0.25">
      <c r="A6" s="3">
        <v>45884</v>
      </c>
      <c r="B6" s="15" t="s">
        <v>53</v>
      </c>
      <c r="C6" s="15" t="s">
        <v>44</v>
      </c>
      <c r="D6" s="15" t="s">
        <v>42</v>
      </c>
      <c r="E6" s="15" t="s">
        <v>16</v>
      </c>
      <c r="F6" s="15">
        <v>180</v>
      </c>
      <c r="G6" s="15" t="s">
        <v>134</v>
      </c>
      <c r="H6" s="12" t="s">
        <v>43</v>
      </c>
      <c r="I6" s="4">
        <v>71500</v>
      </c>
      <c r="J6" s="15" t="s">
        <v>45</v>
      </c>
      <c r="K6" s="5">
        <v>0.375</v>
      </c>
      <c r="L6" s="6">
        <v>0.36874999999999997</v>
      </c>
      <c r="M6" s="15">
        <v>180</v>
      </c>
      <c r="N6" s="15">
        <v>1</v>
      </c>
      <c r="O6" s="15">
        <v>2189</v>
      </c>
      <c r="P6" s="15">
        <v>0</v>
      </c>
      <c r="Q6" s="15">
        <v>0</v>
      </c>
      <c r="R6" s="15" t="s">
        <v>46</v>
      </c>
      <c r="S6" s="5">
        <v>0.41666666666666669</v>
      </c>
      <c r="T6" s="6">
        <v>0.42638888888888887</v>
      </c>
      <c r="U6" s="15">
        <v>180</v>
      </c>
      <c r="V6" s="15">
        <v>8</v>
      </c>
      <c r="W6" s="15">
        <v>2322</v>
      </c>
      <c r="X6" s="15">
        <v>0</v>
      </c>
      <c r="Y6" s="15">
        <v>0</v>
      </c>
      <c r="Z6" s="15">
        <v>0</v>
      </c>
      <c r="AA6" s="15">
        <v>0</v>
      </c>
    </row>
    <row r="7" spans="1:27" x14ac:dyDescent="0.25">
      <c r="A7" s="3">
        <v>45884</v>
      </c>
      <c r="B7" s="15" t="s">
        <v>13</v>
      </c>
      <c r="C7" s="11" t="s">
        <v>14</v>
      </c>
      <c r="D7" s="15" t="s">
        <v>49</v>
      </c>
      <c r="E7" s="15" t="s">
        <v>16</v>
      </c>
      <c r="F7" s="12">
        <v>239</v>
      </c>
      <c r="G7" s="15" t="s">
        <v>116</v>
      </c>
      <c r="H7" s="12" t="s">
        <v>17</v>
      </c>
      <c r="I7" s="4">
        <v>89000</v>
      </c>
      <c r="J7" s="15" t="s">
        <v>47</v>
      </c>
      <c r="K7" s="5">
        <v>0.87847222222222221</v>
      </c>
      <c r="L7" s="6">
        <v>0.90486111111111101</v>
      </c>
      <c r="M7" s="15">
        <v>222</v>
      </c>
      <c r="N7" s="15">
        <v>5</v>
      </c>
      <c r="O7" s="15">
        <v>459</v>
      </c>
      <c r="P7" s="15">
        <v>0</v>
      </c>
      <c r="Q7" s="15">
        <v>0</v>
      </c>
      <c r="R7" s="15" t="s">
        <v>48</v>
      </c>
      <c r="S7" s="5">
        <v>0.90277777777777779</v>
      </c>
      <c r="T7" s="6">
        <v>0.93819444444444444</v>
      </c>
      <c r="U7" s="15">
        <v>222</v>
      </c>
      <c r="V7" s="15">
        <v>6</v>
      </c>
      <c r="W7" s="15">
        <v>734</v>
      </c>
      <c r="X7" s="15">
        <v>0</v>
      </c>
      <c r="Y7" s="15">
        <v>0</v>
      </c>
      <c r="Z7" s="15">
        <v>0</v>
      </c>
      <c r="AA7" s="15">
        <v>0</v>
      </c>
    </row>
    <row r="8" spans="1:27" x14ac:dyDescent="0.25">
      <c r="A8" s="3">
        <v>45884</v>
      </c>
      <c r="B8" s="15" t="s">
        <v>32</v>
      </c>
      <c r="C8" s="15" t="s">
        <v>33</v>
      </c>
      <c r="D8" s="15" t="s">
        <v>136</v>
      </c>
      <c r="E8" s="15" t="s">
        <v>57</v>
      </c>
      <c r="F8" s="15">
        <v>239</v>
      </c>
      <c r="G8" s="15" t="s">
        <v>135</v>
      </c>
      <c r="H8" s="12" t="s">
        <v>137</v>
      </c>
      <c r="I8" s="4">
        <v>89000</v>
      </c>
      <c r="J8" s="15" t="s">
        <v>139</v>
      </c>
      <c r="K8" s="21">
        <v>0.53472222222222221</v>
      </c>
      <c r="L8" s="21">
        <v>0.53333333333333333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 t="s">
        <v>138</v>
      </c>
      <c r="S8" s="21">
        <v>0.76388888888888884</v>
      </c>
      <c r="T8" s="21">
        <v>0.7729166666666667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577B-66BA-4283-8F31-BD7EFCDCED6B}">
  <dimension ref="A1:AA4"/>
  <sheetViews>
    <sheetView topLeftCell="C1" workbookViewId="0">
      <selection sqref="A1:AA14"/>
    </sheetView>
  </sheetViews>
  <sheetFormatPr defaultRowHeight="15" x14ac:dyDescent="0.25"/>
  <cols>
    <col min="2" max="2" width="24" customWidth="1"/>
    <col min="4" max="4" width="17.42578125" customWidth="1"/>
    <col min="5" max="5" width="7.85546875" customWidth="1"/>
    <col min="8" max="8" width="16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45885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140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0.3979166666666667</v>
      </c>
      <c r="M2" s="14">
        <v>176</v>
      </c>
      <c r="N2" s="15">
        <v>4</v>
      </c>
      <c r="O2" s="15">
        <v>953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0.4381944444444445</v>
      </c>
      <c r="U2" s="15">
        <v>185</v>
      </c>
      <c r="V2" s="15">
        <v>4</v>
      </c>
      <c r="W2" s="15">
        <v>952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45885</v>
      </c>
      <c r="B3" s="15" t="s">
        <v>32</v>
      </c>
      <c r="C3" s="15" t="s">
        <v>33</v>
      </c>
      <c r="D3" s="12" t="s">
        <v>34</v>
      </c>
      <c r="E3" s="12" t="s">
        <v>57</v>
      </c>
      <c r="F3" s="15">
        <v>239</v>
      </c>
      <c r="G3" s="4" t="s">
        <v>118</v>
      </c>
      <c r="H3" s="12" t="s">
        <v>17</v>
      </c>
      <c r="I3" s="4">
        <v>89000</v>
      </c>
      <c r="J3" s="6" t="s">
        <v>35</v>
      </c>
      <c r="K3" s="5">
        <v>0.43402777777777773</v>
      </c>
      <c r="L3" s="6">
        <v>0.43055555555555558</v>
      </c>
      <c r="M3" s="15">
        <v>217</v>
      </c>
      <c r="N3" s="15">
        <v>1</v>
      </c>
      <c r="O3" s="15">
        <v>879</v>
      </c>
      <c r="P3" s="15">
        <v>0</v>
      </c>
      <c r="Q3" s="15">
        <v>0</v>
      </c>
      <c r="R3" s="15" t="s">
        <v>36</v>
      </c>
      <c r="S3" s="5">
        <v>0.45833333333333331</v>
      </c>
      <c r="T3" s="6">
        <v>0.46736111111111112</v>
      </c>
      <c r="U3" s="15">
        <v>233</v>
      </c>
      <c r="V3" s="15">
        <v>6</v>
      </c>
      <c r="W3" s="15">
        <v>1626</v>
      </c>
      <c r="X3" s="15">
        <v>0</v>
      </c>
      <c r="Y3" s="15">
        <v>0</v>
      </c>
      <c r="Z3" s="15">
        <v>0</v>
      </c>
    </row>
    <row r="4" spans="1:27" x14ac:dyDescent="0.25">
      <c r="A4" s="3">
        <v>45885</v>
      </c>
      <c r="B4" s="15" t="s">
        <v>32</v>
      </c>
      <c r="C4" s="15" t="s">
        <v>33</v>
      </c>
      <c r="D4" s="15" t="s">
        <v>29</v>
      </c>
      <c r="E4" s="12" t="s">
        <v>57</v>
      </c>
      <c r="F4" s="15">
        <v>239</v>
      </c>
      <c r="G4" s="15" t="s">
        <v>141</v>
      </c>
      <c r="H4" s="12" t="s">
        <v>17</v>
      </c>
      <c r="I4" s="4">
        <v>89000</v>
      </c>
      <c r="J4" s="15" t="s">
        <v>86</v>
      </c>
      <c r="K4" s="5">
        <v>0.48958333333333331</v>
      </c>
      <c r="L4" s="6">
        <v>0.4861111111111111</v>
      </c>
      <c r="M4" s="15">
        <v>219</v>
      </c>
      <c r="N4" s="15">
        <v>5</v>
      </c>
      <c r="O4" s="15">
        <v>1411</v>
      </c>
      <c r="P4" s="15">
        <v>0</v>
      </c>
      <c r="Q4" s="15">
        <v>0</v>
      </c>
      <c r="R4" s="15" t="s">
        <v>104</v>
      </c>
      <c r="S4" s="5">
        <v>0.51388888888888895</v>
      </c>
      <c r="T4" s="6">
        <v>0.52777777777777779</v>
      </c>
      <c r="U4" s="15">
        <v>231</v>
      </c>
      <c r="V4" s="15">
        <v>4</v>
      </c>
      <c r="W4" s="15">
        <v>1448</v>
      </c>
      <c r="X4" s="15">
        <v>0</v>
      </c>
      <c r="Y4" s="15">
        <v>0</v>
      </c>
      <c r="Z4" s="15">
        <v>0</v>
      </c>
      <c r="AA4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BE88-26B1-485E-961F-00C47733E415}">
  <dimension ref="A1:AA5"/>
  <sheetViews>
    <sheetView workbookViewId="0">
      <selection activeCell="H21" sqref="H21"/>
    </sheetView>
  </sheetViews>
  <sheetFormatPr defaultRowHeight="15" x14ac:dyDescent="0.25"/>
  <cols>
    <col min="2" max="2" width="21.140625" customWidth="1"/>
    <col min="4" max="4" width="17" customWidth="1"/>
    <col min="8" max="8" width="15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45886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142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0.38541666666666669</v>
      </c>
      <c r="M2" s="14">
        <v>163</v>
      </c>
      <c r="N2" s="15">
        <v>2</v>
      </c>
      <c r="O2" s="15">
        <v>670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0.42499999999999999</v>
      </c>
      <c r="U2" s="15">
        <v>180</v>
      </c>
      <c r="V2" s="15">
        <v>3</v>
      </c>
      <c r="W2" s="15">
        <v>509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45886</v>
      </c>
      <c r="B3" s="15" t="s">
        <v>13</v>
      </c>
      <c r="C3" s="15" t="s">
        <v>33</v>
      </c>
      <c r="D3" s="15" t="s">
        <v>29</v>
      </c>
      <c r="E3" s="15" t="s">
        <v>16</v>
      </c>
      <c r="F3" s="15">
        <v>180</v>
      </c>
      <c r="G3" s="15" t="s">
        <v>91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0.45555555555555555</v>
      </c>
      <c r="M3" s="15">
        <v>174</v>
      </c>
      <c r="N3" s="15">
        <v>4</v>
      </c>
      <c r="O3" s="15">
        <v>845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0.4861111111111111</v>
      </c>
      <c r="U3" s="15">
        <v>180</v>
      </c>
      <c r="V3" s="15">
        <v>3</v>
      </c>
      <c r="W3" s="15">
        <v>1157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45886</v>
      </c>
      <c r="B4" s="15" t="s">
        <v>13</v>
      </c>
      <c r="C4" s="11" t="s">
        <v>14</v>
      </c>
      <c r="D4" s="16" t="s">
        <v>49</v>
      </c>
      <c r="E4" s="15" t="s">
        <v>62</v>
      </c>
      <c r="F4" s="16">
        <v>239</v>
      </c>
      <c r="G4" s="15" t="s">
        <v>101</v>
      </c>
      <c r="H4" s="12" t="s">
        <v>17</v>
      </c>
      <c r="I4" s="17">
        <v>89000</v>
      </c>
      <c r="J4" s="16" t="s">
        <v>47</v>
      </c>
      <c r="K4" s="19">
        <v>0.62847222222222221</v>
      </c>
      <c r="L4" s="18">
        <v>0.62361111111111112</v>
      </c>
      <c r="M4" s="16">
        <v>200</v>
      </c>
      <c r="N4" s="16">
        <v>2</v>
      </c>
      <c r="O4" s="16">
        <v>655</v>
      </c>
      <c r="P4" s="16">
        <v>0</v>
      </c>
      <c r="Q4" s="16">
        <v>0</v>
      </c>
      <c r="R4" s="16" t="s">
        <v>48</v>
      </c>
      <c r="S4" s="19">
        <v>0.65277777777777779</v>
      </c>
      <c r="T4" s="18">
        <v>0.65902777777777777</v>
      </c>
      <c r="U4" s="16">
        <v>225</v>
      </c>
      <c r="V4" s="16">
        <v>2</v>
      </c>
      <c r="W4" s="16">
        <v>480</v>
      </c>
      <c r="X4" s="16">
        <v>0</v>
      </c>
      <c r="Y4" s="16">
        <v>0</v>
      </c>
      <c r="Z4" s="16">
        <v>0</v>
      </c>
      <c r="AA4" s="16">
        <v>0</v>
      </c>
    </row>
    <row r="5" spans="1:27" x14ac:dyDescent="0.25">
      <c r="A5" s="3">
        <v>45886</v>
      </c>
      <c r="B5" s="15" t="s">
        <v>93</v>
      </c>
      <c r="C5" s="11" t="s">
        <v>94</v>
      </c>
      <c r="D5" s="15" t="s">
        <v>143</v>
      </c>
      <c r="E5" s="15" t="s">
        <v>96</v>
      </c>
      <c r="F5" s="15" t="s">
        <v>94</v>
      </c>
      <c r="G5" s="15" t="s">
        <v>144</v>
      </c>
      <c r="H5" s="12" t="s">
        <v>98</v>
      </c>
      <c r="I5" s="4">
        <v>4670</v>
      </c>
      <c r="J5" s="15" t="s">
        <v>99</v>
      </c>
      <c r="K5" s="5">
        <v>0.94791666666666663</v>
      </c>
      <c r="L5" s="6">
        <v>0.99097222222222225</v>
      </c>
      <c r="M5" s="15">
        <v>2</v>
      </c>
      <c r="N5" s="15">
        <v>0</v>
      </c>
      <c r="O5" s="15">
        <v>0</v>
      </c>
      <c r="P5" s="15">
        <v>0</v>
      </c>
      <c r="Q5" s="15">
        <v>0</v>
      </c>
      <c r="R5" s="22"/>
      <c r="S5" s="23"/>
      <c r="T5" s="24"/>
      <c r="U5" s="22"/>
      <c r="V5" s="22"/>
      <c r="W5" s="22"/>
      <c r="X5" s="22"/>
      <c r="Y5" s="22"/>
      <c r="Z5" s="22"/>
      <c r="AA5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7B5B-E98A-4703-99FB-08E827DA3B84}">
  <dimension ref="A1:Z11"/>
  <sheetViews>
    <sheetView workbookViewId="0">
      <selection activeCell="M12" sqref="M12"/>
    </sheetView>
  </sheetViews>
  <sheetFormatPr defaultRowHeight="15" x14ac:dyDescent="0.25"/>
  <cols>
    <col min="1" max="1" width="11.7109375" customWidth="1"/>
    <col min="2" max="2" width="25" customWidth="1"/>
    <col min="4" max="4" width="17.85546875" customWidth="1"/>
    <col min="6" max="6" width="9.42578125" bestFit="1" customWidth="1"/>
    <col min="8" max="8" width="13.425781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6" ht="25.5" x14ac:dyDescent="0.25">
      <c r="A1" s="8" t="s">
        <v>70</v>
      </c>
      <c r="B1" s="8" t="s">
        <v>71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6" x14ac:dyDescent="0.25">
      <c r="A2" s="20">
        <v>45887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131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0.39027777777777778</v>
      </c>
      <c r="M2" s="15">
        <v>153</v>
      </c>
      <c r="N2" s="15">
        <v>3</v>
      </c>
      <c r="O2" s="15">
        <v>471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0.42430555555555555</v>
      </c>
      <c r="U2" s="15">
        <v>183</v>
      </c>
      <c r="V2" s="15">
        <v>3</v>
      </c>
      <c r="W2" s="15">
        <v>594</v>
      </c>
      <c r="X2" s="15">
        <v>0</v>
      </c>
      <c r="Y2" s="15">
        <v>0</v>
      </c>
      <c r="Z2" s="15"/>
    </row>
    <row r="3" spans="1:26" x14ac:dyDescent="0.25">
      <c r="A3" s="20">
        <v>45887</v>
      </c>
      <c r="B3" s="15" t="s">
        <v>13</v>
      </c>
      <c r="C3" s="11" t="s">
        <v>14</v>
      </c>
      <c r="D3" s="15" t="s">
        <v>29</v>
      </c>
      <c r="E3" s="12" t="s">
        <v>16</v>
      </c>
      <c r="F3" s="15">
        <v>180</v>
      </c>
      <c r="G3" s="15" t="s">
        <v>91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0.49305555555555558</v>
      </c>
      <c r="M3" s="15">
        <v>159</v>
      </c>
      <c r="N3" s="15">
        <v>5</v>
      </c>
      <c r="O3" s="15">
        <v>883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0.51180555555555551</v>
      </c>
      <c r="U3" s="15">
        <v>180</v>
      </c>
      <c r="V3" s="15">
        <v>5</v>
      </c>
      <c r="W3" s="15">
        <v>1152</v>
      </c>
      <c r="X3" s="15">
        <v>0</v>
      </c>
      <c r="Y3" s="15">
        <v>0</v>
      </c>
      <c r="Z3" s="15"/>
    </row>
    <row r="4" spans="1:26" x14ac:dyDescent="0.25">
      <c r="A4" s="20">
        <v>45887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4" t="s">
        <v>113</v>
      </c>
      <c r="H4" s="12" t="s">
        <v>17</v>
      </c>
      <c r="I4" s="4">
        <v>71500</v>
      </c>
      <c r="J4" s="6" t="s">
        <v>35</v>
      </c>
      <c r="K4" s="5">
        <v>0.5</v>
      </c>
      <c r="L4" s="6">
        <v>0.60416666666666663</v>
      </c>
      <c r="M4" s="15">
        <v>115</v>
      </c>
      <c r="N4" s="15">
        <v>3</v>
      </c>
      <c r="O4" s="15">
        <v>498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0.64236111111111105</v>
      </c>
      <c r="U4" s="15">
        <v>172</v>
      </c>
      <c r="V4" s="15">
        <v>3</v>
      </c>
      <c r="W4" s="15">
        <v>862</v>
      </c>
      <c r="X4" s="15">
        <v>0</v>
      </c>
      <c r="Y4" s="15">
        <v>0</v>
      </c>
      <c r="Z4" s="15"/>
    </row>
    <row r="5" spans="1:26" x14ac:dyDescent="0.25">
      <c r="A5" s="20">
        <v>45887</v>
      </c>
      <c r="B5" s="15" t="s">
        <v>72</v>
      </c>
      <c r="C5" s="2" t="s">
        <v>73</v>
      </c>
      <c r="D5" s="12" t="s">
        <v>37</v>
      </c>
      <c r="E5" s="13" t="s">
        <v>74</v>
      </c>
      <c r="F5" s="12">
        <v>189</v>
      </c>
      <c r="G5" s="4" t="s">
        <v>149</v>
      </c>
      <c r="H5" s="12" t="s">
        <v>17</v>
      </c>
      <c r="I5" s="4">
        <v>79000</v>
      </c>
      <c r="J5" s="6" t="s">
        <v>75</v>
      </c>
      <c r="K5" s="5">
        <v>0.56597222222222221</v>
      </c>
      <c r="L5" s="6">
        <v>0.56041666666666667</v>
      </c>
      <c r="M5" s="14">
        <v>161</v>
      </c>
      <c r="N5" s="15">
        <v>2</v>
      </c>
      <c r="O5" s="15">
        <v>1491</v>
      </c>
      <c r="P5" s="15">
        <v>0</v>
      </c>
      <c r="Q5" s="15">
        <v>0</v>
      </c>
      <c r="R5" s="15" t="s">
        <v>76</v>
      </c>
      <c r="S5" s="5">
        <v>0.60763888888888895</v>
      </c>
      <c r="T5" s="6">
        <v>0.62569444444444444</v>
      </c>
      <c r="U5" s="15">
        <v>179</v>
      </c>
      <c r="V5" s="15">
        <v>1</v>
      </c>
      <c r="W5" s="15">
        <v>2071</v>
      </c>
      <c r="X5" s="15">
        <v>0</v>
      </c>
      <c r="Y5" s="15">
        <v>0</v>
      </c>
      <c r="Z5" s="15"/>
    </row>
    <row r="6" spans="1:26" x14ac:dyDescent="0.25">
      <c r="A6" s="20">
        <v>45887</v>
      </c>
      <c r="B6" s="15" t="s">
        <v>93</v>
      </c>
      <c r="C6" s="11" t="s">
        <v>94</v>
      </c>
      <c r="D6" s="15" t="s">
        <v>145</v>
      </c>
      <c r="E6" s="15" t="s">
        <v>96</v>
      </c>
      <c r="F6" s="15" t="s">
        <v>111</v>
      </c>
      <c r="G6" s="15" t="s">
        <v>146</v>
      </c>
      <c r="H6" s="12" t="s">
        <v>147</v>
      </c>
      <c r="I6" s="4">
        <v>4700</v>
      </c>
      <c r="J6" s="15" t="s">
        <v>111</v>
      </c>
      <c r="K6" s="15" t="s">
        <v>148</v>
      </c>
      <c r="L6" s="15" t="s">
        <v>148</v>
      </c>
      <c r="M6" s="14">
        <v>0</v>
      </c>
      <c r="N6" s="15">
        <v>0</v>
      </c>
      <c r="O6" s="15">
        <v>0</v>
      </c>
      <c r="P6" s="15">
        <v>0</v>
      </c>
      <c r="Q6" s="15">
        <v>0</v>
      </c>
      <c r="R6" s="15" t="s">
        <v>111</v>
      </c>
      <c r="S6" s="5">
        <v>0.45833333333333331</v>
      </c>
      <c r="T6" s="6">
        <v>0.50277777777777777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/>
    </row>
    <row r="7" spans="1:26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B9B9-15E9-43E1-8AA4-E64E8615CECD}">
  <dimension ref="A1:Y7"/>
  <sheetViews>
    <sheetView workbookViewId="0">
      <selection activeCell="B7" sqref="B7:Y7"/>
    </sheetView>
  </sheetViews>
  <sheetFormatPr defaultRowHeight="15" x14ac:dyDescent="0.25"/>
  <cols>
    <col min="2" max="2" width="24.42578125" customWidth="1"/>
    <col min="4" max="4" width="19.140625" customWidth="1"/>
    <col min="8" max="8" width="12.85546875" customWidth="1"/>
  </cols>
  <sheetData>
    <row r="1" spans="1:25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3">
        <v>45888</v>
      </c>
      <c r="B2" s="15" t="s">
        <v>53</v>
      </c>
      <c r="C2" s="15" t="s">
        <v>44</v>
      </c>
      <c r="D2" s="15" t="s">
        <v>42</v>
      </c>
      <c r="E2" s="15" t="s">
        <v>16</v>
      </c>
      <c r="F2" s="15">
        <v>180</v>
      </c>
      <c r="G2" s="15" t="s">
        <v>127</v>
      </c>
      <c r="H2" s="15" t="s">
        <v>43</v>
      </c>
      <c r="I2" s="4">
        <v>71500</v>
      </c>
      <c r="J2" s="15" t="s">
        <v>79</v>
      </c>
      <c r="K2" s="5">
        <v>0.33333333333333331</v>
      </c>
      <c r="L2" s="6">
        <v>0.32361111111111113</v>
      </c>
      <c r="M2" s="15">
        <v>180</v>
      </c>
      <c r="N2" s="15">
        <v>2</v>
      </c>
      <c r="O2" s="15">
        <v>2251</v>
      </c>
      <c r="P2" s="15">
        <v>0</v>
      </c>
      <c r="Q2" s="15">
        <v>0</v>
      </c>
      <c r="R2" s="15" t="s">
        <v>80</v>
      </c>
      <c r="S2" s="5">
        <v>0.375</v>
      </c>
      <c r="T2" s="6">
        <v>0.37152777777777773</v>
      </c>
      <c r="U2" s="15">
        <v>177</v>
      </c>
      <c r="V2" s="15">
        <v>1</v>
      </c>
      <c r="W2" s="15">
        <v>2155</v>
      </c>
      <c r="X2" s="15">
        <v>0</v>
      </c>
      <c r="Y2" s="15">
        <v>0</v>
      </c>
    </row>
    <row r="3" spans="1:25" x14ac:dyDescent="0.25">
      <c r="A3" s="3">
        <v>45888</v>
      </c>
      <c r="B3" s="15" t="s">
        <v>81</v>
      </c>
      <c r="C3" s="15" t="s">
        <v>82</v>
      </c>
      <c r="D3" s="15" t="s">
        <v>42</v>
      </c>
      <c r="E3" s="15" t="s">
        <v>83</v>
      </c>
      <c r="F3" s="15">
        <v>189</v>
      </c>
      <c r="G3" s="15" t="s">
        <v>150</v>
      </c>
      <c r="H3" s="15" t="s">
        <v>43</v>
      </c>
      <c r="I3" s="4">
        <v>80000</v>
      </c>
      <c r="J3" s="15" t="s">
        <v>84</v>
      </c>
      <c r="K3" s="5">
        <v>0.43402777777777773</v>
      </c>
      <c r="L3" s="6">
        <v>0.42499999999999999</v>
      </c>
      <c r="M3" s="15">
        <v>189</v>
      </c>
      <c r="N3" s="15">
        <v>2</v>
      </c>
      <c r="O3" s="15">
        <v>2373</v>
      </c>
      <c r="P3" s="15">
        <v>0</v>
      </c>
      <c r="Q3" s="15">
        <v>0</v>
      </c>
      <c r="R3" s="15" t="s">
        <v>85</v>
      </c>
      <c r="S3" s="5">
        <v>0.47569444444444442</v>
      </c>
      <c r="T3" s="6">
        <v>0.48680555555555555</v>
      </c>
      <c r="U3" s="15">
        <v>180</v>
      </c>
      <c r="V3" s="15">
        <v>5</v>
      </c>
      <c r="W3" s="15">
        <v>2058</v>
      </c>
      <c r="X3" s="15">
        <v>0</v>
      </c>
      <c r="Y3" s="15">
        <v>0</v>
      </c>
    </row>
    <row r="4" spans="1:25" x14ac:dyDescent="0.25">
      <c r="A4" s="3">
        <v>45888</v>
      </c>
      <c r="B4" s="15" t="s">
        <v>32</v>
      </c>
      <c r="C4" s="15" t="s">
        <v>33</v>
      </c>
      <c r="D4" s="12" t="s">
        <v>34</v>
      </c>
      <c r="E4" s="12" t="s">
        <v>57</v>
      </c>
      <c r="F4" s="15">
        <v>239</v>
      </c>
      <c r="G4" s="15" t="s">
        <v>88</v>
      </c>
      <c r="H4" s="12" t="s">
        <v>17</v>
      </c>
      <c r="I4" s="4">
        <v>89000</v>
      </c>
      <c r="J4" s="6" t="s">
        <v>35</v>
      </c>
      <c r="K4" s="5">
        <v>0.43402777777777773</v>
      </c>
      <c r="L4" s="6">
        <v>0.42291666666666666</v>
      </c>
      <c r="M4" s="15">
        <v>23</v>
      </c>
      <c r="N4" s="15">
        <v>3</v>
      </c>
      <c r="O4" s="15">
        <v>22</v>
      </c>
      <c r="P4" s="15">
        <v>0</v>
      </c>
      <c r="Q4" s="15">
        <v>0</v>
      </c>
      <c r="R4" s="15" t="s">
        <v>36</v>
      </c>
      <c r="S4" s="5">
        <v>0.45833333333333331</v>
      </c>
      <c r="T4" s="6">
        <v>0.46527777777777773</v>
      </c>
      <c r="U4" s="15">
        <v>225</v>
      </c>
      <c r="V4" s="15">
        <v>7</v>
      </c>
      <c r="W4" s="15">
        <v>1074</v>
      </c>
      <c r="X4" s="15">
        <v>0</v>
      </c>
      <c r="Y4" s="15">
        <v>0</v>
      </c>
    </row>
    <row r="5" spans="1:25" x14ac:dyDescent="0.25">
      <c r="A5" s="3">
        <v>45888</v>
      </c>
      <c r="B5" s="15" t="s">
        <v>32</v>
      </c>
      <c r="C5" s="11" t="s">
        <v>33</v>
      </c>
      <c r="D5" s="15" t="s">
        <v>29</v>
      </c>
      <c r="E5" s="12" t="s">
        <v>57</v>
      </c>
      <c r="F5" s="15">
        <v>239</v>
      </c>
      <c r="G5" s="15" t="s">
        <v>151</v>
      </c>
      <c r="H5" s="12" t="s">
        <v>17</v>
      </c>
      <c r="I5" s="4">
        <v>89000</v>
      </c>
      <c r="J5" s="15" t="s">
        <v>86</v>
      </c>
      <c r="K5" s="5">
        <v>0.48958333333333331</v>
      </c>
      <c r="L5" s="6">
        <v>0.47847222222222219</v>
      </c>
      <c r="M5" s="15">
        <v>146</v>
      </c>
      <c r="N5" s="15">
        <v>5</v>
      </c>
      <c r="O5" s="15">
        <v>596</v>
      </c>
      <c r="P5" s="15">
        <v>0</v>
      </c>
      <c r="Q5" s="15">
        <v>0</v>
      </c>
      <c r="R5" s="15" t="s">
        <v>86</v>
      </c>
      <c r="S5" s="5">
        <v>0.51736111111111105</v>
      </c>
      <c r="T5" s="6">
        <v>0.52847222222222223</v>
      </c>
      <c r="U5" s="15">
        <v>227</v>
      </c>
      <c r="V5" s="15">
        <v>6</v>
      </c>
      <c r="W5" s="15">
        <v>1248</v>
      </c>
      <c r="X5" s="15">
        <v>0</v>
      </c>
      <c r="Y5" s="15">
        <v>0</v>
      </c>
    </row>
    <row r="6" spans="1:25" s="26" customFormat="1" x14ac:dyDescent="0.25">
      <c r="A6" s="3">
        <v>45888</v>
      </c>
      <c r="B6" s="15" t="s">
        <v>152</v>
      </c>
      <c r="C6" s="11" t="s">
        <v>111</v>
      </c>
      <c r="D6" s="15" t="s">
        <v>153</v>
      </c>
      <c r="E6" s="15" t="s">
        <v>154</v>
      </c>
      <c r="F6" s="15" t="s">
        <v>111</v>
      </c>
      <c r="G6" s="15" t="s">
        <v>155</v>
      </c>
      <c r="H6" s="15" t="s">
        <v>147</v>
      </c>
      <c r="I6" s="15" t="s">
        <v>156</v>
      </c>
      <c r="J6" s="15" t="s">
        <v>111</v>
      </c>
      <c r="K6" s="27">
        <v>0.41666666666666669</v>
      </c>
      <c r="L6" s="21">
        <v>0.41666666666666669</v>
      </c>
      <c r="M6" s="26">
        <v>0</v>
      </c>
      <c r="N6" s="26">
        <v>0</v>
      </c>
      <c r="O6" s="26">
        <v>0</v>
      </c>
      <c r="P6" s="15">
        <v>0</v>
      </c>
      <c r="Q6" s="15">
        <v>0</v>
      </c>
      <c r="R6" s="15" t="s">
        <v>111</v>
      </c>
      <c r="S6" s="27">
        <v>0.44791666666666669</v>
      </c>
      <c r="T6" s="21">
        <v>0.47916666666666669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</row>
    <row r="7" spans="1:25" s="26" customFormat="1" x14ac:dyDescent="0.25">
      <c r="A7" s="3">
        <v>45888</v>
      </c>
      <c r="B7" s="15" t="s">
        <v>157</v>
      </c>
      <c r="C7" s="11" t="s">
        <v>111</v>
      </c>
      <c r="D7" s="15" t="s">
        <v>158</v>
      </c>
      <c r="E7" s="15" t="s">
        <v>159</v>
      </c>
      <c r="F7" s="15" t="s">
        <v>111</v>
      </c>
      <c r="G7" s="15" t="s">
        <v>160</v>
      </c>
      <c r="H7" s="15" t="s">
        <v>147</v>
      </c>
      <c r="I7" s="4">
        <v>600</v>
      </c>
      <c r="J7" s="15" t="s">
        <v>111</v>
      </c>
      <c r="K7" s="27">
        <v>0.39583333333333331</v>
      </c>
      <c r="L7" s="21">
        <v>0.41250000000000003</v>
      </c>
      <c r="M7" s="26">
        <v>0</v>
      </c>
      <c r="N7" s="26">
        <v>0</v>
      </c>
      <c r="O7" s="26">
        <v>0</v>
      </c>
      <c r="P7" s="15">
        <v>0</v>
      </c>
      <c r="Q7" s="15">
        <v>0</v>
      </c>
      <c r="R7" s="15" t="s">
        <v>111</v>
      </c>
      <c r="S7" s="27">
        <v>0.4236111111111111</v>
      </c>
      <c r="T7" s="21">
        <v>0.47222222222222227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BD7F-14CB-4B90-8BF1-1BD942AE0339}">
  <dimension ref="A1:AA13"/>
  <sheetViews>
    <sheetView workbookViewId="0">
      <selection activeCell="T5" sqref="T5"/>
    </sheetView>
  </sheetViews>
  <sheetFormatPr defaultRowHeight="15" x14ac:dyDescent="0.25"/>
  <cols>
    <col min="1" max="1" width="11.140625" customWidth="1"/>
    <col min="2" max="2" width="24.5703125" customWidth="1"/>
    <col min="4" max="4" width="16.42578125" customWidth="1"/>
    <col min="8" max="8" width="17.42578125" customWidth="1"/>
    <col min="9" max="10" width="11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7" x14ac:dyDescent="0.25">
      <c r="A2" s="3">
        <v>45889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61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0.38055555555555554</v>
      </c>
      <c r="M2" s="14">
        <v>155</v>
      </c>
      <c r="N2" s="15">
        <v>4</v>
      </c>
      <c r="O2" s="15">
        <v>617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0.42499999999999999</v>
      </c>
      <c r="U2" s="15">
        <v>184</v>
      </c>
      <c r="V2" s="15">
        <v>7</v>
      </c>
      <c r="W2" s="15">
        <v>717</v>
      </c>
      <c r="X2" s="15">
        <v>0</v>
      </c>
      <c r="Y2" s="15">
        <v>0</v>
      </c>
      <c r="Z2" s="15"/>
      <c r="AA2" s="15"/>
    </row>
    <row r="3" spans="1:27" x14ac:dyDescent="0.25">
      <c r="A3" s="3">
        <v>45889</v>
      </c>
      <c r="B3" s="15" t="s">
        <v>13</v>
      </c>
      <c r="C3" s="15" t="s">
        <v>14</v>
      </c>
      <c r="D3" s="15" t="s">
        <v>29</v>
      </c>
      <c r="E3" s="15" t="s">
        <v>16</v>
      </c>
      <c r="F3" s="15">
        <v>180</v>
      </c>
      <c r="G3" s="15" t="s">
        <v>161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0.45763888888888887</v>
      </c>
      <c r="M3" s="15">
        <v>107</v>
      </c>
      <c r="N3" s="15">
        <v>3</v>
      </c>
      <c r="O3" s="15">
        <v>546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0.4916666666666667</v>
      </c>
      <c r="U3" s="15">
        <v>180</v>
      </c>
      <c r="V3" s="15">
        <v>4</v>
      </c>
      <c r="W3" s="15">
        <v>1154</v>
      </c>
      <c r="X3" s="15">
        <v>0</v>
      </c>
      <c r="Y3" s="15">
        <v>0</v>
      </c>
      <c r="Z3" s="15"/>
      <c r="AA3" s="15"/>
    </row>
    <row r="4" spans="1:27" s="16" customFormat="1" ht="12.75" x14ac:dyDescent="0.2">
      <c r="A4" s="3">
        <v>45889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15" t="s">
        <v>92</v>
      </c>
      <c r="H4" s="12" t="s">
        <v>17</v>
      </c>
      <c r="I4" s="4">
        <v>71500</v>
      </c>
      <c r="J4" s="6" t="s">
        <v>35</v>
      </c>
      <c r="K4" s="5">
        <v>0.5</v>
      </c>
      <c r="L4" s="6">
        <v>0.49722222222222223</v>
      </c>
      <c r="M4" s="15">
        <v>96</v>
      </c>
      <c r="N4" s="15">
        <v>1</v>
      </c>
      <c r="O4" s="15">
        <v>391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0.56111111111111112</v>
      </c>
      <c r="U4" s="15">
        <v>179</v>
      </c>
      <c r="V4" s="15">
        <v>9</v>
      </c>
      <c r="W4" s="15">
        <v>769</v>
      </c>
      <c r="X4" s="15">
        <v>0</v>
      </c>
      <c r="Y4" s="15">
        <v>0</v>
      </c>
      <c r="Z4" s="15"/>
    </row>
    <row r="5" spans="1:27" x14ac:dyDescent="0.25">
      <c r="A5" s="3">
        <v>45889</v>
      </c>
      <c r="B5" s="15" t="s">
        <v>13</v>
      </c>
      <c r="C5" s="11" t="s">
        <v>14</v>
      </c>
      <c r="D5" s="15" t="s">
        <v>49</v>
      </c>
      <c r="E5" s="15" t="s">
        <v>62</v>
      </c>
      <c r="F5" s="15">
        <v>239</v>
      </c>
      <c r="G5" s="15" t="s">
        <v>89</v>
      </c>
      <c r="H5" s="12" t="s">
        <v>17</v>
      </c>
      <c r="I5" s="4">
        <v>89000</v>
      </c>
      <c r="J5" s="15" t="s">
        <v>47</v>
      </c>
      <c r="K5" s="5">
        <v>0.62847222222222221</v>
      </c>
      <c r="L5" s="6">
        <v>0.62013888888888891</v>
      </c>
      <c r="M5" s="15">
        <v>174</v>
      </c>
      <c r="N5" s="15">
        <v>2</v>
      </c>
      <c r="O5" s="15">
        <v>554</v>
      </c>
      <c r="P5" s="15">
        <v>0</v>
      </c>
      <c r="Q5" s="15">
        <v>0</v>
      </c>
      <c r="R5" s="15" t="s">
        <v>48</v>
      </c>
      <c r="S5" s="5">
        <v>0.65277777777777779</v>
      </c>
      <c r="T5" s="6">
        <v>0.65069444444444446</v>
      </c>
      <c r="U5" s="15">
        <v>209</v>
      </c>
      <c r="V5" s="15">
        <v>13</v>
      </c>
      <c r="W5" s="15">
        <v>758</v>
      </c>
      <c r="X5" s="15">
        <v>0</v>
      </c>
      <c r="Y5" s="15">
        <v>0</v>
      </c>
      <c r="Z5" s="15"/>
      <c r="AA5" s="16"/>
    </row>
    <row r="6" spans="1:27" x14ac:dyDescent="0.25">
      <c r="A6" s="3"/>
      <c r="B6" s="15"/>
      <c r="C6" s="11"/>
      <c r="D6" s="15"/>
      <c r="E6" s="15"/>
      <c r="F6" s="15"/>
      <c r="G6" s="15"/>
      <c r="H6" s="12"/>
      <c r="I6" s="4"/>
      <c r="J6" s="15"/>
      <c r="K6" s="5"/>
      <c r="L6" s="6"/>
      <c r="M6" s="15"/>
      <c r="N6" s="15"/>
      <c r="O6" s="15"/>
      <c r="P6" s="15"/>
      <c r="Q6" s="15"/>
      <c r="R6" s="15"/>
      <c r="S6" s="5"/>
      <c r="T6" s="6"/>
      <c r="U6" s="15"/>
      <c r="V6" s="15"/>
      <c r="W6" s="15"/>
      <c r="X6" s="15"/>
      <c r="Y6" s="15"/>
      <c r="Z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5146-DC1B-4C38-BFEE-452F1FDC795C}">
  <dimension ref="A1:Y4"/>
  <sheetViews>
    <sheetView workbookViewId="0">
      <selection sqref="A1:Y3"/>
    </sheetView>
  </sheetViews>
  <sheetFormatPr defaultRowHeight="15" x14ac:dyDescent="0.25"/>
  <sheetData>
    <row r="1" spans="1:25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3">
        <v>45890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162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0.3923611111111111</v>
      </c>
      <c r="M2" s="14">
        <v>156</v>
      </c>
      <c r="N2" s="15">
        <v>2</v>
      </c>
      <c r="O2" s="15">
        <v>292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0.4291666666666667</v>
      </c>
      <c r="U2" s="15">
        <v>177</v>
      </c>
      <c r="V2" s="15">
        <v>4</v>
      </c>
      <c r="W2" s="15">
        <v>793</v>
      </c>
      <c r="X2" s="15">
        <v>0</v>
      </c>
      <c r="Y2" s="15">
        <v>0</v>
      </c>
    </row>
    <row r="3" spans="1:25" x14ac:dyDescent="0.25">
      <c r="A3" s="3">
        <v>45890</v>
      </c>
      <c r="B3" s="15" t="s">
        <v>32</v>
      </c>
      <c r="C3" s="15" t="s">
        <v>33</v>
      </c>
      <c r="D3" s="15" t="s">
        <v>29</v>
      </c>
      <c r="E3" s="15" t="s">
        <v>57</v>
      </c>
      <c r="F3" s="15">
        <v>239</v>
      </c>
      <c r="G3" s="15" t="s">
        <v>141</v>
      </c>
      <c r="H3" s="12" t="s">
        <v>17</v>
      </c>
      <c r="I3" s="4">
        <v>89000</v>
      </c>
      <c r="J3" s="15" t="s">
        <v>86</v>
      </c>
      <c r="K3" s="5">
        <v>0.48958333333333331</v>
      </c>
      <c r="L3" s="6">
        <v>0.47986111111111113</v>
      </c>
      <c r="M3" s="15">
        <v>178</v>
      </c>
      <c r="N3" s="15">
        <v>0</v>
      </c>
      <c r="O3" s="15">
        <v>367</v>
      </c>
      <c r="P3" s="15">
        <v>0</v>
      </c>
      <c r="Q3" s="15">
        <v>0</v>
      </c>
      <c r="R3" s="15" t="s">
        <v>104</v>
      </c>
      <c r="S3" s="5">
        <v>0.51388888888888895</v>
      </c>
      <c r="T3" s="6">
        <v>0.52916666666666667</v>
      </c>
      <c r="U3" s="15">
        <v>227</v>
      </c>
      <c r="V3" s="15">
        <v>8</v>
      </c>
      <c r="W3" s="15">
        <v>1753</v>
      </c>
      <c r="X3" s="15">
        <v>0</v>
      </c>
      <c r="Y3" s="15">
        <v>0</v>
      </c>
    </row>
    <row r="4" spans="1:25" x14ac:dyDescent="0.25">
      <c r="A4" s="3">
        <v>45890</v>
      </c>
      <c r="B4" s="28" t="s">
        <v>163</v>
      </c>
      <c r="C4" s="28" t="s">
        <v>111</v>
      </c>
      <c r="D4" s="28" t="s">
        <v>164</v>
      </c>
      <c r="E4" s="28" t="s">
        <v>165</v>
      </c>
      <c r="F4" s="28">
        <v>4</v>
      </c>
      <c r="G4" s="28" t="s">
        <v>166</v>
      </c>
      <c r="H4" s="28" t="s">
        <v>167</v>
      </c>
      <c r="I4" s="29">
        <v>4600</v>
      </c>
      <c r="J4" s="28" t="s">
        <v>111</v>
      </c>
      <c r="K4" s="31">
        <v>0.34027777777777773</v>
      </c>
      <c r="L4" s="30">
        <v>0.3527777777777778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 t="s">
        <v>111</v>
      </c>
      <c r="S4" s="31">
        <v>0.35416666666666669</v>
      </c>
      <c r="T4" s="30">
        <v>0.37083333333333335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1420-D2D9-4356-BBAC-5BF512236A89}">
  <dimension ref="A1:AA7"/>
  <sheetViews>
    <sheetView topLeftCell="C1" workbookViewId="0">
      <selection sqref="A1:AA16"/>
    </sheetView>
  </sheetViews>
  <sheetFormatPr defaultRowHeight="15" x14ac:dyDescent="0.25"/>
  <cols>
    <col min="2" max="2" width="23.28515625" bestFit="1" customWidth="1"/>
    <col min="4" max="4" width="16" customWidth="1"/>
    <col min="8" max="8" width="15.710937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45891</v>
      </c>
      <c r="B2" s="15" t="s">
        <v>38</v>
      </c>
      <c r="C2" s="2" t="s">
        <v>39</v>
      </c>
      <c r="D2" s="12" t="s">
        <v>37</v>
      </c>
      <c r="E2" s="13" t="s">
        <v>16</v>
      </c>
      <c r="F2" s="12">
        <v>180</v>
      </c>
      <c r="G2" s="4" t="s">
        <v>168</v>
      </c>
      <c r="H2" s="2" t="s">
        <v>17</v>
      </c>
      <c r="I2" s="4">
        <v>71500</v>
      </c>
      <c r="J2" s="6" t="s">
        <v>40</v>
      </c>
      <c r="K2" s="5">
        <v>0.36805555555555558</v>
      </c>
      <c r="L2" s="6">
        <v>0.35902777777777778</v>
      </c>
      <c r="M2" s="14">
        <v>168</v>
      </c>
      <c r="N2" s="15">
        <v>4</v>
      </c>
      <c r="O2" s="15">
        <v>1434</v>
      </c>
      <c r="P2" s="15">
        <v>0</v>
      </c>
      <c r="Q2" s="15">
        <v>0</v>
      </c>
      <c r="R2" s="15" t="s">
        <v>41</v>
      </c>
      <c r="S2" s="5">
        <v>0.4236111111111111</v>
      </c>
      <c r="T2" s="6">
        <v>0.43194444444444446</v>
      </c>
      <c r="U2" s="14">
        <v>183</v>
      </c>
      <c r="V2" s="15">
        <v>3</v>
      </c>
      <c r="W2" s="15">
        <v>1656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45891</v>
      </c>
      <c r="B3" s="15" t="s">
        <v>13</v>
      </c>
      <c r="C3" s="11" t="s">
        <v>14</v>
      </c>
      <c r="D3" s="15" t="s">
        <v>15</v>
      </c>
      <c r="E3" s="15" t="s">
        <v>16</v>
      </c>
      <c r="F3" s="15">
        <v>186</v>
      </c>
      <c r="G3" s="15" t="s">
        <v>169</v>
      </c>
      <c r="H3" s="12" t="s">
        <v>17</v>
      </c>
      <c r="I3" s="4">
        <v>71500</v>
      </c>
      <c r="J3" s="15" t="s">
        <v>18</v>
      </c>
      <c r="K3" s="5">
        <v>0.3923611111111111</v>
      </c>
      <c r="L3" s="6">
        <v>0.375</v>
      </c>
      <c r="M3" s="14">
        <v>163</v>
      </c>
      <c r="N3" s="15">
        <v>3</v>
      </c>
      <c r="O3" s="15">
        <v>1070</v>
      </c>
      <c r="P3" s="15">
        <v>0</v>
      </c>
      <c r="Q3" s="15">
        <v>0</v>
      </c>
      <c r="R3" s="15" t="s">
        <v>28</v>
      </c>
      <c r="S3" s="5">
        <v>0.41319444444444442</v>
      </c>
      <c r="T3" s="6">
        <v>0.4236111111111111</v>
      </c>
      <c r="U3" s="15">
        <v>177</v>
      </c>
      <c r="V3" s="15">
        <v>4</v>
      </c>
      <c r="W3" s="15">
        <v>1077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45891</v>
      </c>
      <c r="B4" s="15" t="s">
        <v>13</v>
      </c>
      <c r="C4" s="11" t="s">
        <v>14</v>
      </c>
      <c r="D4" s="15" t="s">
        <v>29</v>
      </c>
      <c r="E4" s="12" t="s">
        <v>16</v>
      </c>
      <c r="F4" s="15">
        <v>186</v>
      </c>
      <c r="G4" s="15" t="s">
        <v>117</v>
      </c>
      <c r="H4" s="12" t="s">
        <v>17</v>
      </c>
      <c r="I4" s="4">
        <v>71500</v>
      </c>
      <c r="J4" s="15" t="s">
        <v>30</v>
      </c>
      <c r="K4" s="5">
        <v>0.49652777777777773</v>
      </c>
      <c r="L4" s="6">
        <v>0.50624999999999998</v>
      </c>
      <c r="M4" s="15">
        <v>158</v>
      </c>
      <c r="N4" s="15">
        <v>5</v>
      </c>
      <c r="O4" s="15">
        <v>661</v>
      </c>
      <c r="P4" s="15">
        <v>0</v>
      </c>
      <c r="Q4" s="15">
        <v>0</v>
      </c>
      <c r="R4" s="15" t="s">
        <v>31</v>
      </c>
      <c r="S4" s="5">
        <v>0.51736111111111105</v>
      </c>
      <c r="T4" s="6">
        <v>0.53819444444444442</v>
      </c>
      <c r="U4" s="15">
        <v>183</v>
      </c>
      <c r="V4" s="15">
        <v>6</v>
      </c>
      <c r="W4" s="15">
        <v>1275</v>
      </c>
      <c r="X4" s="15">
        <v>0</v>
      </c>
      <c r="Y4" s="15">
        <v>0</v>
      </c>
      <c r="Z4" s="15">
        <v>0</v>
      </c>
      <c r="AA4" s="15">
        <v>0</v>
      </c>
    </row>
    <row r="5" spans="1:27" x14ac:dyDescent="0.25">
      <c r="A5" s="3">
        <v>45891</v>
      </c>
      <c r="B5" s="15" t="s">
        <v>32</v>
      </c>
      <c r="C5" s="15" t="s">
        <v>33</v>
      </c>
      <c r="D5" s="12" t="s">
        <v>34</v>
      </c>
      <c r="E5" s="15" t="s">
        <v>16</v>
      </c>
      <c r="F5" s="15">
        <v>180</v>
      </c>
      <c r="G5" s="4" t="s">
        <v>170</v>
      </c>
      <c r="H5" s="12" t="s">
        <v>17</v>
      </c>
      <c r="I5" s="4">
        <v>71500</v>
      </c>
      <c r="J5" s="6" t="s">
        <v>35</v>
      </c>
      <c r="K5" s="5">
        <v>0.5</v>
      </c>
      <c r="L5" s="6">
        <v>0.51527777777777783</v>
      </c>
      <c r="M5" s="15">
        <v>143</v>
      </c>
      <c r="N5" s="15">
        <v>3</v>
      </c>
      <c r="O5" s="15">
        <v>469</v>
      </c>
      <c r="P5" s="15">
        <v>0</v>
      </c>
      <c r="Q5" s="15">
        <v>0</v>
      </c>
      <c r="R5" s="15" t="s">
        <v>36</v>
      </c>
      <c r="S5" s="5">
        <v>0.52083333333333337</v>
      </c>
      <c r="T5" s="6">
        <v>0.56319444444444444</v>
      </c>
      <c r="U5" s="15">
        <v>172</v>
      </c>
      <c r="V5" s="15">
        <v>8</v>
      </c>
      <c r="W5" s="15">
        <v>1059</v>
      </c>
      <c r="X5" s="15">
        <v>0</v>
      </c>
      <c r="Y5" s="15">
        <v>0</v>
      </c>
      <c r="Z5" s="15">
        <v>0</v>
      </c>
      <c r="AA5" s="15">
        <v>0</v>
      </c>
    </row>
    <row r="6" spans="1:27" x14ac:dyDescent="0.25">
      <c r="A6" s="3">
        <v>45891</v>
      </c>
      <c r="B6" s="15" t="s">
        <v>53</v>
      </c>
      <c r="C6" s="15" t="s">
        <v>44</v>
      </c>
      <c r="D6" s="15" t="s">
        <v>42</v>
      </c>
      <c r="E6" s="15" t="s">
        <v>16</v>
      </c>
      <c r="F6" s="15">
        <v>180</v>
      </c>
      <c r="G6" s="15" t="s">
        <v>171</v>
      </c>
      <c r="H6" s="12" t="s">
        <v>43</v>
      </c>
      <c r="I6" s="4">
        <v>71500</v>
      </c>
      <c r="J6" s="15" t="s">
        <v>45</v>
      </c>
      <c r="K6" s="5">
        <v>0.375</v>
      </c>
      <c r="L6" s="6">
        <v>0.4069444444444445</v>
      </c>
      <c r="M6" s="15">
        <v>179</v>
      </c>
      <c r="N6" s="15">
        <v>7</v>
      </c>
      <c r="O6" s="15">
        <v>2467</v>
      </c>
      <c r="P6" s="15">
        <v>0</v>
      </c>
      <c r="Q6" s="15">
        <v>0</v>
      </c>
      <c r="R6" s="15" t="s">
        <v>46</v>
      </c>
      <c r="S6" s="5">
        <v>0.41666666666666669</v>
      </c>
      <c r="T6" s="6">
        <v>0.45069444444444445</v>
      </c>
      <c r="U6" s="15">
        <v>179</v>
      </c>
      <c r="V6" s="15">
        <v>3</v>
      </c>
      <c r="W6" s="15">
        <v>2107</v>
      </c>
      <c r="X6" s="15">
        <v>0</v>
      </c>
      <c r="Y6" s="15">
        <v>0</v>
      </c>
      <c r="Z6" s="15">
        <v>0</v>
      </c>
      <c r="AA6" s="15">
        <v>0</v>
      </c>
    </row>
    <row r="7" spans="1:27" x14ac:dyDescent="0.25">
      <c r="A7" s="3">
        <v>45891</v>
      </c>
      <c r="B7" s="15" t="s">
        <v>13</v>
      </c>
      <c r="C7" s="11" t="s">
        <v>14</v>
      </c>
      <c r="D7" s="15" t="s">
        <v>49</v>
      </c>
      <c r="E7" s="15" t="s">
        <v>16</v>
      </c>
      <c r="F7" s="12">
        <v>239</v>
      </c>
      <c r="G7" s="15" t="s">
        <v>89</v>
      </c>
      <c r="H7" s="12" t="s">
        <v>17</v>
      </c>
      <c r="I7" s="4">
        <v>89000</v>
      </c>
      <c r="J7" s="15" t="s">
        <v>47</v>
      </c>
      <c r="K7" s="5">
        <v>0.87847222222222221</v>
      </c>
      <c r="L7" s="6">
        <v>0.86597222222222225</v>
      </c>
      <c r="M7" s="15">
        <v>195</v>
      </c>
      <c r="N7" s="15">
        <v>1</v>
      </c>
      <c r="O7" s="15">
        <v>330</v>
      </c>
      <c r="P7" s="15">
        <v>0</v>
      </c>
      <c r="Q7" s="15">
        <v>0</v>
      </c>
      <c r="R7" s="15" t="s">
        <v>48</v>
      </c>
      <c r="S7" s="5">
        <v>0.90277777777777779</v>
      </c>
      <c r="T7" s="6">
        <v>0.93402777777777779</v>
      </c>
      <c r="U7" s="15">
        <v>211</v>
      </c>
      <c r="V7" s="15">
        <v>5</v>
      </c>
      <c r="W7" s="15">
        <v>480</v>
      </c>
      <c r="X7" s="15">
        <v>0</v>
      </c>
      <c r="Y7" s="15">
        <v>0</v>
      </c>
      <c r="Z7" s="15">
        <v>0</v>
      </c>
      <c r="AA7" s="15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4EF8-D7E4-4B18-AFB6-6A1E78927400}">
  <dimension ref="A1:AA4"/>
  <sheetViews>
    <sheetView workbookViewId="0">
      <selection activeCell="T5" sqref="T5"/>
    </sheetView>
  </sheetViews>
  <sheetFormatPr defaultRowHeight="15" x14ac:dyDescent="0.25"/>
  <cols>
    <col min="2" max="2" width="23.7109375" customWidth="1"/>
    <col min="4" max="4" width="17.42578125" customWidth="1"/>
    <col min="8" max="8" width="14.57031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45892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162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0.4284722222222222</v>
      </c>
      <c r="M2" s="14">
        <v>145</v>
      </c>
      <c r="N2" s="15">
        <v>2</v>
      </c>
      <c r="O2" s="15">
        <v>590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0.46180555555555558</v>
      </c>
      <c r="U2" s="15">
        <v>155</v>
      </c>
      <c r="V2" s="15">
        <v>0</v>
      </c>
      <c r="W2" s="15">
        <v>525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45892</v>
      </c>
      <c r="B3" s="15" t="s">
        <v>32</v>
      </c>
      <c r="C3" s="15" t="s">
        <v>33</v>
      </c>
      <c r="D3" s="12" t="s">
        <v>34</v>
      </c>
      <c r="E3" s="12" t="s">
        <v>57</v>
      </c>
      <c r="F3" s="15">
        <v>239</v>
      </c>
      <c r="G3" s="4" t="s">
        <v>118</v>
      </c>
      <c r="H3" s="12" t="s">
        <v>17</v>
      </c>
      <c r="I3" s="4">
        <v>89000</v>
      </c>
      <c r="J3" s="6" t="s">
        <v>35</v>
      </c>
      <c r="K3" s="5">
        <v>0.43402777777777773</v>
      </c>
      <c r="L3" s="6">
        <v>0.4465277777777778</v>
      </c>
      <c r="M3" s="15">
        <v>141</v>
      </c>
      <c r="N3" s="15">
        <v>2</v>
      </c>
      <c r="O3" s="15">
        <v>513</v>
      </c>
      <c r="P3" s="15">
        <v>0</v>
      </c>
      <c r="Q3" s="15">
        <v>0</v>
      </c>
      <c r="R3" s="15" t="s">
        <v>36</v>
      </c>
      <c r="S3" s="5">
        <v>0.45833333333333331</v>
      </c>
      <c r="T3" s="6">
        <v>0.48402777777777778</v>
      </c>
      <c r="U3" s="15">
        <v>225</v>
      </c>
      <c r="V3" s="15">
        <v>4</v>
      </c>
      <c r="W3" s="15">
        <v>1253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45892</v>
      </c>
      <c r="B4" s="15" t="s">
        <v>32</v>
      </c>
      <c r="C4" s="15" t="s">
        <v>33</v>
      </c>
      <c r="D4" s="15" t="s">
        <v>29</v>
      </c>
      <c r="E4" s="12" t="s">
        <v>57</v>
      </c>
      <c r="F4" s="15">
        <v>239</v>
      </c>
      <c r="G4" s="15" t="s">
        <v>141</v>
      </c>
      <c r="H4" s="12" t="s">
        <v>17</v>
      </c>
      <c r="I4" s="4">
        <v>89000</v>
      </c>
      <c r="J4" s="15" t="s">
        <v>86</v>
      </c>
      <c r="K4" s="5">
        <v>0.48958333333333331</v>
      </c>
      <c r="L4" s="6">
        <v>0.49374999999999997</v>
      </c>
      <c r="M4" s="15">
        <v>214</v>
      </c>
      <c r="N4" s="15">
        <v>4</v>
      </c>
      <c r="O4" s="15">
        <v>1266</v>
      </c>
      <c r="P4" s="15">
        <v>0</v>
      </c>
      <c r="Q4" s="15">
        <v>0</v>
      </c>
      <c r="R4" s="15" t="s">
        <v>104</v>
      </c>
      <c r="S4" s="5">
        <v>0.51388888888888895</v>
      </c>
      <c r="T4" s="6">
        <v>0.53055555555555556</v>
      </c>
      <c r="U4" s="15">
        <v>234</v>
      </c>
      <c r="V4" s="15">
        <v>4</v>
      </c>
      <c r="W4" s="15">
        <v>1577</v>
      </c>
      <c r="X4" s="15">
        <v>0</v>
      </c>
      <c r="Y4" s="15">
        <v>0</v>
      </c>
      <c r="Z4" s="15">
        <v>0</v>
      </c>
      <c r="AA4" s="1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275E-F78F-4FEA-87C2-368537B628B3}">
  <dimension ref="A1:AA4"/>
  <sheetViews>
    <sheetView workbookViewId="0">
      <selection sqref="A1:XFD4"/>
    </sheetView>
  </sheetViews>
  <sheetFormatPr defaultRowHeight="15" x14ac:dyDescent="0.25"/>
  <cols>
    <col min="2" max="2" width="21.140625" customWidth="1"/>
    <col min="4" max="4" width="17" customWidth="1"/>
    <col min="8" max="8" width="15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45893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162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0.39374999999999999</v>
      </c>
      <c r="M2" s="14">
        <v>147</v>
      </c>
      <c r="N2" s="15">
        <v>4</v>
      </c>
      <c r="O2" s="15">
        <v>525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0.42986111111111108</v>
      </c>
      <c r="U2" s="15">
        <v>186</v>
      </c>
      <c r="V2" s="15">
        <v>1</v>
      </c>
      <c r="W2" s="15">
        <v>877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45893</v>
      </c>
      <c r="B3" s="15" t="s">
        <v>13</v>
      </c>
      <c r="C3" s="15" t="s">
        <v>33</v>
      </c>
      <c r="D3" s="15" t="s">
        <v>29</v>
      </c>
      <c r="E3" s="15" t="s">
        <v>16</v>
      </c>
      <c r="F3" s="15">
        <v>180</v>
      </c>
      <c r="G3" s="15" t="s">
        <v>172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0.47430555555555554</v>
      </c>
      <c r="M3" s="15">
        <v>168</v>
      </c>
      <c r="N3" s="15">
        <v>5</v>
      </c>
      <c r="O3" s="15">
        <v>1018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0.51041666666666663</v>
      </c>
      <c r="U3" s="15">
        <v>180</v>
      </c>
      <c r="V3" s="15">
        <v>2</v>
      </c>
      <c r="W3" s="15">
        <v>1265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45893</v>
      </c>
      <c r="B4" s="15" t="s">
        <v>13</v>
      </c>
      <c r="C4" s="11" t="s">
        <v>14</v>
      </c>
      <c r="D4" s="16" t="s">
        <v>49</v>
      </c>
      <c r="E4" s="15" t="s">
        <v>62</v>
      </c>
      <c r="F4" s="16">
        <v>239</v>
      </c>
      <c r="G4" s="15" t="s">
        <v>89</v>
      </c>
      <c r="H4" s="12" t="s">
        <v>17</v>
      </c>
      <c r="I4" s="17">
        <v>89000</v>
      </c>
      <c r="J4" s="16" t="s">
        <v>47</v>
      </c>
      <c r="K4" s="19">
        <v>0.62847222222222221</v>
      </c>
      <c r="L4" s="18">
        <v>0.61388888888888882</v>
      </c>
      <c r="M4" s="16">
        <v>126</v>
      </c>
      <c r="N4" s="16">
        <v>0</v>
      </c>
      <c r="O4" s="16">
        <v>224</v>
      </c>
      <c r="P4" s="16">
        <v>0</v>
      </c>
      <c r="Q4" s="16">
        <v>0</v>
      </c>
      <c r="R4" s="16" t="s">
        <v>48</v>
      </c>
      <c r="S4" s="19">
        <v>0.65277777777777779</v>
      </c>
      <c r="T4" s="18">
        <v>0.65208333333333335</v>
      </c>
      <c r="U4" s="16">
        <v>221</v>
      </c>
      <c r="V4" s="16">
        <v>7</v>
      </c>
      <c r="W4" s="16">
        <v>552</v>
      </c>
      <c r="X4" s="16">
        <v>0</v>
      </c>
      <c r="Y4" s="16">
        <v>0</v>
      </c>
      <c r="Z4" s="16">
        <v>0</v>
      </c>
      <c r="AA4" s="1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5CA8-0719-444A-9484-AE531D54E9EB}">
  <dimension ref="A1:Z10"/>
  <sheetViews>
    <sheetView workbookViewId="0">
      <selection activeCell="T8" sqref="T8"/>
    </sheetView>
  </sheetViews>
  <sheetFormatPr defaultRowHeight="15" x14ac:dyDescent="0.25"/>
  <cols>
    <col min="1" max="1" width="11.7109375" customWidth="1"/>
    <col min="2" max="2" width="25" customWidth="1"/>
    <col min="4" max="4" width="17.85546875" customWidth="1"/>
    <col min="6" max="6" width="9.42578125" bestFit="1" customWidth="1"/>
    <col min="8" max="8" width="13.42578125" customWidth="1"/>
    <col min="9" max="9" width="9.42578125" bestFit="1" customWidth="1"/>
    <col min="11" max="17" width="9.42578125" bestFit="1" customWidth="1"/>
    <col min="19" max="25" width="9.42578125" bestFit="1" customWidth="1"/>
  </cols>
  <sheetData>
    <row r="1" spans="1:26" ht="25.5" x14ac:dyDescent="0.25">
      <c r="A1" s="8" t="s">
        <v>70</v>
      </c>
      <c r="B1" s="8" t="s">
        <v>71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6" x14ac:dyDescent="0.25">
      <c r="A2" s="20">
        <v>45894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161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0.3833333333333333</v>
      </c>
      <c r="M2" s="15">
        <v>135</v>
      </c>
      <c r="N2" s="15">
        <v>3</v>
      </c>
      <c r="O2" s="15">
        <v>422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0.41736111111111113</v>
      </c>
      <c r="U2" s="15">
        <v>172</v>
      </c>
      <c r="V2" s="15">
        <v>6</v>
      </c>
      <c r="W2" s="15">
        <v>763</v>
      </c>
      <c r="X2" s="15">
        <v>0</v>
      </c>
      <c r="Y2" s="15">
        <v>0</v>
      </c>
      <c r="Z2" s="15"/>
    </row>
    <row r="3" spans="1:26" x14ac:dyDescent="0.25">
      <c r="A3" s="20">
        <v>45894</v>
      </c>
      <c r="B3" s="15" t="s">
        <v>13</v>
      </c>
      <c r="C3" s="11" t="s">
        <v>14</v>
      </c>
      <c r="D3" s="15" t="s">
        <v>29</v>
      </c>
      <c r="E3" s="12" t="s">
        <v>16</v>
      </c>
      <c r="F3" s="15">
        <v>180</v>
      </c>
      <c r="G3" s="4" t="s">
        <v>113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0.48333333333333334</v>
      </c>
      <c r="M3" s="15">
        <v>131</v>
      </c>
      <c r="N3" s="15">
        <v>2</v>
      </c>
      <c r="O3" s="15">
        <v>567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0.5180555555555556</v>
      </c>
      <c r="U3" s="15">
        <v>180</v>
      </c>
      <c r="V3" s="15">
        <v>3</v>
      </c>
      <c r="W3" s="15">
        <v>1079</v>
      </c>
      <c r="X3" s="15">
        <v>0</v>
      </c>
      <c r="Y3" s="15">
        <v>0</v>
      </c>
      <c r="Z3" s="15"/>
    </row>
    <row r="4" spans="1:26" x14ac:dyDescent="0.25">
      <c r="A4" s="20">
        <v>45894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15" t="s">
        <v>52</v>
      </c>
      <c r="H4" s="12" t="s">
        <v>17</v>
      </c>
      <c r="I4" s="4">
        <v>71500</v>
      </c>
      <c r="J4" s="6" t="s">
        <v>35</v>
      </c>
      <c r="K4" s="5">
        <v>0.5</v>
      </c>
      <c r="L4" s="6">
        <v>0.52222222222222225</v>
      </c>
      <c r="M4" s="15">
        <v>93</v>
      </c>
      <c r="N4" s="15">
        <v>1</v>
      </c>
      <c r="O4" s="15">
        <v>373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0.5805555555555556</v>
      </c>
      <c r="U4" s="15">
        <v>171</v>
      </c>
      <c r="V4" s="15">
        <v>1</v>
      </c>
      <c r="W4" s="15">
        <v>752</v>
      </c>
      <c r="X4" s="15">
        <v>0</v>
      </c>
      <c r="Y4" s="15">
        <v>0</v>
      </c>
      <c r="Z4" s="15"/>
    </row>
    <row r="5" spans="1:26" x14ac:dyDescent="0.25">
      <c r="A5" s="20">
        <v>45894</v>
      </c>
      <c r="B5" s="15" t="s">
        <v>72</v>
      </c>
      <c r="C5" s="2" t="s">
        <v>73</v>
      </c>
      <c r="D5" s="12" t="s">
        <v>37</v>
      </c>
      <c r="E5" s="13" t="s">
        <v>74</v>
      </c>
      <c r="F5" s="12">
        <v>189</v>
      </c>
      <c r="G5" s="4" t="s">
        <v>173</v>
      </c>
      <c r="H5" s="12" t="s">
        <v>17</v>
      </c>
      <c r="I5" s="4">
        <v>79000</v>
      </c>
      <c r="J5" s="6" t="s">
        <v>75</v>
      </c>
      <c r="K5" s="5">
        <v>0.56597222222222221</v>
      </c>
      <c r="L5" s="6">
        <v>0.56111111111111112</v>
      </c>
      <c r="M5" s="14">
        <v>161</v>
      </c>
      <c r="N5" s="15">
        <v>1</v>
      </c>
      <c r="O5" s="15">
        <v>1750</v>
      </c>
      <c r="P5" s="15">
        <v>0</v>
      </c>
      <c r="Q5" s="15">
        <v>0</v>
      </c>
      <c r="R5" s="15" t="s">
        <v>76</v>
      </c>
      <c r="S5" s="5">
        <v>0.60763888888888895</v>
      </c>
      <c r="T5" s="6">
        <v>0.62569444444444444</v>
      </c>
      <c r="U5" s="15">
        <v>164</v>
      </c>
      <c r="V5" s="15">
        <v>0</v>
      </c>
      <c r="W5" s="15">
        <v>1913</v>
      </c>
      <c r="X5" s="15">
        <v>0</v>
      </c>
      <c r="Y5" s="15">
        <v>0</v>
      </c>
      <c r="Z5" s="15"/>
    </row>
    <row r="6" spans="1:26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651-FC27-4826-A89D-58F09F52B263}">
  <dimension ref="A1:Y7"/>
  <sheetViews>
    <sheetView workbookViewId="0">
      <selection activeCell="T12" sqref="T12"/>
    </sheetView>
  </sheetViews>
  <sheetFormatPr defaultRowHeight="15" x14ac:dyDescent="0.25"/>
  <cols>
    <col min="2" max="2" width="24.42578125" customWidth="1"/>
    <col min="4" max="4" width="19.140625" customWidth="1"/>
    <col min="8" max="8" width="12.85546875" customWidth="1"/>
  </cols>
  <sheetData>
    <row r="1" spans="1:25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3">
        <v>45895</v>
      </c>
      <c r="B2" s="15" t="s">
        <v>53</v>
      </c>
      <c r="C2" s="15" t="s">
        <v>44</v>
      </c>
      <c r="D2" s="15" t="s">
        <v>42</v>
      </c>
      <c r="E2" s="15" t="s">
        <v>16</v>
      </c>
      <c r="F2" s="15">
        <v>180</v>
      </c>
      <c r="G2" s="15" t="s">
        <v>174</v>
      </c>
      <c r="H2" s="15" t="s">
        <v>43</v>
      </c>
      <c r="I2" s="4">
        <v>71500</v>
      </c>
      <c r="J2" s="15" t="s">
        <v>79</v>
      </c>
      <c r="K2" s="5">
        <v>0.33333333333333331</v>
      </c>
      <c r="L2" s="6">
        <v>0.35347222222222219</v>
      </c>
      <c r="M2" s="15">
        <v>178</v>
      </c>
      <c r="N2" s="15">
        <v>2</v>
      </c>
      <c r="O2" s="15">
        <v>2422</v>
      </c>
      <c r="P2" s="15">
        <v>0</v>
      </c>
      <c r="Q2" s="15">
        <v>0</v>
      </c>
      <c r="R2" s="15" t="s">
        <v>80</v>
      </c>
      <c r="S2" s="5">
        <v>0.375</v>
      </c>
      <c r="T2" s="6">
        <v>0.39513888888888887</v>
      </c>
      <c r="U2" s="15">
        <v>174</v>
      </c>
      <c r="V2" s="15">
        <v>5</v>
      </c>
      <c r="W2" s="15">
        <v>2291</v>
      </c>
      <c r="X2" s="15">
        <v>0</v>
      </c>
      <c r="Y2" s="15">
        <v>0</v>
      </c>
    </row>
    <row r="3" spans="1:25" x14ac:dyDescent="0.25">
      <c r="A3" s="3">
        <f>A2</f>
        <v>45895</v>
      </c>
      <c r="B3" s="15" t="s">
        <v>81</v>
      </c>
      <c r="C3" s="15" t="s">
        <v>82</v>
      </c>
      <c r="D3" s="15" t="s">
        <v>42</v>
      </c>
      <c r="E3" s="15" t="s">
        <v>83</v>
      </c>
      <c r="F3" s="15">
        <v>189</v>
      </c>
      <c r="G3" s="15" t="s">
        <v>176</v>
      </c>
      <c r="H3" s="15" t="s">
        <v>43</v>
      </c>
      <c r="I3" s="4">
        <v>80000</v>
      </c>
      <c r="J3" s="15" t="s">
        <v>84</v>
      </c>
      <c r="K3" s="5">
        <v>0.43402777777777773</v>
      </c>
      <c r="L3" s="6">
        <v>0.4381944444444445</v>
      </c>
      <c r="M3" s="15">
        <v>181</v>
      </c>
      <c r="N3" s="15">
        <v>5</v>
      </c>
      <c r="O3" s="15">
        <v>2211</v>
      </c>
      <c r="P3" s="15">
        <v>0</v>
      </c>
      <c r="Q3" s="15">
        <v>0</v>
      </c>
      <c r="R3" s="15" t="s">
        <v>85</v>
      </c>
      <c r="S3" s="5">
        <v>0.47569444444444442</v>
      </c>
      <c r="T3" s="6">
        <v>0.48888888888888887</v>
      </c>
      <c r="U3" s="15">
        <v>172</v>
      </c>
      <c r="V3" s="15">
        <v>6</v>
      </c>
      <c r="W3" s="15">
        <v>2089</v>
      </c>
      <c r="X3" s="15">
        <v>0</v>
      </c>
      <c r="Y3" s="15">
        <v>0</v>
      </c>
    </row>
    <row r="4" spans="1:25" x14ac:dyDescent="0.25">
      <c r="A4" s="3">
        <f>A3</f>
        <v>45895</v>
      </c>
      <c r="B4" s="15" t="s">
        <v>32</v>
      </c>
      <c r="C4" s="15" t="s">
        <v>33</v>
      </c>
      <c r="D4" s="12" t="s">
        <v>34</v>
      </c>
      <c r="E4" s="12" t="s">
        <v>57</v>
      </c>
      <c r="F4" s="15">
        <v>239</v>
      </c>
      <c r="G4" s="15" t="s">
        <v>88</v>
      </c>
      <c r="H4" s="12" t="s">
        <v>17</v>
      </c>
      <c r="I4" s="4">
        <v>89000</v>
      </c>
      <c r="J4" s="6" t="s">
        <v>35</v>
      </c>
      <c r="K4" s="5">
        <v>0.43402777777777773</v>
      </c>
      <c r="L4" s="6">
        <v>0.45347222222222222</v>
      </c>
      <c r="M4" s="15">
        <v>36</v>
      </c>
      <c r="N4" s="15">
        <v>0</v>
      </c>
      <c r="O4" s="15">
        <v>232</v>
      </c>
      <c r="P4" s="15">
        <v>0</v>
      </c>
      <c r="Q4" s="15">
        <v>0</v>
      </c>
      <c r="R4" s="15" t="s">
        <v>36</v>
      </c>
      <c r="S4" s="5">
        <v>0.45833333333333331</v>
      </c>
      <c r="T4" s="6">
        <v>0.51111111111111118</v>
      </c>
      <c r="U4" s="15">
        <v>221</v>
      </c>
      <c r="V4" s="15">
        <v>6</v>
      </c>
      <c r="W4" s="15">
        <v>914</v>
      </c>
      <c r="X4" s="15">
        <v>0</v>
      </c>
      <c r="Y4" s="15">
        <v>0</v>
      </c>
    </row>
    <row r="5" spans="1:25" x14ac:dyDescent="0.25">
      <c r="A5" s="3">
        <f>A4</f>
        <v>45895</v>
      </c>
      <c r="B5" s="15" t="s">
        <v>32</v>
      </c>
      <c r="C5" s="11" t="s">
        <v>33</v>
      </c>
      <c r="D5" s="15" t="s">
        <v>29</v>
      </c>
      <c r="E5" s="12" t="s">
        <v>57</v>
      </c>
      <c r="F5" s="15">
        <v>239</v>
      </c>
      <c r="G5" s="15" t="s">
        <v>175</v>
      </c>
      <c r="H5" s="12" t="s">
        <v>17</v>
      </c>
      <c r="I5" s="4">
        <v>89000</v>
      </c>
      <c r="J5" s="15" t="s">
        <v>86</v>
      </c>
      <c r="K5" s="5">
        <v>0.48958333333333331</v>
      </c>
      <c r="L5" s="6">
        <v>0.48402777777777778</v>
      </c>
      <c r="M5" s="15">
        <v>91</v>
      </c>
      <c r="N5" s="15">
        <v>4</v>
      </c>
      <c r="O5" s="15">
        <v>437</v>
      </c>
      <c r="P5" s="15">
        <v>0</v>
      </c>
      <c r="Q5" s="15">
        <v>0</v>
      </c>
      <c r="R5" s="15" t="s">
        <v>86</v>
      </c>
      <c r="S5" s="5">
        <v>0.51388888888888895</v>
      </c>
      <c r="T5" s="6">
        <v>0.53749999999999998</v>
      </c>
      <c r="U5" s="15">
        <v>231</v>
      </c>
      <c r="V5" s="15">
        <v>5</v>
      </c>
      <c r="W5" s="15">
        <v>1014</v>
      </c>
      <c r="X5" s="15">
        <v>0</v>
      </c>
      <c r="Y5" s="15">
        <v>0</v>
      </c>
    </row>
    <row r="6" spans="1:25" s="26" customFormat="1" x14ac:dyDescent="0.25">
      <c r="A6" s="3"/>
      <c r="B6" s="15"/>
      <c r="C6" s="11"/>
      <c r="D6" s="15"/>
      <c r="E6" s="15"/>
      <c r="F6" s="15"/>
      <c r="G6" s="15"/>
      <c r="H6" s="15"/>
      <c r="I6" s="15"/>
      <c r="J6" s="15"/>
      <c r="K6" s="27"/>
      <c r="L6" s="21"/>
      <c r="P6" s="15"/>
      <c r="Q6" s="15"/>
      <c r="R6" s="15"/>
      <c r="S6" s="27"/>
      <c r="T6" s="21"/>
      <c r="U6" s="15"/>
      <c r="V6" s="15"/>
      <c r="W6" s="15"/>
      <c r="X6" s="15"/>
      <c r="Y6" s="15"/>
    </row>
    <row r="7" spans="1:25" s="26" customFormat="1" x14ac:dyDescent="0.25">
      <c r="A7" s="3"/>
      <c r="B7" s="15"/>
      <c r="C7" s="11"/>
      <c r="D7" s="15"/>
      <c r="E7" s="15"/>
      <c r="F7" s="15"/>
      <c r="G7" s="15"/>
      <c r="H7" s="15"/>
      <c r="I7" s="4"/>
      <c r="J7" s="15"/>
      <c r="K7" s="27"/>
      <c r="L7" s="21"/>
      <c r="P7" s="15"/>
      <c r="Q7" s="15"/>
      <c r="R7" s="15"/>
      <c r="S7" s="27"/>
      <c r="T7" s="21"/>
      <c r="U7" s="15"/>
      <c r="V7" s="15"/>
      <c r="W7" s="15"/>
      <c r="X7" s="15"/>
      <c r="Y7" s="15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468C8-832D-433A-9D33-F6487592E055}">
  <dimension ref="A1:AA13"/>
  <sheetViews>
    <sheetView workbookViewId="0">
      <selection activeCell="W6" sqref="W6"/>
    </sheetView>
  </sheetViews>
  <sheetFormatPr defaultRowHeight="15" x14ac:dyDescent="0.25"/>
  <cols>
    <col min="1" max="1" width="11.140625" customWidth="1"/>
    <col min="2" max="2" width="24.5703125" customWidth="1"/>
    <col min="4" max="4" width="16.42578125" customWidth="1"/>
    <col min="8" max="8" width="17.42578125" customWidth="1"/>
    <col min="9" max="10" width="11.1406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5"/>
    </row>
    <row r="2" spans="1:27" x14ac:dyDescent="0.25">
      <c r="A2" s="3">
        <v>45896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117</v>
      </c>
      <c r="H2" s="12" t="s">
        <v>17</v>
      </c>
      <c r="I2" s="4">
        <v>71500</v>
      </c>
      <c r="J2" s="15" t="s">
        <v>18</v>
      </c>
      <c r="K2" s="5">
        <v>0.3923611111111111</v>
      </c>
      <c r="L2" s="6">
        <v>0.37916666666666665</v>
      </c>
      <c r="M2" s="14">
        <v>118</v>
      </c>
      <c r="N2" s="15">
        <v>3</v>
      </c>
      <c r="O2" s="15">
        <v>424</v>
      </c>
      <c r="P2" s="15">
        <v>0</v>
      </c>
      <c r="Q2" s="15">
        <v>0</v>
      </c>
      <c r="R2" s="15" t="s">
        <v>28</v>
      </c>
      <c r="S2" s="5">
        <v>0.41319444444444442</v>
      </c>
      <c r="T2" s="6">
        <v>0.41666666666666669</v>
      </c>
      <c r="U2" s="15">
        <v>174</v>
      </c>
      <c r="V2" s="15">
        <v>6</v>
      </c>
      <c r="W2" s="15">
        <v>723</v>
      </c>
      <c r="X2" s="15">
        <v>0</v>
      </c>
      <c r="Y2" s="15">
        <v>0</v>
      </c>
      <c r="Z2" s="15"/>
      <c r="AA2" s="15"/>
    </row>
    <row r="3" spans="1:27" x14ac:dyDescent="0.25">
      <c r="A3" s="3">
        <f>A2</f>
        <v>45896</v>
      </c>
      <c r="B3" s="15" t="s">
        <v>13</v>
      </c>
      <c r="C3" s="15" t="s">
        <v>14</v>
      </c>
      <c r="D3" s="15" t="s">
        <v>29</v>
      </c>
      <c r="E3" s="15" t="s">
        <v>16</v>
      </c>
      <c r="F3" s="15">
        <v>180</v>
      </c>
      <c r="G3" s="15" t="s">
        <v>172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0.44375000000000003</v>
      </c>
      <c r="M3" s="15">
        <v>89</v>
      </c>
      <c r="N3" s="15">
        <v>1</v>
      </c>
      <c r="O3" s="15">
        <v>191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0.4826388888888889</v>
      </c>
      <c r="U3" s="15">
        <v>180</v>
      </c>
      <c r="V3" s="15">
        <v>3</v>
      </c>
      <c r="W3" s="15">
        <v>989</v>
      </c>
      <c r="X3" s="15">
        <v>0</v>
      </c>
      <c r="Y3" s="15">
        <v>0</v>
      </c>
      <c r="Z3" s="15"/>
      <c r="AA3" s="15"/>
    </row>
    <row r="4" spans="1:27" s="16" customFormat="1" ht="12.75" x14ac:dyDescent="0.2">
      <c r="A4" s="3">
        <f>A3</f>
        <v>45896</v>
      </c>
      <c r="B4" s="15" t="s">
        <v>32</v>
      </c>
      <c r="C4" s="15" t="s">
        <v>33</v>
      </c>
      <c r="D4" s="12" t="s">
        <v>34</v>
      </c>
      <c r="E4" s="15" t="s">
        <v>16</v>
      </c>
      <c r="F4" s="15">
        <v>180</v>
      </c>
      <c r="G4" s="15" t="s">
        <v>177</v>
      </c>
      <c r="H4" s="12" t="s">
        <v>17</v>
      </c>
      <c r="I4" s="4">
        <v>71500</v>
      </c>
      <c r="J4" s="6" t="s">
        <v>35</v>
      </c>
      <c r="K4" s="5">
        <v>0.5</v>
      </c>
      <c r="L4" s="6">
        <v>0.49861111111111112</v>
      </c>
      <c r="M4" s="15">
        <v>103</v>
      </c>
      <c r="N4" s="15">
        <v>0</v>
      </c>
      <c r="O4" s="15">
        <v>399</v>
      </c>
      <c r="P4" s="15">
        <v>0</v>
      </c>
      <c r="Q4" s="15">
        <v>0</v>
      </c>
      <c r="R4" s="15" t="s">
        <v>36</v>
      </c>
      <c r="S4" s="5">
        <v>0.52083333333333337</v>
      </c>
      <c r="T4" s="6">
        <v>0.53472222222222221</v>
      </c>
      <c r="U4" s="15">
        <v>171</v>
      </c>
      <c r="V4" s="15">
        <v>2</v>
      </c>
      <c r="W4" s="15">
        <v>760</v>
      </c>
      <c r="X4" s="15">
        <v>0</v>
      </c>
      <c r="Y4" s="15">
        <v>0</v>
      </c>
      <c r="Z4" s="15"/>
    </row>
    <row r="5" spans="1:27" x14ac:dyDescent="0.25">
      <c r="A5" s="3">
        <f>A4</f>
        <v>45896</v>
      </c>
      <c r="B5" s="15" t="s">
        <v>13</v>
      </c>
      <c r="C5" s="11" t="s">
        <v>14</v>
      </c>
      <c r="D5" s="15" t="s">
        <v>49</v>
      </c>
      <c r="E5" s="15" t="s">
        <v>57</v>
      </c>
      <c r="F5" s="15">
        <v>239</v>
      </c>
      <c r="G5" s="15" t="s">
        <v>178</v>
      </c>
      <c r="H5" s="12" t="s">
        <v>17</v>
      </c>
      <c r="I5" s="4">
        <v>89000</v>
      </c>
      <c r="J5" s="15" t="s">
        <v>47</v>
      </c>
      <c r="K5" s="5">
        <v>0.62847222222222221</v>
      </c>
      <c r="L5" s="6">
        <v>0.61805555555555558</v>
      </c>
      <c r="M5" s="15">
        <v>122</v>
      </c>
      <c r="N5" s="15">
        <v>2</v>
      </c>
      <c r="O5" s="15">
        <v>215</v>
      </c>
      <c r="P5" s="15">
        <v>0</v>
      </c>
      <c r="Q5" s="15">
        <v>0</v>
      </c>
      <c r="R5" s="15" t="s">
        <v>48</v>
      </c>
      <c r="S5" s="5">
        <v>0.65277777777777779</v>
      </c>
      <c r="T5" s="6">
        <v>0.64930555555555558</v>
      </c>
      <c r="U5" s="15">
        <v>212</v>
      </c>
      <c r="V5" s="15">
        <v>5</v>
      </c>
      <c r="W5" s="15">
        <v>549</v>
      </c>
      <c r="X5" s="15">
        <v>0</v>
      </c>
      <c r="Y5" s="15">
        <v>0</v>
      </c>
      <c r="Z5" s="15"/>
      <c r="AA5" s="16"/>
    </row>
    <row r="6" spans="1:27" x14ac:dyDescent="0.25">
      <c r="A6" s="3"/>
      <c r="B6" s="15"/>
      <c r="C6" s="11"/>
      <c r="D6" s="15"/>
      <c r="E6" s="15"/>
      <c r="F6" s="15"/>
      <c r="G6" s="15"/>
      <c r="H6" s="12"/>
      <c r="I6" s="4"/>
      <c r="J6" s="15"/>
      <c r="K6" s="5"/>
      <c r="L6" s="6"/>
      <c r="M6" s="15"/>
      <c r="N6" s="15"/>
      <c r="O6" s="15"/>
      <c r="P6" s="15"/>
      <c r="Q6" s="15"/>
      <c r="R6" s="15"/>
      <c r="S6" s="5"/>
      <c r="T6" s="6"/>
      <c r="U6" s="15"/>
      <c r="V6" s="15"/>
      <c r="W6" s="15"/>
      <c r="X6" s="15"/>
      <c r="Y6" s="15"/>
      <c r="Z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598D-3C77-4A05-B3DB-EEA85B31EF65}">
  <dimension ref="A1:Y10"/>
  <sheetViews>
    <sheetView workbookViewId="0">
      <selection activeCell="T6" sqref="T6"/>
    </sheetView>
  </sheetViews>
  <sheetFormatPr defaultRowHeight="15" x14ac:dyDescent="0.25"/>
  <cols>
    <col min="1" max="1" width="12.7109375" bestFit="1" customWidth="1"/>
    <col min="2" max="2" width="23" customWidth="1"/>
    <col min="4" max="4" width="17.7109375" customWidth="1"/>
    <col min="6" max="6" width="9.28515625" bestFit="1" customWidth="1"/>
    <col min="8" max="8" width="16.140625" customWidth="1"/>
    <col min="9" max="9" width="9.28515625" bestFit="1" customWidth="1"/>
    <col min="11" max="11" width="9.28515625" bestFit="1" customWidth="1"/>
    <col min="16" max="17" width="9.28515625" bestFit="1" customWidth="1"/>
    <col min="19" max="19" width="9.28515625" bestFit="1" customWidth="1"/>
    <col min="24" max="25" width="9.28515625" bestFit="1" customWidth="1"/>
  </cols>
  <sheetData>
    <row r="1" spans="1:25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</row>
    <row r="2" spans="1:25" x14ac:dyDescent="0.25">
      <c r="A2" s="3">
        <v>45897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124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0.38472222222222219</v>
      </c>
      <c r="M2" s="14">
        <v>130</v>
      </c>
      <c r="N2" s="15">
        <v>6</v>
      </c>
      <c r="O2" s="15">
        <v>488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0.42777777777777781</v>
      </c>
      <c r="U2" s="15">
        <v>178</v>
      </c>
      <c r="V2" s="15">
        <v>5</v>
      </c>
      <c r="W2" s="15">
        <v>623</v>
      </c>
      <c r="X2" s="15">
        <v>0</v>
      </c>
      <c r="Y2" s="15">
        <v>0</v>
      </c>
    </row>
    <row r="3" spans="1:25" x14ac:dyDescent="0.25">
      <c r="A3" s="3">
        <v>45897</v>
      </c>
      <c r="B3" s="15" t="s">
        <v>32</v>
      </c>
      <c r="C3" s="15" t="s">
        <v>33</v>
      </c>
      <c r="D3" s="15" t="s">
        <v>29</v>
      </c>
      <c r="E3" s="15" t="s">
        <v>57</v>
      </c>
      <c r="F3" s="15">
        <v>239</v>
      </c>
      <c r="G3" s="15" t="s">
        <v>175</v>
      </c>
      <c r="H3" s="12" t="s">
        <v>17</v>
      </c>
      <c r="I3" s="4">
        <v>89000</v>
      </c>
      <c r="J3" s="15" t="s">
        <v>86</v>
      </c>
      <c r="K3" s="5">
        <v>0.48958333333333331</v>
      </c>
      <c r="L3" s="6">
        <v>0.49374999999999997</v>
      </c>
      <c r="M3" s="15">
        <v>209</v>
      </c>
      <c r="N3" s="15">
        <v>5</v>
      </c>
      <c r="O3" s="15">
        <v>949</v>
      </c>
      <c r="P3" s="15">
        <v>0</v>
      </c>
      <c r="Q3" s="15">
        <v>0</v>
      </c>
      <c r="R3" s="15" t="s">
        <v>104</v>
      </c>
      <c r="S3" s="5">
        <v>0.51388888888888895</v>
      </c>
      <c r="T3" s="6">
        <v>0.52847222222222223</v>
      </c>
      <c r="U3" s="15">
        <v>223</v>
      </c>
      <c r="V3" s="15">
        <v>4</v>
      </c>
      <c r="W3" s="15">
        <v>1226</v>
      </c>
      <c r="X3" s="15">
        <v>0</v>
      </c>
      <c r="Y3" s="15">
        <v>0</v>
      </c>
    </row>
    <row r="4" spans="1:25" x14ac:dyDescent="0.25">
      <c r="A4" s="3">
        <v>45897</v>
      </c>
      <c r="B4" s="15" t="s">
        <v>179</v>
      </c>
      <c r="C4" s="15" t="s">
        <v>94</v>
      </c>
      <c r="D4" s="15" t="s">
        <v>180</v>
      </c>
      <c r="E4" s="15" t="s">
        <v>181</v>
      </c>
      <c r="F4" s="15" t="s">
        <v>94</v>
      </c>
      <c r="G4" s="15" t="s">
        <v>182</v>
      </c>
      <c r="H4" s="15" t="s">
        <v>98</v>
      </c>
      <c r="I4" s="15">
        <v>18500</v>
      </c>
      <c r="J4" s="15" t="s">
        <v>183</v>
      </c>
      <c r="K4" s="5">
        <v>0.39583333333333331</v>
      </c>
      <c r="L4" s="6">
        <v>0.40138888888888885</v>
      </c>
      <c r="M4" s="15">
        <v>5</v>
      </c>
      <c r="N4" s="15">
        <v>0</v>
      </c>
      <c r="O4" s="15">
        <v>0</v>
      </c>
      <c r="P4" s="15">
        <v>0</v>
      </c>
      <c r="Q4" s="15">
        <v>0</v>
      </c>
      <c r="R4" s="15" t="s">
        <v>183</v>
      </c>
      <c r="S4" s="5">
        <v>0.41666666666666669</v>
      </c>
      <c r="T4" s="6">
        <v>0.42222222222222222</v>
      </c>
      <c r="U4" s="15" t="s">
        <v>100</v>
      </c>
      <c r="V4" s="15">
        <v>0</v>
      </c>
      <c r="W4" s="15">
        <v>0</v>
      </c>
      <c r="X4" s="15">
        <v>0</v>
      </c>
      <c r="Y4" s="15">
        <v>0</v>
      </c>
    </row>
    <row r="5" spans="1:2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9A9A-6276-4195-B47B-122541704868}">
  <dimension ref="A1:AC18"/>
  <sheetViews>
    <sheetView workbookViewId="0">
      <selection activeCell="U12" sqref="U12"/>
    </sheetView>
  </sheetViews>
  <sheetFormatPr defaultRowHeight="15" x14ac:dyDescent="0.25"/>
  <cols>
    <col min="1" max="1" width="15.42578125" bestFit="1" customWidth="1"/>
    <col min="2" max="2" width="26.28515625" customWidth="1"/>
    <col min="4" max="4" width="17.28515625" customWidth="1"/>
    <col min="6" max="6" width="9.28515625" bestFit="1" customWidth="1"/>
    <col min="8" max="8" width="15.28515625" customWidth="1"/>
    <col min="9" max="9" width="10.7109375" bestFit="1" customWidth="1"/>
    <col min="11" max="17" width="9.28515625" bestFit="1" customWidth="1"/>
    <col min="19" max="27" width="9.28515625" bestFit="1" customWidth="1"/>
  </cols>
  <sheetData>
    <row r="1" spans="1:29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  <c r="AB1" s="32"/>
      <c r="AC1" s="32"/>
    </row>
    <row r="2" spans="1:29" x14ac:dyDescent="0.25">
      <c r="A2" s="3">
        <v>45898</v>
      </c>
      <c r="B2" s="15" t="s">
        <v>38</v>
      </c>
      <c r="C2" s="2" t="s">
        <v>39</v>
      </c>
      <c r="D2" s="12" t="s">
        <v>37</v>
      </c>
      <c r="E2" s="13" t="s">
        <v>16</v>
      </c>
      <c r="F2" s="12">
        <v>180</v>
      </c>
      <c r="G2" s="4" t="s">
        <v>184</v>
      </c>
      <c r="H2" s="2" t="s">
        <v>17</v>
      </c>
      <c r="I2" s="4">
        <v>71500</v>
      </c>
      <c r="J2" s="6" t="s">
        <v>40</v>
      </c>
      <c r="K2" s="5">
        <v>0.36805555555555558</v>
      </c>
      <c r="L2" s="6">
        <v>0.35416666666666669</v>
      </c>
      <c r="M2" s="14">
        <v>172</v>
      </c>
      <c r="N2" s="15">
        <v>2</v>
      </c>
      <c r="O2" s="15">
        <v>1593</v>
      </c>
      <c r="P2" s="15">
        <v>0</v>
      </c>
      <c r="Q2" s="15">
        <v>0</v>
      </c>
      <c r="R2" s="15" t="s">
        <v>41</v>
      </c>
      <c r="S2" s="5">
        <v>0.4236111111111111</v>
      </c>
      <c r="T2" s="6">
        <v>0.42222222222222222</v>
      </c>
      <c r="U2" s="14">
        <v>147</v>
      </c>
      <c r="V2" s="15">
        <v>3</v>
      </c>
      <c r="W2" s="15">
        <v>1524</v>
      </c>
      <c r="X2" s="15">
        <v>0</v>
      </c>
      <c r="Y2" s="15">
        <v>0</v>
      </c>
      <c r="Z2" s="15">
        <v>0</v>
      </c>
      <c r="AA2" s="15">
        <v>0</v>
      </c>
      <c r="AB2" s="32"/>
      <c r="AC2" s="32"/>
    </row>
    <row r="3" spans="1:29" x14ac:dyDescent="0.25">
      <c r="A3" s="3">
        <v>45898</v>
      </c>
      <c r="B3" s="15" t="s">
        <v>13</v>
      </c>
      <c r="C3" s="11" t="s">
        <v>14</v>
      </c>
      <c r="D3" s="15" t="s">
        <v>15</v>
      </c>
      <c r="E3" s="15" t="s">
        <v>16</v>
      </c>
      <c r="F3" s="15">
        <v>186</v>
      </c>
      <c r="G3" s="15" t="s">
        <v>102</v>
      </c>
      <c r="H3" s="12" t="s">
        <v>17</v>
      </c>
      <c r="I3" s="4">
        <v>71500</v>
      </c>
      <c r="J3" s="15" t="s">
        <v>18</v>
      </c>
      <c r="K3" s="5">
        <v>0.3923611111111111</v>
      </c>
      <c r="L3" s="6">
        <v>0.38472222222222219</v>
      </c>
      <c r="M3" s="14">
        <v>159</v>
      </c>
      <c r="N3" s="15">
        <v>3</v>
      </c>
      <c r="O3" s="15">
        <v>396</v>
      </c>
      <c r="P3" s="15">
        <v>0</v>
      </c>
      <c r="Q3" s="15">
        <v>0</v>
      </c>
      <c r="R3" s="15" t="s">
        <v>28</v>
      </c>
      <c r="S3" s="5">
        <v>0.41319444444444442</v>
      </c>
      <c r="T3" s="6">
        <v>0.42638888888888887</v>
      </c>
      <c r="U3" s="15">
        <v>177</v>
      </c>
      <c r="V3" s="15">
        <v>4</v>
      </c>
      <c r="W3" s="15">
        <v>720</v>
      </c>
      <c r="X3" s="15">
        <v>0</v>
      </c>
      <c r="Y3" s="15">
        <v>0</v>
      </c>
      <c r="Z3" s="15">
        <v>0</v>
      </c>
      <c r="AA3" s="15">
        <v>0</v>
      </c>
      <c r="AB3" s="32"/>
      <c r="AC3" s="32"/>
    </row>
    <row r="4" spans="1:29" x14ac:dyDescent="0.25">
      <c r="A4" s="3">
        <v>45898</v>
      </c>
      <c r="B4" s="15" t="s">
        <v>13</v>
      </c>
      <c r="C4" s="11" t="s">
        <v>14</v>
      </c>
      <c r="D4" s="15" t="s">
        <v>187</v>
      </c>
      <c r="E4" s="12" t="s">
        <v>57</v>
      </c>
      <c r="F4" s="15">
        <v>186</v>
      </c>
      <c r="G4" s="15" t="s">
        <v>186</v>
      </c>
      <c r="H4" s="12" t="s">
        <v>17</v>
      </c>
      <c r="I4" s="4">
        <v>71500</v>
      </c>
      <c r="J4" s="15" t="s">
        <v>30</v>
      </c>
      <c r="K4" s="5">
        <v>0.49652777777777773</v>
      </c>
      <c r="L4" s="6">
        <v>0.74583333333333324</v>
      </c>
      <c r="M4" s="15">
        <v>163</v>
      </c>
      <c r="N4" s="15">
        <v>1</v>
      </c>
      <c r="O4" s="15">
        <v>761</v>
      </c>
      <c r="P4" s="15">
        <v>0</v>
      </c>
      <c r="Q4" s="15">
        <v>0</v>
      </c>
      <c r="R4" s="15" t="s">
        <v>31</v>
      </c>
      <c r="S4" s="5">
        <v>0.51736111111111105</v>
      </c>
      <c r="T4" s="6">
        <v>0.55902777777777779</v>
      </c>
      <c r="U4" s="15">
        <v>179</v>
      </c>
      <c r="V4" s="15">
        <v>6</v>
      </c>
      <c r="W4" s="15">
        <v>1098</v>
      </c>
      <c r="X4" s="15">
        <v>0</v>
      </c>
      <c r="Y4" s="15">
        <v>0</v>
      </c>
      <c r="Z4" s="15">
        <v>0</v>
      </c>
      <c r="AA4" s="15">
        <v>0</v>
      </c>
      <c r="AB4" s="32"/>
      <c r="AC4" s="32"/>
    </row>
    <row r="5" spans="1:29" x14ac:dyDescent="0.25">
      <c r="A5" s="3">
        <v>45898</v>
      </c>
      <c r="B5" s="15" t="s">
        <v>32</v>
      </c>
      <c r="C5" s="15" t="s">
        <v>33</v>
      </c>
      <c r="D5" s="12" t="s">
        <v>34</v>
      </c>
      <c r="E5" s="15" t="s">
        <v>16</v>
      </c>
      <c r="F5" s="15">
        <v>180</v>
      </c>
      <c r="G5" s="4" t="s">
        <v>185</v>
      </c>
      <c r="H5" s="12" t="s">
        <v>17</v>
      </c>
      <c r="I5" s="4">
        <v>71500</v>
      </c>
      <c r="J5" s="6" t="s">
        <v>35</v>
      </c>
      <c r="K5" s="5">
        <v>0.5</v>
      </c>
      <c r="L5" s="6">
        <v>0.50138888888888888</v>
      </c>
      <c r="M5" s="15">
        <v>175</v>
      </c>
      <c r="N5" s="15">
        <v>4</v>
      </c>
      <c r="O5" s="15">
        <v>557</v>
      </c>
      <c r="P5" s="15">
        <v>0</v>
      </c>
      <c r="Q5" s="15">
        <v>0</v>
      </c>
      <c r="R5" s="15" t="s">
        <v>36</v>
      </c>
      <c r="S5" s="5">
        <v>0.52083333333333337</v>
      </c>
      <c r="T5" s="6">
        <v>0.53611111111111109</v>
      </c>
      <c r="U5" s="15">
        <v>160</v>
      </c>
      <c r="V5" s="15">
        <v>3</v>
      </c>
      <c r="W5" s="15">
        <v>578</v>
      </c>
      <c r="X5" s="15">
        <v>0</v>
      </c>
      <c r="Y5" s="15">
        <v>0</v>
      </c>
      <c r="Z5" s="15">
        <v>0</v>
      </c>
      <c r="AA5" s="15">
        <v>0</v>
      </c>
      <c r="AB5" s="32"/>
      <c r="AC5" s="32"/>
    </row>
    <row r="6" spans="1:29" x14ac:dyDescent="0.25">
      <c r="A6" s="3">
        <v>45898</v>
      </c>
      <c r="B6" s="15" t="s">
        <v>53</v>
      </c>
      <c r="C6" s="15" t="s">
        <v>44</v>
      </c>
      <c r="D6" s="15" t="s">
        <v>42</v>
      </c>
      <c r="E6" s="15" t="s">
        <v>16</v>
      </c>
      <c r="F6" s="15">
        <v>180</v>
      </c>
      <c r="G6" s="15" t="s">
        <v>171</v>
      </c>
      <c r="H6" s="12" t="s">
        <v>43</v>
      </c>
      <c r="I6" s="4">
        <v>71500</v>
      </c>
      <c r="J6" s="15" t="s">
        <v>45</v>
      </c>
      <c r="K6" s="5">
        <v>0.375</v>
      </c>
      <c r="L6" s="6">
        <v>0.36874999999999997</v>
      </c>
      <c r="M6" s="15">
        <v>180</v>
      </c>
      <c r="N6" s="15">
        <v>2</v>
      </c>
      <c r="O6" s="15">
        <v>2326</v>
      </c>
      <c r="P6" s="15">
        <v>0</v>
      </c>
      <c r="Q6" s="15">
        <v>0</v>
      </c>
      <c r="R6" s="15" t="s">
        <v>46</v>
      </c>
      <c r="S6" s="5">
        <v>0.41666666666666669</v>
      </c>
      <c r="T6" s="6">
        <v>0.43541666666666662</v>
      </c>
      <c r="U6" s="15">
        <v>167</v>
      </c>
      <c r="V6" s="15">
        <v>7</v>
      </c>
      <c r="W6" s="15">
        <v>2017</v>
      </c>
      <c r="X6" s="15">
        <v>0</v>
      </c>
      <c r="Y6" s="15">
        <v>0</v>
      </c>
      <c r="Z6" s="15">
        <v>0</v>
      </c>
      <c r="AA6" s="15">
        <v>0</v>
      </c>
      <c r="AB6" s="32"/>
      <c r="AC6" s="32"/>
    </row>
    <row r="7" spans="1:29" x14ac:dyDescent="0.25">
      <c r="A7" s="3">
        <v>45898</v>
      </c>
      <c r="B7" s="15" t="s">
        <v>13</v>
      </c>
      <c r="C7" s="11" t="s">
        <v>14</v>
      </c>
      <c r="D7" s="15" t="s">
        <v>49</v>
      </c>
      <c r="E7" s="15" t="s">
        <v>16</v>
      </c>
      <c r="F7" s="12">
        <v>239</v>
      </c>
      <c r="G7" s="15" t="s">
        <v>190</v>
      </c>
      <c r="H7" s="12" t="s">
        <v>17</v>
      </c>
      <c r="I7" s="4">
        <v>89000</v>
      </c>
      <c r="J7" s="15" t="s">
        <v>47</v>
      </c>
      <c r="K7" s="5">
        <v>0.87847222222222221</v>
      </c>
      <c r="L7" s="6">
        <v>0.92361111111111116</v>
      </c>
      <c r="M7" s="15">
        <v>208</v>
      </c>
      <c r="N7" s="15">
        <v>1</v>
      </c>
      <c r="O7" s="15">
        <v>314</v>
      </c>
      <c r="P7" s="15">
        <v>0</v>
      </c>
      <c r="Q7" s="15">
        <v>0</v>
      </c>
      <c r="R7" s="15" t="s">
        <v>48</v>
      </c>
      <c r="S7" s="5">
        <v>0.90277777777777779</v>
      </c>
      <c r="T7" s="6">
        <v>0.96527777777777779</v>
      </c>
      <c r="U7" s="15">
        <v>197</v>
      </c>
      <c r="V7" s="15">
        <v>1</v>
      </c>
      <c r="W7" s="15">
        <v>435</v>
      </c>
      <c r="X7" s="15">
        <v>0</v>
      </c>
      <c r="Y7" s="15">
        <v>0</v>
      </c>
      <c r="Z7" s="15">
        <v>0</v>
      </c>
      <c r="AA7" s="15">
        <v>0</v>
      </c>
      <c r="AB7" s="32"/>
      <c r="AC7" s="32"/>
    </row>
    <row r="8" spans="1:29" x14ac:dyDescent="0.25">
      <c r="A8" s="3">
        <v>45898</v>
      </c>
      <c r="B8" s="15" t="s">
        <v>13</v>
      </c>
      <c r="C8" s="11" t="s">
        <v>14</v>
      </c>
      <c r="D8" s="15" t="s">
        <v>136</v>
      </c>
      <c r="E8" s="15" t="s">
        <v>57</v>
      </c>
      <c r="F8" s="15">
        <v>239</v>
      </c>
      <c r="G8" s="15" t="s">
        <v>186</v>
      </c>
      <c r="H8" s="12" t="s">
        <v>137</v>
      </c>
      <c r="I8" s="4">
        <v>89000</v>
      </c>
      <c r="J8" s="15" t="s">
        <v>188</v>
      </c>
      <c r="K8" s="5">
        <v>0.48958333333333331</v>
      </c>
      <c r="L8" s="6">
        <v>0.52430555555555558</v>
      </c>
      <c r="M8" s="15" t="s">
        <v>100</v>
      </c>
      <c r="N8" s="15" t="s">
        <v>111</v>
      </c>
      <c r="O8" s="15" t="s">
        <v>111</v>
      </c>
      <c r="P8" s="15">
        <v>0</v>
      </c>
      <c r="Q8" s="15">
        <v>0</v>
      </c>
      <c r="R8" s="15" t="s">
        <v>189</v>
      </c>
      <c r="S8" s="5">
        <v>0.73611111111111116</v>
      </c>
      <c r="T8" s="6">
        <v>0.7715277777777777</v>
      </c>
      <c r="U8" s="15" t="s">
        <v>100</v>
      </c>
      <c r="V8" s="15" t="s">
        <v>111</v>
      </c>
      <c r="W8" s="15" t="s">
        <v>111</v>
      </c>
      <c r="X8" s="15">
        <v>0</v>
      </c>
      <c r="Y8" s="15">
        <v>0</v>
      </c>
      <c r="Z8" s="15">
        <v>0</v>
      </c>
      <c r="AA8" s="15">
        <v>0</v>
      </c>
      <c r="AB8" s="32"/>
      <c r="AC8" s="32"/>
    </row>
    <row r="9" spans="1:29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32"/>
      <c r="AC9" s="32"/>
    </row>
    <row r="10" spans="1:29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32"/>
      <c r="AC10" s="32"/>
    </row>
    <row r="11" spans="1:29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32"/>
      <c r="AC11" s="32"/>
    </row>
    <row r="12" spans="1:29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32"/>
      <c r="AC12" s="32"/>
    </row>
    <row r="13" spans="1:29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32"/>
      <c r="AC13" s="32"/>
    </row>
    <row r="14" spans="1:29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32"/>
      <c r="AC14" s="32"/>
    </row>
    <row r="15" spans="1:29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32"/>
      <c r="AC15" s="32"/>
    </row>
    <row r="16" spans="1:29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32"/>
      <c r="AC16" s="32"/>
    </row>
    <row r="17" spans="1:29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32"/>
      <c r="AC17" s="32"/>
    </row>
    <row r="18" spans="1:29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2EE6-5C1A-46ED-90D0-E756681DFE19}">
  <dimension ref="A1:AA4"/>
  <sheetViews>
    <sheetView workbookViewId="0">
      <selection activeCell="T6" sqref="T6"/>
    </sheetView>
  </sheetViews>
  <sheetFormatPr defaultRowHeight="15" x14ac:dyDescent="0.25"/>
  <cols>
    <col min="2" max="2" width="23.7109375" customWidth="1"/>
    <col min="4" max="4" width="17.42578125" customWidth="1"/>
    <col min="8" max="8" width="14.5703125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45899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186</v>
      </c>
      <c r="G2" s="15" t="s">
        <v>142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0.3979166666666667</v>
      </c>
      <c r="M2" s="14">
        <v>172</v>
      </c>
      <c r="N2" s="15">
        <v>4</v>
      </c>
      <c r="O2" s="15">
        <v>626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0.44375000000000003</v>
      </c>
      <c r="U2" s="15">
        <v>174</v>
      </c>
      <c r="V2" s="15">
        <v>5</v>
      </c>
      <c r="W2" s="15">
        <v>959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45899</v>
      </c>
      <c r="B3" s="15" t="s">
        <v>32</v>
      </c>
      <c r="C3" s="15" t="s">
        <v>33</v>
      </c>
      <c r="D3" s="12" t="s">
        <v>34</v>
      </c>
      <c r="E3" s="12" t="s">
        <v>57</v>
      </c>
      <c r="F3" s="15">
        <v>239</v>
      </c>
      <c r="G3" s="15" t="s">
        <v>191</v>
      </c>
      <c r="H3" s="12" t="s">
        <v>17</v>
      </c>
      <c r="I3" s="4">
        <v>89000</v>
      </c>
      <c r="J3" s="6" t="s">
        <v>35</v>
      </c>
      <c r="K3" s="5">
        <v>0.43402777777777773</v>
      </c>
      <c r="L3" s="6">
        <v>0.43263888888888885</v>
      </c>
      <c r="M3" s="15">
        <v>210</v>
      </c>
      <c r="N3" s="15">
        <v>6</v>
      </c>
      <c r="O3" s="15">
        <v>809</v>
      </c>
      <c r="P3" s="15">
        <v>0</v>
      </c>
      <c r="Q3" s="15">
        <v>0</v>
      </c>
      <c r="R3" s="15" t="s">
        <v>36</v>
      </c>
      <c r="S3" s="5">
        <v>0.45833333333333331</v>
      </c>
      <c r="T3" s="6">
        <v>0.47500000000000003</v>
      </c>
      <c r="U3" s="15">
        <v>224</v>
      </c>
      <c r="V3" s="15">
        <v>5</v>
      </c>
      <c r="W3" s="15">
        <v>1120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45899</v>
      </c>
      <c r="B4" s="15" t="s">
        <v>32</v>
      </c>
      <c r="C4" s="15" t="s">
        <v>33</v>
      </c>
      <c r="D4" s="15" t="s">
        <v>29</v>
      </c>
      <c r="E4" s="12" t="s">
        <v>57</v>
      </c>
      <c r="F4" s="15">
        <v>239</v>
      </c>
      <c r="G4" s="15" t="s">
        <v>192</v>
      </c>
      <c r="H4" s="12" t="s">
        <v>17</v>
      </c>
      <c r="I4" s="4">
        <v>89000</v>
      </c>
      <c r="J4" s="15" t="s">
        <v>86</v>
      </c>
      <c r="K4" s="5">
        <v>0.48958333333333331</v>
      </c>
      <c r="L4" s="6">
        <v>0.48819444444444443</v>
      </c>
      <c r="M4" s="15">
        <v>226</v>
      </c>
      <c r="N4" s="15">
        <v>4</v>
      </c>
      <c r="O4" s="15">
        <v>969</v>
      </c>
      <c r="P4" s="15">
        <v>0</v>
      </c>
      <c r="Q4" s="15">
        <v>0</v>
      </c>
      <c r="R4" s="15" t="s">
        <v>104</v>
      </c>
      <c r="S4" s="5">
        <v>0.51388888888888895</v>
      </c>
      <c r="T4" s="6">
        <v>0.54097222222222219</v>
      </c>
      <c r="U4" s="15">
        <v>227</v>
      </c>
      <c r="V4" s="15">
        <v>3</v>
      </c>
      <c r="W4" s="15">
        <v>1202</v>
      </c>
      <c r="X4" s="15">
        <v>0</v>
      </c>
      <c r="Y4" s="15">
        <v>0</v>
      </c>
      <c r="Z4" s="15">
        <v>0</v>
      </c>
      <c r="AA4" s="1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8A5E-0FEF-4E95-9582-61790CE0531E}">
  <dimension ref="A1:AA13"/>
  <sheetViews>
    <sheetView tabSelected="1" workbookViewId="0">
      <selection activeCell="T7" sqref="T7"/>
    </sheetView>
  </sheetViews>
  <sheetFormatPr defaultRowHeight="15" x14ac:dyDescent="0.25"/>
  <cols>
    <col min="1" max="1" width="12.42578125" bestFit="1" customWidth="1"/>
    <col min="2" max="2" width="28" customWidth="1"/>
    <col min="4" max="4" width="16.5703125" customWidth="1"/>
    <col min="6" max="6" width="9.42578125" bestFit="1" customWidth="1"/>
    <col min="8" max="8" width="14.85546875" customWidth="1"/>
    <col min="9" max="9" width="9.42578125" bestFit="1" customWidth="1"/>
    <col min="11" max="17" width="9.42578125" bestFit="1" customWidth="1"/>
    <col min="19" max="27" width="9.42578125" bestFit="1" customWidth="1"/>
  </cols>
  <sheetData>
    <row r="1" spans="1:27" ht="25.5" x14ac:dyDescent="0.25">
      <c r="A1" s="7" t="s">
        <v>0</v>
      </c>
      <c r="B1" s="7" t="s">
        <v>1</v>
      </c>
      <c r="C1" s="8" t="s">
        <v>19</v>
      </c>
      <c r="D1" s="7" t="s">
        <v>2</v>
      </c>
      <c r="E1" s="7" t="s">
        <v>3</v>
      </c>
      <c r="F1" s="9" t="s">
        <v>20</v>
      </c>
      <c r="G1" s="7" t="s">
        <v>4</v>
      </c>
      <c r="H1" s="7" t="s">
        <v>5</v>
      </c>
      <c r="I1" s="7" t="s">
        <v>6</v>
      </c>
      <c r="J1" s="7" t="s">
        <v>7</v>
      </c>
      <c r="K1" s="10" t="s">
        <v>9</v>
      </c>
      <c r="L1" s="10" t="s">
        <v>10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7" t="s">
        <v>8</v>
      </c>
      <c r="S1" s="10" t="s">
        <v>11</v>
      </c>
      <c r="T1" s="10" t="s">
        <v>12</v>
      </c>
      <c r="U1" s="10" t="s">
        <v>21</v>
      </c>
      <c r="V1" s="10" t="s">
        <v>22</v>
      </c>
      <c r="W1" s="10" t="s">
        <v>26</v>
      </c>
      <c r="X1" s="10" t="s">
        <v>27</v>
      </c>
      <c r="Y1" s="10" t="s">
        <v>25</v>
      </c>
      <c r="Z1" s="10" t="s">
        <v>27</v>
      </c>
      <c r="AA1" s="10" t="s">
        <v>25</v>
      </c>
    </row>
    <row r="2" spans="1:27" x14ac:dyDescent="0.25">
      <c r="A2" s="3">
        <v>45900</v>
      </c>
      <c r="B2" s="15" t="s">
        <v>13</v>
      </c>
      <c r="C2" s="11" t="s">
        <v>14</v>
      </c>
      <c r="D2" s="15" t="s">
        <v>15</v>
      </c>
      <c r="E2" s="15" t="s">
        <v>16</v>
      </c>
      <c r="F2" s="15">
        <v>180</v>
      </c>
      <c r="G2" s="15" t="s">
        <v>193</v>
      </c>
      <c r="H2" s="12" t="s">
        <v>17</v>
      </c>
      <c r="I2" s="4">
        <v>71500</v>
      </c>
      <c r="J2" s="15" t="s">
        <v>18</v>
      </c>
      <c r="K2" s="5">
        <v>0.40277777777777773</v>
      </c>
      <c r="L2" s="6">
        <v>0.38472222222222219</v>
      </c>
      <c r="M2" s="14">
        <v>154</v>
      </c>
      <c r="N2" s="15">
        <v>3</v>
      </c>
      <c r="O2" s="15">
        <v>536</v>
      </c>
      <c r="P2" s="15">
        <v>0</v>
      </c>
      <c r="Q2" s="15">
        <v>0</v>
      </c>
      <c r="R2" s="15" t="s">
        <v>28</v>
      </c>
      <c r="S2" s="5">
        <v>0.4236111111111111</v>
      </c>
      <c r="T2" s="6">
        <v>0.42708333333333331</v>
      </c>
      <c r="U2" s="15">
        <v>180</v>
      </c>
      <c r="V2" s="15">
        <v>8</v>
      </c>
      <c r="W2" s="15">
        <v>731</v>
      </c>
      <c r="X2" s="15">
        <v>0</v>
      </c>
      <c r="Y2" s="15">
        <v>0</v>
      </c>
      <c r="Z2" s="15">
        <v>0</v>
      </c>
      <c r="AA2" s="15">
        <v>0</v>
      </c>
    </row>
    <row r="3" spans="1:27" x14ac:dyDescent="0.25">
      <c r="A3" s="3">
        <v>45900</v>
      </c>
      <c r="B3" s="15" t="s">
        <v>13</v>
      </c>
      <c r="C3" s="15" t="s">
        <v>33</v>
      </c>
      <c r="D3" s="15" t="s">
        <v>29</v>
      </c>
      <c r="E3" s="15" t="s">
        <v>16</v>
      </c>
      <c r="F3" s="15">
        <v>180</v>
      </c>
      <c r="G3" s="15" t="s">
        <v>194</v>
      </c>
      <c r="H3" s="12" t="s">
        <v>17</v>
      </c>
      <c r="I3" s="4">
        <v>71500</v>
      </c>
      <c r="J3" s="15" t="s">
        <v>30</v>
      </c>
      <c r="K3" s="5">
        <v>0.46527777777777773</v>
      </c>
      <c r="L3" s="6">
        <v>0.46527777777777773</v>
      </c>
      <c r="M3" s="15">
        <v>168</v>
      </c>
      <c r="N3" s="15">
        <v>5</v>
      </c>
      <c r="O3" s="15">
        <v>878</v>
      </c>
      <c r="P3" s="15">
        <v>0</v>
      </c>
      <c r="Q3" s="15">
        <v>0</v>
      </c>
      <c r="R3" s="15" t="s">
        <v>31</v>
      </c>
      <c r="S3" s="5">
        <v>0.4861111111111111</v>
      </c>
      <c r="T3" s="6">
        <v>0.54166666666666663</v>
      </c>
      <c r="U3" s="15">
        <v>180</v>
      </c>
      <c r="V3" s="15">
        <v>2</v>
      </c>
      <c r="W3" s="15">
        <v>806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25">
      <c r="A4" s="3">
        <v>45900</v>
      </c>
      <c r="B4" s="15" t="s">
        <v>13</v>
      </c>
      <c r="C4" s="11" t="s">
        <v>14</v>
      </c>
      <c r="D4" s="15" t="s">
        <v>49</v>
      </c>
      <c r="E4" s="15" t="s">
        <v>62</v>
      </c>
      <c r="F4" s="15">
        <v>239</v>
      </c>
      <c r="G4" s="15" t="s">
        <v>195</v>
      </c>
      <c r="H4" s="12" t="s">
        <v>17</v>
      </c>
      <c r="I4" s="4">
        <v>89000</v>
      </c>
      <c r="J4" s="15" t="s">
        <v>47</v>
      </c>
      <c r="K4" s="5">
        <v>0.62847222222222221</v>
      </c>
      <c r="L4" s="6">
        <v>0.61805555555555558</v>
      </c>
      <c r="M4" s="15">
        <v>139</v>
      </c>
      <c r="N4" s="15">
        <v>1</v>
      </c>
      <c r="O4" s="15">
        <v>132</v>
      </c>
      <c r="P4" s="15">
        <v>0</v>
      </c>
      <c r="Q4" s="15">
        <v>0</v>
      </c>
      <c r="R4" s="15" t="s">
        <v>48</v>
      </c>
      <c r="S4" s="5">
        <v>0.65277777777777779</v>
      </c>
      <c r="T4" s="6">
        <v>0.65555555555555556</v>
      </c>
      <c r="U4" s="15">
        <v>231</v>
      </c>
      <c r="V4" s="15">
        <v>4</v>
      </c>
      <c r="W4" s="15">
        <v>481</v>
      </c>
      <c r="X4" s="15">
        <v>0</v>
      </c>
      <c r="Y4" s="15">
        <v>0</v>
      </c>
      <c r="Z4" s="15">
        <v>0</v>
      </c>
      <c r="AA4" s="15">
        <v>0</v>
      </c>
    </row>
    <row r="5" spans="1:27" x14ac:dyDescent="0.25">
      <c r="A5" s="3">
        <v>45900</v>
      </c>
      <c r="B5" s="15" t="s">
        <v>157</v>
      </c>
      <c r="C5" s="11" t="s">
        <v>94</v>
      </c>
      <c r="D5" s="15" t="s">
        <v>196</v>
      </c>
      <c r="E5" s="15" t="s">
        <v>197</v>
      </c>
      <c r="F5" s="15" t="s">
        <v>94</v>
      </c>
      <c r="G5" s="15" t="s">
        <v>198</v>
      </c>
      <c r="H5" s="15" t="s">
        <v>147</v>
      </c>
      <c r="I5" s="4">
        <v>1045</v>
      </c>
      <c r="J5" s="15" t="s">
        <v>199</v>
      </c>
      <c r="K5" s="5">
        <v>0.70138888888888884</v>
      </c>
      <c r="L5" s="6">
        <v>0.7270833333333333</v>
      </c>
      <c r="M5" s="15" t="s">
        <v>100</v>
      </c>
      <c r="N5" s="15">
        <v>0</v>
      </c>
      <c r="O5" s="15">
        <v>0</v>
      </c>
      <c r="P5" s="15">
        <v>0</v>
      </c>
      <c r="Q5" s="15">
        <v>0</v>
      </c>
      <c r="R5" s="15" t="s">
        <v>199</v>
      </c>
      <c r="S5" s="5">
        <v>0.72222222222222221</v>
      </c>
      <c r="T5" s="6">
        <v>0.73819444444444438</v>
      </c>
      <c r="U5" s="15" t="s">
        <v>100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</row>
    <row r="6" spans="1:27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2025-08-31T15:46:03Z</dcterms:modified>
</cp:coreProperties>
</file>