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A5AA06B-B318-456E-8433-CCBDABBEB026}" xr6:coauthVersionLast="37" xr6:coauthVersionMax="37" xr10:uidLastSave="{00000000-0000-0000-0000-000000000000}"/>
  <bookViews>
    <workbookView xWindow="0" yWindow="0" windowWidth="22260" windowHeight="12645" firstSheet="5" activeTab="29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7" l="1"/>
  <c r="A4" i="17"/>
  <c r="A3" i="17"/>
</calcChain>
</file>

<file path=xl/sharedStrings.xml><?xml version="1.0" encoding="utf-8"?>
<sst xmlns="http://schemas.openxmlformats.org/spreadsheetml/2006/main" count="1921" uniqueCount="240">
  <si>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</si>
  <si>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</si>
  <si>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</si>
  <si>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</si>
  <si>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</si>
  <si>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</si>
  <si>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</si>
  <si>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</si>
  <si>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</si>
  <si>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</si>
  <si>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</si>
  <si>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</si>
  <si>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</si>
  <si>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WIZZAIR MALTA LTD</t>
  </si>
  <si>
    <t>WMT</t>
  </si>
  <si>
    <t>FMM-TZL-FMM</t>
  </si>
  <si>
    <t>A320</t>
  </si>
  <si>
    <t>SCHEDULED</t>
  </si>
  <si>
    <t>W44280</t>
  </si>
  <si>
    <t>HA-LWQ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</si>
  <si>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</si>
  <si>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</si>
  <si>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</si>
  <si>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</si>
  <si>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</si>
  <si>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</si>
  <si>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</si>
  <si>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</si>
  <si>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</si>
  <si>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W44279</t>
  </si>
  <si>
    <t>DTM-TZL-DTM</t>
  </si>
  <si>
    <t>HA-LYH</t>
  </si>
  <si>
    <t>W44298</t>
  </si>
  <si>
    <t>W44297</t>
  </si>
  <si>
    <t>Airport Mali Lošinj Ltd</t>
  </si>
  <si>
    <t>N/A</t>
  </si>
  <si>
    <t>ZAD-TZL-LSZ</t>
  </si>
  <si>
    <t>BE9L</t>
  </si>
  <si>
    <t>9A-SET</t>
  </si>
  <si>
    <t>NONSCHEDULED</t>
  </si>
  <si>
    <t>Aero Klub Fenix Živinice</t>
  </si>
  <si>
    <t>Letilište Ramarin-TZL-Ciljuge</t>
  </si>
  <si>
    <t>E7-CAR</t>
  </si>
  <si>
    <t>CREW</t>
  </si>
  <si>
    <t>Datum</t>
  </si>
  <si>
    <t>Kompanija</t>
  </si>
  <si>
    <t>WIZZAIR HUNGARY LTD</t>
  </si>
  <si>
    <t>WZZ</t>
  </si>
  <si>
    <t>MLH-TZL-MLH</t>
  </si>
  <si>
    <t>W64294</t>
  </si>
  <si>
    <t>W64293</t>
  </si>
  <si>
    <t xml:space="preserve">AJET </t>
  </si>
  <si>
    <t>TKJ</t>
  </si>
  <si>
    <t>SAW-TZL-SAW</t>
  </si>
  <si>
    <t>B738</t>
  </si>
  <si>
    <t>VF271</t>
  </si>
  <si>
    <t>VF272</t>
  </si>
  <si>
    <t>9H-WZQ</t>
  </si>
  <si>
    <t>9H-WAU</t>
  </si>
  <si>
    <t>HA-LYG</t>
  </si>
  <si>
    <t>TC-JZK</t>
  </si>
  <si>
    <t xml:space="preserve">AERO KLUB FENIX </t>
  </si>
  <si>
    <t>BEG-TZL-LQCG</t>
  </si>
  <si>
    <t>E7KES</t>
  </si>
  <si>
    <t>E7-KES</t>
  </si>
  <si>
    <t>HELICOPTER</t>
  </si>
  <si>
    <t>SCHWEIZER 269C</t>
  </si>
  <si>
    <t>SMARTLYNX AIRLINES MALTA</t>
  </si>
  <si>
    <t>A321</t>
  </si>
  <si>
    <t>9H-CGB</t>
  </si>
  <si>
    <t>CARGO</t>
  </si>
  <si>
    <t>LYX6204</t>
  </si>
  <si>
    <t>LYX8120</t>
  </si>
  <si>
    <t>AMM-TZL-CGN</t>
  </si>
  <si>
    <t>HA-LGV</t>
  </si>
  <si>
    <t>9H-WBX</t>
  </si>
  <si>
    <t>9H-WBA</t>
  </si>
  <si>
    <t>MIGAL.CO Gmbh</t>
  </si>
  <si>
    <t>LNZ-TZL-LNZ</t>
  </si>
  <si>
    <t xml:space="preserve">      DA42</t>
  </si>
  <si>
    <t xml:space="preserve">OE-FAR </t>
  </si>
  <si>
    <t>OEFAR</t>
  </si>
  <si>
    <t>W64298</t>
  </si>
  <si>
    <t>W64297</t>
  </si>
  <si>
    <t>RON</t>
  </si>
  <si>
    <t>-</t>
  </si>
  <si>
    <t>PEGASUS AIRLINES</t>
  </si>
  <si>
    <t>PGT</t>
  </si>
  <si>
    <t>PC250</t>
  </si>
  <si>
    <t>PC251</t>
  </si>
  <si>
    <t>TC-CRG</t>
  </si>
  <si>
    <t>HA-LWM</t>
  </si>
  <si>
    <t>9H-WAG</t>
  </si>
  <si>
    <t>SA342</t>
  </si>
  <si>
    <t>YUHES</t>
  </si>
  <si>
    <t>LYBE-TZL-SHIPOVO</t>
  </si>
  <si>
    <t>ZAVOD ZA ZAVARIVANJE</t>
  </si>
  <si>
    <t>TELAT KARADENIZ</t>
  </si>
  <si>
    <t>LOGC-TZL-LQCG</t>
  </si>
  <si>
    <t>C150L</t>
  </si>
  <si>
    <t>NA</t>
  </si>
  <si>
    <t>YU-HES</t>
  </si>
  <si>
    <t>OE-CRA</t>
  </si>
  <si>
    <t>OECRA</t>
  </si>
  <si>
    <t>SHIPOVO-TZL-BEG</t>
  </si>
  <si>
    <t>SWISS AIR AMBULANCE REGA</t>
  </si>
  <si>
    <t>ZRH-TZL-ZRH</t>
  </si>
  <si>
    <t>CL650</t>
  </si>
  <si>
    <t>HB-JWB</t>
  </si>
  <si>
    <t>MEDEVAC</t>
  </si>
  <si>
    <t>SAZ61</t>
  </si>
  <si>
    <t>SAZ62</t>
  </si>
  <si>
    <t>HA-LWN</t>
  </si>
  <si>
    <t>9H-WZT</t>
  </si>
  <si>
    <t>B737</t>
  </si>
  <si>
    <t>TC-JZN</t>
  </si>
  <si>
    <t>9H-WNV</t>
  </si>
  <si>
    <t>FREEBIRD</t>
  </si>
  <si>
    <t>AYT-TZL-AYT</t>
  </si>
  <si>
    <t>TC-FHK</t>
  </si>
  <si>
    <t>CHARTER</t>
  </si>
  <si>
    <t>FHY821</t>
  </si>
  <si>
    <t>FHY822</t>
  </si>
  <si>
    <t>CORENDON</t>
  </si>
  <si>
    <t>B737-800</t>
  </si>
  <si>
    <t>TC-MKB</t>
  </si>
  <si>
    <t>CAI197</t>
  </si>
  <si>
    <t>CAI198</t>
  </si>
  <si>
    <t>LQCG-TZL-BWK</t>
  </si>
  <si>
    <t>C172</t>
  </si>
  <si>
    <t>GP</t>
  </si>
  <si>
    <t>FHY</t>
  </si>
  <si>
    <t>CAI</t>
  </si>
  <si>
    <t>LDRI-TZL-LQCG</t>
  </si>
  <si>
    <t>E7-ABY</t>
  </si>
  <si>
    <t>HA-LYK</t>
  </si>
  <si>
    <t>HA-LWV</t>
  </si>
  <si>
    <t>9H-WDR</t>
  </si>
  <si>
    <t>BWK-TZL-LQCG</t>
  </si>
  <si>
    <t>SOS AIR</t>
  </si>
  <si>
    <t>ISL-TZL-ISL</t>
  </si>
  <si>
    <t>BE40</t>
  </si>
  <si>
    <t>TC-STA</t>
  </si>
  <si>
    <t>TCSTA</t>
  </si>
  <si>
    <t>AERO-DIENST</t>
  </si>
  <si>
    <t>TC-GMB</t>
  </si>
  <si>
    <t>FH821</t>
  </si>
  <si>
    <t>FH822</t>
  </si>
  <si>
    <t>TC-NBS</t>
  </si>
  <si>
    <t>9H-WZX</t>
  </si>
  <si>
    <t>D-BADC</t>
  </si>
  <si>
    <t>J328</t>
  </si>
  <si>
    <t>NUE-TZL-ZAD</t>
  </si>
  <si>
    <t>AERO KLUB FENIX</t>
  </si>
  <si>
    <t>LQCG-TZL</t>
  </si>
  <si>
    <t>C172F</t>
  </si>
  <si>
    <t>E7-SAF</t>
  </si>
  <si>
    <t>NONCSHEDULED</t>
  </si>
  <si>
    <t>E7CAR</t>
  </si>
  <si>
    <t>E7SAF</t>
  </si>
  <si>
    <t>ADN75C</t>
  </si>
  <si>
    <t>9H-WBY</t>
  </si>
  <si>
    <t>TZL-LQCG</t>
  </si>
  <si>
    <t>ROP</t>
  </si>
  <si>
    <t>9H-WAV</t>
  </si>
  <si>
    <t>HA-LTE</t>
  </si>
  <si>
    <t>W44286</t>
  </si>
  <si>
    <t>W44285</t>
  </si>
  <si>
    <t>VIE-TZL-VIE</t>
  </si>
  <si>
    <t>9H-WBQ</t>
  </si>
  <si>
    <t>HA-LYS</t>
  </si>
  <si>
    <t>ARMIN NESIREN</t>
  </si>
  <si>
    <t>LQVI-TZL-GRZ</t>
  </si>
  <si>
    <t>E7-AAN</t>
  </si>
  <si>
    <t>TC-JGV</t>
  </si>
  <si>
    <t>9H-WNG</t>
  </si>
  <si>
    <t xml:space="preserve">SWISS AIR AMBULANCE </t>
  </si>
  <si>
    <t>TC-FHL</t>
  </si>
  <si>
    <t>TC-MKE</t>
  </si>
  <si>
    <t>AIRPORT MALI LOŠINJ</t>
  </si>
  <si>
    <t>ZAG-TZL-LSZ</t>
  </si>
  <si>
    <t>9H-WDJ</t>
  </si>
  <si>
    <t>9H-WDZ</t>
  </si>
  <si>
    <t>MY WORLD AERO LTD</t>
  </si>
  <si>
    <t>SM3</t>
  </si>
  <si>
    <t>N12MF</t>
  </si>
  <si>
    <t>GA</t>
  </si>
  <si>
    <t>MLA-TZL</t>
  </si>
  <si>
    <t>TZL-VIE</t>
  </si>
  <si>
    <t>TC-FHP</t>
  </si>
  <si>
    <t>TC-RBF</t>
  </si>
  <si>
    <t>HA-LTK</t>
  </si>
  <si>
    <t>9H-WAW</t>
  </si>
  <si>
    <t>AERO KLUB MURSKA SOBOTA</t>
  </si>
  <si>
    <t>Texan</t>
  </si>
  <si>
    <t>Tecnam P2008</t>
  </si>
  <si>
    <t>EV-97</t>
  </si>
  <si>
    <t>E7AAN</t>
  </si>
  <si>
    <t>S5-DOG</t>
  </si>
  <si>
    <t>S5-PES</t>
  </si>
  <si>
    <t>S5-PEG</t>
  </si>
  <si>
    <t>9H-WZW</t>
  </si>
  <si>
    <t>MBX-TZL-LQCG</t>
  </si>
  <si>
    <t>LQCG-TZL-OSI</t>
  </si>
  <si>
    <t>LQCG-TZL-MBX</t>
  </si>
  <si>
    <t>HALYK</t>
  </si>
  <si>
    <t>9HWZX</t>
  </si>
  <si>
    <t>HA-LVI</t>
  </si>
  <si>
    <t>9H-WDI</t>
  </si>
  <si>
    <t>TC-LUJ</t>
  </si>
  <si>
    <t>TC-COR</t>
  </si>
  <si>
    <t>9H-WNR</t>
  </si>
  <si>
    <t>FREEBIRD AIRLINES</t>
  </si>
  <si>
    <t>CORENDON AIRLINES</t>
  </si>
  <si>
    <t>9H-WZS</t>
  </si>
  <si>
    <t>HA-LWE</t>
  </si>
  <si>
    <t>9H-WDP</t>
  </si>
  <si>
    <t>QATAR EXECTUVIE</t>
  </si>
  <si>
    <t>DEL-TZL-FAB</t>
  </si>
  <si>
    <t>GLF6</t>
  </si>
  <si>
    <t>A7-CGA</t>
  </si>
  <si>
    <t>BUSSINES FLIGHT</t>
  </si>
  <si>
    <t>QQE730</t>
  </si>
  <si>
    <t>AIRPORT MALI LOŠINJ LTD</t>
  </si>
  <si>
    <t>AGB-TZL-ZAG</t>
  </si>
  <si>
    <t>9ASET</t>
  </si>
  <si>
    <t>TC-NCE</t>
  </si>
  <si>
    <t>9H-WAN</t>
  </si>
  <si>
    <t>9H-WNF</t>
  </si>
  <si>
    <t>9H-WZR</t>
  </si>
  <si>
    <t>HA-LZR</t>
  </si>
  <si>
    <t>A32Q</t>
  </si>
  <si>
    <t>A320N</t>
  </si>
  <si>
    <t>9H-WDA</t>
  </si>
  <si>
    <t>HA-LYF</t>
  </si>
  <si>
    <t>TC-JZT</t>
  </si>
  <si>
    <t>LSZ-TZL-ZAG</t>
  </si>
  <si>
    <t>9A-LAN</t>
  </si>
  <si>
    <t>GA PRIVATE</t>
  </si>
  <si>
    <t>9ALAN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</si>
</sst>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1"/>
      <color theme="1"/>
      <name val="Garamond"/>
      <family val="1"/>
    </font>
    <font>
      <sz val="10"/>
      <color rgb="FF222222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opLeftCell="C1" workbookViewId="0">
      <selection activeCell="B6" sqref="B6:Y6"/>
    </sheetView>
  </sheetViews>
  <sheetFormatPr defaultRowHeight="15" x14ac:dyDescent="0.25"/>
  <cols>
    <col min="1" max="1" width="11.28515625" bestFit="1" customWidth="1"/>
    <col min="2" max="2" width="23.42578125" customWidth="1"/>
    <col min="3" max="3" width="10" customWidth="1"/>
    <col min="4" max="4" width="25" customWidth="1"/>
    <col min="6" max="6" width="9.42578125" customWidth="1"/>
    <col min="7" max="7" width="9.28515625" bestFit="1" customWidth="1"/>
    <col min="8" max="8" width="18.140625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5" ht="25.5" x14ac:dyDescent="0.25">
      <c r="A1" s="13" t="s">
        <v>0</v>
      </c>
      <c r="B1" s="13" t="s">
        <v>1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6">
        <v>45809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17" t="s">
        <v>19</v>
      </c>
      <c r="H2" s="18" t="s">
        <v>17</v>
      </c>
      <c r="I2" s="8">
        <v>71500</v>
      </c>
      <c r="J2" s="4" t="s">
        <v>18</v>
      </c>
      <c r="K2" s="3">
        <v>0.40277777777777773</v>
      </c>
      <c r="L2" s="7">
        <v>0.39513888888888887</v>
      </c>
      <c r="M2" s="5">
        <v>157</v>
      </c>
      <c r="N2" s="5">
        <v>7</v>
      </c>
      <c r="O2" s="5">
        <v>674</v>
      </c>
      <c r="P2" s="5">
        <v>0</v>
      </c>
      <c r="Q2" s="5">
        <v>0</v>
      </c>
      <c r="R2" s="5" t="s">
        <v>29</v>
      </c>
      <c r="S2" s="3">
        <v>0.4236111111111111</v>
      </c>
      <c r="T2" s="7">
        <v>0.42777777777777781</v>
      </c>
      <c r="U2" s="5">
        <v>171</v>
      </c>
      <c r="V2" s="18">
        <v>1</v>
      </c>
      <c r="W2" s="18">
        <v>372</v>
      </c>
      <c r="X2" s="18">
        <v>0</v>
      </c>
      <c r="Y2" s="18">
        <v>0</v>
      </c>
    </row>
    <row r="3" spans="1:25" x14ac:dyDescent="0.25">
      <c r="A3" s="6">
        <v>45809</v>
      </c>
      <c r="B3" s="4" t="s">
        <v>13</v>
      </c>
      <c r="C3" s="17" t="s">
        <v>14</v>
      </c>
      <c r="D3" s="4" t="s">
        <v>30</v>
      </c>
      <c r="E3" s="4" t="s">
        <v>16</v>
      </c>
      <c r="F3" s="4">
        <v>180</v>
      </c>
      <c r="G3" s="17" t="s">
        <v>31</v>
      </c>
      <c r="H3" s="18" t="s">
        <v>17</v>
      </c>
      <c r="I3" s="8">
        <v>71500</v>
      </c>
      <c r="J3" s="10" t="s">
        <v>32</v>
      </c>
      <c r="K3" s="9">
        <v>0.46527777777777773</v>
      </c>
      <c r="L3" s="10">
        <v>0.47638888888888892</v>
      </c>
      <c r="M3" s="5">
        <v>161</v>
      </c>
      <c r="N3" s="5">
        <v>4</v>
      </c>
      <c r="O3" s="5">
        <v>1179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0.5395833333333333</v>
      </c>
      <c r="U3" s="4">
        <v>172</v>
      </c>
      <c r="V3" s="4">
        <v>0</v>
      </c>
      <c r="W3" s="4">
        <v>726</v>
      </c>
      <c r="X3" s="4">
        <v>0</v>
      </c>
      <c r="Y3" s="4">
        <v>0</v>
      </c>
    </row>
    <row r="4" spans="1:25" x14ac:dyDescent="0.25">
      <c r="A4" s="2">
        <v>45809</v>
      </c>
      <c r="B4" s="4" t="s">
        <v>34</v>
      </c>
      <c r="C4" s="5" t="s">
        <v>35</v>
      </c>
      <c r="D4" s="5" t="s">
        <v>36</v>
      </c>
      <c r="E4" s="5" t="s">
        <v>37</v>
      </c>
      <c r="F4" s="5" t="s">
        <v>35</v>
      </c>
      <c r="G4" s="12" t="s">
        <v>38</v>
      </c>
      <c r="H4" s="5" t="s">
        <v>39</v>
      </c>
      <c r="I4" s="5">
        <v>4670</v>
      </c>
      <c r="J4" s="7" t="s">
        <v>38</v>
      </c>
      <c r="K4" s="3">
        <v>0.82291666666666663</v>
      </c>
      <c r="L4" s="7">
        <v>0.34722222222222227</v>
      </c>
      <c r="M4" s="1">
        <v>0</v>
      </c>
      <c r="N4" s="1">
        <v>0</v>
      </c>
      <c r="O4" s="1">
        <v>0</v>
      </c>
      <c r="P4" s="19">
        <v>0</v>
      </c>
      <c r="Q4" s="1">
        <v>0</v>
      </c>
      <c r="R4" s="1" t="s">
        <v>38</v>
      </c>
      <c r="S4" s="3">
        <v>0.82986111111111116</v>
      </c>
      <c r="T4" s="20">
        <v>0.36458333333333331</v>
      </c>
      <c r="U4" s="1">
        <v>4</v>
      </c>
      <c r="V4" s="19">
        <v>0</v>
      </c>
      <c r="W4" s="19">
        <v>0</v>
      </c>
      <c r="X4" s="19">
        <v>0</v>
      </c>
      <c r="Y4" s="19">
        <v>0</v>
      </c>
    </row>
    <row r="5" spans="1:25" x14ac:dyDescent="0.25">
      <c r="A5" s="6">
        <v>45809</v>
      </c>
      <c r="B5" s="4" t="s">
        <v>40</v>
      </c>
      <c r="C5" s="5" t="s">
        <v>35</v>
      </c>
      <c r="D5" s="5" t="s">
        <v>41</v>
      </c>
      <c r="E5" s="5" t="s">
        <v>42</v>
      </c>
      <c r="F5" s="5" t="s">
        <v>35</v>
      </c>
      <c r="G5" s="8" t="s">
        <v>42</v>
      </c>
      <c r="H5" s="5" t="s">
        <v>39</v>
      </c>
      <c r="I5" s="5">
        <v>930</v>
      </c>
      <c r="J5" s="7" t="s">
        <v>42</v>
      </c>
      <c r="K5" s="3">
        <v>0.4375</v>
      </c>
      <c r="L5" s="7">
        <v>0.4861111111111111</v>
      </c>
      <c r="M5" s="7" t="s">
        <v>43</v>
      </c>
      <c r="N5" s="5">
        <v>0</v>
      </c>
      <c r="O5" s="5">
        <v>0</v>
      </c>
      <c r="P5" s="5">
        <v>0</v>
      </c>
      <c r="Q5" s="5">
        <v>0</v>
      </c>
      <c r="R5" s="5" t="s">
        <v>42</v>
      </c>
      <c r="S5" s="3">
        <v>0.4513888888888889</v>
      </c>
      <c r="T5" s="7">
        <v>0.47916666666666669</v>
      </c>
      <c r="U5" s="5" t="s">
        <v>43</v>
      </c>
      <c r="V5" s="18">
        <v>0</v>
      </c>
      <c r="W5" s="18">
        <v>0</v>
      </c>
      <c r="X5" s="18">
        <v>0</v>
      </c>
      <c r="Y5" s="18">
        <v>0</v>
      </c>
    </row>
    <row r="6" spans="1:25" x14ac:dyDescent="0.25">
      <c r="A6" s="6">
        <v>45809</v>
      </c>
      <c r="B6" s="4" t="s">
        <v>34</v>
      </c>
      <c r="C6" s="5" t="s">
        <v>35</v>
      </c>
      <c r="D6" s="5" t="s">
        <v>36</v>
      </c>
      <c r="E6" s="5" t="s">
        <v>37</v>
      </c>
      <c r="F6" s="5" t="s">
        <v>35</v>
      </c>
      <c r="G6" s="12" t="s">
        <v>38</v>
      </c>
      <c r="H6" s="5" t="s">
        <v>39</v>
      </c>
      <c r="I6" s="5">
        <v>4670</v>
      </c>
      <c r="J6" s="7" t="s">
        <v>38</v>
      </c>
      <c r="K6" s="3">
        <v>0.82291666666666663</v>
      </c>
      <c r="L6" s="7">
        <v>0.8125</v>
      </c>
      <c r="M6" s="1">
        <v>4</v>
      </c>
      <c r="N6" s="1">
        <v>0</v>
      </c>
      <c r="O6" s="1">
        <v>0</v>
      </c>
      <c r="P6" s="19">
        <v>0</v>
      </c>
      <c r="Q6" s="1">
        <v>0</v>
      </c>
      <c r="R6" s="3" t="s">
        <v>38</v>
      </c>
      <c r="S6" s="3">
        <v>0.82986111111111116</v>
      </c>
      <c r="T6" s="20">
        <v>0.82638888888888884</v>
      </c>
      <c r="U6" s="1" t="s">
        <v>43</v>
      </c>
      <c r="V6" s="19">
        <v>0</v>
      </c>
      <c r="W6" s="19">
        <v>0</v>
      </c>
      <c r="X6" s="19">
        <v>0</v>
      </c>
      <c r="Y6" s="19">
        <v>0</v>
      </c>
    </row>
    <row r="7" spans="1:25" x14ac:dyDescent="0.25">
      <c r="A7" s="1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20F4-B0BF-4EF9-8B6D-6AE8AC07A0EB}">
  <dimension ref="A1:Z24"/>
  <sheetViews>
    <sheetView workbookViewId="0">
      <selection activeCell="H20" sqref="H20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23"/>
    </row>
    <row r="2" spans="1:26" x14ac:dyDescent="0.25">
      <c r="A2" s="11">
        <v>45810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57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0.38055555555555554</v>
      </c>
      <c r="M2" s="4">
        <v>162</v>
      </c>
      <c r="N2" s="4">
        <v>5</v>
      </c>
      <c r="O2" s="4">
        <v>759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0.41666666666666669</v>
      </c>
      <c r="U2" s="4">
        <v>176</v>
      </c>
      <c r="V2" s="4">
        <v>2</v>
      </c>
      <c r="W2" s="4">
        <v>376</v>
      </c>
      <c r="X2" s="4">
        <v>0</v>
      </c>
      <c r="Y2" s="4">
        <v>0</v>
      </c>
      <c r="Z2" s="23"/>
    </row>
    <row r="3" spans="1:26" x14ac:dyDescent="0.25">
      <c r="A3" s="11">
        <v>45810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180</v>
      </c>
      <c r="G3" s="4" t="s">
        <v>58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0.45555555555555555</v>
      </c>
      <c r="M3" s="4">
        <v>167</v>
      </c>
      <c r="N3" s="4">
        <v>5</v>
      </c>
      <c r="O3" s="4">
        <v>814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0.4993055555555555</v>
      </c>
      <c r="U3" s="4">
        <v>165</v>
      </c>
      <c r="V3" s="4">
        <v>0</v>
      </c>
      <c r="W3" s="4">
        <v>458</v>
      </c>
      <c r="X3" s="4">
        <v>0</v>
      </c>
      <c r="Y3" s="4">
        <v>0</v>
      </c>
      <c r="Z3" s="23"/>
    </row>
    <row r="4" spans="1:26" x14ac:dyDescent="0.25">
      <c r="A4" s="11">
        <v>45810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180</v>
      </c>
      <c r="G4" s="8" t="s">
        <v>59</v>
      </c>
      <c r="H4" s="18" t="s">
        <v>17</v>
      </c>
      <c r="I4" s="8">
        <v>71500</v>
      </c>
      <c r="J4" s="10" t="s">
        <v>49</v>
      </c>
      <c r="K4" s="9">
        <v>0.5</v>
      </c>
      <c r="L4" s="10">
        <v>0.49374999999999997</v>
      </c>
      <c r="M4" s="4">
        <v>150</v>
      </c>
      <c r="N4" s="4">
        <v>2</v>
      </c>
      <c r="O4" s="4">
        <v>786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0.53263888888888888</v>
      </c>
      <c r="U4" s="4">
        <v>162</v>
      </c>
      <c r="V4" s="4">
        <v>2</v>
      </c>
      <c r="W4" s="4">
        <v>526</v>
      </c>
      <c r="X4" s="4">
        <v>0</v>
      </c>
      <c r="Y4" s="4">
        <v>0</v>
      </c>
      <c r="Z4" s="23"/>
    </row>
    <row r="5" spans="1:26" x14ac:dyDescent="0.25">
      <c r="A5" s="11">
        <v>45810</v>
      </c>
      <c r="B5" s="4" t="s">
        <v>51</v>
      </c>
      <c r="C5" s="5" t="s">
        <v>52</v>
      </c>
      <c r="D5" s="18" t="s">
        <v>53</v>
      </c>
      <c r="E5" s="21" t="s">
        <v>54</v>
      </c>
      <c r="F5" s="18">
        <v>189</v>
      </c>
      <c r="G5" s="8" t="s">
        <v>60</v>
      </c>
      <c r="H5" s="18" t="s">
        <v>17</v>
      </c>
      <c r="I5" s="8">
        <v>79000</v>
      </c>
      <c r="J5" s="10" t="s">
        <v>55</v>
      </c>
      <c r="K5" s="9">
        <v>0.56597222222222221</v>
      </c>
      <c r="L5" s="10">
        <v>0.5625</v>
      </c>
      <c r="M5" s="22">
        <v>140</v>
      </c>
      <c r="N5" s="4">
        <v>2</v>
      </c>
      <c r="O5" s="4">
        <v>1592</v>
      </c>
      <c r="P5" s="4">
        <v>0</v>
      </c>
      <c r="Q5" s="4">
        <v>0</v>
      </c>
      <c r="R5" s="4" t="s">
        <v>56</v>
      </c>
      <c r="S5" s="9">
        <v>0.60763888888888895</v>
      </c>
      <c r="T5" s="10">
        <v>0.62013888888888891</v>
      </c>
      <c r="U5" s="4">
        <v>130</v>
      </c>
      <c r="V5" s="4">
        <v>0</v>
      </c>
      <c r="W5" s="4">
        <v>1443</v>
      </c>
      <c r="X5" s="4">
        <v>0</v>
      </c>
      <c r="Y5" s="4">
        <v>0</v>
      </c>
      <c r="Z5" s="23"/>
    </row>
    <row r="6" spans="1:26" x14ac:dyDescent="0.25">
      <c r="A6" s="11">
        <v>45810</v>
      </c>
      <c r="B6" s="4" t="s">
        <v>61</v>
      </c>
      <c r="C6" s="6" t="s">
        <v>35</v>
      </c>
      <c r="D6" s="4" t="s">
        <v>62</v>
      </c>
      <c r="E6" s="18" t="s">
        <v>66</v>
      </c>
      <c r="F6" s="18" t="s">
        <v>35</v>
      </c>
      <c r="G6" s="21" t="s">
        <v>64</v>
      </c>
      <c r="H6" s="18" t="s">
        <v>65</v>
      </c>
      <c r="I6" s="8">
        <v>930</v>
      </c>
      <c r="J6" s="18" t="s">
        <v>63</v>
      </c>
      <c r="K6" s="24">
        <v>0.59375</v>
      </c>
      <c r="L6" s="10">
        <v>0.61805555555555558</v>
      </c>
      <c r="M6" s="22" t="s">
        <v>43</v>
      </c>
      <c r="N6" s="22">
        <v>0</v>
      </c>
      <c r="O6" s="22">
        <v>0</v>
      </c>
      <c r="P6" s="4">
        <v>0</v>
      </c>
      <c r="Q6" s="4">
        <v>0</v>
      </c>
      <c r="R6" s="18" t="s">
        <v>63</v>
      </c>
      <c r="S6" s="9">
        <v>0.60416666666666663</v>
      </c>
      <c r="T6" s="10">
        <v>0.63194444444444442</v>
      </c>
      <c r="U6" s="4" t="s">
        <v>43</v>
      </c>
      <c r="V6" s="4">
        <v>0</v>
      </c>
      <c r="W6" s="4">
        <v>0</v>
      </c>
      <c r="X6" s="4">
        <v>0</v>
      </c>
      <c r="Y6" s="4">
        <v>0</v>
      </c>
      <c r="Z6" s="23"/>
    </row>
    <row r="7" spans="1:26" x14ac:dyDescent="0.25">
      <c r="A7" s="11">
        <v>45810</v>
      </c>
      <c r="B7" s="4" t="s">
        <v>67</v>
      </c>
      <c r="C7" s="6" t="s">
        <v>35</v>
      </c>
      <c r="D7" s="4" t="s">
        <v>73</v>
      </c>
      <c r="E7" s="4" t="s">
        <v>68</v>
      </c>
      <c r="F7" s="4" t="s">
        <v>35</v>
      </c>
      <c r="G7" s="4" t="s">
        <v>69</v>
      </c>
      <c r="H7" s="4" t="s">
        <v>70</v>
      </c>
      <c r="I7" s="8">
        <v>89000</v>
      </c>
      <c r="J7" s="4" t="s">
        <v>71</v>
      </c>
      <c r="K7" s="9">
        <v>0.64583333333333337</v>
      </c>
      <c r="L7" s="10">
        <v>0.75555555555555554</v>
      </c>
      <c r="M7" s="4" t="s">
        <v>43</v>
      </c>
      <c r="N7" s="4">
        <v>0</v>
      </c>
      <c r="O7" s="4">
        <v>0</v>
      </c>
      <c r="P7" s="4">
        <v>18112</v>
      </c>
      <c r="Q7" s="4">
        <v>0</v>
      </c>
      <c r="R7" s="4" t="s">
        <v>72</v>
      </c>
      <c r="S7" s="9">
        <v>0.875</v>
      </c>
      <c r="T7" s="10">
        <v>0.91041666666666676</v>
      </c>
      <c r="U7" s="4" t="s">
        <v>43</v>
      </c>
      <c r="V7" s="4">
        <v>0</v>
      </c>
      <c r="W7" s="4">
        <v>0</v>
      </c>
      <c r="X7" s="4">
        <v>0</v>
      </c>
      <c r="Y7" s="4">
        <v>0</v>
      </c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6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6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6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6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26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26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26"/>
    </row>
    <row r="18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B919-4180-4CE5-838E-AD7A47EB82F1}">
  <dimension ref="A1:Z17"/>
  <sheetViews>
    <sheetView workbookViewId="0">
      <selection activeCell="B29" sqref="B29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23"/>
    </row>
    <row r="2" spans="1:26" x14ac:dyDescent="0.25">
      <c r="A2" s="11">
        <v>45811</v>
      </c>
      <c r="B2" s="4" t="s">
        <v>46</v>
      </c>
      <c r="C2" s="17" t="s">
        <v>47</v>
      </c>
      <c r="D2" s="4" t="s">
        <v>30</v>
      </c>
      <c r="E2" s="18" t="s">
        <v>68</v>
      </c>
      <c r="F2" s="4">
        <v>239</v>
      </c>
      <c r="G2" s="4" t="s">
        <v>74</v>
      </c>
      <c r="H2" s="18" t="s">
        <v>17</v>
      </c>
      <c r="I2" s="8">
        <v>89000</v>
      </c>
      <c r="J2" s="4" t="s">
        <v>32</v>
      </c>
      <c r="K2" s="9">
        <v>0.4861111111111111</v>
      </c>
      <c r="L2" s="10">
        <v>0.48055555555555557</v>
      </c>
      <c r="M2" s="4">
        <v>215</v>
      </c>
      <c r="N2" s="4">
        <v>4</v>
      </c>
      <c r="O2" s="4">
        <v>1009</v>
      </c>
      <c r="P2" s="4">
        <v>0</v>
      </c>
      <c r="Q2" s="4">
        <v>0</v>
      </c>
      <c r="R2" s="4" t="s">
        <v>33</v>
      </c>
      <c r="S2" s="9">
        <v>0.51388888888888895</v>
      </c>
      <c r="T2" s="10">
        <v>0.52083333333333337</v>
      </c>
      <c r="U2" s="4">
        <v>198</v>
      </c>
      <c r="V2" s="4">
        <v>5</v>
      </c>
      <c r="W2" s="4">
        <v>624</v>
      </c>
      <c r="X2" s="4">
        <v>0</v>
      </c>
      <c r="Y2" s="4">
        <v>0</v>
      </c>
      <c r="Z2" s="23"/>
    </row>
    <row r="3" spans="1:2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26"/>
    </row>
    <row r="4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6"/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26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6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6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5CE4-8447-4996-B5A4-6A5DFDA837F5}">
  <dimension ref="A1:Z13"/>
  <sheetViews>
    <sheetView workbookViewId="0">
      <selection activeCell="B31" sqref="B31"/>
    </sheetView>
  </sheetViews>
  <sheetFormatPr defaultRowHeight="15" x14ac:dyDescent="0.25"/>
  <cols>
    <col min="2" max="2" width="25.85546875" customWidth="1"/>
    <col min="3" max="3" width="14.85546875" customWidth="1"/>
    <col min="4" max="4" width="19.140625" customWidth="1"/>
    <col min="8" max="8" width="13.42578125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6" x14ac:dyDescent="0.25">
      <c r="A2" s="11">
        <v>45812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58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0.37916666666666665</v>
      </c>
      <c r="M2" s="4">
        <v>179</v>
      </c>
      <c r="N2" s="4">
        <v>5</v>
      </c>
      <c r="O2" s="4">
        <v>421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0.41736111111111113</v>
      </c>
      <c r="U2" s="4">
        <v>138</v>
      </c>
      <c r="V2" s="4">
        <v>6</v>
      </c>
      <c r="W2" s="4">
        <v>726</v>
      </c>
      <c r="X2" s="4">
        <v>0</v>
      </c>
      <c r="Y2" s="4">
        <v>0</v>
      </c>
    </row>
    <row r="3" spans="1:26" x14ac:dyDescent="0.25">
      <c r="A3" s="11">
        <v>45812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186</v>
      </c>
      <c r="G3" s="4" t="s">
        <v>75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0.49374999999999997</v>
      </c>
      <c r="M3" s="4">
        <v>180</v>
      </c>
      <c r="N3" s="4">
        <v>2</v>
      </c>
      <c r="O3" s="4">
        <v>720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0.52777777777777779</v>
      </c>
      <c r="U3" s="4">
        <v>140</v>
      </c>
      <c r="V3" s="4">
        <v>3</v>
      </c>
      <c r="W3" s="4">
        <v>555</v>
      </c>
      <c r="X3" s="4">
        <v>0</v>
      </c>
      <c r="Y3" s="4">
        <v>0</v>
      </c>
    </row>
    <row r="4" spans="1:26" x14ac:dyDescent="0.25">
      <c r="A4" s="11">
        <v>45812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186</v>
      </c>
      <c r="G4" s="8" t="s">
        <v>76</v>
      </c>
      <c r="H4" s="18" t="s">
        <v>17</v>
      </c>
      <c r="I4" s="8">
        <v>71500</v>
      </c>
      <c r="J4" s="10" t="s">
        <v>49</v>
      </c>
      <c r="K4" s="9">
        <v>0.5</v>
      </c>
      <c r="L4" s="10">
        <v>0.49861111111111112</v>
      </c>
      <c r="M4" s="4">
        <v>179</v>
      </c>
      <c r="N4" s="4">
        <v>1</v>
      </c>
      <c r="O4" s="4">
        <v>780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0.54027777777777775</v>
      </c>
      <c r="U4" s="4">
        <v>152</v>
      </c>
      <c r="V4" s="4">
        <v>5</v>
      </c>
      <c r="W4" s="4">
        <v>556</v>
      </c>
      <c r="X4" s="4">
        <v>0</v>
      </c>
      <c r="Y4" s="4">
        <v>0</v>
      </c>
    </row>
    <row r="5" spans="1:26" x14ac:dyDescent="0.25">
      <c r="A5" s="28">
        <v>45812</v>
      </c>
      <c r="B5" s="4" t="s">
        <v>77</v>
      </c>
      <c r="C5" s="29"/>
      <c r="D5" s="18" t="s">
        <v>78</v>
      </c>
      <c r="E5" s="29" t="s">
        <v>79</v>
      </c>
      <c r="F5" s="4"/>
      <c r="G5" s="29" t="s">
        <v>80</v>
      </c>
      <c r="H5" s="18" t="s">
        <v>39</v>
      </c>
      <c r="I5" s="8">
        <v>1999</v>
      </c>
      <c r="J5" s="29" t="s">
        <v>81</v>
      </c>
      <c r="K5" s="30">
        <v>0.66666666666666663</v>
      </c>
      <c r="L5" s="30">
        <v>0.66666666666666663</v>
      </c>
      <c r="M5" s="29">
        <v>0</v>
      </c>
      <c r="N5" s="29">
        <v>0</v>
      </c>
      <c r="O5" s="4">
        <v>0</v>
      </c>
      <c r="P5" s="4">
        <v>0</v>
      </c>
      <c r="Q5" s="4">
        <v>0</v>
      </c>
      <c r="R5" s="4" t="s">
        <v>81</v>
      </c>
      <c r="S5" s="30">
        <v>0.70833333333333337</v>
      </c>
      <c r="T5" s="29"/>
      <c r="U5" s="29"/>
      <c r="V5" s="4">
        <v>0</v>
      </c>
      <c r="W5" s="4">
        <v>0</v>
      </c>
      <c r="X5" s="4">
        <v>0</v>
      </c>
      <c r="Y5" s="4">
        <v>0</v>
      </c>
      <c r="Z5" s="27"/>
    </row>
    <row r="6" spans="1:26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7"/>
    </row>
    <row r="13" spans="1:26" x14ac:dyDescent="0.25">
      <c r="F13" s="2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E552-BCCC-425F-B59D-6631E0781FF2}">
  <dimension ref="A1:Z14"/>
  <sheetViews>
    <sheetView workbookViewId="0">
      <selection activeCell="K29" sqref="K29"/>
    </sheetView>
  </sheetViews>
  <sheetFormatPr defaultRowHeight="15" x14ac:dyDescent="0.25"/>
  <cols>
    <col min="1" max="1" width="11.42578125" bestFit="1" customWidth="1"/>
    <col min="2" max="2" width="23" customWidth="1"/>
    <col min="4" max="4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45813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0.39444444444444443</v>
      </c>
      <c r="M2" s="4">
        <v>173</v>
      </c>
      <c r="N2" s="4">
        <v>3</v>
      </c>
      <c r="O2" s="4">
        <v>418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0.43263888888888885</v>
      </c>
      <c r="U2" s="4">
        <v>85</v>
      </c>
      <c r="V2" s="4">
        <v>3</v>
      </c>
      <c r="W2" s="4">
        <v>294</v>
      </c>
      <c r="X2" s="4">
        <v>0</v>
      </c>
      <c r="Y2" s="4">
        <v>0</v>
      </c>
      <c r="Z2" s="4"/>
    </row>
    <row r="3" spans="1:26" x14ac:dyDescent="0.25">
      <c r="A3" s="11">
        <v>45813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74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0.48958333333333331</v>
      </c>
      <c r="M3" s="4">
        <v>239</v>
      </c>
      <c r="N3" s="4">
        <v>3</v>
      </c>
      <c r="O3" s="4">
        <v>684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0.52152777777777781</v>
      </c>
      <c r="U3" s="4">
        <v>155</v>
      </c>
      <c r="V3" s="4">
        <v>2</v>
      </c>
      <c r="W3" s="4">
        <v>467</v>
      </c>
      <c r="X3" s="4">
        <v>0</v>
      </c>
      <c r="Y3" s="4">
        <v>0</v>
      </c>
      <c r="Z3" s="4"/>
    </row>
    <row r="4" spans="1:26" x14ac:dyDescent="0.25">
      <c r="A4" s="11">
        <v>45813</v>
      </c>
      <c r="B4" s="4" t="s">
        <v>77</v>
      </c>
      <c r="C4" s="4" t="s">
        <v>35</v>
      </c>
      <c r="D4" s="18" t="s">
        <v>78</v>
      </c>
      <c r="E4" s="4" t="s">
        <v>79</v>
      </c>
      <c r="F4" s="4" t="s">
        <v>35</v>
      </c>
      <c r="G4" s="4" t="s">
        <v>80</v>
      </c>
      <c r="H4" s="18" t="s">
        <v>39</v>
      </c>
      <c r="I4" s="8">
        <v>1999</v>
      </c>
      <c r="J4" s="4" t="s">
        <v>81</v>
      </c>
      <c r="K4" s="9" t="s">
        <v>84</v>
      </c>
      <c r="L4" s="10" t="s">
        <v>84</v>
      </c>
      <c r="M4" s="4" t="s">
        <v>85</v>
      </c>
      <c r="N4" s="4" t="s">
        <v>85</v>
      </c>
      <c r="O4" s="4" t="s">
        <v>85</v>
      </c>
      <c r="P4" s="4">
        <v>0</v>
      </c>
      <c r="Q4" s="4">
        <v>0</v>
      </c>
      <c r="R4" s="4" t="s">
        <v>81</v>
      </c>
      <c r="S4" s="9">
        <v>0.625</v>
      </c>
      <c r="T4" s="10">
        <v>0.61805555555555558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51A9-32AC-4E51-B847-B9DF2442C241}">
  <dimension ref="A1:Y5"/>
  <sheetViews>
    <sheetView workbookViewId="0">
      <selection activeCell="D27" sqref="D27"/>
    </sheetView>
  </sheetViews>
  <sheetFormatPr defaultRowHeight="15" x14ac:dyDescent="0.25"/>
  <cols>
    <col min="2" max="2" width="25.140625" customWidth="1"/>
    <col min="4" max="4" width="18.140625" customWidth="1"/>
    <col min="8" max="8" width="14.7109375" customWidth="1"/>
  </cols>
  <sheetData>
    <row r="1" spans="1:25" ht="25.5" x14ac:dyDescent="0.25">
      <c r="A1" s="13" t="s">
        <v>0</v>
      </c>
      <c r="B1" s="13" t="s">
        <v>1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6">
        <v>45814</v>
      </c>
      <c r="B2" s="4" t="s">
        <v>86</v>
      </c>
      <c r="C2" s="5" t="s">
        <v>87</v>
      </c>
      <c r="D2" s="18" t="s">
        <v>53</v>
      </c>
      <c r="E2" s="21" t="s">
        <v>54</v>
      </c>
      <c r="F2" s="18">
        <v>189</v>
      </c>
      <c r="G2" s="8" t="s">
        <v>90</v>
      </c>
      <c r="H2" s="5" t="s">
        <v>17</v>
      </c>
      <c r="I2" s="8">
        <v>71500</v>
      </c>
      <c r="J2" s="10" t="s">
        <v>88</v>
      </c>
      <c r="K2" s="9">
        <v>0.36805555555555558</v>
      </c>
      <c r="L2" s="10">
        <v>0.35069444444444442</v>
      </c>
      <c r="M2" s="22">
        <v>151</v>
      </c>
      <c r="N2" s="4">
        <v>0</v>
      </c>
      <c r="O2" s="4">
        <v>1143</v>
      </c>
      <c r="P2" s="4">
        <v>0</v>
      </c>
      <c r="Q2" s="4">
        <v>0</v>
      </c>
      <c r="R2" s="4" t="s">
        <v>89</v>
      </c>
      <c r="S2" s="9">
        <v>0.4236111111111111</v>
      </c>
      <c r="T2" s="10">
        <v>0.42777777777777781</v>
      </c>
      <c r="U2" s="22">
        <v>28</v>
      </c>
      <c r="V2" s="4">
        <v>1</v>
      </c>
      <c r="W2" s="4">
        <v>296</v>
      </c>
      <c r="X2" s="4">
        <v>0</v>
      </c>
      <c r="Y2" s="4">
        <v>0</v>
      </c>
    </row>
    <row r="3" spans="1:25" x14ac:dyDescent="0.25">
      <c r="A3" s="6">
        <v>45814</v>
      </c>
      <c r="B3" s="4" t="s">
        <v>13</v>
      </c>
      <c r="C3" s="17" t="s">
        <v>14</v>
      </c>
      <c r="D3" s="4" t="s">
        <v>15</v>
      </c>
      <c r="E3" s="4" t="s">
        <v>16</v>
      </c>
      <c r="F3" s="4">
        <v>186</v>
      </c>
      <c r="G3" s="4" t="s">
        <v>91</v>
      </c>
      <c r="H3" s="18" t="s">
        <v>17</v>
      </c>
      <c r="I3" s="8">
        <v>71500</v>
      </c>
      <c r="J3" s="4" t="s">
        <v>18</v>
      </c>
      <c r="K3" s="9">
        <v>0.3923611111111111</v>
      </c>
      <c r="L3" s="10">
        <v>0.38194444444444442</v>
      </c>
      <c r="M3" s="4">
        <v>177</v>
      </c>
      <c r="N3" s="4">
        <v>4</v>
      </c>
      <c r="O3" s="4">
        <v>478</v>
      </c>
      <c r="P3" s="4">
        <v>0</v>
      </c>
      <c r="Q3" s="4">
        <v>0</v>
      </c>
      <c r="R3" s="4" t="s">
        <v>29</v>
      </c>
      <c r="S3" s="9">
        <v>0.41319444444444442</v>
      </c>
      <c r="T3" s="10">
        <v>0.41875000000000001</v>
      </c>
      <c r="U3" s="4">
        <v>146</v>
      </c>
      <c r="V3" s="4">
        <v>4</v>
      </c>
      <c r="W3" s="4">
        <v>504</v>
      </c>
      <c r="X3" s="4">
        <v>0</v>
      </c>
      <c r="Y3" s="4">
        <v>0</v>
      </c>
    </row>
    <row r="4" spans="1:25" x14ac:dyDescent="0.25">
      <c r="A4" s="6">
        <v>45814</v>
      </c>
      <c r="B4" s="4" t="s">
        <v>13</v>
      </c>
      <c r="C4" s="17" t="s">
        <v>14</v>
      </c>
      <c r="D4" s="4" t="s">
        <v>30</v>
      </c>
      <c r="E4" s="18" t="s">
        <v>16</v>
      </c>
      <c r="F4" s="4">
        <v>186</v>
      </c>
      <c r="G4" s="4" t="s">
        <v>75</v>
      </c>
      <c r="H4" s="18" t="s">
        <v>17</v>
      </c>
      <c r="I4" s="8">
        <v>71500</v>
      </c>
      <c r="J4" s="4" t="s">
        <v>32</v>
      </c>
      <c r="K4" s="9">
        <v>0.49652777777777773</v>
      </c>
      <c r="L4" s="10">
        <v>0.50208333333333333</v>
      </c>
      <c r="M4" s="4">
        <v>183</v>
      </c>
      <c r="N4" s="4">
        <v>0</v>
      </c>
      <c r="O4" s="4">
        <v>446</v>
      </c>
      <c r="P4" s="4">
        <v>0</v>
      </c>
      <c r="Q4" s="4">
        <v>0</v>
      </c>
      <c r="R4" s="4" t="s">
        <v>33</v>
      </c>
      <c r="S4" s="9">
        <v>0.51736111111111105</v>
      </c>
      <c r="T4" s="10">
        <v>0.53819444444444442</v>
      </c>
      <c r="U4" s="4">
        <v>146</v>
      </c>
      <c r="V4" s="4">
        <v>1</v>
      </c>
      <c r="W4" s="4">
        <v>629</v>
      </c>
      <c r="X4" s="4">
        <v>0</v>
      </c>
      <c r="Y4" s="4">
        <v>0</v>
      </c>
    </row>
    <row r="5" spans="1:25" x14ac:dyDescent="0.25">
      <c r="A5" s="6">
        <v>45814</v>
      </c>
      <c r="B5" s="4" t="s">
        <v>46</v>
      </c>
      <c r="C5" s="4" t="s">
        <v>47</v>
      </c>
      <c r="D5" s="18" t="s">
        <v>48</v>
      </c>
      <c r="E5" s="4" t="s">
        <v>16</v>
      </c>
      <c r="F5" s="4">
        <v>180</v>
      </c>
      <c r="G5" s="8" t="s">
        <v>59</v>
      </c>
      <c r="H5" s="18" t="s">
        <v>17</v>
      </c>
      <c r="I5" s="8">
        <v>71500</v>
      </c>
      <c r="J5" s="10" t="s">
        <v>49</v>
      </c>
      <c r="K5" s="9">
        <v>0.5</v>
      </c>
      <c r="L5" s="10">
        <v>0.48749999999999999</v>
      </c>
      <c r="M5" s="4">
        <v>169</v>
      </c>
      <c r="N5" s="4">
        <v>0</v>
      </c>
      <c r="O5" s="4">
        <v>855</v>
      </c>
      <c r="P5" s="4">
        <v>0</v>
      </c>
      <c r="Q5" s="4">
        <v>0</v>
      </c>
      <c r="R5" s="4" t="s">
        <v>50</v>
      </c>
      <c r="S5" s="9">
        <v>0.52083333333333337</v>
      </c>
      <c r="T5" s="10">
        <v>0.52430555555555558</v>
      </c>
      <c r="U5" s="4">
        <v>153</v>
      </c>
      <c r="V5" s="4">
        <v>1</v>
      </c>
      <c r="W5" s="4">
        <v>659</v>
      </c>
      <c r="X5" s="4">
        <v>0</v>
      </c>
      <c r="Y5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B9A2-0AEC-48C6-AFDB-CB6D62C715DC}">
  <dimension ref="A1:Z14"/>
  <sheetViews>
    <sheetView workbookViewId="0">
      <selection activeCell="D30" sqref="D30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45815</v>
      </c>
      <c r="B2" s="4" t="s">
        <v>13</v>
      </c>
      <c r="C2" s="17" t="s">
        <v>14</v>
      </c>
      <c r="D2" s="4" t="s">
        <v>15</v>
      </c>
      <c r="E2" s="4" t="s">
        <v>68</v>
      </c>
      <c r="F2" s="4">
        <v>239</v>
      </c>
      <c r="G2" s="4" t="s">
        <v>92</v>
      </c>
      <c r="H2" s="18" t="s">
        <v>17</v>
      </c>
      <c r="I2" s="8">
        <v>89000</v>
      </c>
      <c r="J2" s="4" t="s">
        <v>18</v>
      </c>
      <c r="K2" s="9">
        <v>0.40277777777777773</v>
      </c>
      <c r="L2" s="10">
        <v>0.40486111111111112</v>
      </c>
      <c r="M2" s="4">
        <v>174</v>
      </c>
      <c r="N2" s="4">
        <v>0</v>
      </c>
      <c r="O2" s="4">
        <v>738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0.4381944444444445</v>
      </c>
      <c r="U2" s="4">
        <v>166</v>
      </c>
      <c r="V2" s="4">
        <v>4</v>
      </c>
      <c r="W2" s="4">
        <v>552</v>
      </c>
      <c r="X2" s="4">
        <v>0</v>
      </c>
      <c r="Y2" s="4">
        <v>0</v>
      </c>
      <c r="Z2" s="4"/>
    </row>
    <row r="3" spans="1:26" x14ac:dyDescent="0.25">
      <c r="A3" s="11">
        <v>45815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74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0.48958333333333331</v>
      </c>
      <c r="M3" s="4">
        <v>234</v>
      </c>
      <c r="N3" s="4">
        <v>5</v>
      </c>
      <c r="O3" s="4">
        <v>1011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0.52916666666666667</v>
      </c>
      <c r="U3" s="4">
        <v>192</v>
      </c>
      <c r="V3" s="4">
        <v>7</v>
      </c>
      <c r="W3" s="4">
        <v>858</v>
      </c>
      <c r="X3" s="4">
        <v>0</v>
      </c>
      <c r="Y3" s="4">
        <v>0</v>
      </c>
      <c r="Z3" s="4"/>
    </row>
    <row r="4" spans="1:26" x14ac:dyDescent="0.25">
      <c r="A4" s="11">
        <v>45815</v>
      </c>
      <c r="B4" s="4" t="s">
        <v>96</v>
      </c>
      <c r="C4" s="4" t="s">
        <v>35</v>
      </c>
      <c r="D4" s="18" t="s">
        <v>95</v>
      </c>
      <c r="E4" s="4" t="s">
        <v>93</v>
      </c>
      <c r="F4" s="4" t="s">
        <v>35</v>
      </c>
      <c r="G4" s="4" t="s">
        <v>101</v>
      </c>
      <c r="H4" s="18" t="s">
        <v>65</v>
      </c>
      <c r="I4" s="8">
        <v>2000</v>
      </c>
      <c r="J4" s="4" t="s">
        <v>81</v>
      </c>
      <c r="K4" s="9">
        <v>0.40277777777777773</v>
      </c>
      <c r="L4" s="10">
        <v>0.40277777777777773</v>
      </c>
      <c r="M4" s="4" t="s">
        <v>85</v>
      </c>
      <c r="N4" s="4" t="s">
        <v>85</v>
      </c>
      <c r="O4" s="4" t="s">
        <v>85</v>
      </c>
      <c r="P4" s="4">
        <v>0</v>
      </c>
      <c r="Q4" s="4">
        <v>0</v>
      </c>
      <c r="R4" s="4" t="s">
        <v>94</v>
      </c>
      <c r="S4" s="9">
        <v>0.43055555555555558</v>
      </c>
      <c r="T4" s="10">
        <v>0.44444444444444442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11">
        <v>45815</v>
      </c>
      <c r="B5" s="4" t="s">
        <v>97</v>
      </c>
      <c r="C5" s="4" t="s">
        <v>35</v>
      </c>
      <c r="D5" s="4" t="s">
        <v>98</v>
      </c>
      <c r="E5" s="4" t="s">
        <v>99</v>
      </c>
      <c r="F5" s="4" t="s">
        <v>100</v>
      </c>
      <c r="G5" s="4" t="s">
        <v>102</v>
      </c>
      <c r="H5" s="4" t="s">
        <v>39</v>
      </c>
      <c r="I5" s="4">
        <v>726</v>
      </c>
      <c r="J5" s="4" t="s">
        <v>103</v>
      </c>
      <c r="K5" s="9">
        <v>0.54166666666666663</v>
      </c>
      <c r="L5" s="10">
        <v>0.56180555555555556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 t="s">
        <v>103</v>
      </c>
      <c r="S5" s="9">
        <v>0.58333333333333337</v>
      </c>
      <c r="T5" s="10">
        <v>0.57986111111111105</v>
      </c>
      <c r="U5" s="4">
        <v>1</v>
      </c>
      <c r="V5" s="4">
        <v>0</v>
      </c>
      <c r="W5" s="4">
        <v>0</v>
      </c>
      <c r="X5" s="4">
        <v>0</v>
      </c>
      <c r="Y5" s="4">
        <v>0</v>
      </c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94D7-EF6E-4AA8-981C-2C140211F148}">
  <dimension ref="A1:Z14"/>
  <sheetViews>
    <sheetView workbookViewId="0">
      <selection activeCell="B5" sqref="B5:Y5"/>
    </sheetView>
  </sheetViews>
  <sheetFormatPr defaultRowHeight="15" x14ac:dyDescent="0.25"/>
  <cols>
    <col min="1" max="1" width="10.140625" customWidth="1"/>
    <col min="2" max="2" width="31.28515625" customWidth="1"/>
    <col min="3" max="3" width="12.140625" customWidth="1"/>
    <col min="4" max="4" width="18.5703125" customWidth="1"/>
    <col min="6" max="6" width="9.42578125" bestFit="1" customWidth="1"/>
    <col min="8" max="8" width="15.285156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6" ht="25.5" x14ac:dyDescent="0.25">
      <c r="A1" s="13" t="s">
        <v>0</v>
      </c>
      <c r="B1" s="13" t="s">
        <v>1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6" x14ac:dyDescent="0.25">
      <c r="A2" s="6">
        <v>45816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17" t="s">
        <v>112</v>
      </c>
      <c r="H2" s="18" t="s">
        <v>17</v>
      </c>
      <c r="I2" s="8">
        <v>71500</v>
      </c>
      <c r="J2" s="4" t="s">
        <v>18</v>
      </c>
      <c r="K2" s="3">
        <v>0.40277777777777773</v>
      </c>
      <c r="L2" s="7">
        <v>0.70000000000000007</v>
      </c>
      <c r="M2" s="5">
        <v>161</v>
      </c>
      <c r="N2" s="5">
        <v>2</v>
      </c>
      <c r="O2" s="5">
        <v>775</v>
      </c>
      <c r="P2" s="5">
        <v>0</v>
      </c>
      <c r="Q2" s="5">
        <v>0</v>
      </c>
      <c r="R2" s="5" t="s">
        <v>29</v>
      </c>
      <c r="S2" s="3">
        <v>0.4236111111111111</v>
      </c>
      <c r="T2" s="7">
        <v>0.73958333333333337</v>
      </c>
      <c r="U2" s="5">
        <v>158</v>
      </c>
      <c r="V2" s="18">
        <v>2</v>
      </c>
      <c r="W2" s="18">
        <v>487</v>
      </c>
      <c r="X2" s="18">
        <v>0</v>
      </c>
      <c r="Y2" s="18">
        <v>0</v>
      </c>
    </row>
    <row r="3" spans="1:26" x14ac:dyDescent="0.25">
      <c r="A3" s="6">
        <v>45816</v>
      </c>
      <c r="B3" s="4" t="s">
        <v>13</v>
      </c>
      <c r="C3" s="17" t="s">
        <v>14</v>
      </c>
      <c r="D3" s="4" t="s">
        <v>30</v>
      </c>
      <c r="E3" s="4" t="s">
        <v>16</v>
      </c>
      <c r="F3" s="4">
        <v>180</v>
      </c>
      <c r="G3" s="17" t="s">
        <v>31</v>
      </c>
      <c r="H3" s="18" t="s">
        <v>17</v>
      </c>
      <c r="I3" s="8">
        <v>71500</v>
      </c>
      <c r="J3" s="10" t="s">
        <v>32</v>
      </c>
      <c r="K3" s="9">
        <v>0.46527777777777773</v>
      </c>
      <c r="L3" s="10">
        <v>0.47291666666666665</v>
      </c>
      <c r="M3" s="5">
        <v>171</v>
      </c>
      <c r="N3" s="5">
        <v>4</v>
      </c>
      <c r="O3" s="5">
        <v>869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0.4993055555555555</v>
      </c>
      <c r="U3" s="4">
        <v>169</v>
      </c>
      <c r="V3" s="4">
        <v>3</v>
      </c>
      <c r="W3" s="4">
        <v>496</v>
      </c>
      <c r="X3" s="4">
        <v>0</v>
      </c>
      <c r="Y3" s="4">
        <v>0</v>
      </c>
    </row>
    <row r="4" spans="1:26" x14ac:dyDescent="0.25">
      <c r="A4" s="6">
        <v>45816</v>
      </c>
      <c r="B4" s="4" t="s">
        <v>96</v>
      </c>
      <c r="C4" s="4" t="s">
        <v>35</v>
      </c>
      <c r="D4" s="18" t="s">
        <v>104</v>
      </c>
      <c r="E4" s="4" t="s">
        <v>93</v>
      </c>
      <c r="F4" s="4" t="s">
        <v>35</v>
      </c>
      <c r="G4" s="4" t="s">
        <v>101</v>
      </c>
      <c r="H4" s="18" t="s">
        <v>65</v>
      </c>
      <c r="I4" s="8">
        <v>2000</v>
      </c>
      <c r="J4" s="4" t="s">
        <v>81</v>
      </c>
      <c r="K4" s="9">
        <v>0.46875</v>
      </c>
      <c r="L4" s="10">
        <v>0.4548611111111111</v>
      </c>
      <c r="M4" s="4">
        <v>3</v>
      </c>
      <c r="N4" s="4">
        <v>0</v>
      </c>
      <c r="O4" s="4">
        <v>0</v>
      </c>
      <c r="P4" s="4">
        <v>0</v>
      </c>
      <c r="Q4" s="4">
        <v>0</v>
      </c>
      <c r="R4" s="4" t="s">
        <v>94</v>
      </c>
      <c r="S4" s="9">
        <v>0.48958333333333331</v>
      </c>
      <c r="T4" s="10">
        <v>0.47222222222222227</v>
      </c>
      <c r="U4" s="4">
        <v>3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6">
        <v>45816</v>
      </c>
      <c r="B5" s="4" t="s">
        <v>105</v>
      </c>
      <c r="C5" s="4" t="s">
        <v>35</v>
      </c>
      <c r="D5" s="4" t="s">
        <v>106</v>
      </c>
      <c r="E5" s="4" t="s">
        <v>107</v>
      </c>
      <c r="F5" s="4" t="s">
        <v>35</v>
      </c>
      <c r="G5" s="4" t="s">
        <v>108</v>
      </c>
      <c r="H5" s="18" t="s">
        <v>109</v>
      </c>
      <c r="I5" s="8">
        <v>21863</v>
      </c>
      <c r="J5" s="4" t="s">
        <v>110</v>
      </c>
      <c r="K5" s="9">
        <v>0.53472222222222221</v>
      </c>
      <c r="L5" s="10">
        <v>0.52152777777777781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 t="s">
        <v>111</v>
      </c>
      <c r="S5" s="9">
        <v>0.56944444444444442</v>
      </c>
      <c r="T5" s="10">
        <v>0.54861111111111105</v>
      </c>
      <c r="U5" s="4">
        <v>1</v>
      </c>
      <c r="V5" s="4">
        <v>0</v>
      </c>
      <c r="W5" s="4">
        <v>0</v>
      </c>
      <c r="X5" s="4">
        <v>0</v>
      </c>
      <c r="Y5" s="4">
        <v>0</v>
      </c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BB55-FE52-4C62-B90A-010C10F07AAA}">
  <dimension ref="A1:Z24"/>
  <sheetViews>
    <sheetView workbookViewId="0">
      <selection activeCell="T4" sqref="T4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23"/>
    </row>
    <row r="2" spans="1:26" x14ac:dyDescent="0.25">
      <c r="A2" s="11">
        <v>45817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57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0.375</v>
      </c>
      <c r="M2" s="4">
        <v>177</v>
      </c>
      <c r="N2" s="4">
        <v>4</v>
      </c>
      <c r="O2" s="4">
        <v>705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0.41666666666666669</v>
      </c>
      <c r="U2" s="4">
        <v>182</v>
      </c>
      <c r="V2" s="4">
        <v>4</v>
      </c>
      <c r="W2" s="4">
        <v>420</v>
      </c>
      <c r="X2" s="4">
        <v>0</v>
      </c>
      <c r="Y2" s="4">
        <v>0</v>
      </c>
      <c r="Z2" s="23"/>
    </row>
    <row r="3" spans="1:26" x14ac:dyDescent="0.25">
      <c r="A3" s="11">
        <v>45817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180</v>
      </c>
      <c r="G3" s="4" t="s">
        <v>113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0.44375000000000003</v>
      </c>
      <c r="M3" s="4">
        <v>161</v>
      </c>
      <c r="N3" s="4">
        <v>2</v>
      </c>
      <c r="O3" s="4">
        <v>687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0.4826388888888889</v>
      </c>
      <c r="U3" s="4">
        <v>175</v>
      </c>
      <c r="V3" s="4">
        <v>1</v>
      </c>
      <c r="W3" s="4">
        <v>376</v>
      </c>
      <c r="X3" s="4">
        <v>0</v>
      </c>
      <c r="Y3" s="4">
        <v>0</v>
      </c>
      <c r="Z3" s="23"/>
    </row>
    <row r="4" spans="1:26" x14ac:dyDescent="0.25">
      <c r="A4" s="11">
        <v>45817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186</v>
      </c>
      <c r="G4" s="8" t="s">
        <v>76</v>
      </c>
      <c r="H4" s="18" t="s">
        <v>17</v>
      </c>
      <c r="I4" s="8">
        <v>71500</v>
      </c>
      <c r="J4" s="10" t="s">
        <v>49</v>
      </c>
      <c r="K4" s="9">
        <v>0.5</v>
      </c>
      <c r="L4" s="10">
        <v>0.5083333333333333</v>
      </c>
      <c r="M4" s="4">
        <v>159</v>
      </c>
      <c r="N4" s="4">
        <v>3</v>
      </c>
      <c r="O4" s="4">
        <v>968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0.55208333333333337</v>
      </c>
      <c r="U4" s="4">
        <v>162</v>
      </c>
      <c r="V4" s="4">
        <v>1</v>
      </c>
      <c r="W4" s="4">
        <v>689</v>
      </c>
      <c r="X4" s="4">
        <v>0</v>
      </c>
      <c r="Y4" s="4">
        <v>0</v>
      </c>
      <c r="Z4" s="23"/>
    </row>
    <row r="5" spans="1:26" x14ac:dyDescent="0.25">
      <c r="A5" s="11">
        <v>45817</v>
      </c>
      <c r="B5" s="4" t="s">
        <v>51</v>
      </c>
      <c r="C5" s="5" t="s">
        <v>52</v>
      </c>
      <c r="D5" s="18" t="s">
        <v>53</v>
      </c>
      <c r="E5" s="21" t="s">
        <v>114</v>
      </c>
      <c r="F5" s="18">
        <v>186</v>
      </c>
      <c r="G5" s="8" t="s">
        <v>115</v>
      </c>
      <c r="H5" s="18" t="s">
        <v>17</v>
      </c>
      <c r="I5" s="8">
        <v>79000</v>
      </c>
      <c r="J5" s="10" t="s">
        <v>55</v>
      </c>
      <c r="K5" s="9">
        <v>0.56597222222222221</v>
      </c>
      <c r="L5" s="10">
        <v>0.5541666666666667</v>
      </c>
      <c r="M5" s="22">
        <v>75</v>
      </c>
      <c r="N5" s="4">
        <v>0</v>
      </c>
      <c r="O5" s="4">
        <v>969</v>
      </c>
      <c r="P5" s="4">
        <v>0</v>
      </c>
      <c r="Q5" s="4">
        <v>0</v>
      </c>
      <c r="R5" s="4" t="s">
        <v>56</v>
      </c>
      <c r="S5" s="9">
        <v>0.60763888888888895</v>
      </c>
      <c r="T5" s="10">
        <v>0.62847222222222221</v>
      </c>
      <c r="U5" s="4">
        <v>186</v>
      </c>
      <c r="V5" s="4">
        <v>1</v>
      </c>
      <c r="W5" s="4">
        <v>1985</v>
      </c>
      <c r="X5" s="4">
        <v>0</v>
      </c>
      <c r="Y5" s="4">
        <v>0</v>
      </c>
      <c r="Z5" s="23"/>
    </row>
    <row r="6" spans="1:26" x14ac:dyDescent="0.25">
      <c r="A6" s="11"/>
      <c r="B6" s="4"/>
      <c r="C6" s="6"/>
      <c r="D6" s="4"/>
      <c r="E6" s="18"/>
      <c r="F6" s="18"/>
      <c r="G6" s="21"/>
      <c r="H6" s="18"/>
      <c r="I6" s="8"/>
      <c r="J6" s="18"/>
      <c r="K6" s="24"/>
      <c r="L6" s="10"/>
      <c r="M6" s="22"/>
      <c r="N6" s="22"/>
      <c r="O6" s="22"/>
      <c r="P6" s="4"/>
      <c r="Q6" s="4"/>
      <c r="R6" s="18"/>
      <c r="S6" s="9"/>
      <c r="T6" s="10"/>
      <c r="U6" s="4"/>
      <c r="V6" s="4"/>
      <c r="W6" s="4"/>
      <c r="X6" s="4"/>
      <c r="Y6" s="4"/>
      <c r="Z6" s="23"/>
    </row>
    <row r="7" spans="1:26" x14ac:dyDescent="0.25">
      <c r="A7" s="11"/>
      <c r="B7" s="4"/>
      <c r="C7" s="6"/>
      <c r="D7" s="4"/>
      <c r="E7" s="4"/>
      <c r="F7" s="4"/>
      <c r="G7" s="4"/>
      <c r="H7" s="4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6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6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6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6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26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26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26"/>
    </row>
    <row r="18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45AD-3FB7-473A-9AF5-257F97661326}">
  <dimension ref="A1:Z17"/>
  <sheetViews>
    <sheetView workbookViewId="0">
      <selection activeCell="E22" sqref="E22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23"/>
    </row>
    <row r="2" spans="1:26" x14ac:dyDescent="0.25">
      <c r="A2" s="11">
        <v>45818</v>
      </c>
      <c r="B2" s="4" t="s">
        <v>46</v>
      </c>
      <c r="C2" s="17" t="s">
        <v>47</v>
      </c>
      <c r="D2" s="4" t="s">
        <v>30</v>
      </c>
      <c r="E2" s="18" t="s">
        <v>68</v>
      </c>
      <c r="F2" s="4">
        <v>239</v>
      </c>
      <c r="G2" s="4" t="s">
        <v>116</v>
      </c>
      <c r="H2" s="18" t="s">
        <v>17</v>
      </c>
      <c r="I2" s="8">
        <v>89000</v>
      </c>
      <c r="J2" s="4" t="s">
        <v>82</v>
      </c>
      <c r="K2" s="9">
        <v>0.4861111111111111</v>
      </c>
      <c r="L2" s="10">
        <v>0.48125000000000001</v>
      </c>
      <c r="M2" s="4">
        <v>174</v>
      </c>
      <c r="N2" s="4">
        <v>6</v>
      </c>
      <c r="O2" s="4">
        <v>574</v>
      </c>
      <c r="P2" s="4">
        <v>0</v>
      </c>
      <c r="Q2" s="4">
        <v>0</v>
      </c>
      <c r="R2" s="4" t="s">
        <v>82</v>
      </c>
      <c r="S2" s="9">
        <v>0.51388888888888895</v>
      </c>
      <c r="T2" s="10">
        <v>0.51666666666666672</v>
      </c>
      <c r="U2" s="4">
        <v>220</v>
      </c>
      <c r="V2" s="4">
        <v>4</v>
      </c>
      <c r="W2" s="4">
        <v>657</v>
      </c>
      <c r="X2" s="4">
        <v>0</v>
      </c>
      <c r="Y2" s="4">
        <v>0</v>
      </c>
      <c r="Z2" s="23"/>
    </row>
    <row r="3" spans="1:26" x14ac:dyDescent="0.25">
      <c r="A3" s="11">
        <v>45818</v>
      </c>
      <c r="B3" s="4" t="s">
        <v>117</v>
      </c>
      <c r="C3" s="4" t="s">
        <v>131</v>
      </c>
      <c r="D3" s="4" t="s">
        <v>118</v>
      </c>
      <c r="E3" s="4" t="s">
        <v>16</v>
      </c>
      <c r="F3" s="4">
        <v>180</v>
      </c>
      <c r="G3" s="4" t="s">
        <v>119</v>
      </c>
      <c r="H3" s="4" t="s">
        <v>120</v>
      </c>
      <c r="I3" s="8">
        <v>71500</v>
      </c>
      <c r="J3" s="4" t="s">
        <v>121</v>
      </c>
      <c r="K3" s="9">
        <v>0.33333333333333331</v>
      </c>
      <c r="L3" s="10">
        <v>0.30833333333333335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 t="s">
        <v>122</v>
      </c>
      <c r="S3" s="9">
        <v>0.375</v>
      </c>
      <c r="T3" s="10">
        <v>0.3659722222222222</v>
      </c>
      <c r="U3" s="4">
        <v>179</v>
      </c>
      <c r="V3" s="4">
        <v>5</v>
      </c>
      <c r="W3" s="4">
        <v>2317</v>
      </c>
      <c r="X3" s="4">
        <v>0</v>
      </c>
      <c r="Y3" s="4">
        <v>0</v>
      </c>
      <c r="Z3" s="26"/>
    </row>
    <row r="4" spans="1:26" x14ac:dyDescent="0.25">
      <c r="A4" s="11">
        <v>45818</v>
      </c>
      <c r="B4" s="4" t="s">
        <v>123</v>
      </c>
      <c r="C4" s="4" t="s">
        <v>132</v>
      </c>
      <c r="D4" s="4" t="s">
        <v>118</v>
      </c>
      <c r="E4" s="4" t="s">
        <v>124</v>
      </c>
      <c r="F4" s="4">
        <v>189</v>
      </c>
      <c r="G4" s="4" t="s">
        <v>125</v>
      </c>
      <c r="H4" s="4" t="s">
        <v>120</v>
      </c>
      <c r="I4" s="8">
        <v>80000</v>
      </c>
      <c r="J4" s="4" t="s">
        <v>126</v>
      </c>
      <c r="K4" s="9">
        <v>0.43402777777777773</v>
      </c>
      <c r="L4" s="10">
        <v>0.43541666666666662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 t="s">
        <v>127</v>
      </c>
      <c r="S4" s="9">
        <v>0.47569444444444442</v>
      </c>
      <c r="T4" s="10">
        <v>0.48333333333333334</v>
      </c>
      <c r="U4" s="4">
        <v>161</v>
      </c>
      <c r="V4" s="4">
        <v>8</v>
      </c>
      <c r="W4" s="4">
        <v>1942</v>
      </c>
      <c r="X4" s="4">
        <v>0</v>
      </c>
      <c r="Y4" s="4">
        <v>0</v>
      </c>
      <c r="Z4" s="26"/>
    </row>
    <row r="5" spans="1:26" x14ac:dyDescent="0.25">
      <c r="A5" s="11">
        <v>45818</v>
      </c>
      <c r="B5" s="4" t="s">
        <v>61</v>
      </c>
      <c r="C5" s="4" t="s">
        <v>35</v>
      </c>
      <c r="D5" s="4" t="s">
        <v>128</v>
      </c>
      <c r="E5" s="4" t="s">
        <v>129</v>
      </c>
      <c r="F5" s="4"/>
      <c r="G5" s="4" t="s">
        <v>42</v>
      </c>
      <c r="H5" s="4" t="s">
        <v>130</v>
      </c>
      <c r="I5" s="4">
        <v>930</v>
      </c>
      <c r="J5" s="4" t="s">
        <v>42</v>
      </c>
      <c r="K5" s="9">
        <v>0.33333333333333331</v>
      </c>
      <c r="L5" s="10">
        <v>0.33333333333333331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 t="s">
        <v>42</v>
      </c>
      <c r="S5" s="9">
        <v>0.35416666666666669</v>
      </c>
      <c r="T5" s="10">
        <v>0.35416666666666669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26"/>
    </row>
    <row r="6" spans="1:26" x14ac:dyDescent="0.25">
      <c r="A6" s="11">
        <v>45818</v>
      </c>
      <c r="B6" s="4" t="s">
        <v>61</v>
      </c>
      <c r="C6" s="4" t="s">
        <v>35</v>
      </c>
      <c r="D6" s="4" t="s">
        <v>133</v>
      </c>
      <c r="E6" s="4" t="s">
        <v>129</v>
      </c>
      <c r="F6" s="4"/>
      <c r="G6" s="4" t="s">
        <v>134</v>
      </c>
      <c r="H6" s="4" t="s">
        <v>130</v>
      </c>
      <c r="I6" s="4">
        <v>630</v>
      </c>
      <c r="J6" s="4" t="s">
        <v>134</v>
      </c>
      <c r="K6" s="9">
        <v>0.5625</v>
      </c>
      <c r="L6" s="10">
        <v>0.625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 t="s">
        <v>134</v>
      </c>
      <c r="S6" s="9">
        <v>0.59375</v>
      </c>
      <c r="T6" s="10">
        <v>0.67708333333333337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26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6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BFD0-2627-4BF4-ACBF-C387B29B69B3}">
  <dimension ref="A1:Y4"/>
  <sheetViews>
    <sheetView workbookViewId="0">
      <selection activeCell="D14" sqref="D14"/>
    </sheetView>
  </sheetViews>
  <sheetFormatPr defaultRowHeight="15" x14ac:dyDescent="0.25"/>
  <cols>
    <col min="2" max="2" width="24.28515625" customWidth="1"/>
    <col min="4" max="4" width="18" customWidth="1"/>
    <col min="8" max="8" width="13.5703125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45819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135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0.375</v>
      </c>
      <c r="M2" s="4">
        <v>170</v>
      </c>
      <c r="N2" s="4">
        <v>3</v>
      </c>
      <c r="O2" s="4">
        <v>617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0.41666666666666669</v>
      </c>
      <c r="U2" s="4">
        <v>178</v>
      </c>
      <c r="V2" s="4">
        <v>4</v>
      </c>
      <c r="W2" s="4">
        <v>748</v>
      </c>
      <c r="X2" s="4">
        <v>0</v>
      </c>
      <c r="Y2" s="4">
        <v>0</v>
      </c>
    </row>
    <row r="3" spans="1:25" x14ac:dyDescent="0.25">
      <c r="A3" s="11">
        <v>45819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186</v>
      </c>
      <c r="G3" s="4" t="s">
        <v>75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0.4604166666666667</v>
      </c>
      <c r="M3" s="4">
        <v>133</v>
      </c>
      <c r="N3" s="4">
        <v>5</v>
      </c>
      <c r="O3" s="4">
        <v>676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0.49513888888888885</v>
      </c>
      <c r="U3" s="4">
        <v>170</v>
      </c>
      <c r="V3" s="4">
        <v>3</v>
      </c>
      <c r="W3" s="4">
        <v>676</v>
      </c>
      <c r="X3" s="4">
        <v>0</v>
      </c>
      <c r="Y3" s="4">
        <v>0</v>
      </c>
    </row>
    <row r="4" spans="1:25" x14ac:dyDescent="0.25">
      <c r="A4" s="11">
        <v>45819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180</v>
      </c>
      <c r="G4" s="8" t="s">
        <v>136</v>
      </c>
      <c r="H4" s="18" t="s">
        <v>17</v>
      </c>
      <c r="I4" s="8">
        <v>71500</v>
      </c>
      <c r="J4" s="10" t="s">
        <v>49</v>
      </c>
      <c r="K4" s="9">
        <v>0.5</v>
      </c>
      <c r="L4" s="10">
        <v>0.49305555555555558</v>
      </c>
      <c r="M4" s="4">
        <v>161</v>
      </c>
      <c r="N4" s="4">
        <v>4</v>
      </c>
      <c r="O4" s="4">
        <v>708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0.54166666666666663</v>
      </c>
      <c r="U4" s="4">
        <v>168</v>
      </c>
      <c r="V4" s="4">
        <v>3</v>
      </c>
      <c r="W4" s="4">
        <v>711</v>
      </c>
      <c r="X4" s="4">
        <v>0</v>
      </c>
      <c r="Y4" s="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5F82-5FA6-4C9A-B203-D364C6638563}">
  <dimension ref="A1:Z12"/>
  <sheetViews>
    <sheetView workbookViewId="0">
      <selection activeCell="T6" sqref="T6"/>
    </sheetView>
  </sheetViews>
  <sheetFormatPr defaultRowHeight="15" x14ac:dyDescent="0.25"/>
  <cols>
    <col min="2" max="2" width="26.42578125" customWidth="1"/>
    <col min="4" max="4" width="18.5703125" customWidth="1"/>
    <col min="8" max="8" width="13.7109375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45820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112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0.38472222222222219</v>
      </c>
      <c r="M2" s="4">
        <v>176</v>
      </c>
      <c r="N2" s="4">
        <v>0</v>
      </c>
      <c r="O2" s="4">
        <v>330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0.42708333333333331</v>
      </c>
      <c r="U2" s="4">
        <v>174</v>
      </c>
      <c r="V2" s="4">
        <v>7</v>
      </c>
      <c r="W2" s="4">
        <v>554</v>
      </c>
      <c r="X2" s="4">
        <v>0</v>
      </c>
      <c r="Y2" s="4">
        <v>0</v>
      </c>
      <c r="Z2" s="4"/>
    </row>
    <row r="3" spans="1:26" x14ac:dyDescent="0.25">
      <c r="A3" s="11">
        <v>45820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137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0.48333333333333334</v>
      </c>
      <c r="M3" s="4">
        <v>182</v>
      </c>
      <c r="N3" s="4">
        <v>8</v>
      </c>
      <c r="O3" s="4">
        <v>789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0.52569444444444446</v>
      </c>
      <c r="U3" s="4">
        <v>208</v>
      </c>
      <c r="V3" s="4">
        <v>7</v>
      </c>
      <c r="W3" s="4">
        <v>722</v>
      </c>
      <c r="X3" s="4">
        <v>0</v>
      </c>
      <c r="Y3" s="4">
        <v>0</v>
      </c>
      <c r="Z3" s="4"/>
    </row>
    <row r="4" spans="1:26" x14ac:dyDescent="0.25">
      <c r="A4" s="11">
        <v>45820</v>
      </c>
      <c r="B4" s="4" t="s">
        <v>61</v>
      </c>
      <c r="C4" s="4" t="s">
        <v>35</v>
      </c>
      <c r="D4" s="4" t="s">
        <v>138</v>
      </c>
      <c r="E4" s="4" t="s">
        <v>129</v>
      </c>
      <c r="F4" s="4" t="s">
        <v>35</v>
      </c>
      <c r="G4" s="4" t="s">
        <v>42</v>
      </c>
      <c r="H4" s="4" t="s">
        <v>130</v>
      </c>
      <c r="I4" s="4">
        <v>930</v>
      </c>
      <c r="J4" s="4" t="s">
        <v>42</v>
      </c>
      <c r="K4" s="9">
        <v>0.47916666666666669</v>
      </c>
      <c r="L4" s="10">
        <v>0.47013888888888888</v>
      </c>
      <c r="M4" s="4" t="s">
        <v>43</v>
      </c>
      <c r="N4" s="4">
        <v>0</v>
      </c>
      <c r="O4" s="4">
        <v>0</v>
      </c>
      <c r="P4" s="4">
        <v>0</v>
      </c>
      <c r="Q4" s="4">
        <v>0</v>
      </c>
      <c r="R4" s="4" t="s">
        <v>42</v>
      </c>
      <c r="S4" s="9">
        <v>0.5</v>
      </c>
      <c r="T4" s="10">
        <v>0.48958333333333331</v>
      </c>
      <c r="U4" s="4" t="s">
        <v>43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11">
        <v>45820</v>
      </c>
      <c r="B5" s="4" t="s">
        <v>139</v>
      </c>
      <c r="C5" s="4" t="s">
        <v>35</v>
      </c>
      <c r="D5" s="4" t="s">
        <v>140</v>
      </c>
      <c r="E5" s="4" t="s">
        <v>141</v>
      </c>
      <c r="F5" s="4" t="s">
        <v>35</v>
      </c>
      <c r="G5" s="4" t="s">
        <v>142</v>
      </c>
      <c r="H5" s="4" t="s">
        <v>109</v>
      </c>
      <c r="I5" s="4">
        <v>8000</v>
      </c>
      <c r="J5" s="4" t="s">
        <v>143</v>
      </c>
      <c r="K5" s="9">
        <v>0.58333333333333337</v>
      </c>
      <c r="L5" s="10">
        <v>0.57777777777777783</v>
      </c>
      <c r="M5" s="4" t="s">
        <v>43</v>
      </c>
      <c r="N5" s="4">
        <v>0</v>
      </c>
      <c r="O5" s="4">
        <v>0</v>
      </c>
      <c r="P5" s="4">
        <v>0</v>
      </c>
      <c r="Q5" s="4">
        <v>0</v>
      </c>
      <c r="R5" s="4" t="s">
        <v>143</v>
      </c>
      <c r="S5" s="9">
        <v>0.60416666666666663</v>
      </c>
      <c r="T5" s="10">
        <v>0.59513888888888888</v>
      </c>
      <c r="U5" s="4">
        <v>2</v>
      </c>
      <c r="V5" s="4">
        <v>0</v>
      </c>
      <c r="W5" s="4">
        <v>0</v>
      </c>
      <c r="X5" s="4">
        <v>0</v>
      </c>
      <c r="Y5" s="4">
        <v>0</v>
      </c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A4F6-735B-46DB-839D-46C02764F05D}">
  <dimension ref="A1:Y20"/>
  <sheetViews>
    <sheetView workbookViewId="0">
      <selection activeCell="C19" sqref="C19"/>
    </sheetView>
  </sheetViews>
  <sheetFormatPr defaultRowHeight="15" x14ac:dyDescent="0.25"/>
  <cols>
    <col min="1" max="1" width="12.42578125" bestFit="1" customWidth="1"/>
    <col min="2" max="2" width="25.140625" customWidth="1"/>
    <col min="4" max="4" width="18.140625" customWidth="1"/>
    <col min="5" max="5" width="18.85546875" customWidth="1"/>
    <col min="6" max="6" width="9.42578125" bestFit="1" customWidth="1"/>
    <col min="8" max="8" width="16.8554687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5" ht="25.5" x14ac:dyDescent="0.25">
      <c r="A1" s="13" t="s">
        <v>0</v>
      </c>
      <c r="B1" s="13" t="s">
        <v>1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6">
        <v>45821</v>
      </c>
      <c r="B2" s="4" t="s">
        <v>86</v>
      </c>
      <c r="C2" s="5" t="s">
        <v>87</v>
      </c>
      <c r="D2" s="18" t="s">
        <v>53</v>
      </c>
      <c r="E2" s="21" t="s">
        <v>16</v>
      </c>
      <c r="F2" s="18">
        <v>186</v>
      </c>
      <c r="G2" s="8" t="s">
        <v>148</v>
      </c>
      <c r="H2" s="5" t="s">
        <v>17</v>
      </c>
      <c r="I2" s="8">
        <v>71500</v>
      </c>
      <c r="J2" s="10" t="s">
        <v>88</v>
      </c>
      <c r="K2" s="9">
        <v>0.36805555555555558</v>
      </c>
      <c r="L2" s="10">
        <v>0.34722222222222227</v>
      </c>
      <c r="M2" s="22">
        <v>108</v>
      </c>
      <c r="N2" s="4">
        <v>2</v>
      </c>
      <c r="O2" s="4">
        <v>1178</v>
      </c>
      <c r="P2" s="4">
        <v>0</v>
      </c>
      <c r="Q2" s="4">
        <v>0</v>
      </c>
      <c r="R2" s="4" t="s">
        <v>89</v>
      </c>
      <c r="S2" s="9">
        <v>0.4236111111111111</v>
      </c>
      <c r="T2" s="10">
        <v>0.43333333333333335</v>
      </c>
      <c r="U2" s="22">
        <v>131</v>
      </c>
      <c r="V2" s="4">
        <v>4</v>
      </c>
      <c r="W2" s="4">
        <v>1318</v>
      </c>
      <c r="X2" s="4">
        <v>0</v>
      </c>
      <c r="Y2" s="4">
        <v>0</v>
      </c>
    </row>
    <row r="3" spans="1:25" x14ac:dyDescent="0.25">
      <c r="A3" s="6">
        <v>45821</v>
      </c>
      <c r="B3" s="4" t="s">
        <v>13</v>
      </c>
      <c r="C3" s="17" t="s">
        <v>14</v>
      </c>
      <c r="D3" s="4" t="s">
        <v>15</v>
      </c>
      <c r="E3" s="4" t="s">
        <v>16</v>
      </c>
      <c r="F3" s="4">
        <v>186</v>
      </c>
      <c r="G3" s="4" t="s">
        <v>75</v>
      </c>
      <c r="H3" s="18" t="s">
        <v>17</v>
      </c>
      <c r="I3" s="8">
        <v>71500</v>
      </c>
      <c r="J3" s="4" t="s">
        <v>18</v>
      </c>
      <c r="K3" s="9">
        <v>0.3923611111111111</v>
      </c>
      <c r="L3" s="10">
        <v>0.38472222222222219</v>
      </c>
      <c r="M3" s="4">
        <v>169</v>
      </c>
      <c r="N3" s="4">
        <v>4</v>
      </c>
      <c r="O3" s="4">
        <v>249</v>
      </c>
      <c r="P3" s="4">
        <v>0</v>
      </c>
      <c r="Q3" s="4">
        <v>0</v>
      </c>
      <c r="R3" s="4" t="s">
        <v>29</v>
      </c>
      <c r="S3" s="9">
        <v>0.41319444444444442</v>
      </c>
      <c r="T3" s="10">
        <v>0.4548611111111111</v>
      </c>
      <c r="U3" s="4">
        <v>169</v>
      </c>
      <c r="V3" s="4">
        <v>3</v>
      </c>
      <c r="W3" s="4">
        <v>619</v>
      </c>
      <c r="X3" s="4">
        <v>0</v>
      </c>
      <c r="Y3" s="4">
        <v>0</v>
      </c>
    </row>
    <row r="4" spans="1:25" x14ac:dyDescent="0.25">
      <c r="A4" s="6">
        <v>45821</v>
      </c>
      <c r="B4" s="4" t="s">
        <v>13</v>
      </c>
      <c r="C4" s="17" t="s">
        <v>14</v>
      </c>
      <c r="D4" s="4" t="s">
        <v>30</v>
      </c>
      <c r="E4" s="18" t="s">
        <v>16</v>
      </c>
      <c r="F4" s="4">
        <v>180</v>
      </c>
      <c r="G4" s="4" t="s">
        <v>135</v>
      </c>
      <c r="H4" s="18" t="s">
        <v>17</v>
      </c>
      <c r="I4" s="8">
        <v>71500</v>
      </c>
      <c r="J4" s="4" t="s">
        <v>32</v>
      </c>
      <c r="K4" s="9">
        <v>0.49652777777777773</v>
      </c>
      <c r="L4" s="10">
        <v>0.48472222222222222</v>
      </c>
      <c r="M4" s="4">
        <v>174</v>
      </c>
      <c r="N4" s="4">
        <v>6</v>
      </c>
      <c r="O4" s="4">
        <v>710</v>
      </c>
      <c r="P4" s="4">
        <v>0</v>
      </c>
      <c r="Q4" s="4">
        <v>0</v>
      </c>
      <c r="R4" s="4" t="s">
        <v>33</v>
      </c>
      <c r="S4" s="9">
        <v>0.51736111111111105</v>
      </c>
      <c r="T4" s="10">
        <v>0.52777777777777779</v>
      </c>
      <c r="U4" s="4">
        <v>173</v>
      </c>
      <c r="V4" s="4">
        <v>3</v>
      </c>
      <c r="W4" s="4">
        <v>790</v>
      </c>
      <c r="X4" s="4">
        <v>0</v>
      </c>
      <c r="Y4" s="4">
        <v>0</v>
      </c>
    </row>
    <row r="5" spans="1:25" x14ac:dyDescent="0.25">
      <c r="A5" s="6">
        <v>45821</v>
      </c>
      <c r="B5" s="4" t="s">
        <v>46</v>
      </c>
      <c r="C5" s="4" t="s">
        <v>47</v>
      </c>
      <c r="D5" s="18" t="s">
        <v>48</v>
      </c>
      <c r="E5" s="4" t="s">
        <v>16</v>
      </c>
      <c r="F5" s="4">
        <v>180</v>
      </c>
      <c r="G5" s="8" t="s">
        <v>149</v>
      </c>
      <c r="H5" s="18" t="s">
        <v>17</v>
      </c>
      <c r="I5" s="8">
        <v>71500</v>
      </c>
      <c r="J5" s="10" t="s">
        <v>49</v>
      </c>
      <c r="K5" s="9">
        <v>0.5</v>
      </c>
      <c r="L5" s="10">
        <v>0.51666666666666672</v>
      </c>
      <c r="M5" s="4">
        <v>165</v>
      </c>
      <c r="N5" s="4">
        <v>1</v>
      </c>
      <c r="O5" s="4">
        <v>577</v>
      </c>
      <c r="P5" s="4">
        <v>0</v>
      </c>
      <c r="Q5" s="4">
        <v>0</v>
      </c>
      <c r="R5" s="4" t="s">
        <v>50</v>
      </c>
      <c r="S5" s="9">
        <v>0.52083333333333337</v>
      </c>
      <c r="T5" s="10">
        <v>0.5541666666666667</v>
      </c>
      <c r="U5" s="4">
        <v>167</v>
      </c>
      <c r="V5" s="4">
        <v>3</v>
      </c>
      <c r="W5" s="4">
        <v>767</v>
      </c>
      <c r="X5" s="4">
        <v>0</v>
      </c>
      <c r="Y5" s="4">
        <v>0</v>
      </c>
    </row>
    <row r="6" spans="1:25" s="27" customFormat="1" x14ac:dyDescent="0.25">
      <c r="A6" s="6">
        <v>45821</v>
      </c>
      <c r="B6" s="4" t="s">
        <v>144</v>
      </c>
      <c r="C6" s="4" t="s">
        <v>35</v>
      </c>
      <c r="D6" s="4" t="s">
        <v>152</v>
      </c>
      <c r="E6" s="4" t="s">
        <v>151</v>
      </c>
      <c r="F6" s="4" t="s">
        <v>35</v>
      </c>
      <c r="G6" s="4" t="s">
        <v>150</v>
      </c>
      <c r="H6" s="18" t="s">
        <v>109</v>
      </c>
      <c r="I6" s="8">
        <v>16000</v>
      </c>
      <c r="J6" s="4" t="s">
        <v>160</v>
      </c>
      <c r="K6" s="9">
        <v>0.44097222222222227</v>
      </c>
      <c r="L6" s="10">
        <v>0.4375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 t="s">
        <v>160</v>
      </c>
      <c r="S6" s="9">
        <v>0.4826388888888889</v>
      </c>
      <c r="T6" s="10">
        <v>0.46111111111111108</v>
      </c>
      <c r="U6" s="4">
        <v>1</v>
      </c>
      <c r="V6" s="4">
        <v>0</v>
      </c>
      <c r="W6" s="4">
        <v>0</v>
      </c>
      <c r="X6" s="4">
        <v>0</v>
      </c>
      <c r="Y6" s="4">
        <v>0</v>
      </c>
    </row>
    <row r="7" spans="1:25" s="27" customFormat="1" x14ac:dyDescent="0.25">
      <c r="A7" s="6">
        <v>45821</v>
      </c>
      <c r="B7" s="4" t="s">
        <v>117</v>
      </c>
      <c r="C7" s="4" t="s">
        <v>131</v>
      </c>
      <c r="D7" s="4" t="s">
        <v>118</v>
      </c>
      <c r="E7" s="4" t="s">
        <v>16</v>
      </c>
      <c r="F7" s="4">
        <v>180</v>
      </c>
      <c r="G7" s="4" t="s">
        <v>145</v>
      </c>
      <c r="H7" s="18" t="s">
        <v>120</v>
      </c>
      <c r="I7" s="8">
        <v>71500</v>
      </c>
      <c r="J7" s="4" t="s">
        <v>146</v>
      </c>
      <c r="K7" s="9">
        <v>0.375</v>
      </c>
      <c r="L7" s="10">
        <v>0.36041666666666666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 t="s">
        <v>147</v>
      </c>
      <c r="S7" s="9">
        <v>0.41666666666666669</v>
      </c>
      <c r="T7" s="10">
        <v>0.4291666666666667</v>
      </c>
      <c r="U7" s="4">
        <v>178</v>
      </c>
      <c r="V7" s="4">
        <v>3</v>
      </c>
      <c r="W7" s="4">
        <v>2161</v>
      </c>
      <c r="X7" s="4">
        <v>0</v>
      </c>
      <c r="Y7" s="4">
        <v>0</v>
      </c>
    </row>
    <row r="8" spans="1:25" x14ac:dyDescent="0.25">
      <c r="A8" s="6">
        <v>45821</v>
      </c>
      <c r="B8" s="4" t="s">
        <v>153</v>
      </c>
      <c r="C8" s="4" t="s">
        <v>35</v>
      </c>
      <c r="D8" s="4" t="s">
        <v>154</v>
      </c>
      <c r="E8" s="4" t="s">
        <v>66</v>
      </c>
      <c r="F8" s="4" t="s">
        <v>35</v>
      </c>
      <c r="G8" s="4" t="s">
        <v>64</v>
      </c>
      <c r="H8" s="4" t="s">
        <v>65</v>
      </c>
      <c r="I8" s="4">
        <v>930</v>
      </c>
      <c r="J8" s="4" t="s">
        <v>63</v>
      </c>
      <c r="K8" s="9">
        <v>0.66666666666666663</v>
      </c>
      <c r="L8" s="10">
        <v>0.6875</v>
      </c>
      <c r="M8" s="4" t="s">
        <v>43</v>
      </c>
      <c r="N8" s="4">
        <v>0</v>
      </c>
      <c r="O8" s="4">
        <v>0</v>
      </c>
      <c r="P8" s="4">
        <v>0</v>
      </c>
      <c r="Q8" s="4">
        <v>0</v>
      </c>
      <c r="R8" s="4" t="s">
        <v>63</v>
      </c>
      <c r="S8" s="31" t="s">
        <v>84</v>
      </c>
      <c r="T8" s="4" t="s">
        <v>84</v>
      </c>
      <c r="U8" s="4" t="s">
        <v>85</v>
      </c>
      <c r="V8" s="4" t="s">
        <v>85</v>
      </c>
      <c r="W8" s="4" t="s">
        <v>85</v>
      </c>
      <c r="X8" s="4">
        <v>0</v>
      </c>
      <c r="Y8" s="4">
        <v>0</v>
      </c>
    </row>
    <row r="9" spans="1:25" x14ac:dyDescent="0.25">
      <c r="A9" s="6">
        <v>45821</v>
      </c>
      <c r="B9" s="4" t="s">
        <v>153</v>
      </c>
      <c r="C9" s="4" t="s">
        <v>35</v>
      </c>
      <c r="D9" s="4" t="s">
        <v>154</v>
      </c>
      <c r="E9" s="4" t="s">
        <v>155</v>
      </c>
      <c r="F9" s="4" t="s">
        <v>35</v>
      </c>
      <c r="G9" s="4" t="s">
        <v>42</v>
      </c>
      <c r="H9" s="4" t="s">
        <v>157</v>
      </c>
      <c r="I9" s="4">
        <v>1045</v>
      </c>
      <c r="J9" s="4" t="s">
        <v>158</v>
      </c>
      <c r="K9" s="9">
        <v>0.63194444444444442</v>
      </c>
      <c r="L9" s="10">
        <v>0.69791666666666663</v>
      </c>
      <c r="M9" s="4" t="s">
        <v>43</v>
      </c>
      <c r="N9" s="4">
        <v>0</v>
      </c>
      <c r="O9" s="4">
        <v>0</v>
      </c>
      <c r="P9" s="4">
        <v>0</v>
      </c>
      <c r="Q9" s="4">
        <v>0</v>
      </c>
      <c r="R9" s="4" t="s">
        <v>158</v>
      </c>
      <c r="S9" s="31" t="s">
        <v>84</v>
      </c>
      <c r="T9" s="4" t="s">
        <v>84</v>
      </c>
      <c r="U9" s="4" t="s">
        <v>85</v>
      </c>
      <c r="V9" s="4" t="s">
        <v>85</v>
      </c>
      <c r="W9" s="4" t="s">
        <v>85</v>
      </c>
      <c r="X9" s="4">
        <v>0</v>
      </c>
      <c r="Y9" s="4">
        <v>0</v>
      </c>
    </row>
    <row r="10" spans="1:25" x14ac:dyDescent="0.25">
      <c r="A10" s="6">
        <v>45821</v>
      </c>
      <c r="B10" s="4" t="s">
        <v>153</v>
      </c>
      <c r="C10" s="4" t="s">
        <v>35</v>
      </c>
      <c r="D10" s="4" t="s">
        <v>154</v>
      </c>
      <c r="E10" s="4" t="s">
        <v>129</v>
      </c>
      <c r="F10" s="4" t="s">
        <v>35</v>
      </c>
      <c r="G10" s="4" t="s">
        <v>156</v>
      </c>
      <c r="H10" s="4" t="s">
        <v>157</v>
      </c>
      <c r="I10" s="4">
        <v>1089</v>
      </c>
      <c r="J10" s="4" t="s">
        <v>159</v>
      </c>
      <c r="K10" s="9">
        <v>0.63541666666666663</v>
      </c>
      <c r="L10" s="10">
        <v>0.69652777777777775</v>
      </c>
      <c r="M10" s="4" t="s">
        <v>43</v>
      </c>
      <c r="N10" s="4">
        <v>0</v>
      </c>
      <c r="O10" s="4">
        <v>0</v>
      </c>
      <c r="P10" s="4">
        <v>0</v>
      </c>
      <c r="Q10" s="4">
        <v>0</v>
      </c>
      <c r="R10" s="4" t="s">
        <v>159</v>
      </c>
      <c r="S10" s="31" t="s">
        <v>84</v>
      </c>
      <c r="T10" s="4" t="s">
        <v>84</v>
      </c>
      <c r="U10" s="4" t="s">
        <v>85</v>
      </c>
      <c r="V10" s="4" t="s">
        <v>85</v>
      </c>
      <c r="W10" s="4" t="s">
        <v>85</v>
      </c>
      <c r="X10" s="4">
        <v>0</v>
      </c>
      <c r="Y10" s="4">
        <v>0</v>
      </c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8E59-F3EA-40DF-B6A4-B22215B00897}">
  <dimension ref="A1:Z14"/>
  <sheetViews>
    <sheetView workbookViewId="0">
      <selection sqref="A1:XFD1048576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5" max="5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45822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183</v>
      </c>
      <c r="G2" s="4" t="s">
        <v>161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0.38819444444444445</v>
      </c>
      <c r="M2" s="4">
        <v>182</v>
      </c>
      <c r="N2" s="4">
        <v>2</v>
      </c>
      <c r="O2" s="4">
        <v>587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0.43402777777777773</v>
      </c>
      <c r="U2" s="4">
        <v>180</v>
      </c>
      <c r="V2" s="4">
        <v>3</v>
      </c>
      <c r="W2" s="4">
        <v>752</v>
      </c>
      <c r="X2" s="4">
        <v>0</v>
      </c>
      <c r="Y2" s="4">
        <v>0</v>
      </c>
      <c r="Z2" s="4"/>
    </row>
    <row r="3" spans="1:26" x14ac:dyDescent="0.25">
      <c r="A3" s="11">
        <v>45822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116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0.47847222222222219</v>
      </c>
      <c r="M3" s="4">
        <v>225</v>
      </c>
      <c r="N3" s="4">
        <v>6</v>
      </c>
      <c r="O3" s="4">
        <v>830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0.53680555555555554</v>
      </c>
      <c r="U3" s="4">
        <v>215</v>
      </c>
      <c r="V3" s="4">
        <v>1</v>
      </c>
      <c r="W3" s="4">
        <v>905</v>
      </c>
      <c r="X3" s="4">
        <v>0</v>
      </c>
      <c r="Y3" s="4">
        <v>0</v>
      </c>
      <c r="Z3" s="4"/>
    </row>
    <row r="4" spans="1:26" x14ac:dyDescent="0.25">
      <c r="A4" s="11">
        <v>45822</v>
      </c>
      <c r="B4" s="4" t="s">
        <v>153</v>
      </c>
      <c r="C4" s="4" t="s">
        <v>35</v>
      </c>
      <c r="D4" s="4" t="s">
        <v>162</v>
      </c>
      <c r="E4" s="4" t="s">
        <v>66</v>
      </c>
      <c r="F4" s="4" t="s">
        <v>35</v>
      </c>
      <c r="G4" s="4" t="s">
        <v>64</v>
      </c>
      <c r="H4" s="4" t="s">
        <v>65</v>
      </c>
      <c r="I4" s="4">
        <v>930</v>
      </c>
      <c r="J4" s="4" t="s">
        <v>63</v>
      </c>
      <c r="K4" s="9" t="s">
        <v>163</v>
      </c>
      <c r="L4" s="10" t="s">
        <v>163</v>
      </c>
      <c r="M4" s="4" t="s">
        <v>43</v>
      </c>
      <c r="N4" s="4">
        <v>0</v>
      </c>
      <c r="O4" s="4">
        <v>0</v>
      </c>
      <c r="P4" s="4">
        <v>0</v>
      </c>
      <c r="Q4" s="4">
        <v>0</v>
      </c>
      <c r="R4" s="4" t="s">
        <v>63</v>
      </c>
      <c r="S4" s="9">
        <v>0.37847222222222227</v>
      </c>
      <c r="T4" s="10">
        <v>0.37847222222222227</v>
      </c>
      <c r="U4" s="4" t="s">
        <v>43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11">
        <v>45822</v>
      </c>
      <c r="B5" s="4" t="s">
        <v>153</v>
      </c>
      <c r="C5" s="4" t="s">
        <v>35</v>
      </c>
      <c r="D5" s="4" t="s">
        <v>162</v>
      </c>
      <c r="E5" s="4" t="s">
        <v>155</v>
      </c>
      <c r="F5" s="4" t="s">
        <v>35</v>
      </c>
      <c r="G5" s="4" t="s">
        <v>42</v>
      </c>
      <c r="H5" s="4" t="s">
        <v>157</v>
      </c>
      <c r="I5" s="4">
        <v>1045</v>
      </c>
      <c r="J5" s="4" t="s">
        <v>158</v>
      </c>
      <c r="K5" s="9" t="s">
        <v>163</v>
      </c>
      <c r="L5" s="10" t="s">
        <v>163</v>
      </c>
      <c r="M5" s="4" t="s">
        <v>43</v>
      </c>
      <c r="N5" s="4">
        <v>0</v>
      </c>
      <c r="O5" s="4">
        <v>0</v>
      </c>
      <c r="P5" s="4">
        <v>0</v>
      </c>
      <c r="Q5" s="4">
        <v>0</v>
      </c>
      <c r="R5" s="4" t="s">
        <v>158</v>
      </c>
      <c r="S5" s="9">
        <v>0.38194444444444442</v>
      </c>
      <c r="T5" s="10">
        <v>0.38194444444444442</v>
      </c>
      <c r="U5" s="4" t="s">
        <v>43</v>
      </c>
      <c r="V5" s="4">
        <v>0</v>
      </c>
      <c r="W5" s="4">
        <v>0</v>
      </c>
      <c r="X5" s="4">
        <v>0</v>
      </c>
      <c r="Y5" s="4">
        <v>0</v>
      </c>
      <c r="Z5" s="4"/>
    </row>
    <row r="6" spans="1:26" x14ac:dyDescent="0.25">
      <c r="A6" s="11">
        <v>45822</v>
      </c>
      <c r="B6" s="4" t="s">
        <v>153</v>
      </c>
      <c r="C6" s="4" t="s">
        <v>35</v>
      </c>
      <c r="D6" s="4" t="s">
        <v>162</v>
      </c>
      <c r="E6" s="4" t="s">
        <v>129</v>
      </c>
      <c r="F6" s="4" t="s">
        <v>35</v>
      </c>
      <c r="G6" s="4" t="s">
        <v>156</v>
      </c>
      <c r="H6" s="4" t="s">
        <v>157</v>
      </c>
      <c r="I6" s="4">
        <v>1089</v>
      </c>
      <c r="J6" s="4" t="s">
        <v>159</v>
      </c>
      <c r="K6" s="9" t="s">
        <v>163</v>
      </c>
      <c r="L6" s="10" t="s">
        <v>163</v>
      </c>
      <c r="M6" s="4" t="s">
        <v>43</v>
      </c>
      <c r="N6" s="4">
        <v>0</v>
      </c>
      <c r="O6" s="4">
        <v>0</v>
      </c>
      <c r="P6" s="4">
        <v>0</v>
      </c>
      <c r="Q6" s="4">
        <v>0</v>
      </c>
      <c r="R6" s="4" t="s">
        <v>159</v>
      </c>
      <c r="S6" s="9">
        <v>0.38541666666666669</v>
      </c>
      <c r="T6" s="10">
        <v>0.38541666666666669</v>
      </c>
      <c r="U6" s="4" t="s">
        <v>43</v>
      </c>
      <c r="V6" s="4">
        <v>0</v>
      </c>
      <c r="W6" s="4">
        <v>0</v>
      </c>
      <c r="X6" s="4">
        <v>0</v>
      </c>
      <c r="Y6" s="4">
        <v>0</v>
      </c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84A2-CA2F-4C1D-BB34-94DA24C2FC2C}">
  <dimension ref="A1:Y5"/>
  <sheetViews>
    <sheetView workbookViewId="0">
      <selection activeCell="B4" sqref="B4:Y4"/>
    </sheetView>
  </sheetViews>
  <sheetFormatPr defaultRowHeight="15" x14ac:dyDescent="0.25"/>
  <cols>
    <col min="4" max="4" width="14" bestFit="1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45823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161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0.39583333333333331</v>
      </c>
      <c r="M2" s="4">
        <v>180</v>
      </c>
      <c r="N2" s="4">
        <v>5</v>
      </c>
      <c r="O2" s="4">
        <v>817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0.43541666666666662</v>
      </c>
      <c r="U2" s="4">
        <v>180</v>
      </c>
      <c r="V2" s="4">
        <v>0</v>
      </c>
      <c r="W2" s="4">
        <v>473</v>
      </c>
      <c r="X2" s="4">
        <v>0</v>
      </c>
      <c r="Y2" s="4">
        <v>0</v>
      </c>
    </row>
    <row r="3" spans="1:25" x14ac:dyDescent="0.25">
      <c r="A3" s="11">
        <v>45823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186</v>
      </c>
      <c r="G3" s="4" t="s">
        <v>164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0.45347222222222222</v>
      </c>
      <c r="M3" s="4">
        <v>173</v>
      </c>
      <c r="N3" s="4">
        <v>6</v>
      </c>
      <c r="O3" s="4">
        <v>1108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0.48888888888888887</v>
      </c>
      <c r="U3" s="4">
        <v>170</v>
      </c>
      <c r="V3" s="4">
        <v>3</v>
      </c>
      <c r="W3" s="4">
        <v>679</v>
      </c>
      <c r="X3" s="4">
        <v>0</v>
      </c>
      <c r="Y3" s="4">
        <v>0</v>
      </c>
    </row>
    <row r="4" spans="1:25" x14ac:dyDescent="0.25">
      <c r="A4" s="11">
        <v>45823</v>
      </c>
      <c r="B4" s="4" t="s">
        <v>13</v>
      </c>
      <c r="C4" s="17" t="s">
        <v>14</v>
      </c>
      <c r="D4" s="4" t="s">
        <v>168</v>
      </c>
      <c r="E4" s="18" t="s">
        <v>68</v>
      </c>
      <c r="F4" s="4">
        <v>230</v>
      </c>
      <c r="G4" s="4" t="s">
        <v>165</v>
      </c>
      <c r="H4" s="18" t="s">
        <v>17</v>
      </c>
      <c r="I4" s="8">
        <v>89000</v>
      </c>
      <c r="J4" s="4" t="s">
        <v>166</v>
      </c>
      <c r="K4" s="9">
        <v>0.62847222222222221</v>
      </c>
      <c r="L4" s="10">
        <v>0.61875000000000002</v>
      </c>
      <c r="M4" s="4">
        <v>104</v>
      </c>
      <c r="N4" s="4">
        <v>3</v>
      </c>
      <c r="O4" s="4">
        <v>354</v>
      </c>
      <c r="P4" s="4">
        <v>0</v>
      </c>
      <c r="Q4" s="4">
        <v>0</v>
      </c>
      <c r="R4" s="4" t="s">
        <v>167</v>
      </c>
      <c r="S4" s="9">
        <v>0.65277777777777779</v>
      </c>
      <c r="T4" s="10">
        <v>0.66388888888888886</v>
      </c>
      <c r="U4" s="4">
        <v>119</v>
      </c>
      <c r="V4" s="4">
        <v>3</v>
      </c>
      <c r="W4" s="4">
        <v>254</v>
      </c>
      <c r="X4" s="4">
        <v>0</v>
      </c>
      <c r="Y4" s="4">
        <v>0</v>
      </c>
    </row>
    <row r="5" spans="1:25" x14ac:dyDescent="0.25">
      <c r="A5" s="11"/>
      <c r="B5" s="4"/>
      <c r="C5" s="17"/>
      <c r="D5" s="4"/>
      <c r="E5" s="18"/>
      <c r="F5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5840-18E5-45BE-94C6-2CAA1848392B}">
  <dimension ref="A1:Z24"/>
  <sheetViews>
    <sheetView topLeftCell="B1" workbookViewId="0">
      <selection sqref="A1:Y6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8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23"/>
    </row>
    <row r="2" spans="1:26" x14ac:dyDescent="0.25">
      <c r="A2" s="11">
        <v>45824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169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0.3840277777777778</v>
      </c>
      <c r="M2" s="4">
        <v>167</v>
      </c>
      <c r="N2" s="4">
        <v>4</v>
      </c>
      <c r="O2" s="4">
        <v>666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0.42222222222222222</v>
      </c>
      <c r="U2" s="4">
        <v>163</v>
      </c>
      <c r="V2" s="4">
        <v>2</v>
      </c>
      <c r="W2" s="4">
        <v>308</v>
      </c>
      <c r="X2" s="4">
        <v>0</v>
      </c>
      <c r="Y2" s="4">
        <v>0</v>
      </c>
      <c r="Z2" s="23"/>
    </row>
    <row r="3" spans="1:26" x14ac:dyDescent="0.25">
      <c r="A3" s="11">
        <f>A2</f>
        <v>45824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180</v>
      </c>
      <c r="G3" s="4" t="s">
        <v>170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0.46388888888888885</v>
      </c>
      <c r="M3" s="4">
        <v>173</v>
      </c>
      <c r="N3" s="4">
        <v>5</v>
      </c>
      <c r="O3" s="4">
        <v>494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0.50694444444444442</v>
      </c>
      <c r="U3" s="4">
        <v>149</v>
      </c>
      <c r="V3" s="4">
        <v>2</v>
      </c>
      <c r="W3" s="4">
        <v>1028</v>
      </c>
      <c r="X3" s="4">
        <v>0</v>
      </c>
      <c r="Y3" s="4">
        <v>0</v>
      </c>
      <c r="Z3" s="23"/>
    </row>
    <row r="4" spans="1:26" x14ac:dyDescent="0.25">
      <c r="A4" s="11">
        <f>A3</f>
        <v>45824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186</v>
      </c>
      <c r="G4" s="8" t="s">
        <v>136</v>
      </c>
      <c r="H4" s="18" t="s">
        <v>17</v>
      </c>
      <c r="I4" s="8">
        <v>71500</v>
      </c>
      <c r="J4" s="10" t="s">
        <v>49</v>
      </c>
      <c r="K4" s="9">
        <v>0.5</v>
      </c>
      <c r="L4" s="10">
        <v>0.51597222222222217</v>
      </c>
      <c r="M4" s="4">
        <v>139</v>
      </c>
      <c r="N4" s="4">
        <v>7</v>
      </c>
      <c r="O4" s="4">
        <v>475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0.54583333333333328</v>
      </c>
      <c r="U4" s="4">
        <v>165</v>
      </c>
      <c r="V4" s="4">
        <v>1</v>
      </c>
      <c r="W4" s="4">
        <v>559</v>
      </c>
      <c r="X4" s="4">
        <v>0</v>
      </c>
      <c r="Y4" s="4">
        <v>0</v>
      </c>
      <c r="Z4" s="23"/>
    </row>
    <row r="5" spans="1:26" x14ac:dyDescent="0.25">
      <c r="A5" s="11">
        <f>A4</f>
        <v>45824</v>
      </c>
      <c r="B5" s="4" t="s">
        <v>51</v>
      </c>
      <c r="C5" s="5" t="s">
        <v>52</v>
      </c>
      <c r="D5" s="18" t="s">
        <v>53</v>
      </c>
      <c r="E5" s="21" t="s">
        <v>114</v>
      </c>
      <c r="F5" s="18">
        <v>186</v>
      </c>
      <c r="G5" s="8" t="s">
        <v>174</v>
      </c>
      <c r="H5" s="18" t="s">
        <v>17</v>
      </c>
      <c r="I5" s="8">
        <v>79000</v>
      </c>
      <c r="J5" s="10" t="s">
        <v>55</v>
      </c>
      <c r="K5" s="9">
        <v>0.56597222222222221</v>
      </c>
      <c r="L5" s="10">
        <v>0.56111111111111112</v>
      </c>
      <c r="M5" s="22">
        <v>76</v>
      </c>
      <c r="N5" s="4">
        <v>1</v>
      </c>
      <c r="O5" s="4">
        <v>1104</v>
      </c>
      <c r="P5" s="4">
        <v>0</v>
      </c>
      <c r="Q5" s="4">
        <v>0</v>
      </c>
      <c r="R5" s="4" t="s">
        <v>56</v>
      </c>
      <c r="S5" s="9">
        <v>0.60763888888888895</v>
      </c>
      <c r="T5" s="10">
        <v>0.62569444444444444</v>
      </c>
      <c r="U5" s="4">
        <v>127</v>
      </c>
      <c r="V5" s="4">
        <v>3</v>
      </c>
      <c r="W5" s="4">
        <v>1469</v>
      </c>
      <c r="X5" s="4">
        <v>0</v>
      </c>
      <c r="Y5" s="4">
        <v>0</v>
      </c>
      <c r="Z5" s="23"/>
    </row>
    <row r="6" spans="1:26" x14ac:dyDescent="0.25">
      <c r="A6" s="11">
        <v>45824</v>
      </c>
      <c r="B6" s="4" t="s">
        <v>13</v>
      </c>
      <c r="C6" s="17" t="s">
        <v>14</v>
      </c>
      <c r="D6" s="4" t="s">
        <v>168</v>
      </c>
      <c r="E6" s="18" t="s">
        <v>68</v>
      </c>
      <c r="F6" s="4">
        <v>239</v>
      </c>
      <c r="G6" s="4" t="s">
        <v>175</v>
      </c>
      <c r="H6" s="18" t="s">
        <v>17</v>
      </c>
      <c r="I6" s="8">
        <v>89000</v>
      </c>
      <c r="J6" s="4" t="s">
        <v>166</v>
      </c>
      <c r="K6" s="9">
        <v>0.62847222222222221</v>
      </c>
      <c r="L6" s="10">
        <v>0.62291666666666667</v>
      </c>
      <c r="M6" s="4">
        <v>41</v>
      </c>
      <c r="N6" s="4">
        <v>1</v>
      </c>
      <c r="O6" s="4">
        <v>118</v>
      </c>
      <c r="P6" s="4">
        <v>0</v>
      </c>
      <c r="Q6" s="4">
        <v>0</v>
      </c>
      <c r="R6" s="4" t="s">
        <v>167</v>
      </c>
      <c r="S6" s="9">
        <v>0.65277777777777779</v>
      </c>
      <c r="T6" s="10">
        <v>0.66041666666666665</v>
      </c>
      <c r="U6" s="4">
        <v>36</v>
      </c>
      <c r="V6" s="4">
        <v>0</v>
      </c>
      <c r="W6" s="4">
        <v>83</v>
      </c>
      <c r="X6" s="4">
        <v>0</v>
      </c>
      <c r="Y6" s="4">
        <v>0</v>
      </c>
      <c r="Z6" s="23"/>
    </row>
    <row r="7" spans="1:26" x14ac:dyDescent="0.25">
      <c r="A7" s="11">
        <v>45824</v>
      </c>
      <c r="B7" s="4" t="s">
        <v>171</v>
      </c>
      <c r="C7" s="6" t="s">
        <v>85</v>
      </c>
      <c r="D7" s="4" t="s">
        <v>172</v>
      </c>
      <c r="E7" s="4" t="s">
        <v>129</v>
      </c>
      <c r="F7" s="4">
        <v>2</v>
      </c>
      <c r="G7" s="4" t="s">
        <v>173</v>
      </c>
      <c r="H7" s="4" t="s">
        <v>130</v>
      </c>
      <c r="I7" s="8">
        <v>1200</v>
      </c>
      <c r="J7" s="4" t="s">
        <v>85</v>
      </c>
      <c r="K7" s="9">
        <v>0.78125</v>
      </c>
      <c r="L7" s="10">
        <v>0.77777777777777779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 t="s">
        <v>85</v>
      </c>
      <c r="S7" s="9">
        <v>0.80208333333333337</v>
      </c>
      <c r="T7" s="10">
        <v>0.82708333333333339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6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6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6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6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26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26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26"/>
    </row>
    <row r="18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C9C9-1474-4C94-B94D-B8399A04CDE4}">
  <dimension ref="A1:Y5"/>
  <sheetViews>
    <sheetView workbookViewId="0">
      <selection sqref="A1:Y10"/>
    </sheetView>
  </sheetViews>
  <sheetFormatPr defaultRowHeight="15" x14ac:dyDescent="0.25"/>
  <cols>
    <col min="2" max="2" width="32.140625" customWidth="1"/>
    <col min="4" max="4" width="18" customWidth="1"/>
    <col min="8" max="8" width="13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45825</v>
      </c>
      <c r="B2" s="4" t="s">
        <v>46</v>
      </c>
      <c r="C2" s="17" t="s">
        <v>47</v>
      </c>
      <c r="D2" s="4" t="s">
        <v>30</v>
      </c>
      <c r="E2" s="18" t="s">
        <v>68</v>
      </c>
      <c r="F2" s="4">
        <v>239</v>
      </c>
      <c r="G2" s="4" t="s">
        <v>116</v>
      </c>
      <c r="H2" s="18" t="s">
        <v>17</v>
      </c>
      <c r="I2" s="8">
        <v>89000</v>
      </c>
      <c r="J2" s="4" t="s">
        <v>82</v>
      </c>
      <c r="K2" s="9">
        <v>0.4861111111111111</v>
      </c>
      <c r="L2" s="10">
        <v>0.49027777777777781</v>
      </c>
      <c r="M2" s="4">
        <v>171</v>
      </c>
      <c r="N2" s="4">
        <v>7</v>
      </c>
      <c r="O2" s="4">
        <v>824</v>
      </c>
      <c r="P2" s="4">
        <v>0</v>
      </c>
      <c r="Q2" s="4">
        <v>0</v>
      </c>
      <c r="R2" s="4" t="s">
        <v>82</v>
      </c>
      <c r="S2" s="9">
        <v>0.51388888888888895</v>
      </c>
      <c r="T2" s="10">
        <v>0.52222222222222225</v>
      </c>
      <c r="U2" s="4">
        <v>212</v>
      </c>
      <c r="V2" s="4">
        <v>5</v>
      </c>
      <c r="W2" s="4">
        <v>551</v>
      </c>
      <c r="X2" s="4">
        <v>0</v>
      </c>
      <c r="Y2" s="4">
        <v>0</v>
      </c>
    </row>
    <row r="3" spans="1:25" x14ac:dyDescent="0.25">
      <c r="A3" s="11">
        <v>45825</v>
      </c>
      <c r="B3" s="4" t="s">
        <v>117</v>
      </c>
      <c r="C3" s="4" t="s">
        <v>131</v>
      </c>
      <c r="D3" s="4" t="s">
        <v>118</v>
      </c>
      <c r="E3" s="4" t="s">
        <v>16</v>
      </c>
      <c r="F3" s="4">
        <v>180</v>
      </c>
      <c r="G3" s="4" t="s">
        <v>177</v>
      </c>
      <c r="H3" s="4" t="s">
        <v>120</v>
      </c>
      <c r="I3" s="8">
        <v>71500</v>
      </c>
      <c r="J3" s="4" t="s">
        <v>121</v>
      </c>
      <c r="K3" s="9">
        <v>0.33333333333333331</v>
      </c>
      <c r="L3" s="10">
        <v>0.32430555555555557</v>
      </c>
      <c r="M3" s="4">
        <v>124</v>
      </c>
      <c r="N3" s="4">
        <v>5</v>
      </c>
      <c r="O3" s="4">
        <v>1539</v>
      </c>
      <c r="P3" s="4">
        <v>0</v>
      </c>
      <c r="Q3" s="4">
        <v>0</v>
      </c>
      <c r="R3" s="4" t="s">
        <v>122</v>
      </c>
      <c r="S3" s="9">
        <v>0.375</v>
      </c>
      <c r="T3" s="10">
        <v>0.36805555555555558</v>
      </c>
      <c r="U3" s="4">
        <v>180</v>
      </c>
      <c r="V3" s="4">
        <v>1</v>
      </c>
      <c r="W3" s="4">
        <v>2080</v>
      </c>
      <c r="X3" s="4">
        <v>0</v>
      </c>
      <c r="Y3" s="4">
        <v>0</v>
      </c>
    </row>
    <row r="4" spans="1:25" x14ac:dyDescent="0.25">
      <c r="A4" s="11">
        <v>45825</v>
      </c>
      <c r="B4" s="4" t="s">
        <v>123</v>
      </c>
      <c r="C4" s="4" t="s">
        <v>132</v>
      </c>
      <c r="D4" s="4" t="s">
        <v>118</v>
      </c>
      <c r="E4" s="4" t="s">
        <v>124</v>
      </c>
      <c r="F4" s="4">
        <v>189</v>
      </c>
      <c r="G4" s="4" t="s">
        <v>178</v>
      </c>
      <c r="H4" s="4" t="s">
        <v>120</v>
      </c>
      <c r="I4" s="8">
        <v>80000</v>
      </c>
      <c r="J4" s="4" t="s">
        <v>126</v>
      </c>
      <c r="K4" s="9">
        <v>0.43402777777777773</v>
      </c>
      <c r="L4" s="10">
        <v>0.4284722222222222</v>
      </c>
      <c r="M4" s="4">
        <v>148</v>
      </c>
      <c r="N4" s="4">
        <v>8</v>
      </c>
      <c r="O4" s="4">
        <v>1898</v>
      </c>
      <c r="P4" s="4">
        <v>0</v>
      </c>
      <c r="Q4" s="4">
        <v>0</v>
      </c>
      <c r="R4" s="4" t="s">
        <v>127</v>
      </c>
      <c r="S4" s="9">
        <v>0.47569444444444442</v>
      </c>
      <c r="T4" s="10">
        <v>0.47500000000000003</v>
      </c>
      <c r="U4" s="4">
        <v>187</v>
      </c>
      <c r="V4" s="4">
        <v>5</v>
      </c>
      <c r="W4" s="4">
        <v>2097</v>
      </c>
      <c r="X4" s="4">
        <v>0</v>
      </c>
      <c r="Y4" s="4">
        <v>0</v>
      </c>
    </row>
    <row r="5" spans="1:25" x14ac:dyDescent="0.25">
      <c r="A5" s="11">
        <v>45825</v>
      </c>
      <c r="B5" s="4" t="s">
        <v>176</v>
      </c>
      <c r="C5" s="4" t="s">
        <v>35</v>
      </c>
      <c r="D5" s="4" t="s">
        <v>106</v>
      </c>
      <c r="E5" s="4" t="s">
        <v>107</v>
      </c>
      <c r="F5" s="4" t="s">
        <v>35</v>
      </c>
      <c r="G5" s="4" t="s">
        <v>108</v>
      </c>
      <c r="H5" s="18" t="s">
        <v>109</v>
      </c>
      <c r="I5" s="8">
        <v>21863</v>
      </c>
      <c r="J5" s="4" t="s">
        <v>110</v>
      </c>
      <c r="K5" s="9">
        <v>0.42708333333333331</v>
      </c>
      <c r="L5" s="10">
        <v>0.42291666666666666</v>
      </c>
      <c r="M5" s="4" t="s">
        <v>43</v>
      </c>
      <c r="N5" s="4">
        <v>0</v>
      </c>
      <c r="O5" s="4">
        <v>0</v>
      </c>
      <c r="P5" s="4">
        <v>0</v>
      </c>
      <c r="Q5" s="4">
        <v>0</v>
      </c>
      <c r="R5" s="4" t="s">
        <v>111</v>
      </c>
      <c r="S5" s="9">
        <v>0.46875</v>
      </c>
      <c r="T5" s="10">
        <v>0.4680555555555555</v>
      </c>
      <c r="U5" s="4">
        <v>2</v>
      </c>
      <c r="V5" s="4">
        <v>0</v>
      </c>
      <c r="W5" s="4">
        <v>0</v>
      </c>
      <c r="X5" s="4">
        <v>0</v>
      </c>
      <c r="Y5" s="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9E0-2675-4ED5-83BB-A8F894535470}">
  <dimension ref="A1:Y6"/>
  <sheetViews>
    <sheetView topLeftCell="O1" workbookViewId="0">
      <selection activeCell="A13" sqref="A1:AP13"/>
    </sheetView>
  </sheetViews>
  <sheetFormatPr defaultRowHeight="15" x14ac:dyDescent="0.25"/>
  <cols>
    <col min="2" max="2" width="23.42578125" customWidth="1"/>
    <col min="4" max="4" width="15.42578125" customWidth="1"/>
    <col min="8" max="8" width="18.140625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45826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135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0.37777777777777777</v>
      </c>
      <c r="M2" s="4">
        <v>165</v>
      </c>
      <c r="N2" s="4">
        <v>2</v>
      </c>
      <c r="O2" s="4">
        <v>583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0.4381944444444445</v>
      </c>
      <c r="U2" s="4">
        <v>170</v>
      </c>
      <c r="V2" s="4">
        <v>3</v>
      </c>
      <c r="W2" s="4">
        <v>435</v>
      </c>
      <c r="X2" s="4">
        <v>0</v>
      </c>
      <c r="Y2" s="4">
        <v>0</v>
      </c>
    </row>
    <row r="3" spans="1:25" x14ac:dyDescent="0.25">
      <c r="A3" s="11">
        <v>45826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186</v>
      </c>
      <c r="G3" s="4" t="s">
        <v>75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0.46111111111111108</v>
      </c>
      <c r="M3" s="4">
        <v>163</v>
      </c>
      <c r="N3" s="4">
        <v>3</v>
      </c>
      <c r="O3" s="4">
        <v>717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0.49444444444444446</v>
      </c>
      <c r="U3" s="4">
        <v>171</v>
      </c>
      <c r="V3" s="4">
        <v>2</v>
      </c>
      <c r="W3" s="4">
        <v>577</v>
      </c>
      <c r="X3" s="4">
        <v>0</v>
      </c>
      <c r="Y3" s="4">
        <v>0</v>
      </c>
    </row>
    <row r="4" spans="1:25" x14ac:dyDescent="0.25">
      <c r="A4" s="11">
        <v>45826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180</v>
      </c>
      <c r="G4" s="8" t="s">
        <v>136</v>
      </c>
      <c r="H4" s="18" t="s">
        <v>17</v>
      </c>
      <c r="I4" s="8">
        <v>71500</v>
      </c>
      <c r="J4" s="10" t="s">
        <v>49</v>
      </c>
      <c r="K4" s="9">
        <v>0.5</v>
      </c>
      <c r="L4" s="10">
        <v>0.50347222222222221</v>
      </c>
      <c r="M4" s="4">
        <v>142</v>
      </c>
      <c r="N4" s="4">
        <v>5</v>
      </c>
      <c r="O4" s="4">
        <v>720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0.54166666666666663</v>
      </c>
      <c r="U4" s="4">
        <v>172</v>
      </c>
      <c r="V4" s="4">
        <v>2</v>
      </c>
      <c r="W4" s="4">
        <v>659</v>
      </c>
      <c r="X4" s="4">
        <v>0</v>
      </c>
      <c r="Y4" s="4">
        <v>0</v>
      </c>
    </row>
    <row r="5" spans="1:25" x14ac:dyDescent="0.25">
      <c r="A5" s="11">
        <v>45826</v>
      </c>
      <c r="B5" s="4" t="s">
        <v>179</v>
      </c>
      <c r="C5" s="5" t="s">
        <v>35</v>
      </c>
      <c r="D5" s="5" t="s">
        <v>180</v>
      </c>
      <c r="E5" s="5" t="s">
        <v>37</v>
      </c>
      <c r="F5" s="5" t="s">
        <v>35</v>
      </c>
      <c r="G5" s="12" t="s">
        <v>38</v>
      </c>
      <c r="H5" s="5" t="s">
        <v>39</v>
      </c>
      <c r="I5" s="5">
        <v>4670</v>
      </c>
      <c r="J5" s="7" t="s">
        <v>38</v>
      </c>
      <c r="K5" s="3">
        <v>0.53125</v>
      </c>
      <c r="L5" s="7">
        <v>0.55069444444444449</v>
      </c>
      <c r="M5" s="1">
        <v>3</v>
      </c>
      <c r="N5" s="1">
        <v>0</v>
      </c>
      <c r="O5" s="1">
        <v>0</v>
      </c>
      <c r="P5" s="19">
        <v>0</v>
      </c>
      <c r="Q5" s="1">
        <v>0</v>
      </c>
      <c r="R5" s="7" t="s">
        <v>38</v>
      </c>
      <c r="S5" s="3">
        <v>0.54166666666666663</v>
      </c>
      <c r="T5" s="20">
        <v>0.57291666666666663</v>
      </c>
      <c r="U5" s="1" t="s">
        <v>43</v>
      </c>
      <c r="V5" s="19">
        <v>0</v>
      </c>
      <c r="W5" s="19">
        <v>0</v>
      </c>
      <c r="X5" s="19">
        <v>0</v>
      </c>
      <c r="Y5" s="19">
        <v>0</v>
      </c>
    </row>
    <row r="6" spans="1:25" x14ac:dyDescent="0.25">
      <c r="A6" s="11">
        <v>45826</v>
      </c>
      <c r="B6" s="4" t="s">
        <v>13</v>
      </c>
      <c r="C6" s="17" t="s">
        <v>14</v>
      </c>
      <c r="D6" s="4" t="s">
        <v>168</v>
      </c>
      <c r="E6" s="18" t="s">
        <v>68</v>
      </c>
      <c r="F6" s="4">
        <v>230</v>
      </c>
      <c r="G6" s="4" t="s">
        <v>181</v>
      </c>
      <c r="H6" s="18" t="s">
        <v>17</v>
      </c>
      <c r="I6" s="8">
        <v>89000</v>
      </c>
      <c r="J6" s="4" t="s">
        <v>166</v>
      </c>
      <c r="K6" s="9">
        <v>0.62847222222222221</v>
      </c>
      <c r="L6" s="10">
        <v>0.62291666666666667</v>
      </c>
      <c r="M6" s="4">
        <v>93</v>
      </c>
      <c r="N6" s="4">
        <v>0</v>
      </c>
      <c r="O6" s="4">
        <v>208</v>
      </c>
      <c r="P6" s="4">
        <v>0</v>
      </c>
      <c r="Q6" s="4">
        <v>0</v>
      </c>
      <c r="R6" s="4" t="s">
        <v>167</v>
      </c>
      <c r="S6" s="9">
        <v>0.65277777777777779</v>
      </c>
      <c r="T6" s="10">
        <v>0.65138888888888891</v>
      </c>
      <c r="U6" s="4">
        <v>198</v>
      </c>
      <c r="V6" s="4">
        <v>6</v>
      </c>
      <c r="W6" s="4">
        <v>266</v>
      </c>
      <c r="X6" s="4">
        <v>0</v>
      </c>
      <c r="Y6" s="4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AB1D-0390-450F-BF1C-CAFB24E4DA28}">
  <dimension ref="A1:Z12"/>
  <sheetViews>
    <sheetView workbookViewId="0">
      <selection activeCell="T5" sqref="T5"/>
    </sheetView>
  </sheetViews>
  <sheetFormatPr defaultRowHeight="15" x14ac:dyDescent="0.25"/>
  <cols>
    <col min="2" max="2" width="26.42578125" customWidth="1"/>
    <col min="4" max="4" width="18.5703125" customWidth="1"/>
    <col min="8" max="8" width="13.7109375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45827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161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0.38194444444444442</v>
      </c>
      <c r="M2" s="4">
        <v>167</v>
      </c>
      <c r="N2" s="4">
        <v>2</v>
      </c>
      <c r="O2" s="4">
        <v>335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0.42083333333333334</v>
      </c>
      <c r="U2" s="4">
        <v>175</v>
      </c>
      <c r="V2" s="4">
        <v>1</v>
      </c>
      <c r="W2" s="4">
        <v>575</v>
      </c>
      <c r="X2" s="4">
        <v>0</v>
      </c>
      <c r="Y2" s="4">
        <v>0</v>
      </c>
      <c r="Z2" s="4"/>
    </row>
    <row r="3" spans="1:26" x14ac:dyDescent="0.25">
      <c r="A3" s="11">
        <v>45827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182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0.47986111111111113</v>
      </c>
      <c r="M3" s="4">
        <v>233</v>
      </c>
      <c r="N3" s="4">
        <v>4</v>
      </c>
      <c r="O3" s="4">
        <v>445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0.51874999999999993</v>
      </c>
      <c r="U3" s="4">
        <v>220</v>
      </c>
      <c r="V3" s="4">
        <v>4</v>
      </c>
      <c r="W3" s="4">
        <v>676</v>
      </c>
      <c r="X3" s="4">
        <v>0</v>
      </c>
      <c r="Y3" s="4">
        <v>0</v>
      </c>
      <c r="Z3" s="4"/>
    </row>
    <row r="4" spans="1:26" x14ac:dyDescent="0.25">
      <c r="A4" s="11">
        <v>45827</v>
      </c>
      <c r="B4" s="4" t="s">
        <v>183</v>
      </c>
      <c r="C4" s="4" t="s">
        <v>35</v>
      </c>
      <c r="D4" s="4" t="s">
        <v>187</v>
      </c>
      <c r="E4" s="4" t="s">
        <v>184</v>
      </c>
      <c r="F4" s="4" t="s">
        <v>35</v>
      </c>
      <c r="G4" s="4" t="s">
        <v>185</v>
      </c>
      <c r="H4" s="4" t="s">
        <v>186</v>
      </c>
      <c r="I4" s="4">
        <v>6000</v>
      </c>
      <c r="J4" s="4" t="s">
        <v>185</v>
      </c>
      <c r="K4" s="9">
        <v>0.51041666666666663</v>
      </c>
      <c r="L4" s="10">
        <v>0.52430555555555558</v>
      </c>
      <c r="M4" s="4">
        <v>2</v>
      </c>
      <c r="N4" s="4">
        <v>0</v>
      </c>
      <c r="O4" s="4">
        <v>0</v>
      </c>
      <c r="P4" s="4">
        <v>0</v>
      </c>
      <c r="Q4" s="4">
        <v>0</v>
      </c>
      <c r="R4" s="4" t="s">
        <v>185</v>
      </c>
      <c r="S4" s="9">
        <v>0.58333333333333337</v>
      </c>
      <c r="T4" s="10">
        <v>0.58819444444444446</v>
      </c>
      <c r="U4" s="4" t="s">
        <v>43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11">
        <v>45827</v>
      </c>
      <c r="B5" s="4" t="s">
        <v>183</v>
      </c>
      <c r="C5" s="4" t="s">
        <v>35</v>
      </c>
      <c r="D5" s="4" t="s">
        <v>188</v>
      </c>
      <c r="E5" s="4" t="s">
        <v>184</v>
      </c>
      <c r="F5" s="4" t="s">
        <v>35</v>
      </c>
      <c r="G5" s="4" t="s">
        <v>185</v>
      </c>
      <c r="H5" s="4" t="s">
        <v>186</v>
      </c>
      <c r="I5" s="4">
        <v>6000</v>
      </c>
      <c r="J5" s="4" t="s">
        <v>185</v>
      </c>
      <c r="K5" s="9">
        <v>0.625</v>
      </c>
      <c r="L5" s="10">
        <v>0.63680555555555551</v>
      </c>
      <c r="M5" s="4" t="s">
        <v>43</v>
      </c>
      <c r="N5" s="4">
        <v>0</v>
      </c>
      <c r="O5" s="4">
        <v>0</v>
      </c>
      <c r="P5" s="4">
        <v>0</v>
      </c>
      <c r="Q5" s="4">
        <v>0</v>
      </c>
      <c r="R5" s="4" t="s">
        <v>185</v>
      </c>
      <c r="S5" s="9">
        <v>0.91666666666666663</v>
      </c>
      <c r="T5" s="10">
        <v>0.74236111111111114</v>
      </c>
      <c r="U5" s="4">
        <v>2</v>
      </c>
      <c r="V5" s="4">
        <v>0</v>
      </c>
      <c r="W5" s="4">
        <v>0</v>
      </c>
      <c r="X5" s="4">
        <v>0</v>
      </c>
      <c r="Y5" s="4">
        <v>0</v>
      </c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8CAF-BC90-4E78-B291-EF9700403B05}">
  <dimension ref="A1:Y20"/>
  <sheetViews>
    <sheetView topLeftCell="C1" workbookViewId="0">
      <selection sqref="A1:Y7"/>
    </sheetView>
  </sheetViews>
  <sheetFormatPr defaultRowHeight="15" x14ac:dyDescent="0.25"/>
  <cols>
    <col min="1" max="1" width="12.42578125" bestFit="1" customWidth="1"/>
    <col min="2" max="2" width="25.140625" customWidth="1"/>
    <col min="4" max="4" width="18.140625" customWidth="1"/>
    <col min="5" max="5" width="18.85546875" customWidth="1"/>
    <col min="6" max="6" width="9.42578125" bestFit="1" customWidth="1"/>
    <col min="8" max="8" width="16.8554687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5" ht="25.5" x14ac:dyDescent="0.25">
      <c r="A1" s="13" t="s">
        <v>0</v>
      </c>
      <c r="B1" s="13" t="s">
        <v>1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6">
        <v>45828</v>
      </c>
      <c r="B2" s="4" t="s">
        <v>86</v>
      </c>
      <c r="C2" s="5" t="s">
        <v>87</v>
      </c>
      <c r="D2" s="18" t="s">
        <v>53</v>
      </c>
      <c r="E2" s="21" t="s">
        <v>68</v>
      </c>
      <c r="F2" s="18">
        <v>239</v>
      </c>
      <c r="G2" s="8" t="s">
        <v>190</v>
      </c>
      <c r="H2" s="5" t="s">
        <v>17</v>
      </c>
      <c r="I2" s="8">
        <v>89000</v>
      </c>
      <c r="J2" s="10" t="s">
        <v>88</v>
      </c>
      <c r="K2" s="9">
        <v>0.36805555555555558</v>
      </c>
      <c r="L2" s="10">
        <v>0.35347222222222219</v>
      </c>
      <c r="M2" s="22">
        <v>137</v>
      </c>
      <c r="N2" s="4">
        <v>3</v>
      </c>
      <c r="O2" s="4">
        <v>1449</v>
      </c>
      <c r="P2" s="4">
        <v>0</v>
      </c>
      <c r="Q2" s="4">
        <v>0</v>
      </c>
      <c r="R2" s="4" t="s">
        <v>89</v>
      </c>
      <c r="S2" s="9">
        <v>0.4236111111111111</v>
      </c>
      <c r="T2" s="10">
        <v>0.42083333333333334</v>
      </c>
      <c r="U2" s="22">
        <v>117</v>
      </c>
      <c r="V2" s="4">
        <v>2</v>
      </c>
      <c r="W2" s="4">
        <v>1072</v>
      </c>
      <c r="X2" s="4">
        <v>0</v>
      </c>
      <c r="Y2" s="4">
        <v>0</v>
      </c>
    </row>
    <row r="3" spans="1:25" x14ac:dyDescent="0.25">
      <c r="A3" s="6">
        <v>45828</v>
      </c>
      <c r="B3" s="4" t="s">
        <v>13</v>
      </c>
      <c r="C3" s="17" t="s">
        <v>14</v>
      </c>
      <c r="D3" s="4" t="s">
        <v>15</v>
      </c>
      <c r="E3" s="4" t="s">
        <v>68</v>
      </c>
      <c r="F3" s="4">
        <v>230</v>
      </c>
      <c r="G3" s="4" t="s">
        <v>191</v>
      </c>
      <c r="H3" s="18" t="s">
        <v>17</v>
      </c>
      <c r="I3" s="8">
        <v>89000</v>
      </c>
      <c r="J3" s="4" t="s">
        <v>18</v>
      </c>
      <c r="K3" s="9">
        <v>0.3923611111111111</v>
      </c>
      <c r="L3" s="10">
        <v>0.39305555555555555</v>
      </c>
      <c r="M3" s="4">
        <v>138</v>
      </c>
      <c r="N3" s="4">
        <v>1</v>
      </c>
      <c r="O3" s="4">
        <v>240</v>
      </c>
      <c r="P3" s="4">
        <v>0</v>
      </c>
      <c r="Q3" s="4">
        <v>0</v>
      </c>
      <c r="R3" s="4" t="s">
        <v>29</v>
      </c>
      <c r="S3" s="9">
        <v>0.41319444444444442</v>
      </c>
      <c r="T3" s="10">
        <v>0.42708333333333331</v>
      </c>
      <c r="U3" s="4">
        <v>188</v>
      </c>
      <c r="V3" s="4">
        <v>0</v>
      </c>
      <c r="W3" s="4">
        <v>657</v>
      </c>
      <c r="X3" s="4">
        <v>0</v>
      </c>
      <c r="Y3" s="4">
        <v>0</v>
      </c>
    </row>
    <row r="4" spans="1:25" x14ac:dyDescent="0.25">
      <c r="A4" s="6">
        <v>45828</v>
      </c>
      <c r="B4" s="4" t="s">
        <v>13</v>
      </c>
      <c r="C4" s="17" t="s">
        <v>14</v>
      </c>
      <c r="D4" s="4" t="s">
        <v>30</v>
      </c>
      <c r="E4" s="18" t="s">
        <v>16</v>
      </c>
      <c r="F4" s="4">
        <v>186</v>
      </c>
      <c r="G4" s="4" t="s">
        <v>57</v>
      </c>
      <c r="H4" s="18" t="s">
        <v>17</v>
      </c>
      <c r="I4" s="8">
        <v>71500</v>
      </c>
      <c r="J4" s="4" t="s">
        <v>32</v>
      </c>
      <c r="K4" s="9">
        <v>0.49652777777777773</v>
      </c>
      <c r="L4" s="10">
        <v>0.48055555555555557</v>
      </c>
      <c r="M4" s="4">
        <v>169</v>
      </c>
      <c r="N4" s="4">
        <v>5</v>
      </c>
      <c r="O4" s="4">
        <v>735</v>
      </c>
      <c r="P4" s="4">
        <v>0</v>
      </c>
      <c r="Q4" s="4">
        <v>0</v>
      </c>
      <c r="R4" s="4" t="s">
        <v>33</v>
      </c>
      <c r="S4" s="9">
        <v>0.51736111111111105</v>
      </c>
      <c r="T4" s="10">
        <v>0.52222222222222225</v>
      </c>
      <c r="U4" s="4">
        <v>179</v>
      </c>
      <c r="V4" s="4">
        <v>4</v>
      </c>
      <c r="W4" s="4">
        <v>723</v>
      </c>
      <c r="X4" s="4">
        <v>0</v>
      </c>
      <c r="Y4" s="4">
        <v>0</v>
      </c>
    </row>
    <row r="5" spans="1:25" x14ac:dyDescent="0.25">
      <c r="A5" s="6">
        <v>45828</v>
      </c>
      <c r="B5" s="4" t="s">
        <v>46</v>
      </c>
      <c r="C5" s="4" t="s">
        <v>47</v>
      </c>
      <c r="D5" s="18" t="s">
        <v>48</v>
      </c>
      <c r="E5" s="4" t="s">
        <v>16</v>
      </c>
      <c r="F5" s="4">
        <v>180</v>
      </c>
      <c r="G5" s="8" t="s">
        <v>136</v>
      </c>
      <c r="H5" s="18" t="s">
        <v>17</v>
      </c>
      <c r="I5" s="8">
        <v>71500</v>
      </c>
      <c r="J5" s="10" t="s">
        <v>49</v>
      </c>
      <c r="K5" s="9">
        <v>0.5</v>
      </c>
      <c r="L5" s="10">
        <v>0.52916666666666667</v>
      </c>
      <c r="M5" s="4">
        <v>167</v>
      </c>
      <c r="N5" s="4">
        <v>2</v>
      </c>
      <c r="O5" s="4">
        <v>695</v>
      </c>
      <c r="P5" s="4">
        <v>0</v>
      </c>
      <c r="Q5" s="4">
        <v>0</v>
      </c>
      <c r="R5" s="4" t="s">
        <v>50</v>
      </c>
      <c r="S5" s="9">
        <v>0.52083333333333337</v>
      </c>
      <c r="T5" s="10">
        <v>0.52916666666666667</v>
      </c>
      <c r="U5" s="4">
        <v>155</v>
      </c>
      <c r="V5" s="4">
        <v>4</v>
      </c>
      <c r="W5" s="4">
        <v>869</v>
      </c>
      <c r="X5" s="4">
        <v>0</v>
      </c>
      <c r="Y5" s="4">
        <v>0</v>
      </c>
    </row>
    <row r="6" spans="1:25" s="27" customFormat="1" x14ac:dyDescent="0.25">
      <c r="A6" s="6">
        <v>45828</v>
      </c>
      <c r="B6" s="4" t="s">
        <v>117</v>
      </c>
      <c r="C6" s="4" t="s">
        <v>131</v>
      </c>
      <c r="D6" s="4" t="s">
        <v>118</v>
      </c>
      <c r="E6" s="4" t="s">
        <v>16</v>
      </c>
      <c r="F6" s="4">
        <v>180</v>
      </c>
      <c r="G6" s="4" t="s">
        <v>189</v>
      </c>
      <c r="H6" s="18" t="s">
        <v>120</v>
      </c>
      <c r="I6" s="8">
        <v>71500</v>
      </c>
      <c r="J6" s="4" t="s">
        <v>146</v>
      </c>
      <c r="K6" s="9">
        <v>0.375</v>
      </c>
      <c r="L6" s="10">
        <v>0.3659722222222222</v>
      </c>
      <c r="M6" s="4">
        <v>173</v>
      </c>
      <c r="N6" s="4">
        <v>3</v>
      </c>
      <c r="O6" s="4">
        <v>2295</v>
      </c>
      <c r="P6" s="4">
        <v>0</v>
      </c>
      <c r="Q6" s="4">
        <v>0</v>
      </c>
      <c r="R6" s="4" t="s">
        <v>147</v>
      </c>
      <c r="S6" s="9">
        <v>0.41666666666666669</v>
      </c>
      <c r="T6" s="10">
        <v>0.41250000000000003</v>
      </c>
      <c r="U6" s="4">
        <v>175</v>
      </c>
      <c r="V6" s="4">
        <v>4</v>
      </c>
      <c r="W6" s="4">
        <v>2114</v>
      </c>
      <c r="X6" s="4">
        <v>0</v>
      </c>
      <c r="Y6" s="4">
        <v>0</v>
      </c>
    </row>
    <row r="7" spans="1:25" s="27" customFormat="1" x14ac:dyDescent="0.25">
      <c r="A7" s="6">
        <v>45828</v>
      </c>
      <c r="B7" s="4" t="s">
        <v>13</v>
      </c>
      <c r="C7" s="17" t="s">
        <v>14</v>
      </c>
      <c r="D7" s="4" t="s">
        <v>168</v>
      </c>
      <c r="E7" s="18" t="s">
        <v>68</v>
      </c>
      <c r="F7" s="4">
        <v>239</v>
      </c>
      <c r="G7" s="4" t="s">
        <v>192</v>
      </c>
      <c r="H7" s="18" t="s">
        <v>17</v>
      </c>
      <c r="I7" s="8">
        <v>89000</v>
      </c>
      <c r="J7" s="4" t="s">
        <v>166</v>
      </c>
      <c r="K7" s="9">
        <v>0.62847222222222221</v>
      </c>
      <c r="L7" s="10">
        <v>0.61527777777777781</v>
      </c>
      <c r="M7" s="4">
        <v>158</v>
      </c>
      <c r="N7" s="4">
        <v>4</v>
      </c>
      <c r="O7" s="4">
        <v>429</v>
      </c>
      <c r="P7" s="4">
        <v>0</v>
      </c>
      <c r="Q7" s="4">
        <v>0</v>
      </c>
      <c r="R7" s="4" t="s">
        <v>167</v>
      </c>
      <c r="S7" s="9">
        <v>0.65277777777777779</v>
      </c>
      <c r="T7" s="10">
        <v>0.65208333333333335</v>
      </c>
      <c r="U7" s="4">
        <v>108</v>
      </c>
      <c r="V7" s="4">
        <v>3</v>
      </c>
      <c r="W7" s="4">
        <v>163</v>
      </c>
      <c r="X7" s="4">
        <v>0</v>
      </c>
      <c r="Y7" s="4">
        <v>0</v>
      </c>
    </row>
    <row r="8" spans="1:25" x14ac:dyDescent="0.25">
      <c r="A8" s="6"/>
      <c r="B8" s="4"/>
      <c r="C8" s="4"/>
      <c r="D8" s="4"/>
      <c r="E8" s="4"/>
      <c r="F8" s="4"/>
      <c r="G8" s="4"/>
      <c r="H8" s="4"/>
      <c r="I8" s="4"/>
      <c r="J8" s="4"/>
      <c r="K8" s="9"/>
      <c r="L8" s="10"/>
      <c r="M8" s="4"/>
      <c r="N8" s="4"/>
      <c r="O8" s="4"/>
      <c r="P8" s="4"/>
      <c r="Q8" s="4"/>
      <c r="R8" s="4"/>
      <c r="S8" s="31"/>
      <c r="T8" s="4"/>
      <c r="U8" s="4"/>
      <c r="V8" s="4"/>
      <c r="W8" s="4"/>
      <c r="X8" s="4"/>
      <c r="Y8" s="4"/>
    </row>
    <row r="9" spans="1:25" x14ac:dyDescent="0.25">
      <c r="A9" s="6"/>
      <c r="B9" s="4"/>
      <c r="C9" s="4"/>
      <c r="D9" s="4"/>
      <c r="E9" s="4"/>
      <c r="F9" s="4"/>
      <c r="G9" s="4"/>
      <c r="H9" s="4"/>
      <c r="I9" s="4"/>
      <c r="J9" s="4"/>
      <c r="K9" s="9"/>
      <c r="L9" s="10"/>
      <c r="M9" s="4"/>
      <c r="N9" s="4"/>
      <c r="O9" s="4"/>
      <c r="P9" s="4"/>
      <c r="Q9" s="4"/>
      <c r="R9" s="4"/>
      <c r="S9" s="31"/>
      <c r="T9" s="4"/>
      <c r="U9" s="4"/>
      <c r="V9" s="4"/>
      <c r="W9" s="4"/>
      <c r="X9" s="4"/>
      <c r="Y9" s="4"/>
    </row>
    <row r="10" spans="1:25" x14ac:dyDescent="0.25">
      <c r="A10" s="6"/>
      <c r="B10" s="4"/>
      <c r="C10" s="4"/>
      <c r="D10" s="4"/>
      <c r="E10" s="4"/>
      <c r="F10" s="4"/>
      <c r="G10" s="4"/>
      <c r="H10" s="4"/>
      <c r="I10" s="4"/>
      <c r="J10" s="4"/>
      <c r="K10" s="9"/>
      <c r="L10" s="10"/>
      <c r="M10" s="4"/>
      <c r="N10" s="4"/>
      <c r="O10" s="4"/>
      <c r="P10" s="4"/>
      <c r="Q10" s="4"/>
      <c r="R10" s="4"/>
      <c r="S10" s="31"/>
      <c r="T10" s="4"/>
      <c r="U10" s="4"/>
      <c r="V10" s="4"/>
      <c r="W10" s="4"/>
      <c r="X10" s="4"/>
      <c r="Y10" s="4"/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A1E0-6B5E-4DC1-9E5D-BA3FE38FAFD6}">
  <dimension ref="A1:Z14"/>
  <sheetViews>
    <sheetView workbookViewId="0">
      <selection sqref="A1:Y3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5" max="5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45829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183</v>
      </c>
      <c r="G2" s="4" t="s">
        <v>201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0.3923611111111111</v>
      </c>
      <c r="M2" s="4">
        <v>153</v>
      </c>
      <c r="N2" s="4">
        <v>3</v>
      </c>
      <c r="O2" s="4">
        <v>635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0.44097222222222227</v>
      </c>
      <c r="U2" s="4">
        <v>178</v>
      </c>
      <c r="V2" s="4">
        <v>3</v>
      </c>
      <c r="W2" s="4">
        <v>755</v>
      </c>
      <c r="X2" s="4">
        <v>0</v>
      </c>
      <c r="Y2" s="4">
        <v>0</v>
      </c>
      <c r="Z2" s="4"/>
    </row>
    <row r="3" spans="1:26" x14ac:dyDescent="0.25">
      <c r="A3" s="11">
        <v>45829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182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0.49027777777777781</v>
      </c>
      <c r="M3" s="4">
        <v>229</v>
      </c>
      <c r="N3" s="4">
        <v>5</v>
      </c>
      <c r="O3" s="4">
        <v>1371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0.52013888888888882</v>
      </c>
      <c r="U3" s="4">
        <v>220</v>
      </c>
      <c r="V3" s="4">
        <v>7</v>
      </c>
      <c r="W3" s="4">
        <v>742</v>
      </c>
      <c r="X3" s="4">
        <v>0</v>
      </c>
      <c r="Y3" s="4">
        <v>0</v>
      </c>
      <c r="Z3" s="4"/>
    </row>
    <row r="4" spans="1:26" x14ac:dyDescent="0.25">
      <c r="A4" s="11">
        <v>45829</v>
      </c>
      <c r="B4" s="4" t="s">
        <v>153</v>
      </c>
      <c r="C4" s="4" t="s">
        <v>35</v>
      </c>
      <c r="D4" s="4" t="s">
        <v>202</v>
      </c>
      <c r="E4" s="4" t="s">
        <v>129</v>
      </c>
      <c r="F4" s="4" t="s">
        <v>35</v>
      </c>
      <c r="G4" s="4" t="s">
        <v>197</v>
      </c>
      <c r="H4" s="4" t="s">
        <v>157</v>
      </c>
      <c r="I4" s="4">
        <v>2</v>
      </c>
      <c r="J4" s="4" t="s">
        <v>197</v>
      </c>
      <c r="K4" s="9">
        <v>0.52083333333333337</v>
      </c>
      <c r="L4" s="10">
        <v>0.5541666666666667</v>
      </c>
      <c r="M4" s="4" t="s">
        <v>43</v>
      </c>
      <c r="N4" s="4">
        <v>0</v>
      </c>
      <c r="O4" s="4">
        <v>0</v>
      </c>
      <c r="P4" s="4">
        <v>0</v>
      </c>
      <c r="Q4" s="4">
        <v>0</v>
      </c>
      <c r="R4" s="4" t="s">
        <v>197</v>
      </c>
      <c r="S4" s="9">
        <v>0.54166666666666663</v>
      </c>
      <c r="T4" s="10">
        <v>0.57638888888888895</v>
      </c>
      <c r="U4" s="4" t="s">
        <v>43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11">
        <v>45829</v>
      </c>
      <c r="B5" s="4" t="s">
        <v>193</v>
      </c>
      <c r="C5" s="4" t="s">
        <v>35</v>
      </c>
      <c r="D5" s="4" t="s">
        <v>202</v>
      </c>
      <c r="E5" s="4" t="s">
        <v>195</v>
      </c>
      <c r="F5" s="4" t="s">
        <v>35</v>
      </c>
      <c r="G5" s="4" t="s">
        <v>198</v>
      </c>
      <c r="H5" s="4" t="s">
        <v>157</v>
      </c>
      <c r="I5" s="4">
        <v>1</v>
      </c>
      <c r="J5" s="4" t="s">
        <v>198</v>
      </c>
      <c r="K5" s="9">
        <v>0.52083333333333337</v>
      </c>
      <c r="L5" s="10">
        <v>0.54861111111111105</v>
      </c>
      <c r="M5" s="4" t="s">
        <v>43</v>
      </c>
      <c r="N5" s="4">
        <v>0</v>
      </c>
      <c r="O5" s="4">
        <v>0</v>
      </c>
      <c r="P5" s="4">
        <v>0</v>
      </c>
      <c r="Q5" s="4">
        <v>0</v>
      </c>
      <c r="R5" s="4" t="s">
        <v>198</v>
      </c>
      <c r="S5" s="9">
        <v>0.54166666666666663</v>
      </c>
      <c r="T5" s="10">
        <v>0.55555555555555558</v>
      </c>
      <c r="U5" s="4" t="s">
        <v>43</v>
      </c>
      <c r="V5" s="4">
        <v>0</v>
      </c>
      <c r="W5" s="4">
        <v>0</v>
      </c>
      <c r="X5" s="4">
        <v>0</v>
      </c>
      <c r="Y5" s="4">
        <v>0</v>
      </c>
      <c r="Z5" s="4"/>
    </row>
    <row r="6" spans="1:26" x14ac:dyDescent="0.25">
      <c r="A6" s="11">
        <v>45829</v>
      </c>
      <c r="B6" s="4" t="s">
        <v>193</v>
      </c>
      <c r="C6" s="4" t="s">
        <v>35</v>
      </c>
      <c r="D6" s="4" t="s">
        <v>202</v>
      </c>
      <c r="E6" s="4" t="s">
        <v>196</v>
      </c>
      <c r="F6" s="4" t="s">
        <v>35</v>
      </c>
      <c r="G6" s="4" t="s">
        <v>199</v>
      </c>
      <c r="H6" s="4" t="s">
        <v>157</v>
      </c>
      <c r="I6" s="4">
        <v>1</v>
      </c>
      <c r="J6" s="4" t="s">
        <v>199</v>
      </c>
      <c r="K6" s="9">
        <v>0.52083333333333337</v>
      </c>
      <c r="L6" s="10">
        <v>0.5444444444444444</v>
      </c>
      <c r="M6" s="4" t="s">
        <v>43</v>
      </c>
      <c r="N6" s="4">
        <v>0</v>
      </c>
      <c r="O6" s="4">
        <v>0</v>
      </c>
      <c r="P6" s="4">
        <v>0</v>
      </c>
      <c r="Q6" s="4">
        <v>0</v>
      </c>
      <c r="R6" s="4" t="s">
        <v>199</v>
      </c>
      <c r="S6" s="9">
        <v>0.54166666666666663</v>
      </c>
      <c r="T6" s="10">
        <v>0.55763888888888891</v>
      </c>
      <c r="U6" s="4" t="s">
        <v>43</v>
      </c>
      <c r="V6" s="4">
        <v>0</v>
      </c>
      <c r="W6" s="4">
        <v>0</v>
      </c>
      <c r="X6" s="4">
        <v>0</v>
      </c>
      <c r="Y6" s="4">
        <v>0</v>
      </c>
      <c r="Z6" s="4"/>
    </row>
    <row r="7" spans="1:26" x14ac:dyDescent="0.25">
      <c r="A7" s="11">
        <v>45829</v>
      </c>
      <c r="B7" s="4" t="s">
        <v>193</v>
      </c>
      <c r="C7" s="4" t="s">
        <v>35</v>
      </c>
      <c r="D7" s="4" t="s">
        <v>202</v>
      </c>
      <c r="E7" s="4" t="s">
        <v>194</v>
      </c>
      <c r="F7" s="4" t="s">
        <v>35</v>
      </c>
      <c r="G7" s="4" t="s">
        <v>200</v>
      </c>
      <c r="H7" s="4" t="s">
        <v>157</v>
      </c>
      <c r="I7" s="4">
        <v>1</v>
      </c>
      <c r="J7" s="4" t="s">
        <v>200</v>
      </c>
      <c r="K7" s="9">
        <v>0.52083333333333337</v>
      </c>
      <c r="L7" s="10">
        <v>0.54583333333333328</v>
      </c>
      <c r="M7" s="4" t="s">
        <v>43</v>
      </c>
      <c r="N7" s="4">
        <v>0</v>
      </c>
      <c r="O7" s="4">
        <v>0</v>
      </c>
      <c r="P7" s="4">
        <v>0</v>
      </c>
      <c r="Q7" s="4">
        <v>0</v>
      </c>
      <c r="R7" s="4" t="s">
        <v>200</v>
      </c>
      <c r="S7" s="9">
        <v>0.54166666666666663</v>
      </c>
      <c r="T7" s="10">
        <v>0.55972222222222223</v>
      </c>
      <c r="U7" s="4" t="s">
        <v>43</v>
      </c>
      <c r="V7" s="4">
        <v>0</v>
      </c>
      <c r="W7" s="4">
        <v>0</v>
      </c>
      <c r="X7" s="4">
        <v>0</v>
      </c>
      <c r="Y7" s="4">
        <v>0</v>
      </c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F7B9-8B93-4FA5-98E4-F1FFC02D3E7D}">
  <dimension ref="A1:Z13"/>
  <sheetViews>
    <sheetView workbookViewId="0">
      <selection activeCell="A7" sqref="A7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5" max="5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45830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183</v>
      </c>
      <c r="G2" s="4" t="s">
        <v>205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0.39444444444444443</v>
      </c>
      <c r="M2" s="4">
        <v>143</v>
      </c>
      <c r="N2" s="4">
        <v>7</v>
      </c>
      <c r="O2" s="4">
        <v>469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0.43472222222222223</v>
      </c>
      <c r="U2" s="4">
        <v>176</v>
      </c>
      <c r="V2" s="4">
        <v>2</v>
      </c>
      <c r="W2" s="4">
        <v>618</v>
      </c>
      <c r="X2" s="4">
        <v>0</v>
      </c>
      <c r="Y2" s="4">
        <v>0</v>
      </c>
      <c r="Z2" s="4"/>
    </row>
    <row r="3" spans="1:26" x14ac:dyDescent="0.25">
      <c r="A3" s="11">
        <v>45830</v>
      </c>
      <c r="B3" s="4" t="s">
        <v>13</v>
      </c>
      <c r="C3" s="17" t="s">
        <v>14</v>
      </c>
      <c r="D3" s="4" t="s">
        <v>30</v>
      </c>
      <c r="E3" s="4" t="s">
        <v>16</v>
      </c>
      <c r="F3" s="4">
        <v>183</v>
      </c>
      <c r="G3" s="4" t="s">
        <v>206</v>
      </c>
      <c r="H3" s="18" t="s">
        <v>17</v>
      </c>
      <c r="I3" s="8">
        <v>71500</v>
      </c>
      <c r="J3" s="4" t="s">
        <v>82</v>
      </c>
      <c r="K3" s="9">
        <v>0.46527777777777773</v>
      </c>
      <c r="L3" s="10">
        <v>0.46597222222222223</v>
      </c>
      <c r="M3" s="4">
        <v>163</v>
      </c>
      <c r="N3" s="4">
        <v>5</v>
      </c>
      <c r="O3" s="4">
        <v>812</v>
      </c>
      <c r="P3" s="4">
        <v>0</v>
      </c>
      <c r="Q3" s="4">
        <v>0</v>
      </c>
      <c r="R3" s="4" t="s">
        <v>83</v>
      </c>
      <c r="S3" s="9">
        <v>0.4861111111111111</v>
      </c>
      <c r="T3" s="10">
        <v>0.49861111111111112</v>
      </c>
      <c r="U3" s="4">
        <v>169</v>
      </c>
      <c r="V3" s="4">
        <v>1</v>
      </c>
      <c r="W3" s="4">
        <v>381</v>
      </c>
      <c r="X3" s="4">
        <v>0</v>
      </c>
      <c r="Y3" s="4">
        <v>0</v>
      </c>
      <c r="Z3" s="4"/>
    </row>
    <row r="4" spans="1:26" x14ac:dyDescent="0.25">
      <c r="A4" s="11">
        <v>45830</v>
      </c>
      <c r="B4" s="4" t="s">
        <v>193</v>
      </c>
      <c r="C4" s="4" t="s">
        <v>35</v>
      </c>
      <c r="D4" s="4" t="s">
        <v>203</v>
      </c>
      <c r="E4" s="4" t="s">
        <v>195</v>
      </c>
      <c r="F4" s="4" t="s">
        <v>35</v>
      </c>
      <c r="G4" s="4" t="s">
        <v>198</v>
      </c>
      <c r="H4" s="4" t="s">
        <v>157</v>
      </c>
      <c r="I4" s="4">
        <v>1</v>
      </c>
      <c r="J4" s="4" t="s">
        <v>198</v>
      </c>
      <c r="K4" s="9">
        <v>0.52083333333333337</v>
      </c>
      <c r="L4" s="10">
        <v>0.51041666666666663</v>
      </c>
      <c r="M4" s="4" t="s">
        <v>43</v>
      </c>
      <c r="N4" s="4">
        <v>0</v>
      </c>
      <c r="O4" s="4">
        <v>0</v>
      </c>
      <c r="P4" s="4">
        <v>0</v>
      </c>
      <c r="Q4" s="4">
        <v>0</v>
      </c>
      <c r="R4" s="4" t="s">
        <v>198</v>
      </c>
      <c r="S4" s="9">
        <v>0.54166666666666663</v>
      </c>
      <c r="T4" s="10">
        <v>0.52986111111111112</v>
      </c>
      <c r="U4" s="4" t="s">
        <v>43</v>
      </c>
      <c r="V4" s="4">
        <v>0</v>
      </c>
      <c r="W4" s="4">
        <v>0</v>
      </c>
      <c r="X4" s="4">
        <v>0</v>
      </c>
      <c r="Y4" s="4">
        <v>0</v>
      </c>
      <c r="Z4" s="4"/>
    </row>
    <row r="5" spans="1:26" x14ac:dyDescent="0.25">
      <c r="A5" s="11">
        <v>45830</v>
      </c>
      <c r="B5" s="4" t="s">
        <v>193</v>
      </c>
      <c r="C5" s="4" t="s">
        <v>35</v>
      </c>
      <c r="D5" s="4" t="s">
        <v>203</v>
      </c>
      <c r="E5" s="4" t="s">
        <v>196</v>
      </c>
      <c r="F5" s="4" t="s">
        <v>35</v>
      </c>
      <c r="G5" s="4" t="s">
        <v>199</v>
      </c>
      <c r="H5" s="4" t="s">
        <v>157</v>
      </c>
      <c r="I5" s="4">
        <v>1</v>
      </c>
      <c r="J5" s="4" t="s">
        <v>199</v>
      </c>
      <c r="K5" s="9">
        <v>0.52083333333333337</v>
      </c>
      <c r="L5" s="10">
        <v>0.51180555555555551</v>
      </c>
      <c r="M5" s="4" t="s">
        <v>43</v>
      </c>
      <c r="N5" s="4">
        <v>0</v>
      </c>
      <c r="O5" s="4">
        <v>0</v>
      </c>
      <c r="P5" s="4">
        <v>0</v>
      </c>
      <c r="Q5" s="4">
        <v>0</v>
      </c>
      <c r="R5" s="4" t="s">
        <v>199</v>
      </c>
      <c r="S5" s="9">
        <v>0.54166666666666663</v>
      </c>
      <c r="T5" s="10">
        <v>0.53125</v>
      </c>
      <c r="U5" s="4" t="s">
        <v>43</v>
      </c>
      <c r="V5" s="4">
        <v>0</v>
      </c>
      <c r="W5" s="4">
        <v>0</v>
      </c>
      <c r="X5" s="4">
        <v>0</v>
      </c>
      <c r="Y5" s="4">
        <v>0</v>
      </c>
      <c r="Z5" s="4"/>
    </row>
    <row r="6" spans="1:26" x14ac:dyDescent="0.25">
      <c r="A6" s="11">
        <v>45830</v>
      </c>
      <c r="B6" s="4" t="s">
        <v>193</v>
      </c>
      <c r="C6" s="4" t="s">
        <v>35</v>
      </c>
      <c r="D6" s="4" t="s">
        <v>204</v>
      </c>
      <c r="E6" s="4" t="s">
        <v>194</v>
      </c>
      <c r="F6" s="4" t="s">
        <v>35</v>
      </c>
      <c r="G6" s="4" t="s">
        <v>200</v>
      </c>
      <c r="H6" s="4" t="s">
        <v>157</v>
      </c>
      <c r="I6" s="4">
        <v>1</v>
      </c>
      <c r="J6" s="4" t="s">
        <v>200</v>
      </c>
      <c r="K6" s="9">
        <v>0.41666666666666669</v>
      </c>
      <c r="L6" s="10">
        <v>0.41736111111111113</v>
      </c>
      <c r="M6" s="4" t="s">
        <v>43</v>
      </c>
      <c r="N6" s="4">
        <v>0</v>
      </c>
      <c r="O6" s="4">
        <v>0</v>
      </c>
      <c r="P6" s="4">
        <v>0</v>
      </c>
      <c r="Q6" s="4">
        <v>0</v>
      </c>
      <c r="R6" s="4" t="s">
        <v>200</v>
      </c>
      <c r="S6" s="9">
        <v>0.43055555555555558</v>
      </c>
      <c r="T6" s="10">
        <v>0.42708333333333331</v>
      </c>
      <c r="U6" s="4" t="s">
        <v>43</v>
      </c>
      <c r="V6" s="4">
        <v>0</v>
      </c>
      <c r="W6" s="4">
        <v>0</v>
      </c>
      <c r="X6" s="4">
        <v>0</v>
      </c>
      <c r="Y6" s="4">
        <v>0</v>
      </c>
      <c r="Z6" s="4"/>
    </row>
    <row r="7" spans="1:26" x14ac:dyDescent="0.25">
      <c r="A7" s="11">
        <v>45830</v>
      </c>
      <c r="B7" s="4" t="s">
        <v>13</v>
      </c>
      <c r="C7" s="17" t="s">
        <v>14</v>
      </c>
      <c r="D7" s="4" t="s">
        <v>168</v>
      </c>
      <c r="E7" s="4" t="s">
        <v>68</v>
      </c>
      <c r="F7" s="4">
        <v>239</v>
      </c>
      <c r="G7" s="4" t="s">
        <v>207</v>
      </c>
      <c r="H7" s="18" t="s">
        <v>17</v>
      </c>
      <c r="I7" s="8">
        <v>89000</v>
      </c>
      <c r="J7" s="4" t="s">
        <v>166</v>
      </c>
      <c r="K7" s="9">
        <v>0.62847222222222221</v>
      </c>
      <c r="L7" s="10">
        <v>0.63124999999999998</v>
      </c>
      <c r="M7" s="4">
        <v>83</v>
      </c>
      <c r="N7" s="4">
        <v>3</v>
      </c>
      <c r="O7" s="4">
        <v>98</v>
      </c>
      <c r="P7" s="4">
        <v>0</v>
      </c>
      <c r="Q7" s="4">
        <v>0</v>
      </c>
      <c r="R7" s="4" t="s">
        <v>166</v>
      </c>
      <c r="S7" s="9">
        <v>0.65277777777777779</v>
      </c>
      <c r="T7" s="10">
        <v>0.66875000000000007</v>
      </c>
      <c r="U7" s="4">
        <v>223</v>
      </c>
      <c r="V7" s="4">
        <v>7</v>
      </c>
      <c r="W7" s="4">
        <v>496</v>
      </c>
      <c r="X7" s="4">
        <v>0</v>
      </c>
      <c r="Y7" s="4">
        <v>0</v>
      </c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A60E-3828-4D04-8945-53EB1652B2A1}">
  <dimension ref="A1:Y6"/>
  <sheetViews>
    <sheetView workbookViewId="0">
      <selection sqref="A1:Z14"/>
    </sheetView>
  </sheetViews>
  <sheetFormatPr defaultRowHeight="15" x14ac:dyDescent="0.25"/>
  <cols>
    <col min="2" max="2" width="29.28515625" customWidth="1"/>
    <col min="4" max="4" width="16.7109375" customWidth="1"/>
    <col min="8" max="8" width="14.28515625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45831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76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0.3923611111111111</v>
      </c>
      <c r="M2" s="4">
        <v>97</v>
      </c>
      <c r="N2" s="4">
        <v>5</v>
      </c>
      <c r="O2" s="4">
        <v>297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0.42499999999999999</v>
      </c>
      <c r="U2" s="4">
        <v>176</v>
      </c>
      <c r="V2" s="4">
        <v>3</v>
      </c>
      <c r="W2" s="4">
        <v>652</v>
      </c>
      <c r="X2" s="4">
        <v>0</v>
      </c>
      <c r="Y2" s="4">
        <v>0</v>
      </c>
    </row>
    <row r="3" spans="1:25" x14ac:dyDescent="0.25">
      <c r="A3" s="11">
        <v>45831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180</v>
      </c>
      <c r="G3" s="4" t="s">
        <v>113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0.45694444444444443</v>
      </c>
      <c r="M3" s="4">
        <v>153</v>
      </c>
      <c r="N3" s="4">
        <v>0</v>
      </c>
      <c r="O3" s="4">
        <v>559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0.49305555555555558</v>
      </c>
      <c r="U3" s="4">
        <v>169</v>
      </c>
      <c r="V3" s="4">
        <v>1</v>
      </c>
      <c r="W3" s="4">
        <v>732</v>
      </c>
      <c r="X3" s="4">
        <v>0</v>
      </c>
      <c r="Y3" s="4">
        <v>0</v>
      </c>
    </row>
    <row r="4" spans="1:25" x14ac:dyDescent="0.25">
      <c r="A4" s="11">
        <v>45831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186</v>
      </c>
      <c r="G4" s="8" t="s">
        <v>59</v>
      </c>
      <c r="H4" s="18" t="s">
        <v>17</v>
      </c>
      <c r="I4" s="8">
        <v>71500</v>
      </c>
      <c r="J4" s="10" t="s">
        <v>49</v>
      </c>
      <c r="K4" s="9">
        <v>0.5</v>
      </c>
      <c r="L4" s="10">
        <v>0.4909722222222222</v>
      </c>
      <c r="M4" s="4">
        <v>161</v>
      </c>
      <c r="N4" s="4">
        <v>4</v>
      </c>
      <c r="O4" s="4">
        <v>756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0.42499999999999999</v>
      </c>
      <c r="U4" s="4">
        <v>168</v>
      </c>
      <c r="V4" s="4">
        <v>6</v>
      </c>
      <c r="W4" s="4">
        <v>651</v>
      </c>
      <c r="X4" s="4">
        <v>0</v>
      </c>
      <c r="Y4" s="4">
        <v>0</v>
      </c>
    </row>
    <row r="5" spans="1:25" x14ac:dyDescent="0.25">
      <c r="A5" s="11">
        <v>45831</v>
      </c>
      <c r="B5" s="4" t="s">
        <v>51</v>
      </c>
      <c r="C5" s="5" t="s">
        <v>52</v>
      </c>
      <c r="D5" s="18" t="s">
        <v>53</v>
      </c>
      <c r="E5" s="21" t="s">
        <v>114</v>
      </c>
      <c r="F5" s="18">
        <v>186</v>
      </c>
      <c r="G5" s="8" t="s">
        <v>209</v>
      </c>
      <c r="H5" s="18" t="s">
        <v>17</v>
      </c>
      <c r="I5" s="8">
        <v>79000</v>
      </c>
      <c r="J5" s="10" t="s">
        <v>55</v>
      </c>
      <c r="K5" s="9">
        <v>0.56597222222222221</v>
      </c>
      <c r="L5" s="10">
        <v>0.56597222222222221</v>
      </c>
      <c r="M5" s="22">
        <v>175</v>
      </c>
      <c r="N5" s="4">
        <v>4</v>
      </c>
      <c r="O5" s="4">
        <v>1887</v>
      </c>
      <c r="P5" s="4">
        <v>0</v>
      </c>
      <c r="Q5" s="4">
        <v>0</v>
      </c>
      <c r="R5" s="4" t="s">
        <v>56</v>
      </c>
      <c r="S5" s="9">
        <v>0.60763888888888895</v>
      </c>
      <c r="T5" s="10">
        <v>0.61944444444444446</v>
      </c>
      <c r="U5" s="4">
        <v>116</v>
      </c>
      <c r="V5" s="4">
        <v>0</v>
      </c>
      <c r="W5" s="4">
        <v>1573</v>
      </c>
      <c r="X5" s="4">
        <v>0</v>
      </c>
      <c r="Y5" s="4">
        <v>0</v>
      </c>
    </row>
    <row r="6" spans="1:25" x14ac:dyDescent="0.25">
      <c r="A6" s="11">
        <v>45831</v>
      </c>
      <c r="B6" s="4" t="s">
        <v>13</v>
      </c>
      <c r="C6" s="17" t="s">
        <v>14</v>
      </c>
      <c r="D6" s="4" t="s">
        <v>168</v>
      </c>
      <c r="E6" s="18" t="s">
        <v>68</v>
      </c>
      <c r="F6" s="4">
        <v>239</v>
      </c>
      <c r="G6" s="4" t="s">
        <v>208</v>
      </c>
      <c r="H6" s="18" t="s">
        <v>17</v>
      </c>
      <c r="I6" s="8">
        <v>89000</v>
      </c>
      <c r="J6" s="4" t="s">
        <v>166</v>
      </c>
      <c r="K6" s="9">
        <v>0.62847222222222221</v>
      </c>
      <c r="L6" s="10">
        <v>0.62013888888888891</v>
      </c>
      <c r="M6" s="4">
        <v>171</v>
      </c>
      <c r="N6" s="4">
        <v>1</v>
      </c>
      <c r="O6" s="4">
        <v>356</v>
      </c>
      <c r="P6" s="4">
        <v>0</v>
      </c>
      <c r="Q6" s="4">
        <v>0</v>
      </c>
      <c r="R6" s="4" t="s">
        <v>167</v>
      </c>
      <c r="S6" s="9">
        <v>0.65277777777777779</v>
      </c>
      <c r="T6" s="10">
        <v>0.6645833333333333</v>
      </c>
      <c r="U6" s="4">
        <v>171</v>
      </c>
      <c r="V6" s="4">
        <v>1</v>
      </c>
      <c r="W6" s="4">
        <v>356</v>
      </c>
      <c r="X6" s="4">
        <v>0</v>
      </c>
      <c r="Y6" s="4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F805-6259-4E9E-8C49-A03BF1096440}">
  <dimension ref="A1:Y9"/>
  <sheetViews>
    <sheetView workbookViewId="0">
      <selection activeCell="T4" sqref="T4"/>
    </sheetView>
  </sheetViews>
  <sheetFormatPr defaultRowHeight="15" x14ac:dyDescent="0.25"/>
  <cols>
    <col min="2" max="2" width="26.28515625" customWidth="1"/>
    <col min="4" max="4" width="17.7109375" customWidth="1"/>
    <col min="8" max="8" width="16.140625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45832</v>
      </c>
      <c r="B2" s="4" t="s">
        <v>212</v>
      </c>
      <c r="C2" s="4" t="s">
        <v>131</v>
      </c>
      <c r="D2" s="4" t="s">
        <v>118</v>
      </c>
      <c r="E2" s="4" t="s">
        <v>16</v>
      </c>
      <c r="F2" s="4">
        <v>180</v>
      </c>
      <c r="G2" s="4" t="s">
        <v>145</v>
      </c>
      <c r="H2" s="4" t="s">
        <v>120</v>
      </c>
      <c r="I2" s="8">
        <v>71500</v>
      </c>
      <c r="J2" s="4" t="s">
        <v>121</v>
      </c>
      <c r="K2" s="9">
        <v>0.33333333333333331</v>
      </c>
      <c r="L2" s="10">
        <v>0.32916666666666666</v>
      </c>
      <c r="M2" s="4">
        <v>178</v>
      </c>
      <c r="N2" s="4">
        <v>1</v>
      </c>
      <c r="O2" s="4">
        <v>2284</v>
      </c>
      <c r="P2" s="4">
        <v>0</v>
      </c>
      <c r="Q2" s="4">
        <v>0</v>
      </c>
      <c r="R2" s="4" t="s">
        <v>122</v>
      </c>
      <c r="S2" s="9">
        <v>0.375</v>
      </c>
      <c r="T2" s="10">
        <v>0.37152777777777773</v>
      </c>
      <c r="U2" s="4">
        <v>179</v>
      </c>
      <c r="V2" s="4">
        <v>1</v>
      </c>
      <c r="W2" s="4">
        <v>2420</v>
      </c>
      <c r="X2" s="4">
        <v>0</v>
      </c>
      <c r="Y2" s="4">
        <v>0</v>
      </c>
    </row>
    <row r="3" spans="1:25" x14ac:dyDescent="0.25">
      <c r="A3" s="11">
        <v>45832</v>
      </c>
      <c r="B3" s="4" t="s">
        <v>213</v>
      </c>
      <c r="C3" s="4" t="s">
        <v>132</v>
      </c>
      <c r="D3" s="4" t="s">
        <v>118</v>
      </c>
      <c r="E3" s="4" t="s">
        <v>124</v>
      </c>
      <c r="F3" s="4">
        <v>189</v>
      </c>
      <c r="G3" s="4" t="s">
        <v>210</v>
      </c>
      <c r="H3" s="4" t="s">
        <v>120</v>
      </c>
      <c r="I3" s="8">
        <v>80000</v>
      </c>
      <c r="J3" s="4" t="s">
        <v>126</v>
      </c>
      <c r="K3" s="9">
        <v>0.43402777777777773</v>
      </c>
      <c r="L3" s="10">
        <v>0.41805555555555557</v>
      </c>
      <c r="M3" s="4">
        <v>188</v>
      </c>
      <c r="N3" s="4">
        <v>4</v>
      </c>
      <c r="O3" s="4">
        <v>2330</v>
      </c>
      <c r="P3" s="4">
        <v>0</v>
      </c>
      <c r="Q3" s="4">
        <v>0</v>
      </c>
      <c r="R3" s="4" t="s">
        <v>127</v>
      </c>
      <c r="S3" s="9">
        <v>0.47569444444444442</v>
      </c>
      <c r="T3" s="10">
        <v>0.4680555555555555</v>
      </c>
      <c r="U3" s="4">
        <v>174</v>
      </c>
      <c r="V3" s="4">
        <v>3</v>
      </c>
      <c r="W3" s="4">
        <v>1911</v>
      </c>
      <c r="X3" s="4">
        <v>0</v>
      </c>
      <c r="Y3" s="4">
        <v>0</v>
      </c>
    </row>
    <row r="4" spans="1:25" x14ac:dyDescent="0.25">
      <c r="A4" s="11">
        <v>45832</v>
      </c>
      <c r="B4" s="4" t="s">
        <v>46</v>
      </c>
      <c r="C4" s="17" t="s">
        <v>47</v>
      </c>
      <c r="D4" s="4" t="s">
        <v>30</v>
      </c>
      <c r="E4" s="18" t="s">
        <v>68</v>
      </c>
      <c r="F4" s="4">
        <v>239</v>
      </c>
      <c r="G4" s="4" t="s">
        <v>211</v>
      </c>
      <c r="H4" s="18" t="s">
        <v>17</v>
      </c>
      <c r="I4" s="8">
        <v>89000</v>
      </c>
      <c r="J4" s="4" t="s">
        <v>82</v>
      </c>
      <c r="K4" s="9">
        <v>0.4861111111111111</v>
      </c>
      <c r="L4" s="10">
        <v>0.4770833333333333</v>
      </c>
      <c r="M4" s="4">
        <v>106</v>
      </c>
      <c r="N4" s="4">
        <v>2</v>
      </c>
      <c r="O4" s="4">
        <v>334</v>
      </c>
      <c r="P4" s="4">
        <v>0</v>
      </c>
      <c r="Q4" s="4">
        <v>0</v>
      </c>
      <c r="R4" s="4" t="s">
        <v>82</v>
      </c>
      <c r="S4" s="9">
        <v>0.51388888888888895</v>
      </c>
      <c r="T4" s="10">
        <v>0.51180555555555551</v>
      </c>
      <c r="U4" s="4">
        <v>218</v>
      </c>
      <c r="V4" s="4">
        <v>9</v>
      </c>
      <c r="W4" s="4">
        <v>508</v>
      </c>
      <c r="X4" s="4">
        <v>0</v>
      </c>
      <c r="Y4" s="4">
        <v>0</v>
      </c>
    </row>
    <row r="5" spans="1:25" x14ac:dyDescent="0.25">
      <c r="A5" s="11"/>
      <c r="B5" s="4"/>
      <c r="C5" s="4"/>
      <c r="D5" s="4"/>
      <c r="E5" s="4"/>
      <c r="F5" s="4"/>
      <c r="G5" s="4"/>
      <c r="H5" s="18"/>
      <c r="I5" s="8"/>
      <c r="J5" s="4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</row>
    <row r="9" spans="1:25" x14ac:dyDescent="0.25">
      <c r="B9" s="4"/>
      <c r="C9" s="17"/>
      <c r="D9" s="4"/>
      <c r="E9" s="18"/>
      <c r="F9" s="4"/>
      <c r="G9" s="4"/>
      <c r="H9" s="18"/>
      <c r="I9" s="8"/>
      <c r="J9" s="4"/>
      <c r="K9" s="9"/>
      <c r="L9" s="10"/>
      <c r="M9" s="4"/>
      <c r="N9" s="4"/>
      <c r="O9" s="4"/>
      <c r="P9" s="4"/>
      <c r="Q9" s="4"/>
      <c r="R9" s="4"/>
      <c r="S9" s="9"/>
      <c r="T9" s="10"/>
      <c r="U9" s="4"/>
      <c r="V9" s="4"/>
      <c r="W9" s="4"/>
      <c r="X9" s="4"/>
      <c r="Y9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F0B6-F4E3-4630-8ED6-8CD19D63D5FA}">
  <dimension ref="A1:Y7"/>
  <sheetViews>
    <sheetView workbookViewId="0">
      <selection activeCell="B6" sqref="B6:Y6"/>
    </sheetView>
  </sheetViews>
  <sheetFormatPr defaultRowHeight="15" x14ac:dyDescent="0.25"/>
  <cols>
    <col min="1" max="1" width="10.140625" bestFit="1" customWidth="1"/>
    <col min="2" max="2" width="26" customWidth="1"/>
    <col min="4" max="4" width="15.42578125" customWidth="1"/>
    <col min="8" max="8" width="18.140625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45833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201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0.37152777777777773</v>
      </c>
      <c r="M2" s="4">
        <v>93</v>
      </c>
      <c r="N2" s="4">
        <v>0</v>
      </c>
      <c r="O2" s="4">
        <v>398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0.40972222222222227</v>
      </c>
      <c r="U2" s="4">
        <v>180</v>
      </c>
      <c r="V2" s="4">
        <v>4</v>
      </c>
      <c r="W2" s="4">
        <v>513</v>
      </c>
      <c r="X2" s="4">
        <v>0</v>
      </c>
      <c r="Y2" s="4">
        <v>0</v>
      </c>
    </row>
    <row r="3" spans="1:25" x14ac:dyDescent="0.25">
      <c r="A3" s="11">
        <v>45833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180</v>
      </c>
      <c r="G3" s="4" t="s">
        <v>214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0.45069444444444445</v>
      </c>
      <c r="M3" s="4">
        <v>119</v>
      </c>
      <c r="N3" s="4">
        <v>1</v>
      </c>
      <c r="O3" s="4">
        <v>347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0.49652777777777773</v>
      </c>
      <c r="U3" s="4">
        <v>169</v>
      </c>
      <c r="V3" s="4">
        <v>7</v>
      </c>
      <c r="W3" s="4">
        <v>662</v>
      </c>
      <c r="X3" s="4">
        <v>0</v>
      </c>
      <c r="Y3" s="4">
        <v>0</v>
      </c>
    </row>
    <row r="4" spans="1:25" x14ac:dyDescent="0.25">
      <c r="A4" s="11">
        <v>45833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180</v>
      </c>
      <c r="G4" s="8" t="s">
        <v>215</v>
      </c>
      <c r="H4" s="18" t="s">
        <v>17</v>
      </c>
      <c r="I4" s="8">
        <v>71500</v>
      </c>
      <c r="J4" s="10" t="s">
        <v>49</v>
      </c>
      <c r="K4" s="9">
        <v>0.5</v>
      </c>
      <c r="L4" s="10">
        <v>0.53819444444444442</v>
      </c>
      <c r="M4" s="4">
        <v>172</v>
      </c>
      <c r="N4" s="4">
        <v>2</v>
      </c>
      <c r="O4" s="4">
        <v>850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0.57777777777777783</v>
      </c>
      <c r="U4" s="4">
        <v>156</v>
      </c>
      <c r="V4" s="4">
        <v>4</v>
      </c>
      <c r="W4" s="4">
        <v>462</v>
      </c>
      <c r="X4" s="4">
        <v>0</v>
      </c>
      <c r="Y4" s="4">
        <v>0</v>
      </c>
    </row>
    <row r="5" spans="1:25" x14ac:dyDescent="0.25">
      <c r="A5" s="11">
        <v>45833</v>
      </c>
      <c r="B5" s="4" t="s">
        <v>13</v>
      </c>
      <c r="C5" s="17" t="s">
        <v>14</v>
      </c>
      <c r="D5" s="4" t="s">
        <v>168</v>
      </c>
      <c r="E5" s="18" t="s">
        <v>68</v>
      </c>
      <c r="F5" s="4">
        <v>239</v>
      </c>
      <c r="G5" s="4" t="s">
        <v>216</v>
      </c>
      <c r="H5" s="18" t="s">
        <v>17</v>
      </c>
      <c r="I5" s="8">
        <v>89000</v>
      </c>
      <c r="J5" s="4" t="s">
        <v>166</v>
      </c>
      <c r="K5" s="9">
        <v>0.62847222222222221</v>
      </c>
      <c r="L5" s="10">
        <v>0.62638888888888888</v>
      </c>
      <c r="M5" s="4">
        <v>107</v>
      </c>
      <c r="N5" s="4">
        <v>2</v>
      </c>
      <c r="O5" s="4">
        <v>203</v>
      </c>
      <c r="P5" s="4">
        <v>0</v>
      </c>
      <c r="Q5" s="4">
        <v>0</v>
      </c>
      <c r="R5" s="4" t="s">
        <v>167</v>
      </c>
      <c r="S5" s="9">
        <v>0.65277777777777779</v>
      </c>
      <c r="T5" s="10">
        <v>0.66666666666666663</v>
      </c>
      <c r="U5" s="4">
        <v>115</v>
      </c>
      <c r="V5" s="4">
        <v>1</v>
      </c>
      <c r="W5" s="4">
        <v>206</v>
      </c>
      <c r="X5" s="4">
        <v>0</v>
      </c>
      <c r="Y5" s="4">
        <v>0</v>
      </c>
    </row>
    <row r="6" spans="1:25" x14ac:dyDescent="0.25">
      <c r="A6" s="28">
        <v>45833</v>
      </c>
      <c r="B6" s="4" t="s">
        <v>223</v>
      </c>
      <c r="C6" s="17" t="s">
        <v>35</v>
      </c>
      <c r="D6" s="29" t="s">
        <v>224</v>
      </c>
      <c r="E6" s="29" t="s">
        <v>37</v>
      </c>
      <c r="F6" s="29" t="s">
        <v>35</v>
      </c>
      <c r="G6" s="29" t="s">
        <v>38</v>
      </c>
      <c r="H6" s="29" t="s">
        <v>39</v>
      </c>
      <c r="I6" s="29">
        <v>4670</v>
      </c>
      <c r="J6" s="29" t="s">
        <v>225</v>
      </c>
      <c r="K6" s="32">
        <v>0.63541666666666663</v>
      </c>
      <c r="L6" s="30">
        <v>0.6166666666666667</v>
      </c>
      <c r="M6" s="29" t="s">
        <v>43</v>
      </c>
      <c r="N6" s="29">
        <v>0</v>
      </c>
      <c r="O6" s="29">
        <v>0</v>
      </c>
      <c r="P6" s="29">
        <v>0</v>
      </c>
      <c r="Q6" s="29">
        <v>0</v>
      </c>
      <c r="R6" s="29" t="s">
        <v>225</v>
      </c>
      <c r="S6" s="32">
        <v>0.70833333333333337</v>
      </c>
      <c r="T6" s="30">
        <v>0.7416666666666667</v>
      </c>
      <c r="U6" s="29">
        <v>3</v>
      </c>
      <c r="V6" s="29">
        <v>0</v>
      </c>
      <c r="W6" s="29">
        <v>0</v>
      </c>
      <c r="X6" s="29">
        <v>0</v>
      </c>
      <c r="Y6" s="29">
        <v>0</v>
      </c>
    </row>
    <row r="7" spans="1:25" x14ac:dyDescent="0.25">
      <c r="A7" s="28">
        <v>45833</v>
      </c>
      <c r="B7" s="4" t="s">
        <v>217</v>
      </c>
      <c r="C7" s="17" t="s">
        <v>85</v>
      </c>
      <c r="D7" s="4" t="s">
        <v>218</v>
      </c>
      <c r="E7" s="4" t="s">
        <v>219</v>
      </c>
      <c r="F7" s="4" t="s">
        <v>85</v>
      </c>
      <c r="G7" s="4" t="s">
        <v>220</v>
      </c>
      <c r="H7" s="18" t="s">
        <v>221</v>
      </c>
      <c r="I7" s="8">
        <v>47000</v>
      </c>
      <c r="J7" s="4" t="s">
        <v>222</v>
      </c>
      <c r="K7" s="32">
        <v>0.54861111111111105</v>
      </c>
      <c r="L7" s="30">
        <v>0.54999999999999993</v>
      </c>
      <c r="M7" s="29">
        <v>4</v>
      </c>
      <c r="N7" s="29">
        <v>0</v>
      </c>
      <c r="O7" s="29">
        <v>0</v>
      </c>
      <c r="P7" s="4">
        <v>0</v>
      </c>
      <c r="Q7" s="4">
        <v>0</v>
      </c>
      <c r="R7" s="4" t="s">
        <v>222</v>
      </c>
      <c r="S7" s="32">
        <v>0.63194444444444442</v>
      </c>
      <c r="T7" s="30">
        <v>0.69097222222222221</v>
      </c>
      <c r="U7" s="29">
        <v>3</v>
      </c>
      <c r="V7" s="29">
        <v>0</v>
      </c>
      <c r="W7" s="29">
        <v>0</v>
      </c>
      <c r="X7" s="29">
        <v>0</v>
      </c>
      <c r="Y7" s="29">
        <v>0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38FE-BCF1-44B1-943A-796FA1ED180A}">
  <dimension ref="A1:Z12"/>
  <sheetViews>
    <sheetView workbookViewId="0">
      <selection activeCell="D10" sqref="D10"/>
    </sheetView>
  </sheetViews>
  <sheetFormatPr defaultRowHeight="15" x14ac:dyDescent="0.25"/>
  <cols>
    <col min="2" max="2" width="26.42578125" customWidth="1"/>
    <col min="4" max="4" width="18.5703125" customWidth="1"/>
    <col min="8" max="8" width="13.7109375" customWidth="1"/>
  </cols>
  <sheetData>
    <row r="1" spans="1:26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  <c r="Z1" s="4"/>
    </row>
    <row r="2" spans="1:26" x14ac:dyDescent="0.25">
      <c r="A2" s="11">
        <v>45834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31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0.41041666666666665</v>
      </c>
      <c r="M2" s="4">
        <v>102</v>
      </c>
      <c r="N2" s="4">
        <v>1</v>
      </c>
      <c r="O2" s="4">
        <v>221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0.44861111111111113</v>
      </c>
      <c r="U2" s="4">
        <v>166</v>
      </c>
      <c r="V2" s="4">
        <v>1</v>
      </c>
      <c r="W2" s="4">
        <v>531</v>
      </c>
      <c r="X2" s="4">
        <v>0</v>
      </c>
      <c r="Y2" s="4">
        <v>0</v>
      </c>
      <c r="Z2" s="4"/>
    </row>
    <row r="3" spans="1:26" x14ac:dyDescent="0.25">
      <c r="A3" s="11">
        <v>45834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182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0.48125000000000001</v>
      </c>
      <c r="M3" s="4">
        <v>213</v>
      </c>
      <c r="N3" s="4">
        <v>6</v>
      </c>
      <c r="O3" s="4">
        <v>1090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0.5229166666666667</v>
      </c>
      <c r="U3" s="4">
        <v>187</v>
      </c>
      <c r="V3" s="4">
        <v>5</v>
      </c>
      <c r="W3" s="4">
        <v>578</v>
      </c>
      <c r="X3" s="4">
        <v>0</v>
      </c>
      <c r="Y3" s="4">
        <v>0</v>
      </c>
      <c r="Z3" s="4"/>
    </row>
    <row r="4" spans="1:26" x14ac:dyDescent="0.25">
      <c r="A4" s="11"/>
      <c r="B4" s="4"/>
      <c r="C4" s="4"/>
      <c r="D4" s="4"/>
      <c r="E4" s="4"/>
      <c r="F4" s="4"/>
      <c r="G4" s="4"/>
      <c r="H4" s="4"/>
      <c r="I4" s="4"/>
      <c r="J4" s="4"/>
      <c r="K4" s="9"/>
      <c r="L4" s="10"/>
      <c r="M4" s="4"/>
      <c r="N4" s="4"/>
      <c r="O4" s="4"/>
      <c r="P4" s="4"/>
      <c r="Q4" s="4"/>
      <c r="R4" s="4"/>
      <c r="S4" s="9"/>
      <c r="T4" s="10"/>
      <c r="U4" s="4"/>
      <c r="V4" s="4"/>
      <c r="W4" s="4"/>
      <c r="X4" s="4"/>
      <c r="Y4" s="4"/>
      <c r="Z4" s="4"/>
    </row>
    <row r="5" spans="1:26" x14ac:dyDescent="0.25">
      <c r="A5" s="11"/>
      <c r="B5" s="4"/>
      <c r="C5" s="4"/>
      <c r="D5" s="4"/>
      <c r="E5" s="4"/>
      <c r="F5" s="4"/>
      <c r="G5" s="4"/>
      <c r="H5" s="4"/>
      <c r="I5" s="4"/>
      <c r="J5" s="4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4923-B811-42C9-936F-85B49925621F}">
  <dimension ref="A1:Y7"/>
  <sheetViews>
    <sheetView workbookViewId="0">
      <selection activeCell="G8" sqref="G8"/>
    </sheetView>
  </sheetViews>
  <sheetFormatPr defaultRowHeight="15" x14ac:dyDescent="0.25"/>
  <sheetData>
    <row r="1" spans="1:25" ht="25.5" x14ac:dyDescent="0.25">
      <c r="A1" s="13" t="s">
        <v>0</v>
      </c>
      <c r="B1" s="13" t="s">
        <v>1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6">
        <v>45835</v>
      </c>
      <c r="B2" s="4" t="s">
        <v>86</v>
      </c>
      <c r="C2" s="5" t="s">
        <v>87</v>
      </c>
      <c r="D2" s="18" t="s">
        <v>53</v>
      </c>
      <c r="E2" s="21" t="s">
        <v>16</v>
      </c>
      <c r="F2" s="18">
        <v>180</v>
      </c>
      <c r="G2" s="8" t="s">
        <v>226</v>
      </c>
      <c r="H2" s="5" t="s">
        <v>17</v>
      </c>
      <c r="I2" s="8">
        <v>71500</v>
      </c>
      <c r="J2" s="10" t="s">
        <v>88</v>
      </c>
      <c r="K2" s="9">
        <v>0.36805555555555558</v>
      </c>
      <c r="L2" s="10">
        <v>0.3527777777777778</v>
      </c>
      <c r="M2" s="22">
        <v>158</v>
      </c>
      <c r="N2" s="4">
        <v>2</v>
      </c>
      <c r="O2" s="4">
        <v>1206</v>
      </c>
      <c r="P2" s="4">
        <v>0</v>
      </c>
      <c r="Q2" s="4">
        <v>0</v>
      </c>
      <c r="R2" s="4" t="s">
        <v>89</v>
      </c>
      <c r="S2" s="9">
        <v>0.4236111111111111</v>
      </c>
      <c r="T2" s="10">
        <v>0.42708333333333331</v>
      </c>
      <c r="U2" s="22">
        <v>58</v>
      </c>
      <c r="V2" s="4">
        <v>1</v>
      </c>
      <c r="W2" s="4">
        <v>676</v>
      </c>
      <c r="X2" s="4">
        <v>0</v>
      </c>
      <c r="Y2" s="4">
        <v>0</v>
      </c>
    </row>
    <row r="3" spans="1:25" x14ac:dyDescent="0.25">
      <c r="A3" s="6">
        <v>45835</v>
      </c>
      <c r="B3" s="4" t="s">
        <v>13</v>
      </c>
      <c r="C3" s="17" t="s">
        <v>14</v>
      </c>
      <c r="D3" s="4" t="s">
        <v>15</v>
      </c>
      <c r="E3" s="4" t="s">
        <v>16</v>
      </c>
      <c r="F3" s="4">
        <v>186</v>
      </c>
      <c r="G3" s="4" t="s">
        <v>161</v>
      </c>
      <c r="H3" s="18" t="s">
        <v>17</v>
      </c>
      <c r="I3" s="8">
        <v>71500</v>
      </c>
      <c r="J3" s="4" t="s">
        <v>18</v>
      </c>
      <c r="K3" s="9">
        <v>0.3923611111111111</v>
      </c>
      <c r="L3" s="10">
        <v>0.4152777777777778</v>
      </c>
      <c r="M3" s="4">
        <v>172</v>
      </c>
      <c r="N3" s="4">
        <v>2</v>
      </c>
      <c r="O3" s="4">
        <v>280</v>
      </c>
      <c r="P3" s="4">
        <v>0</v>
      </c>
      <c r="Q3" s="4">
        <v>0</v>
      </c>
      <c r="R3" s="4" t="s">
        <v>29</v>
      </c>
      <c r="S3" s="9">
        <v>0.41319444444444442</v>
      </c>
      <c r="T3" s="10">
        <v>0.44930555555555557</v>
      </c>
      <c r="U3" s="4">
        <v>165</v>
      </c>
      <c r="V3" s="4">
        <v>7</v>
      </c>
      <c r="W3" s="4">
        <v>333</v>
      </c>
      <c r="X3" s="4">
        <v>0</v>
      </c>
      <c r="Y3" s="4">
        <v>0</v>
      </c>
    </row>
    <row r="4" spans="1:25" x14ac:dyDescent="0.25">
      <c r="A4" s="6">
        <v>45835</v>
      </c>
      <c r="B4" s="4" t="s">
        <v>13</v>
      </c>
      <c r="C4" s="17" t="s">
        <v>14</v>
      </c>
      <c r="D4" s="4" t="s">
        <v>30</v>
      </c>
      <c r="E4" s="18" t="s">
        <v>16</v>
      </c>
      <c r="F4" s="4">
        <v>186</v>
      </c>
      <c r="G4" s="4" t="s">
        <v>227</v>
      </c>
      <c r="H4" s="18" t="s">
        <v>17</v>
      </c>
      <c r="I4" s="8">
        <v>71500</v>
      </c>
      <c r="J4" s="4" t="s">
        <v>32</v>
      </c>
      <c r="K4" s="9">
        <v>0.49652777777777773</v>
      </c>
      <c r="L4" s="10">
        <v>0.48680555555555555</v>
      </c>
      <c r="M4" s="4">
        <v>180</v>
      </c>
      <c r="N4" s="4">
        <v>6</v>
      </c>
      <c r="O4" s="4">
        <v>805</v>
      </c>
      <c r="P4" s="4">
        <v>0</v>
      </c>
      <c r="Q4" s="4">
        <v>0</v>
      </c>
      <c r="R4" s="4" t="s">
        <v>33</v>
      </c>
      <c r="S4" s="9">
        <v>0.51736111111111105</v>
      </c>
      <c r="T4" s="10">
        <v>0.52708333333333335</v>
      </c>
      <c r="U4" s="4">
        <v>178</v>
      </c>
      <c r="V4" s="4">
        <v>3</v>
      </c>
      <c r="W4" s="4">
        <v>696</v>
      </c>
      <c r="X4" s="4">
        <v>0</v>
      </c>
      <c r="Y4" s="4">
        <v>0</v>
      </c>
    </row>
    <row r="5" spans="1:25" x14ac:dyDescent="0.25">
      <c r="A5" s="6">
        <v>45835</v>
      </c>
      <c r="B5" s="4" t="s">
        <v>46</v>
      </c>
      <c r="C5" s="4" t="s">
        <v>47</v>
      </c>
      <c r="D5" s="18" t="s">
        <v>48</v>
      </c>
      <c r="E5" s="4" t="s">
        <v>16</v>
      </c>
      <c r="F5" s="4">
        <v>180</v>
      </c>
      <c r="G5" s="8" t="s">
        <v>112</v>
      </c>
      <c r="H5" s="18" t="s">
        <v>17</v>
      </c>
      <c r="I5" s="8">
        <v>71500</v>
      </c>
      <c r="J5" s="10" t="s">
        <v>49</v>
      </c>
      <c r="K5" s="9">
        <v>0.5</v>
      </c>
      <c r="L5" s="10">
        <v>0.4916666666666667</v>
      </c>
      <c r="M5" s="4">
        <v>171</v>
      </c>
      <c r="N5" s="4">
        <v>5</v>
      </c>
      <c r="O5" s="4">
        <v>971</v>
      </c>
      <c r="P5" s="4">
        <v>0</v>
      </c>
      <c r="Q5" s="4">
        <v>0</v>
      </c>
      <c r="R5" s="4" t="s">
        <v>50</v>
      </c>
      <c r="S5" s="9">
        <v>0.52083333333333337</v>
      </c>
      <c r="T5" s="10">
        <v>0.53888888888888886</v>
      </c>
      <c r="U5" s="4">
        <v>153</v>
      </c>
      <c r="V5" s="4">
        <v>3</v>
      </c>
      <c r="W5" s="4">
        <v>942</v>
      </c>
      <c r="X5" s="4">
        <v>0</v>
      </c>
      <c r="Y5" s="4">
        <v>0</v>
      </c>
    </row>
    <row r="6" spans="1:25" x14ac:dyDescent="0.25">
      <c r="A6" s="6">
        <v>45835</v>
      </c>
      <c r="B6" s="4" t="s">
        <v>117</v>
      </c>
      <c r="C6" s="4" t="s">
        <v>131</v>
      </c>
      <c r="D6" s="4" t="s">
        <v>118</v>
      </c>
      <c r="E6" s="4" t="s">
        <v>16</v>
      </c>
      <c r="F6" s="4">
        <v>180</v>
      </c>
      <c r="G6" s="4" t="s">
        <v>119</v>
      </c>
      <c r="H6" s="18" t="s">
        <v>120</v>
      </c>
      <c r="I6" s="8">
        <v>71500</v>
      </c>
      <c r="J6" s="4" t="s">
        <v>146</v>
      </c>
      <c r="K6" s="9">
        <v>0.375</v>
      </c>
      <c r="L6" s="10">
        <v>0.36527777777777781</v>
      </c>
      <c r="M6" s="4">
        <v>180</v>
      </c>
      <c r="N6" s="4">
        <v>4</v>
      </c>
      <c r="O6" s="4">
        <v>2356</v>
      </c>
      <c r="P6" s="4">
        <v>0</v>
      </c>
      <c r="Q6" s="4">
        <v>0</v>
      </c>
      <c r="R6" s="4" t="s">
        <v>147</v>
      </c>
      <c r="S6" s="9">
        <v>0.41666666666666669</v>
      </c>
      <c r="T6" s="10">
        <v>0.4291666666666667</v>
      </c>
      <c r="U6" s="4">
        <v>175</v>
      </c>
      <c r="V6" s="4">
        <v>3</v>
      </c>
      <c r="W6" s="4">
        <v>1945</v>
      </c>
      <c r="X6" s="4">
        <v>0</v>
      </c>
      <c r="Y6" s="4">
        <v>0</v>
      </c>
    </row>
    <row r="7" spans="1:25" x14ac:dyDescent="0.25">
      <c r="A7" s="6">
        <v>45835</v>
      </c>
      <c r="B7" s="4" t="s">
        <v>13</v>
      </c>
      <c r="C7" s="17" t="s">
        <v>14</v>
      </c>
      <c r="D7" s="4" t="s">
        <v>168</v>
      </c>
      <c r="E7" s="18" t="s">
        <v>68</v>
      </c>
      <c r="F7" s="4">
        <v>239</v>
      </c>
      <c r="G7" s="4" t="s">
        <v>228</v>
      </c>
      <c r="H7" s="18" t="s">
        <v>17</v>
      </c>
      <c r="I7" s="8">
        <v>89000</v>
      </c>
      <c r="J7" s="4" t="s">
        <v>166</v>
      </c>
      <c r="K7" s="9">
        <v>0.62847222222222221</v>
      </c>
      <c r="L7" s="10">
        <v>0.62013888888888891</v>
      </c>
      <c r="M7" s="4">
        <v>233</v>
      </c>
      <c r="N7" s="4">
        <v>1</v>
      </c>
      <c r="O7" s="4">
        <v>344</v>
      </c>
      <c r="P7" s="4">
        <v>0</v>
      </c>
      <c r="Q7" s="4">
        <v>0</v>
      </c>
      <c r="R7" s="4" t="s">
        <v>167</v>
      </c>
      <c r="S7" s="9">
        <v>0.65277777777777779</v>
      </c>
      <c r="T7" s="10">
        <v>0.6645833333333333</v>
      </c>
      <c r="U7" s="4">
        <v>135</v>
      </c>
      <c r="V7" s="4">
        <v>4</v>
      </c>
      <c r="W7" s="4">
        <v>317</v>
      </c>
      <c r="X7" s="4">
        <v>0</v>
      </c>
      <c r="Y7" s="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C5D6-AA22-4796-BF8A-968112F63737}">
  <dimension ref="A1:Y3"/>
  <sheetViews>
    <sheetView workbookViewId="0">
      <selection activeCell="T4" sqref="T4"/>
    </sheetView>
  </sheetViews>
  <sheetFormatPr defaultRowHeight="15" x14ac:dyDescent="0.25"/>
  <cols>
    <col min="2" max="2" width="23.28515625" bestFit="1" customWidth="1"/>
    <col min="4" max="4" width="14" bestFit="1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45836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229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0.38472222222222219</v>
      </c>
      <c r="M2" s="4">
        <v>170</v>
      </c>
      <c r="N2" s="4">
        <v>2</v>
      </c>
      <c r="O2" s="4">
        <v>627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0.4201388888888889</v>
      </c>
      <c r="U2" s="4">
        <v>169</v>
      </c>
      <c r="V2" s="4">
        <v>7</v>
      </c>
      <c r="W2" s="4">
        <v>585</v>
      </c>
      <c r="X2" s="4">
        <v>0</v>
      </c>
      <c r="Y2" s="4">
        <v>0</v>
      </c>
    </row>
    <row r="3" spans="1:25" x14ac:dyDescent="0.25">
      <c r="A3" s="11">
        <v>45836</v>
      </c>
      <c r="B3" s="4" t="s">
        <v>46</v>
      </c>
      <c r="C3" s="17" t="s">
        <v>47</v>
      </c>
      <c r="D3" s="4" t="s">
        <v>30</v>
      </c>
      <c r="E3" s="18" t="s">
        <v>68</v>
      </c>
      <c r="F3" s="4">
        <v>239</v>
      </c>
      <c r="G3" s="4" t="s">
        <v>211</v>
      </c>
      <c r="H3" s="18" t="s">
        <v>17</v>
      </c>
      <c r="I3" s="8">
        <v>89000</v>
      </c>
      <c r="J3" s="4" t="s">
        <v>82</v>
      </c>
      <c r="K3" s="9">
        <v>0.48958333333333331</v>
      </c>
      <c r="L3" s="10">
        <v>0.51041666666666663</v>
      </c>
      <c r="M3" s="4">
        <v>210</v>
      </c>
      <c r="N3" s="4">
        <v>5</v>
      </c>
      <c r="O3" s="4">
        <v>1258</v>
      </c>
      <c r="P3" s="4">
        <v>0</v>
      </c>
      <c r="Q3" s="4">
        <v>0</v>
      </c>
      <c r="R3" s="4" t="s">
        <v>83</v>
      </c>
      <c r="S3" s="9">
        <v>0.51388888888888895</v>
      </c>
      <c r="T3" s="10">
        <v>0.54861111111111105</v>
      </c>
      <c r="U3" s="4">
        <v>194</v>
      </c>
      <c r="V3" s="4">
        <v>5</v>
      </c>
      <c r="W3" s="4">
        <v>1036</v>
      </c>
      <c r="X3" s="4">
        <v>0</v>
      </c>
      <c r="Y3" s="4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6B1-2407-4794-B27F-B86D5CD1D6FD}">
  <dimension ref="A1:Y6"/>
  <sheetViews>
    <sheetView workbookViewId="0">
      <selection activeCell="T9" sqref="T9"/>
    </sheetView>
  </sheetViews>
  <sheetFormatPr defaultRowHeight="15" x14ac:dyDescent="0.25"/>
  <cols>
    <col min="2" max="2" width="23.28515625" customWidth="1"/>
    <col min="4" max="4" width="22.7109375" customWidth="1"/>
    <col min="8" max="8" width="13.28515625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45837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135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0.39305555555555555</v>
      </c>
      <c r="M2" s="4">
        <v>158</v>
      </c>
      <c r="N2" s="4">
        <v>4</v>
      </c>
      <c r="O2" s="4">
        <v>768</v>
      </c>
      <c r="P2" s="4">
        <v>0</v>
      </c>
      <c r="Q2" s="4">
        <v>0</v>
      </c>
      <c r="R2" s="4" t="s">
        <v>29</v>
      </c>
      <c r="S2" s="9">
        <v>0.4236111111111111</v>
      </c>
      <c r="T2" s="10">
        <v>0.43541666666666662</v>
      </c>
      <c r="U2" s="4">
        <v>170</v>
      </c>
      <c r="V2" s="4">
        <v>4</v>
      </c>
      <c r="W2" s="4">
        <v>494</v>
      </c>
      <c r="X2" s="4">
        <v>0</v>
      </c>
      <c r="Y2" s="4">
        <v>0</v>
      </c>
    </row>
    <row r="3" spans="1:25" x14ac:dyDescent="0.25">
      <c r="A3" s="11">
        <v>45837</v>
      </c>
      <c r="B3" s="4" t="s">
        <v>13</v>
      </c>
      <c r="C3" s="17" t="s">
        <v>14</v>
      </c>
      <c r="D3" s="4" t="s">
        <v>30</v>
      </c>
      <c r="E3" s="18" t="s">
        <v>232</v>
      </c>
      <c r="F3" s="4">
        <v>186</v>
      </c>
      <c r="G3" s="4" t="s">
        <v>161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0.45624999999999999</v>
      </c>
      <c r="M3" s="4">
        <v>179</v>
      </c>
      <c r="N3" s="4">
        <v>6</v>
      </c>
      <c r="O3" s="4">
        <v>1083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0.49513888888888885</v>
      </c>
      <c r="U3" s="4">
        <v>170</v>
      </c>
      <c r="V3" s="4">
        <v>2</v>
      </c>
      <c r="W3" s="4">
        <v>662</v>
      </c>
      <c r="X3" s="4">
        <v>0</v>
      </c>
      <c r="Y3" s="4">
        <v>0</v>
      </c>
    </row>
    <row r="4" spans="1:25" x14ac:dyDescent="0.25">
      <c r="A4" s="11">
        <v>45837</v>
      </c>
      <c r="B4" s="4" t="s">
        <v>13</v>
      </c>
      <c r="C4" s="17" t="s">
        <v>14</v>
      </c>
      <c r="D4" s="4" t="s">
        <v>168</v>
      </c>
      <c r="E4" s="18" t="s">
        <v>231</v>
      </c>
      <c r="F4" s="4">
        <v>230</v>
      </c>
      <c r="G4" s="4" t="s">
        <v>230</v>
      </c>
      <c r="H4" s="18" t="s">
        <v>17</v>
      </c>
      <c r="I4" s="8">
        <v>89000</v>
      </c>
      <c r="J4" s="4" t="s">
        <v>166</v>
      </c>
      <c r="K4" s="9">
        <v>0.62847222222222221</v>
      </c>
      <c r="L4" s="10">
        <v>0.62013888888888891</v>
      </c>
      <c r="M4" s="4">
        <v>188</v>
      </c>
      <c r="N4" s="4">
        <v>2</v>
      </c>
      <c r="O4" s="4">
        <v>296</v>
      </c>
      <c r="P4" s="4">
        <v>0</v>
      </c>
      <c r="Q4" s="4">
        <v>0</v>
      </c>
      <c r="R4" s="4" t="s">
        <v>167</v>
      </c>
      <c r="S4" s="9">
        <v>0.65277777777777779</v>
      </c>
      <c r="T4" s="10">
        <v>0.65347222222222223</v>
      </c>
      <c r="U4" s="4">
        <v>188</v>
      </c>
      <c r="V4" s="4">
        <v>2</v>
      </c>
      <c r="W4" s="4">
        <v>277</v>
      </c>
      <c r="X4" s="4">
        <v>0</v>
      </c>
      <c r="Y4" s="4">
        <v>0</v>
      </c>
    </row>
    <row r="5" spans="1:25" x14ac:dyDescent="0.25">
      <c r="A5" s="11"/>
      <c r="B5" s="4"/>
      <c r="C5" s="5"/>
      <c r="D5" s="5"/>
      <c r="E5" s="5"/>
      <c r="F5" s="5"/>
      <c r="G5" s="12"/>
      <c r="H5" s="5"/>
      <c r="I5" s="5"/>
      <c r="J5" s="7"/>
      <c r="K5" s="3"/>
      <c r="L5" s="7"/>
      <c r="M5" s="1"/>
      <c r="N5" s="1"/>
      <c r="O5" s="1"/>
      <c r="P5" s="19"/>
      <c r="Q5" s="1"/>
      <c r="R5" s="7"/>
      <c r="S5" s="3"/>
      <c r="T5" s="20"/>
      <c r="U5" s="1"/>
      <c r="V5" s="19"/>
      <c r="W5" s="19"/>
      <c r="X5" s="19"/>
      <c r="Y5" s="19"/>
    </row>
    <row r="6" spans="1:25" x14ac:dyDescent="0.25">
      <c r="A6" s="11"/>
      <c r="B6" s="4"/>
      <c r="C6" s="17"/>
      <c r="D6" s="4"/>
      <c r="E6" s="18"/>
      <c r="F6" s="4"/>
      <c r="G6" s="4"/>
      <c r="H6" s="18"/>
      <c r="I6" s="8"/>
      <c r="J6" s="4"/>
      <c r="K6" s="9"/>
      <c r="L6" s="10"/>
      <c r="M6" s="4"/>
      <c r="N6" s="4"/>
      <c r="O6" s="4"/>
      <c r="P6" s="4"/>
      <c r="Q6" s="4"/>
      <c r="R6" s="4"/>
      <c r="S6" s="9"/>
      <c r="T6" s="10"/>
      <c r="U6" s="4"/>
      <c r="V6" s="4"/>
      <c r="W6" s="4"/>
      <c r="X6" s="4"/>
      <c r="Y6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31D5-125C-42E7-BBBD-05BCA2B0F04C}">
  <dimension ref="A1:Y7"/>
  <sheetViews>
    <sheetView tabSelected="1" workbookViewId="0">
      <selection activeCell="U8" sqref="U8"/>
    </sheetView>
  </sheetViews>
  <sheetFormatPr defaultRowHeight="15" x14ac:dyDescent="0.25"/>
  <cols>
    <col min="2" max="2" width="25.7109375" customWidth="1"/>
    <col min="4" max="4" width="16.7109375" customWidth="1"/>
    <col min="8" max="8" width="16.140625" customWidth="1"/>
  </cols>
  <sheetData>
    <row r="1" spans="1:25" ht="25.5" x14ac:dyDescent="0.25">
      <c r="A1" s="14" t="s">
        <v>44</v>
      </c>
      <c r="B1" s="14" t="s">
        <v>45</v>
      </c>
      <c r="C1" s="14" t="s">
        <v>20</v>
      </c>
      <c r="D1" s="13" t="s">
        <v>2</v>
      </c>
      <c r="E1" s="13" t="s">
        <v>3</v>
      </c>
      <c r="F1" s="15" t="s">
        <v>21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3" t="s">
        <v>8</v>
      </c>
      <c r="S1" s="16" t="s">
        <v>11</v>
      </c>
      <c r="T1" s="16" t="s">
        <v>12</v>
      </c>
      <c r="U1" s="16" t="s">
        <v>22</v>
      </c>
      <c r="V1" s="16" t="s">
        <v>23</v>
      </c>
      <c r="W1" s="16" t="s">
        <v>27</v>
      </c>
      <c r="X1" s="16" t="s">
        <v>28</v>
      </c>
      <c r="Y1" s="16" t="s">
        <v>26</v>
      </c>
    </row>
    <row r="2" spans="1:25" x14ac:dyDescent="0.25">
      <c r="A2" s="11">
        <v>45838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164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0.37361111111111112</v>
      </c>
      <c r="M2" s="4">
        <v>133</v>
      </c>
      <c r="N2" s="4">
        <v>2</v>
      </c>
      <c r="O2" s="4">
        <v>400</v>
      </c>
      <c r="P2" s="4">
        <v>0</v>
      </c>
      <c r="Q2" s="4">
        <v>0</v>
      </c>
      <c r="R2" s="4" t="s">
        <v>29</v>
      </c>
      <c r="S2" s="9">
        <v>0.41319444444444442</v>
      </c>
      <c r="T2" s="10">
        <v>0.41666666666666669</v>
      </c>
      <c r="U2" s="4">
        <v>175</v>
      </c>
      <c r="V2" s="4">
        <v>0</v>
      </c>
      <c r="W2" s="4">
        <v>255</v>
      </c>
      <c r="X2" s="4">
        <v>0</v>
      </c>
      <c r="Y2" s="4">
        <v>0</v>
      </c>
    </row>
    <row r="3" spans="1:25" x14ac:dyDescent="0.25">
      <c r="A3" s="11">
        <v>45838</v>
      </c>
      <c r="B3" s="4" t="s">
        <v>13</v>
      </c>
      <c r="C3" s="17" t="s">
        <v>14</v>
      </c>
      <c r="D3" s="4" t="s">
        <v>30</v>
      </c>
      <c r="E3" s="18" t="s">
        <v>16</v>
      </c>
      <c r="F3" s="4">
        <v>186</v>
      </c>
      <c r="G3" s="4" t="s">
        <v>233</v>
      </c>
      <c r="H3" s="18" t="s">
        <v>17</v>
      </c>
      <c r="I3" s="8">
        <v>71500</v>
      </c>
      <c r="J3" s="4" t="s">
        <v>32</v>
      </c>
      <c r="K3" s="9">
        <v>0.46527777777777773</v>
      </c>
      <c r="L3" s="10">
        <v>0.45694444444444443</v>
      </c>
      <c r="M3" s="4">
        <v>182</v>
      </c>
      <c r="N3" s="4">
        <v>5</v>
      </c>
      <c r="O3" s="4">
        <v>631</v>
      </c>
      <c r="P3" s="4">
        <v>0</v>
      </c>
      <c r="Q3" s="4">
        <v>0</v>
      </c>
      <c r="R3" s="4" t="s">
        <v>33</v>
      </c>
      <c r="S3" s="9">
        <v>0.4861111111111111</v>
      </c>
      <c r="T3" s="10">
        <v>0.48749999999999999</v>
      </c>
      <c r="U3" s="4">
        <v>154</v>
      </c>
      <c r="V3" s="4">
        <v>2</v>
      </c>
      <c r="W3" s="4">
        <v>650</v>
      </c>
      <c r="X3" s="4">
        <v>0</v>
      </c>
      <c r="Y3" s="4">
        <v>0</v>
      </c>
    </row>
    <row r="4" spans="1:25" x14ac:dyDescent="0.25">
      <c r="A4" s="11">
        <v>45838</v>
      </c>
      <c r="B4" s="4" t="s">
        <v>46</v>
      </c>
      <c r="C4" s="4" t="s">
        <v>47</v>
      </c>
      <c r="D4" s="18" t="s">
        <v>48</v>
      </c>
      <c r="E4" s="4" t="s">
        <v>16</v>
      </c>
      <c r="F4" s="4">
        <v>108</v>
      </c>
      <c r="G4" s="8" t="s">
        <v>234</v>
      </c>
      <c r="H4" s="18" t="s">
        <v>17</v>
      </c>
      <c r="I4" s="8">
        <v>71500</v>
      </c>
      <c r="J4" s="10" t="s">
        <v>49</v>
      </c>
      <c r="K4" s="9">
        <v>0.5</v>
      </c>
      <c r="L4" s="10">
        <v>0.53055555555555556</v>
      </c>
      <c r="M4" s="4">
        <v>179</v>
      </c>
      <c r="N4" s="4">
        <v>1</v>
      </c>
      <c r="O4" s="4">
        <v>1092</v>
      </c>
      <c r="P4" s="4">
        <v>0</v>
      </c>
      <c r="Q4" s="4">
        <v>0</v>
      </c>
      <c r="R4" s="4" t="s">
        <v>50</v>
      </c>
      <c r="S4" s="9">
        <v>0.52083333333333337</v>
      </c>
      <c r="T4" s="10">
        <v>0.56944444444444442</v>
      </c>
      <c r="U4" s="4">
        <v>163</v>
      </c>
      <c r="V4" s="4">
        <v>1</v>
      </c>
      <c r="W4" s="4">
        <v>595</v>
      </c>
      <c r="X4" s="4">
        <v>0</v>
      </c>
      <c r="Y4" s="4">
        <v>0</v>
      </c>
    </row>
    <row r="5" spans="1:25" x14ac:dyDescent="0.25">
      <c r="A5" s="11">
        <v>45838</v>
      </c>
      <c r="B5" s="4" t="s">
        <v>51</v>
      </c>
      <c r="C5" s="5" t="s">
        <v>52</v>
      </c>
      <c r="D5" s="18" t="s">
        <v>53</v>
      </c>
      <c r="E5" s="21" t="s">
        <v>114</v>
      </c>
      <c r="F5" s="18">
        <v>186</v>
      </c>
      <c r="G5" s="8" t="s">
        <v>235</v>
      </c>
      <c r="H5" s="18" t="s">
        <v>17</v>
      </c>
      <c r="I5" s="8">
        <v>79000</v>
      </c>
      <c r="J5" s="10" t="s">
        <v>55</v>
      </c>
      <c r="K5" s="9">
        <v>0.56597222222222221</v>
      </c>
      <c r="L5" s="10">
        <v>0.56527777777777777</v>
      </c>
      <c r="M5" s="22">
        <v>156</v>
      </c>
      <c r="N5" s="4">
        <v>3</v>
      </c>
      <c r="O5" s="4">
        <v>2130</v>
      </c>
      <c r="P5" s="4">
        <v>0</v>
      </c>
      <c r="Q5" s="4">
        <v>0</v>
      </c>
      <c r="R5" s="4" t="s">
        <v>56</v>
      </c>
      <c r="S5" s="9">
        <v>0.60763888888888895</v>
      </c>
      <c r="T5" s="10">
        <v>0.63541666666666663</v>
      </c>
      <c r="U5" s="4">
        <v>159</v>
      </c>
      <c r="V5" s="4">
        <v>1</v>
      </c>
      <c r="W5" s="4">
        <v>1898</v>
      </c>
      <c r="X5" s="4">
        <v>0</v>
      </c>
      <c r="Y5" s="4">
        <v>0</v>
      </c>
    </row>
    <row r="6" spans="1:25" x14ac:dyDescent="0.25">
      <c r="A6" s="11">
        <v>45838</v>
      </c>
      <c r="B6" s="4" t="s">
        <v>13</v>
      </c>
      <c r="C6" s="17" t="s">
        <v>14</v>
      </c>
      <c r="D6" s="4" t="s">
        <v>168</v>
      </c>
      <c r="E6" s="18" t="s">
        <v>68</v>
      </c>
      <c r="F6" s="4">
        <v>239</v>
      </c>
      <c r="G6" s="4" t="s">
        <v>208</v>
      </c>
      <c r="H6" s="18" t="s">
        <v>17</v>
      </c>
      <c r="I6" s="8">
        <v>89000</v>
      </c>
      <c r="J6" s="4" t="s">
        <v>166</v>
      </c>
      <c r="K6" s="9">
        <v>0.62847222222222221</v>
      </c>
      <c r="L6" s="10">
        <v>0.62847222222222221</v>
      </c>
      <c r="M6" s="4">
        <v>131</v>
      </c>
      <c r="N6" s="4">
        <v>4</v>
      </c>
      <c r="O6" s="4">
        <v>344</v>
      </c>
      <c r="P6" s="4">
        <v>0</v>
      </c>
      <c r="Q6" s="4">
        <v>0</v>
      </c>
      <c r="R6" s="4" t="s">
        <v>167</v>
      </c>
      <c r="S6" s="9">
        <v>0.65277777777777779</v>
      </c>
      <c r="T6" s="10">
        <v>0.66736111111111107</v>
      </c>
      <c r="U6" s="4">
        <v>90</v>
      </c>
      <c r="V6" s="4">
        <v>3</v>
      </c>
      <c r="W6" s="4">
        <v>112</v>
      </c>
      <c r="X6" s="4">
        <v>0</v>
      </c>
      <c r="Y6" s="4">
        <v>0</v>
      </c>
    </row>
    <row r="7" spans="1:25" x14ac:dyDescent="0.25">
      <c r="A7" s="11">
        <v>45838</v>
      </c>
      <c r="B7" s="4" t="s">
        <v>223</v>
      </c>
      <c r="C7" s="17" t="s">
        <v>35</v>
      </c>
      <c r="D7" s="29" t="s">
        <v>236</v>
      </c>
      <c r="E7" s="29" t="s">
        <v>37</v>
      </c>
      <c r="F7" s="29" t="s">
        <v>35</v>
      </c>
      <c r="G7" s="29" t="s">
        <v>237</v>
      </c>
      <c r="H7" s="29" t="s">
        <v>238</v>
      </c>
      <c r="I7" s="29">
        <v>4670</v>
      </c>
      <c r="J7" s="29" t="s">
        <v>239</v>
      </c>
      <c r="K7" s="32">
        <v>0.72916666666666663</v>
      </c>
      <c r="L7" s="30">
        <v>0.72361111111111109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 t="s">
        <v>239</v>
      </c>
      <c r="S7" s="32">
        <v>0.75</v>
      </c>
      <c r="T7" s="30">
        <v>0.76041666666666663</v>
      </c>
      <c r="U7" s="29">
        <v>2</v>
      </c>
      <c r="V7" s="29">
        <v>0</v>
      </c>
      <c r="W7" s="29">
        <v>0</v>
      </c>
      <c r="X7" s="29">
        <v>0</v>
      </c>
      <c r="Y7" s="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2025-06-30T17:09:24Z</dcterms:modified>
</cp:coreProperties>
</file>