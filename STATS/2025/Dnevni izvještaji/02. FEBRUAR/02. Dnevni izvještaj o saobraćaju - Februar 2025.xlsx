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54B9BE9-28B4-42AD-9DF3-7834036C2DC2}" xr6:coauthVersionLast="37" xr6:coauthVersionMax="37" xr10:uidLastSave="{00000000-0000-0000-0000-000000000000}"/>
  <bookViews>
    <workbookView xWindow="0" yWindow="0" windowWidth="22260" windowHeight="12645" firstSheet="3" activeTab="27" xr2:uid="{00000000-000D-0000-FFFF-FFFF00000000}"/>
  </bookViews>
  <sheets>
    <sheet name="01" sheetId="23" r:id="rId1"/>
    <sheet name="02" sheetId="24" r:id="rId2"/>
    <sheet name="03" sheetId="25" r:id="rId3"/>
    <sheet name="04" sheetId="26" r:id="rId4"/>
    <sheet name="05" sheetId="27" r:id="rId5"/>
    <sheet name="06" sheetId="28" r:id="rId6"/>
    <sheet name="07" sheetId="29" r:id="rId7"/>
    <sheet name="08" sheetId="51" r:id="rId8"/>
    <sheet name="09" sheetId="52" r:id="rId9"/>
    <sheet name="10" sheetId="53" r:id="rId10"/>
    <sheet name="11" sheetId="33" r:id="rId11"/>
    <sheet name="12" sheetId="34" r:id="rId12"/>
    <sheet name="13" sheetId="54" r:id="rId13"/>
    <sheet name="14" sheetId="36" r:id="rId14"/>
    <sheet name="15" sheetId="37" r:id="rId15"/>
    <sheet name="16" sheetId="38" r:id="rId16"/>
    <sheet name="17" sheetId="39" r:id="rId17"/>
    <sheet name="18" sheetId="40" r:id="rId18"/>
    <sheet name="19" sheetId="55" r:id="rId19"/>
    <sheet name="20" sheetId="42" r:id="rId20"/>
    <sheet name="21" sheetId="56" r:id="rId21"/>
    <sheet name="22" sheetId="44" r:id="rId22"/>
    <sheet name="23" sheetId="45" r:id="rId23"/>
    <sheet name="24" sheetId="46" r:id="rId24"/>
    <sheet name="25" sheetId="47" r:id="rId25"/>
    <sheet name="26" sheetId="57" r:id="rId26"/>
    <sheet name="27" sheetId="49" r:id="rId27"/>
    <sheet name="28" sheetId="50" r:id="rId2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34" l="1"/>
</calcChain>
</file>

<file path=xl/sharedStrings.xml><?xml version="1.0" encoding="utf-8"?>
<sst xmlns="http://schemas.openxmlformats.org/spreadsheetml/2006/main" count="1155" uniqueCount="206">
  <si>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</si>
  <si>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</si>
  <si>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</si>
  <si>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</si>
  <si>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</si>
  <si>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</si>
  <si>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</si>
  <si>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</si>
  <si>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</si>
  <si>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</si>
  <si>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</si>
  <si>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</si>
  <si>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</si>
  <si>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</si>
  <si>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</si>
  <si>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</si>
  <si>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</si>
  <si>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</si>
  <si>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</si>
  <si>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</si>
  <si>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</si>
  <si>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HUNGARY LTD</t>
  </si>
  <si>
    <t>MLH-TZL-MLH</t>
  </si>
  <si>
    <t>A320</t>
  </si>
  <si>
    <t>SCHEDULED</t>
  </si>
  <si>
    <t>W64294</t>
  </si>
  <si>
    <t>W64293</t>
  </si>
  <si>
    <t>PEGASUS AIRLINES</t>
  </si>
  <si>
    <t>SAW-TZL-SAW</t>
  </si>
  <si>
    <t>PC250</t>
  </si>
  <si>
    <t>PC251</t>
  </si>
  <si>
    <t>WIZZAIR MALTA LTD</t>
  </si>
  <si>
    <t>DTM-TZL-DTM</t>
  </si>
  <si>
    <t>W44298</t>
  </si>
  <si>
    <t>W44297</t>
  </si>
  <si>
    <t>AJET</t>
  </si>
  <si>
    <t>FMM-TZL-FMM</t>
  </si>
  <si>
    <t>9H-WAU</t>
  </si>
  <si>
    <t>W44279</t>
  </si>
  <si>
    <t>W44280</t>
  </si>
  <si>
    <t>9H-WZS</t>
  </si>
  <si>
    <t>VF271</t>
  </si>
  <si>
    <t>VF272</t>
  </si>
  <si>
    <t>173+4 INF</t>
  </si>
  <si>
    <t>99+0 INF</t>
  </si>
  <si>
    <t>90+0 INF</t>
  </si>
  <si>
    <t>9H-WAV</t>
  </si>
  <si>
    <t>160+1 INF</t>
  </si>
  <si>
    <t>737-800</t>
  </si>
  <si>
    <t>9H-WZT</t>
  </si>
  <si>
    <t>172+5 INF</t>
  </si>
  <si>
    <t>TC-NCH</t>
  </si>
  <si>
    <t>139+1 INF</t>
  </si>
  <si>
    <t>175+5 INF</t>
  </si>
  <si>
    <t>182+2 INF</t>
  </si>
  <si>
    <t>181+1 INF</t>
  </si>
  <si>
    <t>172+4 INF</t>
  </si>
  <si>
    <t>HA-LYS</t>
  </si>
  <si>
    <t>162+7 INF</t>
  </si>
  <si>
    <t>169+2 INF</t>
  </si>
  <si>
    <t>TC-JFH</t>
  </si>
  <si>
    <t>89+0 INF</t>
  </si>
  <si>
    <t>88+1 INF</t>
  </si>
  <si>
    <t>128+4 INF</t>
  </si>
  <si>
    <t>173+3 INF</t>
  </si>
  <si>
    <t>9H-WNR</t>
  </si>
  <si>
    <t>TC-CPC</t>
  </si>
  <si>
    <t>55+2 INF</t>
  </si>
  <si>
    <t>164+1 INF</t>
  </si>
  <si>
    <t>168+3 INF</t>
  </si>
  <si>
    <t>159+4 INF</t>
  </si>
  <si>
    <t>160+4 INF</t>
  </si>
  <si>
    <t>168+2 INF</t>
  </si>
  <si>
    <t>9H-WZV</t>
  </si>
  <si>
    <t>160+2 INF</t>
  </si>
  <si>
    <t>DTM-TZL-CGN</t>
  </si>
  <si>
    <t>149+2 INF</t>
  </si>
  <si>
    <t>HA-LWU</t>
  </si>
  <si>
    <t>9H-WBX</t>
  </si>
  <si>
    <t>171+1 INF</t>
  </si>
  <si>
    <t>173+2 INF</t>
  </si>
  <si>
    <t>166+6 INF</t>
  </si>
  <si>
    <t>HA-LYT</t>
  </si>
  <si>
    <t>174+0 INF</t>
  </si>
  <si>
    <t>177+3 INF</t>
  </si>
  <si>
    <t>9H-WBO</t>
  </si>
  <si>
    <t>167+3 INF</t>
  </si>
  <si>
    <t>Aeroklub FENIX</t>
  </si>
  <si>
    <t>LQCG-TZL-SPU</t>
  </si>
  <si>
    <t>C172F</t>
  </si>
  <si>
    <t>E7-CAR</t>
  </si>
  <si>
    <t>GA</t>
  </si>
  <si>
    <t>-</t>
  </si>
  <si>
    <t>165+3 INF</t>
  </si>
  <si>
    <t>SPU-TZL-LQCG</t>
  </si>
  <si>
    <t>186+1 INF</t>
  </si>
  <si>
    <t>175+2 INF</t>
  </si>
  <si>
    <t>9H-WDA</t>
  </si>
  <si>
    <t>B738</t>
  </si>
  <si>
    <t>167+2 INF</t>
  </si>
  <si>
    <t>166+2 INF</t>
  </si>
  <si>
    <t>74+1 INF</t>
  </si>
  <si>
    <t>TC-JFF</t>
  </si>
  <si>
    <t>108+0 INF</t>
  </si>
  <si>
    <t>174+3 INF</t>
  </si>
  <si>
    <t>139+3 INF</t>
  </si>
  <si>
    <t>167+1 INF</t>
  </si>
  <si>
    <t>9H-WNL</t>
  </si>
  <si>
    <t>TC-NBC</t>
  </si>
  <si>
    <t>52+0 NF</t>
  </si>
  <si>
    <t>108+1 INF</t>
  </si>
  <si>
    <t>W44294</t>
  </si>
  <si>
    <t>W44293</t>
  </si>
  <si>
    <t>A321</t>
  </si>
  <si>
    <t>174+1 INF</t>
  </si>
  <si>
    <t>164+3 INF</t>
  </si>
  <si>
    <t>178+3 INF</t>
  </si>
  <si>
    <t>192+0 INF</t>
  </si>
  <si>
    <t>HA-LYF</t>
  </si>
  <si>
    <t>165+1 INF</t>
  </si>
  <si>
    <t>166+1 INF</t>
  </si>
  <si>
    <t>162+2 INF</t>
  </si>
  <si>
    <t>169+4 INF</t>
  </si>
  <si>
    <t>9H-WAN</t>
  </si>
  <si>
    <t>163+2 INF</t>
  </si>
  <si>
    <t>168+3 NF</t>
  </si>
  <si>
    <t>156+2 INF</t>
  </si>
  <si>
    <t>AIRPORT MALI LOŠINJ</t>
  </si>
  <si>
    <t>ZAG-TZL-LSZ</t>
  </si>
  <si>
    <t>BE9L</t>
  </si>
  <si>
    <t>9H-LAN</t>
  </si>
  <si>
    <t>NON-SCHEDULED</t>
  </si>
  <si>
    <t>9HWZU</t>
  </si>
  <si>
    <t>TC-AZP</t>
  </si>
  <si>
    <t>166+2 NF</t>
  </si>
  <si>
    <t>165+4 INF</t>
  </si>
  <si>
    <t>134+0 INF</t>
  </si>
  <si>
    <t>69+0 INF</t>
  </si>
  <si>
    <t>174+2 NF</t>
  </si>
  <si>
    <t>163+4 INF</t>
  </si>
  <si>
    <t>9A-SET</t>
  </si>
  <si>
    <t>TC-LAJ</t>
  </si>
  <si>
    <t>LSZ-TZL-ZAG</t>
  </si>
  <si>
    <t>171+2 INF</t>
  </si>
  <si>
    <t>76+1 NF</t>
  </si>
  <si>
    <t>81+1 INF</t>
  </si>
  <si>
    <t>163+5 INF</t>
  </si>
  <si>
    <t>HA-LYK</t>
  </si>
  <si>
    <t>166+3 INF</t>
  </si>
  <si>
    <t>177+8 INF</t>
  </si>
  <si>
    <t>9H-WBY</t>
  </si>
  <si>
    <t>HA-LTI</t>
  </si>
  <si>
    <t>212+5 INF</t>
  </si>
  <si>
    <t>208+4 INF</t>
  </si>
  <si>
    <t>172+1 INF</t>
  </si>
  <si>
    <t>180+7 INF</t>
  </si>
  <si>
    <t>185+1 NF</t>
  </si>
  <si>
    <t>171+5 INF</t>
  </si>
  <si>
    <t>175+3 INF</t>
  </si>
  <si>
    <t>158+1 INF</t>
  </si>
  <si>
    <t>178+2 INF</t>
  </si>
  <si>
    <t>168+4 INF</t>
  </si>
  <si>
    <t>SANI ECO VITA</t>
  </si>
  <si>
    <t>YU-HPZ</t>
  </si>
  <si>
    <t>UNSCHEDULED</t>
  </si>
  <si>
    <t>SA-342J</t>
  </si>
  <si>
    <t>BEG-TZL-TESLIĆ</t>
  </si>
  <si>
    <t>HA-LWC</t>
  </si>
  <si>
    <t>173+5 INF</t>
  </si>
  <si>
    <t>164+2 INF</t>
  </si>
  <si>
    <t>170+4 INF</t>
  </si>
  <si>
    <t>HA-LWV</t>
  </si>
  <si>
    <t>9H-WDD</t>
  </si>
  <si>
    <t>ICAR AIR </t>
  </si>
  <si>
    <t>SF34</t>
  </si>
  <si>
    <t>E7NEL</t>
  </si>
  <si>
    <t>RAC9001</t>
  </si>
  <si>
    <t>ZAG-TZL-SJJ</t>
  </si>
  <si>
    <t>DIVERTED</t>
  </si>
  <si>
    <t>RAC9002</t>
  </si>
  <si>
    <t>CREW</t>
  </si>
  <si>
    <t>165+5 INF</t>
  </si>
  <si>
    <t>174+6 INF</t>
  </si>
  <si>
    <t>9H-HYA</t>
  </si>
  <si>
    <t>86+0 INF</t>
  </si>
  <si>
    <t>86+1 INF</t>
  </si>
  <si>
    <t>180+2 INF</t>
  </si>
  <si>
    <t>175+1 INF</t>
  </si>
  <si>
    <t>HA-LXY</t>
  </si>
  <si>
    <t>180+0 INF</t>
  </si>
  <si>
    <t>214+6 INF</t>
  </si>
  <si>
    <t>163+3 INF</t>
  </si>
  <si>
    <t>201+1 INF</t>
  </si>
  <si>
    <t>9H-WBQ</t>
  </si>
  <si>
    <t>173+6 INF</t>
  </si>
  <si>
    <t>167+5 INF</t>
  </si>
  <si>
    <t>175+4 INF</t>
  </si>
  <si>
    <t>RHH102</t>
  </si>
  <si>
    <t>RHH094</t>
  </si>
  <si>
    <t>NONSCHEDULED</t>
  </si>
  <si>
    <t>TCRSD</t>
  </si>
  <si>
    <t>LJ45</t>
  </si>
  <si>
    <t>BQH-TZL-ISL</t>
  </si>
  <si>
    <t>RED STAR AVATION</t>
  </si>
  <si>
    <t>172+1 NF</t>
  </si>
  <si>
    <t>162+1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</si>
</sst>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9"/>
      <color rgb="FF222222"/>
      <name val="Arial"/>
      <family val="2"/>
    </font>
    <font>
      <sz val="10"/>
      <color rgb="FF22222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0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V10"/>
  <sheetViews>
    <sheetView workbookViewId="0">
      <selection sqref="A1:XFD104857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45689</v>
      </c>
      <c r="B2" s="1" t="s">
        <v>31</v>
      </c>
      <c r="C2" s="1" t="s">
        <v>36</v>
      </c>
      <c r="D2" s="6" t="s">
        <v>23</v>
      </c>
      <c r="E2" s="1" t="s">
        <v>49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0.40902777777777777</v>
      </c>
      <c r="L2" s="4">
        <v>0.4548611111111111</v>
      </c>
      <c r="M2" s="5">
        <v>0.45833333333333331</v>
      </c>
      <c r="N2" s="1" t="s">
        <v>50</v>
      </c>
      <c r="O2" s="1" t="s">
        <v>50</v>
      </c>
      <c r="P2" s="1">
        <v>522</v>
      </c>
      <c r="Q2" s="1">
        <v>506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45689</v>
      </c>
      <c r="B3" s="1" t="s">
        <v>27</v>
      </c>
      <c r="C3" s="2" t="s">
        <v>28</v>
      </c>
      <c r="D3" s="2" t="s">
        <v>23</v>
      </c>
      <c r="E3" s="2" t="s">
        <v>51</v>
      </c>
      <c r="F3" s="2" t="s">
        <v>24</v>
      </c>
      <c r="G3" s="7">
        <v>71500</v>
      </c>
      <c r="H3" s="2" t="s">
        <v>29</v>
      </c>
      <c r="I3" s="2" t="s">
        <v>30</v>
      </c>
      <c r="J3" s="18">
        <v>0.54861111111111105</v>
      </c>
      <c r="K3" s="8">
        <v>0.59583333333333333</v>
      </c>
      <c r="L3" s="18">
        <v>0.57986111111111105</v>
      </c>
      <c r="M3" s="8">
        <v>0.6430555555555556</v>
      </c>
      <c r="N3" s="1" t="s">
        <v>45</v>
      </c>
      <c r="O3" s="8" t="s">
        <v>52</v>
      </c>
      <c r="P3" s="12">
        <v>643</v>
      </c>
      <c r="Q3" s="11">
        <v>1266</v>
      </c>
      <c r="R3" s="2">
        <v>0</v>
      </c>
      <c r="S3" s="2">
        <v>0</v>
      </c>
      <c r="T3" s="2">
        <v>0</v>
      </c>
      <c r="U3" s="2">
        <v>0</v>
      </c>
      <c r="V3" s="1"/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2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2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2374-6AF0-4E57-A4CD-F4A775EC03A5}">
  <dimension ref="A1:V10"/>
  <sheetViews>
    <sheetView workbookViewId="0">
      <selection activeCell="B2" sqref="B2:U2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45690</v>
      </c>
      <c r="B2" s="1" t="s">
        <v>31</v>
      </c>
      <c r="C2" s="1" t="s">
        <v>36</v>
      </c>
      <c r="D2" s="6" t="s">
        <v>23</v>
      </c>
      <c r="E2" s="1" t="s">
        <v>37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0.40972222222222227</v>
      </c>
      <c r="K2" s="5">
        <v>0.39027777777777778</v>
      </c>
      <c r="L2" s="4">
        <v>0.43402777777777773</v>
      </c>
      <c r="M2" s="5">
        <v>0.43194444444444446</v>
      </c>
      <c r="N2" s="1" t="s">
        <v>53</v>
      </c>
      <c r="O2" s="1" t="s">
        <v>54</v>
      </c>
      <c r="P2" s="1">
        <v>476</v>
      </c>
      <c r="Q2" s="1">
        <v>505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45690</v>
      </c>
      <c r="B3" s="1" t="s">
        <v>31</v>
      </c>
      <c r="C3" s="1" t="s">
        <v>32</v>
      </c>
      <c r="D3" s="6" t="s">
        <v>23</v>
      </c>
      <c r="E3" s="1" t="s">
        <v>46</v>
      </c>
      <c r="F3" s="6" t="s">
        <v>24</v>
      </c>
      <c r="G3" s="7">
        <v>71501</v>
      </c>
      <c r="H3" s="1" t="s">
        <v>33</v>
      </c>
      <c r="I3" s="1" t="s">
        <v>34</v>
      </c>
      <c r="J3" s="4">
        <v>0.71875</v>
      </c>
      <c r="K3" s="5">
        <v>0.71111111111111114</v>
      </c>
      <c r="L3" s="4">
        <v>0.73958333333333337</v>
      </c>
      <c r="M3" s="5">
        <v>0.74722222222222223</v>
      </c>
      <c r="N3" s="1" t="s">
        <v>55</v>
      </c>
      <c r="O3" s="1" t="s">
        <v>56</v>
      </c>
      <c r="P3" s="1">
        <v>737</v>
      </c>
      <c r="Q3" s="1">
        <v>822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2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2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CA22-B38C-4A59-B254-8EC657D258DF}">
  <dimension ref="A1:U10"/>
  <sheetViews>
    <sheetView workbookViewId="0">
      <selection activeCell="C17" sqref="C17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45691</v>
      </c>
      <c r="B2" s="1" t="s">
        <v>21</v>
      </c>
      <c r="C2" s="1" t="s">
        <v>22</v>
      </c>
      <c r="D2" s="6" t="s">
        <v>23</v>
      </c>
      <c r="E2" s="1" t="s">
        <v>57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0.47430555555555554</v>
      </c>
      <c r="L2" s="4">
        <v>0.50347222222222221</v>
      </c>
      <c r="M2" s="5">
        <v>0.50347222222222221</v>
      </c>
      <c r="N2" s="1" t="s">
        <v>58</v>
      </c>
      <c r="O2" s="1" t="s">
        <v>59</v>
      </c>
      <c r="P2" s="1">
        <v>844</v>
      </c>
      <c r="Q2" s="1">
        <v>562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45691</v>
      </c>
      <c r="B3" s="1" t="s">
        <v>31</v>
      </c>
      <c r="C3" s="1" t="s">
        <v>32</v>
      </c>
      <c r="D3" s="1" t="s">
        <v>23</v>
      </c>
      <c r="E3" s="1" t="s">
        <v>37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0.70486111111111116</v>
      </c>
      <c r="L3" s="4">
        <v>0.73263888888888884</v>
      </c>
      <c r="M3" s="5">
        <v>0.74236111111111114</v>
      </c>
      <c r="N3" s="1" t="s">
        <v>43</v>
      </c>
      <c r="O3" s="1" t="s">
        <v>50</v>
      </c>
      <c r="P3" s="1">
        <v>764</v>
      </c>
      <c r="Q3" s="1">
        <v>599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45691</v>
      </c>
      <c r="B4" s="1" t="s">
        <v>35</v>
      </c>
      <c r="C4" s="1" t="s">
        <v>28</v>
      </c>
      <c r="D4" s="1" t="s">
        <v>48</v>
      </c>
      <c r="E4" s="1" t="s">
        <v>60</v>
      </c>
      <c r="F4" s="6" t="s">
        <v>24</v>
      </c>
      <c r="G4" s="7">
        <v>79000</v>
      </c>
      <c r="H4" s="1" t="s">
        <v>41</v>
      </c>
      <c r="I4" s="1" t="s">
        <v>42</v>
      </c>
      <c r="J4" s="4">
        <v>0.57986111111111105</v>
      </c>
      <c r="K4" s="5">
        <v>0.57638888888888895</v>
      </c>
      <c r="L4" s="4">
        <v>0.625</v>
      </c>
      <c r="M4" s="5">
        <v>0.625</v>
      </c>
      <c r="N4" s="1" t="s">
        <v>61</v>
      </c>
      <c r="O4" s="1" t="s">
        <v>62</v>
      </c>
      <c r="P4" s="1">
        <v>1053</v>
      </c>
      <c r="Q4" s="1">
        <v>865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6E0-2D93-4DBC-B77E-BBC6CCC620B5}">
  <dimension ref="A1:U4"/>
  <sheetViews>
    <sheetView workbookViewId="0">
      <selection sqref="A1:U6"/>
    </sheetView>
  </sheetViews>
  <sheetFormatPr defaultRowHeight="15" x14ac:dyDescent="0.25"/>
  <cols>
    <col min="1" max="1" width="11.140625" customWidth="1"/>
    <col min="2" max="2" width="31.42578125" customWidth="1"/>
    <col min="3" max="3" width="21.140625" customWidth="1"/>
    <col min="6" max="6" width="14.28515625" customWidth="1"/>
    <col min="10" max="10" width="11.28515625" customWidth="1"/>
    <col min="14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45692</v>
      </c>
      <c r="B2" s="1" t="s">
        <v>31</v>
      </c>
      <c r="C2" s="1" t="s">
        <v>36</v>
      </c>
      <c r="D2" s="6" t="s">
        <v>23</v>
      </c>
      <c r="E2" s="1" t="s">
        <v>46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0.42222222222222222</v>
      </c>
      <c r="L2" s="4">
        <v>0.4548611111111111</v>
      </c>
      <c r="M2" s="5">
        <v>0.45277777777777778</v>
      </c>
      <c r="N2" s="1" t="s">
        <v>63</v>
      </c>
      <c r="O2" s="1" t="s">
        <v>64</v>
      </c>
      <c r="P2" s="1">
        <v>337</v>
      </c>
      <c r="Q2" s="1">
        <v>399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1"/>
    </row>
    <row r="4" spans="1:21" x14ac:dyDescent="0.25">
      <c r="A4" s="3"/>
      <c r="B4" s="1"/>
      <c r="C4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001E-7636-413E-B1A5-E535A3E143F9}">
  <dimension ref="A1:V6"/>
  <sheetViews>
    <sheetView topLeftCell="Q1" workbookViewId="0">
      <selection activeCell="A10" sqref="A1:AR10"/>
    </sheetView>
  </sheetViews>
  <sheetFormatPr defaultRowHeight="15" x14ac:dyDescent="0.25"/>
  <cols>
    <col min="2" max="2" width="27.7109375" customWidth="1"/>
    <col min="3" max="3" width="21.42578125" customWidth="1"/>
    <col min="6" max="6" width="16.28515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45693</v>
      </c>
      <c r="B2" s="1" t="s">
        <v>27</v>
      </c>
      <c r="C2" s="2" t="s">
        <v>28</v>
      </c>
      <c r="D2" s="6" t="s">
        <v>23</v>
      </c>
      <c r="E2" s="19" t="s">
        <v>66</v>
      </c>
      <c r="F2" s="6" t="s">
        <v>24</v>
      </c>
      <c r="G2" s="7">
        <v>71500</v>
      </c>
      <c r="H2" s="2" t="s">
        <v>29</v>
      </c>
      <c r="I2" s="2" t="s">
        <v>30</v>
      </c>
      <c r="J2" s="4">
        <v>0.52777777777777779</v>
      </c>
      <c r="K2" s="5">
        <v>0.51041666666666663</v>
      </c>
      <c r="L2" s="4">
        <v>0.56944444444444442</v>
      </c>
      <c r="M2" s="5">
        <v>0.56527777777777777</v>
      </c>
      <c r="N2" s="1" t="s">
        <v>44</v>
      </c>
      <c r="O2" s="1" t="s">
        <v>67</v>
      </c>
      <c r="P2" s="1">
        <v>392</v>
      </c>
      <c r="Q2" s="1">
        <v>1189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45693</v>
      </c>
      <c r="B3" s="1" t="s">
        <v>31</v>
      </c>
      <c r="C3" s="1" t="s">
        <v>32</v>
      </c>
      <c r="D3" s="1" t="s">
        <v>23</v>
      </c>
      <c r="E3" s="1" t="s">
        <v>40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0.72222222222222221</v>
      </c>
      <c r="L3" s="4">
        <v>0.73263888888888884</v>
      </c>
      <c r="M3" s="5">
        <v>0.76180555555555562</v>
      </c>
      <c r="N3" s="1" t="s">
        <v>68</v>
      </c>
      <c r="O3" s="1" t="s">
        <v>47</v>
      </c>
      <c r="P3" s="1">
        <v>647</v>
      </c>
      <c r="Q3" s="1">
        <v>685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45693</v>
      </c>
      <c r="B4" s="1" t="s">
        <v>31</v>
      </c>
      <c r="C4" s="1" t="s">
        <v>22</v>
      </c>
      <c r="D4" s="6" t="s">
        <v>23</v>
      </c>
      <c r="E4" s="1" t="s">
        <v>65</v>
      </c>
      <c r="F4" s="6" t="s">
        <v>24</v>
      </c>
      <c r="G4" s="7">
        <v>71500</v>
      </c>
      <c r="H4" s="1" t="s">
        <v>25</v>
      </c>
      <c r="I4" s="1" t="s">
        <v>26</v>
      </c>
      <c r="J4" s="4">
        <v>0.71875</v>
      </c>
      <c r="K4" s="5">
        <v>0.72916666666666663</v>
      </c>
      <c r="L4" s="4">
        <v>0.74305555555555547</v>
      </c>
      <c r="M4" s="5">
        <v>0.76527777777777783</v>
      </c>
      <c r="N4" s="1" t="s">
        <v>69</v>
      </c>
      <c r="O4" s="1" t="s">
        <v>70</v>
      </c>
      <c r="P4" s="1">
        <v>667</v>
      </c>
      <c r="Q4" s="1">
        <v>475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6D1-E116-47D6-87AD-87E75EC40387}">
  <dimension ref="A1:U10"/>
  <sheetViews>
    <sheetView workbookViewId="0">
      <selection activeCell="M4" sqref="M4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45694</v>
      </c>
      <c r="B2" s="1" t="s">
        <v>31</v>
      </c>
      <c r="C2" s="1" t="s">
        <v>36</v>
      </c>
      <c r="D2" s="1" t="s">
        <v>23</v>
      </c>
      <c r="E2" s="1" t="s">
        <v>46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0.43124999999999997</v>
      </c>
      <c r="L2" s="4">
        <v>0.4548611111111111</v>
      </c>
      <c r="M2" s="5">
        <v>0.46249999999999997</v>
      </c>
      <c r="N2" s="1" t="s">
        <v>71</v>
      </c>
      <c r="O2" s="1" t="s">
        <v>72</v>
      </c>
      <c r="P2" s="1">
        <v>393</v>
      </c>
      <c r="Q2" s="1">
        <v>368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45694</v>
      </c>
      <c r="B3" s="1" t="s">
        <v>31</v>
      </c>
      <c r="C3" s="1" t="s">
        <v>75</v>
      </c>
      <c r="D3" s="6" t="s">
        <v>23</v>
      </c>
      <c r="E3" s="1" t="s">
        <v>73</v>
      </c>
      <c r="F3" s="6" t="s">
        <v>24</v>
      </c>
      <c r="G3" s="7">
        <v>71500</v>
      </c>
      <c r="H3" s="1" t="s">
        <v>39</v>
      </c>
      <c r="I3" s="1" t="s">
        <v>38</v>
      </c>
      <c r="J3" s="4">
        <v>0.70486111111111116</v>
      </c>
      <c r="K3" s="5">
        <v>0.69097222222222221</v>
      </c>
      <c r="L3" s="4">
        <v>0.72569444444444453</v>
      </c>
      <c r="M3" s="5">
        <v>0.7319444444444444</v>
      </c>
      <c r="N3" s="1" t="s">
        <v>74</v>
      </c>
      <c r="O3" s="1" t="s">
        <v>76</v>
      </c>
      <c r="P3" s="1">
        <v>634</v>
      </c>
      <c r="Q3" s="1">
        <v>616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1969-5346-4C6E-B9EE-2D01BF77F514}">
  <dimension ref="A1:U10"/>
  <sheetViews>
    <sheetView workbookViewId="0">
      <selection sqref="A1:XFD3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45695</v>
      </c>
      <c r="B2" s="1" t="s">
        <v>21</v>
      </c>
      <c r="C2" s="1" t="s">
        <v>22</v>
      </c>
      <c r="D2" s="6" t="s">
        <v>23</v>
      </c>
      <c r="E2" s="1" t="s">
        <v>77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0.4777777777777778</v>
      </c>
      <c r="L2" s="4">
        <v>0.50347222222222221</v>
      </c>
      <c r="M2" s="5">
        <v>0.50902777777777775</v>
      </c>
      <c r="N2" s="1" t="s">
        <v>79</v>
      </c>
      <c r="O2" s="1" t="s">
        <v>80</v>
      </c>
      <c r="P2" s="1">
        <v>649</v>
      </c>
      <c r="Q2" s="1">
        <v>663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45695</v>
      </c>
      <c r="B3" s="1" t="s">
        <v>31</v>
      </c>
      <c r="C3" s="1" t="s">
        <v>32</v>
      </c>
      <c r="D3" s="1" t="s">
        <v>23</v>
      </c>
      <c r="E3" s="1" t="s">
        <v>78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0.70138888888888884</v>
      </c>
      <c r="L3" s="4">
        <v>0.73263888888888884</v>
      </c>
      <c r="M3" s="5">
        <v>0.73333333333333339</v>
      </c>
      <c r="N3" s="1" t="s">
        <v>59</v>
      </c>
      <c r="O3" s="1" t="s">
        <v>81</v>
      </c>
      <c r="P3" s="1">
        <v>489</v>
      </c>
      <c r="Q3" s="1">
        <v>550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B81F-23ED-470E-9079-072FCF39D302}">
  <dimension ref="A1:V10"/>
  <sheetViews>
    <sheetView workbookViewId="0">
      <selection activeCell="H4" sqref="H4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45696</v>
      </c>
      <c r="B2" s="1" t="s">
        <v>31</v>
      </c>
      <c r="C2" s="1" t="s">
        <v>36</v>
      </c>
      <c r="D2" s="6" t="s">
        <v>23</v>
      </c>
      <c r="E2" s="1" t="s">
        <v>82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0.45902777777777781</v>
      </c>
      <c r="L2" s="4">
        <v>0.4548611111111111</v>
      </c>
      <c r="M2" s="5">
        <v>0.49513888888888885</v>
      </c>
      <c r="N2" s="1" t="s">
        <v>83</v>
      </c>
      <c r="O2" s="1" t="s">
        <v>84</v>
      </c>
      <c r="P2" s="1">
        <v>652</v>
      </c>
      <c r="Q2" s="1">
        <v>634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/>
      <c r="B3" s="1"/>
      <c r="C3" s="2"/>
      <c r="D3" s="2"/>
      <c r="E3" s="2"/>
      <c r="F3" s="2"/>
      <c r="G3" s="7"/>
      <c r="H3" s="2"/>
      <c r="I3" s="2"/>
      <c r="J3" s="20"/>
      <c r="K3" s="8"/>
      <c r="L3" s="20"/>
      <c r="M3" s="8"/>
      <c r="N3" s="1"/>
      <c r="O3" s="8"/>
      <c r="P3" s="12"/>
      <c r="Q3" s="11"/>
      <c r="R3" s="2"/>
      <c r="S3" s="2"/>
      <c r="T3" s="2"/>
      <c r="U3" s="2"/>
      <c r="V3" s="1"/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2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2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9B22-5634-4AC8-BB2C-446AB29D276F}">
  <dimension ref="A1:V10"/>
  <sheetViews>
    <sheetView workbookViewId="0">
      <selection sqref="A1:XFD104857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45697</v>
      </c>
      <c r="B2" s="1" t="s">
        <v>31</v>
      </c>
      <c r="C2" s="1" t="s">
        <v>36</v>
      </c>
      <c r="D2" s="6" t="s">
        <v>23</v>
      </c>
      <c r="E2" s="1" t="s">
        <v>85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0.40972222222222227</v>
      </c>
      <c r="K2" s="5">
        <v>0.38611111111111113</v>
      </c>
      <c r="L2" s="4">
        <v>0.43402777777777773</v>
      </c>
      <c r="M2" s="5">
        <v>0.4381944444444445</v>
      </c>
      <c r="N2" s="1" t="s">
        <v>86</v>
      </c>
      <c r="O2" s="1" t="s">
        <v>93</v>
      </c>
      <c r="P2" s="1">
        <v>553</v>
      </c>
      <c r="Q2" s="1">
        <v>609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45697</v>
      </c>
      <c r="B3" s="1" t="s">
        <v>31</v>
      </c>
      <c r="C3" s="1" t="s">
        <v>32</v>
      </c>
      <c r="D3" s="6" t="s">
        <v>23</v>
      </c>
      <c r="E3" s="1" t="s">
        <v>37</v>
      </c>
      <c r="F3" s="6" t="s">
        <v>24</v>
      </c>
      <c r="G3" s="7">
        <v>71501</v>
      </c>
      <c r="H3" s="1" t="s">
        <v>33</v>
      </c>
      <c r="I3" s="1" t="s">
        <v>34</v>
      </c>
      <c r="J3" s="4">
        <v>0.71875</v>
      </c>
      <c r="K3" s="5">
        <v>0.71666666666666667</v>
      </c>
      <c r="L3" s="4">
        <v>0.73958333333333337</v>
      </c>
      <c r="M3" s="5"/>
      <c r="N3" s="1" t="s">
        <v>95</v>
      </c>
      <c r="O3" s="1" t="s">
        <v>96</v>
      </c>
      <c r="P3" s="1">
        <v>920</v>
      </c>
      <c r="Q3" s="1">
        <v>574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45697</v>
      </c>
      <c r="B4" s="1" t="s">
        <v>87</v>
      </c>
      <c r="C4" s="1" t="s">
        <v>88</v>
      </c>
      <c r="D4" s="6" t="s">
        <v>89</v>
      </c>
      <c r="E4" s="1" t="s">
        <v>90</v>
      </c>
      <c r="F4" s="6" t="s">
        <v>91</v>
      </c>
      <c r="G4" s="7">
        <v>1045</v>
      </c>
      <c r="H4" s="1" t="s">
        <v>92</v>
      </c>
      <c r="I4" s="1" t="s">
        <v>92</v>
      </c>
      <c r="J4" s="4">
        <v>0.375</v>
      </c>
      <c r="K4" s="5">
        <v>0.38194444444444442</v>
      </c>
      <c r="L4" s="4">
        <v>0.39583333333333331</v>
      </c>
      <c r="M4" s="5">
        <v>0.40277777777777773</v>
      </c>
      <c r="N4" s="1" t="s">
        <v>92</v>
      </c>
      <c r="O4" s="1" t="s">
        <v>92</v>
      </c>
      <c r="P4" s="1" t="s">
        <v>92</v>
      </c>
      <c r="Q4" s="1" t="s">
        <v>92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>
        <v>45697</v>
      </c>
      <c r="B5" s="1" t="s">
        <v>87</v>
      </c>
      <c r="C5" s="1" t="s">
        <v>94</v>
      </c>
      <c r="D5" s="6" t="s">
        <v>89</v>
      </c>
      <c r="E5" s="1" t="s">
        <v>90</v>
      </c>
      <c r="F5" s="6" t="s">
        <v>91</v>
      </c>
      <c r="G5" s="7">
        <v>1045</v>
      </c>
      <c r="H5" s="1" t="s">
        <v>92</v>
      </c>
      <c r="I5" s="1" t="s">
        <v>92</v>
      </c>
      <c r="J5" s="4">
        <v>0.66666666666666663</v>
      </c>
      <c r="K5" s="5">
        <v>0.68125000000000002</v>
      </c>
      <c r="L5" s="4">
        <v>0.6875</v>
      </c>
      <c r="M5" s="5">
        <v>0.69791666666666663</v>
      </c>
      <c r="N5" s="1" t="s">
        <v>92</v>
      </c>
      <c r="O5" s="1" t="s">
        <v>92</v>
      </c>
      <c r="P5" s="1" t="s">
        <v>92</v>
      </c>
      <c r="Q5" s="1" t="s">
        <v>92</v>
      </c>
      <c r="R5" s="1">
        <v>0</v>
      </c>
      <c r="S5" s="1">
        <v>0</v>
      </c>
      <c r="T5" s="1">
        <v>0</v>
      </c>
      <c r="U5" s="1">
        <v>0</v>
      </c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2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2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D2F7-3799-4DA3-93F8-1B159CFAA453}">
  <dimension ref="A1:U10"/>
  <sheetViews>
    <sheetView topLeftCell="D1" workbookViewId="0">
      <selection activeCell="A12" sqref="A1:AC12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45698</v>
      </c>
      <c r="B2" s="1" t="s">
        <v>21</v>
      </c>
      <c r="C2" s="1" t="s">
        <v>22</v>
      </c>
      <c r="D2" s="6" t="s">
        <v>23</v>
      </c>
      <c r="E2" s="1" t="s">
        <v>57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0.47361111111111115</v>
      </c>
      <c r="L2" s="4">
        <v>0.50347222222222221</v>
      </c>
      <c r="M2" s="5">
        <v>0.50624999999999998</v>
      </c>
      <c r="N2" s="1" t="s">
        <v>99</v>
      </c>
      <c r="O2" s="1" t="s">
        <v>100</v>
      </c>
      <c r="P2" s="1">
        <v>716</v>
      </c>
      <c r="Q2" s="1">
        <v>720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45698</v>
      </c>
      <c r="B3" s="1" t="s">
        <v>31</v>
      </c>
      <c r="C3" s="1" t="s">
        <v>32</v>
      </c>
      <c r="D3" s="1" t="s">
        <v>23</v>
      </c>
      <c r="E3" s="1" t="s">
        <v>97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0.69791666666666663</v>
      </c>
      <c r="L3" s="4">
        <v>0.73263888888888884</v>
      </c>
      <c r="M3" s="5">
        <v>0.73125000000000007</v>
      </c>
      <c r="N3" s="1" t="s">
        <v>104</v>
      </c>
      <c r="O3" s="1" t="s">
        <v>68</v>
      </c>
      <c r="P3" s="1">
        <v>651</v>
      </c>
      <c r="Q3" s="1">
        <v>441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45698</v>
      </c>
      <c r="B4" s="1" t="s">
        <v>35</v>
      </c>
      <c r="C4" s="1" t="s">
        <v>28</v>
      </c>
      <c r="D4" s="1" t="s">
        <v>98</v>
      </c>
      <c r="E4" s="1" t="s">
        <v>102</v>
      </c>
      <c r="F4" s="6" t="s">
        <v>24</v>
      </c>
      <c r="G4" s="7">
        <v>79000</v>
      </c>
      <c r="H4" s="1" t="s">
        <v>41</v>
      </c>
      <c r="I4" s="1" t="s">
        <v>42</v>
      </c>
      <c r="J4" s="4">
        <v>0.57986111111111105</v>
      </c>
      <c r="K4" s="5">
        <v>0.59652777777777777</v>
      </c>
      <c r="L4" s="4">
        <v>0.625</v>
      </c>
      <c r="M4" s="5">
        <v>0.64583333333333337</v>
      </c>
      <c r="N4" s="1" t="s">
        <v>101</v>
      </c>
      <c r="O4" s="1" t="s">
        <v>103</v>
      </c>
      <c r="P4" s="1">
        <v>581</v>
      </c>
      <c r="Q4" s="1">
        <v>1149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BE99-3D52-47CB-B7C1-0A1092A5CA27}">
  <dimension ref="A1:U4"/>
  <sheetViews>
    <sheetView topLeftCell="N1" workbookViewId="0">
      <selection activeCell="A10" sqref="A1:AN10"/>
    </sheetView>
  </sheetViews>
  <sheetFormatPr defaultRowHeight="12.75" x14ac:dyDescent="0.25"/>
  <cols>
    <col min="1" max="1" width="11.140625" style="1" customWidth="1"/>
    <col min="2" max="2" width="31.42578125" style="1" customWidth="1"/>
    <col min="3" max="3" width="21.140625" style="1" customWidth="1"/>
    <col min="4" max="5" width="9.140625" style="1"/>
    <col min="6" max="6" width="18.7109375" style="1" customWidth="1"/>
    <col min="7" max="7" width="9.85546875" style="1" bestFit="1" customWidth="1"/>
    <col min="8" max="9" width="9.140625" style="1"/>
    <col min="10" max="10" width="11.28515625" style="1" customWidth="1"/>
    <col min="11" max="11" width="9.140625" style="1"/>
    <col min="12" max="12" width="9.28515625" style="1" bestFit="1" customWidth="1"/>
    <col min="13" max="13" width="9.140625" style="1"/>
    <col min="14" max="14" width="14.85546875" style="1" customWidth="1"/>
    <col min="15" max="15" width="13.5703125" style="1" customWidth="1"/>
    <col min="16" max="17" width="9.140625" style="1"/>
    <col min="18" max="21" width="9.28515625" style="1" bestFit="1" customWidth="1"/>
    <col min="22" max="16384" width="9.140625" style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45699</v>
      </c>
      <c r="B2" s="1" t="s">
        <v>31</v>
      </c>
      <c r="C2" s="1" t="s">
        <v>36</v>
      </c>
      <c r="D2" s="6" t="s">
        <v>23</v>
      </c>
      <c r="E2" s="1" t="s">
        <v>97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0.4069444444444445</v>
      </c>
      <c r="L2" s="4">
        <v>0.4548611111111111</v>
      </c>
      <c r="M2" s="5">
        <v>0.4513888888888889</v>
      </c>
      <c r="N2" s="1" t="s">
        <v>105</v>
      </c>
      <c r="O2" s="1" t="s">
        <v>106</v>
      </c>
      <c r="P2" s="1">
        <v>380</v>
      </c>
      <c r="Q2" s="1">
        <v>366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J3" s="4"/>
      <c r="L3" s="4"/>
    </row>
    <row r="4" spans="1:21" x14ac:dyDescent="0.25">
      <c r="A4" s="3"/>
      <c r="C4" s="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4C93-CEF5-45BF-96C3-DD4782338766}">
  <dimension ref="A1:V10"/>
  <sheetViews>
    <sheetView workbookViewId="0">
      <selection activeCell="M4" sqref="M4"/>
    </sheetView>
  </sheetViews>
  <sheetFormatPr defaultRowHeight="15" x14ac:dyDescent="0.25"/>
  <cols>
    <col min="1" max="1" width="11" customWidth="1"/>
    <col min="2" max="2" width="23.7109375" customWidth="1"/>
    <col min="3" max="3" width="15" customWidth="1"/>
    <col min="6" max="6" width="13.7109375" customWidth="1"/>
    <col min="14" max="14" width="13.28515625" customWidth="1"/>
    <col min="15" max="15" width="13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45700</v>
      </c>
      <c r="B2" s="1" t="s">
        <v>27</v>
      </c>
      <c r="C2" s="2" t="s">
        <v>28</v>
      </c>
      <c r="D2" s="6" t="s">
        <v>23</v>
      </c>
      <c r="E2" s="21" t="s">
        <v>108</v>
      </c>
      <c r="F2" s="6" t="s">
        <v>24</v>
      </c>
      <c r="G2" s="7">
        <v>71500</v>
      </c>
      <c r="H2" s="2" t="s">
        <v>29</v>
      </c>
      <c r="I2" s="2" t="s">
        <v>30</v>
      </c>
      <c r="J2" s="4">
        <v>0.52777777777777779</v>
      </c>
      <c r="K2" s="5">
        <v>0.51180555555555551</v>
      </c>
      <c r="L2" s="4">
        <v>0.56944444444444442</v>
      </c>
      <c r="M2" s="5">
        <f>L2</f>
        <v>0.56944444444444442</v>
      </c>
      <c r="N2" s="1" t="s">
        <v>109</v>
      </c>
      <c r="O2" s="1" t="s">
        <v>110</v>
      </c>
      <c r="P2" s="1">
        <v>400</v>
      </c>
      <c r="Q2" s="1">
        <v>935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45700</v>
      </c>
      <c r="B3" s="1" t="s">
        <v>31</v>
      </c>
      <c r="C3" s="1" t="s">
        <v>32</v>
      </c>
      <c r="D3" s="1" t="s">
        <v>23</v>
      </c>
      <c r="E3" s="1" t="s">
        <v>37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0.69861111111111107</v>
      </c>
      <c r="L3" s="4">
        <v>0.73263888888888884</v>
      </c>
      <c r="M3" s="5">
        <v>0.73402777777777783</v>
      </c>
      <c r="N3" s="1" t="s">
        <v>114</v>
      </c>
      <c r="O3" s="1" t="s">
        <v>115</v>
      </c>
      <c r="P3" s="1">
        <v>682</v>
      </c>
      <c r="Q3" s="1">
        <v>508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45700</v>
      </c>
      <c r="B4" s="1" t="s">
        <v>31</v>
      </c>
      <c r="C4" s="1" t="s">
        <v>22</v>
      </c>
      <c r="D4" s="6" t="s">
        <v>113</v>
      </c>
      <c r="E4" s="1" t="s">
        <v>107</v>
      </c>
      <c r="F4" s="6" t="s">
        <v>24</v>
      </c>
      <c r="G4" s="7">
        <v>89000</v>
      </c>
      <c r="H4" s="1" t="s">
        <v>111</v>
      </c>
      <c r="I4" s="1" t="s">
        <v>112</v>
      </c>
      <c r="J4" s="4">
        <v>0.71875</v>
      </c>
      <c r="K4" s="5">
        <v>0.7270833333333333</v>
      </c>
      <c r="L4" s="4">
        <v>0.74305555555555547</v>
      </c>
      <c r="M4" s="5">
        <v>0.76458333333333339</v>
      </c>
      <c r="N4" s="1" t="s">
        <v>116</v>
      </c>
      <c r="O4" s="1" t="s">
        <v>117</v>
      </c>
      <c r="P4" s="1">
        <v>1094</v>
      </c>
      <c r="Q4" s="1">
        <v>543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2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5156-AB67-41D5-AAC3-F5FF6270D4EA}">
  <dimension ref="A1:U10"/>
  <sheetViews>
    <sheetView workbookViewId="0">
      <selection sqref="A1:XFD3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45701</v>
      </c>
      <c r="B2" s="1" t="s">
        <v>31</v>
      </c>
      <c r="C2" s="1" t="s">
        <v>36</v>
      </c>
      <c r="D2" s="1" t="s">
        <v>23</v>
      </c>
      <c r="E2" s="1" t="s">
        <v>118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0.41736111111111113</v>
      </c>
      <c r="L2" s="4">
        <v>0.4548611111111111</v>
      </c>
      <c r="M2" s="5">
        <v>0.45763888888888887</v>
      </c>
      <c r="N2" s="1" t="s">
        <v>86</v>
      </c>
      <c r="O2" s="1" t="s">
        <v>119</v>
      </c>
      <c r="P2" s="1">
        <v>488</v>
      </c>
      <c r="Q2" s="1">
        <v>431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45701</v>
      </c>
      <c r="B3" s="1" t="s">
        <v>31</v>
      </c>
      <c r="C3" s="1" t="s">
        <v>32</v>
      </c>
      <c r="D3" s="6" t="s">
        <v>23</v>
      </c>
      <c r="E3" s="1" t="s">
        <v>37</v>
      </c>
      <c r="F3" s="6" t="s">
        <v>24</v>
      </c>
      <c r="G3" s="7">
        <v>71500</v>
      </c>
      <c r="H3" s="1" t="s">
        <v>39</v>
      </c>
      <c r="I3" s="1" t="s">
        <v>38</v>
      </c>
      <c r="J3" s="4">
        <v>0.70486111111111116</v>
      </c>
      <c r="K3" s="5">
        <v>0.71180555555555547</v>
      </c>
      <c r="L3" s="4">
        <v>0.72569444444444453</v>
      </c>
      <c r="M3" s="5">
        <v>0.74722222222222223</v>
      </c>
      <c r="N3" s="1" t="s">
        <v>120</v>
      </c>
      <c r="O3" s="1" t="s">
        <v>121</v>
      </c>
      <c r="P3" s="1">
        <v>748</v>
      </c>
      <c r="Q3" s="1">
        <v>612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198F-8651-4E80-AD6C-7865E9C02150}">
  <dimension ref="A1:U9"/>
  <sheetViews>
    <sheetView workbookViewId="0">
      <selection activeCell="M5" sqref="M5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45702</v>
      </c>
      <c r="B2" s="1" t="s">
        <v>21</v>
      </c>
      <c r="C2" s="1" t="s">
        <v>22</v>
      </c>
      <c r="D2" s="6" t="s">
        <v>23</v>
      </c>
      <c r="E2" s="1" t="s">
        <v>123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0.47430555555555554</v>
      </c>
      <c r="L2" s="4">
        <v>0.50347222222222221</v>
      </c>
      <c r="M2" s="5">
        <v>0.50694444444444442</v>
      </c>
      <c r="N2" s="1" t="s">
        <v>122</v>
      </c>
      <c r="O2" s="1" t="s">
        <v>124</v>
      </c>
      <c r="P2" s="1">
        <v>767</v>
      </c>
      <c r="Q2" s="1">
        <v>810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45702</v>
      </c>
      <c r="B3" s="1" t="s">
        <v>31</v>
      </c>
      <c r="C3" s="1" t="s">
        <v>32</v>
      </c>
      <c r="D3" s="1" t="s">
        <v>23</v>
      </c>
      <c r="E3" s="1" t="s">
        <v>85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0.70972222222222225</v>
      </c>
      <c r="L3" s="4">
        <v>0.73263888888888884</v>
      </c>
      <c r="M3" s="5">
        <v>0.75555555555555554</v>
      </c>
      <c r="N3" s="1" t="s">
        <v>125</v>
      </c>
      <c r="O3" s="1" t="s">
        <v>126</v>
      </c>
      <c r="P3" s="1">
        <v>973</v>
      </c>
      <c r="Q3" s="1">
        <v>678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1"/>
      <c r="G4" s="7"/>
      <c r="H4" s="1"/>
      <c r="I4" s="1"/>
      <c r="J4" s="4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9"/>
      <c r="L8" s="9"/>
      <c r="M8" s="9"/>
      <c r="N8" s="10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A7AF-3F10-4441-8680-077CF3DFC629}">
  <dimension ref="A1:V10"/>
  <sheetViews>
    <sheetView workbookViewId="0">
      <selection activeCell="I18" sqref="I18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22.140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45703</v>
      </c>
      <c r="B2" s="1" t="s">
        <v>31</v>
      </c>
      <c r="C2" s="1" t="s">
        <v>36</v>
      </c>
      <c r="D2" s="6" t="s">
        <v>23</v>
      </c>
      <c r="E2" s="1" t="s">
        <v>132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0.42222222222222222</v>
      </c>
      <c r="L2" s="4">
        <v>0.4548611111111111</v>
      </c>
      <c r="M2" s="5">
        <v>0.47013888888888888</v>
      </c>
      <c r="N2" s="1" t="s">
        <v>134</v>
      </c>
      <c r="O2" s="1" t="s">
        <v>135</v>
      </c>
      <c r="P2" s="1">
        <v>636</v>
      </c>
      <c r="Q2" s="1">
        <v>544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45703</v>
      </c>
      <c r="B3" s="1" t="s">
        <v>27</v>
      </c>
      <c r="C3" s="2" t="s">
        <v>28</v>
      </c>
      <c r="D3" s="2" t="s">
        <v>23</v>
      </c>
      <c r="E3" s="2" t="s">
        <v>133</v>
      </c>
      <c r="F3" s="2" t="s">
        <v>24</v>
      </c>
      <c r="G3" s="7">
        <v>71500</v>
      </c>
      <c r="H3" s="2" t="s">
        <v>29</v>
      </c>
      <c r="I3" s="2" t="s">
        <v>30</v>
      </c>
      <c r="J3" s="20">
        <v>0.54861111111111105</v>
      </c>
      <c r="K3" s="8">
        <v>0.54027777777777775</v>
      </c>
      <c r="L3" s="20">
        <v>0.57986111111111105</v>
      </c>
      <c r="M3" s="8">
        <v>0.5805555555555556</v>
      </c>
      <c r="N3" s="1" t="s">
        <v>136</v>
      </c>
      <c r="O3" s="8" t="s">
        <v>137</v>
      </c>
      <c r="P3" s="12">
        <v>1265</v>
      </c>
      <c r="Q3" s="11">
        <v>520</v>
      </c>
      <c r="R3" s="2">
        <v>0</v>
      </c>
      <c r="S3" s="2">
        <v>0</v>
      </c>
      <c r="T3" s="2">
        <v>0</v>
      </c>
      <c r="U3" s="2">
        <v>0</v>
      </c>
      <c r="V3" s="1"/>
    </row>
    <row r="4" spans="1:22" x14ac:dyDescent="0.25">
      <c r="A4" s="3">
        <v>45703</v>
      </c>
      <c r="B4" s="1" t="s">
        <v>127</v>
      </c>
      <c r="C4" s="1" t="s">
        <v>128</v>
      </c>
      <c r="D4" s="6" t="s">
        <v>129</v>
      </c>
      <c r="E4" s="1" t="s">
        <v>130</v>
      </c>
      <c r="F4" s="6" t="s">
        <v>131</v>
      </c>
      <c r="G4" s="7">
        <v>5</v>
      </c>
      <c r="H4" s="1" t="s">
        <v>130</v>
      </c>
      <c r="I4" s="1" t="s">
        <v>130</v>
      </c>
      <c r="J4" s="4">
        <v>0.49305555555555558</v>
      </c>
      <c r="K4" s="5">
        <v>0.48958333333333331</v>
      </c>
      <c r="L4" s="4">
        <v>0.51041666666666663</v>
      </c>
      <c r="M4" s="5">
        <v>0.51041666666666663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2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2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65F0-64B6-41A4-8663-363E4F5D3CDA}">
  <dimension ref="A1:V8"/>
  <sheetViews>
    <sheetView topLeftCell="AF1" workbookViewId="0">
      <selection activeCell="A9" sqref="A1:BG9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45704</v>
      </c>
      <c r="B2" s="1" t="s">
        <v>31</v>
      </c>
      <c r="C2" s="1" t="s">
        <v>36</v>
      </c>
      <c r="D2" s="6" t="s">
        <v>23</v>
      </c>
      <c r="E2" s="1" t="s">
        <v>37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0.40972222222222227</v>
      </c>
      <c r="K2" s="5">
        <v>0.4069444444444445</v>
      </c>
      <c r="L2" s="4">
        <v>0.43402777777777773</v>
      </c>
      <c r="M2" s="5">
        <v>0.45833333333333331</v>
      </c>
      <c r="N2" s="1" t="s">
        <v>138</v>
      </c>
      <c r="O2" s="1" t="s">
        <v>116</v>
      </c>
      <c r="P2" s="1">
        <v>755</v>
      </c>
      <c r="Q2" s="1">
        <v>692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45704</v>
      </c>
      <c r="B3" s="1" t="s">
        <v>31</v>
      </c>
      <c r="C3" s="1" t="s">
        <v>32</v>
      </c>
      <c r="D3" s="6" t="s">
        <v>23</v>
      </c>
      <c r="E3" s="1" t="s">
        <v>40</v>
      </c>
      <c r="F3" s="6" t="s">
        <v>24</v>
      </c>
      <c r="G3" s="7">
        <v>71501</v>
      </c>
      <c r="H3" s="1" t="s">
        <v>33</v>
      </c>
      <c r="I3" s="1" t="s">
        <v>34</v>
      </c>
      <c r="J3" s="4">
        <v>0.71875</v>
      </c>
      <c r="K3" s="5">
        <v>0.7055555555555556</v>
      </c>
      <c r="L3" s="4">
        <v>0.73958333333333337</v>
      </c>
      <c r="M3" s="5">
        <v>0.75138888888888899</v>
      </c>
      <c r="N3" s="1" t="s">
        <v>139</v>
      </c>
      <c r="O3" s="1" t="s">
        <v>83</v>
      </c>
      <c r="P3" s="1">
        <v>977</v>
      </c>
      <c r="Q3" s="1">
        <v>682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1"/>
      <c r="D4" s="1"/>
      <c r="E4" s="1"/>
      <c r="F4" s="1"/>
      <c r="G4" s="7"/>
      <c r="H4" s="1"/>
      <c r="I4" s="1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9"/>
      <c r="L7" s="9"/>
      <c r="M7" s="9"/>
      <c r="N7" s="10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9"/>
      <c r="L8" s="9"/>
      <c r="M8" s="9"/>
      <c r="N8" s="10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BF92-64B6-4E85-A193-CC48A5A6FC7D}">
  <dimension ref="A1:U10"/>
  <sheetViews>
    <sheetView topLeftCell="H1" workbookViewId="0">
      <selection activeCell="A7" sqref="A1:AH7"/>
    </sheetView>
  </sheetViews>
  <sheetFormatPr defaultRowHeight="15" x14ac:dyDescent="0.25"/>
  <cols>
    <col min="1" max="1" width="9.28515625" customWidth="1"/>
    <col min="2" max="2" width="23.28515625" bestFit="1" customWidth="1"/>
    <col min="3" max="3" width="14.85546875" customWidth="1"/>
    <col min="6" max="6" width="18.85546875" customWidth="1"/>
    <col min="14" max="14" width="12.85546875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45705</v>
      </c>
      <c r="B2" s="1" t="s">
        <v>21</v>
      </c>
      <c r="C2" s="1" t="s">
        <v>22</v>
      </c>
      <c r="D2" s="6" t="s">
        <v>23</v>
      </c>
      <c r="E2" s="1" t="s">
        <v>82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0.47847222222222219</v>
      </c>
      <c r="L2" s="4">
        <v>0.50347222222222221</v>
      </c>
      <c r="M2" s="5">
        <v>0.5229166666666667</v>
      </c>
      <c r="N2" s="1" t="s">
        <v>56</v>
      </c>
      <c r="O2" s="1" t="s">
        <v>143</v>
      </c>
      <c r="P2" s="1">
        <v>860</v>
      </c>
      <c r="Q2" s="1">
        <v>580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45705</v>
      </c>
      <c r="B3" s="1" t="s">
        <v>31</v>
      </c>
      <c r="C3" s="1" t="s">
        <v>32</v>
      </c>
      <c r="D3" s="1" t="s">
        <v>23</v>
      </c>
      <c r="E3" s="1" t="s">
        <v>97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0.68888888888888899</v>
      </c>
      <c r="L3" s="4">
        <v>0.73263888888888884</v>
      </c>
      <c r="M3" s="5">
        <v>0.7402777777777777</v>
      </c>
      <c r="N3" s="1" t="s">
        <v>69</v>
      </c>
      <c r="O3" s="1" t="s">
        <v>146</v>
      </c>
      <c r="P3" s="1">
        <v>630</v>
      </c>
      <c r="Q3" s="1">
        <v>553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45705</v>
      </c>
      <c r="B4" s="1" t="s">
        <v>35</v>
      </c>
      <c r="C4" s="1" t="s">
        <v>28</v>
      </c>
      <c r="D4" s="1" t="s">
        <v>98</v>
      </c>
      <c r="E4" s="1" t="s">
        <v>141</v>
      </c>
      <c r="F4" s="6" t="s">
        <v>24</v>
      </c>
      <c r="G4" s="7">
        <v>79000</v>
      </c>
      <c r="H4" s="1" t="s">
        <v>41</v>
      </c>
      <c r="I4" s="1" t="s">
        <v>42</v>
      </c>
      <c r="J4" s="4">
        <v>0.57986111111111105</v>
      </c>
      <c r="K4" s="5">
        <v>0.58263888888888882</v>
      </c>
      <c r="L4" s="4">
        <v>0.625</v>
      </c>
      <c r="M4" s="5">
        <v>0.63611111111111118</v>
      </c>
      <c r="N4" s="1" t="s">
        <v>144</v>
      </c>
      <c r="O4" s="1" t="s">
        <v>145</v>
      </c>
      <c r="P4" s="1">
        <v>937</v>
      </c>
      <c r="Q4" s="1">
        <v>1078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45705</v>
      </c>
      <c r="B5" s="1" t="s">
        <v>127</v>
      </c>
      <c r="C5" s="1" t="s">
        <v>142</v>
      </c>
      <c r="D5" s="6" t="s">
        <v>129</v>
      </c>
      <c r="E5" s="1" t="s">
        <v>140</v>
      </c>
      <c r="F5" s="6" t="s">
        <v>131</v>
      </c>
      <c r="G5" s="7">
        <v>5</v>
      </c>
      <c r="H5" s="1" t="s">
        <v>140</v>
      </c>
      <c r="I5" s="1" t="s">
        <v>140</v>
      </c>
      <c r="J5" s="4">
        <v>0.46875</v>
      </c>
      <c r="K5" s="5">
        <v>0.47222222222222227</v>
      </c>
      <c r="L5" s="4">
        <v>0.5</v>
      </c>
      <c r="M5" s="5">
        <v>0.49791666666666662</v>
      </c>
      <c r="N5" s="1">
        <v>0</v>
      </c>
      <c r="O5" s="1">
        <v>3</v>
      </c>
      <c r="P5" s="1" t="s">
        <v>92</v>
      </c>
      <c r="Q5" s="1" t="s">
        <v>92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9"/>
      <c r="L10" s="9"/>
      <c r="M10" s="9"/>
      <c r="N10" s="10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3B0C-90E6-4E5B-9B2A-B8BE9DFC7D6E}">
  <dimension ref="A1:AN11"/>
  <sheetViews>
    <sheetView workbookViewId="0">
      <selection sqref="A1:XFD2"/>
    </sheetView>
  </sheetViews>
  <sheetFormatPr defaultRowHeight="15" x14ac:dyDescent="0.25"/>
  <cols>
    <col min="1" max="1" width="11.28515625" bestFit="1" customWidth="1"/>
    <col min="2" max="2" width="25.42578125" customWidth="1"/>
    <col min="3" max="3" width="17.28515625" customWidth="1"/>
    <col min="6" max="6" width="17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5" customWidth="1"/>
    <col min="15" max="15" width="13.140625" customWidth="1"/>
    <col min="18" max="21" width="9.28515625" bestFit="1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3">
        <v>45706</v>
      </c>
      <c r="B2" s="1" t="s">
        <v>31</v>
      </c>
      <c r="C2" s="1" t="s">
        <v>36</v>
      </c>
      <c r="D2" s="6" t="s">
        <v>23</v>
      </c>
      <c r="E2" s="1" t="s">
        <v>147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0.4069444444444445</v>
      </c>
      <c r="L2" s="4">
        <v>0.4548611111111111</v>
      </c>
      <c r="M2" s="5">
        <v>0.45208333333333334</v>
      </c>
      <c r="N2" s="1" t="s">
        <v>148</v>
      </c>
      <c r="O2" s="1" t="s">
        <v>149</v>
      </c>
      <c r="P2" s="1">
        <v>469</v>
      </c>
      <c r="Q2" s="1">
        <v>514</v>
      </c>
      <c r="R2" s="1">
        <v>0</v>
      </c>
      <c r="S2" s="1">
        <v>0</v>
      </c>
      <c r="T2" s="1">
        <v>0</v>
      </c>
      <c r="U2" s="1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3"/>
      <c r="B3" s="1"/>
      <c r="C3" s="1"/>
      <c r="D3" s="1"/>
      <c r="E3" s="1"/>
      <c r="F3" s="1"/>
      <c r="G3" s="1"/>
      <c r="H3" s="1"/>
      <c r="I3" s="1"/>
      <c r="J3" s="4"/>
      <c r="K3" s="1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3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3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46EB-9C78-463D-8429-EF1292ADBA23}">
  <dimension ref="A1:V10"/>
  <sheetViews>
    <sheetView workbookViewId="0">
      <selection activeCell="Q17" sqref="Q17"/>
    </sheetView>
  </sheetViews>
  <sheetFormatPr defaultRowHeight="15" x14ac:dyDescent="0.25"/>
  <cols>
    <col min="1" max="1" width="11" customWidth="1"/>
    <col min="2" max="2" width="23.7109375" customWidth="1"/>
    <col min="3" max="3" width="15" customWidth="1"/>
    <col min="6" max="6" width="13.7109375" customWidth="1"/>
    <col min="14" max="14" width="13.28515625" customWidth="1"/>
    <col min="15" max="15" width="13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45707</v>
      </c>
      <c r="B2" s="1" t="s">
        <v>31</v>
      </c>
      <c r="C2" s="1" t="s">
        <v>32</v>
      </c>
      <c r="D2" s="1" t="s">
        <v>23</v>
      </c>
      <c r="E2" s="1" t="s">
        <v>150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0.70833333333333337</v>
      </c>
      <c r="K2" s="5">
        <v>0.73611111111111116</v>
      </c>
      <c r="L2" s="4">
        <v>0.73263888888888884</v>
      </c>
      <c r="M2" s="5"/>
      <c r="N2" s="1" t="s">
        <v>43</v>
      </c>
      <c r="O2" s="1" t="s">
        <v>79</v>
      </c>
      <c r="P2" s="1">
        <v>645</v>
      </c>
      <c r="Q2" s="1">
        <v>633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45707</v>
      </c>
      <c r="B3" s="1" t="s">
        <v>31</v>
      </c>
      <c r="C3" s="1" t="s">
        <v>22</v>
      </c>
      <c r="D3" s="6" t="s">
        <v>113</v>
      </c>
      <c r="E3" s="1" t="s">
        <v>151</v>
      </c>
      <c r="F3" s="6" t="s">
        <v>24</v>
      </c>
      <c r="G3" s="7">
        <v>89000</v>
      </c>
      <c r="H3" s="1" t="s">
        <v>111</v>
      </c>
      <c r="I3" s="1" t="s">
        <v>112</v>
      </c>
      <c r="J3" s="4">
        <v>0.71875</v>
      </c>
      <c r="K3" s="5">
        <v>0.70972222222222225</v>
      </c>
      <c r="L3" s="4">
        <v>0.74305555555555547</v>
      </c>
      <c r="M3" s="5">
        <v>0.75347222222222221</v>
      </c>
      <c r="N3" s="1" t="s">
        <v>152</v>
      </c>
      <c r="O3" s="1" t="s">
        <v>153</v>
      </c>
      <c r="P3" s="1">
        <v>493</v>
      </c>
      <c r="Q3" s="1">
        <v>781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2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3B02-7384-4185-A489-8A75DD100D19}">
  <dimension ref="A1:V18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27.140625" customWidth="1"/>
    <col min="3" max="3" width="16.42578125" customWidth="1"/>
    <col min="6" max="6" width="16.85546875" customWidth="1"/>
    <col min="7" max="7" width="9.28515625" bestFit="1" customWidth="1"/>
    <col min="10" max="13" width="9.28515625" bestFit="1" customWidth="1"/>
    <col min="14" max="14" width="14.42578125" customWidth="1"/>
    <col min="15" max="15" width="14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 s="3">
        <v>45708</v>
      </c>
      <c r="B2" s="1" t="s">
        <v>31</v>
      </c>
      <c r="C2" s="1" t="s">
        <v>36</v>
      </c>
      <c r="D2" s="1" t="s">
        <v>23</v>
      </c>
      <c r="E2" s="1" t="s">
        <v>40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0.40972222222222227</v>
      </c>
      <c r="L2" s="4">
        <v>0.4548611111111111</v>
      </c>
      <c r="M2" s="5">
        <v>0.45902777777777781</v>
      </c>
      <c r="N2" s="1" t="s">
        <v>154</v>
      </c>
      <c r="O2" s="1" t="s">
        <v>155</v>
      </c>
      <c r="P2" s="1">
        <v>351</v>
      </c>
      <c r="Q2" s="1">
        <v>507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45708</v>
      </c>
      <c r="B3" s="1" t="s">
        <v>31</v>
      </c>
      <c r="C3" s="1" t="s">
        <v>32</v>
      </c>
      <c r="D3" s="6" t="s">
        <v>23</v>
      </c>
      <c r="E3" s="1" t="s">
        <v>97</v>
      </c>
      <c r="F3" s="6" t="s">
        <v>24</v>
      </c>
      <c r="G3" s="7">
        <v>71500</v>
      </c>
      <c r="H3" s="1" t="s">
        <v>39</v>
      </c>
      <c r="I3" s="1" t="s">
        <v>38</v>
      </c>
      <c r="J3" s="4">
        <v>0.70486111111111116</v>
      </c>
      <c r="K3" s="5">
        <v>0.69374999999999998</v>
      </c>
      <c r="L3" s="4">
        <v>0.72569444444444453</v>
      </c>
      <c r="M3" s="5">
        <v>0.72916666666666663</v>
      </c>
      <c r="N3" s="1" t="s">
        <v>156</v>
      </c>
      <c r="O3" s="1" t="s">
        <v>157</v>
      </c>
      <c r="P3" s="1">
        <v>830</v>
      </c>
      <c r="Q3" s="1">
        <v>731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/>
      <c r="B4" s="1"/>
      <c r="C4" s="1"/>
      <c r="D4" s="1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3"/>
      <c r="B5" s="1"/>
      <c r="C5" s="1"/>
      <c r="D5" s="1"/>
      <c r="E5" s="1"/>
      <c r="F5" s="6"/>
      <c r="G5" s="7"/>
      <c r="H5" s="1"/>
      <c r="I5" s="1"/>
      <c r="J5" s="4"/>
      <c r="K5" s="5"/>
      <c r="L5" s="14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3402-8D6D-452D-998F-00E7977E85A8}">
  <dimension ref="A1:U9"/>
  <sheetViews>
    <sheetView workbookViewId="0">
      <selection sqref="A1:XFD104857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45709</v>
      </c>
      <c r="B2" s="1" t="s">
        <v>21</v>
      </c>
      <c r="C2" s="1" t="s">
        <v>22</v>
      </c>
      <c r="D2" s="6" t="s">
        <v>23</v>
      </c>
      <c r="E2" s="1" t="s">
        <v>57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0.47569444444444442</v>
      </c>
      <c r="L2" s="4">
        <v>0.50347222222222221</v>
      </c>
      <c r="M2" s="5">
        <v>0.51250000000000007</v>
      </c>
      <c r="N2" s="1" t="s">
        <v>72</v>
      </c>
      <c r="O2" s="1" t="s">
        <v>158</v>
      </c>
      <c r="P2" s="1">
        <v>521</v>
      </c>
      <c r="Q2" s="1">
        <v>975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45709</v>
      </c>
      <c r="B3" s="1" t="s">
        <v>31</v>
      </c>
      <c r="C3" s="1" t="s">
        <v>32</v>
      </c>
      <c r="D3" s="1" t="s">
        <v>23</v>
      </c>
      <c r="E3" s="1" t="s">
        <v>40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0.6972222222222223</v>
      </c>
      <c r="L3" s="4">
        <v>0.73263888888888884</v>
      </c>
      <c r="M3" s="5">
        <v>0.7284722222222223</v>
      </c>
      <c r="N3" s="1" t="s">
        <v>135</v>
      </c>
      <c r="O3" s="1" t="s">
        <v>159</v>
      </c>
      <c r="P3" s="1">
        <v>742</v>
      </c>
      <c r="Q3" s="1">
        <v>567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1"/>
      <c r="G4" s="7"/>
      <c r="H4" s="1"/>
      <c r="I4" s="1"/>
      <c r="J4" s="4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9"/>
      <c r="L8" s="9"/>
      <c r="M8" s="9"/>
      <c r="N8" s="10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B53-94A4-48B0-BE3F-A5EC29E0F1DF}">
  <dimension ref="A1:U5"/>
  <sheetViews>
    <sheetView workbookViewId="0">
      <selection activeCell="D6" sqref="D6"/>
    </sheetView>
  </sheetViews>
  <sheetFormatPr defaultRowHeight="15" x14ac:dyDescent="0.25"/>
  <cols>
    <col min="2" max="2" width="20.140625" bestFit="1" customWidth="1"/>
    <col min="3" max="3" width="15.7109375" bestFit="1" customWidth="1"/>
    <col min="6" max="6" width="1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45710</v>
      </c>
      <c r="B2" s="1" t="s">
        <v>31</v>
      </c>
      <c r="C2" s="1" t="s">
        <v>36</v>
      </c>
      <c r="D2" s="1" t="s">
        <v>23</v>
      </c>
      <c r="E2" s="1" t="s">
        <v>150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0.42499999999999999</v>
      </c>
      <c r="L2" s="4">
        <v>0.4548611111111111</v>
      </c>
      <c r="M2" s="5">
        <v>0.47013888888888888</v>
      </c>
      <c r="N2" s="1" t="s">
        <v>160</v>
      </c>
      <c r="O2" s="1" t="s">
        <v>161</v>
      </c>
      <c r="P2" s="1">
        <v>451</v>
      </c>
      <c r="Q2" s="1">
        <v>464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45710</v>
      </c>
      <c r="B3" s="1" t="s">
        <v>162</v>
      </c>
      <c r="C3" s="2" t="s">
        <v>166</v>
      </c>
      <c r="D3" s="2" t="s">
        <v>165</v>
      </c>
      <c r="E3" s="2" t="s">
        <v>163</v>
      </c>
      <c r="F3" s="6" t="s">
        <v>164</v>
      </c>
      <c r="G3" s="7">
        <v>1900</v>
      </c>
      <c r="H3" s="2" t="s">
        <v>163</v>
      </c>
      <c r="I3" s="2" t="s">
        <v>163</v>
      </c>
      <c r="J3" s="15">
        <v>0.69791666666666663</v>
      </c>
      <c r="K3" s="8">
        <v>0.69097222222222221</v>
      </c>
      <c r="L3" s="15">
        <v>0.70833333333333337</v>
      </c>
      <c r="M3" s="8">
        <v>0.70833333333333337</v>
      </c>
      <c r="N3" s="1">
        <v>3</v>
      </c>
      <c r="O3" s="1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2"/>
      <c r="D5" s="2"/>
      <c r="E5" s="2"/>
      <c r="F5" s="2"/>
      <c r="G5" s="7"/>
      <c r="H5" s="2"/>
      <c r="I5" s="2"/>
      <c r="J5" s="16"/>
      <c r="K5" s="8"/>
      <c r="L5" s="16"/>
      <c r="M5" s="8"/>
      <c r="N5" s="1"/>
      <c r="O5" s="1"/>
      <c r="P5" s="2"/>
      <c r="Q5" s="2"/>
      <c r="R5" s="2"/>
      <c r="S5" s="2"/>
      <c r="T5" s="2"/>
      <c r="U5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BBFB-E813-452B-B320-6C510772706F}">
  <dimension ref="A1:V8"/>
  <sheetViews>
    <sheetView workbookViewId="0">
      <selection activeCell="R3" sqref="R3"/>
    </sheetView>
  </sheetViews>
  <sheetFormatPr defaultRowHeight="15" x14ac:dyDescent="0.25"/>
  <cols>
    <col min="2" max="2" width="21.7109375" customWidth="1"/>
    <col min="3" max="3" width="20.140625" customWidth="1"/>
    <col min="6" max="6" width="16.140625" customWidth="1"/>
    <col min="14" max="14" width="15.7109375" customWidth="1"/>
    <col min="15" max="15" width="18.425781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45711</v>
      </c>
      <c r="B2" s="1" t="s">
        <v>31</v>
      </c>
      <c r="C2" s="1" t="s">
        <v>36</v>
      </c>
      <c r="D2" s="6" t="s">
        <v>23</v>
      </c>
      <c r="E2" s="1" t="s">
        <v>40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0.40972222222222227</v>
      </c>
      <c r="K2" s="5">
        <v>0.3923611111111111</v>
      </c>
      <c r="L2" s="4">
        <v>0.43402777777777773</v>
      </c>
      <c r="M2" s="5">
        <v>0.4375</v>
      </c>
      <c r="N2" s="1" t="s">
        <v>168</v>
      </c>
      <c r="O2" s="1" t="s">
        <v>169</v>
      </c>
      <c r="P2" s="1">
        <v>497</v>
      </c>
      <c r="Q2" s="1">
        <v>309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45711</v>
      </c>
      <c r="B3" s="1" t="s">
        <v>31</v>
      </c>
      <c r="C3" s="1" t="s">
        <v>32</v>
      </c>
      <c r="D3" s="6" t="s">
        <v>23</v>
      </c>
      <c r="E3" s="1" t="s">
        <v>167</v>
      </c>
      <c r="F3" s="6" t="s">
        <v>24</v>
      </c>
      <c r="G3" s="7">
        <v>71501</v>
      </c>
      <c r="H3" s="1" t="s">
        <v>33</v>
      </c>
      <c r="I3" s="1" t="s">
        <v>34</v>
      </c>
      <c r="J3" s="4">
        <v>0.71875</v>
      </c>
      <c r="K3" s="5">
        <v>0.7006944444444444</v>
      </c>
      <c r="L3" s="4">
        <v>0.73958333333333337</v>
      </c>
      <c r="M3" s="5">
        <v>0.73472222222222217</v>
      </c>
      <c r="N3" s="1" t="s">
        <v>170</v>
      </c>
      <c r="O3" s="1" t="s">
        <v>106</v>
      </c>
      <c r="P3" s="1">
        <v>931</v>
      </c>
      <c r="Q3" s="1">
        <v>645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1"/>
      <c r="D4" s="1"/>
      <c r="E4" s="1"/>
      <c r="F4" s="1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9"/>
      <c r="L7" s="9"/>
      <c r="M7" s="9"/>
      <c r="N7" s="10"/>
      <c r="O7" s="1"/>
      <c r="P7" s="1"/>
      <c r="Q7" s="1"/>
      <c r="R7" s="1"/>
      <c r="S7" s="1"/>
      <c r="T7" s="1"/>
      <c r="U7" s="1"/>
    </row>
    <row r="8" spans="1:22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9"/>
      <c r="L8" s="9"/>
      <c r="M8" s="9"/>
      <c r="N8" s="10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CDB8-C735-4708-91C0-BEDCB1702FE6}">
  <dimension ref="A1:V18"/>
  <sheetViews>
    <sheetView workbookViewId="0">
      <selection activeCell="Q3" sqref="Q3"/>
    </sheetView>
  </sheetViews>
  <sheetFormatPr defaultRowHeight="15" x14ac:dyDescent="0.25"/>
  <cols>
    <col min="1" max="1" width="12.85546875" bestFit="1" customWidth="1"/>
    <col min="2" max="2" width="27.140625" customWidth="1"/>
    <col min="3" max="3" width="16.42578125" customWidth="1"/>
    <col min="6" max="6" width="15" customWidth="1"/>
    <col min="7" max="7" width="9.28515625" bestFit="1" customWidth="1"/>
    <col min="9" max="9" width="11.140625" customWidth="1"/>
    <col min="10" max="13" width="9.28515625" bestFit="1" customWidth="1"/>
    <col min="14" max="14" width="12.42578125" customWidth="1"/>
    <col min="15" max="15" width="12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 s="3">
        <v>45712</v>
      </c>
      <c r="B2" s="1" t="s">
        <v>21</v>
      </c>
      <c r="C2" s="1" t="s">
        <v>22</v>
      </c>
      <c r="D2" s="6" t="s">
        <v>23</v>
      </c>
      <c r="E2" s="1" t="s">
        <v>171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0.47013888888888888</v>
      </c>
      <c r="L2" s="4">
        <v>0.50347222222222221</v>
      </c>
      <c r="M2" s="5">
        <v>0.50347222222222221</v>
      </c>
      <c r="N2" s="1" t="s">
        <v>181</v>
      </c>
      <c r="O2" s="1" t="s">
        <v>182</v>
      </c>
      <c r="P2" s="1">
        <v>733</v>
      </c>
      <c r="Q2" s="1">
        <v>774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45712</v>
      </c>
      <c r="B3" s="1" t="s">
        <v>31</v>
      </c>
      <c r="C3" s="1" t="s">
        <v>32</v>
      </c>
      <c r="D3" s="1" t="s">
        <v>23</v>
      </c>
      <c r="E3" s="1" t="s">
        <v>172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0.69930555555555562</v>
      </c>
      <c r="L3" s="4">
        <v>0.73263888888888884</v>
      </c>
      <c r="M3" s="5">
        <v>0.72916666666666663</v>
      </c>
      <c r="N3" s="1" t="s">
        <v>59</v>
      </c>
      <c r="O3" s="1" t="s">
        <v>100</v>
      </c>
      <c r="P3" s="1">
        <v>647</v>
      </c>
      <c r="Q3" s="1">
        <v>642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45712</v>
      </c>
      <c r="B4" s="1" t="s">
        <v>35</v>
      </c>
      <c r="C4" s="1" t="s">
        <v>28</v>
      </c>
      <c r="D4" s="1" t="s">
        <v>98</v>
      </c>
      <c r="E4" s="1" t="s">
        <v>183</v>
      </c>
      <c r="F4" s="6" t="s">
        <v>24</v>
      </c>
      <c r="G4" s="7">
        <v>79000</v>
      </c>
      <c r="H4" s="1" t="s">
        <v>41</v>
      </c>
      <c r="I4" s="1" t="s">
        <v>42</v>
      </c>
      <c r="J4" s="4">
        <v>0.57986111111111105</v>
      </c>
      <c r="K4" s="5">
        <v>0.56527777777777777</v>
      </c>
      <c r="L4" s="4">
        <v>0.625</v>
      </c>
      <c r="M4" s="5">
        <v>0.61736111111111114</v>
      </c>
      <c r="N4" s="1" t="s">
        <v>184</v>
      </c>
      <c r="O4" s="1" t="s">
        <v>185</v>
      </c>
      <c r="P4" s="1">
        <v>798</v>
      </c>
      <c r="Q4" s="1">
        <v>921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>
        <v>45712</v>
      </c>
      <c r="B5" s="10" t="s">
        <v>173</v>
      </c>
      <c r="C5" s="1" t="s">
        <v>177</v>
      </c>
      <c r="D5" s="10" t="s">
        <v>174</v>
      </c>
      <c r="E5" s="10" t="s">
        <v>175</v>
      </c>
      <c r="F5" s="6" t="s">
        <v>178</v>
      </c>
      <c r="G5" s="22">
        <v>12930</v>
      </c>
      <c r="H5" s="10" t="s">
        <v>176</v>
      </c>
      <c r="I5" s="10" t="s">
        <v>179</v>
      </c>
      <c r="J5" s="4">
        <v>0.35416666666666669</v>
      </c>
      <c r="K5" s="5">
        <v>0.35486111111111113</v>
      </c>
      <c r="L5" s="4">
        <v>0.37847222222222227</v>
      </c>
      <c r="M5" s="5">
        <v>0.39444444444444443</v>
      </c>
      <c r="N5" s="1" t="s">
        <v>180</v>
      </c>
      <c r="O5" s="1" t="s">
        <v>180</v>
      </c>
      <c r="P5" s="1" t="s">
        <v>92</v>
      </c>
      <c r="Q5" s="1" t="s">
        <v>92</v>
      </c>
      <c r="R5" s="1">
        <v>0</v>
      </c>
      <c r="S5" s="1">
        <v>0</v>
      </c>
      <c r="T5" s="1">
        <v>0</v>
      </c>
      <c r="U5" s="1">
        <v>0</v>
      </c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D427-CC6A-4E27-A06A-B5CF0F24FFBD}">
  <dimension ref="A1:AN17"/>
  <sheetViews>
    <sheetView workbookViewId="0">
      <selection activeCell="Q3" sqref="Q3"/>
    </sheetView>
  </sheetViews>
  <sheetFormatPr defaultRowHeight="15" x14ac:dyDescent="0.25"/>
  <cols>
    <col min="1" max="1" width="13.85546875" bestFit="1" customWidth="1"/>
    <col min="2" max="2" width="23.140625" customWidth="1"/>
    <col min="3" max="3" width="19" customWidth="1"/>
    <col min="6" max="6" width="16.42578125" customWidth="1"/>
    <col min="7" max="7" width="9.85546875" bestFit="1" customWidth="1"/>
    <col min="10" max="13" width="9.28515625" bestFit="1" customWidth="1"/>
    <col min="14" max="14" width="11.85546875" customWidth="1"/>
    <col min="15" max="15" width="12.85546875" customWidth="1"/>
    <col min="16" max="21" width="9.28515625" bestFit="1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3">
        <v>45713</v>
      </c>
      <c r="B2" s="1" t="s">
        <v>31</v>
      </c>
      <c r="C2" s="1" t="s">
        <v>36</v>
      </c>
      <c r="D2" s="6" t="s">
        <v>23</v>
      </c>
      <c r="E2" s="1" t="s">
        <v>167</v>
      </c>
      <c r="F2" s="6" t="s">
        <v>24</v>
      </c>
      <c r="G2" s="7">
        <v>71500</v>
      </c>
      <c r="H2" s="1" t="s">
        <v>39</v>
      </c>
      <c r="I2" s="1" t="s">
        <v>38</v>
      </c>
      <c r="J2" s="4">
        <v>0.43055555555555558</v>
      </c>
      <c r="K2" s="5">
        <v>0.43124999999999997</v>
      </c>
      <c r="L2" s="4">
        <v>0.4548611111111111</v>
      </c>
      <c r="M2" s="5">
        <v>0.46736111111111112</v>
      </c>
      <c r="N2" s="1" t="s">
        <v>186</v>
      </c>
      <c r="O2" s="1" t="s">
        <v>187</v>
      </c>
      <c r="P2" s="1">
        <v>589</v>
      </c>
      <c r="Q2" s="1">
        <v>452</v>
      </c>
      <c r="R2" s="1">
        <v>0</v>
      </c>
      <c r="S2" s="1">
        <v>0</v>
      </c>
      <c r="T2" s="1">
        <v>0</v>
      </c>
      <c r="U2" s="1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3"/>
      <c r="B3" s="1"/>
      <c r="C3" s="2"/>
      <c r="D3" s="2"/>
      <c r="E3" s="2"/>
      <c r="F3" s="2"/>
      <c r="G3" s="7"/>
      <c r="H3" s="2"/>
      <c r="I3" s="2"/>
      <c r="J3" s="17"/>
      <c r="K3" s="8"/>
      <c r="L3" s="17"/>
      <c r="M3" s="8"/>
      <c r="N3" s="8"/>
      <c r="O3" s="8"/>
      <c r="P3" s="12"/>
      <c r="Q3" s="11"/>
      <c r="R3" s="2"/>
      <c r="S3" s="2"/>
      <c r="T3" s="2"/>
      <c r="U3" s="2"/>
      <c r="V3" s="1"/>
    </row>
    <row r="4" spans="1:40" x14ac:dyDescent="0.25">
      <c r="A4" s="3"/>
      <c r="B4" s="1"/>
      <c r="C4" s="1"/>
      <c r="D4" s="6"/>
      <c r="E4" s="1"/>
      <c r="F4" s="6"/>
      <c r="G4" s="1"/>
      <c r="H4" s="6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  <c r="V4" s="1"/>
    </row>
    <row r="5" spans="1:40" x14ac:dyDescent="0.25">
      <c r="A5" s="3"/>
      <c r="B5" s="1"/>
      <c r="C5" s="1"/>
      <c r="D5" s="6"/>
      <c r="E5" s="1"/>
      <c r="F5" s="6"/>
      <c r="G5" s="1"/>
      <c r="H5" s="6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  <c r="V5" s="1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4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4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4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4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4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4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4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5F08-F7DD-46B5-9C1F-09EE00AF8ED0}">
  <dimension ref="A1:V10"/>
  <sheetViews>
    <sheetView workbookViewId="0">
      <selection activeCell="I8" sqref="I8"/>
    </sheetView>
  </sheetViews>
  <sheetFormatPr defaultRowHeight="15" x14ac:dyDescent="0.25"/>
  <cols>
    <col min="1" max="1" width="11" customWidth="1"/>
    <col min="2" max="2" width="23.7109375" customWidth="1"/>
    <col min="3" max="3" width="15" customWidth="1"/>
    <col min="6" max="6" width="13.7109375" customWidth="1"/>
    <col min="14" max="14" width="13.28515625" customWidth="1"/>
    <col min="15" max="15" width="13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45714</v>
      </c>
      <c r="B2" s="1" t="s">
        <v>31</v>
      </c>
      <c r="C2" s="1" t="s">
        <v>32</v>
      </c>
      <c r="D2" s="1" t="s">
        <v>23</v>
      </c>
      <c r="E2" s="1" t="s">
        <v>78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0.70833333333333337</v>
      </c>
      <c r="K2" s="5">
        <v>0.70624999999999993</v>
      </c>
      <c r="L2" s="4">
        <v>0.73263888888888884</v>
      </c>
      <c r="M2" s="5">
        <v>0.74305555555555547</v>
      </c>
      <c r="N2" s="1" t="s">
        <v>189</v>
      </c>
      <c r="O2" s="1" t="s">
        <v>191</v>
      </c>
      <c r="P2" s="1">
        <v>683</v>
      </c>
      <c r="Q2" s="1">
        <v>670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45714</v>
      </c>
      <c r="B3" s="1" t="s">
        <v>31</v>
      </c>
      <c r="C3" s="1" t="s">
        <v>22</v>
      </c>
      <c r="D3" s="6" t="s">
        <v>113</v>
      </c>
      <c r="E3" s="1" t="s">
        <v>188</v>
      </c>
      <c r="F3" s="6" t="s">
        <v>24</v>
      </c>
      <c r="G3" s="7">
        <v>89000</v>
      </c>
      <c r="H3" s="1" t="s">
        <v>111</v>
      </c>
      <c r="I3" s="1" t="s">
        <v>112</v>
      </c>
      <c r="J3" s="4">
        <v>0.71875</v>
      </c>
      <c r="K3" s="5">
        <v>0.70833333333333337</v>
      </c>
      <c r="L3" s="4">
        <v>0.74305555555555547</v>
      </c>
      <c r="M3" s="5">
        <v>0.75694444444444453</v>
      </c>
      <c r="N3" s="1" t="s">
        <v>190</v>
      </c>
      <c r="O3" s="1" t="s">
        <v>192</v>
      </c>
      <c r="P3" s="1">
        <v>862</v>
      </c>
      <c r="Q3" s="1">
        <v>577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2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C0F0-9C0F-498B-A851-FFB4608ABE2A}">
  <dimension ref="A1:V1048576"/>
  <sheetViews>
    <sheetView workbookViewId="0">
      <selection activeCell="M3" sqref="M3"/>
    </sheetView>
  </sheetViews>
  <sheetFormatPr defaultRowHeight="15" x14ac:dyDescent="0.25"/>
  <cols>
    <col min="1" max="1" width="12.85546875" bestFit="1" customWidth="1"/>
    <col min="2" max="2" width="27.140625" customWidth="1"/>
    <col min="3" max="3" width="16.42578125" customWidth="1"/>
    <col min="6" max="6" width="16.85546875" customWidth="1"/>
    <col min="7" max="7" width="9.28515625" bestFit="1" customWidth="1"/>
    <col min="10" max="13" width="9.28515625" bestFit="1" customWidth="1"/>
    <col min="14" max="14" width="14.42578125" customWidth="1"/>
    <col min="15" max="15" width="14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 s="3">
        <v>45715</v>
      </c>
      <c r="B2" s="1" t="s">
        <v>31</v>
      </c>
      <c r="C2" s="1" t="s">
        <v>36</v>
      </c>
      <c r="D2" s="1" t="s">
        <v>23</v>
      </c>
      <c r="E2" s="1" t="s">
        <v>193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0.40972222222222227</v>
      </c>
      <c r="L2" s="4">
        <v>0.4548611111111111</v>
      </c>
      <c r="M2" s="5">
        <v>0.45763888888888887</v>
      </c>
      <c r="N2" s="1" t="s">
        <v>116</v>
      </c>
      <c r="O2" s="1" t="s">
        <v>194</v>
      </c>
      <c r="P2" s="1">
        <v>429</v>
      </c>
      <c r="Q2" s="1">
        <v>664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45715</v>
      </c>
      <c r="B3" s="1" t="s">
        <v>31</v>
      </c>
      <c r="C3" s="1" t="s">
        <v>32</v>
      </c>
      <c r="D3" s="6" t="s">
        <v>23</v>
      </c>
      <c r="E3" s="1" t="s">
        <v>78</v>
      </c>
      <c r="F3" s="6" t="s">
        <v>24</v>
      </c>
      <c r="G3" s="7">
        <v>71500</v>
      </c>
      <c r="H3" s="1" t="s">
        <v>39</v>
      </c>
      <c r="I3" s="1" t="s">
        <v>38</v>
      </c>
      <c r="J3" s="4">
        <v>0.70486111111111116</v>
      </c>
      <c r="K3" s="5">
        <v>0.68819444444444444</v>
      </c>
      <c r="L3" s="4">
        <v>0.72569444444444453</v>
      </c>
      <c r="M3" s="5">
        <v>0.72291666666666676</v>
      </c>
      <c r="N3" s="1" t="s">
        <v>143</v>
      </c>
      <c r="O3" s="1" t="s">
        <v>195</v>
      </c>
      <c r="P3" s="1">
        <v>625</v>
      </c>
      <c r="Q3" s="1">
        <v>690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/>
      <c r="B4" s="1"/>
      <c r="C4" s="1"/>
      <c r="D4" s="1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3"/>
      <c r="B5" s="1"/>
      <c r="C5" s="1"/>
      <c r="D5" s="1"/>
      <c r="E5" s="1"/>
      <c r="F5" s="6"/>
      <c r="G5" s="7"/>
      <c r="H5" s="1"/>
      <c r="I5" s="1"/>
      <c r="J5" s="4"/>
      <c r="K5" s="5"/>
      <c r="L5" s="14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048576" spans="5:5" x14ac:dyDescent="0.25">
      <c r="E1048576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8240-7B61-44CC-85CA-31439BBDC8CB}">
  <dimension ref="A1:U9"/>
  <sheetViews>
    <sheetView tabSelected="1" workbookViewId="0">
      <selection activeCell="L3" sqref="L3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45716</v>
      </c>
      <c r="B2" s="1" t="s">
        <v>21</v>
      </c>
      <c r="C2" s="1" t="s">
        <v>22</v>
      </c>
      <c r="D2" s="6" t="s">
        <v>23</v>
      </c>
      <c r="E2" s="1" t="s">
        <v>82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0.47222222222222227</v>
      </c>
      <c r="L2" s="4">
        <v>0.50347222222222221</v>
      </c>
      <c r="M2" s="5">
        <v>0.50902777777777775</v>
      </c>
      <c r="N2" s="1" t="s">
        <v>196</v>
      </c>
      <c r="O2" s="1" t="s">
        <v>86</v>
      </c>
      <c r="P2" s="1">
        <v>825</v>
      </c>
      <c r="Q2" s="1">
        <v>640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45716</v>
      </c>
      <c r="B3" s="1" t="s">
        <v>31</v>
      </c>
      <c r="C3" s="1" t="s">
        <v>32</v>
      </c>
      <c r="D3" s="1" t="s">
        <v>23</v>
      </c>
      <c r="E3" s="1" t="s">
        <v>37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0.6972222222222223</v>
      </c>
      <c r="L3" s="4">
        <v>0.73263888888888884</v>
      </c>
      <c r="M3" s="5">
        <v>0.7402777777777777</v>
      </c>
      <c r="N3" s="1" t="s">
        <v>204</v>
      </c>
      <c r="O3" s="1" t="s">
        <v>205</v>
      </c>
      <c r="P3" s="1">
        <v>583</v>
      </c>
      <c r="Q3" s="1">
        <v>501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45716</v>
      </c>
      <c r="B4" s="1" t="s">
        <v>203</v>
      </c>
      <c r="C4" s="1" t="s">
        <v>202</v>
      </c>
      <c r="D4" s="1" t="s">
        <v>201</v>
      </c>
      <c r="E4" s="1" t="s">
        <v>200</v>
      </c>
      <c r="F4" s="1" t="s">
        <v>199</v>
      </c>
      <c r="G4" s="7">
        <v>10</v>
      </c>
      <c r="H4" s="1" t="s">
        <v>198</v>
      </c>
      <c r="I4" s="1" t="s">
        <v>197</v>
      </c>
      <c r="J4" s="4">
        <v>0.51736111111111105</v>
      </c>
      <c r="K4" s="5">
        <v>0.51388888888888895</v>
      </c>
      <c r="L4" s="5">
        <v>0.55902777777777779</v>
      </c>
      <c r="M4" s="5">
        <v>0.55555555555555558</v>
      </c>
      <c r="N4" s="1">
        <v>0</v>
      </c>
      <c r="O4" s="1">
        <v>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9"/>
      <c r="L8" s="9"/>
      <c r="M8" s="9"/>
      <c r="N8" s="10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9"/>
      <c r="L9" s="9"/>
      <c r="M9" s="9"/>
      <c r="N9" s="10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2025-02-28T16:48:36Z</dcterms:modified>
</cp:coreProperties>
</file>