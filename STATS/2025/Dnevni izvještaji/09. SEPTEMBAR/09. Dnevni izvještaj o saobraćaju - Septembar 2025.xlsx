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973094F-2E16-40BB-9E5C-87EFD6138EDA}" xr6:coauthVersionLast="37" xr6:coauthVersionMax="37" xr10:uidLastSave="{00000000-0000-0000-0000-000000000000}"/>
  <bookViews>
    <workbookView xWindow="0" yWindow="0" windowWidth="22260" windowHeight="12645" firstSheet="5" activeTab="29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8" r:id="rId26"/>
    <sheet name="27" sheetId="29" r:id="rId27"/>
    <sheet name="28" sheetId="30" r:id="rId28"/>
    <sheet name="29" sheetId="31" r:id="rId29"/>
    <sheet name="30" sheetId="32" r:id="rId3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0" l="1"/>
  <c r="A5" i="29" l="1"/>
  <c r="A4" i="29"/>
  <c r="A3" i="29"/>
  <c r="A6" i="9" l="1"/>
  <c r="A5" i="9"/>
  <c r="A4" i="9"/>
  <c r="A3" i="9"/>
  <c r="A4" i="2" l="1"/>
  <c r="A5" i="2" s="1"/>
</calcChain>
</file>

<file path=xl/sharedStrings.xml><?xml version="1.0" encoding="utf-8"?>
<sst xmlns="http://schemas.openxmlformats.org/spreadsheetml/2006/main" count="1712" uniqueCount="177">
  <si>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</si>
  <si>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</si>
  <si>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</si>
  <si>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</si>
  <si>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</si>
  <si>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</si>
  <si>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</si>
  <si>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</si>
  <si>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</si>
  <si>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</si>
  <si>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</si>
  <si>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WIZZAIR MALTA LTD</t>
  </si>
  <si>
    <t>WMT</t>
  </si>
  <si>
    <t>FMM-TZL-FMM</t>
  </si>
  <si>
    <t>A320</t>
  </si>
  <si>
    <t>SCHEDULED</t>
  </si>
  <si>
    <t>W44280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</si>
  <si>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</si>
  <si>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</si>
  <si>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</si>
  <si>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</si>
  <si>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</si>
  <si>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</si>
  <si>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</si>
  <si>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</si>
  <si>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</si>
  <si>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W44279</t>
  </si>
  <si>
    <t>DTM-TZL-DTM</t>
  </si>
  <si>
    <t>W44298</t>
  </si>
  <si>
    <t>W44297</t>
  </si>
  <si>
    <t>WIZZAIR HUNGARY LTD</t>
  </si>
  <si>
    <t>WZZ</t>
  </si>
  <si>
    <t>MLH-TZL-MLH</t>
  </si>
  <si>
    <t>W64294</t>
  </si>
  <si>
    <t>W64293</t>
  </si>
  <si>
    <t>SAW-TZL-SAW</t>
  </si>
  <si>
    <t>Datum</t>
  </si>
  <si>
    <t>Kompanija</t>
  </si>
  <si>
    <t xml:space="preserve">AJET </t>
  </si>
  <si>
    <t>TKJ</t>
  </si>
  <si>
    <t>B737</t>
  </si>
  <si>
    <t>VF271</t>
  </si>
  <si>
    <t>VF272</t>
  </si>
  <si>
    <t>9H-WBX</t>
  </si>
  <si>
    <t>HA-LYS</t>
  </si>
  <si>
    <t>HA-LYG</t>
  </si>
  <si>
    <t>TC-LAK</t>
  </si>
  <si>
    <t>datum</t>
  </si>
  <si>
    <t>kompanija</t>
  </si>
  <si>
    <t>FREEBIRD AIRLINES</t>
  </si>
  <si>
    <t>FHY</t>
  </si>
  <si>
    <t>AYT-TZL-AYT</t>
  </si>
  <si>
    <t>CHARTER</t>
  </si>
  <si>
    <t>FHY821</t>
  </si>
  <si>
    <t>FHY822</t>
  </si>
  <si>
    <t>CORENDON AIRLINES</t>
  </si>
  <si>
    <t>CAI</t>
  </si>
  <si>
    <t>B737-800</t>
  </si>
  <si>
    <t>CAI197</t>
  </si>
  <si>
    <t>CAI198</t>
  </si>
  <si>
    <t>A321</t>
  </si>
  <si>
    <t>9H-WMG</t>
  </si>
  <si>
    <t>W64298</t>
  </si>
  <si>
    <t>TC-FBR</t>
  </si>
  <si>
    <t>HA-LGA</t>
  </si>
  <si>
    <t>TC-COH</t>
  </si>
  <si>
    <t>VIE-TZL-VIE</t>
  </si>
  <si>
    <t>A21</t>
  </si>
  <si>
    <t>W44286</t>
  </si>
  <si>
    <t>W44285</t>
  </si>
  <si>
    <t>HA-LWM</t>
  </si>
  <si>
    <t>HA-LZW</t>
  </si>
  <si>
    <t>HA-LYK</t>
  </si>
  <si>
    <t>W64297</t>
  </si>
  <si>
    <t>PEGASUS AIRLINES</t>
  </si>
  <si>
    <t>PGT</t>
  </si>
  <si>
    <t>PC250</t>
  </si>
  <si>
    <t>PC251</t>
  </si>
  <si>
    <t>TZL-DTM-TZL</t>
  </si>
  <si>
    <t>FH821</t>
  </si>
  <si>
    <t>FH822</t>
  </si>
  <si>
    <t>TC-AZP</t>
  </si>
  <si>
    <t>9H-WZQ</t>
  </si>
  <si>
    <t>LY-NVJ</t>
  </si>
  <si>
    <t>TC-FHP</t>
  </si>
  <si>
    <t>9H-WDP</t>
  </si>
  <si>
    <t>SWISS AIR AMBULANCE</t>
  </si>
  <si>
    <t>N/A</t>
  </si>
  <si>
    <t>ZRH-TZL-SPU</t>
  </si>
  <si>
    <t>CL650</t>
  </si>
  <si>
    <t>HB-JWC</t>
  </si>
  <si>
    <t>MEDEVAC</t>
  </si>
  <si>
    <t>SAZ73</t>
  </si>
  <si>
    <t>CREW</t>
  </si>
  <si>
    <t>SAZ74</t>
  </si>
  <si>
    <t>HA-LGW</t>
  </si>
  <si>
    <t>9H-WNA</t>
  </si>
  <si>
    <t>9H-WDD</t>
  </si>
  <si>
    <t>9H-WDJ</t>
  </si>
  <si>
    <t>AIRRPORT MALI LOŠINJ LTD</t>
  </si>
  <si>
    <t>RIX-TZL</t>
  </si>
  <si>
    <t>9A-LAN</t>
  </si>
  <si>
    <t>-</t>
  </si>
  <si>
    <t>BE9L</t>
  </si>
  <si>
    <t>GP</t>
  </si>
  <si>
    <t>ROP</t>
  </si>
  <si>
    <t>9H-WDA</t>
  </si>
  <si>
    <t>HA-LWN</t>
  </si>
  <si>
    <t>HA-LYT</t>
  </si>
  <si>
    <t>NA</t>
  </si>
  <si>
    <t>9ALAN</t>
  </si>
  <si>
    <t>TC-JHD</t>
  </si>
  <si>
    <t>TZL-LSZ</t>
  </si>
  <si>
    <t>TC-FHM</t>
  </si>
  <si>
    <t>TC-MKS</t>
  </si>
  <si>
    <t>9H-WBU</t>
  </si>
  <si>
    <t>9H-WNT</t>
  </si>
  <si>
    <t>HA-LYH</t>
  </si>
  <si>
    <t>9H-WZT</t>
  </si>
  <si>
    <t>HA-LWC</t>
  </si>
  <si>
    <t>9H-WAI</t>
  </si>
  <si>
    <t>9W-WZS</t>
  </si>
  <si>
    <t>HA-LGN</t>
  </si>
  <si>
    <t>AERO DIENST GMBH</t>
  </si>
  <si>
    <t>FRA-TZL-DBV</t>
  </si>
  <si>
    <t>LJ60</t>
  </si>
  <si>
    <t>D-CURE</t>
  </si>
  <si>
    <t>ADN64E</t>
  </si>
  <si>
    <t>9H-WBY</t>
  </si>
  <si>
    <t>9H-WDG</t>
  </si>
  <si>
    <t>TC-FHG</t>
  </si>
  <si>
    <t>TC-CRF</t>
  </si>
  <si>
    <t>HA-LWU</t>
  </si>
  <si>
    <t>LSZ-TZL-ZAG</t>
  </si>
  <si>
    <t>9H-WZS</t>
  </si>
  <si>
    <t>HA-LYL</t>
  </si>
  <si>
    <t>9H-WDM</t>
  </si>
  <si>
    <t>TC-LAF</t>
  </si>
  <si>
    <t>TC-FHK</t>
  </si>
  <si>
    <t>HA-LZI</t>
  </si>
  <si>
    <t>AYT-TZL-FRA</t>
  </si>
  <si>
    <t>TC-CON</t>
  </si>
  <si>
    <t>9H-WBP</t>
  </si>
  <si>
    <t>9H-WNR</t>
  </si>
  <si>
    <t>ZAG-TZL-LSZ</t>
  </si>
  <si>
    <t>ZAG-TZL-ZAG</t>
  </si>
  <si>
    <t>9HWZX</t>
  </si>
  <si>
    <t>9HWBQ</t>
  </si>
  <si>
    <t>9HWDR</t>
  </si>
  <si>
    <t>HALZW</t>
  </si>
  <si>
    <t>HA-LVJ</t>
  </si>
  <si>
    <t>HA-LGU</t>
  </si>
  <si>
    <t>HA-LYF</t>
  </si>
  <si>
    <t>TC-LAI</t>
  </si>
  <si>
    <t>9H-WDX</t>
  </si>
  <si>
    <t>9H-WNI</t>
  </si>
  <si>
    <t>9H-WAU</t>
  </si>
  <si>
    <t>9H--WDA</t>
  </si>
  <si>
    <t>9H-WZR</t>
  </si>
  <si>
    <t>SMATSA LTD</t>
  </si>
  <si>
    <t>BE350</t>
  </si>
  <si>
    <t>YU-BTC</t>
  </si>
  <si>
    <t>NONSCHEDULED/GA BUSINESS</t>
  </si>
  <si>
    <t>YUBTC</t>
  </si>
  <si>
    <t>24.09..2025</t>
  </si>
  <si>
    <t>OMO-TZL-SJJ</t>
  </si>
  <si>
    <t>HA-LWE</t>
  </si>
  <si>
    <t>TC-CPD</t>
  </si>
  <si>
    <t>HA-LZR</t>
  </si>
  <si>
    <t>HA-LXP</t>
  </si>
  <si>
    <t>HA-LVE</t>
  </si>
  <si>
    <t>9H-WMD</t>
  </si>
  <si>
    <t>9H-WDV</t>
  </si>
  <si>
    <t>9H-WDR</t>
  </si>
  <si>
    <t>TC-OHB</t>
  </si>
  <si>
    <t>9H-WNM</t>
  </si>
  <si>
    <t>HA-LTF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</si>
</sst>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7" fillId="0" borderId="0" xfId="0" applyNumberFormat="1" applyFont="1"/>
    <xf numFmtId="20" fontId="0" fillId="0" borderId="0" xfId="0" applyNumberFormat="1"/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opLeftCell="C1" workbookViewId="0">
      <selection sqref="A1:Y2"/>
    </sheetView>
  </sheetViews>
  <sheetFormatPr defaultRowHeight="15" x14ac:dyDescent="0.25"/>
  <cols>
    <col min="1" max="1" width="10.28515625" customWidth="1"/>
    <col min="2" max="2" width="23.42578125" customWidth="1"/>
    <col min="3" max="3" width="10" customWidth="1"/>
    <col min="4" max="4" width="16.42578125" customWidth="1"/>
    <col min="6" max="6" width="10.85546875" customWidth="1"/>
    <col min="7" max="7" width="9.28515625" bestFit="1" customWidth="1"/>
    <col min="8" max="8" width="16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7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  <c r="Z1" s="9"/>
      <c r="AA1" s="9"/>
    </row>
    <row r="2" spans="1:27" x14ac:dyDescent="0.25">
      <c r="A2" s="15">
        <v>45901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43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0.3756944444444445</v>
      </c>
      <c r="M2" s="14">
        <v>105</v>
      </c>
      <c r="N2" s="14">
        <v>3</v>
      </c>
      <c r="O2" s="14">
        <v>432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0.40972222222222227</v>
      </c>
      <c r="U2" s="14">
        <v>180</v>
      </c>
      <c r="V2" s="14">
        <v>4</v>
      </c>
      <c r="W2" s="14">
        <v>624</v>
      </c>
      <c r="X2" s="14">
        <v>0</v>
      </c>
      <c r="Y2" s="14">
        <v>0</v>
      </c>
      <c r="Z2" s="1"/>
      <c r="AA2" s="1"/>
    </row>
    <row r="3" spans="1:27" x14ac:dyDescent="0.25">
      <c r="A3" s="15">
        <v>45901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44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0.46875</v>
      </c>
      <c r="M3" s="14">
        <v>158</v>
      </c>
      <c r="N3" s="14">
        <v>2</v>
      </c>
      <c r="O3" s="14">
        <v>864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0.50555555555555554</v>
      </c>
      <c r="U3" s="14">
        <v>180</v>
      </c>
      <c r="V3" s="14">
        <v>3</v>
      </c>
      <c r="W3" s="14">
        <v>875</v>
      </c>
      <c r="X3" s="14">
        <v>0</v>
      </c>
      <c r="Y3" s="14">
        <v>0</v>
      </c>
      <c r="Z3" s="1"/>
      <c r="AA3" s="1"/>
    </row>
    <row r="4" spans="1:27" x14ac:dyDescent="0.25">
      <c r="A4" s="15">
        <v>45901</v>
      </c>
      <c r="B4" s="14" t="s">
        <v>30</v>
      </c>
      <c r="C4" s="14" t="s">
        <v>31</v>
      </c>
      <c r="D4" s="11" t="s">
        <v>32</v>
      </c>
      <c r="E4" s="14" t="s">
        <v>14</v>
      </c>
      <c r="F4" s="14">
        <v>180</v>
      </c>
      <c r="G4" s="3" t="s">
        <v>45</v>
      </c>
      <c r="H4" s="11" t="s">
        <v>15</v>
      </c>
      <c r="I4" s="3">
        <v>71500</v>
      </c>
      <c r="J4" s="5" t="s">
        <v>33</v>
      </c>
      <c r="K4" s="4">
        <v>0.5</v>
      </c>
      <c r="L4" s="5">
        <v>0.59166666666666667</v>
      </c>
      <c r="M4" s="14">
        <v>127</v>
      </c>
      <c r="N4" s="14">
        <v>3</v>
      </c>
      <c r="O4" s="14">
        <v>384</v>
      </c>
      <c r="P4" s="14">
        <v>0</v>
      </c>
      <c r="Q4" s="14">
        <v>0</v>
      </c>
      <c r="R4" s="14" t="s">
        <v>34</v>
      </c>
      <c r="S4" s="4">
        <v>0.52083333333333337</v>
      </c>
      <c r="T4" s="5">
        <v>0.62152777777777779</v>
      </c>
      <c r="U4" s="14">
        <v>173</v>
      </c>
      <c r="V4" s="14">
        <v>2</v>
      </c>
      <c r="W4" s="14">
        <v>668</v>
      </c>
      <c r="X4" s="14">
        <v>0</v>
      </c>
      <c r="Y4" s="14">
        <v>0</v>
      </c>
      <c r="Z4" s="1"/>
      <c r="AA4" s="1"/>
    </row>
    <row r="5" spans="1:27" x14ac:dyDescent="0.25">
      <c r="A5" s="15">
        <v>45901</v>
      </c>
      <c r="B5" s="14" t="s">
        <v>38</v>
      </c>
      <c r="C5" s="2" t="s">
        <v>39</v>
      </c>
      <c r="D5" s="11" t="s">
        <v>35</v>
      </c>
      <c r="E5" s="12" t="s">
        <v>40</v>
      </c>
      <c r="F5" s="11">
        <v>189</v>
      </c>
      <c r="G5" s="3" t="s">
        <v>46</v>
      </c>
      <c r="H5" s="11" t="s">
        <v>15</v>
      </c>
      <c r="I5" s="3">
        <v>79000</v>
      </c>
      <c r="J5" s="5" t="s">
        <v>41</v>
      </c>
      <c r="K5" s="4">
        <v>0.56597222222222221</v>
      </c>
      <c r="L5" s="5">
        <v>0.60138888888888886</v>
      </c>
      <c r="M5" s="13">
        <v>150</v>
      </c>
      <c r="N5" s="14">
        <v>0</v>
      </c>
      <c r="O5" s="14">
        <v>1631</v>
      </c>
      <c r="P5" s="14">
        <v>0</v>
      </c>
      <c r="Q5" s="14">
        <v>0</v>
      </c>
      <c r="R5" s="14" t="s">
        <v>42</v>
      </c>
      <c r="S5" s="4">
        <v>0.60763888888888895</v>
      </c>
      <c r="T5" s="5">
        <v>0.69513888888888886</v>
      </c>
      <c r="U5" s="14">
        <v>160</v>
      </c>
      <c r="V5" s="14">
        <v>3</v>
      </c>
      <c r="W5" s="14">
        <v>1853</v>
      </c>
      <c r="X5" s="14">
        <v>0</v>
      </c>
      <c r="Y5" s="14">
        <v>0</v>
      </c>
      <c r="Z5" s="14"/>
    </row>
    <row r="6" spans="1:27" x14ac:dyDescent="0.25">
      <c r="Z6" s="14"/>
      <c r="AA6" s="14"/>
    </row>
    <row r="7" spans="1:27" x14ac:dyDescent="0.25">
      <c r="Z7" s="14"/>
      <c r="AA7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7451-92C8-4D17-BE60-4F18DB4BD95D}">
  <dimension ref="A1:Y6"/>
  <sheetViews>
    <sheetView workbookViewId="0">
      <selection sqref="A1:Y11"/>
    </sheetView>
  </sheetViews>
  <sheetFormatPr defaultRowHeight="15" x14ac:dyDescent="0.25"/>
  <cols>
    <col min="2" max="2" width="23.28515625" bestFit="1" customWidth="1"/>
    <col min="4" max="4" width="14" bestFit="1" customWidth="1"/>
    <col min="8" max="8" width="12.28515625" customWidth="1"/>
  </cols>
  <sheetData>
    <row r="1" spans="1:25" ht="25.5" x14ac:dyDescent="0.25">
      <c r="A1" s="6" t="s">
        <v>47</v>
      </c>
      <c r="B1" s="6" t="s">
        <v>48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45902</v>
      </c>
      <c r="B2" s="14" t="s">
        <v>49</v>
      </c>
      <c r="C2" s="14" t="s">
        <v>50</v>
      </c>
      <c r="D2" s="14" t="s">
        <v>51</v>
      </c>
      <c r="E2" s="14" t="s">
        <v>14</v>
      </c>
      <c r="F2" s="14">
        <v>180</v>
      </c>
      <c r="G2" s="14" t="s">
        <v>63</v>
      </c>
      <c r="H2" s="14" t="s">
        <v>52</v>
      </c>
      <c r="I2" s="3">
        <v>71500</v>
      </c>
      <c r="J2" s="14" t="s">
        <v>53</v>
      </c>
      <c r="K2" s="4">
        <v>0.33333333333333331</v>
      </c>
      <c r="L2" s="5">
        <v>0.3354166666666667</v>
      </c>
      <c r="M2" s="14">
        <v>171</v>
      </c>
      <c r="N2" s="14">
        <v>5</v>
      </c>
      <c r="O2" s="14">
        <v>2430</v>
      </c>
      <c r="P2" s="14">
        <v>0</v>
      </c>
      <c r="Q2" s="14">
        <v>0</v>
      </c>
      <c r="R2" s="14" t="s">
        <v>54</v>
      </c>
      <c r="S2" s="4">
        <v>0.375</v>
      </c>
      <c r="T2" s="5">
        <v>0.38263888888888892</v>
      </c>
      <c r="U2" s="14">
        <v>177</v>
      </c>
      <c r="V2" s="14">
        <v>10</v>
      </c>
      <c r="W2" s="14">
        <v>2440</v>
      </c>
      <c r="X2" s="14">
        <v>0</v>
      </c>
      <c r="Y2" s="14">
        <v>0</v>
      </c>
    </row>
    <row r="3" spans="1:25" x14ac:dyDescent="0.25">
      <c r="A3" s="16">
        <v>45902</v>
      </c>
      <c r="B3" s="14" t="s">
        <v>55</v>
      </c>
      <c r="C3" s="14" t="s">
        <v>56</v>
      </c>
      <c r="D3" s="14" t="s">
        <v>51</v>
      </c>
      <c r="E3" s="14" t="s">
        <v>57</v>
      </c>
      <c r="F3" s="14">
        <v>189</v>
      </c>
      <c r="G3" s="14" t="s">
        <v>65</v>
      </c>
      <c r="H3" s="14" t="s">
        <v>52</v>
      </c>
      <c r="I3" s="3">
        <v>80000</v>
      </c>
      <c r="J3" s="14" t="s">
        <v>58</v>
      </c>
      <c r="K3" s="4">
        <v>0.43402777777777773</v>
      </c>
      <c r="L3" s="5">
        <v>0.44027777777777777</v>
      </c>
      <c r="M3" s="14">
        <v>166</v>
      </c>
      <c r="N3" s="14">
        <v>5</v>
      </c>
      <c r="O3" s="14">
        <v>2254</v>
      </c>
      <c r="P3" s="14">
        <v>0</v>
      </c>
      <c r="Q3" s="14">
        <v>0</v>
      </c>
      <c r="R3" s="14" t="s">
        <v>59</v>
      </c>
      <c r="S3" s="4">
        <v>0.47569444444444442</v>
      </c>
      <c r="T3" s="5">
        <v>0.4826388888888889</v>
      </c>
      <c r="U3" s="14">
        <v>157</v>
      </c>
      <c r="V3" s="14">
        <v>9</v>
      </c>
      <c r="W3" s="14">
        <v>2123</v>
      </c>
      <c r="X3" s="14">
        <v>0</v>
      </c>
      <c r="Y3" s="14">
        <v>0</v>
      </c>
    </row>
    <row r="4" spans="1:25" x14ac:dyDescent="0.25">
      <c r="A4" s="16">
        <f>A3</f>
        <v>45902</v>
      </c>
      <c r="B4" s="14" t="s">
        <v>30</v>
      </c>
      <c r="C4" s="14" t="s">
        <v>31</v>
      </c>
      <c r="D4" s="11" t="s">
        <v>32</v>
      </c>
      <c r="E4" s="11" t="s">
        <v>60</v>
      </c>
      <c r="F4" s="14">
        <v>239</v>
      </c>
      <c r="G4" s="14" t="s">
        <v>61</v>
      </c>
      <c r="H4" s="11" t="s">
        <v>15</v>
      </c>
      <c r="I4" s="3">
        <v>89000</v>
      </c>
      <c r="J4" s="5" t="s">
        <v>33</v>
      </c>
      <c r="K4" s="4">
        <v>0.43402777777777773</v>
      </c>
      <c r="L4" s="5">
        <v>0.4284722222222222</v>
      </c>
      <c r="M4" s="14">
        <v>38</v>
      </c>
      <c r="N4" s="14">
        <v>0</v>
      </c>
      <c r="O4" s="14">
        <v>57</v>
      </c>
      <c r="P4" s="14">
        <v>0</v>
      </c>
      <c r="Q4" s="14">
        <v>0</v>
      </c>
      <c r="R4" s="14" t="s">
        <v>34</v>
      </c>
      <c r="S4" s="4">
        <v>0.45833333333333331</v>
      </c>
      <c r="T4" s="5">
        <v>0.46249999999999997</v>
      </c>
      <c r="U4" s="14">
        <v>154</v>
      </c>
      <c r="V4" s="14">
        <v>3</v>
      </c>
      <c r="W4" s="14">
        <v>694</v>
      </c>
      <c r="X4" s="14">
        <v>0</v>
      </c>
      <c r="Y4" s="14">
        <v>0</v>
      </c>
    </row>
    <row r="5" spans="1:25" x14ac:dyDescent="0.25">
      <c r="A5" s="16">
        <f>A4</f>
        <v>45902</v>
      </c>
      <c r="B5" s="14" t="s">
        <v>30</v>
      </c>
      <c r="C5" s="10" t="s">
        <v>31</v>
      </c>
      <c r="D5" s="14" t="s">
        <v>27</v>
      </c>
      <c r="E5" s="11" t="s">
        <v>60</v>
      </c>
      <c r="F5" s="14">
        <v>239</v>
      </c>
      <c r="G5" s="14" t="s">
        <v>64</v>
      </c>
      <c r="H5" s="11" t="s">
        <v>15</v>
      </c>
      <c r="I5" s="3">
        <v>89000</v>
      </c>
      <c r="J5" s="14" t="s">
        <v>62</v>
      </c>
      <c r="K5" s="4">
        <v>0.48958333333333331</v>
      </c>
      <c r="L5" s="5">
        <v>0.4909722222222222</v>
      </c>
      <c r="M5" s="14">
        <v>122</v>
      </c>
      <c r="N5" s="14">
        <v>1</v>
      </c>
      <c r="O5" s="14">
        <v>456</v>
      </c>
      <c r="P5" s="14">
        <v>0</v>
      </c>
      <c r="Q5" s="14">
        <v>0</v>
      </c>
      <c r="R5" s="14" t="s">
        <v>73</v>
      </c>
      <c r="S5" s="4">
        <v>0.51388888888888895</v>
      </c>
      <c r="T5" s="5">
        <v>0.52430555555555558</v>
      </c>
      <c r="U5" s="14">
        <v>225</v>
      </c>
      <c r="V5" s="14">
        <v>5</v>
      </c>
      <c r="W5" s="14">
        <v>1012</v>
      </c>
      <c r="X5" s="14">
        <v>0</v>
      </c>
      <c r="Y5" s="14">
        <v>0</v>
      </c>
    </row>
    <row r="6" spans="1:25" x14ac:dyDescent="0.25">
      <c r="A6" s="16"/>
      <c r="B6" s="14"/>
      <c r="C6" s="10"/>
      <c r="D6" s="14"/>
      <c r="E6" s="14"/>
      <c r="F6" s="14"/>
      <c r="G6" s="14"/>
      <c r="H6" s="14"/>
      <c r="I6" s="14"/>
      <c r="J6" s="14"/>
      <c r="K6" s="17"/>
      <c r="L6" s="18"/>
      <c r="M6" s="19"/>
      <c r="N6" s="19"/>
      <c r="O6" s="19"/>
      <c r="P6" s="14"/>
      <c r="Q6" s="14"/>
      <c r="R6" s="14"/>
      <c r="S6" s="17"/>
      <c r="T6" s="18"/>
      <c r="U6" s="14"/>
      <c r="V6" s="14"/>
      <c r="W6" s="14"/>
      <c r="X6" s="14"/>
      <c r="Y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D4BE-CBD2-45FA-ADDA-67F6B65FC448}">
  <dimension ref="A1:AA5"/>
  <sheetViews>
    <sheetView workbookViewId="0">
      <selection sqref="A1:Y12"/>
    </sheetView>
  </sheetViews>
  <sheetFormatPr defaultRowHeight="15" x14ac:dyDescent="0.25"/>
  <cols>
    <col min="2" max="2" width="24.85546875" customWidth="1"/>
    <col min="4" max="4" width="16.85546875" customWidth="1"/>
    <col min="8" max="8" width="13.85546875" customWidth="1"/>
  </cols>
  <sheetData>
    <row r="1" spans="1:27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7" x14ac:dyDescent="0.25">
      <c r="A2" s="15">
        <v>45903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70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0.38750000000000001</v>
      </c>
      <c r="M2" s="14">
        <v>109</v>
      </c>
      <c r="N2" s="14">
        <v>2</v>
      </c>
      <c r="O2" s="14">
        <v>437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0.4284722222222222</v>
      </c>
      <c r="U2" s="14">
        <v>180</v>
      </c>
      <c r="V2" s="14">
        <v>5</v>
      </c>
      <c r="W2" s="14">
        <v>760</v>
      </c>
      <c r="X2" s="14">
        <v>0</v>
      </c>
      <c r="Y2" s="14">
        <v>0</v>
      </c>
    </row>
    <row r="3" spans="1:27" x14ac:dyDescent="0.25">
      <c r="A3" s="15">
        <v>45903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44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0.45833333333333331</v>
      </c>
      <c r="M3" s="14">
        <v>87</v>
      </c>
      <c r="N3" s="14">
        <v>1</v>
      </c>
      <c r="O3" s="14">
        <v>392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0.5</v>
      </c>
      <c r="U3" s="14">
        <v>175</v>
      </c>
      <c r="V3" s="14">
        <v>1</v>
      </c>
      <c r="W3" s="14">
        <v>863</v>
      </c>
      <c r="X3" s="14">
        <v>0</v>
      </c>
      <c r="Y3" s="14">
        <v>0</v>
      </c>
    </row>
    <row r="4" spans="1:27" x14ac:dyDescent="0.25">
      <c r="A4" s="15">
        <v>45903</v>
      </c>
      <c r="B4" s="14" t="s">
        <v>30</v>
      </c>
      <c r="C4" s="14" t="s">
        <v>31</v>
      </c>
      <c r="D4" s="11" t="s">
        <v>32</v>
      </c>
      <c r="E4" s="14" t="s">
        <v>14</v>
      </c>
      <c r="F4" s="14">
        <v>180</v>
      </c>
      <c r="G4" s="3" t="s">
        <v>45</v>
      </c>
      <c r="H4" s="11" t="s">
        <v>15</v>
      </c>
      <c r="I4" s="3">
        <v>71500</v>
      </c>
      <c r="J4" s="5" t="s">
        <v>33</v>
      </c>
      <c r="K4" s="4">
        <v>0.5</v>
      </c>
      <c r="L4" s="5">
        <v>0.49652777777777773</v>
      </c>
      <c r="M4" s="14">
        <v>93</v>
      </c>
      <c r="N4" s="14">
        <v>0</v>
      </c>
      <c r="O4" s="14">
        <v>211</v>
      </c>
      <c r="P4" s="14">
        <v>0</v>
      </c>
      <c r="Q4" s="14">
        <v>0</v>
      </c>
      <c r="R4" s="14" t="s">
        <v>34</v>
      </c>
      <c r="S4" s="4">
        <v>0.52083333333333337</v>
      </c>
      <c r="T4" s="5">
        <v>0.53749999999999998</v>
      </c>
      <c r="U4" s="14">
        <v>125</v>
      </c>
      <c r="V4" s="14">
        <v>3</v>
      </c>
      <c r="W4" s="14">
        <v>303</v>
      </c>
      <c r="X4" s="14">
        <v>0</v>
      </c>
      <c r="Y4" s="14">
        <v>0</v>
      </c>
    </row>
    <row r="5" spans="1:27" x14ac:dyDescent="0.25">
      <c r="A5" s="15">
        <v>45903</v>
      </c>
      <c r="B5" s="14" t="s">
        <v>11</v>
      </c>
      <c r="C5" s="10" t="s">
        <v>12</v>
      </c>
      <c r="D5" s="14" t="s">
        <v>66</v>
      </c>
      <c r="E5" s="14" t="s">
        <v>67</v>
      </c>
      <c r="F5" s="14">
        <v>239</v>
      </c>
      <c r="G5" s="14" t="s">
        <v>71</v>
      </c>
      <c r="H5" s="11" t="s">
        <v>15</v>
      </c>
      <c r="I5" s="3">
        <v>89000</v>
      </c>
      <c r="J5" s="14" t="s">
        <v>68</v>
      </c>
      <c r="K5" s="4">
        <v>0.62847222222222221</v>
      </c>
      <c r="L5" s="5">
        <v>0.62986111111111109</v>
      </c>
      <c r="M5" s="14">
        <v>106</v>
      </c>
      <c r="N5" s="14">
        <v>2</v>
      </c>
      <c r="O5" s="14">
        <v>230</v>
      </c>
      <c r="P5" s="14">
        <v>0</v>
      </c>
      <c r="Q5" s="14">
        <v>0</v>
      </c>
      <c r="R5" s="14" t="s">
        <v>69</v>
      </c>
      <c r="S5" s="4">
        <v>0.65277777777777779</v>
      </c>
      <c r="T5" s="5">
        <v>0.66180555555555554</v>
      </c>
      <c r="U5" s="14">
        <v>119</v>
      </c>
      <c r="V5" s="14">
        <v>0</v>
      </c>
      <c r="W5" s="14">
        <v>279</v>
      </c>
      <c r="X5" s="14">
        <v>0</v>
      </c>
      <c r="Y5" s="14">
        <v>0</v>
      </c>
      <c r="Z5" s="14"/>
      <c r="AA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A718-A6CE-407D-A60D-F5C2E8D91A11}">
  <dimension ref="A1:Y3"/>
  <sheetViews>
    <sheetView workbookViewId="0">
      <selection sqref="A1:Y3"/>
    </sheetView>
  </sheetViews>
  <sheetFormatPr defaultRowHeight="15" x14ac:dyDescent="0.25"/>
  <cols>
    <col min="2" max="2" width="24.5703125" customWidth="1"/>
    <col min="4" max="4" width="17.140625" customWidth="1"/>
    <col min="8" max="8" width="14.2851562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45904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72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0.38958333333333334</v>
      </c>
      <c r="M2" s="14">
        <v>110</v>
      </c>
      <c r="N2" s="14">
        <v>1</v>
      </c>
      <c r="O2" s="14">
        <v>266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0.42708333333333331</v>
      </c>
      <c r="U2" s="14">
        <v>179</v>
      </c>
      <c r="V2" s="14">
        <v>4</v>
      </c>
      <c r="W2" s="14">
        <v>765</v>
      </c>
      <c r="X2" s="14">
        <v>0</v>
      </c>
      <c r="Y2" s="14">
        <v>0</v>
      </c>
    </row>
    <row r="3" spans="1:25" x14ac:dyDescent="0.25">
      <c r="A3" s="15">
        <v>45904</v>
      </c>
      <c r="B3" s="14" t="s">
        <v>30</v>
      </c>
      <c r="C3" s="10" t="s">
        <v>31</v>
      </c>
      <c r="D3" s="14" t="s">
        <v>27</v>
      </c>
      <c r="E3" s="11" t="s">
        <v>60</v>
      </c>
      <c r="F3" s="14">
        <v>239</v>
      </c>
      <c r="G3" s="14" t="s">
        <v>64</v>
      </c>
      <c r="H3" s="11" t="s">
        <v>15</v>
      </c>
      <c r="I3" s="3">
        <v>89000</v>
      </c>
      <c r="J3" s="14" t="s">
        <v>62</v>
      </c>
      <c r="K3" s="4">
        <v>0.48958333333333331</v>
      </c>
      <c r="L3" s="5">
        <v>0.48402777777777778</v>
      </c>
      <c r="M3" s="14">
        <v>145</v>
      </c>
      <c r="N3" s="14">
        <v>4</v>
      </c>
      <c r="O3" s="14">
        <v>786</v>
      </c>
      <c r="P3" s="14">
        <v>0</v>
      </c>
      <c r="Q3" s="14">
        <v>0</v>
      </c>
      <c r="R3" s="14" t="s">
        <v>73</v>
      </c>
      <c r="S3" s="4">
        <v>0.51388888888888895</v>
      </c>
      <c r="T3" s="5">
        <v>0.52152777777777781</v>
      </c>
      <c r="U3" s="14">
        <v>230</v>
      </c>
      <c r="V3" s="14">
        <v>4</v>
      </c>
      <c r="W3" s="14">
        <v>931</v>
      </c>
      <c r="X3" s="14">
        <v>0</v>
      </c>
      <c r="Y3" s="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A3C9-8764-473E-9635-8EDA87309728}">
  <dimension ref="A1:AA15"/>
  <sheetViews>
    <sheetView topLeftCell="C1" workbookViewId="0">
      <selection sqref="A1:Y7"/>
    </sheetView>
  </sheetViews>
  <sheetFormatPr defaultRowHeight="15" x14ac:dyDescent="0.25"/>
  <cols>
    <col min="1" max="1" width="10" customWidth="1"/>
    <col min="2" max="2" width="24.85546875" customWidth="1"/>
    <col min="4" max="4" width="16.85546875" customWidth="1"/>
    <col min="6" max="6" width="9.42578125" bestFit="1" customWidth="1"/>
    <col min="8" max="8" width="13.8554687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7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7" x14ac:dyDescent="0.25">
      <c r="A2" s="16">
        <v>45905</v>
      </c>
      <c r="B2" s="14" t="s">
        <v>74</v>
      </c>
      <c r="C2" s="2" t="s">
        <v>75</v>
      </c>
      <c r="D2" s="11" t="s">
        <v>35</v>
      </c>
      <c r="E2" s="12" t="s">
        <v>40</v>
      </c>
      <c r="F2" s="11">
        <v>189</v>
      </c>
      <c r="G2" s="3" t="s">
        <v>81</v>
      </c>
      <c r="H2" s="2" t="s">
        <v>15</v>
      </c>
      <c r="I2" s="3">
        <v>79000</v>
      </c>
      <c r="J2" s="5" t="s">
        <v>76</v>
      </c>
      <c r="K2" s="4">
        <v>0.36805555555555558</v>
      </c>
      <c r="L2" s="5">
        <v>0.40277777777777773</v>
      </c>
      <c r="M2" s="13">
        <v>132</v>
      </c>
      <c r="N2" s="14">
        <v>0</v>
      </c>
      <c r="O2" s="14">
        <v>1323</v>
      </c>
      <c r="P2" s="14">
        <v>0</v>
      </c>
      <c r="Q2" s="14">
        <v>0</v>
      </c>
      <c r="R2" s="14" t="s">
        <v>77</v>
      </c>
      <c r="S2" s="4">
        <v>0.4236111111111111</v>
      </c>
      <c r="T2" s="5">
        <v>0.48125000000000001</v>
      </c>
      <c r="U2" s="13">
        <v>160</v>
      </c>
      <c r="V2" s="14">
        <v>4</v>
      </c>
      <c r="W2" s="14">
        <v>1588</v>
      </c>
      <c r="X2" s="14">
        <v>0</v>
      </c>
      <c r="Y2" s="14">
        <v>0</v>
      </c>
      <c r="Z2" s="14"/>
      <c r="AA2" s="14"/>
    </row>
    <row r="3" spans="1:27" x14ac:dyDescent="0.25">
      <c r="A3" s="16">
        <v>45905</v>
      </c>
      <c r="B3" s="14" t="s">
        <v>11</v>
      </c>
      <c r="C3" s="10" t="s">
        <v>12</v>
      </c>
      <c r="D3" s="14" t="s">
        <v>13</v>
      </c>
      <c r="E3" s="14" t="s">
        <v>14</v>
      </c>
      <c r="F3" s="14">
        <v>186</v>
      </c>
      <c r="G3" s="14" t="s">
        <v>82</v>
      </c>
      <c r="H3" s="11" t="s">
        <v>15</v>
      </c>
      <c r="I3" s="3">
        <v>71500</v>
      </c>
      <c r="J3" s="14" t="s">
        <v>16</v>
      </c>
      <c r="K3" s="4">
        <v>0.3923611111111111</v>
      </c>
      <c r="L3" s="5">
        <v>0.39305555555555555</v>
      </c>
      <c r="M3" s="13">
        <v>161</v>
      </c>
      <c r="N3" s="14">
        <v>4</v>
      </c>
      <c r="O3" s="14">
        <v>456</v>
      </c>
      <c r="P3" s="14">
        <v>0</v>
      </c>
      <c r="Q3" s="14">
        <v>0</v>
      </c>
      <c r="R3" s="14" t="s">
        <v>26</v>
      </c>
      <c r="S3" s="4">
        <v>0.41319444444444442</v>
      </c>
      <c r="T3" s="5">
        <v>0.42152777777777778</v>
      </c>
      <c r="U3" s="14">
        <v>172</v>
      </c>
      <c r="V3" s="14">
        <v>5</v>
      </c>
      <c r="W3" s="14">
        <v>741</v>
      </c>
      <c r="X3" s="14">
        <v>0</v>
      </c>
      <c r="Y3" s="14">
        <v>0</v>
      </c>
      <c r="Z3" s="14"/>
      <c r="AA3" s="14"/>
    </row>
    <row r="4" spans="1:27" x14ac:dyDescent="0.25">
      <c r="A4" s="16">
        <v>45905</v>
      </c>
      <c r="B4" s="14" t="s">
        <v>11</v>
      </c>
      <c r="C4" s="10" t="s">
        <v>12</v>
      </c>
      <c r="D4" s="14" t="s">
        <v>78</v>
      </c>
      <c r="E4" s="11" t="s">
        <v>60</v>
      </c>
      <c r="F4" s="14">
        <v>180</v>
      </c>
      <c r="G4" s="14" t="s">
        <v>83</v>
      </c>
      <c r="H4" s="11" t="s">
        <v>15</v>
      </c>
      <c r="I4" s="3">
        <v>71500</v>
      </c>
      <c r="J4" s="14" t="s">
        <v>28</v>
      </c>
      <c r="K4" s="4">
        <v>0.49652777777777773</v>
      </c>
      <c r="L4" s="5">
        <v>0.49374999999999997</v>
      </c>
      <c r="M4" s="14">
        <v>175</v>
      </c>
      <c r="N4" s="14">
        <v>3</v>
      </c>
      <c r="O4" s="14">
        <v>529</v>
      </c>
      <c r="P4" s="14">
        <v>0</v>
      </c>
      <c r="Q4" s="14">
        <v>0</v>
      </c>
      <c r="R4" s="14" t="s">
        <v>29</v>
      </c>
      <c r="S4" s="4">
        <v>0.51736111111111105</v>
      </c>
      <c r="T4" s="5">
        <v>0.53541666666666665</v>
      </c>
      <c r="U4" s="14">
        <v>180</v>
      </c>
      <c r="V4" s="14">
        <v>5</v>
      </c>
      <c r="W4" s="14">
        <v>1074</v>
      </c>
      <c r="X4" s="14">
        <v>0</v>
      </c>
      <c r="Y4" s="14">
        <v>0</v>
      </c>
      <c r="Z4" s="14"/>
      <c r="AA4" s="14"/>
    </row>
    <row r="5" spans="1:27" x14ac:dyDescent="0.25">
      <c r="A5" s="16">
        <v>45905</v>
      </c>
      <c r="B5" s="14" t="s">
        <v>30</v>
      </c>
      <c r="C5" s="14" t="s">
        <v>31</v>
      </c>
      <c r="D5" s="11" t="s">
        <v>32</v>
      </c>
      <c r="E5" s="14" t="s">
        <v>14</v>
      </c>
      <c r="F5" s="14">
        <v>180</v>
      </c>
      <c r="G5" s="3" t="s">
        <v>45</v>
      </c>
      <c r="H5" s="11" t="s">
        <v>15</v>
      </c>
      <c r="I5" s="3">
        <v>71500</v>
      </c>
      <c r="J5" s="5" t="s">
        <v>33</v>
      </c>
      <c r="K5" s="4">
        <v>0.5</v>
      </c>
      <c r="L5" s="5">
        <v>0.49236111111111108</v>
      </c>
      <c r="M5" s="14">
        <v>178</v>
      </c>
      <c r="N5" s="14">
        <v>1</v>
      </c>
      <c r="O5" s="14">
        <v>555</v>
      </c>
      <c r="P5" s="14">
        <v>0</v>
      </c>
      <c r="Q5" s="14">
        <v>0</v>
      </c>
      <c r="R5" s="14" t="s">
        <v>34</v>
      </c>
      <c r="S5" s="4">
        <v>0.52083333333333337</v>
      </c>
      <c r="T5" s="5">
        <v>0.53888888888888886</v>
      </c>
      <c r="U5" s="14">
        <v>167</v>
      </c>
      <c r="V5" s="14">
        <v>4</v>
      </c>
      <c r="W5" s="14">
        <v>783</v>
      </c>
      <c r="X5" s="14">
        <v>0</v>
      </c>
      <c r="Y5" s="14">
        <v>0</v>
      </c>
      <c r="Z5" s="14"/>
      <c r="AA5" s="14"/>
    </row>
    <row r="6" spans="1:27" x14ac:dyDescent="0.25">
      <c r="A6" s="16">
        <v>45905</v>
      </c>
      <c r="B6" s="14" t="s">
        <v>49</v>
      </c>
      <c r="C6" s="14" t="s">
        <v>50</v>
      </c>
      <c r="D6" s="14" t="s">
        <v>51</v>
      </c>
      <c r="E6" s="14" t="s">
        <v>14</v>
      </c>
      <c r="F6" s="14">
        <v>180</v>
      </c>
      <c r="G6" s="14" t="s">
        <v>84</v>
      </c>
      <c r="H6" s="11" t="s">
        <v>52</v>
      </c>
      <c r="I6" s="3">
        <v>71500</v>
      </c>
      <c r="J6" s="14" t="s">
        <v>79</v>
      </c>
      <c r="K6" s="4">
        <v>0.375</v>
      </c>
      <c r="L6" s="5">
        <v>0.36805555555555558</v>
      </c>
      <c r="M6" s="14">
        <v>164</v>
      </c>
      <c r="N6" s="14">
        <v>7</v>
      </c>
      <c r="O6" s="14">
        <v>2253</v>
      </c>
      <c r="P6" s="14">
        <v>0</v>
      </c>
      <c r="Q6" s="14">
        <v>0</v>
      </c>
      <c r="R6" s="14" t="s">
        <v>80</v>
      </c>
      <c r="S6" s="4">
        <v>0.41666666666666669</v>
      </c>
      <c r="T6" s="5">
        <v>0.4597222222222222</v>
      </c>
      <c r="U6" s="14">
        <v>175</v>
      </c>
      <c r="V6" s="14">
        <v>7</v>
      </c>
      <c r="W6" s="14">
        <v>2228</v>
      </c>
      <c r="X6" s="14">
        <v>0</v>
      </c>
      <c r="Y6" s="14">
        <v>0</v>
      </c>
      <c r="Z6" s="14"/>
      <c r="AA6" s="14"/>
    </row>
    <row r="7" spans="1:27" x14ac:dyDescent="0.25">
      <c r="A7" s="16">
        <v>45905</v>
      </c>
      <c r="B7" s="14" t="s">
        <v>11</v>
      </c>
      <c r="C7" s="10" t="s">
        <v>12</v>
      </c>
      <c r="D7" s="14" t="s">
        <v>66</v>
      </c>
      <c r="E7" s="14" t="s">
        <v>60</v>
      </c>
      <c r="F7" s="11">
        <v>239</v>
      </c>
      <c r="G7" s="14" t="s">
        <v>85</v>
      </c>
      <c r="H7" s="11" t="s">
        <v>15</v>
      </c>
      <c r="I7" s="3">
        <v>89000</v>
      </c>
      <c r="J7" s="14" t="s">
        <v>68</v>
      </c>
      <c r="K7" s="4">
        <v>0.62847222222222221</v>
      </c>
      <c r="L7" s="5">
        <v>0.62291666666666667</v>
      </c>
      <c r="M7" s="14">
        <v>165</v>
      </c>
      <c r="N7" s="14">
        <v>1</v>
      </c>
      <c r="O7" s="14">
        <v>193</v>
      </c>
      <c r="P7" s="14">
        <v>0</v>
      </c>
      <c r="Q7" s="14">
        <v>0</v>
      </c>
      <c r="R7" s="14" t="s">
        <v>69</v>
      </c>
      <c r="S7" s="4">
        <v>0.65277777777777779</v>
      </c>
      <c r="T7" s="5">
        <v>0.66527777777777775</v>
      </c>
      <c r="U7" s="14">
        <v>165</v>
      </c>
      <c r="V7" s="14">
        <v>3</v>
      </c>
      <c r="W7" s="14">
        <v>478</v>
      </c>
      <c r="X7" s="14">
        <v>0</v>
      </c>
      <c r="Y7" s="14">
        <v>0</v>
      </c>
      <c r="Z7" s="14"/>
      <c r="AA7" s="14"/>
    </row>
    <row r="8" spans="1:27" x14ac:dyDescent="0.25">
      <c r="A8" s="16">
        <v>45905</v>
      </c>
      <c r="B8" s="14" t="s">
        <v>86</v>
      </c>
      <c r="C8" s="10" t="s">
        <v>87</v>
      </c>
      <c r="D8" s="14" t="s">
        <v>88</v>
      </c>
      <c r="E8" s="14" t="s">
        <v>89</v>
      </c>
      <c r="F8" s="14" t="s">
        <v>87</v>
      </c>
      <c r="G8" s="14" t="s">
        <v>90</v>
      </c>
      <c r="H8" s="11" t="s">
        <v>91</v>
      </c>
      <c r="I8" s="3">
        <v>21863</v>
      </c>
      <c r="J8" s="14" t="s">
        <v>92</v>
      </c>
      <c r="K8" s="4">
        <v>0.61805555555555558</v>
      </c>
      <c r="L8" s="5">
        <v>0.6166666666666667</v>
      </c>
      <c r="M8" s="14" t="s">
        <v>93</v>
      </c>
      <c r="N8" s="14">
        <v>0</v>
      </c>
      <c r="O8" s="14">
        <v>0</v>
      </c>
      <c r="P8" s="14">
        <v>0</v>
      </c>
      <c r="Q8" s="14">
        <v>0</v>
      </c>
      <c r="R8" s="14" t="s">
        <v>94</v>
      </c>
      <c r="S8" s="4">
        <v>0.64930555555555558</v>
      </c>
      <c r="T8" s="5">
        <v>0.64583333333333337</v>
      </c>
      <c r="U8" s="14">
        <v>2</v>
      </c>
      <c r="V8" s="14">
        <v>0</v>
      </c>
      <c r="W8" s="14">
        <v>0</v>
      </c>
      <c r="X8" s="14">
        <v>0</v>
      </c>
      <c r="Y8" s="14">
        <v>0</v>
      </c>
      <c r="Z8" s="14"/>
    </row>
    <row r="9" spans="1:27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7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7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7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7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7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7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11C6-BA6F-47B7-A3EF-FC0DB9FE03A7}">
  <dimension ref="A1:AA6"/>
  <sheetViews>
    <sheetView workbookViewId="0">
      <selection sqref="A1:XFD1048576"/>
    </sheetView>
  </sheetViews>
  <sheetFormatPr defaultRowHeight="15" x14ac:dyDescent="0.25"/>
  <cols>
    <col min="2" max="2" width="24.85546875" customWidth="1"/>
    <col min="4" max="4" width="16.85546875" customWidth="1"/>
    <col min="8" max="8" width="13.85546875" customWidth="1"/>
  </cols>
  <sheetData>
    <row r="1" spans="1:27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7" x14ac:dyDescent="0.25">
      <c r="A2" s="15">
        <v>45906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43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0.39305555555555555</v>
      </c>
      <c r="M2" s="14">
        <v>168</v>
      </c>
      <c r="N2" s="14">
        <v>3</v>
      </c>
      <c r="O2" s="14">
        <v>417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0.43402777777777773</v>
      </c>
      <c r="U2" s="14">
        <v>177</v>
      </c>
      <c r="V2" s="14">
        <v>4</v>
      </c>
      <c r="W2" s="14">
        <v>836</v>
      </c>
      <c r="X2" s="14">
        <v>0</v>
      </c>
      <c r="Y2" s="14">
        <v>0</v>
      </c>
    </row>
    <row r="3" spans="1:27" x14ac:dyDescent="0.25">
      <c r="A3" s="15">
        <v>45906</v>
      </c>
      <c r="B3" s="14" t="s">
        <v>30</v>
      </c>
      <c r="C3" s="10" t="s">
        <v>31</v>
      </c>
      <c r="D3" s="14" t="s">
        <v>32</v>
      </c>
      <c r="E3" s="11" t="s">
        <v>60</v>
      </c>
      <c r="F3" s="14">
        <v>239</v>
      </c>
      <c r="G3" s="14" t="s">
        <v>95</v>
      </c>
      <c r="H3" s="11" t="s">
        <v>15</v>
      </c>
      <c r="I3" s="3">
        <v>89000</v>
      </c>
      <c r="J3" s="14" t="s">
        <v>33</v>
      </c>
      <c r="K3" s="4">
        <v>0.43402777777777773</v>
      </c>
      <c r="L3" s="5">
        <v>0.42499999999999999</v>
      </c>
      <c r="M3" s="14">
        <v>158</v>
      </c>
      <c r="N3" s="14">
        <v>6</v>
      </c>
      <c r="O3" s="14">
        <v>487</v>
      </c>
      <c r="P3" s="14">
        <v>0</v>
      </c>
      <c r="Q3" s="14">
        <v>0</v>
      </c>
      <c r="R3" s="14" t="s">
        <v>34</v>
      </c>
      <c r="S3" s="4">
        <v>0.4861111111111111</v>
      </c>
      <c r="T3" s="5">
        <v>0.46180555555555558</v>
      </c>
      <c r="U3" s="14">
        <v>235</v>
      </c>
      <c r="V3" s="14">
        <v>2</v>
      </c>
      <c r="W3" s="14">
        <v>1198</v>
      </c>
      <c r="X3" s="14">
        <v>0</v>
      </c>
      <c r="Y3" s="14">
        <v>0</v>
      </c>
    </row>
    <row r="4" spans="1:27" x14ac:dyDescent="0.25">
      <c r="A4" s="15">
        <v>45906</v>
      </c>
      <c r="B4" s="14" t="s">
        <v>30</v>
      </c>
      <c r="C4" s="14" t="s">
        <v>31</v>
      </c>
      <c r="D4" s="14" t="s">
        <v>27</v>
      </c>
      <c r="E4" s="14" t="s">
        <v>60</v>
      </c>
      <c r="F4" s="14">
        <v>239</v>
      </c>
      <c r="G4" s="3" t="s">
        <v>96</v>
      </c>
      <c r="H4" s="11" t="s">
        <v>15</v>
      </c>
      <c r="I4" s="3">
        <v>89000</v>
      </c>
      <c r="J4" s="5" t="s">
        <v>62</v>
      </c>
      <c r="K4" s="4">
        <v>0.48958333333333331</v>
      </c>
      <c r="L4" s="5">
        <v>0.48749999999999999</v>
      </c>
      <c r="M4" s="14">
        <v>214</v>
      </c>
      <c r="N4" s="14">
        <v>2</v>
      </c>
      <c r="O4" s="14">
        <v>895</v>
      </c>
      <c r="P4" s="14">
        <v>0</v>
      </c>
      <c r="Q4" s="14">
        <v>0</v>
      </c>
      <c r="R4" s="14" t="s">
        <v>73</v>
      </c>
      <c r="S4" s="4">
        <v>0.52083333333333337</v>
      </c>
      <c r="T4" s="5">
        <v>0.52569444444444446</v>
      </c>
      <c r="U4" s="14">
        <v>226</v>
      </c>
      <c r="V4" s="14">
        <v>5</v>
      </c>
      <c r="W4" s="14">
        <v>1365</v>
      </c>
      <c r="X4" s="14">
        <v>0</v>
      </c>
      <c r="Y4" s="14">
        <v>0</v>
      </c>
    </row>
    <row r="5" spans="1:27" x14ac:dyDescent="0.25">
      <c r="A5" s="15"/>
      <c r="B5" s="14"/>
      <c r="C5" s="10"/>
      <c r="D5" s="14"/>
      <c r="E5" s="14"/>
      <c r="F5" s="14"/>
      <c r="G5" s="14"/>
      <c r="H5" s="11"/>
      <c r="I5" s="3"/>
      <c r="J5" s="14"/>
      <c r="K5" s="4"/>
      <c r="L5" s="5"/>
      <c r="M5" s="14"/>
      <c r="N5" s="14"/>
      <c r="O5" s="14"/>
      <c r="P5" s="14"/>
      <c r="Q5" s="14"/>
      <c r="R5" s="14"/>
      <c r="S5" s="4"/>
      <c r="T5" s="5"/>
      <c r="U5" s="14"/>
      <c r="V5" s="14"/>
      <c r="W5" s="14"/>
      <c r="X5" s="14"/>
      <c r="Y5" s="14"/>
      <c r="Z5" s="14"/>
      <c r="AA5" s="14"/>
    </row>
    <row r="6" spans="1:27" x14ac:dyDescent="0.25">
      <c r="D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7476-0775-45AC-8516-1A5D2C79203A}">
  <dimension ref="A1:AA5"/>
  <sheetViews>
    <sheetView workbookViewId="0">
      <selection activeCell="B5" sqref="B5:Y5"/>
    </sheetView>
  </sheetViews>
  <sheetFormatPr defaultRowHeight="15" x14ac:dyDescent="0.25"/>
  <cols>
    <col min="2" max="2" width="27.5703125" customWidth="1"/>
  </cols>
  <sheetData>
    <row r="1" spans="1:27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7" x14ac:dyDescent="0.25">
      <c r="A2" s="15">
        <v>45907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43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0.39305555555555555</v>
      </c>
      <c r="M2" s="14">
        <v>155</v>
      </c>
      <c r="N2" s="14">
        <v>8</v>
      </c>
      <c r="O2" s="14">
        <v>501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0.43333333333333335</v>
      </c>
      <c r="U2" s="14">
        <v>175</v>
      </c>
      <c r="V2" s="14">
        <v>0</v>
      </c>
      <c r="W2" s="14">
        <v>579</v>
      </c>
      <c r="X2" s="14">
        <v>0</v>
      </c>
      <c r="Y2" s="14">
        <v>0</v>
      </c>
    </row>
    <row r="3" spans="1:27" x14ac:dyDescent="0.25">
      <c r="A3" s="15">
        <v>45907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97</v>
      </c>
      <c r="H3" s="11" t="s">
        <v>15</v>
      </c>
      <c r="I3" s="3">
        <v>71500</v>
      </c>
      <c r="J3" s="14" t="s">
        <v>62</v>
      </c>
      <c r="K3" s="4">
        <v>0.46527777777777773</v>
      </c>
      <c r="L3" s="5">
        <v>0.45208333333333334</v>
      </c>
      <c r="M3" s="14">
        <v>169</v>
      </c>
      <c r="N3" s="14">
        <v>3</v>
      </c>
      <c r="O3" s="14">
        <v>886</v>
      </c>
      <c r="P3" s="14">
        <v>0</v>
      </c>
      <c r="Q3" s="14">
        <v>0</v>
      </c>
      <c r="R3" s="14" t="s">
        <v>73</v>
      </c>
      <c r="S3" s="4">
        <v>0.4861111111111111</v>
      </c>
      <c r="T3" s="5">
        <v>0.48958333333333331</v>
      </c>
      <c r="U3" s="14">
        <v>179</v>
      </c>
      <c r="V3" s="14">
        <v>0</v>
      </c>
      <c r="W3" s="14">
        <v>674</v>
      </c>
      <c r="X3" s="14">
        <v>0</v>
      </c>
      <c r="Y3" s="14">
        <v>0</v>
      </c>
    </row>
    <row r="4" spans="1:27" x14ac:dyDescent="0.25">
      <c r="A4" s="15">
        <v>45907</v>
      </c>
      <c r="B4" s="14" t="s">
        <v>11</v>
      </c>
      <c r="C4" s="10" t="s">
        <v>12</v>
      </c>
      <c r="D4" s="14" t="s">
        <v>66</v>
      </c>
      <c r="E4" s="14" t="s">
        <v>60</v>
      </c>
      <c r="F4" s="11">
        <v>239</v>
      </c>
      <c r="G4" s="14" t="s">
        <v>98</v>
      </c>
      <c r="H4" s="11" t="s">
        <v>15</v>
      </c>
      <c r="I4" s="3">
        <v>89000</v>
      </c>
      <c r="J4" s="14" t="s">
        <v>68</v>
      </c>
      <c r="K4" s="4">
        <v>0.62847222222222221</v>
      </c>
      <c r="L4" s="5">
        <v>0.61597222222222225</v>
      </c>
      <c r="M4" s="14">
        <v>159</v>
      </c>
      <c r="N4" s="14">
        <v>6</v>
      </c>
      <c r="O4" s="14">
        <v>516</v>
      </c>
      <c r="P4" s="14">
        <v>0</v>
      </c>
      <c r="Q4" s="14">
        <v>0</v>
      </c>
      <c r="R4" s="14" t="s">
        <v>69</v>
      </c>
      <c r="S4" s="4">
        <v>0.65277777777777779</v>
      </c>
      <c r="T4" s="5">
        <v>0.64930555555555558</v>
      </c>
      <c r="U4" s="14">
        <v>203</v>
      </c>
      <c r="V4" s="14">
        <v>2</v>
      </c>
      <c r="W4" s="14">
        <v>435</v>
      </c>
      <c r="X4" s="14">
        <v>0</v>
      </c>
      <c r="Y4" s="14">
        <v>0</v>
      </c>
      <c r="Z4" s="14"/>
      <c r="AA4" s="14"/>
    </row>
    <row r="5" spans="1:27" x14ac:dyDescent="0.25">
      <c r="A5" s="20">
        <v>45907</v>
      </c>
      <c r="B5" s="14" t="s">
        <v>99</v>
      </c>
      <c r="D5" s="14" t="s">
        <v>100</v>
      </c>
      <c r="E5" t="s">
        <v>103</v>
      </c>
      <c r="F5" s="19" t="s">
        <v>102</v>
      </c>
      <c r="G5" s="14" t="s">
        <v>101</v>
      </c>
      <c r="H5" s="11" t="s">
        <v>104</v>
      </c>
      <c r="I5" s="3">
        <v>5000</v>
      </c>
      <c r="J5" s="14" t="s">
        <v>101</v>
      </c>
      <c r="K5" s="4">
        <v>4.8611111111111112E-2</v>
      </c>
      <c r="L5" s="5">
        <v>4.3750000000000004E-2</v>
      </c>
      <c r="M5" s="14">
        <v>5</v>
      </c>
      <c r="N5" s="14">
        <v>0</v>
      </c>
      <c r="O5" s="14">
        <v>0</v>
      </c>
      <c r="P5" s="14">
        <v>0</v>
      </c>
      <c r="Q5" s="14">
        <v>0</v>
      </c>
      <c r="R5" s="14" t="s">
        <v>105</v>
      </c>
      <c r="S5" s="14" t="s">
        <v>105</v>
      </c>
      <c r="T5" s="14" t="s">
        <v>105</v>
      </c>
      <c r="U5" s="14" t="s">
        <v>105</v>
      </c>
      <c r="V5" s="14" t="s">
        <v>105</v>
      </c>
      <c r="W5" s="14" t="s">
        <v>105</v>
      </c>
      <c r="X5" s="14" t="s">
        <v>105</v>
      </c>
      <c r="Y5" s="14" t="s">
        <v>105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E607-EB95-437B-9DB8-07CDBCBE5F01}">
  <dimension ref="A1:AA7"/>
  <sheetViews>
    <sheetView workbookViewId="0">
      <selection sqref="A1:Y5"/>
    </sheetView>
  </sheetViews>
  <sheetFormatPr defaultRowHeight="12.75" x14ac:dyDescent="0.2"/>
  <cols>
    <col min="1" max="1" width="10.28515625" style="21" customWidth="1"/>
    <col min="2" max="2" width="26.140625" style="21" bestFit="1" customWidth="1"/>
    <col min="3" max="3" width="10" style="21" customWidth="1"/>
    <col min="4" max="4" width="16.42578125" style="21" customWidth="1"/>
    <col min="5" max="5" width="9.140625" style="21"/>
    <col min="6" max="6" width="10.85546875" style="21" customWidth="1"/>
    <col min="7" max="7" width="9.28515625" style="21" bestFit="1" customWidth="1"/>
    <col min="8" max="8" width="16" style="21" customWidth="1"/>
    <col min="9" max="9" width="9.7109375" style="21" bestFit="1" customWidth="1"/>
    <col min="10" max="10" width="11.140625" style="21" bestFit="1" customWidth="1"/>
    <col min="11" max="11" width="11" style="21" bestFit="1" customWidth="1"/>
    <col min="12" max="12" width="11.140625" style="21" bestFit="1" customWidth="1"/>
    <col min="13" max="13" width="11" style="21" bestFit="1" customWidth="1"/>
    <col min="14" max="14" width="9.5703125" style="21" customWidth="1"/>
    <col min="15" max="15" width="13" style="21" customWidth="1"/>
    <col min="16" max="16" width="9.28515625" style="21" bestFit="1" customWidth="1"/>
    <col min="17" max="17" width="10.42578125" style="21" bestFit="1" customWidth="1"/>
    <col min="18" max="18" width="9.5703125" style="21" bestFit="1" customWidth="1"/>
    <col min="19" max="21" width="9.28515625" style="21" bestFit="1" customWidth="1"/>
    <col min="22" max="16384" width="9.140625" style="21"/>
  </cols>
  <sheetData>
    <row r="1" spans="1:27" ht="25.5" x14ac:dyDescent="0.2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  <c r="Z1" s="9"/>
      <c r="AA1" s="9"/>
    </row>
    <row r="2" spans="1:27" x14ac:dyDescent="0.2">
      <c r="A2" s="15">
        <v>45908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106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0.37986111111111115</v>
      </c>
      <c r="M2" s="14">
        <v>115</v>
      </c>
      <c r="N2" s="14">
        <v>2</v>
      </c>
      <c r="O2" s="14">
        <v>366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0.4201388888888889</v>
      </c>
      <c r="U2" s="14">
        <v>183</v>
      </c>
      <c r="V2" s="14">
        <v>1</v>
      </c>
      <c r="W2" s="14">
        <v>464</v>
      </c>
      <c r="X2" s="14">
        <v>0</v>
      </c>
      <c r="Y2" s="14">
        <v>0</v>
      </c>
      <c r="Z2" s="14"/>
      <c r="AA2" s="14"/>
    </row>
    <row r="3" spans="1:27" x14ac:dyDescent="0.2">
      <c r="A3" s="15">
        <f>A2</f>
        <v>45908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107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0.4604166666666667</v>
      </c>
      <c r="M3" s="14">
        <v>120</v>
      </c>
      <c r="N3" s="14">
        <v>1</v>
      </c>
      <c r="O3" s="14">
        <v>484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0.49444444444444446</v>
      </c>
      <c r="U3" s="14">
        <v>173</v>
      </c>
      <c r="V3" s="14">
        <v>3</v>
      </c>
      <c r="W3" s="14">
        <v>559</v>
      </c>
      <c r="X3" s="14">
        <v>0</v>
      </c>
      <c r="Y3" s="14">
        <v>0</v>
      </c>
      <c r="Z3" s="14"/>
      <c r="AA3" s="14"/>
    </row>
    <row r="4" spans="1:27" x14ac:dyDescent="0.2">
      <c r="A4" s="15">
        <f>A3</f>
        <v>45908</v>
      </c>
      <c r="B4" s="14" t="s">
        <v>30</v>
      </c>
      <c r="C4" s="14" t="s">
        <v>31</v>
      </c>
      <c r="D4" s="11" t="s">
        <v>32</v>
      </c>
      <c r="E4" s="14" t="s">
        <v>14</v>
      </c>
      <c r="F4" s="14">
        <v>180</v>
      </c>
      <c r="G4" s="3" t="s">
        <v>108</v>
      </c>
      <c r="H4" s="11" t="s">
        <v>15</v>
      </c>
      <c r="I4" s="3">
        <v>71500</v>
      </c>
      <c r="J4" s="5" t="s">
        <v>33</v>
      </c>
      <c r="K4" s="4">
        <v>0.5</v>
      </c>
      <c r="L4" s="5">
        <v>0.50277777777777777</v>
      </c>
      <c r="M4" s="14">
        <v>126</v>
      </c>
      <c r="N4" s="14">
        <v>1</v>
      </c>
      <c r="O4" s="14">
        <v>390</v>
      </c>
      <c r="P4" s="14">
        <v>0</v>
      </c>
      <c r="Q4" s="14">
        <v>0</v>
      </c>
      <c r="R4" s="14" t="s">
        <v>34</v>
      </c>
      <c r="S4" s="4">
        <v>0.52083333333333337</v>
      </c>
      <c r="T4" s="5">
        <v>0.52916666666666667</v>
      </c>
      <c r="U4" s="14">
        <v>172</v>
      </c>
      <c r="V4" s="14">
        <v>2</v>
      </c>
      <c r="W4" s="14">
        <v>457</v>
      </c>
      <c r="X4" s="14">
        <v>0</v>
      </c>
      <c r="Y4" s="14">
        <v>0</v>
      </c>
      <c r="Z4" s="14"/>
      <c r="AA4" s="14"/>
    </row>
    <row r="5" spans="1:27" x14ac:dyDescent="0.2">
      <c r="A5" s="15">
        <f>A4</f>
        <v>45908</v>
      </c>
      <c r="B5" s="14" t="s">
        <v>38</v>
      </c>
      <c r="C5" s="2" t="s">
        <v>39</v>
      </c>
      <c r="D5" s="11" t="s">
        <v>35</v>
      </c>
      <c r="E5" s="12" t="s">
        <v>40</v>
      </c>
      <c r="F5" s="11">
        <v>189</v>
      </c>
      <c r="G5" s="3" t="s">
        <v>111</v>
      </c>
      <c r="H5" s="11" t="s">
        <v>15</v>
      </c>
      <c r="I5" s="3">
        <v>79000</v>
      </c>
      <c r="J5" s="5" t="s">
        <v>41</v>
      </c>
      <c r="K5" s="4">
        <v>0.56597222222222221</v>
      </c>
      <c r="L5" s="5">
        <v>0.57152777777777775</v>
      </c>
      <c r="M5" s="13">
        <v>189</v>
      </c>
      <c r="N5" s="14">
        <v>2</v>
      </c>
      <c r="O5" s="14">
        <v>2065</v>
      </c>
      <c r="P5" s="14">
        <v>0</v>
      </c>
      <c r="Q5" s="14">
        <v>0</v>
      </c>
      <c r="R5" s="14" t="s">
        <v>42</v>
      </c>
      <c r="S5" s="4">
        <v>0.60763888888888895</v>
      </c>
      <c r="T5" s="5">
        <v>0.6333333333333333</v>
      </c>
      <c r="U5" s="14">
        <v>165</v>
      </c>
      <c r="V5" s="14">
        <v>0</v>
      </c>
      <c r="W5" s="14">
        <v>2099</v>
      </c>
      <c r="X5" s="14">
        <v>0</v>
      </c>
      <c r="Y5" s="14">
        <v>0</v>
      </c>
      <c r="Z5" s="14"/>
    </row>
    <row r="6" spans="1:27" x14ac:dyDescent="0.2">
      <c r="A6" s="15">
        <f>A5</f>
        <v>45908</v>
      </c>
      <c r="B6" s="14" t="s">
        <v>99</v>
      </c>
      <c r="C6" s="14" t="s">
        <v>109</v>
      </c>
      <c r="D6" s="14" t="s">
        <v>112</v>
      </c>
      <c r="E6" s="21" t="s">
        <v>103</v>
      </c>
      <c r="F6" s="21" t="s">
        <v>102</v>
      </c>
      <c r="G6" s="14" t="s">
        <v>101</v>
      </c>
      <c r="H6" s="11" t="s">
        <v>104</v>
      </c>
      <c r="I6" s="3">
        <v>4670</v>
      </c>
      <c r="J6" s="14" t="s">
        <v>102</v>
      </c>
      <c r="K6" s="4" t="s">
        <v>102</v>
      </c>
      <c r="L6" s="5" t="s">
        <v>102</v>
      </c>
      <c r="M6" s="14" t="s">
        <v>102</v>
      </c>
      <c r="N6" s="14" t="s">
        <v>102</v>
      </c>
      <c r="O6" s="14" t="s">
        <v>102</v>
      </c>
      <c r="P6" s="14" t="s">
        <v>102</v>
      </c>
      <c r="Q6" s="14" t="s">
        <v>102</v>
      </c>
      <c r="R6" s="21" t="s">
        <v>110</v>
      </c>
      <c r="S6" s="22">
        <v>0.5</v>
      </c>
      <c r="T6" s="23">
        <v>0.46597222222222223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14"/>
      <c r="AA6" s="14"/>
    </row>
    <row r="7" spans="1:27" x14ac:dyDescent="0.2">
      <c r="Z7" s="14"/>
      <c r="AA7" s="1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635F-C381-4E20-9519-89F78E7E71B1}">
  <dimension ref="A1:Y6"/>
  <sheetViews>
    <sheetView workbookViewId="0">
      <selection sqref="A1:Y9"/>
    </sheetView>
  </sheetViews>
  <sheetFormatPr defaultRowHeight="15" x14ac:dyDescent="0.25"/>
  <cols>
    <col min="2" max="2" width="25.85546875" customWidth="1"/>
    <col min="4" max="4" width="14.85546875" customWidth="1"/>
    <col min="8" max="8" width="16.85546875" customWidth="1"/>
  </cols>
  <sheetData>
    <row r="1" spans="1:25" ht="25.5" x14ac:dyDescent="0.25">
      <c r="A1" s="6" t="s">
        <v>47</v>
      </c>
      <c r="B1" s="6" t="s">
        <v>48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45909</v>
      </c>
      <c r="B2" s="14" t="s">
        <v>49</v>
      </c>
      <c r="C2" s="14" t="s">
        <v>50</v>
      </c>
      <c r="D2" s="14" t="s">
        <v>51</v>
      </c>
      <c r="E2" s="14" t="s">
        <v>14</v>
      </c>
      <c r="F2" s="14">
        <v>180</v>
      </c>
      <c r="G2" s="14" t="s">
        <v>113</v>
      </c>
      <c r="H2" s="14" t="s">
        <v>52</v>
      </c>
      <c r="I2" s="3">
        <v>71500</v>
      </c>
      <c r="J2" s="14" t="s">
        <v>53</v>
      </c>
      <c r="K2" s="4">
        <v>0.33333333333333331</v>
      </c>
      <c r="L2" s="5">
        <v>0.33124999999999999</v>
      </c>
      <c r="M2" s="14">
        <v>157</v>
      </c>
      <c r="N2" s="14">
        <v>9</v>
      </c>
      <c r="O2" s="14">
        <v>2300</v>
      </c>
      <c r="P2" s="14">
        <v>0</v>
      </c>
      <c r="Q2" s="14">
        <v>0</v>
      </c>
      <c r="R2" s="14" t="s">
        <v>54</v>
      </c>
      <c r="S2" s="4">
        <v>0.375</v>
      </c>
      <c r="T2" s="5">
        <v>0.3743055555555555</v>
      </c>
      <c r="U2" s="14">
        <v>174</v>
      </c>
      <c r="V2" s="14">
        <v>11</v>
      </c>
      <c r="W2" s="14">
        <v>2467</v>
      </c>
      <c r="X2" s="14">
        <v>0</v>
      </c>
      <c r="Y2" s="14">
        <v>0</v>
      </c>
    </row>
    <row r="3" spans="1:25" x14ac:dyDescent="0.25">
      <c r="A3" s="16">
        <v>45909</v>
      </c>
      <c r="B3" s="14" t="s">
        <v>55</v>
      </c>
      <c r="C3" s="14" t="s">
        <v>56</v>
      </c>
      <c r="D3" s="14" t="s">
        <v>51</v>
      </c>
      <c r="E3" s="14" t="s">
        <v>57</v>
      </c>
      <c r="F3" s="14">
        <v>189</v>
      </c>
      <c r="G3" s="14" t="s">
        <v>114</v>
      </c>
      <c r="H3" s="14" t="s">
        <v>52</v>
      </c>
      <c r="I3" s="3">
        <v>80000</v>
      </c>
      <c r="J3" s="14" t="s">
        <v>58</v>
      </c>
      <c r="K3" s="4">
        <v>0.43402777777777773</v>
      </c>
      <c r="L3" s="5">
        <v>0.4284722222222222</v>
      </c>
      <c r="M3" s="14">
        <v>160</v>
      </c>
      <c r="N3" s="14">
        <v>7</v>
      </c>
      <c r="O3" s="14">
        <v>2289</v>
      </c>
      <c r="P3" s="14">
        <v>0</v>
      </c>
      <c r="Q3" s="14">
        <v>0</v>
      </c>
      <c r="R3" s="14" t="s">
        <v>59</v>
      </c>
      <c r="S3" s="4">
        <v>0.47569444444444442</v>
      </c>
      <c r="T3" s="5">
        <v>0.48958333333333331</v>
      </c>
      <c r="U3" s="14">
        <v>179</v>
      </c>
      <c r="V3" s="14">
        <v>5</v>
      </c>
      <c r="W3" s="14">
        <v>2244</v>
      </c>
      <c r="X3" s="14">
        <v>0</v>
      </c>
      <c r="Y3" s="14">
        <v>0</v>
      </c>
    </row>
    <row r="4" spans="1:25" x14ac:dyDescent="0.25">
      <c r="A4" s="16">
        <v>45909</v>
      </c>
      <c r="B4" s="14" t="s">
        <v>30</v>
      </c>
      <c r="C4" s="14" t="s">
        <v>31</v>
      </c>
      <c r="D4" s="11" t="s">
        <v>32</v>
      </c>
      <c r="E4" s="11" t="s">
        <v>60</v>
      </c>
      <c r="F4" s="14">
        <v>239</v>
      </c>
      <c r="G4" s="14" t="s">
        <v>115</v>
      </c>
      <c r="H4" s="11" t="s">
        <v>15</v>
      </c>
      <c r="I4" s="3">
        <v>89000</v>
      </c>
      <c r="J4" s="5" t="s">
        <v>33</v>
      </c>
      <c r="K4" s="4">
        <v>0.43402777777777773</v>
      </c>
      <c r="L4" s="5">
        <v>0.41597222222222219</v>
      </c>
      <c r="M4" s="14">
        <v>46</v>
      </c>
      <c r="N4" s="14">
        <v>0</v>
      </c>
      <c r="O4" s="14">
        <v>65</v>
      </c>
      <c r="P4" s="14">
        <v>0</v>
      </c>
      <c r="Q4" s="14">
        <v>0</v>
      </c>
      <c r="R4" s="14" t="s">
        <v>34</v>
      </c>
      <c r="S4" s="4">
        <v>0.45833333333333331</v>
      </c>
      <c r="T4" s="5">
        <v>0.4597222222222222</v>
      </c>
      <c r="U4" s="14">
        <v>150</v>
      </c>
      <c r="V4" s="14">
        <v>2</v>
      </c>
      <c r="W4" s="14">
        <v>430</v>
      </c>
      <c r="X4" s="14">
        <v>0</v>
      </c>
      <c r="Y4" s="14">
        <v>0</v>
      </c>
    </row>
    <row r="5" spans="1:25" x14ac:dyDescent="0.25">
      <c r="A5" s="16">
        <v>45909</v>
      </c>
      <c r="B5" s="14" t="s">
        <v>30</v>
      </c>
      <c r="C5" s="10" t="s">
        <v>31</v>
      </c>
      <c r="D5" s="14" t="s">
        <v>27</v>
      </c>
      <c r="E5" s="11" t="s">
        <v>60</v>
      </c>
      <c r="F5" s="14">
        <v>239</v>
      </c>
      <c r="G5" s="14" t="s">
        <v>116</v>
      </c>
      <c r="H5" s="11" t="s">
        <v>15</v>
      </c>
      <c r="I5" s="3">
        <v>89000</v>
      </c>
      <c r="J5" s="14" t="s">
        <v>62</v>
      </c>
      <c r="K5" s="4">
        <v>0.48958333333333331</v>
      </c>
      <c r="L5" s="5">
        <v>0.48055555555555557</v>
      </c>
      <c r="M5" s="14">
        <v>131</v>
      </c>
      <c r="N5" s="14">
        <v>2</v>
      </c>
      <c r="O5" s="14">
        <v>492</v>
      </c>
      <c r="P5" s="14">
        <v>0</v>
      </c>
      <c r="Q5" s="14">
        <v>0</v>
      </c>
      <c r="R5" s="14" t="s">
        <v>73</v>
      </c>
      <c r="S5" s="4">
        <v>0.51388888888888895</v>
      </c>
      <c r="T5" s="5">
        <v>0.52638888888888891</v>
      </c>
      <c r="U5" s="14">
        <v>222</v>
      </c>
      <c r="V5" s="14">
        <v>5</v>
      </c>
      <c r="W5" s="14">
        <v>1223</v>
      </c>
      <c r="X5" s="14">
        <v>0</v>
      </c>
      <c r="Y5" s="14">
        <v>0</v>
      </c>
    </row>
    <row r="6" spans="1:25" x14ac:dyDescent="0.25">
      <c r="A6" s="16"/>
      <c r="B6" s="14"/>
      <c r="C6" s="10"/>
      <c r="D6" s="14"/>
      <c r="E6" s="14"/>
      <c r="F6" s="14"/>
      <c r="G6" s="14"/>
      <c r="H6" s="14"/>
      <c r="I6" s="14"/>
      <c r="J6" s="14"/>
      <c r="K6" s="17"/>
      <c r="L6" s="18"/>
      <c r="M6" s="19"/>
      <c r="N6" s="19"/>
      <c r="O6" s="19"/>
      <c r="P6" s="14"/>
      <c r="Q6" s="14"/>
      <c r="R6" s="14"/>
      <c r="S6" s="17"/>
      <c r="T6" s="18"/>
      <c r="U6" s="14"/>
      <c r="V6" s="14"/>
      <c r="W6" s="14"/>
      <c r="X6" s="14"/>
      <c r="Y6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31DF-F332-4793-882D-C3A4C5957F1F}">
  <dimension ref="A1:Y5"/>
  <sheetViews>
    <sheetView workbookViewId="0">
      <selection activeCell="W5" sqref="W5"/>
    </sheetView>
  </sheetViews>
  <sheetFormatPr defaultRowHeight="15" x14ac:dyDescent="0.25"/>
  <cols>
    <col min="2" max="2" width="25.28515625" customWidth="1"/>
    <col min="4" max="4" width="15.28515625" customWidth="1"/>
    <col min="8" max="8" width="14.4257812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45910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117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0.38263888888888892</v>
      </c>
      <c r="M2" s="14">
        <v>95</v>
      </c>
      <c r="N2" s="14">
        <v>3</v>
      </c>
      <c r="O2" s="14">
        <v>445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0.42291666666666666</v>
      </c>
      <c r="U2" s="14">
        <v>164</v>
      </c>
      <c r="V2" s="14">
        <v>6</v>
      </c>
      <c r="W2" s="14">
        <v>518</v>
      </c>
      <c r="X2" s="14">
        <v>0</v>
      </c>
      <c r="Y2" s="14">
        <v>0</v>
      </c>
    </row>
    <row r="3" spans="1:25" x14ac:dyDescent="0.25">
      <c r="A3" s="15">
        <v>45910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118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0.46736111111111112</v>
      </c>
      <c r="M3" s="14">
        <v>116</v>
      </c>
      <c r="N3" s="14">
        <v>2</v>
      </c>
      <c r="O3" s="14">
        <v>526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0.50138888888888888</v>
      </c>
      <c r="U3" s="14">
        <v>179</v>
      </c>
      <c r="V3" s="14">
        <v>2</v>
      </c>
      <c r="W3" s="14">
        <v>665</v>
      </c>
      <c r="X3" s="14">
        <v>0</v>
      </c>
      <c r="Y3" s="14">
        <v>0</v>
      </c>
    </row>
    <row r="4" spans="1:25" x14ac:dyDescent="0.25">
      <c r="A4" s="15">
        <v>45910</v>
      </c>
      <c r="B4" s="14" t="s">
        <v>30</v>
      </c>
      <c r="C4" s="14" t="s">
        <v>31</v>
      </c>
      <c r="D4" s="11" t="s">
        <v>32</v>
      </c>
      <c r="E4" s="14" t="s">
        <v>14</v>
      </c>
      <c r="F4" s="14">
        <v>180</v>
      </c>
      <c r="G4" s="3" t="s">
        <v>119</v>
      </c>
      <c r="H4" s="11" t="s">
        <v>15</v>
      </c>
      <c r="I4" s="3">
        <v>71500</v>
      </c>
      <c r="J4" s="5" t="s">
        <v>33</v>
      </c>
      <c r="K4" s="4">
        <v>0.5</v>
      </c>
      <c r="L4" s="5">
        <v>0.49374999999999997</v>
      </c>
      <c r="M4" s="14">
        <v>85</v>
      </c>
      <c r="N4" s="14">
        <v>0</v>
      </c>
      <c r="O4" s="14">
        <v>266</v>
      </c>
      <c r="P4" s="14">
        <v>0</v>
      </c>
      <c r="Q4" s="14">
        <v>0</v>
      </c>
      <c r="R4" s="14" t="s">
        <v>34</v>
      </c>
      <c r="S4" s="4">
        <v>0.52083333333333337</v>
      </c>
      <c r="T4" s="5">
        <v>0.53749999999999998</v>
      </c>
      <c r="U4" s="14">
        <v>149</v>
      </c>
      <c r="V4" s="14">
        <v>4</v>
      </c>
      <c r="W4" s="14">
        <v>594</v>
      </c>
      <c r="X4" s="14">
        <v>0</v>
      </c>
      <c r="Y4" s="14">
        <v>0</v>
      </c>
    </row>
    <row r="5" spans="1:25" x14ac:dyDescent="0.25">
      <c r="A5" s="15">
        <v>45910</v>
      </c>
      <c r="B5" s="14" t="s">
        <v>11</v>
      </c>
      <c r="C5" s="10" t="s">
        <v>12</v>
      </c>
      <c r="D5" s="14" t="s">
        <v>66</v>
      </c>
      <c r="E5" s="14" t="s">
        <v>60</v>
      </c>
      <c r="F5" s="14">
        <v>239</v>
      </c>
      <c r="G5" s="14" t="s">
        <v>120</v>
      </c>
      <c r="H5" s="11" t="s">
        <v>15</v>
      </c>
      <c r="I5" s="3">
        <v>89000</v>
      </c>
      <c r="J5" s="14" t="s">
        <v>68</v>
      </c>
      <c r="K5" s="4">
        <v>0.62847222222222221</v>
      </c>
      <c r="L5" s="5">
        <v>0.61805555555555558</v>
      </c>
      <c r="M5" s="14">
        <v>100</v>
      </c>
      <c r="N5" s="14">
        <v>2</v>
      </c>
      <c r="O5" s="14">
        <v>219</v>
      </c>
      <c r="P5" s="14">
        <v>0</v>
      </c>
      <c r="Q5" s="14">
        <v>0</v>
      </c>
      <c r="R5" s="14" t="s">
        <v>69</v>
      </c>
      <c r="S5" s="4">
        <v>0.65277777777777779</v>
      </c>
      <c r="T5" s="5">
        <v>0.65277777777777779</v>
      </c>
      <c r="U5" s="14">
        <v>150</v>
      </c>
      <c r="V5" s="14">
        <v>3</v>
      </c>
      <c r="W5" s="14">
        <v>513</v>
      </c>
      <c r="X5" s="14">
        <v>0</v>
      </c>
      <c r="Y5" s="1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26EA-B4B0-4580-B5EE-A35762EF2D91}">
  <dimension ref="A1:Y4"/>
  <sheetViews>
    <sheetView workbookViewId="0">
      <selection activeCell="G14" sqref="G14"/>
    </sheetView>
  </sheetViews>
  <sheetFormatPr defaultRowHeight="15" x14ac:dyDescent="0.25"/>
  <cols>
    <col min="1" max="1" width="10.140625" bestFit="1" customWidth="1"/>
    <col min="2" max="2" width="24.5703125" customWidth="1"/>
    <col min="4" max="4" width="17.140625" customWidth="1"/>
    <col min="8" max="8" width="14.2851562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45911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121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0.38263888888888892</v>
      </c>
      <c r="M2" s="14">
        <v>99</v>
      </c>
      <c r="N2" s="14">
        <v>2</v>
      </c>
      <c r="O2" s="14">
        <v>203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0.42708333333333331</v>
      </c>
      <c r="U2" s="14">
        <v>171</v>
      </c>
      <c r="V2" s="14">
        <v>4</v>
      </c>
      <c r="W2" s="14">
        <v>437</v>
      </c>
      <c r="X2" s="14">
        <v>0</v>
      </c>
      <c r="Y2" s="14">
        <v>0</v>
      </c>
    </row>
    <row r="3" spans="1:25" x14ac:dyDescent="0.25">
      <c r="A3" s="15">
        <v>45911</v>
      </c>
      <c r="B3" s="14" t="s">
        <v>30</v>
      </c>
      <c r="C3" s="10" t="s">
        <v>31</v>
      </c>
      <c r="D3" s="14" t="s">
        <v>27</v>
      </c>
      <c r="E3" s="11" t="s">
        <v>60</v>
      </c>
      <c r="F3" s="14">
        <v>239</v>
      </c>
      <c r="G3" s="14" t="s">
        <v>122</v>
      </c>
      <c r="H3" s="11" t="s">
        <v>15</v>
      </c>
      <c r="I3" s="3">
        <v>89000</v>
      </c>
      <c r="J3" s="14" t="s">
        <v>62</v>
      </c>
      <c r="K3" s="4">
        <v>0.48958333333333331</v>
      </c>
      <c r="L3" s="5">
        <v>0.48402777777777778</v>
      </c>
      <c r="M3" s="14">
        <v>145</v>
      </c>
      <c r="N3" s="14">
        <v>4</v>
      </c>
      <c r="O3" s="14">
        <v>786</v>
      </c>
      <c r="P3" s="14">
        <v>0</v>
      </c>
      <c r="Q3" s="14">
        <v>0</v>
      </c>
      <c r="R3" s="14" t="s">
        <v>73</v>
      </c>
      <c r="S3" s="4">
        <v>0.51388888888888895</v>
      </c>
      <c r="T3" s="5">
        <v>0.51666666666666672</v>
      </c>
      <c r="U3" s="14">
        <v>222</v>
      </c>
      <c r="V3" s="14">
        <v>5</v>
      </c>
      <c r="W3" s="14">
        <v>968</v>
      </c>
      <c r="X3" s="14">
        <v>0</v>
      </c>
      <c r="Y3" s="14">
        <v>0</v>
      </c>
    </row>
    <row r="4" spans="1:25" s="19" customFormat="1" x14ac:dyDescent="0.25">
      <c r="A4" s="15">
        <v>45911</v>
      </c>
      <c r="B4" s="21" t="s">
        <v>123</v>
      </c>
      <c r="C4" s="21" t="s">
        <v>87</v>
      </c>
      <c r="D4" s="21" t="s">
        <v>124</v>
      </c>
      <c r="E4" s="21" t="s">
        <v>125</v>
      </c>
      <c r="F4" s="21">
        <v>5</v>
      </c>
      <c r="G4" s="21" t="s">
        <v>126</v>
      </c>
      <c r="H4" s="21" t="s">
        <v>91</v>
      </c>
      <c r="I4" s="24">
        <v>11000</v>
      </c>
      <c r="J4" s="21" t="s">
        <v>127</v>
      </c>
      <c r="K4" s="22">
        <v>0.54513888888888895</v>
      </c>
      <c r="L4" s="23">
        <v>0.54027777777777775</v>
      </c>
      <c r="M4" s="21">
        <v>1</v>
      </c>
      <c r="N4" s="21">
        <v>0</v>
      </c>
      <c r="O4" s="21">
        <v>0</v>
      </c>
      <c r="P4" s="21">
        <v>0</v>
      </c>
      <c r="Q4" s="21">
        <v>0</v>
      </c>
      <c r="R4" s="21" t="s">
        <v>127</v>
      </c>
      <c r="S4" s="22">
        <v>0.57291666666666663</v>
      </c>
      <c r="T4" s="23">
        <v>0.56597222222222221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7E9A-692D-4F7A-9753-2EBA6AE02B8C}">
  <dimension ref="A1:Y7"/>
  <sheetViews>
    <sheetView workbookViewId="0">
      <selection sqref="A1:XFD1048576"/>
    </sheetView>
  </sheetViews>
  <sheetFormatPr defaultRowHeight="15" x14ac:dyDescent="0.25"/>
  <cols>
    <col min="2" max="2" width="22.7109375" customWidth="1"/>
    <col min="3" max="3" width="10.140625" customWidth="1"/>
    <col min="4" max="4" width="16.5703125" customWidth="1"/>
    <col min="8" max="8" width="14.8554687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45912</v>
      </c>
      <c r="B2" s="14" t="s">
        <v>74</v>
      </c>
      <c r="C2" s="2" t="s">
        <v>75</v>
      </c>
      <c r="D2" s="11" t="s">
        <v>35</v>
      </c>
      <c r="E2" s="12" t="s">
        <v>40</v>
      </c>
      <c r="F2" s="11">
        <v>189</v>
      </c>
      <c r="G2" s="3" t="s">
        <v>131</v>
      </c>
      <c r="H2" s="2" t="s">
        <v>15</v>
      </c>
      <c r="I2" s="3">
        <v>79000</v>
      </c>
      <c r="J2" s="5" t="s">
        <v>76</v>
      </c>
      <c r="K2" s="4">
        <v>0.36805555555555558</v>
      </c>
      <c r="L2" s="5">
        <v>0.4055555555555555</v>
      </c>
      <c r="M2" s="13">
        <v>127</v>
      </c>
      <c r="N2" s="14">
        <v>3</v>
      </c>
      <c r="O2" s="14">
        <v>1621</v>
      </c>
      <c r="P2" s="14">
        <v>0</v>
      </c>
      <c r="Q2" s="14">
        <v>0</v>
      </c>
      <c r="R2" s="14" t="s">
        <v>77</v>
      </c>
      <c r="S2" s="4">
        <v>0.4236111111111111</v>
      </c>
      <c r="T2" s="5">
        <v>0.45902777777777781</v>
      </c>
      <c r="U2" s="13">
        <v>111</v>
      </c>
      <c r="V2" s="14">
        <v>2</v>
      </c>
      <c r="W2" s="14">
        <v>1035</v>
      </c>
      <c r="X2" s="14">
        <v>0</v>
      </c>
      <c r="Y2" s="14">
        <v>0</v>
      </c>
    </row>
    <row r="3" spans="1:25" x14ac:dyDescent="0.25">
      <c r="A3" s="16">
        <v>45912</v>
      </c>
      <c r="B3" s="14" t="s">
        <v>11</v>
      </c>
      <c r="C3" s="10" t="s">
        <v>12</v>
      </c>
      <c r="D3" s="14" t="s">
        <v>13</v>
      </c>
      <c r="E3" s="14" t="s">
        <v>14</v>
      </c>
      <c r="F3" s="14">
        <v>186</v>
      </c>
      <c r="G3" s="3" t="s">
        <v>128</v>
      </c>
      <c r="H3" s="11" t="s">
        <v>15</v>
      </c>
      <c r="I3" s="3">
        <v>71500</v>
      </c>
      <c r="J3" s="14" t="s">
        <v>16</v>
      </c>
      <c r="K3" s="4">
        <v>0.3923611111111111</v>
      </c>
      <c r="L3" s="5">
        <v>0.38125000000000003</v>
      </c>
      <c r="M3" s="13">
        <v>153</v>
      </c>
      <c r="N3" s="14">
        <v>1</v>
      </c>
      <c r="O3" s="14">
        <v>265</v>
      </c>
      <c r="P3" s="14">
        <v>0</v>
      </c>
      <c r="Q3" s="14">
        <v>0</v>
      </c>
      <c r="R3" s="14" t="s">
        <v>26</v>
      </c>
      <c r="S3" s="4">
        <v>0.41319444444444442</v>
      </c>
      <c r="T3" s="5">
        <v>0.41666666666666669</v>
      </c>
      <c r="U3" s="14">
        <v>169</v>
      </c>
      <c r="V3" s="14">
        <v>6</v>
      </c>
      <c r="W3" s="14">
        <v>650</v>
      </c>
      <c r="X3" s="14">
        <v>6</v>
      </c>
      <c r="Y3" s="14">
        <v>0</v>
      </c>
    </row>
    <row r="4" spans="1:25" x14ac:dyDescent="0.25">
      <c r="A4" s="16">
        <v>45912</v>
      </c>
      <c r="B4" s="14" t="s">
        <v>11</v>
      </c>
      <c r="C4" s="10" t="s">
        <v>12</v>
      </c>
      <c r="D4" s="14" t="s">
        <v>78</v>
      </c>
      <c r="E4" s="11" t="s">
        <v>60</v>
      </c>
      <c r="F4" s="14">
        <v>180</v>
      </c>
      <c r="G4" s="14" t="s">
        <v>132</v>
      </c>
      <c r="H4" s="11" t="s">
        <v>15</v>
      </c>
      <c r="I4" s="3">
        <v>71500</v>
      </c>
      <c r="J4" s="14" t="s">
        <v>28</v>
      </c>
      <c r="K4" s="4">
        <v>0.49652777777777773</v>
      </c>
      <c r="L4" s="5">
        <v>0.49374999999999997</v>
      </c>
      <c r="M4" s="14">
        <v>180</v>
      </c>
      <c r="N4" s="14">
        <v>2</v>
      </c>
      <c r="O4" s="14">
        <v>537</v>
      </c>
      <c r="P4" s="14">
        <v>0</v>
      </c>
      <c r="Q4" s="14">
        <v>0</v>
      </c>
      <c r="R4" s="14" t="s">
        <v>29</v>
      </c>
      <c r="S4" s="4">
        <v>0.51736111111111105</v>
      </c>
      <c r="T4" s="5">
        <v>0.52708333333333335</v>
      </c>
      <c r="U4" s="14">
        <v>180</v>
      </c>
      <c r="V4" s="14">
        <v>2</v>
      </c>
      <c r="W4" s="14">
        <v>1027</v>
      </c>
      <c r="X4" s="14">
        <v>0</v>
      </c>
      <c r="Y4" s="14">
        <v>0</v>
      </c>
    </row>
    <row r="5" spans="1:25" x14ac:dyDescent="0.25">
      <c r="A5" s="16">
        <v>45912</v>
      </c>
      <c r="B5" s="14" t="s">
        <v>30</v>
      </c>
      <c r="C5" s="14" t="s">
        <v>31</v>
      </c>
      <c r="D5" s="11" t="s">
        <v>32</v>
      </c>
      <c r="E5" s="14" t="s">
        <v>60</v>
      </c>
      <c r="F5" s="14">
        <v>239</v>
      </c>
      <c r="G5" s="3" t="s">
        <v>129</v>
      </c>
      <c r="H5" s="11" t="s">
        <v>15</v>
      </c>
      <c r="I5" s="3">
        <v>71500</v>
      </c>
      <c r="J5" s="5" t="s">
        <v>33</v>
      </c>
      <c r="K5" s="4">
        <v>0.5</v>
      </c>
      <c r="L5" s="5">
        <v>0.5</v>
      </c>
      <c r="M5" s="14">
        <v>171</v>
      </c>
      <c r="N5" s="14">
        <v>10</v>
      </c>
      <c r="O5" s="14">
        <v>695</v>
      </c>
      <c r="P5" s="14">
        <v>0</v>
      </c>
      <c r="Q5" s="14">
        <v>0</v>
      </c>
      <c r="R5" s="14" t="s">
        <v>34</v>
      </c>
      <c r="S5" s="4">
        <v>0.52083333333333337</v>
      </c>
      <c r="T5" s="5">
        <v>0.55347222222222225</v>
      </c>
      <c r="U5" s="14">
        <v>144</v>
      </c>
      <c r="V5" s="14">
        <v>2</v>
      </c>
      <c r="W5" s="14">
        <v>465</v>
      </c>
      <c r="X5" s="14">
        <v>0</v>
      </c>
      <c r="Y5" s="14">
        <v>0</v>
      </c>
    </row>
    <row r="6" spans="1:25" x14ac:dyDescent="0.25">
      <c r="A6" s="16">
        <v>45912</v>
      </c>
      <c r="B6" s="14" t="s">
        <v>49</v>
      </c>
      <c r="C6" s="14" t="s">
        <v>50</v>
      </c>
      <c r="D6" s="14" t="s">
        <v>51</v>
      </c>
      <c r="E6" s="14" t="s">
        <v>14</v>
      </c>
      <c r="F6" s="14">
        <v>180</v>
      </c>
      <c r="G6" s="14" t="s">
        <v>130</v>
      </c>
      <c r="H6" s="11" t="s">
        <v>52</v>
      </c>
      <c r="I6" s="3">
        <v>71500</v>
      </c>
      <c r="J6" s="14" t="s">
        <v>79</v>
      </c>
      <c r="K6" s="4">
        <v>0.375</v>
      </c>
      <c r="L6" s="5">
        <v>0.38125000000000003</v>
      </c>
      <c r="M6" s="14">
        <v>157</v>
      </c>
      <c r="N6" s="14">
        <v>1</v>
      </c>
      <c r="O6" s="14">
        <v>2470</v>
      </c>
      <c r="P6" s="14">
        <v>0</v>
      </c>
      <c r="Q6" s="14">
        <v>0</v>
      </c>
      <c r="R6" s="14" t="s">
        <v>80</v>
      </c>
      <c r="S6" s="4">
        <v>0.41666666666666669</v>
      </c>
      <c r="T6" s="5">
        <v>0.42152777777777778</v>
      </c>
      <c r="U6" s="14">
        <v>157</v>
      </c>
      <c r="V6" s="14">
        <v>1</v>
      </c>
      <c r="W6" s="14">
        <v>2470</v>
      </c>
      <c r="X6" s="14">
        <v>0</v>
      </c>
      <c r="Y6" s="14">
        <v>0</v>
      </c>
    </row>
    <row r="7" spans="1:25" x14ac:dyDescent="0.25">
      <c r="A7" s="16">
        <v>45912</v>
      </c>
      <c r="B7" s="14" t="s">
        <v>11</v>
      </c>
      <c r="C7" s="10" t="s">
        <v>12</v>
      </c>
      <c r="D7" s="14" t="s">
        <v>66</v>
      </c>
      <c r="E7" s="14" t="s">
        <v>60</v>
      </c>
      <c r="F7" s="11">
        <v>239</v>
      </c>
      <c r="G7" s="14" t="s">
        <v>98</v>
      </c>
      <c r="H7" s="11" t="s">
        <v>15</v>
      </c>
      <c r="I7" s="3">
        <v>89000</v>
      </c>
      <c r="J7" s="14" t="s">
        <v>68</v>
      </c>
      <c r="K7" s="4">
        <v>0.62847222222222221</v>
      </c>
      <c r="L7" s="5">
        <v>0.62083333333333335</v>
      </c>
      <c r="M7" s="14">
        <v>203</v>
      </c>
      <c r="N7" s="14">
        <v>2</v>
      </c>
      <c r="O7" s="14">
        <v>211</v>
      </c>
      <c r="P7" s="14">
        <v>0</v>
      </c>
      <c r="Q7" s="14">
        <v>0</v>
      </c>
      <c r="R7" s="14" t="s">
        <v>69</v>
      </c>
      <c r="S7" s="4">
        <v>0.65277777777777779</v>
      </c>
      <c r="T7" s="5">
        <v>0.66736111111111107</v>
      </c>
      <c r="U7" s="14">
        <v>144</v>
      </c>
      <c r="V7" s="14">
        <v>4</v>
      </c>
      <c r="W7" s="14">
        <v>426</v>
      </c>
      <c r="X7" s="14">
        <v>0</v>
      </c>
      <c r="Y7" s="14"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7A23-59A0-4FC4-A0FB-0CE2FDF0D3F8}">
  <dimension ref="A1:AA6"/>
  <sheetViews>
    <sheetView workbookViewId="0">
      <selection sqref="A1:Y4"/>
    </sheetView>
  </sheetViews>
  <sheetFormatPr defaultRowHeight="15" x14ac:dyDescent="0.25"/>
  <cols>
    <col min="2" max="2" width="24.85546875" customWidth="1"/>
    <col min="4" max="4" width="16.85546875" customWidth="1"/>
    <col min="8" max="8" width="13.85546875" customWidth="1"/>
  </cols>
  <sheetData>
    <row r="1" spans="1:27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7" x14ac:dyDescent="0.25">
      <c r="A2" s="15">
        <v>45913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43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0.3888888888888889</v>
      </c>
      <c r="M2" s="14">
        <v>158</v>
      </c>
      <c r="N2" s="14">
        <v>2</v>
      </c>
      <c r="O2" s="14">
        <v>367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0.43263888888888885</v>
      </c>
      <c r="U2" s="14">
        <v>180</v>
      </c>
      <c r="V2" s="14">
        <v>6</v>
      </c>
      <c r="W2" s="14">
        <v>729</v>
      </c>
      <c r="X2" s="14">
        <v>0</v>
      </c>
      <c r="Y2" s="14">
        <v>0</v>
      </c>
    </row>
    <row r="3" spans="1:27" x14ac:dyDescent="0.25">
      <c r="A3" s="15">
        <v>45913</v>
      </c>
      <c r="B3" s="14" t="s">
        <v>30</v>
      </c>
      <c r="C3" s="10" t="s">
        <v>31</v>
      </c>
      <c r="D3" s="14" t="s">
        <v>32</v>
      </c>
      <c r="E3" s="11" t="s">
        <v>60</v>
      </c>
      <c r="F3" s="14">
        <v>239</v>
      </c>
      <c r="G3" s="14" t="s">
        <v>95</v>
      </c>
      <c r="H3" s="11" t="s">
        <v>15</v>
      </c>
      <c r="I3" s="3">
        <v>89000</v>
      </c>
      <c r="J3" s="14" t="s">
        <v>33</v>
      </c>
      <c r="K3" s="4">
        <v>0.43402777777777773</v>
      </c>
      <c r="L3" s="5">
        <v>0.44305555555555554</v>
      </c>
      <c r="M3" s="14">
        <v>150</v>
      </c>
      <c r="N3" s="14">
        <v>2</v>
      </c>
      <c r="O3" s="14">
        <v>355</v>
      </c>
      <c r="P3" s="14">
        <v>0</v>
      </c>
      <c r="Q3" s="14">
        <v>0</v>
      </c>
      <c r="R3" s="14" t="s">
        <v>34</v>
      </c>
      <c r="S3" s="4">
        <v>0.4861111111111111</v>
      </c>
      <c r="T3" s="5">
        <v>0.4909722222222222</v>
      </c>
      <c r="U3" s="14">
        <v>223</v>
      </c>
      <c r="V3" s="14">
        <v>6</v>
      </c>
      <c r="W3" s="14">
        <v>1169</v>
      </c>
      <c r="X3" s="14">
        <v>0</v>
      </c>
      <c r="Y3" s="14">
        <v>0</v>
      </c>
    </row>
    <row r="4" spans="1:27" x14ac:dyDescent="0.25">
      <c r="A4" s="15">
        <v>45913</v>
      </c>
      <c r="B4" s="14" t="s">
        <v>30</v>
      </c>
      <c r="C4" s="14" t="s">
        <v>31</v>
      </c>
      <c r="D4" s="14" t="s">
        <v>27</v>
      </c>
      <c r="E4" s="14" t="s">
        <v>60</v>
      </c>
      <c r="F4" s="14">
        <v>239</v>
      </c>
      <c r="G4" s="3" t="s">
        <v>96</v>
      </c>
      <c r="H4" s="11" t="s">
        <v>15</v>
      </c>
      <c r="I4" s="3">
        <v>89000</v>
      </c>
      <c r="J4" s="5" t="s">
        <v>62</v>
      </c>
      <c r="K4" s="4">
        <v>0.48958333333333331</v>
      </c>
      <c r="L4" s="5">
        <v>0.4909722222222222</v>
      </c>
      <c r="M4" s="14">
        <v>209</v>
      </c>
      <c r="N4" s="14">
        <v>3</v>
      </c>
      <c r="O4" s="14">
        <v>858</v>
      </c>
      <c r="P4" s="14">
        <v>0</v>
      </c>
      <c r="Q4" s="14">
        <v>0</v>
      </c>
      <c r="R4" s="14" t="s">
        <v>73</v>
      </c>
      <c r="S4" s="4">
        <v>0.52083333333333337</v>
      </c>
      <c r="T4" s="5">
        <v>0.51388888888888895</v>
      </c>
      <c r="U4" s="14">
        <v>223</v>
      </c>
      <c r="V4" s="14">
        <v>3</v>
      </c>
      <c r="W4" s="14">
        <v>1353</v>
      </c>
      <c r="X4" s="14">
        <v>0</v>
      </c>
      <c r="Y4" s="14">
        <v>0</v>
      </c>
    </row>
    <row r="5" spans="1:27" x14ac:dyDescent="0.25">
      <c r="A5" s="15"/>
      <c r="B5" s="14"/>
      <c r="C5" s="10"/>
      <c r="D5" s="14"/>
      <c r="E5" s="14"/>
      <c r="F5" s="14"/>
      <c r="G5" s="14"/>
      <c r="H5" s="11"/>
      <c r="I5" s="3"/>
      <c r="J5" s="14"/>
      <c r="K5" s="4"/>
      <c r="L5" s="5"/>
      <c r="M5" s="14"/>
      <c r="N5" s="14"/>
      <c r="O5" s="14"/>
      <c r="P5" s="14"/>
      <c r="Q5" s="14"/>
      <c r="R5" s="14"/>
      <c r="S5" s="4"/>
      <c r="T5" s="5"/>
      <c r="U5" s="14"/>
      <c r="V5" s="14"/>
      <c r="W5" s="14"/>
      <c r="X5" s="14"/>
      <c r="Y5" s="14"/>
      <c r="Z5" s="14"/>
      <c r="AA5" s="14"/>
    </row>
    <row r="6" spans="1:27" x14ac:dyDescent="0.25">
      <c r="D6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ED39-E182-4123-AE5D-B33688C057DD}">
  <dimension ref="A1:AA5"/>
  <sheetViews>
    <sheetView workbookViewId="0">
      <selection sqref="A1:Y4"/>
    </sheetView>
  </sheetViews>
  <sheetFormatPr defaultRowHeight="15" x14ac:dyDescent="0.25"/>
  <cols>
    <col min="2" max="2" width="27.5703125" customWidth="1"/>
    <col min="4" max="4" width="18.85546875" customWidth="1"/>
  </cols>
  <sheetData>
    <row r="1" spans="1:27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7" x14ac:dyDescent="0.25">
      <c r="A2" s="15">
        <v>45914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134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0.3923611111111111</v>
      </c>
      <c r="M2" s="14">
        <v>127</v>
      </c>
      <c r="N2" s="14">
        <v>8</v>
      </c>
      <c r="O2" s="14">
        <v>538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0.42638888888888887</v>
      </c>
      <c r="U2" s="14">
        <v>174</v>
      </c>
      <c r="V2" s="14">
        <v>1</v>
      </c>
      <c r="W2" s="14">
        <v>406</v>
      </c>
      <c r="X2" s="14">
        <v>0</v>
      </c>
      <c r="Y2" s="14">
        <v>0</v>
      </c>
    </row>
    <row r="3" spans="1:27" x14ac:dyDescent="0.25">
      <c r="A3" s="15">
        <v>45914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128</v>
      </c>
      <c r="H3" s="11" t="s">
        <v>15</v>
      </c>
      <c r="I3" s="3">
        <v>71500</v>
      </c>
      <c r="J3" s="14" t="s">
        <v>62</v>
      </c>
      <c r="K3" s="4">
        <v>0.46527777777777773</v>
      </c>
      <c r="L3" s="5">
        <v>0.45069444444444445</v>
      </c>
      <c r="M3" s="14">
        <v>170</v>
      </c>
      <c r="N3" s="14">
        <v>7</v>
      </c>
      <c r="O3" s="14">
        <v>847</v>
      </c>
      <c r="P3" s="14">
        <v>0</v>
      </c>
      <c r="Q3" s="14">
        <v>0</v>
      </c>
      <c r="R3" s="14" t="s">
        <v>73</v>
      </c>
      <c r="S3" s="4">
        <v>0.4861111111111111</v>
      </c>
      <c r="T3" s="5">
        <v>0.48958333333333331</v>
      </c>
      <c r="U3" s="14">
        <v>178</v>
      </c>
      <c r="V3" s="14">
        <v>2</v>
      </c>
      <c r="W3" s="14">
        <v>614</v>
      </c>
      <c r="X3" s="14">
        <v>0</v>
      </c>
      <c r="Y3" s="14">
        <v>0</v>
      </c>
    </row>
    <row r="4" spans="1:27" x14ac:dyDescent="0.25">
      <c r="A4" s="15">
        <v>45914</v>
      </c>
      <c r="B4" s="14" t="s">
        <v>11</v>
      </c>
      <c r="C4" s="10" t="s">
        <v>12</v>
      </c>
      <c r="D4" s="14" t="s">
        <v>66</v>
      </c>
      <c r="E4" s="14" t="s">
        <v>60</v>
      </c>
      <c r="F4" s="11">
        <v>239</v>
      </c>
      <c r="G4" s="14" t="s">
        <v>120</v>
      </c>
      <c r="H4" s="11" t="s">
        <v>15</v>
      </c>
      <c r="I4" s="3">
        <v>89000</v>
      </c>
      <c r="J4" s="14" t="s">
        <v>68</v>
      </c>
      <c r="K4" s="4">
        <v>0.62847222222222221</v>
      </c>
      <c r="L4" s="5">
        <v>0.62569444444444444</v>
      </c>
      <c r="M4" s="14">
        <v>146</v>
      </c>
      <c r="N4" s="14">
        <v>4</v>
      </c>
      <c r="O4" s="14">
        <v>194</v>
      </c>
      <c r="P4" s="14">
        <v>0</v>
      </c>
      <c r="Q4" s="14">
        <v>0</v>
      </c>
      <c r="R4" s="14" t="s">
        <v>69</v>
      </c>
      <c r="S4" s="4">
        <v>0.65277777777777779</v>
      </c>
      <c r="T4" s="5">
        <v>0.67222222222222217</v>
      </c>
      <c r="U4" s="14">
        <v>218</v>
      </c>
      <c r="V4" s="14">
        <v>3</v>
      </c>
      <c r="W4" s="14">
        <v>319</v>
      </c>
      <c r="X4" s="14">
        <v>0</v>
      </c>
      <c r="Y4" s="14">
        <v>0</v>
      </c>
      <c r="Z4" s="14"/>
      <c r="AA4" s="14"/>
    </row>
    <row r="5" spans="1:27" x14ac:dyDescent="0.25">
      <c r="A5" s="15">
        <v>45914</v>
      </c>
      <c r="B5" s="14" t="s">
        <v>99</v>
      </c>
      <c r="D5" s="14" t="s">
        <v>133</v>
      </c>
      <c r="E5" t="s">
        <v>103</v>
      </c>
      <c r="F5" s="19" t="s">
        <v>102</v>
      </c>
      <c r="G5" s="14" t="s">
        <v>101</v>
      </c>
      <c r="H5" s="11" t="s">
        <v>104</v>
      </c>
      <c r="I5" s="3">
        <v>5000</v>
      </c>
      <c r="J5" s="14" t="s">
        <v>101</v>
      </c>
      <c r="K5" s="4">
        <v>0.38541666666666669</v>
      </c>
      <c r="L5" s="5">
        <v>0.38194444444444442</v>
      </c>
      <c r="M5" s="14">
        <v>1</v>
      </c>
      <c r="N5" s="14">
        <v>0</v>
      </c>
      <c r="O5" s="14">
        <v>0</v>
      </c>
      <c r="P5" s="14">
        <v>0</v>
      </c>
      <c r="Q5" s="14">
        <v>0</v>
      </c>
      <c r="R5" s="14" t="s">
        <v>101</v>
      </c>
      <c r="S5" s="5">
        <v>0.41666666666666669</v>
      </c>
      <c r="T5" s="5">
        <v>0.41319444444444442</v>
      </c>
      <c r="U5" s="14">
        <v>2</v>
      </c>
      <c r="V5" s="14">
        <v>0</v>
      </c>
      <c r="W5" s="14">
        <v>0</v>
      </c>
      <c r="X5" s="14">
        <v>0</v>
      </c>
      <c r="Y5" s="1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D756-C757-4DCF-B444-3A8718DC1A33}">
  <dimension ref="A1:Y5"/>
  <sheetViews>
    <sheetView workbookViewId="0">
      <selection sqref="A1:Y11"/>
    </sheetView>
  </sheetViews>
  <sheetFormatPr defaultRowHeight="15" x14ac:dyDescent="0.25"/>
  <cols>
    <col min="2" max="2" width="24.28515625" customWidth="1"/>
    <col min="4" max="4" width="15.28515625" customWidth="1"/>
    <col min="8" max="8" width="13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45915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118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0.39166666666666666</v>
      </c>
      <c r="M2" s="14">
        <v>98</v>
      </c>
      <c r="N2" s="14">
        <v>4</v>
      </c>
      <c r="O2" s="14">
        <v>290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0.41666666666666669</v>
      </c>
      <c r="U2" s="14">
        <v>165</v>
      </c>
      <c r="V2" s="14">
        <v>3</v>
      </c>
      <c r="W2" s="14">
        <v>442</v>
      </c>
      <c r="X2" s="14">
        <v>0</v>
      </c>
      <c r="Y2" s="14">
        <v>0</v>
      </c>
    </row>
    <row r="3" spans="1:25" x14ac:dyDescent="0.25">
      <c r="A3" s="15">
        <v>45915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135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0.47638888888888892</v>
      </c>
      <c r="M3" s="14">
        <v>148</v>
      </c>
      <c r="N3" s="14">
        <v>2</v>
      </c>
      <c r="O3" s="14">
        <v>729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0.51736111111111105</v>
      </c>
      <c r="U3" s="14">
        <v>174</v>
      </c>
      <c r="V3" s="14">
        <v>2</v>
      </c>
      <c r="W3" s="14">
        <v>635</v>
      </c>
      <c r="X3" s="14">
        <v>0</v>
      </c>
      <c r="Y3" s="14">
        <v>0</v>
      </c>
    </row>
    <row r="4" spans="1:25" x14ac:dyDescent="0.25">
      <c r="A4" s="15">
        <v>45915</v>
      </c>
      <c r="B4" s="14" t="s">
        <v>30</v>
      </c>
      <c r="C4" s="14" t="s">
        <v>31</v>
      </c>
      <c r="D4" s="11" t="s">
        <v>32</v>
      </c>
      <c r="E4" s="14" t="s">
        <v>60</v>
      </c>
      <c r="F4" s="14">
        <v>239</v>
      </c>
      <c r="G4" s="3" t="s">
        <v>136</v>
      </c>
      <c r="H4" s="11" t="s">
        <v>15</v>
      </c>
      <c r="I4" s="3">
        <v>89000</v>
      </c>
      <c r="J4" s="5" t="s">
        <v>33</v>
      </c>
      <c r="K4" s="4">
        <v>0.50347222222222221</v>
      </c>
      <c r="L4" s="5">
        <v>0.49861111111111112</v>
      </c>
      <c r="M4" s="14">
        <v>104</v>
      </c>
      <c r="N4" s="14">
        <v>3</v>
      </c>
      <c r="O4" s="14">
        <v>382</v>
      </c>
      <c r="P4" s="14">
        <v>0</v>
      </c>
      <c r="Q4" s="14">
        <v>0</v>
      </c>
      <c r="R4" s="14" t="s">
        <v>34</v>
      </c>
      <c r="S4" s="4">
        <v>0.52777777777777779</v>
      </c>
      <c r="T4" s="5">
        <v>0.53402777777777777</v>
      </c>
      <c r="U4" s="14">
        <v>233</v>
      </c>
      <c r="V4" s="14">
        <v>2</v>
      </c>
      <c r="W4" s="14">
        <v>981</v>
      </c>
      <c r="X4" s="14">
        <v>0</v>
      </c>
      <c r="Y4" s="14">
        <v>0</v>
      </c>
    </row>
    <row r="5" spans="1:25" x14ac:dyDescent="0.25">
      <c r="A5" s="15">
        <v>45915</v>
      </c>
      <c r="B5" s="14" t="s">
        <v>38</v>
      </c>
      <c r="C5" s="2" t="s">
        <v>39</v>
      </c>
      <c r="D5" s="11" t="s">
        <v>35</v>
      </c>
      <c r="E5" s="12" t="s">
        <v>40</v>
      </c>
      <c r="F5" s="11">
        <v>189</v>
      </c>
      <c r="G5" s="3" t="s">
        <v>137</v>
      </c>
      <c r="H5" s="11" t="s">
        <v>15</v>
      </c>
      <c r="I5" s="3">
        <v>79000</v>
      </c>
      <c r="J5" s="5" t="s">
        <v>41</v>
      </c>
      <c r="K5" s="4">
        <v>0.56597222222222221</v>
      </c>
      <c r="L5" s="5">
        <v>0.57500000000000007</v>
      </c>
      <c r="M5" s="13">
        <v>149</v>
      </c>
      <c r="N5" s="14">
        <v>0</v>
      </c>
      <c r="O5" s="14">
        <v>1470</v>
      </c>
      <c r="P5" s="14">
        <v>0</v>
      </c>
      <c r="Q5" s="14">
        <v>0</v>
      </c>
      <c r="R5" s="14" t="s">
        <v>42</v>
      </c>
      <c r="S5" s="4">
        <v>0.60763888888888895</v>
      </c>
      <c r="T5" s="5">
        <v>0.63541666666666663</v>
      </c>
      <c r="U5" s="14">
        <v>168</v>
      </c>
      <c r="V5" s="14">
        <v>1</v>
      </c>
      <c r="W5" s="14">
        <v>2473</v>
      </c>
      <c r="X5" s="14">
        <v>0</v>
      </c>
      <c r="Y5" s="1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ADE6-629C-4870-815D-015D041F9410}">
  <dimension ref="A1:Y6"/>
  <sheetViews>
    <sheetView workbookViewId="0">
      <selection activeCell="T6" sqref="T6"/>
    </sheetView>
  </sheetViews>
  <sheetFormatPr defaultRowHeight="15" x14ac:dyDescent="0.25"/>
  <cols>
    <col min="2" max="2" width="23.5703125" customWidth="1"/>
    <col min="4" max="4" width="16.85546875" customWidth="1"/>
    <col min="8" max="8" width="14.7109375" customWidth="1"/>
  </cols>
  <sheetData>
    <row r="1" spans="1:25" ht="25.5" x14ac:dyDescent="0.25">
      <c r="A1" s="6" t="s">
        <v>47</v>
      </c>
      <c r="B1" s="6" t="s">
        <v>48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45916</v>
      </c>
      <c r="B2" s="14" t="s">
        <v>49</v>
      </c>
      <c r="C2" s="14" t="s">
        <v>50</v>
      </c>
      <c r="D2" s="14" t="s">
        <v>140</v>
      </c>
      <c r="E2" s="14" t="s">
        <v>14</v>
      </c>
      <c r="F2" s="14">
        <v>180</v>
      </c>
      <c r="G2" s="14" t="s">
        <v>138</v>
      </c>
      <c r="H2" s="14" t="s">
        <v>52</v>
      </c>
      <c r="I2" s="3">
        <v>71500</v>
      </c>
      <c r="J2" s="14" t="s">
        <v>53</v>
      </c>
      <c r="K2" s="4">
        <v>0.33333333333333331</v>
      </c>
      <c r="L2" s="5">
        <v>0.32916666666666666</v>
      </c>
      <c r="M2" s="14">
        <v>180</v>
      </c>
      <c r="N2" s="14">
        <v>10</v>
      </c>
      <c r="O2" s="14">
        <v>2780</v>
      </c>
      <c r="P2" s="14">
        <v>0</v>
      </c>
      <c r="Q2" s="14">
        <v>0</v>
      </c>
      <c r="R2" s="14" t="s">
        <v>54</v>
      </c>
      <c r="S2" s="4">
        <v>0.36458333333333331</v>
      </c>
      <c r="T2" s="5">
        <v>0.37013888888888885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</row>
    <row r="3" spans="1:25" x14ac:dyDescent="0.25">
      <c r="A3" s="16">
        <v>45916</v>
      </c>
      <c r="B3" s="14" t="s">
        <v>55</v>
      </c>
      <c r="C3" s="14" t="s">
        <v>56</v>
      </c>
      <c r="D3" s="14" t="s">
        <v>51</v>
      </c>
      <c r="E3" s="14" t="s">
        <v>57</v>
      </c>
      <c r="F3" s="14">
        <v>189</v>
      </c>
      <c r="G3" s="14" t="s">
        <v>141</v>
      </c>
      <c r="H3" s="14" t="s">
        <v>52</v>
      </c>
      <c r="I3" s="3">
        <v>80000</v>
      </c>
      <c r="J3" s="14" t="s">
        <v>58</v>
      </c>
      <c r="K3" s="4">
        <v>0.43402777777777773</v>
      </c>
      <c r="L3" s="5">
        <v>0.4381944444444445</v>
      </c>
      <c r="M3" s="14">
        <v>180</v>
      </c>
      <c r="N3" s="14">
        <v>4</v>
      </c>
      <c r="O3" s="14">
        <v>2569</v>
      </c>
      <c r="P3" s="14">
        <v>0</v>
      </c>
      <c r="Q3" s="14">
        <v>0</v>
      </c>
      <c r="R3" s="14" t="s">
        <v>59</v>
      </c>
      <c r="S3" s="4">
        <v>0.47569444444444442</v>
      </c>
      <c r="T3" s="5">
        <v>0.48472222222222222</v>
      </c>
      <c r="U3" s="14">
        <v>7</v>
      </c>
      <c r="V3" s="14">
        <v>0</v>
      </c>
      <c r="W3" s="14">
        <v>109</v>
      </c>
      <c r="X3" s="14">
        <v>0</v>
      </c>
      <c r="Y3" s="14">
        <v>0</v>
      </c>
    </row>
    <row r="4" spans="1:25" x14ac:dyDescent="0.25">
      <c r="A4" s="16">
        <v>45916</v>
      </c>
      <c r="B4" s="14" t="s">
        <v>30</v>
      </c>
      <c r="C4" s="14" t="s">
        <v>31</v>
      </c>
      <c r="D4" s="11" t="s">
        <v>32</v>
      </c>
      <c r="E4" s="11" t="s">
        <v>60</v>
      </c>
      <c r="F4" s="14">
        <v>239</v>
      </c>
      <c r="G4" s="14" t="s">
        <v>95</v>
      </c>
      <c r="H4" s="11" t="s">
        <v>15</v>
      </c>
      <c r="I4" s="3">
        <v>89000</v>
      </c>
      <c r="J4" s="5" t="s">
        <v>33</v>
      </c>
      <c r="K4" s="4">
        <v>0.43402777777777773</v>
      </c>
      <c r="L4" s="5">
        <v>0.42569444444444443</v>
      </c>
      <c r="M4" s="14">
        <v>32</v>
      </c>
      <c r="N4" s="14">
        <v>1</v>
      </c>
      <c r="O4" s="14">
        <v>45</v>
      </c>
      <c r="P4" s="14">
        <v>0</v>
      </c>
      <c r="Q4" s="14">
        <v>0</v>
      </c>
      <c r="R4" s="14" t="s">
        <v>34</v>
      </c>
      <c r="S4" s="4">
        <v>0.45833333333333331</v>
      </c>
      <c r="T4" s="5">
        <v>0.45416666666666666</v>
      </c>
      <c r="U4" s="14">
        <v>113</v>
      </c>
      <c r="V4" s="14">
        <v>1</v>
      </c>
      <c r="W4" s="14">
        <v>389</v>
      </c>
      <c r="X4" s="14">
        <v>0</v>
      </c>
      <c r="Y4" s="14">
        <v>0</v>
      </c>
    </row>
    <row r="5" spans="1:25" x14ac:dyDescent="0.25">
      <c r="A5" s="16">
        <v>45916</v>
      </c>
      <c r="B5" s="14" t="s">
        <v>30</v>
      </c>
      <c r="C5" s="10" t="s">
        <v>31</v>
      </c>
      <c r="D5" s="14" t="s">
        <v>27</v>
      </c>
      <c r="E5" s="11" t="s">
        <v>60</v>
      </c>
      <c r="F5" s="14">
        <v>239</v>
      </c>
      <c r="G5" s="14" t="s">
        <v>139</v>
      </c>
      <c r="H5" s="11" t="s">
        <v>15</v>
      </c>
      <c r="I5" s="3">
        <v>89000</v>
      </c>
      <c r="J5" s="14" t="s">
        <v>62</v>
      </c>
      <c r="K5" s="4">
        <v>0.48958333333333331</v>
      </c>
      <c r="L5" s="5">
        <v>0.4826388888888889</v>
      </c>
      <c r="M5" s="14">
        <v>113</v>
      </c>
      <c r="N5" s="14">
        <v>1</v>
      </c>
      <c r="O5" s="14">
        <v>389</v>
      </c>
      <c r="P5" s="14">
        <v>0</v>
      </c>
      <c r="Q5" s="14">
        <v>0</v>
      </c>
      <c r="R5" s="14" t="s">
        <v>73</v>
      </c>
      <c r="S5" s="4">
        <v>0.51388888888888895</v>
      </c>
      <c r="T5" s="5">
        <v>0.51944444444444449</v>
      </c>
      <c r="U5" s="14">
        <v>223</v>
      </c>
      <c r="V5" s="14">
        <v>2</v>
      </c>
      <c r="W5" s="14">
        <v>710</v>
      </c>
      <c r="X5" s="14">
        <v>0</v>
      </c>
      <c r="Y5" s="14">
        <v>0</v>
      </c>
    </row>
    <row r="6" spans="1:25" x14ac:dyDescent="0.25">
      <c r="A6" s="16"/>
      <c r="B6" s="14"/>
      <c r="C6" s="10"/>
      <c r="D6" s="14"/>
      <c r="E6" s="14"/>
      <c r="F6" s="14"/>
      <c r="G6" s="14"/>
      <c r="H6" s="14"/>
      <c r="I6" s="14"/>
      <c r="J6" s="14"/>
      <c r="K6" s="17"/>
      <c r="L6" s="18"/>
      <c r="M6" s="19"/>
      <c r="N6" s="19"/>
      <c r="O6" s="19"/>
      <c r="P6" s="14"/>
      <c r="Q6" s="14"/>
      <c r="R6" s="14"/>
      <c r="S6" s="17"/>
      <c r="T6" s="18"/>
      <c r="U6" s="14"/>
      <c r="V6" s="14"/>
      <c r="W6" s="14"/>
      <c r="X6" s="14"/>
      <c r="Y6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F71A-1221-48AD-B75F-1FA48B863607}">
  <dimension ref="A1:Y5"/>
  <sheetViews>
    <sheetView workbookViewId="0">
      <selection activeCell="T7" sqref="T7"/>
    </sheetView>
  </sheetViews>
  <sheetFormatPr defaultRowHeight="15" x14ac:dyDescent="0.25"/>
  <cols>
    <col min="2" max="2" width="25.28515625" customWidth="1"/>
    <col min="4" max="4" width="15.28515625" customWidth="1"/>
    <col min="8" max="8" width="14.4257812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45917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43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0.3743055555555555</v>
      </c>
      <c r="M2" s="14">
        <v>108</v>
      </c>
      <c r="N2" s="14">
        <v>3</v>
      </c>
      <c r="O2" s="14">
        <v>442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0.41805555555555557</v>
      </c>
      <c r="U2" s="14">
        <v>163</v>
      </c>
      <c r="V2" s="14">
        <v>10</v>
      </c>
      <c r="W2" s="14">
        <v>804</v>
      </c>
      <c r="X2" s="14">
        <v>0</v>
      </c>
      <c r="Y2" s="14">
        <v>0</v>
      </c>
    </row>
    <row r="3" spans="1:25" x14ac:dyDescent="0.25">
      <c r="A3" s="15">
        <v>45917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118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0.4513888888888889</v>
      </c>
      <c r="M3" s="14">
        <v>134</v>
      </c>
      <c r="N3" s="14">
        <v>3</v>
      </c>
      <c r="O3" s="14">
        <v>488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0.50902777777777775</v>
      </c>
      <c r="U3" s="14">
        <v>172</v>
      </c>
      <c r="V3" s="14">
        <v>1</v>
      </c>
      <c r="W3" s="14">
        <v>810</v>
      </c>
      <c r="X3" s="14">
        <v>0</v>
      </c>
      <c r="Y3" s="14">
        <v>0</v>
      </c>
    </row>
    <row r="4" spans="1:25" x14ac:dyDescent="0.25">
      <c r="A4" s="15">
        <v>45917</v>
      </c>
      <c r="B4" s="14" t="s">
        <v>30</v>
      </c>
      <c r="C4" s="14" t="s">
        <v>31</v>
      </c>
      <c r="D4" s="11" t="s">
        <v>32</v>
      </c>
      <c r="E4" s="14" t="s">
        <v>14</v>
      </c>
      <c r="F4" s="14">
        <v>180</v>
      </c>
      <c r="G4" s="3" t="s">
        <v>44</v>
      </c>
      <c r="H4" s="11" t="s">
        <v>15</v>
      </c>
      <c r="I4" s="3">
        <v>71500</v>
      </c>
      <c r="J4" s="5" t="s">
        <v>33</v>
      </c>
      <c r="K4" s="4">
        <v>0.5</v>
      </c>
      <c r="L4" s="5">
        <v>0.49652777777777773</v>
      </c>
      <c r="M4" s="14">
        <v>112</v>
      </c>
      <c r="N4" s="14">
        <v>2</v>
      </c>
      <c r="O4" s="14">
        <v>509</v>
      </c>
      <c r="P4" s="14">
        <v>0</v>
      </c>
      <c r="Q4" s="14">
        <v>0</v>
      </c>
      <c r="R4" s="14" t="s">
        <v>34</v>
      </c>
      <c r="S4" s="4">
        <v>0.52083333333333337</v>
      </c>
      <c r="T4" s="5">
        <v>0.54375000000000007</v>
      </c>
      <c r="U4" s="14">
        <v>100</v>
      </c>
      <c r="V4" s="14">
        <v>5</v>
      </c>
      <c r="W4" s="14">
        <v>441</v>
      </c>
      <c r="X4" s="14">
        <v>0</v>
      </c>
      <c r="Y4" s="14">
        <v>0</v>
      </c>
    </row>
    <row r="5" spans="1:25" x14ac:dyDescent="0.25">
      <c r="A5" s="15">
        <v>45917</v>
      </c>
      <c r="B5" s="14" t="s">
        <v>11</v>
      </c>
      <c r="C5" s="10" t="s">
        <v>12</v>
      </c>
      <c r="D5" s="14" t="s">
        <v>66</v>
      </c>
      <c r="E5" s="14" t="s">
        <v>60</v>
      </c>
      <c r="F5" s="14">
        <v>239</v>
      </c>
      <c r="G5" s="14" t="s">
        <v>98</v>
      </c>
      <c r="H5" s="11" t="s">
        <v>15</v>
      </c>
      <c r="I5" s="3">
        <v>89000</v>
      </c>
      <c r="J5" s="14" t="s">
        <v>68</v>
      </c>
      <c r="K5" s="4">
        <v>0.62847222222222221</v>
      </c>
      <c r="L5" s="5">
        <v>0.62430555555555556</v>
      </c>
      <c r="M5" s="14">
        <v>91</v>
      </c>
      <c r="N5" s="14">
        <v>4</v>
      </c>
      <c r="O5" s="14">
        <v>156</v>
      </c>
      <c r="P5" s="14">
        <v>0</v>
      </c>
      <c r="Q5" s="14">
        <v>0</v>
      </c>
      <c r="R5" s="14" t="s">
        <v>69</v>
      </c>
      <c r="S5" s="4">
        <v>0.65277777777777779</v>
      </c>
      <c r="T5" s="5">
        <v>0.65208333333333335</v>
      </c>
      <c r="U5" s="14">
        <v>93</v>
      </c>
      <c r="V5" s="14">
        <v>2</v>
      </c>
      <c r="W5" s="14">
        <v>209</v>
      </c>
      <c r="X5" s="14">
        <v>0</v>
      </c>
      <c r="Y5" s="1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065E-9693-4F09-8560-8DE9CED00BB1}">
  <dimension ref="A1:Y9"/>
  <sheetViews>
    <sheetView topLeftCell="B1" workbookViewId="0">
      <selection sqref="A1:Y3"/>
    </sheetView>
  </sheetViews>
  <sheetFormatPr defaultRowHeight="15" x14ac:dyDescent="0.25"/>
  <cols>
    <col min="1" max="1" width="12.42578125" bestFit="1" customWidth="1"/>
    <col min="2" max="2" width="27.28515625" customWidth="1"/>
    <col min="4" max="4" width="17.140625" customWidth="1"/>
    <col min="6" max="6" width="9.42578125" bestFit="1" customWidth="1"/>
    <col min="8" max="8" width="14.285156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45918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142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0.39583333333333331</v>
      </c>
      <c r="M2" s="14">
        <v>149</v>
      </c>
      <c r="N2" s="14">
        <v>5</v>
      </c>
      <c r="O2" s="14">
        <v>393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0.4284722222222222</v>
      </c>
      <c r="U2" s="14">
        <v>164</v>
      </c>
      <c r="V2" s="14">
        <v>3</v>
      </c>
      <c r="W2" s="14">
        <v>391</v>
      </c>
      <c r="X2" s="14">
        <v>0</v>
      </c>
      <c r="Y2" s="14">
        <v>0</v>
      </c>
    </row>
    <row r="3" spans="1:25" x14ac:dyDescent="0.25">
      <c r="A3" s="15">
        <v>45918</v>
      </c>
      <c r="B3" s="14" t="s">
        <v>30</v>
      </c>
      <c r="C3" s="10" t="s">
        <v>31</v>
      </c>
      <c r="D3" s="14" t="s">
        <v>27</v>
      </c>
      <c r="E3" s="11" t="s">
        <v>60</v>
      </c>
      <c r="F3" s="14">
        <v>239</v>
      </c>
      <c r="G3" s="14" t="s">
        <v>143</v>
      </c>
      <c r="H3" s="11" t="s">
        <v>15</v>
      </c>
      <c r="I3" s="3">
        <v>89000</v>
      </c>
      <c r="J3" s="14" t="s">
        <v>62</v>
      </c>
      <c r="K3" s="4">
        <v>0.48958333333333331</v>
      </c>
      <c r="L3" s="5">
        <v>0.49305555555555558</v>
      </c>
      <c r="M3" s="14">
        <v>190</v>
      </c>
      <c r="N3" s="14">
        <v>2</v>
      </c>
      <c r="O3" s="14">
        <v>705</v>
      </c>
      <c r="P3" s="14">
        <v>0</v>
      </c>
      <c r="Q3" s="14">
        <v>0</v>
      </c>
      <c r="R3" s="14" t="s">
        <v>73</v>
      </c>
      <c r="S3" s="4">
        <v>0.51388888888888895</v>
      </c>
      <c r="T3" s="5">
        <v>0.52569444444444446</v>
      </c>
      <c r="U3" s="14">
        <v>222</v>
      </c>
      <c r="V3" s="14">
        <v>5</v>
      </c>
      <c r="W3" s="14">
        <v>1045</v>
      </c>
      <c r="X3" s="14">
        <v>0</v>
      </c>
      <c r="Y3" s="14">
        <v>0</v>
      </c>
    </row>
    <row r="4" spans="1:25" s="19" customFormat="1" x14ac:dyDescent="0.25">
      <c r="A4" s="15">
        <v>45918</v>
      </c>
      <c r="B4" s="14" t="s">
        <v>99</v>
      </c>
      <c r="C4" s="14" t="s">
        <v>102</v>
      </c>
      <c r="D4" s="14" t="s">
        <v>144</v>
      </c>
      <c r="E4" s="14" t="s">
        <v>103</v>
      </c>
      <c r="F4" s="14" t="s">
        <v>102</v>
      </c>
      <c r="G4" s="14" t="s">
        <v>101</v>
      </c>
      <c r="H4" s="11" t="s">
        <v>104</v>
      </c>
      <c r="I4" s="3">
        <v>5000</v>
      </c>
      <c r="J4" s="14" t="s">
        <v>101</v>
      </c>
      <c r="K4" s="4">
        <v>0.39583333333333331</v>
      </c>
      <c r="L4" s="5">
        <v>0.41666666666666669</v>
      </c>
      <c r="M4" s="14">
        <v>2</v>
      </c>
      <c r="N4" s="14">
        <v>0</v>
      </c>
      <c r="O4" s="14">
        <v>0</v>
      </c>
      <c r="P4" s="14">
        <v>0</v>
      </c>
      <c r="Q4" s="14">
        <v>0</v>
      </c>
      <c r="R4" s="14" t="s">
        <v>102</v>
      </c>
      <c r="S4" s="4">
        <v>0.41666666666666669</v>
      </c>
      <c r="T4" s="5">
        <v>0.46875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</row>
    <row r="5" spans="1:25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1C96-1B14-4585-9C3E-7524379A5D9A}">
  <dimension ref="A1:Y9"/>
  <sheetViews>
    <sheetView workbookViewId="0">
      <selection activeCell="A7" sqref="A7:XFD7"/>
    </sheetView>
  </sheetViews>
  <sheetFormatPr defaultRowHeight="15" x14ac:dyDescent="0.25"/>
  <cols>
    <col min="2" max="2" width="25.140625" customWidth="1"/>
    <col min="3" max="3" width="10.140625" customWidth="1"/>
    <col min="4" max="4" width="16.5703125" customWidth="1"/>
    <col min="8" max="8" width="14.8554687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45919</v>
      </c>
      <c r="B2" s="14" t="s">
        <v>74</v>
      </c>
      <c r="C2" s="2" t="s">
        <v>75</v>
      </c>
      <c r="D2" s="11" t="s">
        <v>35</v>
      </c>
      <c r="E2" s="12" t="s">
        <v>40</v>
      </c>
      <c r="F2" s="11">
        <v>189</v>
      </c>
      <c r="G2" s="3" t="s">
        <v>131</v>
      </c>
      <c r="H2" s="2" t="s">
        <v>15</v>
      </c>
      <c r="I2" s="3">
        <v>79000</v>
      </c>
      <c r="J2" s="5" t="s">
        <v>76</v>
      </c>
      <c r="K2" s="4">
        <v>0.36805555555555558</v>
      </c>
      <c r="L2" s="5">
        <v>0.40138888888888885</v>
      </c>
      <c r="M2" s="13">
        <v>133</v>
      </c>
      <c r="N2" s="14">
        <v>1</v>
      </c>
      <c r="O2" s="14">
        <v>1478</v>
      </c>
      <c r="P2" s="14">
        <v>0</v>
      </c>
      <c r="Q2" s="14">
        <v>0</v>
      </c>
      <c r="R2" s="14" t="s">
        <v>77</v>
      </c>
      <c r="S2" s="4">
        <v>0.4236111111111111</v>
      </c>
      <c r="T2" s="5">
        <v>0.4284722222222222</v>
      </c>
      <c r="U2" s="13">
        <v>165</v>
      </c>
      <c r="V2" s="14">
        <v>3</v>
      </c>
      <c r="W2" s="14">
        <v>1954</v>
      </c>
      <c r="X2" s="14">
        <v>0</v>
      </c>
      <c r="Y2" s="14">
        <v>0</v>
      </c>
    </row>
    <row r="3" spans="1:25" x14ac:dyDescent="0.25">
      <c r="A3" s="16">
        <v>45919</v>
      </c>
      <c r="B3" s="14" t="s">
        <v>11</v>
      </c>
      <c r="C3" s="10" t="s">
        <v>12</v>
      </c>
      <c r="D3" s="14" t="s">
        <v>13</v>
      </c>
      <c r="E3" s="14" t="s">
        <v>14</v>
      </c>
      <c r="F3" s="14">
        <v>186</v>
      </c>
      <c r="G3" s="3" t="s">
        <v>146</v>
      </c>
      <c r="H3" s="11" t="s">
        <v>15</v>
      </c>
      <c r="I3" s="3">
        <v>71500</v>
      </c>
      <c r="J3" s="14" t="s">
        <v>16</v>
      </c>
      <c r="K3" s="4">
        <v>0.3923611111111111</v>
      </c>
      <c r="L3" s="5">
        <v>0.37986111111111115</v>
      </c>
      <c r="M3" s="13">
        <v>161</v>
      </c>
      <c r="N3" s="14">
        <v>2</v>
      </c>
      <c r="O3" s="14">
        <v>250</v>
      </c>
      <c r="P3" s="14">
        <v>0</v>
      </c>
      <c r="Q3" s="14">
        <v>0</v>
      </c>
      <c r="R3" s="14" t="s">
        <v>26</v>
      </c>
      <c r="S3" s="4">
        <v>0.41319444444444442</v>
      </c>
      <c r="T3" s="5">
        <v>0.4152777777777778</v>
      </c>
      <c r="U3" s="14">
        <v>169</v>
      </c>
      <c r="V3" s="14">
        <v>1</v>
      </c>
      <c r="W3" s="14">
        <v>338</v>
      </c>
      <c r="X3" s="14">
        <v>6</v>
      </c>
      <c r="Y3" s="14">
        <v>0</v>
      </c>
    </row>
    <row r="4" spans="1:25" x14ac:dyDescent="0.25">
      <c r="A4" s="16">
        <v>45919</v>
      </c>
      <c r="B4" s="14" t="s">
        <v>11</v>
      </c>
      <c r="C4" s="10" t="s">
        <v>12</v>
      </c>
      <c r="D4" s="14" t="s">
        <v>78</v>
      </c>
      <c r="E4" s="14" t="s">
        <v>14</v>
      </c>
      <c r="F4" s="14">
        <v>180</v>
      </c>
      <c r="G4" s="14" t="s">
        <v>147</v>
      </c>
      <c r="H4" s="11" t="s">
        <v>15</v>
      </c>
      <c r="I4" s="3">
        <v>71500</v>
      </c>
      <c r="J4" s="14" t="s">
        <v>28</v>
      </c>
      <c r="K4" s="4">
        <v>0.49652777777777773</v>
      </c>
      <c r="L4" s="5">
        <v>0.49027777777777781</v>
      </c>
      <c r="M4" s="14">
        <v>176</v>
      </c>
      <c r="N4" s="14">
        <v>2</v>
      </c>
      <c r="O4" s="14">
        <v>894</v>
      </c>
      <c r="P4" s="14">
        <v>0</v>
      </c>
      <c r="Q4" s="14">
        <v>0</v>
      </c>
      <c r="R4" s="14" t="s">
        <v>29</v>
      </c>
      <c r="S4" s="4">
        <v>0.51736111111111105</v>
      </c>
      <c r="T4" s="5">
        <v>0.52569444444444446</v>
      </c>
      <c r="U4" s="14">
        <v>173</v>
      </c>
      <c r="V4" s="14">
        <v>1</v>
      </c>
      <c r="W4" s="14">
        <v>748</v>
      </c>
      <c r="X4" s="14">
        <v>0</v>
      </c>
      <c r="Y4" s="14">
        <v>0</v>
      </c>
    </row>
    <row r="5" spans="1:25" x14ac:dyDescent="0.25">
      <c r="A5" s="16">
        <v>45919</v>
      </c>
      <c r="B5" s="14" t="s">
        <v>30</v>
      </c>
      <c r="C5" s="14" t="s">
        <v>31</v>
      </c>
      <c r="D5" s="11" t="s">
        <v>32</v>
      </c>
      <c r="E5" s="14" t="s">
        <v>60</v>
      </c>
      <c r="F5" s="14">
        <v>239</v>
      </c>
      <c r="G5" s="3" t="s">
        <v>148</v>
      </c>
      <c r="H5" s="11" t="s">
        <v>15</v>
      </c>
      <c r="I5" s="3">
        <v>71500</v>
      </c>
      <c r="J5" s="5" t="s">
        <v>33</v>
      </c>
      <c r="K5" s="4">
        <v>0.5</v>
      </c>
      <c r="L5" s="5">
        <v>0.49722222222222223</v>
      </c>
      <c r="M5" s="14">
        <v>218</v>
      </c>
      <c r="N5" s="14">
        <v>4</v>
      </c>
      <c r="O5" s="14">
        <v>458</v>
      </c>
      <c r="P5" s="14">
        <v>0</v>
      </c>
      <c r="Q5" s="14">
        <v>0</v>
      </c>
      <c r="R5" s="14" t="s">
        <v>34</v>
      </c>
      <c r="S5" s="4">
        <v>0.52777777777777779</v>
      </c>
      <c r="T5" s="5">
        <v>0.56458333333333333</v>
      </c>
      <c r="U5" s="14">
        <v>110</v>
      </c>
      <c r="V5" s="14">
        <v>1</v>
      </c>
      <c r="W5" s="14">
        <v>421</v>
      </c>
      <c r="X5" s="14">
        <v>0</v>
      </c>
      <c r="Y5" s="14">
        <v>0</v>
      </c>
    </row>
    <row r="6" spans="1:25" x14ac:dyDescent="0.25">
      <c r="A6" s="16">
        <v>45919</v>
      </c>
      <c r="B6" s="14" t="s">
        <v>49</v>
      </c>
      <c r="C6" s="14" t="s">
        <v>50</v>
      </c>
      <c r="D6" s="14" t="s">
        <v>51</v>
      </c>
      <c r="E6" s="14" t="s">
        <v>14</v>
      </c>
      <c r="F6" s="14">
        <v>180</v>
      </c>
      <c r="G6" s="14" t="s">
        <v>130</v>
      </c>
      <c r="H6" s="11" t="s">
        <v>52</v>
      </c>
      <c r="I6" s="3">
        <v>71500</v>
      </c>
      <c r="J6" s="14" t="s">
        <v>79</v>
      </c>
      <c r="K6" s="4">
        <v>0.375</v>
      </c>
      <c r="L6" s="5">
        <v>0.38263888888888892</v>
      </c>
      <c r="M6" s="13">
        <v>179</v>
      </c>
      <c r="N6" s="14">
        <v>1</v>
      </c>
      <c r="O6" s="14">
        <v>2764</v>
      </c>
      <c r="P6" s="14">
        <v>0</v>
      </c>
      <c r="Q6" s="14">
        <v>0</v>
      </c>
      <c r="R6" s="14" t="s">
        <v>80</v>
      </c>
      <c r="S6" s="4">
        <v>0.41666666666666669</v>
      </c>
      <c r="T6" s="5">
        <v>0.4201388888888889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</row>
    <row r="7" spans="1:25" x14ac:dyDescent="0.25">
      <c r="A7" s="16">
        <v>45919</v>
      </c>
      <c r="B7" s="14" t="s">
        <v>11</v>
      </c>
      <c r="C7" s="10" t="s">
        <v>12</v>
      </c>
      <c r="D7" s="14" t="s">
        <v>66</v>
      </c>
      <c r="E7" s="14" t="s">
        <v>60</v>
      </c>
      <c r="F7" s="11">
        <v>239</v>
      </c>
      <c r="G7" s="14" t="s">
        <v>149</v>
      </c>
      <c r="H7" s="11" t="s">
        <v>15</v>
      </c>
      <c r="I7" s="3">
        <v>89000</v>
      </c>
      <c r="J7" s="14" t="s">
        <v>68</v>
      </c>
      <c r="K7" s="4">
        <v>0.62847222222222221</v>
      </c>
      <c r="L7" s="5">
        <v>0.61805555555555558</v>
      </c>
      <c r="M7" s="14">
        <v>178</v>
      </c>
      <c r="N7" s="14">
        <v>0</v>
      </c>
      <c r="O7" s="14">
        <v>431</v>
      </c>
      <c r="P7" s="14">
        <v>0</v>
      </c>
      <c r="Q7" s="14">
        <v>0</v>
      </c>
      <c r="R7" s="14" t="s">
        <v>69</v>
      </c>
      <c r="S7" s="4">
        <v>0.65277777777777779</v>
      </c>
      <c r="T7" s="5">
        <v>0.6479166666666667</v>
      </c>
      <c r="U7" s="14">
        <v>141</v>
      </c>
      <c r="V7" s="14">
        <v>2</v>
      </c>
      <c r="W7" s="14">
        <v>287</v>
      </c>
      <c r="X7" s="14">
        <v>0</v>
      </c>
      <c r="Y7" s="14">
        <v>0</v>
      </c>
    </row>
    <row r="8" spans="1:25" s="19" customFormat="1" x14ac:dyDescent="0.25">
      <c r="A8" s="16">
        <v>45919</v>
      </c>
      <c r="B8" s="14" t="s">
        <v>99</v>
      </c>
      <c r="C8" s="14" t="s">
        <v>102</v>
      </c>
      <c r="D8" s="14" t="s">
        <v>145</v>
      </c>
      <c r="E8" s="14" t="s">
        <v>103</v>
      </c>
      <c r="F8" s="14" t="s">
        <v>102</v>
      </c>
      <c r="G8" s="14" t="s">
        <v>101</v>
      </c>
      <c r="H8" s="11" t="s">
        <v>104</v>
      </c>
      <c r="I8" s="3">
        <v>5000</v>
      </c>
      <c r="J8" s="14" t="s">
        <v>101</v>
      </c>
      <c r="K8" s="4">
        <v>0.3125</v>
      </c>
      <c r="L8" s="5">
        <v>0.3125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 t="s">
        <v>102</v>
      </c>
      <c r="S8" s="4">
        <v>0.32291666666666669</v>
      </c>
      <c r="T8" s="5">
        <v>0.32291666666666669</v>
      </c>
      <c r="U8" s="14">
        <v>2</v>
      </c>
      <c r="V8" s="14">
        <v>0</v>
      </c>
      <c r="W8" s="14">
        <v>0</v>
      </c>
      <c r="X8" s="14">
        <v>0</v>
      </c>
      <c r="Y8" s="14">
        <v>0</v>
      </c>
    </row>
    <row r="9" spans="1:25" x14ac:dyDescent="0.25">
      <c r="A9" s="16">
        <v>45919</v>
      </c>
      <c r="B9" s="14" t="s">
        <v>99</v>
      </c>
      <c r="C9" s="14" t="s">
        <v>102</v>
      </c>
      <c r="D9" s="14" t="s">
        <v>144</v>
      </c>
      <c r="E9" s="14" t="s">
        <v>103</v>
      </c>
      <c r="F9" s="14" t="s">
        <v>102</v>
      </c>
      <c r="G9" s="14" t="s">
        <v>101</v>
      </c>
      <c r="H9" s="11" t="s">
        <v>104</v>
      </c>
      <c r="I9" s="3">
        <v>5000</v>
      </c>
      <c r="J9" s="14" t="s">
        <v>102</v>
      </c>
      <c r="K9" s="17">
        <v>0.86458333333333337</v>
      </c>
      <c r="L9" s="26">
        <v>0.79513888888888884</v>
      </c>
      <c r="M9" s="14">
        <v>2</v>
      </c>
      <c r="N9" s="14">
        <v>0</v>
      </c>
      <c r="O9" s="14">
        <v>0</v>
      </c>
      <c r="P9" s="14">
        <v>0</v>
      </c>
      <c r="Q9" s="14">
        <v>0</v>
      </c>
      <c r="R9" s="14" t="s">
        <v>102</v>
      </c>
      <c r="S9" s="25">
        <v>0.90625</v>
      </c>
      <c r="T9" s="26">
        <v>0.80902777777777779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205F-B38E-48FD-89EA-3F312249FA45}">
  <dimension ref="A1:Y4"/>
  <sheetViews>
    <sheetView workbookViewId="0">
      <selection activeCell="V8" sqref="V8"/>
    </sheetView>
  </sheetViews>
  <sheetFormatPr defaultRowHeight="15" x14ac:dyDescent="0.25"/>
  <cols>
    <col min="2" max="2" width="22.8554687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45920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142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0.40069444444444446</v>
      </c>
      <c r="M2" s="14">
        <v>168</v>
      </c>
      <c r="N2" s="14">
        <v>2</v>
      </c>
      <c r="O2" s="14">
        <v>287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0.43541666666666662</v>
      </c>
      <c r="U2" s="14">
        <v>165</v>
      </c>
      <c r="V2" s="14">
        <v>4</v>
      </c>
      <c r="W2" s="14">
        <v>678</v>
      </c>
      <c r="X2" s="14">
        <v>0</v>
      </c>
      <c r="Y2" s="14">
        <v>0</v>
      </c>
    </row>
    <row r="3" spans="1:25" x14ac:dyDescent="0.25">
      <c r="A3" s="15">
        <v>45920</v>
      </c>
      <c r="B3" s="14" t="s">
        <v>30</v>
      </c>
      <c r="C3" s="10" t="s">
        <v>31</v>
      </c>
      <c r="D3" s="14" t="s">
        <v>32</v>
      </c>
      <c r="E3" s="11" t="s">
        <v>60</v>
      </c>
      <c r="F3" s="14">
        <v>239</v>
      </c>
      <c r="G3" s="14" t="s">
        <v>150</v>
      </c>
      <c r="H3" s="11" t="s">
        <v>15</v>
      </c>
      <c r="I3" s="3">
        <v>89000</v>
      </c>
      <c r="J3" s="14" t="s">
        <v>33</v>
      </c>
      <c r="K3" s="4">
        <v>0.43402777777777773</v>
      </c>
      <c r="L3" s="5">
        <v>0.50347222222222221</v>
      </c>
      <c r="M3" s="14">
        <v>221</v>
      </c>
      <c r="N3" s="14">
        <v>5</v>
      </c>
      <c r="O3" s="14">
        <v>946</v>
      </c>
      <c r="P3" s="14">
        <v>0</v>
      </c>
      <c r="Q3" s="14">
        <v>0</v>
      </c>
      <c r="R3" s="14" t="s">
        <v>34</v>
      </c>
      <c r="S3" s="4">
        <v>0.4861111111111111</v>
      </c>
      <c r="T3" s="5">
        <v>0.53749999999999998</v>
      </c>
      <c r="U3" s="14">
        <v>163</v>
      </c>
      <c r="V3" s="14">
        <v>5</v>
      </c>
      <c r="W3" s="14">
        <v>1050</v>
      </c>
      <c r="X3" s="14">
        <v>0</v>
      </c>
      <c r="Y3" s="14">
        <v>0</v>
      </c>
    </row>
    <row r="4" spans="1:25" x14ac:dyDescent="0.25">
      <c r="A4" s="15">
        <v>45920</v>
      </c>
      <c r="B4" s="14" t="s">
        <v>30</v>
      </c>
      <c r="C4" s="14" t="s">
        <v>31</v>
      </c>
      <c r="D4" s="14" t="s">
        <v>27</v>
      </c>
      <c r="E4" s="14" t="s">
        <v>60</v>
      </c>
      <c r="F4" s="14">
        <v>239</v>
      </c>
      <c r="G4" s="3" t="s">
        <v>151</v>
      </c>
      <c r="H4" s="11" t="s">
        <v>15</v>
      </c>
      <c r="I4" s="3">
        <v>89000</v>
      </c>
      <c r="J4" s="5" t="s">
        <v>62</v>
      </c>
      <c r="K4" s="4">
        <v>0.48958333333333331</v>
      </c>
      <c r="L4" s="5">
        <v>0.52638888888888891</v>
      </c>
      <c r="M4" s="14">
        <v>228</v>
      </c>
      <c r="N4" s="14">
        <v>4</v>
      </c>
      <c r="O4" s="14">
        <v>851</v>
      </c>
      <c r="P4" s="14">
        <v>0</v>
      </c>
      <c r="Q4" s="14">
        <v>0</v>
      </c>
      <c r="R4" s="14" t="s">
        <v>73</v>
      </c>
      <c r="S4" s="4">
        <v>0.52083333333333337</v>
      </c>
      <c r="T4" s="5">
        <v>0.56388888888888888</v>
      </c>
      <c r="U4" s="14">
        <v>223</v>
      </c>
      <c r="V4" s="14">
        <v>4</v>
      </c>
      <c r="W4" s="14">
        <v>904</v>
      </c>
      <c r="X4" s="14">
        <v>0</v>
      </c>
      <c r="Y4" s="14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5CFC-38E4-4624-B9B1-BA108EBB8540}">
  <dimension ref="A1:Y14"/>
  <sheetViews>
    <sheetView workbookViewId="0">
      <selection activeCell="J17" sqref="J17"/>
    </sheetView>
  </sheetViews>
  <sheetFormatPr defaultRowHeight="15" x14ac:dyDescent="0.25"/>
  <cols>
    <col min="1" max="1" width="10.85546875" customWidth="1"/>
    <col min="2" max="2" width="21.7109375" customWidth="1"/>
    <col min="4" max="4" width="23.140625" customWidth="1"/>
    <col min="6" max="7" width="9.28515625" bestFit="1" customWidth="1"/>
    <col min="8" max="8" width="15" customWidth="1"/>
    <col min="9" max="9" width="9.28515625" bestFit="1" customWidth="1"/>
    <col min="11" max="11" width="9.28515625" bestFit="1" customWidth="1"/>
    <col min="14" max="17" width="9.28515625" bestFit="1" customWidth="1"/>
    <col min="19" max="19" width="9.28515625" bestFit="1" customWidth="1"/>
    <col min="22" max="25" width="9.28515625" bestFit="1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45921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107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0.39166666666666666</v>
      </c>
      <c r="M2" s="14">
        <v>168</v>
      </c>
      <c r="N2" s="14">
        <v>3</v>
      </c>
      <c r="O2" s="14">
        <v>476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0.42708333333333331</v>
      </c>
      <c r="U2" s="14">
        <v>173</v>
      </c>
      <c r="V2" s="14">
        <v>1</v>
      </c>
      <c r="W2" s="14">
        <v>283</v>
      </c>
      <c r="X2" s="14">
        <v>0</v>
      </c>
      <c r="Y2" s="14">
        <v>0</v>
      </c>
    </row>
    <row r="3" spans="1:25" x14ac:dyDescent="0.25">
      <c r="A3" s="15">
        <v>45921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152</v>
      </c>
      <c r="H3" s="11" t="s">
        <v>15</v>
      </c>
      <c r="I3" s="3">
        <v>71500</v>
      </c>
      <c r="J3" s="14" t="s">
        <v>62</v>
      </c>
      <c r="K3" s="4">
        <v>0.46527777777777773</v>
      </c>
      <c r="L3" s="5">
        <v>0.46388888888888885</v>
      </c>
      <c r="M3" s="14">
        <v>173</v>
      </c>
      <c r="N3" s="14">
        <v>3</v>
      </c>
      <c r="O3" s="14">
        <v>872</v>
      </c>
      <c r="P3" s="14">
        <v>0</v>
      </c>
      <c r="Q3" s="14">
        <v>0</v>
      </c>
      <c r="R3" s="14" t="s">
        <v>73</v>
      </c>
      <c r="S3" s="4">
        <v>0.4861111111111111</v>
      </c>
      <c r="T3" s="5">
        <v>0.49791666666666662</v>
      </c>
      <c r="U3" s="14">
        <v>171</v>
      </c>
      <c r="V3" s="14">
        <v>3</v>
      </c>
      <c r="W3" s="14">
        <v>629</v>
      </c>
      <c r="X3" s="14">
        <v>0</v>
      </c>
      <c r="Y3" s="14">
        <v>0</v>
      </c>
    </row>
    <row r="4" spans="1:25" x14ac:dyDescent="0.25">
      <c r="A4" s="15"/>
      <c r="B4" s="14"/>
      <c r="C4" s="10"/>
      <c r="D4" s="14"/>
      <c r="E4" s="14"/>
      <c r="F4" s="11"/>
      <c r="G4" s="14"/>
      <c r="H4" s="11"/>
      <c r="I4" s="3"/>
      <c r="J4" s="14"/>
      <c r="K4" s="4"/>
      <c r="L4" s="5"/>
      <c r="M4" s="14"/>
      <c r="N4" s="14"/>
      <c r="O4" s="14"/>
      <c r="P4" s="14"/>
      <c r="Q4" s="14"/>
      <c r="R4" s="14"/>
      <c r="S4" s="4"/>
      <c r="T4" s="5"/>
      <c r="U4" s="14"/>
      <c r="V4" s="14"/>
      <c r="W4" s="14"/>
      <c r="X4" s="14"/>
      <c r="Y4" s="14"/>
    </row>
    <row r="5" spans="1:25" x14ac:dyDescent="0.25">
      <c r="A5" s="15"/>
      <c r="B5" s="14"/>
      <c r="C5" s="10"/>
      <c r="D5" s="14"/>
      <c r="E5" s="14"/>
      <c r="F5" s="14"/>
      <c r="G5" s="14"/>
      <c r="H5" s="11"/>
      <c r="I5" s="3"/>
      <c r="J5" s="14"/>
      <c r="K5" s="4"/>
      <c r="L5" s="14"/>
      <c r="M5" s="14"/>
      <c r="N5" s="14"/>
      <c r="O5" s="14"/>
      <c r="P5" s="14"/>
      <c r="Q5" s="14"/>
      <c r="R5" s="14"/>
      <c r="S5" s="4"/>
      <c r="T5" s="14"/>
      <c r="U5" s="14"/>
      <c r="V5" s="14"/>
      <c r="W5" s="14"/>
      <c r="X5" s="14"/>
      <c r="Y5" s="14"/>
    </row>
    <row r="6" spans="1:2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F127-1538-4F78-AA9A-CED171F1AE93}">
  <dimension ref="A1:Y6"/>
  <sheetViews>
    <sheetView workbookViewId="0">
      <selection activeCell="W5" sqref="W5"/>
    </sheetView>
  </sheetViews>
  <sheetFormatPr defaultRowHeight="15" x14ac:dyDescent="0.25"/>
  <cols>
    <col min="2" max="2" width="29.140625" customWidth="1"/>
    <col min="3" max="3" width="10.85546875" customWidth="1"/>
    <col min="4" max="4" width="15.7109375" customWidth="1"/>
    <col min="6" max="6" width="8.140625" customWidth="1"/>
    <col min="8" max="8" width="14.2851562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45922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118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0.3756944444444445</v>
      </c>
      <c r="M2" s="14">
        <v>130</v>
      </c>
      <c r="N2" s="14">
        <v>1</v>
      </c>
      <c r="O2" s="14">
        <v>249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0.41666666666666669</v>
      </c>
      <c r="U2" s="14">
        <v>180</v>
      </c>
      <c r="V2" s="14">
        <v>0</v>
      </c>
      <c r="W2" s="14">
        <v>520</v>
      </c>
      <c r="X2" s="14">
        <v>0</v>
      </c>
      <c r="Y2" s="14">
        <v>0</v>
      </c>
    </row>
    <row r="3" spans="1:25" x14ac:dyDescent="0.25">
      <c r="A3" s="15">
        <v>45922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135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0.47569444444444442</v>
      </c>
      <c r="M3" s="14">
        <v>161</v>
      </c>
      <c r="N3" s="14">
        <v>2</v>
      </c>
      <c r="O3" s="14">
        <v>639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0.5083333333333333</v>
      </c>
      <c r="U3" s="14">
        <v>165</v>
      </c>
      <c r="V3" s="14">
        <v>1</v>
      </c>
      <c r="W3" s="14">
        <v>507</v>
      </c>
      <c r="X3" s="14">
        <v>0</v>
      </c>
      <c r="Y3" s="14">
        <v>0</v>
      </c>
    </row>
    <row r="4" spans="1:25" x14ac:dyDescent="0.25">
      <c r="A4" s="15">
        <v>45922</v>
      </c>
      <c r="B4" s="14" t="s">
        <v>30</v>
      </c>
      <c r="C4" s="14" t="s">
        <v>31</v>
      </c>
      <c r="D4" s="11" t="s">
        <v>32</v>
      </c>
      <c r="E4" s="14" t="s">
        <v>60</v>
      </c>
      <c r="F4" s="14">
        <v>239</v>
      </c>
      <c r="G4" s="3" t="s">
        <v>136</v>
      </c>
      <c r="H4" s="11" t="s">
        <v>15</v>
      </c>
      <c r="I4" s="3">
        <v>89000</v>
      </c>
      <c r="J4" s="5" t="s">
        <v>33</v>
      </c>
      <c r="K4" s="4">
        <v>0.50347222222222221</v>
      </c>
      <c r="L4" s="5">
        <v>0.49652777777777773</v>
      </c>
      <c r="M4" s="14">
        <v>137</v>
      </c>
      <c r="N4" s="14">
        <v>3</v>
      </c>
      <c r="O4" s="14">
        <v>351</v>
      </c>
      <c r="P4" s="14">
        <v>0</v>
      </c>
      <c r="Q4" s="14">
        <v>0</v>
      </c>
      <c r="R4" s="14" t="s">
        <v>34</v>
      </c>
      <c r="S4" s="4">
        <v>0.52777777777777779</v>
      </c>
      <c r="T4" s="5">
        <v>0.55208333333333337</v>
      </c>
      <c r="U4" s="14">
        <v>221</v>
      </c>
      <c r="V4" s="14">
        <v>5</v>
      </c>
      <c r="W4" s="14">
        <v>884</v>
      </c>
      <c r="X4" s="14">
        <v>0</v>
      </c>
      <c r="Y4" s="14">
        <v>0</v>
      </c>
    </row>
    <row r="5" spans="1:25" x14ac:dyDescent="0.25">
      <c r="A5" s="15">
        <v>45922</v>
      </c>
      <c r="B5" s="14" t="s">
        <v>38</v>
      </c>
      <c r="C5" s="2" t="s">
        <v>39</v>
      </c>
      <c r="D5" s="11" t="s">
        <v>35</v>
      </c>
      <c r="E5" s="12" t="s">
        <v>40</v>
      </c>
      <c r="F5" s="11">
        <v>189</v>
      </c>
      <c r="G5" s="3" t="s">
        <v>153</v>
      </c>
      <c r="H5" s="11" t="s">
        <v>15</v>
      </c>
      <c r="I5" s="3">
        <v>79000</v>
      </c>
      <c r="J5" s="5" t="s">
        <v>41</v>
      </c>
      <c r="K5" s="4">
        <v>0.56597222222222221</v>
      </c>
      <c r="L5" s="5">
        <v>0.56041666666666667</v>
      </c>
      <c r="M5" s="13">
        <v>163</v>
      </c>
      <c r="N5" s="14">
        <v>1</v>
      </c>
      <c r="O5" s="14">
        <v>2070</v>
      </c>
      <c r="P5" s="14">
        <v>0</v>
      </c>
      <c r="Q5" s="14">
        <v>0</v>
      </c>
      <c r="R5" s="14" t="s">
        <v>42</v>
      </c>
      <c r="S5" s="4">
        <v>0.60763888888888895</v>
      </c>
      <c r="T5" s="5">
        <v>0.62152777777777779</v>
      </c>
      <c r="U5" s="14">
        <v>170</v>
      </c>
      <c r="V5" s="14">
        <v>0</v>
      </c>
      <c r="W5" s="14">
        <v>2010</v>
      </c>
      <c r="X5" s="14">
        <v>0</v>
      </c>
      <c r="Y5" s="14">
        <v>0</v>
      </c>
    </row>
    <row r="6" spans="1:25" x14ac:dyDescent="0.25">
      <c r="A6" s="15">
        <v>45922</v>
      </c>
      <c r="B6" s="14" t="s">
        <v>99</v>
      </c>
      <c r="C6" s="14" t="s">
        <v>87</v>
      </c>
      <c r="D6" s="14" t="s">
        <v>133</v>
      </c>
      <c r="E6" s="14" t="s">
        <v>103</v>
      </c>
      <c r="F6" s="14" t="s">
        <v>87</v>
      </c>
      <c r="G6" s="14" t="s">
        <v>101</v>
      </c>
      <c r="H6" s="11" t="s">
        <v>104</v>
      </c>
      <c r="I6" s="3">
        <v>5000</v>
      </c>
      <c r="J6" s="14" t="s">
        <v>110</v>
      </c>
      <c r="K6" s="4">
        <v>0.375</v>
      </c>
      <c r="L6" s="5">
        <v>0.36805555555555558</v>
      </c>
      <c r="M6" s="14" t="s">
        <v>93</v>
      </c>
      <c r="N6" s="14">
        <v>0</v>
      </c>
      <c r="O6" s="14">
        <v>0</v>
      </c>
      <c r="P6" s="14">
        <v>0</v>
      </c>
      <c r="Q6" s="14">
        <v>0</v>
      </c>
      <c r="R6" s="14" t="s">
        <v>110</v>
      </c>
      <c r="S6" s="4">
        <v>0.39583333333333331</v>
      </c>
      <c r="T6" s="5">
        <v>0.40138888888888885</v>
      </c>
      <c r="U6" s="14">
        <v>2</v>
      </c>
      <c r="V6" s="14">
        <v>0</v>
      </c>
      <c r="W6" s="14">
        <v>0</v>
      </c>
      <c r="X6" s="14">
        <v>0</v>
      </c>
      <c r="Y6" s="1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2999-F8B8-447E-8BA3-87A9927197C3}">
  <dimension ref="A1:Y6"/>
  <sheetViews>
    <sheetView workbookViewId="0">
      <selection activeCell="U26" sqref="U26"/>
    </sheetView>
  </sheetViews>
  <sheetFormatPr defaultRowHeight="15" x14ac:dyDescent="0.25"/>
  <cols>
    <col min="2" max="2" width="23.5703125" customWidth="1"/>
    <col min="4" max="4" width="16.85546875" customWidth="1"/>
    <col min="8" max="8" width="14.7109375" customWidth="1"/>
  </cols>
  <sheetData>
    <row r="1" spans="1:25" ht="25.5" x14ac:dyDescent="0.25">
      <c r="A1" s="6" t="s">
        <v>47</v>
      </c>
      <c r="B1" s="6" t="s">
        <v>48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45923</v>
      </c>
      <c r="B2" s="14" t="s">
        <v>30</v>
      </c>
      <c r="C2" s="14" t="s">
        <v>31</v>
      </c>
      <c r="D2" s="11" t="s">
        <v>32</v>
      </c>
      <c r="E2" s="11" t="s">
        <v>60</v>
      </c>
      <c r="F2" s="14">
        <v>239</v>
      </c>
      <c r="G2" s="14" t="s">
        <v>154</v>
      </c>
      <c r="H2" s="11" t="s">
        <v>15</v>
      </c>
      <c r="I2" s="3">
        <v>89000</v>
      </c>
      <c r="J2" s="5" t="s">
        <v>33</v>
      </c>
      <c r="K2" s="4">
        <v>0.43402777777777773</v>
      </c>
      <c r="L2" s="5">
        <v>0.42777777777777781</v>
      </c>
      <c r="M2" s="14">
        <v>44</v>
      </c>
      <c r="N2" s="14">
        <v>0</v>
      </c>
      <c r="O2" s="14">
        <v>90</v>
      </c>
      <c r="P2" s="14">
        <v>0</v>
      </c>
      <c r="Q2" s="14">
        <v>0</v>
      </c>
      <c r="R2" s="14" t="s">
        <v>34</v>
      </c>
      <c r="S2" s="4">
        <v>0.45833333333333331</v>
      </c>
      <c r="T2" s="5">
        <v>0.46319444444444446</v>
      </c>
      <c r="U2" s="14">
        <v>117</v>
      </c>
      <c r="V2" s="14">
        <v>2</v>
      </c>
      <c r="W2" s="14">
        <v>339</v>
      </c>
      <c r="X2" s="14">
        <v>0</v>
      </c>
      <c r="Y2" s="14">
        <v>0</v>
      </c>
    </row>
    <row r="3" spans="1:25" x14ac:dyDescent="0.25">
      <c r="A3" s="16">
        <v>45923</v>
      </c>
      <c r="B3" s="14" t="s">
        <v>30</v>
      </c>
      <c r="C3" s="10" t="s">
        <v>31</v>
      </c>
      <c r="D3" s="14" t="s">
        <v>27</v>
      </c>
      <c r="E3" s="11" t="s">
        <v>60</v>
      </c>
      <c r="F3" s="14">
        <v>239</v>
      </c>
      <c r="G3" s="14" t="s">
        <v>155</v>
      </c>
      <c r="H3" s="11" t="s">
        <v>15</v>
      </c>
      <c r="I3" s="3">
        <v>89000</v>
      </c>
      <c r="J3" s="14" t="s">
        <v>62</v>
      </c>
      <c r="K3" s="4">
        <v>0.48958333333333331</v>
      </c>
      <c r="L3" s="5">
        <v>0.48125000000000001</v>
      </c>
      <c r="M3" s="14">
        <v>111</v>
      </c>
      <c r="N3" s="14">
        <v>3</v>
      </c>
      <c r="O3" s="14">
        <v>502</v>
      </c>
      <c r="P3" s="14">
        <v>0</v>
      </c>
      <c r="Q3" s="14">
        <v>0</v>
      </c>
      <c r="R3" s="14" t="s">
        <v>73</v>
      </c>
      <c r="S3" s="4">
        <v>0.51388888888888895</v>
      </c>
      <c r="T3" s="5">
        <v>0.52569444444444446</v>
      </c>
      <c r="U3" s="14">
        <v>223</v>
      </c>
      <c r="V3" s="14">
        <v>4</v>
      </c>
      <c r="W3" s="14">
        <v>686</v>
      </c>
      <c r="X3" s="14">
        <v>0</v>
      </c>
      <c r="Y3" s="14">
        <v>0</v>
      </c>
    </row>
    <row r="4" spans="1:25" x14ac:dyDescent="0.25">
      <c r="A4" s="16"/>
      <c r="B4" s="14"/>
      <c r="C4" s="14"/>
      <c r="D4" s="11"/>
      <c r="E4" s="11"/>
      <c r="F4" s="14"/>
      <c r="G4" s="14"/>
      <c r="H4" s="11"/>
      <c r="I4" s="3"/>
      <c r="J4" s="5"/>
      <c r="K4" s="4"/>
      <c r="L4" s="5"/>
      <c r="M4" s="14"/>
      <c r="N4" s="14"/>
      <c r="O4" s="14"/>
      <c r="P4" s="14"/>
      <c r="Q4" s="14"/>
      <c r="R4" s="14"/>
      <c r="S4" s="4"/>
      <c r="T4" s="5"/>
      <c r="U4" s="14"/>
      <c r="V4" s="14"/>
      <c r="W4" s="14"/>
      <c r="X4" s="14"/>
      <c r="Y4" s="14"/>
    </row>
    <row r="5" spans="1:25" x14ac:dyDescent="0.25">
      <c r="A5" s="16"/>
      <c r="B5" s="14"/>
      <c r="C5" s="10"/>
      <c r="D5" s="14"/>
      <c r="E5" s="11"/>
      <c r="F5" s="14"/>
      <c r="G5" s="14"/>
      <c r="H5" s="11"/>
      <c r="I5" s="3"/>
      <c r="J5" s="14"/>
      <c r="K5" s="4"/>
      <c r="L5" s="5"/>
      <c r="M5" s="14"/>
      <c r="N5" s="14"/>
      <c r="O5" s="14"/>
      <c r="P5" s="14"/>
      <c r="Q5" s="14"/>
      <c r="R5" s="14"/>
      <c r="S5" s="4"/>
      <c r="T5" s="5"/>
      <c r="U5" s="14"/>
      <c r="V5" s="14"/>
      <c r="W5" s="14"/>
      <c r="X5" s="14"/>
      <c r="Y5" s="14"/>
    </row>
    <row r="6" spans="1:25" x14ac:dyDescent="0.25">
      <c r="A6" s="16"/>
      <c r="B6" s="14"/>
      <c r="C6" s="10"/>
      <c r="D6" s="14"/>
      <c r="E6" s="14"/>
      <c r="F6" s="14"/>
      <c r="G6" s="14"/>
      <c r="H6" s="14"/>
      <c r="I6" s="14"/>
      <c r="J6" s="14"/>
      <c r="K6" s="17"/>
      <c r="L6" s="18"/>
      <c r="M6" s="19"/>
      <c r="N6" s="19"/>
      <c r="O6" s="19"/>
      <c r="P6" s="14"/>
      <c r="Q6" s="14"/>
      <c r="R6" s="14"/>
      <c r="S6" s="17"/>
      <c r="T6" s="18"/>
      <c r="U6" s="14"/>
      <c r="V6" s="14"/>
      <c r="W6" s="14"/>
      <c r="X6" s="14"/>
      <c r="Y6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A44E-969A-4F91-8DF7-77F3CA29676A}">
  <dimension ref="A1:Y6"/>
  <sheetViews>
    <sheetView workbookViewId="0">
      <selection activeCell="T8" sqref="T8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45924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156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0.38750000000000001</v>
      </c>
      <c r="M2" s="14">
        <v>154</v>
      </c>
      <c r="N2" s="14">
        <v>5</v>
      </c>
      <c r="O2" s="14">
        <v>315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0.41875000000000001</v>
      </c>
      <c r="U2" s="14">
        <v>166</v>
      </c>
      <c r="V2" s="14">
        <v>6</v>
      </c>
      <c r="W2" s="14">
        <v>495</v>
      </c>
      <c r="X2" s="14">
        <v>0</v>
      </c>
      <c r="Y2" s="14">
        <v>0</v>
      </c>
    </row>
    <row r="3" spans="1:25" x14ac:dyDescent="0.25">
      <c r="A3" s="15">
        <v>45924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186</v>
      </c>
      <c r="G3" s="14" t="s">
        <v>157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0.46249999999999997</v>
      </c>
      <c r="M3" s="14">
        <v>118</v>
      </c>
      <c r="N3" s="14">
        <v>5</v>
      </c>
      <c r="O3" s="14">
        <v>522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0.50208333333333333</v>
      </c>
      <c r="U3" s="14">
        <v>163</v>
      </c>
      <c r="V3" s="14">
        <v>2</v>
      </c>
      <c r="W3" s="14">
        <v>726</v>
      </c>
      <c r="X3" s="14">
        <v>0</v>
      </c>
      <c r="Y3" s="14">
        <v>0</v>
      </c>
    </row>
    <row r="4" spans="1:25" x14ac:dyDescent="0.25">
      <c r="A4" s="15">
        <v>45924</v>
      </c>
      <c r="B4" s="14" t="s">
        <v>30</v>
      </c>
      <c r="C4" s="14" t="s">
        <v>31</v>
      </c>
      <c r="D4" s="11" t="s">
        <v>32</v>
      </c>
      <c r="E4" s="14" t="s">
        <v>14</v>
      </c>
      <c r="F4" s="14">
        <v>186</v>
      </c>
      <c r="G4" s="3" t="s">
        <v>158</v>
      </c>
      <c r="H4" s="11" t="s">
        <v>15</v>
      </c>
      <c r="I4" s="3">
        <v>71500</v>
      </c>
      <c r="J4" s="5" t="s">
        <v>33</v>
      </c>
      <c r="K4" s="4">
        <v>0.5</v>
      </c>
      <c r="L4" s="5">
        <v>0.49583333333333335</v>
      </c>
      <c r="M4" s="14">
        <v>120</v>
      </c>
      <c r="N4" s="14">
        <v>2</v>
      </c>
      <c r="O4" s="14">
        <v>514</v>
      </c>
      <c r="P4" s="14">
        <v>0</v>
      </c>
      <c r="Q4" s="14">
        <v>0</v>
      </c>
      <c r="R4" s="14" t="s">
        <v>34</v>
      </c>
      <c r="S4" s="4">
        <v>0.52083333333333337</v>
      </c>
      <c r="T4" s="5">
        <v>0.52708333333333335</v>
      </c>
      <c r="U4" s="14">
        <v>122</v>
      </c>
      <c r="V4" s="14">
        <v>3</v>
      </c>
      <c r="W4" s="14">
        <v>602</v>
      </c>
      <c r="X4" s="14">
        <v>0</v>
      </c>
      <c r="Y4" s="14">
        <v>0</v>
      </c>
    </row>
    <row r="5" spans="1:25" x14ac:dyDescent="0.25">
      <c r="A5" s="15">
        <v>45924</v>
      </c>
      <c r="B5" s="14" t="s">
        <v>11</v>
      </c>
      <c r="C5" s="10" t="s">
        <v>12</v>
      </c>
      <c r="D5" s="14" t="s">
        <v>66</v>
      </c>
      <c r="E5" s="14" t="s">
        <v>60</v>
      </c>
      <c r="F5" s="14">
        <v>239</v>
      </c>
      <c r="G5" s="14" t="s">
        <v>120</v>
      </c>
      <c r="H5" s="11" t="s">
        <v>15</v>
      </c>
      <c r="I5" s="3">
        <v>89000</v>
      </c>
      <c r="J5" s="14" t="s">
        <v>68</v>
      </c>
      <c r="K5" s="4">
        <v>0.62847222222222221</v>
      </c>
      <c r="L5" s="5">
        <v>0.62638888888888888</v>
      </c>
      <c r="M5" s="14">
        <v>141</v>
      </c>
      <c r="N5" s="14">
        <v>5</v>
      </c>
      <c r="O5" s="14">
        <v>188</v>
      </c>
      <c r="P5" s="14">
        <v>0</v>
      </c>
      <c r="Q5" s="14">
        <v>0</v>
      </c>
      <c r="R5" s="14" t="s">
        <v>69</v>
      </c>
      <c r="S5" s="4">
        <v>0.65277777777777779</v>
      </c>
      <c r="T5" s="5">
        <v>0.65416666666666667</v>
      </c>
      <c r="U5" s="14">
        <v>123</v>
      </c>
      <c r="V5" s="14">
        <v>2</v>
      </c>
      <c r="W5" s="14">
        <v>291</v>
      </c>
      <c r="X5" s="14">
        <v>0</v>
      </c>
      <c r="Y5" s="14">
        <v>0</v>
      </c>
    </row>
    <row r="6" spans="1:25" x14ac:dyDescent="0.25">
      <c r="A6" s="16" t="s">
        <v>164</v>
      </c>
      <c r="B6" s="14" t="s">
        <v>159</v>
      </c>
      <c r="C6" s="14" t="s">
        <v>87</v>
      </c>
      <c r="D6" s="14" t="s">
        <v>165</v>
      </c>
      <c r="E6" s="14" t="s">
        <v>160</v>
      </c>
      <c r="F6" s="14" t="s">
        <v>87</v>
      </c>
      <c r="G6" s="14" t="s">
        <v>161</v>
      </c>
      <c r="H6" s="11" t="s">
        <v>162</v>
      </c>
      <c r="I6" s="3">
        <v>6800</v>
      </c>
      <c r="J6" s="14" t="s">
        <v>163</v>
      </c>
      <c r="K6" s="4">
        <v>0.45833333333333331</v>
      </c>
      <c r="L6" s="5">
        <v>0.45694444444444443</v>
      </c>
      <c r="M6" s="13">
        <v>0</v>
      </c>
      <c r="N6" s="27">
        <v>0</v>
      </c>
      <c r="O6" s="13">
        <v>0</v>
      </c>
      <c r="P6" s="14">
        <v>0</v>
      </c>
      <c r="Q6" s="14">
        <v>0</v>
      </c>
      <c r="R6" s="14" t="s">
        <v>163</v>
      </c>
      <c r="S6" s="4">
        <v>0.66666666666666663</v>
      </c>
      <c r="T6" s="5">
        <v>0.5131944444444444</v>
      </c>
      <c r="U6" s="14">
        <v>0</v>
      </c>
      <c r="V6" s="14">
        <v>0</v>
      </c>
      <c r="W6" s="14">
        <v>0</v>
      </c>
      <c r="X6" s="14" t="s">
        <v>102</v>
      </c>
      <c r="Y6" s="14" t="s">
        <v>102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ACD5-8660-4DDA-9E76-FEFB9F1C33B4}">
  <dimension ref="A1:Y3"/>
  <sheetViews>
    <sheetView workbookViewId="0">
      <selection activeCell="N7" sqref="N7"/>
    </sheetView>
  </sheetViews>
  <sheetFormatPr defaultRowHeight="15" x14ac:dyDescent="0.25"/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45925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166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0.3972222222222222</v>
      </c>
      <c r="M2" s="14">
        <v>161</v>
      </c>
      <c r="N2" s="14">
        <v>4</v>
      </c>
      <c r="O2" s="14">
        <v>243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0.39861111111111108</v>
      </c>
      <c r="U2" s="14">
        <v>158</v>
      </c>
      <c r="V2" s="14">
        <v>3</v>
      </c>
      <c r="W2" s="14">
        <v>575</v>
      </c>
      <c r="X2" s="14">
        <v>0</v>
      </c>
      <c r="Y2" s="14">
        <v>0</v>
      </c>
    </row>
    <row r="3" spans="1:25" x14ac:dyDescent="0.25">
      <c r="A3" s="15">
        <v>45925</v>
      </c>
      <c r="B3" s="14" t="s">
        <v>30</v>
      </c>
      <c r="C3" s="10" t="s">
        <v>31</v>
      </c>
      <c r="D3" s="14" t="s">
        <v>27</v>
      </c>
      <c r="E3" s="11" t="s">
        <v>60</v>
      </c>
      <c r="F3" s="14">
        <v>239</v>
      </c>
      <c r="G3" s="14" t="s">
        <v>151</v>
      </c>
      <c r="H3" s="11" t="s">
        <v>15</v>
      </c>
      <c r="I3" s="3">
        <v>89000</v>
      </c>
      <c r="J3" s="14" t="s">
        <v>62</v>
      </c>
      <c r="K3" s="4">
        <v>0.48958333333333331</v>
      </c>
      <c r="L3" s="5">
        <v>0.49236111111111108</v>
      </c>
      <c r="M3" s="14">
        <v>210</v>
      </c>
      <c r="N3" s="14">
        <v>4</v>
      </c>
      <c r="O3" s="14">
        <v>876</v>
      </c>
      <c r="P3" s="14">
        <v>0</v>
      </c>
      <c r="Q3" s="14">
        <v>0</v>
      </c>
      <c r="R3" s="14" t="s">
        <v>73</v>
      </c>
      <c r="S3" s="4">
        <v>0.51388888888888895</v>
      </c>
      <c r="T3" s="5">
        <v>0.52777777777777779</v>
      </c>
      <c r="U3" s="14">
        <v>209</v>
      </c>
      <c r="V3" s="14">
        <v>3</v>
      </c>
      <c r="W3" s="14">
        <v>700</v>
      </c>
      <c r="X3" s="14">
        <v>0</v>
      </c>
      <c r="Y3" s="1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EB48-F2B5-450A-9113-87414A48B63A}">
  <dimension ref="A1:Y6"/>
  <sheetViews>
    <sheetView workbookViewId="0">
      <selection activeCell="B6" sqref="B6:Y6"/>
    </sheetView>
  </sheetViews>
  <sheetFormatPr defaultRowHeight="15" x14ac:dyDescent="0.25"/>
  <cols>
    <col min="2" max="2" width="23.28515625" bestFit="1" customWidth="1"/>
    <col min="3" max="3" width="9.140625" bestFit="1" customWidth="1"/>
    <col min="4" max="4" width="14" bestFit="1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45926</v>
      </c>
      <c r="B2" s="14" t="s">
        <v>74</v>
      </c>
      <c r="C2" s="2" t="s">
        <v>75</v>
      </c>
      <c r="D2" s="11" t="s">
        <v>35</v>
      </c>
      <c r="E2" s="12" t="s">
        <v>40</v>
      </c>
      <c r="F2" s="11">
        <v>189</v>
      </c>
      <c r="G2" s="3" t="s">
        <v>167</v>
      </c>
      <c r="H2" s="2" t="s">
        <v>15</v>
      </c>
      <c r="I2" s="3">
        <v>79000</v>
      </c>
      <c r="J2" s="5" t="s">
        <v>76</v>
      </c>
      <c r="K2" s="4">
        <v>0.36805555555555558</v>
      </c>
      <c r="L2" s="5">
        <v>0.40625</v>
      </c>
      <c r="M2" s="13">
        <v>135</v>
      </c>
      <c r="N2" s="14">
        <v>1</v>
      </c>
      <c r="O2" s="14">
        <v>1940</v>
      </c>
      <c r="P2" s="14">
        <v>0</v>
      </c>
      <c r="Q2" s="14">
        <v>0</v>
      </c>
      <c r="R2" s="14" t="s">
        <v>77</v>
      </c>
      <c r="S2" s="4">
        <v>0.4236111111111111</v>
      </c>
      <c r="T2" s="5">
        <v>0.44930555555555557</v>
      </c>
      <c r="U2" s="13">
        <v>151</v>
      </c>
      <c r="V2" s="14">
        <v>3</v>
      </c>
      <c r="W2" s="14">
        <v>1193</v>
      </c>
      <c r="X2" s="14">
        <v>0</v>
      </c>
      <c r="Y2" s="14">
        <v>0</v>
      </c>
    </row>
    <row r="3" spans="1:25" x14ac:dyDescent="0.25">
      <c r="A3" s="16">
        <v>45926</v>
      </c>
      <c r="B3" s="14" t="s">
        <v>11</v>
      </c>
      <c r="C3" s="10" t="s">
        <v>12</v>
      </c>
      <c r="D3" s="14" t="s">
        <v>13</v>
      </c>
      <c r="E3" s="14" t="s">
        <v>14</v>
      </c>
      <c r="F3" s="14">
        <v>180</v>
      </c>
      <c r="G3" s="3" t="s">
        <v>152</v>
      </c>
      <c r="H3" s="11" t="s">
        <v>15</v>
      </c>
      <c r="I3" s="3">
        <v>71500</v>
      </c>
      <c r="J3" s="14" t="s">
        <v>16</v>
      </c>
      <c r="K3" s="4">
        <v>0.3923611111111111</v>
      </c>
      <c r="L3" s="5">
        <v>0.4152777777777778</v>
      </c>
      <c r="M3" s="13">
        <v>168</v>
      </c>
      <c r="N3" s="14">
        <v>0</v>
      </c>
      <c r="O3" s="14">
        <v>370</v>
      </c>
      <c r="P3" s="14">
        <v>0</v>
      </c>
      <c r="Q3" s="14">
        <v>0</v>
      </c>
      <c r="R3" s="14" t="s">
        <v>26</v>
      </c>
      <c r="S3" s="4">
        <v>0.41319444444444442</v>
      </c>
      <c r="T3" s="5">
        <v>0.4513888888888889</v>
      </c>
      <c r="U3" s="14">
        <v>163</v>
      </c>
      <c r="V3" s="14">
        <v>1</v>
      </c>
      <c r="W3" s="14">
        <v>468</v>
      </c>
      <c r="X3" s="14">
        <v>0</v>
      </c>
      <c r="Y3" s="14">
        <v>0</v>
      </c>
    </row>
    <row r="4" spans="1:25" x14ac:dyDescent="0.25">
      <c r="A4" s="16">
        <v>45926</v>
      </c>
      <c r="B4" s="14" t="s">
        <v>11</v>
      </c>
      <c r="C4" s="10" t="s">
        <v>12</v>
      </c>
      <c r="D4" s="14" t="s">
        <v>78</v>
      </c>
      <c r="E4" s="14" t="s">
        <v>14</v>
      </c>
      <c r="F4" s="14">
        <v>186</v>
      </c>
      <c r="G4" s="14" t="s">
        <v>106</v>
      </c>
      <c r="H4" s="11" t="s">
        <v>15</v>
      </c>
      <c r="I4" s="3">
        <v>71500</v>
      </c>
      <c r="J4" s="14" t="s">
        <v>28</v>
      </c>
      <c r="K4" s="4">
        <v>0.49652777777777773</v>
      </c>
      <c r="L4" s="5">
        <v>0.48958333333333331</v>
      </c>
      <c r="M4" s="14">
        <v>183</v>
      </c>
      <c r="N4" s="14">
        <v>1</v>
      </c>
      <c r="O4" s="14">
        <v>423</v>
      </c>
      <c r="P4" s="14">
        <v>0</v>
      </c>
      <c r="Q4" s="14">
        <v>0</v>
      </c>
      <c r="R4" s="14" t="s">
        <v>29</v>
      </c>
      <c r="S4" s="4">
        <v>0.51388888888888895</v>
      </c>
      <c r="T4" s="5">
        <v>0.53263888888888888</v>
      </c>
      <c r="U4" s="14">
        <v>176</v>
      </c>
      <c r="V4" s="14">
        <v>2</v>
      </c>
      <c r="W4" s="14">
        <v>915</v>
      </c>
      <c r="X4" s="14">
        <v>0</v>
      </c>
      <c r="Y4" s="14">
        <v>0</v>
      </c>
    </row>
    <row r="5" spans="1:25" x14ac:dyDescent="0.25">
      <c r="A5" s="16">
        <v>45926</v>
      </c>
      <c r="B5" s="14" t="s">
        <v>30</v>
      </c>
      <c r="C5" s="14" t="s">
        <v>31</v>
      </c>
      <c r="D5" s="11" t="s">
        <v>32</v>
      </c>
      <c r="E5" s="14" t="s">
        <v>60</v>
      </c>
      <c r="F5" s="14">
        <v>239</v>
      </c>
      <c r="G5" s="3" t="s">
        <v>148</v>
      </c>
      <c r="H5" s="11" t="s">
        <v>15</v>
      </c>
      <c r="I5" s="3">
        <v>89000</v>
      </c>
      <c r="J5" s="5" t="s">
        <v>33</v>
      </c>
      <c r="K5" s="4">
        <v>0.50347222222222221</v>
      </c>
      <c r="L5" s="5">
        <v>0.66875000000000007</v>
      </c>
      <c r="M5" s="14">
        <v>227</v>
      </c>
      <c r="N5" s="14">
        <v>4</v>
      </c>
      <c r="O5" s="14">
        <v>761</v>
      </c>
      <c r="P5" s="14">
        <v>0</v>
      </c>
      <c r="Q5" s="14">
        <v>0</v>
      </c>
      <c r="R5" s="14" t="s">
        <v>34</v>
      </c>
      <c r="S5" s="4">
        <v>0.52777777777777779</v>
      </c>
      <c r="T5" s="5">
        <v>0.69791666666666663</v>
      </c>
      <c r="U5" s="14">
        <v>124</v>
      </c>
      <c r="V5" s="14">
        <v>4</v>
      </c>
      <c r="W5" s="14">
        <v>182</v>
      </c>
      <c r="X5" s="14">
        <v>0</v>
      </c>
      <c r="Y5" s="14">
        <v>0</v>
      </c>
    </row>
    <row r="6" spans="1:25" x14ac:dyDescent="0.25">
      <c r="A6" s="16">
        <v>45926</v>
      </c>
      <c r="B6" s="14" t="s">
        <v>11</v>
      </c>
      <c r="C6" s="10" t="s">
        <v>12</v>
      </c>
      <c r="D6" s="14" t="s">
        <v>66</v>
      </c>
      <c r="E6" s="14" t="s">
        <v>60</v>
      </c>
      <c r="F6" s="11">
        <v>239</v>
      </c>
      <c r="G6" s="14" t="s">
        <v>168</v>
      </c>
      <c r="H6" s="11" t="s">
        <v>15</v>
      </c>
      <c r="I6" s="3">
        <v>89000</v>
      </c>
      <c r="J6" s="14" t="s">
        <v>68</v>
      </c>
      <c r="K6" s="4">
        <v>0.62847222222222221</v>
      </c>
      <c r="L6" s="5">
        <v>0.62361111111111112</v>
      </c>
      <c r="M6" s="14">
        <v>106</v>
      </c>
      <c r="N6" s="14">
        <v>2</v>
      </c>
      <c r="O6" s="14">
        <v>247</v>
      </c>
      <c r="P6" s="14">
        <v>0</v>
      </c>
      <c r="Q6" s="14">
        <v>0</v>
      </c>
      <c r="R6" s="14" t="s">
        <v>69</v>
      </c>
      <c r="S6" s="4">
        <v>0.65277777777777779</v>
      </c>
      <c r="T6" s="5">
        <v>0.65</v>
      </c>
      <c r="U6" s="14">
        <v>109</v>
      </c>
      <c r="V6" s="14">
        <v>2</v>
      </c>
      <c r="W6" s="14">
        <v>182</v>
      </c>
      <c r="X6" s="14">
        <v>0</v>
      </c>
      <c r="Y6" s="1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1626-237B-4D9B-B404-F4728EB7613A}">
  <dimension ref="A1:Y5"/>
  <sheetViews>
    <sheetView workbookViewId="0">
      <selection activeCell="X5" sqref="X5"/>
    </sheetView>
  </sheetViews>
  <sheetFormatPr defaultRowHeight="12.75" x14ac:dyDescent="0.2"/>
  <cols>
    <col min="1" max="1" width="10.140625" style="21" bestFit="1" customWidth="1"/>
    <col min="2" max="2" width="22.85546875" style="21" customWidth="1"/>
    <col min="3" max="3" width="9.140625" style="21"/>
    <col min="4" max="4" width="14" style="21" bestFit="1" customWidth="1"/>
    <col min="5" max="7" width="9.140625" style="21"/>
    <col min="8" max="8" width="12.140625" style="21" bestFit="1" customWidth="1"/>
    <col min="9" max="16384" width="9.140625" style="21"/>
  </cols>
  <sheetData>
    <row r="1" spans="1:25" ht="25.5" x14ac:dyDescent="0.2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">
      <c r="A2" s="15">
        <v>45927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230</v>
      </c>
      <c r="G2" s="14" t="s">
        <v>169</v>
      </c>
      <c r="H2" s="11" t="s">
        <v>15</v>
      </c>
      <c r="I2" s="3">
        <v>89000</v>
      </c>
      <c r="J2" s="14" t="s">
        <v>16</v>
      </c>
      <c r="K2" s="4">
        <v>0.40277777777777773</v>
      </c>
      <c r="L2" s="5">
        <v>0.70347222222222217</v>
      </c>
      <c r="M2" s="14">
        <v>161</v>
      </c>
      <c r="N2" s="14">
        <v>3</v>
      </c>
      <c r="O2" s="14">
        <v>558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0.7368055555555556</v>
      </c>
      <c r="U2" s="14">
        <v>168</v>
      </c>
      <c r="V2" s="14">
        <v>3</v>
      </c>
      <c r="W2" s="14">
        <v>735</v>
      </c>
      <c r="X2" s="14">
        <v>0</v>
      </c>
      <c r="Y2" s="14">
        <v>0</v>
      </c>
    </row>
    <row r="3" spans="1:25" x14ac:dyDescent="0.2">
      <c r="A3" s="15">
        <f>A2</f>
        <v>45927</v>
      </c>
      <c r="B3" s="14" t="s">
        <v>30</v>
      </c>
      <c r="C3" s="10" t="s">
        <v>31</v>
      </c>
      <c r="D3" s="14" t="s">
        <v>32</v>
      </c>
      <c r="E3" s="11" t="s">
        <v>60</v>
      </c>
      <c r="F3" s="14">
        <v>239</v>
      </c>
      <c r="G3" s="14" t="s">
        <v>170</v>
      </c>
      <c r="H3" s="11" t="s">
        <v>15</v>
      </c>
      <c r="I3" s="3">
        <v>89000</v>
      </c>
      <c r="J3" s="14" t="s">
        <v>33</v>
      </c>
      <c r="K3" s="4">
        <v>0.43402777777777773</v>
      </c>
      <c r="L3" s="5">
        <v>0.4375</v>
      </c>
      <c r="M3" s="14">
        <v>234</v>
      </c>
      <c r="N3" s="14">
        <v>2</v>
      </c>
      <c r="O3" s="14">
        <v>951</v>
      </c>
      <c r="P3" s="14">
        <v>0</v>
      </c>
      <c r="Q3" s="14">
        <v>0</v>
      </c>
      <c r="R3" s="14" t="s">
        <v>34</v>
      </c>
      <c r="S3" s="4">
        <v>0.45833333333333331</v>
      </c>
      <c r="T3" s="5">
        <v>0.4770833333333333</v>
      </c>
      <c r="U3" s="14">
        <v>196</v>
      </c>
      <c r="V3" s="14">
        <v>1</v>
      </c>
      <c r="W3" s="14">
        <v>998</v>
      </c>
      <c r="X3" s="14">
        <v>0</v>
      </c>
      <c r="Y3" s="14">
        <v>0</v>
      </c>
    </row>
    <row r="4" spans="1:25" x14ac:dyDescent="0.2">
      <c r="A4" s="15">
        <f>A3</f>
        <v>45927</v>
      </c>
      <c r="B4" s="14" t="s">
        <v>30</v>
      </c>
      <c r="C4" s="14" t="s">
        <v>31</v>
      </c>
      <c r="D4" s="14" t="s">
        <v>27</v>
      </c>
      <c r="E4" s="14" t="s">
        <v>60</v>
      </c>
      <c r="F4" s="14">
        <v>239</v>
      </c>
      <c r="G4" s="3" t="s">
        <v>171</v>
      </c>
      <c r="H4" s="11" t="s">
        <v>15</v>
      </c>
      <c r="I4" s="3">
        <v>89000</v>
      </c>
      <c r="J4" s="5" t="s">
        <v>62</v>
      </c>
      <c r="K4" s="4">
        <v>0.48958333333333331</v>
      </c>
      <c r="L4" s="5">
        <v>0.49236111111111108</v>
      </c>
      <c r="M4" s="14">
        <v>228</v>
      </c>
      <c r="N4" s="14">
        <v>3</v>
      </c>
      <c r="O4" s="14">
        <v>830</v>
      </c>
      <c r="P4" s="14">
        <v>0</v>
      </c>
      <c r="Q4" s="14">
        <v>0</v>
      </c>
      <c r="R4" s="14" t="s">
        <v>73</v>
      </c>
      <c r="S4" s="4">
        <v>0.51388888888888895</v>
      </c>
      <c r="T4" s="5">
        <v>0.52986111111111112</v>
      </c>
      <c r="U4" s="14">
        <v>221</v>
      </c>
      <c r="V4" s="14">
        <v>8</v>
      </c>
      <c r="W4" s="14">
        <v>1078</v>
      </c>
      <c r="X4" s="14">
        <v>0</v>
      </c>
      <c r="Y4" s="14">
        <v>0</v>
      </c>
    </row>
    <row r="5" spans="1:25" x14ac:dyDescent="0.2">
      <c r="A5" s="28">
        <f>A4</f>
        <v>45927</v>
      </c>
      <c r="B5" s="14" t="s">
        <v>11</v>
      </c>
      <c r="C5" s="10" t="s">
        <v>12</v>
      </c>
      <c r="D5" s="14" t="s">
        <v>66</v>
      </c>
      <c r="E5" s="14" t="s">
        <v>60</v>
      </c>
      <c r="F5" s="11">
        <v>239</v>
      </c>
      <c r="G5" s="14" t="s">
        <v>172</v>
      </c>
      <c r="H5" s="11" t="s">
        <v>15</v>
      </c>
      <c r="I5" s="3">
        <v>89000</v>
      </c>
      <c r="J5" s="14" t="s">
        <v>68</v>
      </c>
      <c r="K5" s="4">
        <v>0.62847222222222221</v>
      </c>
      <c r="L5" s="5">
        <v>0.62222222222222223</v>
      </c>
      <c r="M5" s="14">
        <v>123</v>
      </c>
      <c r="N5" s="14">
        <v>1</v>
      </c>
      <c r="O5" s="14">
        <v>196</v>
      </c>
      <c r="P5" s="14">
        <v>0</v>
      </c>
      <c r="Q5" s="14">
        <v>0</v>
      </c>
      <c r="R5" s="14" t="s">
        <v>69</v>
      </c>
      <c r="S5" s="4">
        <v>0.65277777777777779</v>
      </c>
      <c r="T5" s="5">
        <v>0.67152777777777783</v>
      </c>
      <c r="U5" s="14">
        <v>148</v>
      </c>
      <c r="V5" s="14">
        <v>5</v>
      </c>
      <c r="W5" s="14">
        <v>383</v>
      </c>
      <c r="X5" s="14">
        <v>0</v>
      </c>
      <c r="Y5" s="14">
        <v>0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FE2C-58A8-4515-AFCE-65EB5E2B580C}">
  <dimension ref="A1:Y14"/>
  <sheetViews>
    <sheetView workbookViewId="0">
      <selection activeCell="T4" sqref="T4"/>
    </sheetView>
  </sheetViews>
  <sheetFormatPr defaultRowHeight="15" x14ac:dyDescent="0.25"/>
  <cols>
    <col min="1" max="1" width="10.85546875" customWidth="1"/>
    <col min="2" max="2" width="21.7109375" customWidth="1"/>
    <col min="4" max="4" width="15.140625" customWidth="1"/>
    <col min="6" max="7" width="9.28515625" bestFit="1" customWidth="1"/>
    <col min="8" max="8" width="15" customWidth="1"/>
    <col min="9" max="9" width="9.28515625" bestFit="1" customWidth="1"/>
    <col min="11" max="11" width="9.28515625" bestFit="1" customWidth="1"/>
    <col min="12" max="12" width="8.7109375" bestFit="1" customWidth="1"/>
    <col min="13" max="13" width="8.140625" bestFit="1" customWidth="1"/>
    <col min="14" max="14" width="7" bestFit="1" customWidth="1"/>
    <col min="15" max="17" width="9.28515625" bestFit="1" customWidth="1"/>
    <col min="19" max="19" width="9.28515625" bestFit="1" customWidth="1"/>
    <col min="22" max="25" width="9.28515625" bestFit="1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45928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180</v>
      </c>
      <c r="G2" s="14" t="s">
        <v>132</v>
      </c>
      <c r="H2" s="11" t="s">
        <v>15</v>
      </c>
      <c r="I2" s="3">
        <v>71500</v>
      </c>
      <c r="J2" s="14" t="s">
        <v>16</v>
      </c>
      <c r="K2" s="4">
        <v>0.40277777777777773</v>
      </c>
      <c r="L2" s="5">
        <v>0.38472222222222219</v>
      </c>
      <c r="M2" s="14">
        <v>168</v>
      </c>
      <c r="N2" s="14">
        <v>3</v>
      </c>
      <c r="O2" s="14">
        <v>633</v>
      </c>
      <c r="P2" s="14">
        <v>0</v>
      </c>
      <c r="Q2" s="14">
        <v>0</v>
      </c>
      <c r="R2" s="14" t="s">
        <v>26</v>
      </c>
      <c r="S2" s="4">
        <v>0.4236111111111111</v>
      </c>
      <c r="T2" s="5">
        <v>0.4284722222222222</v>
      </c>
      <c r="U2" s="14">
        <v>168</v>
      </c>
      <c r="V2" s="14">
        <v>3</v>
      </c>
      <c r="W2" s="14">
        <v>546</v>
      </c>
      <c r="X2" s="14">
        <v>0</v>
      </c>
      <c r="Y2" s="14">
        <v>0</v>
      </c>
    </row>
    <row r="3" spans="1:25" x14ac:dyDescent="0.25">
      <c r="A3" s="15">
        <f>A2</f>
        <v>45928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186</v>
      </c>
      <c r="G3" s="14" t="s">
        <v>106</v>
      </c>
      <c r="H3" s="11" t="s">
        <v>15</v>
      </c>
      <c r="I3" s="3">
        <v>71500</v>
      </c>
      <c r="J3" s="14" t="s">
        <v>62</v>
      </c>
      <c r="K3" s="4">
        <v>0.46527777777777773</v>
      </c>
      <c r="L3" s="5">
        <v>0.45208333333333334</v>
      </c>
      <c r="M3" s="14">
        <v>172</v>
      </c>
      <c r="N3" s="14">
        <v>3</v>
      </c>
      <c r="O3" s="14">
        <v>1187</v>
      </c>
      <c r="P3" s="14">
        <v>0</v>
      </c>
      <c r="Q3" s="14">
        <v>0</v>
      </c>
      <c r="R3" s="14" t="s">
        <v>73</v>
      </c>
      <c r="S3" s="4">
        <v>0.4861111111111111</v>
      </c>
      <c r="T3" s="5">
        <v>0.49652777777777773</v>
      </c>
      <c r="U3" s="14">
        <v>171</v>
      </c>
      <c r="V3" s="14">
        <v>0</v>
      </c>
      <c r="W3" s="14">
        <v>485</v>
      </c>
      <c r="X3" s="14">
        <v>0</v>
      </c>
      <c r="Y3" s="14">
        <v>0</v>
      </c>
    </row>
    <row r="4" spans="1:25" x14ac:dyDescent="0.25">
      <c r="A4" s="15"/>
      <c r="B4" s="14"/>
      <c r="C4" s="10"/>
      <c r="D4" s="14"/>
      <c r="E4" s="14"/>
      <c r="F4" s="11"/>
      <c r="G4" s="14"/>
      <c r="H4" s="11"/>
      <c r="I4" s="3"/>
      <c r="J4" s="14"/>
      <c r="K4" s="4"/>
      <c r="L4" s="5"/>
      <c r="M4" s="14"/>
      <c r="N4" s="14"/>
      <c r="O4" s="14"/>
      <c r="P4" s="14"/>
      <c r="Q4" s="14"/>
      <c r="R4" s="14"/>
      <c r="S4" s="4"/>
      <c r="T4" s="5"/>
      <c r="U4" s="14"/>
      <c r="V4" s="14"/>
      <c r="W4" s="14"/>
      <c r="X4" s="14"/>
      <c r="Y4" s="14"/>
    </row>
    <row r="5" spans="1:25" x14ac:dyDescent="0.25">
      <c r="A5" s="15"/>
      <c r="B5" s="14"/>
      <c r="C5" s="10"/>
      <c r="D5" s="14"/>
      <c r="E5" s="14"/>
      <c r="F5" s="14"/>
      <c r="G5" s="14"/>
      <c r="H5" s="11"/>
      <c r="I5" s="3"/>
      <c r="J5" s="14"/>
      <c r="K5" s="4"/>
      <c r="L5" s="14"/>
      <c r="M5" s="14"/>
      <c r="N5" s="14"/>
      <c r="O5" s="14"/>
      <c r="P5" s="14"/>
      <c r="Q5" s="14"/>
      <c r="R5" s="14"/>
      <c r="S5" s="4"/>
      <c r="T5" s="14"/>
      <c r="U5" s="14"/>
      <c r="V5" s="14"/>
      <c r="W5" s="14"/>
      <c r="X5" s="14"/>
      <c r="Y5" s="14"/>
    </row>
    <row r="6" spans="1:2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C18D-97DF-4B9C-A18E-B5F54F7FC4B9}">
  <dimension ref="A1:Y6"/>
  <sheetViews>
    <sheetView workbookViewId="0">
      <selection activeCell="B2" sqref="B2:C2"/>
    </sheetView>
  </sheetViews>
  <sheetFormatPr defaultRowHeight="15" x14ac:dyDescent="0.25"/>
  <cols>
    <col min="2" max="2" width="29.140625" customWidth="1"/>
    <col min="3" max="3" width="9.140625" bestFit="1" customWidth="1"/>
    <col min="4" max="4" width="15.7109375" customWidth="1"/>
    <col min="6" max="6" width="8.140625" customWidth="1"/>
    <col min="8" max="8" width="14.28515625" customWidth="1"/>
  </cols>
  <sheetData>
    <row r="1" spans="1:25" ht="25.5" x14ac:dyDescent="0.25">
      <c r="A1" s="7" t="s">
        <v>36</v>
      </c>
      <c r="B1" s="7" t="s">
        <v>37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5">
        <v>45929</v>
      </c>
      <c r="B2" s="14" t="s">
        <v>11</v>
      </c>
      <c r="C2" s="10" t="s">
        <v>12</v>
      </c>
      <c r="D2" s="14" t="s">
        <v>13</v>
      </c>
      <c r="E2" s="14" t="s">
        <v>14</v>
      </c>
      <c r="F2" s="14">
        <v>186</v>
      </c>
      <c r="G2" s="14" t="s">
        <v>106</v>
      </c>
      <c r="H2" s="11" t="s">
        <v>15</v>
      </c>
      <c r="I2" s="3">
        <v>71500</v>
      </c>
      <c r="J2" s="14" t="s">
        <v>16</v>
      </c>
      <c r="K2" s="4">
        <v>0.3923611111111111</v>
      </c>
      <c r="L2" s="5">
        <v>0.375</v>
      </c>
      <c r="M2" s="14">
        <v>166</v>
      </c>
      <c r="N2" s="14">
        <v>6</v>
      </c>
      <c r="O2" s="14">
        <v>474</v>
      </c>
      <c r="P2" s="14">
        <v>0</v>
      </c>
      <c r="Q2" s="14">
        <v>0</v>
      </c>
      <c r="R2" s="14" t="s">
        <v>26</v>
      </c>
      <c r="S2" s="4">
        <v>0.41319444444444442</v>
      </c>
      <c r="T2" s="5">
        <v>0.41111111111111115</v>
      </c>
      <c r="U2" s="14">
        <v>172</v>
      </c>
      <c r="V2" s="14">
        <v>4</v>
      </c>
      <c r="W2" s="14">
        <v>420</v>
      </c>
      <c r="X2" s="14">
        <v>0</v>
      </c>
      <c r="Y2" s="14">
        <v>0</v>
      </c>
    </row>
    <row r="3" spans="1:25" x14ac:dyDescent="0.25">
      <c r="A3" s="15">
        <v>45929</v>
      </c>
      <c r="B3" s="14" t="s">
        <v>11</v>
      </c>
      <c r="C3" s="10" t="s">
        <v>12</v>
      </c>
      <c r="D3" s="14" t="s">
        <v>27</v>
      </c>
      <c r="E3" s="11" t="s">
        <v>14</v>
      </c>
      <c r="F3" s="14">
        <v>180</v>
      </c>
      <c r="G3" s="14" t="s">
        <v>119</v>
      </c>
      <c r="H3" s="11" t="s">
        <v>15</v>
      </c>
      <c r="I3" s="3">
        <v>71500</v>
      </c>
      <c r="J3" s="14" t="s">
        <v>28</v>
      </c>
      <c r="K3" s="4">
        <v>0.46527777777777773</v>
      </c>
      <c r="L3" s="5">
        <v>0.46388888888888885</v>
      </c>
      <c r="M3" s="14">
        <v>172</v>
      </c>
      <c r="N3" s="14">
        <v>3</v>
      </c>
      <c r="O3" s="14">
        <v>516</v>
      </c>
      <c r="P3" s="14">
        <v>0</v>
      </c>
      <c r="Q3" s="14">
        <v>0</v>
      </c>
      <c r="R3" s="14" t="s">
        <v>29</v>
      </c>
      <c r="S3" s="4">
        <v>0.4861111111111111</v>
      </c>
      <c r="T3" s="5">
        <v>0.49652777777777773</v>
      </c>
      <c r="U3" s="14">
        <v>172</v>
      </c>
      <c r="V3" s="14">
        <v>2</v>
      </c>
      <c r="W3" s="14">
        <v>505</v>
      </c>
      <c r="X3" s="14">
        <v>0</v>
      </c>
      <c r="Y3" s="14">
        <v>0</v>
      </c>
    </row>
    <row r="4" spans="1:25" x14ac:dyDescent="0.25">
      <c r="A4" s="15">
        <v>45929</v>
      </c>
      <c r="B4" s="14" t="s">
        <v>30</v>
      </c>
      <c r="C4" s="14" t="s">
        <v>31</v>
      </c>
      <c r="D4" s="11" t="s">
        <v>32</v>
      </c>
      <c r="E4" s="14" t="s">
        <v>60</v>
      </c>
      <c r="F4" s="14">
        <v>239</v>
      </c>
      <c r="G4" s="3" t="s">
        <v>173</v>
      </c>
      <c r="H4" s="11" t="s">
        <v>15</v>
      </c>
      <c r="I4" s="3">
        <v>89000</v>
      </c>
      <c r="J4" s="5" t="s">
        <v>33</v>
      </c>
      <c r="K4" s="4">
        <v>0.50347222222222221</v>
      </c>
      <c r="L4" s="5">
        <v>0.5131944444444444</v>
      </c>
      <c r="M4" s="14">
        <v>226</v>
      </c>
      <c r="N4" s="14">
        <v>5</v>
      </c>
      <c r="O4" s="14">
        <v>978</v>
      </c>
      <c r="P4" s="14">
        <v>0</v>
      </c>
      <c r="Q4" s="14">
        <v>0</v>
      </c>
      <c r="R4" s="14" t="s">
        <v>34</v>
      </c>
      <c r="S4" s="4">
        <v>0.52777777777777779</v>
      </c>
      <c r="T4" s="5">
        <v>0.55277777777777781</v>
      </c>
      <c r="U4" s="14">
        <v>192</v>
      </c>
      <c r="V4" s="14">
        <v>3</v>
      </c>
      <c r="W4" s="14">
        <v>734</v>
      </c>
      <c r="X4" s="14">
        <v>0</v>
      </c>
      <c r="Y4" s="14">
        <v>0</v>
      </c>
    </row>
    <row r="5" spans="1:25" x14ac:dyDescent="0.25">
      <c r="A5" s="15">
        <v>45929</v>
      </c>
      <c r="B5" s="14" t="s">
        <v>38</v>
      </c>
      <c r="C5" s="2" t="s">
        <v>39</v>
      </c>
      <c r="D5" s="11" t="s">
        <v>35</v>
      </c>
      <c r="E5" s="12" t="s">
        <v>40</v>
      </c>
      <c r="F5" s="11">
        <v>189</v>
      </c>
      <c r="G5" s="3" t="s">
        <v>174</v>
      </c>
      <c r="H5" s="11" t="s">
        <v>15</v>
      </c>
      <c r="I5" s="3">
        <v>79000</v>
      </c>
      <c r="J5" s="5" t="s">
        <v>41</v>
      </c>
      <c r="K5" s="4">
        <v>0.56597222222222221</v>
      </c>
      <c r="L5" s="5">
        <v>0.56111111111111112</v>
      </c>
      <c r="M5" s="13">
        <v>149</v>
      </c>
      <c r="N5" s="14">
        <v>2</v>
      </c>
      <c r="O5" s="14">
        <v>1093</v>
      </c>
      <c r="P5" s="14">
        <v>0</v>
      </c>
      <c r="Q5" s="14">
        <v>0</v>
      </c>
      <c r="R5" s="14" t="s">
        <v>42</v>
      </c>
      <c r="S5" s="4">
        <v>0.60763888888888895</v>
      </c>
      <c r="T5" s="5">
        <v>0.61875000000000002</v>
      </c>
      <c r="U5" s="14">
        <v>138</v>
      </c>
      <c r="V5" s="14">
        <v>0</v>
      </c>
      <c r="W5" s="14">
        <v>1538</v>
      </c>
      <c r="X5" s="14">
        <v>0</v>
      </c>
      <c r="Y5" s="14">
        <v>0</v>
      </c>
    </row>
    <row r="6" spans="1:25" x14ac:dyDescent="0.25">
      <c r="A6" s="15"/>
      <c r="B6" s="14"/>
      <c r="C6" s="14"/>
      <c r="D6" s="14"/>
      <c r="E6" s="14"/>
      <c r="F6" s="14"/>
      <c r="G6" s="14"/>
      <c r="H6" s="11"/>
      <c r="I6" s="3"/>
      <c r="J6" s="14"/>
      <c r="K6" s="4"/>
      <c r="L6" s="5"/>
      <c r="M6" s="14"/>
      <c r="N6" s="14"/>
      <c r="O6" s="14"/>
      <c r="P6" s="14"/>
      <c r="Q6" s="14"/>
      <c r="R6" s="14"/>
      <c r="S6" s="4"/>
      <c r="T6" s="5"/>
      <c r="U6" s="14"/>
      <c r="V6" s="14"/>
      <c r="W6" s="14"/>
      <c r="X6" s="14"/>
      <c r="Y6" s="1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D34B-F895-4F6B-B1E6-E6EEDA6A01A2}">
  <dimension ref="A1:Y6"/>
  <sheetViews>
    <sheetView tabSelected="1" workbookViewId="0">
      <selection activeCell="S4" sqref="S4"/>
    </sheetView>
  </sheetViews>
  <sheetFormatPr defaultRowHeight="15" x14ac:dyDescent="0.25"/>
  <cols>
    <col min="2" max="2" width="23.5703125" customWidth="1"/>
    <col min="4" max="4" width="16.85546875" customWidth="1"/>
    <col min="8" max="8" width="14.7109375" customWidth="1"/>
  </cols>
  <sheetData>
    <row r="1" spans="1:25" ht="25.5" x14ac:dyDescent="0.25">
      <c r="A1" s="6" t="s">
        <v>47</v>
      </c>
      <c r="B1" s="6" t="s">
        <v>48</v>
      </c>
      <c r="C1" s="7" t="s">
        <v>17</v>
      </c>
      <c r="D1" s="6" t="s">
        <v>0</v>
      </c>
      <c r="E1" s="6" t="s">
        <v>1</v>
      </c>
      <c r="F1" s="8" t="s">
        <v>18</v>
      </c>
      <c r="G1" s="6" t="s">
        <v>2</v>
      </c>
      <c r="H1" s="6" t="s">
        <v>3</v>
      </c>
      <c r="I1" s="6" t="s">
        <v>4</v>
      </c>
      <c r="J1" s="6" t="s">
        <v>5</v>
      </c>
      <c r="K1" s="9" t="s">
        <v>7</v>
      </c>
      <c r="L1" s="9" t="s">
        <v>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6" t="s">
        <v>6</v>
      </c>
      <c r="S1" s="9" t="s">
        <v>9</v>
      </c>
      <c r="T1" s="9" t="s">
        <v>10</v>
      </c>
      <c r="U1" s="9" t="s">
        <v>19</v>
      </c>
      <c r="V1" s="9" t="s">
        <v>20</v>
      </c>
      <c r="W1" s="9" t="s">
        <v>24</v>
      </c>
      <c r="X1" s="9" t="s">
        <v>25</v>
      </c>
      <c r="Y1" s="9" t="s">
        <v>23</v>
      </c>
    </row>
    <row r="2" spans="1:25" x14ac:dyDescent="0.25">
      <c r="A2" s="16">
        <v>45930</v>
      </c>
      <c r="B2" s="14" t="s">
        <v>30</v>
      </c>
      <c r="C2" s="14" t="s">
        <v>31</v>
      </c>
      <c r="D2" s="11" t="s">
        <v>32</v>
      </c>
      <c r="E2" s="11" t="s">
        <v>60</v>
      </c>
      <c r="F2" s="14">
        <v>239</v>
      </c>
      <c r="G2" s="14" t="s">
        <v>175</v>
      </c>
      <c r="H2" s="11" t="s">
        <v>15</v>
      </c>
      <c r="I2" s="3">
        <v>89000</v>
      </c>
      <c r="J2" s="5" t="s">
        <v>33</v>
      </c>
      <c r="K2" s="4">
        <v>0.43402777777777773</v>
      </c>
      <c r="L2" s="5">
        <v>0.43124999999999997</v>
      </c>
      <c r="M2" s="14">
        <v>178</v>
      </c>
      <c r="N2" s="14">
        <v>5</v>
      </c>
      <c r="O2" s="14">
        <v>682</v>
      </c>
      <c r="P2" s="14">
        <v>0</v>
      </c>
      <c r="Q2" s="14">
        <v>0</v>
      </c>
      <c r="R2" s="14" t="s">
        <v>34</v>
      </c>
      <c r="S2" s="4">
        <v>0.45833333333333331</v>
      </c>
      <c r="T2" s="5">
        <v>0.46180555555555558</v>
      </c>
      <c r="U2" s="14">
        <v>84</v>
      </c>
      <c r="V2" s="14">
        <v>2</v>
      </c>
      <c r="W2" s="14">
        <v>351</v>
      </c>
      <c r="X2" s="14">
        <v>0</v>
      </c>
      <c r="Y2" s="14">
        <v>0</v>
      </c>
    </row>
    <row r="3" spans="1:25" x14ac:dyDescent="0.25">
      <c r="A3" s="16">
        <v>45930</v>
      </c>
      <c r="B3" s="14" t="s">
        <v>30</v>
      </c>
      <c r="C3" s="10" t="s">
        <v>31</v>
      </c>
      <c r="D3" s="14" t="s">
        <v>27</v>
      </c>
      <c r="E3" s="11" t="s">
        <v>60</v>
      </c>
      <c r="F3" s="14">
        <v>239</v>
      </c>
      <c r="G3" s="14" t="s">
        <v>64</v>
      </c>
      <c r="H3" s="11" t="s">
        <v>15</v>
      </c>
      <c r="I3" s="3">
        <v>89000</v>
      </c>
      <c r="J3" s="14" t="s">
        <v>62</v>
      </c>
      <c r="K3" s="4">
        <v>0.48958333333333331</v>
      </c>
      <c r="L3" s="5">
        <v>0.51666666666666672</v>
      </c>
      <c r="M3" s="14">
        <v>190</v>
      </c>
      <c r="N3" s="14">
        <v>2</v>
      </c>
      <c r="O3" s="14">
        <v>461</v>
      </c>
      <c r="P3" s="14">
        <v>0</v>
      </c>
      <c r="Q3" s="14">
        <v>0</v>
      </c>
      <c r="R3" s="14" t="s">
        <v>73</v>
      </c>
      <c r="S3" s="4">
        <v>0.51458333333333328</v>
      </c>
      <c r="T3" s="5">
        <v>0.55555555555555558</v>
      </c>
      <c r="U3" s="14">
        <v>211</v>
      </c>
      <c r="V3" s="14">
        <v>6</v>
      </c>
      <c r="W3" s="14">
        <v>928</v>
      </c>
      <c r="X3" s="14">
        <v>0</v>
      </c>
      <c r="Y3" s="14">
        <v>0</v>
      </c>
    </row>
    <row r="4" spans="1:25" x14ac:dyDescent="0.25">
      <c r="A4" s="16">
        <v>45930</v>
      </c>
      <c r="B4" s="14" t="s">
        <v>11</v>
      </c>
      <c r="C4" s="10" t="s">
        <v>12</v>
      </c>
      <c r="D4" s="11" t="s">
        <v>13</v>
      </c>
      <c r="E4" s="11" t="s">
        <v>60</v>
      </c>
      <c r="F4" s="14">
        <v>230</v>
      </c>
      <c r="G4" s="14" t="s">
        <v>176</v>
      </c>
      <c r="H4" s="11" t="s">
        <v>15</v>
      </c>
      <c r="I4" s="3">
        <v>89000</v>
      </c>
      <c r="J4" s="5" t="s">
        <v>16</v>
      </c>
      <c r="K4" s="4">
        <v>0.47569444444444442</v>
      </c>
      <c r="L4" s="5">
        <v>0.47222222222222227</v>
      </c>
      <c r="M4" s="14">
        <v>195</v>
      </c>
      <c r="N4" s="14">
        <v>3</v>
      </c>
      <c r="O4" s="14">
        <v>750</v>
      </c>
      <c r="P4" s="14">
        <v>0</v>
      </c>
      <c r="Q4" s="14">
        <v>0</v>
      </c>
      <c r="R4" s="14" t="s">
        <v>26</v>
      </c>
      <c r="S4" s="4">
        <v>0.5</v>
      </c>
      <c r="T4" s="5">
        <v>0.50624999999999998</v>
      </c>
      <c r="U4" s="14">
        <v>148</v>
      </c>
      <c r="V4" s="14">
        <v>4</v>
      </c>
      <c r="W4" s="14">
        <v>386</v>
      </c>
      <c r="X4" s="14">
        <v>0</v>
      </c>
      <c r="Y4" s="14">
        <v>0</v>
      </c>
    </row>
    <row r="5" spans="1:25" x14ac:dyDescent="0.25">
      <c r="A5" s="16"/>
      <c r="B5" s="14"/>
      <c r="C5" s="10"/>
      <c r="D5" s="14"/>
      <c r="E5" s="11"/>
      <c r="F5" s="14"/>
      <c r="G5" s="14"/>
      <c r="H5" s="11"/>
      <c r="I5" s="3"/>
      <c r="J5" s="14"/>
      <c r="K5" s="4"/>
      <c r="L5" s="5"/>
      <c r="M5" s="14"/>
      <c r="N5" s="14"/>
      <c r="O5" s="14"/>
      <c r="P5" s="14"/>
      <c r="Q5" s="14"/>
      <c r="R5" s="14"/>
      <c r="S5" s="4"/>
      <c r="T5" s="5"/>
      <c r="U5" s="14"/>
      <c r="V5" s="14"/>
      <c r="W5" s="14"/>
      <c r="X5" s="14"/>
      <c r="Y5" s="14"/>
    </row>
    <row r="6" spans="1:25" x14ac:dyDescent="0.25">
      <c r="A6" s="16"/>
      <c r="B6" s="14"/>
      <c r="C6" s="10"/>
      <c r="D6" s="14"/>
      <c r="E6" s="14"/>
      <c r="F6" s="14"/>
      <c r="G6" s="14"/>
      <c r="H6" s="14"/>
      <c r="I6" s="14"/>
      <c r="J6" s="14"/>
      <c r="K6" s="17"/>
      <c r="L6" s="18"/>
      <c r="M6" s="19"/>
      <c r="N6" s="19"/>
      <c r="O6" s="19"/>
      <c r="P6" s="14"/>
      <c r="Q6" s="14"/>
      <c r="R6" s="14"/>
      <c r="S6" s="17"/>
      <c r="T6" s="18"/>
      <c r="U6" s="14"/>
      <c r="V6" s="14"/>
      <c r="W6" s="14"/>
      <c r="X6" s="14"/>
      <c r="Y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2025-09-30T11:22:35Z</dcterms:modified>
</cp:coreProperties>
</file>