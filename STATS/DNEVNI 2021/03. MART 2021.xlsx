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480" yWindow="315" windowWidth="18195" windowHeight="11580" tabRatio="640" firstSheet="3" activeTab="25"/>
  </bookViews>
  <sheets>
    <sheet name="1" sheetId="1" r:id="rId1"/>
    <sheet name="2" sheetId="2" r:id="rId2"/>
    <sheet name="3" sheetId="3" r:id="rId3"/>
    <sheet name="5" sheetId="4" r:id="rId4"/>
    <sheet name="6" sheetId="5" r:id="rId5"/>
    <sheet name="7" sheetId="6" r:id="rId6"/>
    <sheet name="8" sheetId="7" r:id="rId7"/>
    <sheet name="9" sheetId="8" r:id="rId8"/>
    <sheet name="10" sheetId="9" r:id="rId9"/>
    <sheet name="12" sheetId="10" r:id="rId10"/>
    <sheet name="13" sheetId="11" r:id="rId11"/>
    <sheet name="14" sheetId="12" r:id="rId12"/>
    <sheet name="15" sheetId="13" r:id="rId13"/>
    <sheet name="16" sheetId="14" r:id="rId14"/>
    <sheet name="17" sheetId="15" r:id="rId15"/>
    <sheet name="19" sheetId="16" r:id="rId16"/>
    <sheet name="20" sheetId="17" r:id="rId17"/>
    <sheet name="21" sheetId="18" r:id="rId18"/>
    <sheet name="22" sheetId="19" r:id="rId19"/>
    <sheet name="23" sheetId="20" r:id="rId20"/>
    <sheet name="26" sheetId="21" r:id="rId21"/>
    <sheet name="27" sheetId="22" r:id="rId22"/>
    <sheet name="28" sheetId="23" r:id="rId23"/>
    <sheet name="29" sheetId="24" r:id="rId24"/>
    <sheet name="30" sheetId="25" r:id="rId25"/>
    <sheet name="31" sheetId="26" r:id="rId26"/>
  </sheets>
  <calcPr calcId="145621"/>
</workbook>
</file>

<file path=xl/calcChain.xml><?xml version="1.0" encoding="utf-8"?>
<calcChain xmlns="http://schemas.openxmlformats.org/spreadsheetml/2006/main">
  <c r="A5" i="25" l="1"/>
  <c r="H5" i="25"/>
  <c r="I5" i="25" s="1"/>
  <c r="I4" i="25" l="1"/>
  <c r="H4" i="25"/>
  <c r="A3" i="25" l="1"/>
  <c r="A4" i="25" s="1"/>
  <c r="A3" i="24" l="1"/>
  <c r="A4" i="24" s="1"/>
  <c r="A4" i="23" l="1"/>
  <c r="A3" i="23"/>
  <c r="F6" i="22" l="1"/>
  <c r="E6" i="22"/>
  <c r="A6" i="22"/>
  <c r="A7" i="22" l="1"/>
  <c r="E4" i="22"/>
  <c r="A5" i="22"/>
  <c r="A3" i="18" l="1"/>
  <c r="A4" i="18" s="1"/>
  <c r="E3" i="17" l="1"/>
  <c r="A3" i="17"/>
  <c r="A4" i="17" s="1"/>
  <c r="A3" i="12" l="1"/>
  <c r="A4" i="12" s="1"/>
  <c r="A3" i="11" l="1"/>
  <c r="A4" i="11" s="1"/>
  <c r="A3" i="6" l="1"/>
  <c r="A4" i="6" s="1"/>
  <c r="A4" i="5" l="1"/>
  <c r="A3" i="5"/>
  <c r="E3" i="2" l="1"/>
</calcChain>
</file>

<file path=xl/sharedStrings.xml><?xml version="1.0" encoding="utf-8"?>
<sst xmlns="http://schemas.openxmlformats.org/spreadsheetml/2006/main" count="1049" uniqueCount="180">
  <si>
    <t>datum</t>
  </si>
  <si>
    <t>kompanija</t>
  </si>
  <si>
    <t>ruta</t>
  </si>
  <si>
    <t>tip a/c</t>
  </si>
  <si>
    <t>reg</t>
  </si>
  <si>
    <t>tip OPER.</t>
  </si>
  <si>
    <t>MTOW(kg)</t>
  </si>
  <si>
    <t>br leta u dol</t>
  </si>
  <si>
    <t>br leta u odl</t>
  </si>
  <si>
    <t>pl vrijeme dol</t>
  </si>
  <si>
    <t>st vrijeme dol</t>
  </si>
  <si>
    <t>pl vrijeme odl</t>
  </si>
  <si>
    <t>st vrijeme odl</t>
  </si>
  <si>
    <t>br putnika DOLAZAK</t>
  </si>
  <si>
    <t>br putnika ODLAZAK</t>
  </si>
  <si>
    <t>prtljag D(kg)</t>
  </si>
  <si>
    <t>prtljag O(kg)</t>
  </si>
  <si>
    <t>cargo D(kg)</t>
  </si>
  <si>
    <t>cargo O(kg)</t>
  </si>
  <si>
    <t>pošta D(kg)</t>
  </si>
  <si>
    <t>pošta O(kg)</t>
  </si>
  <si>
    <t>WIZZAIR</t>
  </si>
  <si>
    <t>TZL-DTM-TZL</t>
  </si>
  <si>
    <t>A320</t>
  </si>
  <si>
    <t>HALYI</t>
  </si>
  <si>
    <t>SCHEDULED</t>
  </si>
  <si>
    <t>W64298</t>
  </si>
  <si>
    <t>W64297</t>
  </si>
  <si>
    <t>125+3 INF</t>
  </si>
  <si>
    <t>145+4INF</t>
  </si>
  <si>
    <t>TZL-MMX-TZL</t>
  </si>
  <si>
    <t>TZL-FMM-TZL</t>
  </si>
  <si>
    <t>HA-LWR</t>
  </si>
  <si>
    <t>W64292</t>
  </si>
  <si>
    <t>W64280</t>
  </si>
  <si>
    <t>W64291</t>
  </si>
  <si>
    <t>W64279</t>
  </si>
  <si>
    <t>78+1 INF</t>
  </si>
  <si>
    <t>114+4 INF</t>
  </si>
  <si>
    <t>65+1 INF</t>
  </si>
  <si>
    <t>50+4 INF</t>
  </si>
  <si>
    <t>TZL-NYO-TZL</t>
  </si>
  <si>
    <t>HALWR</t>
  </si>
  <si>
    <t>W64282</t>
  </si>
  <si>
    <t>W64281</t>
  </si>
  <si>
    <t>TZL-MLH-TZL</t>
  </si>
  <si>
    <t>W64294</t>
  </si>
  <si>
    <t>W64293</t>
  </si>
  <si>
    <t>72+3INF</t>
  </si>
  <si>
    <t>73+0INF</t>
  </si>
  <si>
    <t>75+3 INF</t>
  </si>
  <si>
    <t>100+3 INF</t>
  </si>
  <si>
    <t>133+4INF</t>
  </si>
  <si>
    <t>148+3INF</t>
  </si>
  <si>
    <t>TZL-GOT-TZL</t>
  </si>
  <si>
    <t>HA-LYI</t>
  </si>
  <si>
    <t>W64296</t>
  </si>
  <si>
    <t>W64295</t>
  </si>
  <si>
    <t>126+3 INF</t>
  </si>
  <si>
    <t>130+6 INF</t>
  </si>
  <si>
    <t>125+7 INF</t>
  </si>
  <si>
    <t>HALYI/HALYR</t>
  </si>
  <si>
    <t>135+11INF</t>
  </si>
  <si>
    <t>116+1INF</t>
  </si>
  <si>
    <t>147+4INF</t>
  </si>
  <si>
    <t>112+5 INF</t>
  </si>
  <si>
    <t>133+2 INF</t>
  </si>
  <si>
    <t>124+4 INF</t>
  </si>
  <si>
    <t>HALYR</t>
  </si>
  <si>
    <t>TZL-HHN-TZL</t>
  </si>
  <si>
    <t>W64283</t>
  </si>
  <si>
    <t>W64284</t>
  </si>
  <si>
    <t>96+1 INF</t>
  </si>
  <si>
    <t>109+2 INF</t>
  </si>
  <si>
    <t>94+1 INF</t>
  </si>
  <si>
    <t>120+2INF</t>
  </si>
  <si>
    <t>153+7INF</t>
  </si>
  <si>
    <t>91+3 INF</t>
  </si>
  <si>
    <t>48+3INF</t>
  </si>
  <si>
    <t>85+0INF</t>
  </si>
  <si>
    <t>70+3INF</t>
  </si>
  <si>
    <t>145+4 INF</t>
  </si>
  <si>
    <t>134+6 INF</t>
  </si>
  <si>
    <t>145+10INF</t>
  </si>
  <si>
    <t>152+2INF</t>
  </si>
  <si>
    <t>141+12INF</t>
  </si>
  <si>
    <t>131+5INF</t>
  </si>
  <si>
    <t>137+3INF</t>
  </si>
  <si>
    <t>123+3INF</t>
  </si>
  <si>
    <t>129+7 INF</t>
  </si>
  <si>
    <t>123+8 INF</t>
  </si>
  <si>
    <t>121+0 INF</t>
  </si>
  <si>
    <t>134+2INF</t>
  </si>
  <si>
    <t>98+2INF</t>
  </si>
  <si>
    <t>73+1INF</t>
  </si>
  <si>
    <t>127+3 INF</t>
  </si>
  <si>
    <t>HALWR/LWX</t>
  </si>
  <si>
    <t>139+8 INF</t>
  </si>
  <si>
    <t>71+3INF</t>
  </si>
  <si>
    <t>44+3INF</t>
  </si>
  <si>
    <t>89+3INF</t>
  </si>
  <si>
    <t>60+0INF</t>
  </si>
  <si>
    <t>HALWX/WR</t>
  </si>
  <si>
    <t>105+2 INF</t>
  </si>
  <si>
    <t>124+2 INF</t>
  </si>
  <si>
    <t>122+4 INF</t>
  </si>
  <si>
    <t>121+6 INF</t>
  </si>
  <si>
    <t>125+4 INF</t>
  </si>
  <si>
    <t>117+1 INF</t>
  </si>
  <si>
    <t>108+10 INF</t>
  </si>
  <si>
    <t>121+2 INF</t>
  </si>
  <si>
    <t>116+5INF</t>
  </si>
  <si>
    <t>116+4INF</t>
  </si>
  <si>
    <t>106+0 INF</t>
  </si>
  <si>
    <t>111+1INF</t>
  </si>
  <si>
    <t>70+2INF</t>
  </si>
  <si>
    <t>127+4 INF</t>
  </si>
  <si>
    <t>116+2INF</t>
  </si>
  <si>
    <t>60+4 INF</t>
  </si>
  <si>
    <t>90+14 INF</t>
  </si>
  <si>
    <t>44+3 INF</t>
  </si>
  <si>
    <t>62+4 INF</t>
  </si>
  <si>
    <t>TZL-EIN-TZL</t>
  </si>
  <si>
    <t>W64290</t>
  </si>
  <si>
    <t>W64289</t>
  </si>
  <si>
    <t>118+1 INF</t>
  </si>
  <si>
    <t>66+3INF</t>
  </si>
  <si>
    <t>105+6INF</t>
  </si>
  <si>
    <t>109+3 INF</t>
  </si>
  <si>
    <t>94+6 INF</t>
  </si>
  <si>
    <t>110+9 IN</t>
  </si>
  <si>
    <t>72+1 INF</t>
  </si>
  <si>
    <t>E7D123</t>
  </si>
  <si>
    <t>NON - SCHEDULED</t>
  </si>
  <si>
    <t>EF-D123</t>
  </si>
  <si>
    <t>ZENAIRCH701</t>
  </si>
  <si>
    <t>LQKR-TZL</t>
  </si>
  <si>
    <t>RASIM JUSUFOVIC</t>
  </si>
  <si>
    <t>128+5 INF</t>
  </si>
  <si>
    <t>146+0 INF</t>
  </si>
  <si>
    <t>106+3 INF</t>
  </si>
  <si>
    <t>79+5INF</t>
  </si>
  <si>
    <t>TZL-BER-TZL</t>
  </si>
  <si>
    <t>W64276</t>
  </si>
  <si>
    <t>W64275</t>
  </si>
  <si>
    <t>TZL-CGN-TZL</t>
  </si>
  <si>
    <t>W64300</t>
  </si>
  <si>
    <t>W64299</t>
  </si>
  <si>
    <t>98+7INF</t>
  </si>
  <si>
    <t>100+1INF</t>
  </si>
  <si>
    <t>80+3INF</t>
  </si>
  <si>
    <t>107+5 INF</t>
  </si>
  <si>
    <t>146+9 INF</t>
  </si>
  <si>
    <t>138+3 INF</t>
  </si>
  <si>
    <t>85+2INF</t>
  </si>
  <si>
    <t>83+3 INF</t>
  </si>
  <si>
    <t>75+2 INF</t>
  </si>
  <si>
    <t>60+1 INF</t>
  </si>
  <si>
    <t>98+0INF</t>
  </si>
  <si>
    <t>108+0INF</t>
  </si>
  <si>
    <t>106+5INF</t>
  </si>
  <si>
    <t>76+5INF</t>
  </si>
  <si>
    <t>36+0 INF</t>
  </si>
  <si>
    <t>BERNARD MATOŠEVIĆ</t>
  </si>
  <si>
    <t>LQCG-TZL-LUG</t>
  </si>
  <si>
    <t>750G</t>
  </si>
  <si>
    <t>S5-MMY</t>
  </si>
  <si>
    <t>TECHNICAL</t>
  </si>
  <si>
    <t>77+3 INF</t>
  </si>
  <si>
    <t>LUG-TZL-LQCG</t>
  </si>
  <si>
    <t>JUGOSERVIS</t>
  </si>
  <si>
    <t>BEG-TZL-LQCG</t>
  </si>
  <si>
    <t>SILA750</t>
  </si>
  <si>
    <t>YUDSW</t>
  </si>
  <si>
    <t>64+6INF</t>
  </si>
  <si>
    <t>136+4INF</t>
  </si>
  <si>
    <t>82+1 INF</t>
  </si>
  <si>
    <t>113+2 INF</t>
  </si>
  <si>
    <t>57+2 INF</t>
  </si>
  <si>
    <t>128+0 INF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</si>
</sst>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6" x14ac:knownFonts="1">
    <font>
      <sz val="11"/>
      <color theme="1"/>
      <name val="Calibri"/>
      <family val="2"/>
      <charset val="238"/>
      <scheme val="minor"/>
    </font>
    <font>
      <sz val="10"/>
      <name val="Arial"/>
      <family val="2"/>
      <charset val="238"/>
    </font>
    <font>
      <sz val="10"/>
      <name val="Garamond"/>
      <family val="1"/>
      <charset val="238"/>
    </font>
    <font>
      <sz val="10"/>
      <color theme="1"/>
      <name val="Garamond"/>
      <family val="1"/>
      <charset val="238"/>
    </font>
    <font>
      <b/>
      <sz val="10"/>
      <color theme="1"/>
      <name val="Garamond"/>
      <family val="1"/>
      <charset val="238"/>
    </font>
    <font>
      <sz val="11"/>
      <color theme="1"/>
      <name val="Calibri"/>
      <family val="2"/>
      <charset val="23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5">
    <xf numFmtId="0" fontId="0" fillId="0" borderId="0"/>
    <xf numFmtId="0" fontId="1" fillId="0" borderId="0"/>
    <xf numFmtId="0" fontId="1" fillId="0" borderId="0"/>
    <xf numFmtId="0" fontId="1" fillId="0" borderId="0"/>
    <xf numFmtId="0" fontId="5" fillId="0" borderId="0"/>
  </cellStyleXfs>
  <cellXfs count="14">
    <xf numFmtId="0" fontId="0" fillId="0" borderId="0" xfId="0"/>
    <xf numFmtId="0" fontId="2" fillId="0" borderId="0" xfId="1" applyFont="1" applyAlignment="1">
      <alignment horizontal="center" vertical="center"/>
    </xf>
    <xf numFmtId="0" fontId="3" fillId="0" borderId="0" xfId="2" applyFont="1" applyAlignment="1">
      <alignment horizontal="center" vertical="center"/>
    </xf>
    <xf numFmtId="14" fontId="3" fillId="0" borderId="0" xfId="0" applyNumberFormat="1" applyFont="1" applyAlignment="1">
      <alignment horizontal="center"/>
    </xf>
    <xf numFmtId="0" fontId="3" fillId="0" borderId="0" xfId="0" applyFont="1" applyAlignment="1">
      <alignment horizontal="center"/>
    </xf>
    <xf numFmtId="20" fontId="4" fillId="0" borderId="0" xfId="0" applyNumberFormat="1" applyFont="1" applyAlignment="1">
      <alignment horizontal="center"/>
    </xf>
    <xf numFmtId="20" fontId="3" fillId="0" borderId="0" xfId="0" applyNumberFormat="1" applyFont="1" applyAlignment="1">
      <alignment horizontal="center"/>
    </xf>
    <xf numFmtId="14" fontId="2" fillId="0" borderId="0" xfId="3" applyNumberFormat="1" applyFont="1" applyFill="1" applyAlignment="1">
      <alignment horizontal="center" vertical="center"/>
    </xf>
    <xf numFmtId="0" fontId="2" fillId="0" borderId="0" xfId="1" applyFont="1" applyFill="1" applyAlignment="1">
      <alignment horizontal="center" vertical="center"/>
    </xf>
    <xf numFmtId="0" fontId="2" fillId="0" borderId="0" xfId="0" applyFont="1" applyFill="1" applyAlignment="1">
      <alignment horizontal="center" vertical="center"/>
    </xf>
    <xf numFmtId="3" fontId="2" fillId="0" borderId="0" xfId="1" applyNumberFormat="1" applyFont="1" applyFill="1" applyAlignment="1">
      <alignment horizontal="center" vertical="center"/>
    </xf>
    <xf numFmtId="3" fontId="3" fillId="0" borderId="0" xfId="0" applyNumberFormat="1" applyFont="1" applyAlignment="1">
      <alignment horizontal="center"/>
    </xf>
    <xf numFmtId="0" fontId="0" fillId="0" borderId="0" xfId="0" applyAlignment="1">
      <alignment horizontal="center"/>
    </xf>
    <xf numFmtId="20" fontId="0" fillId="0" borderId="0" xfId="0" applyNumberFormat="1" applyAlignment="1">
      <alignment horizontal="center"/>
    </xf>
  </cellXfs>
  <cellStyles count="5">
    <cellStyle name="Normal" xfId="0" builtinId="0"/>
    <cellStyle name="Normal 2" xfId="2"/>
    <cellStyle name="Normal 2 2" xfId="3"/>
    <cellStyle name="Normal 2 3" xfId="4"/>
    <cellStyle name="Normal 4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styles" Target="style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theme" Target="theme/theme1.xml"/><Relationship Id="rId30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2"/>
  <sheetViews>
    <sheetView workbookViewId="0">
      <selection activeCell="P2" sqref="P2"/>
    </sheetView>
  </sheetViews>
  <sheetFormatPr defaultRowHeight="15" x14ac:dyDescent="0.25"/>
  <cols>
    <col min="1" max="1" width="10.140625" bestFit="1" customWidth="1"/>
    <col min="3" max="3" width="13.28515625" bestFit="1" customWidth="1"/>
    <col min="4" max="4" width="5.7109375" bestFit="1" customWidth="1"/>
    <col min="6" max="6" width="12.140625" bestFit="1" customWidth="1"/>
  </cols>
  <sheetData>
    <row r="1" spans="1:21" s="2" customFormat="1" ht="12.7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 s="4" customFormat="1" ht="12.75" x14ac:dyDescent="0.2">
      <c r="A2" s="3">
        <v>44256</v>
      </c>
      <c r="B2" s="4" t="s">
        <v>21</v>
      </c>
      <c r="C2" s="4" t="s">
        <v>22</v>
      </c>
      <c r="D2" s="4" t="s">
        <v>23</v>
      </c>
      <c r="E2" s="4" t="s">
        <v>24</v>
      </c>
      <c r="F2" s="4" t="s">
        <v>25</v>
      </c>
      <c r="G2" s="4">
        <v>70000</v>
      </c>
      <c r="H2" s="4" t="s">
        <v>26</v>
      </c>
      <c r="I2" s="4" t="s">
        <v>27</v>
      </c>
      <c r="J2" s="5">
        <v>0.47569444444444442</v>
      </c>
      <c r="K2" s="6">
        <v>0.46388888888888885</v>
      </c>
      <c r="L2" s="5">
        <v>0.27430555555555552</v>
      </c>
      <c r="M2" s="6">
        <v>0.28333333333333333</v>
      </c>
      <c r="N2" s="4" t="s">
        <v>29</v>
      </c>
      <c r="O2" s="4" t="s">
        <v>28</v>
      </c>
      <c r="P2" s="4">
        <v>1291</v>
      </c>
      <c r="Q2" s="4">
        <v>1000</v>
      </c>
      <c r="R2" s="4">
        <v>0</v>
      </c>
      <c r="S2" s="4">
        <v>0</v>
      </c>
      <c r="T2" s="4">
        <v>0</v>
      </c>
      <c r="U2" s="4">
        <v>0</v>
      </c>
    </row>
  </sheetData>
  <pageMargins left="0.7" right="0.7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3"/>
  <sheetViews>
    <sheetView workbookViewId="0">
      <selection sqref="A1:U1"/>
    </sheetView>
  </sheetViews>
  <sheetFormatPr defaultRowHeight="15" x14ac:dyDescent="0.25"/>
  <cols>
    <col min="1" max="1" width="10.140625" bestFit="1" customWidth="1"/>
    <col min="3" max="3" width="13.28515625" bestFit="1" customWidth="1"/>
    <col min="4" max="4" width="5.7109375" bestFit="1" customWidth="1"/>
    <col min="6" max="6" width="12.140625" bestFit="1" customWidth="1"/>
    <col min="12" max="12" width="11" bestFit="1" customWidth="1"/>
    <col min="13" max="13" width="10.85546875" bestFit="1" customWidth="1"/>
  </cols>
  <sheetData>
    <row r="1" spans="1:21" s="2" customFormat="1" ht="12.7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 s="4" customFormat="1" ht="12.75" x14ac:dyDescent="0.2">
      <c r="A2" s="3">
        <v>44257</v>
      </c>
      <c r="B2" s="4" t="s">
        <v>21</v>
      </c>
      <c r="C2" s="4" t="s">
        <v>30</v>
      </c>
      <c r="D2" s="4" t="s">
        <v>23</v>
      </c>
      <c r="E2" s="4" t="s">
        <v>32</v>
      </c>
      <c r="F2" s="4" t="s">
        <v>25</v>
      </c>
      <c r="G2" s="4">
        <v>70000</v>
      </c>
      <c r="H2" s="4" t="s">
        <v>33</v>
      </c>
      <c r="I2" s="4" t="s">
        <v>35</v>
      </c>
      <c r="J2" s="5">
        <v>0.47916666666666669</v>
      </c>
      <c r="K2" s="6">
        <v>0.4680555555555555</v>
      </c>
      <c r="L2" s="5">
        <v>0.27430555555555552</v>
      </c>
      <c r="M2" s="6">
        <v>0.27986111111111112</v>
      </c>
      <c r="N2" s="4" t="s">
        <v>38</v>
      </c>
      <c r="O2" s="4" t="s">
        <v>37</v>
      </c>
      <c r="P2" s="4">
        <v>857</v>
      </c>
      <c r="Q2" s="4">
        <v>554</v>
      </c>
      <c r="R2" s="4">
        <v>0</v>
      </c>
      <c r="S2" s="4">
        <v>0</v>
      </c>
      <c r="T2" s="4">
        <v>0</v>
      </c>
      <c r="U2" s="4">
        <v>0</v>
      </c>
    </row>
    <row r="3" spans="1:21" x14ac:dyDescent="0.25">
      <c r="A3" s="3">
        <v>44257</v>
      </c>
      <c r="B3" s="4" t="s">
        <v>21</v>
      </c>
      <c r="C3" s="4" t="s">
        <v>31</v>
      </c>
      <c r="D3" s="4" t="s">
        <v>23</v>
      </c>
      <c r="E3" s="4" t="str">
        <f>E2</f>
        <v>HA-LWR</v>
      </c>
      <c r="F3" s="4" t="s">
        <v>25</v>
      </c>
      <c r="G3" s="4">
        <v>70000</v>
      </c>
      <c r="H3" s="4" t="s">
        <v>34</v>
      </c>
      <c r="I3" s="4" t="s">
        <v>36</v>
      </c>
      <c r="J3" s="5">
        <v>0.64930555555555558</v>
      </c>
      <c r="K3" s="6">
        <v>0.63402777777777775</v>
      </c>
      <c r="L3" s="5">
        <v>0.5</v>
      </c>
      <c r="M3" s="6">
        <v>0.50555555555555554</v>
      </c>
      <c r="N3" s="4" t="s">
        <v>40</v>
      </c>
      <c r="O3" s="4" t="s">
        <v>39</v>
      </c>
      <c r="P3" s="4">
        <v>389</v>
      </c>
      <c r="Q3" s="4">
        <v>570</v>
      </c>
      <c r="R3" s="4">
        <v>0</v>
      </c>
      <c r="S3" s="4">
        <v>0</v>
      </c>
      <c r="T3" s="4">
        <v>0</v>
      </c>
      <c r="U3" s="4">
        <v>0</v>
      </c>
    </row>
  </sheetData>
  <pageMargins left="0.7" right="0.7" top="0.75" bottom="0.75" header="0.3" footer="0.3"/>
  <pageSetup paperSize="9" orientation="portrait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5"/>
  <sheetViews>
    <sheetView workbookViewId="0">
      <selection activeCell="J3" sqref="J3"/>
    </sheetView>
  </sheetViews>
  <sheetFormatPr defaultRowHeight="15" x14ac:dyDescent="0.25"/>
  <sheetData>
    <row r="1" spans="1:2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 x14ac:dyDescent="0.25">
      <c r="A2" s="7">
        <v>44258</v>
      </c>
      <c r="B2" s="8" t="s">
        <v>21</v>
      </c>
      <c r="C2" s="8" t="s">
        <v>41</v>
      </c>
      <c r="D2" s="8" t="s">
        <v>23</v>
      </c>
      <c r="E2" s="8" t="s">
        <v>42</v>
      </c>
      <c r="F2" s="9" t="s">
        <v>25</v>
      </c>
      <c r="G2" s="10">
        <v>70000</v>
      </c>
      <c r="H2" s="9" t="s">
        <v>43</v>
      </c>
      <c r="I2" s="9" t="s">
        <v>44</v>
      </c>
      <c r="J2" s="5">
        <v>0.74305555555555547</v>
      </c>
      <c r="K2" s="6">
        <v>0.72638888888888886</v>
      </c>
      <c r="L2" s="5">
        <v>0.50694444444444442</v>
      </c>
      <c r="M2" s="6">
        <v>0.50763888888888886</v>
      </c>
      <c r="N2" s="4" t="s">
        <v>49</v>
      </c>
      <c r="O2" s="4" t="s">
        <v>48</v>
      </c>
      <c r="P2" s="4">
        <v>642</v>
      </c>
      <c r="Q2" s="4">
        <v>741</v>
      </c>
      <c r="R2" s="4">
        <v>0</v>
      </c>
      <c r="S2" s="4">
        <v>0</v>
      </c>
      <c r="T2" s="4">
        <v>0</v>
      </c>
      <c r="U2" s="4">
        <v>0</v>
      </c>
    </row>
    <row r="3" spans="1:21" x14ac:dyDescent="0.25">
      <c r="A3" s="7">
        <v>44258</v>
      </c>
      <c r="B3" s="8" t="s">
        <v>21</v>
      </c>
      <c r="C3" s="8" t="s">
        <v>45</v>
      </c>
      <c r="D3" s="8" t="s">
        <v>23</v>
      </c>
      <c r="E3" s="8" t="s">
        <v>42</v>
      </c>
      <c r="F3" s="9" t="s">
        <v>25</v>
      </c>
      <c r="G3" s="10">
        <v>70000</v>
      </c>
      <c r="H3" s="9" t="s">
        <v>46</v>
      </c>
      <c r="I3" s="9" t="s">
        <v>47</v>
      </c>
      <c r="J3" s="5">
        <v>0.93055555555555547</v>
      </c>
      <c r="K3" s="6">
        <v>0.9194444444444444</v>
      </c>
      <c r="L3" s="5">
        <v>0.76388888888888884</v>
      </c>
      <c r="M3" s="6">
        <v>0.76597222222222217</v>
      </c>
      <c r="N3" s="4" t="s">
        <v>51</v>
      </c>
      <c r="O3" s="4" t="s">
        <v>50</v>
      </c>
      <c r="P3" s="4">
        <v>649</v>
      </c>
      <c r="Q3" s="4">
        <v>678</v>
      </c>
      <c r="R3" s="4">
        <v>0</v>
      </c>
      <c r="S3" s="4">
        <v>0</v>
      </c>
      <c r="T3" s="4">
        <v>0</v>
      </c>
      <c r="U3" s="4">
        <v>0</v>
      </c>
    </row>
    <row r="4" spans="1:21" x14ac:dyDescent="0.25">
      <c r="A4" s="7"/>
      <c r="B4" s="4"/>
      <c r="C4" s="4"/>
      <c r="D4" s="4"/>
      <c r="E4" s="4"/>
      <c r="F4" s="4"/>
      <c r="G4" s="4"/>
      <c r="H4" s="4"/>
      <c r="I4" s="4"/>
      <c r="J4" s="6"/>
      <c r="K4" s="6"/>
      <c r="L4" s="6"/>
      <c r="M4" s="6"/>
      <c r="N4" s="4"/>
      <c r="O4" s="4"/>
      <c r="P4" s="4"/>
      <c r="Q4" s="4"/>
      <c r="R4" s="4"/>
      <c r="S4" s="4"/>
      <c r="T4" s="4"/>
      <c r="U4" s="4"/>
    </row>
    <row r="5" spans="1:21" x14ac:dyDescent="0.25">
      <c r="A5" s="7"/>
      <c r="B5" s="4"/>
      <c r="C5" s="4"/>
      <c r="D5" s="4"/>
      <c r="E5" s="4"/>
      <c r="F5" s="4"/>
      <c r="G5" s="4"/>
      <c r="H5" s="4"/>
      <c r="I5" s="4"/>
      <c r="J5" s="6"/>
      <c r="K5" s="6"/>
      <c r="L5" s="6"/>
      <c r="M5" s="6"/>
      <c r="N5" s="4"/>
      <c r="O5" s="4"/>
      <c r="P5" s="4"/>
      <c r="Q5" s="4"/>
      <c r="R5" s="4"/>
      <c r="S5" s="4"/>
      <c r="T5" s="4"/>
      <c r="U5" s="4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2"/>
  <sheetViews>
    <sheetView workbookViewId="0">
      <selection activeCell="K2" sqref="K2"/>
    </sheetView>
  </sheetViews>
  <sheetFormatPr defaultRowHeight="15" x14ac:dyDescent="0.25"/>
  <cols>
    <col min="1" max="1" width="10.140625" bestFit="1" customWidth="1"/>
    <col min="3" max="3" width="13.28515625" bestFit="1" customWidth="1"/>
    <col min="4" max="4" width="5.7109375" bestFit="1" customWidth="1"/>
    <col min="6" max="6" width="12.140625" bestFit="1" customWidth="1"/>
  </cols>
  <sheetData>
    <row r="1" spans="1:21" s="2" customFormat="1" ht="12.7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 s="4" customFormat="1" ht="12.75" x14ac:dyDescent="0.2">
      <c r="A2" s="3">
        <v>44260</v>
      </c>
      <c r="B2" s="4" t="s">
        <v>21</v>
      </c>
      <c r="C2" s="4" t="s">
        <v>22</v>
      </c>
      <c r="D2" s="4" t="s">
        <v>23</v>
      </c>
      <c r="E2" s="4" t="s">
        <v>42</v>
      </c>
      <c r="F2" s="4" t="s">
        <v>25</v>
      </c>
      <c r="G2" s="4">
        <v>70000</v>
      </c>
      <c r="H2" s="4" t="s">
        <v>26</v>
      </c>
      <c r="I2" s="4" t="s">
        <v>27</v>
      </c>
      <c r="J2" s="5">
        <v>0.89236111111111116</v>
      </c>
      <c r="K2" s="6">
        <v>0.87847222222222221</v>
      </c>
      <c r="L2" s="5">
        <v>0.69097222222222221</v>
      </c>
      <c r="M2" s="6">
        <v>0.6972222222222223</v>
      </c>
      <c r="N2" s="4" t="s">
        <v>53</v>
      </c>
      <c r="O2" s="4" t="s">
        <v>52</v>
      </c>
      <c r="P2" s="4">
        <v>1448</v>
      </c>
      <c r="Q2" s="4">
        <v>1051</v>
      </c>
      <c r="R2" s="4">
        <v>0</v>
      </c>
      <c r="S2" s="4">
        <v>0</v>
      </c>
      <c r="T2" s="4">
        <v>0</v>
      </c>
      <c r="U2" s="4">
        <v>0</v>
      </c>
    </row>
  </sheetData>
  <pageMargins left="0.7" right="0.7" top="0.75" bottom="0.75" header="0.3" footer="0.3"/>
  <pageSetup paperSize="9" orientation="portrait" verticalDpi="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4"/>
  <sheetViews>
    <sheetView workbookViewId="0">
      <selection activeCell="D25" sqref="D25"/>
    </sheetView>
  </sheetViews>
  <sheetFormatPr defaultRowHeight="15" x14ac:dyDescent="0.25"/>
  <cols>
    <col min="1" max="1" width="10.140625" bestFit="1" customWidth="1"/>
    <col min="3" max="3" width="13.28515625" bestFit="1" customWidth="1"/>
    <col min="4" max="4" width="5.7109375" bestFit="1" customWidth="1"/>
    <col min="5" max="5" width="14" bestFit="1" customWidth="1"/>
    <col min="6" max="6" width="12.140625" bestFit="1" customWidth="1"/>
    <col min="12" max="12" width="11" bestFit="1" customWidth="1"/>
    <col min="13" max="13" width="10.85546875" bestFit="1" customWidth="1"/>
  </cols>
  <sheetData>
    <row r="1" spans="1:21" s="2" customFormat="1" ht="12.7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 s="4" customFormat="1" ht="12.75" x14ac:dyDescent="0.2">
      <c r="A2" s="3">
        <v>44261</v>
      </c>
      <c r="B2" s="4" t="s">
        <v>21</v>
      </c>
      <c r="C2" s="4" t="s">
        <v>30</v>
      </c>
      <c r="D2" s="4" t="s">
        <v>23</v>
      </c>
      <c r="E2" s="4" t="s">
        <v>55</v>
      </c>
      <c r="F2" s="4" t="s">
        <v>25</v>
      </c>
      <c r="G2" s="4">
        <v>70000</v>
      </c>
      <c r="H2" s="4" t="s">
        <v>33</v>
      </c>
      <c r="I2" s="4" t="s">
        <v>35</v>
      </c>
      <c r="J2" s="5">
        <v>0.47916666666666669</v>
      </c>
      <c r="K2" s="6">
        <v>0.46458333333333335</v>
      </c>
      <c r="L2" s="5">
        <v>0.27430555555555552</v>
      </c>
      <c r="M2" s="6">
        <v>0.27986111111111112</v>
      </c>
      <c r="N2" s="4" t="s">
        <v>59</v>
      </c>
      <c r="O2" s="4" t="s">
        <v>58</v>
      </c>
      <c r="P2" s="4">
        <v>969</v>
      </c>
      <c r="Q2" s="4">
        <v>1120</v>
      </c>
      <c r="R2" s="4">
        <v>0</v>
      </c>
      <c r="S2" s="4">
        <v>0</v>
      </c>
      <c r="T2" s="4">
        <v>0</v>
      </c>
      <c r="U2" s="4">
        <v>0</v>
      </c>
    </row>
    <row r="3" spans="1:21" x14ac:dyDescent="0.25">
      <c r="A3" s="3">
        <f>A2</f>
        <v>44261</v>
      </c>
      <c r="B3" s="4" t="s">
        <v>21</v>
      </c>
      <c r="C3" s="4" t="s">
        <v>31</v>
      </c>
      <c r="D3" s="4" t="s">
        <v>23</v>
      </c>
      <c r="E3" s="4" t="s">
        <v>61</v>
      </c>
      <c r="F3" s="4" t="s">
        <v>25</v>
      </c>
      <c r="G3" s="4">
        <v>70000</v>
      </c>
      <c r="H3" s="4" t="s">
        <v>34</v>
      </c>
      <c r="I3" s="4" t="s">
        <v>36</v>
      </c>
      <c r="J3" s="5">
        <v>0.64930555555555558</v>
      </c>
      <c r="K3" s="6">
        <v>0.65069444444444446</v>
      </c>
      <c r="L3" s="5">
        <v>0.5</v>
      </c>
      <c r="M3" s="6">
        <v>0.50624999999999998</v>
      </c>
      <c r="N3" s="4" t="s">
        <v>62</v>
      </c>
      <c r="O3" s="4" t="s">
        <v>60</v>
      </c>
      <c r="P3" s="4">
        <v>1316</v>
      </c>
      <c r="Q3" s="4">
        <v>1117</v>
      </c>
      <c r="R3" s="4">
        <v>0</v>
      </c>
      <c r="S3" s="4">
        <v>0</v>
      </c>
      <c r="T3" s="4">
        <v>0</v>
      </c>
      <c r="U3" s="4">
        <v>0</v>
      </c>
    </row>
    <row r="4" spans="1:21" x14ac:dyDescent="0.25">
      <c r="A4" s="3">
        <f>A3</f>
        <v>44261</v>
      </c>
      <c r="B4" s="4" t="s">
        <v>21</v>
      </c>
      <c r="C4" s="4" t="s">
        <v>54</v>
      </c>
      <c r="D4" s="4" t="s">
        <v>23</v>
      </c>
      <c r="E4" s="4" t="s">
        <v>32</v>
      </c>
      <c r="F4" s="4" t="s">
        <v>25</v>
      </c>
      <c r="G4" s="4">
        <v>70000</v>
      </c>
      <c r="H4" s="4" t="s">
        <v>56</v>
      </c>
      <c r="I4" s="4" t="s">
        <v>57</v>
      </c>
      <c r="J4" s="5">
        <v>0.94791666666666663</v>
      </c>
      <c r="K4" s="6">
        <v>0.93888888888888899</v>
      </c>
      <c r="L4" s="5">
        <v>0.71527777777777779</v>
      </c>
      <c r="M4" s="6">
        <v>0.71736111111111101</v>
      </c>
      <c r="N4" s="4" t="s">
        <v>64</v>
      </c>
      <c r="O4" s="4" t="s">
        <v>63</v>
      </c>
      <c r="P4" s="4">
        <v>962</v>
      </c>
      <c r="Q4" s="4">
        <v>769</v>
      </c>
      <c r="R4" s="4">
        <v>0</v>
      </c>
      <c r="S4" s="4">
        <v>0</v>
      </c>
      <c r="T4" s="4">
        <v>0</v>
      </c>
      <c r="U4" s="4">
        <v>0</v>
      </c>
    </row>
  </sheetData>
  <pageMargins left="0.7" right="0.7" top="0.75" bottom="0.75" header="0.3" footer="0.3"/>
  <pageSetup paperSize="9" orientation="portrait" verticalDpi="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4"/>
  <sheetViews>
    <sheetView workbookViewId="0">
      <selection activeCell="J4" sqref="J4"/>
    </sheetView>
  </sheetViews>
  <sheetFormatPr defaultRowHeight="15" x14ac:dyDescent="0.25"/>
  <cols>
    <col min="1" max="1" width="10.140625" bestFit="1" customWidth="1"/>
    <col min="3" max="3" width="13.28515625" bestFit="1" customWidth="1"/>
    <col min="4" max="4" width="5.7109375" bestFit="1" customWidth="1"/>
    <col min="5" max="5" width="14" bestFit="1" customWidth="1"/>
    <col min="6" max="6" width="12.140625" bestFit="1" customWidth="1"/>
    <col min="12" max="12" width="11" bestFit="1" customWidth="1"/>
    <col min="13" max="13" width="10.85546875" bestFit="1" customWidth="1"/>
  </cols>
  <sheetData>
    <row r="1" spans="1:21" s="2" customFormat="1" ht="12.7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 s="4" customFormat="1" ht="12.75" x14ac:dyDescent="0.2">
      <c r="A2" s="3">
        <v>44262</v>
      </c>
      <c r="B2" s="4" t="s">
        <v>21</v>
      </c>
      <c r="C2" s="4" t="s">
        <v>69</v>
      </c>
      <c r="D2" s="4" t="s">
        <v>23</v>
      </c>
      <c r="E2" s="4" t="s">
        <v>42</v>
      </c>
      <c r="F2" s="4" t="s">
        <v>25</v>
      </c>
      <c r="G2" s="4">
        <v>70000</v>
      </c>
      <c r="H2" s="4" t="s">
        <v>71</v>
      </c>
      <c r="I2" s="4" t="s">
        <v>70</v>
      </c>
      <c r="J2" s="5">
        <v>0.45833333333333331</v>
      </c>
      <c r="K2" s="6">
        <v>0.47916666666666669</v>
      </c>
      <c r="L2" s="5">
        <v>0.27430555555555552</v>
      </c>
      <c r="M2" s="6">
        <v>0.28472222222222221</v>
      </c>
      <c r="N2" s="4" t="s">
        <v>67</v>
      </c>
      <c r="O2" s="4" t="s">
        <v>65</v>
      </c>
      <c r="P2" s="4">
        <v>976</v>
      </c>
      <c r="Q2" s="4">
        <v>932</v>
      </c>
      <c r="R2" s="4">
        <v>0</v>
      </c>
      <c r="S2" s="4">
        <v>0</v>
      </c>
      <c r="T2" s="4">
        <v>0</v>
      </c>
      <c r="U2" s="4">
        <v>0</v>
      </c>
    </row>
    <row r="3" spans="1:21" x14ac:dyDescent="0.25">
      <c r="A3" s="3">
        <f>A2</f>
        <v>44262</v>
      </c>
      <c r="B3" s="4" t="s">
        <v>21</v>
      </c>
      <c r="C3" s="4" t="s">
        <v>41</v>
      </c>
      <c r="D3" s="4" t="s">
        <v>23</v>
      </c>
      <c r="E3" s="4" t="s">
        <v>68</v>
      </c>
      <c r="F3" s="4" t="s">
        <v>25</v>
      </c>
      <c r="G3" s="4">
        <v>70000</v>
      </c>
      <c r="H3" s="4" t="s">
        <v>43</v>
      </c>
      <c r="I3" s="4" t="s">
        <v>44</v>
      </c>
      <c r="J3" s="5">
        <v>0.74305555555555547</v>
      </c>
      <c r="K3" s="6">
        <v>0.7319444444444444</v>
      </c>
      <c r="L3" s="5">
        <v>0.50694444444444442</v>
      </c>
      <c r="M3" s="6">
        <v>0.50694444444444442</v>
      </c>
      <c r="N3" s="4" t="s">
        <v>72</v>
      </c>
      <c r="O3" s="4" t="s">
        <v>66</v>
      </c>
      <c r="P3" s="4">
        <v>885</v>
      </c>
      <c r="Q3" s="4">
        <v>1293</v>
      </c>
      <c r="R3" s="4">
        <v>0</v>
      </c>
      <c r="S3" s="4">
        <v>0</v>
      </c>
      <c r="T3" s="4">
        <v>0</v>
      </c>
      <c r="U3" s="4">
        <v>0</v>
      </c>
    </row>
    <row r="4" spans="1:21" x14ac:dyDescent="0.25">
      <c r="A4" s="3">
        <f>A3</f>
        <v>44262</v>
      </c>
      <c r="B4" s="4" t="s">
        <v>21</v>
      </c>
      <c r="C4" s="4" t="s">
        <v>45</v>
      </c>
      <c r="D4" s="4" t="s">
        <v>23</v>
      </c>
      <c r="E4" s="4" t="s">
        <v>68</v>
      </c>
      <c r="F4" s="4" t="s">
        <v>25</v>
      </c>
      <c r="G4" s="4">
        <v>70000</v>
      </c>
      <c r="H4" s="4" t="s">
        <v>46</v>
      </c>
      <c r="I4" s="4" t="s">
        <v>47</v>
      </c>
      <c r="J4" s="5">
        <v>0.93055555555555547</v>
      </c>
      <c r="K4" s="6">
        <v>0.93125000000000002</v>
      </c>
      <c r="L4" s="5">
        <v>0.76388888888888884</v>
      </c>
      <c r="M4" s="6">
        <v>0.77013888888888893</v>
      </c>
      <c r="N4" s="4" t="s">
        <v>74</v>
      </c>
      <c r="O4" s="4" t="s">
        <v>73</v>
      </c>
      <c r="P4" s="4">
        <v>762</v>
      </c>
      <c r="Q4" s="4">
        <v>1061</v>
      </c>
      <c r="R4" s="4">
        <v>0</v>
      </c>
      <c r="S4" s="4">
        <v>0</v>
      </c>
      <c r="T4" s="4">
        <v>0</v>
      </c>
      <c r="U4" s="4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2"/>
  <sheetViews>
    <sheetView workbookViewId="0">
      <selection sqref="A1:XFD1048576"/>
    </sheetView>
  </sheetViews>
  <sheetFormatPr defaultRowHeight="15" x14ac:dyDescent="0.25"/>
  <cols>
    <col min="1" max="1" width="10.140625" bestFit="1" customWidth="1"/>
    <col min="3" max="3" width="13.28515625" bestFit="1" customWidth="1"/>
    <col min="4" max="4" width="5.7109375" bestFit="1" customWidth="1"/>
    <col min="6" max="6" width="12.140625" bestFit="1" customWidth="1"/>
  </cols>
  <sheetData>
    <row r="1" spans="1:21" s="2" customFormat="1" ht="12.7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 s="4" customFormat="1" ht="12.75" x14ac:dyDescent="0.2">
      <c r="A2" s="3">
        <v>44263</v>
      </c>
      <c r="B2" s="4" t="s">
        <v>21</v>
      </c>
      <c r="C2" s="4" t="s">
        <v>22</v>
      </c>
      <c r="D2" s="4" t="s">
        <v>23</v>
      </c>
      <c r="E2" s="4" t="s">
        <v>42</v>
      </c>
      <c r="F2" s="4" t="s">
        <v>25</v>
      </c>
      <c r="G2" s="4">
        <v>70000</v>
      </c>
      <c r="H2" s="4" t="s">
        <v>26</v>
      </c>
      <c r="I2" s="4" t="s">
        <v>27</v>
      </c>
      <c r="J2" s="5">
        <v>0.47569444444444442</v>
      </c>
      <c r="K2" s="6">
        <v>0.4680555555555555</v>
      </c>
      <c r="L2" s="5">
        <v>0.27430555555555552</v>
      </c>
      <c r="M2" s="6">
        <v>0.2902777777777778</v>
      </c>
      <c r="N2" s="4" t="s">
        <v>76</v>
      </c>
      <c r="O2" s="4" t="s">
        <v>75</v>
      </c>
      <c r="P2" s="4">
        <v>1373</v>
      </c>
      <c r="Q2" s="4">
        <v>839</v>
      </c>
      <c r="R2" s="4">
        <v>0</v>
      </c>
      <c r="S2" s="4">
        <v>0</v>
      </c>
      <c r="T2" s="4">
        <v>0</v>
      </c>
      <c r="U2" s="4">
        <v>0</v>
      </c>
    </row>
  </sheetData>
  <pageMargins left="0.7" right="0.7" top="0.75" bottom="0.75" header="0.3" footer="0.3"/>
  <pageSetup paperSize="9" orientation="portrait" verticalDpi="0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3"/>
  <sheetViews>
    <sheetView workbookViewId="0">
      <selection activeCell="K2" sqref="K2"/>
    </sheetView>
  </sheetViews>
  <sheetFormatPr defaultRowHeight="15" x14ac:dyDescent="0.25"/>
  <cols>
    <col min="1" max="1" width="10.140625" bestFit="1" customWidth="1"/>
    <col min="3" max="3" width="13.28515625" bestFit="1" customWidth="1"/>
    <col min="4" max="4" width="5.7109375" bestFit="1" customWidth="1"/>
    <col min="6" max="6" width="12.140625" bestFit="1" customWidth="1"/>
    <col min="12" max="12" width="11" bestFit="1" customWidth="1"/>
    <col min="13" max="13" width="10.85546875" bestFit="1" customWidth="1"/>
  </cols>
  <sheetData>
    <row r="1" spans="1:21" s="2" customFormat="1" ht="12.7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 x14ac:dyDescent="0.25">
      <c r="A2" s="3">
        <v>44264</v>
      </c>
      <c r="B2" s="4" t="s">
        <v>21</v>
      </c>
      <c r="C2" s="4" t="s">
        <v>31</v>
      </c>
      <c r="D2" s="4" t="s">
        <v>23</v>
      </c>
      <c r="E2" s="4" t="s">
        <v>68</v>
      </c>
      <c r="F2" s="4" t="s">
        <v>25</v>
      </c>
      <c r="G2" s="4">
        <v>70000</v>
      </c>
      <c r="H2" s="4" t="s">
        <v>34</v>
      </c>
      <c r="I2" s="4" t="s">
        <v>36</v>
      </c>
      <c r="J2" s="5">
        <v>0.42708333333333331</v>
      </c>
      <c r="K2" s="6">
        <v>0.42569444444444443</v>
      </c>
      <c r="L2" s="5">
        <v>0.27777777777777779</v>
      </c>
      <c r="M2" s="6">
        <v>0.29305555555555557</v>
      </c>
      <c r="N2" s="4" t="s">
        <v>78</v>
      </c>
      <c r="O2" s="4" t="s">
        <v>77</v>
      </c>
      <c r="P2" s="4">
        <v>427</v>
      </c>
      <c r="Q2" s="4">
        <v>531</v>
      </c>
      <c r="R2" s="4">
        <v>0</v>
      </c>
      <c r="S2" s="4">
        <v>0</v>
      </c>
      <c r="T2" s="4">
        <v>0</v>
      </c>
      <c r="U2" s="4">
        <v>0</v>
      </c>
    </row>
    <row r="3" spans="1:21" x14ac:dyDescent="0.25">
      <c r="A3" s="3"/>
      <c r="B3" s="4"/>
      <c r="C3" s="4"/>
      <c r="D3" s="4"/>
      <c r="E3" s="4"/>
      <c r="F3" s="4"/>
      <c r="G3" s="4"/>
      <c r="H3" s="4"/>
      <c r="I3" s="4"/>
      <c r="J3" s="5"/>
      <c r="K3" s="6"/>
      <c r="L3" s="5"/>
      <c r="M3" s="6"/>
      <c r="N3" s="4"/>
      <c r="O3" s="4"/>
      <c r="P3" s="4"/>
      <c r="Q3" s="4"/>
      <c r="R3" s="4"/>
      <c r="S3" s="4"/>
      <c r="T3" s="4"/>
      <c r="U3" s="4"/>
    </row>
  </sheetData>
  <pageMargins left="0.7" right="0.7" top="0.75" bottom="0.75" header="0.3" footer="0.3"/>
  <pageSetup paperSize="9" orientation="portrait" verticalDpi="0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4"/>
  <sheetViews>
    <sheetView workbookViewId="0">
      <selection activeCell="K26" sqref="K26"/>
    </sheetView>
  </sheetViews>
  <sheetFormatPr defaultRowHeight="15" x14ac:dyDescent="0.25"/>
  <cols>
    <col min="3" max="3" width="13.140625" bestFit="1" customWidth="1"/>
  </cols>
  <sheetData>
    <row r="1" spans="1:2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 x14ac:dyDescent="0.25">
      <c r="A2" s="7">
        <v>44265</v>
      </c>
      <c r="B2" s="8" t="s">
        <v>21</v>
      </c>
      <c r="C2" s="8" t="s">
        <v>45</v>
      </c>
      <c r="D2" s="8" t="s">
        <v>23</v>
      </c>
      <c r="E2" s="8" t="s">
        <v>68</v>
      </c>
      <c r="F2" s="9" t="s">
        <v>25</v>
      </c>
      <c r="G2" s="10">
        <v>70000</v>
      </c>
      <c r="H2" s="9" t="s">
        <v>46</v>
      </c>
      <c r="I2" s="9" t="s">
        <v>47</v>
      </c>
      <c r="J2" s="5">
        <v>0.93055555555555547</v>
      </c>
      <c r="K2" s="6">
        <v>0.9159722222222223</v>
      </c>
      <c r="L2" s="5">
        <v>0.76388888888888884</v>
      </c>
      <c r="M2" s="6">
        <v>0.76388888888888884</v>
      </c>
      <c r="N2" s="4" t="s">
        <v>80</v>
      </c>
      <c r="O2" s="4" t="s">
        <v>79</v>
      </c>
      <c r="P2" s="4">
        <v>455</v>
      </c>
      <c r="Q2" s="4">
        <v>734</v>
      </c>
      <c r="R2" s="4">
        <v>0</v>
      </c>
      <c r="S2" s="4">
        <v>0</v>
      </c>
      <c r="T2" s="4">
        <v>0</v>
      </c>
      <c r="U2" s="4">
        <v>0</v>
      </c>
    </row>
    <row r="3" spans="1:21" x14ac:dyDescent="0.25">
      <c r="A3" s="7"/>
      <c r="B3" s="4"/>
      <c r="C3" s="4"/>
      <c r="D3" s="4"/>
      <c r="E3" s="4"/>
      <c r="F3" s="4"/>
      <c r="G3" s="4"/>
      <c r="H3" s="4"/>
      <c r="I3" s="4"/>
      <c r="J3" s="6"/>
      <c r="K3" s="6"/>
      <c r="L3" s="6"/>
      <c r="M3" s="6"/>
      <c r="N3" s="4"/>
      <c r="O3" s="4"/>
      <c r="P3" s="4"/>
      <c r="Q3" s="4"/>
      <c r="R3" s="4"/>
      <c r="S3" s="4"/>
      <c r="T3" s="4"/>
      <c r="U3" s="4"/>
    </row>
    <row r="4" spans="1:21" x14ac:dyDescent="0.25">
      <c r="A4" s="7"/>
      <c r="B4" s="4"/>
      <c r="C4" s="4"/>
      <c r="D4" s="4"/>
      <c r="E4" s="4"/>
      <c r="F4" s="4"/>
      <c r="G4" s="4"/>
      <c r="H4" s="4"/>
      <c r="I4" s="4"/>
      <c r="J4" s="6"/>
      <c r="K4" s="6"/>
      <c r="L4" s="6"/>
      <c r="M4" s="6"/>
      <c r="N4" s="4"/>
      <c r="O4" s="4"/>
      <c r="P4" s="4"/>
      <c r="Q4" s="4"/>
      <c r="R4" s="4"/>
      <c r="S4" s="4"/>
      <c r="T4" s="4"/>
      <c r="U4" s="4"/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2"/>
  <sheetViews>
    <sheetView workbookViewId="0">
      <selection activeCell="S2" sqref="S2"/>
    </sheetView>
  </sheetViews>
  <sheetFormatPr defaultRowHeight="15" x14ac:dyDescent="0.25"/>
  <cols>
    <col min="1" max="1" width="10.140625" bestFit="1" customWidth="1"/>
    <col min="3" max="3" width="13.28515625" bestFit="1" customWidth="1"/>
    <col min="4" max="4" width="5.7109375" bestFit="1" customWidth="1"/>
    <col min="6" max="6" width="12.140625" bestFit="1" customWidth="1"/>
  </cols>
  <sheetData>
    <row r="1" spans="1:21" s="2" customFormat="1" ht="12.7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 s="4" customFormat="1" ht="12.75" x14ac:dyDescent="0.2">
      <c r="A2" s="3">
        <v>44267</v>
      </c>
      <c r="B2" s="4" t="s">
        <v>21</v>
      </c>
      <c r="C2" s="4" t="s">
        <v>22</v>
      </c>
      <c r="D2" s="4" t="s">
        <v>23</v>
      </c>
      <c r="E2" s="4" t="s">
        <v>42</v>
      </c>
      <c r="F2" s="4" t="s">
        <v>25</v>
      </c>
      <c r="G2" s="4">
        <v>70000</v>
      </c>
      <c r="H2" s="4" t="s">
        <v>26</v>
      </c>
      <c r="I2" s="4" t="s">
        <v>27</v>
      </c>
      <c r="J2" s="5">
        <v>0.89236111111111116</v>
      </c>
      <c r="K2" s="6">
        <v>0.88888888888888884</v>
      </c>
      <c r="L2" s="5">
        <v>0.69097222222222221</v>
      </c>
      <c r="M2" s="6">
        <v>0.69652777777777775</v>
      </c>
      <c r="N2" s="4" t="s">
        <v>81</v>
      </c>
      <c r="O2" s="4" t="s">
        <v>82</v>
      </c>
      <c r="P2" s="4">
        <v>1126</v>
      </c>
      <c r="Q2" s="4">
        <v>1337</v>
      </c>
      <c r="R2" s="4">
        <v>0</v>
      </c>
      <c r="S2" s="4">
        <v>0</v>
      </c>
      <c r="T2" s="4">
        <v>0</v>
      </c>
      <c r="U2" s="4">
        <v>0</v>
      </c>
    </row>
  </sheetData>
  <pageMargins left="0.7" right="0.7" top="0.75" bottom="0.75" header="0.3" footer="0.3"/>
  <pageSetup paperSize="9" orientation="portrait" verticalDpi="0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4"/>
  <sheetViews>
    <sheetView workbookViewId="0">
      <selection activeCell="K4" sqref="K4"/>
    </sheetView>
  </sheetViews>
  <sheetFormatPr defaultRowHeight="15" x14ac:dyDescent="0.25"/>
  <cols>
    <col min="1" max="1" width="10.140625" bestFit="1" customWidth="1"/>
    <col min="3" max="3" width="13.28515625" bestFit="1" customWidth="1"/>
    <col min="4" max="4" width="5.7109375" bestFit="1" customWidth="1"/>
    <col min="5" max="5" width="14" bestFit="1" customWidth="1"/>
    <col min="6" max="6" width="12.140625" bestFit="1" customWidth="1"/>
    <col min="12" max="12" width="11" bestFit="1" customWidth="1"/>
    <col min="13" max="13" width="10.85546875" bestFit="1" customWidth="1"/>
  </cols>
  <sheetData>
    <row r="1" spans="1:21" s="2" customFormat="1" ht="12.7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 s="4" customFormat="1" ht="12.75" x14ac:dyDescent="0.2">
      <c r="A2" s="3">
        <v>44268</v>
      </c>
      <c r="B2" s="4" t="s">
        <v>21</v>
      </c>
      <c r="C2" s="4" t="s">
        <v>30</v>
      </c>
      <c r="D2" s="4" t="s">
        <v>23</v>
      </c>
      <c r="E2" s="4" t="s">
        <v>42</v>
      </c>
      <c r="F2" s="4" t="s">
        <v>25</v>
      </c>
      <c r="G2" s="4">
        <v>70000</v>
      </c>
      <c r="H2" s="4" t="s">
        <v>33</v>
      </c>
      <c r="I2" s="4" t="s">
        <v>35</v>
      </c>
      <c r="J2" s="5">
        <v>0.47916666666666669</v>
      </c>
      <c r="K2" s="6">
        <v>0.46875</v>
      </c>
      <c r="L2" s="5">
        <v>0.27430555555555552</v>
      </c>
      <c r="M2" s="6">
        <v>0.27986111111111112</v>
      </c>
      <c r="N2" s="4" t="s">
        <v>84</v>
      </c>
      <c r="O2" s="4" t="s">
        <v>83</v>
      </c>
      <c r="P2" s="4">
        <v>1040</v>
      </c>
      <c r="Q2" s="4">
        <v>1651</v>
      </c>
      <c r="R2" s="4">
        <v>0</v>
      </c>
      <c r="S2" s="4">
        <v>0</v>
      </c>
      <c r="T2" s="4">
        <v>0</v>
      </c>
      <c r="U2" s="4">
        <v>0</v>
      </c>
    </row>
    <row r="3" spans="1:21" x14ac:dyDescent="0.25">
      <c r="A3" s="3">
        <f>A2</f>
        <v>44268</v>
      </c>
      <c r="B3" s="4" t="s">
        <v>21</v>
      </c>
      <c r="C3" s="4" t="s">
        <v>31</v>
      </c>
      <c r="D3" s="4" t="s">
        <v>23</v>
      </c>
      <c r="E3" s="4" t="s">
        <v>42</v>
      </c>
      <c r="F3" s="4" t="s">
        <v>25</v>
      </c>
      <c r="G3" s="4">
        <v>70000</v>
      </c>
      <c r="H3" s="4" t="s">
        <v>34</v>
      </c>
      <c r="I3" s="4" t="s">
        <v>36</v>
      </c>
      <c r="J3" s="5">
        <v>0.64930555555555558</v>
      </c>
      <c r="K3" s="6">
        <v>0.6430555555555556</v>
      </c>
      <c r="L3" s="5">
        <v>0.5</v>
      </c>
      <c r="M3" s="6">
        <v>0.50694444444444442</v>
      </c>
      <c r="N3" s="4" t="s">
        <v>86</v>
      </c>
      <c r="O3" s="4" t="s">
        <v>85</v>
      </c>
      <c r="P3" s="4">
        <v>1026</v>
      </c>
      <c r="Q3" s="4">
        <v>1223</v>
      </c>
      <c r="R3" s="4">
        <v>0</v>
      </c>
      <c r="S3" s="4">
        <v>0</v>
      </c>
      <c r="T3" s="4">
        <v>0</v>
      </c>
      <c r="U3" s="4">
        <v>0</v>
      </c>
    </row>
    <row r="4" spans="1:21" x14ac:dyDescent="0.25">
      <c r="A4" s="3">
        <f>A3</f>
        <v>44268</v>
      </c>
      <c r="B4" s="4" t="s">
        <v>21</v>
      </c>
      <c r="C4" s="4" t="s">
        <v>54</v>
      </c>
      <c r="D4" s="4" t="s">
        <v>23</v>
      </c>
      <c r="E4" s="4" t="s">
        <v>68</v>
      </c>
      <c r="F4" s="4" t="s">
        <v>25</v>
      </c>
      <c r="G4" s="4">
        <v>70000</v>
      </c>
      <c r="H4" s="4" t="s">
        <v>56</v>
      </c>
      <c r="I4" s="4" t="s">
        <v>57</v>
      </c>
      <c r="J4" s="5">
        <v>0.94791666666666663</v>
      </c>
      <c r="K4" s="6">
        <v>0.93888888888888899</v>
      </c>
      <c r="L4" s="5">
        <v>0.71527777777777779</v>
      </c>
      <c r="M4" s="6">
        <v>0.71875</v>
      </c>
      <c r="N4" s="4" t="s">
        <v>87</v>
      </c>
      <c r="O4" s="4" t="s">
        <v>88</v>
      </c>
      <c r="P4" s="4">
        <v>1283</v>
      </c>
      <c r="Q4" s="4">
        <v>1007</v>
      </c>
      <c r="R4" s="4">
        <v>0</v>
      </c>
      <c r="S4" s="4">
        <v>0</v>
      </c>
      <c r="T4" s="4">
        <v>0</v>
      </c>
      <c r="U4" s="4">
        <v>0</v>
      </c>
    </row>
  </sheetData>
  <pageMargins left="0.7" right="0.7" top="0.75" bottom="0.75" header="0.3" footer="0.3"/>
  <pageSetup paperSize="9" orientation="portrait" verticalDpi="0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4"/>
  <sheetViews>
    <sheetView workbookViewId="0">
      <selection activeCell="A4" sqref="A4:XFD4"/>
    </sheetView>
  </sheetViews>
  <sheetFormatPr defaultRowHeight="15" x14ac:dyDescent="0.25"/>
  <cols>
    <col min="1" max="1" width="10.140625" bestFit="1" customWidth="1"/>
    <col min="3" max="3" width="13.28515625" bestFit="1" customWidth="1"/>
    <col min="4" max="4" width="5.7109375" bestFit="1" customWidth="1"/>
    <col min="5" max="5" width="14" bestFit="1" customWidth="1"/>
    <col min="6" max="6" width="12.140625" bestFit="1" customWidth="1"/>
    <col min="12" max="12" width="11" bestFit="1" customWidth="1"/>
    <col min="13" max="13" width="10.85546875" bestFit="1" customWidth="1"/>
  </cols>
  <sheetData>
    <row r="1" spans="1:21" s="2" customFormat="1" ht="12.7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 s="4" customFormat="1" ht="12.75" x14ac:dyDescent="0.2">
      <c r="A2" s="3">
        <v>44269</v>
      </c>
      <c r="B2" s="4" t="s">
        <v>21</v>
      </c>
      <c r="C2" s="4" t="s">
        <v>69</v>
      </c>
      <c r="D2" s="4" t="s">
        <v>23</v>
      </c>
      <c r="E2" s="4" t="s">
        <v>42</v>
      </c>
      <c r="F2" s="4" t="s">
        <v>25</v>
      </c>
      <c r="G2" s="4">
        <v>70000</v>
      </c>
      <c r="H2" s="4" t="s">
        <v>71</v>
      </c>
      <c r="I2" s="4" t="s">
        <v>70</v>
      </c>
      <c r="J2" s="5">
        <v>0.45833333333333331</v>
      </c>
      <c r="K2" s="6">
        <v>0.48472222222222222</v>
      </c>
      <c r="L2" s="5">
        <v>0.27430555555555552</v>
      </c>
      <c r="M2" s="6">
        <v>0.28125</v>
      </c>
      <c r="N2" s="4" t="s">
        <v>90</v>
      </c>
      <c r="O2" s="4" t="s">
        <v>89</v>
      </c>
      <c r="P2" s="4">
        <v>1044</v>
      </c>
      <c r="Q2" s="4">
        <v>1118</v>
      </c>
      <c r="R2" s="4">
        <v>0</v>
      </c>
      <c r="S2" s="4">
        <v>0</v>
      </c>
      <c r="T2" s="4">
        <v>0</v>
      </c>
      <c r="U2" s="4">
        <v>0</v>
      </c>
    </row>
    <row r="3" spans="1:21" x14ac:dyDescent="0.25">
      <c r="A3" s="3">
        <f>A2</f>
        <v>44269</v>
      </c>
      <c r="B3" s="4" t="s">
        <v>21</v>
      </c>
      <c r="C3" s="4" t="s">
        <v>41</v>
      </c>
      <c r="D3" s="4" t="s">
        <v>23</v>
      </c>
      <c r="E3" s="4" t="s">
        <v>68</v>
      </c>
      <c r="F3" s="4" t="s">
        <v>25</v>
      </c>
      <c r="G3" s="4">
        <v>70000</v>
      </c>
      <c r="H3" s="4" t="s">
        <v>43</v>
      </c>
      <c r="I3" s="4" t="s">
        <v>44</v>
      </c>
      <c r="J3" s="5">
        <v>0.74305555555555547</v>
      </c>
      <c r="K3" s="6">
        <v>0.74097222222222225</v>
      </c>
      <c r="L3" s="5">
        <v>0.50694444444444442</v>
      </c>
      <c r="M3" s="6">
        <v>0.51041666666666663</v>
      </c>
      <c r="N3" s="4" t="s">
        <v>92</v>
      </c>
      <c r="O3" s="4" t="s">
        <v>91</v>
      </c>
      <c r="P3" s="4">
        <v>10260</v>
      </c>
      <c r="Q3" s="4">
        <v>1284</v>
      </c>
      <c r="R3" s="4">
        <v>0</v>
      </c>
      <c r="S3" s="4">
        <v>0</v>
      </c>
      <c r="T3" s="4">
        <v>0</v>
      </c>
      <c r="U3" s="4">
        <v>0</v>
      </c>
    </row>
    <row r="4" spans="1:21" x14ac:dyDescent="0.25">
      <c r="A4" s="3">
        <f>A3</f>
        <v>44269</v>
      </c>
      <c r="B4" s="4" t="s">
        <v>21</v>
      </c>
      <c r="C4" s="4" t="s">
        <v>45</v>
      </c>
      <c r="D4" s="4" t="s">
        <v>23</v>
      </c>
      <c r="E4" s="4" t="s">
        <v>68</v>
      </c>
      <c r="F4" s="4" t="s">
        <v>25</v>
      </c>
      <c r="G4" s="4">
        <v>70000</v>
      </c>
      <c r="H4" s="4" t="s">
        <v>46</v>
      </c>
      <c r="I4" s="4" t="s">
        <v>47</v>
      </c>
      <c r="J4" s="5">
        <v>0.93055555555555547</v>
      </c>
      <c r="K4" s="6">
        <v>0.93055555555555547</v>
      </c>
      <c r="L4" s="5">
        <v>0.76388888888888884</v>
      </c>
      <c r="M4" s="6">
        <v>0.77708333333333324</v>
      </c>
      <c r="N4" s="4" t="s">
        <v>94</v>
      </c>
      <c r="O4" s="4" t="s">
        <v>93</v>
      </c>
      <c r="P4" s="4">
        <v>467</v>
      </c>
      <c r="Q4" s="4">
        <v>748</v>
      </c>
      <c r="R4" s="4">
        <v>0</v>
      </c>
      <c r="S4" s="4">
        <v>0</v>
      </c>
      <c r="T4" s="4">
        <v>0</v>
      </c>
      <c r="U4" s="4">
        <v>0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2"/>
  <sheetViews>
    <sheetView workbookViewId="0">
      <selection activeCell="N7" sqref="N7"/>
    </sheetView>
  </sheetViews>
  <sheetFormatPr defaultRowHeight="15" x14ac:dyDescent="0.25"/>
  <cols>
    <col min="1" max="1" width="10.140625" bestFit="1" customWidth="1"/>
    <col min="3" max="3" width="13.28515625" bestFit="1" customWidth="1"/>
    <col min="4" max="4" width="5.7109375" bestFit="1" customWidth="1"/>
    <col min="5" max="5" width="15" customWidth="1"/>
    <col min="6" max="6" width="12.140625" bestFit="1" customWidth="1"/>
    <col min="14" max="14" width="16.42578125" customWidth="1"/>
  </cols>
  <sheetData>
    <row r="1" spans="1:21" s="2" customFormat="1" ht="12.7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 s="4" customFormat="1" ht="12.75" x14ac:dyDescent="0.2">
      <c r="A2" s="3">
        <v>44270</v>
      </c>
      <c r="B2" s="4" t="s">
        <v>21</v>
      </c>
      <c r="C2" s="4" t="s">
        <v>22</v>
      </c>
      <c r="D2" s="4" t="s">
        <v>23</v>
      </c>
      <c r="E2" s="4" t="s">
        <v>96</v>
      </c>
      <c r="F2" s="4" t="s">
        <v>25</v>
      </c>
      <c r="G2" s="4">
        <v>70000</v>
      </c>
      <c r="H2" s="4" t="s">
        <v>26</v>
      </c>
      <c r="I2" s="4" t="s">
        <v>27</v>
      </c>
      <c r="J2" s="5">
        <v>0.47569444444444442</v>
      </c>
      <c r="K2" s="6">
        <v>0.48125000000000001</v>
      </c>
      <c r="L2" s="5">
        <v>0.27430555555555552</v>
      </c>
      <c r="M2" s="6">
        <v>0.29722222222222222</v>
      </c>
      <c r="N2" s="4" t="s">
        <v>97</v>
      </c>
      <c r="O2" s="4" t="s">
        <v>95</v>
      </c>
      <c r="P2" s="4">
        <v>1391</v>
      </c>
      <c r="Q2" s="4">
        <v>925</v>
      </c>
      <c r="R2" s="4">
        <v>0</v>
      </c>
      <c r="S2" s="4">
        <v>0</v>
      </c>
      <c r="T2" s="4">
        <v>0</v>
      </c>
      <c r="U2" s="4">
        <v>0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3"/>
  <sheetViews>
    <sheetView workbookViewId="0">
      <selection sqref="A1:XFD1048576"/>
    </sheetView>
  </sheetViews>
  <sheetFormatPr defaultRowHeight="15" x14ac:dyDescent="0.25"/>
  <cols>
    <col min="1" max="1" width="10.140625" bestFit="1" customWidth="1"/>
    <col min="3" max="3" width="13.28515625" bestFit="1" customWidth="1"/>
    <col min="4" max="4" width="5.7109375" bestFit="1" customWidth="1"/>
    <col min="6" max="6" width="12.140625" bestFit="1" customWidth="1"/>
    <col min="12" max="12" width="11" bestFit="1" customWidth="1"/>
    <col min="13" max="13" width="10.85546875" bestFit="1" customWidth="1"/>
  </cols>
  <sheetData>
    <row r="1" spans="1:21" s="2" customFormat="1" ht="12.7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 x14ac:dyDescent="0.25">
      <c r="A2" s="3">
        <v>44271</v>
      </c>
      <c r="B2" s="4" t="s">
        <v>21</v>
      </c>
      <c r="C2" s="4" t="s">
        <v>31</v>
      </c>
      <c r="D2" s="4" t="s">
        <v>23</v>
      </c>
      <c r="E2" s="4" t="s">
        <v>68</v>
      </c>
      <c r="F2" s="4" t="s">
        <v>25</v>
      </c>
      <c r="G2" s="4">
        <v>70000</v>
      </c>
      <c r="H2" s="4" t="s">
        <v>34</v>
      </c>
      <c r="I2" s="4" t="s">
        <v>36</v>
      </c>
      <c r="J2" s="5">
        <v>0.42708333333333331</v>
      </c>
      <c r="K2" s="6">
        <v>0.41944444444444445</v>
      </c>
      <c r="L2" s="5">
        <v>0.27777777777777779</v>
      </c>
      <c r="M2" s="6">
        <v>0.28402777777777777</v>
      </c>
      <c r="N2" s="4" t="s">
        <v>99</v>
      </c>
      <c r="O2" s="4" t="s">
        <v>98</v>
      </c>
      <c r="P2" s="4">
        <v>500</v>
      </c>
      <c r="Q2" s="4">
        <v>649</v>
      </c>
      <c r="R2" s="4">
        <v>0</v>
      </c>
      <c r="S2" s="4">
        <v>0</v>
      </c>
      <c r="T2" s="4">
        <v>0</v>
      </c>
      <c r="U2" s="4">
        <v>0</v>
      </c>
    </row>
    <row r="3" spans="1:21" x14ac:dyDescent="0.25">
      <c r="A3" s="3"/>
      <c r="B3" s="4"/>
      <c r="C3" s="4"/>
      <c r="D3" s="4"/>
      <c r="E3" s="4"/>
      <c r="F3" s="4"/>
      <c r="G3" s="4"/>
      <c r="H3" s="4"/>
      <c r="I3" s="4"/>
      <c r="J3" s="5"/>
      <c r="K3" s="6"/>
      <c r="L3" s="5"/>
      <c r="M3" s="6"/>
      <c r="N3" s="4"/>
      <c r="O3" s="4"/>
      <c r="P3" s="4"/>
      <c r="Q3" s="4"/>
      <c r="R3" s="4"/>
      <c r="S3" s="4"/>
      <c r="T3" s="4"/>
      <c r="U3" s="4"/>
    </row>
  </sheetData>
  <pageMargins left="0.7" right="0.7" top="0.75" bottom="0.75" header="0.3" footer="0.3"/>
  <pageSetup paperSize="9" orientation="portrait" verticalDpi="0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4"/>
  <sheetViews>
    <sheetView workbookViewId="0">
      <selection activeCell="H39" sqref="H39"/>
    </sheetView>
  </sheetViews>
  <sheetFormatPr defaultRowHeight="15" x14ac:dyDescent="0.25"/>
  <cols>
    <col min="3" max="3" width="13.140625" bestFit="1" customWidth="1"/>
  </cols>
  <sheetData>
    <row r="1" spans="1:2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 x14ac:dyDescent="0.25">
      <c r="A2" s="7">
        <v>44272</v>
      </c>
      <c r="B2" s="8" t="s">
        <v>21</v>
      </c>
      <c r="C2" s="8" t="s">
        <v>45</v>
      </c>
      <c r="D2" s="8" t="s">
        <v>23</v>
      </c>
      <c r="E2" s="8" t="s">
        <v>68</v>
      </c>
      <c r="F2" s="9" t="s">
        <v>25</v>
      </c>
      <c r="G2" s="10">
        <v>70000</v>
      </c>
      <c r="H2" s="9" t="s">
        <v>46</v>
      </c>
      <c r="I2" s="9" t="s">
        <v>47</v>
      </c>
      <c r="J2" s="5">
        <v>0.93055555555555547</v>
      </c>
      <c r="K2" s="6">
        <v>0.9159722222222223</v>
      </c>
      <c r="L2" s="5">
        <v>0.76388888888888884</v>
      </c>
      <c r="M2" s="6">
        <v>0.76041666666666663</v>
      </c>
      <c r="N2" s="4" t="s">
        <v>100</v>
      </c>
      <c r="O2" s="4" t="s">
        <v>101</v>
      </c>
      <c r="P2" s="4">
        <v>601</v>
      </c>
      <c r="Q2" s="4">
        <v>494</v>
      </c>
      <c r="R2" s="4">
        <v>0</v>
      </c>
      <c r="S2" s="4">
        <v>0</v>
      </c>
      <c r="T2" s="4">
        <v>0</v>
      </c>
      <c r="U2" s="4">
        <v>0</v>
      </c>
    </row>
    <row r="3" spans="1:21" x14ac:dyDescent="0.25">
      <c r="A3" s="7"/>
      <c r="B3" s="4"/>
      <c r="C3" s="4"/>
      <c r="D3" s="4"/>
      <c r="E3" s="4"/>
      <c r="F3" s="4"/>
      <c r="G3" s="4"/>
      <c r="H3" s="4"/>
      <c r="I3" s="4"/>
      <c r="J3" s="6"/>
      <c r="K3" s="6"/>
      <c r="L3" s="6"/>
      <c r="M3" s="6"/>
      <c r="N3" s="4"/>
      <c r="O3" s="4"/>
      <c r="P3" s="4"/>
      <c r="Q3" s="4"/>
      <c r="R3" s="4"/>
      <c r="S3" s="4"/>
      <c r="T3" s="4"/>
      <c r="U3" s="4"/>
    </row>
    <row r="4" spans="1:21" x14ac:dyDescent="0.25">
      <c r="A4" s="7"/>
      <c r="B4" s="4"/>
      <c r="C4" s="4"/>
      <c r="D4" s="4"/>
      <c r="E4" s="4"/>
      <c r="F4" s="4"/>
      <c r="G4" s="4"/>
      <c r="H4" s="4"/>
      <c r="I4" s="4"/>
      <c r="J4" s="6"/>
      <c r="K4" s="6"/>
      <c r="L4" s="6"/>
      <c r="M4" s="6"/>
      <c r="N4" s="4"/>
      <c r="O4" s="4"/>
      <c r="P4" s="4"/>
      <c r="Q4" s="4"/>
      <c r="R4" s="4"/>
      <c r="S4" s="4"/>
      <c r="T4" s="4"/>
      <c r="U4" s="4"/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2"/>
  <sheetViews>
    <sheetView workbookViewId="0">
      <selection activeCell="L2" sqref="L2"/>
    </sheetView>
  </sheetViews>
  <sheetFormatPr defaultRowHeight="15" x14ac:dyDescent="0.25"/>
  <cols>
    <col min="1" max="1" width="10.140625" bestFit="1" customWidth="1"/>
    <col min="3" max="3" width="13.28515625" bestFit="1" customWidth="1"/>
    <col min="4" max="4" width="5.7109375" bestFit="1" customWidth="1"/>
    <col min="5" max="5" width="11.5703125" bestFit="1" customWidth="1"/>
    <col min="6" max="6" width="12.140625" bestFit="1" customWidth="1"/>
  </cols>
  <sheetData>
    <row r="1" spans="1:21" s="2" customFormat="1" ht="12.7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 s="4" customFormat="1" ht="12.75" x14ac:dyDescent="0.2">
      <c r="A2" s="3">
        <v>44274</v>
      </c>
      <c r="B2" s="4" t="s">
        <v>21</v>
      </c>
      <c r="C2" s="4" t="s">
        <v>22</v>
      </c>
      <c r="D2" s="4" t="s">
        <v>23</v>
      </c>
      <c r="E2" s="4" t="s">
        <v>102</v>
      </c>
      <c r="F2" s="4" t="s">
        <v>25</v>
      </c>
      <c r="G2" s="4">
        <v>70000</v>
      </c>
      <c r="H2" s="4" t="s">
        <v>26</v>
      </c>
      <c r="I2" s="4" t="s">
        <v>27</v>
      </c>
      <c r="J2" s="5">
        <v>0.89236111111111116</v>
      </c>
      <c r="K2" s="6">
        <v>0.88402777777777775</v>
      </c>
      <c r="L2" s="5">
        <v>0.69097222222222221</v>
      </c>
      <c r="M2" s="6">
        <v>0.69374999999999998</v>
      </c>
      <c r="N2" s="4" t="s">
        <v>104</v>
      </c>
      <c r="O2" s="4" t="s">
        <v>103</v>
      </c>
      <c r="P2" s="4">
        <v>896</v>
      </c>
      <c r="Q2" s="4">
        <v>1120</v>
      </c>
      <c r="R2" s="4">
        <v>0</v>
      </c>
      <c r="S2" s="4">
        <v>0</v>
      </c>
      <c r="T2" s="4">
        <v>0</v>
      </c>
      <c r="U2" s="4">
        <v>0</v>
      </c>
    </row>
  </sheetData>
  <pageMargins left="0.7" right="0.7" top="0.75" bottom="0.75" header="0.3" footer="0.3"/>
  <pageSetup paperSize="9" orientation="portrait" verticalDpi="0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4"/>
  <sheetViews>
    <sheetView workbookViewId="0">
      <selection sqref="A1:XFD1048576"/>
    </sheetView>
  </sheetViews>
  <sheetFormatPr defaultRowHeight="15" x14ac:dyDescent="0.25"/>
  <cols>
    <col min="1" max="1" width="10.140625" bestFit="1" customWidth="1"/>
    <col min="3" max="3" width="13.28515625" bestFit="1" customWidth="1"/>
    <col min="4" max="4" width="5.7109375" bestFit="1" customWidth="1"/>
    <col min="5" max="5" width="14" bestFit="1" customWidth="1"/>
    <col min="6" max="6" width="12.140625" bestFit="1" customWidth="1"/>
    <col min="12" max="12" width="11" bestFit="1" customWidth="1"/>
    <col min="13" max="13" width="10.85546875" bestFit="1" customWidth="1"/>
  </cols>
  <sheetData>
    <row r="1" spans="1:21" s="2" customFormat="1" ht="12.7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 s="4" customFormat="1" ht="12.75" x14ac:dyDescent="0.2">
      <c r="A2" s="3">
        <v>44275</v>
      </c>
      <c r="B2" s="4" t="s">
        <v>21</v>
      </c>
      <c r="C2" s="4" t="s">
        <v>30</v>
      </c>
      <c r="D2" s="4" t="s">
        <v>23</v>
      </c>
      <c r="E2" s="4" t="s">
        <v>68</v>
      </c>
      <c r="F2" s="4" t="s">
        <v>25</v>
      </c>
      <c r="G2" s="4">
        <v>70000</v>
      </c>
      <c r="H2" s="4" t="s">
        <v>33</v>
      </c>
      <c r="I2" s="4" t="s">
        <v>35</v>
      </c>
      <c r="J2" s="5">
        <v>0.47916666666666669</v>
      </c>
      <c r="K2" s="6">
        <v>0.46666666666666662</v>
      </c>
      <c r="L2" s="5">
        <v>0.27430555555555552</v>
      </c>
      <c r="M2" s="6">
        <v>0.28055555555555556</v>
      </c>
      <c r="N2" s="4" t="s">
        <v>106</v>
      </c>
      <c r="O2" s="4" t="s">
        <v>105</v>
      </c>
      <c r="P2" s="4">
        <v>833</v>
      </c>
      <c r="Q2" s="4">
        <v>1215</v>
      </c>
      <c r="R2" s="4">
        <v>0</v>
      </c>
      <c r="S2" s="4">
        <v>0</v>
      </c>
      <c r="T2" s="4">
        <v>0</v>
      </c>
      <c r="U2" s="4">
        <v>0</v>
      </c>
    </row>
    <row r="3" spans="1:21" x14ac:dyDescent="0.25">
      <c r="A3" s="3">
        <f>A2</f>
        <v>44275</v>
      </c>
      <c r="B3" s="4" t="s">
        <v>21</v>
      </c>
      <c r="C3" s="4" t="s">
        <v>31</v>
      </c>
      <c r="D3" s="4" t="s">
        <v>23</v>
      </c>
      <c r="E3" s="4" t="str">
        <f>E2</f>
        <v>HALYR</v>
      </c>
      <c r="F3" s="4" t="s">
        <v>25</v>
      </c>
      <c r="G3" s="4">
        <v>70000</v>
      </c>
      <c r="H3" s="4" t="s">
        <v>34</v>
      </c>
      <c r="I3" s="4" t="s">
        <v>36</v>
      </c>
      <c r="J3" s="5">
        <v>0.64930555555555558</v>
      </c>
      <c r="K3" s="6">
        <v>0.63541666666666663</v>
      </c>
      <c r="L3" s="5">
        <v>0.5</v>
      </c>
      <c r="M3" s="6">
        <v>0.50347222222222221</v>
      </c>
      <c r="N3" s="4" t="s">
        <v>109</v>
      </c>
      <c r="O3" s="4" t="s">
        <v>107</v>
      </c>
      <c r="P3" s="4">
        <v>1117</v>
      </c>
      <c r="Q3" s="4">
        <v>969</v>
      </c>
      <c r="R3" s="4">
        <v>0</v>
      </c>
      <c r="S3" s="4">
        <v>0</v>
      </c>
      <c r="T3" s="4">
        <v>0</v>
      </c>
      <c r="U3" s="4">
        <v>0</v>
      </c>
    </row>
    <row r="4" spans="1:21" x14ac:dyDescent="0.25">
      <c r="A4" s="3">
        <f>A3</f>
        <v>44275</v>
      </c>
      <c r="B4" s="4" t="s">
        <v>21</v>
      </c>
      <c r="C4" s="4" t="s">
        <v>54</v>
      </c>
      <c r="D4" s="4" t="s">
        <v>23</v>
      </c>
      <c r="E4" s="4" t="s">
        <v>42</v>
      </c>
      <c r="F4" s="4" t="s">
        <v>25</v>
      </c>
      <c r="G4" s="4">
        <v>70000</v>
      </c>
      <c r="H4" s="4" t="s">
        <v>56</v>
      </c>
      <c r="I4" s="4" t="s">
        <v>57</v>
      </c>
      <c r="J4" s="5">
        <v>0.94791666666666663</v>
      </c>
      <c r="K4" s="6">
        <v>0.93541666666666667</v>
      </c>
      <c r="L4" s="5">
        <v>0.71527777777777779</v>
      </c>
      <c r="M4" s="6">
        <v>0.71597222222222223</v>
      </c>
      <c r="N4" s="4" t="s">
        <v>110</v>
      </c>
      <c r="O4" s="4" t="s">
        <v>108</v>
      </c>
      <c r="P4" s="4">
        <v>978</v>
      </c>
      <c r="Q4" s="4">
        <v>1270</v>
      </c>
      <c r="R4" s="4">
        <v>0</v>
      </c>
      <c r="S4" s="4">
        <v>0</v>
      </c>
      <c r="T4" s="4">
        <v>0</v>
      </c>
      <c r="U4" s="4">
        <v>0</v>
      </c>
    </row>
  </sheetData>
  <pageMargins left="0.7" right="0.7" top="0.75" bottom="0.75" header="0.3" footer="0.3"/>
  <pageSetup paperSize="9" orientation="portrait" verticalDpi="0"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4"/>
  <sheetViews>
    <sheetView workbookViewId="0">
      <selection activeCell="A3" sqref="A3:U3"/>
    </sheetView>
  </sheetViews>
  <sheetFormatPr defaultRowHeight="15" x14ac:dyDescent="0.25"/>
  <cols>
    <col min="1" max="1" width="10.140625" bestFit="1" customWidth="1"/>
    <col min="3" max="3" width="13.28515625" bestFit="1" customWidth="1"/>
    <col min="4" max="4" width="5.7109375" bestFit="1" customWidth="1"/>
    <col min="5" max="5" width="14" bestFit="1" customWidth="1"/>
    <col min="6" max="6" width="12.140625" bestFit="1" customWidth="1"/>
    <col min="12" max="12" width="11" bestFit="1" customWidth="1"/>
    <col min="13" max="13" width="10.85546875" bestFit="1" customWidth="1"/>
  </cols>
  <sheetData>
    <row r="1" spans="1:21" s="2" customFormat="1" ht="12.7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 s="4" customFormat="1" ht="12.75" x14ac:dyDescent="0.2">
      <c r="A2" s="3">
        <v>44276</v>
      </c>
      <c r="B2" s="4" t="s">
        <v>21</v>
      </c>
      <c r="C2" s="4" t="s">
        <v>69</v>
      </c>
      <c r="D2" s="4" t="s">
        <v>23</v>
      </c>
      <c r="E2" s="4" t="s">
        <v>68</v>
      </c>
      <c r="F2" s="4" t="s">
        <v>25</v>
      </c>
      <c r="G2" s="4">
        <v>70000</v>
      </c>
      <c r="H2" s="4" t="s">
        <v>71</v>
      </c>
      <c r="I2" s="4" t="s">
        <v>70</v>
      </c>
      <c r="J2" s="5">
        <v>0.45833333333333331</v>
      </c>
      <c r="K2" s="6">
        <v>0.46527777777777773</v>
      </c>
      <c r="L2" s="5">
        <v>0.27430555555555552</v>
      </c>
      <c r="M2" s="6">
        <v>0.27499999999999997</v>
      </c>
      <c r="N2" s="4" t="s">
        <v>112</v>
      </c>
      <c r="O2" s="4" t="s">
        <v>111</v>
      </c>
      <c r="P2" s="4">
        <v>975</v>
      </c>
      <c r="Q2" s="4">
        <v>1170</v>
      </c>
      <c r="R2" s="4">
        <v>0</v>
      </c>
      <c r="S2" s="4">
        <v>0</v>
      </c>
      <c r="T2" s="4">
        <v>0</v>
      </c>
      <c r="U2" s="4">
        <v>0</v>
      </c>
    </row>
    <row r="3" spans="1:21" x14ac:dyDescent="0.25">
      <c r="A3" s="3">
        <f>A2</f>
        <v>44276</v>
      </c>
      <c r="B3" s="4" t="s">
        <v>21</v>
      </c>
      <c r="C3" s="4" t="s">
        <v>41</v>
      </c>
      <c r="D3" s="4" t="s">
        <v>23</v>
      </c>
      <c r="E3" s="4" t="s">
        <v>42</v>
      </c>
      <c r="F3" s="4" t="s">
        <v>25</v>
      </c>
      <c r="G3" s="4">
        <v>70000</v>
      </c>
      <c r="H3" s="4" t="s">
        <v>43</v>
      </c>
      <c r="I3" s="4" t="s">
        <v>44</v>
      </c>
      <c r="J3" s="5">
        <v>0.74305555555555547</v>
      </c>
      <c r="K3" s="6">
        <v>0.7368055555555556</v>
      </c>
      <c r="L3" s="5">
        <v>0.50694444444444442</v>
      </c>
      <c r="M3" s="6">
        <v>0.50972222222222219</v>
      </c>
      <c r="N3" s="4" t="s">
        <v>114</v>
      </c>
      <c r="O3" s="4" t="s">
        <v>113</v>
      </c>
      <c r="P3" s="4">
        <v>992</v>
      </c>
      <c r="Q3" s="4">
        <v>999</v>
      </c>
      <c r="R3" s="4">
        <v>0</v>
      </c>
      <c r="S3" s="4">
        <v>0</v>
      </c>
      <c r="T3" s="4">
        <v>0</v>
      </c>
      <c r="U3" s="4">
        <v>0</v>
      </c>
    </row>
    <row r="4" spans="1:21" x14ac:dyDescent="0.25">
      <c r="A4" s="3">
        <f>A3</f>
        <v>44276</v>
      </c>
      <c r="B4" s="4" t="s">
        <v>21</v>
      </c>
      <c r="C4" s="4" t="s">
        <v>45</v>
      </c>
      <c r="D4" s="4" t="s">
        <v>23</v>
      </c>
      <c r="E4" s="4" t="s">
        <v>42</v>
      </c>
      <c r="F4" s="4" t="s">
        <v>25</v>
      </c>
      <c r="G4" s="4">
        <v>70000</v>
      </c>
      <c r="H4" s="4" t="s">
        <v>46</v>
      </c>
      <c r="I4" s="4" t="s">
        <v>47</v>
      </c>
      <c r="J4" s="5">
        <v>0.93055555555555547</v>
      </c>
      <c r="K4" s="6"/>
      <c r="L4" s="5">
        <v>0.76388888888888884</v>
      </c>
      <c r="M4" s="6">
        <v>0.77638888888888891</v>
      </c>
      <c r="N4" s="4" t="s">
        <v>115</v>
      </c>
      <c r="O4" s="4" t="s">
        <v>93</v>
      </c>
      <c r="P4" s="4">
        <v>543</v>
      </c>
      <c r="Q4" s="4">
        <v>784</v>
      </c>
      <c r="R4" s="4">
        <v>0</v>
      </c>
      <c r="S4" s="4">
        <v>0</v>
      </c>
      <c r="T4" s="4">
        <v>0</v>
      </c>
      <c r="U4" s="4">
        <v>0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2"/>
  <sheetViews>
    <sheetView workbookViewId="0">
      <selection activeCell="K2" sqref="K2"/>
    </sheetView>
  </sheetViews>
  <sheetFormatPr defaultRowHeight="15" x14ac:dyDescent="0.25"/>
  <cols>
    <col min="1" max="1" width="10.140625" bestFit="1" customWidth="1"/>
    <col min="3" max="3" width="13.28515625" bestFit="1" customWidth="1"/>
    <col min="4" max="4" width="5.7109375" bestFit="1" customWidth="1"/>
    <col min="5" max="5" width="15" customWidth="1"/>
    <col min="6" max="6" width="12.140625" bestFit="1" customWidth="1"/>
    <col min="14" max="14" width="16.42578125" customWidth="1"/>
  </cols>
  <sheetData>
    <row r="1" spans="1:21" s="2" customFormat="1" ht="12.7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 s="4" customFormat="1" ht="12.75" x14ac:dyDescent="0.2">
      <c r="A2" s="3">
        <v>44277</v>
      </c>
      <c r="B2" s="4" t="s">
        <v>21</v>
      </c>
      <c r="C2" s="4" t="s">
        <v>22</v>
      </c>
      <c r="D2" s="4" t="s">
        <v>23</v>
      </c>
      <c r="E2" s="4" t="s">
        <v>68</v>
      </c>
      <c r="F2" s="4" t="s">
        <v>25</v>
      </c>
      <c r="G2" s="4">
        <v>70000</v>
      </c>
      <c r="H2" s="4" t="s">
        <v>26</v>
      </c>
      <c r="I2" s="4" t="s">
        <v>27</v>
      </c>
      <c r="J2" s="5">
        <v>0.47569444444444442</v>
      </c>
      <c r="K2" s="6">
        <v>0.47638888888888892</v>
      </c>
      <c r="L2" s="5">
        <v>0.27430555555555552</v>
      </c>
      <c r="M2" s="6">
        <v>0.28680555555555554</v>
      </c>
      <c r="N2" s="4" t="s">
        <v>117</v>
      </c>
      <c r="O2" s="4" t="s">
        <v>116</v>
      </c>
      <c r="P2" s="4">
        <v>1087</v>
      </c>
      <c r="Q2" s="4">
        <v>773</v>
      </c>
      <c r="R2" s="4">
        <v>0</v>
      </c>
      <c r="S2" s="4">
        <v>0</v>
      </c>
      <c r="T2" s="4">
        <v>0</v>
      </c>
      <c r="U2" s="4">
        <v>0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3"/>
  <sheetViews>
    <sheetView workbookViewId="0">
      <selection activeCell="J3" sqref="J3"/>
    </sheetView>
  </sheetViews>
  <sheetFormatPr defaultRowHeight="15" x14ac:dyDescent="0.25"/>
  <cols>
    <col min="1" max="1" width="10.140625" bestFit="1" customWidth="1"/>
    <col min="3" max="3" width="13.28515625" bestFit="1" customWidth="1"/>
    <col min="4" max="4" width="5.7109375" bestFit="1" customWidth="1"/>
    <col min="6" max="6" width="12.140625" bestFit="1" customWidth="1"/>
    <col min="12" max="12" width="11" bestFit="1" customWidth="1"/>
    <col min="13" max="13" width="10.85546875" bestFit="1" customWidth="1"/>
  </cols>
  <sheetData>
    <row r="1" spans="1:21" s="2" customFormat="1" ht="12.7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 x14ac:dyDescent="0.25">
      <c r="A2" s="3">
        <v>44278</v>
      </c>
      <c r="B2" s="4" t="s">
        <v>21</v>
      </c>
      <c r="C2" s="4" t="s">
        <v>31</v>
      </c>
      <c r="D2" s="4" t="s">
        <v>23</v>
      </c>
      <c r="E2" s="4" t="s">
        <v>42</v>
      </c>
      <c r="F2" s="4" t="s">
        <v>25</v>
      </c>
      <c r="G2" s="4">
        <v>70000</v>
      </c>
      <c r="H2" s="4" t="s">
        <v>34</v>
      </c>
      <c r="I2" s="4" t="s">
        <v>36</v>
      </c>
      <c r="J2" s="5">
        <v>0.42708333333333331</v>
      </c>
      <c r="K2" s="6">
        <v>0.45833333333333331</v>
      </c>
      <c r="L2" s="5">
        <v>0.27777777777777779</v>
      </c>
      <c r="M2" s="6">
        <v>0.28888888888888892</v>
      </c>
      <c r="N2" s="4" t="s">
        <v>119</v>
      </c>
      <c r="O2" s="4" t="s">
        <v>118</v>
      </c>
      <c r="P2" s="4">
        <v>868</v>
      </c>
      <c r="Q2" s="4">
        <v>859</v>
      </c>
      <c r="R2" s="4">
        <v>0</v>
      </c>
      <c r="S2" s="4">
        <v>0</v>
      </c>
      <c r="T2" s="4">
        <v>0</v>
      </c>
      <c r="U2" s="4">
        <v>0</v>
      </c>
    </row>
    <row r="3" spans="1:21" x14ac:dyDescent="0.25">
      <c r="A3" s="3">
        <v>44278</v>
      </c>
      <c r="B3" s="4" t="s">
        <v>21</v>
      </c>
      <c r="C3" s="4" t="s">
        <v>45</v>
      </c>
      <c r="D3" s="4" t="s">
        <v>23</v>
      </c>
      <c r="E3" s="4" t="s">
        <v>68</v>
      </c>
      <c r="F3" s="4" t="s">
        <v>25</v>
      </c>
      <c r="G3" s="4">
        <v>70000</v>
      </c>
      <c r="H3" s="4" t="s">
        <v>46</v>
      </c>
      <c r="I3" s="4" t="s">
        <v>47</v>
      </c>
      <c r="J3" s="5">
        <v>0.93055555555555547</v>
      </c>
      <c r="K3" s="6">
        <v>0.92291666666666661</v>
      </c>
      <c r="L3" s="5">
        <v>0.76388888888888884</v>
      </c>
      <c r="M3" s="6">
        <v>0.7597222222222223</v>
      </c>
      <c r="N3" s="4" t="s">
        <v>121</v>
      </c>
      <c r="O3" s="4" t="s">
        <v>120</v>
      </c>
      <c r="P3" s="4">
        <v>557</v>
      </c>
      <c r="Q3" s="4">
        <v>315</v>
      </c>
      <c r="R3" s="4">
        <v>0</v>
      </c>
      <c r="S3" s="4">
        <v>0</v>
      </c>
      <c r="T3" s="4">
        <v>0</v>
      </c>
      <c r="U3" s="4">
        <v>0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3"/>
  <sheetViews>
    <sheetView workbookViewId="0">
      <selection activeCell="K22" sqref="K22"/>
    </sheetView>
  </sheetViews>
  <sheetFormatPr defaultRowHeight="15" x14ac:dyDescent="0.25"/>
  <cols>
    <col min="1" max="1" width="10.140625" bestFit="1" customWidth="1"/>
    <col min="3" max="3" width="13.28515625" bestFit="1" customWidth="1"/>
    <col min="4" max="4" width="5.7109375" bestFit="1" customWidth="1"/>
    <col min="6" max="6" width="12.140625" bestFit="1" customWidth="1"/>
    <col min="12" max="12" width="11" bestFit="1" customWidth="1"/>
    <col min="13" max="13" width="10.85546875" bestFit="1" customWidth="1"/>
  </cols>
  <sheetData>
    <row r="1" spans="1:21" s="2" customFormat="1" ht="12.7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 x14ac:dyDescent="0.25">
      <c r="A2" s="3">
        <v>44281</v>
      </c>
      <c r="B2" s="4" t="s">
        <v>21</v>
      </c>
      <c r="C2" s="4" t="s">
        <v>22</v>
      </c>
      <c r="D2" s="4" t="s">
        <v>23</v>
      </c>
      <c r="E2" s="4" t="s">
        <v>42</v>
      </c>
      <c r="F2" s="4" t="s">
        <v>25</v>
      </c>
      <c r="G2" s="11">
        <v>70000</v>
      </c>
      <c r="H2" s="4" t="s">
        <v>26</v>
      </c>
      <c r="I2" s="4" t="s">
        <v>27</v>
      </c>
      <c r="J2" s="5">
        <v>0.47569444444444442</v>
      </c>
      <c r="K2" s="6">
        <v>0.46388888888888885</v>
      </c>
      <c r="L2" s="5">
        <v>0.27430555555555552</v>
      </c>
      <c r="M2" s="6">
        <v>0.27916666666666667</v>
      </c>
      <c r="N2" s="4" t="s">
        <v>125</v>
      </c>
      <c r="O2" s="4" t="s">
        <v>74</v>
      </c>
      <c r="P2" s="4">
        <v>778</v>
      </c>
      <c r="Q2" s="4">
        <v>831</v>
      </c>
      <c r="R2" s="4">
        <v>0</v>
      </c>
      <c r="S2" s="4">
        <v>0</v>
      </c>
      <c r="T2" s="4">
        <v>0</v>
      </c>
      <c r="U2" s="4">
        <v>0</v>
      </c>
    </row>
    <row r="3" spans="1:21" x14ac:dyDescent="0.25">
      <c r="A3" s="3">
        <v>44281</v>
      </c>
      <c r="B3" s="4" t="s">
        <v>21</v>
      </c>
      <c r="C3" s="4" t="s">
        <v>122</v>
      </c>
      <c r="D3" s="4" t="s">
        <v>23</v>
      </c>
      <c r="E3" s="4" t="s">
        <v>68</v>
      </c>
      <c r="F3" s="4" t="s">
        <v>25</v>
      </c>
      <c r="G3" s="11">
        <v>70000</v>
      </c>
      <c r="H3" s="4" t="s">
        <v>123</v>
      </c>
      <c r="I3" s="4" t="s">
        <v>124</v>
      </c>
      <c r="J3" s="5">
        <v>0.74305555555555547</v>
      </c>
      <c r="K3" s="6">
        <v>0.73541666666666661</v>
      </c>
      <c r="L3" s="5">
        <v>0.53472222222222221</v>
      </c>
      <c r="M3" s="6">
        <v>0.52986111111111112</v>
      </c>
      <c r="N3" s="4" t="s">
        <v>127</v>
      </c>
      <c r="O3" s="4" t="s">
        <v>126</v>
      </c>
      <c r="P3" s="4">
        <v>1005</v>
      </c>
      <c r="Q3" s="4">
        <v>746</v>
      </c>
      <c r="R3" s="4">
        <v>0</v>
      </c>
      <c r="S3" s="4">
        <v>0</v>
      </c>
      <c r="T3" s="4">
        <v>0</v>
      </c>
      <c r="U3" s="4">
        <v>0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7"/>
  <sheetViews>
    <sheetView workbookViewId="0">
      <selection sqref="A1:U1"/>
    </sheetView>
  </sheetViews>
  <sheetFormatPr defaultRowHeight="12.75" x14ac:dyDescent="0.2"/>
  <cols>
    <col min="1" max="1" width="10.140625" style="4" bestFit="1" customWidth="1"/>
    <col min="2" max="2" width="9.140625" style="4"/>
    <col min="3" max="3" width="13.28515625" style="4" bestFit="1" customWidth="1"/>
    <col min="4" max="4" width="10.42578125" style="4" customWidth="1"/>
    <col min="5" max="5" width="14" style="4" bestFit="1" customWidth="1"/>
    <col min="6" max="6" width="12.140625" style="4" bestFit="1" customWidth="1"/>
    <col min="7" max="11" width="9.140625" style="4"/>
    <col min="12" max="12" width="11" style="4" bestFit="1" customWidth="1"/>
    <col min="13" max="13" width="10.85546875" style="4" bestFit="1" customWidth="1"/>
    <col min="14" max="16384" width="9.140625" style="4"/>
  </cols>
  <sheetData>
    <row r="1" spans="1:21" s="2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 x14ac:dyDescent="0.2">
      <c r="A2" s="3">
        <v>44282</v>
      </c>
      <c r="B2" s="4" t="s">
        <v>21</v>
      </c>
      <c r="C2" s="4" t="s">
        <v>69</v>
      </c>
      <c r="D2" s="4" t="s">
        <v>23</v>
      </c>
      <c r="E2" s="4" t="s">
        <v>42</v>
      </c>
      <c r="F2" s="4" t="s">
        <v>25</v>
      </c>
      <c r="G2" s="4">
        <v>70000</v>
      </c>
      <c r="H2" s="4" t="s">
        <v>71</v>
      </c>
      <c r="I2" s="4" t="s">
        <v>70</v>
      </c>
      <c r="J2" s="5">
        <v>0.45833333333333331</v>
      </c>
      <c r="K2" s="6">
        <v>0.4597222222222222</v>
      </c>
      <c r="L2" s="5">
        <v>0.27430555555555552</v>
      </c>
      <c r="M2" s="6">
        <v>0.29097222222222224</v>
      </c>
      <c r="N2" s="4" t="s">
        <v>128</v>
      </c>
      <c r="O2" s="4" t="s">
        <v>129</v>
      </c>
      <c r="P2" s="4">
        <v>822</v>
      </c>
      <c r="Q2" s="4">
        <v>652</v>
      </c>
      <c r="R2" s="4">
        <v>0</v>
      </c>
      <c r="S2" s="4">
        <v>0</v>
      </c>
      <c r="T2" s="4">
        <v>0</v>
      </c>
      <c r="U2" s="4">
        <v>0</v>
      </c>
    </row>
    <row r="3" spans="1:21" x14ac:dyDescent="0.2">
      <c r="A3" s="3">
        <v>44282</v>
      </c>
      <c r="B3" s="4" t="s">
        <v>21</v>
      </c>
      <c r="C3" s="4" t="s">
        <v>30</v>
      </c>
      <c r="D3" s="4" t="s">
        <v>23</v>
      </c>
      <c r="E3" s="4" t="s">
        <v>68</v>
      </c>
      <c r="F3" s="4" t="s">
        <v>25</v>
      </c>
      <c r="G3" s="4">
        <v>70000</v>
      </c>
      <c r="H3" s="4" t="s">
        <v>33</v>
      </c>
      <c r="I3" s="4" t="s">
        <v>35</v>
      </c>
      <c r="J3" s="5">
        <v>0.47916666666666669</v>
      </c>
      <c r="K3" s="6">
        <v>0.47222222222222227</v>
      </c>
      <c r="L3" s="5">
        <v>0.27430555555555552</v>
      </c>
      <c r="M3" s="6">
        <v>0.29097222222222224</v>
      </c>
      <c r="N3" s="4">
        <v>119</v>
      </c>
      <c r="O3" s="4" t="s">
        <v>77</v>
      </c>
      <c r="P3" s="4">
        <v>608</v>
      </c>
      <c r="Q3" s="4">
        <v>899</v>
      </c>
      <c r="R3" s="4">
        <v>0</v>
      </c>
      <c r="S3" s="4">
        <v>0</v>
      </c>
      <c r="T3" s="4">
        <v>0</v>
      </c>
      <c r="U3" s="4">
        <v>0</v>
      </c>
    </row>
    <row r="4" spans="1:21" x14ac:dyDescent="0.2">
      <c r="A4" s="3">
        <v>44282</v>
      </c>
      <c r="B4" s="4" t="s">
        <v>21</v>
      </c>
      <c r="C4" s="4" t="s">
        <v>31</v>
      </c>
      <c r="D4" s="4" t="s">
        <v>23</v>
      </c>
      <c r="E4" s="4" t="str">
        <f>E3</f>
        <v>HALYR</v>
      </c>
      <c r="F4" s="4" t="s">
        <v>25</v>
      </c>
      <c r="G4" s="4">
        <v>70000</v>
      </c>
      <c r="H4" s="4" t="s">
        <v>34</v>
      </c>
      <c r="I4" s="4" t="s">
        <v>36</v>
      </c>
      <c r="J4" s="5">
        <v>0.64930555555555558</v>
      </c>
      <c r="K4" s="6">
        <v>0.6430555555555556</v>
      </c>
      <c r="L4" s="5">
        <v>0.5</v>
      </c>
      <c r="M4" s="6"/>
      <c r="N4" s="4" t="s">
        <v>138</v>
      </c>
      <c r="O4" s="4" t="s">
        <v>130</v>
      </c>
      <c r="P4" s="4">
        <v>1071</v>
      </c>
      <c r="Q4" s="4">
        <v>1154</v>
      </c>
      <c r="R4" s="4">
        <v>0</v>
      </c>
      <c r="S4" s="4">
        <v>0</v>
      </c>
      <c r="T4" s="4">
        <v>0</v>
      </c>
      <c r="U4" s="4">
        <v>0</v>
      </c>
    </row>
    <row r="5" spans="1:21" x14ac:dyDescent="0.2">
      <c r="A5" s="3">
        <f>A4</f>
        <v>44282</v>
      </c>
      <c r="B5" s="4" t="s">
        <v>21</v>
      </c>
      <c r="C5" s="4" t="s">
        <v>45</v>
      </c>
      <c r="D5" s="4" t="s">
        <v>23</v>
      </c>
      <c r="E5" s="4" t="s">
        <v>42</v>
      </c>
      <c r="F5" s="4" t="s">
        <v>25</v>
      </c>
      <c r="G5" s="4">
        <v>70000</v>
      </c>
      <c r="H5" s="4" t="s">
        <v>46</v>
      </c>
      <c r="I5" s="4" t="s">
        <v>47</v>
      </c>
      <c r="J5" s="5">
        <v>0.71527777777777779</v>
      </c>
      <c r="K5" s="6">
        <v>0.67222222222222217</v>
      </c>
      <c r="L5" s="5">
        <v>0.50694444444444442</v>
      </c>
      <c r="M5" s="6"/>
      <c r="N5" s="4" t="s">
        <v>139</v>
      </c>
      <c r="O5" s="4" t="s">
        <v>131</v>
      </c>
      <c r="P5" s="4">
        <v>1086</v>
      </c>
      <c r="Q5" s="4">
        <v>588</v>
      </c>
      <c r="R5" s="4">
        <v>0</v>
      </c>
      <c r="S5" s="4">
        <v>0</v>
      </c>
      <c r="T5" s="4">
        <v>0</v>
      </c>
      <c r="U5" s="4">
        <v>0</v>
      </c>
    </row>
    <row r="6" spans="1:21" x14ac:dyDescent="0.2">
      <c r="A6" s="3">
        <f>A5</f>
        <v>44282</v>
      </c>
      <c r="B6" s="4" t="s">
        <v>21</v>
      </c>
      <c r="C6" s="4" t="s">
        <v>54</v>
      </c>
      <c r="D6" s="4" t="s">
        <v>23</v>
      </c>
      <c r="E6" s="4" t="str">
        <f>E5</f>
        <v>HALWR</v>
      </c>
      <c r="F6" s="4" t="str">
        <f>F5</f>
        <v>SCHEDULED</v>
      </c>
      <c r="G6" s="4">
        <v>70000</v>
      </c>
      <c r="H6" s="4" t="s">
        <v>56</v>
      </c>
      <c r="I6" s="4" t="s">
        <v>57</v>
      </c>
      <c r="J6" s="5">
        <v>0.94791666666666663</v>
      </c>
      <c r="K6" s="6">
        <v>0.93541666666666667</v>
      </c>
      <c r="L6" s="5">
        <v>0.71527777777777779</v>
      </c>
      <c r="M6" s="6">
        <v>0.71458333333333324</v>
      </c>
      <c r="N6" s="4" t="s">
        <v>73</v>
      </c>
      <c r="O6" s="4" t="s">
        <v>140</v>
      </c>
      <c r="P6" s="4">
        <v>608</v>
      </c>
      <c r="Q6" s="4">
        <v>1123</v>
      </c>
      <c r="R6" s="4">
        <v>0</v>
      </c>
      <c r="S6" s="4">
        <v>0</v>
      </c>
      <c r="T6" s="4">
        <v>0</v>
      </c>
      <c r="U6" s="4">
        <v>0</v>
      </c>
    </row>
    <row r="7" spans="1:21" x14ac:dyDescent="0.2">
      <c r="A7" s="3">
        <f>A5</f>
        <v>44282</v>
      </c>
      <c r="B7" s="4" t="s">
        <v>137</v>
      </c>
      <c r="C7" s="4" t="s">
        <v>136</v>
      </c>
      <c r="D7" s="4" t="s">
        <v>135</v>
      </c>
      <c r="E7" s="4" t="s">
        <v>134</v>
      </c>
      <c r="F7" s="4" t="s">
        <v>133</v>
      </c>
      <c r="G7" s="4">
        <v>1</v>
      </c>
      <c r="H7" s="4" t="s">
        <v>132</v>
      </c>
      <c r="I7" s="4" t="s">
        <v>132</v>
      </c>
      <c r="J7" s="6">
        <v>0.29166666666666669</v>
      </c>
      <c r="K7" s="6">
        <v>0.29236111111111113</v>
      </c>
      <c r="L7" s="6">
        <v>0.3125</v>
      </c>
      <c r="M7" s="6">
        <v>0.31597222222222221</v>
      </c>
      <c r="N7" s="4">
        <v>0</v>
      </c>
      <c r="O7" s="4">
        <v>0</v>
      </c>
      <c r="P7" s="4">
        <v>0</v>
      </c>
      <c r="Q7" s="4">
        <v>0</v>
      </c>
      <c r="R7" s="4">
        <v>0</v>
      </c>
      <c r="S7" s="4">
        <v>0</v>
      </c>
      <c r="T7" s="4">
        <v>0</v>
      </c>
      <c r="U7" s="4">
        <v>0</v>
      </c>
    </row>
  </sheetData>
  <pageMargins left="0.7" right="0.7" top="0.75" bottom="0.75" header="0.3" footer="0.3"/>
  <pageSetup paperSize="9" orientation="portrait" verticalDpi="0" r:id="rId1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12"/>
  <sheetViews>
    <sheetView workbookViewId="0">
      <selection activeCell="F12" sqref="F12"/>
    </sheetView>
  </sheetViews>
  <sheetFormatPr defaultRowHeight="15" x14ac:dyDescent="0.25"/>
  <cols>
    <col min="1" max="1" width="10.140625" style="12" bestFit="1" customWidth="1"/>
    <col min="2" max="16384" width="9.140625" style="12"/>
  </cols>
  <sheetData>
    <row r="1" spans="1:2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 x14ac:dyDescent="0.25">
      <c r="A2" s="3">
        <v>44283</v>
      </c>
      <c r="B2" s="4" t="s">
        <v>21</v>
      </c>
      <c r="C2" s="4" t="s">
        <v>22</v>
      </c>
      <c r="D2" s="4" t="s">
        <v>23</v>
      </c>
      <c r="E2" s="4" t="s">
        <v>42</v>
      </c>
      <c r="F2" s="4" t="s">
        <v>25</v>
      </c>
      <c r="G2" s="11">
        <v>70000</v>
      </c>
      <c r="H2" s="4" t="s">
        <v>26</v>
      </c>
      <c r="I2" s="4" t="s">
        <v>27</v>
      </c>
      <c r="J2" s="6">
        <v>0.4861111111111111</v>
      </c>
      <c r="K2" s="6">
        <v>0.47013888888888888</v>
      </c>
      <c r="L2" s="6">
        <v>0.28472222222222221</v>
      </c>
      <c r="M2" s="6">
        <v>0.28263888888888888</v>
      </c>
      <c r="N2" s="4" t="s">
        <v>148</v>
      </c>
      <c r="O2" s="4" t="s">
        <v>141</v>
      </c>
      <c r="P2" s="4">
        <v>633</v>
      </c>
      <c r="Q2" s="4">
        <v>569</v>
      </c>
      <c r="R2" s="4">
        <v>0</v>
      </c>
      <c r="S2" s="4">
        <v>0</v>
      </c>
      <c r="T2" s="4">
        <v>0</v>
      </c>
      <c r="U2" s="4">
        <v>0</v>
      </c>
    </row>
    <row r="3" spans="1:21" x14ac:dyDescent="0.25">
      <c r="A3" s="3">
        <f>A2</f>
        <v>44283</v>
      </c>
      <c r="B3" s="4" t="s">
        <v>21</v>
      </c>
      <c r="C3" s="4" t="s">
        <v>41</v>
      </c>
      <c r="D3" s="4" t="s">
        <v>23</v>
      </c>
      <c r="E3" s="4" t="s">
        <v>68</v>
      </c>
      <c r="F3" s="4" t="s">
        <v>25</v>
      </c>
      <c r="G3" s="4">
        <v>70000</v>
      </c>
      <c r="H3" s="4" t="s">
        <v>43</v>
      </c>
      <c r="I3" s="4" t="s">
        <v>44</v>
      </c>
      <c r="J3" s="5">
        <v>0.70486111111111116</v>
      </c>
      <c r="K3" s="6">
        <v>0.69444444444444453</v>
      </c>
      <c r="L3" s="5">
        <v>0.46875</v>
      </c>
      <c r="M3" s="6">
        <v>0.47500000000000003</v>
      </c>
      <c r="N3" s="4">
        <v>123</v>
      </c>
      <c r="O3" s="4" t="s">
        <v>149</v>
      </c>
      <c r="P3" s="4">
        <v>1140</v>
      </c>
      <c r="Q3" s="4">
        <v>1104</v>
      </c>
      <c r="R3" s="4">
        <v>0</v>
      </c>
      <c r="S3" s="4">
        <v>0</v>
      </c>
      <c r="T3" s="4">
        <v>0</v>
      </c>
      <c r="U3" s="4">
        <v>0</v>
      </c>
    </row>
    <row r="4" spans="1:21" x14ac:dyDescent="0.25">
      <c r="A4" s="3">
        <f>A3</f>
        <v>44283</v>
      </c>
      <c r="B4" s="4" t="s">
        <v>21</v>
      </c>
      <c r="C4" s="4" t="s">
        <v>142</v>
      </c>
      <c r="D4" s="4" t="s">
        <v>23</v>
      </c>
      <c r="E4" s="4" t="s">
        <v>42</v>
      </c>
      <c r="F4" s="4" t="s">
        <v>25</v>
      </c>
      <c r="G4" s="4">
        <v>70000</v>
      </c>
      <c r="H4" s="4" t="s">
        <v>143</v>
      </c>
      <c r="I4" s="4" t="s">
        <v>144</v>
      </c>
      <c r="J4" s="6">
        <v>0.69444444444444453</v>
      </c>
      <c r="K4" s="6">
        <v>0.69027777777777777</v>
      </c>
      <c r="L4" s="6">
        <v>0.51736111111111105</v>
      </c>
      <c r="M4" s="6">
        <v>0.51527777777777783</v>
      </c>
      <c r="N4" s="4" t="s">
        <v>152</v>
      </c>
      <c r="O4" s="4" t="s">
        <v>150</v>
      </c>
      <c r="P4" s="4">
        <v>1120</v>
      </c>
      <c r="Q4" s="4">
        <v>696</v>
      </c>
      <c r="R4" s="4">
        <v>0</v>
      </c>
      <c r="S4" s="4">
        <v>0</v>
      </c>
      <c r="T4" s="4">
        <v>0</v>
      </c>
      <c r="U4" s="4">
        <v>0</v>
      </c>
    </row>
    <row r="5" spans="1:21" x14ac:dyDescent="0.25">
      <c r="A5" s="3">
        <v>44283</v>
      </c>
      <c r="B5" s="4" t="s">
        <v>21</v>
      </c>
      <c r="C5" s="4" t="s">
        <v>145</v>
      </c>
      <c r="D5" s="4" t="s">
        <v>23</v>
      </c>
      <c r="E5" s="4" t="s">
        <v>42</v>
      </c>
      <c r="F5" s="4" t="s">
        <v>25</v>
      </c>
      <c r="G5" s="4">
        <v>70000</v>
      </c>
      <c r="H5" s="4" t="s">
        <v>146</v>
      </c>
      <c r="I5" s="4" t="s">
        <v>147</v>
      </c>
      <c r="J5" s="6">
        <v>0.90625</v>
      </c>
      <c r="K5" s="6">
        <v>0.90763888888888899</v>
      </c>
      <c r="L5" s="6">
        <v>0.71527777777777779</v>
      </c>
      <c r="M5" s="6">
        <v>0.72361111111111109</v>
      </c>
      <c r="N5" s="4" t="s">
        <v>153</v>
      </c>
      <c r="O5" s="4" t="s">
        <v>151</v>
      </c>
      <c r="P5" s="4">
        <v>987</v>
      </c>
      <c r="Q5" s="4">
        <v>864</v>
      </c>
      <c r="R5" s="4">
        <v>0</v>
      </c>
      <c r="S5" s="4">
        <v>0</v>
      </c>
      <c r="T5" s="4">
        <v>0</v>
      </c>
      <c r="U5" s="4">
        <v>0</v>
      </c>
    </row>
    <row r="6" spans="1:21" x14ac:dyDescent="0.25">
      <c r="A6" s="4"/>
      <c r="B6" s="4"/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</row>
    <row r="7" spans="1:21" x14ac:dyDescent="0.25">
      <c r="A7" s="4"/>
      <c r="B7" s="4"/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</row>
    <row r="8" spans="1:21" x14ac:dyDescent="0.25">
      <c r="A8" s="4"/>
      <c r="B8" s="4"/>
      <c r="C8" s="4"/>
      <c r="D8" s="4"/>
      <c r="E8" s="4"/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</row>
    <row r="9" spans="1:21" x14ac:dyDescent="0.25">
      <c r="A9" s="4"/>
      <c r="B9" s="4"/>
      <c r="C9" s="4"/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</row>
    <row r="10" spans="1:21" x14ac:dyDescent="0.25">
      <c r="A10" s="4"/>
      <c r="B10" s="4"/>
      <c r="C10" s="4"/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</row>
    <row r="11" spans="1:21" x14ac:dyDescent="0.25">
      <c r="A11" s="4"/>
      <c r="B11" s="4"/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</row>
    <row r="12" spans="1:21" x14ac:dyDescent="0.25">
      <c r="A12" s="4"/>
      <c r="B12" s="4"/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</row>
  </sheetData>
  <pageMargins left="0.7" right="0.7" top="0.75" bottom="0.75" header="0.3" footer="0.3"/>
  <pageSetup paperSize="9" orientation="portrait" verticalDpi="0" r:id="rId1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12"/>
  <sheetViews>
    <sheetView workbookViewId="0">
      <selection activeCell="K5" sqref="K5"/>
    </sheetView>
  </sheetViews>
  <sheetFormatPr defaultRowHeight="15" x14ac:dyDescent="0.25"/>
  <cols>
    <col min="1" max="1" width="10.140625" style="12" bestFit="1" customWidth="1"/>
    <col min="2" max="2" width="9.140625" style="12"/>
    <col min="3" max="3" width="13.5703125" style="12" bestFit="1" customWidth="1"/>
    <col min="4" max="4" width="5.7109375" style="12" bestFit="1" customWidth="1"/>
    <col min="5" max="5" width="9.140625" style="12"/>
    <col min="6" max="6" width="12.140625" style="12" bestFit="1" customWidth="1"/>
    <col min="7" max="16384" width="9.140625" style="12"/>
  </cols>
  <sheetData>
    <row r="1" spans="1:2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 x14ac:dyDescent="0.25">
      <c r="A2" s="3">
        <v>44284</v>
      </c>
      <c r="B2" s="4" t="s">
        <v>21</v>
      </c>
      <c r="C2" s="4" t="s">
        <v>30</v>
      </c>
      <c r="D2" s="4" t="s">
        <v>23</v>
      </c>
      <c r="E2" s="4" t="s">
        <v>68</v>
      </c>
      <c r="F2" s="4" t="s">
        <v>25</v>
      </c>
      <c r="G2" s="11">
        <v>70000</v>
      </c>
      <c r="H2" s="4" t="s">
        <v>33</v>
      </c>
      <c r="I2" s="4" t="s">
        <v>35</v>
      </c>
      <c r="J2" s="5">
        <v>0.45833333333333331</v>
      </c>
      <c r="K2" s="6">
        <v>0.44305555555555554</v>
      </c>
      <c r="L2" s="5">
        <v>0.25694444444444448</v>
      </c>
      <c r="M2" s="6">
        <v>0.25347222222222221</v>
      </c>
      <c r="N2" s="4" t="s">
        <v>155</v>
      </c>
      <c r="O2" s="4" t="s">
        <v>154</v>
      </c>
      <c r="P2" s="4">
        <v>639</v>
      </c>
      <c r="Q2" s="4">
        <v>455</v>
      </c>
      <c r="R2" s="4">
        <v>0</v>
      </c>
      <c r="S2" s="4">
        <v>0</v>
      </c>
      <c r="T2" s="4">
        <v>0</v>
      </c>
      <c r="U2" s="4">
        <v>0</v>
      </c>
    </row>
    <row r="3" spans="1:21" x14ac:dyDescent="0.25">
      <c r="A3" s="3">
        <f>A2</f>
        <v>44284</v>
      </c>
      <c r="B3" s="4" t="s">
        <v>21</v>
      </c>
      <c r="C3" s="4" t="s">
        <v>22</v>
      </c>
      <c r="D3" s="4" t="s">
        <v>23</v>
      </c>
      <c r="E3" s="4" t="s">
        <v>42</v>
      </c>
      <c r="F3" s="4" t="s">
        <v>25</v>
      </c>
      <c r="G3" s="4">
        <v>70000</v>
      </c>
      <c r="H3" s="4" t="s">
        <v>26</v>
      </c>
      <c r="I3" s="4" t="s">
        <v>27</v>
      </c>
      <c r="J3" s="5">
        <v>0.90277777777777779</v>
      </c>
      <c r="K3" s="6">
        <v>0.91319444444444453</v>
      </c>
      <c r="L3" s="5">
        <v>0.46875</v>
      </c>
      <c r="M3" s="6">
        <v>0.47013888888888888</v>
      </c>
      <c r="N3" s="4" t="s">
        <v>158</v>
      </c>
      <c r="O3" s="4" t="s">
        <v>156</v>
      </c>
      <c r="P3" s="4">
        <v>618</v>
      </c>
      <c r="Q3" s="4">
        <v>567</v>
      </c>
      <c r="R3" s="4">
        <v>0</v>
      </c>
      <c r="S3" s="4">
        <v>0</v>
      </c>
      <c r="T3" s="4">
        <v>0</v>
      </c>
      <c r="U3" s="4">
        <v>0</v>
      </c>
    </row>
    <row r="4" spans="1:21" x14ac:dyDescent="0.25">
      <c r="A4" s="3">
        <f>A3</f>
        <v>44284</v>
      </c>
      <c r="B4" s="4" t="s">
        <v>21</v>
      </c>
      <c r="C4" s="4" t="s">
        <v>54</v>
      </c>
      <c r="D4" s="4" t="s">
        <v>23</v>
      </c>
      <c r="E4" s="4" t="s">
        <v>68</v>
      </c>
      <c r="F4" s="4" t="s">
        <v>25</v>
      </c>
      <c r="G4" s="4">
        <v>70000</v>
      </c>
      <c r="H4" s="4" t="s">
        <v>56</v>
      </c>
      <c r="I4" s="4" t="s">
        <v>57</v>
      </c>
      <c r="J4" s="5">
        <v>0.71875</v>
      </c>
      <c r="K4" s="6">
        <v>0.73958333333333337</v>
      </c>
      <c r="L4" s="5">
        <v>0.48958333333333331</v>
      </c>
      <c r="M4" s="6">
        <v>0.48680555555555555</v>
      </c>
      <c r="N4" s="4" t="s">
        <v>159</v>
      </c>
      <c r="O4" s="4" t="s">
        <v>157</v>
      </c>
      <c r="P4" s="4">
        <v>695</v>
      </c>
      <c r="Q4" s="4">
        <v>478</v>
      </c>
      <c r="R4" s="4">
        <v>0</v>
      </c>
      <c r="S4" s="4">
        <v>0</v>
      </c>
      <c r="T4" s="4">
        <v>0</v>
      </c>
      <c r="U4" s="4">
        <v>0</v>
      </c>
    </row>
    <row r="5" spans="1:21" x14ac:dyDescent="0.25">
      <c r="A5" s="3">
        <v>44284</v>
      </c>
      <c r="B5" s="4" t="s">
        <v>21</v>
      </c>
      <c r="C5" s="4" t="s">
        <v>69</v>
      </c>
      <c r="D5" s="4" t="s">
        <v>23</v>
      </c>
      <c r="E5" s="4" t="s">
        <v>68</v>
      </c>
      <c r="F5" s="4" t="s">
        <v>25</v>
      </c>
      <c r="G5" s="4">
        <v>70000</v>
      </c>
      <c r="H5" s="4" t="s">
        <v>71</v>
      </c>
      <c r="I5" s="4" t="s">
        <v>70</v>
      </c>
      <c r="J5" s="5">
        <v>0.92013888888888884</v>
      </c>
      <c r="K5" s="6">
        <v>0.90486111111111101</v>
      </c>
      <c r="L5" s="5">
        <v>0.73958333333333337</v>
      </c>
      <c r="M5" s="6">
        <v>0.73958333333333337</v>
      </c>
      <c r="N5" s="4" t="s">
        <v>160</v>
      </c>
      <c r="O5" s="4" t="s">
        <v>161</v>
      </c>
      <c r="P5" s="4">
        <v>605</v>
      </c>
      <c r="Q5" s="4">
        <v>709</v>
      </c>
      <c r="R5" s="4">
        <v>0</v>
      </c>
      <c r="S5" s="4">
        <v>0</v>
      </c>
      <c r="T5" s="4">
        <v>0</v>
      </c>
      <c r="U5" s="4">
        <v>0</v>
      </c>
    </row>
    <row r="6" spans="1:21" x14ac:dyDescent="0.25">
      <c r="A6" s="4"/>
      <c r="B6" s="4"/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</row>
    <row r="7" spans="1:21" x14ac:dyDescent="0.25">
      <c r="A7" s="4"/>
      <c r="B7" s="4"/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</row>
    <row r="8" spans="1:21" x14ac:dyDescent="0.25">
      <c r="A8" s="4"/>
      <c r="B8" s="4"/>
      <c r="C8" s="4"/>
      <c r="D8" s="4"/>
      <c r="E8" s="4"/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</row>
    <row r="9" spans="1:21" x14ac:dyDescent="0.25">
      <c r="A9" s="4"/>
      <c r="B9" s="4"/>
      <c r="C9" s="4"/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</row>
    <row r="10" spans="1:21" x14ac:dyDescent="0.25">
      <c r="A10" s="4"/>
      <c r="B10" s="4"/>
      <c r="C10" s="4"/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</row>
    <row r="11" spans="1:21" x14ac:dyDescent="0.25">
      <c r="A11" s="4"/>
      <c r="B11" s="4"/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</row>
    <row r="12" spans="1:21" x14ac:dyDescent="0.25">
      <c r="A12" s="4"/>
      <c r="B12" s="4"/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</row>
  </sheetData>
  <pageMargins left="0.7" right="0.7" top="0.75" bottom="0.75" header="0.3" footer="0.3"/>
  <pageSetup paperSize="9" orientation="portrait" verticalDpi="0" r:id="rId1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12"/>
  <sheetViews>
    <sheetView workbookViewId="0">
      <selection activeCell="L3" sqref="L3"/>
    </sheetView>
  </sheetViews>
  <sheetFormatPr defaultRowHeight="15" x14ac:dyDescent="0.25"/>
  <cols>
    <col min="1" max="1" width="10.140625" style="12" bestFit="1" customWidth="1"/>
    <col min="2" max="2" width="21.42578125" style="12" bestFit="1" customWidth="1"/>
    <col min="3" max="3" width="14.5703125" style="12" bestFit="1" customWidth="1"/>
    <col min="4" max="4" width="7.42578125" style="12" bestFit="1" customWidth="1"/>
    <col min="5" max="5" width="9.140625" style="12"/>
    <col min="6" max="6" width="12.140625" style="12" bestFit="1" customWidth="1"/>
    <col min="7" max="16384" width="9.140625" style="12"/>
  </cols>
  <sheetData>
    <row r="1" spans="1:2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 x14ac:dyDescent="0.25">
      <c r="A2" s="3">
        <v>44285</v>
      </c>
      <c r="B2" s="4" t="s">
        <v>21</v>
      </c>
      <c r="C2" s="4" t="s">
        <v>45</v>
      </c>
      <c r="D2" s="4" t="s">
        <v>23</v>
      </c>
      <c r="E2" s="4" t="s">
        <v>68</v>
      </c>
      <c r="F2" s="4" t="s">
        <v>25</v>
      </c>
      <c r="G2" s="11">
        <v>70000</v>
      </c>
      <c r="H2" s="4" t="s">
        <v>46</v>
      </c>
      <c r="I2" s="4" t="s">
        <v>47</v>
      </c>
      <c r="J2" s="5">
        <v>0.4375</v>
      </c>
      <c r="K2" s="6">
        <v>0.4291666666666667</v>
      </c>
      <c r="L2" s="5">
        <v>0.27083333333333331</v>
      </c>
      <c r="M2" s="6">
        <v>0.26458333333333334</v>
      </c>
      <c r="N2" s="4" t="s">
        <v>168</v>
      </c>
      <c r="O2" s="4" t="s">
        <v>162</v>
      </c>
      <c r="P2" s="4">
        <v>558</v>
      </c>
      <c r="Q2" s="4">
        <v>279</v>
      </c>
      <c r="R2" s="4">
        <v>0</v>
      </c>
      <c r="S2" s="4">
        <v>0</v>
      </c>
      <c r="T2" s="4">
        <v>0</v>
      </c>
      <c r="U2" s="4">
        <v>0</v>
      </c>
    </row>
    <row r="3" spans="1:21" x14ac:dyDescent="0.25">
      <c r="A3" s="3">
        <f>A2</f>
        <v>44285</v>
      </c>
      <c r="B3" s="4" t="s">
        <v>21</v>
      </c>
      <c r="C3" s="4" t="s">
        <v>31</v>
      </c>
      <c r="D3" s="4" t="s">
        <v>23</v>
      </c>
      <c r="E3" s="4" t="s">
        <v>42</v>
      </c>
      <c r="F3" s="4" t="s">
        <v>25</v>
      </c>
      <c r="G3" s="4">
        <v>70000</v>
      </c>
      <c r="H3" s="4" t="s">
        <v>34</v>
      </c>
      <c r="I3" s="4" t="s">
        <v>36</v>
      </c>
      <c r="J3" s="5">
        <v>0.95486111111111116</v>
      </c>
      <c r="K3" s="6">
        <v>0.95277777777777783</v>
      </c>
      <c r="L3" s="5">
        <v>0.80902777777777779</v>
      </c>
      <c r="M3" s="6">
        <v>0.80763888888888891</v>
      </c>
      <c r="N3" s="4" t="s">
        <v>175</v>
      </c>
      <c r="O3" s="4" t="s">
        <v>174</v>
      </c>
      <c r="P3" s="4">
        <v>805</v>
      </c>
      <c r="Q3" s="4">
        <v>502</v>
      </c>
      <c r="R3" s="4">
        <v>0</v>
      </c>
      <c r="S3" s="4">
        <v>0</v>
      </c>
      <c r="T3" s="4">
        <v>0</v>
      </c>
      <c r="U3" s="4">
        <v>0</v>
      </c>
    </row>
    <row r="4" spans="1:21" x14ac:dyDescent="0.25">
      <c r="A4" s="3">
        <f>A3</f>
        <v>44285</v>
      </c>
      <c r="B4" s="4" t="s">
        <v>163</v>
      </c>
      <c r="C4" s="4" t="s">
        <v>164</v>
      </c>
      <c r="D4" s="4" t="s">
        <v>165</v>
      </c>
      <c r="E4" s="4" t="s">
        <v>166</v>
      </c>
      <c r="F4" s="4" t="s">
        <v>167</v>
      </c>
      <c r="G4" s="4">
        <v>750</v>
      </c>
      <c r="H4" s="4" t="str">
        <f>E4</f>
        <v>S5-MMY</v>
      </c>
      <c r="I4" s="4" t="str">
        <f>H4</f>
        <v>S5-MMY</v>
      </c>
      <c r="J4" s="5">
        <v>0.35416666666666669</v>
      </c>
      <c r="K4" s="6">
        <v>0.36319444444444443</v>
      </c>
      <c r="L4" s="5">
        <v>0.38541666666666669</v>
      </c>
      <c r="M4" s="6">
        <v>0.39097222222222222</v>
      </c>
      <c r="N4" s="4">
        <v>0</v>
      </c>
      <c r="O4" s="4">
        <v>0</v>
      </c>
      <c r="P4" s="4">
        <v>0</v>
      </c>
      <c r="Q4" s="4">
        <v>0</v>
      </c>
      <c r="R4" s="4">
        <v>0</v>
      </c>
      <c r="S4" s="4">
        <v>0</v>
      </c>
      <c r="T4" s="4">
        <v>0</v>
      </c>
      <c r="U4" s="4">
        <v>0</v>
      </c>
    </row>
    <row r="5" spans="1:21" x14ac:dyDescent="0.25">
      <c r="A5" s="3">
        <f>A4</f>
        <v>44285</v>
      </c>
      <c r="B5" s="4" t="s">
        <v>163</v>
      </c>
      <c r="C5" s="4" t="s">
        <v>169</v>
      </c>
      <c r="D5" s="4" t="s">
        <v>165</v>
      </c>
      <c r="E5" s="4" t="s">
        <v>166</v>
      </c>
      <c r="F5" s="4" t="s">
        <v>167</v>
      </c>
      <c r="G5" s="4">
        <v>750</v>
      </c>
      <c r="H5" s="4" t="str">
        <f>E5</f>
        <v>S5-MMY</v>
      </c>
      <c r="I5" s="4" t="str">
        <f>H5</f>
        <v>S5-MMY</v>
      </c>
      <c r="J5" s="5">
        <v>0.79166666666666663</v>
      </c>
      <c r="K5" s="6">
        <v>0.7909722222222223</v>
      </c>
      <c r="L5" s="5">
        <v>0.80555555555555547</v>
      </c>
      <c r="M5" s="6">
        <v>0.80625000000000002</v>
      </c>
      <c r="N5" s="4">
        <v>0</v>
      </c>
      <c r="O5" s="4">
        <v>0</v>
      </c>
      <c r="P5" s="4">
        <v>0</v>
      </c>
      <c r="Q5" s="4">
        <v>0</v>
      </c>
      <c r="R5" s="4">
        <v>0</v>
      </c>
      <c r="S5" s="4">
        <v>0</v>
      </c>
      <c r="T5" s="4">
        <v>0</v>
      </c>
      <c r="U5" s="4">
        <v>0</v>
      </c>
    </row>
    <row r="6" spans="1:21" x14ac:dyDescent="0.25">
      <c r="A6" s="3">
        <v>44285</v>
      </c>
      <c r="B6" s="4" t="s">
        <v>170</v>
      </c>
      <c r="C6" s="4" t="s">
        <v>171</v>
      </c>
      <c r="D6" s="4" t="s">
        <v>172</v>
      </c>
      <c r="E6" s="4" t="s">
        <v>173</v>
      </c>
      <c r="F6" s="4" t="s">
        <v>167</v>
      </c>
      <c r="G6" s="4">
        <v>750</v>
      </c>
      <c r="H6" s="4" t="s">
        <v>173</v>
      </c>
      <c r="I6" s="4" t="s">
        <v>173</v>
      </c>
      <c r="J6" s="5">
        <v>0.73958333333333337</v>
      </c>
      <c r="K6" s="6">
        <v>0.77986111111111101</v>
      </c>
      <c r="L6" s="5">
        <v>0.75</v>
      </c>
      <c r="M6" s="6">
        <v>0.8041666666666667</v>
      </c>
      <c r="N6" s="4">
        <v>0</v>
      </c>
      <c r="O6" s="4">
        <v>0</v>
      </c>
      <c r="P6" s="4">
        <v>0</v>
      </c>
      <c r="Q6" s="4">
        <v>0</v>
      </c>
      <c r="R6" s="4">
        <v>0</v>
      </c>
      <c r="S6" s="4">
        <v>0</v>
      </c>
      <c r="T6" s="4">
        <v>0</v>
      </c>
      <c r="U6" s="4">
        <v>0</v>
      </c>
    </row>
    <row r="7" spans="1:21" x14ac:dyDescent="0.25">
      <c r="A7" s="4"/>
      <c r="B7" s="4"/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</row>
    <row r="8" spans="1:21" x14ac:dyDescent="0.25">
      <c r="A8" s="4"/>
      <c r="B8" s="4"/>
      <c r="C8" s="4"/>
      <c r="D8" s="4"/>
      <c r="E8" s="4"/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</row>
    <row r="9" spans="1:21" x14ac:dyDescent="0.25">
      <c r="A9" s="4"/>
      <c r="B9" s="4"/>
      <c r="C9" s="4"/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</row>
    <row r="10" spans="1:21" x14ac:dyDescent="0.25">
      <c r="A10" s="4"/>
      <c r="B10" s="4"/>
      <c r="C10" s="4"/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</row>
    <row r="11" spans="1:21" x14ac:dyDescent="0.25">
      <c r="A11" s="4"/>
      <c r="B11" s="4"/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</row>
    <row r="12" spans="1:21" x14ac:dyDescent="0.25">
      <c r="A12" s="4"/>
      <c r="B12" s="4"/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</row>
  </sheetData>
  <pageMargins left="0.7" right="0.7" top="0.75" bottom="0.75" header="0.3" footer="0.3"/>
  <pageSetup paperSize="9" orientation="portrait" verticalDpi="0" r:id="rId1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3"/>
  <sheetViews>
    <sheetView tabSelected="1" topLeftCell="B1" workbookViewId="0">
      <selection activeCell="J3" sqref="J3"/>
    </sheetView>
  </sheetViews>
  <sheetFormatPr defaultRowHeight="15" x14ac:dyDescent="0.25"/>
  <cols>
    <col min="1" max="1" width="10.140625" style="12" bestFit="1" customWidth="1"/>
    <col min="2" max="2" width="9.140625" style="12"/>
    <col min="3" max="3" width="13.28515625" style="12" bestFit="1" customWidth="1"/>
    <col min="4" max="4" width="5.7109375" style="12" bestFit="1" customWidth="1"/>
    <col min="5" max="5" width="9.140625" style="12"/>
    <col min="6" max="6" width="12.140625" style="12" bestFit="1" customWidth="1"/>
    <col min="7" max="11" width="9.140625" style="12"/>
    <col min="12" max="12" width="11" style="12" bestFit="1" customWidth="1"/>
    <col min="13" max="13" width="10.85546875" style="12" bestFit="1" customWidth="1"/>
    <col min="14" max="15" width="18.42578125" style="12" bestFit="1" customWidth="1"/>
    <col min="16" max="16384" width="9.140625" style="12"/>
  </cols>
  <sheetData>
    <row r="1" spans="1:21" s="2" customFormat="1" ht="12.7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 x14ac:dyDescent="0.25">
      <c r="A2" s="3">
        <v>44286</v>
      </c>
      <c r="B2" s="4" t="s">
        <v>21</v>
      </c>
      <c r="C2" s="4" t="s">
        <v>22</v>
      </c>
      <c r="D2" s="4" t="s">
        <v>23</v>
      </c>
      <c r="E2" s="4" t="s">
        <v>42</v>
      </c>
      <c r="F2" s="4" t="s">
        <v>25</v>
      </c>
      <c r="G2" s="11">
        <v>70000</v>
      </c>
      <c r="H2" s="4" t="s">
        <v>26</v>
      </c>
      <c r="I2" s="4" t="s">
        <v>27</v>
      </c>
      <c r="J2" s="6">
        <v>0.65972222222222221</v>
      </c>
      <c r="K2" s="13">
        <v>0.6645833333333333</v>
      </c>
      <c r="L2" s="6">
        <v>0.47569444444444442</v>
      </c>
      <c r="M2" s="13">
        <v>0.48194444444444445</v>
      </c>
      <c r="N2" s="4" t="s">
        <v>177</v>
      </c>
      <c r="O2" s="4" t="s">
        <v>176</v>
      </c>
      <c r="P2" s="4">
        <v>784</v>
      </c>
      <c r="Q2" s="4">
        <v>536</v>
      </c>
      <c r="R2" s="4">
        <v>0</v>
      </c>
      <c r="S2" s="4">
        <v>0</v>
      </c>
      <c r="T2" s="4">
        <v>0</v>
      </c>
      <c r="U2" s="4">
        <v>0</v>
      </c>
    </row>
    <row r="3" spans="1:21" x14ac:dyDescent="0.25">
      <c r="A3" s="3">
        <v>44286</v>
      </c>
      <c r="B3" s="4" t="s">
        <v>21</v>
      </c>
      <c r="C3" s="4" t="s">
        <v>41</v>
      </c>
      <c r="D3" s="4" t="s">
        <v>23</v>
      </c>
      <c r="E3" s="4" t="s">
        <v>42</v>
      </c>
      <c r="F3" s="4" t="s">
        <v>25</v>
      </c>
      <c r="G3" s="11">
        <v>70000</v>
      </c>
      <c r="H3" s="4" t="s">
        <v>43</v>
      </c>
      <c r="I3" s="4" t="s">
        <v>44</v>
      </c>
      <c r="J3" s="6">
        <v>0.91319444444444453</v>
      </c>
      <c r="K3" s="13">
        <v>0.93541666666666667</v>
      </c>
      <c r="L3" s="6">
        <v>0.68055555555555547</v>
      </c>
      <c r="M3" s="13">
        <v>0.71319444444444446</v>
      </c>
      <c r="N3" s="4" t="s">
        <v>179</v>
      </c>
      <c r="O3" s="4" t="s">
        <v>178</v>
      </c>
      <c r="P3" s="4">
        <v>760</v>
      </c>
      <c r="Q3" s="4">
        <v>615</v>
      </c>
      <c r="R3" s="4">
        <v>0</v>
      </c>
      <c r="S3" s="4">
        <v>0</v>
      </c>
      <c r="T3" s="4">
        <v>0</v>
      </c>
      <c r="U3" s="4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26</vt:i4>
      </vt:variant>
    </vt:vector>
  </HeadingPairs>
  <TitlesOfParts>
    <vt:vector size="26" baseType="lpstr">
      <vt:lpstr>1</vt:lpstr>
      <vt:lpstr>2</vt:lpstr>
      <vt:lpstr>3</vt:lpstr>
      <vt:lpstr>5</vt:lpstr>
      <vt:lpstr>6</vt:lpstr>
      <vt:lpstr>7</vt:lpstr>
      <vt:lpstr>8</vt:lpstr>
      <vt:lpstr>9</vt:lpstr>
      <vt:lpstr>10</vt:lpstr>
      <vt:lpstr>12</vt:lpstr>
      <vt:lpstr>13</vt:lpstr>
      <vt:lpstr>14</vt:lpstr>
      <vt:lpstr>15</vt:lpstr>
      <vt:lpstr>16</vt:lpstr>
      <vt:lpstr>17</vt:lpstr>
      <vt:lpstr>19</vt:lpstr>
      <vt:lpstr>20</vt:lpstr>
      <vt:lpstr>21</vt:lpstr>
      <vt:lpstr>22</vt:lpstr>
      <vt:lpstr>23</vt:lpstr>
      <vt:lpstr>26</vt:lpstr>
      <vt:lpstr>27</vt:lpstr>
      <vt:lpstr>28</vt:lpstr>
      <vt:lpstr>29</vt:lpstr>
      <vt:lpstr>30</vt:lpstr>
      <vt:lpstr>31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OPC</dc:creator>
  <cp:lastModifiedBy>OPC</cp:lastModifiedBy>
  <dcterms:created xsi:type="dcterms:W3CDTF">2021-02-01T03:54:40Z</dcterms:created>
  <dcterms:modified xsi:type="dcterms:W3CDTF">2021-03-31T20:29:45Z</dcterms:modified>
</cp:coreProperties>
</file>