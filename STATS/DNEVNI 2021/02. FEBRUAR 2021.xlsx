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8195" windowHeight="11580" firstSheet="6" activeTab="23"/>
  </bookViews>
  <sheets>
    <sheet name="1" sheetId="1" r:id="rId1"/>
    <sheet name="3" sheetId="2" r:id="rId2"/>
    <sheet name="4" sheetId="4" r:id="rId3"/>
    <sheet name="5" sheetId="5" r:id="rId4"/>
    <sheet name="6" sheetId="6" r:id="rId5"/>
    <sheet name="7" sheetId="7" r:id="rId6"/>
    <sheet name="8" sheetId="8" r:id="rId7"/>
    <sheet name="10" sheetId="9" r:id="rId8"/>
    <sheet name="11" sheetId="10" r:id="rId9"/>
    <sheet name="12" sheetId="11" r:id="rId10"/>
    <sheet name="13" sheetId="12" r:id="rId11"/>
    <sheet name="14" sheetId="13" r:id="rId12"/>
    <sheet name="15" sheetId="14" r:id="rId13"/>
    <sheet name="16" sheetId="15" r:id="rId14"/>
    <sheet name="17" sheetId="16" r:id="rId15"/>
    <sheet name="18" sheetId="17" r:id="rId16"/>
    <sheet name="19" sheetId="18" r:id="rId17"/>
    <sheet name="20" sheetId="19" r:id="rId18"/>
    <sheet name="21" sheetId="20" r:id="rId19"/>
    <sheet name="22" sheetId="21" r:id="rId20"/>
    <sheet name="24" sheetId="22" r:id="rId21"/>
    <sheet name="26" sheetId="23" r:id="rId22"/>
    <sheet name="27" sheetId="24" r:id="rId23"/>
    <sheet name="28" sheetId="26" r:id="rId24"/>
  </sheets>
  <calcPr calcId="145621"/>
</workbook>
</file>

<file path=xl/calcChain.xml><?xml version="1.0" encoding="utf-8"?>
<calcChain xmlns="http://schemas.openxmlformats.org/spreadsheetml/2006/main">
  <c r="A4" i="15" l="1"/>
  <c r="A5" i="15" s="1"/>
  <c r="A6" i="15" s="1"/>
  <c r="A7" i="15" s="1"/>
  <c r="A8" i="15" s="1"/>
  <c r="A9" i="15" s="1"/>
  <c r="A10" i="15" s="1"/>
  <c r="A11" i="15" s="1"/>
  <c r="A12" i="15" s="1"/>
  <c r="A8" i="14" l="1"/>
  <c r="A9" i="14" s="1"/>
  <c r="A10" i="14" s="1"/>
  <c r="A11" i="14" s="1"/>
  <c r="A4" i="14"/>
  <c r="A5" i="14" s="1"/>
  <c r="A6" i="14" s="1"/>
  <c r="A7" i="14" s="1"/>
  <c r="A3" i="14" l="1"/>
  <c r="A3" i="11" l="1"/>
  <c r="A4" i="11" s="1"/>
  <c r="A5" i="11" s="1"/>
  <c r="A6" i="11" s="1"/>
  <c r="A7" i="11" s="1"/>
  <c r="A8" i="11" s="1"/>
  <c r="A9" i="11" s="1"/>
  <c r="A13" i="7" l="1"/>
  <c r="A12" i="7"/>
  <c r="A11" i="7" l="1"/>
  <c r="A10" i="7"/>
  <c r="A9" i="7"/>
  <c r="A8" i="7"/>
  <c r="A7" i="7"/>
  <c r="A6" i="7"/>
  <c r="A5" i="7"/>
  <c r="A3" i="7"/>
  <c r="A4" i="7" s="1"/>
  <c r="A3" i="4" l="1"/>
  <c r="A4" i="4" s="1"/>
  <c r="A6" i="4" l="1"/>
  <c r="A7" i="4" s="1"/>
</calcChain>
</file>

<file path=xl/comments1.xml><?xml version="1.0" encoding="utf-8"?>
<comments xmlns="http://schemas.openxmlformats.org/spreadsheetml/2006/main">
  <authors>
    <author>OPC</author>
  </authors>
  <commentList>
    <comment ref="K2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DRUGO SLIJETANJE:16:10</t>
        </r>
      </text>
    </comment>
    <comment ref="M2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DRUGO POLIJETANJE:13:39</t>
        </r>
      </text>
    </comment>
    <comment ref="K3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DRUGO SLIJETANJE:16:12</t>
        </r>
      </text>
    </comment>
    <comment ref="M3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DRUGO POLIJETANJE:13:20</t>
        </r>
      </text>
    </comment>
    <comment ref="K5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DRUGO SLIJETANJE:16:38</t>
        </r>
      </text>
    </comment>
    <comment ref="M5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DRUGO POLIJETANJE:13:16</t>
        </r>
      </text>
    </comment>
    <comment ref="K7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DRUGO SLIJETANJE:16:29</t>
        </r>
      </text>
    </comment>
    <comment ref="M7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DRUGO POLIJETANJE:13:30</t>
        </r>
      </text>
    </comment>
    <comment ref="K9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DRUGO SLIJETANJE:16:08</t>
        </r>
      </text>
    </comment>
    <comment ref="M9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DRUGO POLIJETANJE:13:19</t>
        </r>
      </text>
    </comment>
  </commentList>
</comments>
</file>

<file path=xl/sharedStrings.xml><?xml version="1.0" encoding="utf-8"?>
<sst xmlns="http://schemas.openxmlformats.org/spreadsheetml/2006/main" count="1533" uniqueCount="201">
  <si>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</si>
  <si>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</si>
  <si>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</si>
  <si>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</si>
  <si>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</si>
  <si>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</si>
  <si>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</si>
  <si>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</si>
  <si>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</si>
  <si>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</si>
  <si>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</si>
  <si>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</si>
  <si>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</si>
  <si>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</si>
  <si>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</si>
  <si>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</si>
  <si>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</si>
  <si>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</si>
  <si>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</si>
  <si>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</si>
  <si>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</si>
  <si>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</si>
  <si>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TZL-DTM-TZL</t>
  </si>
  <si>
    <t>A320</t>
  </si>
  <si>
    <t>HALYI</t>
  </si>
  <si>
    <t>SCHEDULED</t>
  </si>
  <si>
    <t>W64298</t>
  </si>
  <si>
    <t>W64297</t>
  </si>
  <si>
    <t>120+6 INF</t>
  </si>
  <si>
    <t>126+4INF</t>
  </si>
  <si>
    <t>TZL-MLH-TZL</t>
  </si>
  <si>
    <t>HALYS</t>
  </si>
  <si>
    <t>W64294</t>
  </si>
  <si>
    <t>W64293</t>
  </si>
  <si>
    <t>101+4 INF</t>
  </si>
  <si>
    <t>121+0 INF</t>
  </si>
  <si>
    <t>GAS AVIAITON</t>
  </si>
  <si>
    <t>PA-28R</t>
  </si>
  <si>
    <t>YUDXX</t>
  </si>
  <si>
    <t>TECH.FL.</t>
  </si>
  <si>
    <t>-</t>
  </si>
  <si>
    <t>C172</t>
  </si>
  <si>
    <t>YUDPS</t>
  </si>
  <si>
    <t>PA-46</t>
  </si>
  <si>
    <t>YUSPG</t>
  </si>
  <si>
    <t>YUFLY</t>
  </si>
  <si>
    <t>C206G</t>
  </si>
  <si>
    <t>YUBZV</t>
  </si>
  <si>
    <t>CTU206G</t>
  </si>
  <si>
    <t>YUDNZ</t>
  </si>
  <si>
    <t>16.33</t>
  </si>
  <si>
    <t>LOCO</t>
  </si>
  <si>
    <t>STSAVIATION</t>
  </si>
  <si>
    <t>TZL-BEG</t>
  </si>
  <si>
    <t>YUDZZ</t>
  </si>
  <si>
    <t>BEG-TZL</t>
  </si>
  <si>
    <t>YUBXW</t>
  </si>
  <si>
    <t>TZL-EIN-TZL</t>
  </si>
  <si>
    <t>W64290</t>
  </si>
  <si>
    <t>W64289</t>
  </si>
  <si>
    <t>GAS AVIATION</t>
  </si>
  <si>
    <t>P46</t>
  </si>
  <si>
    <t>C414</t>
  </si>
  <si>
    <t>NON SCHED</t>
  </si>
  <si>
    <t>ROP</t>
  </si>
  <si>
    <t>CREW</t>
  </si>
  <si>
    <t>STS AVIATION</t>
  </si>
  <si>
    <t>BNX-TZL</t>
  </si>
  <si>
    <t>YUDTT</t>
  </si>
  <si>
    <t>YUDEM</t>
  </si>
  <si>
    <t>YUDPT</t>
  </si>
  <si>
    <t>P28R</t>
  </si>
  <si>
    <t>C182</t>
  </si>
  <si>
    <t>87+5INF</t>
  </si>
  <si>
    <t>BNX-TZL-LOCO</t>
  </si>
  <si>
    <t>TZL-LOCO</t>
  </si>
  <si>
    <t>LOCO-TZL</t>
  </si>
  <si>
    <t>LOCO-TZL-LOCO</t>
  </si>
  <si>
    <t>TZL-LOCO-TZL</t>
  </si>
  <si>
    <t>60+1INF</t>
  </si>
  <si>
    <t>125+5INF</t>
  </si>
  <si>
    <t>129+4INF</t>
  </si>
  <si>
    <t>TZL-MMX-TZL</t>
  </si>
  <si>
    <t>TZL-FMM-TZL</t>
  </si>
  <si>
    <t>W64292</t>
  </si>
  <si>
    <t>W64280</t>
  </si>
  <si>
    <t>W64291</t>
  </si>
  <si>
    <t>W64279</t>
  </si>
  <si>
    <t>143+4 INF</t>
  </si>
  <si>
    <t>HALPT</t>
  </si>
  <si>
    <t>BUD-TZL-BUD</t>
  </si>
  <si>
    <t>TECH.FLIGHT</t>
  </si>
  <si>
    <t>W6805</t>
  </si>
  <si>
    <t>W6806</t>
  </si>
  <si>
    <t>SWISS AIR AMBULANCE</t>
  </si>
  <si>
    <t>ZRH-TZL-ZRH</t>
  </si>
  <si>
    <t>CL650</t>
  </si>
  <si>
    <t>HBLWA</t>
  </si>
  <si>
    <t>SAZ57</t>
  </si>
  <si>
    <t>SAZ58</t>
  </si>
  <si>
    <t>2+0INF</t>
  </si>
  <si>
    <t>125+6INF</t>
  </si>
  <si>
    <t>143+4INF</t>
  </si>
  <si>
    <t>NON SCHE</t>
  </si>
  <si>
    <t>120+7INF</t>
  </si>
  <si>
    <t>MEDEVAC</t>
  </si>
  <si>
    <t>TZL-HHN-TZL</t>
  </si>
  <si>
    <t>W64284</t>
  </si>
  <si>
    <t>W64283</t>
  </si>
  <si>
    <t>TZL-NYO-TZL</t>
  </si>
  <si>
    <t>W64282</t>
  </si>
  <si>
    <t>W64281</t>
  </si>
  <si>
    <t>104+3 INF</t>
  </si>
  <si>
    <t>121+4 INF</t>
  </si>
  <si>
    <t>137+6 INF</t>
  </si>
  <si>
    <t>132+3 INF</t>
  </si>
  <si>
    <t>135+1 INF</t>
  </si>
  <si>
    <t>117+5 INF</t>
  </si>
  <si>
    <t>117+4INF</t>
  </si>
  <si>
    <t>JET 24 GMBH</t>
  </si>
  <si>
    <t>VIE-TZL</t>
  </si>
  <si>
    <t>C56X</t>
  </si>
  <si>
    <t>OEGWV</t>
  </si>
  <si>
    <t>NON-SCHEDULED</t>
  </si>
  <si>
    <t>89+3INF</t>
  </si>
  <si>
    <t>138+4INF</t>
  </si>
  <si>
    <t>TZL-VIE</t>
  </si>
  <si>
    <t>HALWR</t>
  </si>
  <si>
    <t>118+4 INF</t>
  </si>
  <si>
    <t>149+7INF</t>
  </si>
  <si>
    <t>YUPSG</t>
  </si>
  <si>
    <t>YUBXV</t>
  </si>
  <si>
    <t>142+1INF</t>
  </si>
  <si>
    <t>144+3INF</t>
  </si>
  <si>
    <t>146+7INF</t>
  </si>
  <si>
    <t>110+6INF</t>
  </si>
  <si>
    <t>95+4 INF</t>
  </si>
  <si>
    <t>122+3 INF</t>
  </si>
  <si>
    <t>111+1 INF</t>
  </si>
  <si>
    <t>120+2INF</t>
  </si>
  <si>
    <t>127+2 INF</t>
  </si>
  <si>
    <t>126+3INF</t>
  </si>
  <si>
    <t>101+6INF</t>
  </si>
  <si>
    <t>TZL-SOF</t>
  </si>
  <si>
    <t>PA46</t>
  </si>
  <si>
    <t>HBJWB</t>
  </si>
  <si>
    <t>SAZ61</t>
  </si>
  <si>
    <t>SAZ62</t>
  </si>
  <si>
    <t>UAE AIR FORCE</t>
  </si>
  <si>
    <t>CHR-TZL</t>
  </si>
  <si>
    <t>C17</t>
  </si>
  <si>
    <t>UAF1229</t>
  </si>
  <si>
    <t>CARGO</t>
  </si>
  <si>
    <t>TZL-AUH</t>
  </si>
  <si>
    <t>UAF1299</t>
  </si>
  <si>
    <t>STS AVIJACIJA</t>
  </si>
  <si>
    <t>C206</t>
  </si>
  <si>
    <t>MILITARY/CARGO</t>
  </si>
  <si>
    <t>77+1INF</t>
  </si>
  <si>
    <t>126+0INF</t>
  </si>
  <si>
    <t>HELIMASTER</t>
  </si>
  <si>
    <t>BEG-TZL-TREBINJE</t>
  </si>
  <si>
    <t>AW109SP</t>
  </si>
  <si>
    <t>YUHRD</t>
  </si>
  <si>
    <t>NON-SHCEDULED</t>
  </si>
  <si>
    <t>CREW ONLY</t>
  </si>
  <si>
    <t>125+4 INF</t>
  </si>
  <si>
    <t>144+2 INF</t>
  </si>
  <si>
    <t>134+3INF</t>
  </si>
  <si>
    <t>147+8 INF</t>
  </si>
  <si>
    <t>129+6 INF</t>
  </si>
  <si>
    <t>135+ 9 INF</t>
  </si>
  <si>
    <t>YDEM</t>
  </si>
  <si>
    <t>SXAST</t>
  </si>
  <si>
    <t>P28-RT</t>
  </si>
  <si>
    <t>102+8INF</t>
  </si>
  <si>
    <t>139+3INF</t>
  </si>
  <si>
    <t>148+4INF</t>
  </si>
  <si>
    <t>136+4INF</t>
  </si>
  <si>
    <t>105+3INF</t>
  </si>
  <si>
    <t>109+2INF</t>
  </si>
  <si>
    <t>125+1 INF</t>
  </si>
  <si>
    <t>124+7INF</t>
  </si>
  <si>
    <t>90+1 INF</t>
  </si>
  <si>
    <t>124+2 INF</t>
  </si>
  <si>
    <t>132+4 INF</t>
  </si>
  <si>
    <t>114+2 INF</t>
  </si>
  <si>
    <t>130+6 INF</t>
  </si>
  <si>
    <t>141+1 INF</t>
  </si>
  <si>
    <t>TZL-GOT-TZL</t>
  </si>
  <si>
    <t>W64296</t>
  </si>
  <si>
    <t>W64295</t>
  </si>
  <si>
    <t>139+3 INF</t>
  </si>
  <si>
    <t>93+1 INF</t>
  </si>
  <si>
    <t>154+3 INF</t>
  </si>
  <si>
    <t>126+7INF</t>
  </si>
  <si>
    <t>115+8INF</t>
  </si>
  <si>
    <t>100+1INF</t>
  </si>
  <si>
    <t>124+3 INF</t>
  </si>
  <si>
    <t>138+1 INF</t>
  </si>
  <si>
    <t>98+1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</si>
</sst>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color theme="1"/>
      <name val="Calibri"/>
      <family val="2"/>
      <charset val="238"/>
      <scheme val="minor"/>
    </font>
    <font>
      <sz val="11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b/>
      <sz val="10"/>
      <name val="Garamond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33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4" fontId="2" fillId="0" borderId="0" xfId="3" applyNumberFormat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3" fontId="7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8" fillId="0" borderId="0" xfId="0" applyFont="1"/>
    <xf numFmtId="0" fontId="3" fillId="0" borderId="0" xfId="0" applyFont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3" fontId="2" fillId="0" borderId="0" xfId="1" applyNumberFormat="1" applyFont="1" applyFill="1" applyAlignment="1">
      <alignment horizontal="center" vertical="center"/>
    </xf>
    <xf numFmtId="20" fontId="10" fillId="0" borderId="0" xfId="1" applyNumberFormat="1" applyFont="1" applyFill="1" applyAlignment="1">
      <alignment horizontal="center" vertical="center"/>
    </xf>
    <xf numFmtId="20" fontId="2" fillId="0" borderId="0" xfId="1" applyNumberFormat="1" applyFont="1" applyFill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0" fontId="3" fillId="0" borderId="0" xfId="2" applyFont="1" applyAlignment="1">
      <alignment horizontal="center"/>
    </xf>
    <xf numFmtId="0" fontId="3" fillId="0" borderId="0" xfId="4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/>
    <xf numFmtId="0" fontId="10" fillId="0" borderId="0" xfId="1" applyFont="1" applyAlignment="1">
      <alignment horizontal="center" vertical="center"/>
    </xf>
    <xf numFmtId="4" fontId="3" fillId="0" borderId="0" xfId="0" applyNumberFormat="1" applyFont="1" applyFill="1" applyAlignment="1">
      <alignment horizontal="center"/>
    </xf>
    <xf numFmtId="20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</cellXfs>
  <cellStyles count="5">
    <cellStyle name="Normal" xfId="0" builtinId="0"/>
    <cellStyle name="Normal 2" xfId="2"/>
    <cellStyle name="Normal 2 2" xfId="3"/>
    <cellStyle name="Normal 2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sqref="A1:XFD1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44228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0.47569444444444442</v>
      </c>
      <c r="K2" s="6">
        <v>0.4993055555555555</v>
      </c>
      <c r="L2" s="5">
        <v>0.27430555555555552</v>
      </c>
      <c r="M2" s="6">
        <v>0.2902777777777778</v>
      </c>
      <c r="N2" s="4" t="s">
        <v>29</v>
      </c>
      <c r="O2" s="4" t="s">
        <v>28</v>
      </c>
      <c r="P2" s="4">
        <v>1115</v>
      </c>
      <c r="Q2" s="4">
        <v>1044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C31" sqref="C31"/>
    </sheetView>
  </sheetViews>
  <sheetFormatPr defaultRowHeight="15" x14ac:dyDescent="0.25"/>
  <cols>
    <col min="1" max="1" width="10.140625" bestFit="1" customWidth="1"/>
    <col min="3" max="3" width="12" bestFit="1" customWidth="1"/>
    <col min="6" max="6" width="12.140625" bestFit="1" customWidth="1"/>
    <col min="14" max="15" width="18.425781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44230</v>
      </c>
      <c r="B2" s="4" t="s">
        <v>21</v>
      </c>
      <c r="C2" s="4" t="s">
        <v>30</v>
      </c>
      <c r="D2" s="4" t="s">
        <v>23</v>
      </c>
      <c r="E2" s="4" t="s">
        <v>31</v>
      </c>
      <c r="F2" s="4" t="s">
        <v>25</v>
      </c>
      <c r="G2" s="7">
        <v>70000</v>
      </c>
      <c r="H2" s="4" t="s">
        <v>32</v>
      </c>
      <c r="I2" s="4" t="s">
        <v>33</v>
      </c>
      <c r="J2" s="6">
        <v>0.93055555555555547</v>
      </c>
      <c r="K2" s="6">
        <v>0.92708333333333337</v>
      </c>
      <c r="L2" s="6">
        <v>0.76388888888888884</v>
      </c>
      <c r="M2" s="6">
        <v>0.76944444444444438</v>
      </c>
      <c r="N2" s="4" t="s">
        <v>35</v>
      </c>
      <c r="O2" s="4" t="s">
        <v>34</v>
      </c>
      <c r="P2" s="4">
        <v>643</v>
      </c>
      <c r="Q2" s="4">
        <v>749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0"/>
  <sheetViews>
    <sheetView workbookViewId="0">
      <selection activeCell="E5" sqref="E5"/>
    </sheetView>
  </sheetViews>
  <sheetFormatPr defaultRowHeight="15" x14ac:dyDescent="0.25"/>
  <cols>
    <col min="2" max="2" width="14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</row>
    <row r="2" spans="1:23" x14ac:dyDescent="0.25">
      <c r="A2" s="8">
        <v>44231</v>
      </c>
      <c r="B2" s="9" t="s">
        <v>36</v>
      </c>
      <c r="C2" s="9" t="s">
        <v>51</v>
      </c>
      <c r="D2" s="9" t="s">
        <v>37</v>
      </c>
      <c r="E2" s="9" t="s">
        <v>38</v>
      </c>
      <c r="F2" s="10" t="s">
        <v>39</v>
      </c>
      <c r="G2" s="7">
        <v>1315</v>
      </c>
      <c r="H2" s="10" t="s">
        <v>40</v>
      </c>
      <c r="I2" s="10" t="s">
        <v>40</v>
      </c>
      <c r="J2" s="5"/>
      <c r="K2" s="6">
        <v>0.45347222222222222</v>
      </c>
      <c r="L2" s="5"/>
      <c r="M2" s="5">
        <v>0.38819444444444445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2"/>
      <c r="W2" s="12"/>
    </row>
    <row r="3" spans="1:23" x14ac:dyDescent="0.25">
      <c r="A3" s="8">
        <f t="shared" ref="A3:A7" si="0">A2</f>
        <v>44231</v>
      </c>
      <c r="B3" s="9" t="s">
        <v>36</v>
      </c>
      <c r="C3" s="9" t="s">
        <v>51</v>
      </c>
      <c r="D3" s="9" t="s">
        <v>41</v>
      </c>
      <c r="E3" s="9" t="s">
        <v>42</v>
      </c>
      <c r="F3" s="10" t="s">
        <v>39</v>
      </c>
      <c r="G3" s="7">
        <v>1156</v>
      </c>
      <c r="H3" s="10" t="s">
        <v>40</v>
      </c>
      <c r="I3" s="10" t="s">
        <v>40</v>
      </c>
      <c r="J3" s="5"/>
      <c r="K3" s="6">
        <v>0.54166666666666663</v>
      </c>
      <c r="L3" s="5"/>
      <c r="M3" s="5">
        <v>0.38541666666666669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2"/>
      <c r="W3" s="12"/>
    </row>
    <row r="4" spans="1:23" x14ac:dyDescent="0.25">
      <c r="A4" s="8">
        <f t="shared" si="0"/>
        <v>44231</v>
      </c>
      <c r="B4" s="9" t="s">
        <v>36</v>
      </c>
      <c r="C4" s="9" t="s">
        <v>51</v>
      </c>
      <c r="D4" s="4" t="s">
        <v>43</v>
      </c>
      <c r="E4" s="4" t="s">
        <v>44</v>
      </c>
      <c r="F4" s="10" t="s">
        <v>39</v>
      </c>
      <c r="G4" s="7">
        <v>2200</v>
      </c>
      <c r="H4" s="4" t="s">
        <v>40</v>
      </c>
      <c r="I4" s="4" t="s">
        <v>40</v>
      </c>
      <c r="J4" s="5"/>
      <c r="K4" s="6">
        <v>0.47847222222222219</v>
      </c>
      <c r="L4" s="5"/>
      <c r="M4" s="5">
        <v>0.375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2"/>
      <c r="W4" s="12"/>
    </row>
    <row r="5" spans="1:23" x14ac:dyDescent="0.25">
      <c r="A5" s="8">
        <v>44231</v>
      </c>
      <c r="B5" s="9" t="s">
        <v>36</v>
      </c>
      <c r="C5" s="9" t="s">
        <v>51</v>
      </c>
      <c r="D5" s="9" t="s">
        <v>41</v>
      </c>
      <c r="E5" s="9" t="s">
        <v>45</v>
      </c>
      <c r="F5" s="10" t="s">
        <v>39</v>
      </c>
      <c r="G5" s="7">
        <v>1025</v>
      </c>
      <c r="H5" s="10" t="s">
        <v>40</v>
      </c>
      <c r="I5" s="10" t="s">
        <v>40</v>
      </c>
      <c r="J5" s="5"/>
      <c r="K5" s="6">
        <v>0.53472222222222221</v>
      </c>
      <c r="L5" s="5"/>
      <c r="M5" s="5">
        <v>0.39166666666666666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2"/>
      <c r="W5" s="12"/>
    </row>
    <row r="6" spans="1:23" x14ac:dyDescent="0.25">
      <c r="A6" s="8">
        <f t="shared" si="0"/>
        <v>44231</v>
      </c>
      <c r="B6" s="9" t="s">
        <v>36</v>
      </c>
      <c r="C6" s="9" t="s">
        <v>53</v>
      </c>
      <c r="D6" s="4" t="s">
        <v>46</v>
      </c>
      <c r="E6" s="4" t="s">
        <v>47</v>
      </c>
      <c r="F6" s="10" t="s">
        <v>39</v>
      </c>
      <c r="G6" s="7">
        <v>1633</v>
      </c>
      <c r="H6" s="10" t="s">
        <v>40</v>
      </c>
      <c r="I6" s="10" t="s">
        <v>40</v>
      </c>
      <c r="J6" s="5"/>
      <c r="K6" s="10" t="s">
        <v>40</v>
      </c>
      <c r="L6" s="5"/>
      <c r="M6" s="5">
        <v>0.3833333333333333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2"/>
      <c r="W6" s="12"/>
    </row>
    <row r="7" spans="1:23" x14ac:dyDescent="0.25">
      <c r="A7" s="8">
        <f t="shared" si="0"/>
        <v>44231</v>
      </c>
      <c r="B7" s="9" t="s">
        <v>36</v>
      </c>
      <c r="C7" s="9" t="s">
        <v>51</v>
      </c>
      <c r="D7" s="4" t="s">
        <v>48</v>
      </c>
      <c r="E7" s="4" t="s">
        <v>54</v>
      </c>
      <c r="F7" s="10" t="s">
        <v>39</v>
      </c>
      <c r="G7" s="7" t="s">
        <v>50</v>
      </c>
      <c r="H7" s="10" t="s">
        <v>40</v>
      </c>
      <c r="I7" s="10" t="s">
        <v>40</v>
      </c>
      <c r="J7" s="5"/>
      <c r="K7" s="6">
        <v>0.54236111111111118</v>
      </c>
      <c r="L7" s="5"/>
      <c r="M7" s="5">
        <v>0.48194444444444445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2"/>
      <c r="W7" s="12"/>
    </row>
    <row r="8" spans="1:23" x14ac:dyDescent="0.25">
      <c r="A8" s="3">
        <v>44231</v>
      </c>
      <c r="B8" s="9" t="s">
        <v>52</v>
      </c>
      <c r="C8" s="9" t="s">
        <v>55</v>
      </c>
      <c r="D8" s="4"/>
      <c r="E8" s="4" t="s">
        <v>56</v>
      </c>
      <c r="F8" s="10" t="s">
        <v>39</v>
      </c>
      <c r="G8" s="7"/>
      <c r="H8" s="10" t="s">
        <v>40</v>
      </c>
      <c r="I8" s="10" t="s">
        <v>40</v>
      </c>
      <c r="J8" s="6"/>
      <c r="K8" s="6">
        <v>0.47500000000000003</v>
      </c>
      <c r="L8" s="6"/>
      <c r="M8" s="10" t="s">
        <v>40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12"/>
      <c r="W8" s="12"/>
    </row>
    <row r="9" spans="1:23" x14ac:dyDescent="0.25">
      <c r="A9" s="3">
        <v>44231</v>
      </c>
      <c r="B9" s="9" t="s">
        <v>52</v>
      </c>
      <c r="C9" s="9" t="s">
        <v>51</v>
      </c>
      <c r="D9" s="4"/>
      <c r="E9" s="4" t="s">
        <v>49</v>
      </c>
      <c r="F9" s="10" t="s">
        <v>39</v>
      </c>
      <c r="G9" s="13"/>
      <c r="H9" s="10" t="s">
        <v>40</v>
      </c>
      <c r="I9" s="10" t="s">
        <v>40</v>
      </c>
      <c r="J9" s="14"/>
      <c r="K9" s="14">
        <v>0.54027777777777775</v>
      </c>
      <c r="L9" s="15"/>
      <c r="M9" s="14">
        <v>0.38750000000000001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4"/>
      <c r="W9" s="4"/>
    </row>
    <row r="10" spans="1:23" x14ac:dyDescent="0.25">
      <c r="V10" s="12"/>
      <c r="W10" s="12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14.42578125" bestFit="1" customWidth="1"/>
    <col min="3" max="3" width="15.710937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44232</v>
      </c>
      <c r="B2" s="4" t="s">
        <v>21</v>
      </c>
      <c r="C2" s="4" t="s">
        <v>57</v>
      </c>
      <c r="D2" s="4" t="s">
        <v>23</v>
      </c>
      <c r="E2" s="4" t="s">
        <v>24</v>
      </c>
      <c r="F2" s="4" t="s">
        <v>25</v>
      </c>
      <c r="G2" s="4">
        <v>70000</v>
      </c>
      <c r="H2" s="4" t="s">
        <v>58</v>
      </c>
      <c r="I2" s="4" t="s">
        <v>59</v>
      </c>
      <c r="J2" s="5">
        <v>0.72916666666666663</v>
      </c>
      <c r="K2" s="6">
        <v>0.71458333333333324</v>
      </c>
      <c r="L2" s="5">
        <v>0.52083333333333337</v>
      </c>
      <c r="M2" s="6">
        <v>0.52152777777777781</v>
      </c>
      <c r="N2" s="4" t="s">
        <v>79</v>
      </c>
      <c r="O2" s="4" t="s">
        <v>73</v>
      </c>
      <c r="P2" s="4">
        <v>549</v>
      </c>
      <c r="Q2" s="4">
        <v>860</v>
      </c>
      <c r="R2" s="4">
        <v>0</v>
      </c>
      <c r="S2" s="4">
        <v>0</v>
      </c>
      <c r="T2" s="4">
        <v>0</v>
      </c>
      <c r="U2" s="4">
        <v>0</v>
      </c>
    </row>
    <row r="3" spans="1:21" s="4" customFormat="1" ht="12.75" x14ac:dyDescent="0.2">
      <c r="A3" s="3">
        <v>44232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>
        <v>70000</v>
      </c>
      <c r="H3" s="4" t="s">
        <v>26</v>
      </c>
      <c r="I3" s="4" t="s">
        <v>27</v>
      </c>
      <c r="J3" s="5">
        <v>0.94097222222222221</v>
      </c>
      <c r="K3" s="6">
        <v>0.94861111111111107</v>
      </c>
      <c r="L3" s="5">
        <v>0.75</v>
      </c>
      <c r="M3" s="6">
        <v>0.71527777777777779</v>
      </c>
      <c r="N3" s="4" t="s">
        <v>80</v>
      </c>
      <c r="O3" s="4" t="s">
        <v>81</v>
      </c>
      <c r="P3" s="4">
        <v>1187</v>
      </c>
      <c r="Q3" s="4">
        <v>1486</v>
      </c>
      <c r="R3" s="4">
        <v>0</v>
      </c>
      <c r="S3" s="4">
        <v>0</v>
      </c>
      <c r="T3" s="4">
        <v>0</v>
      </c>
      <c r="U3" s="4">
        <v>0</v>
      </c>
    </row>
    <row r="4" spans="1:21" s="4" customFormat="1" ht="12.75" x14ac:dyDescent="0.2">
      <c r="A4" s="3">
        <v>44232</v>
      </c>
      <c r="B4" s="4" t="s">
        <v>60</v>
      </c>
      <c r="C4" s="4" t="s">
        <v>75</v>
      </c>
      <c r="D4" s="4" t="s">
        <v>61</v>
      </c>
      <c r="E4" s="4" t="s">
        <v>44</v>
      </c>
      <c r="F4" s="4" t="s">
        <v>63</v>
      </c>
      <c r="G4" s="4">
        <v>2200</v>
      </c>
      <c r="J4" s="16" t="s">
        <v>64</v>
      </c>
      <c r="K4" s="4" t="s">
        <v>64</v>
      </c>
      <c r="M4" s="6">
        <v>0.4368055555555555</v>
      </c>
      <c r="N4" s="4">
        <v>0</v>
      </c>
      <c r="O4" s="4" t="s">
        <v>65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3">
        <v>44232</v>
      </c>
      <c r="B5" s="4" t="s">
        <v>66</v>
      </c>
      <c r="C5" s="4" t="s">
        <v>75</v>
      </c>
      <c r="D5" s="4" t="s">
        <v>62</v>
      </c>
      <c r="E5" s="4" t="s">
        <v>56</v>
      </c>
      <c r="F5" s="4" t="s">
        <v>63</v>
      </c>
      <c r="G5" s="4">
        <v>2880</v>
      </c>
      <c r="J5" s="16" t="s">
        <v>64</v>
      </c>
      <c r="K5" s="4" t="s">
        <v>64</v>
      </c>
      <c r="L5" s="16"/>
      <c r="M5" s="6">
        <v>0.43888888888888888</v>
      </c>
      <c r="N5" s="4">
        <v>0</v>
      </c>
      <c r="O5" s="4" t="s">
        <v>65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s="4" customFormat="1" ht="12.75" x14ac:dyDescent="0.2">
      <c r="A6" s="3">
        <v>44232</v>
      </c>
      <c r="B6" s="4" t="s">
        <v>66</v>
      </c>
      <c r="C6" s="4" t="s">
        <v>75</v>
      </c>
      <c r="D6" s="4" t="s">
        <v>41</v>
      </c>
      <c r="E6" s="4" t="s">
        <v>42</v>
      </c>
      <c r="F6" s="4" t="s">
        <v>63</v>
      </c>
      <c r="G6" s="4">
        <v>1156</v>
      </c>
      <c r="J6" s="16" t="s">
        <v>64</v>
      </c>
      <c r="K6" s="4" t="s">
        <v>64</v>
      </c>
      <c r="L6" s="16"/>
      <c r="M6" s="6">
        <v>0.44166666666666665</v>
      </c>
      <c r="N6" s="4">
        <v>0</v>
      </c>
      <c r="O6" s="4" t="s">
        <v>65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s="4" customFormat="1" ht="12.75" x14ac:dyDescent="0.2">
      <c r="A7" s="3">
        <v>44232</v>
      </c>
      <c r="B7" s="4" t="s">
        <v>66</v>
      </c>
      <c r="C7" s="4" t="s">
        <v>75</v>
      </c>
      <c r="D7" s="4" t="s">
        <v>41</v>
      </c>
      <c r="E7" s="4" t="s">
        <v>45</v>
      </c>
      <c r="F7" s="4" t="s">
        <v>63</v>
      </c>
      <c r="G7" s="4">
        <v>1025</v>
      </c>
      <c r="J7" s="16" t="s">
        <v>64</v>
      </c>
      <c r="K7" s="4" t="s">
        <v>64</v>
      </c>
      <c r="L7" s="16"/>
      <c r="M7" s="6">
        <v>0.44236111111111115</v>
      </c>
      <c r="N7" s="4">
        <v>0</v>
      </c>
      <c r="O7" s="4" t="s">
        <v>65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s="4" customFormat="1" ht="12.75" x14ac:dyDescent="0.2">
      <c r="A8" s="3">
        <v>44232</v>
      </c>
      <c r="B8" s="4" t="s">
        <v>66</v>
      </c>
      <c r="C8" s="4" t="s">
        <v>67</v>
      </c>
      <c r="D8" s="4" t="s">
        <v>71</v>
      </c>
      <c r="E8" s="4" t="s">
        <v>68</v>
      </c>
      <c r="F8" s="4" t="s">
        <v>63</v>
      </c>
      <c r="J8" s="5">
        <v>0.5</v>
      </c>
      <c r="K8" s="6">
        <v>0.49027777777777781</v>
      </c>
      <c r="L8" s="16" t="s">
        <v>64</v>
      </c>
      <c r="M8" s="4" t="s">
        <v>64</v>
      </c>
      <c r="N8" s="4" t="s">
        <v>65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 s="4" customFormat="1" ht="12.75" x14ac:dyDescent="0.2">
      <c r="A9" s="3">
        <v>44232</v>
      </c>
      <c r="B9" s="4" t="s">
        <v>66</v>
      </c>
      <c r="C9" s="4" t="s">
        <v>74</v>
      </c>
      <c r="D9" s="4" t="s">
        <v>72</v>
      </c>
      <c r="E9" s="4" t="s">
        <v>69</v>
      </c>
      <c r="F9" s="4" t="s">
        <v>63</v>
      </c>
      <c r="J9" s="5">
        <v>0.5</v>
      </c>
      <c r="K9" s="6">
        <v>0.49305555555555558</v>
      </c>
      <c r="L9" s="16"/>
      <c r="M9" s="6">
        <v>0.52847222222222223</v>
      </c>
      <c r="N9" s="4" t="s">
        <v>65</v>
      </c>
      <c r="O9" s="4" t="s">
        <v>65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s="4" customFormat="1" ht="12.75" x14ac:dyDescent="0.2">
      <c r="A10" s="3">
        <v>44232</v>
      </c>
      <c r="B10" s="4" t="s">
        <v>66</v>
      </c>
      <c r="C10" s="4" t="s">
        <v>74</v>
      </c>
      <c r="D10" s="4" t="s">
        <v>41</v>
      </c>
      <c r="E10" s="4" t="s">
        <v>70</v>
      </c>
      <c r="F10" s="4" t="s">
        <v>63</v>
      </c>
      <c r="J10" s="5">
        <v>0.5</v>
      </c>
      <c r="K10" s="6">
        <v>0.49652777777777773</v>
      </c>
      <c r="L10" s="16"/>
      <c r="M10" s="6">
        <v>0.62986111111111109</v>
      </c>
      <c r="N10" s="4" t="s">
        <v>65</v>
      </c>
      <c r="O10" s="4" t="s">
        <v>65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1" s="4" customFormat="1" ht="12.75" x14ac:dyDescent="0.2">
      <c r="A11" s="3">
        <v>44232</v>
      </c>
      <c r="B11" s="4" t="s">
        <v>66</v>
      </c>
      <c r="C11" s="4" t="s">
        <v>78</v>
      </c>
      <c r="D11" s="4" t="s">
        <v>71</v>
      </c>
      <c r="E11" s="4" t="s">
        <v>38</v>
      </c>
      <c r="F11" s="4" t="s">
        <v>63</v>
      </c>
      <c r="G11" s="4">
        <v>1315</v>
      </c>
      <c r="J11" s="16"/>
      <c r="K11" s="17">
        <v>0.65555555555555556</v>
      </c>
      <c r="L11" s="16"/>
      <c r="M11" s="6">
        <v>0.53125</v>
      </c>
      <c r="N11" s="4" t="s">
        <v>65</v>
      </c>
      <c r="O11" s="4" t="s">
        <v>65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1" s="4" customFormat="1" ht="12.75" x14ac:dyDescent="0.2">
      <c r="A12" s="3">
        <v>44232</v>
      </c>
      <c r="B12" s="4" t="s">
        <v>60</v>
      </c>
      <c r="C12" s="4" t="s">
        <v>75</v>
      </c>
      <c r="E12" s="4" t="s">
        <v>54</v>
      </c>
      <c r="F12" s="4" t="s">
        <v>63</v>
      </c>
      <c r="J12" s="16" t="s">
        <v>64</v>
      </c>
      <c r="K12" s="4" t="s">
        <v>64</v>
      </c>
      <c r="L12" s="16"/>
      <c r="M12" s="6">
        <v>0.53125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1" s="4" customFormat="1" ht="12.75" x14ac:dyDescent="0.2">
      <c r="A13" s="3">
        <v>44232</v>
      </c>
      <c r="B13" s="4" t="s">
        <v>60</v>
      </c>
      <c r="C13" s="4" t="s">
        <v>76</v>
      </c>
      <c r="E13" s="4" t="s">
        <v>54</v>
      </c>
      <c r="F13" s="4" t="s">
        <v>63</v>
      </c>
      <c r="J13" s="16"/>
      <c r="K13" s="6">
        <v>0.53749999999999998</v>
      </c>
      <c r="L13" s="16" t="s">
        <v>64</v>
      </c>
      <c r="M13" s="4" t="s">
        <v>64</v>
      </c>
      <c r="N13" s="4" t="s">
        <v>65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 s="4" customFormat="1" ht="12.75" x14ac:dyDescent="0.2">
      <c r="A14" s="3">
        <v>44232</v>
      </c>
      <c r="B14" s="4" t="s">
        <v>60</v>
      </c>
      <c r="C14" s="4" t="s">
        <v>77</v>
      </c>
      <c r="D14" s="4" t="s">
        <v>61</v>
      </c>
      <c r="E14" s="4" t="s">
        <v>44</v>
      </c>
      <c r="F14" s="4" t="s">
        <v>63</v>
      </c>
      <c r="G14" s="4">
        <v>2200</v>
      </c>
      <c r="J14" s="16"/>
      <c r="K14" s="6">
        <v>0.54652777777777783</v>
      </c>
      <c r="L14" s="16"/>
      <c r="M14" s="6">
        <v>0.5756944444444444</v>
      </c>
      <c r="N14" s="4" t="s">
        <v>65</v>
      </c>
      <c r="O14" s="4" t="s">
        <v>65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 s="4" customFormat="1" ht="12.75" x14ac:dyDescent="0.2">
      <c r="A15" s="3">
        <v>44232</v>
      </c>
      <c r="B15" s="4" t="s">
        <v>60</v>
      </c>
      <c r="C15" s="4" t="s">
        <v>76</v>
      </c>
      <c r="D15" s="4" t="s">
        <v>41</v>
      </c>
      <c r="E15" s="4" t="s">
        <v>42</v>
      </c>
      <c r="F15" s="4" t="s">
        <v>63</v>
      </c>
      <c r="G15" s="4">
        <v>1156</v>
      </c>
      <c r="J15" s="16"/>
      <c r="K15" s="6">
        <v>0.55069444444444449</v>
      </c>
      <c r="L15" s="16" t="s">
        <v>64</v>
      </c>
      <c r="M15" s="4" t="s">
        <v>64</v>
      </c>
      <c r="N15" s="4" t="s">
        <v>65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</row>
    <row r="16" spans="1:21" s="4" customFormat="1" ht="12.75" x14ac:dyDescent="0.2">
      <c r="A16" s="3">
        <v>44232</v>
      </c>
      <c r="B16" s="4" t="s">
        <v>60</v>
      </c>
      <c r="C16" s="4" t="s">
        <v>76</v>
      </c>
      <c r="D16" s="4" t="s">
        <v>41</v>
      </c>
      <c r="E16" s="4" t="s">
        <v>45</v>
      </c>
      <c r="F16" s="4" t="s">
        <v>63</v>
      </c>
      <c r="G16" s="4">
        <v>1025</v>
      </c>
      <c r="J16" s="16"/>
      <c r="K16" s="6">
        <v>0.55347222222222225</v>
      </c>
      <c r="L16" s="16" t="s">
        <v>64</v>
      </c>
      <c r="M16" s="4" t="s">
        <v>64</v>
      </c>
      <c r="N16" s="4" t="s">
        <v>65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1:21" s="4" customFormat="1" ht="12.75" x14ac:dyDescent="0.2">
      <c r="A17" s="3">
        <v>44232</v>
      </c>
      <c r="B17" s="4" t="s">
        <v>66</v>
      </c>
      <c r="C17" s="4" t="s">
        <v>78</v>
      </c>
      <c r="D17" s="4" t="s">
        <v>71</v>
      </c>
      <c r="E17" s="4" t="s">
        <v>68</v>
      </c>
      <c r="F17" s="4" t="s">
        <v>63</v>
      </c>
      <c r="J17" s="16"/>
      <c r="K17" s="17">
        <v>0.67013888888888884</v>
      </c>
      <c r="L17" s="16"/>
      <c r="M17" s="6">
        <v>0.55972222222222223</v>
      </c>
      <c r="N17" s="4" t="s">
        <v>65</v>
      </c>
      <c r="O17" s="4" t="s">
        <v>65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 x14ac:dyDescent="0.25">
      <c r="A18" s="3">
        <v>44232</v>
      </c>
      <c r="B18" s="4" t="s">
        <v>60</v>
      </c>
      <c r="C18" s="4" t="s">
        <v>77</v>
      </c>
      <c r="D18" s="4" t="s">
        <v>62</v>
      </c>
      <c r="E18" s="4" t="s">
        <v>56</v>
      </c>
      <c r="F18" s="4" t="s">
        <v>63</v>
      </c>
      <c r="G18" s="12">
        <v>2880</v>
      </c>
      <c r="K18" s="6">
        <v>0.57638888888888895</v>
      </c>
      <c r="L18" s="16"/>
      <c r="M18" s="6">
        <v>0.59444444444444444</v>
      </c>
      <c r="N18" s="4" t="s">
        <v>65</v>
      </c>
      <c r="O18" s="4" t="s">
        <v>65</v>
      </c>
    </row>
    <row r="19" spans="1:21" s="4" customFormat="1" ht="12.75" x14ac:dyDescent="0.2">
      <c r="A19" s="3">
        <v>44232</v>
      </c>
      <c r="B19" s="4" t="s">
        <v>66</v>
      </c>
      <c r="C19" s="4" t="s">
        <v>76</v>
      </c>
      <c r="D19" s="4" t="s">
        <v>41</v>
      </c>
      <c r="E19" s="4" t="s">
        <v>70</v>
      </c>
      <c r="F19" s="4" t="s">
        <v>63</v>
      </c>
      <c r="K19" s="6">
        <v>0.63958333333333328</v>
      </c>
      <c r="L19" s="16" t="s">
        <v>64</v>
      </c>
      <c r="M19" s="4" t="s">
        <v>64</v>
      </c>
      <c r="N19" s="4" t="s">
        <v>65</v>
      </c>
      <c r="O19" s="4">
        <v>0</v>
      </c>
    </row>
    <row r="20" spans="1:21" s="4" customFormat="1" ht="12.75" x14ac:dyDescent="0.2">
      <c r="A20" s="3">
        <v>44232</v>
      </c>
      <c r="B20" s="4" t="s">
        <v>66</v>
      </c>
      <c r="C20" s="4" t="s">
        <v>76</v>
      </c>
      <c r="D20" s="4" t="s">
        <v>72</v>
      </c>
      <c r="E20" s="4" t="s">
        <v>69</v>
      </c>
      <c r="F20" s="4" t="s">
        <v>63</v>
      </c>
      <c r="K20" s="6">
        <v>0.6479166666666667</v>
      </c>
      <c r="L20" s="16" t="s">
        <v>64</v>
      </c>
      <c r="M20" s="4" t="s">
        <v>64</v>
      </c>
      <c r="N20" s="4" t="s">
        <v>65</v>
      </c>
      <c r="O20" s="4">
        <v>0</v>
      </c>
    </row>
    <row r="21" spans="1:21" x14ac:dyDescent="0.25">
      <c r="A21" s="3">
        <v>44232</v>
      </c>
      <c r="C21" s="4" t="s">
        <v>76</v>
      </c>
      <c r="E21" s="4" t="s">
        <v>44</v>
      </c>
      <c r="F21" s="4" t="s">
        <v>63</v>
      </c>
      <c r="K21" s="17">
        <v>0.68263888888888891</v>
      </c>
      <c r="L21" s="16" t="s">
        <v>64</v>
      </c>
      <c r="M21" s="4" t="s">
        <v>64</v>
      </c>
      <c r="N21" s="4" t="s">
        <v>65</v>
      </c>
      <c r="O21" s="4">
        <v>0</v>
      </c>
    </row>
    <row r="22" spans="1:21" x14ac:dyDescent="0.25">
      <c r="A22" s="3">
        <v>44232</v>
      </c>
      <c r="C22" s="4" t="s">
        <v>76</v>
      </c>
      <c r="E22" s="4" t="s">
        <v>56</v>
      </c>
      <c r="F22" s="4" t="s">
        <v>63</v>
      </c>
      <c r="K22" s="17">
        <v>0.6958333333333333</v>
      </c>
      <c r="L22" s="16" t="s">
        <v>64</v>
      </c>
      <c r="M22" s="4" t="s">
        <v>64</v>
      </c>
      <c r="N22" s="4" t="s">
        <v>65</v>
      </c>
      <c r="O22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opLeftCell="G1" workbookViewId="0">
      <selection activeCell="P6" sqref="P6:U19"/>
    </sheetView>
  </sheetViews>
  <sheetFormatPr defaultRowHeight="15" x14ac:dyDescent="0.25"/>
  <cols>
    <col min="1" max="1" width="10.140625" style="18" bestFit="1" customWidth="1"/>
    <col min="2" max="2" width="21.85546875" style="18" bestFit="1" customWidth="1"/>
    <col min="3" max="3" width="15.7109375" style="18" bestFit="1" customWidth="1"/>
    <col min="4" max="5" width="9.140625" style="18"/>
    <col min="6" max="6" width="12.140625" style="18" bestFit="1" customWidth="1"/>
    <col min="7" max="9" width="9.140625" style="18"/>
    <col min="10" max="10" width="11" style="18" bestFit="1" customWidth="1"/>
    <col min="11" max="11" width="9.140625" style="18"/>
    <col min="12" max="12" width="11" style="18" bestFit="1" customWidth="1"/>
    <col min="13" max="13" width="9.140625" style="18"/>
    <col min="14" max="15" width="18.42578125" style="18" bestFit="1" customWidth="1"/>
    <col min="16" max="16384" width="9.140625" style="18"/>
  </cols>
  <sheetData>
    <row r="1" spans="1:23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s="4" customFormat="1" ht="12.75" x14ac:dyDescent="0.2">
      <c r="A2" s="3">
        <v>44233</v>
      </c>
      <c r="B2" s="4" t="s">
        <v>21</v>
      </c>
      <c r="C2" s="4" t="s">
        <v>82</v>
      </c>
      <c r="D2" s="4" t="s">
        <v>23</v>
      </c>
      <c r="E2" s="4" t="s">
        <v>24</v>
      </c>
      <c r="F2" s="4" t="s">
        <v>25</v>
      </c>
      <c r="G2" s="7">
        <v>70000</v>
      </c>
      <c r="H2" s="4" t="s">
        <v>84</v>
      </c>
      <c r="I2" s="4" t="s">
        <v>86</v>
      </c>
      <c r="J2" s="6">
        <v>0.47916666666666669</v>
      </c>
      <c r="K2" s="6">
        <v>0.58263888888888882</v>
      </c>
      <c r="L2" s="6">
        <v>0.27430555555555552</v>
      </c>
      <c r="M2" s="6">
        <v>0.39027777777777778</v>
      </c>
      <c r="N2" s="4" t="s">
        <v>102</v>
      </c>
      <c r="O2" s="4" t="s">
        <v>88</v>
      </c>
      <c r="P2" s="4">
        <v>1092</v>
      </c>
      <c r="Q2" s="4">
        <v>1407</v>
      </c>
      <c r="R2" s="4">
        <v>0</v>
      </c>
      <c r="S2" s="4">
        <v>0</v>
      </c>
      <c r="T2" s="4">
        <v>0</v>
      </c>
      <c r="U2" s="4">
        <v>0</v>
      </c>
    </row>
    <row r="3" spans="1:23" s="4" customFormat="1" ht="12.75" x14ac:dyDescent="0.2">
      <c r="A3" s="3">
        <v>44233</v>
      </c>
      <c r="B3" s="4" t="s">
        <v>21</v>
      </c>
      <c r="C3" s="4" t="s">
        <v>83</v>
      </c>
      <c r="D3" s="4" t="s">
        <v>23</v>
      </c>
      <c r="E3" s="4" t="s">
        <v>89</v>
      </c>
      <c r="F3" s="4" t="s">
        <v>25</v>
      </c>
      <c r="G3" s="7">
        <v>70000</v>
      </c>
      <c r="H3" s="4" t="s">
        <v>85</v>
      </c>
      <c r="I3" s="4" t="s">
        <v>87</v>
      </c>
      <c r="J3" s="6">
        <v>0.64930555555555558</v>
      </c>
      <c r="K3" s="6">
        <v>0.68958333333333333</v>
      </c>
      <c r="L3" s="6">
        <v>0.5</v>
      </c>
      <c r="M3" s="6">
        <v>0.55902777777777779</v>
      </c>
      <c r="N3" s="4" t="s">
        <v>104</v>
      </c>
      <c r="O3" s="4" t="s">
        <v>101</v>
      </c>
      <c r="P3" s="4">
        <v>1213</v>
      </c>
      <c r="Q3" s="4">
        <v>1391</v>
      </c>
      <c r="R3" s="4">
        <v>0</v>
      </c>
      <c r="S3" s="4">
        <v>0</v>
      </c>
      <c r="T3" s="4">
        <v>0</v>
      </c>
      <c r="U3" s="4">
        <v>0</v>
      </c>
    </row>
    <row r="4" spans="1:23" s="4" customFormat="1" ht="12.75" x14ac:dyDescent="0.2">
      <c r="A4" s="3">
        <v>44233</v>
      </c>
      <c r="B4" s="4" t="s">
        <v>21</v>
      </c>
      <c r="C4" s="4" t="s">
        <v>90</v>
      </c>
      <c r="D4" s="4" t="s">
        <v>23</v>
      </c>
      <c r="E4" s="4" t="s">
        <v>89</v>
      </c>
      <c r="F4" s="4" t="s">
        <v>91</v>
      </c>
      <c r="G4" s="7">
        <v>70000</v>
      </c>
      <c r="H4" s="4" t="s">
        <v>92</v>
      </c>
      <c r="I4" s="4" t="s">
        <v>93</v>
      </c>
      <c r="J4" s="6">
        <v>0.51388888888888895</v>
      </c>
      <c r="K4" s="6">
        <v>0.5229166666666667</v>
      </c>
      <c r="L4" s="6">
        <v>0.74305555555555547</v>
      </c>
      <c r="M4" s="6">
        <v>0.71458333333333324</v>
      </c>
      <c r="N4" s="4" t="s">
        <v>65</v>
      </c>
      <c r="O4" s="4" t="s">
        <v>65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W4" s="4">
        <v>0</v>
      </c>
    </row>
    <row r="5" spans="1:23" s="4" customFormat="1" ht="12.75" x14ac:dyDescent="0.2">
      <c r="A5" s="3">
        <v>44233</v>
      </c>
      <c r="B5" s="4" t="s">
        <v>94</v>
      </c>
      <c r="C5" s="4" t="s">
        <v>95</v>
      </c>
      <c r="D5" s="4" t="s">
        <v>96</v>
      </c>
      <c r="E5" s="4" t="s">
        <v>97</v>
      </c>
      <c r="F5" s="4" t="s">
        <v>105</v>
      </c>
      <c r="G5" s="4">
        <v>21863</v>
      </c>
      <c r="H5" s="4" t="s">
        <v>98</v>
      </c>
      <c r="I5" s="4" t="s">
        <v>99</v>
      </c>
      <c r="J5" s="6">
        <v>0.52777777777777779</v>
      </c>
      <c r="K5" s="6">
        <v>0.52847222222222223</v>
      </c>
      <c r="L5" s="6">
        <v>0.61458333333333337</v>
      </c>
      <c r="M5" s="6">
        <v>0.57916666666666672</v>
      </c>
      <c r="N5" s="4" t="s">
        <v>65</v>
      </c>
      <c r="O5" s="4" t="s">
        <v>100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3" s="4" customFormat="1" ht="12.75" x14ac:dyDescent="0.2">
      <c r="A6" s="3">
        <v>44233</v>
      </c>
      <c r="B6" s="4" t="s">
        <v>60</v>
      </c>
      <c r="C6" s="4" t="s">
        <v>78</v>
      </c>
      <c r="D6" s="4" t="s">
        <v>61</v>
      </c>
      <c r="E6" s="4" t="s">
        <v>44</v>
      </c>
      <c r="F6" s="4" t="s">
        <v>103</v>
      </c>
      <c r="G6" s="4">
        <v>2200</v>
      </c>
      <c r="J6" s="6"/>
      <c r="K6" s="6">
        <v>0.55138888888888882</v>
      </c>
      <c r="L6" s="6"/>
      <c r="M6" s="6">
        <v>0.4375</v>
      </c>
      <c r="N6" s="4" t="s">
        <v>65</v>
      </c>
      <c r="O6" s="4" t="s">
        <v>65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3" s="4" customFormat="1" ht="12.75" x14ac:dyDescent="0.2">
      <c r="A7" s="3">
        <v>44233</v>
      </c>
      <c r="B7" s="4" t="s">
        <v>60</v>
      </c>
      <c r="C7" s="4" t="s">
        <v>78</v>
      </c>
      <c r="D7" s="4" t="s">
        <v>41</v>
      </c>
      <c r="E7" s="4" t="s">
        <v>42</v>
      </c>
      <c r="F7" s="4" t="s">
        <v>103</v>
      </c>
      <c r="G7" s="4">
        <v>1156</v>
      </c>
      <c r="J7" s="6"/>
      <c r="K7" s="6">
        <v>0.55277777777777781</v>
      </c>
      <c r="L7" s="6"/>
      <c r="M7" s="6">
        <v>0.4381944444444445</v>
      </c>
      <c r="N7" s="4" t="s">
        <v>65</v>
      </c>
      <c r="O7" s="4" t="s">
        <v>65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3" s="4" customFormat="1" ht="12.75" x14ac:dyDescent="0.2">
      <c r="A8" s="3">
        <v>44233</v>
      </c>
      <c r="B8" s="4" t="s">
        <v>66</v>
      </c>
      <c r="C8" s="4" t="s">
        <v>78</v>
      </c>
      <c r="D8" s="4" t="s">
        <v>71</v>
      </c>
      <c r="E8" s="4" t="s">
        <v>68</v>
      </c>
      <c r="F8" s="4" t="s">
        <v>103</v>
      </c>
      <c r="J8" s="6"/>
      <c r="K8" s="6">
        <v>0.53541666666666665</v>
      </c>
      <c r="L8" s="6"/>
      <c r="M8" s="6">
        <v>0.43958333333333338</v>
      </c>
      <c r="N8" s="4" t="s">
        <v>65</v>
      </c>
      <c r="O8" s="4" t="s">
        <v>65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3" s="4" customFormat="1" ht="12.75" x14ac:dyDescent="0.2">
      <c r="A9" s="3">
        <v>44233</v>
      </c>
      <c r="B9" s="4" t="s">
        <v>66</v>
      </c>
      <c r="C9" s="4" t="s">
        <v>78</v>
      </c>
      <c r="D9" s="4" t="s">
        <v>72</v>
      </c>
      <c r="E9" s="4" t="s">
        <v>69</v>
      </c>
      <c r="F9" s="4" t="s">
        <v>103</v>
      </c>
      <c r="J9" s="6"/>
      <c r="K9" s="6">
        <v>0.5541666666666667</v>
      </c>
      <c r="L9" s="6"/>
      <c r="M9" s="6">
        <v>0.44097222222222227</v>
      </c>
      <c r="N9" s="4" t="s">
        <v>65</v>
      </c>
      <c r="O9" s="4" t="s">
        <v>65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3" s="4" customFormat="1" ht="12.75" x14ac:dyDescent="0.2">
      <c r="A10" s="3">
        <v>44233</v>
      </c>
      <c r="B10" s="4" t="s">
        <v>66</v>
      </c>
      <c r="C10" s="4" t="s">
        <v>78</v>
      </c>
      <c r="D10" s="4" t="s">
        <v>71</v>
      </c>
      <c r="E10" s="4" t="s">
        <v>38</v>
      </c>
      <c r="F10" s="4" t="s">
        <v>103</v>
      </c>
      <c r="G10" s="4">
        <v>1315</v>
      </c>
      <c r="J10" s="6"/>
      <c r="K10" s="6">
        <v>0.54583333333333328</v>
      </c>
      <c r="L10" s="6"/>
      <c r="M10" s="6">
        <v>0.44236111111111115</v>
      </c>
      <c r="N10" s="4" t="s">
        <v>65</v>
      </c>
      <c r="O10" s="4" t="s">
        <v>65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3" s="4" customFormat="1" ht="12.75" x14ac:dyDescent="0.2">
      <c r="A11" s="3">
        <v>44233</v>
      </c>
      <c r="B11" s="4" t="s">
        <v>66</v>
      </c>
      <c r="C11" s="4" t="s">
        <v>78</v>
      </c>
      <c r="D11" s="4" t="s">
        <v>41</v>
      </c>
      <c r="E11" s="4" t="s">
        <v>70</v>
      </c>
      <c r="F11" s="4" t="s">
        <v>103</v>
      </c>
      <c r="J11" s="6"/>
      <c r="K11" s="6">
        <v>0.56111111111111112</v>
      </c>
      <c r="L11" s="6"/>
      <c r="M11" s="6">
        <v>0.44444444444444442</v>
      </c>
      <c r="N11" s="4" t="s">
        <v>65</v>
      </c>
      <c r="O11" s="4" t="s">
        <v>65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3" s="4" customFormat="1" ht="12.75" x14ac:dyDescent="0.2">
      <c r="A12" s="3">
        <v>44233</v>
      </c>
      <c r="B12" s="4" t="s">
        <v>66</v>
      </c>
      <c r="C12" s="4" t="s">
        <v>78</v>
      </c>
      <c r="D12" s="4" t="s">
        <v>62</v>
      </c>
      <c r="E12" s="4" t="s">
        <v>56</v>
      </c>
      <c r="F12" s="4" t="s">
        <v>103</v>
      </c>
      <c r="G12" s="4">
        <v>2880</v>
      </c>
      <c r="K12" s="6">
        <v>0.60972222222222217</v>
      </c>
      <c r="L12" s="6"/>
      <c r="M12" s="6">
        <v>0.4458333333333333</v>
      </c>
      <c r="N12" s="4" t="s">
        <v>65</v>
      </c>
      <c r="O12" s="4" t="s">
        <v>65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3" s="4" customFormat="1" ht="12.75" x14ac:dyDescent="0.2">
      <c r="A13" s="3">
        <v>44233</v>
      </c>
      <c r="B13" s="4" t="s">
        <v>66</v>
      </c>
      <c r="C13" s="4" t="s">
        <v>78</v>
      </c>
      <c r="D13" s="4" t="s">
        <v>71</v>
      </c>
      <c r="E13" s="4" t="s">
        <v>38</v>
      </c>
      <c r="F13" s="4" t="s">
        <v>103</v>
      </c>
      <c r="G13" s="4">
        <v>1315</v>
      </c>
      <c r="K13" s="6">
        <v>0.68055555555555547</v>
      </c>
      <c r="M13" s="20">
        <v>0.57708333333333328</v>
      </c>
      <c r="N13" s="4" t="s">
        <v>65</v>
      </c>
      <c r="O13" s="4" t="s">
        <v>65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3" s="4" customFormat="1" ht="12.75" x14ac:dyDescent="0.2">
      <c r="A14" s="3">
        <v>44233</v>
      </c>
      <c r="B14" s="4" t="s">
        <v>60</v>
      </c>
      <c r="C14" s="4" t="s">
        <v>78</v>
      </c>
      <c r="D14" s="4" t="s">
        <v>41</v>
      </c>
      <c r="E14" s="4" t="s">
        <v>42</v>
      </c>
      <c r="F14" s="4" t="s">
        <v>103</v>
      </c>
      <c r="G14" s="4">
        <v>1156</v>
      </c>
      <c r="K14" s="6">
        <v>0.69305555555555554</v>
      </c>
      <c r="M14" s="20">
        <v>0.58472222222222225</v>
      </c>
      <c r="N14" s="4" t="s">
        <v>65</v>
      </c>
      <c r="O14" s="4" t="s">
        <v>65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3" s="4" customFormat="1" ht="12.75" x14ac:dyDescent="0.2">
      <c r="A15" s="3">
        <v>44233</v>
      </c>
      <c r="B15" s="4" t="s">
        <v>60</v>
      </c>
      <c r="C15" s="4" t="s">
        <v>78</v>
      </c>
      <c r="D15" s="4" t="s">
        <v>61</v>
      </c>
      <c r="E15" s="4" t="s">
        <v>44</v>
      </c>
      <c r="F15" s="4" t="s">
        <v>103</v>
      </c>
      <c r="G15" s="4">
        <v>2200</v>
      </c>
      <c r="K15" s="6">
        <v>0.69930555555555562</v>
      </c>
      <c r="M15" s="20">
        <v>0.58611111111111114</v>
      </c>
      <c r="N15" s="4" t="s">
        <v>65</v>
      </c>
      <c r="O15" s="4" t="s">
        <v>65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</row>
    <row r="16" spans="1:23" s="4" customFormat="1" ht="12.75" x14ac:dyDescent="0.2">
      <c r="A16" s="3">
        <v>44233</v>
      </c>
      <c r="B16" s="4" t="s">
        <v>66</v>
      </c>
      <c r="C16" s="4" t="s">
        <v>78</v>
      </c>
      <c r="D16" s="4" t="s">
        <v>72</v>
      </c>
      <c r="E16" s="4" t="s">
        <v>69</v>
      </c>
      <c r="F16" s="4" t="s">
        <v>103</v>
      </c>
      <c r="K16" s="6">
        <v>0.70138888888888884</v>
      </c>
      <c r="M16" s="20">
        <v>0.58680555555555558</v>
      </c>
      <c r="N16" s="4" t="s">
        <v>65</v>
      </c>
      <c r="O16" s="4" t="s">
        <v>65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1:21" s="4" customFormat="1" ht="12.75" x14ac:dyDescent="0.2">
      <c r="A17" s="3">
        <v>44233</v>
      </c>
      <c r="B17" s="4" t="s">
        <v>66</v>
      </c>
      <c r="C17" s="4" t="s">
        <v>78</v>
      </c>
      <c r="D17" s="4" t="s">
        <v>71</v>
      </c>
      <c r="E17" s="4" t="s">
        <v>68</v>
      </c>
      <c r="F17" s="4" t="s">
        <v>103</v>
      </c>
      <c r="K17" s="6">
        <v>0.68333333333333324</v>
      </c>
      <c r="M17" s="20">
        <v>0.58888888888888891</v>
      </c>
      <c r="N17" s="4" t="s">
        <v>65</v>
      </c>
      <c r="O17" s="4" t="s">
        <v>65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 s="4" customFormat="1" ht="12.75" x14ac:dyDescent="0.2">
      <c r="A18" s="3">
        <v>44233</v>
      </c>
      <c r="B18" s="4" t="s">
        <v>60</v>
      </c>
      <c r="C18" s="4" t="s">
        <v>78</v>
      </c>
      <c r="D18" s="4" t="s">
        <v>41</v>
      </c>
      <c r="E18" s="19" t="s">
        <v>45</v>
      </c>
      <c r="F18" s="4" t="s">
        <v>103</v>
      </c>
      <c r="G18" s="4">
        <v>1025</v>
      </c>
      <c r="K18" s="6">
        <v>0.69513888888888886</v>
      </c>
      <c r="M18" s="6">
        <v>0.59513888888888888</v>
      </c>
      <c r="N18" s="4" t="s">
        <v>65</v>
      </c>
      <c r="O18" s="4" t="s">
        <v>65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</row>
    <row r="19" spans="1:21" s="4" customFormat="1" ht="12.75" x14ac:dyDescent="0.2">
      <c r="A19" s="3">
        <v>44233</v>
      </c>
      <c r="B19" s="4" t="s">
        <v>66</v>
      </c>
      <c r="C19" s="4" t="s">
        <v>78</v>
      </c>
      <c r="D19" s="4" t="s">
        <v>62</v>
      </c>
      <c r="E19" s="4" t="s">
        <v>56</v>
      </c>
      <c r="F19" s="4" t="s">
        <v>103</v>
      </c>
      <c r="G19" s="4">
        <v>2880</v>
      </c>
      <c r="K19" s="6">
        <v>0.70277777777777783</v>
      </c>
      <c r="M19" s="6">
        <v>0.60972222222222217</v>
      </c>
      <c r="N19" s="4" t="s">
        <v>65</v>
      </c>
      <c r="O19" s="4" t="s">
        <v>65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workbookViewId="0">
      <selection activeCell="F26" sqref="F26"/>
    </sheetView>
  </sheetViews>
  <sheetFormatPr defaultRowHeight="15" x14ac:dyDescent="0.25"/>
  <cols>
    <col min="2" max="2" width="23.28515625" customWidth="1"/>
    <col min="3" max="3" width="13.42578125" bestFit="1" customWidth="1"/>
    <col min="6" max="6" width="19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25" customFormat="1" ht="12.75" x14ac:dyDescent="0.2">
      <c r="A2" s="8">
        <v>44234</v>
      </c>
      <c r="B2" s="9" t="s">
        <v>21</v>
      </c>
      <c r="C2" s="9" t="s">
        <v>106</v>
      </c>
      <c r="D2" s="9" t="s">
        <v>23</v>
      </c>
      <c r="E2" s="9" t="s">
        <v>24</v>
      </c>
      <c r="F2" s="10" t="s">
        <v>25</v>
      </c>
      <c r="G2" s="21">
        <v>70000</v>
      </c>
      <c r="H2" s="9" t="s">
        <v>107</v>
      </c>
      <c r="I2" s="9" t="s">
        <v>108</v>
      </c>
      <c r="J2" s="22">
        <v>0.45833333333333331</v>
      </c>
      <c r="K2" s="23">
        <v>0.46319444444444446</v>
      </c>
      <c r="L2" s="22">
        <v>0.27430555555555552</v>
      </c>
      <c r="M2" s="23">
        <v>0.27499999999999997</v>
      </c>
      <c r="N2" s="24" t="s">
        <v>113</v>
      </c>
      <c r="O2" s="24" t="s">
        <v>112</v>
      </c>
      <c r="P2" s="25">
        <v>1065</v>
      </c>
      <c r="Q2" s="24">
        <v>1040</v>
      </c>
      <c r="R2" s="9">
        <v>0</v>
      </c>
      <c r="S2" s="9">
        <v>0</v>
      </c>
      <c r="T2" s="9">
        <v>0</v>
      </c>
      <c r="U2" s="9">
        <v>0</v>
      </c>
      <c r="V2" s="26"/>
    </row>
    <row r="3" spans="1:22" s="4" customFormat="1" ht="12.75" x14ac:dyDescent="0.2">
      <c r="A3" s="8">
        <f t="shared" ref="A3:A13" si="0">A2</f>
        <v>44234</v>
      </c>
      <c r="B3" s="9" t="s">
        <v>21</v>
      </c>
      <c r="C3" s="9" t="s">
        <v>109</v>
      </c>
      <c r="D3" s="9" t="s">
        <v>23</v>
      </c>
      <c r="E3" s="9" t="s">
        <v>31</v>
      </c>
      <c r="F3" s="10" t="s">
        <v>25</v>
      </c>
      <c r="G3" s="21">
        <v>70000</v>
      </c>
      <c r="H3" s="10" t="s">
        <v>110</v>
      </c>
      <c r="I3" s="10" t="s">
        <v>111</v>
      </c>
      <c r="J3" s="5">
        <v>0.74305555555555547</v>
      </c>
      <c r="K3" s="6">
        <v>0.73125000000000007</v>
      </c>
      <c r="L3" s="5">
        <v>0.50694444444444442</v>
      </c>
      <c r="M3" s="6">
        <v>0.50486111111111109</v>
      </c>
      <c r="N3" s="4" t="s">
        <v>115</v>
      </c>
      <c r="O3" s="4" t="s">
        <v>114</v>
      </c>
      <c r="P3" s="4">
        <v>1252</v>
      </c>
      <c r="Q3" s="4">
        <v>1669</v>
      </c>
      <c r="R3" s="4">
        <v>0</v>
      </c>
      <c r="S3" s="4">
        <v>0</v>
      </c>
      <c r="T3" s="4">
        <v>0</v>
      </c>
      <c r="U3" s="4">
        <v>0</v>
      </c>
    </row>
    <row r="4" spans="1:22" s="4" customFormat="1" ht="12.75" x14ac:dyDescent="0.2">
      <c r="A4" s="8">
        <f t="shared" si="0"/>
        <v>44234</v>
      </c>
      <c r="B4" s="9" t="s">
        <v>21</v>
      </c>
      <c r="C4" s="9" t="s">
        <v>30</v>
      </c>
      <c r="D4" s="9" t="s">
        <v>23</v>
      </c>
      <c r="E4" s="9" t="s">
        <v>31</v>
      </c>
      <c r="F4" s="10" t="s">
        <v>25</v>
      </c>
      <c r="G4" s="21">
        <v>70000</v>
      </c>
      <c r="H4" s="10" t="s">
        <v>32</v>
      </c>
      <c r="I4" s="10" t="s">
        <v>33</v>
      </c>
      <c r="J4" s="5">
        <v>0.93055555555555547</v>
      </c>
      <c r="K4" s="6">
        <v>0.92361111111111116</v>
      </c>
      <c r="L4" s="5">
        <v>0.76388888888888884</v>
      </c>
      <c r="M4" s="6">
        <v>0.77083333333333337</v>
      </c>
      <c r="N4" s="4" t="s">
        <v>117</v>
      </c>
      <c r="O4" s="4" t="s">
        <v>116</v>
      </c>
      <c r="P4" s="4">
        <v>980</v>
      </c>
      <c r="Q4" s="4">
        <v>1167</v>
      </c>
      <c r="R4" s="4">
        <v>0</v>
      </c>
      <c r="S4" s="4">
        <v>0</v>
      </c>
      <c r="T4" s="4">
        <v>0</v>
      </c>
      <c r="U4" s="4">
        <v>0</v>
      </c>
    </row>
    <row r="5" spans="1:22" s="4" customFormat="1" ht="12.75" x14ac:dyDescent="0.2">
      <c r="A5" s="8">
        <f t="shared" si="0"/>
        <v>44234</v>
      </c>
      <c r="B5" s="4" t="s">
        <v>66</v>
      </c>
      <c r="C5" s="4" t="s">
        <v>78</v>
      </c>
      <c r="D5" s="4" t="s">
        <v>71</v>
      </c>
      <c r="E5" s="4" t="s">
        <v>68</v>
      </c>
      <c r="F5" s="4" t="s">
        <v>103</v>
      </c>
      <c r="J5" s="6"/>
      <c r="K5" s="6">
        <v>0.46875</v>
      </c>
      <c r="L5" s="6"/>
      <c r="M5" s="6">
        <v>0.3840277777777778</v>
      </c>
      <c r="N5" s="4" t="s">
        <v>65</v>
      </c>
      <c r="O5" s="4" t="s">
        <v>65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2" s="4" customFormat="1" ht="12.75" x14ac:dyDescent="0.2">
      <c r="A6" s="8">
        <f t="shared" si="0"/>
        <v>44234</v>
      </c>
      <c r="B6" s="4" t="s">
        <v>66</v>
      </c>
      <c r="C6" s="4" t="s">
        <v>78</v>
      </c>
      <c r="D6" s="4" t="s">
        <v>72</v>
      </c>
      <c r="E6" s="4" t="s">
        <v>69</v>
      </c>
      <c r="F6" s="4" t="s">
        <v>103</v>
      </c>
      <c r="J6" s="6"/>
      <c r="K6" s="6">
        <v>0.47083333333333338</v>
      </c>
      <c r="L6" s="6"/>
      <c r="M6" s="6">
        <v>0.38541666666666669</v>
      </c>
      <c r="N6" s="4" t="s">
        <v>65</v>
      </c>
      <c r="O6" s="4" t="s">
        <v>65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2" s="4" customFormat="1" ht="12.75" x14ac:dyDescent="0.2">
      <c r="A7" s="8">
        <f t="shared" si="0"/>
        <v>44234</v>
      </c>
      <c r="B7" s="4" t="s">
        <v>66</v>
      </c>
      <c r="C7" s="4" t="s">
        <v>78</v>
      </c>
      <c r="D7" s="4" t="s">
        <v>71</v>
      </c>
      <c r="E7" s="4" t="s">
        <v>38</v>
      </c>
      <c r="F7" s="4" t="s">
        <v>103</v>
      </c>
      <c r="J7" s="6"/>
      <c r="K7" s="6">
        <v>0.48055555555555557</v>
      </c>
      <c r="L7" s="6"/>
      <c r="M7" s="6">
        <v>0.38750000000000001</v>
      </c>
      <c r="N7" s="4" t="s">
        <v>65</v>
      </c>
      <c r="O7" s="4" t="s">
        <v>65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2" s="4" customFormat="1" ht="12.75" x14ac:dyDescent="0.2">
      <c r="A8" s="8">
        <f t="shared" si="0"/>
        <v>44234</v>
      </c>
      <c r="B8" s="4" t="s">
        <v>66</v>
      </c>
      <c r="C8" s="4" t="s">
        <v>78</v>
      </c>
      <c r="D8" s="4" t="s">
        <v>41</v>
      </c>
      <c r="E8" s="4" t="s">
        <v>70</v>
      </c>
      <c r="F8" s="4" t="s">
        <v>103</v>
      </c>
      <c r="J8" s="6"/>
      <c r="K8" s="6">
        <v>0.48194444444444445</v>
      </c>
      <c r="L8" s="6"/>
      <c r="M8" s="6">
        <v>0.39027777777777778</v>
      </c>
      <c r="N8" s="4" t="s">
        <v>65</v>
      </c>
      <c r="O8" s="4" t="s">
        <v>65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2" s="4" customFormat="1" ht="12.75" x14ac:dyDescent="0.2">
      <c r="A9" s="8">
        <f t="shared" si="0"/>
        <v>44234</v>
      </c>
      <c r="B9" s="4" t="s">
        <v>66</v>
      </c>
      <c r="C9" s="4" t="s">
        <v>78</v>
      </c>
      <c r="D9" s="4" t="s">
        <v>62</v>
      </c>
      <c r="E9" s="4" t="s">
        <v>56</v>
      </c>
      <c r="F9" s="4" t="s">
        <v>103</v>
      </c>
      <c r="K9" s="6">
        <v>0.48472222222222222</v>
      </c>
      <c r="L9" s="6"/>
      <c r="M9" s="6">
        <v>0.39374999999999999</v>
      </c>
      <c r="N9" s="4" t="s">
        <v>65</v>
      </c>
      <c r="O9" s="4" t="s">
        <v>65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2" s="4" customFormat="1" ht="12.75" x14ac:dyDescent="0.2">
      <c r="A10" s="8">
        <f t="shared" si="0"/>
        <v>44234</v>
      </c>
      <c r="B10" s="4" t="s">
        <v>66</v>
      </c>
      <c r="C10" s="4" t="s">
        <v>78</v>
      </c>
      <c r="D10" s="4" t="s">
        <v>71</v>
      </c>
      <c r="E10" s="4" t="s">
        <v>38</v>
      </c>
      <c r="F10" s="4" t="s">
        <v>103</v>
      </c>
      <c r="G10" s="4">
        <v>1315</v>
      </c>
      <c r="K10" s="6">
        <v>0.49305555555555558</v>
      </c>
      <c r="M10" s="20">
        <v>0.39513888888888887</v>
      </c>
      <c r="N10" s="4" t="s">
        <v>65</v>
      </c>
      <c r="O10" s="4" t="s">
        <v>65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2" s="4" customFormat="1" ht="12.75" x14ac:dyDescent="0.2">
      <c r="A11" s="8">
        <f t="shared" si="0"/>
        <v>44234</v>
      </c>
      <c r="B11" s="4" t="s">
        <v>60</v>
      </c>
      <c r="C11" s="4" t="s">
        <v>78</v>
      </c>
      <c r="D11" s="4" t="s">
        <v>41</v>
      </c>
      <c r="E11" s="4" t="s">
        <v>42</v>
      </c>
      <c r="F11" s="4" t="s">
        <v>103</v>
      </c>
      <c r="K11" s="6">
        <v>0.49652777777777773</v>
      </c>
      <c r="M11" s="20">
        <v>0.3979166666666667</v>
      </c>
      <c r="N11" s="4" t="s">
        <v>65</v>
      </c>
      <c r="O11" s="4" t="s">
        <v>65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2" s="4" customFormat="1" ht="12.75" x14ac:dyDescent="0.2">
      <c r="A12" s="8">
        <f t="shared" si="0"/>
        <v>44234</v>
      </c>
      <c r="B12" s="4" t="s">
        <v>60</v>
      </c>
      <c r="C12" s="4" t="s">
        <v>78</v>
      </c>
      <c r="D12" s="4" t="s">
        <v>71</v>
      </c>
      <c r="E12" s="4" t="s">
        <v>38</v>
      </c>
      <c r="F12" s="4" t="s">
        <v>103</v>
      </c>
      <c r="G12" s="4">
        <v>1315</v>
      </c>
      <c r="H12" s="4" t="s">
        <v>40</v>
      </c>
      <c r="I12" s="4" t="s">
        <v>40</v>
      </c>
      <c r="J12" s="4" t="s">
        <v>40</v>
      </c>
      <c r="K12" s="6">
        <v>0.66666666666666663</v>
      </c>
      <c r="L12" s="4" t="s">
        <v>40</v>
      </c>
      <c r="M12" s="20">
        <v>0.51180555555555551</v>
      </c>
      <c r="N12" s="4" t="s">
        <v>65</v>
      </c>
      <c r="O12" s="4" t="s">
        <v>65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2" s="4" customFormat="1" ht="12.75" x14ac:dyDescent="0.2">
      <c r="A13" s="8">
        <f t="shared" si="0"/>
        <v>44234</v>
      </c>
      <c r="B13" s="4" t="s">
        <v>60</v>
      </c>
      <c r="C13" s="4" t="s">
        <v>78</v>
      </c>
      <c r="D13" s="4" t="s">
        <v>61</v>
      </c>
      <c r="E13" s="4" t="s">
        <v>44</v>
      </c>
      <c r="F13" s="4" t="s">
        <v>103</v>
      </c>
      <c r="G13" s="4">
        <v>2200</v>
      </c>
      <c r="H13" s="4" t="s">
        <v>40</v>
      </c>
      <c r="I13" s="4" t="s">
        <v>40</v>
      </c>
      <c r="J13" s="4" t="s">
        <v>40</v>
      </c>
      <c r="K13" s="6">
        <v>0.70138888888888884</v>
      </c>
      <c r="L13" s="4" t="s">
        <v>40</v>
      </c>
      <c r="M13" s="20">
        <v>0.51388888888888895</v>
      </c>
      <c r="N13" s="4" t="s">
        <v>65</v>
      </c>
      <c r="O13" s="4" t="s">
        <v>65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2" s="4" customFormat="1" ht="12.75" x14ac:dyDescent="0.2">
      <c r="A14" s="3"/>
      <c r="K14" s="6"/>
      <c r="M14" s="20"/>
    </row>
    <row r="15" spans="1:22" s="4" customFormat="1" ht="12.75" x14ac:dyDescent="0.2">
      <c r="A15" s="3"/>
      <c r="E15" s="19"/>
      <c r="K15" s="6"/>
      <c r="M15" s="6"/>
    </row>
    <row r="16" spans="1:22" s="4" customFormat="1" ht="12.75" x14ac:dyDescent="0.2">
      <c r="A16" s="3"/>
      <c r="K16" s="6"/>
      <c r="M16" s="6"/>
    </row>
    <row r="17" s="18" customForma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sqref="A1:V5"/>
    </sheetView>
  </sheetViews>
  <sheetFormatPr defaultRowHeight="12.75" x14ac:dyDescent="0.2"/>
  <cols>
    <col min="1" max="1" width="12.7109375" style="4" bestFit="1" customWidth="1"/>
    <col min="2" max="2" width="18.42578125" style="4" customWidth="1"/>
    <col min="3" max="3" width="13.28515625" style="4" bestFit="1" customWidth="1"/>
    <col min="4" max="4" width="5.7109375" style="4" bestFit="1" customWidth="1"/>
    <col min="5" max="5" width="9.140625" style="4"/>
    <col min="6" max="6" width="12.140625" style="4" bestFit="1" customWidth="1"/>
    <col min="7" max="7" width="9.28515625" style="4" bestFit="1" customWidth="1"/>
    <col min="8" max="9" width="9.140625" style="4"/>
    <col min="10" max="12" width="9.28515625" style="4" bestFit="1" customWidth="1"/>
    <col min="13" max="13" width="4.85546875" style="4" customWidth="1"/>
    <col min="14" max="14" width="9.28515625" style="4" bestFit="1" customWidth="1"/>
    <col min="15" max="15" width="9.140625" style="4"/>
    <col min="16" max="21" width="9.28515625" style="4" bestFit="1" customWidth="1"/>
    <col min="22" max="16384" width="9.140625" style="4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3">
        <v>44235</v>
      </c>
      <c r="B2" s="4" t="s">
        <v>21</v>
      </c>
      <c r="C2" s="4" t="s">
        <v>22</v>
      </c>
      <c r="D2" s="4" t="s">
        <v>23</v>
      </c>
      <c r="E2" s="4" t="s">
        <v>31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0.47569444444444442</v>
      </c>
      <c r="K2" s="6">
        <v>0.54027777777777775</v>
      </c>
      <c r="L2" s="5">
        <v>0.27430555555555552</v>
      </c>
      <c r="M2" s="6">
        <v>0.27430555555555552</v>
      </c>
      <c r="N2" s="4">
        <v>0</v>
      </c>
      <c r="O2" s="4" t="s">
        <v>118</v>
      </c>
      <c r="P2" s="4">
        <v>0</v>
      </c>
      <c r="Q2" s="4">
        <v>1000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">
      <c r="A3" s="3">
        <v>44235</v>
      </c>
      <c r="B3" s="4" t="s">
        <v>119</v>
      </c>
      <c r="C3" s="4" t="s">
        <v>120</v>
      </c>
      <c r="D3" s="4" t="s">
        <v>121</v>
      </c>
      <c r="E3" s="4" t="s">
        <v>122</v>
      </c>
      <c r="F3" s="4" t="s">
        <v>123</v>
      </c>
      <c r="G3" s="4">
        <v>10</v>
      </c>
      <c r="H3" s="4" t="s">
        <v>122</v>
      </c>
      <c r="I3" s="27"/>
      <c r="J3" s="6">
        <v>0.54166666666666663</v>
      </c>
      <c r="K3" s="6">
        <v>0.51388888888888895</v>
      </c>
      <c r="L3" s="27"/>
      <c r="M3" s="27"/>
      <c r="N3" s="4">
        <v>1</v>
      </c>
      <c r="O3" s="27"/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A2" sqref="A2:U2"/>
    </sheetView>
  </sheetViews>
  <sheetFormatPr defaultRowHeight="15" x14ac:dyDescent="0.25"/>
  <cols>
    <col min="1" max="1" width="10.140625" bestFit="1" customWidth="1"/>
    <col min="3" max="3" width="12" bestFit="1" customWidth="1"/>
    <col min="6" max="6" width="12.140625" bestFit="1" customWidth="1"/>
    <col min="14" max="15" width="18.425781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44237</v>
      </c>
      <c r="B2" s="4" t="s">
        <v>21</v>
      </c>
      <c r="C2" s="4" t="s">
        <v>30</v>
      </c>
      <c r="D2" s="4" t="s">
        <v>23</v>
      </c>
      <c r="E2" s="4" t="s">
        <v>24</v>
      </c>
      <c r="F2" s="4" t="s">
        <v>25</v>
      </c>
      <c r="G2" s="7">
        <v>70000</v>
      </c>
      <c r="H2" s="4" t="s">
        <v>32</v>
      </c>
      <c r="I2" s="4" t="s">
        <v>33</v>
      </c>
      <c r="J2" s="6">
        <v>0.93055555555555547</v>
      </c>
      <c r="K2" s="6">
        <v>0.96111111111111114</v>
      </c>
      <c r="L2" s="6">
        <v>0.76388888888888884</v>
      </c>
      <c r="M2" s="6">
        <v>0.76666666666666661</v>
      </c>
      <c r="N2" s="4" t="s">
        <v>125</v>
      </c>
      <c r="O2" s="4" t="s">
        <v>124</v>
      </c>
      <c r="P2" s="4">
        <v>981</v>
      </c>
      <c r="Q2" s="4">
        <v>696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K2" sqref="K2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</row>
    <row r="2" spans="1:22" x14ac:dyDescent="0.25">
      <c r="A2" s="3">
        <v>44238</v>
      </c>
      <c r="B2" s="4" t="s">
        <v>119</v>
      </c>
      <c r="C2" s="4" t="s">
        <v>126</v>
      </c>
      <c r="D2" s="4" t="s">
        <v>121</v>
      </c>
      <c r="E2" s="4" t="s">
        <v>122</v>
      </c>
      <c r="F2" s="4" t="s">
        <v>123</v>
      </c>
      <c r="G2" s="4">
        <v>10</v>
      </c>
      <c r="H2" s="4"/>
      <c r="I2" s="28" t="s">
        <v>122</v>
      </c>
      <c r="K2" s="4"/>
      <c r="L2" s="6">
        <v>0.625</v>
      </c>
      <c r="M2" s="6">
        <v>0.62986111111111109</v>
      </c>
      <c r="N2" s="4"/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/>
    </row>
    <row r="3" spans="1:22" x14ac:dyDescent="0.25">
      <c r="A3" s="3"/>
      <c r="B3" s="4"/>
      <c r="C3" s="4"/>
      <c r="D3" s="4"/>
      <c r="E3" s="4"/>
      <c r="F3" s="4"/>
      <c r="G3" s="4"/>
      <c r="H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A4" s="4"/>
      <c r="B4" s="4"/>
      <c r="C4" s="4"/>
      <c r="D4" s="4"/>
      <c r="E4" s="4"/>
      <c r="F4" s="4"/>
      <c r="G4" s="4"/>
      <c r="H4" s="4"/>
      <c r="P4" s="4"/>
      <c r="Q4" s="4"/>
      <c r="R4" s="4"/>
      <c r="S4" s="4"/>
      <c r="T4" s="4"/>
      <c r="U4" s="4"/>
      <c r="V4" s="4"/>
    </row>
    <row r="5" spans="1:22" x14ac:dyDescent="0.25">
      <c r="A5" s="4"/>
      <c r="B5" s="4"/>
      <c r="C5" s="4"/>
      <c r="D5" s="4"/>
      <c r="E5" s="4"/>
      <c r="F5" s="4"/>
      <c r="G5" s="4"/>
      <c r="H5" s="4"/>
      <c r="P5" s="4"/>
      <c r="Q5" s="4"/>
      <c r="R5" s="4"/>
      <c r="S5" s="4"/>
      <c r="T5" s="4"/>
      <c r="U5" s="4"/>
      <c r="V5" s="4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14.42578125" bestFit="1" customWidth="1"/>
    <col min="3" max="3" width="15.710937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44239</v>
      </c>
      <c r="B2" s="4" t="s">
        <v>21</v>
      </c>
      <c r="C2" s="4" t="s">
        <v>22</v>
      </c>
      <c r="D2" s="4" t="s">
        <v>23</v>
      </c>
      <c r="E2" s="4" t="s">
        <v>127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0.47569444444444442</v>
      </c>
      <c r="K2" s="6">
        <v>0.53888888888888886</v>
      </c>
      <c r="L2" s="5">
        <v>0.27430555555555552</v>
      </c>
      <c r="M2" s="6">
        <v>0.34027777777777773</v>
      </c>
      <c r="N2" s="4" t="s">
        <v>129</v>
      </c>
      <c r="O2" s="4" t="s">
        <v>128</v>
      </c>
      <c r="P2" s="4">
        <v>1423</v>
      </c>
      <c r="Q2" s="4">
        <v>1402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8">
        <f t="shared" ref="A3:A9" si="0">A2</f>
        <v>44239</v>
      </c>
      <c r="B3" s="4" t="s">
        <v>66</v>
      </c>
      <c r="C3" s="4" t="s">
        <v>78</v>
      </c>
      <c r="D3" s="4" t="s">
        <v>71</v>
      </c>
      <c r="E3" s="4" t="s">
        <v>130</v>
      </c>
      <c r="F3" s="4" t="s">
        <v>103</v>
      </c>
      <c r="K3" s="6">
        <v>0.51250000000000007</v>
      </c>
      <c r="L3" s="4"/>
      <c r="M3" s="6">
        <v>0.40486111111111112</v>
      </c>
      <c r="N3" s="4" t="s">
        <v>65</v>
      </c>
      <c r="O3" s="4" t="s">
        <v>65</v>
      </c>
    </row>
    <row r="4" spans="1:21" x14ac:dyDescent="0.25">
      <c r="A4" s="8">
        <f t="shared" si="0"/>
        <v>44239</v>
      </c>
      <c r="B4" s="4" t="s">
        <v>66</v>
      </c>
      <c r="C4" s="4" t="s">
        <v>78</v>
      </c>
      <c r="D4" s="4" t="s">
        <v>72</v>
      </c>
      <c r="E4" s="4" t="s">
        <v>131</v>
      </c>
      <c r="F4" s="4" t="s">
        <v>103</v>
      </c>
      <c r="K4" s="6">
        <v>0.53333333333333333</v>
      </c>
      <c r="L4" s="4"/>
      <c r="M4" s="6">
        <v>0.40833333333333338</v>
      </c>
      <c r="N4" s="4" t="s">
        <v>65</v>
      </c>
      <c r="O4" s="4" t="s">
        <v>65</v>
      </c>
    </row>
    <row r="5" spans="1:21" x14ac:dyDescent="0.25">
      <c r="A5" s="8">
        <f t="shared" si="0"/>
        <v>44239</v>
      </c>
      <c r="B5" s="4" t="s">
        <v>66</v>
      </c>
      <c r="C5" s="4" t="s">
        <v>78</v>
      </c>
      <c r="D5" s="4" t="s">
        <v>71</v>
      </c>
      <c r="E5" s="4" t="s">
        <v>70</v>
      </c>
      <c r="F5" s="4" t="s">
        <v>103</v>
      </c>
      <c r="K5" s="6">
        <v>0.52847222222222223</v>
      </c>
      <c r="L5" s="4"/>
      <c r="M5" s="6">
        <v>0.41041666666666665</v>
      </c>
      <c r="N5" s="4" t="s">
        <v>65</v>
      </c>
      <c r="O5" s="4" t="s">
        <v>65</v>
      </c>
    </row>
    <row r="6" spans="1:21" x14ac:dyDescent="0.25">
      <c r="A6" s="8">
        <f t="shared" si="0"/>
        <v>44239</v>
      </c>
      <c r="B6" s="4" t="s">
        <v>66</v>
      </c>
      <c r="C6" s="4" t="s">
        <v>78</v>
      </c>
      <c r="D6" s="4" t="s">
        <v>41</v>
      </c>
      <c r="E6" s="4" t="s">
        <v>38</v>
      </c>
      <c r="F6" s="4" t="s">
        <v>103</v>
      </c>
      <c r="K6" s="6">
        <v>0.53125</v>
      </c>
      <c r="L6" s="4"/>
      <c r="M6" s="6">
        <v>0.41250000000000003</v>
      </c>
      <c r="N6" s="4" t="s">
        <v>65</v>
      </c>
      <c r="O6" s="4" t="s">
        <v>65</v>
      </c>
    </row>
    <row r="7" spans="1:21" x14ac:dyDescent="0.25">
      <c r="A7" s="8">
        <f t="shared" si="0"/>
        <v>44239</v>
      </c>
      <c r="B7" s="4" t="s">
        <v>66</v>
      </c>
      <c r="C7" s="4" t="s">
        <v>78</v>
      </c>
      <c r="D7" s="4" t="s">
        <v>62</v>
      </c>
      <c r="E7" s="4" t="s">
        <v>68</v>
      </c>
      <c r="F7" s="4" t="s">
        <v>103</v>
      </c>
      <c r="K7" s="6">
        <v>0.53680555555555554</v>
      </c>
      <c r="L7" s="4"/>
      <c r="M7" s="6">
        <v>0.41736111111111113</v>
      </c>
      <c r="N7" s="4" t="s">
        <v>65</v>
      </c>
      <c r="O7" s="4" t="s">
        <v>65</v>
      </c>
    </row>
    <row r="8" spans="1:21" x14ac:dyDescent="0.25">
      <c r="A8" s="8">
        <f t="shared" si="0"/>
        <v>44239</v>
      </c>
      <c r="B8" s="4" t="s">
        <v>66</v>
      </c>
      <c r="C8" s="4" t="s">
        <v>78</v>
      </c>
      <c r="D8" s="4" t="s">
        <v>71</v>
      </c>
      <c r="E8" s="4" t="s">
        <v>130</v>
      </c>
      <c r="F8" s="4" t="s">
        <v>103</v>
      </c>
      <c r="K8" s="6">
        <v>0.65069444444444446</v>
      </c>
      <c r="L8" s="4"/>
      <c r="M8" s="6">
        <v>0.53541666666666665</v>
      </c>
      <c r="N8" s="4" t="s">
        <v>65</v>
      </c>
      <c r="O8" s="4" t="s">
        <v>65</v>
      </c>
    </row>
    <row r="9" spans="1:21" x14ac:dyDescent="0.25">
      <c r="A9" s="8">
        <f t="shared" si="0"/>
        <v>44239</v>
      </c>
      <c r="B9" s="4" t="s">
        <v>60</v>
      </c>
      <c r="C9" s="4" t="s">
        <v>78</v>
      </c>
      <c r="D9" s="4" t="s">
        <v>41</v>
      </c>
      <c r="E9" s="4" t="s">
        <v>131</v>
      </c>
      <c r="F9" s="4" t="s">
        <v>103</v>
      </c>
      <c r="K9" s="6">
        <v>0.70624999999999993</v>
      </c>
      <c r="L9" s="4"/>
      <c r="M9" s="6">
        <v>0.55486111111111114</v>
      </c>
      <c r="N9" s="4" t="s">
        <v>65</v>
      </c>
      <c r="O9" s="4" t="s">
        <v>65</v>
      </c>
    </row>
    <row r="10" spans="1:21" x14ac:dyDescent="0.25">
      <c r="K10" s="4"/>
      <c r="L10" s="4"/>
      <c r="M10" s="4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Q3" sqref="Q3"/>
    </sheetView>
  </sheetViews>
  <sheetFormatPr defaultRowHeight="15" x14ac:dyDescent="0.25"/>
  <cols>
    <col min="1" max="1" width="10.140625" style="18" bestFit="1" customWidth="1"/>
    <col min="2" max="2" width="21.85546875" style="18" bestFit="1" customWidth="1"/>
    <col min="3" max="3" width="15.7109375" style="18" bestFit="1" customWidth="1"/>
    <col min="4" max="5" width="9.140625" style="18"/>
    <col min="6" max="6" width="12.140625" style="18" bestFit="1" customWidth="1"/>
    <col min="7" max="9" width="9.140625" style="18"/>
    <col min="10" max="10" width="11" style="18" bestFit="1" customWidth="1"/>
    <col min="11" max="11" width="9.140625" style="18"/>
    <col min="12" max="12" width="11" style="18" bestFit="1" customWidth="1"/>
    <col min="13" max="13" width="9.140625" style="18"/>
    <col min="14" max="15" width="18.42578125" style="18" bestFit="1" customWidth="1"/>
    <col min="16" max="16384" width="9.140625" style="18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44240</v>
      </c>
      <c r="B2" s="4" t="s">
        <v>21</v>
      </c>
      <c r="C2" s="4" t="s">
        <v>82</v>
      </c>
      <c r="D2" s="4" t="s">
        <v>23</v>
      </c>
      <c r="E2" s="4" t="s">
        <v>24</v>
      </c>
      <c r="F2" s="4" t="s">
        <v>25</v>
      </c>
      <c r="G2" s="7">
        <v>70000</v>
      </c>
      <c r="H2" s="4" t="s">
        <v>84</v>
      </c>
      <c r="I2" s="4" t="s">
        <v>86</v>
      </c>
      <c r="J2" s="5">
        <v>0.47916666666666669</v>
      </c>
      <c r="K2" s="6">
        <v>0.48402777777777778</v>
      </c>
      <c r="L2" s="5">
        <v>0.27430555555555552</v>
      </c>
      <c r="M2" s="6">
        <v>0.29722222222222222</v>
      </c>
      <c r="N2" s="4" t="s">
        <v>133</v>
      </c>
      <c r="O2" s="4" t="s">
        <v>132</v>
      </c>
      <c r="P2" s="4">
        <v>867</v>
      </c>
      <c r="Q2" s="4">
        <v>1037</v>
      </c>
      <c r="R2" s="4">
        <v>0</v>
      </c>
      <c r="S2" s="4">
        <v>0</v>
      </c>
      <c r="T2" s="4">
        <v>0</v>
      </c>
      <c r="U2" s="4">
        <v>0</v>
      </c>
    </row>
    <row r="3" spans="1:21" s="4" customFormat="1" ht="12.75" x14ac:dyDescent="0.2">
      <c r="A3" s="3">
        <v>44240</v>
      </c>
      <c r="B3" s="4" t="s">
        <v>21</v>
      </c>
      <c r="C3" s="4" t="s">
        <v>83</v>
      </c>
      <c r="D3" s="4" t="s">
        <v>23</v>
      </c>
      <c r="E3" s="4" t="s">
        <v>24</v>
      </c>
      <c r="F3" s="4" t="s">
        <v>25</v>
      </c>
      <c r="G3" s="7">
        <v>70000</v>
      </c>
      <c r="H3" s="4" t="s">
        <v>85</v>
      </c>
      <c r="I3" s="4" t="s">
        <v>87</v>
      </c>
      <c r="J3" s="5">
        <v>0.64930555555555558</v>
      </c>
      <c r="K3" s="6">
        <v>0.65277777777777779</v>
      </c>
      <c r="L3" s="5">
        <v>0.5</v>
      </c>
      <c r="M3" s="6">
        <v>0.51736111111111105</v>
      </c>
      <c r="N3" s="4" t="s">
        <v>134</v>
      </c>
      <c r="O3" s="4" t="s">
        <v>135</v>
      </c>
      <c r="P3" s="4">
        <v>1373</v>
      </c>
      <c r="Q3" s="4">
        <v>971</v>
      </c>
      <c r="R3" s="4">
        <v>0</v>
      </c>
      <c r="S3" s="4">
        <v>0</v>
      </c>
      <c r="T3" s="4">
        <v>0</v>
      </c>
      <c r="U3" s="4">
        <v>0</v>
      </c>
    </row>
    <row r="4" spans="1:21" s="4" customFormat="1" ht="12.75" x14ac:dyDescent="0.2">
      <c r="A4" s="3"/>
      <c r="G4" s="7"/>
      <c r="J4" s="6"/>
      <c r="K4" s="6"/>
      <c r="L4" s="6"/>
      <c r="M4" s="6"/>
    </row>
    <row r="5" spans="1:21" s="4" customFormat="1" ht="12.75" x14ac:dyDescent="0.2">
      <c r="A5" s="3"/>
      <c r="J5" s="6"/>
      <c r="K5" s="6"/>
      <c r="L5" s="6"/>
      <c r="M5" s="6"/>
    </row>
    <row r="6" spans="1:21" s="4" customFormat="1" ht="12.75" x14ac:dyDescent="0.2">
      <c r="A6" s="3"/>
      <c r="J6" s="6"/>
      <c r="K6" s="6"/>
      <c r="L6" s="6"/>
      <c r="M6" s="6"/>
    </row>
    <row r="7" spans="1:21" s="4" customFormat="1" ht="12.75" x14ac:dyDescent="0.2">
      <c r="A7" s="3"/>
      <c r="J7" s="6"/>
      <c r="K7" s="6"/>
      <c r="L7" s="6"/>
      <c r="M7" s="6"/>
    </row>
    <row r="8" spans="1:21" s="4" customFormat="1" ht="12.75" x14ac:dyDescent="0.2">
      <c r="A8" s="3"/>
      <c r="J8" s="6"/>
      <c r="K8" s="6"/>
      <c r="L8" s="6"/>
      <c r="M8" s="6"/>
    </row>
    <row r="9" spans="1:21" s="4" customFormat="1" ht="12.75" x14ac:dyDescent="0.2">
      <c r="A9" s="3"/>
      <c r="J9" s="6"/>
      <c r="K9" s="6"/>
      <c r="L9" s="6"/>
      <c r="M9" s="6"/>
    </row>
    <row r="10" spans="1:21" s="4" customFormat="1" ht="12.75" x14ac:dyDescent="0.2">
      <c r="A10" s="3"/>
      <c r="J10" s="6"/>
      <c r="K10" s="6"/>
      <c r="L10" s="6"/>
      <c r="M10" s="6"/>
    </row>
    <row r="11" spans="1:21" s="4" customFormat="1" ht="12.75" x14ac:dyDescent="0.2">
      <c r="A11" s="3"/>
      <c r="J11" s="6"/>
      <c r="K11" s="6"/>
      <c r="L11" s="6"/>
      <c r="M11" s="6"/>
    </row>
    <row r="12" spans="1:21" s="4" customFormat="1" ht="12.75" x14ac:dyDescent="0.2">
      <c r="A12" s="3"/>
      <c r="K12" s="6"/>
      <c r="L12" s="6"/>
      <c r="M12" s="6"/>
    </row>
    <row r="13" spans="1:21" s="4" customFormat="1" ht="12.75" x14ac:dyDescent="0.2">
      <c r="A13" s="3"/>
      <c r="K13" s="6"/>
      <c r="M13" s="20"/>
    </row>
    <row r="14" spans="1:21" s="4" customFormat="1" ht="12.75" x14ac:dyDescent="0.2">
      <c r="A14" s="3"/>
      <c r="K14" s="6"/>
      <c r="M14" s="20"/>
    </row>
    <row r="15" spans="1:21" s="4" customFormat="1" ht="12.75" x14ac:dyDescent="0.2">
      <c r="A15" s="3"/>
      <c r="K15" s="6"/>
      <c r="M15" s="20"/>
    </row>
    <row r="16" spans="1:21" s="4" customFormat="1" ht="12.75" x14ac:dyDescent="0.2">
      <c r="A16" s="3"/>
      <c r="K16" s="6"/>
      <c r="M16" s="20"/>
    </row>
    <row r="17" spans="1:13" s="4" customFormat="1" ht="12.75" x14ac:dyDescent="0.2">
      <c r="A17" s="3"/>
      <c r="K17" s="6"/>
      <c r="M17" s="20"/>
    </row>
    <row r="18" spans="1:13" s="4" customFormat="1" ht="12.75" x14ac:dyDescent="0.2">
      <c r="A18" s="3"/>
      <c r="E18" s="19"/>
      <c r="K18" s="6"/>
      <c r="M18" s="6"/>
    </row>
    <row r="19" spans="1:13" s="4" customFormat="1" ht="12.75" x14ac:dyDescent="0.2">
      <c r="A19" s="3"/>
      <c r="K19" s="6"/>
      <c r="M19" s="6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opLeftCell="D1" workbookViewId="0">
      <selection activeCell="K4" sqref="K4"/>
    </sheetView>
  </sheetViews>
  <sheetFormatPr defaultRowHeight="15" x14ac:dyDescent="0.25"/>
  <cols>
    <col min="2" max="2" width="23.28515625" customWidth="1"/>
    <col min="3" max="3" width="13.42578125" bestFit="1" customWidth="1"/>
    <col min="6" max="6" width="19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25" customFormat="1" ht="12.75" x14ac:dyDescent="0.2">
      <c r="A2" s="8">
        <v>44241</v>
      </c>
      <c r="B2" s="9" t="s">
        <v>21</v>
      </c>
      <c r="C2" s="9" t="s">
        <v>106</v>
      </c>
      <c r="D2" s="9" t="s">
        <v>23</v>
      </c>
      <c r="E2" s="9" t="s">
        <v>127</v>
      </c>
      <c r="F2" s="10" t="s">
        <v>25</v>
      </c>
      <c r="G2" s="21">
        <v>70000</v>
      </c>
      <c r="H2" s="9" t="s">
        <v>107</v>
      </c>
      <c r="I2" s="9" t="s">
        <v>108</v>
      </c>
      <c r="J2" s="22">
        <v>0.45833333333333331</v>
      </c>
      <c r="K2" s="23">
        <v>0.4604166666666667</v>
      </c>
      <c r="L2" s="22">
        <v>0.27430555555555552</v>
      </c>
      <c r="M2" s="23">
        <v>0.2951388888888889</v>
      </c>
      <c r="N2" s="24" t="s">
        <v>137</v>
      </c>
      <c r="O2" s="24" t="s">
        <v>136</v>
      </c>
      <c r="P2" s="25">
        <v>809</v>
      </c>
      <c r="Q2" s="24">
        <v>885</v>
      </c>
      <c r="R2" s="9">
        <v>0</v>
      </c>
      <c r="S2" s="9">
        <v>0</v>
      </c>
      <c r="T2" s="9">
        <v>0</v>
      </c>
      <c r="U2" s="9">
        <v>0</v>
      </c>
      <c r="V2" s="26"/>
    </row>
    <row r="3" spans="1:22" s="4" customFormat="1" ht="12.75" x14ac:dyDescent="0.2">
      <c r="A3" s="8">
        <v>44241</v>
      </c>
      <c r="B3" s="9" t="s">
        <v>21</v>
      </c>
      <c r="C3" s="9" t="s">
        <v>109</v>
      </c>
      <c r="D3" s="9" t="s">
        <v>23</v>
      </c>
      <c r="E3" s="9" t="s">
        <v>24</v>
      </c>
      <c r="F3" s="10" t="s">
        <v>25</v>
      </c>
      <c r="G3" s="21">
        <v>70000</v>
      </c>
      <c r="H3" s="10" t="s">
        <v>110</v>
      </c>
      <c r="I3" s="10" t="s">
        <v>111</v>
      </c>
      <c r="J3" s="5">
        <v>0.74305555555555547</v>
      </c>
      <c r="K3" s="6">
        <v>0.74652777777777779</v>
      </c>
      <c r="L3" s="5">
        <v>0.50694444444444442</v>
      </c>
      <c r="M3" s="6">
        <v>0.52708333333333335</v>
      </c>
      <c r="N3" s="4" t="s">
        <v>139</v>
      </c>
      <c r="O3" s="4" t="s">
        <v>138</v>
      </c>
      <c r="P3" s="4">
        <v>737</v>
      </c>
      <c r="Q3" s="4">
        <v>1213</v>
      </c>
      <c r="R3" s="4">
        <v>0</v>
      </c>
      <c r="S3" s="4">
        <v>0</v>
      </c>
      <c r="T3" s="4">
        <v>0</v>
      </c>
      <c r="U3" s="4">
        <v>0</v>
      </c>
    </row>
    <row r="4" spans="1:22" s="4" customFormat="1" ht="12.75" x14ac:dyDescent="0.2">
      <c r="A4" s="8">
        <v>44241</v>
      </c>
      <c r="B4" s="9" t="s">
        <v>21</v>
      </c>
      <c r="C4" s="9" t="s">
        <v>30</v>
      </c>
      <c r="D4" s="9" t="s">
        <v>23</v>
      </c>
      <c r="E4" s="9" t="s">
        <v>24</v>
      </c>
      <c r="F4" s="10" t="s">
        <v>25</v>
      </c>
      <c r="G4" s="21">
        <v>70000</v>
      </c>
      <c r="H4" s="10" t="s">
        <v>32</v>
      </c>
      <c r="I4" s="10" t="s">
        <v>33</v>
      </c>
      <c r="J4" s="5">
        <v>0.93055555555555547</v>
      </c>
      <c r="K4" s="6">
        <v>0.9506944444444444</v>
      </c>
      <c r="L4" s="5">
        <v>0.76388888888888884</v>
      </c>
      <c r="M4" s="6">
        <v>0.79652777777777783</v>
      </c>
      <c r="N4" s="4" t="s">
        <v>141</v>
      </c>
      <c r="O4" s="4" t="s">
        <v>140</v>
      </c>
      <c r="P4" s="4">
        <v>1022</v>
      </c>
      <c r="Q4" s="4">
        <v>714</v>
      </c>
      <c r="R4" s="4">
        <v>0</v>
      </c>
      <c r="S4" s="4">
        <v>0</v>
      </c>
      <c r="T4" s="4">
        <v>0</v>
      </c>
      <c r="U4" s="4">
        <v>0</v>
      </c>
    </row>
    <row r="5" spans="1:22" s="4" customFormat="1" ht="12.75" x14ac:dyDescent="0.2">
      <c r="A5" s="8"/>
      <c r="J5" s="6"/>
      <c r="K5" s="6"/>
      <c r="L5" s="6"/>
      <c r="M5" s="6"/>
    </row>
    <row r="6" spans="1:22" s="4" customFormat="1" ht="12.75" x14ac:dyDescent="0.2">
      <c r="A6" s="8"/>
      <c r="J6" s="6"/>
      <c r="K6" s="6"/>
      <c r="L6" s="6"/>
      <c r="M6" s="6"/>
    </row>
    <row r="7" spans="1:22" s="4" customFormat="1" ht="12.75" x14ac:dyDescent="0.2">
      <c r="A7" s="8"/>
      <c r="J7" s="6"/>
      <c r="K7" s="6"/>
      <c r="L7" s="6"/>
      <c r="M7" s="6"/>
    </row>
    <row r="8" spans="1:22" s="4" customFormat="1" ht="12.75" x14ac:dyDescent="0.2">
      <c r="A8" s="8"/>
      <c r="J8" s="6"/>
      <c r="K8" s="6"/>
      <c r="L8" s="6"/>
      <c r="M8" s="6"/>
    </row>
    <row r="9" spans="1:22" s="4" customFormat="1" ht="12.75" x14ac:dyDescent="0.2">
      <c r="A9" s="8"/>
      <c r="K9" s="6"/>
      <c r="L9" s="6"/>
      <c r="M9" s="6"/>
    </row>
    <row r="10" spans="1:22" s="4" customFormat="1" ht="12.75" x14ac:dyDescent="0.2">
      <c r="A10" s="8"/>
      <c r="K10" s="6"/>
      <c r="M10" s="20"/>
    </row>
    <row r="11" spans="1:22" s="4" customFormat="1" ht="12.75" x14ac:dyDescent="0.2">
      <c r="A11" s="8"/>
      <c r="K11" s="6"/>
      <c r="M11" s="20"/>
    </row>
    <row r="12" spans="1:22" s="4" customFormat="1" ht="12.75" x14ac:dyDescent="0.2">
      <c r="A12" s="8"/>
      <c r="K12" s="6"/>
      <c r="M12" s="20"/>
    </row>
    <row r="13" spans="1:22" s="4" customFormat="1" ht="12.75" x14ac:dyDescent="0.2">
      <c r="A13" s="8"/>
      <c r="K13" s="6"/>
      <c r="M13" s="20"/>
    </row>
    <row r="14" spans="1:22" s="4" customFormat="1" ht="12.75" x14ac:dyDescent="0.2">
      <c r="A14" s="3"/>
      <c r="K14" s="6"/>
      <c r="M14" s="20"/>
    </row>
    <row r="15" spans="1:22" s="4" customFormat="1" ht="12.75" x14ac:dyDescent="0.2">
      <c r="A15" s="3"/>
      <c r="E15" s="19"/>
      <c r="K15" s="6"/>
      <c r="M15" s="6"/>
    </row>
    <row r="16" spans="1:22" s="4" customFormat="1" ht="12.75" x14ac:dyDescent="0.2">
      <c r="A16" s="3"/>
      <c r="K16" s="6"/>
      <c r="M16" s="6"/>
    </row>
    <row r="17" s="18" customFormat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sqref="A1:U1"/>
    </sheetView>
  </sheetViews>
  <sheetFormatPr defaultRowHeight="12.75" x14ac:dyDescent="0.2"/>
  <cols>
    <col min="1" max="1" width="12.7109375" style="4" bestFit="1" customWidth="1"/>
    <col min="2" max="2" width="18.42578125" style="4" customWidth="1"/>
    <col min="3" max="3" width="13.28515625" style="4" bestFit="1" customWidth="1"/>
    <col min="4" max="4" width="5.7109375" style="4" bestFit="1" customWidth="1"/>
    <col min="5" max="5" width="9.140625" style="4"/>
    <col min="6" max="6" width="12.140625" style="4" bestFit="1" customWidth="1"/>
    <col min="7" max="7" width="9.28515625" style="4" bestFit="1" customWidth="1"/>
    <col min="8" max="9" width="9.140625" style="4"/>
    <col min="10" max="12" width="9.28515625" style="4" bestFit="1" customWidth="1"/>
    <col min="13" max="13" width="10.85546875" style="4" bestFit="1" customWidth="1"/>
    <col min="14" max="14" width="9.28515625" style="4" bestFit="1" customWidth="1"/>
    <col min="15" max="15" width="9.140625" style="4"/>
    <col min="16" max="21" width="9.28515625" style="4" bestFit="1" customWidth="1"/>
    <col min="22" max="16384" width="9.140625" style="4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3">
        <v>44242</v>
      </c>
      <c r="B2" s="4" t="s">
        <v>21</v>
      </c>
      <c r="C2" s="4" t="s">
        <v>22</v>
      </c>
      <c r="D2" s="4" t="s">
        <v>23</v>
      </c>
      <c r="E2" s="4" t="s">
        <v>127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0.45833333333333331</v>
      </c>
      <c r="K2" s="6">
        <v>0.4465277777777778</v>
      </c>
      <c r="L2" s="5">
        <v>0.25694444444444448</v>
      </c>
      <c r="M2" s="6">
        <v>0.26111111111111113</v>
      </c>
      <c r="N2" s="4" t="s">
        <v>29</v>
      </c>
      <c r="O2" s="4" t="s">
        <v>142</v>
      </c>
      <c r="P2" s="4">
        <v>1092</v>
      </c>
      <c r="Q2" s="4">
        <v>889</v>
      </c>
      <c r="R2" s="4">
        <v>0</v>
      </c>
      <c r="S2" s="4">
        <v>0</v>
      </c>
      <c r="T2" s="4">
        <v>0</v>
      </c>
      <c r="U2" s="4">
        <v>0</v>
      </c>
    </row>
    <row r="3" spans="1:21" ht="15" x14ac:dyDescent="0.25">
      <c r="A3" s="8">
        <f t="shared" ref="A3:A11" si="0">A2</f>
        <v>44242</v>
      </c>
      <c r="B3" s="4" t="s">
        <v>60</v>
      </c>
      <c r="C3" s="4" t="s">
        <v>143</v>
      </c>
      <c r="D3" s="4" t="s">
        <v>144</v>
      </c>
      <c r="E3" s="4" t="s">
        <v>44</v>
      </c>
      <c r="F3" s="4" t="s">
        <v>103</v>
      </c>
      <c r="G3" s="15">
        <v>2200</v>
      </c>
      <c r="H3" s="4" t="s">
        <v>40</v>
      </c>
      <c r="I3" s="4" t="s">
        <v>40</v>
      </c>
      <c r="J3" s="4" t="s">
        <v>40</v>
      </c>
      <c r="K3" s="4" t="s">
        <v>40</v>
      </c>
      <c r="L3" s="6">
        <v>0.375</v>
      </c>
      <c r="M3" s="6">
        <v>0.39652777777777781</v>
      </c>
      <c r="N3" s="4" t="s">
        <v>65</v>
      </c>
      <c r="O3" s="4" t="s">
        <v>65</v>
      </c>
      <c r="P3" s="15">
        <v>0</v>
      </c>
      <c r="Q3">
        <v>0</v>
      </c>
      <c r="R3">
        <v>0</v>
      </c>
      <c r="S3">
        <v>0</v>
      </c>
      <c r="T3">
        <v>0</v>
      </c>
      <c r="U3" s="4">
        <v>0</v>
      </c>
    </row>
    <row r="4" spans="1:21" customFormat="1" ht="15" x14ac:dyDescent="0.25">
      <c r="A4" s="8">
        <f t="shared" si="0"/>
        <v>44242</v>
      </c>
      <c r="B4" s="4" t="s">
        <v>66</v>
      </c>
      <c r="C4" s="4" t="s">
        <v>78</v>
      </c>
      <c r="D4" s="4" t="s">
        <v>62</v>
      </c>
      <c r="E4" s="4" t="s">
        <v>56</v>
      </c>
      <c r="F4" s="4" t="s">
        <v>103</v>
      </c>
      <c r="G4" s="12">
        <v>2880</v>
      </c>
      <c r="H4" s="4" t="s">
        <v>40</v>
      </c>
      <c r="I4" s="4" t="s">
        <v>40</v>
      </c>
      <c r="J4" s="4" t="s">
        <v>40</v>
      </c>
      <c r="K4" s="6">
        <v>0.4777777777777778</v>
      </c>
      <c r="L4" s="4" t="s">
        <v>40</v>
      </c>
      <c r="M4" s="6">
        <v>0.33819444444444446</v>
      </c>
      <c r="N4" s="4" t="s">
        <v>65</v>
      </c>
      <c r="O4" s="4" t="s">
        <v>65</v>
      </c>
      <c r="P4" s="15">
        <v>0</v>
      </c>
      <c r="Q4">
        <v>0</v>
      </c>
      <c r="R4">
        <v>0</v>
      </c>
      <c r="S4">
        <v>0</v>
      </c>
      <c r="T4">
        <v>0</v>
      </c>
      <c r="U4" s="4">
        <v>0</v>
      </c>
    </row>
    <row r="5" spans="1:21" customFormat="1" ht="15" x14ac:dyDescent="0.25">
      <c r="A5" s="8">
        <f t="shared" si="0"/>
        <v>44242</v>
      </c>
      <c r="B5" s="4" t="s">
        <v>66</v>
      </c>
      <c r="C5" s="4" t="s">
        <v>78</v>
      </c>
      <c r="D5" s="4" t="s">
        <v>71</v>
      </c>
      <c r="E5" s="4" t="s">
        <v>38</v>
      </c>
      <c r="F5" s="4" t="s">
        <v>103</v>
      </c>
      <c r="G5" s="12">
        <v>1315</v>
      </c>
      <c r="H5" s="4" t="s">
        <v>40</v>
      </c>
      <c r="I5" s="4" t="s">
        <v>40</v>
      </c>
      <c r="J5" s="4" t="s">
        <v>40</v>
      </c>
      <c r="K5" s="6">
        <v>0.46875</v>
      </c>
      <c r="L5" s="4" t="s">
        <v>40</v>
      </c>
      <c r="M5" s="6">
        <v>0.34722222222222227</v>
      </c>
      <c r="N5" s="4" t="s">
        <v>65</v>
      </c>
      <c r="O5" s="4" t="s">
        <v>65</v>
      </c>
      <c r="P5" s="15">
        <v>0</v>
      </c>
      <c r="Q5">
        <v>0</v>
      </c>
      <c r="R5">
        <v>0</v>
      </c>
      <c r="S5">
        <v>0</v>
      </c>
      <c r="T5">
        <v>0</v>
      </c>
      <c r="U5" s="4">
        <v>0</v>
      </c>
    </row>
    <row r="6" spans="1:21" customFormat="1" ht="15" x14ac:dyDescent="0.25">
      <c r="A6" s="8">
        <f t="shared" si="0"/>
        <v>44242</v>
      </c>
      <c r="B6" s="4" t="s">
        <v>66</v>
      </c>
      <c r="C6" s="4" t="s">
        <v>78</v>
      </c>
      <c r="D6" s="4" t="s">
        <v>71</v>
      </c>
      <c r="E6" s="4" t="s">
        <v>68</v>
      </c>
      <c r="F6" s="4" t="s">
        <v>103</v>
      </c>
      <c r="G6" s="12">
        <v>1315</v>
      </c>
      <c r="H6" s="4" t="s">
        <v>40</v>
      </c>
      <c r="I6" s="4" t="s">
        <v>40</v>
      </c>
      <c r="J6" s="4" t="s">
        <v>40</v>
      </c>
      <c r="K6" s="6">
        <v>0.45833333333333331</v>
      </c>
      <c r="L6" s="4" t="s">
        <v>40</v>
      </c>
      <c r="M6" s="6">
        <v>0.35138888888888892</v>
      </c>
      <c r="N6" s="4" t="s">
        <v>65</v>
      </c>
      <c r="O6" s="4" t="s">
        <v>65</v>
      </c>
      <c r="P6" s="15">
        <v>0</v>
      </c>
      <c r="Q6">
        <v>0</v>
      </c>
      <c r="R6">
        <v>0</v>
      </c>
      <c r="S6">
        <v>0</v>
      </c>
      <c r="T6">
        <v>0</v>
      </c>
      <c r="U6" s="4">
        <v>0</v>
      </c>
    </row>
    <row r="7" spans="1:21" customFormat="1" ht="15" x14ac:dyDescent="0.25">
      <c r="A7" s="8">
        <f t="shared" si="0"/>
        <v>44242</v>
      </c>
      <c r="B7" s="4" t="s">
        <v>66</v>
      </c>
      <c r="C7" s="4" t="s">
        <v>78</v>
      </c>
      <c r="D7" s="4" t="s">
        <v>41</v>
      </c>
      <c r="E7" s="4" t="s">
        <v>70</v>
      </c>
      <c r="F7" s="4" t="s">
        <v>103</v>
      </c>
      <c r="G7" s="12">
        <v>1156</v>
      </c>
      <c r="H7" s="4" t="s">
        <v>40</v>
      </c>
      <c r="I7" s="4" t="s">
        <v>40</v>
      </c>
      <c r="J7" s="4" t="s">
        <v>40</v>
      </c>
      <c r="K7" s="6">
        <v>0.45694444444444443</v>
      </c>
      <c r="L7" s="4" t="s">
        <v>40</v>
      </c>
      <c r="M7" s="6">
        <v>0.34583333333333338</v>
      </c>
      <c r="N7" s="4" t="s">
        <v>65</v>
      </c>
      <c r="O7" s="4" t="s">
        <v>65</v>
      </c>
      <c r="P7" s="15">
        <v>0</v>
      </c>
      <c r="Q7">
        <v>0</v>
      </c>
      <c r="R7">
        <v>0</v>
      </c>
      <c r="S7">
        <v>0</v>
      </c>
      <c r="T7">
        <v>0</v>
      </c>
      <c r="U7" s="4">
        <v>0</v>
      </c>
    </row>
    <row r="8" spans="1:21" ht="15" x14ac:dyDescent="0.25">
      <c r="A8" s="8">
        <f t="shared" si="0"/>
        <v>44242</v>
      </c>
      <c r="B8" s="4" t="s">
        <v>66</v>
      </c>
      <c r="C8" s="4" t="s">
        <v>78</v>
      </c>
      <c r="D8" s="4" t="s">
        <v>62</v>
      </c>
      <c r="E8" s="4" t="s">
        <v>56</v>
      </c>
      <c r="F8" s="4" t="s">
        <v>103</v>
      </c>
      <c r="G8" s="12">
        <v>2880</v>
      </c>
      <c r="H8" s="4" t="s">
        <v>40</v>
      </c>
      <c r="I8" s="4" t="s">
        <v>40</v>
      </c>
      <c r="J8" s="4" t="s">
        <v>40</v>
      </c>
      <c r="K8" s="6">
        <v>0.69444444444444453</v>
      </c>
      <c r="L8" s="4" t="s">
        <v>40</v>
      </c>
      <c r="M8" s="6">
        <v>0.51041666666666663</v>
      </c>
      <c r="N8" s="4" t="s">
        <v>65</v>
      </c>
      <c r="O8" s="4" t="s">
        <v>65</v>
      </c>
      <c r="P8" s="15">
        <v>0</v>
      </c>
      <c r="Q8">
        <v>0</v>
      </c>
      <c r="R8">
        <v>0</v>
      </c>
      <c r="S8">
        <v>0</v>
      </c>
      <c r="T8">
        <v>0</v>
      </c>
      <c r="U8" s="4">
        <v>0</v>
      </c>
    </row>
    <row r="9" spans="1:21" ht="15" x14ac:dyDescent="0.25">
      <c r="A9" s="8">
        <f t="shared" si="0"/>
        <v>44242</v>
      </c>
      <c r="B9" s="4" t="s">
        <v>66</v>
      </c>
      <c r="C9" s="4" t="s">
        <v>78</v>
      </c>
      <c r="D9" s="4" t="s">
        <v>71</v>
      </c>
      <c r="E9" s="4" t="s">
        <v>38</v>
      </c>
      <c r="F9" s="4" t="s">
        <v>103</v>
      </c>
      <c r="G9" s="12">
        <v>1315</v>
      </c>
      <c r="H9" s="4" t="s">
        <v>40</v>
      </c>
      <c r="I9" s="4" t="s">
        <v>40</v>
      </c>
      <c r="J9" s="4" t="s">
        <v>40</v>
      </c>
      <c r="K9" s="6">
        <v>0.66319444444444442</v>
      </c>
      <c r="L9" s="4" t="s">
        <v>40</v>
      </c>
      <c r="M9" s="6">
        <v>0.51597222222222217</v>
      </c>
      <c r="N9" s="4" t="s">
        <v>65</v>
      </c>
      <c r="O9" s="4" t="s">
        <v>65</v>
      </c>
      <c r="P9" s="15">
        <v>0</v>
      </c>
      <c r="Q9">
        <v>0</v>
      </c>
      <c r="R9">
        <v>0</v>
      </c>
      <c r="S9">
        <v>0</v>
      </c>
      <c r="T9">
        <v>0</v>
      </c>
      <c r="U9" s="4">
        <v>0</v>
      </c>
    </row>
    <row r="10" spans="1:21" ht="15" x14ac:dyDescent="0.25">
      <c r="A10" s="8">
        <f t="shared" si="0"/>
        <v>44242</v>
      </c>
      <c r="B10" s="4" t="s">
        <v>66</v>
      </c>
      <c r="C10" s="4" t="s">
        <v>78</v>
      </c>
      <c r="D10" s="4" t="s">
        <v>71</v>
      </c>
      <c r="E10" s="4" t="s">
        <v>68</v>
      </c>
      <c r="F10" s="4" t="s">
        <v>103</v>
      </c>
      <c r="G10" s="12">
        <v>1315</v>
      </c>
      <c r="H10" s="4" t="s">
        <v>40</v>
      </c>
      <c r="I10" s="4" t="s">
        <v>40</v>
      </c>
      <c r="J10" s="4" t="s">
        <v>40</v>
      </c>
      <c r="K10" s="6">
        <v>0.65625</v>
      </c>
      <c r="L10" s="4" t="s">
        <v>40</v>
      </c>
      <c r="M10" s="6">
        <v>0.51874999999999993</v>
      </c>
      <c r="N10" s="4" t="s">
        <v>65</v>
      </c>
      <c r="O10" s="4" t="s">
        <v>65</v>
      </c>
      <c r="P10" s="15">
        <v>0</v>
      </c>
      <c r="Q10">
        <v>0</v>
      </c>
      <c r="R10">
        <v>0</v>
      </c>
      <c r="S10">
        <v>0</v>
      </c>
      <c r="T10">
        <v>0</v>
      </c>
      <c r="U10" s="4">
        <v>0</v>
      </c>
    </row>
    <row r="11" spans="1:21" ht="15" x14ac:dyDescent="0.25">
      <c r="A11" s="8">
        <f t="shared" si="0"/>
        <v>44242</v>
      </c>
      <c r="B11" s="4" t="s">
        <v>66</v>
      </c>
      <c r="C11" s="4" t="s">
        <v>78</v>
      </c>
      <c r="D11" s="4" t="s">
        <v>41</v>
      </c>
      <c r="E11" s="4" t="s">
        <v>70</v>
      </c>
      <c r="F11" s="4" t="s">
        <v>103</v>
      </c>
      <c r="G11" s="12">
        <v>1156</v>
      </c>
      <c r="H11" s="4" t="s">
        <v>40</v>
      </c>
      <c r="I11" s="4" t="s">
        <v>40</v>
      </c>
      <c r="J11" s="4" t="s">
        <v>40</v>
      </c>
      <c r="K11" s="6">
        <v>0.67361111111111116</v>
      </c>
      <c r="L11" s="4" t="s">
        <v>40</v>
      </c>
      <c r="M11" s="6">
        <v>0.51736111111111105</v>
      </c>
      <c r="N11" s="4" t="s">
        <v>65</v>
      </c>
      <c r="O11" s="4" t="s">
        <v>65</v>
      </c>
      <c r="P11" s="15">
        <v>0</v>
      </c>
      <c r="Q11">
        <v>0</v>
      </c>
      <c r="R11">
        <v>0</v>
      </c>
      <c r="S11">
        <v>0</v>
      </c>
      <c r="T11">
        <v>0</v>
      </c>
      <c r="U11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workbookViewId="0">
      <selection activeCell="E17" sqref="E17"/>
    </sheetView>
  </sheetViews>
  <sheetFormatPr defaultRowHeight="15" x14ac:dyDescent="0.25"/>
  <cols>
    <col min="1" max="1" width="10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3">
        <v>44243</v>
      </c>
      <c r="B2" s="4" t="s">
        <v>94</v>
      </c>
      <c r="C2" s="4" t="s">
        <v>95</v>
      </c>
      <c r="D2" s="4" t="s">
        <v>96</v>
      </c>
      <c r="E2" s="4" t="s">
        <v>145</v>
      </c>
      <c r="F2" s="4" t="s">
        <v>105</v>
      </c>
      <c r="G2" s="4">
        <v>21863</v>
      </c>
      <c r="H2" s="4" t="s">
        <v>147</v>
      </c>
      <c r="I2" s="4" t="s">
        <v>146</v>
      </c>
      <c r="J2" s="6">
        <v>0.55625000000000002</v>
      </c>
      <c r="K2" s="6">
        <v>0.48680555555555555</v>
      </c>
      <c r="L2" s="6">
        <v>0.59722222222222221</v>
      </c>
      <c r="M2" s="6">
        <v>0.53125</v>
      </c>
      <c r="N2" s="4" t="s">
        <v>65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2" x14ac:dyDescent="0.25">
      <c r="A3" s="3">
        <v>44243</v>
      </c>
      <c r="B3" s="4" t="s">
        <v>148</v>
      </c>
      <c r="C3" s="4" t="s">
        <v>149</v>
      </c>
      <c r="D3" s="4" t="s">
        <v>150</v>
      </c>
      <c r="E3" s="4" t="s">
        <v>151</v>
      </c>
      <c r="F3" s="4" t="s">
        <v>152</v>
      </c>
      <c r="G3" s="4">
        <v>226000</v>
      </c>
      <c r="H3" s="4" t="s">
        <v>151</v>
      </c>
      <c r="I3" s="4"/>
      <c r="J3" s="6">
        <v>0.59722222222222221</v>
      </c>
      <c r="K3" s="6">
        <v>0.6166666666666667</v>
      </c>
      <c r="L3" s="4"/>
      <c r="M3" s="4"/>
      <c r="N3" s="4" t="s">
        <v>65</v>
      </c>
      <c r="O3" s="4"/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/>
    </row>
    <row r="4" spans="1:22" x14ac:dyDescent="0.25">
      <c r="A4" s="8">
        <f t="shared" ref="A4:A12" si="0">A3</f>
        <v>44243</v>
      </c>
      <c r="B4" s="4" t="s">
        <v>66</v>
      </c>
      <c r="C4" s="4" t="s">
        <v>78</v>
      </c>
      <c r="D4" s="4" t="s">
        <v>71</v>
      </c>
      <c r="E4" s="4" t="s">
        <v>56</v>
      </c>
      <c r="F4" s="4" t="s">
        <v>103</v>
      </c>
      <c r="K4" s="6">
        <v>0.5395833333333333</v>
      </c>
      <c r="L4" s="4"/>
      <c r="M4" s="6">
        <v>0.3923611111111111</v>
      </c>
      <c r="N4" s="4" t="s">
        <v>65</v>
      </c>
      <c r="O4" s="4" t="s">
        <v>65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2" x14ac:dyDescent="0.25">
      <c r="A5" s="8">
        <f t="shared" si="0"/>
        <v>44243</v>
      </c>
      <c r="B5" s="4" t="s">
        <v>66</v>
      </c>
      <c r="C5" s="4" t="s">
        <v>78</v>
      </c>
      <c r="D5" s="4" t="s">
        <v>72</v>
      </c>
      <c r="E5" s="4" t="s">
        <v>49</v>
      </c>
      <c r="F5" s="4" t="s">
        <v>103</v>
      </c>
      <c r="K5" s="6">
        <v>0.51041666666666663</v>
      </c>
      <c r="L5" s="4"/>
      <c r="M5" s="6">
        <v>0.3972222222222222</v>
      </c>
      <c r="N5" s="4" t="s">
        <v>65</v>
      </c>
      <c r="O5" s="4" t="s">
        <v>65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2" x14ac:dyDescent="0.25">
      <c r="A6" s="8">
        <f t="shared" si="0"/>
        <v>44243</v>
      </c>
      <c r="B6" s="4" t="s">
        <v>66</v>
      </c>
      <c r="C6" s="4" t="s">
        <v>78</v>
      </c>
      <c r="D6" s="4" t="s">
        <v>71</v>
      </c>
      <c r="E6" s="4" t="s">
        <v>42</v>
      </c>
      <c r="F6" s="4" t="s">
        <v>103</v>
      </c>
      <c r="K6" s="6">
        <v>0.50277777777777777</v>
      </c>
      <c r="L6" s="4"/>
      <c r="M6" s="6">
        <v>0.39444444444444443</v>
      </c>
      <c r="N6" s="4" t="s">
        <v>65</v>
      </c>
      <c r="O6" s="4" t="s">
        <v>65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2" x14ac:dyDescent="0.25">
      <c r="A7" s="8">
        <f t="shared" si="0"/>
        <v>44243</v>
      </c>
      <c r="B7" s="4" t="s">
        <v>66</v>
      </c>
      <c r="C7" s="4" t="s">
        <v>78</v>
      </c>
      <c r="D7" s="4" t="s">
        <v>41</v>
      </c>
      <c r="E7" s="4" t="s">
        <v>70</v>
      </c>
      <c r="F7" s="4" t="s">
        <v>103</v>
      </c>
      <c r="K7" s="6">
        <v>0.52916666666666667</v>
      </c>
      <c r="L7" s="4"/>
      <c r="M7" s="6">
        <v>0.44027777777777777</v>
      </c>
      <c r="N7" s="4" t="s">
        <v>65</v>
      </c>
      <c r="O7" s="4" t="s">
        <v>65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2" x14ac:dyDescent="0.25">
      <c r="A8" s="8">
        <f t="shared" si="0"/>
        <v>44243</v>
      </c>
      <c r="B8" s="4" t="s">
        <v>66</v>
      </c>
      <c r="C8" s="4" t="s">
        <v>78</v>
      </c>
      <c r="D8" s="4" t="s">
        <v>62</v>
      </c>
      <c r="E8" s="4" t="s">
        <v>68</v>
      </c>
      <c r="F8" s="4" t="s">
        <v>103</v>
      </c>
      <c r="K8" s="6">
        <v>0.50555555555555554</v>
      </c>
      <c r="L8" s="4"/>
      <c r="M8" s="6">
        <v>0.40833333333333338</v>
      </c>
      <c r="N8" s="4" t="s">
        <v>65</v>
      </c>
      <c r="O8" s="4" t="s">
        <v>65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2" x14ac:dyDescent="0.25">
      <c r="A9" s="8">
        <f t="shared" si="0"/>
        <v>44243</v>
      </c>
      <c r="B9" s="4" t="s">
        <v>66</v>
      </c>
      <c r="C9" s="4" t="s">
        <v>78</v>
      </c>
      <c r="D9" s="4" t="s">
        <v>71</v>
      </c>
      <c r="E9" s="4" t="s">
        <v>38</v>
      </c>
      <c r="F9" s="4" t="s">
        <v>103</v>
      </c>
      <c r="K9" s="6">
        <v>0.49374999999999997</v>
      </c>
      <c r="L9" s="4"/>
      <c r="M9" s="6">
        <v>0.39305555555555555</v>
      </c>
      <c r="N9" s="4" t="s">
        <v>65</v>
      </c>
      <c r="O9" s="4" t="s">
        <v>65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2" x14ac:dyDescent="0.25">
      <c r="A10" s="8">
        <f t="shared" si="0"/>
        <v>44243</v>
      </c>
      <c r="B10" s="4" t="s">
        <v>60</v>
      </c>
      <c r="C10" s="4" t="s">
        <v>78</v>
      </c>
      <c r="D10" s="4" t="s">
        <v>41</v>
      </c>
      <c r="E10" s="4" t="s">
        <v>38</v>
      </c>
      <c r="F10" s="4" t="s">
        <v>103</v>
      </c>
      <c r="K10" s="6">
        <v>0.66249999999999998</v>
      </c>
      <c r="L10" s="4"/>
      <c r="M10" s="6">
        <v>0.55347222222222225</v>
      </c>
      <c r="N10" s="4" t="s">
        <v>65</v>
      </c>
      <c r="O10" s="4" t="s">
        <v>65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2" x14ac:dyDescent="0.25">
      <c r="A11" s="8">
        <f t="shared" si="0"/>
        <v>44243</v>
      </c>
      <c r="B11" s="4" t="s">
        <v>60</v>
      </c>
      <c r="C11" s="4" t="s">
        <v>78</v>
      </c>
      <c r="D11" s="4" t="s">
        <v>71</v>
      </c>
      <c r="E11" s="4" t="s">
        <v>68</v>
      </c>
      <c r="F11" s="4" t="s">
        <v>103</v>
      </c>
      <c r="K11" s="6">
        <v>0.65</v>
      </c>
      <c r="L11" s="4"/>
      <c r="M11" s="6">
        <v>0.55277777777777781</v>
      </c>
      <c r="N11" s="4" t="s">
        <v>65</v>
      </c>
      <c r="O11" s="4" t="s">
        <v>65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2" x14ac:dyDescent="0.25">
      <c r="A12" s="8">
        <f t="shared" si="0"/>
        <v>44243</v>
      </c>
      <c r="B12" s="4" t="s">
        <v>60</v>
      </c>
      <c r="C12" s="4" t="s">
        <v>78</v>
      </c>
      <c r="D12" s="4" t="s">
        <v>61</v>
      </c>
      <c r="E12" s="4" t="s">
        <v>56</v>
      </c>
      <c r="F12" s="4" t="s">
        <v>103</v>
      </c>
      <c r="K12" s="6">
        <v>0.68611111111111101</v>
      </c>
      <c r="L12" s="4"/>
      <c r="M12" s="6">
        <v>0.56805555555555554</v>
      </c>
      <c r="N12" s="4" t="s">
        <v>65</v>
      </c>
      <c r="O12" s="4" t="s">
        <v>65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2" x14ac:dyDescent="0.25">
      <c r="A13" s="3"/>
      <c r="B13" s="4"/>
      <c r="C13" s="4"/>
      <c r="D13" s="4"/>
      <c r="E13" s="4"/>
      <c r="F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2" x14ac:dyDescent="0.25"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2" x14ac:dyDescent="0.25">
      <c r="O15" s="4"/>
      <c r="P15" s="4"/>
      <c r="Q15" s="4"/>
      <c r="R15" s="4"/>
      <c r="S15" s="4"/>
      <c r="T15" s="4"/>
    </row>
    <row r="16" spans="1:22" x14ac:dyDescent="0.25">
      <c r="O16" s="4"/>
      <c r="P16" s="4"/>
      <c r="Q16" s="4"/>
      <c r="R16" s="4"/>
      <c r="S16" s="4"/>
      <c r="T16" s="4"/>
    </row>
    <row r="17" spans="15:20" x14ac:dyDescent="0.25">
      <c r="O17" s="4"/>
      <c r="P17" s="4"/>
      <c r="Q17" s="4"/>
      <c r="R17" s="4"/>
      <c r="S17" s="4"/>
      <c r="T17" s="4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E1" workbookViewId="0">
      <selection activeCell="E1" sqref="A1:XFD1048576"/>
    </sheetView>
  </sheetViews>
  <sheetFormatPr defaultRowHeight="15" x14ac:dyDescent="0.25"/>
  <cols>
    <col min="1" max="1" width="10.140625" bestFit="1" customWidth="1"/>
    <col min="2" max="2" width="15" bestFit="1" customWidth="1"/>
    <col min="3" max="3" width="12" bestFit="1" customWidth="1"/>
    <col min="6" max="6" width="17.5703125" bestFit="1" customWidth="1"/>
    <col min="14" max="15" width="18.425781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9" t="s">
        <v>9</v>
      </c>
      <c r="K1" s="1" t="s">
        <v>10</v>
      </c>
      <c r="L1" s="29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44244</v>
      </c>
      <c r="B2" s="4" t="s">
        <v>21</v>
      </c>
      <c r="C2" s="4" t="s">
        <v>30</v>
      </c>
      <c r="D2" s="4" t="s">
        <v>23</v>
      </c>
      <c r="E2" s="4" t="s">
        <v>24</v>
      </c>
      <c r="F2" s="4" t="s">
        <v>25</v>
      </c>
      <c r="G2" s="7">
        <v>70000</v>
      </c>
      <c r="H2" s="4" t="s">
        <v>32</v>
      </c>
      <c r="I2" s="4" t="s">
        <v>33</v>
      </c>
      <c r="J2" s="5">
        <v>0.93055555555555547</v>
      </c>
      <c r="K2" s="6">
        <v>0.92708333333333337</v>
      </c>
      <c r="L2" s="5">
        <v>0.76388888888888884</v>
      </c>
      <c r="M2" s="6">
        <v>0.76527777777777783</v>
      </c>
      <c r="N2" s="4" t="s">
        <v>159</v>
      </c>
      <c r="O2" s="4" t="s">
        <v>158</v>
      </c>
      <c r="P2" s="4">
        <v>812</v>
      </c>
      <c r="Q2" s="4">
        <v>561</v>
      </c>
      <c r="R2" s="4">
        <v>0</v>
      </c>
      <c r="S2" s="4">
        <v>0</v>
      </c>
      <c r="T2" s="4">
        <v>0</v>
      </c>
      <c r="U2" s="4">
        <v>0</v>
      </c>
    </row>
    <row r="3" spans="1:21" s="4" customFormat="1" ht="12.75" x14ac:dyDescent="0.2">
      <c r="A3" s="3">
        <v>44244</v>
      </c>
      <c r="B3" s="4" t="s">
        <v>148</v>
      </c>
      <c r="C3" s="4" t="s">
        <v>153</v>
      </c>
      <c r="D3" s="4" t="s">
        <v>150</v>
      </c>
      <c r="E3" s="4">
        <v>1228</v>
      </c>
      <c r="F3" s="4" t="s">
        <v>157</v>
      </c>
      <c r="G3" s="4">
        <v>266000</v>
      </c>
      <c r="H3" s="4" t="s">
        <v>154</v>
      </c>
      <c r="I3" s="4" t="s">
        <v>154</v>
      </c>
      <c r="J3" s="16" t="s">
        <v>64</v>
      </c>
      <c r="K3" s="4" t="s">
        <v>64</v>
      </c>
      <c r="L3" s="5">
        <v>0.41666666666666669</v>
      </c>
      <c r="M3" s="6">
        <v>0.50694444444444442</v>
      </c>
      <c r="O3" s="4" t="s">
        <v>65</v>
      </c>
      <c r="P3" s="4">
        <v>0</v>
      </c>
      <c r="Q3" s="4">
        <v>0</v>
      </c>
      <c r="R3" s="4">
        <v>0</v>
      </c>
      <c r="S3" s="30">
        <v>33424.92</v>
      </c>
      <c r="T3" s="4">
        <v>0</v>
      </c>
      <c r="U3" s="4">
        <v>0</v>
      </c>
    </row>
    <row r="4" spans="1:21" s="4" customFormat="1" ht="12.75" x14ac:dyDescent="0.2">
      <c r="A4" s="3">
        <v>44244</v>
      </c>
      <c r="B4" s="4" t="s">
        <v>155</v>
      </c>
      <c r="C4" s="4" t="s">
        <v>53</v>
      </c>
      <c r="D4" s="4" t="s">
        <v>62</v>
      </c>
      <c r="E4" s="4" t="s">
        <v>56</v>
      </c>
      <c r="F4" s="4" t="s">
        <v>63</v>
      </c>
      <c r="G4" s="4">
        <v>2880</v>
      </c>
      <c r="J4" s="16" t="s">
        <v>64</v>
      </c>
      <c r="K4" s="4" t="s">
        <v>64</v>
      </c>
      <c r="L4" s="16"/>
      <c r="M4" s="6">
        <v>0.4284722222222222</v>
      </c>
      <c r="O4" s="4" t="s">
        <v>65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3">
        <v>44244</v>
      </c>
      <c r="B5" s="4" t="s">
        <v>155</v>
      </c>
      <c r="C5" s="4" t="s">
        <v>53</v>
      </c>
      <c r="D5" s="4" t="s">
        <v>41</v>
      </c>
      <c r="E5" s="4" t="s">
        <v>70</v>
      </c>
      <c r="F5" s="4" t="s">
        <v>63</v>
      </c>
      <c r="J5" s="16" t="s">
        <v>64</v>
      </c>
      <c r="K5" s="4" t="s">
        <v>64</v>
      </c>
      <c r="L5" s="16"/>
      <c r="M5" s="6">
        <v>0.40277777777777773</v>
      </c>
      <c r="O5" s="4" t="s">
        <v>65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s="4" customFormat="1" ht="12.75" x14ac:dyDescent="0.2">
      <c r="A6" s="3">
        <v>44244</v>
      </c>
      <c r="B6" s="4" t="s">
        <v>155</v>
      </c>
      <c r="C6" s="4" t="s">
        <v>53</v>
      </c>
      <c r="D6" s="4" t="s">
        <v>41</v>
      </c>
      <c r="E6" s="4" t="s">
        <v>42</v>
      </c>
      <c r="F6" s="4" t="s">
        <v>63</v>
      </c>
      <c r="G6" s="4">
        <v>1156</v>
      </c>
      <c r="J6" s="16" t="s">
        <v>64</v>
      </c>
      <c r="K6" s="4" t="s">
        <v>64</v>
      </c>
      <c r="L6" s="16"/>
      <c r="M6" s="6">
        <v>0.40208333333333335</v>
      </c>
      <c r="O6" s="4" t="s">
        <v>65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s="4" customFormat="1" ht="12.75" x14ac:dyDescent="0.2">
      <c r="A7" s="3">
        <v>44244</v>
      </c>
      <c r="B7" s="4" t="s">
        <v>60</v>
      </c>
      <c r="C7" s="4" t="s">
        <v>53</v>
      </c>
      <c r="D7" s="4" t="s">
        <v>156</v>
      </c>
      <c r="E7" s="4" t="s">
        <v>49</v>
      </c>
      <c r="F7" s="4" t="s">
        <v>63</v>
      </c>
      <c r="J7" s="16" t="s">
        <v>64</v>
      </c>
      <c r="K7" s="4" t="s">
        <v>64</v>
      </c>
      <c r="L7" s="16"/>
      <c r="M7" s="6">
        <v>0.40069444444444446</v>
      </c>
      <c r="O7" s="4" t="s">
        <v>65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s="4" customFormat="1" ht="12.75" x14ac:dyDescent="0.2">
      <c r="A8" s="3">
        <v>44244</v>
      </c>
      <c r="B8" s="4" t="s">
        <v>60</v>
      </c>
      <c r="C8" s="4" t="s">
        <v>53</v>
      </c>
      <c r="D8" s="4" t="s">
        <v>71</v>
      </c>
      <c r="E8" s="4" t="s">
        <v>38</v>
      </c>
      <c r="F8" s="4" t="s">
        <v>63</v>
      </c>
      <c r="G8" s="4">
        <v>1315</v>
      </c>
      <c r="J8" s="16" t="s">
        <v>64</v>
      </c>
      <c r="K8" s="4" t="s">
        <v>64</v>
      </c>
      <c r="L8" s="16"/>
      <c r="M8" s="6">
        <v>0.40138888888888885</v>
      </c>
      <c r="O8" s="4" t="s">
        <v>65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 s="4" customFormat="1" ht="12.75" x14ac:dyDescent="0.2">
      <c r="A9" s="3">
        <v>44244</v>
      </c>
      <c r="B9" s="4" t="s">
        <v>60</v>
      </c>
      <c r="C9" s="4" t="s">
        <v>53</v>
      </c>
      <c r="D9" s="4" t="s">
        <v>41</v>
      </c>
      <c r="E9" s="4" t="s">
        <v>45</v>
      </c>
      <c r="F9" s="4" t="s">
        <v>63</v>
      </c>
      <c r="G9" s="4">
        <v>1025</v>
      </c>
      <c r="J9" s="16" t="s">
        <v>64</v>
      </c>
      <c r="K9" s="4" t="s">
        <v>64</v>
      </c>
      <c r="M9" s="6">
        <v>0.40416666666666662</v>
      </c>
      <c r="O9" s="4" t="s">
        <v>65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x14ac:dyDescent="0.25">
      <c r="A10" s="3">
        <v>44244</v>
      </c>
      <c r="B10" s="4" t="s">
        <v>60</v>
      </c>
      <c r="C10" s="4" t="s">
        <v>53</v>
      </c>
      <c r="E10" s="4" t="s">
        <v>54</v>
      </c>
      <c r="F10" s="4" t="s">
        <v>63</v>
      </c>
      <c r="J10" s="16" t="s">
        <v>64</v>
      </c>
      <c r="K10" s="4" t="s">
        <v>64</v>
      </c>
      <c r="M10" s="31">
        <v>0.39930555555555558</v>
      </c>
      <c r="O10" s="4" t="s">
        <v>65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F26" sqref="F26"/>
    </sheetView>
  </sheetViews>
  <sheetFormatPr defaultRowHeight="15" x14ac:dyDescent="0.25"/>
  <cols>
    <col min="1" max="1" width="10.140625" bestFit="1" customWidth="1"/>
    <col min="2" max="2" width="12.7109375" bestFit="1" customWidth="1"/>
    <col min="3" max="3" width="26.42578125" customWidth="1"/>
    <col min="4" max="4" width="11.5703125" customWidth="1"/>
    <col min="6" max="6" width="17.28515625" bestFit="1" customWidth="1"/>
    <col min="14" max="15" width="18.425781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44245</v>
      </c>
      <c r="B2" s="4" t="s">
        <v>160</v>
      </c>
      <c r="C2" s="4" t="s">
        <v>161</v>
      </c>
      <c r="D2" s="4" t="s">
        <v>162</v>
      </c>
      <c r="E2" s="4" t="s">
        <v>163</v>
      </c>
      <c r="F2" s="4" t="s">
        <v>164</v>
      </c>
      <c r="G2" s="4">
        <v>3175</v>
      </c>
      <c r="H2" s="4" t="s">
        <v>40</v>
      </c>
      <c r="I2" s="4" t="s">
        <v>40</v>
      </c>
      <c r="J2" s="5">
        <v>0.61111111111111105</v>
      </c>
      <c r="K2" s="6">
        <v>0.625</v>
      </c>
      <c r="L2" s="5">
        <v>0.625</v>
      </c>
      <c r="M2" s="6">
        <v>0.64930555555555558</v>
      </c>
      <c r="N2" s="4" t="s">
        <v>165</v>
      </c>
      <c r="O2" s="4" t="s">
        <v>165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H36" sqref="H36"/>
    </sheetView>
  </sheetViews>
  <sheetFormatPr defaultRowHeight="15" x14ac:dyDescent="0.25"/>
  <cols>
    <col min="1" max="1" width="10.140625" bestFit="1" customWidth="1"/>
    <col min="2" max="2" width="14.42578125" bestFit="1" customWidth="1"/>
    <col min="3" max="3" width="15.710937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44246</v>
      </c>
      <c r="B2" s="4" t="s">
        <v>21</v>
      </c>
      <c r="C2" s="4" t="s">
        <v>22</v>
      </c>
      <c r="D2" s="4" t="s">
        <v>23</v>
      </c>
      <c r="E2" s="4" t="s">
        <v>127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0.47569444444444442</v>
      </c>
      <c r="K2" s="6">
        <v>0.49305555555555558</v>
      </c>
      <c r="L2" s="5">
        <v>0.27430555555555552</v>
      </c>
      <c r="M2" s="6">
        <v>0.29583333333333334</v>
      </c>
      <c r="N2" s="4" t="s">
        <v>167</v>
      </c>
      <c r="O2" s="4" t="s">
        <v>166</v>
      </c>
      <c r="P2" s="4">
        <v>1415</v>
      </c>
      <c r="Q2" s="4">
        <v>1148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sqref="A1:XFD1048576"/>
    </sheetView>
  </sheetViews>
  <sheetFormatPr defaultRowHeight="15" x14ac:dyDescent="0.25"/>
  <cols>
    <col min="1" max="1" width="10.140625" style="18" bestFit="1" customWidth="1"/>
    <col min="2" max="2" width="21.85546875" style="18" bestFit="1" customWidth="1"/>
    <col min="3" max="3" width="15.7109375" style="18" bestFit="1" customWidth="1"/>
    <col min="4" max="5" width="9.140625" style="18"/>
    <col min="6" max="6" width="12.140625" style="18" bestFit="1" customWidth="1"/>
    <col min="7" max="9" width="9.140625" style="18"/>
    <col min="10" max="10" width="11" style="18" bestFit="1" customWidth="1"/>
    <col min="11" max="11" width="9.140625" style="18"/>
    <col min="12" max="12" width="11" style="18" bestFit="1" customWidth="1"/>
    <col min="13" max="13" width="9.140625" style="18"/>
    <col min="14" max="15" width="18.42578125" style="18" bestFit="1" customWidth="1"/>
    <col min="16" max="16384" width="9.140625" style="18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44247</v>
      </c>
      <c r="B2" s="4" t="s">
        <v>21</v>
      </c>
      <c r="C2" s="4" t="s">
        <v>82</v>
      </c>
      <c r="D2" s="4" t="s">
        <v>23</v>
      </c>
      <c r="E2" s="4" t="s">
        <v>24</v>
      </c>
      <c r="F2" s="4" t="s">
        <v>25</v>
      </c>
      <c r="G2" s="7">
        <v>70000</v>
      </c>
      <c r="H2" s="4" t="s">
        <v>84</v>
      </c>
      <c r="I2" s="4" t="s">
        <v>86</v>
      </c>
      <c r="J2" s="5">
        <v>0.47916666666666669</v>
      </c>
      <c r="K2" s="6">
        <v>0.48333333333333334</v>
      </c>
      <c r="L2" s="5">
        <v>0.27430555555555552</v>
      </c>
      <c r="M2" s="6">
        <v>0.28194444444444444</v>
      </c>
      <c r="N2" s="4" t="s">
        <v>169</v>
      </c>
      <c r="O2" s="4" t="s">
        <v>168</v>
      </c>
      <c r="P2" s="4">
        <v>1213</v>
      </c>
      <c r="Q2" s="4">
        <v>1309</v>
      </c>
      <c r="R2" s="4">
        <v>0</v>
      </c>
      <c r="S2" s="4">
        <v>0</v>
      </c>
      <c r="T2" s="4">
        <v>0</v>
      </c>
      <c r="U2" s="4">
        <v>0</v>
      </c>
    </row>
    <row r="3" spans="1:21" s="4" customFormat="1" ht="12.75" x14ac:dyDescent="0.2">
      <c r="A3" s="3">
        <v>44247</v>
      </c>
      <c r="B3" s="4" t="s">
        <v>21</v>
      </c>
      <c r="C3" s="4" t="s">
        <v>83</v>
      </c>
      <c r="D3" s="4" t="s">
        <v>23</v>
      </c>
      <c r="E3" s="4" t="s">
        <v>24</v>
      </c>
      <c r="F3" s="4" t="s">
        <v>25</v>
      </c>
      <c r="G3" s="7">
        <v>70000</v>
      </c>
      <c r="H3" s="4" t="s">
        <v>85</v>
      </c>
      <c r="I3" s="4" t="s">
        <v>87</v>
      </c>
      <c r="J3" s="5">
        <v>0.64930555555555558</v>
      </c>
      <c r="K3" s="6">
        <v>0.6875</v>
      </c>
      <c r="L3" s="5">
        <v>0.5</v>
      </c>
      <c r="M3" s="6">
        <v>0.52986111111111112</v>
      </c>
      <c r="N3" s="4" t="s">
        <v>170</v>
      </c>
      <c r="O3" s="4" t="s">
        <v>171</v>
      </c>
      <c r="P3" s="4">
        <v>1175</v>
      </c>
      <c r="Q3" s="4">
        <v>1352</v>
      </c>
      <c r="R3" s="4">
        <v>0</v>
      </c>
      <c r="S3" s="4">
        <v>0</v>
      </c>
      <c r="T3" s="4">
        <v>0</v>
      </c>
      <c r="U3" s="4">
        <v>0</v>
      </c>
    </row>
    <row r="4" spans="1:21" s="4" customFormat="1" ht="12.75" x14ac:dyDescent="0.2">
      <c r="A4" s="3">
        <v>44247</v>
      </c>
      <c r="B4" s="4" t="s">
        <v>155</v>
      </c>
      <c r="C4" s="4" t="s">
        <v>53</v>
      </c>
      <c r="D4" s="4" t="s">
        <v>174</v>
      </c>
      <c r="E4" s="4" t="s">
        <v>68</v>
      </c>
      <c r="F4" s="4" t="s">
        <v>63</v>
      </c>
      <c r="H4" s="4" t="s">
        <v>68</v>
      </c>
      <c r="I4" s="4" t="s">
        <v>68</v>
      </c>
      <c r="J4" s="16" t="s">
        <v>64</v>
      </c>
      <c r="K4" s="4" t="s">
        <v>64</v>
      </c>
      <c r="L4" s="32"/>
      <c r="M4" s="6">
        <v>0.47638888888888892</v>
      </c>
      <c r="N4" s="27"/>
      <c r="O4" s="4" t="s">
        <v>65</v>
      </c>
      <c r="P4" s="27"/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3">
        <v>44247</v>
      </c>
      <c r="B5" s="4" t="s">
        <v>155</v>
      </c>
      <c r="C5" s="4" t="s">
        <v>53</v>
      </c>
      <c r="D5" s="4" t="s">
        <v>71</v>
      </c>
      <c r="E5" s="4" t="s">
        <v>172</v>
      </c>
      <c r="F5" s="4" t="s">
        <v>63</v>
      </c>
      <c r="H5" s="4" t="s">
        <v>172</v>
      </c>
      <c r="I5" s="4" t="s">
        <v>172</v>
      </c>
      <c r="J5" s="16" t="s">
        <v>64</v>
      </c>
      <c r="K5" s="4" t="s">
        <v>64</v>
      </c>
      <c r="L5" s="32"/>
      <c r="M5" s="6">
        <v>0.49861111111111112</v>
      </c>
      <c r="N5" s="27"/>
      <c r="O5" s="4" t="s">
        <v>65</v>
      </c>
      <c r="P5" s="27"/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s="4" customFormat="1" ht="12.75" x14ac:dyDescent="0.2">
      <c r="A6" s="3">
        <v>44247</v>
      </c>
      <c r="B6" s="4" t="s">
        <v>155</v>
      </c>
      <c r="C6" s="4" t="s">
        <v>53</v>
      </c>
      <c r="D6" s="4" t="s">
        <v>72</v>
      </c>
      <c r="E6" s="4" t="s">
        <v>173</v>
      </c>
      <c r="F6" s="4" t="s">
        <v>63</v>
      </c>
      <c r="G6" s="4">
        <v>2880</v>
      </c>
      <c r="H6" s="4" t="s">
        <v>173</v>
      </c>
      <c r="I6" s="4" t="s">
        <v>173</v>
      </c>
      <c r="J6" s="16" t="s">
        <v>64</v>
      </c>
      <c r="K6" s="4" t="s">
        <v>64</v>
      </c>
      <c r="L6" s="32"/>
      <c r="M6" s="6">
        <v>0.4861111111111111</v>
      </c>
      <c r="N6" s="27"/>
      <c r="O6" s="4" t="s">
        <v>65</v>
      </c>
      <c r="P6" s="27"/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s="4" customFormat="1" ht="12.75" x14ac:dyDescent="0.2">
      <c r="A7" s="3"/>
      <c r="J7" s="6"/>
      <c r="K7" s="6"/>
      <c r="L7" s="6"/>
      <c r="M7" s="6"/>
    </row>
    <row r="8" spans="1:21" s="4" customFormat="1" ht="12.75" x14ac:dyDescent="0.2">
      <c r="A8" s="3"/>
      <c r="J8" s="6"/>
      <c r="K8" s="6"/>
      <c r="L8" s="6"/>
      <c r="M8" s="6"/>
    </row>
    <row r="9" spans="1:21" s="4" customFormat="1" ht="12.75" x14ac:dyDescent="0.2">
      <c r="A9" s="3"/>
      <c r="J9" s="6"/>
      <c r="K9" s="6"/>
      <c r="L9" s="6"/>
      <c r="M9" s="6"/>
    </row>
    <row r="10" spans="1:21" s="4" customFormat="1" ht="12.75" x14ac:dyDescent="0.2">
      <c r="A10" s="3"/>
      <c r="J10" s="6"/>
      <c r="K10" s="6"/>
      <c r="L10" s="6"/>
      <c r="M10" s="6"/>
    </row>
    <row r="11" spans="1:21" s="4" customFormat="1" ht="12.75" x14ac:dyDescent="0.2">
      <c r="A11" s="3"/>
      <c r="J11" s="6"/>
      <c r="K11" s="6"/>
      <c r="L11" s="6"/>
      <c r="M11" s="6"/>
    </row>
    <row r="12" spans="1:21" s="4" customFormat="1" ht="12.75" x14ac:dyDescent="0.2">
      <c r="A12" s="3"/>
      <c r="K12" s="6"/>
      <c r="L12" s="6"/>
      <c r="M12" s="6"/>
    </row>
    <row r="13" spans="1:21" s="4" customFormat="1" ht="12.75" x14ac:dyDescent="0.2">
      <c r="A13" s="3"/>
      <c r="K13" s="6"/>
      <c r="M13" s="20"/>
    </row>
    <row r="14" spans="1:21" s="4" customFormat="1" ht="12.75" x14ac:dyDescent="0.2">
      <c r="A14" s="3"/>
      <c r="K14" s="6"/>
      <c r="M14" s="20"/>
    </row>
    <row r="15" spans="1:21" s="4" customFormat="1" ht="12.75" x14ac:dyDescent="0.2">
      <c r="A15" s="3"/>
      <c r="K15" s="6"/>
      <c r="M15" s="20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opLeftCell="G1" workbookViewId="0">
      <selection activeCell="Q4" sqref="Q4"/>
    </sheetView>
  </sheetViews>
  <sheetFormatPr defaultRowHeight="15" x14ac:dyDescent="0.25"/>
  <cols>
    <col min="2" max="2" width="23.28515625" customWidth="1"/>
    <col min="3" max="3" width="13.42578125" bestFit="1" customWidth="1"/>
    <col min="6" max="6" width="19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25" customFormat="1" ht="12.75" x14ac:dyDescent="0.2">
      <c r="A2" s="8">
        <v>44248</v>
      </c>
      <c r="B2" s="9" t="s">
        <v>21</v>
      </c>
      <c r="C2" s="9" t="s">
        <v>106</v>
      </c>
      <c r="D2" s="9" t="s">
        <v>23</v>
      </c>
      <c r="E2" s="9" t="s">
        <v>127</v>
      </c>
      <c r="F2" s="10" t="s">
        <v>25</v>
      </c>
      <c r="G2" s="21">
        <v>70000</v>
      </c>
      <c r="H2" s="9" t="s">
        <v>107</v>
      </c>
      <c r="I2" s="9" t="s">
        <v>108</v>
      </c>
      <c r="J2" s="22">
        <v>0.45833333333333331</v>
      </c>
      <c r="K2" s="23">
        <v>0.50416666666666665</v>
      </c>
      <c r="L2" s="22">
        <v>0.27430555555555552</v>
      </c>
      <c r="M2" s="23">
        <v>0.29791666666666666</v>
      </c>
      <c r="N2" s="24" t="s">
        <v>175</v>
      </c>
      <c r="O2" s="24" t="s">
        <v>176</v>
      </c>
      <c r="P2" s="25">
        <v>951</v>
      </c>
      <c r="Q2" s="24">
        <v>943</v>
      </c>
      <c r="R2" s="9">
        <v>0</v>
      </c>
      <c r="S2" s="9">
        <v>0</v>
      </c>
      <c r="T2" s="9">
        <v>0</v>
      </c>
      <c r="U2" s="9">
        <v>0</v>
      </c>
      <c r="V2" s="26"/>
    </row>
    <row r="3" spans="1:22" s="4" customFormat="1" ht="12.75" x14ac:dyDescent="0.2">
      <c r="A3" s="8">
        <v>44248</v>
      </c>
      <c r="B3" s="9" t="s">
        <v>21</v>
      </c>
      <c r="C3" s="9" t="s">
        <v>109</v>
      </c>
      <c r="D3" s="9" t="s">
        <v>23</v>
      </c>
      <c r="E3" s="9" t="s">
        <v>24</v>
      </c>
      <c r="F3" s="10" t="s">
        <v>25</v>
      </c>
      <c r="G3" s="21">
        <v>70000</v>
      </c>
      <c r="H3" s="10" t="s">
        <v>110</v>
      </c>
      <c r="I3" s="10" t="s">
        <v>111</v>
      </c>
      <c r="J3" s="5">
        <v>0.74305555555555547</v>
      </c>
      <c r="K3" s="6">
        <v>0.73819444444444438</v>
      </c>
      <c r="L3" s="5">
        <v>0.50694444444444442</v>
      </c>
      <c r="M3" s="6">
        <v>0.50972222222222219</v>
      </c>
      <c r="N3" s="4" t="s">
        <v>178</v>
      </c>
      <c r="O3" s="4" t="s">
        <v>177</v>
      </c>
      <c r="P3" s="4">
        <v>1200</v>
      </c>
      <c r="Q3" s="4">
        <v>1417</v>
      </c>
      <c r="R3" s="4">
        <v>0</v>
      </c>
      <c r="S3" s="4">
        <v>0</v>
      </c>
      <c r="T3" s="4">
        <v>0</v>
      </c>
      <c r="U3" s="4">
        <v>0</v>
      </c>
    </row>
    <row r="4" spans="1:22" s="4" customFormat="1" ht="12.75" x14ac:dyDescent="0.2">
      <c r="A4" s="8">
        <v>44248</v>
      </c>
      <c r="B4" s="9" t="s">
        <v>21</v>
      </c>
      <c r="C4" s="9" t="s">
        <v>30</v>
      </c>
      <c r="D4" s="9" t="s">
        <v>23</v>
      </c>
      <c r="E4" s="9" t="s">
        <v>24</v>
      </c>
      <c r="F4" s="10" t="s">
        <v>25</v>
      </c>
      <c r="G4" s="21">
        <v>70000</v>
      </c>
      <c r="H4" s="10" t="s">
        <v>32</v>
      </c>
      <c r="I4" s="10" t="s">
        <v>33</v>
      </c>
      <c r="J4" s="5">
        <v>0.93055555555555547</v>
      </c>
      <c r="K4" s="6">
        <v>0.92708333333333337</v>
      </c>
      <c r="L4" s="5">
        <v>0.76388888888888884</v>
      </c>
      <c r="M4" s="6">
        <v>0.77013888888888893</v>
      </c>
      <c r="N4" s="4" t="s">
        <v>179</v>
      </c>
      <c r="O4" s="4" t="s">
        <v>180</v>
      </c>
      <c r="P4" s="4">
        <v>967</v>
      </c>
      <c r="Q4" s="4">
        <v>842</v>
      </c>
      <c r="R4" s="4">
        <v>0</v>
      </c>
      <c r="S4" s="4">
        <v>0</v>
      </c>
      <c r="T4" s="4">
        <v>0</v>
      </c>
      <c r="U4" s="4">
        <v>0</v>
      </c>
    </row>
    <row r="5" spans="1:22" s="4" customFormat="1" ht="12.75" x14ac:dyDescent="0.2">
      <c r="A5" s="8"/>
      <c r="J5" s="6"/>
      <c r="K5" s="6"/>
      <c r="L5" s="6"/>
      <c r="M5" s="6"/>
    </row>
    <row r="6" spans="1:22" s="4" customFormat="1" ht="12.75" x14ac:dyDescent="0.2">
      <c r="A6" s="8"/>
      <c r="J6" s="6"/>
      <c r="K6" s="6"/>
      <c r="L6" s="6"/>
      <c r="M6" s="6"/>
    </row>
    <row r="7" spans="1:22" s="4" customFormat="1" ht="12.75" x14ac:dyDescent="0.2">
      <c r="A7" s="8"/>
      <c r="J7" s="6"/>
      <c r="K7" s="6"/>
      <c r="L7" s="6"/>
      <c r="M7" s="6"/>
    </row>
    <row r="8" spans="1:22" s="4" customFormat="1" ht="12.75" x14ac:dyDescent="0.2">
      <c r="A8" s="8"/>
      <c r="J8" s="6"/>
      <c r="K8" s="6"/>
      <c r="L8" s="6"/>
      <c r="M8" s="6"/>
    </row>
    <row r="9" spans="1:22" s="4" customFormat="1" ht="12.75" x14ac:dyDescent="0.2">
      <c r="A9" s="8"/>
      <c r="K9" s="6"/>
      <c r="L9" s="6"/>
      <c r="M9" s="6"/>
    </row>
    <row r="10" spans="1:22" s="4" customFormat="1" ht="12.75" x14ac:dyDescent="0.2">
      <c r="A10" s="8"/>
      <c r="K10" s="6"/>
      <c r="M10" s="20"/>
    </row>
    <row r="11" spans="1:22" s="4" customFormat="1" ht="12.75" x14ac:dyDescent="0.2">
      <c r="A11" s="8"/>
      <c r="K11" s="6"/>
      <c r="M11" s="20"/>
    </row>
    <row r="12" spans="1:22" s="4" customFormat="1" ht="12.75" x14ac:dyDescent="0.2">
      <c r="A12" s="8"/>
      <c r="K12" s="6"/>
      <c r="M12" s="20"/>
    </row>
    <row r="13" spans="1:22" s="4" customFormat="1" ht="12.75" x14ac:dyDescent="0.2">
      <c r="A13" s="8"/>
      <c r="K13" s="6"/>
      <c r="M13" s="20"/>
    </row>
    <row r="14" spans="1:22" s="4" customFormat="1" ht="12.75" x14ac:dyDescent="0.2">
      <c r="A14" s="3"/>
      <c r="K14" s="6"/>
      <c r="M14" s="20"/>
    </row>
    <row r="15" spans="1:22" s="4" customFormat="1" ht="12.75" x14ac:dyDescent="0.2">
      <c r="A15" s="3"/>
      <c r="E15" s="19"/>
      <c r="K15" s="6"/>
      <c r="M15" s="6"/>
    </row>
    <row r="16" spans="1:22" s="4" customFormat="1" ht="12.75" x14ac:dyDescent="0.2">
      <c r="A16" s="3"/>
      <c r="K16" s="6"/>
      <c r="M16" s="6"/>
    </row>
    <row r="17" s="18" customFormat="1" x14ac:dyDescent="0.25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C1" workbookViewId="0">
      <selection activeCell="P2" sqref="P2"/>
    </sheetView>
  </sheetViews>
  <sheetFormatPr defaultRowHeight="12.75" x14ac:dyDescent="0.2"/>
  <cols>
    <col min="1" max="1" width="12.7109375" style="4" bestFit="1" customWidth="1"/>
    <col min="2" max="2" width="18.42578125" style="4" customWidth="1"/>
    <col min="3" max="3" width="13.28515625" style="4" bestFit="1" customWidth="1"/>
    <col min="4" max="4" width="5.7109375" style="4" bestFit="1" customWidth="1"/>
    <col min="5" max="5" width="9.140625" style="4"/>
    <col min="6" max="6" width="12.140625" style="4" bestFit="1" customWidth="1"/>
    <col min="7" max="7" width="9.28515625" style="4" bestFit="1" customWidth="1"/>
    <col min="8" max="9" width="9.140625" style="4"/>
    <col min="10" max="12" width="9.28515625" style="4" bestFit="1" customWidth="1"/>
    <col min="13" max="13" width="10.85546875" style="4" bestFit="1" customWidth="1"/>
    <col min="14" max="14" width="9.28515625" style="4" bestFit="1" customWidth="1"/>
    <col min="15" max="15" width="18.42578125" style="4" bestFit="1" customWidth="1"/>
    <col min="16" max="21" width="9.28515625" style="4" bestFit="1" customWidth="1"/>
    <col min="22" max="16384" width="9.140625" style="4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3">
        <v>44249</v>
      </c>
      <c r="B2" s="4" t="s">
        <v>21</v>
      </c>
      <c r="C2" s="4" t="s">
        <v>22</v>
      </c>
      <c r="D2" s="4" t="s">
        <v>23</v>
      </c>
      <c r="E2" s="4" t="s">
        <v>127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0.45833333333333331</v>
      </c>
      <c r="K2" s="6">
        <v>0.56458333333333333</v>
      </c>
      <c r="L2" s="5">
        <v>0.25694444444444448</v>
      </c>
      <c r="M2" s="6">
        <v>0.35069444444444442</v>
      </c>
      <c r="N2" s="4" t="s">
        <v>182</v>
      </c>
      <c r="O2" s="4" t="s">
        <v>181</v>
      </c>
      <c r="P2" s="4">
        <v>1072</v>
      </c>
      <c r="Q2" s="4">
        <v>1087</v>
      </c>
      <c r="R2" s="4">
        <v>0</v>
      </c>
      <c r="S2" s="4">
        <v>0</v>
      </c>
      <c r="T2" s="4">
        <v>0</v>
      </c>
      <c r="U2" s="4">
        <v>0</v>
      </c>
    </row>
    <row r="3" spans="1:21" ht="15" x14ac:dyDescent="0.25">
      <c r="A3" s="8"/>
      <c r="G3" s="15"/>
      <c r="L3" s="6"/>
      <c r="M3" s="6"/>
      <c r="P3" s="15"/>
      <c r="Q3"/>
      <c r="R3"/>
      <c r="S3"/>
      <c r="T3"/>
    </row>
    <row r="4" spans="1:21" customFormat="1" ht="15" x14ac:dyDescent="0.25">
      <c r="A4" s="8"/>
      <c r="B4" s="4"/>
      <c r="C4" s="4"/>
      <c r="D4" s="4"/>
      <c r="E4" s="4"/>
      <c r="F4" s="4"/>
      <c r="G4" s="12"/>
      <c r="H4" s="4"/>
      <c r="I4" s="4"/>
      <c r="J4" s="4"/>
      <c r="K4" s="6"/>
      <c r="L4" s="4"/>
      <c r="M4" s="6"/>
      <c r="N4" s="4"/>
      <c r="O4" s="4"/>
      <c r="P4" s="15"/>
      <c r="U4" s="4"/>
    </row>
    <row r="5" spans="1:21" customFormat="1" ht="15" x14ac:dyDescent="0.25">
      <c r="A5" s="8"/>
      <c r="B5" s="4"/>
      <c r="C5" s="4"/>
      <c r="D5" s="4"/>
      <c r="E5" s="4"/>
      <c r="F5" s="4"/>
      <c r="G5" s="12"/>
      <c r="H5" s="4"/>
      <c r="I5" s="4"/>
      <c r="J5" s="4"/>
      <c r="K5" s="6"/>
      <c r="L5" s="4"/>
      <c r="M5" s="6"/>
      <c r="N5" s="4"/>
      <c r="O5" s="4"/>
      <c r="P5" s="15"/>
      <c r="U5" s="4"/>
    </row>
    <row r="6" spans="1:21" customFormat="1" ht="15" x14ac:dyDescent="0.25">
      <c r="A6" s="8"/>
      <c r="B6" s="4"/>
      <c r="C6" s="4"/>
      <c r="D6" s="4"/>
      <c r="E6" s="4"/>
      <c r="F6" s="4"/>
      <c r="G6" s="12"/>
      <c r="H6" s="4"/>
      <c r="I6" s="4"/>
      <c r="J6" s="4"/>
      <c r="K6" s="6"/>
      <c r="L6" s="4"/>
      <c r="M6" s="6"/>
      <c r="N6" s="4"/>
      <c r="O6" s="4"/>
      <c r="P6" s="15"/>
      <c r="U6" s="4"/>
    </row>
    <row r="7" spans="1:21" customFormat="1" ht="15" x14ac:dyDescent="0.25">
      <c r="A7" s="8"/>
      <c r="B7" s="4"/>
      <c r="C7" s="4"/>
      <c r="D7" s="4"/>
      <c r="E7" s="4"/>
      <c r="F7" s="4"/>
      <c r="G7" s="12"/>
      <c r="H7" s="4"/>
      <c r="I7" s="4"/>
      <c r="J7" s="4"/>
      <c r="K7" s="6"/>
      <c r="L7" s="4"/>
      <c r="M7" s="6"/>
      <c r="N7" s="4"/>
      <c r="O7" s="4"/>
      <c r="P7" s="15"/>
      <c r="U7" s="4"/>
    </row>
    <row r="8" spans="1:21" ht="15" x14ac:dyDescent="0.25">
      <c r="A8" s="8"/>
      <c r="G8" s="12"/>
      <c r="K8" s="6"/>
      <c r="M8" s="6"/>
      <c r="P8" s="15"/>
      <c r="Q8"/>
      <c r="R8"/>
      <c r="S8"/>
      <c r="T8"/>
    </row>
    <row r="9" spans="1:21" ht="15" x14ac:dyDescent="0.25">
      <c r="A9" s="8"/>
      <c r="G9" s="12"/>
      <c r="K9" s="6"/>
      <c r="M9" s="6"/>
      <c r="P9" s="15"/>
      <c r="Q9"/>
      <c r="R9"/>
      <c r="S9"/>
      <c r="T9"/>
    </row>
    <row r="10" spans="1:21" ht="15" x14ac:dyDescent="0.25">
      <c r="A10" s="8"/>
      <c r="G10" s="12"/>
      <c r="K10" s="6"/>
      <c r="M10" s="6"/>
      <c r="P10" s="15"/>
      <c r="Q10"/>
      <c r="R10"/>
      <c r="S10"/>
      <c r="T10"/>
    </row>
    <row r="11" spans="1:21" ht="15" x14ac:dyDescent="0.25">
      <c r="A11" s="8"/>
      <c r="G11" s="12"/>
      <c r="K11" s="6"/>
      <c r="M11" s="6"/>
      <c r="P11" s="15"/>
      <c r="Q11"/>
      <c r="R11"/>
      <c r="S11"/>
      <c r="T11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opLeftCell="C1" workbookViewId="0">
      <selection activeCell="G6" sqref="G6"/>
    </sheetView>
  </sheetViews>
  <sheetFormatPr defaultRowHeight="15" x14ac:dyDescent="0.25"/>
  <cols>
    <col min="1" max="1" width="10.140625" bestFit="1" customWidth="1"/>
    <col min="2" max="2" width="15" bestFit="1" customWidth="1"/>
    <col min="3" max="3" width="12" bestFit="1" customWidth="1"/>
    <col min="6" max="6" width="17.5703125" bestFit="1" customWidth="1"/>
    <col min="14" max="15" width="18.425781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9" t="s">
        <v>9</v>
      </c>
      <c r="K1" s="1" t="s">
        <v>10</v>
      </c>
      <c r="L1" s="29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44251</v>
      </c>
      <c r="B2" s="4" t="s">
        <v>21</v>
      </c>
      <c r="C2" s="4" t="s">
        <v>30</v>
      </c>
      <c r="D2" s="4" t="s">
        <v>23</v>
      </c>
      <c r="E2" s="4" t="s">
        <v>24</v>
      </c>
      <c r="F2" s="4" t="s">
        <v>25</v>
      </c>
      <c r="G2" s="7">
        <v>70000</v>
      </c>
      <c r="H2" s="4" t="s">
        <v>32</v>
      </c>
      <c r="I2" s="4" t="s">
        <v>33</v>
      </c>
      <c r="J2" s="5">
        <v>0.93055555555555547</v>
      </c>
      <c r="K2" s="6">
        <v>0.9194444444444444</v>
      </c>
      <c r="L2" s="5">
        <v>0.76388888888888884</v>
      </c>
      <c r="M2" s="6">
        <v>0.76527777777777783</v>
      </c>
      <c r="N2" s="4" t="s">
        <v>183</v>
      </c>
      <c r="O2" s="4" t="s">
        <v>137</v>
      </c>
      <c r="P2" s="4">
        <v>570</v>
      </c>
      <c r="Q2" s="4">
        <v>786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K2" sqref="K2"/>
    </sheetView>
  </sheetViews>
  <sheetFormatPr defaultRowHeight="15" x14ac:dyDescent="0.25"/>
  <cols>
    <col min="1" max="1" width="10.140625" bestFit="1" customWidth="1"/>
    <col min="2" max="2" width="14.42578125" bestFit="1" customWidth="1"/>
    <col min="3" max="3" width="15.710937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44253</v>
      </c>
      <c r="B2" s="4" t="s">
        <v>21</v>
      </c>
      <c r="C2" s="4" t="s">
        <v>22</v>
      </c>
      <c r="D2" s="4" t="s">
        <v>23</v>
      </c>
      <c r="E2" s="4" t="s">
        <v>127</v>
      </c>
      <c r="F2" s="4" t="s">
        <v>25</v>
      </c>
      <c r="G2" s="4">
        <v>70000</v>
      </c>
      <c r="H2" s="4" t="s">
        <v>26</v>
      </c>
      <c r="I2" s="4" t="s">
        <v>27</v>
      </c>
      <c r="J2" s="5">
        <v>0.47569444444444442</v>
      </c>
      <c r="K2" s="6">
        <v>0.46666666666666662</v>
      </c>
      <c r="L2" s="5">
        <v>0.27430555555555552</v>
      </c>
      <c r="M2" s="6">
        <v>0.27916666666666667</v>
      </c>
      <c r="N2" s="4" t="s">
        <v>185</v>
      </c>
      <c r="O2" s="4" t="s">
        <v>184</v>
      </c>
      <c r="P2" s="4">
        <v>1196</v>
      </c>
      <c r="Q2" s="4">
        <v>1196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K4" sqref="K4"/>
    </sheetView>
  </sheetViews>
  <sheetFormatPr defaultRowHeight="15" x14ac:dyDescent="0.25"/>
  <cols>
    <col min="1" max="1" width="10.140625" style="18" bestFit="1" customWidth="1"/>
    <col min="2" max="2" width="21.85546875" style="18" bestFit="1" customWidth="1"/>
    <col min="3" max="3" width="15.7109375" style="18" bestFit="1" customWidth="1"/>
    <col min="4" max="5" width="9.140625" style="18"/>
    <col min="6" max="6" width="12.140625" style="18" bestFit="1" customWidth="1"/>
    <col min="7" max="9" width="9.140625" style="18"/>
    <col min="10" max="10" width="11" style="18" bestFit="1" customWidth="1"/>
    <col min="11" max="11" width="9.140625" style="18"/>
    <col min="12" max="12" width="11" style="18" bestFit="1" customWidth="1"/>
    <col min="13" max="13" width="9.140625" style="18"/>
    <col min="14" max="15" width="18.42578125" style="18" bestFit="1" customWidth="1"/>
    <col min="16" max="16384" width="9.140625" style="18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44254</v>
      </c>
      <c r="B2" s="4" t="s">
        <v>21</v>
      </c>
      <c r="C2" s="4" t="s">
        <v>82</v>
      </c>
      <c r="D2" s="4" t="s">
        <v>23</v>
      </c>
      <c r="E2" s="4" t="s">
        <v>24</v>
      </c>
      <c r="F2" s="4" t="s">
        <v>25</v>
      </c>
      <c r="G2" s="7">
        <v>70000</v>
      </c>
      <c r="H2" s="4" t="s">
        <v>84</v>
      </c>
      <c r="I2" s="4" t="s">
        <v>86</v>
      </c>
      <c r="J2" s="5">
        <v>0.47916666666666669</v>
      </c>
      <c r="K2" s="6">
        <v>0.48125000000000001</v>
      </c>
      <c r="L2" s="5">
        <v>0.27430555555555552</v>
      </c>
      <c r="M2" s="6">
        <v>0.28333333333333333</v>
      </c>
      <c r="N2" s="4" t="s">
        <v>188</v>
      </c>
      <c r="O2" s="4" t="s">
        <v>186</v>
      </c>
      <c r="P2" s="4">
        <v>1080</v>
      </c>
      <c r="Q2" s="4">
        <v>1001</v>
      </c>
      <c r="R2" s="4">
        <v>0</v>
      </c>
      <c r="S2" s="4">
        <v>0</v>
      </c>
      <c r="T2" s="4">
        <v>0</v>
      </c>
      <c r="U2" s="4">
        <v>0</v>
      </c>
    </row>
    <row r="3" spans="1:21" s="4" customFormat="1" ht="12.75" x14ac:dyDescent="0.2">
      <c r="A3" s="3">
        <v>44254</v>
      </c>
      <c r="B3" s="4" t="s">
        <v>21</v>
      </c>
      <c r="C3" s="4" t="s">
        <v>83</v>
      </c>
      <c r="D3" s="4" t="s">
        <v>23</v>
      </c>
      <c r="E3" s="4" t="s">
        <v>24</v>
      </c>
      <c r="F3" s="4" t="s">
        <v>25</v>
      </c>
      <c r="G3" s="7">
        <v>70000</v>
      </c>
      <c r="H3" s="4" t="s">
        <v>85</v>
      </c>
      <c r="I3" s="4" t="s">
        <v>87</v>
      </c>
      <c r="J3" s="5">
        <v>0.64930555555555558</v>
      </c>
      <c r="K3" s="6">
        <v>0.6479166666666667</v>
      </c>
      <c r="L3" s="5">
        <v>0.5</v>
      </c>
      <c r="M3" s="6">
        <v>0.51388888888888895</v>
      </c>
      <c r="N3" s="4" t="s">
        <v>192</v>
      </c>
      <c r="O3" s="4" t="s">
        <v>187</v>
      </c>
      <c r="P3" s="4">
        <v>1102</v>
      </c>
      <c r="Q3" s="4">
        <v>919</v>
      </c>
      <c r="R3" s="4">
        <v>0</v>
      </c>
      <c r="S3" s="4">
        <v>0</v>
      </c>
      <c r="T3" s="4">
        <v>0</v>
      </c>
      <c r="U3" s="4">
        <v>0</v>
      </c>
    </row>
    <row r="4" spans="1:21" s="4" customFormat="1" ht="12.75" x14ac:dyDescent="0.2">
      <c r="A4" s="3">
        <v>44254</v>
      </c>
      <c r="B4" s="4" t="s">
        <v>21</v>
      </c>
      <c r="C4" s="4" t="s">
        <v>189</v>
      </c>
      <c r="D4" s="4" t="s">
        <v>23</v>
      </c>
      <c r="E4" s="4" t="s">
        <v>127</v>
      </c>
      <c r="F4" s="4" t="s">
        <v>25</v>
      </c>
      <c r="G4" s="7">
        <v>70000</v>
      </c>
      <c r="H4" s="4" t="s">
        <v>190</v>
      </c>
      <c r="I4" s="4" t="s">
        <v>191</v>
      </c>
      <c r="J4" s="6">
        <v>0.94791666666666663</v>
      </c>
      <c r="K4" s="6">
        <v>0.93819444444444444</v>
      </c>
      <c r="L4" s="6">
        <v>0.71527777777777779</v>
      </c>
      <c r="M4" s="6">
        <v>0.71597222222222223</v>
      </c>
      <c r="N4" s="4" t="s">
        <v>194</v>
      </c>
      <c r="O4" s="4" t="s">
        <v>193</v>
      </c>
      <c r="P4" s="4">
        <v>966</v>
      </c>
      <c r="Q4" s="4">
        <v>1051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3"/>
      <c r="J5" s="6"/>
      <c r="K5" s="6"/>
      <c r="L5" s="6"/>
      <c r="M5" s="6"/>
    </row>
    <row r="6" spans="1:21" s="4" customFormat="1" ht="12.75" x14ac:dyDescent="0.2">
      <c r="A6" s="3"/>
      <c r="J6" s="6"/>
      <c r="K6" s="6"/>
      <c r="L6" s="6"/>
      <c r="M6" s="6"/>
    </row>
    <row r="7" spans="1:21" s="4" customFormat="1" ht="12.75" x14ac:dyDescent="0.2">
      <c r="A7" s="3"/>
      <c r="K7" s="6"/>
      <c r="L7" s="6"/>
      <c r="M7" s="6"/>
    </row>
    <row r="8" spans="1:21" s="4" customFormat="1" ht="12.75" x14ac:dyDescent="0.2">
      <c r="A8" s="3"/>
      <c r="K8" s="6"/>
      <c r="M8" s="20"/>
    </row>
    <row r="9" spans="1:21" s="4" customFormat="1" ht="12.75" x14ac:dyDescent="0.2">
      <c r="A9" s="3"/>
      <c r="K9" s="6"/>
      <c r="M9" s="20"/>
    </row>
    <row r="10" spans="1:21" s="4" customFormat="1" ht="12.75" x14ac:dyDescent="0.2">
      <c r="A10" s="3"/>
      <c r="K10" s="6"/>
      <c r="M10" s="2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topLeftCell="E1" workbookViewId="0">
      <selection activeCell="N15" sqref="N15"/>
    </sheetView>
  </sheetViews>
  <sheetFormatPr defaultRowHeight="15" x14ac:dyDescent="0.25"/>
  <cols>
    <col min="2" max="2" width="23.28515625" customWidth="1"/>
    <col min="3" max="3" width="13.42578125" bestFit="1" customWidth="1"/>
    <col min="6" max="6" width="19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25" customFormat="1" ht="12.75" x14ac:dyDescent="0.2">
      <c r="A2" s="8">
        <v>44255</v>
      </c>
      <c r="B2" s="9" t="s">
        <v>21</v>
      </c>
      <c r="C2" s="9" t="s">
        <v>106</v>
      </c>
      <c r="D2" s="9" t="s">
        <v>23</v>
      </c>
      <c r="E2" s="9" t="s">
        <v>24</v>
      </c>
      <c r="F2" s="10" t="s">
        <v>25</v>
      </c>
      <c r="G2" s="21">
        <v>70000</v>
      </c>
      <c r="H2" s="9" t="s">
        <v>107</v>
      </c>
      <c r="I2" s="9" t="s">
        <v>108</v>
      </c>
      <c r="J2" s="22">
        <v>0.45833333333333331</v>
      </c>
      <c r="K2" s="23">
        <v>0.48541666666666666</v>
      </c>
      <c r="L2" s="22">
        <v>0.27430555555555552</v>
      </c>
      <c r="M2" s="23">
        <v>0.27569444444444446</v>
      </c>
      <c r="N2" s="24" t="s">
        <v>195</v>
      </c>
      <c r="O2" s="24" t="s">
        <v>196</v>
      </c>
      <c r="P2" s="25">
        <v>1150</v>
      </c>
      <c r="Q2" s="24">
        <v>830</v>
      </c>
      <c r="R2" s="9">
        <v>0</v>
      </c>
      <c r="S2" s="9">
        <v>0</v>
      </c>
      <c r="T2" s="9">
        <v>0</v>
      </c>
      <c r="U2" s="9">
        <v>0</v>
      </c>
      <c r="V2" s="26"/>
    </row>
    <row r="3" spans="1:22" s="4" customFormat="1" ht="12.75" x14ac:dyDescent="0.2">
      <c r="A3" s="8">
        <v>44255</v>
      </c>
      <c r="B3" s="9" t="s">
        <v>21</v>
      </c>
      <c r="C3" s="9" t="s">
        <v>109</v>
      </c>
      <c r="D3" s="9" t="s">
        <v>23</v>
      </c>
      <c r="E3" s="9" t="s">
        <v>127</v>
      </c>
      <c r="F3" s="10" t="s">
        <v>25</v>
      </c>
      <c r="G3" s="21">
        <v>70000</v>
      </c>
      <c r="H3" s="10" t="s">
        <v>110</v>
      </c>
      <c r="I3" s="10" t="s">
        <v>111</v>
      </c>
      <c r="J3" s="5">
        <v>0.74305555555555547</v>
      </c>
      <c r="K3" s="6">
        <v>0.72777777777777775</v>
      </c>
      <c r="L3" s="5">
        <v>0.50694444444444442</v>
      </c>
      <c r="M3" s="6">
        <v>0.50555555555555554</v>
      </c>
      <c r="N3" s="4" t="s">
        <v>199</v>
      </c>
      <c r="O3" s="4" t="s">
        <v>197</v>
      </c>
      <c r="P3" s="4">
        <v>1091</v>
      </c>
      <c r="Q3" s="4">
        <v>988</v>
      </c>
      <c r="R3" s="4">
        <v>0</v>
      </c>
      <c r="S3" s="4">
        <v>0</v>
      </c>
      <c r="T3" s="4">
        <v>0</v>
      </c>
      <c r="U3" s="4">
        <v>0</v>
      </c>
    </row>
    <row r="4" spans="1:22" s="4" customFormat="1" ht="12.75" x14ac:dyDescent="0.2">
      <c r="A4" s="8">
        <v>44255</v>
      </c>
      <c r="B4" s="9" t="s">
        <v>21</v>
      </c>
      <c r="C4" s="9" t="s">
        <v>30</v>
      </c>
      <c r="D4" s="9" t="s">
        <v>23</v>
      </c>
      <c r="E4" s="9" t="s">
        <v>127</v>
      </c>
      <c r="F4" s="10" t="s">
        <v>25</v>
      </c>
      <c r="G4" s="21">
        <v>70000</v>
      </c>
      <c r="H4" s="10" t="s">
        <v>32</v>
      </c>
      <c r="I4" s="10" t="s">
        <v>33</v>
      </c>
      <c r="J4" s="5">
        <v>0.93055555555555547</v>
      </c>
      <c r="K4" s="6">
        <v>0.9194444444444444</v>
      </c>
      <c r="L4" s="5">
        <v>0.76388888888888884</v>
      </c>
      <c r="M4" s="6">
        <v>0.76388888888888884</v>
      </c>
      <c r="N4" s="4" t="s">
        <v>200</v>
      </c>
      <c r="O4" s="4" t="s">
        <v>198</v>
      </c>
      <c r="P4" s="4">
        <v>918</v>
      </c>
      <c r="Q4" s="4">
        <v>1144</v>
      </c>
      <c r="R4" s="4">
        <v>0</v>
      </c>
      <c r="S4" s="4">
        <v>0</v>
      </c>
      <c r="T4" s="4">
        <v>0</v>
      </c>
      <c r="U4" s="4">
        <v>0</v>
      </c>
    </row>
    <row r="5" spans="1:22" s="4" customFormat="1" ht="12.75" x14ac:dyDescent="0.2">
      <c r="A5" s="8"/>
      <c r="J5" s="6"/>
      <c r="K5" s="6"/>
      <c r="L5" s="6"/>
      <c r="M5" s="6"/>
    </row>
    <row r="6" spans="1:22" s="4" customFormat="1" ht="12.75" x14ac:dyDescent="0.2">
      <c r="A6" s="8"/>
      <c r="J6" s="6"/>
      <c r="K6" s="6"/>
      <c r="L6" s="6"/>
      <c r="M6" s="6"/>
    </row>
    <row r="7" spans="1:22" s="4" customFormat="1" ht="12.75" x14ac:dyDescent="0.2">
      <c r="A7" s="8"/>
      <c r="J7" s="6"/>
      <c r="K7" s="6"/>
      <c r="L7" s="6"/>
      <c r="M7" s="6"/>
    </row>
    <row r="8" spans="1:22" s="4" customFormat="1" ht="12.75" x14ac:dyDescent="0.2">
      <c r="A8" s="8"/>
      <c r="J8" s="6"/>
      <c r="K8" s="6"/>
      <c r="L8" s="6"/>
      <c r="M8" s="6"/>
    </row>
    <row r="9" spans="1:22" s="4" customFormat="1" ht="12.75" x14ac:dyDescent="0.2">
      <c r="A9" s="8"/>
      <c r="K9" s="6"/>
      <c r="L9" s="6"/>
      <c r="M9" s="6"/>
    </row>
    <row r="10" spans="1:22" s="4" customFormat="1" ht="12.75" x14ac:dyDescent="0.2">
      <c r="A10" s="8"/>
      <c r="K10" s="6"/>
      <c r="M10" s="20"/>
    </row>
    <row r="11" spans="1:22" s="4" customFormat="1" ht="12.75" x14ac:dyDescent="0.2">
      <c r="A11" s="8"/>
      <c r="K11" s="6"/>
      <c r="M11" s="20"/>
    </row>
    <row r="12" spans="1:22" s="4" customFormat="1" ht="12.75" x14ac:dyDescent="0.2">
      <c r="A12" s="8"/>
      <c r="K12" s="6"/>
      <c r="M12" s="20"/>
    </row>
    <row r="13" spans="1:22" s="4" customFormat="1" ht="12.75" x14ac:dyDescent="0.2">
      <c r="A13" s="8"/>
      <c r="K13" s="6"/>
      <c r="M13" s="20"/>
    </row>
    <row r="14" spans="1:22" s="4" customFormat="1" ht="12.75" x14ac:dyDescent="0.2">
      <c r="A14" s="3"/>
      <c r="K14" s="6"/>
      <c r="M14" s="20"/>
    </row>
    <row r="15" spans="1:22" s="4" customFormat="1" ht="12.75" x14ac:dyDescent="0.2">
      <c r="A15" s="3"/>
      <c r="E15" s="19"/>
      <c r="K15" s="6"/>
      <c r="M15" s="6"/>
    </row>
    <row r="16" spans="1:22" s="4" customFormat="1" ht="12.75" x14ac:dyDescent="0.2">
      <c r="A16" s="3"/>
      <c r="K16" s="6"/>
      <c r="M16" s="6"/>
    </row>
    <row r="17" s="18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</vt:lpstr>
      <vt:lpstr>3</vt:lpstr>
      <vt:lpstr>4</vt:lpstr>
      <vt:lpstr>5</vt:lpstr>
      <vt:lpstr>6</vt:lpstr>
      <vt:lpstr>7</vt:lpstr>
      <vt:lpstr>8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24</vt:lpstr>
      <vt:lpstr>26</vt:lpstr>
      <vt:lpstr>27</vt:lpstr>
      <vt:lpstr>28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2021-02-01T03:54:40Z</dcterms:created>
  <dcterms:modified xsi:type="dcterms:W3CDTF">2021-02-28T20:49:22Z</dcterms:modified>
</cp:coreProperties>
</file>