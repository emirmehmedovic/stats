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5895" windowWidth="18195" windowHeight="6000" tabRatio="640" firstSheet="11" activeTab="30"/>
  </bookViews>
  <sheets>
    <sheet name="01" sheetId="70" r:id="rId1"/>
    <sheet name="02" sheetId="71" r:id="rId2"/>
    <sheet name="03" sheetId="72" r:id="rId3"/>
    <sheet name="04" sheetId="73" r:id="rId4"/>
    <sheet name="05" sheetId="101" r:id="rId5"/>
    <sheet name="06" sheetId="75" r:id="rId6"/>
    <sheet name="07" sheetId="77" r:id="rId7"/>
    <sheet name="08" sheetId="102" r:id="rId8"/>
    <sheet name="09" sheetId="79" r:id="rId9"/>
    <sheet name="10" sheetId="80" r:id="rId10"/>
    <sheet name="11" sheetId="103" r:id="rId11"/>
    <sheet name="12" sheetId="104" r:id="rId12"/>
    <sheet name="13" sheetId="105" r:id="rId13"/>
    <sheet name="14" sheetId="106" r:id="rId14"/>
    <sheet name="15" sheetId="107" r:id="rId15"/>
    <sheet name="16" sheetId="108" r:id="rId16"/>
    <sheet name="17" sheetId="109" r:id="rId17"/>
    <sheet name="18" sheetId="110" r:id="rId18"/>
    <sheet name="19" sheetId="111" r:id="rId19"/>
    <sheet name="20" sheetId="112" r:id="rId20"/>
    <sheet name="21" sheetId="113" r:id="rId21"/>
    <sheet name="22" sheetId="114" r:id="rId22"/>
    <sheet name="23" sheetId="115" r:id="rId23"/>
    <sheet name="24" sheetId="116" r:id="rId24"/>
    <sheet name="25" sheetId="117" r:id="rId25"/>
    <sheet name="26" sheetId="118" r:id="rId26"/>
    <sheet name="27" sheetId="119" r:id="rId27"/>
    <sheet name="28" sheetId="120" r:id="rId28"/>
    <sheet name="29" sheetId="121" r:id="rId29"/>
    <sheet name="30" sheetId="122" r:id="rId30"/>
    <sheet name="31" sheetId="123" r:id="rId31"/>
  </sheets>
  <calcPr calcId="145621"/>
</workbook>
</file>

<file path=xl/calcChain.xml><?xml version="1.0" encoding="utf-8"?>
<calcChain xmlns="http://schemas.openxmlformats.org/spreadsheetml/2006/main">
  <c r="E5" i="122" l="1"/>
  <c r="E4" i="122"/>
  <c r="E5" i="121" l="1"/>
  <c r="E5" i="120" l="1"/>
  <c r="E5" i="113" l="1"/>
  <c r="E7" i="113" s="1"/>
  <c r="E4" i="113"/>
  <c r="E6" i="113" s="1"/>
  <c r="E7" i="110" l="1"/>
  <c r="E6" i="110"/>
  <c r="E5" i="110"/>
  <c r="E4" i="110"/>
  <c r="I3" i="102" l="1"/>
  <c r="H3" i="102"/>
  <c r="A3" i="102"/>
  <c r="K6" i="77" l="1"/>
  <c r="H6" i="77"/>
  <c r="I6" i="77" s="1"/>
  <c r="K6" i="101" l="1"/>
  <c r="H6" i="101" l="1"/>
  <c r="I6" i="101" s="1"/>
</calcChain>
</file>

<file path=xl/comments1.xml><?xml version="1.0" encoding="utf-8"?>
<comments xmlns="http://schemas.openxmlformats.org/spreadsheetml/2006/main">
  <authors>
    <author>OPC</author>
  </authors>
  <commentList>
    <comment ref="C7" authorId="0">
      <text>
        <r>
          <rPr>
            <b/>
            <sz val="9"/>
            <color indexed="81"/>
            <rFont val="Tahoma"/>
            <family val="2"/>
            <charset val="238"/>
          </rPr>
          <t>OPC:</t>
        </r>
        <r>
          <rPr>
            <sz val="9"/>
            <color indexed="81"/>
            <rFont val="Tahoma"/>
            <family val="2"/>
            <charset val="238"/>
          </rPr>
          <t xml:space="preserve">
HAMBURG DIVERTED FROM SJJ</t>
        </r>
      </text>
    </comment>
    <comment ref="C8" authorId="0">
      <text>
        <r>
          <rPr>
            <b/>
            <sz val="9"/>
            <color indexed="81"/>
            <rFont val="Tahoma"/>
            <family val="2"/>
            <charset val="238"/>
          </rPr>
          <t>OPC:</t>
        </r>
        <r>
          <rPr>
            <sz val="9"/>
            <color indexed="81"/>
            <rFont val="Tahoma"/>
            <family val="2"/>
            <charset val="238"/>
          </rPr>
          <t xml:space="preserve">
OSLO DIVERTED FROM SJJ</t>
        </r>
      </text>
    </comment>
  </commentList>
</comments>
</file>

<file path=xl/sharedStrings.xml><?xml version="1.0" encoding="utf-8"?>
<sst xmlns="http://schemas.openxmlformats.org/spreadsheetml/2006/main" count="1932" uniqueCount="363">
  <si>
    <t>datum</t>
  </si>
  <si>
    <t>kompanija</t>
  </si>
  <si>
    <t>ruta</t>
  </si>
  <si>
    <t>tip a/c</t>
  </si>
  <si>
    <t>reg</t>
  </si>
  <si>
    <t>MTOW(kg)</t>
  </si>
  <si>
    <t>br leta u dol</t>
  </si>
  <si>
    <t>br leta u odl</t>
  </si>
  <si>
    <t>pl vrijeme dol</t>
  </si>
  <si>
    <t>st vrijeme dol</t>
  </si>
  <si>
    <t>pl vrijeme odl</t>
  </si>
  <si>
    <t>st vrijeme odl</t>
  </si>
  <si>
    <t>br putnika DOLAZAK</t>
  </si>
  <si>
    <t>br putnika ODLAZAK</t>
  </si>
  <si>
    <t>prtljag D(kg)</t>
  </si>
  <si>
    <t>prtljag O(kg)</t>
  </si>
  <si>
    <t>cargo D(kg)</t>
  </si>
  <si>
    <t>cargo O(kg)</t>
  </si>
  <si>
    <t>pošta D(kg)</t>
  </si>
  <si>
    <t>pošta O(kg)</t>
  </si>
  <si>
    <t>WIZZAIR</t>
  </si>
  <si>
    <t>A320</t>
  </si>
  <si>
    <t>SCHEDULED</t>
  </si>
  <si>
    <t>tip OPER</t>
  </si>
  <si>
    <t>TZL-DTM-TZL</t>
  </si>
  <si>
    <t>W64298</t>
  </si>
  <si>
    <t>W64297</t>
  </si>
  <si>
    <t>TZL-CGN-TZL</t>
  </si>
  <si>
    <t>W64299</t>
  </si>
  <si>
    <t>W64300</t>
  </si>
  <si>
    <t>TZL-HHN-TZL</t>
  </si>
  <si>
    <t>TZL-MLH-TZL</t>
  </si>
  <si>
    <t>TZL-BER-TZL</t>
  </si>
  <si>
    <t>TZL-BLL-TZL</t>
  </si>
  <si>
    <t>TZL-EIN-TZL</t>
  </si>
  <si>
    <t>W64290</t>
  </si>
  <si>
    <t>W64289</t>
  </si>
  <si>
    <t>PEGASUS AIRLINES</t>
  </si>
  <si>
    <t>SAW-TZL-SAW</t>
  </si>
  <si>
    <t>INT. NON-SCHEDULED</t>
  </si>
  <si>
    <t>PC291</t>
  </si>
  <si>
    <t>PC292</t>
  </si>
  <si>
    <t>TZL-FMM-TZL</t>
  </si>
  <si>
    <t>W64280</t>
  </si>
  <si>
    <t>W64279</t>
  </si>
  <si>
    <t>HA-LSB</t>
  </si>
  <si>
    <t>51+0 INF</t>
  </si>
  <si>
    <t>MLA-TZL-MLA</t>
  </si>
  <si>
    <t>9H-AEO</t>
  </si>
  <si>
    <t>NON-SCHEDULED/CHARTER</t>
  </si>
  <si>
    <t>MM0130P</t>
  </si>
  <si>
    <t>MMO1301</t>
  </si>
  <si>
    <t>27+0 INF</t>
  </si>
  <si>
    <t>MALTA MEDAIR</t>
  </si>
  <si>
    <t>63+0 INF</t>
  </si>
  <si>
    <t>HA-LYH</t>
  </si>
  <si>
    <t>TC-NBY</t>
  </si>
  <si>
    <t>129+3 INF</t>
  </si>
  <si>
    <t>147+1 INF</t>
  </si>
  <si>
    <t>147+0 INF</t>
  </si>
  <si>
    <t xml:space="preserve"> 136+3 INF</t>
  </si>
  <si>
    <t>144+2 INF</t>
  </si>
  <si>
    <t>69+3 INF</t>
  </si>
  <si>
    <t>74+1 INF</t>
  </si>
  <si>
    <t>151+3 INF</t>
  </si>
  <si>
    <t>W64284</t>
  </si>
  <si>
    <t>W64276</t>
  </si>
  <si>
    <t>W64294</t>
  </si>
  <si>
    <t>W64278</t>
  </si>
  <si>
    <t>W64283</t>
  </si>
  <si>
    <t>W64275</t>
  </si>
  <si>
    <t>W64293</t>
  </si>
  <si>
    <t>W64277</t>
  </si>
  <si>
    <t>114+2 INF</t>
  </si>
  <si>
    <t>88+0 INF</t>
  </si>
  <si>
    <t>A321</t>
  </si>
  <si>
    <t>HA-LXC</t>
  </si>
  <si>
    <t>W6804</t>
  </si>
  <si>
    <t>W6805</t>
  </si>
  <si>
    <t>FERRY IN/OUT</t>
  </si>
  <si>
    <t>SKP-TZL-SKP</t>
  </si>
  <si>
    <t>136+9 INF</t>
  </si>
  <si>
    <t>97+4 INF</t>
  </si>
  <si>
    <t>146+2 INF</t>
  </si>
  <si>
    <t>69+0 INF</t>
  </si>
  <si>
    <t>167+4 INF</t>
  </si>
  <si>
    <t>66+0 INF</t>
  </si>
  <si>
    <t>TZL-VIE-TZL</t>
  </si>
  <si>
    <t>W64286</t>
  </si>
  <si>
    <t>W64285</t>
  </si>
  <si>
    <t>TZL-MMX-TZL</t>
  </si>
  <si>
    <t>W64292</t>
  </si>
  <si>
    <t>W64291</t>
  </si>
  <si>
    <t>UTAIR EUROPE</t>
  </si>
  <si>
    <t>MIL8</t>
  </si>
  <si>
    <t>OM-AVB</t>
  </si>
  <si>
    <t>HELICOPTER</t>
  </si>
  <si>
    <t>50+0 INF</t>
  </si>
  <si>
    <t>172+5 INF</t>
  </si>
  <si>
    <t>ROP</t>
  </si>
  <si>
    <t>-</t>
  </si>
  <si>
    <t>66+1 INF</t>
  </si>
  <si>
    <t>98+4 INF</t>
  </si>
  <si>
    <t>83+0 INF</t>
  </si>
  <si>
    <t>92+1 INF</t>
  </si>
  <si>
    <t>140+12 inf</t>
  </si>
  <si>
    <t>59+1 INF</t>
  </si>
  <si>
    <t>139+2 INF</t>
  </si>
  <si>
    <t>HA-LSB/HA-LYB</t>
  </si>
  <si>
    <t>126+2 INF</t>
  </si>
  <si>
    <t>MAE AIRCRAFT MANAGEMENT</t>
  </si>
  <si>
    <t>CAI-TZL</t>
  </si>
  <si>
    <t>B737F</t>
  </si>
  <si>
    <t>A9C-MAE</t>
  </si>
  <si>
    <t>MEN8001</t>
  </si>
  <si>
    <t>TZL-PZY</t>
  </si>
  <si>
    <t>90+2 INF</t>
  </si>
  <si>
    <t>85+1 INF</t>
  </si>
  <si>
    <t>68+2 INF</t>
  </si>
  <si>
    <t>74+2 INF</t>
  </si>
  <si>
    <t>94+0 INF</t>
  </si>
  <si>
    <t>77+0 INF</t>
  </si>
  <si>
    <t>CARGO</t>
  </si>
  <si>
    <t>Jahorina-TZL</t>
  </si>
  <si>
    <t>56+1 INF</t>
  </si>
  <si>
    <t>51+1 INF</t>
  </si>
  <si>
    <t>JUGOSERVIS d.o.o.</t>
  </si>
  <si>
    <t>BEG-TZL-LQCG</t>
  </si>
  <si>
    <t>S750</t>
  </si>
  <si>
    <t>YU-DSW</t>
  </si>
  <si>
    <t>TECHNICAL</t>
  </si>
  <si>
    <t>MEN8002</t>
  </si>
  <si>
    <t>CARGO/CHARTER</t>
  </si>
  <si>
    <t>TZL-SHJ</t>
  </si>
  <si>
    <t>HA-LYB</t>
  </si>
  <si>
    <t>107-1 INF</t>
  </si>
  <si>
    <t>80+0 INF</t>
  </si>
  <si>
    <t>84+0 INF</t>
  </si>
  <si>
    <t>86+2 INF</t>
  </si>
  <si>
    <t>141+1 INF</t>
  </si>
  <si>
    <t>109+2 INF</t>
  </si>
  <si>
    <t>91+2 INF</t>
  </si>
  <si>
    <t>125+6 INF</t>
  </si>
  <si>
    <t>125+1 INF</t>
  </si>
  <si>
    <t>154+1 INF</t>
  </si>
  <si>
    <t>53+0 INF</t>
  </si>
  <si>
    <t>127+2 INF</t>
  </si>
  <si>
    <t>59+0 INF</t>
  </si>
  <si>
    <t xml:space="preserve"> 166+5 INF</t>
  </si>
  <si>
    <t>127+5 INF</t>
  </si>
  <si>
    <t>92+3 INF</t>
  </si>
  <si>
    <t>43+2 INF</t>
  </si>
  <si>
    <t>63+1 INF</t>
  </si>
  <si>
    <t>HA-LVC</t>
  </si>
  <si>
    <t>100+2 INF</t>
  </si>
  <si>
    <t>68+3 INF</t>
  </si>
  <si>
    <t>109+6 INF</t>
  </si>
  <si>
    <t>67+0 INF</t>
  </si>
  <si>
    <t>88+1 INF</t>
  </si>
  <si>
    <t>35+2 INF</t>
  </si>
  <si>
    <t>PRN-TZL</t>
  </si>
  <si>
    <t>FERRY IN</t>
  </si>
  <si>
    <t>W6806</t>
  </si>
  <si>
    <t>TZL-SOF</t>
  </si>
  <si>
    <t>HA-LYS</t>
  </si>
  <si>
    <t>FERRY OUT</t>
  </si>
  <si>
    <t>65+0 INF</t>
  </si>
  <si>
    <t>36+0 INF</t>
  </si>
  <si>
    <t>HA-LYB/HA-LYS</t>
  </si>
  <si>
    <t>63+5 INF</t>
  </si>
  <si>
    <t>114+1 INF</t>
  </si>
  <si>
    <t>55+3 INF</t>
  </si>
  <si>
    <t>BER-TZL-BER</t>
  </si>
  <si>
    <t>35+0 INF</t>
  </si>
  <si>
    <t>HA-LPL</t>
  </si>
  <si>
    <t>108+3 INF</t>
  </si>
  <si>
    <t>161+6 INF</t>
  </si>
  <si>
    <t>82+4 INF</t>
  </si>
  <si>
    <t>TZL-GOT-TZL</t>
  </si>
  <si>
    <t>W64296</t>
  </si>
  <si>
    <t>W64295</t>
  </si>
  <si>
    <t>25+0 INF</t>
  </si>
  <si>
    <t>DIV TO SJJ</t>
  </si>
  <si>
    <t>DIV TO BEG</t>
  </si>
  <si>
    <t>OTKAZAN</t>
  </si>
  <si>
    <t>TZL-FDH-TZL</t>
  </si>
  <si>
    <t>TZL-NUE-TZL</t>
  </si>
  <si>
    <t>HA-LYB/S</t>
  </si>
  <si>
    <t>W64616</t>
  </si>
  <si>
    <t>W64614</t>
  </si>
  <si>
    <t>W64615</t>
  </si>
  <si>
    <t>W64613</t>
  </si>
  <si>
    <t>BUD-TZL</t>
  </si>
  <si>
    <t>BEG-TZL</t>
  </si>
  <si>
    <t>W6803</t>
  </si>
  <si>
    <t>W6802</t>
  </si>
  <si>
    <t>57+0 INF</t>
  </si>
  <si>
    <t>69+2 INF</t>
  </si>
  <si>
    <t>130+4 INF</t>
  </si>
  <si>
    <t>131+3 INF</t>
  </si>
  <si>
    <t>41+2 INF</t>
  </si>
  <si>
    <t>154+3 INF</t>
  </si>
  <si>
    <t>111+5 INF</t>
  </si>
  <si>
    <t>163+5 INF</t>
  </si>
  <si>
    <t>162+3 INF</t>
  </si>
  <si>
    <t>93+1 INF</t>
  </si>
  <si>
    <t>121+1 INF</t>
  </si>
  <si>
    <t>176+4 INF</t>
  </si>
  <si>
    <t>154+9 INF</t>
  </si>
  <si>
    <t>133+1 INF</t>
  </si>
  <si>
    <t>103+3 INF</t>
  </si>
  <si>
    <t>LTN-TZL</t>
  </si>
  <si>
    <t>HA-LYJ</t>
  </si>
  <si>
    <t>TZL-FKB-TZL</t>
  </si>
  <si>
    <t>W64618</t>
  </si>
  <si>
    <t>W64617</t>
  </si>
  <si>
    <t>73+0 INF</t>
  </si>
  <si>
    <t>104+0 INF</t>
  </si>
  <si>
    <t>158+0 INF</t>
  </si>
  <si>
    <t>72+2 INF</t>
  </si>
  <si>
    <t>46+0 INF</t>
  </si>
  <si>
    <t>157+6 INF</t>
  </si>
  <si>
    <t>42+1 INF</t>
  </si>
  <si>
    <t>75+4 INF</t>
  </si>
  <si>
    <t>140+9 INF</t>
  </si>
  <si>
    <t>HAM-TZL</t>
  </si>
  <si>
    <t>HA-LYE</t>
  </si>
  <si>
    <t>W64756</t>
  </si>
  <si>
    <t>DIV FROM SJJ</t>
  </si>
  <si>
    <t>153+1 INF</t>
  </si>
  <si>
    <t>OSL-TZL</t>
  </si>
  <si>
    <t>W64760</t>
  </si>
  <si>
    <t>145+5 INF</t>
  </si>
  <si>
    <t>X</t>
  </si>
  <si>
    <t>HA-LWG</t>
  </si>
  <si>
    <t>TZL-SJJ</t>
  </si>
  <si>
    <t>HA-LYH/HA-LPM</t>
  </si>
  <si>
    <t>W6300</t>
  </si>
  <si>
    <t>44+1 INF</t>
  </si>
  <si>
    <t>107+1 INF</t>
  </si>
  <si>
    <t>52+1 INF</t>
  </si>
  <si>
    <t>154+2 INF</t>
  </si>
  <si>
    <t>50+1 INF</t>
  </si>
  <si>
    <t>148+2 INF</t>
  </si>
  <si>
    <t>83+5 INF</t>
  </si>
  <si>
    <t>HA-LPM</t>
  </si>
  <si>
    <t>60+0 INF</t>
  </si>
  <si>
    <t>90+0 INF</t>
  </si>
  <si>
    <t>160+4 INF</t>
  </si>
  <si>
    <t>153+6 INF</t>
  </si>
  <si>
    <t>62+0 INF</t>
  </si>
  <si>
    <t>161+8 INF</t>
  </si>
  <si>
    <t>158+2 INF</t>
  </si>
  <si>
    <t>22+1 INF</t>
  </si>
  <si>
    <t>23+0 INF</t>
  </si>
  <si>
    <t>111+0 INF</t>
  </si>
  <si>
    <t>151+0 INF</t>
  </si>
  <si>
    <t>HA-LYJ/LWM</t>
  </si>
  <si>
    <t>HA-LWM</t>
  </si>
  <si>
    <t>38+0 INF</t>
  </si>
  <si>
    <t>71+2 INF</t>
  </si>
  <si>
    <t>166+3 INF</t>
  </si>
  <si>
    <t>166+2 INF</t>
  </si>
  <si>
    <t>169+1 INF</t>
  </si>
  <si>
    <t>122+1 INF</t>
  </si>
  <si>
    <t>169+3 INF</t>
  </si>
  <si>
    <t>171+2 INF</t>
  </si>
  <si>
    <t>45+0 INF</t>
  </si>
  <si>
    <t>23+2 INF</t>
  </si>
  <si>
    <t>14+0 INF</t>
  </si>
  <si>
    <t>167+7 INF</t>
  </si>
  <si>
    <t>157+2 INF</t>
  </si>
  <si>
    <t>151+1 INF</t>
  </si>
  <si>
    <t>80+2 INF</t>
  </si>
  <si>
    <t>75+0 INF</t>
  </si>
  <si>
    <t>176+2 INF</t>
  </si>
  <si>
    <t>57+2 INF</t>
  </si>
  <si>
    <t>21+1 INF</t>
  </si>
  <si>
    <t>169+4 INF</t>
  </si>
  <si>
    <t>54+1 INF</t>
  </si>
  <si>
    <t>174+4 INF</t>
  </si>
  <si>
    <t>118+0 INF</t>
  </si>
  <si>
    <t>110+1 INF</t>
  </si>
  <si>
    <t>172+2 INF</t>
  </si>
  <si>
    <t>171+60INF</t>
  </si>
  <si>
    <t>113+2 INF</t>
  </si>
  <si>
    <t>A320N</t>
  </si>
  <si>
    <t>NON-SCHEDULED</t>
  </si>
  <si>
    <t>TC-NBE</t>
  </si>
  <si>
    <t>180+5 INF</t>
  </si>
  <si>
    <t>167+8 INF</t>
  </si>
  <si>
    <t xml:space="preserve"> 160+4INF</t>
  </si>
  <si>
    <t>119+2 INF</t>
  </si>
  <si>
    <t>74+3 INF</t>
  </si>
  <si>
    <t>88+2 INF</t>
  </si>
  <si>
    <t>178+2 INF</t>
  </si>
  <si>
    <t>140+2 INF</t>
  </si>
  <si>
    <t>90+1 INF</t>
  </si>
  <si>
    <t>167+1 INF</t>
  </si>
  <si>
    <t>175+4  INF</t>
  </si>
  <si>
    <t>151+4  INF</t>
  </si>
  <si>
    <t>163+2 INF</t>
  </si>
  <si>
    <t>67+1 INF</t>
  </si>
  <si>
    <t>79+1 INF</t>
  </si>
  <si>
    <t>HA-LPM/HA-LPK</t>
  </si>
  <si>
    <t>119+3 INF</t>
  </si>
  <si>
    <t>166+1 INF</t>
  </si>
  <si>
    <t>172+4 INF</t>
  </si>
  <si>
    <t>92+2 INF</t>
  </si>
  <si>
    <t>137+3 INF</t>
  </si>
  <si>
    <t>HA-LPK</t>
  </si>
  <si>
    <t>143+4 INF</t>
  </si>
  <si>
    <t>146+3 INF</t>
  </si>
  <si>
    <t>162+2 INF</t>
  </si>
  <si>
    <t>152+2 INF</t>
  </si>
  <si>
    <t>177+3 INF</t>
  </si>
  <si>
    <t>ICAR AIR</t>
  </si>
  <si>
    <t>ZAG-TZL-ZAG</t>
  </si>
  <si>
    <t>E7-MEL</t>
  </si>
  <si>
    <t>LZ-CCS</t>
  </si>
  <si>
    <t>L-410</t>
  </si>
  <si>
    <t>RAC9002</t>
  </si>
  <si>
    <t>RAC9001</t>
  </si>
  <si>
    <t>RAC9004</t>
  </si>
  <si>
    <t>RAC216P</t>
  </si>
  <si>
    <t>159+1 INF</t>
  </si>
  <si>
    <t>49+0 INF</t>
  </si>
  <si>
    <t>100+0 INF</t>
  </si>
  <si>
    <t>CGN-TZL-BVA</t>
  </si>
  <si>
    <t>HA-LYT</t>
  </si>
  <si>
    <t>INT-NONSCHEDULED</t>
  </si>
  <si>
    <t>INT-NONSCHEDULED/TFT</t>
  </si>
  <si>
    <t>NYO-TZL-NYO</t>
  </si>
  <si>
    <t>HA-LWR</t>
  </si>
  <si>
    <t>W64754</t>
  </si>
  <si>
    <t>W64635</t>
  </si>
  <si>
    <t>180+1 INF</t>
  </si>
  <si>
    <t>W64368</t>
  </si>
  <si>
    <t>W64367A</t>
  </si>
  <si>
    <t>162+1 INF</t>
  </si>
  <si>
    <t>GVA-TZL</t>
  </si>
  <si>
    <t>W64294A</t>
  </si>
  <si>
    <t>DIV BEG</t>
  </si>
  <si>
    <t>120+2 INF</t>
  </si>
  <si>
    <t>121+0 INF</t>
  </si>
  <si>
    <t>163+1 INF</t>
  </si>
  <si>
    <t>173+1 INF</t>
  </si>
  <si>
    <t>136+2 INF</t>
  </si>
  <si>
    <t>226+2 INF</t>
  </si>
  <si>
    <t>MLH-TZL-MLH</t>
  </si>
  <si>
    <t>HA-LXI</t>
  </si>
  <si>
    <t>NON - SCHEDULED</t>
  </si>
  <si>
    <t>W6107</t>
  </si>
  <si>
    <t>W6107C</t>
  </si>
  <si>
    <t>175+4 INF</t>
  </si>
  <si>
    <t>167+2 INF</t>
  </si>
  <si>
    <t>145+3 INF</t>
  </si>
  <si>
    <t>135+3 INF</t>
  </si>
  <si>
    <t>170+2 INF</t>
  </si>
  <si>
    <t>165+1 INF</t>
  </si>
  <si>
    <t>148+4 INF</t>
  </si>
  <si>
    <t>150+2 INF</t>
  </si>
  <si>
    <t>142+5 INF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</si>
</sst>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charset val="238"/>
      <scheme val="minor"/>
    </font>
    <font>
      <sz val="10"/>
      <name val="Arial"/>
      <family val="2"/>
      <charset val="238"/>
    </font>
    <font>
      <sz val="10"/>
      <name val="Garamond"/>
      <family val="1"/>
      <charset val="238"/>
    </font>
    <font>
      <sz val="10"/>
      <color theme="1"/>
      <name val="Garamond"/>
      <family val="1"/>
      <charset val="238"/>
    </font>
    <font>
      <b/>
      <sz val="10"/>
      <color theme="1"/>
      <name val="Garamond"/>
      <family val="1"/>
      <charset val="238"/>
    </font>
    <font>
      <sz val="11"/>
      <color theme="1"/>
      <name val="Calibri"/>
      <family val="2"/>
      <charset val="238"/>
      <scheme val="minor"/>
    </font>
    <font>
      <sz val="10"/>
      <color theme="1"/>
      <name val="Calibri"/>
      <family val="2"/>
      <charset val="238"/>
      <scheme val="minor"/>
    </font>
    <font>
      <sz val="9"/>
      <color indexed="81"/>
      <name val="Tahoma"/>
      <family val="2"/>
      <charset val="238"/>
    </font>
    <font>
      <b/>
      <sz val="9"/>
      <color indexed="81"/>
      <name val="Tahoma"/>
      <family val="2"/>
      <charset val="238"/>
    </font>
  </fonts>
  <fills count="4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5">
    <xf numFmtId="0" fontId="0" fillId="0" borderId="0"/>
    <xf numFmtId="0" fontId="1" fillId="0" borderId="0"/>
    <xf numFmtId="0" fontId="1" fillId="0" borderId="0"/>
    <xf numFmtId="0" fontId="1" fillId="0" borderId="0"/>
    <xf numFmtId="0" fontId="5" fillId="0" borderId="0"/>
  </cellStyleXfs>
  <cellXfs count="16">
    <xf numFmtId="0" fontId="0" fillId="0" borderId="0" xfId="0"/>
    <xf numFmtId="0" fontId="2" fillId="0" borderId="0" xfId="1" applyFont="1" applyAlignment="1">
      <alignment horizontal="center" vertical="center"/>
    </xf>
    <xf numFmtId="0" fontId="3" fillId="0" borderId="0" xfId="0" applyFont="1" applyAlignment="1">
      <alignment horizontal="center"/>
    </xf>
    <xf numFmtId="20" fontId="4" fillId="0" borderId="0" xfId="0" applyNumberFormat="1" applyFont="1" applyAlignment="1">
      <alignment horizontal="center"/>
    </xf>
    <xf numFmtId="20" fontId="3" fillId="0" borderId="0" xfId="0" applyNumberFormat="1" applyFont="1" applyAlignment="1">
      <alignment horizontal="center"/>
    </xf>
    <xf numFmtId="14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20" fontId="4" fillId="0" borderId="0" xfId="0" applyNumberFormat="1" applyFont="1" applyAlignment="1">
      <alignment horizontal="center" vertical="center"/>
    </xf>
    <xf numFmtId="20" fontId="3" fillId="0" borderId="0" xfId="0" applyNumberFormat="1" applyFont="1" applyAlignment="1">
      <alignment horizontal="center" vertical="center"/>
    </xf>
    <xf numFmtId="0" fontId="6" fillId="0" borderId="0" xfId="0" applyFont="1"/>
    <xf numFmtId="20" fontId="4" fillId="0" borderId="0" xfId="0" applyNumberFormat="1" applyFont="1" applyBorder="1" applyAlignment="1">
      <alignment horizontal="center" vertical="center"/>
    </xf>
    <xf numFmtId="14" fontId="3" fillId="0" borderId="0" xfId="0" applyNumberFormat="1" applyFont="1" applyAlignment="1">
      <alignment horizontal="center"/>
    </xf>
    <xf numFmtId="0" fontId="3" fillId="0" borderId="0" xfId="0" applyNumberFormat="1" applyFont="1" applyAlignment="1">
      <alignment horizontal="center"/>
    </xf>
    <xf numFmtId="20" fontId="6" fillId="0" borderId="0" xfId="0" applyNumberFormat="1" applyFont="1" applyAlignment="1">
      <alignment horizontal="center"/>
    </xf>
    <xf numFmtId="0" fontId="0" fillId="2" borderId="0" xfId="0" applyFill="1"/>
    <xf numFmtId="0" fontId="3" fillId="3" borderId="0" xfId="0" applyFont="1" applyFill="1" applyAlignment="1">
      <alignment horizontal="center" vertical="center"/>
    </xf>
  </cellXfs>
  <cellStyles count="5">
    <cellStyle name="Normal" xfId="0" builtinId="0"/>
    <cellStyle name="Normal 2" xfId="2"/>
    <cellStyle name="Normal 2 2" xfId="3"/>
    <cellStyle name="Normal 2 3" xfId="4"/>
    <cellStyle name="Normal 4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calcChain" Target="calcChain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3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6"/>
  <sheetViews>
    <sheetView workbookViewId="0">
      <selection activeCell="C31" sqref="C31"/>
    </sheetView>
  </sheetViews>
  <sheetFormatPr defaultRowHeight="15" x14ac:dyDescent="0.25"/>
  <cols>
    <col min="2" max="2" width="15.28515625" bestFit="1" customWidth="1"/>
    <col min="3" max="3" width="13.42578125" bestFit="1" customWidth="1"/>
    <col min="5" max="5" width="11.85546875" customWidth="1"/>
    <col min="6" max="6" width="27.140625" bestFit="1" customWidth="1"/>
    <col min="14" max="14" width="14.28515625" customWidth="1"/>
    <col min="15" max="15" width="12.85546875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23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 x14ac:dyDescent="0.25">
      <c r="A2" s="5">
        <v>44531</v>
      </c>
      <c r="B2" s="6" t="s">
        <v>20</v>
      </c>
      <c r="C2" s="6" t="s">
        <v>34</v>
      </c>
      <c r="D2" s="6" t="s">
        <v>21</v>
      </c>
      <c r="E2" s="6" t="s">
        <v>45</v>
      </c>
      <c r="F2" s="6" t="s">
        <v>22</v>
      </c>
      <c r="G2" s="6">
        <v>70000</v>
      </c>
      <c r="H2" s="6" t="s">
        <v>35</v>
      </c>
      <c r="I2" s="6" t="s">
        <v>36</v>
      </c>
      <c r="J2" s="7">
        <v>0.67013888888888884</v>
      </c>
      <c r="K2" s="8">
        <v>0.66180555555555554</v>
      </c>
      <c r="L2" s="7">
        <v>0.46180555555555558</v>
      </c>
      <c r="M2" s="8">
        <v>0.47013888888888888</v>
      </c>
      <c r="N2" s="6" t="s">
        <v>54</v>
      </c>
      <c r="O2" s="6" t="s">
        <v>46</v>
      </c>
      <c r="P2" s="6">
        <v>185</v>
      </c>
      <c r="Q2" s="6">
        <v>216</v>
      </c>
      <c r="R2" s="2">
        <v>0</v>
      </c>
      <c r="S2" s="2">
        <v>0</v>
      </c>
      <c r="T2" s="2">
        <v>0</v>
      </c>
      <c r="U2" s="2">
        <v>0</v>
      </c>
    </row>
    <row r="3" spans="1:21" x14ac:dyDescent="0.25">
      <c r="A3" s="5">
        <v>44531</v>
      </c>
      <c r="B3" s="6" t="s">
        <v>53</v>
      </c>
      <c r="C3" s="6" t="s">
        <v>47</v>
      </c>
      <c r="D3" s="6" t="s">
        <v>21</v>
      </c>
      <c r="E3" s="6" t="s">
        <v>48</v>
      </c>
      <c r="F3" s="6" t="s">
        <v>49</v>
      </c>
      <c r="G3" s="6">
        <v>75500</v>
      </c>
      <c r="H3" s="6" t="s">
        <v>50</v>
      </c>
      <c r="I3" s="6" t="s">
        <v>51</v>
      </c>
      <c r="J3" s="7">
        <v>0.39583333333333331</v>
      </c>
      <c r="K3" s="8"/>
      <c r="L3" s="7">
        <v>0.4375</v>
      </c>
      <c r="M3" s="8">
        <v>0.55972222222222223</v>
      </c>
      <c r="N3" s="6">
        <v>0</v>
      </c>
      <c r="O3" s="6" t="s">
        <v>52</v>
      </c>
      <c r="P3" s="6">
        <v>0</v>
      </c>
      <c r="Q3" s="6">
        <v>575</v>
      </c>
      <c r="R3" s="6">
        <v>0</v>
      </c>
      <c r="S3" s="6">
        <v>0</v>
      </c>
      <c r="T3" s="6">
        <v>0</v>
      </c>
      <c r="U3" s="6">
        <v>0</v>
      </c>
    </row>
    <row r="4" spans="1:21" x14ac:dyDescent="0.25">
      <c r="A4" s="5"/>
      <c r="B4" s="6"/>
      <c r="C4" s="6"/>
      <c r="D4" s="6"/>
      <c r="E4" s="6"/>
      <c r="F4" s="6"/>
      <c r="G4" s="6"/>
      <c r="H4" s="6"/>
      <c r="I4" s="6"/>
      <c r="J4" s="7"/>
      <c r="K4" s="8"/>
      <c r="L4" s="7"/>
      <c r="M4" s="8"/>
      <c r="N4" s="6"/>
      <c r="O4" s="6"/>
      <c r="P4" s="6"/>
      <c r="Q4" s="6"/>
      <c r="R4" s="2"/>
      <c r="S4" s="2"/>
      <c r="T4" s="2"/>
      <c r="U4" s="2"/>
    </row>
    <row r="5" spans="1:21" x14ac:dyDescent="0.25">
      <c r="A5" s="5"/>
      <c r="B5" s="6"/>
      <c r="C5" s="6"/>
      <c r="D5" s="6"/>
      <c r="E5" s="6"/>
      <c r="F5" s="6"/>
      <c r="G5" s="6"/>
      <c r="H5" s="6"/>
      <c r="I5" s="6"/>
      <c r="J5" s="7"/>
      <c r="K5" s="8"/>
      <c r="L5" s="7"/>
      <c r="M5" s="8"/>
      <c r="N5" s="6"/>
      <c r="O5" s="6"/>
      <c r="P5" s="6"/>
      <c r="Q5" s="6"/>
      <c r="R5" s="2"/>
      <c r="S5" s="2"/>
      <c r="T5" s="2"/>
      <c r="U5" s="2"/>
    </row>
    <row r="6" spans="1:21" x14ac:dyDescent="0.25">
      <c r="A6" s="5"/>
      <c r="B6" s="6"/>
      <c r="C6" s="6"/>
      <c r="D6" s="6"/>
      <c r="E6" s="6"/>
      <c r="F6" s="6"/>
      <c r="G6" s="6"/>
      <c r="H6" s="6"/>
      <c r="I6" s="6"/>
      <c r="J6" s="3"/>
      <c r="K6" s="8"/>
      <c r="L6" s="3"/>
      <c r="M6" s="4"/>
      <c r="N6" s="6"/>
      <c r="O6" s="6"/>
      <c r="P6" s="6"/>
      <c r="Q6" s="2"/>
      <c r="R6" s="2"/>
      <c r="S6" s="2"/>
      <c r="T6" s="2"/>
      <c r="U6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7"/>
  <sheetViews>
    <sheetView workbookViewId="0">
      <selection activeCell="G12" sqref="G12"/>
    </sheetView>
  </sheetViews>
  <sheetFormatPr defaultRowHeight="15" x14ac:dyDescent="0.25"/>
  <cols>
    <col min="2" max="2" width="18.7109375" customWidth="1"/>
    <col min="3" max="3" width="12.28515625" customWidth="1"/>
    <col min="5" max="5" width="8.140625" customWidth="1"/>
    <col min="6" max="6" width="13.28515625" customWidth="1"/>
    <col min="13" max="13" width="10.7109375" customWidth="1"/>
    <col min="14" max="14" width="11.42578125" customWidth="1"/>
    <col min="15" max="15" width="10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23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 x14ac:dyDescent="0.25">
      <c r="A2" s="5">
        <v>44532</v>
      </c>
      <c r="B2" s="6" t="s">
        <v>20</v>
      </c>
      <c r="C2" s="6" t="s">
        <v>42</v>
      </c>
      <c r="D2" s="6" t="s">
        <v>21</v>
      </c>
      <c r="E2" s="6" t="s">
        <v>55</v>
      </c>
      <c r="F2" s="6" t="s">
        <v>22</v>
      </c>
      <c r="G2" s="6">
        <v>70000</v>
      </c>
      <c r="H2" s="6" t="s">
        <v>43</v>
      </c>
      <c r="I2" s="6" t="s">
        <v>44</v>
      </c>
      <c r="J2" s="10">
        <v>0.75</v>
      </c>
      <c r="K2" s="8">
        <v>0.82152777777777775</v>
      </c>
      <c r="L2" s="10">
        <v>0.60069444444444442</v>
      </c>
      <c r="M2" s="8">
        <v>0.60486111111111118</v>
      </c>
      <c r="N2" s="6" t="s">
        <v>58</v>
      </c>
      <c r="O2" s="6" t="s">
        <v>57</v>
      </c>
      <c r="P2" s="6">
        <v>624</v>
      </c>
      <c r="Q2" s="6">
        <v>400</v>
      </c>
      <c r="R2" s="2">
        <v>0</v>
      </c>
      <c r="S2" s="2">
        <v>0</v>
      </c>
      <c r="T2" s="2">
        <v>0</v>
      </c>
      <c r="U2" s="2">
        <v>0</v>
      </c>
    </row>
    <row r="3" spans="1:21" x14ac:dyDescent="0.25">
      <c r="A3" s="5">
        <v>44532</v>
      </c>
      <c r="B3" s="6" t="s">
        <v>37</v>
      </c>
      <c r="C3" s="6" t="s">
        <v>38</v>
      </c>
      <c r="D3" s="6" t="s">
        <v>21</v>
      </c>
      <c r="E3" s="6" t="s">
        <v>56</v>
      </c>
      <c r="F3" s="6" t="s">
        <v>39</v>
      </c>
      <c r="G3" s="6">
        <v>75000</v>
      </c>
      <c r="H3" s="6" t="s">
        <v>40</v>
      </c>
      <c r="I3" s="6" t="s">
        <v>41</v>
      </c>
      <c r="J3" s="3">
        <v>0.63194444444444442</v>
      </c>
      <c r="K3" s="4">
        <v>0.63055555555555554</v>
      </c>
      <c r="L3" s="3">
        <v>0.77083333333333337</v>
      </c>
      <c r="M3" s="4">
        <v>0.8222222222222223</v>
      </c>
      <c r="N3" s="2" t="s">
        <v>59</v>
      </c>
      <c r="O3" s="2" t="s">
        <v>60</v>
      </c>
      <c r="P3" s="2">
        <v>1369</v>
      </c>
      <c r="Q3" s="2">
        <v>1170</v>
      </c>
      <c r="R3" s="2">
        <v>0</v>
      </c>
      <c r="S3" s="2">
        <v>0</v>
      </c>
      <c r="T3" s="2">
        <v>0</v>
      </c>
      <c r="U3" s="2">
        <v>0</v>
      </c>
    </row>
    <row r="4" spans="1:21" x14ac:dyDescent="0.25">
      <c r="A4" s="5"/>
      <c r="B4" s="6"/>
      <c r="C4" s="6"/>
      <c r="D4" s="6"/>
      <c r="E4" s="6"/>
      <c r="F4" s="6"/>
      <c r="G4" s="6"/>
      <c r="H4" s="6"/>
      <c r="I4" s="6"/>
      <c r="J4" s="10"/>
      <c r="K4" s="8"/>
      <c r="L4" s="10"/>
      <c r="M4" s="8"/>
      <c r="N4" s="6"/>
      <c r="O4" s="6"/>
      <c r="P4" s="6"/>
      <c r="Q4" s="6"/>
      <c r="R4" s="2"/>
      <c r="S4" s="2"/>
      <c r="T4" s="2"/>
      <c r="U4" s="2"/>
    </row>
    <row r="5" spans="1:21" x14ac:dyDescent="0.25">
      <c r="A5" s="5"/>
      <c r="B5" s="6"/>
      <c r="C5" s="6"/>
      <c r="D5" s="6"/>
      <c r="E5" s="6"/>
      <c r="F5" s="6"/>
      <c r="G5" s="6"/>
      <c r="H5" s="6"/>
      <c r="I5" s="6"/>
      <c r="J5" s="10"/>
      <c r="K5" s="8"/>
      <c r="L5" s="10"/>
      <c r="M5" s="8"/>
      <c r="N5" s="6"/>
      <c r="O5" s="6"/>
      <c r="P5" s="6"/>
      <c r="Q5" s="6"/>
      <c r="R5" s="2"/>
      <c r="S5" s="2"/>
      <c r="T5" s="2"/>
      <c r="U5" s="2"/>
    </row>
    <row r="6" spans="1:21" x14ac:dyDescent="0.25">
      <c r="A6" s="5"/>
      <c r="B6" s="6"/>
      <c r="C6" s="6"/>
      <c r="D6" s="6"/>
      <c r="E6" s="6"/>
      <c r="F6" s="6"/>
      <c r="G6" s="6"/>
      <c r="H6" s="6"/>
      <c r="I6" s="6"/>
      <c r="J6" s="10"/>
      <c r="K6" s="8"/>
      <c r="L6" s="10"/>
      <c r="M6" s="4"/>
      <c r="N6" s="6"/>
      <c r="O6" s="6"/>
      <c r="P6" s="6"/>
      <c r="Q6" s="2"/>
      <c r="R6" s="2"/>
      <c r="S6" s="2"/>
      <c r="T6" s="2"/>
      <c r="U6" s="2"/>
    </row>
    <row r="7" spans="1:21" x14ac:dyDescent="0.25">
      <c r="J7" s="9"/>
    </row>
  </sheetData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"/>
  <sheetViews>
    <sheetView workbookViewId="0">
      <selection activeCell="D21" sqref="D21"/>
    </sheetView>
  </sheetViews>
  <sheetFormatPr defaultRowHeight="15" x14ac:dyDescent="0.25"/>
  <cols>
    <col min="1" max="1" width="10.5703125" customWidth="1"/>
    <col min="2" max="2" width="14.140625" customWidth="1"/>
    <col min="3" max="3" width="13.28515625" customWidth="1"/>
    <col min="6" max="6" width="15.85546875" customWidth="1"/>
    <col min="7" max="7" width="9.28515625" bestFit="1" customWidth="1"/>
    <col min="10" max="10" width="9.28515625" bestFit="1" customWidth="1"/>
    <col min="12" max="12" width="8.42578125" customWidth="1"/>
    <col min="14" max="14" width="11.7109375" customWidth="1"/>
    <col min="15" max="15" width="10" customWidth="1"/>
    <col min="18" max="21" width="9.28515625" bestFit="1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23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 x14ac:dyDescent="0.25">
      <c r="A2" s="5">
        <v>44533</v>
      </c>
      <c r="B2" s="6" t="s">
        <v>20</v>
      </c>
      <c r="C2" s="6" t="s">
        <v>24</v>
      </c>
      <c r="D2" s="6" t="s">
        <v>21</v>
      </c>
      <c r="E2" s="6" t="s">
        <v>55</v>
      </c>
      <c r="F2" s="6" t="s">
        <v>22</v>
      </c>
      <c r="G2" s="6">
        <v>70000</v>
      </c>
      <c r="H2" s="6" t="s">
        <v>25</v>
      </c>
      <c r="I2" s="6" t="s">
        <v>26</v>
      </c>
      <c r="J2" s="7">
        <v>0.31944444444444448</v>
      </c>
      <c r="K2" s="8">
        <v>0.33402777777777781</v>
      </c>
      <c r="L2" s="7">
        <v>0.77083333333333337</v>
      </c>
      <c r="M2" s="8">
        <v>0.81527777777777777</v>
      </c>
      <c r="N2" s="6" t="s">
        <v>64</v>
      </c>
      <c r="O2" s="6" t="s">
        <v>61</v>
      </c>
      <c r="P2" s="6">
        <v>786</v>
      </c>
      <c r="Q2" s="6">
        <v>850</v>
      </c>
      <c r="R2" s="6">
        <v>0</v>
      </c>
      <c r="S2" s="6">
        <v>0</v>
      </c>
      <c r="T2" s="6">
        <v>0</v>
      </c>
      <c r="U2" s="6">
        <v>0</v>
      </c>
    </row>
    <row r="3" spans="1:21" x14ac:dyDescent="0.25">
      <c r="A3" s="5">
        <v>44533</v>
      </c>
      <c r="B3" s="6" t="s">
        <v>20</v>
      </c>
      <c r="C3" s="6" t="s">
        <v>27</v>
      </c>
      <c r="D3" s="6" t="s">
        <v>21</v>
      </c>
      <c r="E3" s="6" t="s">
        <v>45</v>
      </c>
      <c r="F3" s="6" t="s">
        <v>22</v>
      </c>
      <c r="G3" s="6">
        <v>70000</v>
      </c>
      <c r="H3" s="6" t="s">
        <v>29</v>
      </c>
      <c r="I3" s="6" t="s">
        <v>28</v>
      </c>
      <c r="J3" s="7">
        <v>0.33333333333333331</v>
      </c>
      <c r="K3" s="8">
        <v>0.40972222222222227</v>
      </c>
      <c r="L3" s="7">
        <v>0.52083333333333337</v>
      </c>
      <c r="M3" s="8">
        <v>0.59305555555555556</v>
      </c>
      <c r="N3" s="6" t="s">
        <v>63</v>
      </c>
      <c r="O3" s="6" t="s">
        <v>62</v>
      </c>
      <c r="P3" s="6">
        <v>692</v>
      </c>
      <c r="Q3" s="6">
        <v>409</v>
      </c>
      <c r="R3" s="6">
        <v>0</v>
      </c>
      <c r="S3" s="6">
        <v>0</v>
      </c>
      <c r="T3" s="6">
        <v>0</v>
      </c>
      <c r="U3" s="6">
        <v>0</v>
      </c>
    </row>
    <row r="4" spans="1:21" x14ac:dyDescent="0.25">
      <c r="A4" s="5"/>
      <c r="B4" s="6"/>
      <c r="C4" s="6"/>
      <c r="D4" s="6"/>
      <c r="E4" s="6"/>
      <c r="F4" s="6"/>
      <c r="G4" s="6"/>
      <c r="H4" s="6"/>
      <c r="I4" s="6"/>
      <c r="J4" s="7"/>
      <c r="K4" s="8"/>
      <c r="L4" s="7"/>
      <c r="M4" s="8"/>
      <c r="N4" s="6"/>
      <c r="O4" s="6"/>
      <c r="P4" s="6"/>
      <c r="Q4" s="6"/>
      <c r="R4" s="6"/>
      <c r="S4" s="6"/>
      <c r="T4" s="6"/>
      <c r="U4" s="6"/>
    </row>
    <row r="5" spans="1:21" s="2" customFormat="1" ht="12.75" x14ac:dyDescent="0.2">
      <c r="A5" s="5"/>
      <c r="B5" s="6"/>
      <c r="C5" s="6"/>
      <c r="D5" s="6"/>
      <c r="E5" s="6"/>
      <c r="F5" s="6"/>
      <c r="G5" s="6"/>
      <c r="H5" s="6"/>
      <c r="I5" s="6"/>
      <c r="J5" s="3"/>
      <c r="K5" s="4"/>
      <c r="L5" s="3"/>
      <c r="M5" s="4"/>
    </row>
  </sheetData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6"/>
  <sheetViews>
    <sheetView workbookViewId="0">
      <selection activeCell="F15" sqref="F15"/>
    </sheetView>
  </sheetViews>
  <sheetFormatPr defaultRowHeight="15" x14ac:dyDescent="0.25"/>
  <cols>
    <col min="1" max="1" width="12" customWidth="1"/>
    <col min="3" max="3" width="12.85546875" customWidth="1"/>
    <col min="4" max="4" width="8" customWidth="1"/>
    <col min="6" max="6" width="17.85546875" customWidth="1"/>
    <col min="7" max="7" width="9.28515625" bestFit="1" customWidth="1"/>
    <col min="10" max="10" width="9.28515625" bestFit="1" customWidth="1"/>
    <col min="12" max="12" width="9.28515625" bestFit="1" customWidth="1"/>
    <col min="14" max="14" width="10.28515625" customWidth="1"/>
    <col min="15" max="15" width="9.85546875" customWidth="1"/>
    <col min="16" max="16" width="11.5703125" customWidth="1"/>
    <col min="18" max="21" width="9.28515625" bestFit="1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23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 x14ac:dyDescent="0.25">
      <c r="A2" s="5">
        <v>44534</v>
      </c>
      <c r="B2" s="6" t="s">
        <v>20</v>
      </c>
      <c r="C2" s="6" t="s">
        <v>30</v>
      </c>
      <c r="D2" s="6" t="s">
        <v>21</v>
      </c>
      <c r="E2" s="6" t="s">
        <v>55</v>
      </c>
      <c r="F2" s="6" t="s">
        <v>22</v>
      </c>
      <c r="G2" s="6">
        <v>70000</v>
      </c>
      <c r="H2" s="6" t="s">
        <v>65</v>
      </c>
      <c r="I2" s="6" t="s">
        <v>69</v>
      </c>
      <c r="J2" s="7">
        <v>0.50347222222222221</v>
      </c>
      <c r="K2" s="8">
        <v>0.60277777777777775</v>
      </c>
      <c r="L2" s="7">
        <v>0.31944444444444448</v>
      </c>
      <c r="M2" s="8">
        <v>0.43402777777777773</v>
      </c>
      <c r="N2" s="6" t="s">
        <v>81</v>
      </c>
      <c r="O2" s="6" t="s">
        <v>73</v>
      </c>
      <c r="P2" s="6">
        <v>810</v>
      </c>
      <c r="Q2" s="6">
        <v>636</v>
      </c>
      <c r="R2" s="6">
        <v>0</v>
      </c>
      <c r="S2" s="6">
        <v>0</v>
      </c>
      <c r="T2" s="6">
        <v>0</v>
      </c>
      <c r="U2" s="6">
        <v>0</v>
      </c>
    </row>
    <row r="3" spans="1:21" x14ac:dyDescent="0.25">
      <c r="A3" s="5">
        <v>44534</v>
      </c>
      <c r="B3" s="6" t="s">
        <v>20</v>
      </c>
      <c r="C3" s="6" t="s">
        <v>32</v>
      </c>
      <c r="D3" s="6" t="s">
        <v>21</v>
      </c>
      <c r="E3" s="6" t="s">
        <v>45</v>
      </c>
      <c r="F3" s="6" t="s">
        <v>22</v>
      </c>
      <c r="G3" s="6">
        <v>70000</v>
      </c>
      <c r="H3" s="6" t="s">
        <v>66</v>
      </c>
      <c r="I3" s="6" t="s">
        <v>70</v>
      </c>
      <c r="J3" s="7">
        <v>0.51388888888888895</v>
      </c>
      <c r="K3" s="8">
        <v>0.60763888888888895</v>
      </c>
      <c r="L3" s="7">
        <v>0.34027777777777773</v>
      </c>
      <c r="M3" s="8">
        <v>0.4375</v>
      </c>
      <c r="N3" s="6" t="s">
        <v>82</v>
      </c>
      <c r="O3" s="6" t="s">
        <v>74</v>
      </c>
      <c r="P3" s="6">
        <v>876</v>
      </c>
      <c r="Q3" s="6">
        <v>501</v>
      </c>
      <c r="R3" s="6">
        <v>0</v>
      </c>
      <c r="S3" s="6">
        <v>0</v>
      </c>
      <c r="T3" s="6">
        <v>0</v>
      </c>
      <c r="U3" s="6">
        <v>0</v>
      </c>
    </row>
    <row r="4" spans="1:21" x14ac:dyDescent="0.25">
      <c r="A4" s="5">
        <v>44534</v>
      </c>
      <c r="B4" s="6" t="s">
        <v>20</v>
      </c>
      <c r="C4" s="6" t="s">
        <v>31</v>
      </c>
      <c r="D4" s="6" t="s">
        <v>21</v>
      </c>
      <c r="E4" s="6" t="s">
        <v>45</v>
      </c>
      <c r="F4" s="6" t="s">
        <v>22</v>
      </c>
      <c r="G4" s="6">
        <v>70000</v>
      </c>
      <c r="H4" s="6" t="s">
        <v>67</v>
      </c>
      <c r="I4" s="6" t="s">
        <v>71</v>
      </c>
      <c r="J4" s="7">
        <v>0.69791666666666663</v>
      </c>
      <c r="K4" s="8">
        <v>0.79652777777777783</v>
      </c>
      <c r="L4" s="7">
        <v>0.53125</v>
      </c>
      <c r="M4" s="8">
        <v>0.64374999999999993</v>
      </c>
      <c r="N4" s="6" t="s">
        <v>85</v>
      </c>
      <c r="O4" s="6" t="s">
        <v>83</v>
      </c>
      <c r="P4" s="6">
        <v>970</v>
      </c>
      <c r="Q4" s="6">
        <v>1023</v>
      </c>
      <c r="R4" s="6">
        <v>0</v>
      </c>
      <c r="S4" s="6">
        <v>0</v>
      </c>
      <c r="T4" s="6">
        <v>0</v>
      </c>
      <c r="U4" s="6">
        <v>0</v>
      </c>
    </row>
    <row r="5" spans="1:21" x14ac:dyDescent="0.25">
      <c r="A5" s="5">
        <v>44534</v>
      </c>
      <c r="B5" s="6" t="s">
        <v>20</v>
      </c>
      <c r="C5" s="6" t="s">
        <v>33</v>
      </c>
      <c r="D5" s="6" t="s">
        <v>75</v>
      </c>
      <c r="E5" s="6" t="s">
        <v>76</v>
      </c>
      <c r="F5" s="6" t="s">
        <v>22</v>
      </c>
      <c r="G5" s="6">
        <v>70000</v>
      </c>
      <c r="H5" s="6" t="s">
        <v>68</v>
      </c>
      <c r="I5" s="6" t="s">
        <v>72</v>
      </c>
      <c r="J5" s="7">
        <v>0.75347222222222221</v>
      </c>
      <c r="K5" s="8">
        <v>0.80902777777777779</v>
      </c>
      <c r="L5" s="7">
        <v>0.53472222222222221</v>
      </c>
      <c r="M5" s="8">
        <v>0.59722222222222221</v>
      </c>
      <c r="N5" s="6" t="s">
        <v>86</v>
      </c>
      <c r="O5" s="6" t="s">
        <v>84</v>
      </c>
      <c r="P5" s="6">
        <v>313</v>
      </c>
      <c r="Q5" s="6">
        <v>354</v>
      </c>
      <c r="R5" s="6">
        <v>0</v>
      </c>
      <c r="S5" s="6">
        <v>0</v>
      </c>
      <c r="T5" s="6">
        <v>0</v>
      </c>
      <c r="U5" s="6">
        <v>0</v>
      </c>
    </row>
    <row r="6" spans="1:21" x14ac:dyDescent="0.25">
      <c r="A6" s="5">
        <v>44534</v>
      </c>
      <c r="B6" s="6" t="s">
        <v>20</v>
      </c>
      <c r="C6" s="6" t="s">
        <v>80</v>
      </c>
      <c r="D6" s="6" t="s">
        <v>75</v>
      </c>
      <c r="E6" s="6" t="s">
        <v>76</v>
      </c>
      <c r="F6" s="6" t="s">
        <v>79</v>
      </c>
      <c r="G6" s="6">
        <v>80000</v>
      </c>
      <c r="H6" s="6" t="s">
        <v>77</v>
      </c>
      <c r="I6" s="6" t="s">
        <v>78</v>
      </c>
      <c r="J6" s="7">
        <v>0.5625</v>
      </c>
      <c r="K6" s="8">
        <v>0.56458333333333333</v>
      </c>
      <c r="L6" s="7">
        <v>0.8125</v>
      </c>
      <c r="M6" s="8">
        <v>0.82916666666666661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</row>
  </sheetData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6"/>
  <sheetViews>
    <sheetView workbookViewId="0">
      <selection activeCell="H12" sqref="H12"/>
    </sheetView>
  </sheetViews>
  <sheetFormatPr defaultRowHeight="15" x14ac:dyDescent="0.25"/>
  <cols>
    <col min="2" max="2" width="19.28515625" customWidth="1"/>
    <col min="3" max="3" width="13.5703125" bestFit="1" customWidth="1"/>
    <col min="5" max="5" width="12.7109375" bestFit="1" customWidth="1"/>
    <col min="6" max="6" width="11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23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 x14ac:dyDescent="0.25">
      <c r="A2" s="5">
        <v>44535</v>
      </c>
      <c r="B2" s="6" t="s">
        <v>20</v>
      </c>
      <c r="C2" s="6" t="s">
        <v>87</v>
      </c>
      <c r="D2" s="6" t="s">
        <v>21</v>
      </c>
      <c r="E2" s="6" t="s">
        <v>55</v>
      </c>
      <c r="F2" s="6" t="s">
        <v>22</v>
      </c>
      <c r="G2" s="6">
        <v>70000</v>
      </c>
      <c r="H2" s="6" t="s">
        <v>88</v>
      </c>
      <c r="I2" s="6" t="s">
        <v>89</v>
      </c>
      <c r="J2" s="7">
        <v>0.44791666666666669</v>
      </c>
      <c r="K2" s="8">
        <v>0.4381944444444445</v>
      </c>
      <c r="L2" s="7">
        <v>0.3298611111111111</v>
      </c>
      <c r="M2" s="8">
        <v>0.32569444444444445</v>
      </c>
      <c r="N2" s="6" t="s">
        <v>101</v>
      </c>
      <c r="O2" s="6" t="s">
        <v>97</v>
      </c>
      <c r="P2" s="6">
        <v>338</v>
      </c>
      <c r="Q2" s="6">
        <v>315</v>
      </c>
      <c r="R2" s="6">
        <v>0</v>
      </c>
      <c r="S2" s="6">
        <v>0</v>
      </c>
      <c r="T2" s="6">
        <v>0</v>
      </c>
      <c r="U2" s="6">
        <v>0</v>
      </c>
    </row>
    <row r="3" spans="1:21" x14ac:dyDescent="0.25">
      <c r="A3" s="5">
        <v>44535</v>
      </c>
      <c r="B3" s="6" t="s">
        <v>20</v>
      </c>
      <c r="C3" s="6" t="s">
        <v>42</v>
      </c>
      <c r="D3" s="6" t="s">
        <v>21</v>
      </c>
      <c r="E3" s="6" t="s">
        <v>45</v>
      </c>
      <c r="F3" s="6" t="s">
        <v>22</v>
      </c>
      <c r="G3" s="6">
        <v>70000</v>
      </c>
      <c r="H3" s="6" t="s">
        <v>43</v>
      </c>
      <c r="I3" s="6" t="s">
        <v>44</v>
      </c>
      <c r="J3" s="7">
        <v>0.75</v>
      </c>
      <c r="K3" s="8">
        <v>0.75138888888888899</v>
      </c>
      <c r="L3" s="7">
        <v>0.37847222222222227</v>
      </c>
      <c r="M3" s="8">
        <v>0.3972222222222222</v>
      </c>
      <c r="N3" s="6" t="s">
        <v>105</v>
      </c>
      <c r="O3" s="6" t="s">
        <v>98</v>
      </c>
      <c r="P3" s="6">
        <v>878</v>
      </c>
      <c r="Q3" s="6">
        <v>901</v>
      </c>
      <c r="R3" s="6">
        <v>0</v>
      </c>
      <c r="S3" s="6">
        <v>0</v>
      </c>
      <c r="T3" s="6">
        <v>0</v>
      </c>
      <c r="U3" s="6">
        <v>0</v>
      </c>
    </row>
    <row r="4" spans="1:21" x14ac:dyDescent="0.25">
      <c r="A4" s="5">
        <v>44535</v>
      </c>
      <c r="B4" s="6" t="s">
        <v>20</v>
      </c>
      <c r="C4" s="6" t="s">
        <v>34</v>
      </c>
      <c r="D4" s="6" t="s">
        <v>21</v>
      </c>
      <c r="E4" s="6" t="s">
        <v>55</v>
      </c>
      <c r="F4" s="6" t="s">
        <v>22</v>
      </c>
      <c r="G4" s="6">
        <v>70000</v>
      </c>
      <c r="H4" s="6" t="s">
        <v>35</v>
      </c>
      <c r="I4" s="6" t="s">
        <v>36</v>
      </c>
      <c r="J4" s="7">
        <v>0.6875</v>
      </c>
      <c r="K4" s="8">
        <v>0.66736111111111107</v>
      </c>
      <c r="L4" s="7">
        <v>0.47916666666666669</v>
      </c>
      <c r="M4" s="8">
        <v>0.4777777777777778</v>
      </c>
      <c r="N4" s="6" t="s">
        <v>103</v>
      </c>
      <c r="O4" s="6" t="s">
        <v>102</v>
      </c>
      <c r="P4" s="6">
        <v>547</v>
      </c>
      <c r="Q4" s="6">
        <v>525</v>
      </c>
      <c r="R4" s="6">
        <v>0</v>
      </c>
      <c r="S4" s="6">
        <v>0</v>
      </c>
      <c r="T4" s="6">
        <v>0</v>
      </c>
      <c r="U4" s="6">
        <v>0</v>
      </c>
    </row>
    <row r="5" spans="1:21" x14ac:dyDescent="0.25">
      <c r="A5" s="5">
        <v>44535</v>
      </c>
      <c r="B5" s="6" t="s">
        <v>20</v>
      </c>
      <c r="C5" s="6" t="s">
        <v>90</v>
      </c>
      <c r="D5" s="6" t="s">
        <v>21</v>
      </c>
      <c r="E5" s="6" t="s">
        <v>55</v>
      </c>
      <c r="F5" s="6" t="s">
        <v>22</v>
      </c>
      <c r="G5" s="6">
        <v>70000</v>
      </c>
      <c r="H5" s="6" t="s">
        <v>91</v>
      </c>
      <c r="I5" s="6" t="s">
        <v>92</v>
      </c>
      <c r="J5" s="7">
        <v>0.91319444444444453</v>
      </c>
      <c r="K5" s="8">
        <v>0.90069444444444446</v>
      </c>
      <c r="L5" s="7">
        <v>0.70833333333333337</v>
      </c>
      <c r="M5" s="8">
        <v>0.70624999999999993</v>
      </c>
      <c r="N5" s="6" t="s">
        <v>106</v>
      </c>
      <c r="O5" s="6" t="s">
        <v>104</v>
      </c>
      <c r="P5" s="6">
        <v>299</v>
      </c>
      <c r="Q5" s="6">
        <v>705</v>
      </c>
      <c r="R5" s="6">
        <v>0</v>
      </c>
      <c r="S5" s="6">
        <v>0</v>
      </c>
      <c r="T5" s="6">
        <v>0</v>
      </c>
      <c r="U5" s="6">
        <v>0</v>
      </c>
    </row>
    <row r="6" spans="1:21" s="2" customFormat="1" ht="12.75" x14ac:dyDescent="0.2">
      <c r="A6" s="5">
        <v>44535</v>
      </c>
      <c r="B6" s="6" t="s">
        <v>93</v>
      </c>
      <c r="C6" s="6" t="s">
        <v>123</v>
      </c>
      <c r="D6" s="6" t="s">
        <v>94</v>
      </c>
      <c r="E6" s="6" t="s">
        <v>95</v>
      </c>
      <c r="F6" s="6" t="s">
        <v>96</v>
      </c>
      <c r="G6" s="6">
        <v>13000</v>
      </c>
      <c r="H6" s="6" t="str">
        <f>E6</f>
        <v>OM-AVB</v>
      </c>
      <c r="I6" s="6" t="str">
        <f>H6</f>
        <v>OM-AVB</v>
      </c>
      <c r="J6" s="3">
        <v>0.38194444444444442</v>
      </c>
      <c r="K6" s="4">
        <f>J6</f>
        <v>0.38194444444444442</v>
      </c>
      <c r="L6" s="3">
        <v>0.4236111111111111</v>
      </c>
      <c r="M6" s="4" t="s">
        <v>99</v>
      </c>
      <c r="N6" s="12">
        <v>0</v>
      </c>
      <c r="O6" s="12" t="s">
        <v>100</v>
      </c>
      <c r="P6" s="12">
        <v>0</v>
      </c>
      <c r="Q6" s="12" t="s">
        <v>100</v>
      </c>
      <c r="R6" s="6">
        <v>0</v>
      </c>
      <c r="S6" s="6" t="s">
        <v>100</v>
      </c>
      <c r="T6" s="6">
        <v>0</v>
      </c>
      <c r="U6" s="6" t="s">
        <v>100</v>
      </c>
    </row>
  </sheetData>
  <pageMargins left="0.7" right="0.7" top="0.75" bottom="0.75" header="0.3" footer="0.3"/>
  <pageSetup paperSize="9"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7"/>
  <sheetViews>
    <sheetView workbookViewId="0">
      <selection activeCell="G13" sqref="G13"/>
    </sheetView>
  </sheetViews>
  <sheetFormatPr defaultRowHeight="15" x14ac:dyDescent="0.25"/>
  <cols>
    <col min="2" max="2" width="10.85546875" customWidth="1"/>
    <col min="3" max="3" width="12.28515625" customWidth="1"/>
    <col min="5" max="5" width="10.85546875" customWidth="1"/>
    <col min="6" max="6" width="12" customWidth="1"/>
    <col min="14" max="14" width="14.28515625" customWidth="1"/>
    <col min="15" max="15" width="12.140625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23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 x14ac:dyDescent="0.25">
      <c r="A2" s="5">
        <v>44536</v>
      </c>
      <c r="B2" s="6" t="s">
        <v>20</v>
      </c>
      <c r="C2" s="6" t="s">
        <v>24</v>
      </c>
      <c r="D2" s="6" t="s">
        <v>21</v>
      </c>
      <c r="E2" s="6" t="s">
        <v>55</v>
      </c>
      <c r="F2" s="6" t="s">
        <v>22</v>
      </c>
      <c r="G2" s="6">
        <v>70000</v>
      </c>
      <c r="H2" s="6" t="s">
        <v>25</v>
      </c>
      <c r="I2" s="6" t="s">
        <v>26</v>
      </c>
      <c r="J2" s="10">
        <v>0.77083333333333337</v>
      </c>
      <c r="K2" s="8">
        <v>0.76527777777777783</v>
      </c>
      <c r="L2" s="10">
        <v>0.31944444444444448</v>
      </c>
      <c r="M2" s="8">
        <v>0.32291666666666669</v>
      </c>
      <c r="N2" s="6" t="s">
        <v>109</v>
      </c>
      <c r="O2" s="6" t="s">
        <v>107</v>
      </c>
      <c r="P2" s="6">
        <v>786</v>
      </c>
      <c r="Q2" s="6">
        <v>562</v>
      </c>
      <c r="R2" s="2">
        <v>0</v>
      </c>
      <c r="S2" s="2">
        <v>0</v>
      </c>
      <c r="T2" s="2">
        <v>0</v>
      </c>
      <c r="U2" s="2">
        <v>0</v>
      </c>
    </row>
    <row r="3" spans="1:21" x14ac:dyDescent="0.25">
      <c r="A3" s="5"/>
      <c r="B3" s="6"/>
      <c r="C3" s="6"/>
      <c r="D3" s="6"/>
      <c r="E3" s="6"/>
      <c r="F3" s="6"/>
      <c r="G3" s="6"/>
      <c r="H3" s="6"/>
      <c r="I3" s="6"/>
      <c r="J3" s="10"/>
      <c r="K3" s="8"/>
      <c r="L3" s="10"/>
      <c r="M3" s="8"/>
      <c r="N3" s="6"/>
      <c r="O3" s="6"/>
      <c r="P3" s="6"/>
      <c r="Q3" s="6"/>
      <c r="R3" s="6"/>
      <c r="S3" s="6"/>
      <c r="T3" s="6"/>
      <c r="U3" s="6"/>
    </row>
    <row r="4" spans="1:21" x14ac:dyDescent="0.25">
      <c r="A4" s="5"/>
      <c r="B4" s="6"/>
      <c r="C4" s="6"/>
      <c r="D4" s="6"/>
      <c r="E4" s="6"/>
      <c r="F4" s="6"/>
      <c r="G4" s="6"/>
      <c r="H4" s="6"/>
      <c r="I4" s="6"/>
      <c r="J4" s="10"/>
      <c r="K4" s="8"/>
      <c r="L4" s="10"/>
      <c r="M4" s="8"/>
      <c r="N4" s="6"/>
      <c r="O4" s="6"/>
      <c r="P4" s="6"/>
      <c r="Q4" s="6"/>
      <c r="R4" s="2"/>
      <c r="S4" s="2"/>
      <c r="T4" s="2"/>
      <c r="U4" s="2"/>
    </row>
    <row r="5" spans="1:21" x14ac:dyDescent="0.25">
      <c r="A5" s="5"/>
      <c r="B5" s="6"/>
      <c r="C5" s="6"/>
      <c r="D5" s="6"/>
      <c r="E5" s="6"/>
      <c r="F5" s="6"/>
      <c r="G5" s="6"/>
      <c r="H5" s="6"/>
      <c r="I5" s="6"/>
      <c r="J5" s="10"/>
      <c r="K5" s="8"/>
      <c r="L5" s="10"/>
      <c r="M5" s="8"/>
      <c r="N5" s="6"/>
      <c r="O5" s="6"/>
      <c r="P5" s="6"/>
      <c r="Q5" s="6"/>
      <c r="R5" s="2"/>
      <c r="S5" s="2"/>
      <c r="T5" s="2"/>
      <c r="U5" s="2"/>
    </row>
    <row r="6" spans="1:21" x14ac:dyDescent="0.25">
      <c r="A6" s="5"/>
      <c r="B6" s="6"/>
      <c r="C6" s="6"/>
      <c r="D6" s="6"/>
      <c r="E6" s="6"/>
      <c r="F6" s="6"/>
      <c r="G6" s="6"/>
      <c r="H6" s="6"/>
      <c r="I6" s="6"/>
      <c r="J6" s="10"/>
      <c r="K6" s="8"/>
      <c r="L6" s="10"/>
      <c r="M6" s="4"/>
      <c r="N6" s="6"/>
      <c r="O6" s="6"/>
      <c r="P6" s="6"/>
      <c r="Q6" s="2"/>
      <c r="R6" s="2"/>
      <c r="S6" s="2"/>
      <c r="T6" s="2"/>
      <c r="U6" s="2"/>
    </row>
    <row r="7" spans="1:21" x14ac:dyDescent="0.25">
      <c r="J7" s="9"/>
    </row>
  </sheetData>
  <pageMargins left="0.7" right="0.7" top="0.75" bottom="0.75" header="0.3" footer="0.3"/>
  <pageSetup paperSize="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1"/>
  <sheetViews>
    <sheetView workbookViewId="0">
      <selection activeCell="L16" sqref="L16"/>
    </sheetView>
  </sheetViews>
  <sheetFormatPr defaultRowHeight="15" x14ac:dyDescent="0.25"/>
  <cols>
    <col min="1" max="1" width="10.140625" bestFit="1" customWidth="1"/>
    <col min="2" max="2" width="29.140625" bestFit="1" customWidth="1"/>
    <col min="3" max="3" width="12.28515625" customWidth="1"/>
    <col min="4" max="4" width="7.140625" customWidth="1"/>
    <col min="5" max="5" width="14.28515625" customWidth="1"/>
    <col min="6" max="6" width="20.85546875" bestFit="1" customWidth="1"/>
    <col min="10" max="10" width="9.42578125" customWidth="1"/>
    <col min="11" max="11" width="12.140625" customWidth="1"/>
    <col min="12" max="12" width="11" bestFit="1" customWidth="1"/>
    <col min="14" max="14" width="14.28515625" customWidth="1"/>
    <col min="15" max="15" width="12.140625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23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 s="2" customFormat="1" ht="12.75" x14ac:dyDescent="0.2">
      <c r="A2" s="11">
        <v>44537</v>
      </c>
      <c r="B2" s="6" t="s">
        <v>20</v>
      </c>
      <c r="C2" s="6" t="s">
        <v>30</v>
      </c>
      <c r="D2" s="6" t="s">
        <v>21</v>
      </c>
      <c r="E2" s="6" t="s">
        <v>55</v>
      </c>
      <c r="F2" s="6" t="s">
        <v>22</v>
      </c>
      <c r="G2" s="6">
        <v>70000</v>
      </c>
      <c r="H2" s="6" t="s">
        <v>65</v>
      </c>
      <c r="I2" s="6" t="s">
        <v>69</v>
      </c>
      <c r="J2" s="7">
        <v>0.50347222222222221</v>
      </c>
      <c r="K2" s="8">
        <v>0.50555555555555554</v>
      </c>
      <c r="L2" s="7">
        <v>0.31944444444444448</v>
      </c>
      <c r="M2" s="8">
        <v>0.33749999999999997</v>
      </c>
      <c r="N2" s="6" t="s">
        <v>119</v>
      </c>
      <c r="O2" s="6" t="s">
        <v>116</v>
      </c>
      <c r="P2" s="6">
        <v>344</v>
      </c>
      <c r="Q2" s="6">
        <v>387</v>
      </c>
      <c r="R2" s="6">
        <v>0</v>
      </c>
      <c r="S2" s="6">
        <v>0</v>
      </c>
      <c r="T2" s="6">
        <v>0</v>
      </c>
      <c r="U2" s="6">
        <v>0</v>
      </c>
    </row>
    <row r="3" spans="1:21" s="2" customFormat="1" ht="12.75" x14ac:dyDescent="0.2">
      <c r="A3" s="11">
        <v>44537</v>
      </c>
      <c r="B3" s="6" t="s">
        <v>20</v>
      </c>
      <c r="C3" s="6" t="s">
        <v>31</v>
      </c>
      <c r="D3" s="6" t="s">
        <v>21</v>
      </c>
      <c r="E3" s="6" t="s">
        <v>55</v>
      </c>
      <c r="F3" s="6" t="s">
        <v>22</v>
      </c>
      <c r="G3" s="6">
        <v>70000</v>
      </c>
      <c r="H3" s="6" t="s">
        <v>67</v>
      </c>
      <c r="I3" s="6" t="s">
        <v>71</v>
      </c>
      <c r="J3" s="7">
        <v>0.69791666666666663</v>
      </c>
      <c r="K3" s="8">
        <v>0.69236111111111109</v>
      </c>
      <c r="L3" s="7">
        <v>0.53125</v>
      </c>
      <c r="M3" s="8">
        <v>0.54097222222222219</v>
      </c>
      <c r="N3" s="6" t="s">
        <v>120</v>
      </c>
      <c r="O3" s="6" t="s">
        <v>117</v>
      </c>
      <c r="P3" s="6">
        <v>457</v>
      </c>
      <c r="Q3" s="6">
        <v>346</v>
      </c>
      <c r="R3" s="6">
        <v>0</v>
      </c>
      <c r="S3" s="6">
        <v>0</v>
      </c>
      <c r="T3" s="6">
        <v>0</v>
      </c>
      <c r="U3" s="6">
        <v>0</v>
      </c>
    </row>
    <row r="4" spans="1:21" s="2" customFormat="1" ht="12.75" x14ac:dyDescent="0.2">
      <c r="A4" s="11">
        <v>44537</v>
      </c>
      <c r="B4" s="6" t="s">
        <v>20</v>
      </c>
      <c r="C4" s="6" t="s">
        <v>32</v>
      </c>
      <c r="D4" s="6" t="s">
        <v>21</v>
      </c>
      <c r="E4" s="6" t="s">
        <v>108</v>
      </c>
      <c r="F4" s="6" t="s">
        <v>22</v>
      </c>
      <c r="G4" s="6">
        <v>70000</v>
      </c>
      <c r="H4" s="6" t="s">
        <v>66</v>
      </c>
      <c r="I4" s="6" t="s">
        <v>70</v>
      </c>
      <c r="J4" s="7">
        <v>0.70833333333333337</v>
      </c>
      <c r="K4" s="8">
        <v>0.73055555555555562</v>
      </c>
      <c r="L4" s="7">
        <v>0.53472222222222221</v>
      </c>
      <c r="M4" s="8">
        <v>0.53680555555555554</v>
      </c>
      <c r="N4" s="6" t="s">
        <v>121</v>
      </c>
      <c r="O4" s="6" t="s">
        <v>118</v>
      </c>
      <c r="P4" s="6">
        <v>541</v>
      </c>
      <c r="Q4" s="6">
        <v>406</v>
      </c>
      <c r="R4" s="6">
        <v>0</v>
      </c>
      <c r="S4" s="6">
        <v>0</v>
      </c>
      <c r="T4" s="6">
        <v>0</v>
      </c>
      <c r="U4" s="6">
        <v>0</v>
      </c>
    </row>
    <row r="5" spans="1:21" s="2" customFormat="1" ht="12.75" x14ac:dyDescent="0.2">
      <c r="A5" s="11">
        <v>44537</v>
      </c>
      <c r="B5" s="2" t="s">
        <v>110</v>
      </c>
      <c r="C5" s="2" t="s">
        <v>111</v>
      </c>
      <c r="D5" s="2" t="s">
        <v>112</v>
      </c>
      <c r="E5" s="2" t="s">
        <v>113</v>
      </c>
      <c r="F5" s="2" t="s">
        <v>122</v>
      </c>
      <c r="G5" s="2">
        <v>63276</v>
      </c>
      <c r="H5" s="2" t="s">
        <v>114</v>
      </c>
      <c r="I5" s="2" t="s">
        <v>100</v>
      </c>
      <c r="J5" s="3">
        <v>0.95833333333333337</v>
      </c>
      <c r="K5" s="4">
        <v>2.8472222222222222E-2</v>
      </c>
      <c r="L5" s="3" t="s">
        <v>99</v>
      </c>
      <c r="M5" s="4" t="s">
        <v>99</v>
      </c>
      <c r="N5" s="2">
        <v>0</v>
      </c>
      <c r="O5" s="2">
        <v>0</v>
      </c>
      <c r="P5" s="2">
        <v>0</v>
      </c>
      <c r="Q5" s="2">
        <v>0</v>
      </c>
      <c r="R5" s="2">
        <v>2287</v>
      </c>
      <c r="S5" s="2">
        <v>0</v>
      </c>
      <c r="T5" s="2">
        <v>0</v>
      </c>
      <c r="U5" s="2">
        <v>0</v>
      </c>
    </row>
    <row r="6" spans="1:21" s="2" customFormat="1" ht="12.75" x14ac:dyDescent="0.2">
      <c r="A6" s="5">
        <v>44537</v>
      </c>
      <c r="B6" s="6" t="s">
        <v>93</v>
      </c>
      <c r="C6" s="6" t="s">
        <v>115</v>
      </c>
      <c r="D6" s="6" t="s">
        <v>94</v>
      </c>
      <c r="E6" s="6" t="s">
        <v>95</v>
      </c>
      <c r="F6" s="6" t="s">
        <v>96</v>
      </c>
      <c r="G6" s="6">
        <v>13000</v>
      </c>
      <c r="H6" s="6" t="str">
        <f>E6</f>
        <v>OM-AVB</v>
      </c>
      <c r="I6" s="6" t="str">
        <f>H6</f>
        <v>OM-AVB</v>
      </c>
      <c r="J6" s="3" t="s">
        <v>99</v>
      </c>
      <c r="K6" s="4" t="str">
        <f>J6</f>
        <v>ROP</v>
      </c>
      <c r="L6" s="3">
        <v>0.47916666666666669</v>
      </c>
      <c r="M6" s="4">
        <v>0.49236111111111108</v>
      </c>
      <c r="N6" s="12">
        <v>0</v>
      </c>
      <c r="O6" s="12">
        <v>0</v>
      </c>
      <c r="P6" s="12">
        <v>0</v>
      </c>
      <c r="Q6" s="12">
        <v>0</v>
      </c>
      <c r="R6" s="6">
        <v>0</v>
      </c>
      <c r="S6" s="6">
        <v>0</v>
      </c>
      <c r="T6" s="6">
        <v>0</v>
      </c>
      <c r="U6" s="6">
        <v>0</v>
      </c>
    </row>
    <row r="7" spans="1:21" s="2" customFormat="1" ht="12.75" x14ac:dyDescent="0.2">
      <c r="A7" s="11"/>
      <c r="J7" s="4"/>
      <c r="L7" s="4"/>
    </row>
    <row r="12" spans="1:21" x14ac:dyDescent="0.25">
      <c r="H12" s="2"/>
      <c r="I12" s="2"/>
    </row>
    <row r="21" spans="8:8" x14ac:dyDescent="0.25">
      <c r="H21" s="2"/>
    </row>
  </sheetData>
  <pageMargins left="0.7" right="0.7" top="0.75" bottom="0.75" header="0.3" footer="0.3"/>
  <pageSetup paperSize="9"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6"/>
  <sheetViews>
    <sheetView workbookViewId="0">
      <selection activeCell="C16" sqref="C16"/>
    </sheetView>
  </sheetViews>
  <sheetFormatPr defaultRowHeight="15" x14ac:dyDescent="0.25"/>
  <cols>
    <col min="2" max="2" width="29.140625" bestFit="1" customWidth="1"/>
    <col min="3" max="3" width="13.42578125" bestFit="1" customWidth="1"/>
    <col min="5" max="5" width="11.85546875" customWidth="1"/>
    <col min="6" max="6" width="22.85546875" customWidth="1"/>
    <col min="14" max="14" width="14.28515625" customWidth="1"/>
    <col min="15" max="15" width="12.85546875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23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 x14ac:dyDescent="0.25">
      <c r="A2" s="5">
        <v>44538</v>
      </c>
      <c r="B2" s="6" t="s">
        <v>20</v>
      </c>
      <c r="C2" s="6" t="s">
        <v>34</v>
      </c>
      <c r="D2" s="6" t="s">
        <v>21</v>
      </c>
      <c r="E2" s="6" t="s">
        <v>55</v>
      </c>
      <c r="F2" s="6" t="s">
        <v>22</v>
      </c>
      <c r="G2" s="6">
        <v>70000</v>
      </c>
      <c r="H2" s="6" t="s">
        <v>35</v>
      </c>
      <c r="I2" s="6" t="s">
        <v>36</v>
      </c>
      <c r="J2" s="7">
        <v>0.67013888888888884</v>
      </c>
      <c r="K2" s="8">
        <v>0.66388888888888886</v>
      </c>
      <c r="L2" s="7">
        <v>0.46180555555555558</v>
      </c>
      <c r="M2" s="8">
        <v>0.46597222222222223</v>
      </c>
      <c r="N2" s="6" t="s">
        <v>125</v>
      </c>
      <c r="O2" s="6" t="s">
        <v>124</v>
      </c>
      <c r="P2" s="6">
        <v>365</v>
      </c>
      <c r="Q2" s="6">
        <v>185</v>
      </c>
      <c r="R2" s="2">
        <v>0</v>
      </c>
      <c r="S2" s="2">
        <v>0</v>
      </c>
      <c r="T2" s="2">
        <v>0</v>
      </c>
      <c r="U2" s="2">
        <v>0</v>
      </c>
    </row>
    <row r="3" spans="1:21" x14ac:dyDescent="0.25">
      <c r="A3" s="5">
        <f>A2</f>
        <v>44538</v>
      </c>
      <c r="B3" s="6" t="s">
        <v>126</v>
      </c>
      <c r="C3" s="6" t="s">
        <v>127</v>
      </c>
      <c r="D3" s="6" t="s">
        <v>128</v>
      </c>
      <c r="E3" s="6" t="s">
        <v>129</v>
      </c>
      <c r="F3" s="6" t="s">
        <v>130</v>
      </c>
      <c r="G3" s="6">
        <v>750</v>
      </c>
      <c r="H3" s="6" t="str">
        <f>E3</f>
        <v>YU-DSW</v>
      </c>
      <c r="I3" s="6" t="str">
        <f>E3</f>
        <v>YU-DSW</v>
      </c>
      <c r="J3" s="7">
        <v>0.61458333333333337</v>
      </c>
      <c r="K3" s="8">
        <v>0.62013888888888891</v>
      </c>
      <c r="L3" s="7">
        <v>0.63541666666666663</v>
      </c>
      <c r="M3" s="8">
        <v>0.64930555555555558</v>
      </c>
      <c r="N3" s="6">
        <v>0</v>
      </c>
      <c r="O3" s="6">
        <v>0</v>
      </c>
      <c r="P3" s="6">
        <v>0</v>
      </c>
      <c r="Q3" s="6">
        <v>0</v>
      </c>
      <c r="R3" s="6">
        <v>0</v>
      </c>
      <c r="S3" s="6">
        <v>0</v>
      </c>
      <c r="T3" s="6">
        <v>0</v>
      </c>
      <c r="U3" s="6">
        <v>0</v>
      </c>
    </row>
    <row r="4" spans="1:21" x14ac:dyDescent="0.25">
      <c r="A4" s="11">
        <v>44538</v>
      </c>
      <c r="B4" s="2" t="s">
        <v>110</v>
      </c>
      <c r="C4" s="2" t="s">
        <v>133</v>
      </c>
      <c r="D4" s="2" t="s">
        <v>112</v>
      </c>
      <c r="E4" s="2" t="s">
        <v>113</v>
      </c>
      <c r="F4" s="2" t="s">
        <v>132</v>
      </c>
      <c r="G4" s="2">
        <v>63276</v>
      </c>
      <c r="H4" s="2" t="s">
        <v>100</v>
      </c>
      <c r="I4" s="2" t="s">
        <v>131</v>
      </c>
      <c r="J4" s="3" t="s">
        <v>99</v>
      </c>
      <c r="K4" s="4" t="s">
        <v>99</v>
      </c>
      <c r="L4" s="3">
        <v>0.625</v>
      </c>
      <c r="M4" s="4">
        <v>0.78263888888888899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</row>
    <row r="5" spans="1:21" x14ac:dyDescent="0.25">
      <c r="A5" s="5"/>
      <c r="B5" s="6"/>
      <c r="C5" s="6"/>
      <c r="D5" s="6"/>
      <c r="E5" s="6"/>
      <c r="F5" s="6"/>
      <c r="G5" s="6"/>
      <c r="H5" s="6"/>
      <c r="I5" s="6"/>
      <c r="J5" s="7"/>
      <c r="K5" s="8"/>
      <c r="L5" s="7"/>
      <c r="M5" s="8"/>
      <c r="N5" s="6"/>
      <c r="O5" s="6"/>
      <c r="P5" s="6"/>
      <c r="Q5" s="6"/>
      <c r="R5" s="2"/>
      <c r="S5" s="2"/>
      <c r="T5" s="2"/>
      <c r="U5" s="2"/>
    </row>
    <row r="6" spans="1:21" x14ac:dyDescent="0.25">
      <c r="A6" s="5"/>
      <c r="B6" s="6"/>
      <c r="C6" s="6"/>
      <c r="D6" s="6"/>
      <c r="E6" s="6"/>
      <c r="F6" s="6"/>
      <c r="G6" s="6"/>
      <c r="H6" s="6"/>
      <c r="I6" s="6"/>
      <c r="J6" s="3"/>
      <c r="K6" s="8"/>
      <c r="L6" s="3"/>
      <c r="M6" s="4"/>
      <c r="N6" s="6"/>
      <c r="O6" s="6"/>
      <c r="P6" s="6"/>
      <c r="Q6" s="2"/>
      <c r="R6" s="2"/>
      <c r="S6" s="2"/>
      <c r="T6" s="2"/>
      <c r="U6" s="2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6"/>
  <sheetViews>
    <sheetView workbookViewId="0">
      <selection activeCell="K2" sqref="K2"/>
    </sheetView>
  </sheetViews>
  <sheetFormatPr defaultRowHeight="15" x14ac:dyDescent="0.25"/>
  <cols>
    <col min="3" max="3" width="13.42578125" bestFit="1" customWidth="1"/>
    <col min="6" max="6" width="11.85546875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23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 x14ac:dyDescent="0.25">
      <c r="A2" s="5">
        <v>44539</v>
      </c>
      <c r="B2" s="6" t="s">
        <v>20</v>
      </c>
      <c r="C2" s="6" t="s">
        <v>42</v>
      </c>
      <c r="D2" s="6" t="s">
        <v>21</v>
      </c>
      <c r="E2" s="6" t="s">
        <v>134</v>
      </c>
      <c r="F2" s="6" t="s">
        <v>22</v>
      </c>
      <c r="G2" s="6">
        <v>70000</v>
      </c>
      <c r="H2" s="6" t="s">
        <v>43</v>
      </c>
      <c r="I2" s="6" t="s">
        <v>44</v>
      </c>
      <c r="J2" s="10">
        <v>0.75</v>
      </c>
      <c r="K2" s="8">
        <v>0.75</v>
      </c>
      <c r="L2" s="10">
        <v>0.60069444444444442</v>
      </c>
      <c r="M2" s="8">
        <v>0.60902777777777783</v>
      </c>
      <c r="N2" s="6" t="s">
        <v>61</v>
      </c>
      <c r="O2" s="6" t="s">
        <v>135</v>
      </c>
      <c r="P2" s="6">
        <v>753</v>
      </c>
      <c r="Q2" s="6">
        <v>575</v>
      </c>
      <c r="R2" s="2">
        <v>0</v>
      </c>
      <c r="S2" s="2">
        <v>0</v>
      </c>
      <c r="T2" s="2">
        <v>0</v>
      </c>
      <c r="U2" s="2">
        <v>0</v>
      </c>
    </row>
    <row r="3" spans="1:21" x14ac:dyDescent="0.25">
      <c r="A3" s="5"/>
      <c r="B3" s="6"/>
      <c r="C3" s="6"/>
      <c r="D3" s="6"/>
      <c r="E3" s="6"/>
      <c r="F3" s="6"/>
      <c r="G3" s="6"/>
      <c r="H3" s="6"/>
      <c r="I3" s="6"/>
      <c r="J3" s="10"/>
      <c r="K3" s="8"/>
      <c r="L3" s="10"/>
      <c r="M3" s="8"/>
      <c r="N3" s="6"/>
      <c r="O3" s="6"/>
      <c r="P3" s="6"/>
      <c r="Q3" s="6"/>
      <c r="R3" s="6"/>
      <c r="S3" s="6"/>
      <c r="T3" s="6"/>
      <c r="U3" s="6"/>
    </row>
    <row r="4" spans="1:21" x14ac:dyDescent="0.25">
      <c r="A4" s="5"/>
      <c r="B4" s="6"/>
      <c r="C4" s="6"/>
      <c r="D4" s="6"/>
      <c r="E4" s="6"/>
      <c r="F4" s="6"/>
      <c r="G4" s="6"/>
      <c r="H4" s="6"/>
      <c r="I4" s="6"/>
      <c r="J4" s="10"/>
      <c r="K4" s="8"/>
      <c r="L4" s="10"/>
      <c r="M4" s="8"/>
      <c r="N4" s="6"/>
      <c r="O4" s="6"/>
      <c r="P4" s="6"/>
      <c r="Q4" s="6"/>
      <c r="R4" s="2"/>
      <c r="S4" s="2"/>
      <c r="T4" s="2"/>
      <c r="U4" s="2"/>
    </row>
    <row r="5" spans="1:21" x14ac:dyDescent="0.25">
      <c r="A5" s="5"/>
      <c r="B5" s="6"/>
      <c r="C5" s="6"/>
      <c r="D5" s="6"/>
      <c r="E5" s="6"/>
      <c r="F5" s="6"/>
      <c r="G5" s="6"/>
      <c r="H5" s="6"/>
      <c r="I5" s="6"/>
      <c r="J5" s="10"/>
      <c r="K5" s="8"/>
      <c r="L5" s="10"/>
      <c r="M5" s="8"/>
      <c r="N5" s="6"/>
      <c r="O5" s="6"/>
      <c r="P5" s="6"/>
      <c r="Q5" s="6"/>
      <c r="R5" s="2"/>
      <c r="S5" s="2"/>
      <c r="T5" s="2"/>
      <c r="U5" s="2"/>
    </row>
    <row r="6" spans="1:21" x14ac:dyDescent="0.25">
      <c r="A6" s="5"/>
      <c r="B6" s="6"/>
      <c r="C6" s="6"/>
      <c r="D6" s="6"/>
      <c r="E6" s="6"/>
      <c r="F6" s="6"/>
      <c r="G6" s="6"/>
      <c r="H6" s="6"/>
      <c r="I6" s="6"/>
      <c r="J6" s="10"/>
      <c r="K6" s="8"/>
      <c r="L6" s="10"/>
      <c r="M6" s="4"/>
      <c r="N6" s="6"/>
      <c r="O6" s="6"/>
      <c r="P6" s="6"/>
      <c r="Q6" s="2"/>
      <c r="R6" s="2"/>
      <c r="S6" s="2"/>
      <c r="T6" s="2"/>
      <c r="U6" s="2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4"/>
  <sheetViews>
    <sheetView workbookViewId="0">
      <selection activeCell="O2" sqref="O2"/>
    </sheetView>
  </sheetViews>
  <sheetFormatPr defaultRowHeight="15" x14ac:dyDescent="0.25"/>
  <cols>
    <col min="3" max="3" width="12.140625" customWidth="1"/>
    <col min="6" max="6" width="11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23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 x14ac:dyDescent="0.25">
      <c r="A2" s="5">
        <v>44540</v>
      </c>
      <c r="B2" s="6" t="s">
        <v>20</v>
      </c>
      <c r="C2" s="6" t="s">
        <v>24</v>
      </c>
      <c r="D2" s="6" t="s">
        <v>21</v>
      </c>
      <c r="E2" s="6" t="s">
        <v>55</v>
      </c>
      <c r="F2" s="6" t="s">
        <v>22</v>
      </c>
      <c r="G2" s="6">
        <v>70000</v>
      </c>
      <c r="H2" s="6" t="s">
        <v>25</v>
      </c>
      <c r="I2" s="6" t="s">
        <v>26</v>
      </c>
      <c r="J2" s="7">
        <v>0.77083333333333337</v>
      </c>
      <c r="K2" s="8">
        <v>0.31736111111111115</v>
      </c>
      <c r="L2" s="7">
        <v>0.31944444444444448</v>
      </c>
      <c r="M2" s="8">
        <v>0.31597222222222221</v>
      </c>
      <c r="N2" s="6" t="s">
        <v>139</v>
      </c>
      <c r="O2" s="6" t="s">
        <v>136</v>
      </c>
      <c r="P2" s="6">
        <v>878</v>
      </c>
      <c r="Q2" s="6">
        <v>425</v>
      </c>
      <c r="R2" s="6">
        <v>0</v>
      </c>
      <c r="S2" s="6">
        <v>0</v>
      </c>
      <c r="T2" s="6">
        <v>0</v>
      </c>
      <c r="U2" s="6">
        <v>0</v>
      </c>
    </row>
    <row r="3" spans="1:21" x14ac:dyDescent="0.25">
      <c r="A3" s="5">
        <v>44540</v>
      </c>
      <c r="B3" s="6" t="s">
        <v>20</v>
      </c>
      <c r="C3" s="6" t="s">
        <v>27</v>
      </c>
      <c r="D3" s="6" t="s">
        <v>21</v>
      </c>
      <c r="E3" s="6" t="s">
        <v>134</v>
      </c>
      <c r="F3" s="6" t="s">
        <v>22</v>
      </c>
      <c r="G3" s="6">
        <v>70000</v>
      </c>
      <c r="H3" s="6" t="s">
        <v>29</v>
      </c>
      <c r="I3" s="6" t="s">
        <v>28</v>
      </c>
      <c r="J3" s="7">
        <v>0.52083333333333337</v>
      </c>
      <c r="K3" s="8">
        <v>0.51874999999999993</v>
      </c>
      <c r="L3" s="7">
        <v>0.33333333333333331</v>
      </c>
      <c r="M3" s="8">
        <v>0.34583333333333338</v>
      </c>
      <c r="N3" s="6" t="s">
        <v>138</v>
      </c>
      <c r="O3" s="6" t="s">
        <v>137</v>
      </c>
      <c r="P3" s="6">
        <v>680</v>
      </c>
      <c r="Q3" s="6">
        <v>802</v>
      </c>
      <c r="R3" s="6">
        <v>0</v>
      </c>
      <c r="S3" s="6">
        <v>0</v>
      </c>
      <c r="T3" s="6">
        <v>0</v>
      </c>
      <c r="U3" s="6">
        <v>0</v>
      </c>
    </row>
    <row r="4" spans="1:21" x14ac:dyDescent="0.25">
      <c r="A4" s="5"/>
      <c r="B4" s="6"/>
      <c r="C4" s="6"/>
      <c r="D4" s="6"/>
      <c r="E4" s="6"/>
      <c r="F4" s="6"/>
      <c r="G4" s="6"/>
      <c r="H4" s="6"/>
      <c r="I4" s="6"/>
      <c r="J4" s="7"/>
      <c r="K4" s="8"/>
      <c r="L4" s="7"/>
      <c r="M4" s="8"/>
      <c r="N4" s="6"/>
      <c r="O4" s="6"/>
      <c r="P4" s="6"/>
      <c r="Q4" s="6"/>
      <c r="R4" s="6"/>
      <c r="S4" s="6"/>
      <c r="T4" s="6"/>
      <c r="U4" s="6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"/>
  <sheetViews>
    <sheetView workbookViewId="0">
      <selection activeCell="G16" sqref="G16"/>
    </sheetView>
  </sheetViews>
  <sheetFormatPr defaultRowHeight="15" x14ac:dyDescent="0.25"/>
  <cols>
    <col min="1" max="1" width="11" customWidth="1"/>
    <col min="3" max="3" width="12.85546875" customWidth="1"/>
    <col min="4" max="4" width="8" customWidth="1"/>
    <col min="6" max="6" width="15.85546875" customWidth="1"/>
    <col min="7" max="7" width="9.28515625" bestFit="1" customWidth="1"/>
    <col min="10" max="10" width="9.28515625" bestFit="1" customWidth="1"/>
    <col min="12" max="12" width="9.28515625" bestFit="1" customWidth="1"/>
    <col min="14" max="14" width="10.28515625" customWidth="1"/>
    <col min="15" max="15" width="9.85546875" customWidth="1"/>
    <col min="16" max="16" width="11.5703125" customWidth="1"/>
    <col min="18" max="21" width="9.28515625" bestFit="1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23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 x14ac:dyDescent="0.25">
      <c r="A2" s="5">
        <v>44541</v>
      </c>
      <c r="B2" s="6" t="s">
        <v>20</v>
      </c>
      <c r="C2" s="6" t="s">
        <v>30</v>
      </c>
      <c r="D2" s="6" t="s">
        <v>21</v>
      </c>
      <c r="E2" s="6" t="s">
        <v>55</v>
      </c>
      <c r="F2" s="6" t="s">
        <v>22</v>
      </c>
      <c r="G2" s="6">
        <v>70000</v>
      </c>
      <c r="H2" s="6" t="s">
        <v>65</v>
      </c>
      <c r="I2" s="6" t="s">
        <v>69</v>
      </c>
      <c r="J2" s="7">
        <v>0.50347222222222221</v>
      </c>
      <c r="K2" s="8">
        <v>0.5083333333333333</v>
      </c>
      <c r="L2" s="7">
        <v>0.31944444444444448</v>
      </c>
      <c r="M2" s="8">
        <v>0.33749999999999997</v>
      </c>
      <c r="N2" s="6" t="s">
        <v>142</v>
      </c>
      <c r="O2" s="6" t="s">
        <v>140</v>
      </c>
      <c r="P2" s="6">
        <v>668</v>
      </c>
      <c r="Q2" s="6">
        <v>677</v>
      </c>
      <c r="R2" s="6">
        <v>0</v>
      </c>
      <c r="S2" s="6">
        <v>0</v>
      </c>
      <c r="T2" s="6">
        <v>0</v>
      </c>
      <c r="U2" s="6">
        <v>0</v>
      </c>
    </row>
    <row r="3" spans="1:21" x14ac:dyDescent="0.25">
      <c r="A3" s="5">
        <v>44541</v>
      </c>
      <c r="B3" s="6" t="s">
        <v>20</v>
      </c>
      <c r="C3" s="6" t="s">
        <v>32</v>
      </c>
      <c r="D3" s="6" t="s">
        <v>21</v>
      </c>
      <c r="E3" s="6" t="s">
        <v>134</v>
      </c>
      <c r="F3" s="6" t="s">
        <v>22</v>
      </c>
      <c r="G3" s="6">
        <v>70000</v>
      </c>
      <c r="H3" s="6" t="s">
        <v>66</v>
      </c>
      <c r="I3" s="6" t="s">
        <v>70</v>
      </c>
      <c r="J3" s="7">
        <v>0.51388888888888895</v>
      </c>
      <c r="K3" s="8">
        <v>0.53888888888888886</v>
      </c>
      <c r="L3" s="7">
        <v>0.34027777777777773</v>
      </c>
      <c r="M3" s="8">
        <v>0.3527777777777778</v>
      </c>
      <c r="N3" s="6" t="s">
        <v>143</v>
      </c>
      <c r="O3" s="6" t="s">
        <v>141</v>
      </c>
      <c r="P3" s="6">
        <v>724</v>
      </c>
      <c r="Q3" s="6">
        <v>703</v>
      </c>
      <c r="R3" s="6">
        <v>0</v>
      </c>
      <c r="S3" s="6">
        <v>0</v>
      </c>
      <c r="T3" s="6">
        <v>0</v>
      </c>
      <c r="U3" s="6">
        <v>0</v>
      </c>
    </row>
    <row r="4" spans="1:21" x14ac:dyDescent="0.25">
      <c r="A4" s="5">
        <v>44541</v>
      </c>
      <c r="B4" s="6" t="s">
        <v>20</v>
      </c>
      <c r="C4" s="6" t="s">
        <v>31</v>
      </c>
      <c r="D4" s="6" t="s">
        <v>21</v>
      </c>
      <c r="E4" s="6" t="s">
        <v>55</v>
      </c>
      <c r="F4" s="6" t="s">
        <v>22</v>
      </c>
      <c r="G4" s="6">
        <v>70000</v>
      </c>
      <c r="H4" s="6" t="s">
        <v>67</v>
      </c>
      <c r="I4" s="6" t="s">
        <v>71</v>
      </c>
      <c r="J4" s="7">
        <v>0.69791666666666663</v>
      </c>
      <c r="K4" s="8">
        <v>0.70000000000000007</v>
      </c>
      <c r="L4" s="7">
        <v>0.53125</v>
      </c>
      <c r="M4" s="8">
        <v>0.54513888888888895</v>
      </c>
      <c r="N4" s="6" t="s">
        <v>146</v>
      </c>
      <c r="O4" s="6" t="s">
        <v>144</v>
      </c>
      <c r="P4" s="6">
        <v>926</v>
      </c>
      <c r="Q4" s="6">
        <v>1062</v>
      </c>
      <c r="R4" s="6">
        <v>0</v>
      </c>
      <c r="S4" s="6">
        <v>0</v>
      </c>
      <c r="T4" s="6">
        <v>0</v>
      </c>
      <c r="U4" s="6">
        <v>0</v>
      </c>
    </row>
    <row r="5" spans="1:21" x14ac:dyDescent="0.25">
      <c r="A5" s="5">
        <v>44541</v>
      </c>
      <c r="B5" s="6" t="s">
        <v>20</v>
      </c>
      <c r="C5" s="6" t="s">
        <v>33</v>
      </c>
      <c r="D5" s="6" t="s">
        <v>75</v>
      </c>
      <c r="E5" s="6" t="s">
        <v>134</v>
      </c>
      <c r="F5" s="6" t="s">
        <v>22</v>
      </c>
      <c r="G5" s="6">
        <v>70000</v>
      </c>
      <c r="H5" s="6" t="s">
        <v>68</v>
      </c>
      <c r="I5" s="6" t="s">
        <v>72</v>
      </c>
      <c r="J5" s="7">
        <v>0.75347222222222221</v>
      </c>
      <c r="K5" s="8">
        <v>0.75902777777777775</v>
      </c>
      <c r="L5" s="7">
        <v>0.53472222222222221</v>
      </c>
      <c r="M5" s="8">
        <v>0.57291666666666663</v>
      </c>
      <c r="N5" s="6" t="s">
        <v>147</v>
      </c>
      <c r="O5" s="6" t="s">
        <v>145</v>
      </c>
      <c r="P5" s="6">
        <v>318</v>
      </c>
      <c r="Q5" s="6">
        <v>268</v>
      </c>
      <c r="R5" s="6">
        <v>0</v>
      </c>
      <c r="S5" s="6">
        <v>0</v>
      </c>
      <c r="T5" s="6">
        <v>0</v>
      </c>
      <c r="U5" s="6">
        <v>0</v>
      </c>
    </row>
  </sheetData>
  <pageMargins left="0.7" right="0.7" top="0.75" bottom="0.75" header="0.3" footer="0.3"/>
  <pageSetup paperSize="9" orientation="portrait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"/>
  <sheetViews>
    <sheetView workbookViewId="0">
      <selection activeCell="M16" sqref="M16"/>
    </sheetView>
  </sheetViews>
  <sheetFormatPr defaultRowHeight="15" x14ac:dyDescent="0.25"/>
  <cols>
    <col min="3" max="3" width="13.5703125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23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 x14ac:dyDescent="0.25">
      <c r="A2" s="5">
        <v>44542</v>
      </c>
      <c r="B2" s="6" t="s">
        <v>20</v>
      </c>
      <c r="C2" s="6" t="s">
        <v>87</v>
      </c>
      <c r="D2" s="6" t="s">
        <v>21</v>
      </c>
      <c r="E2" s="6" t="s">
        <v>55</v>
      </c>
      <c r="F2" s="6" t="s">
        <v>22</v>
      </c>
      <c r="G2" s="6">
        <v>70000</v>
      </c>
      <c r="H2" s="6" t="s">
        <v>88</v>
      </c>
      <c r="I2" s="6" t="s">
        <v>89</v>
      </c>
      <c r="J2" s="7">
        <v>0.44791666666666669</v>
      </c>
      <c r="K2" s="8">
        <v>0.70833333333333337</v>
      </c>
      <c r="L2" s="7">
        <v>0.3298611111111111</v>
      </c>
      <c r="M2" s="8">
        <v>0.4201388888888889</v>
      </c>
      <c r="N2" s="6">
        <v>46</v>
      </c>
      <c r="O2" s="6" t="s">
        <v>54</v>
      </c>
      <c r="P2" s="6">
        <v>246</v>
      </c>
      <c r="Q2" s="6">
        <v>353</v>
      </c>
      <c r="R2" s="6">
        <v>0</v>
      </c>
      <c r="S2" s="6">
        <v>0</v>
      </c>
      <c r="T2" s="6">
        <v>0</v>
      </c>
      <c r="U2" s="6">
        <v>0</v>
      </c>
    </row>
    <row r="3" spans="1:21" x14ac:dyDescent="0.25">
      <c r="A3" s="5">
        <v>44542</v>
      </c>
      <c r="B3" s="6" t="s">
        <v>20</v>
      </c>
      <c r="C3" s="6" t="s">
        <v>42</v>
      </c>
      <c r="D3" s="6" t="s">
        <v>21</v>
      </c>
      <c r="E3" s="6" t="s">
        <v>134</v>
      </c>
      <c r="F3" s="6" t="s">
        <v>22</v>
      </c>
      <c r="G3" s="6">
        <v>70000</v>
      </c>
      <c r="H3" s="6" t="s">
        <v>43</v>
      </c>
      <c r="I3" s="6" t="s">
        <v>44</v>
      </c>
      <c r="J3" s="7">
        <v>0.75</v>
      </c>
      <c r="K3" s="8">
        <v>0.84513888888888899</v>
      </c>
      <c r="L3" s="7">
        <v>0.37847222222222227</v>
      </c>
      <c r="M3" s="8">
        <v>0.47569444444444442</v>
      </c>
      <c r="N3" s="6" t="s">
        <v>149</v>
      </c>
      <c r="O3" s="6" t="s">
        <v>148</v>
      </c>
      <c r="P3" s="6">
        <v>904</v>
      </c>
      <c r="Q3" s="6">
        <v>963</v>
      </c>
      <c r="R3" s="6">
        <v>0</v>
      </c>
      <c r="S3" s="6">
        <v>0</v>
      </c>
      <c r="T3" s="6">
        <v>0</v>
      </c>
      <c r="U3" s="6">
        <v>0</v>
      </c>
    </row>
    <row r="4" spans="1:21" x14ac:dyDescent="0.25">
      <c r="A4" s="5">
        <v>44542</v>
      </c>
      <c r="B4" s="6" t="s">
        <v>20</v>
      </c>
      <c r="C4" s="6" t="s">
        <v>34</v>
      </c>
      <c r="D4" s="6" t="s">
        <v>75</v>
      </c>
      <c r="E4" s="6" t="s">
        <v>153</v>
      </c>
      <c r="F4" s="6" t="s">
        <v>22</v>
      </c>
      <c r="G4" s="6">
        <v>89000</v>
      </c>
      <c r="H4" s="6" t="s">
        <v>35</v>
      </c>
      <c r="I4" s="6" t="s">
        <v>36</v>
      </c>
      <c r="J4" s="7">
        <v>0.6875</v>
      </c>
      <c r="K4" s="8">
        <v>0.77986111111111101</v>
      </c>
      <c r="L4" s="7">
        <v>0.47916666666666669</v>
      </c>
      <c r="M4" s="8">
        <v>0.8305555555555556</v>
      </c>
      <c r="N4" s="6" t="s">
        <v>150</v>
      </c>
      <c r="O4" s="6">
        <v>59</v>
      </c>
      <c r="P4" s="6">
        <v>372</v>
      </c>
      <c r="Q4" s="6">
        <v>269</v>
      </c>
      <c r="R4" s="6">
        <v>0</v>
      </c>
      <c r="S4" s="6">
        <v>0</v>
      </c>
      <c r="T4" s="6">
        <v>0</v>
      </c>
      <c r="U4" s="6">
        <v>0</v>
      </c>
    </row>
    <row r="5" spans="1:21" x14ac:dyDescent="0.25">
      <c r="A5" s="5">
        <v>44543</v>
      </c>
      <c r="B5" s="6" t="s">
        <v>20</v>
      </c>
      <c r="C5" s="6" t="s">
        <v>90</v>
      </c>
      <c r="D5" s="6" t="s">
        <v>21</v>
      </c>
      <c r="E5" s="6" t="s">
        <v>55</v>
      </c>
      <c r="F5" s="6" t="s">
        <v>22</v>
      </c>
      <c r="G5" s="6">
        <v>70000</v>
      </c>
      <c r="H5" s="6" t="s">
        <v>91</v>
      </c>
      <c r="I5" s="6" t="s">
        <v>92</v>
      </c>
      <c r="J5" s="13">
        <v>0.70833333333333337</v>
      </c>
      <c r="K5" s="13">
        <v>0.91319444444444453</v>
      </c>
      <c r="L5" s="13">
        <v>2.0833333333333332E-2</v>
      </c>
      <c r="M5" s="4">
        <v>0.83819444444444446</v>
      </c>
      <c r="N5" s="6" t="s">
        <v>152</v>
      </c>
      <c r="O5" s="6" t="s">
        <v>151</v>
      </c>
      <c r="P5" s="6">
        <v>455</v>
      </c>
      <c r="Q5" s="6">
        <v>303</v>
      </c>
      <c r="R5" s="6">
        <v>0</v>
      </c>
      <c r="S5" s="6">
        <v>0</v>
      </c>
      <c r="T5" s="6">
        <v>0</v>
      </c>
      <c r="U5" s="6">
        <v>0</v>
      </c>
    </row>
  </sheetData>
  <pageMargins left="0.7" right="0.7" top="0.75" bottom="0.75" header="0.3" footer="0.3"/>
  <pageSetup paperSize="9" orientation="portrait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7"/>
  <sheetViews>
    <sheetView workbookViewId="0">
      <selection activeCell="G15" sqref="G15"/>
    </sheetView>
  </sheetViews>
  <sheetFormatPr defaultRowHeight="15" x14ac:dyDescent="0.25"/>
  <cols>
    <col min="2" max="2" width="10.85546875" customWidth="1"/>
    <col min="3" max="3" width="12.28515625" customWidth="1"/>
    <col min="5" max="5" width="10.85546875" customWidth="1"/>
    <col min="6" max="6" width="12" customWidth="1"/>
    <col min="14" max="14" width="14.28515625" customWidth="1"/>
    <col min="15" max="15" width="12.140625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23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 x14ac:dyDescent="0.25">
      <c r="A2" s="5">
        <v>44543</v>
      </c>
      <c r="B2" s="6" t="s">
        <v>20</v>
      </c>
      <c r="C2" s="6" t="s">
        <v>24</v>
      </c>
      <c r="D2" s="6" t="s">
        <v>21</v>
      </c>
      <c r="E2" s="6" t="s">
        <v>134</v>
      </c>
      <c r="F2" s="6" t="s">
        <v>22</v>
      </c>
      <c r="G2" s="6">
        <v>70000</v>
      </c>
      <c r="H2" s="6" t="s">
        <v>25</v>
      </c>
      <c r="I2" s="6" t="s">
        <v>26</v>
      </c>
      <c r="J2" s="10">
        <v>0.77083333333333337</v>
      </c>
      <c r="K2" s="8">
        <v>0.79791666666666661</v>
      </c>
      <c r="L2" s="10">
        <v>0.31944444444444448</v>
      </c>
      <c r="M2" s="8">
        <v>0.37916666666666665</v>
      </c>
      <c r="N2" s="6" t="s">
        <v>154</v>
      </c>
      <c r="O2" s="6" t="s">
        <v>116</v>
      </c>
      <c r="P2" s="6">
        <v>788</v>
      </c>
      <c r="Q2" s="6">
        <v>415</v>
      </c>
      <c r="R2" s="2">
        <v>0</v>
      </c>
      <c r="S2" s="2">
        <v>0</v>
      </c>
      <c r="T2" s="2">
        <v>0</v>
      </c>
      <c r="U2" s="2">
        <v>0</v>
      </c>
    </row>
    <row r="3" spans="1:21" x14ac:dyDescent="0.25">
      <c r="A3" s="5"/>
      <c r="B3" s="6"/>
      <c r="C3" s="6"/>
      <c r="D3" s="6"/>
      <c r="E3" s="6"/>
      <c r="F3" s="6"/>
      <c r="G3" s="6"/>
      <c r="H3" s="6"/>
      <c r="I3" s="6"/>
      <c r="J3" s="10"/>
      <c r="K3" s="8"/>
      <c r="L3" s="10"/>
      <c r="M3" s="8"/>
      <c r="N3" s="6"/>
      <c r="O3" s="6"/>
      <c r="P3" s="6"/>
      <c r="Q3" s="6"/>
      <c r="R3" s="6"/>
      <c r="S3" s="6"/>
      <c r="T3" s="6"/>
      <c r="U3" s="6"/>
    </row>
    <row r="4" spans="1:21" x14ac:dyDescent="0.25">
      <c r="A4" s="5"/>
      <c r="B4" s="6"/>
      <c r="C4" s="6"/>
      <c r="D4" s="6"/>
      <c r="E4" s="6"/>
      <c r="F4" s="6"/>
      <c r="G4" s="6"/>
      <c r="H4" s="6"/>
      <c r="I4" s="6"/>
      <c r="J4" s="10"/>
      <c r="K4" s="8"/>
      <c r="L4" s="10"/>
      <c r="M4" s="8"/>
      <c r="N4" s="6"/>
      <c r="O4" s="6"/>
      <c r="P4" s="6"/>
      <c r="Q4" s="6"/>
      <c r="R4" s="2"/>
      <c r="S4" s="2"/>
      <c r="T4" s="2"/>
      <c r="U4" s="2"/>
    </row>
    <row r="5" spans="1:21" x14ac:dyDescent="0.25">
      <c r="A5" s="5"/>
      <c r="B5" s="6"/>
      <c r="C5" s="6"/>
      <c r="D5" s="6"/>
      <c r="E5" s="6"/>
      <c r="F5" s="6"/>
      <c r="G5" s="6"/>
      <c r="H5" s="6"/>
      <c r="I5" s="6"/>
      <c r="J5" s="10"/>
      <c r="K5" s="8"/>
      <c r="L5" s="10"/>
      <c r="M5" s="8"/>
      <c r="N5" s="6"/>
      <c r="O5" s="6"/>
      <c r="P5" s="6"/>
      <c r="Q5" s="6"/>
      <c r="R5" s="2"/>
      <c r="S5" s="2"/>
      <c r="T5" s="2"/>
      <c r="U5" s="2"/>
    </row>
    <row r="6" spans="1:21" x14ac:dyDescent="0.25">
      <c r="A6" s="5"/>
      <c r="B6" s="6"/>
      <c r="C6" s="6"/>
      <c r="D6" s="6"/>
      <c r="E6" s="6"/>
      <c r="F6" s="6"/>
      <c r="G6" s="6"/>
      <c r="H6" s="6"/>
      <c r="I6" s="6"/>
      <c r="J6" s="10"/>
      <c r="K6" s="8"/>
      <c r="L6" s="10"/>
      <c r="M6" s="4"/>
      <c r="N6" s="6"/>
      <c r="O6" s="6"/>
      <c r="P6" s="6"/>
      <c r="Q6" s="2"/>
      <c r="R6" s="2"/>
      <c r="S6" s="2"/>
      <c r="T6" s="2"/>
      <c r="U6" s="2"/>
    </row>
    <row r="7" spans="1:21" x14ac:dyDescent="0.25">
      <c r="J7" s="9"/>
    </row>
  </sheetData>
  <pageMargins left="0.7" right="0.7" top="0.75" bottom="0.75" header="0.3" footer="0.3"/>
  <pageSetup paperSize="9" orientation="portrait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"/>
  <sheetViews>
    <sheetView workbookViewId="0">
      <selection activeCell="H14" sqref="H14"/>
    </sheetView>
  </sheetViews>
  <sheetFormatPr defaultRowHeight="15" x14ac:dyDescent="0.25"/>
  <cols>
    <col min="3" max="3" width="12.5703125" customWidth="1"/>
    <col min="6" max="6" width="12.28515625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23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 x14ac:dyDescent="0.25">
      <c r="A2" s="5">
        <v>44544</v>
      </c>
      <c r="B2" s="6" t="s">
        <v>20</v>
      </c>
      <c r="C2" s="6" t="s">
        <v>30</v>
      </c>
      <c r="D2" s="6" t="s">
        <v>21</v>
      </c>
      <c r="E2" s="6" t="s">
        <v>55</v>
      </c>
      <c r="F2" s="6" t="s">
        <v>22</v>
      </c>
      <c r="G2" s="6">
        <v>70000</v>
      </c>
      <c r="H2" s="6" t="s">
        <v>65</v>
      </c>
      <c r="I2" s="6" t="s">
        <v>69</v>
      </c>
      <c r="J2" s="7">
        <v>0.50347222222222221</v>
      </c>
      <c r="K2" s="8">
        <v>0.49236111111111108</v>
      </c>
      <c r="L2" s="7">
        <v>0.31944444444444448</v>
      </c>
      <c r="M2" s="8">
        <v>0.32222222222222224</v>
      </c>
      <c r="N2" s="6" t="s">
        <v>156</v>
      </c>
      <c r="O2" s="6" t="s">
        <v>155</v>
      </c>
      <c r="P2" s="6">
        <v>781</v>
      </c>
      <c r="Q2" s="6">
        <v>543</v>
      </c>
      <c r="R2" s="6">
        <v>0</v>
      </c>
      <c r="S2" s="6">
        <v>0</v>
      </c>
      <c r="T2" s="6">
        <v>0</v>
      </c>
      <c r="U2" s="6">
        <v>0</v>
      </c>
    </row>
    <row r="3" spans="1:21" x14ac:dyDescent="0.25">
      <c r="A3" s="5">
        <v>44544</v>
      </c>
      <c r="B3" s="6" t="s">
        <v>20</v>
      </c>
      <c r="C3" s="6" t="s">
        <v>32</v>
      </c>
      <c r="D3" s="6" t="s">
        <v>21</v>
      </c>
      <c r="E3" s="6" t="s">
        <v>134</v>
      </c>
      <c r="F3" s="6" t="s">
        <v>22</v>
      </c>
      <c r="G3" s="6">
        <v>70000</v>
      </c>
      <c r="H3" s="6" t="s">
        <v>66</v>
      </c>
      <c r="I3" s="6" t="s">
        <v>70</v>
      </c>
      <c r="J3" s="7">
        <v>0.70833333333333337</v>
      </c>
      <c r="K3" s="8">
        <v>0.69097222222222221</v>
      </c>
      <c r="L3" s="7">
        <v>0.53472222222222221</v>
      </c>
      <c r="M3" s="8">
        <v>0.5229166666666667</v>
      </c>
      <c r="N3" s="6" t="s">
        <v>158</v>
      </c>
      <c r="O3" s="6" t="s">
        <v>157</v>
      </c>
      <c r="P3" s="6">
        <v>269</v>
      </c>
      <c r="Q3" s="6">
        <v>404</v>
      </c>
      <c r="R3" s="6">
        <v>0</v>
      </c>
      <c r="S3" s="6">
        <v>0</v>
      </c>
      <c r="T3" s="6">
        <v>0</v>
      </c>
      <c r="U3" s="6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8"/>
  <sheetViews>
    <sheetView workbookViewId="0">
      <selection activeCell="F10" sqref="F10"/>
    </sheetView>
  </sheetViews>
  <sheetFormatPr defaultRowHeight="15" x14ac:dyDescent="0.25"/>
  <cols>
    <col min="2" max="2" width="10.85546875" customWidth="1"/>
    <col min="3" max="3" width="12.28515625" customWidth="1"/>
    <col min="4" max="4" width="8.140625" customWidth="1"/>
    <col min="5" max="5" width="15.85546875" customWidth="1"/>
    <col min="6" max="6" width="12" customWidth="1"/>
    <col min="14" max="14" width="14.28515625" customWidth="1"/>
    <col min="15" max="15" width="12.140625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23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 x14ac:dyDescent="0.25">
      <c r="A2" s="5">
        <v>44545</v>
      </c>
      <c r="B2" s="6" t="s">
        <v>20</v>
      </c>
      <c r="C2" s="6" t="s">
        <v>34</v>
      </c>
      <c r="D2" s="6" t="s">
        <v>21</v>
      </c>
      <c r="E2" s="6" t="s">
        <v>55</v>
      </c>
      <c r="F2" s="6" t="s">
        <v>22</v>
      </c>
      <c r="G2" s="6">
        <v>70000</v>
      </c>
      <c r="H2" s="6" t="s">
        <v>35</v>
      </c>
      <c r="I2" s="6" t="s">
        <v>36</v>
      </c>
      <c r="J2" s="7">
        <v>0.51388888888888895</v>
      </c>
      <c r="K2" s="8">
        <v>0.55555555555555558</v>
      </c>
      <c r="L2" s="7">
        <v>0.30555555555555552</v>
      </c>
      <c r="M2" s="8">
        <v>0.30555555555555552</v>
      </c>
      <c r="N2" s="6">
        <v>78</v>
      </c>
      <c r="O2" s="6" t="s">
        <v>159</v>
      </c>
      <c r="P2" s="6">
        <v>436</v>
      </c>
      <c r="Q2" s="6">
        <v>118</v>
      </c>
      <c r="R2" s="2">
        <v>0</v>
      </c>
      <c r="S2" s="2">
        <v>0</v>
      </c>
      <c r="T2" s="2">
        <v>0</v>
      </c>
      <c r="U2" s="2">
        <v>0</v>
      </c>
    </row>
    <row r="3" spans="1:21" x14ac:dyDescent="0.25">
      <c r="A3" s="5">
        <v>44545</v>
      </c>
      <c r="B3" s="6" t="s">
        <v>20</v>
      </c>
      <c r="C3" s="6" t="s">
        <v>24</v>
      </c>
      <c r="D3" s="6" t="s">
        <v>21</v>
      </c>
      <c r="E3" s="6" t="s">
        <v>168</v>
      </c>
      <c r="F3" s="6" t="s">
        <v>22</v>
      </c>
      <c r="G3" s="6">
        <v>70000</v>
      </c>
      <c r="H3" s="6" t="s">
        <v>25</v>
      </c>
      <c r="I3" s="6" t="s">
        <v>26</v>
      </c>
      <c r="J3" s="10">
        <v>0.76041666666666663</v>
      </c>
      <c r="K3" s="8">
        <v>0.75208333333333333</v>
      </c>
      <c r="L3" s="10">
        <v>0.31944444444444448</v>
      </c>
      <c r="M3" s="8">
        <v>0.44027777777777777</v>
      </c>
      <c r="N3" s="6" t="s">
        <v>170</v>
      </c>
      <c r="O3" s="6" t="s">
        <v>166</v>
      </c>
      <c r="P3" s="6">
        <v>636</v>
      </c>
      <c r="Q3" s="6">
        <v>312</v>
      </c>
      <c r="R3" s="2">
        <v>0</v>
      </c>
      <c r="S3" s="2">
        <v>0</v>
      </c>
      <c r="T3" s="2">
        <v>0</v>
      </c>
      <c r="U3" s="2">
        <v>0</v>
      </c>
    </row>
    <row r="4" spans="1:21" x14ac:dyDescent="0.25">
      <c r="A4" s="5">
        <v>44545</v>
      </c>
      <c r="B4" s="6" t="s">
        <v>20</v>
      </c>
      <c r="C4" s="6" t="s">
        <v>87</v>
      </c>
      <c r="D4" s="6" t="s">
        <v>21</v>
      </c>
      <c r="E4" s="6" t="s">
        <v>55</v>
      </c>
      <c r="F4" s="6" t="s">
        <v>22</v>
      </c>
      <c r="G4" s="6">
        <v>70000</v>
      </c>
      <c r="H4" s="6" t="s">
        <v>88</v>
      </c>
      <c r="I4" s="6" t="s">
        <v>89</v>
      </c>
      <c r="J4" s="10">
        <v>0.69097222222222221</v>
      </c>
      <c r="K4" s="8">
        <v>0.70624999999999993</v>
      </c>
      <c r="L4" s="10">
        <v>0.57291666666666663</v>
      </c>
      <c r="M4" s="8">
        <v>0.59583333333333333</v>
      </c>
      <c r="N4" s="6" t="s">
        <v>169</v>
      </c>
      <c r="O4" s="6" t="s">
        <v>167</v>
      </c>
      <c r="P4" s="6">
        <v>282</v>
      </c>
      <c r="Q4" s="6">
        <v>157</v>
      </c>
      <c r="R4" s="2">
        <v>0</v>
      </c>
      <c r="S4" s="2">
        <v>0</v>
      </c>
      <c r="T4" s="2">
        <v>0</v>
      </c>
      <c r="U4" s="2">
        <v>0</v>
      </c>
    </row>
    <row r="5" spans="1:21" x14ac:dyDescent="0.25">
      <c r="A5" s="5">
        <v>44545</v>
      </c>
      <c r="B5" s="6" t="s">
        <v>20</v>
      </c>
      <c r="C5" s="6" t="s">
        <v>160</v>
      </c>
      <c r="D5" s="6" t="s">
        <v>21</v>
      </c>
      <c r="E5" s="6" t="s">
        <v>134</v>
      </c>
      <c r="F5" s="6" t="s">
        <v>161</v>
      </c>
      <c r="G5" s="6">
        <v>70000</v>
      </c>
      <c r="H5" s="6" t="s">
        <v>162</v>
      </c>
      <c r="I5" s="6" t="s">
        <v>100</v>
      </c>
      <c r="J5" s="10">
        <v>0.64930555555555558</v>
      </c>
      <c r="K5" s="8">
        <v>0.70138888888888884</v>
      </c>
      <c r="L5" s="10" t="s">
        <v>100</v>
      </c>
      <c r="M5" s="8" t="s">
        <v>100</v>
      </c>
      <c r="N5" s="6" t="s">
        <v>100</v>
      </c>
      <c r="O5" s="6" t="s">
        <v>100</v>
      </c>
      <c r="P5" s="6" t="s">
        <v>100</v>
      </c>
      <c r="Q5" s="6" t="s">
        <v>100</v>
      </c>
      <c r="R5" s="2" t="s">
        <v>100</v>
      </c>
      <c r="S5" s="2" t="s">
        <v>100</v>
      </c>
      <c r="T5" s="2" t="s">
        <v>100</v>
      </c>
      <c r="U5" s="2" t="s">
        <v>100</v>
      </c>
    </row>
    <row r="6" spans="1:21" x14ac:dyDescent="0.25">
      <c r="A6" s="5">
        <v>44545</v>
      </c>
      <c r="B6" s="6" t="s">
        <v>20</v>
      </c>
      <c r="C6" s="6" t="s">
        <v>163</v>
      </c>
      <c r="D6" s="6" t="s">
        <v>21</v>
      </c>
      <c r="E6" s="6" t="s">
        <v>164</v>
      </c>
      <c r="F6" s="6" t="s">
        <v>165</v>
      </c>
      <c r="G6" s="6">
        <v>70000</v>
      </c>
      <c r="H6" s="6" t="s">
        <v>100</v>
      </c>
      <c r="I6" s="6" t="s">
        <v>77</v>
      </c>
      <c r="J6" s="10" t="s">
        <v>100</v>
      </c>
      <c r="K6" s="8" t="s">
        <v>100</v>
      </c>
      <c r="L6" s="10">
        <v>0.78125</v>
      </c>
      <c r="M6" s="8">
        <v>0.77777777777777779</v>
      </c>
      <c r="N6" s="6" t="s">
        <v>100</v>
      </c>
      <c r="O6" s="6" t="s">
        <v>100</v>
      </c>
      <c r="P6" s="6" t="s">
        <v>100</v>
      </c>
      <c r="Q6" s="6" t="s">
        <v>100</v>
      </c>
      <c r="R6" s="2" t="s">
        <v>100</v>
      </c>
      <c r="S6" s="2" t="s">
        <v>100</v>
      </c>
      <c r="T6" s="2" t="s">
        <v>100</v>
      </c>
      <c r="U6" s="2" t="s">
        <v>100</v>
      </c>
    </row>
    <row r="7" spans="1:21" x14ac:dyDescent="0.25">
      <c r="A7" s="5"/>
      <c r="B7" s="6"/>
      <c r="C7" s="6"/>
      <c r="D7" s="6"/>
      <c r="E7" s="6"/>
      <c r="F7" s="6"/>
      <c r="G7" s="6"/>
      <c r="H7" s="6"/>
      <c r="I7" s="6"/>
      <c r="J7" s="10"/>
      <c r="K7" s="8"/>
      <c r="L7" s="10"/>
      <c r="M7" s="4"/>
      <c r="N7" s="6"/>
      <c r="O7" s="6"/>
      <c r="P7" s="6"/>
      <c r="Q7" s="2"/>
      <c r="R7" s="2"/>
      <c r="S7" s="2"/>
      <c r="T7" s="2"/>
      <c r="U7" s="2"/>
    </row>
    <row r="8" spans="1:21" x14ac:dyDescent="0.25">
      <c r="J8" s="9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6"/>
  <sheetViews>
    <sheetView workbookViewId="0">
      <selection activeCell="D8" sqref="D8"/>
    </sheetView>
  </sheetViews>
  <sheetFormatPr defaultRowHeight="15" x14ac:dyDescent="0.25"/>
  <cols>
    <col min="1" max="1" width="11.28515625" customWidth="1"/>
    <col min="3" max="3" width="12.5703125" customWidth="1"/>
    <col min="4" max="4" width="7.7109375" customWidth="1"/>
    <col min="6" max="6" width="12.85546875" customWidth="1"/>
    <col min="7" max="7" width="12.28515625" bestFit="1" customWidth="1"/>
    <col min="10" max="10" width="12" bestFit="1" customWidth="1"/>
    <col min="11" max="11" width="8.28515625" customWidth="1"/>
    <col min="12" max="12" width="9.42578125" customWidth="1"/>
    <col min="13" max="13" width="10" customWidth="1"/>
    <col min="14" max="14" width="10.85546875" customWidth="1"/>
    <col min="16" max="16" width="11.7109375" customWidth="1"/>
    <col min="17" max="21" width="9.28515625" bestFit="1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23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 x14ac:dyDescent="0.25">
      <c r="A2" s="5">
        <v>44546</v>
      </c>
      <c r="B2" s="6" t="s">
        <v>20</v>
      </c>
      <c r="C2" s="6" t="s">
        <v>30</v>
      </c>
      <c r="D2" s="6" t="s">
        <v>21</v>
      </c>
      <c r="E2" s="6" t="s">
        <v>55</v>
      </c>
      <c r="F2" s="6" t="s">
        <v>22</v>
      </c>
      <c r="G2" s="6">
        <v>70000</v>
      </c>
      <c r="H2" s="6" t="s">
        <v>65</v>
      </c>
      <c r="I2" s="6" t="s">
        <v>69</v>
      </c>
      <c r="J2" s="7">
        <v>0.50347222222222221</v>
      </c>
      <c r="K2" s="8">
        <v>0.60277777777777775</v>
      </c>
      <c r="L2" s="7">
        <v>0.31944444444444448</v>
      </c>
      <c r="M2" s="8">
        <v>0.44097222222222227</v>
      </c>
      <c r="N2" s="6" t="s">
        <v>175</v>
      </c>
      <c r="O2" s="6" t="s">
        <v>173</v>
      </c>
      <c r="P2" s="6">
        <v>543</v>
      </c>
      <c r="Q2" s="6">
        <v>247</v>
      </c>
      <c r="R2" s="6">
        <v>0</v>
      </c>
      <c r="S2" s="6">
        <v>0</v>
      </c>
      <c r="T2" s="6">
        <v>0</v>
      </c>
      <c r="U2" s="6">
        <v>0</v>
      </c>
    </row>
    <row r="3" spans="1:21" x14ac:dyDescent="0.25">
      <c r="A3" s="5">
        <v>44546</v>
      </c>
      <c r="B3" s="6" t="s">
        <v>20</v>
      </c>
      <c r="C3" s="6" t="s">
        <v>31</v>
      </c>
      <c r="D3" s="6" t="s">
        <v>21</v>
      </c>
      <c r="E3" s="6" t="s">
        <v>134</v>
      </c>
      <c r="F3" s="6" t="s">
        <v>22</v>
      </c>
      <c r="G3" s="6">
        <v>70000</v>
      </c>
      <c r="H3" s="6" t="s">
        <v>67</v>
      </c>
      <c r="I3" s="6" t="s">
        <v>71</v>
      </c>
      <c r="J3" s="7">
        <v>0.69791666666666663</v>
      </c>
      <c r="K3" s="8">
        <v>0.61249999999999993</v>
      </c>
      <c r="L3" s="7">
        <v>0.53125</v>
      </c>
      <c r="M3" s="8">
        <v>0.44791666666666669</v>
      </c>
      <c r="N3" s="6" t="s">
        <v>176</v>
      </c>
      <c r="O3" s="6" t="s">
        <v>171</v>
      </c>
      <c r="P3" s="6">
        <v>991</v>
      </c>
      <c r="Q3" s="6">
        <v>163</v>
      </c>
      <c r="R3" s="6">
        <v>0</v>
      </c>
      <c r="S3" s="6">
        <v>0</v>
      </c>
      <c r="T3" s="6">
        <v>0</v>
      </c>
      <c r="U3" s="6">
        <v>0</v>
      </c>
    </row>
    <row r="4" spans="1:21" x14ac:dyDescent="0.25">
      <c r="A4" s="5">
        <v>44546</v>
      </c>
      <c r="B4" s="6" t="s">
        <v>20</v>
      </c>
      <c r="C4" s="6" t="s">
        <v>42</v>
      </c>
      <c r="D4" s="6" t="s">
        <v>21</v>
      </c>
      <c r="E4" s="6" t="s">
        <v>134</v>
      </c>
      <c r="F4" s="6" t="s">
        <v>22</v>
      </c>
      <c r="G4" s="6">
        <v>70000</v>
      </c>
      <c r="H4" s="6" t="s">
        <v>43</v>
      </c>
      <c r="I4" s="6" t="s">
        <v>44</v>
      </c>
      <c r="J4" s="10">
        <v>0.75</v>
      </c>
      <c r="K4" s="8" t="s">
        <v>100</v>
      </c>
      <c r="L4" s="10">
        <v>0.60069444444444442</v>
      </c>
      <c r="M4" s="8">
        <v>0.6430555555555556</v>
      </c>
      <c r="N4" s="6" t="s">
        <v>183</v>
      </c>
      <c r="O4" s="6" t="s">
        <v>177</v>
      </c>
      <c r="P4" s="6" t="s">
        <v>183</v>
      </c>
      <c r="Q4" s="6">
        <v>326</v>
      </c>
      <c r="R4" s="6">
        <v>0</v>
      </c>
      <c r="S4" s="6">
        <v>0</v>
      </c>
      <c r="T4" s="6">
        <v>0</v>
      </c>
      <c r="U4" s="6">
        <v>0</v>
      </c>
    </row>
    <row r="5" spans="1:21" x14ac:dyDescent="0.25">
      <c r="A5" s="5">
        <v>44546</v>
      </c>
      <c r="B5" s="6" t="s">
        <v>20</v>
      </c>
      <c r="C5" s="6" t="s">
        <v>172</v>
      </c>
      <c r="D5" s="6" t="s">
        <v>21</v>
      </c>
      <c r="E5" s="6" t="s">
        <v>174</v>
      </c>
      <c r="F5" s="6" t="s">
        <v>22</v>
      </c>
      <c r="G5" s="6">
        <v>70000</v>
      </c>
      <c r="H5" s="6" t="s">
        <v>66</v>
      </c>
      <c r="I5" s="6" t="s">
        <v>70</v>
      </c>
      <c r="J5" s="7">
        <v>0.70833333333333337</v>
      </c>
      <c r="K5" s="8" t="s">
        <v>100</v>
      </c>
      <c r="L5" s="7">
        <v>0.53472222222222221</v>
      </c>
      <c r="M5" s="8" t="s">
        <v>100</v>
      </c>
      <c r="N5" s="6" t="s">
        <v>182</v>
      </c>
      <c r="O5" s="6" t="s">
        <v>184</v>
      </c>
      <c r="P5" s="6" t="s">
        <v>182</v>
      </c>
      <c r="Q5" s="6" t="s">
        <v>184</v>
      </c>
      <c r="R5" s="6">
        <v>0</v>
      </c>
      <c r="S5" s="6">
        <v>0</v>
      </c>
      <c r="T5" s="6">
        <v>0</v>
      </c>
      <c r="U5" s="6">
        <v>0</v>
      </c>
    </row>
    <row r="6" spans="1:21" x14ac:dyDescent="0.25">
      <c r="A6" s="5">
        <v>44546</v>
      </c>
      <c r="B6" s="6" t="s">
        <v>20</v>
      </c>
      <c r="C6" s="6" t="s">
        <v>178</v>
      </c>
      <c r="D6" s="6" t="s">
        <v>21</v>
      </c>
      <c r="E6" s="6" t="s">
        <v>55</v>
      </c>
      <c r="F6" s="6" t="s">
        <v>22</v>
      </c>
      <c r="G6" s="6">
        <v>70000</v>
      </c>
      <c r="H6" s="6" t="s">
        <v>179</v>
      </c>
      <c r="I6" s="6" t="s">
        <v>180</v>
      </c>
      <c r="J6" s="7">
        <v>0.93402777777777779</v>
      </c>
      <c r="K6" s="6" t="s">
        <v>100</v>
      </c>
      <c r="L6" s="7">
        <v>0.70138888888888884</v>
      </c>
      <c r="M6" s="8">
        <v>0.70416666666666661</v>
      </c>
      <c r="N6" s="6" t="s">
        <v>182</v>
      </c>
      <c r="O6" s="6" t="s">
        <v>181</v>
      </c>
      <c r="P6" s="6" t="s">
        <v>182</v>
      </c>
      <c r="Q6" s="6">
        <v>178</v>
      </c>
      <c r="R6" s="6">
        <v>0</v>
      </c>
      <c r="S6" s="6">
        <v>0</v>
      </c>
      <c r="T6" s="6">
        <v>0</v>
      </c>
      <c r="U6" s="6">
        <v>0</v>
      </c>
    </row>
  </sheetData>
  <pageMargins left="0.7" right="0.7" top="0.75" bottom="0.75" header="0.3" footer="0.3"/>
  <pageSetup paperSize="9" orientation="portrait" verticalDpi="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8"/>
  <sheetViews>
    <sheetView topLeftCell="D1" workbookViewId="0">
      <selection activeCell="L19" sqref="L19"/>
    </sheetView>
  </sheetViews>
  <sheetFormatPr defaultRowHeight="15" x14ac:dyDescent="0.25"/>
  <cols>
    <col min="3" max="3" width="13.28515625" bestFit="1" customWidth="1"/>
    <col min="5" max="5" width="9.5703125" bestFit="1" customWidth="1"/>
    <col min="6" max="6" width="11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23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 x14ac:dyDescent="0.25">
      <c r="A2" s="5">
        <v>44547</v>
      </c>
      <c r="B2" s="6" t="s">
        <v>20</v>
      </c>
      <c r="C2" s="6" t="s">
        <v>24</v>
      </c>
      <c r="D2" s="6" t="s">
        <v>21</v>
      </c>
      <c r="E2" s="6" t="s">
        <v>187</v>
      </c>
      <c r="F2" s="6" t="s">
        <v>22</v>
      </c>
      <c r="G2" s="6">
        <v>70000</v>
      </c>
      <c r="H2" s="6" t="s">
        <v>25</v>
      </c>
      <c r="I2" s="6" t="s">
        <v>26</v>
      </c>
      <c r="J2" s="7">
        <v>0.77083333333333337</v>
      </c>
      <c r="K2" s="8">
        <v>0.80208333333333337</v>
      </c>
      <c r="L2" s="7">
        <v>0.31944444444444448</v>
      </c>
      <c r="M2" s="8">
        <v>0.37916666666666665</v>
      </c>
      <c r="N2" s="6" t="s">
        <v>201</v>
      </c>
      <c r="O2" s="6" t="s">
        <v>197</v>
      </c>
      <c r="P2" s="6">
        <v>694</v>
      </c>
      <c r="Q2" s="6">
        <v>207</v>
      </c>
      <c r="R2" s="6">
        <v>0</v>
      </c>
      <c r="S2" s="6">
        <v>0</v>
      </c>
      <c r="T2" s="6">
        <v>0</v>
      </c>
      <c r="U2" s="6">
        <v>0</v>
      </c>
    </row>
    <row r="3" spans="1:21" x14ac:dyDescent="0.25">
      <c r="A3" s="5">
        <v>44547</v>
      </c>
      <c r="B3" s="6" t="s">
        <v>20</v>
      </c>
      <c r="C3" s="6" t="s">
        <v>27</v>
      </c>
      <c r="D3" s="6" t="s">
        <v>21</v>
      </c>
      <c r="E3" s="6" t="s">
        <v>55</v>
      </c>
      <c r="F3" s="6" t="s">
        <v>22</v>
      </c>
      <c r="G3" s="6">
        <v>70000</v>
      </c>
      <c r="H3" s="6" t="s">
        <v>29</v>
      </c>
      <c r="I3" s="6" t="s">
        <v>28</v>
      </c>
      <c r="J3" s="7">
        <v>0.52083333333333337</v>
      </c>
      <c r="K3" s="8">
        <v>0.5444444444444444</v>
      </c>
      <c r="L3" s="7">
        <v>0.33333333333333331</v>
      </c>
      <c r="M3" s="8">
        <v>0.37291666666666662</v>
      </c>
      <c r="N3" s="6" t="s">
        <v>198</v>
      </c>
      <c r="O3" s="6" t="s">
        <v>196</v>
      </c>
      <c r="P3" s="6">
        <v>956</v>
      </c>
      <c r="Q3" s="6">
        <v>258</v>
      </c>
      <c r="R3" s="6">
        <v>0</v>
      </c>
      <c r="S3" s="6">
        <v>0</v>
      </c>
      <c r="T3" s="6">
        <v>0</v>
      </c>
      <c r="U3" s="6">
        <v>0</v>
      </c>
    </row>
    <row r="4" spans="1:21" x14ac:dyDescent="0.25">
      <c r="A4" s="5">
        <v>44547</v>
      </c>
      <c r="B4" s="6" t="s">
        <v>20</v>
      </c>
      <c r="C4" s="6" t="s">
        <v>185</v>
      </c>
      <c r="D4" s="6" t="s">
        <v>21</v>
      </c>
      <c r="E4" s="6" t="s">
        <v>55</v>
      </c>
      <c r="F4" s="6" t="s">
        <v>22</v>
      </c>
      <c r="G4" s="6">
        <v>70000</v>
      </c>
      <c r="H4" s="6" t="s">
        <v>188</v>
      </c>
      <c r="I4" s="6" t="s">
        <v>190</v>
      </c>
      <c r="J4" s="7">
        <v>0.69444444444444453</v>
      </c>
      <c r="K4" s="8">
        <v>0.70416666666666661</v>
      </c>
      <c r="L4" s="7">
        <v>0.54166666666666663</v>
      </c>
      <c r="M4" s="8">
        <v>0.57361111111111118</v>
      </c>
      <c r="N4" s="6" t="s">
        <v>199</v>
      </c>
      <c r="O4" s="6">
        <v>22</v>
      </c>
      <c r="P4" s="6">
        <v>739</v>
      </c>
      <c r="Q4" s="6">
        <v>104</v>
      </c>
      <c r="R4" s="6">
        <v>0</v>
      </c>
      <c r="S4" s="6">
        <v>0</v>
      </c>
      <c r="T4" s="6">
        <v>0</v>
      </c>
      <c r="U4" s="6">
        <v>0</v>
      </c>
    </row>
    <row r="5" spans="1:21" x14ac:dyDescent="0.25">
      <c r="A5" s="5">
        <v>44547</v>
      </c>
      <c r="B5" s="6" t="s">
        <v>20</v>
      </c>
      <c r="C5" s="6" t="s">
        <v>90</v>
      </c>
      <c r="D5" s="6" t="s">
        <v>21</v>
      </c>
      <c r="E5" s="6" t="s">
        <v>55</v>
      </c>
      <c r="F5" s="6" t="s">
        <v>22</v>
      </c>
      <c r="G5" s="6">
        <v>70000</v>
      </c>
      <c r="H5" s="6" t="s">
        <v>91</v>
      </c>
      <c r="I5" s="6" t="s">
        <v>92</v>
      </c>
      <c r="J5" s="7">
        <v>0.93055555555555547</v>
      </c>
      <c r="K5" s="8">
        <v>0.93125000000000002</v>
      </c>
      <c r="L5" s="7">
        <v>0.72569444444444453</v>
      </c>
      <c r="M5" s="8">
        <v>0.73888888888888893</v>
      </c>
      <c r="N5" s="6">
        <v>127</v>
      </c>
      <c r="O5" s="6">
        <v>23</v>
      </c>
      <c r="P5" s="6">
        <v>564</v>
      </c>
      <c r="Q5" s="6">
        <v>197</v>
      </c>
      <c r="R5" s="6">
        <v>0</v>
      </c>
      <c r="S5" s="6">
        <v>0</v>
      </c>
      <c r="T5" s="6">
        <v>0</v>
      </c>
      <c r="U5" s="6">
        <v>0</v>
      </c>
    </row>
    <row r="6" spans="1:21" x14ac:dyDescent="0.25">
      <c r="A6" s="5">
        <v>44547</v>
      </c>
      <c r="B6" s="6" t="s">
        <v>20</v>
      </c>
      <c r="C6" s="6" t="s">
        <v>186</v>
      </c>
      <c r="D6" s="6" t="s">
        <v>21</v>
      </c>
      <c r="E6" s="6" t="s">
        <v>164</v>
      </c>
      <c r="F6" s="6" t="s">
        <v>22</v>
      </c>
      <c r="G6" s="6">
        <v>70000</v>
      </c>
      <c r="H6" s="6" t="s">
        <v>189</v>
      </c>
      <c r="I6" s="6" t="s">
        <v>191</v>
      </c>
      <c r="J6" s="7">
        <v>0.95486111111111116</v>
      </c>
      <c r="K6" s="8">
        <v>0.98125000000000007</v>
      </c>
      <c r="L6" s="7">
        <v>0.80208333333333337</v>
      </c>
      <c r="M6" s="8">
        <v>0.84027777777777779</v>
      </c>
      <c r="N6" s="6" t="s">
        <v>202</v>
      </c>
      <c r="O6" s="6" t="s">
        <v>200</v>
      </c>
      <c r="P6" s="6">
        <v>622</v>
      </c>
      <c r="Q6" s="6">
        <v>68</v>
      </c>
      <c r="R6" s="6">
        <v>0</v>
      </c>
      <c r="S6" s="6">
        <v>0</v>
      </c>
      <c r="T6" s="6">
        <v>0</v>
      </c>
      <c r="U6" s="6">
        <v>0</v>
      </c>
    </row>
    <row r="7" spans="1:21" x14ac:dyDescent="0.25">
      <c r="A7" s="5">
        <v>44547</v>
      </c>
      <c r="B7" s="6" t="s">
        <v>20</v>
      </c>
      <c r="C7" s="6" t="s">
        <v>192</v>
      </c>
      <c r="D7" s="6" t="s">
        <v>21</v>
      </c>
      <c r="E7" s="2" t="s">
        <v>55</v>
      </c>
      <c r="F7" s="2" t="s">
        <v>161</v>
      </c>
      <c r="G7" s="6">
        <v>70000</v>
      </c>
      <c r="H7" s="2" t="s">
        <v>194</v>
      </c>
      <c r="I7" s="2" t="s">
        <v>100</v>
      </c>
      <c r="J7" s="3">
        <v>0.3125</v>
      </c>
      <c r="K7" s="4">
        <v>0.31805555555555554</v>
      </c>
      <c r="L7" s="2" t="s">
        <v>100</v>
      </c>
      <c r="M7" s="2" t="s">
        <v>100</v>
      </c>
      <c r="N7" s="2">
        <v>0</v>
      </c>
      <c r="O7" s="2" t="s">
        <v>100</v>
      </c>
      <c r="P7" s="2">
        <v>0</v>
      </c>
      <c r="Q7" s="2">
        <v>0</v>
      </c>
      <c r="R7" s="2">
        <v>0</v>
      </c>
      <c r="S7" s="2">
        <v>0</v>
      </c>
      <c r="T7" s="2">
        <v>0</v>
      </c>
      <c r="U7" s="2">
        <v>0</v>
      </c>
    </row>
    <row r="8" spans="1:21" x14ac:dyDescent="0.25">
      <c r="A8" s="5">
        <v>44547</v>
      </c>
      <c r="B8" s="6" t="s">
        <v>20</v>
      </c>
      <c r="C8" s="2" t="s">
        <v>193</v>
      </c>
      <c r="D8" s="6" t="s">
        <v>21</v>
      </c>
      <c r="E8" s="2" t="s">
        <v>134</v>
      </c>
      <c r="F8" s="2" t="s">
        <v>161</v>
      </c>
      <c r="G8" s="6">
        <v>70000</v>
      </c>
      <c r="H8" s="2" t="s">
        <v>195</v>
      </c>
      <c r="I8" s="2" t="s">
        <v>100</v>
      </c>
      <c r="J8" s="3">
        <v>0.31944444444444448</v>
      </c>
      <c r="K8" s="4">
        <v>0.33402777777777781</v>
      </c>
      <c r="L8" s="2" t="s">
        <v>100</v>
      </c>
      <c r="M8" s="2" t="s">
        <v>100</v>
      </c>
      <c r="N8" s="2">
        <v>0</v>
      </c>
      <c r="O8" s="2" t="s">
        <v>100</v>
      </c>
      <c r="P8" s="2">
        <v>0</v>
      </c>
      <c r="Q8" s="2">
        <v>0</v>
      </c>
      <c r="R8" s="2">
        <v>0</v>
      </c>
      <c r="S8" s="2">
        <v>0</v>
      </c>
      <c r="T8" s="2">
        <v>0</v>
      </c>
      <c r="U8" s="2">
        <v>0</v>
      </c>
    </row>
  </sheetData>
  <pageMargins left="0.7" right="0.7" top="0.75" bottom="0.75" header="0.3" footer="0.3"/>
  <pageSetup paperSize="9" orientation="portrait" verticalDpi="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8"/>
  <sheetViews>
    <sheetView workbookViewId="0">
      <selection activeCell="J29" sqref="J29"/>
    </sheetView>
  </sheetViews>
  <sheetFormatPr defaultRowHeight="15" x14ac:dyDescent="0.25"/>
  <cols>
    <col min="1" max="1" width="11" customWidth="1"/>
    <col min="3" max="3" width="12.85546875" customWidth="1"/>
    <col min="4" max="4" width="8" customWidth="1"/>
    <col min="6" max="6" width="15.85546875" customWidth="1"/>
    <col min="7" max="7" width="9.28515625" bestFit="1" customWidth="1"/>
    <col min="10" max="10" width="9.28515625" bestFit="1" customWidth="1"/>
    <col min="12" max="12" width="9.28515625" bestFit="1" customWidth="1"/>
    <col min="14" max="14" width="10.28515625" customWidth="1"/>
    <col min="15" max="15" width="9.85546875" customWidth="1"/>
    <col min="16" max="16" width="11.5703125" customWidth="1"/>
    <col min="18" max="21" width="9.28515625" bestFit="1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23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 x14ac:dyDescent="0.25">
      <c r="A2" s="5">
        <v>44548</v>
      </c>
      <c r="B2" s="6" t="s">
        <v>20</v>
      </c>
      <c r="C2" s="6" t="s">
        <v>30</v>
      </c>
      <c r="D2" s="6" t="s">
        <v>21</v>
      </c>
      <c r="E2" s="6" t="s">
        <v>55</v>
      </c>
      <c r="F2" s="6" t="s">
        <v>22</v>
      </c>
      <c r="G2" s="6">
        <v>70000</v>
      </c>
      <c r="H2" s="6" t="s">
        <v>65</v>
      </c>
      <c r="I2" s="6" t="s">
        <v>69</v>
      </c>
      <c r="J2" s="7">
        <v>0.50347222222222221</v>
      </c>
      <c r="K2" s="8">
        <v>0.50069444444444444</v>
      </c>
      <c r="L2" s="7">
        <v>0.31944444444444448</v>
      </c>
      <c r="M2" s="8">
        <v>0.32569444444444445</v>
      </c>
      <c r="N2" s="6" t="s">
        <v>203</v>
      </c>
      <c r="O2" s="6" t="s">
        <v>158</v>
      </c>
      <c r="P2" s="6">
        <v>947</v>
      </c>
      <c r="Q2" s="6">
        <v>378</v>
      </c>
      <c r="R2" s="6">
        <v>0</v>
      </c>
      <c r="S2" s="6">
        <v>0</v>
      </c>
      <c r="T2" s="6">
        <v>0</v>
      </c>
      <c r="U2" s="6">
        <v>0</v>
      </c>
    </row>
    <row r="3" spans="1:21" x14ac:dyDescent="0.25">
      <c r="A3" s="5">
        <v>44548</v>
      </c>
      <c r="B3" s="6" t="s">
        <v>20</v>
      </c>
      <c r="C3" s="6" t="s">
        <v>42</v>
      </c>
      <c r="D3" s="6" t="s">
        <v>21</v>
      </c>
      <c r="E3" s="6" t="s">
        <v>164</v>
      </c>
      <c r="F3" s="6" t="s">
        <v>22</v>
      </c>
      <c r="G3" s="6">
        <v>70000</v>
      </c>
      <c r="H3" s="6" t="s">
        <v>43</v>
      </c>
      <c r="I3" s="6" t="s">
        <v>44</v>
      </c>
      <c r="J3" s="7">
        <v>0.5</v>
      </c>
      <c r="K3" s="8">
        <v>0.48958333333333331</v>
      </c>
      <c r="L3" s="7">
        <v>0.35069444444444442</v>
      </c>
      <c r="M3" s="8">
        <v>0.35555555555555557</v>
      </c>
      <c r="N3" s="6" t="s">
        <v>204</v>
      </c>
      <c r="O3" s="6" t="s">
        <v>102</v>
      </c>
      <c r="P3" s="6">
        <v>989</v>
      </c>
      <c r="Q3" s="6">
        <v>506</v>
      </c>
      <c r="R3" s="6">
        <v>0</v>
      </c>
      <c r="S3" s="6">
        <v>0</v>
      </c>
      <c r="T3" s="6">
        <v>0</v>
      </c>
      <c r="U3" s="6">
        <v>0</v>
      </c>
    </row>
    <row r="4" spans="1:21" x14ac:dyDescent="0.25">
      <c r="A4" s="5">
        <v>44548</v>
      </c>
      <c r="B4" s="6" t="s">
        <v>20</v>
      </c>
      <c r="C4" s="6" t="s">
        <v>31</v>
      </c>
      <c r="D4" s="6" t="s">
        <v>21</v>
      </c>
      <c r="E4" s="6" t="str">
        <f>E2</f>
        <v>HA-LYH</v>
      </c>
      <c r="F4" s="6" t="s">
        <v>22</v>
      </c>
      <c r="G4" s="6">
        <v>70000</v>
      </c>
      <c r="H4" s="6" t="s">
        <v>67</v>
      </c>
      <c r="I4" s="6" t="s">
        <v>71</v>
      </c>
      <c r="J4" s="7">
        <v>0.69791666666666663</v>
      </c>
      <c r="K4" s="8">
        <v>0.69791666666666663</v>
      </c>
      <c r="L4" s="7">
        <v>0.53125</v>
      </c>
      <c r="M4" s="8">
        <v>0.54513888888888895</v>
      </c>
      <c r="N4" s="6" t="s">
        <v>207</v>
      </c>
      <c r="O4" s="6" t="s">
        <v>205</v>
      </c>
      <c r="P4" s="6">
        <v>1173</v>
      </c>
      <c r="Q4" s="6">
        <v>528</v>
      </c>
      <c r="R4" s="6">
        <v>0</v>
      </c>
      <c r="S4" s="6">
        <v>0</v>
      </c>
      <c r="T4" s="6">
        <v>0</v>
      </c>
      <c r="U4" s="6">
        <v>0</v>
      </c>
    </row>
    <row r="5" spans="1:21" x14ac:dyDescent="0.25">
      <c r="A5" s="5">
        <v>44548</v>
      </c>
      <c r="B5" s="6" t="s">
        <v>20</v>
      </c>
      <c r="C5" s="6" t="s">
        <v>32</v>
      </c>
      <c r="D5" s="6" t="s">
        <v>21</v>
      </c>
      <c r="E5" s="6" t="str">
        <f>E3</f>
        <v>HA-LYS</v>
      </c>
      <c r="F5" s="6" t="s">
        <v>22</v>
      </c>
      <c r="G5" s="6">
        <v>70000</v>
      </c>
      <c r="H5" s="6" t="s">
        <v>66</v>
      </c>
      <c r="I5" s="6" t="s">
        <v>70</v>
      </c>
      <c r="J5" s="7">
        <v>0.70833333333333337</v>
      </c>
      <c r="K5" s="8">
        <v>0.76458333333333339</v>
      </c>
      <c r="L5" s="7">
        <v>0.53472222222222221</v>
      </c>
      <c r="M5" s="8">
        <v>0.54166666666666663</v>
      </c>
      <c r="N5" s="6" t="s">
        <v>208</v>
      </c>
      <c r="O5" s="6" t="s">
        <v>206</v>
      </c>
      <c r="P5" s="6">
        <v>942</v>
      </c>
      <c r="Q5" s="6">
        <v>817</v>
      </c>
      <c r="R5" s="6">
        <v>0</v>
      </c>
      <c r="S5" s="6">
        <v>0</v>
      </c>
      <c r="T5" s="6">
        <v>0</v>
      </c>
      <c r="U5" s="6">
        <v>0</v>
      </c>
    </row>
    <row r="6" spans="1:21" x14ac:dyDescent="0.25">
      <c r="A6" s="5">
        <v>44548</v>
      </c>
      <c r="B6" s="6" t="s">
        <v>20</v>
      </c>
      <c r="C6" s="6" t="s">
        <v>178</v>
      </c>
      <c r="D6" s="6" t="s">
        <v>21</v>
      </c>
      <c r="E6" s="6" t="str">
        <f>E4</f>
        <v>HA-LYH</v>
      </c>
      <c r="F6" s="6" t="s">
        <v>22</v>
      </c>
      <c r="G6" s="6">
        <v>70000</v>
      </c>
      <c r="H6" s="6" t="s">
        <v>179</v>
      </c>
      <c r="I6" s="6" t="s">
        <v>180</v>
      </c>
      <c r="J6" s="7">
        <v>0.95138888888888884</v>
      </c>
      <c r="K6" s="8">
        <v>0.95138888888888884</v>
      </c>
      <c r="L6" s="7">
        <v>0.71875</v>
      </c>
      <c r="M6" s="8">
        <v>0.73263888888888884</v>
      </c>
      <c r="N6" s="6" t="s">
        <v>209</v>
      </c>
      <c r="O6" s="6">
        <v>18</v>
      </c>
      <c r="P6" s="6">
        <v>1111</v>
      </c>
      <c r="Q6" s="6">
        <v>138</v>
      </c>
      <c r="R6" s="6">
        <v>0</v>
      </c>
      <c r="S6" s="6">
        <v>0</v>
      </c>
      <c r="T6" s="6">
        <v>0</v>
      </c>
      <c r="U6" s="6">
        <v>0</v>
      </c>
    </row>
    <row r="7" spans="1:21" x14ac:dyDescent="0.25">
      <c r="A7" s="5">
        <v>44548</v>
      </c>
      <c r="B7" s="6" t="s">
        <v>20</v>
      </c>
      <c r="C7" s="6" t="s">
        <v>33</v>
      </c>
      <c r="D7" s="6" t="s">
        <v>21</v>
      </c>
      <c r="E7" s="6" t="str">
        <f>E5</f>
        <v>HA-LYS</v>
      </c>
      <c r="F7" s="6" t="s">
        <v>22</v>
      </c>
      <c r="G7" s="6">
        <v>70000</v>
      </c>
      <c r="H7" s="6" t="s">
        <v>68</v>
      </c>
      <c r="I7" s="6" t="s">
        <v>72</v>
      </c>
      <c r="J7" s="7">
        <v>0.94791666666666663</v>
      </c>
      <c r="K7" s="8">
        <v>0.99583333333333324</v>
      </c>
      <c r="L7" s="7">
        <v>0.72916666666666663</v>
      </c>
      <c r="M7" s="8">
        <v>0.78333333333333333</v>
      </c>
      <c r="N7" s="6" t="s">
        <v>210</v>
      </c>
      <c r="O7" s="6">
        <v>48</v>
      </c>
      <c r="P7" s="6">
        <v>530</v>
      </c>
      <c r="Q7" s="6">
        <v>273</v>
      </c>
      <c r="R7" s="6">
        <v>0</v>
      </c>
      <c r="S7" s="6">
        <v>0</v>
      </c>
      <c r="T7" s="6">
        <v>0</v>
      </c>
      <c r="U7" s="6">
        <v>0</v>
      </c>
    </row>
    <row r="8" spans="1:21" x14ac:dyDescent="0.25">
      <c r="A8" s="5">
        <v>44548</v>
      </c>
      <c r="B8" s="6" t="s">
        <v>20</v>
      </c>
      <c r="C8" s="6" t="s">
        <v>211</v>
      </c>
      <c r="D8" s="6" t="s">
        <v>21</v>
      </c>
      <c r="E8" s="6" t="s">
        <v>212</v>
      </c>
      <c r="F8" s="6" t="s">
        <v>22</v>
      </c>
      <c r="G8" s="6">
        <v>70000</v>
      </c>
      <c r="H8" s="6" t="s">
        <v>194</v>
      </c>
      <c r="I8" s="14"/>
      <c r="J8" s="7">
        <v>0.73611111111111116</v>
      </c>
      <c r="K8" s="8">
        <v>0.76458333333333339</v>
      </c>
      <c r="L8" s="14"/>
      <c r="M8" s="14"/>
      <c r="N8" s="14"/>
      <c r="O8" s="14"/>
      <c r="P8" s="14"/>
      <c r="Q8" s="14"/>
      <c r="R8" s="6">
        <v>0</v>
      </c>
      <c r="S8" s="6">
        <v>0</v>
      </c>
      <c r="T8" s="6">
        <v>0</v>
      </c>
      <c r="U8" s="6">
        <v>0</v>
      </c>
    </row>
  </sheetData>
  <pageMargins left="0.7" right="0.7" top="0.75" bottom="0.75" header="0.3" footer="0.3"/>
  <pageSetup paperSize="9" orientation="portrait" verticalDpi="0" r:id="rId1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U8"/>
  <sheetViews>
    <sheetView workbookViewId="0">
      <selection activeCell="E17" sqref="E17"/>
    </sheetView>
  </sheetViews>
  <sheetFormatPr defaultRowHeight="15" x14ac:dyDescent="0.25"/>
  <cols>
    <col min="1" max="1" width="11.85546875" customWidth="1"/>
    <col min="3" max="3" width="13" customWidth="1"/>
    <col min="6" max="6" width="13.28515625" customWidth="1"/>
    <col min="10" max="10" width="12.42578125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23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 x14ac:dyDescent="0.25">
      <c r="A2" s="5">
        <v>44549</v>
      </c>
      <c r="B2" s="6" t="s">
        <v>20</v>
      </c>
      <c r="C2" s="6" t="s">
        <v>34</v>
      </c>
      <c r="D2" s="6" t="s">
        <v>21</v>
      </c>
      <c r="E2" s="6" t="s">
        <v>55</v>
      </c>
      <c r="F2" s="6" t="s">
        <v>22</v>
      </c>
      <c r="G2" s="6">
        <v>70000</v>
      </c>
      <c r="H2" s="6" t="s">
        <v>35</v>
      </c>
      <c r="I2" s="6" t="s">
        <v>36</v>
      </c>
      <c r="J2" s="7">
        <v>0.51388888888888895</v>
      </c>
      <c r="K2" s="8">
        <v>0.51736111111111105</v>
      </c>
      <c r="L2" s="7">
        <v>0.30555555555555552</v>
      </c>
      <c r="M2" s="8">
        <v>0.32708333333333334</v>
      </c>
      <c r="N2" s="6" t="s">
        <v>218</v>
      </c>
      <c r="O2" s="6" t="s">
        <v>216</v>
      </c>
      <c r="P2" s="6">
        <v>579</v>
      </c>
      <c r="Q2" s="6">
        <v>308</v>
      </c>
      <c r="R2" s="6">
        <v>0</v>
      </c>
      <c r="S2" s="6">
        <v>0</v>
      </c>
      <c r="T2" s="6">
        <v>0</v>
      </c>
      <c r="U2" s="6">
        <v>0</v>
      </c>
    </row>
    <row r="3" spans="1:21" x14ac:dyDescent="0.25">
      <c r="A3" s="5">
        <v>44549</v>
      </c>
      <c r="B3" s="6" t="s">
        <v>20</v>
      </c>
      <c r="C3" s="6" t="s">
        <v>24</v>
      </c>
      <c r="D3" s="6" t="s">
        <v>21</v>
      </c>
      <c r="E3" s="6" t="s">
        <v>212</v>
      </c>
      <c r="F3" s="6" t="s">
        <v>22</v>
      </c>
      <c r="G3" s="6">
        <v>70000</v>
      </c>
      <c r="H3" s="6" t="s">
        <v>25</v>
      </c>
      <c r="I3" s="6" t="s">
        <v>26</v>
      </c>
      <c r="J3" s="7">
        <v>0.76041666666666663</v>
      </c>
      <c r="K3" s="8">
        <v>0.79375000000000007</v>
      </c>
      <c r="L3" s="7">
        <v>0.31944444444444448</v>
      </c>
      <c r="M3" s="8">
        <v>0.36249999999999999</v>
      </c>
      <c r="N3" s="6" t="s">
        <v>64</v>
      </c>
      <c r="O3" s="6" t="s">
        <v>217</v>
      </c>
      <c r="P3" s="6">
        <v>884</v>
      </c>
      <c r="Q3" s="6">
        <v>608</v>
      </c>
      <c r="R3" s="6">
        <v>0</v>
      </c>
      <c r="S3" s="6">
        <v>0</v>
      </c>
      <c r="T3" s="6">
        <v>0</v>
      </c>
      <c r="U3" s="6">
        <v>0</v>
      </c>
    </row>
    <row r="4" spans="1:21" x14ac:dyDescent="0.25">
      <c r="A4" s="5">
        <v>44549</v>
      </c>
      <c r="B4" s="6" t="s">
        <v>20</v>
      </c>
      <c r="C4" s="6" t="s">
        <v>87</v>
      </c>
      <c r="D4" s="6" t="s">
        <v>21</v>
      </c>
      <c r="E4" s="6" t="s">
        <v>55</v>
      </c>
      <c r="F4" s="6" t="s">
        <v>22</v>
      </c>
      <c r="G4" s="6">
        <v>70000</v>
      </c>
      <c r="H4" s="6" t="s">
        <v>88</v>
      </c>
      <c r="I4" s="6" t="s">
        <v>89</v>
      </c>
      <c r="J4" s="7">
        <v>0.69097222222222221</v>
      </c>
      <c r="K4" s="8">
        <v>0.6791666666666667</v>
      </c>
      <c r="L4" s="7">
        <v>0.57291666666666663</v>
      </c>
      <c r="M4" s="8">
        <v>0.57361111111111118</v>
      </c>
      <c r="N4" s="6" t="s">
        <v>221</v>
      </c>
      <c r="O4" s="6" t="s">
        <v>219</v>
      </c>
      <c r="P4" s="6">
        <v>1032</v>
      </c>
      <c r="Q4" s="6">
        <v>348</v>
      </c>
      <c r="R4" s="6">
        <v>0</v>
      </c>
      <c r="S4" s="6">
        <v>0</v>
      </c>
      <c r="T4" s="6">
        <v>0</v>
      </c>
      <c r="U4" s="6">
        <v>0</v>
      </c>
    </row>
    <row r="5" spans="1:21" x14ac:dyDescent="0.25">
      <c r="A5" s="5">
        <v>44549</v>
      </c>
      <c r="B5" s="6" t="s">
        <v>20</v>
      </c>
      <c r="C5" s="6" t="s">
        <v>90</v>
      </c>
      <c r="D5" s="6" t="s">
        <v>21</v>
      </c>
      <c r="E5" s="6" t="s">
        <v>55</v>
      </c>
      <c r="F5" s="6" t="s">
        <v>22</v>
      </c>
      <c r="G5" s="6">
        <v>70000</v>
      </c>
      <c r="H5" s="6" t="s">
        <v>91</v>
      </c>
      <c r="I5" s="6" t="s">
        <v>92</v>
      </c>
      <c r="J5" s="7">
        <v>0.91666666666666663</v>
      </c>
      <c r="K5" s="8">
        <v>0.8979166666666667</v>
      </c>
      <c r="L5" s="7">
        <v>0.71180555555555547</v>
      </c>
      <c r="M5" s="8">
        <v>0.71111111111111114</v>
      </c>
      <c r="N5" s="6" t="s">
        <v>223</v>
      </c>
      <c r="O5" s="6" t="s">
        <v>220</v>
      </c>
      <c r="P5" s="6">
        <v>385</v>
      </c>
      <c r="Q5" s="6">
        <v>187</v>
      </c>
      <c r="R5" s="6">
        <v>0</v>
      </c>
      <c r="S5" s="6">
        <v>0</v>
      </c>
      <c r="T5" s="6">
        <v>0</v>
      </c>
      <c r="U5" s="6">
        <v>0</v>
      </c>
    </row>
    <row r="6" spans="1:21" x14ac:dyDescent="0.25">
      <c r="A6" s="5">
        <v>44549</v>
      </c>
      <c r="B6" s="6" t="s">
        <v>20</v>
      </c>
      <c r="C6" s="6" t="s">
        <v>213</v>
      </c>
      <c r="D6" s="6" t="s">
        <v>21</v>
      </c>
      <c r="E6" s="6" t="s">
        <v>164</v>
      </c>
      <c r="F6" s="6" t="s">
        <v>22</v>
      </c>
      <c r="G6" s="6">
        <v>70000</v>
      </c>
      <c r="H6" s="6" t="s">
        <v>214</v>
      </c>
      <c r="I6" s="6" t="s">
        <v>215</v>
      </c>
      <c r="J6" s="7">
        <v>0.95486111111111116</v>
      </c>
      <c r="K6" s="8">
        <v>0.95486111111111116</v>
      </c>
      <c r="L6" s="7">
        <v>0.79166666666666663</v>
      </c>
      <c r="M6" s="8">
        <v>0.7993055555555556</v>
      </c>
      <c r="N6" s="6" t="s">
        <v>224</v>
      </c>
      <c r="O6" s="6" t="s">
        <v>222</v>
      </c>
      <c r="P6" s="6">
        <v>977</v>
      </c>
      <c r="Q6" s="6">
        <v>216</v>
      </c>
      <c r="R6" s="6">
        <v>0</v>
      </c>
      <c r="S6" s="6">
        <v>0</v>
      </c>
      <c r="T6" s="6">
        <v>0</v>
      </c>
      <c r="U6" s="6">
        <v>0</v>
      </c>
    </row>
    <row r="7" spans="1:21" x14ac:dyDescent="0.25">
      <c r="A7" s="5">
        <v>44549</v>
      </c>
      <c r="B7" s="6" t="s">
        <v>20</v>
      </c>
      <c r="C7" s="15" t="s">
        <v>225</v>
      </c>
      <c r="D7" s="6" t="s">
        <v>21</v>
      </c>
      <c r="E7" s="6" t="s">
        <v>226</v>
      </c>
      <c r="F7" s="6" t="s">
        <v>39</v>
      </c>
      <c r="G7" s="6">
        <v>70000</v>
      </c>
      <c r="H7" s="6" t="s">
        <v>227</v>
      </c>
      <c r="I7" s="6" t="s">
        <v>233</v>
      </c>
      <c r="J7" s="6" t="s">
        <v>228</v>
      </c>
      <c r="K7" s="8">
        <v>0.93402777777777779</v>
      </c>
      <c r="L7" s="7" t="s">
        <v>99</v>
      </c>
      <c r="M7" s="8"/>
      <c r="N7" s="6" t="s">
        <v>229</v>
      </c>
      <c r="O7" s="6" t="s">
        <v>233</v>
      </c>
      <c r="P7" s="6">
        <v>1055</v>
      </c>
      <c r="Q7" s="6" t="s">
        <v>233</v>
      </c>
      <c r="R7" s="6">
        <v>0</v>
      </c>
      <c r="S7" s="6">
        <v>0</v>
      </c>
      <c r="T7" s="6">
        <v>0</v>
      </c>
      <c r="U7" s="6">
        <v>0</v>
      </c>
    </row>
    <row r="8" spans="1:21" x14ac:dyDescent="0.25">
      <c r="A8" s="5">
        <v>44549</v>
      </c>
      <c r="B8" s="6" t="s">
        <v>20</v>
      </c>
      <c r="C8" s="15" t="s">
        <v>230</v>
      </c>
      <c r="D8" s="6" t="s">
        <v>21</v>
      </c>
      <c r="E8" s="6" t="s">
        <v>234</v>
      </c>
      <c r="F8" s="6" t="s">
        <v>39</v>
      </c>
      <c r="G8" s="6">
        <v>70000</v>
      </c>
      <c r="H8" s="6" t="s">
        <v>231</v>
      </c>
      <c r="I8" s="6" t="s">
        <v>233</v>
      </c>
      <c r="J8" s="6" t="s">
        <v>228</v>
      </c>
      <c r="K8" s="8">
        <v>0.9604166666666667</v>
      </c>
      <c r="L8" s="7" t="s">
        <v>99</v>
      </c>
      <c r="M8" s="8"/>
      <c r="N8" s="6" t="s">
        <v>232</v>
      </c>
      <c r="O8" s="6" t="s">
        <v>233</v>
      </c>
      <c r="P8" s="6">
        <v>1319</v>
      </c>
      <c r="Q8" s="6" t="s">
        <v>233</v>
      </c>
      <c r="R8" s="6">
        <v>0</v>
      </c>
      <c r="S8" s="6">
        <v>0</v>
      </c>
      <c r="T8" s="6">
        <v>0</v>
      </c>
      <c r="U8" s="6">
        <v>0</v>
      </c>
    </row>
  </sheetData>
  <pageMargins left="0.7" right="0.7" top="0.75" bottom="0.75" header="0.3" footer="0.3"/>
  <pageSetup paperSize="9" orientation="portrait" verticalDpi="0" r:id="rId1"/>
  <legacy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7"/>
  <sheetViews>
    <sheetView workbookViewId="0">
      <selection activeCell="I32" sqref="I32"/>
    </sheetView>
  </sheetViews>
  <sheetFormatPr defaultRowHeight="15" x14ac:dyDescent="0.25"/>
  <cols>
    <col min="1" max="1" width="11" customWidth="1"/>
    <col min="3" max="3" width="15.5703125" customWidth="1"/>
    <col min="4" max="4" width="7.7109375" customWidth="1"/>
    <col min="5" max="5" width="15.5703125" customWidth="1"/>
    <col min="6" max="6" width="11.7109375" customWidth="1"/>
    <col min="10" max="10" width="9.42578125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23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 x14ac:dyDescent="0.25">
      <c r="A2" s="5">
        <v>44550</v>
      </c>
      <c r="B2" s="6" t="s">
        <v>20</v>
      </c>
      <c r="C2" s="6" t="s">
        <v>24</v>
      </c>
      <c r="D2" s="6" t="s">
        <v>21</v>
      </c>
      <c r="E2" s="6" t="s">
        <v>236</v>
      </c>
      <c r="F2" s="6" t="s">
        <v>22</v>
      </c>
      <c r="G2" s="6">
        <v>70000</v>
      </c>
      <c r="H2" s="6" t="s">
        <v>25</v>
      </c>
      <c r="I2" s="6" t="s">
        <v>26</v>
      </c>
      <c r="J2" s="7">
        <v>0.77083333333333337</v>
      </c>
      <c r="K2" s="8">
        <v>0.84861111111111109</v>
      </c>
      <c r="L2" s="7">
        <v>0.31944444444444448</v>
      </c>
      <c r="M2" s="8">
        <v>0.33124999999999999</v>
      </c>
      <c r="N2" s="6" t="s">
        <v>243</v>
      </c>
      <c r="O2" s="6" t="s">
        <v>238</v>
      </c>
      <c r="P2" s="6">
        <v>815</v>
      </c>
      <c r="Q2" s="6">
        <v>197</v>
      </c>
      <c r="R2" s="6">
        <v>0</v>
      </c>
      <c r="S2" s="6">
        <v>0</v>
      </c>
      <c r="T2" s="6">
        <v>0</v>
      </c>
      <c r="U2" s="6">
        <v>0</v>
      </c>
    </row>
    <row r="3" spans="1:21" x14ac:dyDescent="0.25">
      <c r="A3" s="5">
        <v>44550</v>
      </c>
      <c r="B3" s="6" t="s">
        <v>20</v>
      </c>
      <c r="C3" s="6" t="s">
        <v>27</v>
      </c>
      <c r="D3" s="6" t="s">
        <v>21</v>
      </c>
      <c r="E3" s="6" t="s">
        <v>164</v>
      </c>
      <c r="F3" s="6" t="s">
        <v>22</v>
      </c>
      <c r="G3" s="6">
        <v>70000</v>
      </c>
      <c r="H3" s="6" t="s">
        <v>237</v>
      </c>
      <c r="I3" s="6" t="s">
        <v>28</v>
      </c>
      <c r="J3" s="7">
        <v>0.52083333333333337</v>
      </c>
      <c r="K3" s="8">
        <v>0.53541666666666665</v>
      </c>
      <c r="L3" s="7">
        <v>0.33333333333333331</v>
      </c>
      <c r="M3" s="8">
        <v>0.34236111111111112</v>
      </c>
      <c r="N3" s="6" t="s">
        <v>239</v>
      </c>
      <c r="O3" s="6" t="s">
        <v>167</v>
      </c>
      <c r="P3" s="6">
        <v>818</v>
      </c>
      <c r="Q3" s="6">
        <v>213</v>
      </c>
      <c r="R3" s="6">
        <v>0</v>
      </c>
      <c r="S3" s="6">
        <v>0</v>
      </c>
      <c r="T3" s="6">
        <v>0</v>
      </c>
      <c r="U3" s="6">
        <v>0</v>
      </c>
    </row>
    <row r="4" spans="1:21" x14ac:dyDescent="0.25">
      <c r="A4" s="5">
        <v>44550</v>
      </c>
      <c r="B4" s="6" t="s">
        <v>20</v>
      </c>
      <c r="C4" s="6" t="s">
        <v>185</v>
      </c>
      <c r="D4" s="6" t="s">
        <v>21</v>
      </c>
      <c r="E4" s="6" t="s">
        <v>164</v>
      </c>
      <c r="F4" s="6" t="s">
        <v>22</v>
      </c>
      <c r="G4" s="6">
        <v>70000</v>
      </c>
      <c r="H4" s="6" t="s">
        <v>188</v>
      </c>
      <c r="I4" s="6" t="s">
        <v>190</v>
      </c>
      <c r="J4" s="7">
        <v>0.69444444444444453</v>
      </c>
      <c r="K4" s="8">
        <v>0.71180555555555547</v>
      </c>
      <c r="L4" s="7">
        <v>0.54166666666666663</v>
      </c>
      <c r="M4" s="8">
        <v>0.56944444444444442</v>
      </c>
      <c r="N4" s="6" t="s">
        <v>241</v>
      </c>
      <c r="O4" s="6" t="s">
        <v>240</v>
      </c>
      <c r="P4" s="6">
        <v>920</v>
      </c>
      <c r="Q4" s="6">
        <v>324</v>
      </c>
      <c r="R4" s="6">
        <v>0</v>
      </c>
      <c r="S4" s="6">
        <v>0</v>
      </c>
      <c r="T4" s="6">
        <v>0</v>
      </c>
      <c r="U4" s="6">
        <v>0</v>
      </c>
    </row>
    <row r="5" spans="1:21" x14ac:dyDescent="0.25">
      <c r="A5" s="5">
        <v>44550</v>
      </c>
      <c r="B5" s="6" t="s">
        <v>20</v>
      </c>
      <c r="C5" s="6" t="s">
        <v>186</v>
      </c>
      <c r="D5" s="6" t="s">
        <v>21</v>
      </c>
      <c r="E5" s="6" t="s">
        <v>164</v>
      </c>
      <c r="F5" s="6" t="s">
        <v>22</v>
      </c>
      <c r="G5" s="6">
        <v>70000</v>
      </c>
      <c r="H5" s="6" t="s">
        <v>189</v>
      </c>
      <c r="I5" s="6" t="s">
        <v>191</v>
      </c>
      <c r="J5" s="7">
        <v>0.95486111111111116</v>
      </c>
      <c r="K5" s="8">
        <v>0.94097222222222221</v>
      </c>
      <c r="L5" s="7">
        <v>0.80208333333333337</v>
      </c>
      <c r="M5" s="8">
        <v>0.79513888888888884</v>
      </c>
      <c r="N5" s="6" t="s">
        <v>244</v>
      </c>
      <c r="O5" s="6" t="s">
        <v>242</v>
      </c>
      <c r="P5" s="6">
        <v>276</v>
      </c>
      <c r="Q5" s="6">
        <v>178</v>
      </c>
      <c r="R5" s="6">
        <v>0</v>
      </c>
      <c r="S5" s="6">
        <v>0</v>
      </c>
      <c r="T5" s="6">
        <v>0</v>
      </c>
      <c r="U5" s="6">
        <v>0</v>
      </c>
    </row>
    <row r="6" spans="1:21" x14ac:dyDescent="0.25">
      <c r="A6" s="5">
        <v>44550</v>
      </c>
      <c r="B6" s="6" t="s">
        <v>20</v>
      </c>
      <c r="C6" s="6" t="s">
        <v>235</v>
      </c>
      <c r="D6" s="6" t="s">
        <v>21</v>
      </c>
      <c r="E6" s="6" t="s">
        <v>226</v>
      </c>
      <c r="F6" s="6" t="s">
        <v>165</v>
      </c>
      <c r="G6" s="6">
        <v>70000</v>
      </c>
      <c r="H6" s="6" t="s">
        <v>100</v>
      </c>
      <c r="I6" s="6" t="s">
        <v>162</v>
      </c>
      <c r="J6" s="6" t="s">
        <v>100</v>
      </c>
      <c r="K6" s="6" t="s">
        <v>100</v>
      </c>
      <c r="L6" s="7">
        <v>0.35416666666666669</v>
      </c>
      <c r="M6" s="8">
        <v>0.41250000000000003</v>
      </c>
      <c r="N6" s="6" t="s">
        <v>100</v>
      </c>
      <c r="O6" s="6" t="s">
        <v>100</v>
      </c>
      <c r="P6" s="6" t="s">
        <v>100</v>
      </c>
      <c r="Q6" s="6" t="s">
        <v>100</v>
      </c>
      <c r="R6" s="6">
        <v>0</v>
      </c>
      <c r="S6" s="6">
        <v>0</v>
      </c>
      <c r="T6" s="6">
        <v>0</v>
      </c>
      <c r="U6" s="6">
        <v>0</v>
      </c>
    </row>
    <row r="7" spans="1:21" x14ac:dyDescent="0.25">
      <c r="A7" s="5">
        <v>44550</v>
      </c>
      <c r="B7" s="6" t="s">
        <v>20</v>
      </c>
      <c r="C7" s="6" t="s">
        <v>163</v>
      </c>
      <c r="D7" s="6" t="s">
        <v>21</v>
      </c>
      <c r="E7" s="6" t="s">
        <v>234</v>
      </c>
      <c r="F7" s="6" t="s">
        <v>165</v>
      </c>
      <c r="G7" s="6">
        <v>70000</v>
      </c>
      <c r="H7" s="6" t="s">
        <v>100</v>
      </c>
      <c r="I7" s="6" t="s">
        <v>78</v>
      </c>
      <c r="J7" s="6" t="s">
        <v>100</v>
      </c>
      <c r="K7" s="6" t="s">
        <v>100</v>
      </c>
      <c r="L7" s="7">
        <v>0.3611111111111111</v>
      </c>
      <c r="M7" s="8">
        <v>0.42152777777777778</v>
      </c>
      <c r="N7" s="6" t="s">
        <v>100</v>
      </c>
      <c r="O7" s="6" t="s">
        <v>100</v>
      </c>
      <c r="P7" s="6" t="s">
        <v>100</v>
      </c>
      <c r="Q7" s="6" t="s">
        <v>100</v>
      </c>
      <c r="R7" s="6">
        <v>0</v>
      </c>
      <c r="S7" s="6">
        <v>0</v>
      </c>
      <c r="T7" s="6">
        <v>0</v>
      </c>
      <c r="U7" s="6">
        <v>0</v>
      </c>
    </row>
  </sheetData>
  <pageMargins left="0.7" right="0.7" top="0.75" bottom="0.75" header="0.3" footer="0.3"/>
  <pageSetup paperSize="9" orientation="portrait" verticalDpi="0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7"/>
  <sheetViews>
    <sheetView workbookViewId="0">
      <selection activeCell="I24" sqref="I24"/>
    </sheetView>
  </sheetViews>
  <sheetFormatPr defaultRowHeight="15" x14ac:dyDescent="0.25"/>
  <cols>
    <col min="1" max="1" width="11" customWidth="1"/>
    <col min="3" max="3" width="12.85546875" customWidth="1"/>
    <col min="4" max="4" width="8" customWidth="1"/>
    <col min="6" max="6" width="15.85546875" customWidth="1"/>
    <col min="7" max="7" width="9.28515625" bestFit="1" customWidth="1"/>
    <col min="10" max="10" width="9.28515625" bestFit="1" customWidth="1"/>
    <col min="12" max="12" width="9.28515625" bestFit="1" customWidth="1"/>
    <col min="14" max="14" width="10.28515625" customWidth="1"/>
    <col min="15" max="15" width="9.85546875" customWidth="1"/>
    <col min="16" max="16" width="11.5703125" customWidth="1"/>
    <col min="18" max="21" width="9.28515625" bestFit="1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23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 x14ac:dyDescent="0.25">
      <c r="A2" s="5">
        <v>44551</v>
      </c>
      <c r="B2" s="6" t="s">
        <v>20</v>
      </c>
      <c r="C2" s="6" t="s">
        <v>30</v>
      </c>
      <c r="D2" s="6" t="s">
        <v>21</v>
      </c>
      <c r="E2" s="6" t="s">
        <v>212</v>
      </c>
      <c r="F2" s="6" t="s">
        <v>22</v>
      </c>
      <c r="G2" s="6">
        <v>70000</v>
      </c>
      <c r="H2" s="6" t="s">
        <v>65</v>
      </c>
      <c r="I2" s="6" t="s">
        <v>69</v>
      </c>
      <c r="J2" s="7">
        <v>0.50347222222222221</v>
      </c>
      <c r="K2" s="8">
        <v>0.50277777777777777</v>
      </c>
      <c r="L2" s="7">
        <v>0.31944444444444448</v>
      </c>
      <c r="M2" s="8">
        <v>0.33402777777777781</v>
      </c>
      <c r="N2" s="6" t="s">
        <v>248</v>
      </c>
      <c r="O2" s="6" t="s">
        <v>246</v>
      </c>
      <c r="P2" s="6">
        <v>942</v>
      </c>
      <c r="Q2" s="6">
        <v>401</v>
      </c>
      <c r="R2" s="6">
        <v>0</v>
      </c>
      <c r="S2" s="6">
        <v>0</v>
      </c>
      <c r="T2" s="6">
        <v>0</v>
      </c>
      <c r="U2" s="6">
        <v>0</v>
      </c>
    </row>
    <row r="3" spans="1:21" x14ac:dyDescent="0.25">
      <c r="A3" s="5">
        <v>44551</v>
      </c>
      <c r="B3" s="6" t="s">
        <v>20</v>
      </c>
      <c r="C3" s="6" t="s">
        <v>42</v>
      </c>
      <c r="D3" s="6" t="s">
        <v>21</v>
      </c>
      <c r="E3" s="6" t="s">
        <v>245</v>
      </c>
      <c r="F3" s="6" t="s">
        <v>22</v>
      </c>
      <c r="G3" s="6">
        <v>70000</v>
      </c>
      <c r="H3" s="6" t="s">
        <v>43</v>
      </c>
      <c r="I3" s="6" t="s">
        <v>44</v>
      </c>
      <c r="J3" s="7">
        <v>0.5</v>
      </c>
      <c r="K3" s="8">
        <v>0.49652777777777773</v>
      </c>
      <c r="L3" s="7">
        <v>0.35069444444444442</v>
      </c>
      <c r="M3" s="8">
        <v>0.35902777777777778</v>
      </c>
      <c r="N3" s="6" t="s">
        <v>249</v>
      </c>
      <c r="O3" s="6" t="s">
        <v>247</v>
      </c>
      <c r="P3" s="6">
        <v>756</v>
      </c>
      <c r="Q3" s="6">
        <v>389</v>
      </c>
      <c r="R3" s="6">
        <v>0</v>
      </c>
      <c r="S3" s="6">
        <v>0</v>
      </c>
      <c r="T3" s="6">
        <v>0</v>
      </c>
      <c r="U3" s="6">
        <v>0</v>
      </c>
    </row>
    <row r="4" spans="1:21" x14ac:dyDescent="0.25">
      <c r="A4" s="5">
        <v>44551</v>
      </c>
      <c r="B4" s="6" t="s">
        <v>20</v>
      </c>
      <c r="C4" s="6" t="s">
        <v>31</v>
      </c>
      <c r="D4" s="6" t="s">
        <v>21</v>
      </c>
      <c r="E4" s="6" t="str">
        <f>E2</f>
        <v>HA-LYJ</v>
      </c>
      <c r="F4" s="6" t="s">
        <v>22</v>
      </c>
      <c r="G4" s="6">
        <v>70000</v>
      </c>
      <c r="H4" s="6" t="s">
        <v>67</v>
      </c>
      <c r="I4" s="6" t="s">
        <v>71</v>
      </c>
      <c r="J4" s="7">
        <v>0.69791666666666663</v>
      </c>
      <c r="K4" s="8">
        <v>0.69652777777777775</v>
      </c>
      <c r="L4" s="7">
        <v>0.53125</v>
      </c>
      <c r="M4" s="8">
        <v>0.53680555555555554</v>
      </c>
      <c r="N4" s="6" t="s">
        <v>251</v>
      </c>
      <c r="O4" s="6" t="s">
        <v>219</v>
      </c>
      <c r="P4" s="6">
        <v>1018</v>
      </c>
      <c r="Q4" s="6">
        <v>291</v>
      </c>
      <c r="R4" s="6">
        <v>0</v>
      </c>
      <c r="S4" s="6">
        <v>0</v>
      </c>
      <c r="T4" s="6">
        <v>0</v>
      </c>
      <c r="U4" s="6">
        <v>0</v>
      </c>
    </row>
    <row r="5" spans="1:21" x14ac:dyDescent="0.25">
      <c r="A5" s="5">
        <v>44551</v>
      </c>
      <c r="B5" s="6" t="s">
        <v>20</v>
      </c>
      <c r="C5" s="6" t="s">
        <v>32</v>
      </c>
      <c r="D5" s="6" t="s">
        <v>21</v>
      </c>
      <c r="E5" s="6" t="str">
        <f>E3</f>
        <v>HA-LPM</v>
      </c>
      <c r="F5" s="6" t="s">
        <v>22</v>
      </c>
      <c r="G5" s="6">
        <v>70000</v>
      </c>
      <c r="H5" s="6" t="s">
        <v>66</v>
      </c>
      <c r="I5" s="6" t="s">
        <v>70</v>
      </c>
      <c r="J5" s="7">
        <v>0.70833333333333337</v>
      </c>
      <c r="K5" s="8">
        <v>0.70347222222222217</v>
      </c>
      <c r="L5" s="7">
        <v>0.53472222222222221</v>
      </c>
      <c r="M5" s="8">
        <v>0.5</v>
      </c>
      <c r="N5" s="6" t="s">
        <v>252</v>
      </c>
      <c r="O5" s="6" t="s">
        <v>250</v>
      </c>
      <c r="P5" s="6">
        <v>850</v>
      </c>
      <c r="Q5" s="6">
        <v>183</v>
      </c>
      <c r="R5" s="6">
        <v>0</v>
      </c>
      <c r="S5" s="6">
        <v>0</v>
      </c>
      <c r="T5" s="6">
        <v>0</v>
      </c>
      <c r="U5" s="6">
        <v>0</v>
      </c>
    </row>
    <row r="6" spans="1:21" x14ac:dyDescent="0.25">
      <c r="A6" s="5">
        <v>44551</v>
      </c>
      <c r="B6" s="6" t="s">
        <v>20</v>
      </c>
      <c r="C6" s="6" t="s">
        <v>178</v>
      </c>
      <c r="D6" s="6" t="s">
        <v>21</v>
      </c>
      <c r="E6" s="6" t="str">
        <f>E4</f>
        <v>HA-LYJ</v>
      </c>
      <c r="F6" s="6" t="s">
        <v>22</v>
      </c>
      <c r="G6" s="6">
        <v>70000</v>
      </c>
      <c r="H6" s="6" t="s">
        <v>179</v>
      </c>
      <c r="I6" s="6" t="s">
        <v>180</v>
      </c>
      <c r="J6" s="7">
        <v>0.95138888888888884</v>
      </c>
      <c r="K6" s="8">
        <v>0.9506944444444444</v>
      </c>
      <c r="L6" s="7">
        <v>0.71875</v>
      </c>
      <c r="M6" s="8">
        <v>0.72986111111111107</v>
      </c>
      <c r="N6" s="6" t="s">
        <v>255</v>
      </c>
      <c r="O6" s="6" t="s">
        <v>253</v>
      </c>
      <c r="P6" s="6">
        <v>485</v>
      </c>
      <c r="Q6" s="6">
        <v>272</v>
      </c>
      <c r="R6" s="6">
        <v>0</v>
      </c>
      <c r="S6" s="6">
        <v>0</v>
      </c>
      <c r="T6" s="6">
        <v>0</v>
      </c>
      <c r="U6" s="6">
        <v>0</v>
      </c>
    </row>
    <row r="7" spans="1:21" x14ac:dyDescent="0.25">
      <c r="A7" s="5">
        <v>44551</v>
      </c>
      <c r="B7" s="6" t="s">
        <v>20</v>
      </c>
      <c r="C7" s="6" t="s">
        <v>33</v>
      </c>
      <c r="D7" s="6" t="s">
        <v>21</v>
      </c>
      <c r="E7" s="6" t="str">
        <f>E5</f>
        <v>HA-LPM</v>
      </c>
      <c r="F7" s="6" t="s">
        <v>22</v>
      </c>
      <c r="G7" s="6">
        <v>70000</v>
      </c>
      <c r="H7" s="6" t="s">
        <v>68</v>
      </c>
      <c r="I7" s="6" t="s">
        <v>72</v>
      </c>
      <c r="J7" s="7">
        <v>0.94791666666666663</v>
      </c>
      <c r="K7" s="8">
        <v>0.9472222222222223</v>
      </c>
      <c r="L7" s="7">
        <v>0.72916666666666663</v>
      </c>
      <c r="M7" s="8">
        <v>0.7402777777777777</v>
      </c>
      <c r="N7" s="6" t="s">
        <v>256</v>
      </c>
      <c r="O7" s="6" t="s">
        <v>254</v>
      </c>
      <c r="P7" s="6">
        <v>508</v>
      </c>
      <c r="Q7" s="6">
        <v>165</v>
      </c>
      <c r="R7" s="6">
        <v>0</v>
      </c>
      <c r="S7" s="6">
        <v>0</v>
      </c>
      <c r="T7" s="6">
        <v>0</v>
      </c>
      <c r="U7" s="6">
        <v>0</v>
      </c>
    </row>
  </sheetData>
  <pageMargins left="0.7" right="0.7" top="0.75" bottom="0.75" header="0.3" footer="0.3"/>
  <pageSetup paperSize="9" orientation="portrait" verticalDpi="0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8"/>
  <sheetViews>
    <sheetView workbookViewId="0">
      <selection activeCell="A5" sqref="A5:Q5"/>
    </sheetView>
  </sheetViews>
  <sheetFormatPr defaultRowHeight="15" x14ac:dyDescent="0.25"/>
  <cols>
    <col min="2" max="2" width="10.85546875" customWidth="1"/>
    <col min="3" max="3" width="13.5703125" bestFit="1" customWidth="1"/>
    <col min="4" max="4" width="8.140625" customWidth="1"/>
    <col min="5" max="5" width="15.85546875" customWidth="1"/>
    <col min="6" max="6" width="12" customWidth="1"/>
    <col min="14" max="14" width="12.42578125" customWidth="1"/>
    <col min="15" max="15" width="11.42578125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23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 x14ac:dyDescent="0.25">
      <c r="A2" s="5">
        <v>44552</v>
      </c>
      <c r="B2" s="6" t="s">
        <v>20</v>
      </c>
      <c r="C2" s="6" t="s">
        <v>34</v>
      </c>
      <c r="D2" s="6" t="s">
        <v>21</v>
      </c>
      <c r="E2" s="6" t="s">
        <v>212</v>
      </c>
      <c r="F2" s="6" t="s">
        <v>22</v>
      </c>
      <c r="G2" s="6">
        <v>70000</v>
      </c>
      <c r="H2" s="6" t="s">
        <v>35</v>
      </c>
      <c r="I2" s="6" t="s">
        <v>36</v>
      </c>
      <c r="J2" s="7">
        <v>0.51388888888888895</v>
      </c>
      <c r="K2" s="8">
        <v>0.5229166666666667</v>
      </c>
      <c r="L2" s="7">
        <v>0.30555555555555552</v>
      </c>
      <c r="M2" s="8">
        <v>0.31111111111111112</v>
      </c>
      <c r="N2" s="6" t="s">
        <v>261</v>
      </c>
      <c r="O2" s="6" t="s">
        <v>259</v>
      </c>
      <c r="P2" s="6">
        <v>711</v>
      </c>
      <c r="Q2" s="6">
        <v>173</v>
      </c>
      <c r="R2" s="2">
        <v>0</v>
      </c>
      <c r="S2" s="2">
        <v>0</v>
      </c>
      <c r="T2" s="2">
        <v>0</v>
      </c>
      <c r="U2" s="2">
        <v>0</v>
      </c>
    </row>
    <row r="3" spans="1:21" x14ac:dyDescent="0.25">
      <c r="A3" s="5">
        <v>44552</v>
      </c>
      <c r="B3" s="6" t="s">
        <v>20</v>
      </c>
      <c r="C3" s="6" t="s">
        <v>24</v>
      </c>
      <c r="D3" s="6" t="s">
        <v>21</v>
      </c>
      <c r="E3" s="6" t="s">
        <v>245</v>
      </c>
      <c r="F3" s="6" t="s">
        <v>22</v>
      </c>
      <c r="G3" s="6">
        <v>70000</v>
      </c>
      <c r="H3" s="6" t="s">
        <v>25</v>
      </c>
      <c r="I3" s="6" t="s">
        <v>26</v>
      </c>
      <c r="J3" s="10">
        <v>0.76041666666666663</v>
      </c>
      <c r="K3" s="8">
        <v>0.76527777777777783</v>
      </c>
      <c r="L3" s="10">
        <v>0.31944444444444448</v>
      </c>
      <c r="M3" s="8">
        <v>0.3215277777777778</v>
      </c>
      <c r="N3" s="6" t="s">
        <v>263</v>
      </c>
      <c r="O3" s="6" t="s">
        <v>260</v>
      </c>
      <c r="P3" s="6">
        <v>958</v>
      </c>
      <c r="Q3" s="6">
        <v>428</v>
      </c>
      <c r="R3" s="2">
        <v>0</v>
      </c>
      <c r="S3" s="2">
        <v>0</v>
      </c>
      <c r="T3" s="2">
        <v>0</v>
      </c>
      <c r="U3" s="2">
        <v>0</v>
      </c>
    </row>
    <row r="4" spans="1:21" x14ac:dyDescent="0.25">
      <c r="A4" s="5">
        <v>44552</v>
      </c>
      <c r="B4" s="6" t="s">
        <v>20</v>
      </c>
      <c r="C4" s="6" t="s">
        <v>87</v>
      </c>
      <c r="D4" s="6" t="s">
        <v>21</v>
      </c>
      <c r="E4" s="6" t="s">
        <v>257</v>
      </c>
      <c r="F4" s="6" t="s">
        <v>22</v>
      </c>
      <c r="G4" s="6">
        <v>70000</v>
      </c>
      <c r="H4" s="6" t="s">
        <v>88</v>
      </c>
      <c r="I4" s="6" t="s">
        <v>89</v>
      </c>
      <c r="J4" s="10">
        <v>0.69097222222222221</v>
      </c>
      <c r="K4" s="8">
        <v>0.71458333333333324</v>
      </c>
      <c r="L4" s="10">
        <v>0.57291666666666663</v>
      </c>
      <c r="M4" s="8">
        <v>0.57361111111111118</v>
      </c>
      <c r="N4" s="6" t="s">
        <v>262</v>
      </c>
      <c r="O4" s="6" t="s">
        <v>171</v>
      </c>
      <c r="P4" s="6">
        <v>793</v>
      </c>
      <c r="Q4" s="6">
        <v>207</v>
      </c>
      <c r="R4" s="2">
        <v>0</v>
      </c>
      <c r="S4" s="2">
        <v>0</v>
      </c>
      <c r="T4" s="2">
        <v>0</v>
      </c>
      <c r="U4" s="2">
        <v>0</v>
      </c>
    </row>
    <row r="5" spans="1:21" x14ac:dyDescent="0.25">
      <c r="A5" s="5">
        <v>44552</v>
      </c>
      <c r="B5" s="6" t="s">
        <v>20</v>
      </c>
      <c r="C5" s="6" t="s">
        <v>90</v>
      </c>
      <c r="D5" s="6" t="s">
        <v>21</v>
      </c>
      <c r="E5" s="6" t="s">
        <v>258</v>
      </c>
      <c r="F5" s="6" t="s">
        <v>22</v>
      </c>
      <c r="G5" s="6">
        <v>70000</v>
      </c>
      <c r="H5" s="6" t="s">
        <v>91</v>
      </c>
      <c r="I5" s="6" t="s">
        <v>92</v>
      </c>
      <c r="J5" s="10">
        <v>0.91666666666666663</v>
      </c>
      <c r="K5" s="8">
        <v>0.93472222222222223</v>
      </c>
      <c r="L5" s="10">
        <v>0.71180555555555547</v>
      </c>
      <c r="M5" s="8">
        <v>0.7416666666666667</v>
      </c>
      <c r="N5" s="6" t="s">
        <v>264</v>
      </c>
      <c r="O5" s="6" t="s">
        <v>52</v>
      </c>
      <c r="P5" s="6">
        <v>630</v>
      </c>
      <c r="Q5" s="6">
        <v>153</v>
      </c>
      <c r="R5" s="2">
        <v>0</v>
      </c>
      <c r="S5" s="2">
        <v>0</v>
      </c>
      <c r="T5" s="2">
        <v>0</v>
      </c>
      <c r="U5" s="2">
        <v>0</v>
      </c>
    </row>
    <row r="6" spans="1:21" x14ac:dyDescent="0.25">
      <c r="A6" s="5">
        <v>44552</v>
      </c>
      <c r="B6" s="6" t="s">
        <v>20</v>
      </c>
      <c r="C6" s="6" t="s">
        <v>213</v>
      </c>
      <c r="D6" s="6" t="s">
        <v>21</v>
      </c>
      <c r="E6" s="6" t="s">
        <v>164</v>
      </c>
      <c r="F6" s="6" t="s">
        <v>22</v>
      </c>
      <c r="G6" s="6">
        <v>70000</v>
      </c>
      <c r="H6" s="6" t="s">
        <v>214</v>
      </c>
      <c r="I6" s="6" t="s">
        <v>215</v>
      </c>
      <c r="J6" s="10">
        <v>0.95486111111111116</v>
      </c>
      <c r="K6" s="8">
        <v>0.9375</v>
      </c>
      <c r="L6" s="10">
        <v>0.79166666666666663</v>
      </c>
      <c r="M6" s="8">
        <v>0.79027777777777775</v>
      </c>
      <c r="N6" s="6" t="s">
        <v>252</v>
      </c>
      <c r="O6" s="6" t="s">
        <v>242</v>
      </c>
      <c r="P6" s="6">
        <v>809</v>
      </c>
      <c r="Q6" s="6">
        <v>255</v>
      </c>
      <c r="R6" s="2">
        <v>0</v>
      </c>
      <c r="S6" s="2">
        <v>0</v>
      </c>
      <c r="T6" s="2">
        <v>0</v>
      </c>
      <c r="U6" s="2">
        <v>0</v>
      </c>
    </row>
    <row r="7" spans="1:21" x14ac:dyDescent="0.25">
      <c r="A7" s="5"/>
      <c r="B7" s="6"/>
      <c r="C7" s="6"/>
      <c r="D7" s="6"/>
      <c r="E7" s="6"/>
      <c r="F7" s="6"/>
      <c r="G7" s="6"/>
      <c r="H7" s="6"/>
      <c r="I7" s="6"/>
      <c r="J7" s="10"/>
      <c r="K7" s="8"/>
      <c r="L7" s="10"/>
      <c r="M7" s="4"/>
      <c r="N7" s="6"/>
      <c r="O7" s="6"/>
      <c r="P7" s="6"/>
      <c r="Q7" s="2"/>
      <c r="R7" s="2"/>
      <c r="S7" s="2"/>
      <c r="T7" s="2"/>
      <c r="U7" s="2"/>
    </row>
    <row r="8" spans="1:21" x14ac:dyDescent="0.25">
      <c r="J8" s="9"/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7"/>
  <sheetViews>
    <sheetView workbookViewId="0">
      <selection activeCell="K3" sqref="K3"/>
    </sheetView>
  </sheetViews>
  <sheetFormatPr defaultRowHeight="15" x14ac:dyDescent="0.25"/>
  <cols>
    <col min="3" max="3" width="12.7109375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23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 x14ac:dyDescent="0.25">
      <c r="A2" s="5">
        <v>44553</v>
      </c>
      <c r="B2" s="6" t="s">
        <v>20</v>
      </c>
      <c r="C2" s="6" t="s">
        <v>30</v>
      </c>
      <c r="D2" s="6" t="s">
        <v>21</v>
      </c>
      <c r="E2" s="6" t="s">
        <v>245</v>
      </c>
      <c r="F2" s="6" t="s">
        <v>22</v>
      </c>
      <c r="G2" s="6">
        <v>70000</v>
      </c>
      <c r="H2" s="6" t="s">
        <v>65</v>
      </c>
      <c r="I2" s="6" t="s">
        <v>69</v>
      </c>
      <c r="J2" s="7">
        <v>0.50347222222222221</v>
      </c>
      <c r="K2" s="8">
        <v>0.49791666666666662</v>
      </c>
      <c r="L2" s="7">
        <v>0.31944444444444448</v>
      </c>
      <c r="M2" s="8">
        <v>0.32847222222222222</v>
      </c>
      <c r="N2" s="6" t="s">
        <v>265</v>
      </c>
      <c r="O2" s="6" t="s">
        <v>138</v>
      </c>
      <c r="P2" s="6">
        <v>902</v>
      </c>
      <c r="Q2" s="6">
        <v>293</v>
      </c>
      <c r="R2" s="6">
        <v>0</v>
      </c>
      <c r="S2" s="6">
        <v>0</v>
      </c>
      <c r="T2" s="6">
        <v>0</v>
      </c>
      <c r="U2" s="6">
        <v>0</v>
      </c>
    </row>
    <row r="3" spans="1:21" x14ac:dyDescent="0.25">
      <c r="A3" s="5">
        <v>44553</v>
      </c>
      <c r="B3" s="6" t="s">
        <v>20</v>
      </c>
      <c r="C3" s="6" t="s">
        <v>31</v>
      </c>
      <c r="D3" s="6" t="s">
        <v>21</v>
      </c>
      <c r="E3" s="6" t="s">
        <v>258</v>
      </c>
      <c r="F3" s="6" t="s">
        <v>22</v>
      </c>
      <c r="G3" s="6">
        <v>70000</v>
      </c>
      <c r="H3" s="6" t="s">
        <v>67</v>
      </c>
      <c r="I3" s="6" t="s">
        <v>71</v>
      </c>
      <c r="J3" s="7">
        <v>0.5</v>
      </c>
      <c r="K3" s="8">
        <v>0.4604166666666667</v>
      </c>
      <c r="L3" s="7">
        <v>0.33333333333333331</v>
      </c>
      <c r="M3" s="8">
        <v>0.34097222222222223</v>
      </c>
      <c r="N3" s="6" t="s">
        <v>266</v>
      </c>
      <c r="O3" s="6" t="s">
        <v>246</v>
      </c>
      <c r="P3" s="6">
        <v>1264</v>
      </c>
      <c r="Q3" s="6">
        <v>349</v>
      </c>
      <c r="R3" s="6">
        <v>0</v>
      </c>
      <c r="S3" s="6">
        <v>0</v>
      </c>
      <c r="T3" s="6">
        <v>0</v>
      </c>
      <c r="U3" s="6">
        <v>0</v>
      </c>
    </row>
    <row r="4" spans="1:21" x14ac:dyDescent="0.25">
      <c r="A4" s="5">
        <v>44553</v>
      </c>
      <c r="B4" s="6" t="s">
        <v>20</v>
      </c>
      <c r="C4" s="6" t="s">
        <v>42</v>
      </c>
      <c r="D4" s="6" t="s">
        <v>21</v>
      </c>
      <c r="E4" s="6" t="s">
        <v>258</v>
      </c>
      <c r="F4" s="6" t="s">
        <v>22</v>
      </c>
      <c r="G4" s="6">
        <v>70000</v>
      </c>
      <c r="H4" s="6" t="s">
        <v>43</v>
      </c>
      <c r="I4" s="6" t="s">
        <v>44</v>
      </c>
      <c r="J4" s="10">
        <v>0.67013888888888884</v>
      </c>
      <c r="K4" s="8">
        <v>0.68819444444444444</v>
      </c>
      <c r="L4" s="10">
        <v>0.52083333333333337</v>
      </c>
      <c r="M4" s="8">
        <v>0.54305555555555551</v>
      </c>
      <c r="N4" s="6" t="s">
        <v>270</v>
      </c>
      <c r="O4" s="6" t="s">
        <v>147</v>
      </c>
      <c r="P4" s="6">
        <v>1312</v>
      </c>
      <c r="Q4" s="6">
        <v>250</v>
      </c>
      <c r="R4" s="6">
        <v>0</v>
      </c>
      <c r="S4" s="6">
        <v>0</v>
      </c>
      <c r="T4" s="6">
        <v>0</v>
      </c>
      <c r="U4" s="6">
        <v>0</v>
      </c>
    </row>
    <row r="5" spans="1:21" x14ac:dyDescent="0.25">
      <c r="A5" s="5">
        <v>44553</v>
      </c>
      <c r="B5" s="6" t="s">
        <v>20</v>
      </c>
      <c r="C5" s="6" t="s">
        <v>172</v>
      </c>
      <c r="D5" s="6" t="s">
        <v>21</v>
      </c>
      <c r="E5" s="6" t="s">
        <v>245</v>
      </c>
      <c r="F5" s="6" t="s">
        <v>22</v>
      </c>
      <c r="G5" s="6">
        <v>70000</v>
      </c>
      <c r="H5" s="6" t="s">
        <v>66</v>
      </c>
      <c r="I5" s="6" t="s">
        <v>70</v>
      </c>
      <c r="J5" s="7">
        <v>0.70833333333333337</v>
      </c>
      <c r="K5" s="8">
        <v>0.70763888888888893</v>
      </c>
      <c r="L5" s="7">
        <v>0.53472222222222221</v>
      </c>
      <c r="M5" s="8">
        <v>0.53263888888888888</v>
      </c>
      <c r="N5" s="6" t="s">
        <v>252</v>
      </c>
      <c r="O5" s="6" t="s">
        <v>267</v>
      </c>
      <c r="P5" s="6">
        <v>1128</v>
      </c>
      <c r="Q5" s="6">
        <v>123</v>
      </c>
      <c r="R5" s="6">
        <v>0</v>
      </c>
      <c r="S5" s="6">
        <v>0</v>
      </c>
      <c r="T5" s="6">
        <v>0</v>
      </c>
      <c r="U5" s="6">
        <v>0</v>
      </c>
    </row>
    <row r="6" spans="1:21" x14ac:dyDescent="0.25">
      <c r="A6" s="5">
        <v>44553</v>
      </c>
      <c r="B6" s="6" t="s">
        <v>20</v>
      </c>
      <c r="C6" s="6" t="s">
        <v>178</v>
      </c>
      <c r="D6" s="6" t="s">
        <v>21</v>
      </c>
      <c r="E6" s="6" t="s">
        <v>258</v>
      </c>
      <c r="F6" s="6" t="s">
        <v>22</v>
      </c>
      <c r="G6" s="6">
        <v>70000</v>
      </c>
      <c r="H6" s="6" t="s">
        <v>179</v>
      </c>
      <c r="I6" s="6" t="s">
        <v>180</v>
      </c>
      <c r="J6" s="7">
        <v>0.93402777777777779</v>
      </c>
      <c r="K6" s="8">
        <v>0.96527777777777779</v>
      </c>
      <c r="L6" s="7">
        <v>0.70138888888888884</v>
      </c>
      <c r="M6" s="8">
        <v>0.72013888888888899</v>
      </c>
      <c r="N6" s="6" t="s">
        <v>271</v>
      </c>
      <c r="O6" s="6" t="s">
        <v>268</v>
      </c>
      <c r="P6" s="6">
        <v>1013</v>
      </c>
      <c r="Q6" s="6">
        <v>59</v>
      </c>
      <c r="R6" s="6">
        <v>0</v>
      </c>
      <c r="S6" s="6">
        <v>0</v>
      </c>
      <c r="T6" s="6">
        <v>0</v>
      </c>
      <c r="U6" s="6">
        <v>0</v>
      </c>
    </row>
    <row r="7" spans="1:21" x14ac:dyDescent="0.25">
      <c r="A7" s="5">
        <v>44553</v>
      </c>
      <c r="B7" s="6" t="s">
        <v>20</v>
      </c>
      <c r="C7" s="6" t="s">
        <v>90</v>
      </c>
      <c r="D7" s="6" t="s">
        <v>21</v>
      </c>
      <c r="E7" s="6" t="s">
        <v>258</v>
      </c>
      <c r="F7" s="6" t="s">
        <v>22</v>
      </c>
      <c r="G7" s="6">
        <v>70000</v>
      </c>
      <c r="H7" s="6" t="s">
        <v>91</v>
      </c>
      <c r="I7" s="6" t="s">
        <v>92</v>
      </c>
      <c r="J7" s="10">
        <v>0.92708333333333337</v>
      </c>
      <c r="K7" s="8">
        <v>0.92986111111111114</v>
      </c>
      <c r="L7" s="10">
        <v>0.72916666666666663</v>
      </c>
      <c r="M7" s="8">
        <v>0.7416666666666667</v>
      </c>
      <c r="N7" s="6" t="s">
        <v>272</v>
      </c>
      <c r="O7" s="6" t="s">
        <v>269</v>
      </c>
      <c r="P7" s="6">
        <v>547</v>
      </c>
      <c r="Q7" s="6">
        <v>72</v>
      </c>
      <c r="R7" s="6">
        <v>0</v>
      </c>
      <c r="S7" s="6">
        <v>0</v>
      </c>
      <c r="T7" s="6">
        <v>0</v>
      </c>
      <c r="U7" s="6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6"/>
  <sheetViews>
    <sheetView workbookViewId="0">
      <selection sqref="A1:U4"/>
    </sheetView>
  </sheetViews>
  <sheetFormatPr defaultRowHeight="15" x14ac:dyDescent="0.25"/>
  <cols>
    <col min="3" max="3" width="13.85546875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23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 x14ac:dyDescent="0.25">
      <c r="A2" s="5">
        <v>44554</v>
      </c>
      <c r="B2" s="6" t="s">
        <v>20</v>
      </c>
      <c r="C2" s="6" t="s">
        <v>24</v>
      </c>
      <c r="D2" s="6" t="s">
        <v>21</v>
      </c>
      <c r="E2" s="6" t="s">
        <v>258</v>
      </c>
      <c r="F2" s="6" t="s">
        <v>22</v>
      </c>
      <c r="G2" s="6">
        <v>70000</v>
      </c>
      <c r="H2" s="6" t="s">
        <v>25</v>
      </c>
      <c r="I2" s="6" t="s">
        <v>26</v>
      </c>
      <c r="J2" s="7">
        <v>0.77083333333333337</v>
      </c>
      <c r="K2" s="8">
        <v>0.76111111111111107</v>
      </c>
      <c r="L2" s="7">
        <v>0.31944444444444448</v>
      </c>
      <c r="M2" s="8">
        <v>0.31805555555555554</v>
      </c>
      <c r="N2" s="6" t="s">
        <v>207</v>
      </c>
      <c r="O2" s="6" t="s">
        <v>273</v>
      </c>
      <c r="P2" s="6">
        <v>1011</v>
      </c>
      <c r="Q2" s="6">
        <v>402</v>
      </c>
      <c r="R2" s="6">
        <v>0</v>
      </c>
      <c r="S2" s="6">
        <v>0</v>
      </c>
      <c r="T2" s="6">
        <v>0</v>
      </c>
      <c r="U2" s="6">
        <v>0</v>
      </c>
    </row>
    <row r="3" spans="1:21" x14ac:dyDescent="0.25">
      <c r="A3" s="5">
        <v>44554</v>
      </c>
      <c r="B3" s="6" t="s">
        <v>20</v>
      </c>
      <c r="C3" s="6" t="s">
        <v>27</v>
      </c>
      <c r="D3" s="6" t="s">
        <v>21</v>
      </c>
      <c r="E3" s="6" t="s">
        <v>245</v>
      </c>
      <c r="F3" s="6" t="s">
        <v>22</v>
      </c>
      <c r="G3" s="6">
        <v>70000</v>
      </c>
      <c r="H3" s="6" t="s">
        <v>29</v>
      </c>
      <c r="I3" s="6" t="s">
        <v>28</v>
      </c>
      <c r="J3" s="7">
        <v>0.52083333333333337</v>
      </c>
      <c r="K3" s="8">
        <v>0.52361111111111114</v>
      </c>
      <c r="L3" s="7">
        <v>0.33333333333333331</v>
      </c>
      <c r="M3" s="8">
        <v>0.3354166666666667</v>
      </c>
      <c r="N3" s="6" t="s">
        <v>275</v>
      </c>
      <c r="O3" s="6" t="s">
        <v>274</v>
      </c>
      <c r="P3" s="6">
        <v>1245</v>
      </c>
      <c r="Q3" s="6">
        <v>438</v>
      </c>
      <c r="R3" s="6">
        <v>0</v>
      </c>
      <c r="S3" s="6">
        <v>0</v>
      </c>
      <c r="T3" s="6">
        <v>0</v>
      </c>
      <c r="U3" s="6">
        <v>0</v>
      </c>
    </row>
    <row r="4" spans="1:21" x14ac:dyDescent="0.25">
      <c r="A4" s="5">
        <v>44554</v>
      </c>
      <c r="B4" s="6" t="s">
        <v>20</v>
      </c>
      <c r="C4" s="6" t="s">
        <v>185</v>
      </c>
      <c r="D4" s="6" t="s">
        <v>21</v>
      </c>
      <c r="E4" s="6" t="s">
        <v>245</v>
      </c>
      <c r="F4" s="6" t="s">
        <v>22</v>
      </c>
      <c r="G4" s="6">
        <v>70000</v>
      </c>
      <c r="H4" s="6" t="s">
        <v>188</v>
      </c>
      <c r="I4" s="6" t="s">
        <v>190</v>
      </c>
      <c r="J4" s="7">
        <v>0.69444444444444453</v>
      </c>
      <c r="K4" s="8">
        <v>0.69236111111111109</v>
      </c>
      <c r="L4" s="7">
        <v>0.54166666666666663</v>
      </c>
      <c r="M4" s="8">
        <v>0.55625000000000002</v>
      </c>
      <c r="N4" s="6" t="s">
        <v>278</v>
      </c>
      <c r="O4" s="6" t="s">
        <v>276</v>
      </c>
      <c r="P4" s="6">
        <v>1144</v>
      </c>
      <c r="Q4" s="6">
        <v>272</v>
      </c>
      <c r="R4" s="6">
        <v>0</v>
      </c>
      <c r="S4" s="6">
        <v>0</v>
      </c>
      <c r="T4" s="6">
        <v>0</v>
      </c>
      <c r="U4" s="6">
        <v>0</v>
      </c>
    </row>
    <row r="5" spans="1:21" x14ac:dyDescent="0.25">
      <c r="A5" s="5">
        <v>44554</v>
      </c>
      <c r="B5" s="6" t="s">
        <v>20</v>
      </c>
      <c r="C5" s="6" t="s">
        <v>90</v>
      </c>
      <c r="D5" s="6" t="s">
        <v>21</v>
      </c>
      <c r="E5" s="6" t="s">
        <v>245</v>
      </c>
      <c r="F5" s="6" t="s">
        <v>22</v>
      </c>
      <c r="G5" s="6">
        <v>70000</v>
      </c>
      <c r="H5" s="6" t="s">
        <v>91</v>
      </c>
      <c r="I5" s="6" t="s">
        <v>92</v>
      </c>
      <c r="J5" s="7">
        <v>0.93055555555555547</v>
      </c>
      <c r="K5" s="8">
        <v>0.92986111111111114</v>
      </c>
      <c r="L5" s="7">
        <v>0.72569444444444453</v>
      </c>
      <c r="M5" s="8">
        <v>0.72986111111111107</v>
      </c>
      <c r="N5" s="6" t="s">
        <v>83</v>
      </c>
      <c r="O5" s="6" t="s">
        <v>277</v>
      </c>
      <c r="P5" s="6">
        <v>1045</v>
      </c>
      <c r="Q5" s="6">
        <v>135</v>
      </c>
      <c r="R5" s="6">
        <v>0</v>
      </c>
      <c r="S5" s="6">
        <v>0</v>
      </c>
      <c r="T5" s="6">
        <v>0</v>
      </c>
      <c r="U5" s="6">
        <v>0</v>
      </c>
    </row>
    <row r="6" spans="1:21" x14ac:dyDescent="0.25">
      <c r="A6" s="5">
        <v>44554</v>
      </c>
      <c r="B6" s="6" t="s">
        <v>20</v>
      </c>
      <c r="C6" s="6" t="s">
        <v>186</v>
      </c>
      <c r="D6" s="6" t="s">
        <v>21</v>
      </c>
      <c r="E6" s="6" t="s">
        <v>258</v>
      </c>
      <c r="F6" s="6" t="s">
        <v>22</v>
      </c>
      <c r="G6" s="6">
        <v>70000</v>
      </c>
      <c r="H6" s="6" t="s">
        <v>189</v>
      </c>
      <c r="I6" s="6" t="s">
        <v>191</v>
      </c>
      <c r="J6" s="7">
        <v>0.95486111111111116</v>
      </c>
      <c r="K6" s="8">
        <v>0.90347222222222223</v>
      </c>
      <c r="L6" s="7">
        <v>0.79861111111111116</v>
      </c>
      <c r="M6" s="8">
        <v>0.79791666666666661</v>
      </c>
      <c r="N6" s="6" t="s">
        <v>280</v>
      </c>
      <c r="O6" s="6" t="s">
        <v>279</v>
      </c>
      <c r="P6" s="6">
        <v>619</v>
      </c>
      <c r="Q6" s="6">
        <v>205</v>
      </c>
      <c r="R6" s="6">
        <v>0</v>
      </c>
      <c r="S6" s="6">
        <v>0</v>
      </c>
      <c r="T6" s="6">
        <v>0</v>
      </c>
      <c r="U6" s="6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8"/>
  <sheetViews>
    <sheetView workbookViewId="0">
      <selection activeCell="O12" sqref="O12"/>
    </sheetView>
  </sheetViews>
  <sheetFormatPr defaultRowHeight="15" x14ac:dyDescent="0.25"/>
  <cols>
    <col min="3" max="3" width="13.28515625" customWidth="1"/>
    <col min="4" max="4" width="7" customWidth="1"/>
    <col min="6" max="6" width="11.85546875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23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 x14ac:dyDescent="0.25">
      <c r="A2" s="5">
        <v>44555</v>
      </c>
      <c r="B2" s="6" t="s">
        <v>20</v>
      </c>
      <c r="C2" s="6" t="s">
        <v>30</v>
      </c>
      <c r="D2" s="6" t="s">
        <v>21</v>
      </c>
      <c r="E2" s="6" t="s">
        <v>258</v>
      </c>
      <c r="F2" s="6" t="s">
        <v>22</v>
      </c>
      <c r="G2" s="6">
        <v>70000</v>
      </c>
      <c r="H2" s="6" t="s">
        <v>65</v>
      </c>
      <c r="I2" s="6" t="s">
        <v>69</v>
      </c>
      <c r="J2" s="7">
        <v>0.50347222222222221</v>
      </c>
      <c r="K2" s="8">
        <v>0.50277777777777777</v>
      </c>
      <c r="L2" s="7">
        <v>0.31944444444444448</v>
      </c>
      <c r="M2" s="8">
        <v>0.32222222222222224</v>
      </c>
      <c r="N2" s="6" t="s">
        <v>283</v>
      </c>
      <c r="O2" s="6" t="s">
        <v>281</v>
      </c>
      <c r="P2" s="6">
        <v>1096</v>
      </c>
      <c r="Q2" s="6">
        <v>443</v>
      </c>
      <c r="R2" s="6">
        <v>0</v>
      </c>
      <c r="S2" s="6">
        <v>0</v>
      </c>
      <c r="T2" s="6">
        <v>0</v>
      </c>
      <c r="U2" s="6">
        <v>0</v>
      </c>
    </row>
    <row r="3" spans="1:21" x14ac:dyDescent="0.25">
      <c r="A3" s="5">
        <v>44555</v>
      </c>
      <c r="B3" s="6" t="s">
        <v>20</v>
      </c>
      <c r="C3" s="6" t="s">
        <v>42</v>
      </c>
      <c r="D3" s="6" t="s">
        <v>21</v>
      </c>
      <c r="E3" s="6" t="s">
        <v>245</v>
      </c>
      <c r="F3" s="6" t="s">
        <v>22</v>
      </c>
      <c r="G3" s="6">
        <v>70000</v>
      </c>
      <c r="H3" s="6" t="s">
        <v>43</v>
      </c>
      <c r="I3" s="6" t="s">
        <v>44</v>
      </c>
      <c r="J3" s="7">
        <v>0.5</v>
      </c>
      <c r="K3" s="8">
        <v>0.49652777777777773</v>
      </c>
      <c r="L3" s="7">
        <v>0.35069444444444442</v>
      </c>
      <c r="M3" s="8">
        <v>0.35902777777777778</v>
      </c>
      <c r="N3" s="6" t="s">
        <v>284</v>
      </c>
      <c r="O3" s="6" t="s">
        <v>282</v>
      </c>
      <c r="P3" s="6">
        <v>1167</v>
      </c>
      <c r="Q3" s="6">
        <v>371</v>
      </c>
      <c r="R3" s="6">
        <v>0</v>
      </c>
      <c r="S3" s="6">
        <v>0</v>
      </c>
      <c r="T3" s="6">
        <v>0</v>
      </c>
      <c r="U3" s="6">
        <v>0</v>
      </c>
    </row>
    <row r="4" spans="1:21" x14ac:dyDescent="0.25">
      <c r="A4" s="5">
        <v>44555</v>
      </c>
      <c r="B4" s="6" t="s">
        <v>20</v>
      </c>
      <c r="C4" s="6" t="s">
        <v>31</v>
      </c>
      <c r="D4" s="6" t="s">
        <v>21</v>
      </c>
      <c r="E4" s="6" t="s">
        <v>258</v>
      </c>
      <c r="F4" s="6" t="s">
        <v>22</v>
      </c>
      <c r="G4" s="6">
        <v>70000</v>
      </c>
      <c r="H4" s="6" t="s">
        <v>67</v>
      </c>
      <c r="I4" s="6" t="s">
        <v>71</v>
      </c>
      <c r="J4" s="7">
        <v>0.69791666666666663</v>
      </c>
      <c r="K4" s="8">
        <v>0.70694444444444438</v>
      </c>
      <c r="L4" s="7">
        <v>0.53125</v>
      </c>
      <c r="M4" s="8">
        <v>0.55347222222222225</v>
      </c>
      <c r="N4" s="2" t="s">
        <v>289</v>
      </c>
      <c r="O4" s="6" t="s">
        <v>239</v>
      </c>
      <c r="P4" s="6">
        <v>1398</v>
      </c>
      <c r="Q4" s="6">
        <v>603</v>
      </c>
      <c r="R4" s="6">
        <v>0</v>
      </c>
      <c r="S4" s="6">
        <v>0</v>
      </c>
      <c r="T4" s="6">
        <v>0</v>
      </c>
      <c r="U4" s="6">
        <v>0</v>
      </c>
    </row>
    <row r="5" spans="1:21" x14ac:dyDescent="0.25">
      <c r="A5" s="5">
        <v>44555</v>
      </c>
      <c r="B5" s="6" t="s">
        <v>20</v>
      </c>
      <c r="C5" s="6" t="s">
        <v>32</v>
      </c>
      <c r="D5" s="6" t="s">
        <v>21</v>
      </c>
      <c r="E5" s="6" t="s">
        <v>245</v>
      </c>
      <c r="F5" s="6" t="s">
        <v>22</v>
      </c>
      <c r="G5" s="6">
        <v>70000</v>
      </c>
      <c r="H5" s="6" t="s">
        <v>66</v>
      </c>
      <c r="I5" s="6" t="s">
        <v>70</v>
      </c>
      <c r="J5" s="7">
        <v>0.70833333333333337</v>
      </c>
      <c r="K5" s="8">
        <v>0.71736111111111101</v>
      </c>
      <c r="L5" s="7">
        <v>0.53472222222222221</v>
      </c>
      <c r="M5" s="8">
        <v>0.54722222222222217</v>
      </c>
      <c r="N5" s="2" t="s">
        <v>290</v>
      </c>
      <c r="O5" s="6" t="s">
        <v>285</v>
      </c>
      <c r="P5" s="6">
        <v>1062</v>
      </c>
      <c r="Q5" s="6">
        <v>472</v>
      </c>
      <c r="R5" s="6">
        <v>0</v>
      </c>
      <c r="S5" s="6">
        <v>0</v>
      </c>
      <c r="T5" s="6">
        <v>0</v>
      </c>
      <c r="U5" s="6">
        <v>0</v>
      </c>
    </row>
    <row r="6" spans="1:21" x14ac:dyDescent="0.25">
      <c r="A6" s="5">
        <v>44555</v>
      </c>
      <c r="B6" s="6" t="s">
        <v>20</v>
      </c>
      <c r="C6" s="6" t="s">
        <v>178</v>
      </c>
      <c r="D6" s="6" t="s">
        <v>21</v>
      </c>
      <c r="E6" s="6" t="s">
        <v>164</v>
      </c>
      <c r="F6" s="6" t="s">
        <v>22</v>
      </c>
      <c r="G6" s="6">
        <v>70000</v>
      </c>
      <c r="H6" s="6" t="s">
        <v>179</v>
      </c>
      <c r="I6" s="6" t="s">
        <v>180</v>
      </c>
      <c r="J6" s="7">
        <v>0.95138888888888884</v>
      </c>
      <c r="K6" s="8">
        <v>0.95208333333333339</v>
      </c>
      <c r="L6" s="7">
        <v>0.71875</v>
      </c>
      <c r="M6" s="8">
        <v>0.71805555555555556</v>
      </c>
      <c r="N6" s="2" t="s">
        <v>291</v>
      </c>
      <c r="O6" s="2" t="s">
        <v>46</v>
      </c>
      <c r="P6" s="6">
        <v>623</v>
      </c>
      <c r="Q6" s="6">
        <v>425</v>
      </c>
      <c r="R6" s="6">
        <v>0</v>
      </c>
      <c r="S6" s="6">
        <v>0</v>
      </c>
      <c r="T6" s="6">
        <v>0</v>
      </c>
      <c r="U6" s="6">
        <v>0</v>
      </c>
    </row>
    <row r="7" spans="1:21" x14ac:dyDescent="0.25">
      <c r="A7" s="5">
        <v>44555</v>
      </c>
      <c r="B7" s="6" t="s">
        <v>20</v>
      </c>
      <c r="C7" s="6" t="s">
        <v>33</v>
      </c>
      <c r="D7" s="6" t="s">
        <v>21</v>
      </c>
      <c r="E7" s="6" t="s">
        <v>258</v>
      </c>
      <c r="F7" s="6" t="s">
        <v>22</v>
      </c>
      <c r="G7" s="6">
        <v>70000</v>
      </c>
      <c r="H7" s="6" t="s">
        <v>68</v>
      </c>
      <c r="I7" s="6" t="s">
        <v>72</v>
      </c>
      <c r="J7" s="7">
        <v>0.94791666666666663</v>
      </c>
      <c r="K7" s="8">
        <v>0.94791666666666663</v>
      </c>
      <c r="L7" s="7">
        <v>0.72916666666666663</v>
      </c>
      <c r="M7" s="8">
        <v>0.74097222222222225</v>
      </c>
      <c r="N7" s="2" t="s">
        <v>292</v>
      </c>
      <c r="O7" s="2" t="s">
        <v>173</v>
      </c>
      <c r="P7" s="6">
        <v>556</v>
      </c>
      <c r="Q7" s="6">
        <v>111</v>
      </c>
      <c r="R7" s="6">
        <v>0</v>
      </c>
      <c r="S7" s="6">
        <v>0</v>
      </c>
      <c r="T7" s="6">
        <v>0</v>
      </c>
      <c r="U7" s="6">
        <v>0</v>
      </c>
    </row>
    <row r="8" spans="1:21" x14ac:dyDescent="0.25">
      <c r="A8" s="5">
        <v>44555</v>
      </c>
      <c r="B8" s="6" t="s">
        <v>37</v>
      </c>
      <c r="C8" s="2" t="s">
        <v>38</v>
      </c>
      <c r="D8" s="6" t="s">
        <v>286</v>
      </c>
      <c r="E8" s="2" t="s">
        <v>288</v>
      </c>
      <c r="F8" s="2" t="s">
        <v>287</v>
      </c>
      <c r="G8" s="2">
        <v>75000</v>
      </c>
      <c r="H8" s="2" t="s">
        <v>40</v>
      </c>
      <c r="I8" s="2" t="s">
        <v>41</v>
      </c>
      <c r="J8" s="3">
        <v>0.64583333333333337</v>
      </c>
      <c r="K8" s="4">
        <v>0.64236111111111105</v>
      </c>
      <c r="L8" s="3">
        <v>0.79166666666666663</v>
      </c>
      <c r="M8" s="4">
        <v>0.92013888888888884</v>
      </c>
      <c r="N8" s="2">
        <v>142</v>
      </c>
      <c r="O8" s="2" t="s">
        <v>59</v>
      </c>
      <c r="P8" s="2" t="s">
        <v>233</v>
      </c>
      <c r="Q8" s="2">
        <v>1226</v>
      </c>
      <c r="R8" s="6">
        <v>0</v>
      </c>
      <c r="S8" s="6">
        <v>0</v>
      </c>
      <c r="T8" s="6">
        <v>0</v>
      </c>
      <c r="U8" s="6">
        <v>0</v>
      </c>
    </row>
  </sheetData>
  <pageMargins left="0.7" right="0.7" top="0.75" bottom="0.75" header="0.3" footer="0.3"/>
  <pageSetup paperSize="9" orientation="portrait" verticalDpi="0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6"/>
  <sheetViews>
    <sheetView workbookViewId="0">
      <selection activeCell="F10" sqref="F10"/>
    </sheetView>
  </sheetViews>
  <sheetFormatPr defaultRowHeight="15" x14ac:dyDescent="0.25"/>
  <cols>
    <col min="3" max="3" width="13" customWidth="1"/>
    <col min="4" max="4" width="8" customWidth="1"/>
    <col min="6" max="6" width="12.7109375" customWidth="1"/>
    <col min="7" max="7" width="8.5703125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23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 x14ac:dyDescent="0.25">
      <c r="A2" s="5">
        <v>44556</v>
      </c>
      <c r="B2" s="6" t="s">
        <v>20</v>
      </c>
      <c r="C2" s="6" t="s">
        <v>34</v>
      </c>
      <c r="D2" s="6" t="s">
        <v>21</v>
      </c>
      <c r="E2" s="6" t="s">
        <v>245</v>
      </c>
      <c r="F2" s="6" t="s">
        <v>22</v>
      </c>
      <c r="G2" s="6">
        <v>70000</v>
      </c>
      <c r="H2" s="6" t="s">
        <v>35</v>
      </c>
      <c r="I2" s="6" t="s">
        <v>36</v>
      </c>
      <c r="J2" s="7">
        <v>0.51388888888888895</v>
      </c>
      <c r="K2" s="8">
        <v>0.51736111111111105</v>
      </c>
      <c r="L2" s="7">
        <v>0.30555555555555552</v>
      </c>
      <c r="M2" s="8">
        <v>0.31388888888888888</v>
      </c>
      <c r="N2" s="6" t="s">
        <v>295</v>
      </c>
      <c r="O2" s="6" t="s">
        <v>293</v>
      </c>
      <c r="P2" s="6">
        <v>1255</v>
      </c>
      <c r="Q2" s="6">
        <v>279</v>
      </c>
      <c r="R2" s="6">
        <v>0</v>
      </c>
      <c r="S2" s="6">
        <v>0</v>
      </c>
      <c r="T2" s="6">
        <v>0</v>
      </c>
      <c r="U2" s="6">
        <v>0</v>
      </c>
    </row>
    <row r="3" spans="1:21" x14ac:dyDescent="0.25">
      <c r="A3" s="5">
        <v>44556</v>
      </c>
      <c r="B3" s="6" t="s">
        <v>20</v>
      </c>
      <c r="C3" s="6" t="s">
        <v>24</v>
      </c>
      <c r="D3" s="6" t="s">
        <v>21</v>
      </c>
      <c r="E3" s="6" t="s">
        <v>164</v>
      </c>
      <c r="F3" s="6" t="s">
        <v>22</v>
      </c>
      <c r="G3" s="6">
        <v>70000</v>
      </c>
      <c r="H3" s="6" t="s">
        <v>25</v>
      </c>
      <c r="I3" s="6" t="s">
        <v>26</v>
      </c>
      <c r="J3" s="7">
        <v>0.76041666666666663</v>
      </c>
      <c r="K3" s="8">
        <v>0.75902777777777775</v>
      </c>
      <c r="L3" s="7">
        <v>0.31944444444444448</v>
      </c>
      <c r="M3" s="8">
        <v>0.32777777777777778</v>
      </c>
      <c r="N3" s="6" t="s">
        <v>299</v>
      </c>
      <c r="O3" s="6" t="s">
        <v>294</v>
      </c>
      <c r="P3" s="6">
        <v>1093</v>
      </c>
      <c r="Q3" s="6">
        <v>365</v>
      </c>
      <c r="R3" s="6">
        <v>0</v>
      </c>
      <c r="S3" s="6">
        <v>0</v>
      </c>
      <c r="T3" s="6">
        <v>0</v>
      </c>
      <c r="U3" s="6">
        <v>0</v>
      </c>
    </row>
    <row r="4" spans="1:21" x14ac:dyDescent="0.25">
      <c r="A4" s="5">
        <v>44556</v>
      </c>
      <c r="B4" s="6" t="s">
        <v>20</v>
      </c>
      <c r="C4" s="6" t="s">
        <v>87</v>
      </c>
      <c r="D4" s="6" t="s">
        <v>21</v>
      </c>
      <c r="E4" s="6" t="s">
        <v>258</v>
      </c>
      <c r="F4" s="6" t="s">
        <v>22</v>
      </c>
      <c r="G4" s="6">
        <v>70000</v>
      </c>
      <c r="H4" s="6" t="s">
        <v>88</v>
      </c>
      <c r="I4" s="6" t="s">
        <v>89</v>
      </c>
      <c r="J4" s="7">
        <v>0.69097222222222221</v>
      </c>
      <c r="K4" s="8">
        <v>0.68611111111111101</v>
      </c>
      <c r="L4" s="7">
        <v>0.57291666666666663</v>
      </c>
      <c r="M4" s="8">
        <v>0.57291666666666663</v>
      </c>
      <c r="N4" s="6" t="s">
        <v>298</v>
      </c>
      <c r="O4" s="6" t="s">
        <v>296</v>
      </c>
      <c r="P4" s="6">
        <v>799</v>
      </c>
      <c r="Q4" s="6">
        <v>557</v>
      </c>
      <c r="R4" s="6">
        <v>0</v>
      </c>
      <c r="S4" s="6">
        <v>0</v>
      </c>
      <c r="T4" s="6">
        <v>0</v>
      </c>
      <c r="U4" s="6">
        <v>0</v>
      </c>
    </row>
    <row r="5" spans="1:21" x14ac:dyDescent="0.25">
      <c r="A5" s="5">
        <v>44556</v>
      </c>
      <c r="B5" s="6" t="s">
        <v>20</v>
      </c>
      <c r="C5" s="6" t="s">
        <v>90</v>
      </c>
      <c r="D5" s="6" t="s">
        <v>21</v>
      </c>
      <c r="E5" s="6" t="s">
        <v>258</v>
      </c>
      <c r="F5" s="6" t="s">
        <v>22</v>
      </c>
      <c r="G5" s="6">
        <v>70000</v>
      </c>
      <c r="H5" s="6" t="s">
        <v>91</v>
      </c>
      <c r="I5" s="6" t="s">
        <v>92</v>
      </c>
      <c r="J5" s="7">
        <v>0.91666666666666663</v>
      </c>
      <c r="K5" s="8">
        <v>0.91527777777777775</v>
      </c>
      <c r="L5" s="7">
        <v>0.71180555555555547</v>
      </c>
      <c r="M5" s="8">
        <v>0.72083333333333333</v>
      </c>
      <c r="N5" s="8" t="s">
        <v>300</v>
      </c>
      <c r="O5" s="6" t="s">
        <v>120</v>
      </c>
      <c r="P5" s="6">
        <v>935</v>
      </c>
      <c r="Q5" s="6">
        <v>424</v>
      </c>
      <c r="R5" s="6">
        <v>0</v>
      </c>
      <c r="S5" s="6">
        <v>0</v>
      </c>
      <c r="T5" s="6">
        <v>0</v>
      </c>
      <c r="U5" s="6">
        <v>0</v>
      </c>
    </row>
    <row r="6" spans="1:21" x14ac:dyDescent="0.25">
      <c r="A6" s="5">
        <v>44556</v>
      </c>
      <c r="B6" s="6" t="s">
        <v>20</v>
      </c>
      <c r="C6" s="6" t="s">
        <v>213</v>
      </c>
      <c r="D6" s="6" t="s">
        <v>21</v>
      </c>
      <c r="E6" s="6" t="s">
        <v>245</v>
      </c>
      <c r="F6" s="6" t="s">
        <v>22</v>
      </c>
      <c r="G6" s="6">
        <v>70000</v>
      </c>
      <c r="H6" s="6" t="s">
        <v>214</v>
      </c>
      <c r="I6" s="6" t="s">
        <v>215</v>
      </c>
      <c r="J6" s="7">
        <v>0.95486111111111116</v>
      </c>
      <c r="K6" s="8">
        <v>0.94305555555555554</v>
      </c>
      <c r="L6" s="7">
        <v>0.79166666666666663</v>
      </c>
      <c r="M6" s="8">
        <v>0.79375000000000007</v>
      </c>
      <c r="N6" s="6" t="s">
        <v>301</v>
      </c>
      <c r="O6" s="6" t="s">
        <v>297</v>
      </c>
      <c r="P6" s="6">
        <v>1199</v>
      </c>
      <c r="Q6" s="6">
        <v>183</v>
      </c>
      <c r="R6" s="6">
        <v>0</v>
      </c>
      <c r="S6" s="6">
        <v>0</v>
      </c>
      <c r="T6" s="6">
        <v>0</v>
      </c>
      <c r="U6" s="6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"/>
  <sheetViews>
    <sheetView workbookViewId="0">
      <selection activeCell="P6" sqref="P6"/>
    </sheetView>
  </sheetViews>
  <sheetFormatPr defaultRowHeight="15" x14ac:dyDescent="0.25"/>
  <cols>
    <col min="1" max="1" width="11" customWidth="1"/>
    <col min="3" max="3" width="15.5703125" customWidth="1"/>
    <col min="4" max="4" width="7.7109375" customWidth="1"/>
    <col min="5" max="5" width="14.85546875" customWidth="1"/>
    <col min="6" max="6" width="11.7109375" customWidth="1"/>
    <col min="10" max="10" width="9.42578125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23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 x14ac:dyDescent="0.25">
      <c r="A2" s="5">
        <v>44557</v>
      </c>
      <c r="B2" s="6" t="s">
        <v>20</v>
      </c>
      <c r="C2" s="6" t="s">
        <v>24</v>
      </c>
      <c r="D2" s="6" t="s">
        <v>21</v>
      </c>
      <c r="E2" s="6" t="s">
        <v>304</v>
      </c>
      <c r="F2" s="6" t="s">
        <v>22</v>
      </c>
      <c r="G2" s="6">
        <v>70000</v>
      </c>
      <c r="H2" s="6" t="s">
        <v>25</v>
      </c>
      <c r="I2" s="6" t="s">
        <v>26</v>
      </c>
      <c r="J2" s="7">
        <v>0.77083333333333337</v>
      </c>
      <c r="K2" s="8">
        <v>0.79375000000000007</v>
      </c>
      <c r="L2" s="7">
        <v>0.31944444444444448</v>
      </c>
      <c r="M2" s="8">
        <v>0.32291666666666669</v>
      </c>
      <c r="N2" s="6" t="s">
        <v>307</v>
      </c>
      <c r="O2" s="6" t="s">
        <v>302</v>
      </c>
      <c r="P2" s="6">
        <v>1170</v>
      </c>
      <c r="Q2" s="6">
        <v>183</v>
      </c>
      <c r="R2" s="6">
        <v>0</v>
      </c>
      <c r="S2" s="6">
        <v>0</v>
      </c>
      <c r="T2" s="6">
        <v>0</v>
      </c>
      <c r="U2" s="6">
        <v>0</v>
      </c>
    </row>
    <row r="3" spans="1:21" x14ac:dyDescent="0.25">
      <c r="A3" s="5">
        <v>44557</v>
      </c>
      <c r="B3" s="6" t="s">
        <v>20</v>
      </c>
      <c r="C3" s="6" t="s">
        <v>27</v>
      </c>
      <c r="D3" s="6" t="s">
        <v>21</v>
      </c>
      <c r="E3" s="6" t="s">
        <v>164</v>
      </c>
      <c r="F3" s="6" t="s">
        <v>22</v>
      </c>
      <c r="G3" s="6">
        <v>70000</v>
      </c>
      <c r="H3" s="6" t="s">
        <v>29</v>
      </c>
      <c r="I3" s="6" t="s">
        <v>28</v>
      </c>
      <c r="J3" s="7">
        <v>0.52083333333333337</v>
      </c>
      <c r="K3" s="8">
        <v>0.52013888888888882</v>
      </c>
      <c r="L3" s="7">
        <v>0.33333333333333331</v>
      </c>
      <c r="M3" s="8">
        <v>0.3347222222222222</v>
      </c>
      <c r="N3" s="6" t="s">
        <v>271</v>
      </c>
      <c r="O3" s="6" t="s">
        <v>303</v>
      </c>
      <c r="P3" s="6">
        <v>1015</v>
      </c>
      <c r="Q3" s="6">
        <v>346</v>
      </c>
      <c r="R3" s="6">
        <v>0</v>
      </c>
      <c r="S3" s="6">
        <v>0</v>
      </c>
      <c r="T3" s="6">
        <v>0</v>
      </c>
      <c r="U3" s="6">
        <v>0</v>
      </c>
    </row>
    <row r="4" spans="1:21" x14ac:dyDescent="0.25">
      <c r="A4" s="5">
        <v>44557</v>
      </c>
      <c r="B4" s="6" t="s">
        <v>20</v>
      </c>
      <c r="C4" s="6" t="s">
        <v>185</v>
      </c>
      <c r="D4" s="6" t="s">
        <v>21</v>
      </c>
      <c r="E4" s="6" t="s">
        <v>164</v>
      </c>
      <c r="F4" s="6" t="s">
        <v>22</v>
      </c>
      <c r="G4" s="6">
        <v>70000</v>
      </c>
      <c r="H4" s="6" t="s">
        <v>188</v>
      </c>
      <c r="I4" s="6" t="s">
        <v>190</v>
      </c>
      <c r="J4" s="7">
        <v>0.69444444444444453</v>
      </c>
      <c r="K4" s="8">
        <v>0.68819444444444444</v>
      </c>
      <c r="L4" s="7">
        <v>0.54166666666666663</v>
      </c>
      <c r="M4" s="8">
        <v>0.5493055555555556</v>
      </c>
      <c r="N4" s="6" t="s">
        <v>306</v>
      </c>
      <c r="O4" s="6" t="s">
        <v>305</v>
      </c>
      <c r="P4" s="6">
        <v>726</v>
      </c>
      <c r="Q4" s="6">
        <v>610</v>
      </c>
      <c r="R4" s="6">
        <v>0</v>
      </c>
      <c r="S4" s="6">
        <v>0</v>
      </c>
      <c r="T4" s="6">
        <v>0</v>
      </c>
      <c r="U4" s="6">
        <v>0</v>
      </c>
    </row>
    <row r="5" spans="1:21" x14ac:dyDescent="0.25">
      <c r="A5" s="5">
        <v>44557</v>
      </c>
      <c r="B5" s="6" t="s">
        <v>20</v>
      </c>
      <c r="C5" s="6" t="s">
        <v>186</v>
      </c>
      <c r="D5" s="6" t="s">
        <v>21</v>
      </c>
      <c r="E5" s="6" t="s">
        <v>164</v>
      </c>
      <c r="F5" s="6" t="s">
        <v>22</v>
      </c>
      <c r="G5" s="6">
        <v>70000</v>
      </c>
      <c r="H5" s="6" t="s">
        <v>189</v>
      </c>
      <c r="I5" s="6" t="s">
        <v>191</v>
      </c>
      <c r="J5" s="7">
        <v>0.95486111111111116</v>
      </c>
      <c r="K5" s="8">
        <v>0.94374999999999998</v>
      </c>
      <c r="L5" s="7">
        <v>0.80208333333333337</v>
      </c>
      <c r="M5" s="8">
        <v>0.79999999999999993</v>
      </c>
      <c r="N5" s="6" t="s">
        <v>309</v>
      </c>
      <c r="O5" s="6" t="s">
        <v>308</v>
      </c>
      <c r="P5" s="6">
        <v>480</v>
      </c>
      <c r="Q5" s="6">
        <v>345</v>
      </c>
      <c r="R5" s="6">
        <v>0</v>
      </c>
      <c r="S5" s="6">
        <v>0</v>
      </c>
      <c r="T5" s="6">
        <v>0</v>
      </c>
      <c r="U5" s="6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2"/>
  <sheetViews>
    <sheetView workbookViewId="0">
      <selection activeCell="K13" sqref="K13"/>
    </sheetView>
  </sheetViews>
  <sheetFormatPr defaultRowHeight="15" x14ac:dyDescent="0.25"/>
  <cols>
    <col min="1" max="1" width="11" customWidth="1"/>
    <col min="3" max="3" width="12.85546875" customWidth="1"/>
    <col min="4" max="4" width="8" customWidth="1"/>
    <col min="6" max="6" width="25" bestFit="1" customWidth="1"/>
    <col min="7" max="7" width="9.28515625" bestFit="1" customWidth="1"/>
    <col min="10" max="10" width="9.28515625" bestFit="1" customWidth="1"/>
    <col min="11" max="11" width="10.5703125" customWidth="1"/>
    <col min="12" max="12" width="9.28515625" bestFit="1" customWidth="1"/>
    <col min="14" max="14" width="10.28515625" customWidth="1"/>
    <col min="15" max="15" width="9.85546875" customWidth="1"/>
    <col min="16" max="16" width="11.5703125" customWidth="1"/>
    <col min="18" max="21" width="9.28515625" bestFit="1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23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 x14ac:dyDescent="0.25">
      <c r="A2" s="5">
        <v>44558</v>
      </c>
      <c r="B2" s="6" t="s">
        <v>20</v>
      </c>
      <c r="C2" s="6" t="s">
        <v>30</v>
      </c>
      <c r="D2" s="6" t="s">
        <v>21</v>
      </c>
      <c r="E2" s="6" t="s">
        <v>258</v>
      </c>
      <c r="F2" s="6" t="s">
        <v>22</v>
      </c>
      <c r="G2" s="6">
        <v>70000</v>
      </c>
      <c r="H2" s="6" t="s">
        <v>65</v>
      </c>
      <c r="I2" s="6" t="s">
        <v>69</v>
      </c>
      <c r="J2" s="7">
        <v>0.50347222222222221</v>
      </c>
      <c r="K2" s="8">
        <v>0.5</v>
      </c>
      <c r="L2" s="7">
        <v>0.31944444444444448</v>
      </c>
      <c r="M2" s="8">
        <v>0.32361111111111113</v>
      </c>
      <c r="N2" s="6" t="s">
        <v>313</v>
      </c>
      <c r="O2" s="6" t="s">
        <v>311</v>
      </c>
      <c r="P2" s="6">
        <v>1137</v>
      </c>
      <c r="Q2" s="6">
        <v>586</v>
      </c>
      <c r="R2" s="6">
        <v>0</v>
      </c>
      <c r="S2" s="6">
        <v>0</v>
      </c>
      <c r="T2" s="6">
        <v>0</v>
      </c>
      <c r="U2" s="6">
        <v>0</v>
      </c>
    </row>
    <row r="3" spans="1:21" x14ac:dyDescent="0.25">
      <c r="A3" s="5">
        <v>44558</v>
      </c>
      <c r="B3" s="6" t="s">
        <v>20</v>
      </c>
      <c r="C3" s="6" t="s">
        <v>42</v>
      </c>
      <c r="D3" s="6" t="s">
        <v>21</v>
      </c>
      <c r="E3" s="6" t="s">
        <v>310</v>
      </c>
      <c r="F3" s="6" t="s">
        <v>22</v>
      </c>
      <c r="G3" s="6">
        <v>70000</v>
      </c>
      <c r="H3" s="6" t="s">
        <v>43</v>
      </c>
      <c r="I3" s="6" t="s">
        <v>44</v>
      </c>
      <c r="J3" s="7">
        <v>0.5</v>
      </c>
      <c r="K3" s="8">
        <v>0.50069444444444444</v>
      </c>
      <c r="L3" s="7">
        <v>0.35069444444444442</v>
      </c>
      <c r="M3" s="8">
        <v>0.35694444444444445</v>
      </c>
      <c r="N3" s="6" t="s">
        <v>204</v>
      </c>
      <c r="O3" s="6" t="s">
        <v>312</v>
      </c>
      <c r="P3" s="6">
        <v>840</v>
      </c>
      <c r="Q3" s="6">
        <v>488</v>
      </c>
      <c r="R3" s="6">
        <v>0</v>
      </c>
      <c r="S3" s="6">
        <v>0</v>
      </c>
      <c r="T3" s="6">
        <v>0</v>
      </c>
      <c r="U3" s="6">
        <v>0</v>
      </c>
    </row>
    <row r="4" spans="1:21" x14ac:dyDescent="0.25">
      <c r="A4" s="5">
        <v>44558</v>
      </c>
      <c r="B4" s="6" t="s">
        <v>20</v>
      </c>
      <c r="C4" s="6" t="s">
        <v>31</v>
      </c>
      <c r="D4" s="6" t="s">
        <v>21</v>
      </c>
      <c r="E4" s="6" t="s">
        <v>258</v>
      </c>
      <c r="F4" s="6" t="s">
        <v>22</v>
      </c>
      <c r="G4" s="6">
        <v>70000</v>
      </c>
      <c r="H4" s="6" t="s">
        <v>67</v>
      </c>
      <c r="I4" s="6" t="s">
        <v>71</v>
      </c>
      <c r="J4" s="7">
        <v>0.69791666666666663</v>
      </c>
      <c r="K4" s="8" t="s">
        <v>184</v>
      </c>
      <c r="L4" s="7">
        <v>0.53125</v>
      </c>
      <c r="M4" s="8">
        <v>0.56388888888888888</v>
      </c>
      <c r="N4" s="6" t="s">
        <v>184</v>
      </c>
      <c r="O4" s="6" t="s">
        <v>314</v>
      </c>
      <c r="P4" s="6" t="s">
        <v>184</v>
      </c>
      <c r="Q4" s="6">
        <v>805</v>
      </c>
      <c r="R4" s="6">
        <v>0</v>
      </c>
      <c r="S4" s="6">
        <v>0</v>
      </c>
      <c r="T4" s="6">
        <v>0</v>
      </c>
      <c r="U4" s="6">
        <v>0</v>
      </c>
    </row>
    <row r="5" spans="1:21" x14ac:dyDescent="0.25">
      <c r="A5" s="5">
        <v>44558</v>
      </c>
      <c r="B5" s="6" t="s">
        <v>20</v>
      </c>
      <c r="C5" s="6" t="s">
        <v>32</v>
      </c>
      <c r="D5" s="6" t="s">
        <v>21</v>
      </c>
      <c r="E5" s="6" t="str">
        <f>E3</f>
        <v>HA-LPK</v>
      </c>
      <c r="F5" s="6" t="s">
        <v>22</v>
      </c>
      <c r="G5" s="6">
        <v>70000</v>
      </c>
      <c r="H5" s="6" t="s">
        <v>66</v>
      </c>
      <c r="I5" s="6" t="s">
        <v>70</v>
      </c>
      <c r="J5" s="7">
        <v>0.70833333333333337</v>
      </c>
      <c r="K5" s="8">
        <v>0.7319444444444444</v>
      </c>
      <c r="L5" s="7">
        <v>0.53472222222222221</v>
      </c>
      <c r="M5" s="8">
        <v>0.56736111111111109</v>
      </c>
      <c r="N5" s="6" t="s">
        <v>325</v>
      </c>
      <c r="O5" s="6" t="s">
        <v>315</v>
      </c>
      <c r="P5" s="6">
        <v>1064</v>
      </c>
      <c r="Q5" s="6">
        <v>744</v>
      </c>
      <c r="R5" s="6">
        <v>0</v>
      </c>
      <c r="S5" s="6">
        <v>0</v>
      </c>
      <c r="T5" s="6">
        <v>0</v>
      </c>
      <c r="U5" s="6">
        <v>0</v>
      </c>
    </row>
    <row r="6" spans="1:21" x14ac:dyDescent="0.25">
      <c r="A6" s="5">
        <v>44558</v>
      </c>
      <c r="B6" s="6" t="s">
        <v>20</v>
      </c>
      <c r="C6" s="6" t="s">
        <v>178</v>
      </c>
      <c r="D6" s="6" t="s">
        <v>21</v>
      </c>
      <c r="E6" s="6" t="s">
        <v>164</v>
      </c>
      <c r="F6" s="6" t="s">
        <v>22</v>
      </c>
      <c r="G6" s="6">
        <v>70000</v>
      </c>
      <c r="H6" s="6" t="s">
        <v>179</v>
      </c>
      <c r="I6" s="6" t="s">
        <v>180</v>
      </c>
      <c r="J6" s="7">
        <v>0.95138888888888884</v>
      </c>
      <c r="K6" s="8" t="s">
        <v>342</v>
      </c>
      <c r="L6" s="7">
        <v>0.71875</v>
      </c>
      <c r="M6" s="8">
        <v>0.71597222222222223</v>
      </c>
      <c r="N6" s="6" t="s">
        <v>100</v>
      </c>
      <c r="O6" s="6" t="s">
        <v>326</v>
      </c>
      <c r="P6" s="6" t="s">
        <v>100</v>
      </c>
      <c r="Q6" s="6">
        <v>165</v>
      </c>
      <c r="R6" s="6">
        <v>0</v>
      </c>
      <c r="S6" s="6">
        <v>0</v>
      </c>
      <c r="T6" s="6">
        <v>0</v>
      </c>
      <c r="U6" s="6">
        <v>0</v>
      </c>
    </row>
    <row r="7" spans="1:21" x14ac:dyDescent="0.25">
      <c r="A7" s="5">
        <v>44558</v>
      </c>
      <c r="B7" s="6" t="s">
        <v>20</v>
      </c>
      <c r="C7" s="6" t="s">
        <v>33</v>
      </c>
      <c r="D7" s="6" t="s">
        <v>21</v>
      </c>
      <c r="E7" s="6" t="s">
        <v>310</v>
      </c>
      <c r="F7" s="6" t="s">
        <v>22</v>
      </c>
      <c r="G7" s="6">
        <v>70000</v>
      </c>
      <c r="H7" s="6" t="s">
        <v>68</v>
      </c>
      <c r="I7" s="6" t="s">
        <v>72</v>
      </c>
      <c r="J7" s="7">
        <v>0.94791666666666663</v>
      </c>
      <c r="K7" s="8" t="s">
        <v>342</v>
      </c>
      <c r="L7" s="7">
        <v>0.72916666666666663</v>
      </c>
      <c r="M7" s="8">
        <v>0.7715277777777777</v>
      </c>
      <c r="N7" s="6" t="s">
        <v>100</v>
      </c>
      <c r="O7" s="6" t="s">
        <v>327</v>
      </c>
      <c r="P7" s="6" t="s">
        <v>100</v>
      </c>
      <c r="Q7" s="6">
        <v>248</v>
      </c>
      <c r="R7" s="6">
        <v>0</v>
      </c>
      <c r="S7" s="6">
        <v>0</v>
      </c>
      <c r="T7" s="6">
        <v>0</v>
      </c>
      <c r="U7" s="6">
        <v>0</v>
      </c>
    </row>
    <row r="8" spans="1:21" x14ac:dyDescent="0.25">
      <c r="A8" s="5">
        <v>44558</v>
      </c>
      <c r="B8" s="6" t="s">
        <v>316</v>
      </c>
      <c r="C8" s="6" t="s">
        <v>317</v>
      </c>
      <c r="D8" s="6" t="s">
        <v>320</v>
      </c>
      <c r="E8" s="6" t="s">
        <v>318</v>
      </c>
      <c r="F8" s="6" t="s">
        <v>330</v>
      </c>
      <c r="G8" s="6">
        <v>7000</v>
      </c>
      <c r="H8" s="6" t="s">
        <v>321</v>
      </c>
      <c r="I8" s="6" t="s">
        <v>322</v>
      </c>
      <c r="J8" s="7">
        <v>0.625</v>
      </c>
      <c r="K8" s="8">
        <v>0.62430555555555556</v>
      </c>
      <c r="L8" s="7">
        <v>0.6875</v>
      </c>
      <c r="M8" s="8">
        <v>0.66111111111111109</v>
      </c>
      <c r="N8" s="6" t="s">
        <v>100</v>
      </c>
      <c r="O8" s="6" t="s">
        <v>100</v>
      </c>
      <c r="P8" s="6" t="s">
        <v>100</v>
      </c>
      <c r="Q8" s="6" t="s">
        <v>100</v>
      </c>
      <c r="R8" s="6">
        <v>1103</v>
      </c>
      <c r="S8" s="6">
        <v>0</v>
      </c>
      <c r="T8" s="6">
        <v>0</v>
      </c>
      <c r="U8" s="6">
        <v>0</v>
      </c>
    </row>
    <row r="9" spans="1:21" x14ac:dyDescent="0.25">
      <c r="A9" s="5">
        <v>44558</v>
      </c>
      <c r="B9" s="6" t="s">
        <v>316</v>
      </c>
      <c r="C9" s="6" t="s">
        <v>317</v>
      </c>
      <c r="D9" s="6" t="s">
        <v>320</v>
      </c>
      <c r="E9" s="6" t="s">
        <v>319</v>
      </c>
      <c r="F9" s="6" t="s">
        <v>330</v>
      </c>
      <c r="G9" s="6">
        <v>7000</v>
      </c>
      <c r="H9" s="6" t="s">
        <v>323</v>
      </c>
      <c r="I9" s="6" t="s">
        <v>324</v>
      </c>
      <c r="J9" s="7">
        <v>0.62847222222222221</v>
      </c>
      <c r="K9" s="8">
        <v>0.62569444444444444</v>
      </c>
      <c r="L9" s="7">
        <v>0.6875</v>
      </c>
      <c r="M9" s="8">
        <v>0.66666666666666663</v>
      </c>
      <c r="N9" s="6" t="s">
        <v>100</v>
      </c>
      <c r="O9" s="6" t="s">
        <v>100</v>
      </c>
      <c r="P9" s="6" t="s">
        <v>100</v>
      </c>
      <c r="Q9" s="6" t="s">
        <v>100</v>
      </c>
      <c r="R9" s="6">
        <v>350</v>
      </c>
      <c r="S9" s="6">
        <v>0</v>
      </c>
      <c r="T9" s="6">
        <v>0</v>
      </c>
      <c r="U9" s="6">
        <v>0</v>
      </c>
    </row>
    <row r="10" spans="1:21" x14ac:dyDescent="0.25">
      <c r="A10" s="5">
        <v>44558</v>
      </c>
      <c r="B10" s="6" t="s">
        <v>20</v>
      </c>
      <c r="C10" s="6" t="s">
        <v>328</v>
      </c>
      <c r="D10" s="6" t="s">
        <v>21</v>
      </c>
      <c r="E10" s="6" t="s">
        <v>329</v>
      </c>
      <c r="F10" s="6" t="s">
        <v>331</v>
      </c>
      <c r="G10" s="6">
        <v>70000</v>
      </c>
      <c r="H10" s="6" t="s">
        <v>334</v>
      </c>
      <c r="I10" s="6" t="s">
        <v>335</v>
      </c>
      <c r="J10" s="7">
        <v>0.70833333333333337</v>
      </c>
      <c r="K10" s="8">
        <v>0.71388888888888891</v>
      </c>
      <c r="L10" s="7">
        <v>0.75694444444444453</v>
      </c>
      <c r="M10" s="8">
        <v>0.7597222222222223</v>
      </c>
      <c r="N10" s="6" t="s">
        <v>336</v>
      </c>
      <c r="O10" s="6" t="s">
        <v>100</v>
      </c>
      <c r="P10" s="6">
        <v>1128</v>
      </c>
      <c r="Q10" s="6" t="s">
        <v>100</v>
      </c>
      <c r="R10" s="6">
        <v>0</v>
      </c>
      <c r="S10" s="6">
        <v>0</v>
      </c>
      <c r="T10" s="6">
        <v>0</v>
      </c>
      <c r="U10" s="6">
        <v>0</v>
      </c>
    </row>
    <row r="11" spans="1:21" x14ac:dyDescent="0.25">
      <c r="A11" s="5">
        <v>44558</v>
      </c>
      <c r="B11" s="6" t="s">
        <v>20</v>
      </c>
      <c r="C11" s="6" t="s">
        <v>332</v>
      </c>
      <c r="D11" s="6" t="s">
        <v>21</v>
      </c>
      <c r="E11" s="6" t="s">
        <v>333</v>
      </c>
      <c r="F11" s="6" t="s">
        <v>331</v>
      </c>
      <c r="G11" s="6">
        <v>70000</v>
      </c>
      <c r="H11" s="6" t="s">
        <v>337</v>
      </c>
      <c r="I11" s="6" t="s">
        <v>338</v>
      </c>
      <c r="J11" s="7">
        <v>0.75</v>
      </c>
      <c r="K11" s="8">
        <v>0.75208333333333333</v>
      </c>
      <c r="L11" s="7">
        <v>0.79166666666666663</v>
      </c>
      <c r="M11" s="8">
        <v>0.80347222222222225</v>
      </c>
      <c r="N11" s="6" t="s">
        <v>339</v>
      </c>
      <c r="O11" s="6" t="s">
        <v>100</v>
      </c>
      <c r="P11" s="6">
        <v>760</v>
      </c>
      <c r="Q11" s="6" t="s">
        <v>100</v>
      </c>
      <c r="R11" s="6">
        <v>0</v>
      </c>
      <c r="S11" s="6">
        <v>0</v>
      </c>
      <c r="T11" s="6">
        <v>0</v>
      </c>
      <c r="U11" s="6">
        <v>0</v>
      </c>
    </row>
    <row r="12" spans="1:21" x14ac:dyDescent="0.25">
      <c r="A12" s="5">
        <v>44558</v>
      </c>
      <c r="B12" s="6" t="s">
        <v>20</v>
      </c>
      <c r="C12" s="6" t="s">
        <v>340</v>
      </c>
      <c r="D12" s="6" t="s">
        <v>21</v>
      </c>
      <c r="E12" s="6" t="s">
        <v>258</v>
      </c>
      <c r="F12" s="6" t="s">
        <v>161</v>
      </c>
      <c r="G12" s="6">
        <v>70000</v>
      </c>
      <c r="H12" s="6" t="s">
        <v>341</v>
      </c>
      <c r="I12" s="6" t="s">
        <v>100</v>
      </c>
      <c r="J12" s="7">
        <v>0.79166666666666663</v>
      </c>
      <c r="K12" s="8">
        <v>0.7944444444444444</v>
      </c>
      <c r="L12" s="6" t="s">
        <v>100</v>
      </c>
      <c r="M12" s="6" t="s">
        <v>100</v>
      </c>
      <c r="N12" s="6" t="s">
        <v>100</v>
      </c>
      <c r="O12" s="6" t="s">
        <v>100</v>
      </c>
      <c r="P12" s="6" t="s">
        <v>100</v>
      </c>
      <c r="Q12" s="6" t="s">
        <v>100</v>
      </c>
      <c r="R12" s="6">
        <v>0</v>
      </c>
      <c r="S12" s="6">
        <v>0</v>
      </c>
      <c r="T12" s="6">
        <v>0</v>
      </c>
      <c r="U12" s="6">
        <v>0</v>
      </c>
    </row>
  </sheetData>
  <pageMargins left="0.7" right="0.7" top="0.75" bottom="0.75" header="0.3" footer="0.3"/>
  <pageSetup paperSize="9" orientation="portrait" verticalDpi="0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8"/>
  <sheetViews>
    <sheetView workbookViewId="0">
      <selection activeCell="G11" sqref="G11"/>
    </sheetView>
  </sheetViews>
  <sheetFormatPr defaultRowHeight="15" x14ac:dyDescent="0.25"/>
  <cols>
    <col min="2" max="2" width="10.85546875" customWidth="1"/>
    <col min="3" max="3" width="13.5703125" bestFit="1" customWidth="1"/>
    <col min="4" max="4" width="8.140625" customWidth="1"/>
    <col min="5" max="5" width="15.85546875" customWidth="1"/>
    <col min="6" max="6" width="12" customWidth="1"/>
    <col min="14" max="14" width="12.42578125" customWidth="1"/>
    <col min="15" max="15" width="11.42578125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23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 x14ac:dyDescent="0.25">
      <c r="A2" s="5">
        <v>44559</v>
      </c>
      <c r="B2" s="6" t="s">
        <v>20</v>
      </c>
      <c r="C2" s="6" t="s">
        <v>34</v>
      </c>
      <c r="D2" s="6" t="s">
        <v>21</v>
      </c>
      <c r="E2" s="6" t="s">
        <v>310</v>
      </c>
      <c r="F2" s="6" t="s">
        <v>22</v>
      </c>
      <c r="G2" s="6">
        <v>70000</v>
      </c>
      <c r="H2" s="6" t="s">
        <v>35</v>
      </c>
      <c r="I2" s="6" t="s">
        <v>36</v>
      </c>
      <c r="J2" s="7">
        <v>0.51388888888888895</v>
      </c>
      <c r="K2" s="8">
        <v>0.61805555555555558</v>
      </c>
      <c r="L2" s="7">
        <v>0.30555555555555552</v>
      </c>
      <c r="M2" s="8">
        <v>0.42222222222222222</v>
      </c>
      <c r="N2" s="6" t="s">
        <v>345</v>
      </c>
      <c r="O2" s="6" t="s">
        <v>343</v>
      </c>
      <c r="P2" s="6">
        <v>656</v>
      </c>
      <c r="Q2" s="6">
        <v>431</v>
      </c>
      <c r="R2" s="2">
        <v>0</v>
      </c>
      <c r="S2" s="2">
        <v>0</v>
      </c>
      <c r="T2" s="2">
        <v>0</v>
      </c>
      <c r="U2" s="2">
        <v>0</v>
      </c>
    </row>
    <row r="3" spans="1:21" x14ac:dyDescent="0.25">
      <c r="A3" s="5">
        <v>44559</v>
      </c>
      <c r="B3" s="6" t="s">
        <v>20</v>
      </c>
      <c r="C3" s="6" t="s">
        <v>24</v>
      </c>
      <c r="D3" s="6" t="s">
        <v>21</v>
      </c>
      <c r="E3" s="6" t="s">
        <v>258</v>
      </c>
      <c r="F3" s="6" t="s">
        <v>22</v>
      </c>
      <c r="G3" s="6">
        <v>70000</v>
      </c>
      <c r="H3" s="6" t="s">
        <v>25</v>
      </c>
      <c r="I3" s="6" t="s">
        <v>26</v>
      </c>
      <c r="J3" s="10">
        <v>0.76041666666666663</v>
      </c>
      <c r="K3" s="8">
        <v>0.83333333333333337</v>
      </c>
      <c r="L3" s="10">
        <v>0.31944444444444448</v>
      </c>
      <c r="M3" s="8">
        <v>0.40625</v>
      </c>
      <c r="N3" s="6" t="s">
        <v>346</v>
      </c>
      <c r="O3" s="6" t="s">
        <v>264</v>
      </c>
      <c r="P3" s="6">
        <v>1070</v>
      </c>
      <c r="Q3" s="6">
        <v>549</v>
      </c>
      <c r="R3" s="2">
        <v>0</v>
      </c>
      <c r="S3" s="2">
        <v>0</v>
      </c>
      <c r="T3" s="2">
        <v>0</v>
      </c>
      <c r="U3" s="2">
        <v>0</v>
      </c>
    </row>
    <row r="4" spans="1:21" x14ac:dyDescent="0.25">
      <c r="A4" s="5">
        <v>44559</v>
      </c>
      <c r="B4" s="6" t="s">
        <v>20</v>
      </c>
      <c r="C4" s="6" t="s">
        <v>87</v>
      </c>
      <c r="D4" s="6" t="s">
        <v>21</v>
      </c>
      <c r="E4" s="6" t="s">
        <v>164</v>
      </c>
      <c r="F4" s="6" t="s">
        <v>22</v>
      </c>
      <c r="G4" s="6">
        <v>70000</v>
      </c>
      <c r="H4" s="6" t="s">
        <v>88</v>
      </c>
      <c r="I4" s="6" t="s">
        <v>89</v>
      </c>
      <c r="J4" s="10">
        <v>0.69097222222222221</v>
      </c>
      <c r="K4" s="8">
        <v>0.69444444444444453</v>
      </c>
      <c r="L4" s="10">
        <v>0.57291666666666663</v>
      </c>
      <c r="M4" s="8">
        <v>0.58124999999999993</v>
      </c>
      <c r="N4" s="6" t="s">
        <v>203</v>
      </c>
      <c r="O4" s="6" t="s">
        <v>61</v>
      </c>
      <c r="P4" s="6">
        <v>783</v>
      </c>
      <c r="Q4" s="6">
        <v>497</v>
      </c>
      <c r="R4" s="2">
        <v>0</v>
      </c>
      <c r="S4" s="2">
        <v>0</v>
      </c>
      <c r="T4" s="2">
        <v>0</v>
      </c>
      <c r="U4" s="2">
        <v>0</v>
      </c>
    </row>
    <row r="5" spans="1:21" x14ac:dyDescent="0.25">
      <c r="A5" s="5">
        <v>44559</v>
      </c>
      <c r="B5" s="6" t="s">
        <v>20</v>
      </c>
      <c r="C5" s="6" t="s">
        <v>90</v>
      </c>
      <c r="D5" s="6" t="s">
        <v>21</v>
      </c>
      <c r="E5" s="6" t="str">
        <f>E4</f>
        <v>HA-LYS</v>
      </c>
      <c r="F5" s="6" t="s">
        <v>22</v>
      </c>
      <c r="G5" s="6">
        <v>70000</v>
      </c>
      <c r="H5" s="6" t="s">
        <v>91</v>
      </c>
      <c r="I5" s="6" t="s">
        <v>92</v>
      </c>
      <c r="J5" s="10">
        <v>0.91666666666666663</v>
      </c>
      <c r="K5" s="8">
        <v>0.93611111111111101</v>
      </c>
      <c r="L5" s="10">
        <v>0.71180555555555547</v>
      </c>
      <c r="M5" s="8">
        <v>0.7368055555555556</v>
      </c>
      <c r="N5" s="6" t="s">
        <v>347</v>
      </c>
      <c r="O5" s="6" t="s">
        <v>344</v>
      </c>
      <c r="P5" s="6">
        <v>879</v>
      </c>
      <c r="Q5" s="6">
        <v>675</v>
      </c>
      <c r="R5" s="2">
        <v>0</v>
      </c>
      <c r="S5" s="2">
        <v>0</v>
      </c>
      <c r="T5" s="2">
        <v>0</v>
      </c>
      <c r="U5" s="2">
        <v>0</v>
      </c>
    </row>
    <row r="6" spans="1:21" x14ac:dyDescent="0.25">
      <c r="A6" s="5">
        <v>44559</v>
      </c>
      <c r="B6" s="6" t="s">
        <v>20</v>
      </c>
      <c r="C6" s="6" t="s">
        <v>193</v>
      </c>
      <c r="D6" s="6" t="s">
        <v>21</v>
      </c>
      <c r="E6" s="6" t="s">
        <v>310</v>
      </c>
      <c r="F6" s="6" t="s">
        <v>161</v>
      </c>
      <c r="G6" s="6">
        <v>70000</v>
      </c>
      <c r="H6" s="6" t="s">
        <v>194</v>
      </c>
      <c r="I6" s="6" t="s">
        <v>100</v>
      </c>
      <c r="J6" s="10">
        <v>0.375</v>
      </c>
      <c r="K6" s="8">
        <v>0.37708333333333338</v>
      </c>
      <c r="L6" s="10" t="s">
        <v>100</v>
      </c>
      <c r="M6" s="8" t="s">
        <v>100</v>
      </c>
      <c r="N6" s="6">
        <v>0</v>
      </c>
      <c r="O6" s="6" t="s">
        <v>100</v>
      </c>
      <c r="P6" s="6">
        <v>0</v>
      </c>
      <c r="Q6" s="6" t="s">
        <v>100</v>
      </c>
      <c r="R6" s="2">
        <v>0</v>
      </c>
      <c r="S6" s="2" t="s">
        <v>100</v>
      </c>
      <c r="T6" s="2">
        <v>0</v>
      </c>
      <c r="U6" s="2" t="s">
        <v>100</v>
      </c>
    </row>
    <row r="7" spans="1:21" x14ac:dyDescent="0.25">
      <c r="A7" s="5">
        <v>44559</v>
      </c>
      <c r="B7" s="6" t="s">
        <v>20</v>
      </c>
      <c r="C7" s="6" t="s">
        <v>193</v>
      </c>
      <c r="D7" s="6" t="s">
        <v>21</v>
      </c>
      <c r="E7" s="6" t="s">
        <v>164</v>
      </c>
      <c r="F7" s="6" t="s">
        <v>161</v>
      </c>
      <c r="G7" s="6">
        <v>70000</v>
      </c>
      <c r="H7" s="6" t="s">
        <v>77</v>
      </c>
      <c r="I7" s="6" t="s">
        <v>100</v>
      </c>
      <c r="J7" s="10">
        <v>0.54513888888888895</v>
      </c>
      <c r="K7" s="8">
        <v>0.5395833333333333</v>
      </c>
      <c r="L7" s="10" t="s">
        <v>100</v>
      </c>
      <c r="M7" s="4" t="s">
        <v>100</v>
      </c>
      <c r="N7" s="6">
        <v>0</v>
      </c>
      <c r="O7" s="6" t="s">
        <v>100</v>
      </c>
      <c r="P7" s="6">
        <v>0</v>
      </c>
      <c r="Q7" s="2" t="s">
        <v>100</v>
      </c>
      <c r="R7" s="2">
        <v>0</v>
      </c>
      <c r="S7" s="2" t="s">
        <v>100</v>
      </c>
      <c r="T7" s="2">
        <v>0</v>
      </c>
      <c r="U7" s="2" t="s">
        <v>100</v>
      </c>
    </row>
    <row r="8" spans="1:21" x14ac:dyDescent="0.25">
      <c r="A8" s="5">
        <v>44559</v>
      </c>
      <c r="B8" s="6" t="s">
        <v>20</v>
      </c>
      <c r="C8" s="6" t="s">
        <v>349</v>
      </c>
      <c r="D8" s="6" t="s">
        <v>21</v>
      </c>
      <c r="E8" s="6" t="s">
        <v>350</v>
      </c>
      <c r="F8" s="6" t="s">
        <v>351</v>
      </c>
      <c r="G8" s="6">
        <v>88000</v>
      </c>
      <c r="H8" s="6" t="s">
        <v>352</v>
      </c>
      <c r="I8" s="6" t="s">
        <v>353</v>
      </c>
      <c r="J8" s="3">
        <v>0.76041666666666663</v>
      </c>
      <c r="K8" s="4">
        <v>0.76041666666666663</v>
      </c>
      <c r="L8" s="3">
        <v>0.79166666666666663</v>
      </c>
      <c r="M8" s="4">
        <v>0.79861111111111116</v>
      </c>
      <c r="N8" s="6" t="s">
        <v>348</v>
      </c>
      <c r="O8" s="6">
        <v>0</v>
      </c>
      <c r="P8" s="6">
        <v>1464</v>
      </c>
      <c r="Q8" s="6">
        <v>0</v>
      </c>
      <c r="R8" s="2">
        <v>0</v>
      </c>
      <c r="S8" s="2">
        <v>0</v>
      </c>
      <c r="T8" s="2">
        <v>0</v>
      </c>
      <c r="U8" s="2">
        <v>0</v>
      </c>
    </row>
  </sheetData>
  <pageMargins left="0.7" right="0.7" top="0.75" bottom="0.75" header="0.3" footer="0.3"/>
  <pageSetup paperSize="9" orientation="portrait" verticalDpi="0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"/>
  <sheetViews>
    <sheetView workbookViewId="0">
      <selection activeCell="K7" sqref="K7"/>
    </sheetView>
  </sheetViews>
  <sheetFormatPr defaultRowHeight="15" x14ac:dyDescent="0.25"/>
  <cols>
    <col min="3" max="3" width="12.7109375" customWidth="1"/>
    <col min="6" max="6" width="12.140625" bestFit="1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23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 x14ac:dyDescent="0.25">
      <c r="A2" s="5">
        <v>44560</v>
      </c>
      <c r="B2" s="6" t="s">
        <v>20</v>
      </c>
      <c r="C2" s="6" t="s">
        <v>30</v>
      </c>
      <c r="D2" s="6" t="s">
        <v>21</v>
      </c>
      <c r="E2" s="6" t="s">
        <v>164</v>
      </c>
      <c r="F2" s="6" t="s">
        <v>22</v>
      </c>
      <c r="G2" s="6">
        <v>70000</v>
      </c>
      <c r="H2" s="6" t="s">
        <v>65</v>
      </c>
      <c r="I2" s="6" t="s">
        <v>69</v>
      </c>
      <c r="J2" s="7">
        <v>0.4826388888888889</v>
      </c>
      <c r="K2" s="8">
        <v>0.52430555555555558</v>
      </c>
      <c r="L2" s="7">
        <v>0.2986111111111111</v>
      </c>
      <c r="M2" s="8">
        <v>0.35000000000000003</v>
      </c>
      <c r="N2" s="6" t="s">
        <v>356</v>
      </c>
      <c r="O2" s="6" t="s">
        <v>354</v>
      </c>
      <c r="P2" s="6">
        <v>601</v>
      </c>
      <c r="Q2" s="6">
        <v>833</v>
      </c>
      <c r="R2" s="6">
        <v>0</v>
      </c>
      <c r="S2" s="6">
        <v>0</v>
      </c>
      <c r="T2" s="6">
        <v>0</v>
      </c>
      <c r="U2" s="6">
        <v>0</v>
      </c>
    </row>
    <row r="3" spans="1:21" x14ac:dyDescent="0.25">
      <c r="A3" s="5">
        <v>44560</v>
      </c>
      <c r="B3" s="6" t="s">
        <v>20</v>
      </c>
      <c r="C3" s="6" t="s">
        <v>42</v>
      </c>
      <c r="D3" s="6" t="s">
        <v>21</v>
      </c>
      <c r="E3" s="6" t="s">
        <v>310</v>
      </c>
      <c r="F3" s="6" t="s">
        <v>22</v>
      </c>
      <c r="G3" s="6">
        <v>70000</v>
      </c>
      <c r="H3" s="6" t="s">
        <v>43</v>
      </c>
      <c r="I3" s="6" t="s">
        <v>44</v>
      </c>
      <c r="J3" s="7">
        <v>0.71875</v>
      </c>
      <c r="K3" s="8">
        <v>0.75138888888888899</v>
      </c>
      <c r="L3" s="7">
        <v>0.31944444444444448</v>
      </c>
      <c r="M3" s="8">
        <v>0.3527777777777778</v>
      </c>
      <c r="N3" s="6" t="s">
        <v>358</v>
      </c>
      <c r="O3" s="6" t="s">
        <v>355</v>
      </c>
      <c r="P3" s="6">
        <v>1240</v>
      </c>
      <c r="Q3" s="6">
        <v>809</v>
      </c>
      <c r="R3" s="6">
        <v>0</v>
      </c>
      <c r="S3" s="6">
        <v>0</v>
      </c>
      <c r="T3" s="6">
        <v>0</v>
      </c>
      <c r="U3" s="6">
        <v>0</v>
      </c>
    </row>
    <row r="4" spans="1:21" x14ac:dyDescent="0.25">
      <c r="A4" s="5">
        <v>44560</v>
      </c>
      <c r="B4" s="6" t="s">
        <v>20</v>
      </c>
      <c r="C4" s="6" t="s">
        <v>31</v>
      </c>
      <c r="D4" s="6" t="s">
        <v>21</v>
      </c>
      <c r="E4" s="6" t="str">
        <f>E2</f>
        <v>HA-LYS</v>
      </c>
      <c r="F4" s="6" t="s">
        <v>22</v>
      </c>
      <c r="G4" s="6">
        <v>70000</v>
      </c>
      <c r="H4" s="6" t="s">
        <v>67</v>
      </c>
      <c r="I4" s="6" t="s">
        <v>71</v>
      </c>
      <c r="J4" s="10">
        <v>0.67013888888888884</v>
      </c>
      <c r="K4" s="8">
        <v>0.72291666666666676</v>
      </c>
      <c r="L4" s="10">
        <v>0.50347222222222221</v>
      </c>
      <c r="M4" s="8">
        <v>0.51874999999999993</v>
      </c>
      <c r="N4" s="6" t="s">
        <v>229</v>
      </c>
      <c r="O4" s="6" t="s">
        <v>278</v>
      </c>
      <c r="P4" s="6">
        <v>966</v>
      </c>
      <c r="Q4" s="6">
        <v>1080</v>
      </c>
      <c r="R4" s="6">
        <v>0</v>
      </c>
      <c r="S4" s="6">
        <v>0</v>
      </c>
      <c r="T4" s="6">
        <v>0</v>
      </c>
      <c r="U4" s="6">
        <v>0</v>
      </c>
    </row>
    <row r="5" spans="1:21" x14ac:dyDescent="0.25">
      <c r="A5" s="5">
        <v>44560</v>
      </c>
      <c r="B5" s="6" t="s">
        <v>20</v>
      </c>
      <c r="C5" s="6" t="s">
        <v>178</v>
      </c>
      <c r="D5" s="6" t="s">
        <v>21</v>
      </c>
      <c r="E5" s="6" t="str">
        <f>E4</f>
        <v>HA-LYS</v>
      </c>
      <c r="F5" s="6" t="s">
        <v>22</v>
      </c>
      <c r="G5" s="6">
        <v>70000</v>
      </c>
      <c r="H5" s="6" t="s">
        <v>179</v>
      </c>
      <c r="I5" s="6" t="s">
        <v>180</v>
      </c>
      <c r="J5" s="7">
        <v>0.93402777777777779</v>
      </c>
      <c r="K5" s="8">
        <v>0.9243055555555556</v>
      </c>
      <c r="L5" s="7">
        <v>0.70138888888888884</v>
      </c>
      <c r="M5" s="8">
        <v>0.81388888888888899</v>
      </c>
      <c r="N5" s="6">
        <v>119</v>
      </c>
      <c r="O5" s="6" t="s">
        <v>357</v>
      </c>
      <c r="P5" s="6">
        <v>535</v>
      </c>
      <c r="Q5" s="6">
        <v>753</v>
      </c>
      <c r="R5" s="6">
        <v>0</v>
      </c>
      <c r="S5" s="6">
        <v>0</v>
      </c>
      <c r="T5" s="6">
        <v>0</v>
      </c>
      <c r="U5" s="6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4"/>
  <sheetViews>
    <sheetView tabSelected="1" workbookViewId="0">
      <selection activeCell="K3" sqref="K3"/>
    </sheetView>
  </sheetViews>
  <sheetFormatPr defaultRowHeight="15" x14ac:dyDescent="0.25"/>
  <cols>
    <col min="3" max="3" width="13.28515625" bestFit="1" customWidth="1"/>
    <col min="6" max="6" width="11.28515625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23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 x14ac:dyDescent="0.25">
      <c r="A2" s="5">
        <v>44561</v>
      </c>
      <c r="B2" s="6" t="s">
        <v>20</v>
      </c>
      <c r="C2" s="6" t="s">
        <v>24</v>
      </c>
      <c r="D2" s="6" t="s">
        <v>21</v>
      </c>
      <c r="E2" s="6" t="s">
        <v>258</v>
      </c>
      <c r="F2" s="6" t="s">
        <v>22</v>
      </c>
      <c r="G2" s="6">
        <v>70000</v>
      </c>
      <c r="H2" s="6" t="s">
        <v>25</v>
      </c>
      <c r="I2" s="6" t="s">
        <v>26</v>
      </c>
      <c r="J2" s="7">
        <v>0.77083333333333337</v>
      </c>
      <c r="K2" s="8">
        <v>0.79722222222222217</v>
      </c>
      <c r="L2" s="7">
        <v>0.31944444444444448</v>
      </c>
      <c r="M2" s="8">
        <v>0.36180555555555555</v>
      </c>
      <c r="N2" s="6" t="s">
        <v>362</v>
      </c>
      <c r="O2" s="6" t="s">
        <v>359</v>
      </c>
      <c r="P2" s="6">
        <v>649</v>
      </c>
      <c r="Q2" s="6">
        <v>617</v>
      </c>
      <c r="R2" s="6">
        <v>0</v>
      </c>
      <c r="S2" s="6">
        <v>0</v>
      </c>
      <c r="T2" s="6">
        <v>0</v>
      </c>
      <c r="U2" s="6">
        <v>0</v>
      </c>
    </row>
    <row r="3" spans="1:21" x14ac:dyDescent="0.25">
      <c r="A3" s="5">
        <v>44561</v>
      </c>
      <c r="B3" s="6" t="s">
        <v>20</v>
      </c>
      <c r="C3" s="6" t="s">
        <v>27</v>
      </c>
      <c r="D3" s="6" t="s">
        <v>21</v>
      </c>
      <c r="E3" s="6" t="s">
        <v>310</v>
      </c>
      <c r="F3" s="6" t="s">
        <v>22</v>
      </c>
      <c r="G3" s="6">
        <v>70000</v>
      </c>
      <c r="H3" s="6" t="s">
        <v>29</v>
      </c>
      <c r="I3" s="6" t="s">
        <v>28</v>
      </c>
      <c r="J3" s="7">
        <v>0.52083333333333337</v>
      </c>
      <c r="K3" s="8">
        <v>0.54375000000000007</v>
      </c>
      <c r="L3" s="7">
        <v>0.33333333333333331</v>
      </c>
      <c r="M3" s="8">
        <v>0.36805555555555558</v>
      </c>
      <c r="N3" s="6" t="s">
        <v>252</v>
      </c>
      <c r="O3" s="6" t="s">
        <v>360</v>
      </c>
      <c r="P3" s="6">
        <v>1054</v>
      </c>
      <c r="Q3" s="6">
        <v>576</v>
      </c>
      <c r="R3" s="6">
        <v>0</v>
      </c>
      <c r="S3" s="6">
        <v>0</v>
      </c>
      <c r="T3" s="6">
        <v>0</v>
      </c>
      <c r="U3" s="6">
        <v>0</v>
      </c>
    </row>
    <row r="4" spans="1:21" x14ac:dyDescent="0.25">
      <c r="A4" s="5">
        <v>44561</v>
      </c>
      <c r="B4" s="6" t="s">
        <v>20</v>
      </c>
      <c r="C4" s="6" t="s">
        <v>185</v>
      </c>
      <c r="D4" s="6" t="s">
        <v>21</v>
      </c>
      <c r="E4" s="6" t="s">
        <v>310</v>
      </c>
      <c r="F4" s="6" t="s">
        <v>22</v>
      </c>
      <c r="G4" s="6">
        <v>70000</v>
      </c>
      <c r="H4" s="6" t="s">
        <v>188</v>
      </c>
      <c r="I4" s="6" t="s">
        <v>190</v>
      </c>
      <c r="J4" s="7">
        <v>0.69444444444444453</v>
      </c>
      <c r="K4" s="8">
        <v>0.7055555555555556</v>
      </c>
      <c r="L4" s="7">
        <v>0.54166666666666663</v>
      </c>
      <c r="M4" s="8">
        <v>0.57500000000000007</v>
      </c>
      <c r="N4" s="6" t="s">
        <v>205</v>
      </c>
      <c r="O4" s="6" t="s">
        <v>361</v>
      </c>
      <c r="P4" s="6">
        <v>336</v>
      </c>
      <c r="Q4" s="6">
        <v>832</v>
      </c>
      <c r="R4" s="6">
        <v>0</v>
      </c>
      <c r="S4" s="6">
        <v>0</v>
      </c>
      <c r="T4" s="6">
        <v>0</v>
      </c>
      <c r="U4" s="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31</vt:i4>
      </vt:variant>
    </vt:vector>
  </HeadingPairs>
  <TitlesOfParts>
    <vt:vector size="31" baseType="lpstr">
      <vt:lpstr>01</vt:lpstr>
      <vt:lpstr>02</vt:lpstr>
      <vt:lpstr>03</vt:lpstr>
      <vt:lpstr>04</vt:lpstr>
      <vt:lpstr>05</vt:lpstr>
      <vt:lpstr>06</vt:lpstr>
      <vt:lpstr>07</vt:lpstr>
      <vt:lpstr>08</vt:lpstr>
      <vt:lpstr>09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OPC</dc:creator>
  <cp:lastModifiedBy>OPC</cp:lastModifiedBy>
  <cp:lastPrinted>2021-09-19T15:31:38Z</cp:lastPrinted>
  <dcterms:created xsi:type="dcterms:W3CDTF">2021-02-01T03:54:40Z</dcterms:created>
  <dcterms:modified xsi:type="dcterms:W3CDTF">2021-12-31T18:41:13Z</dcterms:modified>
</cp:coreProperties>
</file>