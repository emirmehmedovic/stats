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155" windowWidth="18195" windowHeight="7740" tabRatio="640" firstSheet="11" activeTab="30"/>
  </bookViews>
  <sheets>
    <sheet name="01" sheetId="70" r:id="rId1"/>
    <sheet name="02" sheetId="71" r:id="rId2"/>
    <sheet name="03" sheetId="72" r:id="rId3"/>
    <sheet name="04" sheetId="73" r:id="rId4"/>
    <sheet name="05" sheetId="74" r:id="rId5"/>
    <sheet name="06" sheetId="75" r:id="rId6"/>
    <sheet name="07" sheetId="76" r:id="rId7"/>
    <sheet name="08" sheetId="77" r:id="rId8"/>
    <sheet name="09" sheetId="78" r:id="rId9"/>
    <sheet name="10" sheetId="79" r:id="rId10"/>
    <sheet name="11" sheetId="80" r:id="rId11"/>
    <sheet name="12" sheetId="81" r:id="rId12"/>
    <sheet name="13" sheetId="82" r:id="rId13"/>
    <sheet name="14" sheetId="83" r:id="rId14"/>
    <sheet name="15" sheetId="84" r:id="rId15"/>
    <sheet name="16" sheetId="85" r:id="rId16"/>
    <sheet name="17" sheetId="86" r:id="rId17"/>
    <sheet name="18" sheetId="87" r:id="rId18"/>
    <sheet name="19" sheetId="88" r:id="rId19"/>
    <sheet name="20" sheetId="89" r:id="rId20"/>
    <sheet name="21" sheetId="90" r:id="rId21"/>
    <sheet name="22" sheetId="91" r:id="rId22"/>
    <sheet name="23" sheetId="92" r:id="rId23"/>
    <sheet name="24" sheetId="93" r:id="rId24"/>
    <sheet name="25" sheetId="94" r:id="rId25"/>
    <sheet name="26" sheetId="95" r:id="rId26"/>
    <sheet name="27" sheetId="96" r:id="rId27"/>
    <sheet name="28" sheetId="97" r:id="rId28"/>
    <sheet name="29" sheetId="98" r:id="rId29"/>
    <sheet name="30" sheetId="99" r:id="rId30"/>
    <sheet name="31" sheetId="100" r:id="rId31"/>
  </sheets>
  <calcPr calcId="145621"/>
</workbook>
</file>

<file path=xl/calcChain.xml><?xml version="1.0" encoding="utf-8"?>
<calcChain xmlns="http://schemas.openxmlformats.org/spreadsheetml/2006/main">
  <c r="E4" i="94" l="1"/>
  <c r="E5" i="94" s="1"/>
  <c r="E5" i="87" l="1"/>
  <c r="E4" i="87"/>
  <c r="I6" i="82" l="1"/>
</calcChain>
</file>

<file path=xl/sharedStrings.xml><?xml version="1.0" encoding="utf-8"?>
<sst xmlns="http://schemas.openxmlformats.org/spreadsheetml/2006/main" count="2061" uniqueCount="407">
  <si>
    <t>datum</t>
  </si>
  <si>
    <t>kompanija</t>
  </si>
  <si>
    <t>ruta</t>
  </si>
  <si>
    <t>tip a/c</t>
  </si>
  <si>
    <t>reg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</si>
  <si>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</si>
  <si>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</si>
  <si>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</si>
  <si>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</si>
  <si>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</si>
  <si>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</si>
  <si>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</si>
  <si>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</si>
  <si>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</si>
  <si>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</si>
  <si>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</si>
  <si>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</si>
  <si>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</si>
  <si>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</si>
  <si>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</si>
  <si>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</si>
  <si>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</si>
  <si>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</si>
  <si>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TZL-MMX-TZL</t>
  </si>
  <si>
    <t>W64292</t>
  </si>
  <si>
    <t>W64291</t>
  </si>
  <si>
    <t>TZL-DTM-TZL</t>
  </si>
  <si>
    <t>W64298</t>
  </si>
  <si>
    <t>W64297</t>
  </si>
  <si>
    <t>TZL-GOT-TZL</t>
  </si>
  <si>
    <t>W64296</t>
  </si>
  <si>
    <t>W64295</t>
  </si>
  <si>
    <t>TZL-HHN-TZL</t>
  </si>
  <si>
    <t>W64284</t>
  </si>
  <si>
    <t>W64283</t>
  </si>
  <si>
    <t>TZL-FKB-TZL</t>
  </si>
  <si>
    <t>W64618</t>
  </si>
  <si>
    <t>W64617</t>
  </si>
  <si>
    <t>tip OPER</t>
  </si>
  <si>
    <t>HA-LWA</t>
  </si>
  <si>
    <t>HA-LYK</t>
  </si>
  <si>
    <t>HA-LWX</t>
  </si>
  <si>
    <t>76+3 INF</t>
  </si>
  <si>
    <t>130+2 INF</t>
  </si>
  <si>
    <t>79+2 INF</t>
  </si>
  <si>
    <t>150+3 INF</t>
  </si>
  <si>
    <t>84+2 INF</t>
  </si>
  <si>
    <t>120+4INF</t>
  </si>
  <si>
    <t>90+2INF</t>
  </si>
  <si>
    <t>153+2INF</t>
  </si>
  <si>
    <t>106+4INF</t>
  </si>
  <si>
    <t>161+0INF</t>
  </si>
  <si>
    <t>TZL-VIE-TZL</t>
  </si>
  <si>
    <t>W64286</t>
  </si>
  <si>
    <t>W64285</t>
  </si>
  <si>
    <t>TZL-BER-TZL</t>
  </si>
  <si>
    <t>W64276</t>
  </si>
  <si>
    <t>W64275</t>
  </si>
  <si>
    <t>TZL-MLH-TZL</t>
  </si>
  <si>
    <t>W64294</t>
  </si>
  <si>
    <t>W64293</t>
  </si>
  <si>
    <t>TZL-EIN-TZL</t>
  </si>
  <si>
    <t>W64290</t>
  </si>
  <si>
    <t>W64289</t>
  </si>
  <si>
    <t>TZL-FMM-TZL</t>
  </si>
  <si>
    <t>W64280</t>
  </si>
  <si>
    <t>W64279</t>
  </si>
  <si>
    <t>TZL-VXO-TZL</t>
  </si>
  <si>
    <t>W64612</t>
  </si>
  <si>
    <t>W64611</t>
  </si>
  <si>
    <t>128+1 INF</t>
  </si>
  <si>
    <t>144+4 INF</t>
  </si>
  <si>
    <t>121+2 INF</t>
  </si>
  <si>
    <t>154+6 INF</t>
  </si>
  <si>
    <t>172+1 INF</t>
  </si>
  <si>
    <t xml:space="preserve"> 166+1 INF</t>
  </si>
  <si>
    <t>170+2 INF</t>
  </si>
  <si>
    <t>142+1 INF</t>
  </si>
  <si>
    <t>92+1 INF</t>
  </si>
  <si>
    <t>170+1 INF</t>
  </si>
  <si>
    <t>62+1 INF</t>
  </si>
  <si>
    <t>164+4 INF</t>
  </si>
  <si>
    <t>TZL-NYO-TZL</t>
  </si>
  <si>
    <t>W64282</t>
  </si>
  <si>
    <t>W64281</t>
  </si>
  <si>
    <t>TZL-FDH-TZL</t>
  </si>
  <si>
    <t>W64616</t>
  </si>
  <si>
    <t>W64615</t>
  </si>
  <si>
    <t>TZL-CGN-TZL</t>
  </si>
  <si>
    <t>W64300</t>
  </si>
  <si>
    <t>W64299</t>
  </si>
  <si>
    <t>TZL-BLL-TZL</t>
  </si>
  <si>
    <t>W64278</t>
  </si>
  <si>
    <t>W64277</t>
  </si>
  <si>
    <t>FERRY IN/OUT</t>
  </si>
  <si>
    <t>W6805</t>
  </si>
  <si>
    <t>W6806</t>
  </si>
  <si>
    <t>KTW-TZL-KTW</t>
  </si>
  <si>
    <t>HA-LWX/LPM</t>
  </si>
  <si>
    <t>HA-LPM</t>
  </si>
  <si>
    <t>129+0 INF</t>
  </si>
  <si>
    <t>110+3 INF</t>
  </si>
  <si>
    <t>85+2 INF</t>
  </si>
  <si>
    <t>140+2 INF</t>
  </si>
  <si>
    <t>160+2 INF</t>
  </si>
  <si>
    <t>157+3 INF</t>
  </si>
  <si>
    <t>124+0 INF</t>
  </si>
  <si>
    <t>118+0 INF</t>
  </si>
  <si>
    <t>78+0INF</t>
  </si>
  <si>
    <t xml:space="preserve">AIR PINK </t>
  </si>
  <si>
    <t>C56X</t>
  </si>
  <si>
    <t>YU-PBB</t>
  </si>
  <si>
    <t>H</t>
  </si>
  <si>
    <t>SOS AIR</t>
  </si>
  <si>
    <t>BE40</t>
  </si>
  <si>
    <t>TCSTA</t>
  </si>
  <si>
    <t>GP</t>
  </si>
  <si>
    <t>94+2 INF</t>
  </si>
  <si>
    <t>139+3 INF</t>
  </si>
  <si>
    <t>79+1 INF</t>
  </si>
  <si>
    <t>65+2 INF</t>
  </si>
  <si>
    <t>BEG-TZL-BEG</t>
  </si>
  <si>
    <t>ISL-TZL-ISL</t>
  </si>
  <si>
    <t>126+4 INF</t>
  </si>
  <si>
    <t>159+4 INF</t>
  </si>
  <si>
    <t>126+1 INF</t>
  </si>
  <si>
    <t>22.16</t>
  </si>
  <si>
    <t>127+5 INF</t>
  </si>
  <si>
    <t>149+5INF</t>
  </si>
  <si>
    <t>139+2INF</t>
  </si>
  <si>
    <t>169+2 INF</t>
  </si>
  <si>
    <t>175+1 INF</t>
  </si>
  <si>
    <t>155+6 INF</t>
  </si>
  <si>
    <t>98+0 INF</t>
  </si>
  <si>
    <t>164+2 INF</t>
  </si>
  <si>
    <t>WIZZ AIR</t>
  </si>
  <si>
    <t>90+4 INF</t>
  </si>
  <si>
    <t>101+3 INF</t>
  </si>
  <si>
    <t>47+1INF</t>
  </si>
  <si>
    <t>KTW-TZL</t>
  </si>
  <si>
    <t>HA-LWL</t>
  </si>
  <si>
    <t>T</t>
  </si>
  <si>
    <t>W6801</t>
  </si>
  <si>
    <t>W6802</t>
  </si>
  <si>
    <t>77+2 INF</t>
  </si>
  <si>
    <t>160+2INF</t>
  </si>
  <si>
    <t>124+2INF</t>
  </si>
  <si>
    <t>WIZZAR</t>
  </si>
  <si>
    <t>HA-LWU</t>
  </si>
  <si>
    <t>HA-LWL/LYP</t>
  </si>
  <si>
    <t>111+1 INF</t>
  </si>
  <si>
    <t>48+0 INF</t>
  </si>
  <si>
    <t>160+5INF</t>
  </si>
  <si>
    <t>80+0INF</t>
  </si>
  <si>
    <t>81+1 INF</t>
  </si>
  <si>
    <t>102+2 INF</t>
  </si>
  <si>
    <t>167+2 INF</t>
  </si>
  <si>
    <t>HALYP</t>
  </si>
  <si>
    <t>HALWL</t>
  </si>
  <si>
    <t>46+0 INF</t>
  </si>
  <si>
    <t>138+3 INF</t>
  </si>
  <si>
    <t>141+2 INF</t>
  </si>
  <si>
    <t>125+2 INF</t>
  </si>
  <si>
    <t>87+0 INF</t>
  </si>
  <si>
    <t>142+2 INF</t>
  </si>
  <si>
    <t>163+4  INF</t>
  </si>
  <si>
    <t>176+2  INF</t>
  </si>
  <si>
    <t>171+4  INF</t>
  </si>
  <si>
    <t>HA-LYP</t>
  </si>
  <si>
    <t>126+7 INF</t>
  </si>
  <si>
    <t>115+5 INF</t>
  </si>
  <si>
    <t>174+3 INF</t>
  </si>
  <si>
    <t>178+6 INF</t>
  </si>
  <si>
    <t>174+1 INF</t>
  </si>
  <si>
    <t>174+6 INF</t>
  </si>
  <si>
    <t>144+0 INF</t>
  </si>
  <si>
    <t>163+7 INF</t>
  </si>
  <si>
    <t>176+0  INF</t>
  </si>
  <si>
    <t>57+2  INF</t>
  </si>
  <si>
    <t>168+3  INF</t>
  </si>
  <si>
    <t>115+4 INF</t>
  </si>
  <si>
    <t>157+1 INF</t>
  </si>
  <si>
    <t>56+2 INF</t>
  </si>
  <si>
    <t>161+4 INF</t>
  </si>
  <si>
    <t>159+0 INF</t>
  </si>
  <si>
    <t>167+0INF</t>
  </si>
  <si>
    <t>172+2 INF</t>
  </si>
  <si>
    <t>139+2 INF</t>
  </si>
  <si>
    <t>70+3 INF</t>
  </si>
  <si>
    <t>163+2 INF</t>
  </si>
  <si>
    <t>69+1 INF</t>
  </si>
  <si>
    <t>LIFE LINE AVIATION</t>
  </si>
  <si>
    <t>ATH-TZL</t>
  </si>
  <si>
    <t>C550</t>
  </si>
  <si>
    <t>SXFDA</t>
  </si>
  <si>
    <t>NON-SCHEDULED</t>
  </si>
  <si>
    <t>143+1INF</t>
  </si>
  <si>
    <t>41+1 INF</t>
  </si>
  <si>
    <t>154+2 INF</t>
  </si>
  <si>
    <t>166+5 INF</t>
  </si>
  <si>
    <t>152+2 INF</t>
  </si>
  <si>
    <t>166+2 INF</t>
  </si>
  <si>
    <t>132+1 INF</t>
  </si>
  <si>
    <t>159+6INF</t>
  </si>
  <si>
    <t>156+5INF</t>
  </si>
  <si>
    <t>138+0INF</t>
  </si>
  <si>
    <t>154+5INF</t>
  </si>
  <si>
    <t>TZL-BEG</t>
  </si>
  <si>
    <t>ROP</t>
  </si>
  <si>
    <t>158+1 INF</t>
  </si>
  <si>
    <t>88+1 INF</t>
  </si>
  <si>
    <t>109+1 INF</t>
  </si>
  <si>
    <t>72+1 INF</t>
  </si>
  <si>
    <t>EIN-TZL-SJJ</t>
  </si>
  <si>
    <t>HA-LYC</t>
  </si>
  <si>
    <t>TECHNICAL</t>
  </si>
  <si>
    <t>W64632</t>
  </si>
  <si>
    <t>TRANZIT</t>
  </si>
  <si>
    <t>154+4 INF</t>
  </si>
  <si>
    <t>-</t>
  </si>
  <si>
    <t>HA-LWO</t>
  </si>
  <si>
    <t>DTM-TZL</t>
  </si>
  <si>
    <t>Swiss air A.</t>
  </si>
  <si>
    <t>ZRH-TZL-ZRH</t>
  </si>
  <si>
    <t>CL60</t>
  </si>
  <si>
    <t>HB-JWC</t>
  </si>
  <si>
    <t>UNSCHEDULED</t>
  </si>
  <si>
    <t>146+2 INF</t>
  </si>
  <si>
    <t>1+0 INF</t>
  </si>
  <si>
    <t>118+2 INF</t>
  </si>
  <si>
    <t>144+2 INF</t>
  </si>
  <si>
    <t>158+3 INF</t>
  </si>
  <si>
    <t>SAZ71</t>
  </si>
  <si>
    <t>SAZ72</t>
  </si>
  <si>
    <t>HALWO</t>
  </si>
  <si>
    <t>133+0 INF</t>
  </si>
  <si>
    <t>121+4 INF</t>
  </si>
  <si>
    <t>101+2 INF</t>
  </si>
  <si>
    <t>151+2 INF</t>
  </si>
  <si>
    <t>83+1 INF</t>
  </si>
  <si>
    <t>129+1 INF</t>
  </si>
  <si>
    <t>148+3 INF</t>
  </si>
  <si>
    <t>174+4 INF</t>
  </si>
  <si>
    <t>163+4 INF</t>
  </si>
  <si>
    <t>115+6 INF</t>
  </si>
  <si>
    <t>167+0 NF</t>
  </si>
  <si>
    <t>174+0 INF</t>
  </si>
  <si>
    <t>124+5INF</t>
  </si>
  <si>
    <t>171+2INF</t>
  </si>
  <si>
    <t>157+0 INF</t>
  </si>
  <si>
    <t>177+4INF</t>
  </si>
  <si>
    <t>179+5 INF</t>
  </si>
  <si>
    <t>153+3 INF</t>
  </si>
  <si>
    <t>143+4 INF</t>
  </si>
  <si>
    <t>59+0 INF</t>
  </si>
  <si>
    <t>57+0 INF</t>
  </si>
  <si>
    <t>94+1 INF</t>
  </si>
  <si>
    <t>153+2 INF</t>
  </si>
  <si>
    <t>75+3INF</t>
  </si>
  <si>
    <t>138+5INF</t>
  </si>
  <si>
    <t>179+1 INF</t>
  </si>
  <si>
    <t>153+1 INF</t>
  </si>
  <si>
    <t>149+6 INF</t>
  </si>
  <si>
    <t>180+0 INF</t>
  </si>
  <si>
    <t>102+1INF</t>
  </si>
  <si>
    <t>54+0INF</t>
  </si>
  <si>
    <t>156+0INF</t>
  </si>
  <si>
    <t>110+0INF</t>
  </si>
  <si>
    <t>AEROHELI</t>
  </si>
  <si>
    <t>LOAN-TZL-TIA</t>
  </si>
  <si>
    <t>AS350</t>
  </si>
  <si>
    <t>D-HAIQ</t>
  </si>
  <si>
    <t>60+1 INF</t>
  </si>
  <si>
    <t>131+5 INF</t>
  </si>
  <si>
    <t>159+6 INF</t>
  </si>
  <si>
    <t>165+4 INF</t>
  </si>
  <si>
    <t>162+5 INF</t>
  </si>
  <si>
    <t>135+3 INF</t>
  </si>
  <si>
    <t>156+0 INF</t>
  </si>
  <si>
    <t>KOMPANIJA TAKOVO</t>
  </si>
  <si>
    <t>BEG-TZL-TREBINJE</t>
  </si>
  <si>
    <t>AW109</t>
  </si>
  <si>
    <t>YU-HRD</t>
  </si>
  <si>
    <t>155+5INF</t>
  </si>
  <si>
    <t>149+1INF</t>
  </si>
  <si>
    <t>69+2 INF</t>
  </si>
  <si>
    <t>155+3 INF</t>
  </si>
  <si>
    <t>53+0 INF</t>
  </si>
  <si>
    <t>156+7 INF</t>
  </si>
  <si>
    <t>145+7 INF</t>
  </si>
  <si>
    <t>133+3 INF</t>
  </si>
  <si>
    <t>159+2 INF</t>
  </si>
  <si>
    <t>126+3 INF</t>
  </si>
  <si>
    <t>155+2 INF</t>
  </si>
  <si>
    <t>121+1 INF</t>
  </si>
  <si>
    <t>110+0 INF</t>
  </si>
  <si>
    <t>HA-LYP/HA-LPM</t>
  </si>
  <si>
    <t>102+0 INF</t>
  </si>
  <si>
    <t>136+3 INF</t>
  </si>
  <si>
    <t>162+4 INF</t>
  </si>
  <si>
    <t>93+0 INF</t>
  </si>
  <si>
    <t>100+3 INF</t>
  </si>
  <si>
    <t>152+6 INF</t>
  </si>
  <si>
    <t>152+1 INF</t>
  </si>
  <si>
    <t>173+2 INF</t>
  </si>
  <si>
    <t>117+1 INF</t>
  </si>
  <si>
    <t>128+4 INF</t>
  </si>
  <si>
    <t>164+7 INF</t>
  </si>
  <si>
    <t>178+1 INF</t>
  </si>
  <si>
    <t>164+3 INF</t>
  </si>
  <si>
    <t>175+5 INF</t>
  </si>
  <si>
    <t>173+4 INF</t>
  </si>
  <si>
    <t>164+6 INF</t>
  </si>
  <si>
    <t>79+0 INF</t>
  </si>
  <si>
    <t>156+3 INF</t>
  </si>
  <si>
    <t>77+1 INF</t>
  </si>
  <si>
    <t>HA-LYX</t>
  </si>
  <si>
    <t>160+7 INF</t>
  </si>
  <si>
    <t>69+1INF</t>
  </si>
  <si>
    <t>102+0INF</t>
  </si>
  <si>
    <t>HA-LWO/HA-LYX</t>
  </si>
  <si>
    <t>152+5 INF</t>
  </si>
  <si>
    <t>176+0 INF</t>
  </si>
  <si>
    <t>128+5 INF</t>
  </si>
  <si>
    <t>90+2 INF</t>
  </si>
  <si>
    <t>62+2 INF</t>
  </si>
  <si>
    <t>163+1 INF</t>
  </si>
  <si>
    <t>96+2 INF</t>
  </si>
  <si>
    <t>NTS</t>
  </si>
  <si>
    <t>BEG-TZL-BNX</t>
  </si>
  <si>
    <t>R66</t>
  </si>
  <si>
    <t>YU-HMS</t>
  </si>
  <si>
    <t>BNX-TZL-BEG</t>
  </si>
  <si>
    <t>33+0 INF</t>
  </si>
  <si>
    <t>103+1 INF</t>
  </si>
  <si>
    <t>144+1 INF</t>
  </si>
  <si>
    <t>YUHMS</t>
  </si>
  <si>
    <t>NON- SCHEDULED</t>
  </si>
  <si>
    <t>154+3 INF</t>
  </si>
  <si>
    <t>167+1 INF</t>
  </si>
  <si>
    <t>TIA-TZL-TIA</t>
  </si>
  <si>
    <t>HA-LYL</t>
  </si>
  <si>
    <t>W6808</t>
  </si>
  <si>
    <t>W6807</t>
  </si>
  <si>
    <t>127+1 INF</t>
  </si>
  <si>
    <t>HALYL</t>
  </si>
  <si>
    <t>HALYX</t>
  </si>
  <si>
    <t>176+2 INF</t>
  </si>
  <si>
    <t>84+0 INF</t>
  </si>
  <si>
    <t>115+1 INF</t>
  </si>
  <si>
    <t>171+4 INF</t>
  </si>
  <si>
    <t>HA-LYX/LYJ</t>
  </si>
  <si>
    <t>158+2 INF</t>
  </si>
  <si>
    <t>152+3 INF</t>
  </si>
  <si>
    <t>HELIMASTER</t>
  </si>
  <si>
    <t>HELICOPTER</t>
  </si>
  <si>
    <t>125+3 INF</t>
  </si>
  <si>
    <t>117+2 INF</t>
  </si>
  <si>
    <t>HA-LYJ</t>
  </si>
  <si>
    <t>151+9 INF</t>
  </si>
  <si>
    <t>136+2 INF</t>
  </si>
  <si>
    <t>HA-LPM/HA-LYC</t>
  </si>
  <si>
    <t>PRN-TZL</t>
  </si>
  <si>
    <t>TZL-TIA</t>
  </si>
  <si>
    <t>W6803</t>
  </si>
  <si>
    <t>TFT/FERRY IN</t>
  </si>
  <si>
    <t>TFT/FERYY OUT</t>
  </si>
  <si>
    <t>168+4 INF</t>
  </si>
  <si>
    <t>165+2 INF</t>
  </si>
  <si>
    <t>85+0 INF</t>
  </si>
  <si>
    <t>91+4 INF</t>
  </si>
  <si>
    <t>119+0 INF</t>
  </si>
  <si>
    <t>OTKAZAN</t>
  </si>
  <si>
    <t>151+4 INF</t>
  </si>
  <si>
    <t>158+6 INF</t>
  </si>
  <si>
    <t>DIV TO BEG</t>
  </si>
  <si>
    <t>Pomjeren za 31.10.2021.</t>
  </si>
  <si>
    <t>HA-LYH</t>
  </si>
  <si>
    <t>SOF-TZL-SOF</t>
  </si>
  <si>
    <t>W6804</t>
  </si>
  <si>
    <t>157+4 INF</t>
  </si>
  <si>
    <t>169+4 INF</t>
  </si>
  <si>
    <t>109+2 INF</t>
  </si>
  <si>
    <t>FERRY IN</t>
  </si>
  <si>
    <t>BEG-TZL</t>
  </si>
  <si>
    <t>NYO- TZL-NYO</t>
  </si>
  <si>
    <t>A321</t>
  </si>
  <si>
    <t>HA-LZD</t>
  </si>
  <si>
    <t>NONSCHEDULED</t>
  </si>
  <si>
    <t>W64368</t>
  </si>
  <si>
    <t>W64367A</t>
  </si>
  <si>
    <t>53+2 INF</t>
  </si>
  <si>
    <t>DIV TO SJJ</t>
  </si>
  <si>
    <t>186+0INF</t>
  </si>
  <si>
    <t>HA-LWV</t>
  </si>
  <si>
    <t>HA-LWZ</t>
  </si>
  <si>
    <t>SJJ-TZL</t>
  </si>
  <si>
    <t>169+1 INF</t>
  </si>
  <si>
    <t>159+1 INF</t>
  </si>
  <si>
    <t xml:space="preserve"> 141+3 INF</t>
  </si>
  <si>
    <t>162+3 INF</t>
  </si>
  <si>
    <t>W6811</t>
  </si>
  <si>
    <t>161+1 INF</t>
  </si>
  <si>
    <t>108+3 INF</t>
  </si>
  <si>
    <t>145+3 INF</t>
  </si>
  <si>
    <t>137+0 INF</t>
  </si>
  <si>
    <t>140+6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</si>
</sst>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32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NumberFormat="1"/>
    <xf numFmtId="0" fontId="0" fillId="2" borderId="0" xfId="0" applyFill="1"/>
    <xf numFmtId="20" fontId="6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20" fontId="0" fillId="0" borderId="0" xfId="0" applyNumberFormat="1"/>
    <xf numFmtId="20" fontId="3" fillId="0" borderId="0" xfId="0" applyNumberFormat="1" applyFont="1" applyAlignment="1">
      <alignment vertical="center"/>
    </xf>
    <xf numFmtId="0" fontId="3" fillId="0" borderId="0" xfId="0" applyFont="1"/>
    <xf numFmtId="0" fontId="7" fillId="0" borderId="0" xfId="0" applyFont="1"/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5">
    <cellStyle name="Normal" xfId="0" builtinId="0"/>
    <cellStyle name="Normal 2" xfId="2"/>
    <cellStyle name="Normal 2 2" xfId="3"/>
    <cellStyle name="Normal 2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34" sqref="F34"/>
    </sheetView>
  </sheetViews>
  <sheetFormatPr defaultRowHeight="15" x14ac:dyDescent="0.25"/>
  <cols>
    <col min="2" max="2" width="10.85546875" customWidth="1"/>
    <col min="3" max="3" width="12.28515625" customWidth="1"/>
    <col min="5" max="5" width="13.5703125" customWidth="1"/>
    <col min="6" max="6" width="12" customWidth="1"/>
    <col min="14" max="14" width="14.28515625" customWidth="1"/>
    <col min="15" max="15" width="12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44470</v>
      </c>
      <c r="B2" s="6" t="s">
        <v>20</v>
      </c>
      <c r="C2" s="6" t="s">
        <v>23</v>
      </c>
      <c r="D2" s="6" t="s">
        <v>21</v>
      </c>
      <c r="E2" s="6" t="s">
        <v>39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0.4597222222222222</v>
      </c>
      <c r="L2" s="7">
        <v>0.25694444444444448</v>
      </c>
      <c r="M2" s="8">
        <v>0.25972222222222224</v>
      </c>
      <c r="N2" s="6" t="s">
        <v>44</v>
      </c>
      <c r="O2" s="6" t="s">
        <v>42</v>
      </c>
      <c r="P2" s="6">
        <v>469</v>
      </c>
      <c r="Q2" s="6">
        <v>685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44470</v>
      </c>
      <c r="B3" s="5" t="s">
        <v>20</v>
      </c>
      <c r="C3" s="6" t="s">
        <v>26</v>
      </c>
      <c r="D3" s="6" t="s">
        <v>21</v>
      </c>
      <c r="E3" s="6" t="s">
        <v>40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0.4861111111111111</v>
      </c>
      <c r="K3" s="8">
        <v>0.49583333333333335</v>
      </c>
      <c r="L3" s="7">
        <v>0.29166666666666669</v>
      </c>
      <c r="M3" s="8">
        <v>0.29722222222222222</v>
      </c>
      <c r="N3" s="6" t="s">
        <v>45</v>
      </c>
      <c r="O3" s="6" t="s">
        <v>43</v>
      </c>
      <c r="P3" s="6">
        <v>925</v>
      </c>
      <c r="Q3" s="6">
        <v>901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44470</v>
      </c>
      <c r="B4" s="6" t="s">
        <v>20</v>
      </c>
      <c r="C4" s="6" t="s">
        <v>29</v>
      </c>
      <c r="D4" s="6" t="s">
        <v>21</v>
      </c>
      <c r="E4" s="6" t="s">
        <v>39</v>
      </c>
      <c r="F4" s="6" t="s">
        <v>22</v>
      </c>
      <c r="G4" s="6">
        <v>70000</v>
      </c>
      <c r="H4" s="6" t="s">
        <v>30</v>
      </c>
      <c r="I4" s="6" t="s">
        <v>31</v>
      </c>
      <c r="J4" s="7">
        <v>0.71875</v>
      </c>
      <c r="K4" s="8">
        <v>0.72916666666666663</v>
      </c>
      <c r="L4" s="7">
        <v>0.48958333333333331</v>
      </c>
      <c r="M4" s="8">
        <v>0.49722222222222223</v>
      </c>
      <c r="N4" s="6" t="s">
        <v>49</v>
      </c>
      <c r="O4" s="6" t="s">
        <v>46</v>
      </c>
      <c r="P4" s="6">
        <v>674</v>
      </c>
      <c r="Q4" s="6">
        <v>740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44470</v>
      </c>
      <c r="B5" s="6" t="s">
        <v>20</v>
      </c>
      <c r="C5" s="6" t="s">
        <v>35</v>
      </c>
      <c r="D5" s="6" t="s">
        <v>21</v>
      </c>
      <c r="E5" s="6" t="s">
        <v>41</v>
      </c>
      <c r="F5" s="6" t="s">
        <v>22</v>
      </c>
      <c r="G5" s="6">
        <v>70000</v>
      </c>
      <c r="H5" s="6" t="s">
        <v>36</v>
      </c>
      <c r="I5" s="6" t="s">
        <v>37</v>
      </c>
      <c r="J5" s="7">
        <v>0.67361111111111116</v>
      </c>
      <c r="K5" s="8">
        <v>0.68263888888888891</v>
      </c>
      <c r="L5" s="7">
        <v>0.50694444444444442</v>
      </c>
      <c r="M5" s="8">
        <v>0.52916666666666667</v>
      </c>
      <c r="N5" s="6" t="s">
        <v>47</v>
      </c>
      <c r="O5" s="6" t="s">
        <v>48</v>
      </c>
      <c r="P5" s="6">
        <v>650</v>
      </c>
      <c r="Q5" s="6">
        <v>593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44470</v>
      </c>
      <c r="B6" s="6" t="s">
        <v>20</v>
      </c>
      <c r="C6" s="6" t="s">
        <v>32</v>
      </c>
      <c r="D6" s="6" t="s">
        <v>21</v>
      </c>
      <c r="E6" s="6" t="s">
        <v>39</v>
      </c>
      <c r="F6" s="6" t="s">
        <v>22</v>
      </c>
      <c r="G6" s="6">
        <v>70000</v>
      </c>
      <c r="H6" s="6" t="s">
        <v>33</v>
      </c>
      <c r="I6" s="6" t="s">
        <v>34</v>
      </c>
      <c r="J6" s="3">
        <v>0.92013888888888884</v>
      </c>
      <c r="K6" s="8">
        <v>0.92847222222222225</v>
      </c>
      <c r="L6" s="3">
        <v>0.73958333333333337</v>
      </c>
      <c r="M6" s="4">
        <v>0.75902777777777775</v>
      </c>
      <c r="N6" s="6" t="s">
        <v>51</v>
      </c>
      <c r="O6" s="6" t="s">
        <v>50</v>
      </c>
      <c r="P6" s="6">
        <v>760</v>
      </c>
      <c r="Q6" s="2">
        <v>755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I34" sqref="I34"/>
    </sheetView>
  </sheetViews>
  <sheetFormatPr defaultRowHeight="15" x14ac:dyDescent="0.25"/>
  <cols>
    <col min="2" max="2" width="11.140625" customWidth="1"/>
    <col min="3" max="3" width="18" customWidth="1"/>
    <col min="6" max="6" width="1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5">
        <v>44471</v>
      </c>
      <c r="B2" s="6" t="s">
        <v>20</v>
      </c>
      <c r="C2" s="6" t="s">
        <v>52</v>
      </c>
      <c r="D2" s="6" t="s">
        <v>21</v>
      </c>
      <c r="E2" s="6" t="s">
        <v>41</v>
      </c>
      <c r="F2" s="6" t="s">
        <v>22</v>
      </c>
      <c r="G2" s="6">
        <v>70000</v>
      </c>
      <c r="H2" s="6" t="s">
        <v>53</v>
      </c>
      <c r="I2" s="6" t="s">
        <v>54</v>
      </c>
      <c r="J2" s="7">
        <v>0.375</v>
      </c>
      <c r="K2" s="8">
        <v>0.36319444444444443</v>
      </c>
      <c r="L2" s="7">
        <v>0.25694444444444448</v>
      </c>
      <c r="M2" s="8">
        <v>0.26111111111111113</v>
      </c>
      <c r="N2" s="6" t="s">
        <v>72</v>
      </c>
      <c r="O2" s="6" t="s">
        <v>70</v>
      </c>
      <c r="P2" s="6">
        <v>500</v>
      </c>
      <c r="Q2" s="6">
        <v>919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44471</v>
      </c>
      <c r="B3" s="6" t="s">
        <v>20</v>
      </c>
      <c r="C3" s="6" t="s">
        <v>55</v>
      </c>
      <c r="D3" s="6" t="s">
        <v>21</v>
      </c>
      <c r="E3" s="6" t="s">
        <v>39</v>
      </c>
      <c r="F3" s="6" t="s">
        <v>22</v>
      </c>
      <c r="G3" s="6">
        <v>70000</v>
      </c>
      <c r="H3" s="6" t="s">
        <v>56</v>
      </c>
      <c r="I3" s="6" t="s">
        <v>57</v>
      </c>
      <c r="J3" s="7">
        <v>0.4375</v>
      </c>
      <c r="K3" s="8">
        <v>0.46527777777777773</v>
      </c>
      <c r="L3" s="7">
        <v>0.2638888888888889</v>
      </c>
      <c r="M3" s="8">
        <v>0.2951388888888889</v>
      </c>
      <c r="N3" s="6" t="s">
        <v>75</v>
      </c>
      <c r="O3" s="6" t="s">
        <v>71</v>
      </c>
      <c r="P3" s="6">
        <v>1200</v>
      </c>
      <c r="Q3" s="6">
        <v>1115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44471</v>
      </c>
      <c r="B4" s="6" t="s">
        <v>20</v>
      </c>
      <c r="C4" s="6" t="s">
        <v>58</v>
      </c>
      <c r="D4" s="6" t="s">
        <v>21</v>
      </c>
      <c r="E4" s="6" t="s">
        <v>41</v>
      </c>
      <c r="F4" s="6" t="s">
        <v>22</v>
      </c>
      <c r="G4" s="6">
        <v>70000</v>
      </c>
      <c r="H4" s="6" t="s">
        <v>59</v>
      </c>
      <c r="I4" s="6" t="s">
        <v>60</v>
      </c>
      <c r="J4" s="7">
        <v>0.5625</v>
      </c>
      <c r="K4" s="8">
        <v>0.56041666666666667</v>
      </c>
      <c r="L4" s="7">
        <v>0.39583333333333331</v>
      </c>
      <c r="M4" s="8">
        <v>0.39652777777777781</v>
      </c>
      <c r="N4" s="6" t="s">
        <v>76</v>
      </c>
      <c r="O4" s="6" t="s">
        <v>73</v>
      </c>
      <c r="P4" s="6">
        <v>999</v>
      </c>
      <c r="Q4" s="6">
        <v>1100</v>
      </c>
      <c r="R4" s="6">
        <v>0</v>
      </c>
      <c r="S4" s="6">
        <v>0</v>
      </c>
      <c r="T4" s="6">
        <v>0</v>
      </c>
      <c r="U4" s="6"/>
    </row>
    <row r="5" spans="1:21" x14ac:dyDescent="0.25">
      <c r="A5" s="5">
        <v>44471</v>
      </c>
      <c r="B5" s="6" t="s">
        <v>20</v>
      </c>
      <c r="C5" s="6" t="s">
        <v>61</v>
      </c>
      <c r="D5" s="6" t="s">
        <v>21</v>
      </c>
      <c r="E5" s="6" t="s">
        <v>39</v>
      </c>
      <c r="F5" s="6" t="s">
        <v>22</v>
      </c>
      <c r="G5" s="6">
        <v>70000</v>
      </c>
      <c r="H5" s="6" t="s">
        <v>62</v>
      </c>
      <c r="I5" s="6" t="s">
        <v>63</v>
      </c>
      <c r="J5" s="7">
        <v>0.67361111111111116</v>
      </c>
      <c r="K5" s="8">
        <v>0.69305555555555554</v>
      </c>
      <c r="L5" s="7">
        <v>0.46875</v>
      </c>
      <c r="M5" s="8">
        <v>0.50138888888888888</v>
      </c>
      <c r="N5" s="6" t="s">
        <v>79</v>
      </c>
      <c r="O5" s="6" t="s">
        <v>74</v>
      </c>
      <c r="P5" s="6">
        <v>532</v>
      </c>
      <c r="Q5" s="6">
        <v>447</v>
      </c>
      <c r="R5" s="6">
        <v>0</v>
      </c>
      <c r="S5" s="6">
        <v>0</v>
      </c>
      <c r="T5" s="6">
        <v>0</v>
      </c>
    </row>
    <row r="6" spans="1:21" x14ac:dyDescent="0.25">
      <c r="A6" s="5">
        <v>44471</v>
      </c>
      <c r="B6" s="5" t="s">
        <v>20</v>
      </c>
      <c r="C6" s="6" t="s">
        <v>64</v>
      </c>
      <c r="D6" s="6" t="s">
        <v>21</v>
      </c>
      <c r="E6" s="6" t="s">
        <v>41</v>
      </c>
      <c r="F6" s="6" t="s">
        <v>22</v>
      </c>
      <c r="G6" s="6">
        <v>70000</v>
      </c>
      <c r="H6" s="6" t="s">
        <v>65</v>
      </c>
      <c r="I6" s="6" t="s">
        <v>66</v>
      </c>
      <c r="J6" s="7">
        <v>0.95486111111111116</v>
      </c>
      <c r="K6" s="8">
        <v>0.96319444444444446</v>
      </c>
      <c r="L6" s="7">
        <v>0.60069444444444442</v>
      </c>
      <c r="M6" s="8">
        <v>0.65763888888888888</v>
      </c>
      <c r="N6" s="6" t="s">
        <v>81</v>
      </c>
      <c r="O6" s="6" t="s">
        <v>77</v>
      </c>
      <c r="P6" s="6">
        <v>891</v>
      </c>
      <c r="Q6" s="6">
        <v>1139</v>
      </c>
      <c r="R6" s="6">
        <v>0</v>
      </c>
      <c r="S6" s="6">
        <v>0</v>
      </c>
      <c r="T6" s="6">
        <v>0</v>
      </c>
    </row>
    <row r="7" spans="1:21" x14ac:dyDescent="0.25">
      <c r="A7" s="5">
        <v>44471</v>
      </c>
      <c r="B7" s="9" t="s">
        <v>20</v>
      </c>
      <c r="C7" s="9" t="s">
        <v>67</v>
      </c>
      <c r="D7" s="9" t="s">
        <v>21</v>
      </c>
      <c r="E7" s="6" t="s">
        <v>39</v>
      </c>
      <c r="F7" s="10" t="s">
        <v>22</v>
      </c>
      <c r="G7" s="11">
        <v>70000</v>
      </c>
      <c r="H7" s="10" t="s">
        <v>68</v>
      </c>
      <c r="I7" s="10" t="s">
        <v>69</v>
      </c>
      <c r="J7" s="7">
        <v>0.90972222222222221</v>
      </c>
      <c r="K7" s="8">
        <v>0.92638888888888893</v>
      </c>
      <c r="L7" s="7">
        <v>0.69444444444444453</v>
      </c>
      <c r="M7" s="8">
        <v>0.72916666666666663</v>
      </c>
      <c r="N7" s="6" t="s">
        <v>80</v>
      </c>
      <c r="O7" s="6" t="s">
        <v>78</v>
      </c>
      <c r="P7" s="6">
        <v>491</v>
      </c>
      <c r="Q7" s="6">
        <v>875</v>
      </c>
      <c r="R7" s="6">
        <v>0</v>
      </c>
      <c r="S7" s="6">
        <v>0</v>
      </c>
      <c r="T7" s="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selection activeCell="I33" sqref="I33"/>
    </sheetView>
  </sheetViews>
  <sheetFormatPr defaultRowHeight="15" x14ac:dyDescent="0.25"/>
  <cols>
    <col min="3" max="3" width="17" customWidth="1"/>
    <col min="5" max="5" width="12.85546875" bestFit="1" customWidth="1"/>
    <col min="6" max="6" width="15.1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44472</v>
      </c>
      <c r="B2" s="6" t="s">
        <v>20</v>
      </c>
      <c r="C2" s="6" t="s">
        <v>82</v>
      </c>
      <c r="D2" s="6" t="s">
        <v>21</v>
      </c>
      <c r="E2" s="6" t="s">
        <v>39</v>
      </c>
      <c r="F2" s="6" t="s">
        <v>22</v>
      </c>
      <c r="G2" s="6">
        <v>70000</v>
      </c>
      <c r="H2" s="6" t="s">
        <v>83</v>
      </c>
      <c r="I2" s="6" t="s">
        <v>84</v>
      </c>
      <c r="J2" s="7">
        <v>0.70486111111111116</v>
      </c>
      <c r="K2" s="8">
        <v>0.68472222222222223</v>
      </c>
      <c r="L2" s="7">
        <v>0.46875</v>
      </c>
      <c r="M2" s="8">
        <v>0.46597222222222223</v>
      </c>
      <c r="N2" s="6" t="s">
        <v>102</v>
      </c>
      <c r="O2" s="6" t="s">
        <v>100</v>
      </c>
      <c r="P2" s="6">
        <v>572</v>
      </c>
      <c r="Q2" s="6">
        <v>936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25">
      <c r="A3" s="5">
        <v>44472</v>
      </c>
      <c r="B3" s="6" t="s">
        <v>20</v>
      </c>
      <c r="C3" s="6" t="s">
        <v>85</v>
      </c>
      <c r="D3" s="6" t="s">
        <v>21</v>
      </c>
      <c r="E3" s="6" t="s">
        <v>99</v>
      </c>
      <c r="F3" s="6" t="s">
        <v>22</v>
      </c>
      <c r="G3" s="6">
        <v>70000</v>
      </c>
      <c r="H3" s="6" t="s">
        <v>86</v>
      </c>
      <c r="I3" s="6" t="s">
        <v>87</v>
      </c>
      <c r="J3" s="7">
        <v>0.69097222222222221</v>
      </c>
      <c r="K3" s="8">
        <v>0.69236111111111109</v>
      </c>
      <c r="L3" s="7">
        <v>0.54166666666666663</v>
      </c>
      <c r="M3" s="8">
        <v>0.54861111111111105</v>
      </c>
      <c r="N3" s="6" t="s">
        <v>105</v>
      </c>
      <c r="O3" s="6" t="s">
        <v>101</v>
      </c>
      <c r="P3" s="6">
        <v>962</v>
      </c>
      <c r="Q3" s="6">
        <v>715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25">
      <c r="A4" s="5">
        <v>44472</v>
      </c>
      <c r="B4" s="6" t="s">
        <v>20</v>
      </c>
      <c r="C4" s="9" t="s">
        <v>97</v>
      </c>
      <c r="D4" s="6" t="s">
        <v>21</v>
      </c>
      <c r="E4" s="9" t="s">
        <v>98</v>
      </c>
      <c r="F4" s="10" t="s">
        <v>94</v>
      </c>
      <c r="G4" s="11">
        <v>70000</v>
      </c>
      <c r="H4" s="10" t="s">
        <v>95</v>
      </c>
      <c r="I4" s="10" t="s">
        <v>96</v>
      </c>
      <c r="J4" s="3">
        <v>0.71527777777777779</v>
      </c>
      <c r="K4" s="8">
        <v>0.71666666666666667</v>
      </c>
      <c r="L4" s="3">
        <v>0.73611111111111116</v>
      </c>
      <c r="M4" s="8">
        <v>0.75347222222222221</v>
      </c>
      <c r="N4" s="2">
        <v>0</v>
      </c>
      <c r="O4" s="2">
        <v>0</v>
      </c>
      <c r="P4" s="2">
        <v>0</v>
      </c>
      <c r="Q4" s="2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5">
        <v>44472</v>
      </c>
      <c r="B5" s="6" t="s">
        <v>20</v>
      </c>
      <c r="C5" s="6" t="s">
        <v>88</v>
      </c>
      <c r="D5" s="6" t="s">
        <v>21</v>
      </c>
      <c r="E5" s="6" t="s">
        <v>41</v>
      </c>
      <c r="F5" s="6" t="s">
        <v>22</v>
      </c>
      <c r="G5" s="6">
        <v>70000</v>
      </c>
      <c r="H5" s="6" t="s">
        <v>89</v>
      </c>
      <c r="I5" s="6" t="s">
        <v>90</v>
      </c>
      <c r="J5" s="7">
        <v>0.90625</v>
      </c>
      <c r="K5" s="8">
        <v>0.93194444444444446</v>
      </c>
      <c r="L5" s="7">
        <v>0.71527777777777779</v>
      </c>
      <c r="M5" s="8">
        <v>0.7583333333333333</v>
      </c>
      <c r="N5" s="6" t="s">
        <v>106</v>
      </c>
      <c r="O5" s="6" t="s">
        <v>104</v>
      </c>
      <c r="P5" s="6">
        <v>583</v>
      </c>
      <c r="Q5" s="6">
        <v>937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  <row r="6" spans="1:24" x14ac:dyDescent="0.25">
      <c r="A6" s="5">
        <v>44472</v>
      </c>
      <c r="B6" s="6" t="s">
        <v>20</v>
      </c>
      <c r="C6" s="6" t="s">
        <v>91</v>
      </c>
      <c r="D6" s="6" t="s">
        <v>21</v>
      </c>
      <c r="E6" s="6" t="s">
        <v>39</v>
      </c>
      <c r="F6" s="6" t="s">
        <v>22</v>
      </c>
      <c r="G6" s="6">
        <v>70000</v>
      </c>
      <c r="H6" s="6" t="s">
        <v>92</v>
      </c>
      <c r="I6" s="6" t="s">
        <v>93</v>
      </c>
      <c r="J6" s="7">
        <v>0.94097222222222221</v>
      </c>
      <c r="K6" s="8">
        <v>0.9590277777777777</v>
      </c>
      <c r="L6" s="7">
        <v>0.72569444444444453</v>
      </c>
      <c r="M6" s="8">
        <v>0.7270833333333333</v>
      </c>
      <c r="N6" s="6" t="s">
        <v>107</v>
      </c>
      <c r="O6" s="6" t="s">
        <v>103</v>
      </c>
      <c r="P6" s="6">
        <v>641</v>
      </c>
      <c r="Q6" s="6">
        <v>559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N32" sqref="N32"/>
    </sheetView>
  </sheetViews>
  <sheetFormatPr defaultRowHeight="15" x14ac:dyDescent="0.25"/>
  <cols>
    <col min="2" max="2" width="11.5703125" customWidth="1"/>
    <col min="3" max="3" width="17.28515625" customWidth="1"/>
    <col min="6" max="6" width="14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44473</v>
      </c>
      <c r="B2" s="6" t="s">
        <v>20</v>
      </c>
      <c r="C2" s="6" t="s">
        <v>23</v>
      </c>
      <c r="D2" s="6" t="s">
        <v>21</v>
      </c>
      <c r="E2" s="6" t="s">
        <v>41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0.47430555555555554</v>
      </c>
      <c r="L2" s="7">
        <v>0.25694444444444448</v>
      </c>
      <c r="M2" s="8">
        <v>0.25833333333333336</v>
      </c>
      <c r="N2" s="6" t="s">
        <v>108</v>
      </c>
      <c r="O2" s="6" t="s">
        <v>117</v>
      </c>
      <c r="P2" s="6">
        <v>302</v>
      </c>
      <c r="Q2" s="6">
        <v>772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44473</v>
      </c>
      <c r="B3" s="5" t="s">
        <v>20</v>
      </c>
      <c r="C3" s="6" t="s">
        <v>26</v>
      </c>
      <c r="D3" s="6" t="s">
        <v>21</v>
      </c>
      <c r="E3" s="6" t="s">
        <v>39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0.91666666666666663</v>
      </c>
      <c r="K3" s="8">
        <v>0.93888888888888899</v>
      </c>
      <c r="L3" s="7">
        <v>0.46875</v>
      </c>
      <c r="M3" s="8">
        <v>0.4770833333333333</v>
      </c>
      <c r="N3" s="6" t="s">
        <v>124</v>
      </c>
      <c r="O3" s="6" t="s">
        <v>118</v>
      </c>
      <c r="P3" s="6">
        <v>845</v>
      </c>
      <c r="Q3" s="6">
        <v>655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44473</v>
      </c>
      <c r="B4" s="6" t="s">
        <v>20</v>
      </c>
      <c r="C4" s="6" t="s">
        <v>29</v>
      </c>
      <c r="D4" s="6" t="s">
        <v>21</v>
      </c>
      <c r="E4" s="6" t="s">
        <v>41</v>
      </c>
      <c r="F4" s="6" t="s">
        <v>22</v>
      </c>
      <c r="G4" s="6">
        <v>70000</v>
      </c>
      <c r="H4" s="6" t="s">
        <v>30</v>
      </c>
      <c r="I4" s="6" t="s">
        <v>31</v>
      </c>
      <c r="J4" s="7">
        <v>0.71875</v>
      </c>
      <c r="K4" s="8">
        <v>0.72152777777777777</v>
      </c>
      <c r="L4" s="7">
        <v>0.48958333333333331</v>
      </c>
      <c r="M4" s="8">
        <v>0.51527777777777783</v>
      </c>
      <c r="N4" s="6" t="s">
        <v>120</v>
      </c>
      <c r="O4" s="6" t="s">
        <v>119</v>
      </c>
      <c r="P4" s="6">
        <v>330</v>
      </c>
      <c r="Q4" s="6">
        <v>554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44473</v>
      </c>
      <c r="B5" s="6" t="s">
        <v>20</v>
      </c>
      <c r="C5" s="6" t="s">
        <v>32</v>
      </c>
      <c r="D5" s="6" t="s">
        <v>21</v>
      </c>
      <c r="E5" s="6" t="s">
        <v>41</v>
      </c>
      <c r="F5" s="6" t="s">
        <v>22</v>
      </c>
      <c r="G5" s="6">
        <v>70000</v>
      </c>
      <c r="H5" s="6" t="s">
        <v>33</v>
      </c>
      <c r="I5" s="6" t="s">
        <v>34</v>
      </c>
      <c r="J5" s="3">
        <v>0.92013888888888884</v>
      </c>
      <c r="K5" s="8" t="s">
        <v>126</v>
      </c>
      <c r="L5" s="3">
        <v>0.73958333333333337</v>
      </c>
      <c r="M5" s="4">
        <v>0.75208333333333333</v>
      </c>
      <c r="N5" s="6" t="s">
        <v>125</v>
      </c>
      <c r="O5" s="6" t="s">
        <v>123</v>
      </c>
      <c r="P5" s="6">
        <v>648</v>
      </c>
      <c r="Q5" s="2">
        <v>802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44473</v>
      </c>
      <c r="B6" s="6" t="s">
        <v>109</v>
      </c>
      <c r="C6" s="6" t="s">
        <v>121</v>
      </c>
      <c r="D6" s="6" t="s">
        <v>110</v>
      </c>
      <c r="E6" s="6" t="s">
        <v>111</v>
      </c>
      <c r="F6" s="6" t="s">
        <v>116</v>
      </c>
      <c r="G6" s="6">
        <v>9200</v>
      </c>
      <c r="J6" s="8">
        <v>0.35416666666666669</v>
      </c>
      <c r="K6" s="8">
        <v>0.35000000000000003</v>
      </c>
      <c r="L6" s="8">
        <v>0.6875</v>
      </c>
      <c r="M6" s="8">
        <v>0.70277777777777783</v>
      </c>
      <c r="N6" s="6">
        <v>3</v>
      </c>
      <c r="O6" s="2">
        <v>3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44473</v>
      </c>
      <c r="B7" s="6" t="s">
        <v>113</v>
      </c>
      <c r="C7" s="6" t="s">
        <v>122</v>
      </c>
      <c r="D7" s="6" t="s">
        <v>114</v>
      </c>
      <c r="E7" s="6" t="s">
        <v>115</v>
      </c>
      <c r="F7" s="6" t="s">
        <v>112</v>
      </c>
      <c r="G7" s="6">
        <v>8000</v>
      </c>
      <c r="J7" s="8">
        <v>0.39583333333333331</v>
      </c>
      <c r="K7" s="8">
        <v>0.46319444444444446</v>
      </c>
      <c r="L7" s="8">
        <v>0.4375</v>
      </c>
      <c r="M7" s="8">
        <v>0.4909722222222222</v>
      </c>
      <c r="N7" s="6">
        <v>0</v>
      </c>
      <c r="O7" s="6">
        <v>3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I1" sqref="I1"/>
    </sheetView>
  </sheetViews>
  <sheetFormatPr defaultRowHeight="15" x14ac:dyDescent="0.25"/>
  <cols>
    <col min="2" max="2" width="10.85546875" customWidth="1"/>
    <col min="3" max="3" width="16.7109375" customWidth="1"/>
    <col min="6" max="6" width="16.5703125" customWidth="1"/>
    <col min="14" max="14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44474</v>
      </c>
      <c r="B2" s="6" t="s">
        <v>20</v>
      </c>
      <c r="C2" s="6" t="s">
        <v>55</v>
      </c>
      <c r="D2" s="6" t="s">
        <v>21</v>
      </c>
      <c r="E2" s="6" t="s">
        <v>39</v>
      </c>
      <c r="F2" s="6" t="s">
        <v>22</v>
      </c>
      <c r="G2" s="6">
        <v>70000</v>
      </c>
      <c r="H2" s="6" t="s">
        <v>56</v>
      </c>
      <c r="I2" s="6" t="s">
        <v>57</v>
      </c>
      <c r="J2" s="7">
        <v>0.4513888888888889</v>
      </c>
      <c r="K2" s="8">
        <v>0.47083333333333338</v>
      </c>
      <c r="L2" s="7">
        <v>0.27777777777777779</v>
      </c>
      <c r="M2" s="8">
        <v>0.28541666666666665</v>
      </c>
      <c r="N2" s="6" t="s">
        <v>130</v>
      </c>
      <c r="O2" s="6" t="s">
        <v>127</v>
      </c>
      <c r="P2" s="6">
        <v>997</v>
      </c>
      <c r="Q2" s="6">
        <v>932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44474</v>
      </c>
      <c r="B3" s="6" t="s">
        <v>20</v>
      </c>
      <c r="C3" s="6" t="s">
        <v>58</v>
      </c>
      <c r="D3" s="6" t="s">
        <v>21</v>
      </c>
      <c r="E3" s="6" t="s">
        <v>41</v>
      </c>
      <c r="F3" s="6" t="s">
        <v>22</v>
      </c>
      <c r="G3" s="6">
        <v>70000</v>
      </c>
      <c r="H3" s="6" t="s">
        <v>59</v>
      </c>
      <c r="I3" s="6" t="s">
        <v>60</v>
      </c>
      <c r="J3" s="7">
        <v>0.5625</v>
      </c>
      <c r="K3" s="8">
        <v>0.55555555555555558</v>
      </c>
      <c r="L3" s="7">
        <v>0.39583333333333331</v>
      </c>
      <c r="M3" s="8">
        <v>0.40208333333333335</v>
      </c>
      <c r="N3" s="6" t="s">
        <v>131</v>
      </c>
      <c r="O3" s="6" t="s">
        <v>128</v>
      </c>
      <c r="P3" s="6">
        <v>771</v>
      </c>
      <c r="Q3" s="6">
        <v>852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44474</v>
      </c>
      <c r="B4" s="6" t="s">
        <v>20</v>
      </c>
      <c r="C4" s="6" t="s">
        <v>61</v>
      </c>
      <c r="D4" s="6" t="s">
        <v>21</v>
      </c>
      <c r="E4" s="6" t="s">
        <v>39</v>
      </c>
      <c r="F4" s="6" t="s">
        <v>22</v>
      </c>
      <c r="G4" s="6">
        <v>70000</v>
      </c>
      <c r="H4" s="6" t="s">
        <v>62</v>
      </c>
      <c r="I4" s="6" t="s">
        <v>63</v>
      </c>
      <c r="J4" s="7">
        <v>0.6875</v>
      </c>
      <c r="K4" s="8">
        <v>0.69930555555555562</v>
      </c>
      <c r="L4" s="7">
        <v>0.4826388888888889</v>
      </c>
      <c r="M4" s="8">
        <v>0.50416666666666665</v>
      </c>
      <c r="N4" s="6" t="s">
        <v>133</v>
      </c>
      <c r="O4" s="6" t="s">
        <v>129</v>
      </c>
      <c r="P4" s="6">
        <v>416</v>
      </c>
      <c r="Q4" s="6">
        <v>514</v>
      </c>
      <c r="R4" s="6">
        <v>0</v>
      </c>
      <c r="S4" s="6">
        <v>0</v>
      </c>
      <c r="T4" s="6">
        <v>0</v>
      </c>
    </row>
    <row r="5" spans="1:21" x14ac:dyDescent="0.25">
      <c r="A5" s="5">
        <v>44474</v>
      </c>
      <c r="B5" s="5" t="s">
        <v>20</v>
      </c>
      <c r="C5" s="6" t="s">
        <v>64</v>
      </c>
      <c r="D5" s="6" t="s">
        <v>21</v>
      </c>
      <c r="E5" s="6" t="s">
        <v>41</v>
      </c>
      <c r="F5" s="6" t="s">
        <v>22</v>
      </c>
      <c r="G5" s="6">
        <v>70000</v>
      </c>
      <c r="H5" s="6" t="s">
        <v>65</v>
      </c>
      <c r="I5" s="6" t="s">
        <v>66</v>
      </c>
      <c r="J5" s="7">
        <v>0.95486111111111116</v>
      </c>
      <c r="K5" s="8">
        <v>0.96111111111111114</v>
      </c>
      <c r="L5" s="7">
        <v>0.60069444444444442</v>
      </c>
      <c r="M5" s="8">
        <v>0.6069444444444444</v>
      </c>
      <c r="N5" s="6" t="s">
        <v>134</v>
      </c>
      <c r="O5" s="6" t="s">
        <v>132</v>
      </c>
      <c r="P5" s="6">
        <v>833</v>
      </c>
      <c r="Q5" s="6">
        <v>768</v>
      </c>
      <c r="R5" s="6">
        <v>0</v>
      </c>
      <c r="S5" s="6">
        <v>0</v>
      </c>
      <c r="T5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J4" sqref="J4:L4"/>
    </sheetView>
  </sheetViews>
  <sheetFormatPr defaultRowHeight="15" x14ac:dyDescent="0.25"/>
  <cols>
    <col min="1" max="1" width="9.85546875" customWidth="1"/>
    <col min="2" max="2" width="20.28515625" customWidth="1"/>
    <col min="3" max="3" width="15.5703125" customWidth="1"/>
    <col min="6" max="6" width="12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44475</v>
      </c>
      <c r="B2" s="6" t="s">
        <v>135</v>
      </c>
      <c r="C2" s="6" t="s">
        <v>23</v>
      </c>
      <c r="D2" s="6" t="s">
        <v>21</v>
      </c>
      <c r="E2" s="6" t="s">
        <v>41</v>
      </c>
      <c r="F2" s="6" t="s">
        <v>22</v>
      </c>
      <c r="G2" s="6">
        <v>70000</v>
      </c>
      <c r="H2" s="6" t="s">
        <v>24</v>
      </c>
      <c r="I2" s="6" t="s">
        <v>25</v>
      </c>
      <c r="J2" s="3">
        <v>0.71875</v>
      </c>
      <c r="K2" s="4">
        <v>0.81597222222222221</v>
      </c>
      <c r="L2" s="3">
        <v>0.51736111111111105</v>
      </c>
      <c r="M2" s="4">
        <v>0.52152777777777781</v>
      </c>
      <c r="N2" s="2" t="s">
        <v>138</v>
      </c>
      <c r="O2" s="2" t="s">
        <v>136</v>
      </c>
      <c r="P2" s="2">
        <v>368</v>
      </c>
      <c r="Q2" s="2">
        <v>998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5">
      <c r="A3" s="5">
        <v>44475</v>
      </c>
      <c r="B3" s="6" t="s">
        <v>135</v>
      </c>
      <c r="C3" s="6" t="s">
        <v>26</v>
      </c>
      <c r="D3" s="6" t="s">
        <v>21</v>
      </c>
      <c r="E3" s="6" t="s">
        <v>39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0.95486111111111116</v>
      </c>
      <c r="K3" s="8">
        <v>0.95416666666666661</v>
      </c>
      <c r="L3" s="7">
        <v>0.53819444444444442</v>
      </c>
      <c r="M3" s="4">
        <v>0.54097222222222219</v>
      </c>
      <c r="N3" s="6" t="s">
        <v>145</v>
      </c>
      <c r="O3" s="2" t="s">
        <v>137</v>
      </c>
      <c r="P3" s="2">
        <v>714</v>
      </c>
      <c r="Q3" s="2">
        <v>632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5">
      <c r="A4" s="5">
        <v>44475</v>
      </c>
      <c r="B4" s="6" t="s">
        <v>135</v>
      </c>
      <c r="C4" s="6" t="s">
        <v>32</v>
      </c>
      <c r="D4" s="6" t="s">
        <v>21</v>
      </c>
      <c r="E4" s="6" t="s">
        <v>140</v>
      </c>
      <c r="F4" s="6" t="s">
        <v>22</v>
      </c>
      <c r="G4" s="6">
        <v>70000</v>
      </c>
      <c r="H4" s="6" t="s">
        <v>33</v>
      </c>
      <c r="I4" s="6" t="s">
        <v>34</v>
      </c>
      <c r="J4" s="3">
        <v>0.92013888888888884</v>
      </c>
      <c r="K4" s="4">
        <v>0.9868055555555556</v>
      </c>
      <c r="L4" s="3">
        <v>0.73958333333333337</v>
      </c>
      <c r="M4" s="4">
        <v>0.83680555555555547</v>
      </c>
      <c r="N4" s="6" t="s">
        <v>146</v>
      </c>
      <c r="O4" s="6" t="s">
        <v>144</v>
      </c>
      <c r="P4" s="2">
        <v>657</v>
      </c>
      <c r="Q4" s="2">
        <v>398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5">
      <c r="A5" s="5">
        <v>44475</v>
      </c>
      <c r="B5" s="6" t="s">
        <v>135</v>
      </c>
      <c r="C5" s="6" t="s">
        <v>139</v>
      </c>
      <c r="D5" s="6" t="s">
        <v>21</v>
      </c>
      <c r="E5" s="6" t="s">
        <v>140</v>
      </c>
      <c r="F5" s="6" t="s">
        <v>141</v>
      </c>
      <c r="G5" s="6">
        <v>70000</v>
      </c>
      <c r="H5" s="6" t="s">
        <v>142</v>
      </c>
      <c r="I5" s="6" t="s">
        <v>143</v>
      </c>
      <c r="K5" s="8">
        <v>0.80763888888888891</v>
      </c>
      <c r="N5" s="6">
        <v>0</v>
      </c>
      <c r="O5" s="6">
        <v>0</v>
      </c>
      <c r="P5" s="6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selection activeCell="B5" sqref="B5"/>
    </sheetView>
  </sheetViews>
  <sheetFormatPr defaultRowHeight="15" x14ac:dyDescent="0.25"/>
  <cols>
    <col min="1" max="1" width="10.42578125" customWidth="1"/>
    <col min="2" max="2" width="11.7109375" customWidth="1"/>
    <col min="3" max="3" width="15" customWidth="1"/>
    <col min="5" max="5" width="15.28515625" customWidth="1"/>
    <col min="6" max="6" width="14.1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44476</v>
      </c>
      <c r="B2" s="6" t="s">
        <v>135</v>
      </c>
      <c r="C2" s="6" t="s">
        <v>139</v>
      </c>
      <c r="D2" s="6" t="s">
        <v>21</v>
      </c>
      <c r="E2" s="6" t="s">
        <v>140</v>
      </c>
      <c r="F2" s="6" t="s">
        <v>141</v>
      </c>
      <c r="G2" s="6">
        <v>70000</v>
      </c>
      <c r="H2" s="6" t="s">
        <v>142</v>
      </c>
      <c r="I2" s="6" t="s">
        <v>143</v>
      </c>
      <c r="K2" s="8"/>
      <c r="L2" s="8">
        <v>2.0833333333333332E-2</v>
      </c>
      <c r="M2" s="8">
        <v>2.6388888888888889E-2</v>
      </c>
      <c r="N2" s="6">
        <v>0</v>
      </c>
      <c r="O2" s="6">
        <v>0</v>
      </c>
      <c r="P2" s="6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5">
      <c r="A3" s="5">
        <v>44476</v>
      </c>
      <c r="B3" s="6" t="s">
        <v>20</v>
      </c>
      <c r="C3" s="6" t="s">
        <v>58</v>
      </c>
      <c r="D3" s="6" t="s">
        <v>21</v>
      </c>
      <c r="E3" s="6" t="s">
        <v>148</v>
      </c>
      <c r="F3" s="6" t="s">
        <v>22</v>
      </c>
      <c r="G3" s="6">
        <v>70000</v>
      </c>
      <c r="H3" s="6" t="s">
        <v>59</v>
      </c>
      <c r="I3" s="6" t="s">
        <v>60</v>
      </c>
      <c r="J3" s="7">
        <v>0.67013888888888884</v>
      </c>
      <c r="K3" s="8">
        <v>0.67013888888888884</v>
      </c>
      <c r="L3" s="7">
        <v>0.27083333333333331</v>
      </c>
      <c r="M3" s="8">
        <v>0.27499999999999997</v>
      </c>
      <c r="N3" s="6" t="s">
        <v>152</v>
      </c>
      <c r="O3" s="6" t="s">
        <v>150</v>
      </c>
      <c r="P3" s="6">
        <v>848</v>
      </c>
      <c r="Q3" s="2">
        <v>659</v>
      </c>
    </row>
    <row r="4" spans="1:24" x14ac:dyDescent="0.25">
      <c r="A4" s="5">
        <v>44476</v>
      </c>
      <c r="B4" s="6" t="s">
        <v>20</v>
      </c>
      <c r="C4" s="6" t="s">
        <v>61</v>
      </c>
      <c r="D4" s="6" t="s">
        <v>21</v>
      </c>
      <c r="E4" s="6" t="s">
        <v>140</v>
      </c>
      <c r="F4" s="6" t="s">
        <v>22</v>
      </c>
      <c r="G4" s="6">
        <v>70000</v>
      </c>
      <c r="H4" s="6" t="s">
        <v>62</v>
      </c>
      <c r="I4" s="6" t="s">
        <v>63</v>
      </c>
      <c r="J4" s="7">
        <v>0.67361111111111116</v>
      </c>
      <c r="K4" s="8">
        <v>0.6645833333333333</v>
      </c>
      <c r="L4" s="7">
        <v>0.46875</v>
      </c>
      <c r="M4" s="8">
        <v>0.46736111111111112</v>
      </c>
      <c r="N4" s="6" t="s">
        <v>153</v>
      </c>
      <c r="O4" s="6" t="s">
        <v>151</v>
      </c>
      <c r="P4" s="6">
        <v>416</v>
      </c>
      <c r="Q4" s="2">
        <v>240</v>
      </c>
    </row>
    <row r="5" spans="1:24" x14ac:dyDescent="0.25">
      <c r="A5" s="5">
        <v>44476</v>
      </c>
      <c r="B5" s="2" t="s">
        <v>147</v>
      </c>
      <c r="C5" s="2" t="s">
        <v>91</v>
      </c>
      <c r="D5" s="2" t="s">
        <v>21</v>
      </c>
      <c r="E5" s="6" t="s">
        <v>149</v>
      </c>
      <c r="F5" s="2" t="s">
        <v>22</v>
      </c>
      <c r="G5" s="13">
        <v>70000</v>
      </c>
      <c r="H5" s="2" t="s">
        <v>92</v>
      </c>
      <c r="I5" s="2" t="s">
        <v>93</v>
      </c>
      <c r="J5" s="3">
        <v>0.90972222222222221</v>
      </c>
      <c r="K5" s="4">
        <v>0.92847222222222225</v>
      </c>
      <c r="L5" s="3">
        <v>0.69444444444444453</v>
      </c>
      <c r="M5" s="4">
        <v>0.70000000000000007</v>
      </c>
      <c r="N5" s="6" t="s">
        <v>154</v>
      </c>
      <c r="O5" s="6" t="s">
        <v>43</v>
      </c>
      <c r="P5" s="6">
        <v>476</v>
      </c>
      <c r="Q5" s="2">
        <v>0</v>
      </c>
    </row>
    <row r="6" spans="1:24" x14ac:dyDescent="0.25">
      <c r="A6" s="5">
        <v>44476</v>
      </c>
      <c r="B6" s="5" t="s">
        <v>20</v>
      </c>
      <c r="C6" s="6" t="s">
        <v>88</v>
      </c>
      <c r="D6" s="6" t="s">
        <v>21</v>
      </c>
      <c r="E6" s="6" t="s">
        <v>140</v>
      </c>
      <c r="F6" s="6" t="s">
        <v>22</v>
      </c>
      <c r="G6" s="6">
        <v>70000</v>
      </c>
      <c r="H6" s="6" t="s">
        <v>89</v>
      </c>
      <c r="I6" s="6" t="s">
        <v>90</v>
      </c>
      <c r="J6" s="7">
        <v>0.90277777777777779</v>
      </c>
      <c r="K6" s="8">
        <v>0.90486111111111101</v>
      </c>
      <c r="L6" s="7">
        <v>0.70833333333333337</v>
      </c>
      <c r="M6" s="8">
        <v>0.71666666666666667</v>
      </c>
      <c r="N6" s="6" t="s">
        <v>155</v>
      </c>
      <c r="O6" s="6" t="s">
        <v>156</v>
      </c>
      <c r="P6" s="6">
        <v>570</v>
      </c>
      <c r="Q6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F1" workbookViewId="0">
      <selection sqref="A1:V8"/>
    </sheetView>
  </sheetViews>
  <sheetFormatPr defaultRowHeight="15" x14ac:dyDescent="0.25"/>
  <cols>
    <col min="3" max="3" width="13.42578125" customWidth="1"/>
    <col min="5" max="5" width="9.28515625" customWidth="1"/>
    <col min="6" max="6" width="12.140625" bestFit="1" customWidth="1"/>
    <col min="11" max="11" width="10.85546875" bestFit="1" customWidth="1"/>
    <col min="14" max="14" width="14.5703125" customWidth="1"/>
    <col min="15" max="15" width="11.5703125" customWidth="1"/>
    <col min="16" max="16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44477</v>
      </c>
      <c r="B2" s="6" t="s">
        <v>20</v>
      </c>
      <c r="C2" s="6" t="s">
        <v>23</v>
      </c>
      <c r="D2" s="6" t="s">
        <v>21</v>
      </c>
      <c r="E2" s="6" t="s">
        <v>157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0.45624999999999999</v>
      </c>
      <c r="L2" s="7">
        <v>0.25694444444444448</v>
      </c>
      <c r="M2" s="8">
        <v>0.25763888888888892</v>
      </c>
      <c r="N2" s="6" t="s">
        <v>160</v>
      </c>
      <c r="O2" s="6" t="s">
        <v>159</v>
      </c>
      <c r="P2" s="6">
        <v>610</v>
      </c>
      <c r="Q2" s="6">
        <v>503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44477</v>
      </c>
      <c r="B3" s="5" t="s">
        <v>20</v>
      </c>
      <c r="C3" s="6" t="s">
        <v>35</v>
      </c>
      <c r="D3" s="6" t="s">
        <v>21</v>
      </c>
      <c r="E3" s="6" t="s">
        <v>158</v>
      </c>
      <c r="F3" s="6" t="s">
        <v>22</v>
      </c>
      <c r="G3" s="6">
        <v>70000</v>
      </c>
      <c r="H3" s="6" t="s">
        <v>36</v>
      </c>
      <c r="I3" s="6" t="s">
        <v>37</v>
      </c>
      <c r="J3" s="7">
        <v>0.4375</v>
      </c>
      <c r="K3" s="8">
        <v>0.43541666666666662</v>
      </c>
      <c r="L3" s="7">
        <v>0.27083333333333331</v>
      </c>
      <c r="M3" s="8">
        <v>0.27361111111111108</v>
      </c>
      <c r="N3" s="6" t="s">
        <v>161</v>
      </c>
      <c r="O3" s="6" t="s">
        <v>136</v>
      </c>
      <c r="P3" s="6">
        <v>866</v>
      </c>
      <c r="Q3" s="6">
        <v>613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44477</v>
      </c>
      <c r="B4" s="6" t="s">
        <v>20</v>
      </c>
      <c r="C4" s="6" t="s">
        <v>26</v>
      </c>
      <c r="D4" s="6" t="s">
        <v>21</v>
      </c>
      <c r="E4" s="6" t="s">
        <v>158</v>
      </c>
      <c r="F4" s="6" t="s">
        <v>22</v>
      </c>
      <c r="G4" s="6">
        <v>70000</v>
      </c>
      <c r="H4" s="6" t="s">
        <v>90</v>
      </c>
      <c r="I4" s="6" t="s">
        <v>28</v>
      </c>
      <c r="J4" s="7">
        <v>0.91666666666666663</v>
      </c>
      <c r="K4" s="8">
        <v>0.97638888888888886</v>
      </c>
      <c r="L4" s="7">
        <v>0.46875</v>
      </c>
      <c r="M4" s="8">
        <v>0.47847222222222219</v>
      </c>
      <c r="N4" s="6" t="s">
        <v>166</v>
      </c>
      <c r="O4" s="6" t="s">
        <v>162</v>
      </c>
      <c r="P4" s="6">
        <v>1076</v>
      </c>
      <c r="Q4" s="6">
        <v>934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44477</v>
      </c>
      <c r="B5" s="6" t="s">
        <v>20</v>
      </c>
      <c r="C5" s="6" t="s">
        <v>29</v>
      </c>
      <c r="D5" s="6" t="s">
        <v>21</v>
      </c>
      <c r="E5" s="6" t="s">
        <v>157</v>
      </c>
      <c r="F5" s="6" t="s">
        <v>22</v>
      </c>
      <c r="G5" s="6">
        <v>70000</v>
      </c>
      <c r="H5" s="6" t="s">
        <v>30</v>
      </c>
      <c r="I5" s="6" t="s">
        <v>31</v>
      </c>
      <c r="J5" s="7">
        <v>0.71875</v>
      </c>
      <c r="K5" s="8">
        <v>0.72499999999999998</v>
      </c>
      <c r="L5" s="7">
        <v>0.48958333333333331</v>
      </c>
      <c r="M5" s="8">
        <v>0.49722222222222223</v>
      </c>
      <c r="N5" s="6" t="s">
        <v>164</v>
      </c>
      <c r="O5" s="6" t="s">
        <v>163</v>
      </c>
      <c r="P5" s="6">
        <v>651</v>
      </c>
      <c r="Q5" s="6">
        <v>831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44477</v>
      </c>
      <c r="B6" s="6" t="s">
        <v>20</v>
      </c>
      <c r="C6" s="6" t="s">
        <v>32</v>
      </c>
      <c r="D6" s="6" t="s">
        <v>21</v>
      </c>
      <c r="E6" s="6" t="s">
        <v>157</v>
      </c>
      <c r="F6" s="6" t="s">
        <v>22</v>
      </c>
      <c r="G6" s="6">
        <v>70000</v>
      </c>
      <c r="H6" s="6" t="s">
        <v>33</v>
      </c>
      <c r="I6" s="6" t="s">
        <v>34</v>
      </c>
      <c r="J6" s="3">
        <v>0.92013888888888884</v>
      </c>
      <c r="K6" s="8">
        <v>0.97152777777777777</v>
      </c>
      <c r="L6" s="3">
        <v>0.73958333333333337</v>
      </c>
      <c r="M6" s="4">
        <v>0.77638888888888891</v>
      </c>
      <c r="N6" s="6" t="s">
        <v>167</v>
      </c>
      <c r="O6" s="6" t="s">
        <v>165</v>
      </c>
      <c r="P6" s="6">
        <v>937</v>
      </c>
      <c r="Q6" s="2">
        <v>939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17" sqref="C17"/>
    </sheetView>
  </sheetViews>
  <sheetFormatPr defaultRowHeight="15" x14ac:dyDescent="0.25"/>
  <cols>
    <col min="2" max="2" width="11.140625" customWidth="1"/>
    <col min="3" max="3" width="18" customWidth="1"/>
    <col min="6" max="6" width="1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5">
        <v>44478</v>
      </c>
      <c r="B2" s="6" t="s">
        <v>20</v>
      </c>
      <c r="C2" s="6" t="s">
        <v>52</v>
      </c>
      <c r="D2" s="6" t="s">
        <v>21</v>
      </c>
      <c r="E2" s="6" t="s">
        <v>168</v>
      </c>
      <c r="F2" s="6" t="s">
        <v>22</v>
      </c>
      <c r="G2" s="14">
        <v>70000</v>
      </c>
      <c r="H2" s="6" t="s">
        <v>53</v>
      </c>
      <c r="I2" s="6" t="s">
        <v>54</v>
      </c>
      <c r="J2" s="7">
        <v>0.375</v>
      </c>
      <c r="K2" s="8">
        <v>0.37777777777777777</v>
      </c>
      <c r="L2" s="7">
        <v>0.25694444444444448</v>
      </c>
      <c r="M2" s="8">
        <v>0.26874999999999999</v>
      </c>
      <c r="N2" s="6" t="s">
        <v>170</v>
      </c>
      <c r="O2" s="6" t="s">
        <v>169</v>
      </c>
      <c r="P2" s="6">
        <v>630</v>
      </c>
      <c r="Q2" s="6">
        <v>664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44478</v>
      </c>
      <c r="B3" s="6" t="s">
        <v>20</v>
      </c>
      <c r="C3" s="6" t="s">
        <v>55</v>
      </c>
      <c r="D3" s="6" t="s">
        <v>21</v>
      </c>
      <c r="E3" s="6" t="s">
        <v>140</v>
      </c>
      <c r="F3" s="6" t="s">
        <v>22</v>
      </c>
      <c r="G3" s="14">
        <v>70000</v>
      </c>
      <c r="H3" s="6" t="s">
        <v>56</v>
      </c>
      <c r="I3" s="6" t="s">
        <v>57</v>
      </c>
      <c r="J3" s="7">
        <v>0.4375</v>
      </c>
      <c r="K3" s="8">
        <v>0.47222222222222227</v>
      </c>
      <c r="L3" s="7">
        <v>0.2638888888888889</v>
      </c>
      <c r="M3" s="8">
        <v>0.29097222222222224</v>
      </c>
      <c r="N3" s="6" t="s">
        <v>172</v>
      </c>
      <c r="O3" s="6" t="s">
        <v>171</v>
      </c>
      <c r="P3" s="6">
        <v>1020</v>
      </c>
      <c r="Q3" s="6">
        <v>1179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44478</v>
      </c>
      <c r="B4" s="6" t="s">
        <v>20</v>
      </c>
      <c r="C4" s="6" t="s">
        <v>58</v>
      </c>
      <c r="D4" s="6" t="s">
        <v>21</v>
      </c>
      <c r="E4" s="6" t="s">
        <v>168</v>
      </c>
      <c r="F4" s="6" t="s">
        <v>22</v>
      </c>
      <c r="G4" s="14">
        <v>70000</v>
      </c>
      <c r="H4" s="6" t="s">
        <v>59</v>
      </c>
      <c r="I4" s="6" t="s">
        <v>60</v>
      </c>
      <c r="J4" s="7">
        <v>0.5625</v>
      </c>
      <c r="K4" s="8">
        <v>0.56527777777777777</v>
      </c>
      <c r="L4" s="7">
        <v>0.39583333333333331</v>
      </c>
      <c r="M4" s="8">
        <v>0.40972222222222227</v>
      </c>
      <c r="N4" s="6" t="s">
        <v>174</v>
      </c>
      <c r="O4" s="6" t="s">
        <v>173</v>
      </c>
      <c r="P4" s="6">
        <v>1344</v>
      </c>
      <c r="Q4" s="6">
        <v>917</v>
      </c>
      <c r="R4" s="6">
        <v>0</v>
      </c>
      <c r="S4" s="6">
        <v>0</v>
      </c>
      <c r="T4" s="6">
        <v>0</v>
      </c>
      <c r="U4" s="6"/>
    </row>
    <row r="5" spans="1:21" x14ac:dyDescent="0.25">
      <c r="A5" s="5">
        <v>44478</v>
      </c>
      <c r="B5" s="6" t="s">
        <v>20</v>
      </c>
      <c r="C5" s="6" t="s">
        <v>61</v>
      </c>
      <c r="D5" s="6" t="s">
        <v>21</v>
      </c>
      <c r="E5" s="6" t="s">
        <v>140</v>
      </c>
      <c r="F5" s="6" t="s">
        <v>22</v>
      </c>
      <c r="G5" s="14">
        <v>70000</v>
      </c>
      <c r="H5" s="6" t="s">
        <v>62</v>
      </c>
      <c r="I5" s="6" t="s">
        <v>63</v>
      </c>
      <c r="J5" s="7">
        <v>0.67361111111111116</v>
      </c>
      <c r="K5" s="8">
        <v>0.70416666666666661</v>
      </c>
      <c r="L5" s="7">
        <v>0.46875</v>
      </c>
      <c r="M5" s="8">
        <v>0.51388888888888895</v>
      </c>
      <c r="N5" s="6" t="s">
        <v>177</v>
      </c>
      <c r="O5" s="6" t="s">
        <v>175</v>
      </c>
      <c r="P5" s="6">
        <v>646</v>
      </c>
      <c r="Q5" s="6">
        <v>392</v>
      </c>
      <c r="R5" s="6">
        <v>0</v>
      </c>
      <c r="S5" s="6">
        <v>0</v>
      </c>
      <c r="T5" s="6">
        <v>0</v>
      </c>
    </row>
    <row r="6" spans="1:21" x14ac:dyDescent="0.25">
      <c r="A6" s="5">
        <v>44478</v>
      </c>
      <c r="B6" s="5" t="s">
        <v>20</v>
      </c>
      <c r="C6" s="6" t="s">
        <v>64</v>
      </c>
      <c r="D6" s="6" t="s">
        <v>21</v>
      </c>
      <c r="E6" s="6" t="s">
        <v>168</v>
      </c>
      <c r="F6" s="6" t="s">
        <v>22</v>
      </c>
      <c r="G6" s="14">
        <v>70000</v>
      </c>
      <c r="H6" s="6" t="s">
        <v>65</v>
      </c>
      <c r="I6" s="6" t="s">
        <v>66</v>
      </c>
      <c r="J6" s="7">
        <v>0.95486111111111116</v>
      </c>
      <c r="K6" s="8">
        <v>0.96319444444444446</v>
      </c>
      <c r="L6" s="7">
        <v>0.60069444444444442</v>
      </c>
      <c r="M6" s="8">
        <v>0.63194444444444442</v>
      </c>
      <c r="N6" s="6" t="s">
        <v>179</v>
      </c>
      <c r="O6" s="6" t="s">
        <v>176</v>
      </c>
      <c r="P6" s="6">
        <v>1039</v>
      </c>
      <c r="Q6" s="6">
        <v>1084</v>
      </c>
      <c r="R6" s="6">
        <v>0</v>
      </c>
      <c r="S6" s="6">
        <v>0</v>
      </c>
      <c r="T6" s="6">
        <v>0</v>
      </c>
    </row>
    <row r="7" spans="1:21" x14ac:dyDescent="0.25">
      <c r="A7" s="5">
        <v>44478</v>
      </c>
      <c r="B7" s="9" t="s">
        <v>20</v>
      </c>
      <c r="C7" s="9" t="s">
        <v>67</v>
      </c>
      <c r="D7" s="9" t="s">
        <v>21</v>
      </c>
      <c r="E7" s="6" t="s">
        <v>140</v>
      </c>
      <c r="F7" s="10" t="s">
        <v>22</v>
      </c>
      <c r="G7" s="14">
        <v>70000</v>
      </c>
      <c r="H7" s="10" t="s">
        <v>68</v>
      </c>
      <c r="I7" s="10" t="s">
        <v>69</v>
      </c>
      <c r="J7" s="7">
        <v>0.90972222222222221</v>
      </c>
      <c r="K7" s="8">
        <v>0.92361111111111116</v>
      </c>
      <c r="L7" s="7">
        <v>0.69444444444444453</v>
      </c>
      <c r="M7" s="8">
        <v>0.73611111111111116</v>
      </c>
      <c r="N7" s="6" t="s">
        <v>178</v>
      </c>
      <c r="O7" s="6" t="s">
        <v>78</v>
      </c>
      <c r="P7" s="6">
        <v>466</v>
      </c>
      <c r="Q7" s="6">
        <v>1107</v>
      </c>
      <c r="R7" s="6">
        <v>0</v>
      </c>
      <c r="S7" s="6">
        <v>0</v>
      </c>
      <c r="T7" s="12">
        <v>0</v>
      </c>
    </row>
    <row r="8" spans="1:21" x14ac:dyDescent="0.25">
      <c r="G8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activeCell="J5" sqref="J5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44479</v>
      </c>
      <c r="B2" s="6" t="s">
        <v>20</v>
      </c>
      <c r="C2" s="6" t="s">
        <v>82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83</v>
      </c>
      <c r="I2" s="6" t="s">
        <v>84</v>
      </c>
      <c r="J2" s="7">
        <v>0.70486111111111116</v>
      </c>
      <c r="K2" s="8">
        <v>0.69374999999999998</v>
      </c>
      <c r="L2" s="7">
        <v>0.46875</v>
      </c>
      <c r="M2" s="8">
        <v>0.47222222222222227</v>
      </c>
      <c r="N2" s="6" t="s">
        <v>182</v>
      </c>
      <c r="O2" s="6" t="s">
        <v>180</v>
      </c>
      <c r="P2" s="6">
        <v>345</v>
      </c>
      <c r="Q2" s="6">
        <v>1352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25">
      <c r="A3" s="5">
        <v>44479</v>
      </c>
      <c r="B3" s="6" t="s">
        <v>20</v>
      </c>
      <c r="C3" s="6" t="s">
        <v>85</v>
      </c>
      <c r="D3" s="6" t="s">
        <v>21</v>
      </c>
      <c r="E3" s="6" t="s">
        <v>140</v>
      </c>
      <c r="F3" s="6" t="s">
        <v>22</v>
      </c>
      <c r="G3" s="6">
        <v>70000</v>
      </c>
      <c r="H3" s="6" t="s">
        <v>86</v>
      </c>
      <c r="I3" s="6" t="s">
        <v>87</v>
      </c>
      <c r="J3" s="7">
        <v>0.69097222222222221</v>
      </c>
      <c r="K3" s="8">
        <v>0.68680555555555556</v>
      </c>
      <c r="L3" s="7">
        <v>0.54166666666666663</v>
      </c>
      <c r="M3" s="8">
        <v>0.54791666666666672</v>
      </c>
      <c r="N3" s="6" t="s">
        <v>183</v>
      </c>
      <c r="O3" s="6" t="s">
        <v>181</v>
      </c>
      <c r="P3" s="6">
        <v>1048</v>
      </c>
      <c r="Q3" s="6">
        <v>1172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25">
      <c r="A4" s="5">
        <v>44479</v>
      </c>
      <c r="B4" s="6" t="s">
        <v>20</v>
      </c>
      <c r="C4" s="6" t="s">
        <v>88</v>
      </c>
      <c r="D4" s="6" t="s">
        <v>21</v>
      </c>
      <c r="E4" s="6" t="s">
        <v>140</v>
      </c>
      <c r="F4" s="6" t="s">
        <v>22</v>
      </c>
      <c r="G4" s="6">
        <v>70000</v>
      </c>
      <c r="H4" s="6" t="s">
        <v>89</v>
      </c>
      <c r="I4" s="6" t="s">
        <v>90</v>
      </c>
      <c r="J4" s="7">
        <v>0.90625</v>
      </c>
      <c r="K4" s="8">
        <v>0.92222222222222217</v>
      </c>
      <c r="L4" s="7">
        <v>0.71527777777777779</v>
      </c>
      <c r="M4" s="8">
        <v>0.74305555555555547</v>
      </c>
      <c r="N4" s="6" t="s">
        <v>186</v>
      </c>
      <c r="O4" s="6" t="s">
        <v>184</v>
      </c>
      <c r="P4" s="6">
        <v>1081</v>
      </c>
      <c r="Q4" s="6">
        <v>709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5">
        <v>44479</v>
      </c>
      <c r="B5" s="6" t="s">
        <v>20</v>
      </c>
      <c r="C5" s="6" t="s">
        <v>91</v>
      </c>
      <c r="D5" s="6" t="s">
        <v>21</v>
      </c>
      <c r="E5" s="6" t="s">
        <v>168</v>
      </c>
      <c r="F5" s="6" t="s">
        <v>22</v>
      </c>
      <c r="G5" s="6">
        <v>70000</v>
      </c>
      <c r="H5" s="6" t="s">
        <v>92</v>
      </c>
      <c r="I5" s="6" t="s">
        <v>93</v>
      </c>
      <c r="J5" s="7">
        <v>0.94097222222222221</v>
      </c>
      <c r="K5" s="8">
        <v>0.95000000000000007</v>
      </c>
      <c r="L5" s="7">
        <v>0.72569444444444453</v>
      </c>
      <c r="M5" s="8">
        <v>0.74444444444444446</v>
      </c>
      <c r="N5" s="6" t="s">
        <v>187</v>
      </c>
      <c r="O5" s="6" t="s">
        <v>185</v>
      </c>
      <c r="P5" s="6">
        <v>620</v>
      </c>
      <c r="Q5" s="6">
        <v>1198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G14" sqref="G14"/>
    </sheetView>
  </sheetViews>
  <sheetFormatPr defaultRowHeight="15" x14ac:dyDescent="0.25"/>
  <cols>
    <col min="3" max="3" width="14.28515625" customWidth="1"/>
    <col min="6" max="6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44480</v>
      </c>
      <c r="B2" s="6" t="s">
        <v>20</v>
      </c>
      <c r="C2" s="6" t="s">
        <v>23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0.44097222222222227</v>
      </c>
      <c r="L2" s="7">
        <v>0.25694444444444448</v>
      </c>
      <c r="M2" s="8">
        <v>0.25347222222222221</v>
      </c>
      <c r="N2" s="6" t="s">
        <v>190</v>
      </c>
      <c r="O2" s="6" t="s">
        <v>188</v>
      </c>
      <c r="P2" s="6">
        <v>217</v>
      </c>
      <c r="Q2" s="6">
        <v>415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44480</v>
      </c>
      <c r="B3" s="5" t="s">
        <v>20</v>
      </c>
      <c r="C3" s="6" t="s">
        <v>26</v>
      </c>
      <c r="D3" s="6" t="s">
        <v>21</v>
      </c>
      <c r="E3" s="6" t="s">
        <v>140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0.91666666666666663</v>
      </c>
      <c r="K3" s="8">
        <v>0.95277777777777783</v>
      </c>
      <c r="L3" s="7">
        <v>0.46875</v>
      </c>
      <c r="M3" s="8">
        <v>0.4826388888888889</v>
      </c>
      <c r="N3" s="6" t="s">
        <v>183</v>
      </c>
      <c r="O3" s="6" t="s">
        <v>189</v>
      </c>
      <c r="P3" s="6">
        <v>952</v>
      </c>
      <c r="Q3" s="6">
        <v>680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44480</v>
      </c>
      <c r="B4" s="6" t="s">
        <v>20</v>
      </c>
      <c r="C4" s="6" t="s">
        <v>29</v>
      </c>
      <c r="D4" s="6" t="s">
        <v>21</v>
      </c>
      <c r="E4" s="6" t="s">
        <v>168</v>
      </c>
      <c r="F4" s="6" t="s">
        <v>22</v>
      </c>
      <c r="G4" s="6">
        <v>70000</v>
      </c>
      <c r="H4" s="6" t="s">
        <v>30</v>
      </c>
      <c r="I4" s="6" t="s">
        <v>31</v>
      </c>
      <c r="J4" s="7">
        <v>0.71875</v>
      </c>
      <c r="K4" s="8">
        <v>0.72152777777777777</v>
      </c>
      <c r="L4" s="7">
        <v>0.48958333333333331</v>
      </c>
      <c r="M4" s="8">
        <v>0.50277777777777777</v>
      </c>
      <c r="N4" s="6" t="s">
        <v>197</v>
      </c>
      <c r="O4" s="6" t="s">
        <v>196</v>
      </c>
      <c r="P4" s="6">
        <v>221</v>
      </c>
      <c r="Q4" s="6">
        <v>821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44480</v>
      </c>
      <c r="B5" s="6" t="s">
        <v>20</v>
      </c>
      <c r="C5" s="6" t="s">
        <v>32</v>
      </c>
      <c r="D5" s="6" t="s">
        <v>21</v>
      </c>
      <c r="E5" s="6" t="s">
        <v>168</v>
      </c>
      <c r="F5" s="6" t="s">
        <v>22</v>
      </c>
      <c r="G5" s="6">
        <v>70000</v>
      </c>
      <c r="H5" s="6" t="s">
        <v>33</v>
      </c>
      <c r="I5" s="6" t="s">
        <v>34</v>
      </c>
      <c r="J5" s="3">
        <v>0.92013888888888884</v>
      </c>
      <c r="K5" s="8">
        <v>0.93333333333333324</v>
      </c>
      <c r="L5" s="3">
        <v>0.73958333333333337</v>
      </c>
      <c r="M5" s="4">
        <v>0.75555555555555554</v>
      </c>
      <c r="N5" s="6" t="s">
        <v>199</v>
      </c>
      <c r="O5" s="6" t="s">
        <v>198</v>
      </c>
      <c r="P5" s="6">
        <v>724</v>
      </c>
      <c r="Q5" s="2">
        <v>683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44480</v>
      </c>
      <c r="B6" s="6" t="s">
        <v>191</v>
      </c>
      <c r="C6" s="6" t="s">
        <v>192</v>
      </c>
      <c r="D6" s="6" t="s">
        <v>193</v>
      </c>
      <c r="E6" s="6" t="s">
        <v>194</v>
      </c>
      <c r="F6" s="6" t="s">
        <v>195</v>
      </c>
      <c r="G6" s="6">
        <v>7000</v>
      </c>
      <c r="H6" s="6" t="s">
        <v>194</v>
      </c>
      <c r="I6" s="16"/>
      <c r="J6" s="17">
        <v>0.40277777777777773</v>
      </c>
      <c r="K6" s="17">
        <v>0.40277777777777773</v>
      </c>
      <c r="L6" s="16"/>
      <c r="M6" s="16"/>
      <c r="N6" s="6">
        <v>1</v>
      </c>
      <c r="O6" s="16"/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sqref="A1:XFD5"/>
    </sheetView>
  </sheetViews>
  <sheetFormatPr defaultRowHeight="15" x14ac:dyDescent="0.25"/>
  <cols>
    <col min="2" max="2" width="10.85546875" customWidth="1"/>
    <col min="3" max="3" width="16.7109375" customWidth="1"/>
    <col min="6" max="6" width="16.5703125" customWidth="1"/>
    <col min="14" max="14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44481</v>
      </c>
      <c r="B2" s="6" t="s">
        <v>20</v>
      </c>
      <c r="C2" s="6" t="s">
        <v>55</v>
      </c>
      <c r="D2" s="6" t="s">
        <v>21</v>
      </c>
      <c r="E2" s="6" t="s">
        <v>140</v>
      </c>
      <c r="F2" s="6" t="s">
        <v>22</v>
      </c>
      <c r="G2" s="6">
        <v>70000</v>
      </c>
      <c r="H2" s="6" t="s">
        <v>56</v>
      </c>
      <c r="I2" s="6" t="s">
        <v>57</v>
      </c>
      <c r="J2" s="7">
        <v>0.4513888888888889</v>
      </c>
      <c r="K2" s="8">
        <v>0.44722222222222219</v>
      </c>
      <c r="L2" s="7">
        <v>0.27777777777777779</v>
      </c>
      <c r="M2" s="8">
        <v>0.28263888888888888</v>
      </c>
      <c r="N2" s="6" t="s">
        <v>183</v>
      </c>
      <c r="O2" s="6" t="s">
        <v>200</v>
      </c>
      <c r="P2" s="6">
        <v>944</v>
      </c>
      <c r="Q2" s="6">
        <v>909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44481</v>
      </c>
      <c r="B3" s="6" t="s">
        <v>20</v>
      </c>
      <c r="C3" s="6" t="s">
        <v>58</v>
      </c>
      <c r="D3" s="6" t="s">
        <v>21</v>
      </c>
      <c r="E3" s="6" t="s">
        <v>168</v>
      </c>
      <c r="F3" s="6" t="s">
        <v>22</v>
      </c>
      <c r="G3" s="6">
        <v>70000</v>
      </c>
      <c r="H3" s="6" t="s">
        <v>59</v>
      </c>
      <c r="I3" s="6" t="s">
        <v>60</v>
      </c>
      <c r="J3" s="7">
        <v>0.5625</v>
      </c>
      <c r="K3" s="8">
        <v>0.55694444444444446</v>
      </c>
      <c r="L3" s="7">
        <v>0.39583333333333331</v>
      </c>
      <c r="M3" s="8">
        <v>0.3972222222222222</v>
      </c>
      <c r="N3" s="6" t="s">
        <v>204</v>
      </c>
      <c r="O3" s="6" t="s">
        <v>201</v>
      </c>
      <c r="P3" s="6">
        <v>903</v>
      </c>
      <c r="Q3" s="6">
        <v>795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44481</v>
      </c>
      <c r="B4" s="6" t="s">
        <v>20</v>
      </c>
      <c r="C4" s="6" t="s">
        <v>61</v>
      </c>
      <c r="D4" s="6" t="s">
        <v>21</v>
      </c>
      <c r="E4" s="6" t="s">
        <v>140</v>
      </c>
      <c r="F4" s="6" t="s">
        <v>22</v>
      </c>
      <c r="G4" s="6">
        <v>70000</v>
      </c>
      <c r="H4" s="6" t="s">
        <v>62</v>
      </c>
      <c r="I4" s="6" t="s">
        <v>63</v>
      </c>
      <c r="J4" s="7">
        <v>0.6875</v>
      </c>
      <c r="K4" s="8">
        <v>0.68263888888888891</v>
      </c>
      <c r="L4" s="7">
        <v>0.4826388888888889</v>
      </c>
      <c r="M4" s="8">
        <v>0.48055555555555557</v>
      </c>
      <c r="N4" s="6" t="s">
        <v>205</v>
      </c>
      <c r="O4" s="6" t="s">
        <v>202</v>
      </c>
      <c r="P4" s="6">
        <v>758</v>
      </c>
      <c r="Q4" s="6">
        <v>595</v>
      </c>
      <c r="R4" s="6">
        <v>0</v>
      </c>
      <c r="S4" s="6">
        <v>0</v>
      </c>
      <c r="T4" s="6">
        <v>0</v>
      </c>
    </row>
    <row r="5" spans="1:21" x14ac:dyDescent="0.25">
      <c r="A5" s="5">
        <v>44481</v>
      </c>
      <c r="B5" s="5" t="s">
        <v>20</v>
      </c>
      <c r="C5" s="6" t="s">
        <v>64</v>
      </c>
      <c r="D5" s="6" t="s">
        <v>21</v>
      </c>
      <c r="E5" s="6" t="s">
        <v>168</v>
      </c>
      <c r="F5" s="6" t="s">
        <v>22</v>
      </c>
      <c r="G5" s="6">
        <v>70000</v>
      </c>
      <c r="H5" s="6" t="s">
        <v>65</v>
      </c>
      <c r="I5" s="6" t="s">
        <v>66</v>
      </c>
      <c r="J5" s="7">
        <v>0.95486111111111116</v>
      </c>
      <c r="K5" s="8">
        <v>0.96944444444444444</v>
      </c>
      <c r="L5" s="7">
        <v>0.60069444444444442</v>
      </c>
      <c r="M5" s="8">
        <v>0.61111111111111105</v>
      </c>
      <c r="N5" s="6" t="s">
        <v>206</v>
      </c>
      <c r="O5" s="6" t="s">
        <v>203</v>
      </c>
      <c r="P5" s="6">
        <v>899</v>
      </c>
      <c r="Q5" s="6">
        <v>765</v>
      </c>
      <c r="R5" s="6">
        <v>0</v>
      </c>
      <c r="S5" s="6">
        <v>0</v>
      </c>
      <c r="T5" s="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activeCell="E23" sqref="E23"/>
    </sheetView>
  </sheetViews>
  <sheetFormatPr defaultRowHeight="12.75" x14ac:dyDescent="0.2"/>
  <cols>
    <col min="1" max="1" width="9.28515625" style="2" customWidth="1"/>
    <col min="2" max="2" width="19.5703125" style="2" customWidth="1"/>
    <col min="3" max="3" width="13.5703125" style="2" bestFit="1" customWidth="1"/>
    <col min="4" max="4" width="7.5703125" style="2" customWidth="1"/>
    <col min="5" max="5" width="9" style="2" customWidth="1"/>
    <col min="6" max="6" width="16" style="2" customWidth="1"/>
    <col min="7" max="7" width="9.42578125" style="2" customWidth="1"/>
    <col min="8" max="8" width="10.42578125" style="2" customWidth="1"/>
    <col min="9" max="9" width="11.28515625" style="2" customWidth="1"/>
    <col min="10" max="10" width="10.42578125" style="2" customWidth="1"/>
    <col min="11" max="11" width="8" style="2" customWidth="1"/>
    <col min="12" max="16384" width="9.1406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">
      <c r="A2" s="5">
        <v>44482</v>
      </c>
      <c r="B2" s="6" t="s">
        <v>135</v>
      </c>
      <c r="C2" s="6" t="s">
        <v>23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24</v>
      </c>
      <c r="I2" s="6" t="s">
        <v>25</v>
      </c>
      <c r="J2" s="3">
        <v>0.71875</v>
      </c>
      <c r="K2" s="4">
        <v>0.73402777777777783</v>
      </c>
      <c r="L2" s="3">
        <v>0.51736111111111105</v>
      </c>
      <c r="M2" s="4">
        <v>0.55833333333333335</v>
      </c>
      <c r="N2" s="2" t="s">
        <v>212</v>
      </c>
      <c r="O2" s="2" t="s">
        <v>210</v>
      </c>
      <c r="P2" s="2">
        <v>263</v>
      </c>
      <c r="Q2" s="2">
        <v>624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 s="5">
        <v>44482</v>
      </c>
      <c r="B3" s="6" t="s">
        <v>135</v>
      </c>
      <c r="C3" s="6" t="s">
        <v>26</v>
      </c>
      <c r="D3" s="6" t="s">
        <v>21</v>
      </c>
      <c r="E3" s="6" t="s">
        <v>140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0.95486111111111116</v>
      </c>
      <c r="K3" s="8" t="s">
        <v>219</v>
      </c>
      <c r="L3" s="7">
        <v>0.53819444444444442</v>
      </c>
      <c r="M3" s="4">
        <v>0.55208333333333337</v>
      </c>
      <c r="N3" s="2" t="s">
        <v>219</v>
      </c>
      <c r="O3" s="2" t="s">
        <v>209</v>
      </c>
      <c r="P3" s="2" t="s">
        <v>219</v>
      </c>
      <c r="Q3" s="2">
        <v>916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">
      <c r="A4" s="5">
        <v>44482</v>
      </c>
      <c r="B4" s="6" t="s">
        <v>135</v>
      </c>
      <c r="C4" s="6" t="s">
        <v>32</v>
      </c>
      <c r="D4" s="6" t="s">
        <v>21</v>
      </c>
      <c r="E4" s="6" t="s">
        <v>168</v>
      </c>
      <c r="F4" s="6" t="s">
        <v>22</v>
      </c>
      <c r="G4" s="6">
        <v>70000</v>
      </c>
      <c r="H4" s="6" t="s">
        <v>33</v>
      </c>
      <c r="I4" s="6" t="s">
        <v>34</v>
      </c>
      <c r="J4" s="3">
        <v>0.92013888888888884</v>
      </c>
      <c r="K4" s="4">
        <v>0.9291666666666667</v>
      </c>
      <c r="L4" s="3">
        <v>0.73958333333333337</v>
      </c>
      <c r="M4" s="8">
        <v>0.7597222222222223</v>
      </c>
      <c r="N4" s="6" t="s">
        <v>218</v>
      </c>
      <c r="O4" s="6" t="s">
        <v>211</v>
      </c>
      <c r="P4" s="2">
        <v>880</v>
      </c>
      <c r="Q4" s="2">
        <v>570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 s="5">
        <v>44482</v>
      </c>
      <c r="B5" s="6" t="s">
        <v>191</v>
      </c>
      <c r="C5" s="6" t="s">
        <v>207</v>
      </c>
      <c r="D5" s="6" t="s">
        <v>193</v>
      </c>
      <c r="E5" s="6" t="s">
        <v>194</v>
      </c>
      <c r="F5" s="6" t="s">
        <v>195</v>
      </c>
      <c r="G5" s="6">
        <v>7000</v>
      </c>
      <c r="H5" s="6" t="s">
        <v>194</v>
      </c>
      <c r="I5" s="6"/>
      <c r="J5" s="6" t="s">
        <v>208</v>
      </c>
      <c r="K5" s="6" t="s">
        <v>208</v>
      </c>
      <c r="L5" s="8">
        <v>0.35416666666666669</v>
      </c>
      <c r="M5" s="8">
        <v>0.42152777777777778</v>
      </c>
      <c r="N5" s="6"/>
      <c r="O5" s="6">
        <v>1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2">
      <c r="A6" s="18">
        <v>44482</v>
      </c>
      <c r="B6" s="2" t="s">
        <v>135</v>
      </c>
      <c r="C6" s="2" t="s">
        <v>213</v>
      </c>
      <c r="D6" s="2" t="s">
        <v>21</v>
      </c>
      <c r="E6" s="2" t="s">
        <v>214</v>
      </c>
      <c r="F6" s="2" t="s">
        <v>215</v>
      </c>
      <c r="G6" s="2">
        <v>70000</v>
      </c>
      <c r="H6" s="2" t="s">
        <v>216</v>
      </c>
      <c r="I6" s="6" t="str">
        <f>H6</f>
        <v>W64632</v>
      </c>
      <c r="J6" s="7">
        <v>0.77083333333333337</v>
      </c>
      <c r="K6" s="8">
        <v>0.76944444444444438</v>
      </c>
      <c r="L6" s="7">
        <v>0.79166666666666663</v>
      </c>
      <c r="M6" s="8">
        <v>0.81527777777777777</v>
      </c>
      <c r="N6" s="27" t="s">
        <v>217</v>
      </c>
      <c r="O6" s="28"/>
      <c r="P6" s="28"/>
      <c r="Q6" s="29"/>
      <c r="R6" s="6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x14ac:dyDescent="0.2">
      <c r="I7" s="6"/>
      <c r="J7" s="6"/>
      <c r="K7" s="6"/>
      <c r="L7" s="6"/>
      <c r="M7" s="6"/>
      <c r="N7" s="6"/>
      <c r="O7" s="6"/>
    </row>
  </sheetData>
  <mergeCells count="1">
    <mergeCell ref="N6:Q6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workbookViewId="0">
      <selection activeCell="K5" sqref="K5"/>
    </sheetView>
  </sheetViews>
  <sheetFormatPr defaultRowHeight="12.75" x14ac:dyDescent="0.2"/>
  <cols>
    <col min="1" max="1" width="9.140625" style="2"/>
    <col min="2" max="2" width="10.7109375" style="2" customWidth="1"/>
    <col min="3" max="3" width="13" style="2" customWidth="1"/>
    <col min="4" max="4" width="9.140625" style="2"/>
    <col min="5" max="5" width="11.42578125" style="2" customWidth="1"/>
    <col min="6" max="6" width="14.28515625" style="2" customWidth="1"/>
    <col min="7" max="8" width="9.140625" style="2"/>
    <col min="9" max="9" width="13" style="2" customWidth="1"/>
    <col min="10" max="10" width="11" style="2" bestFit="1" customWidth="1"/>
    <col min="11" max="11" width="10.85546875" style="2" bestFit="1" customWidth="1"/>
    <col min="12" max="12" width="12.5703125" style="2" bestFit="1" customWidth="1"/>
    <col min="13" max="13" width="10.85546875" style="2" bestFit="1" customWidth="1"/>
    <col min="14" max="14" width="10.85546875" style="2" customWidth="1"/>
    <col min="15" max="15" width="11" style="2" customWidth="1"/>
    <col min="16" max="16384" width="9.1406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ht="13.5" customHeight="1" x14ac:dyDescent="0.2">
      <c r="A2" s="5">
        <v>44483</v>
      </c>
      <c r="B2" s="6" t="s">
        <v>20</v>
      </c>
      <c r="C2" s="6" t="s">
        <v>58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59</v>
      </c>
      <c r="I2" s="6" t="s">
        <v>60</v>
      </c>
      <c r="J2" s="7">
        <v>0.67013888888888884</v>
      </c>
      <c r="K2" s="8">
        <v>0.68194444444444446</v>
      </c>
      <c r="L2" s="7">
        <v>0.27083333333333331</v>
      </c>
      <c r="M2" s="8">
        <v>0.27638888888888885</v>
      </c>
      <c r="N2" s="6" t="s">
        <v>131</v>
      </c>
      <c r="O2" s="6" t="s">
        <v>71</v>
      </c>
      <c r="P2" s="6">
        <v>883</v>
      </c>
      <c r="Q2" s="2">
        <v>957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3.5" customHeight="1" x14ac:dyDescent="0.2">
      <c r="A3" s="5">
        <v>44483</v>
      </c>
      <c r="B3" s="6" t="s">
        <v>135</v>
      </c>
      <c r="C3" s="6" t="s">
        <v>221</v>
      </c>
      <c r="D3" s="6" t="s">
        <v>21</v>
      </c>
      <c r="E3" s="6" t="s">
        <v>220</v>
      </c>
      <c r="F3" s="6" t="s">
        <v>22</v>
      </c>
      <c r="G3" s="6">
        <v>70000</v>
      </c>
      <c r="H3" s="6" t="s">
        <v>27</v>
      </c>
      <c r="I3" s="6" t="s">
        <v>219</v>
      </c>
      <c r="J3" s="7">
        <v>0.65277777777777779</v>
      </c>
      <c r="K3" s="8">
        <v>0.64930555555555558</v>
      </c>
      <c r="L3" s="7" t="s">
        <v>219</v>
      </c>
      <c r="M3" s="4" t="s">
        <v>219</v>
      </c>
      <c r="N3" s="2" t="s">
        <v>227</v>
      </c>
      <c r="O3" s="2" t="s">
        <v>219</v>
      </c>
      <c r="P3" s="2">
        <v>805</v>
      </c>
      <c r="Q3" s="2" t="s">
        <v>219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3.5" customHeight="1" x14ac:dyDescent="0.2">
      <c r="A4" s="5">
        <v>44483</v>
      </c>
      <c r="B4" s="2" t="s">
        <v>147</v>
      </c>
      <c r="C4" s="2" t="s">
        <v>91</v>
      </c>
      <c r="D4" s="2" t="s">
        <v>21</v>
      </c>
      <c r="E4" s="6" t="s">
        <v>168</v>
      </c>
      <c r="F4" s="2" t="s">
        <v>22</v>
      </c>
      <c r="G4" s="13">
        <v>70000</v>
      </c>
      <c r="H4" s="2" t="s">
        <v>92</v>
      </c>
      <c r="I4" s="2" t="s">
        <v>93</v>
      </c>
      <c r="J4" s="3">
        <v>0.90972222222222221</v>
      </c>
      <c r="K4" s="4">
        <v>0.90625</v>
      </c>
      <c r="L4" s="3">
        <v>0.69444444444444453</v>
      </c>
      <c r="M4" s="4">
        <v>0.69374999999999998</v>
      </c>
      <c r="N4" s="6" t="s">
        <v>230</v>
      </c>
      <c r="O4" s="6" t="s">
        <v>229</v>
      </c>
      <c r="P4" s="6">
        <v>632</v>
      </c>
      <c r="Q4" s="2">
        <v>717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3.5" customHeight="1" x14ac:dyDescent="0.2">
      <c r="A5" s="5">
        <v>44483</v>
      </c>
      <c r="B5" s="5" t="s">
        <v>20</v>
      </c>
      <c r="C5" s="6" t="s">
        <v>88</v>
      </c>
      <c r="D5" s="6" t="s">
        <v>21</v>
      </c>
      <c r="E5" s="6" t="s">
        <v>220</v>
      </c>
      <c r="F5" s="6" t="s">
        <v>22</v>
      </c>
      <c r="G5" s="6">
        <v>70000</v>
      </c>
      <c r="H5" s="6" t="s">
        <v>89</v>
      </c>
      <c r="I5" s="6" t="s">
        <v>90</v>
      </c>
      <c r="J5" s="7">
        <v>0.90277777777777779</v>
      </c>
      <c r="K5" s="8">
        <v>0.91180555555555554</v>
      </c>
      <c r="L5" s="7">
        <v>0.70833333333333337</v>
      </c>
      <c r="M5" s="8">
        <v>0.72152777777777777</v>
      </c>
      <c r="N5" s="6" t="s">
        <v>231</v>
      </c>
      <c r="O5" s="6" t="s">
        <v>230</v>
      </c>
      <c r="P5" s="6">
        <v>1262</v>
      </c>
      <c r="Q5" s="2">
        <v>1056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3.5" customHeight="1" x14ac:dyDescent="0.2">
      <c r="A6" s="5">
        <v>44483</v>
      </c>
      <c r="B6" s="2" t="s">
        <v>222</v>
      </c>
      <c r="C6" s="6" t="s">
        <v>223</v>
      </c>
      <c r="D6" s="6" t="s">
        <v>224</v>
      </c>
      <c r="E6" s="6" t="s">
        <v>225</v>
      </c>
      <c r="F6" s="6" t="s">
        <v>226</v>
      </c>
      <c r="G6" s="6">
        <v>22000</v>
      </c>
      <c r="H6" s="6" t="s">
        <v>232</v>
      </c>
      <c r="I6" s="6" t="s">
        <v>233</v>
      </c>
      <c r="J6" s="7">
        <v>0.625</v>
      </c>
      <c r="K6" s="7">
        <v>0.48541666666666666</v>
      </c>
      <c r="L6" s="7">
        <v>0.43055555555555558</v>
      </c>
      <c r="M6" s="4">
        <v>0.66111111111111109</v>
      </c>
      <c r="N6" s="2">
        <v>0</v>
      </c>
      <c r="O6" s="2" t="s">
        <v>228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9" sqref="K9"/>
    </sheetView>
  </sheetViews>
  <sheetFormatPr defaultRowHeight="15" x14ac:dyDescent="0.25"/>
  <cols>
    <col min="3" max="3" width="13.42578125" customWidth="1"/>
    <col min="5" max="5" width="9.28515625" customWidth="1"/>
    <col min="6" max="6" width="12.140625" bestFit="1" customWidth="1"/>
    <col min="11" max="11" width="10.85546875" bestFit="1" customWidth="1"/>
    <col min="14" max="14" width="14.5703125" customWidth="1"/>
    <col min="15" max="15" width="11.5703125" customWidth="1"/>
    <col min="16" max="16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44484</v>
      </c>
      <c r="B2" s="6" t="s">
        <v>20</v>
      </c>
      <c r="C2" s="6" t="s">
        <v>23</v>
      </c>
      <c r="D2" s="6" t="s">
        <v>21</v>
      </c>
      <c r="E2" s="6" t="s">
        <v>157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0.45208333333333334</v>
      </c>
      <c r="L2" s="7">
        <v>0.25694444444444448</v>
      </c>
      <c r="M2" s="8">
        <v>0.25625000000000003</v>
      </c>
      <c r="N2" s="6" t="s">
        <v>235</v>
      </c>
      <c r="O2" s="6" t="s">
        <v>159</v>
      </c>
      <c r="P2" s="6">
        <v>549</v>
      </c>
      <c r="Q2" s="6">
        <v>374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44484</v>
      </c>
      <c r="B3" s="5" t="s">
        <v>20</v>
      </c>
      <c r="C3" s="6" t="s">
        <v>35</v>
      </c>
      <c r="D3" s="6" t="s">
        <v>21</v>
      </c>
      <c r="E3" s="6" t="s">
        <v>234</v>
      </c>
      <c r="F3" s="6" t="s">
        <v>22</v>
      </c>
      <c r="G3" s="6">
        <v>70000</v>
      </c>
      <c r="H3" s="6" t="s">
        <v>36</v>
      </c>
      <c r="I3" s="6" t="s">
        <v>37</v>
      </c>
      <c r="J3" s="7">
        <v>0.4375</v>
      </c>
      <c r="K3" s="8">
        <v>0.43055555555555558</v>
      </c>
      <c r="L3" s="7">
        <v>0.27083333333333331</v>
      </c>
      <c r="M3" s="8">
        <v>0.27152777777777776</v>
      </c>
      <c r="N3" s="6" t="s">
        <v>236</v>
      </c>
      <c r="O3" s="6" t="s">
        <v>237</v>
      </c>
      <c r="P3" s="6">
        <v>672</v>
      </c>
      <c r="Q3" s="6">
        <v>699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44484</v>
      </c>
      <c r="B4" s="6" t="s">
        <v>20</v>
      </c>
      <c r="C4" s="6" t="s">
        <v>26</v>
      </c>
      <c r="D4" s="6" t="s">
        <v>21</v>
      </c>
      <c r="E4" s="6" t="s">
        <v>234</v>
      </c>
      <c r="F4" s="6" t="s">
        <v>22</v>
      </c>
      <c r="G4" s="6">
        <v>70000</v>
      </c>
      <c r="H4" s="6" t="s">
        <v>90</v>
      </c>
      <c r="I4" s="6" t="s">
        <v>28</v>
      </c>
      <c r="J4" s="7">
        <v>0.91666666666666663</v>
      </c>
      <c r="K4" s="8">
        <v>0.95347222222222217</v>
      </c>
      <c r="L4" s="7">
        <v>0.46875</v>
      </c>
      <c r="M4" s="8">
        <v>0.48055555555555557</v>
      </c>
      <c r="N4" s="6" t="s">
        <v>242</v>
      </c>
      <c r="O4" s="6" t="s">
        <v>238</v>
      </c>
      <c r="P4" s="6">
        <v>914</v>
      </c>
      <c r="Q4" s="6">
        <v>922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44484</v>
      </c>
      <c r="B5" s="6" t="s">
        <v>20</v>
      </c>
      <c r="C5" s="6" t="s">
        <v>29</v>
      </c>
      <c r="D5" s="6" t="s">
        <v>21</v>
      </c>
      <c r="E5" s="6" t="s">
        <v>157</v>
      </c>
      <c r="F5" s="6" t="s">
        <v>22</v>
      </c>
      <c r="G5" s="6">
        <v>70000</v>
      </c>
      <c r="H5" s="6" t="s">
        <v>30</v>
      </c>
      <c r="I5" s="6" t="s">
        <v>31</v>
      </c>
      <c r="J5" s="7">
        <v>0.71875</v>
      </c>
      <c r="K5" s="8">
        <v>0.71875</v>
      </c>
      <c r="L5" s="7">
        <v>0.48958333333333331</v>
      </c>
      <c r="M5" s="8">
        <v>0.49722222222222223</v>
      </c>
      <c r="N5" s="6" t="s">
        <v>240</v>
      </c>
      <c r="O5" s="6" t="s">
        <v>239</v>
      </c>
      <c r="P5" s="6">
        <v>726</v>
      </c>
      <c r="Q5" s="6">
        <v>860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44484</v>
      </c>
      <c r="B6" s="6" t="s">
        <v>20</v>
      </c>
      <c r="C6" s="6" t="s">
        <v>32</v>
      </c>
      <c r="D6" s="6" t="s">
        <v>21</v>
      </c>
      <c r="E6" s="6" t="s">
        <v>157</v>
      </c>
      <c r="F6" s="6" t="s">
        <v>22</v>
      </c>
      <c r="G6" s="6">
        <v>70000</v>
      </c>
      <c r="H6" s="6" t="s">
        <v>33</v>
      </c>
      <c r="I6" s="6" t="s">
        <v>34</v>
      </c>
      <c r="J6" s="3">
        <v>0.92013888888888884</v>
      </c>
      <c r="K6" s="8">
        <v>0.93263888888888891</v>
      </c>
      <c r="L6" s="3">
        <v>0.73958333333333337</v>
      </c>
      <c r="M6" s="4">
        <v>0.75277777777777777</v>
      </c>
      <c r="N6" s="6" t="s">
        <v>243</v>
      </c>
      <c r="O6" s="6" t="s">
        <v>241</v>
      </c>
      <c r="P6" s="6">
        <v>906</v>
      </c>
      <c r="Q6" s="2">
        <v>849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5">
        <v>44485</v>
      </c>
      <c r="B2" s="6" t="s">
        <v>20</v>
      </c>
      <c r="C2" s="6" t="s">
        <v>52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53</v>
      </c>
      <c r="I2" s="6" t="s">
        <v>54</v>
      </c>
      <c r="J2" s="7">
        <v>0.375</v>
      </c>
      <c r="K2" s="8">
        <v>0.37013888888888885</v>
      </c>
      <c r="L2" s="7">
        <v>0.25694444444444448</v>
      </c>
      <c r="M2" s="8">
        <v>0.25972222222222224</v>
      </c>
      <c r="N2" s="6" t="s">
        <v>247</v>
      </c>
      <c r="O2" s="6" t="s">
        <v>244</v>
      </c>
      <c r="P2" s="6">
        <v>624</v>
      </c>
      <c r="Q2" s="6">
        <v>774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44485</v>
      </c>
      <c r="B3" s="6" t="s">
        <v>20</v>
      </c>
      <c r="C3" s="6" t="s">
        <v>55</v>
      </c>
      <c r="D3" s="6" t="s">
        <v>21</v>
      </c>
      <c r="E3" s="6" t="s">
        <v>220</v>
      </c>
      <c r="F3" s="6" t="s">
        <v>22</v>
      </c>
      <c r="G3" s="6">
        <v>70000</v>
      </c>
      <c r="H3" s="6" t="s">
        <v>56</v>
      </c>
      <c r="I3" s="6" t="s">
        <v>57</v>
      </c>
      <c r="J3" s="7">
        <v>0.4375</v>
      </c>
      <c r="K3" s="8">
        <v>0.46388888888888885</v>
      </c>
      <c r="L3" s="7">
        <v>0.2638888888888889</v>
      </c>
      <c r="M3" s="8">
        <v>0.28263888888888888</v>
      </c>
      <c r="N3" s="6" t="s">
        <v>248</v>
      </c>
      <c r="O3" s="6" t="s">
        <v>245</v>
      </c>
      <c r="P3" s="6">
        <v>934</v>
      </c>
      <c r="Q3" s="6">
        <v>1163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44485</v>
      </c>
      <c r="B4" s="6" t="s">
        <v>20</v>
      </c>
      <c r="C4" s="6" t="s">
        <v>58</v>
      </c>
      <c r="D4" s="6" t="s">
        <v>21</v>
      </c>
      <c r="E4" s="6" t="s">
        <v>168</v>
      </c>
      <c r="F4" s="6" t="s">
        <v>22</v>
      </c>
      <c r="G4" s="6">
        <v>70000</v>
      </c>
      <c r="H4" s="6" t="s">
        <v>59</v>
      </c>
      <c r="I4" s="6" t="s">
        <v>60</v>
      </c>
      <c r="J4" s="7">
        <v>0.5625</v>
      </c>
      <c r="K4" s="8">
        <v>0.56319444444444444</v>
      </c>
      <c r="L4" s="7">
        <v>0.39583333333333331</v>
      </c>
      <c r="M4" s="8">
        <v>0.40138888888888885</v>
      </c>
      <c r="N4" s="6" t="s">
        <v>250</v>
      </c>
      <c r="O4" s="6" t="s">
        <v>246</v>
      </c>
      <c r="P4" s="6">
        <v>1020</v>
      </c>
      <c r="Q4" s="6">
        <v>1272</v>
      </c>
      <c r="R4" s="6">
        <v>0</v>
      </c>
      <c r="S4" s="6">
        <v>0</v>
      </c>
      <c r="T4" s="6">
        <v>0</v>
      </c>
      <c r="U4" s="6"/>
    </row>
    <row r="5" spans="1:21" x14ac:dyDescent="0.25">
      <c r="A5" s="5">
        <v>44485</v>
      </c>
      <c r="B5" s="6" t="s">
        <v>20</v>
      </c>
      <c r="C5" s="6" t="s">
        <v>61</v>
      </c>
      <c r="D5" s="6" t="s">
        <v>21</v>
      </c>
      <c r="E5" s="6" t="s">
        <v>220</v>
      </c>
      <c r="F5" s="6" t="s">
        <v>22</v>
      </c>
      <c r="G5" s="6">
        <v>70000</v>
      </c>
      <c r="H5" s="6" t="s">
        <v>62</v>
      </c>
      <c r="I5" s="6" t="s">
        <v>63</v>
      </c>
      <c r="J5" s="7">
        <v>0.67361111111111116</v>
      </c>
      <c r="K5" s="8">
        <v>0.69861111111111107</v>
      </c>
      <c r="L5" s="7">
        <v>0.46875</v>
      </c>
      <c r="M5" s="8">
        <v>0.49861111111111112</v>
      </c>
      <c r="N5" s="6" t="s">
        <v>251</v>
      </c>
      <c r="O5" s="6" t="s">
        <v>249</v>
      </c>
      <c r="P5" s="6">
        <v>993</v>
      </c>
      <c r="Q5" s="6">
        <v>646</v>
      </c>
      <c r="R5" s="6">
        <v>0</v>
      </c>
      <c r="S5" s="6">
        <v>0</v>
      </c>
      <c r="T5" s="6">
        <v>0</v>
      </c>
    </row>
    <row r="6" spans="1:21" x14ac:dyDescent="0.25">
      <c r="A6" s="5">
        <v>44485</v>
      </c>
      <c r="B6" s="5" t="s">
        <v>20</v>
      </c>
      <c r="C6" s="6" t="s">
        <v>64</v>
      </c>
      <c r="D6" s="6" t="s">
        <v>21</v>
      </c>
      <c r="E6" s="6" t="s">
        <v>168</v>
      </c>
      <c r="F6" s="6" t="s">
        <v>22</v>
      </c>
      <c r="G6" s="6">
        <v>70000</v>
      </c>
      <c r="H6" s="6" t="s">
        <v>65</v>
      </c>
      <c r="I6" s="6" t="s">
        <v>66</v>
      </c>
      <c r="J6" s="7">
        <v>0.95486111111111116</v>
      </c>
      <c r="K6" s="8">
        <v>0.95000000000000007</v>
      </c>
      <c r="L6" s="7">
        <v>0.60069444444444442</v>
      </c>
      <c r="M6" s="8">
        <v>0.60625000000000007</v>
      </c>
      <c r="N6" s="6" t="s">
        <v>253</v>
      </c>
      <c r="O6" s="6" t="s">
        <v>252</v>
      </c>
      <c r="P6" s="6">
        <v>827</v>
      </c>
      <c r="Q6" s="6">
        <v>1022</v>
      </c>
      <c r="R6" s="6">
        <v>0</v>
      </c>
      <c r="S6" s="6">
        <v>0</v>
      </c>
      <c r="T6" s="6">
        <v>0</v>
      </c>
    </row>
    <row r="7" spans="1:21" x14ac:dyDescent="0.25">
      <c r="A7" s="5">
        <v>44485</v>
      </c>
      <c r="B7" s="9" t="s">
        <v>20</v>
      </c>
      <c r="C7" s="9" t="s">
        <v>67</v>
      </c>
      <c r="D7" s="9" t="s">
        <v>21</v>
      </c>
      <c r="E7" s="6" t="s">
        <v>220</v>
      </c>
      <c r="F7" s="10" t="s">
        <v>22</v>
      </c>
      <c r="G7" s="11">
        <v>70000</v>
      </c>
      <c r="H7" s="10" t="s">
        <v>68</v>
      </c>
      <c r="I7" s="10" t="s">
        <v>69</v>
      </c>
      <c r="J7" s="7">
        <v>0.90972222222222221</v>
      </c>
      <c r="K7" s="8">
        <v>0.92222222222222217</v>
      </c>
      <c r="L7" s="7">
        <v>0.69444444444444453</v>
      </c>
      <c r="M7" s="8">
        <v>0.7284722222222223</v>
      </c>
      <c r="N7" s="6" t="s">
        <v>255</v>
      </c>
      <c r="O7" s="6" t="s">
        <v>254</v>
      </c>
      <c r="P7" s="6">
        <v>397</v>
      </c>
      <c r="Q7" s="6">
        <v>731</v>
      </c>
      <c r="R7" s="6">
        <v>0</v>
      </c>
      <c r="S7" s="6">
        <v>0</v>
      </c>
      <c r="T7" s="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workbookViewId="0">
      <selection sqref="A1:XFD1048576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44486</v>
      </c>
      <c r="B2" s="6" t="s">
        <v>20</v>
      </c>
      <c r="C2" s="6" t="s">
        <v>82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83</v>
      </c>
      <c r="I2" s="6" t="s">
        <v>84</v>
      </c>
      <c r="J2" s="7">
        <v>0.70486111111111116</v>
      </c>
      <c r="K2" s="8">
        <v>0.68611111111111101</v>
      </c>
      <c r="L2" s="7">
        <v>0.46875</v>
      </c>
      <c r="M2" s="8">
        <v>0.4694444444444445</v>
      </c>
      <c r="N2" s="6" t="s">
        <v>258</v>
      </c>
      <c r="O2" s="6" t="s">
        <v>256</v>
      </c>
      <c r="P2" s="6">
        <v>530</v>
      </c>
      <c r="Q2" s="6">
        <v>991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25">
      <c r="A3" s="5">
        <v>44486</v>
      </c>
      <c r="B3" s="6" t="s">
        <v>20</v>
      </c>
      <c r="C3" s="6" t="s">
        <v>85</v>
      </c>
      <c r="D3" s="6" t="s">
        <v>21</v>
      </c>
      <c r="E3" s="6" t="s">
        <v>220</v>
      </c>
      <c r="F3" s="6" t="s">
        <v>22</v>
      </c>
      <c r="G3" s="6">
        <v>70000</v>
      </c>
      <c r="H3" s="6" t="s">
        <v>86</v>
      </c>
      <c r="I3" s="6" t="s">
        <v>87</v>
      </c>
      <c r="J3" s="7">
        <v>0.69097222222222221</v>
      </c>
      <c r="K3" s="8">
        <v>0.7006944444444444</v>
      </c>
      <c r="L3" s="7">
        <v>0.54166666666666663</v>
      </c>
      <c r="M3" s="8">
        <v>0.54583333333333328</v>
      </c>
      <c r="N3" s="6" t="s">
        <v>259</v>
      </c>
      <c r="O3" s="6" t="s">
        <v>257</v>
      </c>
      <c r="P3" s="6">
        <v>801</v>
      </c>
      <c r="Q3" s="6">
        <v>941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25">
      <c r="A4" s="5">
        <v>44486</v>
      </c>
      <c r="B4" s="6" t="s">
        <v>20</v>
      </c>
      <c r="C4" s="6" t="s">
        <v>88</v>
      </c>
      <c r="D4" s="6" t="s">
        <v>21</v>
      </c>
      <c r="E4" s="6" t="s">
        <v>220</v>
      </c>
      <c r="F4" s="6" t="s">
        <v>22</v>
      </c>
      <c r="G4" s="6">
        <v>70000</v>
      </c>
      <c r="H4" s="6" t="s">
        <v>89</v>
      </c>
      <c r="I4" s="6" t="s">
        <v>90</v>
      </c>
      <c r="J4" s="7">
        <v>0.90625</v>
      </c>
      <c r="K4" s="8">
        <v>0.94652777777777775</v>
      </c>
      <c r="L4" s="7">
        <v>0.71527777777777779</v>
      </c>
      <c r="M4" s="8">
        <v>0.7583333333333333</v>
      </c>
      <c r="N4" s="6" t="s">
        <v>262</v>
      </c>
      <c r="O4" s="6" t="s">
        <v>260</v>
      </c>
      <c r="P4" s="6">
        <v>988</v>
      </c>
      <c r="Q4" s="6">
        <v>1348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5">
        <v>44486</v>
      </c>
      <c r="B5" s="6" t="s">
        <v>20</v>
      </c>
      <c r="C5" s="6" t="s">
        <v>91</v>
      </c>
      <c r="D5" s="6" t="s">
        <v>21</v>
      </c>
      <c r="E5" s="6" t="s">
        <v>168</v>
      </c>
      <c r="F5" s="6" t="s">
        <v>22</v>
      </c>
      <c r="G5" s="6">
        <v>70000</v>
      </c>
      <c r="H5" s="6" t="s">
        <v>92</v>
      </c>
      <c r="I5" s="6" t="s">
        <v>93</v>
      </c>
      <c r="J5" s="7">
        <v>0.94097222222222221</v>
      </c>
      <c r="K5" s="8">
        <v>0.9868055555555556</v>
      </c>
      <c r="L5" s="7">
        <v>0.72569444444444453</v>
      </c>
      <c r="M5" s="8">
        <v>0.76944444444444438</v>
      </c>
      <c r="N5" s="6" t="s">
        <v>263</v>
      </c>
      <c r="O5" s="6" t="s">
        <v>261</v>
      </c>
      <c r="P5" s="6">
        <v>671</v>
      </c>
      <c r="Q5" s="6">
        <v>949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sqref="A1:XFD1048576"/>
    </sheetView>
  </sheetViews>
  <sheetFormatPr defaultRowHeight="15" x14ac:dyDescent="0.25"/>
  <cols>
    <col min="1" max="1" width="10.140625" bestFit="1" customWidth="1"/>
    <col min="3" max="3" width="14.28515625" customWidth="1"/>
    <col min="6" max="6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44487</v>
      </c>
      <c r="B2" s="6" t="s">
        <v>20</v>
      </c>
      <c r="C2" s="6" t="s">
        <v>23</v>
      </c>
      <c r="D2" s="6" t="s">
        <v>21</v>
      </c>
      <c r="E2" s="6" t="s">
        <v>220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0.47291666666666665</v>
      </c>
      <c r="L2" s="7">
        <v>0.25694444444444448</v>
      </c>
      <c r="M2" s="8">
        <v>0.25138888888888888</v>
      </c>
      <c r="N2" s="6" t="s">
        <v>265</v>
      </c>
      <c r="O2" s="6" t="s">
        <v>264</v>
      </c>
      <c r="P2" s="6">
        <v>188</v>
      </c>
      <c r="Q2" s="6">
        <v>601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44487</v>
      </c>
      <c r="B3" s="5" t="s">
        <v>20</v>
      </c>
      <c r="C3" s="6" t="s">
        <v>26</v>
      </c>
      <c r="D3" s="6" t="s">
        <v>21</v>
      </c>
      <c r="E3" s="6" t="s">
        <v>168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0.91666666666666663</v>
      </c>
      <c r="K3" s="8">
        <v>0.92361111111111116</v>
      </c>
      <c r="L3" s="7">
        <v>0.46875</v>
      </c>
      <c r="M3" s="8">
        <v>0.47569444444444442</v>
      </c>
      <c r="N3" s="6" t="s">
        <v>249</v>
      </c>
      <c r="O3" s="6" t="s">
        <v>266</v>
      </c>
      <c r="P3" s="6">
        <v>931</v>
      </c>
      <c r="Q3" s="6">
        <v>785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44487</v>
      </c>
      <c r="B4" s="6" t="s">
        <v>20</v>
      </c>
      <c r="C4" s="6" t="s">
        <v>29</v>
      </c>
      <c r="D4" s="6" t="s">
        <v>21</v>
      </c>
      <c r="E4" s="6" t="str">
        <f>E2</f>
        <v>HA-LWO</v>
      </c>
      <c r="F4" s="6" t="s">
        <v>22</v>
      </c>
      <c r="G4" s="6">
        <v>70000</v>
      </c>
      <c r="H4" s="6" t="s">
        <v>30</v>
      </c>
      <c r="I4" s="6" t="s">
        <v>31</v>
      </c>
      <c r="J4" s="7">
        <v>0.71875</v>
      </c>
      <c r="K4" s="8">
        <v>0.73472222222222217</v>
      </c>
      <c r="L4" s="7">
        <v>0.48958333333333331</v>
      </c>
      <c r="M4" s="8">
        <v>0.51597222222222217</v>
      </c>
      <c r="N4" s="6" t="s">
        <v>272</v>
      </c>
      <c r="O4" s="6" t="s">
        <v>267</v>
      </c>
      <c r="P4" s="6">
        <v>462</v>
      </c>
      <c r="Q4" s="6">
        <v>771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44487</v>
      </c>
      <c r="B5" s="6" t="s">
        <v>20</v>
      </c>
      <c r="C5" s="6" t="s">
        <v>32</v>
      </c>
      <c r="D5" s="6" t="s">
        <v>21</v>
      </c>
      <c r="E5" s="6" t="str">
        <f>E4</f>
        <v>HA-LWO</v>
      </c>
      <c r="F5" s="6" t="s">
        <v>22</v>
      </c>
      <c r="G5" s="6">
        <v>70000</v>
      </c>
      <c r="H5" s="6" t="s">
        <v>33</v>
      </c>
      <c r="I5" s="6" t="s">
        <v>34</v>
      </c>
      <c r="J5" s="3">
        <v>0.92013888888888884</v>
      </c>
      <c r="K5" s="8">
        <v>0.93680555555555556</v>
      </c>
      <c r="L5" s="3">
        <v>0.73958333333333337</v>
      </c>
      <c r="M5" s="4">
        <v>0.76388888888888884</v>
      </c>
      <c r="N5" s="6" t="s">
        <v>273</v>
      </c>
      <c r="O5" s="6" t="s">
        <v>105</v>
      </c>
      <c r="P5" s="6">
        <v>754</v>
      </c>
      <c r="Q5" s="2">
        <v>767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44487</v>
      </c>
      <c r="B6" s="6" t="s">
        <v>268</v>
      </c>
      <c r="C6" s="6" t="s">
        <v>269</v>
      </c>
      <c r="D6" s="6" t="s">
        <v>270</v>
      </c>
      <c r="E6" s="6" t="s">
        <v>271</v>
      </c>
      <c r="F6" s="6" t="s">
        <v>195</v>
      </c>
      <c r="G6" s="6">
        <v>2250</v>
      </c>
      <c r="H6" s="20"/>
      <c r="I6" s="20"/>
      <c r="J6" s="8">
        <v>0.58333333333333337</v>
      </c>
      <c r="K6" s="8">
        <v>0.55972222222222223</v>
      </c>
      <c r="L6" s="8">
        <v>0.60416666666666663</v>
      </c>
      <c r="M6" s="19"/>
      <c r="N6" s="19"/>
      <c r="O6" s="19"/>
      <c r="P6" s="19"/>
      <c r="Q6" s="19"/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1" sqref="F11"/>
    </sheetView>
  </sheetViews>
  <sheetFormatPr defaultRowHeight="15" x14ac:dyDescent="0.25"/>
  <cols>
    <col min="1" max="1" width="9.5703125" customWidth="1"/>
    <col min="3" max="3" width="14.7109375" customWidth="1"/>
    <col min="5" max="5" width="10.140625" customWidth="1"/>
    <col min="6" max="6" width="14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44488</v>
      </c>
      <c r="B2" s="6" t="s">
        <v>20</v>
      </c>
      <c r="C2" s="6" t="s">
        <v>55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56</v>
      </c>
      <c r="I2" s="6" t="s">
        <v>57</v>
      </c>
      <c r="J2" s="7">
        <v>0.4513888888888889</v>
      </c>
      <c r="K2" s="8">
        <v>0.5708333333333333</v>
      </c>
      <c r="L2" s="7">
        <v>0.27777777777777779</v>
      </c>
      <c r="M2" s="8">
        <v>0.3888888888888889</v>
      </c>
      <c r="N2" s="6" t="s">
        <v>276</v>
      </c>
      <c r="O2" s="6" t="s">
        <v>274</v>
      </c>
      <c r="P2" s="6">
        <v>1053</v>
      </c>
      <c r="Q2" s="6">
        <v>999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44488</v>
      </c>
      <c r="B3" s="6" t="s">
        <v>20</v>
      </c>
      <c r="C3" s="6" t="s">
        <v>58</v>
      </c>
      <c r="D3" s="6" t="s">
        <v>21</v>
      </c>
      <c r="E3" s="6" t="s">
        <v>220</v>
      </c>
      <c r="F3" s="6" t="s">
        <v>22</v>
      </c>
      <c r="G3" s="6">
        <v>70000</v>
      </c>
      <c r="H3" s="6" t="s">
        <v>59</v>
      </c>
      <c r="I3" s="6" t="s">
        <v>60</v>
      </c>
      <c r="J3" s="7">
        <v>0.5625</v>
      </c>
      <c r="K3" s="8">
        <v>0.6118055555555556</v>
      </c>
      <c r="L3" s="7">
        <v>0.39583333333333331</v>
      </c>
      <c r="M3" s="8">
        <v>0.45069444444444445</v>
      </c>
      <c r="N3" s="6" t="s">
        <v>277</v>
      </c>
      <c r="O3" s="6" t="s">
        <v>275</v>
      </c>
      <c r="P3" s="6">
        <v>812</v>
      </c>
      <c r="Q3" s="6">
        <v>756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44488</v>
      </c>
      <c r="B4" s="6" t="s">
        <v>20</v>
      </c>
      <c r="C4" s="6" t="s">
        <v>61</v>
      </c>
      <c r="D4" s="6" t="s">
        <v>21</v>
      </c>
      <c r="E4" s="6" t="s">
        <v>220</v>
      </c>
      <c r="F4" s="6" t="s">
        <v>22</v>
      </c>
      <c r="G4" s="6">
        <v>70000</v>
      </c>
      <c r="H4" s="6" t="s">
        <v>62</v>
      </c>
      <c r="I4" s="6" t="s">
        <v>63</v>
      </c>
      <c r="J4" s="7">
        <v>0.6875</v>
      </c>
      <c r="K4" s="8">
        <v>0.8305555555555556</v>
      </c>
      <c r="L4" s="7">
        <v>0.4826388888888889</v>
      </c>
      <c r="M4" s="8">
        <v>0.64374999999999993</v>
      </c>
      <c r="N4" s="6" t="s">
        <v>284</v>
      </c>
      <c r="O4" s="6" t="s">
        <v>278</v>
      </c>
      <c r="P4" s="6">
        <v>615</v>
      </c>
      <c r="Q4" s="6">
        <v>776</v>
      </c>
      <c r="R4" s="6">
        <v>0</v>
      </c>
      <c r="S4" s="6">
        <v>0</v>
      </c>
      <c r="T4" s="6">
        <v>0</v>
      </c>
    </row>
    <row r="5" spans="1:21" x14ac:dyDescent="0.25">
      <c r="A5" s="5">
        <v>44488</v>
      </c>
      <c r="B5" s="5" t="s">
        <v>20</v>
      </c>
      <c r="C5" s="6" t="s">
        <v>64</v>
      </c>
      <c r="D5" s="6" t="s">
        <v>21</v>
      </c>
      <c r="E5" s="6" t="s">
        <v>168</v>
      </c>
      <c r="F5" s="6" t="s">
        <v>22</v>
      </c>
      <c r="G5" s="6">
        <v>70000</v>
      </c>
      <c r="H5" s="6" t="s">
        <v>65</v>
      </c>
      <c r="I5" s="6" t="s">
        <v>66</v>
      </c>
      <c r="J5" s="7">
        <v>0.95486111111111116</v>
      </c>
      <c r="K5" s="8">
        <v>0.98402777777777783</v>
      </c>
      <c r="L5" s="7">
        <v>0.60069444444444442</v>
      </c>
      <c r="M5" s="8">
        <v>0.625</v>
      </c>
      <c r="N5" s="6" t="s">
        <v>283</v>
      </c>
      <c r="O5" s="6" t="s">
        <v>199</v>
      </c>
      <c r="P5" s="6">
        <v>838</v>
      </c>
      <c r="Q5" s="6">
        <v>821</v>
      </c>
      <c r="R5" s="6">
        <v>0</v>
      </c>
      <c r="S5" s="6">
        <v>0</v>
      </c>
      <c r="T5" s="6">
        <v>0</v>
      </c>
    </row>
    <row r="6" spans="1:21" x14ac:dyDescent="0.25">
      <c r="A6" s="5">
        <v>44488</v>
      </c>
      <c r="B6" s="6" t="s">
        <v>279</v>
      </c>
      <c r="C6" s="6" t="s">
        <v>280</v>
      </c>
      <c r="D6" s="6" t="s">
        <v>281</v>
      </c>
      <c r="E6" s="6" t="s">
        <v>282</v>
      </c>
      <c r="F6" s="6" t="s">
        <v>141</v>
      </c>
      <c r="G6" s="6">
        <v>3175</v>
      </c>
      <c r="H6" s="6"/>
      <c r="I6" s="6"/>
      <c r="J6" s="8">
        <v>0.70833333333333337</v>
      </c>
      <c r="K6" s="8">
        <v>0.70833333333333337</v>
      </c>
      <c r="L6" s="8">
        <v>0.72222222222222221</v>
      </c>
      <c r="M6" s="8">
        <v>0.73958333333333337</v>
      </c>
      <c r="N6" s="8"/>
      <c r="O6" s="21"/>
      <c r="P6" s="21"/>
      <c r="Q6" s="6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I21" sqref="I21"/>
    </sheetView>
  </sheetViews>
  <sheetFormatPr defaultRowHeight="12.75" x14ac:dyDescent="0.2"/>
  <cols>
    <col min="1" max="1" width="9.28515625" style="2" customWidth="1"/>
    <col min="2" max="2" width="16.42578125" style="2" customWidth="1"/>
    <col min="3" max="3" width="13.5703125" style="2" bestFit="1" customWidth="1"/>
    <col min="4" max="4" width="7.5703125" style="2" customWidth="1"/>
    <col min="5" max="5" width="9" style="2" customWidth="1"/>
    <col min="6" max="6" width="14.140625" style="2" customWidth="1"/>
    <col min="7" max="7" width="9.42578125" style="2" customWidth="1"/>
    <col min="8" max="8" width="10.42578125" style="2" customWidth="1"/>
    <col min="9" max="9" width="11.28515625" style="2" customWidth="1"/>
    <col min="10" max="10" width="10.42578125" style="2" customWidth="1"/>
    <col min="11" max="11" width="8" style="2" customWidth="1"/>
    <col min="12" max="16384" width="9.1406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">
      <c r="A2" s="5">
        <v>44489</v>
      </c>
      <c r="B2" s="6" t="s">
        <v>135</v>
      </c>
      <c r="C2" s="6" t="s">
        <v>23</v>
      </c>
      <c r="D2" s="6" t="s">
        <v>21</v>
      </c>
      <c r="E2" s="6" t="s">
        <v>168</v>
      </c>
      <c r="F2" s="6" t="s">
        <v>22</v>
      </c>
      <c r="G2" s="6">
        <v>70000</v>
      </c>
      <c r="H2" s="6" t="s">
        <v>24</v>
      </c>
      <c r="I2" s="6" t="s">
        <v>25</v>
      </c>
      <c r="J2" s="3">
        <v>0.71875</v>
      </c>
      <c r="K2" s="4">
        <v>0.72430555555555554</v>
      </c>
      <c r="L2" s="3">
        <v>0.51736111111111105</v>
      </c>
      <c r="M2" s="4">
        <v>0.52916666666666667</v>
      </c>
      <c r="N2" s="2" t="s">
        <v>287</v>
      </c>
      <c r="O2" s="2" t="s">
        <v>285</v>
      </c>
      <c r="P2" s="2">
        <v>325</v>
      </c>
      <c r="Q2" s="2">
        <v>595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 s="5">
        <v>44489</v>
      </c>
      <c r="B3" s="6" t="s">
        <v>135</v>
      </c>
      <c r="C3" s="6" t="s">
        <v>26</v>
      </c>
      <c r="D3" s="6" t="s">
        <v>21</v>
      </c>
      <c r="E3" s="6" t="s">
        <v>220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0.95486111111111116</v>
      </c>
      <c r="K3" s="8">
        <v>0.99930555555555556</v>
      </c>
      <c r="L3" s="7">
        <v>0.53819444444444442</v>
      </c>
      <c r="M3" s="4">
        <v>0.55833333333333335</v>
      </c>
      <c r="N3" s="2" t="s">
        <v>101</v>
      </c>
      <c r="O3" s="2" t="s">
        <v>286</v>
      </c>
      <c r="P3" s="2">
        <v>562</v>
      </c>
      <c r="Q3" s="2">
        <v>851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">
      <c r="A4" s="5">
        <v>44489</v>
      </c>
      <c r="B4" s="6" t="s">
        <v>135</v>
      </c>
      <c r="C4" s="6" t="s">
        <v>32</v>
      </c>
      <c r="D4" s="6" t="s">
        <v>21</v>
      </c>
      <c r="E4" s="6" t="s">
        <v>168</v>
      </c>
      <c r="F4" s="6" t="s">
        <v>22</v>
      </c>
      <c r="G4" s="6">
        <v>70000</v>
      </c>
      <c r="H4" s="6" t="s">
        <v>33</v>
      </c>
      <c r="I4" s="6" t="s">
        <v>34</v>
      </c>
      <c r="J4" s="3">
        <v>0.92013888888888884</v>
      </c>
      <c r="K4" s="4">
        <v>0.92499999999999993</v>
      </c>
      <c r="L4" s="3">
        <v>0.73958333333333337</v>
      </c>
      <c r="M4" s="8">
        <v>0.75694444444444453</v>
      </c>
      <c r="N4" s="6" t="s">
        <v>289</v>
      </c>
      <c r="O4" s="6" t="s">
        <v>288</v>
      </c>
      <c r="P4" s="2">
        <v>885</v>
      </c>
      <c r="Q4" s="2">
        <v>912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8"/>
      <c r="M5" s="22"/>
      <c r="N5" s="22"/>
      <c r="O5" s="22"/>
      <c r="P5" s="22"/>
      <c r="Q5" s="22"/>
      <c r="R5" s="22"/>
    </row>
    <row r="6" spans="1:24" x14ac:dyDescent="0.2">
      <c r="A6" s="18"/>
      <c r="I6" s="6"/>
      <c r="J6" s="7"/>
      <c r="K6" s="8"/>
      <c r="L6" s="7"/>
      <c r="M6" s="22"/>
      <c r="N6" s="22"/>
      <c r="O6" s="22"/>
      <c r="P6" s="22"/>
      <c r="Q6" s="22"/>
      <c r="R6" s="22"/>
    </row>
    <row r="7" spans="1:24" x14ac:dyDescent="0.2">
      <c r="I7" s="6"/>
      <c r="J7" s="6"/>
      <c r="K7" s="6"/>
      <c r="L7" s="6"/>
      <c r="M7" s="22"/>
      <c r="N7" s="22"/>
      <c r="O7" s="22"/>
      <c r="P7" s="22"/>
      <c r="Q7" s="22"/>
      <c r="R7" s="22"/>
    </row>
    <row r="8" spans="1:24" x14ac:dyDescent="0.2">
      <c r="M8" s="22"/>
      <c r="N8" s="22"/>
      <c r="O8" s="22"/>
      <c r="P8" s="22"/>
      <c r="Q8" s="22"/>
      <c r="R8" s="22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Views>
    <sheetView topLeftCell="H1" workbookViewId="0">
      <selection sqref="A1:X4"/>
    </sheetView>
  </sheetViews>
  <sheetFormatPr defaultRowHeight="12.75" x14ac:dyDescent="0.2"/>
  <cols>
    <col min="1" max="1" width="9.140625" style="2"/>
    <col min="2" max="2" width="10.7109375" style="2" customWidth="1"/>
    <col min="3" max="3" width="13" style="2" customWidth="1"/>
    <col min="4" max="4" width="9.140625" style="2"/>
    <col min="5" max="5" width="11.42578125" style="2" customWidth="1"/>
    <col min="6" max="6" width="14.28515625" style="2" customWidth="1"/>
    <col min="7" max="8" width="9.140625" style="2"/>
    <col min="9" max="9" width="13" style="2" customWidth="1"/>
    <col min="10" max="10" width="9.85546875" style="2" customWidth="1"/>
    <col min="11" max="11" width="7.5703125" style="2" customWidth="1"/>
    <col min="12" max="12" width="11.28515625" style="2" customWidth="1"/>
    <col min="13" max="13" width="8.28515625" style="2" customWidth="1"/>
    <col min="14" max="14" width="10.85546875" style="2" customWidth="1"/>
    <col min="15" max="15" width="11" style="2" customWidth="1"/>
    <col min="16" max="16384" width="9.1406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ht="13.5" customHeight="1" x14ac:dyDescent="0.2">
      <c r="A2" s="5">
        <v>44483</v>
      </c>
      <c r="B2" s="6" t="s">
        <v>20</v>
      </c>
      <c r="C2" s="6" t="s">
        <v>58</v>
      </c>
      <c r="D2" s="6" t="s">
        <v>21</v>
      </c>
      <c r="E2" s="6" t="s">
        <v>168</v>
      </c>
      <c r="F2" s="6" t="s">
        <v>22</v>
      </c>
      <c r="G2" s="11">
        <v>70000</v>
      </c>
      <c r="H2" s="6" t="s">
        <v>59</v>
      </c>
      <c r="I2" s="6" t="s">
        <v>60</v>
      </c>
      <c r="J2" s="7">
        <v>0.67013888888888884</v>
      </c>
      <c r="K2" s="8">
        <v>0.68263888888888891</v>
      </c>
      <c r="L2" s="7">
        <v>0.27083333333333331</v>
      </c>
      <c r="M2" s="8">
        <v>0.27777777777777779</v>
      </c>
      <c r="N2" s="6" t="s">
        <v>292</v>
      </c>
      <c r="O2" s="6" t="s">
        <v>290</v>
      </c>
      <c r="P2" s="6">
        <v>593</v>
      </c>
      <c r="Q2" s="2">
        <v>645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3.5" customHeight="1" x14ac:dyDescent="0.2">
      <c r="A3" s="5">
        <v>44483</v>
      </c>
      <c r="B3" s="2" t="s">
        <v>147</v>
      </c>
      <c r="C3" s="2" t="s">
        <v>91</v>
      </c>
      <c r="D3" s="2" t="s">
        <v>21</v>
      </c>
      <c r="E3" s="6" t="s">
        <v>220</v>
      </c>
      <c r="F3" s="2" t="s">
        <v>22</v>
      </c>
      <c r="G3" s="13">
        <v>70000</v>
      </c>
      <c r="H3" s="2" t="s">
        <v>92</v>
      </c>
      <c r="I3" s="2" t="s">
        <v>93</v>
      </c>
      <c r="J3" s="3">
        <v>0.90972222222222221</v>
      </c>
      <c r="K3" s="4">
        <v>0.9145833333333333</v>
      </c>
      <c r="L3" s="3">
        <v>0.69444444444444453</v>
      </c>
      <c r="M3" s="4">
        <v>0.6958333333333333</v>
      </c>
      <c r="N3" s="6" t="s">
        <v>294</v>
      </c>
      <c r="O3" s="6" t="s">
        <v>291</v>
      </c>
      <c r="P3" s="6">
        <v>452</v>
      </c>
      <c r="Q3" s="2">
        <v>694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3.5" customHeight="1" x14ac:dyDescent="0.2">
      <c r="A4" s="5">
        <v>44483</v>
      </c>
      <c r="B4" s="5" t="s">
        <v>20</v>
      </c>
      <c r="C4" s="6" t="s">
        <v>88</v>
      </c>
      <c r="D4" s="6" t="s">
        <v>21</v>
      </c>
      <c r="E4" s="6" t="s">
        <v>168</v>
      </c>
      <c r="F4" s="6" t="s">
        <v>22</v>
      </c>
      <c r="G4" s="11">
        <v>70000</v>
      </c>
      <c r="H4" s="6" t="s">
        <v>89</v>
      </c>
      <c r="I4" s="6" t="s">
        <v>90</v>
      </c>
      <c r="J4" s="7">
        <v>0.90277777777777779</v>
      </c>
      <c r="K4" s="8">
        <v>0.90972222222222221</v>
      </c>
      <c r="L4" s="7">
        <v>0.70833333333333337</v>
      </c>
      <c r="M4" s="8">
        <v>0.72152777777777777</v>
      </c>
      <c r="N4" s="6" t="s">
        <v>295</v>
      </c>
      <c r="O4" s="6" t="s">
        <v>293</v>
      </c>
      <c r="P4" s="6">
        <v>814</v>
      </c>
      <c r="Q4" s="2">
        <v>945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3.5" customHeight="1" x14ac:dyDescent="0.2">
      <c r="A5" s="5"/>
      <c r="B5" s="5"/>
      <c r="C5" s="6"/>
      <c r="D5" s="6"/>
      <c r="E5" s="6"/>
      <c r="F5" s="6"/>
      <c r="G5" s="6"/>
      <c r="H5" s="6"/>
      <c r="I5" s="6"/>
      <c r="J5" s="7"/>
      <c r="K5" s="8"/>
      <c r="L5" s="7"/>
      <c r="M5" s="8"/>
      <c r="N5" s="6"/>
      <c r="O5" s="6"/>
      <c r="P5" s="6"/>
    </row>
    <row r="6" spans="1:24" ht="13.5" customHeight="1" x14ac:dyDescent="0.2">
      <c r="A6" s="5"/>
      <c r="C6" s="6"/>
      <c r="D6" s="6"/>
      <c r="E6" s="6"/>
      <c r="F6" s="6"/>
      <c r="G6" s="6"/>
      <c r="H6" s="6"/>
      <c r="I6" s="6"/>
      <c r="J6" s="7"/>
      <c r="K6" s="7"/>
      <c r="L6" s="7"/>
      <c r="M6" s="4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9" sqref="F19"/>
    </sheetView>
  </sheetViews>
  <sheetFormatPr defaultRowHeight="15" x14ac:dyDescent="0.25"/>
  <cols>
    <col min="4" max="4" width="10.7109375" customWidth="1"/>
    <col min="5" max="5" width="15.5703125" bestFit="1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44491</v>
      </c>
      <c r="B2" s="6" t="s">
        <v>20</v>
      </c>
      <c r="C2" s="6" t="s">
        <v>23</v>
      </c>
      <c r="D2" s="6" t="s">
        <v>21</v>
      </c>
      <c r="E2" s="6" t="s">
        <v>220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0.45277777777777778</v>
      </c>
      <c r="L2" s="7">
        <v>0.25694444444444448</v>
      </c>
      <c r="M2" s="8">
        <v>0.25694444444444448</v>
      </c>
      <c r="N2" s="6" t="s">
        <v>300</v>
      </c>
      <c r="O2" s="6" t="s">
        <v>297</v>
      </c>
      <c r="P2" s="6">
        <v>537</v>
      </c>
      <c r="Q2" s="6">
        <v>512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44491</v>
      </c>
      <c r="B3" s="5" t="s">
        <v>20</v>
      </c>
      <c r="C3" s="6" t="s">
        <v>35</v>
      </c>
      <c r="D3" s="6" t="s">
        <v>21</v>
      </c>
      <c r="E3" s="6" t="s">
        <v>168</v>
      </c>
      <c r="F3" s="6" t="s">
        <v>22</v>
      </c>
      <c r="G3" s="6">
        <v>70000</v>
      </c>
      <c r="H3" s="6" t="s">
        <v>36</v>
      </c>
      <c r="I3" s="6" t="s">
        <v>37</v>
      </c>
      <c r="J3" s="7">
        <v>0.4375</v>
      </c>
      <c r="K3" s="8">
        <v>0.43194444444444446</v>
      </c>
      <c r="L3" s="7">
        <v>0.27083333333333331</v>
      </c>
      <c r="M3" s="8">
        <v>0.27708333333333335</v>
      </c>
      <c r="N3" s="6" t="s">
        <v>301</v>
      </c>
      <c r="O3" s="6" t="s">
        <v>298</v>
      </c>
      <c r="P3" s="6">
        <v>567</v>
      </c>
      <c r="Q3" s="6">
        <v>790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44491</v>
      </c>
      <c r="B4" s="6" t="s">
        <v>20</v>
      </c>
      <c r="C4" s="6" t="s">
        <v>26</v>
      </c>
      <c r="D4" s="6" t="s">
        <v>21</v>
      </c>
      <c r="E4" s="6" t="s">
        <v>296</v>
      </c>
      <c r="F4" s="6" t="s">
        <v>22</v>
      </c>
      <c r="G4" s="6">
        <v>70000</v>
      </c>
      <c r="H4" s="6" t="s">
        <v>90</v>
      </c>
      <c r="I4" s="6" t="s">
        <v>28</v>
      </c>
      <c r="J4" s="7">
        <v>0.91666666666666663</v>
      </c>
      <c r="K4" s="8">
        <v>0.98125000000000007</v>
      </c>
      <c r="L4" s="7">
        <v>0.46875</v>
      </c>
      <c r="M4" s="8">
        <v>0.47916666666666669</v>
      </c>
      <c r="N4" s="6" t="s">
        <v>304</v>
      </c>
      <c r="O4" s="6" t="s">
        <v>299</v>
      </c>
      <c r="P4" s="6">
        <v>675</v>
      </c>
      <c r="Q4" s="6">
        <v>1108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44491</v>
      </c>
      <c r="B5" s="6" t="s">
        <v>20</v>
      </c>
      <c r="C5" s="6" t="s">
        <v>29</v>
      </c>
      <c r="D5" s="6" t="s">
        <v>21</v>
      </c>
      <c r="E5" s="6" t="s">
        <v>220</v>
      </c>
      <c r="F5" s="6" t="s">
        <v>22</v>
      </c>
      <c r="G5" s="6">
        <v>70000</v>
      </c>
      <c r="H5" s="6" t="s">
        <v>30</v>
      </c>
      <c r="I5" s="6" t="s">
        <v>31</v>
      </c>
      <c r="J5" s="7">
        <v>0.71875</v>
      </c>
      <c r="K5" s="8">
        <v>0.70694444444444438</v>
      </c>
      <c r="L5" s="7">
        <v>0.48958333333333331</v>
      </c>
      <c r="M5" s="8">
        <v>0.49027777777777781</v>
      </c>
      <c r="N5" s="6" t="s">
        <v>305</v>
      </c>
      <c r="O5" s="6" t="s">
        <v>44</v>
      </c>
      <c r="P5" s="6">
        <v>694</v>
      </c>
      <c r="Q5" s="6">
        <v>855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44491</v>
      </c>
      <c r="B6" s="6" t="s">
        <v>20</v>
      </c>
      <c r="C6" s="6" t="s">
        <v>32</v>
      </c>
      <c r="D6" s="6" t="s">
        <v>21</v>
      </c>
      <c r="E6" s="6" t="s">
        <v>220</v>
      </c>
      <c r="F6" s="6" t="s">
        <v>22</v>
      </c>
      <c r="G6" s="6">
        <v>70000</v>
      </c>
      <c r="H6" s="6" t="s">
        <v>33</v>
      </c>
      <c r="I6" s="6" t="s">
        <v>34</v>
      </c>
      <c r="J6" s="3">
        <v>0.92013888888888884</v>
      </c>
      <c r="K6" s="8">
        <v>0.92222222222222217</v>
      </c>
      <c r="L6" s="3">
        <v>0.73958333333333337</v>
      </c>
      <c r="M6" s="4">
        <v>0.74861111111111101</v>
      </c>
      <c r="N6" s="6" t="s">
        <v>303</v>
      </c>
      <c r="O6" s="6" t="s">
        <v>302</v>
      </c>
      <c r="P6" s="6">
        <v>742</v>
      </c>
      <c r="Q6" s="2">
        <v>903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A2" sqref="A2:XFD2"/>
    </sheetView>
  </sheetViews>
  <sheetFormatPr defaultRowHeight="15" x14ac:dyDescent="0.25"/>
  <cols>
    <col min="1" max="1" width="10.85546875" customWidth="1"/>
    <col min="2" max="2" width="10.5703125" customWidth="1"/>
    <col min="3" max="3" width="12.42578125" customWidth="1"/>
    <col min="4" max="4" width="8.5703125" customWidth="1"/>
    <col min="5" max="5" width="9.42578125" customWidth="1"/>
    <col min="6" max="6" width="11.85546875" customWidth="1"/>
    <col min="9" max="9" width="10.5703125" customWidth="1"/>
    <col min="11" max="11" width="7.85546875" customWidth="1"/>
    <col min="14" max="14" width="14.28515625" customWidth="1"/>
    <col min="15" max="15" width="14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5">
      <c r="A2" s="5">
        <v>44492</v>
      </c>
      <c r="B2" s="6" t="s">
        <v>20</v>
      </c>
      <c r="C2" s="6" t="s">
        <v>52</v>
      </c>
      <c r="D2" s="6" t="s">
        <v>21</v>
      </c>
      <c r="E2" s="6" t="s">
        <v>220</v>
      </c>
      <c r="F2" s="6" t="s">
        <v>22</v>
      </c>
      <c r="G2" s="6">
        <v>70000</v>
      </c>
      <c r="H2" s="6" t="s">
        <v>53</v>
      </c>
      <c r="I2" s="6" t="s">
        <v>54</v>
      </c>
      <c r="J2" s="7">
        <v>0.375</v>
      </c>
      <c r="K2" s="8">
        <v>0.37152777777777773</v>
      </c>
      <c r="L2" s="7">
        <v>0.25694444444444448</v>
      </c>
      <c r="M2" s="8">
        <v>0.26111111111111113</v>
      </c>
      <c r="N2" s="6" t="s">
        <v>308</v>
      </c>
      <c r="O2" s="6" t="s">
        <v>306</v>
      </c>
      <c r="P2" s="6">
        <v>574</v>
      </c>
      <c r="Q2" s="6">
        <v>621</v>
      </c>
      <c r="R2" s="6">
        <v>0</v>
      </c>
      <c r="S2" s="6">
        <v>0</v>
      </c>
      <c r="T2" s="6">
        <v>0</v>
      </c>
      <c r="U2" s="6"/>
    </row>
    <row r="3" spans="1:21" x14ac:dyDescent="0.25">
      <c r="A3" s="5">
        <v>44492</v>
      </c>
      <c r="B3" s="6" t="s">
        <v>20</v>
      </c>
      <c r="C3" s="6" t="s">
        <v>55</v>
      </c>
      <c r="D3" s="6" t="s">
        <v>21</v>
      </c>
      <c r="E3" s="6" t="s">
        <v>99</v>
      </c>
      <c r="F3" s="6" t="s">
        <v>22</v>
      </c>
      <c r="G3" s="6">
        <v>70000</v>
      </c>
      <c r="H3" s="6" t="s">
        <v>56</v>
      </c>
      <c r="I3" s="6" t="s">
        <v>57</v>
      </c>
      <c r="J3" s="7">
        <v>0.4375</v>
      </c>
      <c r="K3" s="8">
        <v>0.45</v>
      </c>
      <c r="L3" s="7">
        <v>0.2638888888888889</v>
      </c>
      <c r="M3" s="8">
        <v>0.28125</v>
      </c>
      <c r="N3" s="6" t="s">
        <v>309</v>
      </c>
      <c r="O3" s="6" t="s">
        <v>307</v>
      </c>
      <c r="P3" s="6">
        <v>1031</v>
      </c>
      <c r="Q3" s="6">
        <v>1001</v>
      </c>
      <c r="R3" s="6">
        <v>0</v>
      </c>
      <c r="S3" s="6">
        <v>0</v>
      </c>
      <c r="T3" s="6">
        <v>0</v>
      </c>
      <c r="U3" s="6"/>
    </row>
    <row r="4" spans="1:21" x14ac:dyDescent="0.25">
      <c r="A4" s="5">
        <v>44492</v>
      </c>
      <c r="B4" s="6" t="s">
        <v>20</v>
      </c>
      <c r="C4" s="6" t="s">
        <v>58</v>
      </c>
      <c r="D4" s="6" t="s">
        <v>21</v>
      </c>
      <c r="E4" s="6" t="s">
        <v>220</v>
      </c>
      <c r="F4" s="6" t="s">
        <v>22</v>
      </c>
      <c r="G4" s="6">
        <v>70000</v>
      </c>
      <c r="H4" s="6" t="s">
        <v>59</v>
      </c>
      <c r="I4" s="6" t="s">
        <v>60</v>
      </c>
      <c r="J4" s="7">
        <v>0.5625</v>
      </c>
      <c r="K4" s="8">
        <v>0.57916666666666672</v>
      </c>
      <c r="L4" s="7">
        <v>0.39583333333333331</v>
      </c>
      <c r="M4" s="8">
        <v>0.40972222222222227</v>
      </c>
      <c r="N4" s="6" t="s">
        <v>311</v>
      </c>
      <c r="O4" s="6" t="s">
        <v>156</v>
      </c>
      <c r="P4" s="6">
        <v>762</v>
      </c>
      <c r="Q4" s="6">
        <v>1106</v>
      </c>
      <c r="R4" s="6">
        <v>0</v>
      </c>
      <c r="S4" s="6">
        <v>0</v>
      </c>
      <c r="T4" s="6">
        <v>0</v>
      </c>
      <c r="U4" s="6"/>
    </row>
    <row r="5" spans="1:21" x14ac:dyDescent="0.25">
      <c r="A5" s="5">
        <v>44492</v>
      </c>
      <c r="B5" s="6" t="s">
        <v>20</v>
      </c>
      <c r="C5" s="6" t="s">
        <v>61</v>
      </c>
      <c r="D5" s="6" t="s">
        <v>21</v>
      </c>
      <c r="E5" s="6" t="s">
        <v>99</v>
      </c>
      <c r="F5" s="6" t="s">
        <v>22</v>
      </c>
      <c r="G5" s="6">
        <v>70000</v>
      </c>
      <c r="H5" s="6" t="s">
        <v>62</v>
      </c>
      <c r="I5" s="6" t="s">
        <v>63</v>
      </c>
      <c r="J5" s="7">
        <v>0.67361111111111116</v>
      </c>
      <c r="K5" s="8">
        <v>0.68819444444444444</v>
      </c>
      <c r="L5" s="7">
        <v>0.46875</v>
      </c>
      <c r="M5" s="8">
        <v>0.48888888888888887</v>
      </c>
      <c r="N5" s="6" t="s">
        <v>74</v>
      </c>
      <c r="O5" s="6" t="s">
        <v>310</v>
      </c>
      <c r="P5" s="6">
        <v>711</v>
      </c>
      <c r="Q5" s="6">
        <v>1015</v>
      </c>
      <c r="R5" s="6">
        <v>0</v>
      </c>
      <c r="S5" s="6">
        <v>0</v>
      </c>
      <c r="T5" s="6">
        <v>0</v>
      </c>
    </row>
    <row r="6" spans="1:21" x14ac:dyDescent="0.25">
      <c r="A6" s="5">
        <v>44492</v>
      </c>
      <c r="B6" s="5" t="s">
        <v>20</v>
      </c>
      <c r="C6" s="6" t="s">
        <v>64</v>
      </c>
      <c r="D6" s="6" t="s">
        <v>21</v>
      </c>
      <c r="E6" s="6" t="s">
        <v>220</v>
      </c>
      <c r="F6" s="6" t="s">
        <v>22</v>
      </c>
      <c r="G6" s="6">
        <v>70000</v>
      </c>
      <c r="H6" s="6" t="s">
        <v>65</v>
      </c>
      <c r="I6" s="6" t="s">
        <v>66</v>
      </c>
      <c r="J6" s="7">
        <v>0.95486111111111116</v>
      </c>
      <c r="K6" s="8">
        <v>0.97013888888888899</v>
      </c>
      <c r="L6" s="7">
        <v>0.60069444444444442</v>
      </c>
      <c r="M6" s="8">
        <v>0.61597222222222225</v>
      </c>
      <c r="N6" s="6" t="s">
        <v>314</v>
      </c>
      <c r="O6" s="6" t="s">
        <v>312</v>
      </c>
      <c r="P6" s="6">
        <v>689</v>
      </c>
      <c r="Q6" s="6">
        <v>1096</v>
      </c>
      <c r="R6" s="6">
        <v>0</v>
      </c>
      <c r="S6" s="6">
        <v>0</v>
      </c>
      <c r="T6" s="6">
        <v>0</v>
      </c>
    </row>
    <row r="7" spans="1:21" x14ac:dyDescent="0.25">
      <c r="A7" s="5">
        <v>44492</v>
      </c>
      <c r="B7" s="9" t="s">
        <v>20</v>
      </c>
      <c r="C7" s="9" t="s">
        <v>67</v>
      </c>
      <c r="D7" s="9" t="s">
        <v>21</v>
      </c>
      <c r="E7" s="6" t="s">
        <v>99</v>
      </c>
      <c r="F7" s="10" t="s">
        <v>22</v>
      </c>
      <c r="G7" s="11">
        <v>70000</v>
      </c>
      <c r="H7" s="10" t="s">
        <v>68</v>
      </c>
      <c r="I7" s="10" t="s">
        <v>69</v>
      </c>
      <c r="J7" s="7">
        <v>0.90972222222222221</v>
      </c>
      <c r="K7" s="8">
        <v>0.9159722222222223</v>
      </c>
      <c r="L7" s="7">
        <v>0.69444444444444453</v>
      </c>
      <c r="M7" s="8">
        <v>0.72291666666666676</v>
      </c>
      <c r="N7" s="6" t="s">
        <v>315</v>
      </c>
      <c r="O7" s="6" t="s">
        <v>313</v>
      </c>
      <c r="P7" s="6">
        <v>436</v>
      </c>
      <c r="Q7" s="6">
        <v>903</v>
      </c>
      <c r="R7" s="6">
        <v>0</v>
      </c>
      <c r="S7" s="6">
        <v>0</v>
      </c>
      <c r="T7" s="1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opLeftCell="B1" workbookViewId="0">
      <selection activeCell="B3" sqref="A3:XFD3"/>
    </sheetView>
  </sheetViews>
  <sheetFormatPr defaultRowHeight="15" x14ac:dyDescent="0.25"/>
  <cols>
    <col min="1" max="1" width="12.42578125" customWidth="1"/>
    <col min="2" max="2" width="11.5703125" customWidth="1"/>
    <col min="3" max="3" width="15.85546875" customWidth="1"/>
    <col min="6" max="6" width="14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44493</v>
      </c>
      <c r="B2" s="6" t="s">
        <v>20</v>
      </c>
      <c r="C2" s="6" t="s">
        <v>82</v>
      </c>
      <c r="D2" s="6" t="s">
        <v>21</v>
      </c>
      <c r="E2" s="6" t="s">
        <v>320</v>
      </c>
      <c r="F2" s="6" t="s">
        <v>22</v>
      </c>
      <c r="G2" s="6">
        <v>70000</v>
      </c>
      <c r="H2" s="6" t="s">
        <v>83</v>
      </c>
      <c r="I2" s="6" t="s">
        <v>84</v>
      </c>
      <c r="J2" s="7">
        <v>0.70486111111111116</v>
      </c>
      <c r="K2" s="8">
        <v>0.70000000000000007</v>
      </c>
      <c r="L2" s="7">
        <v>0.46875</v>
      </c>
      <c r="M2" s="8">
        <v>0.4680555555555555</v>
      </c>
      <c r="N2" s="6" t="s">
        <v>318</v>
      </c>
      <c r="O2" s="6" t="s">
        <v>299</v>
      </c>
      <c r="P2" s="6">
        <v>618</v>
      </c>
      <c r="Q2" s="6">
        <v>1625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</row>
    <row r="3" spans="1:24" x14ac:dyDescent="0.25">
      <c r="A3" s="5">
        <v>44493</v>
      </c>
      <c r="B3" s="6" t="s">
        <v>20</v>
      </c>
      <c r="C3" s="6" t="s">
        <v>85</v>
      </c>
      <c r="D3" s="6" t="s">
        <v>21</v>
      </c>
      <c r="E3" s="6" t="s">
        <v>99</v>
      </c>
      <c r="F3" s="6" t="s">
        <v>22</v>
      </c>
      <c r="G3" s="6">
        <v>70000</v>
      </c>
      <c r="H3" s="6" t="s">
        <v>86</v>
      </c>
      <c r="I3" s="6" t="s">
        <v>87</v>
      </c>
      <c r="J3" s="7">
        <v>0.69097222222222221</v>
      </c>
      <c r="K3" s="8">
        <v>0.69374999999999998</v>
      </c>
      <c r="L3" s="7">
        <v>0.54166666666666663</v>
      </c>
      <c r="M3" s="8">
        <v>0.55069444444444449</v>
      </c>
      <c r="N3" s="6" t="s">
        <v>319</v>
      </c>
      <c r="O3" s="6" t="s">
        <v>317</v>
      </c>
      <c r="P3" s="6">
        <v>365</v>
      </c>
      <c r="Q3" s="6">
        <v>1210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</row>
    <row r="4" spans="1:24" x14ac:dyDescent="0.25">
      <c r="A4" s="5">
        <v>44493</v>
      </c>
      <c r="B4" s="6" t="s">
        <v>20</v>
      </c>
      <c r="C4" s="6" t="s">
        <v>88</v>
      </c>
      <c r="D4" s="6" t="s">
        <v>21</v>
      </c>
      <c r="E4" s="6" t="s">
        <v>99</v>
      </c>
      <c r="F4" s="6" t="s">
        <v>22</v>
      </c>
      <c r="G4" s="6">
        <v>70000</v>
      </c>
      <c r="H4" s="6" t="s">
        <v>89</v>
      </c>
      <c r="I4" s="6" t="s">
        <v>90</v>
      </c>
      <c r="J4" s="7">
        <v>0.90625</v>
      </c>
      <c r="K4" s="8">
        <v>0.91180555555555554</v>
      </c>
      <c r="L4" s="7">
        <v>0.71527777777777779</v>
      </c>
      <c r="M4" s="8">
        <v>0.73125000000000007</v>
      </c>
      <c r="N4" s="6" t="s">
        <v>323</v>
      </c>
      <c r="O4" s="6" t="s">
        <v>321</v>
      </c>
      <c r="P4" s="6">
        <v>745</v>
      </c>
      <c r="Q4" s="6">
        <v>923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5">
        <v>44493</v>
      </c>
      <c r="B5" s="6" t="s">
        <v>20</v>
      </c>
      <c r="C5" s="6" t="s">
        <v>91</v>
      </c>
      <c r="D5" s="6" t="s">
        <v>21</v>
      </c>
      <c r="E5" s="6" t="s">
        <v>316</v>
      </c>
      <c r="F5" s="6" t="s">
        <v>22</v>
      </c>
      <c r="G5" s="6">
        <v>70000</v>
      </c>
      <c r="H5" s="6" t="s">
        <v>92</v>
      </c>
      <c r="I5" s="6" t="s">
        <v>93</v>
      </c>
      <c r="J5" s="7">
        <v>0.94097222222222221</v>
      </c>
      <c r="K5" s="8">
        <v>0.95138888888888884</v>
      </c>
      <c r="L5" s="7">
        <v>0.72569444444444453</v>
      </c>
      <c r="M5" s="8">
        <v>0.74097222222222225</v>
      </c>
      <c r="N5" s="6" t="s">
        <v>324</v>
      </c>
      <c r="O5" s="6" t="s">
        <v>322</v>
      </c>
      <c r="P5" s="6">
        <v>538</v>
      </c>
      <c r="Q5" s="6">
        <v>1163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G2" sqref="G2"/>
    </sheetView>
  </sheetViews>
  <sheetFormatPr defaultRowHeight="15" x14ac:dyDescent="0.25"/>
  <cols>
    <col min="1" max="1" width="10.140625" bestFit="1" customWidth="1"/>
    <col min="3" max="3" width="14.28515625" customWidth="1"/>
    <col min="6" max="6" width="17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44494</v>
      </c>
      <c r="B2" s="6" t="s">
        <v>20</v>
      </c>
      <c r="C2" s="6" t="s">
        <v>23</v>
      </c>
      <c r="D2" s="6" t="s">
        <v>21</v>
      </c>
      <c r="E2" s="6" t="s">
        <v>99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>
        <v>0.4597222222222222</v>
      </c>
      <c r="L2" s="7">
        <v>0.25694444444444448</v>
      </c>
      <c r="M2" s="8">
        <v>0.25486111111111109</v>
      </c>
      <c r="N2" s="6" t="s">
        <v>325</v>
      </c>
      <c r="O2" s="6" t="s">
        <v>278</v>
      </c>
      <c r="P2" s="6">
        <v>330</v>
      </c>
      <c r="Q2" s="6">
        <v>1016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44494</v>
      </c>
      <c r="B3" s="5" t="s">
        <v>20</v>
      </c>
      <c r="C3" s="6" t="s">
        <v>26</v>
      </c>
      <c r="D3" s="6" t="s">
        <v>21</v>
      </c>
      <c r="E3" s="6" t="s">
        <v>316</v>
      </c>
      <c r="F3" s="6" t="s">
        <v>22</v>
      </c>
      <c r="G3" s="6">
        <v>70000</v>
      </c>
      <c r="H3" s="6" t="s">
        <v>27</v>
      </c>
      <c r="I3" s="6" t="s">
        <v>28</v>
      </c>
      <c r="J3" s="7">
        <v>0.91666666666666663</v>
      </c>
      <c r="K3" s="8">
        <v>0.93055555555555547</v>
      </c>
      <c r="L3" s="7">
        <v>0.46875</v>
      </c>
      <c r="M3" s="8">
        <v>0.48194444444444445</v>
      </c>
      <c r="N3" s="6" t="s">
        <v>334</v>
      </c>
      <c r="O3" s="6" t="s">
        <v>326</v>
      </c>
      <c r="P3" s="6">
        <v>881</v>
      </c>
      <c r="Q3" s="6">
        <v>880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44494</v>
      </c>
      <c r="B4" s="6" t="s">
        <v>20</v>
      </c>
      <c r="C4" s="6" t="s">
        <v>29</v>
      </c>
      <c r="D4" s="6" t="s">
        <v>21</v>
      </c>
      <c r="E4" s="6" t="str">
        <f>E2</f>
        <v>HA-LPM</v>
      </c>
      <c r="F4" s="6" t="s">
        <v>22</v>
      </c>
      <c r="G4" s="6">
        <v>70000</v>
      </c>
      <c r="H4" s="6" t="s">
        <v>30</v>
      </c>
      <c r="I4" s="6" t="s">
        <v>31</v>
      </c>
      <c r="J4" s="7">
        <v>0.71875</v>
      </c>
      <c r="K4" s="8">
        <v>0.7104166666666667</v>
      </c>
      <c r="L4" s="7">
        <v>0.48958333333333331</v>
      </c>
      <c r="M4" s="8">
        <v>0.49652777777777773</v>
      </c>
      <c r="N4" s="6" t="s">
        <v>333</v>
      </c>
      <c r="O4" s="6" t="s">
        <v>327</v>
      </c>
      <c r="P4" s="6">
        <v>182</v>
      </c>
      <c r="Q4" s="6">
        <v>653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44494</v>
      </c>
      <c r="B5" s="6" t="s">
        <v>20</v>
      </c>
      <c r="C5" s="6" t="s">
        <v>32</v>
      </c>
      <c r="D5" s="6" t="s">
        <v>21</v>
      </c>
      <c r="E5" s="6" t="str">
        <f>E4</f>
        <v>HA-LPM</v>
      </c>
      <c r="F5" s="6" t="s">
        <v>22</v>
      </c>
      <c r="G5" s="6">
        <v>70000</v>
      </c>
      <c r="H5" s="6" t="s">
        <v>33</v>
      </c>
      <c r="I5" s="6" t="s">
        <v>34</v>
      </c>
      <c r="J5" s="3">
        <v>0.92013888888888884</v>
      </c>
      <c r="K5" s="8">
        <v>0.9159722222222223</v>
      </c>
      <c r="L5" s="3">
        <v>0.73958333333333337</v>
      </c>
      <c r="M5" s="4">
        <v>0.74722222222222223</v>
      </c>
      <c r="N5" s="6" t="s">
        <v>335</v>
      </c>
      <c r="O5" s="6" t="s">
        <v>79</v>
      </c>
      <c r="P5" s="6">
        <v>951</v>
      </c>
      <c r="Q5" s="2">
        <v>1066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44494</v>
      </c>
      <c r="B6" s="6" t="s">
        <v>328</v>
      </c>
      <c r="C6" s="6" t="s">
        <v>329</v>
      </c>
      <c r="D6" s="6" t="s">
        <v>330</v>
      </c>
      <c r="E6" s="6" t="s">
        <v>331</v>
      </c>
      <c r="F6" s="6" t="s">
        <v>337</v>
      </c>
      <c r="G6" s="6">
        <v>1250</v>
      </c>
      <c r="H6" s="6" t="s">
        <v>336</v>
      </c>
      <c r="I6" s="6" t="s">
        <v>336</v>
      </c>
      <c r="J6" s="8">
        <v>0.57638888888888895</v>
      </c>
      <c r="K6" s="8">
        <v>0.56944444444444442</v>
      </c>
      <c r="L6" s="8">
        <v>0.65625</v>
      </c>
      <c r="M6" s="8">
        <v>0.59166666666666667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25">
      <c r="A7" s="5">
        <v>44494</v>
      </c>
      <c r="B7" s="6" t="s">
        <v>328</v>
      </c>
      <c r="C7" s="6" t="s">
        <v>332</v>
      </c>
      <c r="D7" s="6" t="s">
        <v>330</v>
      </c>
      <c r="E7" s="6" t="s">
        <v>331</v>
      </c>
      <c r="F7" s="6" t="s">
        <v>337</v>
      </c>
      <c r="G7" s="6">
        <v>1250</v>
      </c>
      <c r="H7" s="6" t="s">
        <v>336</v>
      </c>
      <c r="I7" s="6" t="s">
        <v>336</v>
      </c>
      <c r="J7" s="8">
        <v>0.64583333333333337</v>
      </c>
      <c r="K7" s="8">
        <v>0.6333333333333333</v>
      </c>
      <c r="L7" s="8">
        <v>0.65625</v>
      </c>
      <c r="M7" s="8">
        <v>0.64930555555555558</v>
      </c>
      <c r="N7" s="6">
        <v>3</v>
      </c>
      <c r="O7" s="6">
        <v>3</v>
      </c>
      <c r="P7" s="6">
        <v>0</v>
      </c>
      <c r="Q7" s="6">
        <v>0</v>
      </c>
      <c r="R7" s="2">
        <v>0</v>
      </c>
      <c r="S7" s="2">
        <v>0</v>
      </c>
      <c r="T7" s="2">
        <v>0</v>
      </c>
      <c r="U7" s="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"/>
  <sheetViews>
    <sheetView workbookViewId="0">
      <selection activeCell="H26" sqref="H26"/>
    </sheetView>
  </sheetViews>
  <sheetFormatPr defaultRowHeight="15" x14ac:dyDescent="0.25"/>
  <cols>
    <col min="1" max="1" width="10.140625" bestFit="1" customWidth="1"/>
    <col min="3" max="3" width="13.140625" bestFit="1" customWidth="1"/>
    <col min="6" max="6" width="12.140625" bestFit="1" customWidth="1"/>
    <col min="11" max="11" width="10.85546875" bestFit="1" customWidth="1"/>
    <col min="12" max="12" width="11" bestFit="1" customWidth="1"/>
    <col min="13" max="13" width="10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s="23" customFormat="1" ht="12.75" x14ac:dyDescent="0.2">
      <c r="A2" s="18">
        <v>44495</v>
      </c>
      <c r="B2" s="2" t="s">
        <v>20</v>
      </c>
      <c r="C2" s="2" t="s">
        <v>58</v>
      </c>
      <c r="D2" s="2" t="s">
        <v>21</v>
      </c>
      <c r="E2" s="2" t="s">
        <v>99</v>
      </c>
      <c r="F2" s="6" t="s">
        <v>22</v>
      </c>
      <c r="G2" s="6">
        <v>70000</v>
      </c>
      <c r="H2" s="2" t="s">
        <v>59</v>
      </c>
      <c r="I2" s="2" t="s">
        <v>60</v>
      </c>
      <c r="J2" s="3">
        <v>0.67361111111111116</v>
      </c>
      <c r="K2" s="4">
        <v>0.7006944444444444</v>
      </c>
      <c r="L2" s="3">
        <v>0.27430555555555552</v>
      </c>
      <c r="M2" s="4">
        <v>0.30833333333333335</v>
      </c>
      <c r="N2" s="2" t="s">
        <v>348</v>
      </c>
      <c r="O2" s="2" t="s">
        <v>338</v>
      </c>
      <c r="P2" s="2">
        <v>359</v>
      </c>
      <c r="Q2" s="2">
        <v>764</v>
      </c>
      <c r="R2" s="2">
        <v>0</v>
      </c>
      <c r="S2" s="2">
        <v>0</v>
      </c>
      <c r="T2" s="2">
        <v>0</v>
      </c>
      <c r="U2" s="2">
        <v>0</v>
      </c>
    </row>
    <row r="3" spans="1:21" s="23" customFormat="1" ht="12.75" x14ac:dyDescent="0.2">
      <c r="A3" s="18">
        <v>44495</v>
      </c>
      <c r="B3" s="2" t="s">
        <v>20</v>
      </c>
      <c r="C3" s="2" t="s">
        <v>61</v>
      </c>
      <c r="D3" s="2" t="s">
        <v>21</v>
      </c>
      <c r="E3" s="2" t="s">
        <v>316</v>
      </c>
      <c r="F3" s="6" t="s">
        <v>22</v>
      </c>
      <c r="G3" s="6">
        <v>70000</v>
      </c>
      <c r="H3" s="2" t="s">
        <v>62</v>
      </c>
      <c r="I3" s="2" t="s">
        <v>63</v>
      </c>
      <c r="J3" s="3">
        <v>0.56597222222222221</v>
      </c>
      <c r="K3" s="4">
        <v>0.65416666666666667</v>
      </c>
      <c r="L3" s="3">
        <v>0.3611111111111111</v>
      </c>
      <c r="M3" s="4">
        <v>0.46319444444444446</v>
      </c>
      <c r="N3" s="2" t="s">
        <v>344</v>
      </c>
      <c r="O3" s="2" t="s">
        <v>339</v>
      </c>
      <c r="P3" s="2">
        <v>395</v>
      </c>
      <c r="Q3" s="2">
        <v>823</v>
      </c>
      <c r="R3" s="2">
        <v>0</v>
      </c>
      <c r="S3" s="2">
        <v>0</v>
      </c>
      <c r="T3" s="2">
        <v>0</v>
      </c>
      <c r="U3" s="2">
        <v>0</v>
      </c>
    </row>
    <row r="4" spans="1:21" s="23" customFormat="1" ht="12.75" x14ac:dyDescent="0.2">
      <c r="A4" s="18">
        <v>44495</v>
      </c>
      <c r="B4" s="2" t="s">
        <v>20</v>
      </c>
      <c r="C4" s="2" t="s">
        <v>64</v>
      </c>
      <c r="D4" s="2" t="s">
        <v>21</v>
      </c>
      <c r="E4" s="2" t="s">
        <v>345</v>
      </c>
      <c r="F4" s="6" t="s">
        <v>22</v>
      </c>
      <c r="G4" s="6">
        <v>70000</v>
      </c>
      <c r="H4" s="2" t="s">
        <v>65</v>
      </c>
      <c r="I4" s="2" t="s">
        <v>66</v>
      </c>
      <c r="J4" s="3">
        <v>0.95486111111111116</v>
      </c>
      <c r="K4" s="4">
        <v>0.96250000000000002</v>
      </c>
      <c r="L4" s="3">
        <v>0.60069444444444442</v>
      </c>
      <c r="M4" s="4">
        <v>0.62361111111111112</v>
      </c>
      <c r="N4" s="2" t="s">
        <v>350</v>
      </c>
      <c r="O4" s="2" t="s">
        <v>299</v>
      </c>
      <c r="P4" s="2">
        <v>924</v>
      </c>
      <c r="Q4" s="2">
        <v>591</v>
      </c>
      <c r="R4" s="2">
        <v>0</v>
      </c>
      <c r="S4" s="2">
        <v>0</v>
      </c>
      <c r="T4" s="2">
        <v>0</v>
      </c>
      <c r="U4" s="2">
        <v>0</v>
      </c>
    </row>
    <row r="5" spans="1:21" s="23" customFormat="1" ht="12.75" x14ac:dyDescent="0.2">
      <c r="A5" s="18">
        <v>44495</v>
      </c>
      <c r="B5" s="2" t="s">
        <v>20</v>
      </c>
      <c r="C5" s="2" t="s">
        <v>55</v>
      </c>
      <c r="D5" s="2" t="s">
        <v>21</v>
      </c>
      <c r="E5" s="2" t="s">
        <v>346</v>
      </c>
      <c r="F5" s="6" t="s">
        <v>22</v>
      </c>
      <c r="G5" s="6">
        <v>70000</v>
      </c>
      <c r="H5" s="2" t="s">
        <v>56</v>
      </c>
      <c r="I5" s="2" t="s">
        <v>57</v>
      </c>
      <c r="J5" s="3">
        <v>0.90625</v>
      </c>
      <c r="K5" s="4">
        <v>0.89861111111111114</v>
      </c>
      <c r="L5" s="3">
        <v>0.72916666666666663</v>
      </c>
      <c r="M5" s="4">
        <v>0.7319444444444444</v>
      </c>
      <c r="N5" s="2" t="s">
        <v>349</v>
      </c>
      <c r="O5" s="2" t="s">
        <v>347</v>
      </c>
      <c r="P5" s="2">
        <v>597</v>
      </c>
      <c r="Q5" s="2">
        <v>1101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ht="12.75" x14ac:dyDescent="0.2">
      <c r="A6" s="18">
        <v>44495</v>
      </c>
      <c r="B6" s="2" t="s">
        <v>20</v>
      </c>
      <c r="C6" s="2" t="s">
        <v>340</v>
      </c>
      <c r="D6" s="2" t="s">
        <v>21</v>
      </c>
      <c r="E6" s="2" t="s">
        <v>341</v>
      </c>
      <c r="F6" s="6" t="s">
        <v>22</v>
      </c>
      <c r="G6" s="6">
        <v>70000</v>
      </c>
      <c r="H6" s="2" t="s">
        <v>343</v>
      </c>
      <c r="I6" s="2" t="s">
        <v>342</v>
      </c>
      <c r="J6" s="3">
        <v>0.58333333333333337</v>
      </c>
      <c r="K6" s="4">
        <v>0.58680555555555558</v>
      </c>
      <c r="L6" s="3">
        <v>0.97916666666666663</v>
      </c>
      <c r="M6" s="4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s="24" customFormat="1" x14ac:dyDescent="0.25"/>
    <row r="8" spans="1:21" s="24" customFormat="1" x14ac:dyDescent="0.25"/>
    <row r="9" spans="1:21" s="24" customFormat="1" x14ac:dyDescent="0.25"/>
    <row r="10" spans="1:21" s="24" customFormat="1" x14ac:dyDescent="0.25"/>
    <row r="11" spans="1:21" s="24" customFormat="1" x14ac:dyDescent="0.25"/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Views>
    <sheetView workbookViewId="0">
      <selection activeCell="K3" sqref="K3"/>
    </sheetView>
  </sheetViews>
  <sheetFormatPr defaultRowHeight="12.75" x14ac:dyDescent="0.2"/>
  <cols>
    <col min="1" max="1" width="9.28515625" style="2" customWidth="1"/>
    <col min="2" max="2" width="16.42578125" style="2" customWidth="1"/>
    <col min="3" max="3" width="13.5703125" style="2" bestFit="1" customWidth="1"/>
    <col min="4" max="4" width="7.5703125" style="2" customWidth="1"/>
    <col min="5" max="5" width="11.85546875" style="2" bestFit="1" customWidth="1"/>
    <col min="6" max="6" width="14.140625" style="2" customWidth="1"/>
    <col min="7" max="7" width="9.42578125" style="2" customWidth="1"/>
    <col min="8" max="8" width="10.42578125" style="2" customWidth="1"/>
    <col min="9" max="9" width="11.28515625" style="2" customWidth="1"/>
    <col min="10" max="10" width="10.42578125" style="2" customWidth="1"/>
    <col min="11" max="11" width="8" style="2" customWidth="1"/>
    <col min="12" max="14" width="9.140625" style="2"/>
    <col min="15" max="15" width="14.85546875" style="2" customWidth="1"/>
    <col min="16" max="16384" width="9.140625" style="2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">
      <c r="A2" s="5">
        <v>44496</v>
      </c>
      <c r="B2" s="6" t="s">
        <v>135</v>
      </c>
      <c r="C2" s="6" t="s">
        <v>26</v>
      </c>
      <c r="D2" s="6" t="s">
        <v>21</v>
      </c>
      <c r="E2" s="6" t="s">
        <v>351</v>
      </c>
      <c r="F2" s="6" t="s">
        <v>22</v>
      </c>
      <c r="G2" s="6">
        <v>70000</v>
      </c>
      <c r="H2" s="6" t="s">
        <v>27</v>
      </c>
      <c r="I2" s="6" t="s">
        <v>28</v>
      </c>
      <c r="J2" s="3">
        <v>0.75347222222222221</v>
      </c>
      <c r="K2" s="4">
        <v>0.7583333333333333</v>
      </c>
      <c r="L2" s="3">
        <v>0.3125</v>
      </c>
      <c r="M2" s="4">
        <v>0.31458333333333333</v>
      </c>
      <c r="N2" s="2" t="s">
        <v>357</v>
      </c>
      <c r="O2" s="2" t="s">
        <v>352</v>
      </c>
      <c r="P2" s="2">
        <v>581</v>
      </c>
      <c r="Q2" s="2">
        <v>635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">
      <c r="A3" s="5">
        <v>44496</v>
      </c>
      <c r="B3" s="6" t="s">
        <v>135</v>
      </c>
      <c r="C3" s="6" t="s">
        <v>32</v>
      </c>
      <c r="D3" s="6" t="s">
        <v>21</v>
      </c>
      <c r="E3" s="6" t="s">
        <v>99</v>
      </c>
      <c r="F3" s="6" t="s">
        <v>22</v>
      </c>
      <c r="G3" s="6">
        <v>70000</v>
      </c>
      <c r="H3" s="6" t="s">
        <v>33</v>
      </c>
      <c r="I3" s="6" t="s">
        <v>34</v>
      </c>
      <c r="J3" s="7">
        <v>0.70138888888888884</v>
      </c>
      <c r="K3" s="8">
        <v>0.70694444444444438</v>
      </c>
      <c r="L3" s="7">
        <v>0.52083333333333337</v>
      </c>
      <c r="M3" s="4">
        <v>0.53194444444444444</v>
      </c>
      <c r="N3" s="2" t="s">
        <v>356</v>
      </c>
      <c r="O3" s="2" t="s">
        <v>353</v>
      </c>
      <c r="P3" s="2">
        <v>705</v>
      </c>
      <c r="Q3" s="2">
        <v>820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">
      <c r="A4" s="5">
        <v>44496</v>
      </c>
      <c r="B4" s="6" t="s">
        <v>354</v>
      </c>
      <c r="C4" s="6" t="s">
        <v>329</v>
      </c>
      <c r="D4" s="6" t="s">
        <v>330</v>
      </c>
      <c r="E4" s="6" t="s">
        <v>331</v>
      </c>
      <c r="F4" s="6" t="s">
        <v>355</v>
      </c>
      <c r="G4" s="6">
        <v>1250</v>
      </c>
      <c r="H4" s="6" t="s">
        <v>331</v>
      </c>
      <c r="I4" s="6" t="s">
        <v>331</v>
      </c>
      <c r="J4" s="3">
        <v>0.5</v>
      </c>
      <c r="K4" s="4">
        <v>0.50624999999999998</v>
      </c>
      <c r="L4" s="3">
        <v>0.51041666666666663</v>
      </c>
      <c r="M4" s="8">
        <v>0.52361111111111114</v>
      </c>
      <c r="N4" s="6">
        <v>0</v>
      </c>
      <c r="O4" s="6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8"/>
      <c r="M5" s="22"/>
      <c r="N5" s="22"/>
      <c r="O5" s="22"/>
      <c r="P5" s="22"/>
      <c r="Q5" s="22"/>
      <c r="R5" s="22"/>
    </row>
    <row r="6" spans="1:24" x14ac:dyDescent="0.2">
      <c r="A6" s="18"/>
      <c r="I6" s="6"/>
      <c r="J6" s="7"/>
      <c r="K6" s="8"/>
      <c r="L6" s="7"/>
      <c r="M6" s="22"/>
      <c r="N6" s="22"/>
      <c r="O6" s="22"/>
      <c r="P6" s="22"/>
      <c r="Q6" s="22"/>
      <c r="R6" s="22"/>
    </row>
    <row r="7" spans="1:24" x14ac:dyDescent="0.2">
      <c r="I7" s="6"/>
      <c r="J7" s="6"/>
      <c r="K7" s="6"/>
      <c r="L7" s="6"/>
      <c r="M7" s="22"/>
      <c r="N7" s="22"/>
      <c r="O7" s="22"/>
      <c r="P7" s="22"/>
      <c r="Q7" s="22"/>
      <c r="R7" s="22"/>
    </row>
    <row r="8" spans="1:24" x14ac:dyDescent="0.2">
      <c r="M8" s="22"/>
      <c r="N8" s="22"/>
      <c r="O8" s="22"/>
      <c r="P8" s="22"/>
      <c r="Q8" s="22"/>
      <c r="R8" s="22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>
      <selection activeCell="J4" sqref="J4"/>
    </sheetView>
  </sheetViews>
  <sheetFormatPr defaultRowHeight="15" x14ac:dyDescent="0.25"/>
  <cols>
    <col min="3" max="3" width="13.140625" bestFit="1" customWidth="1"/>
    <col min="5" max="6" width="15.710937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x14ac:dyDescent="0.25">
      <c r="A2" s="5">
        <v>44497</v>
      </c>
      <c r="B2" s="6" t="s">
        <v>20</v>
      </c>
      <c r="C2" s="6" t="s">
        <v>58</v>
      </c>
      <c r="D2" s="6" t="s">
        <v>21</v>
      </c>
      <c r="E2" s="6" t="s">
        <v>361</v>
      </c>
      <c r="F2" s="6" t="s">
        <v>22</v>
      </c>
      <c r="G2" s="11">
        <v>70000</v>
      </c>
      <c r="H2" s="6" t="s">
        <v>59</v>
      </c>
      <c r="I2" s="6" t="s">
        <v>60</v>
      </c>
      <c r="J2" s="7">
        <v>0.67361111111111116</v>
      </c>
      <c r="K2" s="8">
        <v>0.7416666666666667</v>
      </c>
      <c r="L2" s="7">
        <v>0.27430555555555552</v>
      </c>
      <c r="M2" s="8">
        <v>0.43333333333333335</v>
      </c>
      <c r="N2" s="6" t="s">
        <v>367</v>
      </c>
      <c r="O2" s="6" t="s">
        <v>359</v>
      </c>
      <c r="P2" s="6">
        <v>816</v>
      </c>
      <c r="Q2" s="2">
        <v>546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5">
      <c r="A3" s="5">
        <v>44497</v>
      </c>
      <c r="B3" s="5" t="s">
        <v>20</v>
      </c>
      <c r="C3" s="6" t="s">
        <v>88</v>
      </c>
      <c r="D3" s="6" t="s">
        <v>21</v>
      </c>
      <c r="E3" s="6" t="s">
        <v>358</v>
      </c>
      <c r="F3" s="6" t="s">
        <v>22</v>
      </c>
      <c r="G3" s="11">
        <v>70000</v>
      </c>
      <c r="H3" s="6" t="s">
        <v>89</v>
      </c>
      <c r="I3" s="6" t="s">
        <v>90</v>
      </c>
      <c r="J3" s="7">
        <v>0.67361111111111116</v>
      </c>
      <c r="K3" s="8">
        <v>0.67083333333333339</v>
      </c>
      <c r="L3" s="7">
        <v>0.4826388888888889</v>
      </c>
      <c r="M3" s="8">
        <v>0.48888888888888887</v>
      </c>
      <c r="N3" s="6" t="s">
        <v>368</v>
      </c>
      <c r="O3" s="6" t="s">
        <v>360</v>
      </c>
      <c r="P3" s="6">
        <v>965</v>
      </c>
      <c r="Q3" s="2">
        <v>608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x14ac:dyDescent="0.25">
      <c r="A4" s="5">
        <v>44497</v>
      </c>
      <c r="B4" s="2" t="s">
        <v>147</v>
      </c>
      <c r="C4" s="2" t="s">
        <v>91</v>
      </c>
      <c r="D4" s="2" t="s">
        <v>21</v>
      </c>
      <c r="E4" s="6" t="s">
        <v>358</v>
      </c>
      <c r="F4" s="2" t="s">
        <v>22</v>
      </c>
      <c r="G4" s="13">
        <v>70000</v>
      </c>
      <c r="H4" s="2" t="s">
        <v>92</v>
      </c>
      <c r="I4" s="2" t="s">
        <v>93</v>
      </c>
      <c r="J4" s="3">
        <v>0.90972222222222221</v>
      </c>
      <c r="K4" s="4">
        <v>0.90972222222222221</v>
      </c>
      <c r="L4" s="3">
        <v>0.69444444444444453</v>
      </c>
      <c r="M4" s="4">
        <v>0.70277777777777783</v>
      </c>
      <c r="N4" s="6" t="s">
        <v>369</v>
      </c>
      <c r="O4" s="6" t="s">
        <v>240</v>
      </c>
      <c r="P4" s="6">
        <v>228</v>
      </c>
      <c r="Q4" s="2">
        <v>757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s="2" customFormat="1" ht="12.75" x14ac:dyDescent="0.2">
      <c r="A5" s="5">
        <v>44497</v>
      </c>
      <c r="B5" s="2" t="s">
        <v>147</v>
      </c>
      <c r="C5" s="2" t="s">
        <v>362</v>
      </c>
      <c r="D5" s="2" t="s">
        <v>21</v>
      </c>
      <c r="E5" s="2" t="s">
        <v>99</v>
      </c>
      <c r="F5" s="2" t="s">
        <v>365</v>
      </c>
      <c r="G5" s="13">
        <v>70000</v>
      </c>
      <c r="H5" s="2" t="s">
        <v>364</v>
      </c>
      <c r="I5" s="2" t="s">
        <v>219</v>
      </c>
      <c r="J5" s="4">
        <v>0.67361111111111116</v>
      </c>
      <c r="K5" s="4">
        <v>0.6777777777777777</v>
      </c>
      <c r="L5" s="2" t="s">
        <v>219</v>
      </c>
      <c r="M5" s="2" t="s">
        <v>219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s="2" customFormat="1" ht="12.75" x14ac:dyDescent="0.2">
      <c r="A6" s="5">
        <v>44497</v>
      </c>
      <c r="B6" s="2" t="s">
        <v>147</v>
      </c>
      <c r="C6" s="2" t="s">
        <v>363</v>
      </c>
      <c r="D6" s="2" t="s">
        <v>21</v>
      </c>
      <c r="E6" s="2" t="s">
        <v>214</v>
      </c>
      <c r="F6" s="2" t="s">
        <v>366</v>
      </c>
      <c r="G6" s="13">
        <v>70000</v>
      </c>
      <c r="H6" s="2" t="s">
        <v>219</v>
      </c>
      <c r="I6" s="2" t="s">
        <v>143</v>
      </c>
      <c r="J6" s="2" t="s">
        <v>219</v>
      </c>
      <c r="K6" s="2" t="s">
        <v>219</v>
      </c>
      <c r="L6" s="4">
        <v>0.73611111111111116</v>
      </c>
      <c r="M6" s="4">
        <v>0.76874999999999993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x14ac:dyDescent="0.25">
      <c r="H7" s="2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E12" sqref="E12"/>
    </sheetView>
  </sheetViews>
  <sheetFormatPr defaultRowHeight="15" x14ac:dyDescent="0.25"/>
  <cols>
    <col min="11" max="11" width="11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 s="5">
        <v>44498</v>
      </c>
      <c r="B2" s="6" t="s">
        <v>20</v>
      </c>
      <c r="C2" s="6" t="s">
        <v>23</v>
      </c>
      <c r="D2" s="6" t="s">
        <v>21</v>
      </c>
      <c r="E2" s="6" t="s">
        <v>99</v>
      </c>
      <c r="F2" s="6" t="s">
        <v>22</v>
      </c>
      <c r="G2" s="6">
        <v>70000</v>
      </c>
      <c r="H2" s="6" t="s">
        <v>24</v>
      </c>
      <c r="I2" s="6" t="s">
        <v>25</v>
      </c>
      <c r="J2" s="7">
        <v>0.45833333333333331</v>
      </c>
      <c r="K2" s="8" t="s">
        <v>372</v>
      </c>
      <c r="L2" s="7">
        <v>0.25694444444444448</v>
      </c>
      <c r="M2" s="8" t="s">
        <v>372</v>
      </c>
      <c r="N2" s="6">
        <v>0</v>
      </c>
      <c r="O2" s="6">
        <v>0</v>
      </c>
      <c r="P2" s="6">
        <v>0</v>
      </c>
      <c r="Q2" s="6">
        <v>0</v>
      </c>
      <c r="R2" s="2">
        <v>0</v>
      </c>
      <c r="S2" s="2">
        <v>0</v>
      </c>
      <c r="T2" s="2">
        <v>0</v>
      </c>
      <c r="U2" s="2">
        <v>0</v>
      </c>
    </row>
    <row r="3" spans="1:21" x14ac:dyDescent="0.25">
      <c r="A3" s="5">
        <v>44498</v>
      </c>
      <c r="B3" s="5" t="s">
        <v>20</v>
      </c>
      <c r="C3" s="6" t="s">
        <v>85</v>
      </c>
      <c r="D3" s="6" t="s">
        <v>21</v>
      </c>
      <c r="E3" s="6" t="s">
        <v>358</v>
      </c>
      <c r="F3" s="6" t="s">
        <v>22</v>
      </c>
      <c r="G3" s="6">
        <v>70000</v>
      </c>
      <c r="H3" s="6" t="s">
        <v>86</v>
      </c>
      <c r="I3" s="6" t="s">
        <v>87</v>
      </c>
      <c r="J3" s="7">
        <v>0.43402777777777773</v>
      </c>
      <c r="K3" s="8">
        <v>0.59513888888888888</v>
      </c>
      <c r="L3" s="7">
        <v>0.28472222222222221</v>
      </c>
      <c r="M3" s="8">
        <v>0.4694444444444445</v>
      </c>
      <c r="N3" s="6" t="s">
        <v>373</v>
      </c>
      <c r="O3" s="6" t="s">
        <v>370</v>
      </c>
      <c r="P3" s="6">
        <v>701</v>
      </c>
      <c r="Q3" s="6">
        <v>606</v>
      </c>
      <c r="R3" s="6">
        <v>0</v>
      </c>
      <c r="S3" s="6">
        <v>0</v>
      </c>
      <c r="T3" s="6">
        <v>0</v>
      </c>
      <c r="U3" s="6">
        <v>0</v>
      </c>
    </row>
    <row r="4" spans="1:21" x14ac:dyDescent="0.25">
      <c r="A4" s="5">
        <v>44498</v>
      </c>
      <c r="B4" s="6" t="s">
        <v>20</v>
      </c>
      <c r="C4" s="6" t="s">
        <v>26</v>
      </c>
      <c r="D4" s="6" t="s">
        <v>21</v>
      </c>
      <c r="E4" s="6" t="s">
        <v>358</v>
      </c>
      <c r="F4" s="6" t="s">
        <v>22</v>
      </c>
      <c r="G4" s="6">
        <v>70000</v>
      </c>
      <c r="H4" s="6" t="s">
        <v>27</v>
      </c>
      <c r="I4" s="6" t="s">
        <v>28</v>
      </c>
      <c r="J4" s="7">
        <v>0.90277777777777779</v>
      </c>
      <c r="K4" s="8">
        <v>0.8965277777777777</v>
      </c>
      <c r="L4" s="7">
        <v>0.61805555555555558</v>
      </c>
      <c r="M4" s="8">
        <v>0.62916666666666665</v>
      </c>
      <c r="N4" s="6" t="s">
        <v>326</v>
      </c>
      <c r="O4" s="6" t="s">
        <v>374</v>
      </c>
      <c r="P4" s="6">
        <v>803</v>
      </c>
      <c r="Q4" s="6">
        <v>1035</v>
      </c>
      <c r="R4" s="2">
        <v>0</v>
      </c>
      <c r="S4" s="2">
        <v>0</v>
      </c>
      <c r="T4" s="2">
        <v>0</v>
      </c>
      <c r="U4" s="2">
        <v>0</v>
      </c>
    </row>
    <row r="5" spans="1:21" x14ac:dyDescent="0.25">
      <c r="A5" s="5">
        <v>44498</v>
      </c>
      <c r="B5" s="6" t="s">
        <v>20</v>
      </c>
      <c r="C5" s="6" t="s">
        <v>29</v>
      </c>
      <c r="D5" s="6" t="s">
        <v>21</v>
      </c>
      <c r="E5" s="6" t="s">
        <v>99</v>
      </c>
      <c r="F5" s="6" t="s">
        <v>22</v>
      </c>
      <c r="G5" s="6">
        <v>70000</v>
      </c>
      <c r="H5" s="6" t="s">
        <v>30</v>
      </c>
      <c r="I5" s="6" t="s">
        <v>31</v>
      </c>
      <c r="J5" s="7">
        <v>0.71875</v>
      </c>
      <c r="K5" s="8">
        <v>0.75</v>
      </c>
      <c r="L5" s="7">
        <v>0.51041666666666663</v>
      </c>
      <c r="M5" s="8">
        <v>0.52152777777777781</v>
      </c>
      <c r="N5" s="6" t="s">
        <v>189</v>
      </c>
      <c r="O5" s="6" t="s">
        <v>371</v>
      </c>
      <c r="P5" s="6">
        <v>685</v>
      </c>
      <c r="Q5" s="6">
        <v>1177</v>
      </c>
      <c r="R5" s="2">
        <v>0</v>
      </c>
      <c r="S5" s="2">
        <v>0</v>
      </c>
      <c r="T5" s="2">
        <v>0</v>
      </c>
      <c r="U5" s="2">
        <v>0</v>
      </c>
    </row>
    <row r="6" spans="1:21" x14ac:dyDescent="0.25">
      <c r="A6" s="5">
        <v>44498</v>
      </c>
      <c r="B6" s="6" t="s">
        <v>20</v>
      </c>
      <c r="C6" s="6" t="s">
        <v>32</v>
      </c>
      <c r="D6" s="6" t="s">
        <v>21</v>
      </c>
      <c r="E6" s="6" t="s">
        <v>99</v>
      </c>
      <c r="F6" s="6" t="s">
        <v>22</v>
      </c>
      <c r="G6" s="6">
        <v>70000</v>
      </c>
      <c r="H6" s="6" t="s">
        <v>33</v>
      </c>
      <c r="I6" s="6" t="s">
        <v>34</v>
      </c>
      <c r="J6" s="3">
        <v>0.92013888888888884</v>
      </c>
      <c r="K6" s="8" t="s">
        <v>375</v>
      </c>
      <c r="L6" s="3">
        <v>0.73958333333333337</v>
      </c>
      <c r="M6" s="4">
        <v>0.78472222222222221</v>
      </c>
      <c r="N6" s="6"/>
      <c r="O6" s="6" t="s">
        <v>104</v>
      </c>
      <c r="P6" s="6"/>
      <c r="Q6" s="2">
        <v>943</v>
      </c>
      <c r="R6" s="2">
        <v>0</v>
      </c>
      <c r="S6" s="2">
        <v>0</v>
      </c>
      <c r="T6" s="2">
        <v>0</v>
      </c>
      <c r="U6" s="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C18" sqref="C18"/>
    </sheetView>
  </sheetViews>
  <sheetFormatPr defaultRowHeight="12.75" x14ac:dyDescent="0.25"/>
  <cols>
    <col min="1" max="1" width="10.85546875" style="6" customWidth="1"/>
    <col min="2" max="2" width="10.5703125" style="6" customWidth="1"/>
    <col min="3" max="3" width="12.42578125" style="6" customWidth="1"/>
    <col min="4" max="4" width="8.5703125" style="6" customWidth="1"/>
    <col min="5" max="5" width="9.42578125" style="6" customWidth="1"/>
    <col min="6" max="6" width="14.42578125" style="6" bestFit="1" customWidth="1"/>
    <col min="7" max="8" width="9.140625" style="6"/>
    <col min="9" max="9" width="10.5703125" style="6" customWidth="1"/>
    <col min="10" max="10" width="9.140625" style="6"/>
    <col min="11" max="11" width="10.28515625" style="6" customWidth="1"/>
    <col min="12" max="13" width="9.140625" style="6"/>
    <col min="14" max="14" width="14.28515625" style="6" customWidth="1"/>
    <col min="15" max="15" width="14.140625" style="6" customWidth="1"/>
    <col min="16" max="16384" width="9.140625" style="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ht="15" customHeight="1" x14ac:dyDescent="0.25">
      <c r="A2" s="5">
        <v>44499</v>
      </c>
      <c r="B2" s="6" t="s">
        <v>20</v>
      </c>
      <c r="C2" s="6" t="s">
        <v>58</v>
      </c>
      <c r="D2" s="6" t="s">
        <v>21</v>
      </c>
      <c r="E2" s="6" t="s">
        <v>358</v>
      </c>
      <c r="F2" s="6" t="s">
        <v>22</v>
      </c>
      <c r="G2" s="6">
        <v>70000</v>
      </c>
      <c r="H2" s="6" t="s">
        <v>59</v>
      </c>
      <c r="I2" s="6" t="s">
        <v>60</v>
      </c>
      <c r="J2" s="7">
        <v>0.4375</v>
      </c>
      <c r="K2" s="25"/>
      <c r="L2" s="7">
        <v>0.27083333333333331</v>
      </c>
      <c r="M2" s="30" t="s">
        <v>376</v>
      </c>
      <c r="N2" s="30"/>
      <c r="O2" s="30"/>
      <c r="P2" s="30"/>
      <c r="Q2" s="30"/>
      <c r="R2" s="6">
        <v>0</v>
      </c>
      <c r="S2" s="6">
        <v>0</v>
      </c>
      <c r="T2" s="6">
        <v>0</v>
      </c>
    </row>
    <row r="3" spans="1:21" ht="15" customHeight="1" x14ac:dyDescent="0.25">
      <c r="A3" s="5">
        <v>44499</v>
      </c>
      <c r="B3" s="6" t="s">
        <v>20</v>
      </c>
      <c r="C3" s="6" t="s">
        <v>55</v>
      </c>
      <c r="D3" s="6" t="s">
        <v>21</v>
      </c>
      <c r="E3" s="6" t="s">
        <v>377</v>
      </c>
      <c r="F3" s="6" t="s">
        <v>22</v>
      </c>
      <c r="G3" s="6">
        <v>70000</v>
      </c>
      <c r="H3" s="6" t="s">
        <v>56</v>
      </c>
      <c r="I3" s="6" t="s">
        <v>57</v>
      </c>
      <c r="J3" s="7">
        <v>0.57291666666666663</v>
      </c>
      <c r="K3" s="25">
        <v>0.79027777777777775</v>
      </c>
      <c r="L3" s="7">
        <v>0.39583333333333331</v>
      </c>
      <c r="M3" s="25">
        <v>0.60277777777777775</v>
      </c>
      <c r="N3" s="6" t="s">
        <v>309</v>
      </c>
      <c r="O3" s="6" t="s">
        <v>381</v>
      </c>
      <c r="P3" s="6">
        <v>1162</v>
      </c>
      <c r="Q3" s="6">
        <v>842</v>
      </c>
      <c r="R3" s="6">
        <v>0</v>
      </c>
      <c r="S3" s="6">
        <v>0</v>
      </c>
      <c r="T3" s="6">
        <v>0</v>
      </c>
    </row>
    <row r="4" spans="1:21" ht="15" customHeight="1" x14ac:dyDescent="0.25">
      <c r="A4" s="5">
        <v>44499</v>
      </c>
      <c r="B4" s="6" t="s">
        <v>20</v>
      </c>
      <c r="C4" s="6" t="s">
        <v>88</v>
      </c>
      <c r="D4" s="6" t="s">
        <v>21</v>
      </c>
      <c r="E4" s="6" t="s">
        <v>358</v>
      </c>
      <c r="F4" s="6" t="s">
        <v>22</v>
      </c>
      <c r="G4" s="6">
        <v>70000</v>
      </c>
      <c r="H4" s="6" t="s">
        <v>89</v>
      </c>
      <c r="I4" s="6" t="s">
        <v>90</v>
      </c>
      <c r="J4" s="7">
        <v>0.67361111111111116</v>
      </c>
      <c r="K4" s="25">
        <v>0.71527777777777779</v>
      </c>
      <c r="L4" s="7">
        <v>0.4826388888888889</v>
      </c>
      <c r="M4" s="25">
        <v>0.53055555555555556</v>
      </c>
      <c r="N4" s="6" t="s">
        <v>326</v>
      </c>
      <c r="O4" s="6" t="s">
        <v>380</v>
      </c>
      <c r="P4" s="6">
        <v>1114</v>
      </c>
      <c r="Q4" s="6">
        <v>989</v>
      </c>
      <c r="R4" s="6">
        <v>0</v>
      </c>
      <c r="S4" s="6">
        <v>0</v>
      </c>
      <c r="T4" s="6">
        <v>0</v>
      </c>
    </row>
    <row r="5" spans="1:21" ht="15" customHeight="1" x14ac:dyDescent="0.25">
      <c r="A5" s="5">
        <v>44499</v>
      </c>
      <c r="B5" s="5" t="s">
        <v>20</v>
      </c>
      <c r="C5" s="6" t="s">
        <v>91</v>
      </c>
      <c r="D5" s="6" t="s">
        <v>21</v>
      </c>
      <c r="E5" s="6" t="s">
        <v>99</v>
      </c>
      <c r="F5" s="6" t="s">
        <v>22</v>
      </c>
      <c r="G5" s="6">
        <v>70000</v>
      </c>
      <c r="H5" s="6" t="s">
        <v>92</v>
      </c>
      <c r="I5" s="6" t="s">
        <v>93</v>
      </c>
      <c r="J5" s="7">
        <v>0.82638888888888884</v>
      </c>
      <c r="K5" s="25">
        <v>0.85625000000000007</v>
      </c>
      <c r="L5" s="7">
        <v>0.61111111111111105</v>
      </c>
      <c r="M5" s="25">
        <v>0.65</v>
      </c>
      <c r="N5" s="6" t="s">
        <v>391</v>
      </c>
      <c r="O5" s="6" t="s">
        <v>382</v>
      </c>
      <c r="P5" s="6">
        <v>320</v>
      </c>
      <c r="Q5" s="6">
        <v>671</v>
      </c>
      <c r="R5" s="6">
        <v>0</v>
      </c>
      <c r="S5" s="6">
        <v>0</v>
      </c>
      <c r="T5" s="6">
        <v>0</v>
      </c>
    </row>
    <row r="6" spans="1:21" ht="15" customHeight="1" x14ac:dyDescent="0.25">
      <c r="A6" s="5">
        <v>44499</v>
      </c>
      <c r="B6" s="9" t="s">
        <v>20</v>
      </c>
      <c r="C6" s="9" t="s">
        <v>67</v>
      </c>
      <c r="D6" s="9" t="s">
        <v>21</v>
      </c>
      <c r="E6" s="6" t="s">
        <v>358</v>
      </c>
      <c r="F6" s="10" t="s">
        <v>22</v>
      </c>
      <c r="G6" s="11">
        <v>70000</v>
      </c>
      <c r="H6" s="10" t="s">
        <v>68</v>
      </c>
      <c r="I6" s="10" t="s">
        <v>69</v>
      </c>
      <c r="J6" s="7">
        <v>0.90972222222222221</v>
      </c>
      <c r="K6" s="25" t="s">
        <v>392</v>
      </c>
      <c r="L6" s="7">
        <v>0.69444444444444453</v>
      </c>
      <c r="M6" s="25">
        <v>0.74583333333333324</v>
      </c>
      <c r="O6" s="6" t="s">
        <v>334</v>
      </c>
      <c r="Q6" s="6">
        <v>1281</v>
      </c>
      <c r="R6" s="6">
        <v>0</v>
      </c>
      <c r="S6" s="6">
        <v>0</v>
      </c>
      <c r="T6" s="6">
        <v>0</v>
      </c>
    </row>
    <row r="7" spans="1:21" ht="15" customHeight="1" x14ac:dyDescent="0.25">
      <c r="A7" s="5">
        <v>44499</v>
      </c>
      <c r="B7" s="6" t="s">
        <v>20</v>
      </c>
      <c r="C7" s="6" t="s">
        <v>378</v>
      </c>
      <c r="D7" s="6" t="s">
        <v>21</v>
      </c>
      <c r="E7" s="6" t="s">
        <v>358</v>
      </c>
      <c r="F7" s="6" t="s">
        <v>94</v>
      </c>
      <c r="G7" s="11">
        <v>70000</v>
      </c>
      <c r="H7" s="6" t="s">
        <v>364</v>
      </c>
      <c r="I7" s="6" t="s">
        <v>379</v>
      </c>
      <c r="J7" s="7">
        <v>0.4236111111111111</v>
      </c>
      <c r="K7" s="25">
        <v>0.41875000000000001</v>
      </c>
      <c r="L7" s="7">
        <v>0.63541666666666663</v>
      </c>
      <c r="M7" s="25">
        <v>0.8222222222222223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</row>
    <row r="8" spans="1:21" x14ac:dyDescent="0.25">
      <c r="A8" s="5">
        <v>44499</v>
      </c>
      <c r="B8" s="6" t="s">
        <v>20</v>
      </c>
      <c r="C8" s="6" t="s">
        <v>384</v>
      </c>
      <c r="D8" s="6" t="s">
        <v>21</v>
      </c>
      <c r="E8" s="6" t="s">
        <v>99</v>
      </c>
      <c r="F8" s="6" t="s">
        <v>383</v>
      </c>
      <c r="G8" s="11">
        <v>70000</v>
      </c>
      <c r="H8" s="6" t="s">
        <v>142</v>
      </c>
      <c r="I8" s="6" t="s">
        <v>219</v>
      </c>
      <c r="J8" s="7">
        <v>0.64236111111111105</v>
      </c>
      <c r="K8" s="25">
        <v>0.61249999999999993</v>
      </c>
      <c r="L8" s="6" t="s">
        <v>219</v>
      </c>
      <c r="M8" s="6" t="s">
        <v>219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</row>
    <row r="9" spans="1:21" x14ac:dyDescent="0.25">
      <c r="A9" s="5">
        <v>44499</v>
      </c>
      <c r="B9" s="6" t="s">
        <v>20</v>
      </c>
      <c r="C9" s="6" t="s">
        <v>385</v>
      </c>
      <c r="D9" s="6" t="s">
        <v>386</v>
      </c>
      <c r="E9" s="6" t="s">
        <v>387</v>
      </c>
      <c r="F9" s="6" t="s">
        <v>388</v>
      </c>
      <c r="G9" s="11">
        <v>83000</v>
      </c>
      <c r="H9" s="6" t="s">
        <v>389</v>
      </c>
      <c r="I9" s="6" t="s">
        <v>390</v>
      </c>
      <c r="J9" s="6" t="s">
        <v>219</v>
      </c>
      <c r="K9" s="25">
        <v>0.78263888888888899</v>
      </c>
      <c r="L9" s="7">
        <v>0.8125</v>
      </c>
      <c r="M9" s="25">
        <v>0.81944444444444453</v>
      </c>
      <c r="N9" s="6" t="s">
        <v>393</v>
      </c>
      <c r="O9" s="6">
        <v>0</v>
      </c>
      <c r="P9" s="6">
        <v>765</v>
      </c>
      <c r="Q9" s="6">
        <v>0</v>
      </c>
      <c r="R9" s="6">
        <v>0</v>
      </c>
      <c r="S9" s="6">
        <v>0</v>
      </c>
      <c r="T9" s="6">
        <v>0</v>
      </c>
    </row>
    <row r="10" spans="1:21" x14ac:dyDescent="0.25">
      <c r="A10" s="5"/>
      <c r="G10" s="11"/>
      <c r="M10" s="25"/>
    </row>
  </sheetData>
  <mergeCells count="1">
    <mergeCell ref="M2:Q2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workbookViewId="0">
      <selection activeCell="G9" sqref="G9"/>
    </sheetView>
  </sheetViews>
  <sheetFormatPr defaultRowHeight="15" x14ac:dyDescent="0.25"/>
  <cols>
    <col min="1" max="1" width="12.42578125" customWidth="1"/>
    <col min="2" max="2" width="11.5703125" customWidth="1"/>
    <col min="3" max="3" width="15.85546875" customWidth="1"/>
    <col min="6" max="6" width="14.8554687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17</v>
      </c>
      <c r="W1" s="1" t="s">
        <v>18</v>
      </c>
      <c r="X1" s="1" t="s">
        <v>19</v>
      </c>
    </row>
    <row r="2" spans="1:24" s="23" customFormat="1" ht="12.75" x14ac:dyDescent="0.2">
      <c r="A2" s="18">
        <v>44500</v>
      </c>
      <c r="B2" s="2" t="s">
        <v>20</v>
      </c>
      <c r="C2" s="2" t="s">
        <v>64</v>
      </c>
      <c r="D2" s="2" t="s">
        <v>21</v>
      </c>
      <c r="E2" s="2" t="s">
        <v>99</v>
      </c>
      <c r="F2" s="6" t="s">
        <v>22</v>
      </c>
      <c r="G2" s="6">
        <v>70000</v>
      </c>
      <c r="H2" s="2" t="s">
        <v>65</v>
      </c>
      <c r="I2" s="2" t="s">
        <v>66</v>
      </c>
      <c r="J2" s="3">
        <v>0.75</v>
      </c>
      <c r="K2" s="4">
        <v>0.77638888888888891</v>
      </c>
      <c r="L2" s="3">
        <v>0.37847222222222227</v>
      </c>
      <c r="M2" s="4">
        <v>0.4236111111111111</v>
      </c>
      <c r="N2" s="2" t="s">
        <v>404</v>
      </c>
      <c r="O2" s="2" t="s">
        <v>350</v>
      </c>
      <c r="P2" s="2">
        <v>818</v>
      </c>
      <c r="Q2" s="2">
        <v>1063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x14ac:dyDescent="0.25">
      <c r="A3" s="18">
        <v>44500</v>
      </c>
      <c r="B3" s="6" t="s">
        <v>20</v>
      </c>
      <c r="C3" s="6" t="s">
        <v>52</v>
      </c>
      <c r="D3" s="6" t="s">
        <v>21</v>
      </c>
      <c r="E3" s="6" t="s">
        <v>394</v>
      </c>
      <c r="F3" s="6" t="s">
        <v>22</v>
      </c>
      <c r="G3" s="6">
        <v>70000</v>
      </c>
      <c r="H3" s="6" t="s">
        <v>53</v>
      </c>
      <c r="I3" s="6" t="s">
        <v>54</v>
      </c>
      <c r="J3" s="7">
        <v>0.5</v>
      </c>
      <c r="K3" s="26">
        <v>0.52986111111111112</v>
      </c>
      <c r="L3" s="7">
        <v>0.52083333333333337</v>
      </c>
      <c r="M3" s="26">
        <v>0.56527777777777777</v>
      </c>
      <c r="N3" s="2" t="s">
        <v>399</v>
      </c>
      <c r="O3" s="2" t="s">
        <v>400</v>
      </c>
      <c r="P3" s="6">
        <v>495</v>
      </c>
      <c r="Q3" s="6">
        <v>908</v>
      </c>
      <c r="R3" s="6">
        <v>0</v>
      </c>
      <c r="S3" s="6">
        <v>0</v>
      </c>
      <c r="T3" s="6">
        <v>0</v>
      </c>
      <c r="U3" s="6">
        <v>0</v>
      </c>
      <c r="V3" s="2">
        <v>0</v>
      </c>
      <c r="W3" s="2">
        <v>0</v>
      </c>
      <c r="X3" s="31">
        <v>0</v>
      </c>
    </row>
    <row r="4" spans="1:24" s="23" customFormat="1" ht="12.75" x14ac:dyDescent="0.2">
      <c r="A4" s="18">
        <v>44500</v>
      </c>
      <c r="B4" s="2" t="s">
        <v>20</v>
      </c>
      <c r="C4" s="2" t="s">
        <v>61</v>
      </c>
      <c r="D4" s="2" t="s">
        <v>21</v>
      </c>
      <c r="E4" s="2" t="s">
        <v>358</v>
      </c>
      <c r="F4" s="6" t="s">
        <v>22</v>
      </c>
      <c r="G4" s="6">
        <v>70000</v>
      </c>
      <c r="H4" s="2" t="s">
        <v>62</v>
      </c>
      <c r="I4" s="2" t="s">
        <v>63</v>
      </c>
      <c r="J4" s="3">
        <v>0.6875</v>
      </c>
      <c r="K4" s="4">
        <v>0.71319444444444446</v>
      </c>
      <c r="L4" s="3">
        <v>0.47916666666666669</v>
      </c>
      <c r="M4" s="4">
        <v>0.49583333333333335</v>
      </c>
      <c r="N4" s="2" t="s">
        <v>402</v>
      </c>
      <c r="O4" s="2" t="s">
        <v>397</v>
      </c>
      <c r="P4" s="2">
        <v>559</v>
      </c>
      <c r="Q4" s="2">
        <v>914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s="23" customFormat="1" ht="12.75" x14ac:dyDescent="0.2">
      <c r="A5" s="18">
        <v>44500</v>
      </c>
      <c r="B5" s="2" t="s">
        <v>20</v>
      </c>
      <c r="C5" s="2" t="s">
        <v>58</v>
      </c>
      <c r="D5" s="2" t="s">
        <v>21</v>
      </c>
      <c r="E5" s="2" t="s">
        <v>395</v>
      </c>
      <c r="F5" s="6" t="s">
        <v>22</v>
      </c>
      <c r="G5" s="6">
        <v>70000</v>
      </c>
      <c r="H5" s="2" t="s">
        <v>59</v>
      </c>
      <c r="I5" s="2" t="s">
        <v>60</v>
      </c>
      <c r="J5" s="3">
        <v>0.6875</v>
      </c>
      <c r="K5" s="4">
        <v>0.69791666666666663</v>
      </c>
      <c r="L5" s="3">
        <v>0.52083333333333337</v>
      </c>
      <c r="M5" s="4">
        <v>0.53680555555555554</v>
      </c>
      <c r="N5" s="2" t="s">
        <v>403</v>
      </c>
      <c r="O5" s="2" t="s">
        <v>398</v>
      </c>
      <c r="P5" s="2">
        <v>604</v>
      </c>
      <c r="Q5" s="2">
        <v>1198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x14ac:dyDescent="0.25">
      <c r="A6" s="18">
        <v>44500</v>
      </c>
      <c r="B6" s="6" t="s">
        <v>20</v>
      </c>
      <c r="C6" s="6" t="s">
        <v>23</v>
      </c>
      <c r="D6" s="6" t="s">
        <v>21</v>
      </c>
      <c r="E6" s="2" t="s">
        <v>358</v>
      </c>
      <c r="F6" s="6" t="s">
        <v>22</v>
      </c>
      <c r="G6" s="6">
        <v>70000</v>
      </c>
      <c r="H6" s="6" t="s">
        <v>24</v>
      </c>
      <c r="I6" s="6" t="s">
        <v>25</v>
      </c>
      <c r="J6" s="7">
        <v>0.91319444444444453</v>
      </c>
      <c r="K6" s="26">
        <v>0.92569444444444438</v>
      </c>
      <c r="L6" s="7">
        <v>0.70833333333333337</v>
      </c>
      <c r="M6" s="26">
        <v>0.74861111111111101</v>
      </c>
      <c r="N6" s="2" t="s">
        <v>130</v>
      </c>
      <c r="O6" s="2" t="s">
        <v>405</v>
      </c>
      <c r="P6" s="6">
        <v>588</v>
      </c>
      <c r="Q6" s="6">
        <v>1225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31">
        <v>0</v>
      </c>
    </row>
    <row r="7" spans="1:24" x14ac:dyDescent="0.25">
      <c r="A7" s="18">
        <v>44500</v>
      </c>
      <c r="B7" s="6" t="s">
        <v>20</v>
      </c>
      <c r="C7" s="6" t="s">
        <v>35</v>
      </c>
      <c r="D7" s="6" t="s">
        <v>21</v>
      </c>
      <c r="E7" s="6" t="s">
        <v>99</v>
      </c>
      <c r="F7" s="6" t="s">
        <v>22</v>
      </c>
      <c r="G7" s="6">
        <v>70000</v>
      </c>
      <c r="H7" s="6" t="s">
        <v>37</v>
      </c>
      <c r="I7" s="6" t="s">
        <v>36</v>
      </c>
      <c r="J7" s="7">
        <v>0.95486111111111116</v>
      </c>
      <c r="K7" s="26" t="s">
        <v>375</v>
      </c>
      <c r="L7" s="7">
        <v>0.79166666666666663</v>
      </c>
      <c r="M7" s="26">
        <v>0.8208333333333333</v>
      </c>
      <c r="N7" s="2">
        <v>0</v>
      </c>
      <c r="O7" s="2" t="s">
        <v>406</v>
      </c>
      <c r="P7" s="6">
        <v>0</v>
      </c>
      <c r="Q7" s="6">
        <v>865</v>
      </c>
      <c r="R7" s="6">
        <v>0</v>
      </c>
      <c r="S7" s="6">
        <v>0</v>
      </c>
      <c r="T7" s="6">
        <v>0</v>
      </c>
      <c r="U7" s="6">
        <v>0</v>
      </c>
      <c r="V7" s="2">
        <v>0</v>
      </c>
      <c r="W7" s="2">
        <v>0</v>
      </c>
      <c r="X7" s="2">
        <v>0</v>
      </c>
    </row>
    <row r="8" spans="1:24" x14ac:dyDescent="0.25">
      <c r="A8" s="18">
        <v>44500</v>
      </c>
      <c r="B8" s="6" t="s">
        <v>20</v>
      </c>
      <c r="C8" s="6" t="s">
        <v>396</v>
      </c>
      <c r="D8" s="6" t="s">
        <v>21</v>
      </c>
      <c r="E8" s="6" t="s">
        <v>358</v>
      </c>
      <c r="F8" s="6" t="s">
        <v>383</v>
      </c>
      <c r="G8" s="6">
        <v>70000</v>
      </c>
      <c r="H8" s="6" t="s">
        <v>401</v>
      </c>
      <c r="I8" s="6"/>
      <c r="J8" s="7">
        <v>0.41666666666666669</v>
      </c>
      <c r="K8" s="26">
        <v>0.46180555555555558</v>
      </c>
      <c r="L8" s="7" t="s">
        <v>219</v>
      </c>
      <c r="M8" s="26" t="s">
        <v>219</v>
      </c>
      <c r="N8" s="2" t="s">
        <v>219</v>
      </c>
      <c r="O8" s="2" t="s">
        <v>219</v>
      </c>
      <c r="P8" s="31" t="s">
        <v>219</v>
      </c>
      <c r="Q8" s="31" t="s">
        <v>219</v>
      </c>
      <c r="R8" s="31" t="s">
        <v>219</v>
      </c>
      <c r="S8" s="31" t="s">
        <v>219</v>
      </c>
      <c r="T8" s="31" t="s">
        <v>219</v>
      </c>
      <c r="U8" s="31" t="s">
        <v>219</v>
      </c>
      <c r="V8" s="31" t="s">
        <v>219</v>
      </c>
      <c r="W8" s="31" t="s">
        <v>219</v>
      </c>
      <c r="X8" s="31" t="s">
        <v>219</v>
      </c>
    </row>
    <row r="9" spans="1:24" x14ac:dyDescent="0.25">
      <c r="A9" s="18">
        <v>44500</v>
      </c>
      <c r="B9" s="6" t="s">
        <v>20</v>
      </c>
      <c r="C9" s="6" t="s">
        <v>378</v>
      </c>
      <c r="D9" s="6" t="s">
        <v>21</v>
      </c>
      <c r="E9" s="6" t="s">
        <v>395</v>
      </c>
      <c r="F9" s="6" t="s">
        <v>94</v>
      </c>
      <c r="G9" s="6">
        <v>70000</v>
      </c>
      <c r="H9" s="6" t="s">
        <v>364</v>
      </c>
      <c r="I9" s="6" t="s">
        <v>379</v>
      </c>
      <c r="J9" s="7">
        <v>0.45833333333333331</v>
      </c>
      <c r="K9" s="26">
        <v>0.50763888888888886</v>
      </c>
      <c r="L9" s="7">
        <v>0.70833333333333337</v>
      </c>
      <c r="M9" s="26">
        <v>0.72152777777777777</v>
      </c>
      <c r="N9" s="2" t="s">
        <v>219</v>
      </c>
      <c r="O9" s="2" t="s">
        <v>219</v>
      </c>
      <c r="P9" s="31" t="s">
        <v>219</v>
      </c>
      <c r="Q9" s="31" t="s">
        <v>219</v>
      </c>
      <c r="R9" s="31" t="s">
        <v>219</v>
      </c>
      <c r="S9" s="31" t="s">
        <v>219</v>
      </c>
      <c r="T9" s="31" t="s">
        <v>219</v>
      </c>
      <c r="U9" s="31" t="s">
        <v>219</v>
      </c>
      <c r="V9" s="31" t="s">
        <v>219</v>
      </c>
      <c r="W9" s="31" t="s">
        <v>219</v>
      </c>
      <c r="X9" s="31" t="s">
        <v>219</v>
      </c>
    </row>
    <row r="10" spans="1:24" x14ac:dyDescent="0.25">
      <c r="A10" s="18"/>
      <c r="B10" s="6"/>
      <c r="C10" s="6"/>
      <c r="L10" s="7"/>
    </row>
    <row r="11" spans="1:24" x14ac:dyDescent="0.25">
      <c r="L11" s="3"/>
    </row>
    <row r="12" spans="1:24" x14ac:dyDescent="0.25">
      <c r="L12" s="3"/>
    </row>
    <row r="13" spans="1:24" x14ac:dyDescent="0.25">
      <c r="L13" s="7"/>
    </row>
    <row r="14" spans="1:24" x14ac:dyDescent="0.25">
      <c r="L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cp:lastPrinted>2021-09-19T15:31:38Z</cp:lastPrinted>
  <dcterms:created xsi:type="dcterms:W3CDTF">2021-02-01T03:54:40Z</dcterms:created>
  <dcterms:modified xsi:type="dcterms:W3CDTF">2021-10-31T23:09:42Z</dcterms:modified>
</cp:coreProperties>
</file>